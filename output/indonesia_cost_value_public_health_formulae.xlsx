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5"/>
  </bookViews>
  <sheets>
    <sheet name="README" sheetId="2" state="visible" r:id="rId2"/>
    <sheet name="Run_Metadata" sheetId="3" state="visible" r:id="rId3"/>
    <sheet name="Scenario_Catalog" sheetId="27" state="visible" r:id="rId27"/>
    <sheet name="Scenario_Hierarchy" sheetId="23" state="visible" r:id="rId23"/>
    <sheet name="Selected_Interventions" sheetId="4" state="visible" r:id="rId4"/>
    <sheet name="Blocked_Links" sheetId="5" state="visible" r:id="rId5"/>
    <sheet name="Policy_Levers" sheetId="6" state="visible" r:id="rId6"/>
    <sheet name="Exposure_Targets" sheetId="7" state="visible" r:id="rId7"/>
    <sheet name="Effect_Parameters" sheetId="8" state="visible" r:id="rId8"/>
    <sheet name="Risk_Response" sheetId="24" state="visible" r:id="rId24"/>
    <sheet name="Cost_Components" sheetId="9" state="visible" r:id="rId9"/>
    <sheet name="Annual_Mortality" sheetId="10" state="visible" r:id="rId10"/>
    <sheet name="Health_Outcomes" sheetId="14" state="visible" r:id="rId14"/>
    <sheet name="CVD_40q30" sheetId="18" state="visible" r:id="rId18"/>
    <sheet name="CVD_40q30_Age" sheetId="17" state="visible" r:id="rId17"/>
    <sheet name="Annual_Cost" sheetId="11" state="visible" r:id="rId11"/>
    <sheet name="Budget_Impact" sheetId="12" state="visible" r:id="rId12"/>
    <sheet name="Cost_Effectiveness" sheetId="13" state="visible" r:id="rId13"/>
    <sheet name="Child_Intervention_Summary" sheetId="25" state="visible" r:id="rId25"/>
    <sheet name="Parent_Package_Summary" sheetId="26" state="visible" r:id="rId26"/>
    <sheet name="Economic_Value" sheetId="15" state="visible" r:id="rId15"/>
    <sheet name="Benefit_Cost" sheetId="16" state="visible" r:id="rId16"/>
    <sheet name="QA_Checks" sheetId="19" state="visible" r:id="rId19"/>
    <sheet name="Input_Diagnostic" sheetId="20" state="visible" r:id="rId20"/>
    <sheet name="Methods_and_Sources" sheetId="21" state="visible" r:id="rId21"/>
    <sheet name="Calculation_Assumptions" sheetId="1" state="visible" r:id="rId1"/>
    <sheet name="Calculation_Map" sheetId="22" state="visible" r:id="rId22"/>
  </sheets>
  <calcPr calcId="191029" fullCalcOnLoad="1"/>
</workbook>
</file>

<file path=xl/sharedStrings.xml><?xml version="1.0" encoding="utf-8"?>
<sst xmlns="http://schemas.openxmlformats.org/spreadsheetml/2006/main" count="1031" uniqueCount="1031">
  <si>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</si>
  <si>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</si>
  <si>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</si>
  <si>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</si>
  <si>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</si>
  <si>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</si>
  <si>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</si>
  <si>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</si>
  <si>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</si>
  <si>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policy_start_year</t>
  </si>
  <si>
    <t xml:space="preserve">exposure_target_year</t>
  </si>
  <si>
    <t xml:space="preserve">policy_cost_ramp_years</t>
  </si>
  <si>
    <t xml:space="preserve">cost_discount_rate</t>
  </si>
  <si>
    <t xml:space="preserve">reporting_price_year</t>
  </si>
  <si>
    <t xml:space="preserve">source_cost_price_year</t>
  </si>
  <si>
    <t xml:space="preserve">currency</t>
  </si>
  <si>
    <t xml:space="preserve">economic_perspective</t>
  </si>
  <si>
    <t xml:space="preserve">scale_up_shape</t>
  </si>
  <si>
    <t xml:space="preserve">baseline_implementation_fraction</t>
  </si>
  <si>
    <t xml:space="preserve">formula_tolerance</t>
  </si>
  <si>
    <t xml:space="preserve">stock_flow_residual_limit</t>
  </si>
  <si>
    <t xml:space="preserve">r_negative_state_count</t>
  </si>
  <si>
    <t xml:space="preserve">r_stock_flow_max_residual</t>
  </si>
  <si>
    <t xml:space="preserve">r_background_distinct_count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</si>
  <si>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</si>
  <si>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</si>
  <si>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</si>
  <si>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</si>
  <si>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bca_base_year</t>
  </si>
  <si>
    <t xml:space="preserve">bca_discount_rate_primary</t>
  </si>
  <si>
    <t xml:space="preserve">bca_discount_rate_sensitivity_3pct</t>
  </si>
  <si>
    <t xml:space="preserve">bca_discount_rate_sensitivity_2x_gdp_pc_growth</t>
  </si>
  <si>
    <t xml:space="preserve">vsl_us_gni_ratio</t>
  </si>
  <si>
    <t xml:space="preserve">vsl_income_elasticity_preferred</t>
  </si>
  <si>
    <t xml:space="preserve">vsl_floor_gni_multiple</t>
  </si>
  <si>
    <t xml:space="preserve">vsl_sensitivity_gni_multiple_100</t>
  </si>
  <si>
    <t xml:space="preserve">vsl_sensitivity_gni_multiple_160</t>
  </si>
  <si>
    <t xml:space="preserve">vsly_adult_min_age</t>
  </si>
  <si>
    <t xml:space="preserve">vsly_adult_max_age</t>
  </si>
  <si>
    <t xml:space="preserve">bca_currency_basis</t>
  </si>
  <si>
    <t xml:space="preserve">bca_price_year</t>
  </si>
  <si>
    <t xml:space="preserve">cost_to_bca_currency_factor</t>
  </si>
  <si>
    <t xml:space="preserve">bca_standing</t>
  </si>
  <si>
    <t xml:space="preserve">bca_scope</t>
  </si>
  <si>
    <t xml:space="preserve">bca_discount_rate_sensitivity_2x_gdp_pc_growth_computed</t>
  </si>
  <si>
    <t xml:space="preserve">year</t>
  </si>
  <si>
    <t xml:space="preserve">formula control</t>
  </si>
  <si>
    <t xml:space="preserve">First model and discount year</t>
  </si>
  <si>
    <t xml:space="preserve">indonesia_model_inputs_public_health_updated_mortality.xlsx</t>
  </si>
  <si>
    <t xml:space="preserve">Last model year</t>
  </si>
  <si>
    <t xml:space="preserve">scenario id</t>
  </si>
  <si>
    <t xml:space="preserve">No-new-policy comparator</t>
  </si>
  <si>
    <t xml:space="preserve">First policy implementation year</t>
  </si>
  <si>
    <t xml:space="preserve">Year full exposure reduction is reached</t>
  </si>
  <si>
    <t xml:space="preserve">years</t>
  </si>
  <si>
    <t xml:space="preserve">Years to full policy cost</t>
  </si>
  <si>
    <t xml:space="preserve">proportion/year</t>
  </si>
  <si>
    <t xml:space="preserve">Annual discount rate applied to costs</t>
  </si>
  <si>
    <t xml:space="preserve">USD year</t>
  </si>
  <si>
    <t xml:space="preserve">Reporting price year</t>
  </si>
  <si>
    <t xml:space="preserve">Price year of source unit costs</t>
  </si>
  <si>
    <t xml:space="preserve">metadata</t>
  </si>
  <si>
    <t xml:space="preserve">Reporting currency</t>
  </si>
  <si>
    <t xml:space="preserve">text</t>
  </si>
  <si>
    <t xml:space="preserve">Economic evaluation perspective</t>
  </si>
  <si>
    <t xml:space="preserve">Cost/effect scale-up shape</t>
  </si>
  <si>
    <t xml:space="preserve">proportion</t>
  </si>
  <si>
    <t xml:space="preserve">Baseline (counterfactual) policy implementation fraction</t>
  </si>
  <si>
    <t xml:space="preserve">Model 09</t>
  </si>
  <si>
    <t xml:space="preserve">USD/count</t>
  </si>
  <si>
    <t xml:space="preserve">QA control</t>
  </si>
  <si>
    <t xml:space="preserve">Absolute reconciliation tolerance</t>
  </si>
  <si>
    <t xml:space="preserve">Workbook QA rule</t>
  </si>
  <si>
    <t xml:space="preserve">persons</t>
  </si>
  <si>
    <t xml:space="preserve">Persons tolerance for the stock/flow identity check</t>
  </si>
  <si>
    <t xml:space="preserve">count</t>
  </si>
  <si>
    <t xml:space="preserve">R QA source</t>
  </si>
  <si>
    <t xml:space="preserve">Impossible negative state count (R)</t>
  </si>
  <si>
    <t xml:space="preserve">Model 09 current run</t>
  </si>
  <si>
    <t xml:space="preserve">Max stock/flow residual (R)</t>
  </si>
  <si>
    <t xml:space="preserve">Max distinct all-cause mx across cause (R)</t>
  </si>
  <si>
    <t xml:space="preserve">deaths</t>
  </si>
  <si>
    <t xml:space="preserve">R reconciliation source</t>
  </si>
  <si>
    <t xml:space="preserve">R deaths averted for the anchor scenario</t>
  </si>
  <si>
    <t xml:space="preserve">Model 09 current run (R CEA)</t>
  </si>
  <si>
    <t xml:space="preserve">USD</t>
  </si>
  <si>
    <t xml:space="preserve">R discounted incremental cost for the anchor scenario</t>
  </si>
  <si>
    <t xml:space="preserve">USD/death</t>
  </si>
  <si>
    <t xml:space="preserve">R USD per death averted for the anchor scenario</t>
  </si>
  <si>
    <t xml:space="preserve">Scenario used for Excel-vs-R reconciliation</t>
  </si>
  <si>
    <t xml:space="preserve">BCA control</t>
  </si>
  <si>
    <t xml:space="preserve">BCA base year (benefits and costs discounted to this year)</t>
  </si>
  <si>
    <t xml:space="preserve">Robinson et al. 2019 Reference Case Guidelines (via input workbook / Model 08)</t>
  </si>
  <si>
    <t xml:space="preserve">Primary real discount rate for BOTH benefits and costs</t>
  </si>
  <si>
    <t xml:space="preserve">Standardized sensitivity discount rate (3%)</t>
  </si>
  <si>
    <t xml:space="preserve">Standardized sensitivity: 2x near-term real GDP-pc growth (workbook default)</t>
  </si>
  <si>
    <t xml:space="preserve">ratio (VSL/GNIpc)</t>
  </si>
  <si>
    <t xml:space="preserve">US reference VSL-to-GNI-per-capita ratio</t>
  </si>
  <si>
    <t xml:space="preserve">elasticity</t>
  </si>
  <si>
    <t xml:space="preserve">Income elasticity of VSL (preferred)</t>
  </si>
  <si>
    <t xml:space="preserve">Floor: VSL not below this multiple of GNI per capita</t>
  </si>
  <si>
    <t xml:space="preserve">Sensitivity: VSL = 100x GNI per capita</t>
  </si>
  <si>
    <t xml:space="preserve">Sensitivity: VSL = 160x GNI per capita</t>
  </si>
  <si>
    <t xml:space="preserve">age (years)</t>
  </si>
  <si>
    <t xml:space="preserve">Working-age lower bound (VSLY avg-adult-age)</t>
  </si>
  <si>
    <t xml:space="preserve">Working-age upper bound (VSLY avg-adult-age)</t>
  </si>
  <si>
    <t xml:space="preserve">Common monetary basis for benefits and costs</t>
  </si>
  <si>
    <t xml:space="preserve">Real price year for benefits and costs</t>
  </si>
  <si>
    <t xml:space="preserve">int$ per market US$</t>
  </si>
  <si>
    <t xml:space="preserve">Market-USD cost -&gt; PPP int$ multiplier</t>
  </si>
  <si>
    <t xml:space="preserve">BCA standing / perspective</t>
  </si>
  <si>
    <t xml:space="preserve">BCA scope (partial mortality-benefit vs full societal)</t>
  </si>
  <si>
    <t xml:space="preserve">2x near-term real GDP-pc growth recomputed from SSP2 by Model 08</t>
  </si>
  <si>
    <t xml:space="preserve">baseline</t>
  </si>
  <si>
    <t xml:space="preserve">health_system</t>
  </si>
  <si>
    <t xml:space="preserve">linear</t>
  </si>
  <si>
    <t xml:space="preserve">all_public_health</t>
  </si>
  <si>
    <t xml:space="preserve">PPP_international_dollars</t>
  </si>
  <si>
    <t xml:space="preserve">societal</t>
  </si>
  <si>
    <t xml:space="preserve">partial_mortality_benefit</t>
  </si>
  <si>
    <t xml:space="preserve">Indonesia NCD - public-health cost &amp; value workbook (formula edition)</t>
  </si>
  <si>
    <t xml:space="preserve">section</t>
  </si>
  <si>
    <t xml:space="preserve">detail</t>
  </si>
  <si>
    <t xml:space="preserve">Purpose</t>
  </si>
  <si>
    <t xml:space="preserve">Costing, budget impact and mortality-based cost-effectiveness for the public-health (fiscal/regulatory) policies selected in the public-health input workbook.</t>
  </si>
  <si>
    <t xml:space="preserve">How to read</t>
  </si>
  <si>
    <t xml:space="preserve">Grey cells are R-generated source values; light-blue cells are LIVE Excel formulas; pale-yellow cells on Calculation_Assumptions are editable controls. Change a yellow control and the blue results recompute. Calculation_Map lists the dependency chain.</t>
  </si>
  <si>
    <t xml:space="preserve">Scenarios</t>
  </si>
  <si>
    <t xml:space="preserve">Baseline + one standalone scenario per runnable intervention + one JOINT scenario per parent package (tobacco, salt) + a combined 'all_public_health' scenario. Membership and the tobacco/salt package structure derive from the workbook Scenario_Hierarchy (Model 04). Parent-package cases/deaths come from a single joint run, never summed from standalone children; package cost = sum of selected child costs. See Scenario_Hierarchy, Child_Intervention_Summary and Parent_Package_Summary.</t>
  </si>
  <si>
    <t xml:space="preserve">Baseline pairing</t>
  </si>
  <si>
    <t xml:space="preserve">Deaths averted = baseline deaths - scenario deaths, matched at year x cause (both-sex totals).</t>
  </si>
  <si>
    <t xml:space="preserve">CVD 40q30</t>
  </si>
  <si>
    <t xml:space="preserve">CVD_40q30 / CVD_40q30_Age give the period probability of dying from the six CVD causes (ihd, istroke, hstroke, hhd, rhd, cmd) between exact ages 30 and 70, per scenario/HTN-target/year. The life table (m_x, q_x, l_x, l_{x+1}) is live Excel formula off grey CVD deaths and de-duplicated population; cvd_40q30 = 100*(1-l_70/l_30) reconciles to Model 07. cvd_40q30 and the absolute reduction are PERCENT on a 0-100 scale (format 0.000), NOT Excel's fractional %.</t>
  </si>
  <si>
    <t xml:space="preserve">Effect model</t>
  </si>
  <si>
    <t xml:space="preserve">Incidence effect = exposure-based: prevalence-shift RR (tobacco), log-linear RR per unit reduction (alcohol/sodium/SSB and the DEFAULT industrial-TFA path, RR per 1 percentage-point energy). The optional TFA PAF path (PAF x implementation gap) is used only when Assumptions.tfa_effect_method='PAF'. Fiscal levers use baseline-&gt;target tax change x price elasticity; regulatory levers use the none/partial/full implementation gap. NO clinical coverage-adjustment formula is used.</t>
  </si>
  <si>
    <t xml:space="preserve">Exposure path</t>
  </si>
  <si>
    <t xml:space="preserve">Achieved exposure pt(t) ramps linearly baseline-&gt;target over start_year..target_year, floored; exposure reductions are shown as formulas on Exposure_Targets.</t>
  </si>
  <si>
    <t xml:space="preserve">Lag</t>
  </si>
  <si>
    <t xml:space="preserve">immediate_after_full_implementation: effect tracks the exposure path. delayed_exponential_remaining_effect (tobacco): full target effect accrues as 1-(1-rate)^(years since start).</t>
  </si>
  <si>
    <t xml:space="preserve">Costing</t>
  </si>
  <si>
    <t xml:space="preserve">annual_cost = population(t) x PIN fraction x implementation_fraction(t) x frequency x unit_cost. Public-wide policies use the deduplicated total population (once per age/sex/year, never per cause).</t>
  </si>
  <si>
    <t xml:space="preserve">Shared costs</t>
  </si>
  <si>
    <t xml:space="preserve">Shared policy costs (cost_scope 'shared-count-once', ...__C_SHARED) are counted once per intervention/scenario/year, never once per affected cause.</t>
  </si>
  <si>
    <t xml:space="preserve">Budget impact</t>
  </si>
  <si>
    <t xml:space="preserve">Budget impact reports UNDISCOUNTED baseline, scenario, incremental and cumulative incremental cost; discounted incremental cost is a separate column. The four *_cost_per_capita columns are LIVE formulae (= that year's cost / national_population); national_population (grey R-source) is each year's national Indonesia population from out_model/model_output_Indonesia_htncov2_aspirational.rds (baseline series, de-duplicated across cause). Annual_Cost carries the matching per-component per-capita formulae, and Cost_Effectiveness carries the scenario mean annual incremental/discounted per-capita (2026-2050).</t>
  </si>
  <si>
    <t xml:space="preserve">Cost-effectiveness</t>
  </si>
  <si>
    <t xml:space="preserve">USD per death averted = cumulative discounted incremental cost / cumulative (undiscounted) deaths averted. Not a DALY-based ICER; DALYs are deferred.</t>
  </si>
  <si>
    <t xml:space="preserve">Economic value</t>
  </si>
  <si>
    <t xml:space="preserve">Reference-Case benefit-cost analysis (2019 Robinson et al. Guidelines) on Health_Outcomes (Model 07), Economic_Value (Model 08 VSL/VSLY) and Benefit_Cost. Preferred VSL = MAX(160xGNIpc_US x (GNIpc_IDN/GNIpc_US)^1.5, 20xGNIpc_IDN); standardized 100x/160x GNI sensitivities. Benefits are PPP int$; costs are converted to that basis (cost_to_bca_currency_factor). PARTIAL mortality-benefit BCA -- not a full societal BCA.</t>
  </si>
  <si>
    <t xml:space="preserve">QA &amp; reconciliation</t>
  </si>
  <si>
    <t xml:space="preserve">QA_Checks recomputes each invariant in Excel and reconciles the Excel cost-effectiveness headline against the R engine values on Calculation_Assumptions; BCA checks cover the VSL floor, reference-case parameters, price-year basis and Benefit_Cost scenario coverage. PASS/REVIEW/FAIL are conditionally formatted.</t>
  </si>
  <si>
    <t xml:space="preserve">Colour legend</t>
  </si>
  <si>
    <t xml:space="preserve">Header dark-blue; formula-derived light-blue; R source/helper grey; editable controls pale-yellow; PASS green; REVIEW amber; FAIL red.</t>
  </si>
  <si>
    <t xml:space="preserve">Deferred</t>
  </si>
  <si>
    <t xml:space="preserve">Health outcomes (deaths averted, YLL/YLD/DALY averted, life-years gained) come from Model 07 (Health_Outcomes). USD per death averted (Cost_Effectiveness) and the benefit-cost analysis (Benefit_Cost) are the principal decision results.</t>
  </si>
  <si>
    <t xml:space="preserve">item</t>
  </si>
  <si>
    <t xml:space="preserve">Workbook title</t>
  </si>
  <si>
    <t xml:space="preserve">Indonesia NCD public-health - cost &amp; value</t>
  </si>
  <si>
    <t xml:space="preserve">Run date</t>
  </si>
  <si>
    <t xml:space="preserve">2026-08-30</t>
  </si>
  <si>
    <t xml:space="preserve">Model / pipeline</t>
  </si>
  <si>
    <t xml:space="preserve">CVD FAIR Choices pipeline (Models 00-06 -&gt; 09), public-health family</t>
  </si>
  <si>
    <t xml:space="preserve">Public-health input workbook</t>
  </si>
  <si>
    <t xml:space="preserve">C:/Users/wrgar/OneDrive - UW/02Work/WorldBank-Indonesia/uw-wb-indonesia-ncd/data/indonesia_model_inputs_public_health_updated_mortality.xlsx</t>
  </si>
  <si>
    <t xml:space="preserve">Model output source</t>
  </si>
  <si>
    <t xml:space="preserve">output/out_model/model_output_*.rds (Model 06)</t>
  </si>
  <si>
    <t xml:space="preserve">Location</t>
  </si>
  <si>
    <t xml:space="preserve">Indonesia</t>
  </si>
  <si>
    <t xml:space="preserve">Analysis years</t>
  </si>
  <si>
    <t xml:space="preserve">2025-2050</t>
  </si>
  <si>
    <t xml:space="preserve">Baseline scenario</t>
  </si>
  <si>
    <t xml:space="preserve">Scenarios costed</t>
  </si>
  <si>
    <t xml:space="preserve">I_PH_TOBACCO_TAX, I_PH_TOB_CLEAN_AIR, I_PH_TOB_MEDIA, I_PH_TOB_AD_BAN, I_PH_TOBACCO_POLICY, all_public_health</t>
  </si>
  <si>
    <t xml:space="preserve">Cost discount rate</t>
  </si>
  <si>
    <t xml:space="preserve">3.0%</t>
  </si>
  <si>
    <t xml:space="preserve">2023</t>
  </si>
  <si>
    <t xml:space="preserve">Currency</t>
  </si>
  <si>
    <t xml:space="preserve">Economic perspective</t>
  </si>
  <si>
    <t xml:space="preserve">Policy start / target year</t>
  </si>
  <si>
    <t xml:space="preserve">2026 / 2030</t>
  </si>
  <si>
    <t xml:space="preserve">Cost ramp years</t>
  </si>
  <si>
    <t xml:space="preserve">3</t>
  </si>
  <si>
    <t xml:space="preserve">Health outcomes (DALYs/YLL/YLD)</t>
  </si>
  <si>
    <t xml:space="preserve">Out of scope in this stage (deferred)</t>
  </si>
  <si>
    <t xml:space="preserve">R version</t>
  </si>
  <si>
    <t xml:space="preserve">R version 4.5.1 (2025-06-13 ucrt)</t>
  </si>
  <si>
    <t xml:space="preserve">openxlsx / data.table</t>
  </si>
  <si>
    <t xml:space="preserve">4.2.8 / 1.17.8</t>
  </si>
  <si>
    <t xml:space="preserve">TFA effect method</t>
  </si>
  <si>
    <t xml:space="preserve">RR</t>
  </si>
  <si>
    <t xml:space="preserve">Public-health scenarios (n)</t>
  </si>
  <si>
    <t xml:space="preserve">6 comparators + baseline</t>
  </si>
  <si>
    <t xml:space="preserve">intervention_id</t>
  </si>
  <si>
    <t xml:space="preserve">intervention_cause_key</t>
  </si>
  <si>
    <t xml:space="preserve">intervention_name</t>
  </si>
  <si>
    <t xml:space="preserve">risk_id</t>
  </si>
  <si>
    <t xml:space="preserve">cause_id</t>
  </si>
  <si>
    <t xml:space="preserve">cause_code</t>
  </si>
  <si>
    <t xml:space="preserve">effect_model</t>
  </si>
  <si>
    <t xml:space="preserve">model_transition</t>
  </si>
  <si>
    <t xml:space="preserve">transition_from</t>
  </si>
  <si>
    <t xml:space="preserve">transition_to</t>
  </si>
  <si>
    <t xml:space="preserve">baseline_exposure</t>
  </si>
  <si>
    <t xml:space="preserve">target_exposure</t>
  </si>
  <si>
    <t xml:space="preserve">response_value</t>
  </si>
  <si>
    <t xml:space="preserve">paf_value</t>
  </si>
  <si>
    <t xml:space="preserve">lag_model</t>
  </si>
  <si>
    <t xml:space="preserve">lag_parameter</t>
  </si>
  <si>
    <t xml:space="preserve">exposure_start_year</t>
  </si>
  <si>
    <t xml:space="preserve">full_effect_at_target</t>
  </si>
  <si>
    <t xml:space="preserve">exposure_reduction_abs</t>
  </si>
  <si>
    <t xml:space="preserve">exposure_reduction_rel</t>
  </si>
  <si>
    <t xml:space="preserve">cost_join_key</t>
  </si>
  <si>
    <t xml:space="preserve">review_status</t>
  </si>
  <si>
    <t xml:space="preserve">key_count</t>
  </si>
  <si>
    <t xml:space="preserve">formula_status</t>
  </si>
  <si>
    <t xml:space="preserve">parent_package_id</t>
  </si>
  <si>
    <t xml:space="preserve">intervention_role</t>
  </si>
  <si>
    <t xml:space="preserve">tfa_effect_method</t>
  </si>
  <si>
    <t xml:space="preserve">I_PH_TOBACCO_TAX</t>
  </si>
  <si>
    <t xml:space="preserve">I_PH_TOBACCO_TAX__C_T2DM</t>
  </si>
  <si>
    <t xml:space="preserve">Tobacco tax</t>
  </si>
  <si>
    <t xml:space="preserve">R_SMOKING</t>
  </si>
  <si>
    <t xml:space="preserve">C_T2DM</t>
  </si>
  <si>
    <t xml:space="preserve">dm2</t>
  </si>
  <si>
    <t xml:space="preserve">direct_smoking_prevalence_shift_rr</t>
  </si>
  <si>
    <t xml:space="preserve">incidence</t>
  </si>
  <si>
    <t xml:space="preserve">well</t>
  </si>
  <si>
    <t xml:space="preserve">sick</t>
  </si>
  <si>
    <t xml:space="preserve">delayed_exponential_remaining_effect</t>
  </si>
  <si>
    <t xml:space="preserve">I_PH_TOBACCO_TAX__C_SHARED</t>
  </si>
  <si>
    <t xml:space="preserve">Ready</t>
  </si>
  <si>
    <t xml:space="preserve">standalone</t>
  </si>
  <si>
    <t xml:space="preserve">I_PH_TOBACCO_TAX__C_ICH</t>
  </si>
  <si>
    <t xml:space="preserve">C_ICH</t>
  </si>
  <si>
    <t xml:space="preserve">hstroke</t>
  </si>
  <si>
    <t xml:space="preserve">jha_piecewise_shared_scalar</t>
  </si>
  <si>
    <t xml:space="preserve">I_PH_TOBACCO_TAX__C_ICH__SICK_DEAD</t>
  </si>
  <si>
    <t xml:space="preserve">tobacco_mortality_prevalence_shift_rr</t>
  </si>
  <si>
    <t xml:space="preserve">case_fatality</t>
  </si>
  <si>
    <t xml:space="preserve">dead</t>
  </si>
  <si>
    <t xml:space="preserve">Proxy</t>
  </si>
  <si>
    <t xml:space="preserve">I_PH_TOBACCO_TAX__C_IHD</t>
  </si>
  <si>
    <t xml:space="preserve">C_IHD</t>
  </si>
  <si>
    <t xml:space="preserve">ihd</t>
  </si>
  <si>
    <t xml:space="preserve">I_PH_TOBACCO_TAX__C_IHD__SICK_DEAD</t>
  </si>
  <si>
    <t xml:space="preserve">I_PH_TOBACCO_TAX__C_IS</t>
  </si>
  <si>
    <t xml:space="preserve">C_IS</t>
  </si>
  <si>
    <t xml:space="preserve">istroke</t>
  </si>
  <si>
    <t xml:space="preserve">I_PH_TOBACCO_TAX__C_IS__SICK_DEAD</t>
  </si>
  <si>
    <t xml:space="preserve">I_PH_TOB_AD_BAN</t>
  </si>
  <si>
    <t xml:space="preserve">I_PH_TOB_AD_BAN__C_T2DM</t>
  </si>
  <si>
    <t xml:space="preserve">Tobacco advertising ban</t>
  </si>
  <si>
    <t xml:space="preserve">I_PH_TOB_AD_BAN__C_SHARED</t>
  </si>
  <si>
    <t xml:space="preserve">I_PH_TOBACCO_POLICY</t>
  </si>
  <si>
    <t xml:space="preserve">child</t>
  </si>
  <si>
    <t xml:space="preserve">I_PH_TOB_AD_BAN__C_ICH</t>
  </si>
  <si>
    <t xml:space="preserve">I_PH_TOB_AD_BAN__C_ICH__SICK_DEAD</t>
  </si>
  <si>
    <t xml:space="preserve">I_PH_TOB_AD_BAN__C_IHD</t>
  </si>
  <si>
    <t xml:space="preserve">I_PH_TOB_AD_BAN__C_IHD__SICK_DEAD</t>
  </si>
  <si>
    <t xml:space="preserve">I_PH_TOB_AD_BAN__C_IS</t>
  </si>
  <si>
    <t xml:space="preserve">I_PH_TOB_AD_BAN__C_IS__SICK_DEAD</t>
  </si>
  <si>
    <t xml:space="preserve">I_PH_TOB_CLEAN_AIR</t>
  </si>
  <si>
    <t xml:space="preserve">I_PH_TOB_CLEAN_AIR__C_T2DM</t>
  </si>
  <si>
    <t xml:space="preserve">Smoke-free / clean-air law</t>
  </si>
  <si>
    <t xml:space="preserve">I_PH_TOB_CLEAN_AIR__C_SHARED</t>
  </si>
  <si>
    <t xml:space="preserve">I_PH_TOB_CLEAN_AIR__C_ICH</t>
  </si>
  <si>
    <t xml:space="preserve">I_PH_TOB_CLEAN_AIR__C_ICH__SICK_DEAD</t>
  </si>
  <si>
    <t xml:space="preserve">I_PH_TOB_CLEAN_AIR__C_IHD</t>
  </si>
  <si>
    <t xml:space="preserve">I_PH_TOB_CLEAN_AIR__C_IHD__SICK_DEAD</t>
  </si>
  <si>
    <t xml:space="preserve">I_PH_TOB_CLEAN_AIR__C_IS</t>
  </si>
  <si>
    <t xml:space="preserve">I_PH_TOB_CLEAN_AIR__C_IS__SICK_DEAD</t>
  </si>
  <si>
    <t xml:space="preserve">I_PH_TOB_MEDIA</t>
  </si>
  <si>
    <t xml:space="preserve">I_PH_TOB_MEDIA__C_T2DM</t>
  </si>
  <si>
    <t xml:space="preserve">Tobacco mass-media campaign</t>
  </si>
  <si>
    <t xml:space="preserve">I_PH_TOB_MEDIA__C_SHARED</t>
  </si>
  <si>
    <t xml:space="preserve">I_PH_TOB_MEDIA__C_ICH</t>
  </si>
  <si>
    <t xml:space="preserve">I_PH_TOB_MEDIA__C_ICH__SICK_DEAD</t>
  </si>
  <si>
    <t xml:space="preserve">I_PH_TOB_MEDIA__C_IHD</t>
  </si>
  <si>
    <t xml:space="preserve">I_PH_TOB_MEDIA__C_IHD__SICK_DEAD</t>
  </si>
  <si>
    <t xml:space="preserve">I_PH_TOB_MEDIA__C_IS</t>
  </si>
  <si>
    <t xml:space="preserve">I_PH_TOB_MEDIA__C_IS__SICK_DEAD</t>
  </si>
  <si>
    <t xml:space="preserve">note</t>
  </si>
  <si>
    <t xml:space="preserve">No blocked public-health links in this run.</t>
  </si>
  <si>
    <t xml:space="preserve">lever_id</t>
  </si>
  <si>
    <t xml:space="preserve">component</t>
  </si>
  <si>
    <t xml:space="preserve">lever_method</t>
  </si>
  <si>
    <t xml:space="preserve">fiscal_baseline_tax_level</t>
  </si>
  <si>
    <t xml:space="preserve">fiscal_target_tax_level</t>
  </si>
  <si>
    <t xml:space="preserve">fiscal_tax_level_unit</t>
  </si>
  <si>
    <t xml:space="preserve">regulatory_baseline_level</t>
  </si>
  <si>
    <t xml:space="preserve">regulatory_target_level</t>
  </si>
  <si>
    <t xml:space="preserve">regulatory_baseline_score</t>
  </si>
  <si>
    <t xml:space="preserve">regulatory_target_score</t>
  </si>
  <si>
    <t xml:space="preserve">effect_parameter</t>
  </si>
  <si>
    <t xml:space="preserve">implementation_gap</t>
  </si>
  <si>
    <t xml:space="preserve">implied_price_change</t>
  </si>
  <si>
    <t xml:space="preserve">fiscal_tax_delta</t>
  </si>
  <si>
    <t xml:space="preserve">policy_reduction</t>
  </si>
  <si>
    <t xml:space="preserve">estimated_risk_reduction_wb</t>
  </si>
  <si>
    <t xml:space="preserve">qa_status</t>
  </si>
  <si>
    <t xml:space="preserve">PL_TOB_TAX_SHARE</t>
  </si>
  <si>
    <t xml:space="preserve">Tax share of final retail price</t>
  </si>
  <si>
    <t xml:space="preserve">tax_share_to_price_elasticity</t>
  </si>
  <si>
    <t xml:space="preserve">tax share of retail price</t>
  </si>
  <si>
    <t xml:space="preserve">partial</t>
  </si>
  <si>
    <t xml:space="preserve">OK</t>
  </si>
  <si>
    <t xml:space="preserve">PL_ALC_PRICE</t>
  </si>
  <si>
    <t xml:space="preserve">I_PH_ALCOHOL_TAX</t>
  </si>
  <si>
    <t xml:space="preserve">Incremental retail-price increase versus current law</t>
  </si>
  <si>
    <t xml:space="preserve">price_elasticity</t>
  </si>
  <si>
    <t xml:space="preserve">relative price change vs current law</t>
  </si>
  <si>
    <t xml:space="preserve">none</t>
  </si>
  <si>
    <t xml:space="preserve">PL_TOB_CLEAN_AIR</t>
  </si>
  <si>
    <t xml:space="preserve">Smoking ban / clean-air law</t>
  </si>
  <si>
    <t xml:space="preserve">regulatory_gap_multiplicative</t>
  </si>
  <si>
    <t xml:space="preserve">full</t>
  </si>
  <si>
    <t xml:space="preserve">PL_TOB_MEDIA</t>
  </si>
  <si>
    <t xml:space="preserve">Highly publicised mass-media campaign</t>
  </si>
  <si>
    <t xml:space="preserve">PL_TOB_AD_BAN</t>
  </si>
  <si>
    <t xml:space="preserve">Advertising, promotion and sponsorship ban</t>
  </si>
  <si>
    <t xml:space="preserve">PL_ALC_AD_BAN</t>
  </si>
  <si>
    <t xml:space="preserve">I_PH_ALCOHOL_POLICY</t>
  </si>
  <si>
    <t xml:space="preserve">Alcohol advertising ban</t>
  </si>
  <si>
    <t xml:space="preserve">PL_SALT_REFORM</t>
  </si>
  <si>
    <t xml:space="preserve">I_PH_SALT_REFORM</t>
  </si>
  <si>
    <t xml:space="preserve">Mandatory product reformulation</t>
  </si>
  <si>
    <t xml:space="preserve">I_PH_SALT_POLICY</t>
  </si>
  <si>
    <t xml:space="preserve">PL_SALT_FOPL</t>
  </si>
  <si>
    <t xml:space="preserve">I_PH_SALT_FOPL</t>
  </si>
  <si>
    <t xml:space="preserve">Front-of-pack labelling</t>
  </si>
  <si>
    <t xml:space="preserve">PL_SALT_MEDIA</t>
  </si>
  <si>
    <t xml:space="preserve">I_PH_SALT_MEDIA</t>
  </si>
  <si>
    <t xml:space="preserve">Mass-media campaign</t>
  </si>
  <si>
    <t xml:space="preserve">PL_SALT_ENV</t>
  </si>
  <si>
    <t xml:space="preserve">I_PH_SALT_ENV</t>
  </si>
  <si>
    <t xml:space="preserve">Public food procurement and supportive institutions</t>
  </si>
  <si>
    <t xml:space="preserve">PL_TFA_REG</t>
  </si>
  <si>
    <t xml:space="preserve">I_PH_TFA_POLICY</t>
  </si>
  <si>
    <t xml:space="preserve">Best-practice industrial TFA regulation</t>
  </si>
  <si>
    <t xml:space="preserve">PL_SSB_PRICE</t>
  </si>
  <si>
    <t xml:space="preserve">I_PH_SSB_TAX</t>
  </si>
  <si>
    <t xml:space="preserve">Incremental retail-price increase</t>
  </si>
  <si>
    <t xml:space="preserve">relative price change vs baseline</t>
  </si>
  <si>
    <t xml:space="preserve">risk_exposure_measure</t>
  </si>
  <si>
    <t xml:space="preserve">exposure_unit</t>
  </si>
  <si>
    <t xml:space="preserve">reduction_method</t>
  </si>
  <si>
    <t xml:space="preserve">red_or_target</t>
  </si>
  <si>
    <t xml:space="preserve">exposure_floor</t>
  </si>
  <si>
    <t xml:space="preserve">absolute_reduction</t>
  </si>
  <si>
    <t xml:space="preserve">relative_reduction</t>
  </si>
  <si>
    <t xml:space="preserve">start_year</t>
  </si>
  <si>
    <t xml:space="preserve">target_year</t>
  </si>
  <si>
    <t xml:space="preserve">R_ALCOHOL</t>
  </si>
  <si>
    <t xml:space="preserve">Alcohol consumption per adult</t>
  </si>
  <si>
    <t xml:space="preserve">litres pure alcohol/adult/year</t>
  </si>
  <si>
    <t xml:space="preserve">relative</t>
  </si>
  <si>
    <t xml:space="preserve">Baseline retained</t>
  </si>
  <si>
    <t xml:space="preserve">R_SODIUM</t>
  </si>
  <si>
    <t xml:space="preserve">Mean sodium intake</t>
  </si>
  <si>
    <t xml:space="preserve">g sodium/day</t>
  </si>
  <si>
    <t xml:space="preserve">R_SSB</t>
  </si>
  <si>
    <t xml:space="preserve">Mean SSB intake</t>
  </si>
  <si>
    <t xml:space="preserve">8 oz servings/adult/day</t>
  </si>
  <si>
    <t xml:space="preserve">GDD 2020 mean</t>
  </si>
  <si>
    <t xml:space="preserve">R_TFA</t>
  </si>
  <si>
    <t xml:space="preserve">Mean industrial trans-fat intake</t>
  </si>
  <si>
    <t xml:space="preserve">% energy</t>
  </si>
  <si>
    <t xml:space="preserve">RR base case; PAF optional</t>
  </si>
  <si>
    <t xml:space="preserve">Smoking prevalence</t>
  </si>
  <si>
    <t xml:space="preserve">response_parameter</t>
  </si>
  <si>
    <t xml:space="preserve">valid</t>
  </si>
  <si>
    <t xml:space="preserve">RR current smoker vs non-smoker</t>
  </si>
  <si>
    <t xml:space="preserve">HR current vs never smoker; R uses sex-specific values</t>
  </si>
  <si>
    <t xml:space="preserve">cost_record_id</t>
  </si>
  <si>
    <t xml:space="preserve">cost_component_key</t>
  </si>
  <si>
    <t xml:space="preserve">cost_scope</t>
  </si>
  <si>
    <t xml:space="preserve">scenario_role</t>
  </si>
  <si>
    <t xml:space="preserve">cost_component</t>
  </si>
  <si>
    <t xml:space="preserve">population_in_need_measure</t>
  </si>
  <si>
    <t xml:space="preserve">population_in_need_fraction</t>
  </si>
  <si>
    <t xml:space="preserve">frequency_per_year</t>
  </si>
  <si>
    <t xml:space="preserve">unit_cost_usd</t>
  </si>
  <si>
    <t xml:space="preserve">cost_allocation_share</t>
  </si>
  <si>
    <t xml:space="preserve">package_total_cost_usd_per_capita</t>
  </si>
  <si>
    <t xml:space="preserve">allocation_method</t>
  </si>
  <si>
    <t xml:space="preserve">allocated_child_cost</t>
  </si>
  <si>
    <t xml:space="preserve">price_year</t>
  </si>
  <si>
    <t xml:space="preserve">indonesia_adjusted_flag</t>
  </si>
  <si>
    <t xml:space="preserve">source_country</t>
  </si>
  <si>
    <t xml:space="preserve">cost_ready</t>
  </si>
  <si>
    <t xml:space="preserve">notes</t>
  </si>
  <si>
    <t xml:space="preserve">COST_PH_TOB_TAX</t>
  </si>
  <si>
    <t xml:space="preserve">CC_PH_TOB_TAX</t>
  </si>
  <si>
    <t xml:space="preserve">shared-count-once</t>
  </si>
  <si>
    <t xml:space="preserve">Annual intersectoral policy implementation</t>
  </si>
  <si>
    <t xml:space="preserve">all</t>
  </si>
  <si>
    <t xml:space="preserve">direct source value</t>
  </si>
  <si>
    <t xml:space="preserve">China/proxy</t>
  </si>
  <si>
    <t xml:space="preserve">Review</t>
  </si>
  <si>
    <t xml:space="preserve">Requires Indonesia/price-year adjustment</t>
  </si>
  <si>
    <t xml:space="preserve">COST_PH_TOB_AD_BAN</t>
  </si>
  <si>
    <t xml:space="preserve">CC_PH_TOB_AD_BAN</t>
  </si>
  <si>
    <t xml:space="preserve">component-count-once</t>
  </si>
  <si>
    <t xml:space="preserve">equal within package</t>
  </si>
  <si>
    <t xml:space="preserve">COST_PH_TOB_CLEAN_AIR</t>
  </si>
  <si>
    <t xml:space="preserve">CC_PH_TOB_CLEAN_AIR</t>
  </si>
  <si>
    <t xml:space="preserve">COST_PH_TOB_MEDIA</t>
  </si>
  <si>
    <t xml:space="preserve">CC_PH_TOB_MEDIA</t>
  </si>
  <si>
    <t xml:space="preserve">scenario</t>
  </si>
  <si>
    <t xml:space="preserve">scenario_label</t>
  </si>
  <si>
    <t xml:space="preserve">cause</t>
  </si>
  <si>
    <t xml:space="preserve">cases</t>
  </si>
  <si>
    <t xml:space="preserve">cause_deaths</t>
  </si>
  <si>
    <t xml:space="preserve">base_cases</t>
  </si>
  <si>
    <t xml:space="preserve">base_deaths</t>
  </si>
  <si>
    <t xml:space="preserve">deaths_averted</t>
  </si>
  <si>
    <t xml:space="preserve">cases_averted</t>
  </si>
  <si>
    <t xml:space="preserve">Tobacco policy package</t>
  </si>
  <si>
    <t xml:space="preserve">cmd</t>
  </si>
  <si>
    <t xml:space="preserve">hhd</t>
  </si>
  <si>
    <t xml:space="preserve">rhd</t>
  </si>
  <si>
    <t xml:space="preserve">All selected public-health interventions (combined)</t>
  </si>
  <si>
    <t xml:space="preserve">pop_scenario</t>
  </si>
  <si>
    <t xml:space="preserve">pop_baseline</t>
  </si>
  <si>
    <t xml:space="preserve">cost_impl_frac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</si>
  <si>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</si>
  <si>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</si>
  <si>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</si>
  <si>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</si>
  <si>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</si>
  <si>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discount_factor</t>
  </si>
  <si>
    <t xml:space="preserve">disc_cost_baseline</t>
  </si>
  <si>
    <t xml:space="preserve">disc_cost_scenario</t>
  </si>
  <si>
    <t xml:space="preserve">disc_cost_incremental</t>
  </si>
  <si>
    <t xml:space="preserve">shared_duplicate_count</t>
  </si>
  <si>
    <t xml:space="preserve">national_population</t>
  </si>
  <si>
    <t xml:space="preserve">annual_cost_baseline_per_capita</t>
  </si>
  <si>
    <t xml:space="preserve">annual_cost_scenario_per_capita</t>
  </si>
  <si>
    <t xml:space="preserve">annual_cost_incremental_per_capita</t>
  </si>
  <si>
    <t xml:space="preserve">disc_cost_incremental_per_capita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</si>
  <si>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</si>
  <si>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</si>
  <si>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</si>
  <si>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</si>
  <si>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</si>
  <si>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</si>
  <si>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baseline_cost_per_capita</t>
  </si>
  <si>
    <t xml:space="preserve">scenario_cost_per_capita</t>
  </si>
  <si>
    <t xml:space="preserve">incremental_cost_per_capita</t>
  </si>
  <si>
    <t xml:space="preserve">disc_incremental_cost_per_capita</t>
  </si>
  <si>
    <t xml:space="preserve">cost_per_death_averted</t>
  </si>
  <si>
    <t xml:space="preserve">dominance</t>
  </si>
  <si>
    <t xml:space="preserve">reconciliation_status</t>
  </si>
  <si>
    <t xml:space="preserve">modeled_deaths</t>
  </si>
  <si>
    <t xml:space="preserve">baseline_deaths</t>
  </si>
  <si>
    <t xml:space="preserve">modeled_cases</t>
  </si>
  <si>
    <t xml:space="preserve">baseline_cases</t>
  </si>
  <si>
    <t xml:space="preserve">yll</t>
  </si>
  <si>
    <t xml:space="preserve">base_yll</t>
  </si>
  <si>
    <t xml:space="preserve">yll_averted</t>
  </si>
  <si>
    <t xml:space="preserve">yld</t>
  </si>
  <si>
    <t xml:space="preserve">base_yld</t>
  </si>
  <si>
    <t xml:space="preserve">yld_averted</t>
  </si>
  <si>
    <t xml:space="preserve">daly</t>
  </si>
  <si>
    <t xml:space="preserve">base_daly</t>
  </si>
  <si>
    <t xml:space="preserve">dalys_averted</t>
  </si>
  <si>
    <t xml:space="preserve">life_years_gained</t>
  </si>
  <si>
    <t xml:space="preserve">gni_pc_idn</t>
  </si>
  <si>
    <t xml:space="preserve">gni_pc_usa</t>
  </si>
  <si>
    <t xml:space="preserve">population</t>
  </si>
  <si>
    <t xml:space="preserve">le_avg_adult</t>
  </si>
  <si>
    <t xml:space="preserve">vsl_transfer_prefloor</t>
  </si>
  <si>
    <t xml:space="preserve">vsl_floor</t>
  </si>
  <si>
    <t xml:space="preserve">vsl_preferred</t>
  </si>
  <si>
    <t xml:space="preserve">vsl_over_gnipc</t>
  </si>
  <si>
    <t xml:space="preserve">vsl_gni100</t>
  </si>
  <si>
    <t xml:space="preserve">vsl_gni160</t>
  </si>
  <si>
    <t xml:space="preserve">vsly_preferred</t>
  </si>
  <si>
    <t xml:space="preserve">econ_value_vsl_undisc</t>
  </si>
  <si>
    <t xml:space="preserve">econ_value_vsly_undisc</t>
  </si>
  <si>
    <t xml:space="preserve">econ_value_vsl100_undisc</t>
  </si>
  <si>
    <t xml:space="preserve">econ_value_vsl160_undisc</t>
  </si>
  <si>
    <t xml:space="preserve">disc_factor</t>
  </si>
  <si>
    <t xml:space="preserve">pv_vsl_pref</t>
  </si>
  <si>
    <t xml:space="preserve">pv_vsly_pref</t>
  </si>
  <si>
    <t xml:space="preserve">pv_vsl100</t>
  </si>
  <si>
    <t xml:space="preserve">pv_vsl160</t>
  </si>
  <si>
    <t xml:space="preserve">total_national_gni</t>
  </si>
  <si>
    <t xml:space="preserve">pv_national_gni</t>
  </si>
  <si>
    <t xml:space="preserve">annual_benefit_share_gni</t>
  </si>
  <si>
    <t xml:space="preserve">intervention_family</t>
  </si>
  <si>
    <t xml:space="preserve">scenario_level</t>
  </si>
  <si>
    <t xml:space="preserve">valuation_method</t>
  </si>
  <si>
    <t xml:space="preserve">valuation_case</t>
  </si>
  <si>
    <t xml:space="preserve">pv_benefits</t>
  </si>
  <si>
    <t xml:space="preserve">pv_costs</t>
  </si>
  <si>
    <t xml:space="preserve">pv_net_benefit</t>
  </si>
  <si>
    <t xml:space="preserve">benefit_cost_ratio</t>
  </si>
  <si>
    <t xml:space="preserve">benefit_gni_share</t>
  </si>
  <si>
    <t xml:space="preserve">decision</t>
  </si>
  <si>
    <t xml:space="preserve">scope_note</t>
  </si>
  <si>
    <t xml:space="preserve">public_health</t>
  </si>
  <si>
    <t xml:space="preserve">package</t>
  </si>
  <si>
    <t xml:space="preserve">VSL</t>
  </si>
  <si>
    <t xml:space="preserve">preferred (elasticity 1.5, 20x floor)</t>
  </si>
  <si>
    <t xml:space="preserve">VSLY</t>
  </si>
  <si>
    <t xml:space="preserve">preferred (VSLY from preferred VSL)</t>
  </si>
  <si>
    <t xml:space="preserve">sensitivity: 100x GNI per capita</t>
  </si>
  <si>
    <t xml:space="preserve">sensitivity: 160x GNI per capita</t>
  </si>
  <si>
    <t xml:space="preserve">combined</t>
  </si>
  <si>
    <t xml:space="preserve"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</si>
  <si>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 xml:space="preserve">location</t>
  </si>
  <si>
    <t xml:space="preserve">htn_target_scenario</t>
  </si>
  <si>
    <t xml:space="preserve">age</t>
  </si>
  <si>
    <t xml:space="preserve">cvd_deaths</t>
  </si>
  <si>
    <t xml:space="preserve">m_x</t>
  </si>
  <si>
    <t xml:space="preserve">q_x</t>
  </si>
  <si>
    <t xml:space="preserve">l_x</t>
  </si>
  <si>
    <t xml:space="preserve">l_x_next</t>
  </si>
  <si>
    <t xml:space="preserve">htncov2_aspirational</t>
  </si>
  <si>
    <t xml:space="preserve">Baseline (no new intervention)</t>
  </si>
  <si>
    <t xml:space="preserve">cvd_40q30</t>
  </si>
  <si>
    <t xml:space="preserve">baseline_cvd_40q30</t>
  </si>
  <si>
    <t xml:space="preserve">absolute_reduction_pp</t>
  </si>
  <si>
    <t xml:space="preserve">percent_reduction</t>
  </si>
  <si>
    <t xml:space="preserve">cvd_40q30_r</t>
  </si>
  <si>
    <t xml:space="preserve">recon_status</t>
  </si>
  <si>
    <t xml:space="preserve">check</t>
  </si>
  <si>
    <t xml:space="preserve">expected</t>
  </si>
  <si>
    <t xml:space="preserve">actual</t>
  </si>
  <si>
    <t xml:space="preserve">status</t>
  </si>
  <si>
    <t xml:space="preserve">Selected intervention-cause key uniqueness</t>
  </si>
  <si>
    <t xml:space="preserve">0</t>
  </si>
  <si>
    <t xml:space="preserve">Each selected link key appears once</t>
  </si>
  <si>
    <t xml:space="preserve">Workbook FAIL-level issues</t>
  </si>
  <si>
    <t xml:space="preserve">Blocked links excluded (see Blocked_Links / Input_Diagnostic)</t>
  </si>
  <si>
    <t xml:space="preserve">Workbook REVIEW-level issues</t>
  </si>
  <si>
    <t xml:space="preserve">Flagged but usable (e.g. cost not Indonesia-adjusted; provisional PAF)</t>
  </si>
  <si>
    <t xml:space="preserve">Every scenario paired to baseline</t>
  </si>
  <si>
    <t xml:space="preserve">Deaths averted = baseline - scenario at matched year/cause</t>
  </si>
  <si>
    <t xml:space="preserve">Public-health transitions within allowed set (well-&gt;sick, sick-&gt;dead)</t>
  </si>
  <si>
    <t xml:space="preserve">PH effects map to well-&gt;sick incidence OR sick-&gt;dead case fatality; 12 case-fatality link(s) in this run; 0 outside the allowed set / no cross-pathway application. Inclusion is set by the workbook include_flag; links flagged 0 (e.g. the exploratory SSB-&gt;T2DM mortality link) stay excluded.</t>
  </si>
  <si>
    <t xml:space="preserve">No impossible negative states</t>
  </si>
  <si>
    <t xml:space="preserve">well/sick/new_cases/deaths/population &gt;= 0</t>
  </si>
  <si>
    <t xml:space="preserve">Stock/flow identity pop = well + sick + all-cause deaths</t>
  </si>
  <si>
    <t xml:space="preserve">&lt;= limit</t>
  </si>
  <si>
    <t xml:space="preserve">Per cause row; small residual from 95+ pooling / rounding</t>
  </si>
  <si>
    <t xml:space="preserve">Background mortality constant across cause</t>
  </si>
  <si>
    <t xml:space="preserve">1</t>
  </si>
  <si>
    <t xml:space="preserve">all.mx taken once per stratum (population not duplicated across causes)</t>
  </si>
  <si>
    <t xml:space="preserve">Cost reconciliation (components -&gt; budget impact)</t>
  </si>
  <si>
    <t xml:space="preserve">&lt;= tol</t>
  </si>
  <si>
    <t xml:space="preserve">Excel component rows sum to Excel annual totals within tolerance</t>
  </si>
  <si>
    <t xml:space="preserve">Shared cost counted once per stratum/year</t>
  </si>
  <si>
    <t xml:space="preserve">shared-count-once components appear once per scenario-year</t>
  </si>
  <si>
    <t xml:space="preserve">Annual reconciles to cumulative (budget impact)</t>
  </si>
  <si>
    <t xml:space="preserve">Last-year cumulative equals the sum of annual incremental cost</t>
  </si>
  <si>
    <t xml:space="preserve">CEA reconciliation (detail -&gt; summary)</t>
  </si>
  <si>
    <t xml:space="preserve">consistent</t>
  </si>
  <si>
    <t xml:space="preserve">Every Cost_Effectiveness row's internal reconciliation is consistent</t>
  </si>
  <si>
    <t xml:space="preserve">Excel vs R: deaths averted (anchor)</t>
  </si>
  <si>
    <t xml:space="preserve">match R</t>
  </si>
  <si>
    <t xml:space="preserve">Excel CEA deaths averted reconciles to the R engine value</t>
  </si>
  <si>
    <t xml:space="preserve">Excel vs R: discounted incremental cost (anchor)</t>
  </si>
  <si>
    <t xml:space="preserve">Excel CEA discounted incremental cost reconciles to the R engine value</t>
  </si>
  <si>
    <t xml:space="preserve">Excel vs R: cost per death averted (anchor)</t>
  </si>
  <si>
    <t xml:space="preserve">Excel CEA USD per death averted reconciles to the R engine value</t>
  </si>
  <si>
    <t xml:space="preserve">Tobacco package child count</t>
  </si>
  <si>
    <t xml:space="preserve">Scenario_Hierarchy: clean air, media, ad ban</t>
  </si>
  <si>
    <t xml:space="preserve">Salt package child count</t>
  </si>
  <si>
    <t xml:space="preserve">4</t>
  </si>
  <si>
    <t xml:space="preserve">Scenario_Hierarchy: reformulation, FOPL, media, institutions</t>
  </si>
  <si>
    <t xml:space="preserve">Child cost-allocation shares sum to 1 (per package)</t>
  </si>
  <si>
    <t xml:space="preserve">Cost_Components allocation shares sum to 1 within each package (M13/M14)</t>
  </si>
  <si>
    <t xml:space="preserve">Parent packages produced as joint runs</t>
  </si>
  <si>
    <t xml:space="preserve">&gt; 0</t>
  </si>
  <si>
    <t xml:space="preserve">Package cases/deaths come from a produced JOINT scenario, never summed from children</t>
  </si>
  <si>
    <t xml:space="preserve">VSL floor applied (preferred VSL &gt;= 20x GNI floor)</t>
  </si>
  <si>
    <t xml:space="preserve">No Economic_Value row has preferred VSL below the 20x GNI-per-capita floor</t>
  </si>
  <si>
    <t xml:space="preserve">Reference-case VSL parameters (elasticity 1.5, US ratio 160, 20x floor)</t>
  </si>
  <si>
    <t xml:space="preserve">as_specified</t>
  </si>
  <si>
    <t xml:space="preserve">Reference case = elasticity 1.5 transfer, 160x US ratio, 20x GNI floor (Robinson et al. 2019)</t>
  </si>
  <si>
    <t xml:space="preserve">Benefit and cost on the same price year (BCA basis)</t>
  </si>
  <si>
    <t xml:space="preserve">match</t>
  </si>
  <si>
    <t xml:space="preserve">bca_price_year equals the reporting price year, so benefits and costs share a real price basis</t>
  </si>
  <si>
    <t xml:space="preserve">Benefit_Cost scenarios all present in Health_Outcomes</t>
  </si>
  <si>
    <t xml:space="preserve">Every scenario x valuation-case row in Benefit_Cost has a matching Health_Outcomes scenario</t>
  </si>
  <si>
    <t xml:space="preserve">CVD 40q30 Excel vs R (all rows match)</t>
  </si>
  <si>
    <t xml:space="preserve">CVD_40q30 recon_status has no 'mismatch' (life-table formula reconciles to Model 07)</t>
  </si>
  <si>
    <t xml:space="preserve">scope</t>
  </si>
  <si>
    <t xml:space="preserve">item_key</t>
  </si>
  <si>
    <t xml:space="preserve">field</t>
  </si>
  <si>
    <t xml:space="preserve">problem</t>
  </si>
  <si>
    <t xml:space="preserve">severity</t>
  </si>
  <si>
    <t xml:space="preserve">ph_cost</t>
  </si>
  <si>
    <t xml:space="preserve">cost not Indonesia-adjusted (proxy/review estimate; kept but flagged)</t>
  </si>
  <si>
    <t xml:space="preserve">REVIEW</t>
  </si>
  <si>
    <t xml:space="preserve">cost price year != reporting price year (2023)</t>
  </si>
  <si>
    <t xml:space="preserve">method_id</t>
  </si>
  <si>
    <t xml:space="preserve">concept</t>
  </si>
  <si>
    <t xml:space="preserve">formula_or_rule</t>
  </si>
  <si>
    <t xml:space="preserve">M01</t>
  </si>
  <si>
    <t xml:space="preserve">Exposure target</t>
  </si>
  <si>
    <t xml:space="preserve">relative: max(floor, baseline*(1-reduction)); absolute: max(floor, baseline-reduction); level: max(floor, target)</t>
  </si>
  <si>
    <t xml:space="preserve">NCD Countdown supplement (Countdown_Methods sheet) + public-health input workbook</t>
  </si>
  <si>
    <t xml:space="preserve">M02</t>
  </si>
  <si>
    <t xml:space="preserve">pt(t) linear baseline-&gt;target over start_year..target_year, then held; floored at exposure_floor</t>
  </si>
  <si>
    <t xml:space="preserve">M03</t>
  </si>
  <si>
    <t xml:space="preserve">Regulatory score</t>
  </si>
  <si>
    <t xml:space="preserve">implementation score: none=0; partial=0.5; full=1</t>
  </si>
  <si>
    <t xml:space="preserve">M04</t>
  </si>
  <si>
    <t xml:space="preserve">Regulatory effect</t>
  </si>
  <si>
    <t xml:space="preserve">implementation_gap = max(0, target_score - baseline_score); regulatory reduction = full_component_effect * implementation_gap</t>
  </si>
  <si>
    <t xml:space="preserve">M05</t>
  </si>
  <si>
    <t xml:space="preserve">Price-change tax</t>
  </si>
  <si>
    <t xml:space="preserve">fiscal_tax_delta = max(0, target_tax - baseline_tax); reduction = abs(price_elasticity) * implied_price_change</t>
  </si>
  <si>
    <t xml:space="preserve">M06</t>
  </si>
  <si>
    <t xml:space="preserve">Tax-share tax</t>
  </si>
  <si>
    <t xml:space="preserve">tobacco excise share: implied_price_change = (1 - baseline_share)/(1 - target_share) - 1</t>
  </si>
  <si>
    <t xml:space="preserve">M07</t>
  </si>
  <si>
    <t xml:space="preserve">Prevalence-shift RR effect</t>
  </si>
  <si>
    <t xml:space="preserve">effect = 1 - (1 + pt*(RR-1)) / (1 + p0*(RR-1))   [tobacco smoking prevalence shift]</t>
  </si>
  <si>
    <t xml:space="preserve">M08</t>
  </si>
  <si>
    <t xml:space="preserve">Log-linear RR effect</t>
  </si>
  <si>
    <t xml:space="preserve">effect = 1 - 1/(RR^(p0-pt))   [alcohol, sodium, SSB, and DEFAULT industrial-TFA path: RR per 1 percentage-point energy, e.g. RR_TFA_IHD_1PCT=1.10 ~ sqrt(1.21)]</t>
  </si>
  <si>
    <t xml:space="preserve">M09</t>
  </si>
  <si>
    <t xml:space="preserve">TFA effect method (RR default / PAF optional)</t>
  </si>
  <si>
    <t xml:space="preserve">RR (default): log-linear RR per unit reduction, no PAF required. PAF (optional, tfa_effect_method=PAF): effect = optional_PAF * implementation_gap</t>
  </si>
  <si>
    <t xml:space="preserve">M10</t>
  </si>
  <si>
    <t xml:space="preserve">Effect lag</t>
  </si>
  <si>
    <t xml:space="preserve">immediate: effect tracks exposure path; delayed_exponential: full_effect * (1-(1-rate)^(years since start))</t>
  </si>
  <si>
    <t xml:space="preserve">M11</t>
  </si>
  <si>
    <t xml:space="preserve">Incidence application</t>
  </si>
  <si>
    <t xml:space="preserve">cause-specific incidence x (1 - effect_t); multiple policies combine multiplicatively on the surviving fraction</t>
  </si>
  <si>
    <t xml:space="preserve">M12</t>
  </si>
  <si>
    <t xml:space="preserve">Policy implementation fraction</t>
  </si>
  <si>
    <t xml:space="preserve">implementation_fraction(t) = min(max((t - policy_start_year + 1)/policy_cost_ramp_years, 0), 1)</t>
  </si>
  <si>
    <t xml:space="preserve">M13</t>
  </si>
  <si>
    <t xml:space="preserve">Annual policy cost</t>
  </si>
  <si>
    <t xml:space="preserve">annual_cost = population(t) * PIN_fraction * implementation_fraction(t) * frequency * unit_cost</t>
  </si>
  <si>
    <t xml:space="preserve">M14</t>
  </si>
  <si>
    <t xml:space="preserve">Shared cost</t>
  </si>
  <si>
    <t xml:space="preserve">shared-count-once costs counted once per intervention &amp; scenario-year, never once per affected cause</t>
  </si>
  <si>
    <t xml:space="preserve">M15</t>
  </si>
  <si>
    <t xml:space="preserve">Child cost allocation</t>
  </si>
  <si>
    <t xml:space="preserve">child cost = package_total_cost_per_capita * cost_allocation_share (shares sum to 1 within a package)</t>
  </si>
  <si>
    <t xml:space="preserve">M16</t>
  </si>
  <si>
    <t xml:space="preserve">Parent package cost</t>
  </si>
  <si>
    <t xml:space="preserve">parent package cost = sum of selected child costs; the parent_reference cost row (selected_for_base_case=0) is NOT charged</t>
  </si>
  <si>
    <t xml:space="preserve">M17</t>
  </si>
  <si>
    <t xml:space="preserve">Package health outcomes</t>
  </si>
  <si>
    <t xml:space="preserve">parent-package cases/deaths come from ONE joint scenario run with all children applied together; never sum standalone child outcomes</t>
  </si>
  <si>
    <t xml:space="preserve">M18</t>
  </si>
  <si>
    <t xml:space="preserve">Discounting</t>
  </si>
  <si>
    <t xml:space="preserve">discount_factor(t) = 1/(1+cost_discount_rate)^(t - analysis_start_year); costs discounted, deaths undiscounted</t>
  </si>
  <si>
    <t xml:space="preserve">M19</t>
  </si>
  <si>
    <t xml:space="preserve">USD per death (or case) averted = cumulative discounted incremental cost / cumulative averted; blank + 'no incremental health effect' when nothing averted</t>
  </si>
  <si>
    <t xml:space="preserve">M20</t>
  </si>
  <si>
    <t xml:space="preserve">Reference-Case VSL transfer</t>
  </si>
  <si>
    <t xml:space="preserve">Preferred VSL = MAX(vsl_us_gni_ratio*GNIpc_US*(GNIpc_IDN/GNIpc_US)^income_elasticity, vsl_floor_gni_multiple*GNIpc_IDN); standardized sensitivities VSL = 100x and 160x GNIpc.</t>
  </si>
  <si>
    <t xml:space="preserve">Robinson et al. 2019 Reference Case Guidelines for BCA in Global Health &amp; Development / Model 08</t>
  </si>
  <si>
    <t xml:space="preserve">M21</t>
  </si>
  <si>
    <t xml:space="preserve">Constant VSLY</t>
  </si>
  <si>
    <t xml:space="preserve">VSLY = preferred VSL / undiscounted remaining LE at the average working-age (vsly_adult_min_age..max_age) age; applied to Model 07 age-specific life-years gained.</t>
  </si>
  <si>
    <t xml:space="preserve">M22</t>
  </si>
  <si>
    <t xml:space="preserve">BCA discounting &amp; monetary basis</t>
  </si>
  <si>
    <t xml:space="preserve">Benefits and costs discounted to bca_base_year at bca_discount_rate_primary; VSL benefits are PPP int$; market-USD costs converted via cost_to_bca_currency_factor (never assumed 1).</t>
  </si>
  <si>
    <t xml:space="preserve">M23</t>
  </si>
  <si>
    <t xml:space="preserve">Benefit-cost ratio &amp; net benefit</t>
  </si>
  <si>
    <t xml:space="preserve">BCR = PV benefits / PV costs; net benefit = PV benefits - PV costs, on one base year/rate/price year/basis. PARTIAL mortality-benefit BCA, not cost-effectiveness.</t>
  </si>
  <si>
    <t xml:space="preserve">REF</t>
  </si>
  <si>
    <t xml:space="preserve">TFA source RR</t>
  </si>
  <si>
    <t xml:space="preserve">~RR 1.21 per 2 percentage-points energy (converted to ~1.10 per 1 pp in the workbook)</t>
  </si>
  <si>
    <t xml:space="preserve">https://www.ahajournals.org/doi/10.1161/CIRCULATIONAHA.118.038160</t>
  </si>
  <si>
    <t xml:space="preserve">supporting cohort evidence</t>
  </si>
  <si>
    <t xml:space="preserve">https://www.ahajournals.org/doi/10.1161/JAHA.115.002891</t>
  </si>
  <si>
    <t xml:space="preserve">M24</t>
  </si>
  <si>
    <t xml:space="preserve">CVD 40q30 (period life table)</t>
  </si>
  <si>
    <t xml:space="preserve">Period CVD 40q30 over the six CVD causes (ihd, istroke, hstroke, hhd, rhd, cmd), exact ages 30-69: sexes combined before the rate, m_x=(D_F+D_M)/(N_F+N_M), q_x=1-EXP(-m_x), l_30=1, l_{x+1}=l_x(1-q_x), 40q30=100*(1-l_70/l_30). CVD_40q30_Age carries the live life-table formulas; CVD_40q30 gives the metric, shared-baseline pairing, absolute (pp) and relative (%) reduction, reconciled to Model 07. cvd_40q30 is a PERCENT on 0-100 (format 0.000, not Excel %); population de-duplicated across causes.</t>
  </si>
  <si>
    <t xml:space="preserve">Model 07 (07_cvd_40q30.rds) / Model 09</t>
  </si>
  <si>
    <t xml:space="preserve">output_sheet</t>
  </si>
  <si>
    <t xml:space="preserve">formula_columns</t>
  </si>
  <si>
    <t xml:space="preserve">depends_on</t>
  </si>
  <si>
    <t xml:space="preserve">calculation</t>
  </si>
  <si>
    <t xml:space="preserve">Policy_Levers</t>
  </si>
  <si>
    <t xml:space="preserve">implementation_gap,implied_price_change,fiscal_tax_delta,policy_reduction</t>
  </si>
  <si>
    <t xml:space="preserve">lever_method + fiscal/regulatory inputs</t>
  </si>
  <si>
    <t xml:space="preserve">Regulatory gap, tax price change/delta, reproduced relative exposure reduction</t>
  </si>
  <si>
    <t xml:space="preserve">Selected_Interventions</t>
  </si>
  <si>
    <t xml:space="preserve">full_effect,reductions,key_count,status</t>
  </si>
  <si>
    <t xml:space="preserve">effect_model + exposures</t>
  </si>
  <si>
    <t xml:space="preserve">Full effect at target; exposure reductions; key uniqueness</t>
  </si>
  <si>
    <t xml:space="preserve">Exposure_Targets</t>
  </si>
  <si>
    <t xml:space="preserve">target,abs,rel</t>
  </si>
  <si>
    <t xml:space="preserve">baseline/method/reduction</t>
  </si>
  <si>
    <t xml:space="preserve">Exposure target and absolute/relative reductions</t>
  </si>
  <si>
    <t xml:space="preserve">Effect_Parameters</t>
  </si>
  <si>
    <t xml:space="preserve">full_effect</t>
  </si>
  <si>
    <t xml:space="preserve">Full effect at target</t>
  </si>
  <si>
    <t xml:space="preserve">Cost_Components</t>
  </si>
  <si>
    <t xml:space="preserve">allocated_child_cost,cost_ready</t>
  </si>
  <si>
    <t xml:space="preserve">cost inputs + allocation shares</t>
  </si>
  <si>
    <t xml:space="preserve">Child cost = package total x share; cost-readiness rule</t>
  </si>
  <si>
    <t xml:space="preserve">Annual_Mortality</t>
  </si>
  <si>
    <t xml:space="preserve">deaths_averted,cases_averted</t>
  </si>
  <si>
    <t xml:space="preserve">R deaths/cases</t>
  </si>
  <si>
    <t xml:space="preserve">Deaths and cases averted</t>
  </si>
  <si>
    <t xml:space="preserve">Health_Outcomes</t>
  </si>
  <si>
    <t xml:space="preserve">F,I,L,O,R,S (averted health)</t>
  </si>
  <si>
    <t xml:space="preserve">Model 07 modeled/baseline health</t>
  </si>
  <si>
    <t xml:space="preserve">Deaths/cases/YLL/YLD/DALY averted and life-years gained (baseline - intervention)</t>
  </si>
  <si>
    <t xml:space="preserve">Annual_Cost</t>
  </si>
  <si>
    <t xml:space="preserve">impl_frac,PIN,annual+disc cost,shared QA</t>
  </si>
  <si>
    <t xml:space="preserve">Cost_Components; Calculation_Assumptions; R population</t>
  </si>
  <si>
    <t xml:space="preserve">Implementation fraction, PIN, annual/discounted cost, shared-cost QA</t>
  </si>
  <si>
    <t xml:space="preserve">Budget_Impact</t>
  </si>
  <si>
    <t xml:space="preserve">incremental+cumulative cost</t>
  </si>
  <si>
    <t xml:space="preserve">Annual and cumulative cost by scenario</t>
  </si>
  <si>
    <t xml:space="preserve">Cost_Effectiveness</t>
  </si>
  <si>
    <t xml:space="preserve">health,cost,ICER,dominance,reconciliation</t>
  </si>
  <si>
    <t xml:space="preserve">Annual_Mortality; Budget_Impact; Calculation_Assumptions</t>
  </si>
  <si>
    <t xml:space="preserve">Cumulative health, cost, cost/death, dominance, reconciliation</t>
  </si>
  <si>
    <t xml:space="preserve">Economic_Value</t>
  </si>
  <si>
    <t xml:space="preserve">J:AB (VSL/VSLY/PV benefits)</t>
  </si>
  <si>
    <t xml:space="preserve">Model 08 source; Calculation_Assumptions BCA controls</t>
  </si>
  <si>
    <t xml:space="preserve">Reference-Case VSL (elast 1.5 + 20x floor) &amp; 100x/160x, VSLY, undisc &amp; PV benefits, GNI shares</t>
  </si>
  <si>
    <t xml:space="preserve">Benefit_Cost</t>
  </si>
  <si>
    <t xml:space="preserve">G:M (PV benefits/costs, net, BCR)</t>
  </si>
  <si>
    <t xml:space="preserve">Economic_Value PV benefits; Budget_Impact costs; Calculation_Assumptions</t>
  </si>
  <si>
    <t xml:space="preserve">PV benefits, PV costs (to PPP int$), net benefit, BCR, benefit/GNI, decision (partial BCA)</t>
  </si>
  <si>
    <t xml:space="preserve">Child_Intervention_Summary</t>
  </si>
  <si>
    <t xml:space="preserve">modeled/baseline/averted,cost,ICER</t>
  </si>
  <si>
    <t xml:space="preserve">Annual_Mortality; Budget_Impact (standalone scenarios)</t>
  </si>
  <si>
    <t xml:space="preserve">Per child intervention: health, cost, cost per case/death averted, status</t>
  </si>
  <si>
    <t xml:space="preserve">Parent_Package_Summary</t>
  </si>
  <si>
    <t xml:space="preserve">Annual_Mortality; Budget_Impact (JOINT package/combined runs)</t>
  </si>
  <si>
    <t xml:space="preserve">Per parent package (joint run) + combined: health, cost, cost per case/death averted</t>
  </si>
  <si>
    <t xml:space="preserve">QA_Checks</t>
  </si>
  <si>
    <t xml:space="preserve">actual,status</t>
  </si>
  <si>
    <t xml:space="preserve">calculation + diagnostic sheets</t>
  </si>
  <si>
    <t xml:space="preserve">Invariant recomputation and Excel-vs-R reconciliation</t>
  </si>
  <si>
    <t xml:space="preserve">Run_Metadata</t>
  </si>
  <si>
    <t xml:space="preserve">B (subset)</t>
  </si>
  <si>
    <t xml:space="preserve">Calculation_Assumptions</t>
  </si>
  <si>
    <t xml:space="preserve">Metadata pulled from controls</t>
  </si>
  <si>
    <t xml:space="preserve">CVD_40q30_Age</t>
  </si>
  <si>
    <t xml:space="preserve">J:M (m_x,q_x,l_x,l_x+1)</t>
  </si>
  <si>
    <t xml:space="preserve">CVD deaths + de-duplicated population (grey H:I)</t>
  </si>
  <si>
    <t xml:space="preserve">Period life table: m_x=deaths/pop, q_x=1-EXP(-m_x), recursive l_x/l_{x+1} (ages 30-69)</t>
  </si>
  <si>
    <t xml:space="preserve">CVD_40q30</t>
  </si>
  <si>
    <t xml:space="preserve">I,J,K,L,N</t>
  </si>
  <si>
    <t xml:space="preserve">CVD_40q30_Age life table; baseline SUMIFS; R anchor (M)</t>
  </si>
  <si>
    <t xml:space="preserve">CVD 40q30 = 100*(1-l_70/l_30); baseline-paired absolute (pp) &amp; relative (%) reduction; R reconciliation</t>
  </si>
  <si>
    <t xml:space="preserve">parent_scenario_id</t>
  </si>
  <si>
    <t xml:space="preserve">parent_scenario_name</t>
  </si>
  <si>
    <t xml:space="preserve">package_group</t>
  </si>
  <si>
    <t xml:space="preserve">include_in_parent_scenario</t>
  </si>
  <si>
    <t xml:space="preserve">standalone_scenario_id</t>
  </si>
  <si>
    <t xml:space="preserve">parent_aggregation_rule</t>
  </si>
  <si>
    <t xml:space="preserve">outcome_reporting_rule</t>
  </si>
  <si>
    <t xml:space="preserve">cost_reporting_rule</t>
  </si>
  <si>
    <t xml:space="preserve">component_order</t>
  </si>
  <si>
    <t xml:space="preserve">source_note</t>
  </si>
  <si>
    <t xml:space="preserve">is_runnable</t>
  </si>
  <si>
    <t xml:space="preserve">is_parent_package</t>
  </si>
  <si>
    <t xml:space="preserve">Tobacco</t>
  </si>
  <si>
    <t xml:space="preserve">single intervention</t>
  </si>
  <si>
    <t xml:space="preserve">report intervention</t>
  </si>
  <si>
    <t xml:space="preserve">report intervention cost</t>
  </si>
  <si>
    <t xml:space="preserve">Fiscal</t>
  </si>
  <si>
    <t xml:space="preserve">Alcohol tax</t>
  </si>
  <si>
    <t xml:space="preserve">Alcohol</t>
  </si>
  <si>
    <t xml:space="preserve">run children jointly</t>
  </si>
  <si>
    <t xml:space="preserve">report child and parent</t>
  </si>
  <si>
    <t xml:space="preserve">sum child costs; rerun health jointly</t>
  </si>
  <si>
    <t xml:space="preserve">MPOWER</t>
  </si>
  <si>
    <t xml:space="preserve">Alcohol advertising policy</t>
  </si>
  <si>
    <t xml:space="preserve">Alcohol policy</t>
  </si>
  <si>
    <t xml:space="preserve">Salt policy package</t>
  </si>
  <si>
    <t xml:space="preserve">Mandatory sodium reformulation</t>
  </si>
  <si>
    <t xml:space="preserve">Diet</t>
  </si>
  <si>
    <t xml:space="preserve">SHAKE</t>
  </si>
  <si>
    <t xml:space="preserve">Sodium front-of-pack labelling</t>
  </si>
  <si>
    <t xml:space="preserve">Sodium mass-media campaign</t>
  </si>
  <si>
    <t xml:space="preserve">Supportive public-institution environment</t>
  </si>
  <si>
    <t xml:space="preserve">Industrial TFA regulation</t>
  </si>
  <si>
    <t xml:space="preserve">Industrial trans-fat elimination regulation</t>
  </si>
  <si>
    <t xml:space="preserve">REPLACE</t>
  </si>
  <si>
    <t xml:space="preserve">SSB tax</t>
  </si>
  <si>
    <t xml:space="preserve">Sugar-sweetened beverage tax</t>
  </si>
  <si>
    <t xml:space="preserve">response_key</t>
  </si>
  <si>
    <t xml:space="preserve">selection_status</t>
  </si>
  <si>
    <t xml:space="preserve">response_name</t>
  </si>
  <si>
    <t xml:space="preserve">age_start</t>
  </si>
  <si>
    <t xml:space="preserve">age_stop</t>
  </si>
  <si>
    <t xml:space="preserve">sex</t>
  </si>
  <si>
    <t xml:space="preserve">cause_scope</t>
  </si>
  <si>
    <t xml:space="preserve">source_effect_value</t>
  </si>
  <si>
    <t xml:space="preserve">source_effect_unit</t>
  </si>
  <si>
    <t xml:space="preserve">model_response_value</t>
  </si>
  <si>
    <t xml:space="preserve">model_response_unit</t>
  </si>
  <si>
    <t xml:space="preserve">derivation</t>
  </si>
  <si>
    <t xml:space="preserve">selected_for_base_case</t>
  </si>
  <si>
    <t xml:space="preserve">RR_SMOKING_IHD</t>
  </si>
  <si>
    <t xml:space="preserve">Selected</t>
  </si>
  <si>
    <t xml:space="preserve">Current smoking RR - IHD</t>
  </si>
  <si>
    <t xml:space="preserve">Both</t>
  </si>
  <si>
    <t xml:space="preserve">IHD</t>
  </si>
  <si>
    <t xml:space="preserve">RR current vs non-smoker</t>
  </si>
  <si>
    <t xml:space="preserve">model RR = source RR</t>
  </si>
  <si>
    <t xml:space="preserve">https://doi.org/10.1093/ije/dyi104</t>
  </si>
  <si>
    <t xml:space="preserve">Applied to incidence</t>
  </si>
  <si>
    <t xml:space="preserve">RR_SMOKING_IS</t>
  </si>
  <si>
    <t xml:space="preserve">Current smoking RR - ischemic stroke</t>
  </si>
  <si>
    <t xml:space="preserve">Ischemic stroke</t>
  </si>
  <si>
    <t xml:space="preserve">Direct estimate</t>
  </si>
  <si>
    <t xml:space="preserve">RR_SMOKING_ICH</t>
  </si>
  <si>
    <t xml:space="preserve">Current smoking RR - ICH</t>
  </si>
  <si>
    <t xml:space="preserve">ICH</t>
  </si>
  <si>
    <t xml:space="preserve">Hemorrhagic-stroke estimate</t>
  </si>
  <si>
    <t xml:space="preserve">RR_SMOKING_T2DM</t>
  </si>
  <si>
    <t xml:space="preserve">Current smoking RR - T2DM</t>
  </si>
  <si>
    <t xml:space="preserve">T2DM</t>
  </si>
  <si>
    <t xml:space="preserve">https://doi.org/10.1016/S2213-8587(15)00316-2</t>
  </si>
  <si>
    <t xml:space="preserve">Timing sensitivity</t>
  </si>
  <si>
    <t xml:space="preserve">RR_ALCOHOL_IHD_1L</t>
  </si>
  <si>
    <t xml:space="preserve">Alcohol dose response - IHD</t>
  </si>
  <si>
    <t xml:space="preserve">HR per 100 g/week</t>
  </si>
  <si>
    <t xml:space="preserve">RR per 1 L/year</t>
  </si>
  <si>
    <t xml:space="preserve">converted using 789 g/L and 52 weeks/year</t>
  </si>
  <si>
    <t xml:space="preserve">https://doi.org/10.1016/S0140-6736(18)30134-X</t>
  </si>
  <si>
    <t xml:space="preserve">Conservative proxy</t>
  </si>
  <si>
    <t xml:space="preserve">RR_ALCOHOL_IS_1L</t>
  </si>
  <si>
    <t xml:space="preserve">Alcohol dose response - ischemic stroke</t>
  </si>
  <si>
    <t xml:space="preserve">All-stroke proxy</t>
  </si>
  <si>
    <t xml:space="preserve">RR_ALCOHOL_ICH_1L</t>
  </si>
  <si>
    <t xml:space="preserve">Alcohol dose response - ICH</t>
  </si>
  <si>
    <t xml:space="preserve">RR_ALCOHOL_HHD_1L</t>
  </si>
  <si>
    <t xml:space="preserve">Alcohol dose response - HHD</t>
  </si>
  <si>
    <t xml:space="preserve">C_HHD</t>
  </si>
  <si>
    <t xml:space="preserve">HHD</t>
  </si>
  <si>
    <t xml:space="preserve">Fatal hypertensive disease</t>
  </si>
  <si>
    <t xml:space="preserve">RR_ALCOHOL_CMYO_1L</t>
  </si>
  <si>
    <t xml:space="preserve">Alcohol dose response - cardiomyopathy</t>
  </si>
  <si>
    <t xml:space="preserve">C_CMYO</t>
  </si>
  <si>
    <t xml:space="preserve">Cardiomyopathy</t>
  </si>
  <si>
    <t xml:space="preserve">Heart-failure proxy</t>
  </si>
  <si>
    <t xml:space="preserve">LAG_TOB_CVD</t>
  </si>
  <si>
    <t xml:space="preserve">Sensitivity</t>
  </si>
  <si>
    <t xml:space="preserve">Normalized exponential tobacco-CVD lag</t>
  </si>
  <si>
    <t xml:space="preserve">C_IHD|C_IS|C_ICH</t>
  </si>
  <si>
    <t xml:space="preserve">CVD</t>
  </si>
  <si>
    <t xml:space="preserve">annual fraction</t>
  </si>
  <si>
    <t xml:space="preserve">normalized to 100% at year 10</t>
  </si>
  <si>
    <t xml:space="preserve">User-specified; Cho et al. 2024 timing sensitivity</t>
  </si>
  <si>
    <t xml:space="preserve">Sensitivity only; base case is jha_piecewise_shared_scalar</t>
  </si>
  <si>
    <t xml:space="preserve">LAG_TOB_T2DM_PROXY</t>
  </si>
  <si>
    <t xml:space="preserve">Tobacco-T2DM effect realization</t>
  </si>
  <si>
    <t xml:space="preserve">proxy fraction by year 10</t>
  </si>
  <si>
    <t xml:space="preserve">annual remaining effect</t>
  </si>
  <si>
    <t xml:space="preserve">uses CVD lag</t>
  </si>
  <si>
    <t xml:space="preserve">Pan 2015; Watkins 2022</t>
  </si>
  <si>
    <t xml:space="preserve">RR_SODIUM_1G</t>
  </si>
  <si>
    <t xml:space="preserve">Direct sodium-CVD response</t>
  </si>
  <si>
    <t xml:space="preserve">C_IHD|C_IS|C_ICH|C_HHD</t>
  </si>
  <si>
    <t xml:space="preserve">RR per 1 g sodium/day</t>
  </si>
  <si>
    <t xml:space="preserve">Watkins 2022 p 33</t>
  </si>
  <si>
    <t xml:space="preserve">Countdown pathway</t>
  </si>
  <si>
    <t xml:space="preserve">RR_TFA_IHD_1PCT</t>
  </si>
  <si>
    <t xml:space="preserve">Industrial TFA RR - total IHD</t>
  </si>
  <si>
    <t xml:space="preserve">RR per 2 percentage-points energy/day</t>
  </si>
  <si>
    <t xml:space="preserve">RR per 1 percentage-point energy/day</t>
  </si>
  <si>
    <t xml:space="preserve">sqrt(source RR) under log-linearity</t>
  </si>
  <si>
    <t xml:space="preserve">https://www.ahajournals.org/doi/10.1161/CIRCULATIONAHA.118.038160; https://www.ahajournals.org/doi/10.1161/JAHA.115.002891</t>
  </si>
  <si>
    <t xml:space="preserve">sqrt(1.21)=1.10 approximately</t>
  </si>
  <si>
    <t xml:space="preserve">PAF_TFA_IHD_OPTIONAL</t>
  </si>
  <si>
    <t xml:space="preserve">Optional</t>
  </si>
  <si>
    <t xml:space="preserve">Optional TFA-attributable IHD fraction</t>
  </si>
  <si>
    <t xml:space="preserve">links to Assumptions</t>
  </si>
  <si>
    <t xml:space="preserve">Optional user input</t>
  </si>
  <si>
    <t xml:space="preserve">Used only in PAF mode</t>
  </si>
  <si>
    <t xml:space="preserve">TFA_SCORE_0</t>
  </si>
  <si>
    <t xml:space="preserve">Reference</t>
  </si>
  <si>
    <t xml:space="preserve">Legacy WHO score 0</t>
  </si>
  <si>
    <t xml:space="preserve">TFA-attributable IHD</t>
  </si>
  <si>
    <t xml:space="preserve">proportion reduced</t>
  </si>
  <si>
    <t xml:space="preserve">legacy only</t>
  </si>
  <si>
    <t xml:space="preserve">Watkins 2022 pp 33-34</t>
  </si>
  <si>
    <t xml:space="preserve">Not used by default</t>
  </si>
  <si>
    <t xml:space="preserve">TFA_SCORE_1</t>
  </si>
  <si>
    <t xml:space="preserve">Legacy WHO score 1</t>
  </si>
  <si>
    <t xml:space="preserve">TFA_SCORE_2</t>
  </si>
  <si>
    <t xml:space="preserve">Legacy WHO score 2</t>
  </si>
  <si>
    <t xml:space="preserve">TFA_SCORE_3</t>
  </si>
  <si>
    <t xml:space="preserve">Legacy WHO score 3</t>
  </si>
  <si>
    <t xml:space="preserve">TFA_SCORE_4</t>
  </si>
  <si>
    <t xml:space="preserve">Legacy WHO score 4</t>
  </si>
  <si>
    <t xml:space="preserve">RR_SSB_IHD_1SERV</t>
  </si>
  <si>
    <t xml:space="preserve">SSB direct RR - IHD</t>
  </si>
  <si>
    <t xml:space="preserve">RR per serving/day</t>
  </si>
  <si>
    <t xml:space="preserve">direct RR</t>
  </si>
  <si>
    <t xml:space="preserve">https://doi.org/10.1038/s41591-024-03345-4</t>
  </si>
  <si>
    <t xml:space="preserve">Primary</t>
  </si>
  <si>
    <t xml:space="preserve">RR_SSB_IS_1SERV</t>
  </si>
  <si>
    <t xml:space="preserve">SSB direct RR - ischemic stroke</t>
  </si>
  <si>
    <t xml:space="preserve">RR_SSB_ICH_1SERV_PROXY</t>
  </si>
  <si>
    <t xml:space="preserve">SSB RR - ICH proxy</t>
  </si>
  <si>
    <t xml:space="preserve">HR per 250 mL/day</t>
  </si>
  <si>
    <t xml:space="preserve">total-stroke proxy</t>
  </si>
  <si>
    <t xml:space="preserve">https://doi.org/10.1016/j.advnut.2022.12.002</t>
  </si>
  <si>
    <t xml:space="preserve">RR_SSB_HHD_1SERV_PROXY</t>
  </si>
  <si>
    <t xml:space="preserve">SSB RR - HHD proxy</t>
  </si>
  <si>
    <t xml:space="preserve">RR per 250 mL/day</t>
  </si>
  <si>
    <t xml:space="preserve">hypertension proxy</t>
  </si>
  <si>
    <t xml:space="preserve">https://doi.org/10.1007/s10654-020-00655-y</t>
  </si>
  <si>
    <t xml:space="preserve">RR_SSB_T2DM_1SERV</t>
  </si>
  <si>
    <t xml:space="preserve">SSB direct RR - T2DM</t>
  </si>
  <si>
    <t xml:space="preserve">PAF_SSB_IDN_T2DM_INC_2020</t>
  </si>
  <si>
    <t xml:space="preserve">Indonesia T2DM incidence PAF</t>
  </si>
  <si>
    <t xml:space="preserve">T2DM incidence</t>
  </si>
  <si>
    <t xml:space="preserve">fraction</t>
  </si>
  <si>
    <t xml:space="preserve">CRA</t>
  </si>
  <si>
    <t xml:space="preserve">Validation</t>
  </si>
  <si>
    <t xml:space="preserve">PAF_SSB_IDN_CVD_INC_2020</t>
  </si>
  <si>
    <t xml:space="preserve">Indonesia CVD incidence PAF</t>
  </si>
  <si>
    <t xml:space="preserve">C_IHD|C_IS</t>
  </si>
  <si>
    <t xml:space="preserve">CVD incidence</t>
  </si>
  <si>
    <t xml:space="preserve">PAF_SSB_IDN_T2DM_DEATH_2020</t>
  </si>
  <si>
    <t xml:space="preserve">Indonesia T2DM death PAF</t>
  </si>
  <si>
    <t xml:space="preserve">T2DM deaths</t>
  </si>
  <si>
    <t xml:space="preserve">PAF_SSB_IDN_CVD_DEATH_2020</t>
  </si>
  <si>
    <t xml:space="preserve">Indonesia CVD death PAF</t>
  </si>
  <si>
    <t xml:space="preserve">CVD deaths</t>
  </si>
  <si>
    <t xml:space="preserve">HR_SMOKING_VASC_MORT_MALE</t>
  </si>
  <si>
    <t xml:space="preserve">Current smoking HR - vascular mortality, male</t>
  </si>
  <si>
    <t xml:space="preserve">Male</t>
  </si>
  <si>
    <t xml:space="preserve">Vascular mortality</t>
  </si>
  <si>
    <t xml:space="preserve">HR current vs never smoker</t>
  </si>
  <si>
    <t xml:space="preserve">model HR = source HR</t>
  </si>
  <si>
    <t xml:space="preserve">https://doi.org/10.1056/EVIDoa2300272</t>
  </si>
  <si>
    <t xml:space="preserve">Sex-specific value for sick-to-dead proxy pathway</t>
  </si>
  <si>
    <t xml:space="preserve">HR_SMOKING_VASC_MORT_FEMALE</t>
  </si>
  <si>
    <t xml:space="preserve">Current smoking HR - vascular mortality, female</t>
  </si>
  <si>
    <t xml:space="preserve">Female</t>
  </si>
  <si>
    <t xml:space="preserve">HR_SMOKING_VASC_MORT_POOLED</t>
  </si>
  <si>
    <t xml:space="preserve">Current smoking HR - vascular mortality, pooled</t>
  </si>
  <si>
    <t xml:space="preserve">mean of male and female HRs</t>
  </si>
  <si>
    <t xml:space="preserve">Backward-compatible response_value; R should use sex-specific values</t>
  </si>
  <si>
    <t xml:space="preserve">SCALAR_JHA_M_20_39_LT3</t>
  </si>
  <si>
    <t xml:space="preserve">Jha shared tobacco-CVD scalar: Male, 20-39, &lt;3 years</t>
  </si>
  <si>
    <t xml:space="preserve">Shared timing scalar; cessation &lt;3 years</t>
  </si>
  <si>
    <t xml:space="preserve">ERD proportion</t>
  </si>
  <si>
    <t xml:space="preserve">fraction of 10+ year effect</t>
  </si>
  <si>
    <t xml:space="preserve">min(1, ERD_duration / ERD_10plus)</t>
  </si>
  <si>
    <t xml:space="preserve">Applied to annual quitting cohorts for incidence and sick-to-dead</t>
  </si>
  <si>
    <t xml:space="preserve">SCALAR_JHA_M_20_39_Y3_9</t>
  </si>
  <si>
    <t xml:space="preserve">Jha shared tobacco-CVD scalar: Male, 20-39, 3-9 years</t>
  </si>
  <si>
    <t xml:space="preserve">Shared timing scalar; cessation 3-9 years</t>
  </si>
  <si>
    <t xml:space="preserve">SCALAR_JHA_M_20_39_GE10</t>
  </si>
  <si>
    <t xml:space="preserve">Jha shared tobacco-CVD scalar: Male, 20-39, 10+ years</t>
  </si>
  <si>
    <t xml:space="preserve">Shared timing scalar; cessation 10+ years</t>
  </si>
  <si>
    <t xml:space="preserve">SCALAR_JHA_M_40_49_LT3</t>
  </si>
  <si>
    <t xml:space="preserve">Jha shared tobacco-CVD scalar: Male, 40-49, &lt;3 years</t>
  </si>
  <si>
    <t xml:space="preserve">SCALAR_JHA_M_40_49_Y3_9</t>
  </si>
  <si>
    <t xml:space="preserve">Jha shared tobacco-CVD scalar: Male, 40-49, 3-9 years</t>
  </si>
  <si>
    <t xml:space="preserve">SCALAR_JHA_M_40_49_GE10</t>
  </si>
  <si>
    <t xml:space="preserve">Jha shared tobacco-CVD scalar: Male, 40-49, 10+ years</t>
  </si>
  <si>
    <t xml:space="preserve">SCALAR_JHA_M_50_59_LT3</t>
  </si>
  <si>
    <t xml:space="preserve">Jha shared tobacco-CVD scalar: Male, 50-59, &lt;3 years</t>
  </si>
  <si>
    <t xml:space="preserve">SCALAR_JHA_M_50_59_Y3_9</t>
  </si>
  <si>
    <t xml:space="preserve">Jha shared tobacco-CVD scalar: Male, 50-59, 3-9 years</t>
  </si>
  <si>
    <t xml:space="preserve">SCALAR_JHA_M_50_59_GE10</t>
  </si>
  <si>
    <t xml:space="preserve">Jha shared tobacco-CVD scalar: Male, 50-59, 10+ years</t>
  </si>
  <si>
    <t xml:space="preserve">SCALAR_JHA_M_60_79_LT3</t>
  </si>
  <si>
    <t xml:space="preserve">Jha shared tobacco-CVD scalar: Male, 60-79, &lt;3 years</t>
  </si>
  <si>
    <t xml:space="preserve">SCALAR_JHA_M_60_79_Y3_9</t>
  </si>
  <si>
    <t xml:space="preserve">Jha shared tobacco-CVD scalar: Male, 60-79, 3-9 years</t>
  </si>
  <si>
    <t xml:space="preserve">SCALAR_JHA_M_60_79_GE10</t>
  </si>
  <si>
    <t xml:space="preserve">Jha shared tobacco-CVD scalar: Male, 60-79, 10+ years</t>
  </si>
  <si>
    <t xml:space="preserve">SCALAR_JHA_M_80_95_LT3</t>
  </si>
  <si>
    <t xml:space="preserve">Jha shared tobacco-CVD scalar: Male, 80-95, &lt;3 years</t>
  </si>
  <si>
    <t xml:space="preserve">Age 80+ conservatively uses the 60-79 scalar</t>
  </si>
  <si>
    <t xml:space="preserve">SCALAR_JHA_M_80_95_Y3_9</t>
  </si>
  <si>
    <t xml:space="preserve">Jha shared tobacco-CVD scalar: Male, 80-95, 3-9 years</t>
  </si>
  <si>
    <t xml:space="preserve">SCALAR_JHA_M_80_95_GE10</t>
  </si>
  <si>
    <t xml:space="preserve">Jha shared tobacco-CVD scalar: Male, 80-95, 10+ years</t>
  </si>
  <si>
    <t xml:space="preserve">SCALAR_JHA_F_20_39_LT3</t>
  </si>
  <si>
    <t xml:space="preserve">Jha shared tobacco-CVD scalar: Female, 20-39, &lt;3 years</t>
  </si>
  <si>
    <t xml:space="preserve">SCALAR_JHA_F_20_39_Y3_9</t>
  </si>
  <si>
    <t xml:space="preserve">Jha shared tobacco-CVD scalar: Female, 20-39, 3-9 years</t>
  </si>
  <si>
    <t xml:space="preserve">SCALAR_JHA_F_20_39_GE10</t>
  </si>
  <si>
    <t xml:space="preserve">Jha shared tobacco-CVD scalar: Female, 20-39, 10+ years</t>
  </si>
  <si>
    <t xml:space="preserve">SCALAR_JHA_F_40_49_LT3</t>
  </si>
  <si>
    <t xml:space="preserve">Jha shared tobacco-CVD scalar: Female, 40-49, &lt;3 years</t>
  </si>
  <si>
    <t xml:space="preserve">SCALAR_JHA_F_40_49_Y3_9</t>
  </si>
  <si>
    <t xml:space="preserve">Jha shared tobacco-CVD scalar: Female, 40-49, 3-9 years</t>
  </si>
  <si>
    <t xml:space="preserve">SCALAR_JHA_F_40_49_GE10</t>
  </si>
  <si>
    <t xml:space="preserve">Jha shared tobacco-CVD scalar: Female, 40-49, 10+ years</t>
  </si>
  <si>
    <t xml:space="preserve">SCALAR_JHA_F_50_59_LT3</t>
  </si>
  <si>
    <t xml:space="preserve">Jha shared tobacco-CVD scalar: Female, 50-59, &lt;3 years</t>
  </si>
  <si>
    <t xml:space="preserve">SCALAR_JHA_F_50_59_Y3_9</t>
  </si>
  <si>
    <t xml:space="preserve">Jha shared tobacco-CVD scalar: Female, 50-59, 3-9 years</t>
  </si>
  <si>
    <t xml:space="preserve">SCALAR_JHA_F_50_59_GE10</t>
  </si>
  <si>
    <t xml:space="preserve">Jha shared tobacco-CVD scalar: Female, 50-59, 10+ years</t>
  </si>
  <si>
    <t xml:space="preserve">SCALAR_JHA_F_60_79_LT3</t>
  </si>
  <si>
    <t xml:space="preserve">Jha shared tobacco-CVD scalar: Female, 60-79, &lt;3 years</t>
  </si>
  <si>
    <t xml:space="preserve">SCALAR_JHA_F_60_79_Y3_9</t>
  </si>
  <si>
    <t xml:space="preserve">Jha shared tobacco-CVD scalar: Female, 60-79, 3-9 years</t>
  </si>
  <si>
    <t xml:space="preserve">SCALAR_JHA_F_60_79_GE10</t>
  </si>
  <si>
    <t xml:space="preserve">Jha shared tobacco-CVD scalar: Female, 60-79, 10+ years</t>
  </si>
  <si>
    <t xml:space="preserve">SCALAR_JHA_F_80_95_LT3</t>
  </si>
  <si>
    <t xml:space="preserve">Jha shared tobacco-CVD scalar: Female, 80-95, &lt;3 years</t>
  </si>
  <si>
    <t xml:space="preserve">SCALAR_JHA_F_80_95_Y3_9</t>
  </si>
  <si>
    <t xml:space="preserve">Jha shared tobacco-CVD scalar: Female, 80-95, 3-9 years</t>
  </si>
  <si>
    <t xml:space="preserve">SCALAR_JHA_F_80_95_GE10</t>
  </si>
  <si>
    <t xml:space="preserve">Jha shared tobacco-CVD scalar: Female, 80-95, 10+ years</t>
  </si>
  <si>
    <t xml:space="preserve">RR_SSB_T2DM_ALLCAUSE_MORT_1SERV</t>
  </si>
  <si>
    <t xml:space="preserve">SSB HR - all-cause mortality among adults with T2DM</t>
  </si>
  <si>
    <t xml:space="preserve">All-cause mortality among adults with T2DM</t>
  </si>
  <si>
    <t xml:space="preserve">HR per serving/day</t>
  </si>
  <si>
    <t xml:space="preserve">direct dose-response HR</t>
  </si>
  <si>
    <t xml:space="preserve">https://doi.org/10.1136/bmj-2022-073406</t>
  </si>
  <si>
    <t xml:space="preserve">Exploratory only; not diabetes-specific death; use only if sick-to-dead is all-cause mortality</t>
  </si>
  <si>
    <t xml:space="preserve">parent_package_name</t>
  </si>
  <si>
    <t xml:space="preserve">intervention_ids</t>
  </si>
  <si>
    <t xml:space="preserve">cost_per_case_averted</t>
  </si>
  <si>
    <t xml:space="preserve">I_PH_TOB_CLEAN_AIR; I_PH_TOB_MEDIA; I_PH_TOB_AD_BAN</t>
  </si>
  <si>
    <t xml:space="preserve">I_PH_TOBACCO_TAX; I_PH_TOB_AD_BAN; I_PH_TOB_CLEAN_AIR; I_PH_TOB_MEDIA</t>
  </si>
  <si>
    <t xml:space="preserve">n_interventions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</si>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</sst>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8">
    <numFmt numFmtId="166" formatCode="0"/>
    <numFmt numFmtId="167" formatCode="0"/>
    <numFmt numFmtId="168" formatCode="0"/>
    <numFmt numFmtId="169" formatCode="0"/>
    <numFmt numFmtId="170" formatCode="0.0"/>
    <numFmt numFmtId="171" formatCode="0.0%"/>
    <numFmt numFmtId="172" formatCode="0"/>
    <numFmt numFmtId="173" formatCode="0"/>
    <numFmt numFmtId="174" formatCode="0.000"/>
    <numFmt numFmtId="175" formatCode="0.000"/>
    <numFmt numFmtId="176" formatCode="#,##0"/>
    <numFmt numFmtId="177" formatCode="#,##0"/>
    <numFmt numFmtId="178" formatCode="#,##0.0"/>
    <numFmt numFmtId="179" formatCode="0"/>
    <numFmt numFmtId="180" formatCode="#,##0"/>
    <numFmt numFmtId="181" formatCode="#,##0"/>
    <numFmt numFmtId="182" formatCode="#,##0.00"/>
    <numFmt numFmtId="183" formatCode="0"/>
    <numFmt numFmtId="184" formatCode="0.000"/>
    <numFmt numFmtId="185" formatCode="0.000"/>
    <numFmt numFmtId="186" formatCode="0.000"/>
    <numFmt numFmtId="187" formatCode="0"/>
    <numFmt numFmtId="188" formatCode="0.0"/>
    <numFmt numFmtId="189" formatCode="0"/>
    <numFmt numFmtId="190" formatCode="0"/>
    <numFmt numFmtId="191" formatCode="0"/>
    <numFmt numFmtId="192" formatCode="0"/>
    <numFmt numFmtId="193" formatCode="0"/>
    <numFmt numFmtId="194" formatCode="0"/>
    <numFmt numFmtId="195" formatCode="0.00"/>
    <numFmt numFmtId="196" formatCode="0.000"/>
    <numFmt numFmtId="197" formatCode="0.0%"/>
    <numFmt numFmtId="198" formatCode="0.0000"/>
    <numFmt numFmtId="199" formatCode="0.0000"/>
    <numFmt numFmtId="200" formatCode="0.0000"/>
    <numFmt numFmtId="201" formatCode="0.0000"/>
    <numFmt numFmtId="202" formatCode="0.0000"/>
    <numFmt numFmtId="203" formatCode="0"/>
    <numFmt numFmtId="204" formatCode="0"/>
    <numFmt numFmtId="205" formatCode="0.0000"/>
    <numFmt numFmtId="206" formatCode="0.0000"/>
    <numFmt numFmtId="207" formatCode="0.0000"/>
    <numFmt numFmtId="208" formatCode="#,##0"/>
    <numFmt numFmtId="209" formatCode="#,##0"/>
    <numFmt numFmtId="210" formatCode="0.0000"/>
    <numFmt numFmtId="211" formatCode="0.0000"/>
    <numFmt numFmtId="212" formatCode="0.0000"/>
    <numFmt numFmtId="213" formatCode="0.0000"/>
    <numFmt numFmtId="214" formatCode="0.0000"/>
    <numFmt numFmtId="215" formatCode="0.0000"/>
    <numFmt numFmtId="216" formatCode="0.0000"/>
    <numFmt numFmtId="217" formatCode="0.0000"/>
    <numFmt numFmtId="218" formatCode="0.0000"/>
    <numFmt numFmtId="219" formatCode="0.0000"/>
    <numFmt numFmtId="220" formatCode="0.0000"/>
    <numFmt numFmtId="221" formatCode="0.0000"/>
    <numFmt numFmtId="222" formatCode="0.0000"/>
    <numFmt numFmtId="223" formatCode="0"/>
    <numFmt numFmtId="224" formatCode="0"/>
    <numFmt numFmtId="225" formatCode="0.0000"/>
    <numFmt numFmtId="226" formatCode="0.0000"/>
    <numFmt numFmtId="227" formatCode="0.0000"/>
    <numFmt numFmtId="228" formatCode="0.0000"/>
    <numFmt numFmtId="229" formatCode="0.0000"/>
    <numFmt numFmtId="230" formatCode="0.0000"/>
    <numFmt numFmtId="231" formatCode="#,##0"/>
    <numFmt numFmtId="232" formatCode="#,##0"/>
    <numFmt numFmtId="233" formatCode="#,##0"/>
    <numFmt numFmtId="234" formatCode="#,##0"/>
    <numFmt numFmtId="236" formatCode="#,##0"/>
    <numFmt numFmtId="237" formatCode="0.0%"/>
    <numFmt numFmtId="238" formatCode="0.00"/>
    <numFmt numFmtId="239" formatCode="#,##0.0000"/>
    <numFmt numFmtId="240" formatCode="0.000"/>
    <numFmt numFmtId="241" formatCode="#,##0.0000"/>
    <numFmt numFmtId="242" formatCode="#,##0.0000"/>
    <numFmt numFmtId="243" formatCode="0"/>
    <numFmt numFmtId="244" formatCode="#,##0"/>
    <numFmt numFmtId="235" formatCode="#,##0"/>
    <numFmt numFmtId="245" formatCode="0"/>
    <numFmt numFmtId="246" formatCode="#,##0"/>
    <numFmt numFmtId="247" formatCode="#,##0"/>
    <numFmt numFmtId="248" formatCode="#,##0"/>
    <numFmt numFmtId="249" formatCode="#,##0"/>
    <numFmt numFmtId="250" formatCode="#,##0"/>
    <numFmt numFmtId="251" formatCode="#,##0"/>
    <numFmt numFmtId="252" formatCode="0"/>
    <numFmt numFmtId="253" formatCode="#,##0"/>
    <numFmt numFmtId="254" formatCode="#,##0"/>
    <numFmt numFmtId="255" formatCode="#,##0"/>
    <numFmt numFmtId="256" formatCode="#,##0"/>
    <numFmt numFmtId="257" formatCode="#,##0"/>
    <numFmt numFmtId="258" formatCode="0.0%"/>
    <numFmt numFmtId="259" formatCode="0.00"/>
    <numFmt numFmtId="260" formatCode="#,##0.0000"/>
    <numFmt numFmtId="261" formatCode="#,##0"/>
    <numFmt numFmtId="262" formatCode="#,##0"/>
    <numFmt numFmtId="263" formatCode="0.000"/>
    <numFmt numFmtId="264" formatCode="#,##0"/>
    <numFmt numFmtId="265" formatCode="#,##0"/>
    <numFmt numFmtId="266" formatCode="#,##0"/>
    <numFmt numFmtId="267" formatCode="#,##0"/>
    <numFmt numFmtId="268" formatCode="#,##0"/>
    <numFmt numFmtId="269" formatCode="0.000"/>
    <numFmt numFmtId="270" formatCode="#,##0"/>
    <numFmt numFmtId="271" formatCode="#,##0"/>
    <numFmt numFmtId="272" formatCode="#,##0"/>
    <numFmt numFmtId="273" formatCode="0"/>
    <numFmt numFmtId="274" formatCode="#,##0"/>
    <numFmt numFmtId="275" formatCode="#,##0"/>
    <numFmt numFmtId="276" formatCode="#,##0.00"/>
    <numFmt numFmtId="277" formatCode="#,##0.00"/>
    <numFmt numFmtId="278" formatCode="#,##0.00"/>
    <numFmt numFmtId="279" formatCode="#,##0.00"/>
    <numFmt numFmtId="280" formatCode="0"/>
    <numFmt numFmtId="281" formatCode="#,##0"/>
    <numFmt numFmtId="282" formatCode="#,##0"/>
    <numFmt numFmtId="283" formatCode="#,##0"/>
    <numFmt numFmtId="284" formatCode="#,##0"/>
    <numFmt numFmtId="285" formatCode="#,##0"/>
    <numFmt numFmtId="286" formatCode="#,##0"/>
    <numFmt numFmtId="287" formatCode="#,##0"/>
    <numFmt numFmtId="288" formatCode="#,##0.00"/>
    <numFmt numFmtId="289" formatCode="#,##0.00"/>
    <numFmt numFmtId="290" formatCode="#,##0.00"/>
    <numFmt numFmtId="291" formatCode="#,##0.00"/>
    <numFmt numFmtId="292" formatCode="#,##0"/>
    <numFmt numFmtId="293" formatCode="#,##0"/>
    <numFmt numFmtId="294" formatCode="#,##0"/>
    <numFmt numFmtId="295" formatCode="#,##0"/>
    <numFmt numFmtId="296" formatCode="#,##0"/>
    <numFmt numFmtId="297" formatCode="#,##0.00"/>
    <numFmt numFmtId="298" formatCode="#,##0.00"/>
    <numFmt numFmtId="299" formatCode="#,##0"/>
    <numFmt numFmtId="300" formatCode="#,##0"/>
    <numFmt numFmtId="301" formatCode="#,##0"/>
    <numFmt numFmtId="302" formatCode="#,##0"/>
    <numFmt numFmtId="303" formatCode="#,##0"/>
    <numFmt numFmtId="304" formatCode="#,##0"/>
    <numFmt numFmtId="305" formatCode="#,##0"/>
    <numFmt numFmtId="306" formatCode="#,##0"/>
    <numFmt numFmtId="307" formatCode="#,##0"/>
    <numFmt numFmtId="308" formatCode="#,##0"/>
    <numFmt numFmtId="309" formatCode="#,##0"/>
    <numFmt numFmtId="310" formatCode="#,##0"/>
    <numFmt numFmtId="311" formatCode="#,##0"/>
    <numFmt numFmtId="312" formatCode="#,##0"/>
    <numFmt numFmtId="313" formatCode="#,##0"/>
    <numFmt numFmtId="314" formatCode="#,##0"/>
    <numFmt numFmtId="315" formatCode="#,##0"/>
    <numFmt numFmtId="316" formatCode="#,##0"/>
    <numFmt numFmtId="317" formatCode="#,##0"/>
    <numFmt numFmtId="318" formatCode="#,##0"/>
    <numFmt numFmtId="319" formatCode="#,##0"/>
    <numFmt numFmtId="320" formatCode="#,##0"/>
    <numFmt numFmtId="321" formatCode="#,##0"/>
    <numFmt numFmtId="322" formatCode="#,##0"/>
    <numFmt numFmtId="323" formatCode="#,##0"/>
    <numFmt numFmtId="324" formatCode="#,##0"/>
    <numFmt numFmtId="325" formatCode="#,##0"/>
    <numFmt numFmtId="326" formatCode="#,##0"/>
    <numFmt numFmtId="327" formatCode="#,##0"/>
    <numFmt numFmtId="328" formatCode="#,##0"/>
    <numFmt numFmtId="329" formatCode="#,##0"/>
    <numFmt numFmtId="330" formatCode="#,##0"/>
    <numFmt numFmtId="331" formatCode="#,##0"/>
    <numFmt numFmtId="332" formatCode="0.0000"/>
    <numFmt numFmtId="333" formatCode="#,##0"/>
    <numFmt numFmtId="334" formatCode="#,##0"/>
    <numFmt numFmtId="335" formatCode="#,##0"/>
    <numFmt numFmtId="336" formatCode="#,##0"/>
    <numFmt numFmtId="337" formatCode="#,##0"/>
    <numFmt numFmtId="338" formatCode="#,##0"/>
    <numFmt numFmtId="339" formatCode="0.0000%"/>
    <numFmt numFmtId="340" formatCode="#,##0"/>
    <numFmt numFmtId="341" formatCode="#,##0"/>
    <numFmt numFmtId="342" formatCode="#,##0"/>
    <numFmt numFmtId="343" formatCode="0.00"/>
    <numFmt numFmtId="344" formatCode="#,##0"/>
    <numFmt numFmtId="345" formatCode="0.0000%"/>
    <numFmt numFmtId="346" formatCode="0"/>
    <numFmt numFmtId="347" formatCode="0"/>
    <numFmt numFmtId="348" formatCode="#,##0.00"/>
    <numFmt numFmtId="349" formatCode="#,##0"/>
    <numFmt numFmtId="350" formatCode="0.000000"/>
    <numFmt numFmtId="351" formatCode="0.000000"/>
    <numFmt numFmtId="352" formatCode="0.000000"/>
    <numFmt numFmtId="353" formatCode="0.000000"/>
    <numFmt numFmtId="354" formatCode="0"/>
    <numFmt numFmtId="355" formatCode="0.000"/>
    <numFmt numFmtId="356" formatCode="0.000"/>
    <numFmt numFmtId="357" formatCode="0.000"/>
    <numFmt numFmtId="358" formatCode="0.00"/>
    <numFmt numFmtId="359" formatCode="0.000"/>
    <numFmt numFmtId="360" formatCode="#,##0"/>
    <numFmt numFmtId="361" formatCode="0.0000"/>
    <numFmt numFmtId="362" formatCode="0.0000"/>
    <numFmt numFmtId="363" formatCode="#,##0"/>
    <numFmt numFmtId="364" formatCode="#,##0"/>
    <numFmt numFmtId="365" formatCode="#,##0"/>
    <numFmt numFmtId="366" formatCode="#,##0"/>
    <numFmt numFmtId="367" formatCode="#,##0"/>
    <numFmt numFmtId="368" formatCode="#,##0"/>
    <numFmt numFmtId="369" formatCode="#,##0"/>
    <numFmt numFmtId="370" formatCode="#,##0"/>
    <numFmt numFmtId="371" formatCode="#,##0"/>
    <numFmt numFmtId="372" formatCode="#,##0"/>
    <numFmt numFmtId="373" formatCode="#,##0"/>
    <numFmt numFmtId="374" formatCode="#,##0"/>
    <numFmt numFmtId="375" formatCode="#,##0"/>
    <numFmt numFmtId="376" formatCode="#,##0"/>
    <numFmt numFmtId="377" formatCode="#,##0"/>
    <numFmt numFmtId="378" formatCode="#,##0"/>
    <numFmt numFmtId="379" formatCode="#,##0"/>
    <numFmt numFmtId="380" formatCode="#,##0"/>
    <numFmt numFmtId="381" formatCode="#,##0"/>
    <numFmt numFmtId="382" formatCode="#,##0"/>
    <numFmt numFmtId="383" formatCode="#,##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3"/>
      <color rgb="FFFFFFFF"/>
      <name val="Carlito"/>
      <b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2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166" fontId="0" fillId="3" borderId="0" xfId="0" applyFont="1" applyNumberFormat="1" applyFill="1"/>
    <xf numFmtId="167" fontId="0" fillId="3" borderId="0" xfId="0" applyFont="1" applyNumberFormat="1" applyFill="1"/>
    <xf numFmtId="168" fontId="0" fillId="3" borderId="0" xfId="0" applyFont="1" applyNumberFormat="1" applyFill="1"/>
    <xf numFmtId="169" fontId="0" fillId="3" borderId="0" xfId="0" applyFont="1" applyNumberFormat="1" applyFill="1"/>
    <xf numFmtId="170" fontId="0" fillId="3" borderId="0" xfId="0" applyFont="1" applyNumberFormat="1" applyFill="1"/>
    <xf numFmtId="171" fontId="0" fillId="3" borderId="0" xfId="0" applyFont="1" applyNumberFormat="1" applyFill="1"/>
    <xf numFmtId="172" fontId="0" fillId="3" borderId="0" xfId="0" applyFont="1" applyNumberFormat="1" applyFill="1"/>
    <xf numFmtId="173" fontId="0" fillId="3" borderId="0" xfId="0" applyFont="1" applyNumberFormat="1" applyFill="1"/>
    <xf numFmtId="174" fontId="0" fillId="3" borderId="0" xfId="0" applyFont="1" applyNumberFormat="1" applyFill="1"/>
    <xf numFmtId="175" fontId="0" fillId="3" borderId="0" xfId="0" applyFont="1" applyNumberFormat="1" applyFill="1"/>
    <xf numFmtId="176" fontId="0" fillId="3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4" borderId="0" xfId="0" applyFont="1" applyNumberFormat="1" applyFill="1"/>
    <xf numFmtId="181" fontId="0" fillId="4" borderId="0" xfId="0" applyFont="1" applyNumberFormat="1" applyFill="1"/>
    <xf numFmtId="182" fontId="0" fillId="4" borderId="0" xfId="0" applyFont="1" applyNumberFormat="1" applyFill="1"/>
    <xf numFmtId="183" fontId="0" fillId="3" borderId="0" xfId="0" applyFont="1" applyNumberFormat="1" applyFill="1"/>
    <xf numFmtId="184" fontId="0" fillId="3" borderId="0" xfId="0" applyFont="1" applyNumberFormat="1" applyFill="1"/>
    <xf numFmtId="185" fontId="0" fillId="3" borderId="0" xfId="0" applyFont="1" applyNumberFormat="1" applyFill="1"/>
    <xf numFmtId="186" fontId="0" fillId="3" borderId="0" xfId="0" applyFont="1" applyNumberFormat="1" applyFill="1"/>
    <xf numFmtId="187" fontId="0" fillId="3" borderId="0" xfId="0" applyFont="1" applyNumberFormat="1" applyFill="1"/>
    <xf numFmtId="188" fontId="0" fillId="3" borderId="0" xfId="0" applyFont="1" applyNumberFormat="1" applyFill="1"/>
    <xf numFmtId="189" fontId="0" fillId="3" borderId="0" xfId="0" applyFont="1" applyNumberFormat="1" applyFill="1"/>
    <xf numFmtId="190" fontId="0" fillId="3" borderId="0" xfId="0" applyFont="1" applyNumberFormat="1" applyFill="1"/>
    <xf numFmtId="191" fontId="0" fillId="3" borderId="0" xfId="0" applyFont="1" applyNumberFormat="1" applyFill="1"/>
    <xf numFmtId="192" fontId="0" fillId="3" borderId="0" xfId="0" applyFont="1" applyNumberFormat="1" applyFill="1"/>
    <xf numFmtId="193" fontId="0" fillId="3" borderId="0" xfId="0" applyFont="1" applyNumberFormat="1" applyFill="1"/>
    <xf numFmtId="194" fontId="0" fillId="3" borderId="0" xfId="0" applyFont="1" applyNumberFormat="1" applyFill="1"/>
    <xf numFmtId="195" fontId="0" fillId="3" borderId="0" xfId="0" applyFont="1" applyNumberFormat="1" applyFill="1"/>
    <xf numFmtId="196" fontId="0" fillId="3" borderId="0" xfId="0" applyFont="1" applyNumberFormat="1" applyFill="1"/>
    <xf numFmtId="0" fontId="0" fillId="0" borderId="0" xfId="0" applyFont="1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ont="1" applyFill="1"/>
    <xf numFmtId="197" fontId="0" fillId="5" borderId="0" xfId="0" applyFont="1" applyNumberFormat="1" applyFill="1"/>
    <xf numFmtId="198" fontId="0" fillId="0" borderId="0" xfId="0" applyFont="1" applyNumberFormat="1"/>
    <xf numFmtId="199" fontId="0" fillId="0" borderId="0" xfId="0" applyFont="1" applyNumberFormat="1"/>
    <xf numFmtId="200" fontId="0" fillId="0" borderId="0" xfId="0" applyFont="1" applyNumberFormat="1"/>
    <xf numFmtId="201" fontId="0" fillId="0" borderId="0" xfId="0" applyFont="1" applyNumberFormat="1"/>
    <xf numFmtId="202" fontId="0" fillId="0" borderId="0" xfId="0" applyFont="1" applyNumberFormat="1"/>
    <xf numFmtId="203" fontId="0" fillId="0" borderId="0" xfId="0" applyFont="1" applyNumberFormat="1"/>
    <xf numFmtId="204" fontId="0" fillId="0" borderId="0" xfId="0" applyFont="1" applyNumberFormat="1"/>
    <xf numFmtId="205" fontId="0" fillId="5" borderId="0" xfId="0" applyFont="1" applyNumberFormat="1" applyFill="1"/>
    <xf numFmtId="206" fontId="0" fillId="5" borderId="0" xfId="0" applyFont="1" applyNumberFormat="1" applyFill="1"/>
    <xf numFmtId="207" fontId="0" fillId="5" borderId="0" xfId="0" applyFont="1" applyNumberFormat="1" applyFill="1"/>
    <xf numFmtId="208" fontId="0" fillId="0" borderId="0" xfId="0" applyFont="1" applyNumberFormat="1"/>
    <xf numFmtId="209" fontId="0" fillId="5" borderId="0" xfId="0" applyFont="1" applyNumberFormat="1" applyFill="1"/>
    <xf numFmtId="210" fontId="0" fillId="4" borderId="0" xfId="0" applyFont="1" applyNumberFormat="1" applyFill="1"/>
    <xf numFmtId="211" fontId="0" fillId="4" borderId="0" xfId="0" applyFont="1" applyNumberFormat="1" applyFill="1"/>
    <xf numFmtId="212" fontId="0" fillId="5" borderId="0" xfId="0" applyFont="1" applyNumberFormat="1" applyFill="1"/>
    <xf numFmtId="213" fontId="0" fillId="5" borderId="0" xfId="0" applyFont="1" applyNumberFormat="1" applyFill="1"/>
    <xf numFmtId="214" fontId="0" fillId="5" borderId="0" xfId="0" applyFont="1" applyNumberFormat="1" applyFill="1"/>
    <xf numFmtId="215" fontId="0" fillId="5" borderId="0" xfId="0" applyFont="1" applyNumberFormat="1" applyFill="1"/>
    <xf numFmtId="216" fontId="0" fillId="4" borderId="0" xfId="0" applyFont="1" applyNumberFormat="1" applyFill="1"/>
    <xf numFmtId="217" fontId="0" fillId="0" borderId="0" xfId="0" applyFont="1" applyNumberFormat="1"/>
    <xf numFmtId="218" fontId="0" fillId="0" borderId="0" xfId="0" applyFont="1" applyNumberFormat="1"/>
    <xf numFmtId="219" fontId="0" fillId="0" borderId="0" xfId="0" applyFont="1" applyNumberFormat="1"/>
    <xf numFmtId="220" fontId="0" fillId="5" borderId="0" xfId="0" applyFont="1" applyNumberFormat="1" applyFill="1"/>
    <xf numFmtId="221" fontId="0" fillId="5" borderId="0" xfId="0" applyFont="1" applyNumberFormat="1" applyFill="1"/>
    <xf numFmtId="222" fontId="0" fillId="5" borderId="0" xfId="0" applyFont="1" applyNumberFormat="1" applyFill="1"/>
    <xf numFmtId="223" fontId="0" fillId="0" borderId="0" xfId="0" applyFont="1" applyNumberFormat="1"/>
    <xf numFmtId="224" fontId="0" fillId="0" borderId="0" xfId="0" applyFont="1" applyNumberFormat="1"/>
    <xf numFmtId="225" fontId="0" fillId="0" borderId="0" xfId="0" applyFont="1" applyNumberFormat="1"/>
    <xf numFmtId="226" fontId="0" fillId="0" borderId="0" xfId="0" applyFont="1" applyNumberFormat="1"/>
    <xf numFmtId="227" fontId="0" fillId="0" borderId="0" xfId="0" applyFont="1" applyNumberFormat="1"/>
    <xf numFmtId="228" fontId="0" fillId="0" borderId="0" xfId="0" applyFont="1" applyNumberFormat="1"/>
    <xf numFmtId="229" fontId="0" fillId="0" borderId="0" xfId="0" applyFont="1" applyNumberFormat="1"/>
    <xf numFmtId="230" fontId="0" fillId="5" borderId="0" xfId="0" applyFont="1" applyNumberFormat="1" applyFill="1"/>
    <xf numFmtId="231" fontId="0" fillId="0" borderId="0" xfId="0" applyFont="1" applyNumberFormat="1"/>
    <xf numFmtId="232" fontId="0" fillId="0" borderId="0" xfId="0" applyFont="1" applyNumberFormat="1"/>
    <xf numFmtId="233" fontId="0" fillId="0" borderId="0" xfId="0" applyFont="1" applyNumberFormat="1"/>
    <xf numFmtId="234" fontId="0" fillId="0" borderId="0" xfId="0" applyFont="1" applyNumberFormat="1"/>
    <xf numFmtId="236" fontId="0" fillId="0" borderId="0" xfId="0" applyFont="1" applyNumberFormat="1"/>
    <xf numFmtId="237" fontId="0" fillId="0" borderId="0" xfId="0" applyFont="1" applyNumberFormat="1"/>
    <xf numFmtId="238" fontId="0" fillId="0" borderId="0" xfId="0" applyFont="1" applyNumberFormat="1"/>
    <xf numFmtId="239" fontId="0" fillId="0" borderId="0" xfId="0" applyFont="1" applyNumberFormat="1"/>
    <xf numFmtId="240" fontId="0" fillId="0" borderId="0" xfId="0" applyFont="1" applyNumberFormat="1"/>
    <xf numFmtId="241" fontId="0" fillId="0" borderId="0" xfId="0" applyFont="1" applyNumberFormat="1"/>
    <xf numFmtId="242" fontId="0" fillId="5" borderId="0" xfId="0" applyFont="1" applyNumberFormat="1" applyFill="1"/>
    <xf numFmtId="243" fontId="0" fillId="0" borderId="0" xfId="0" applyFont="1" applyNumberFormat="1"/>
    <xf numFmtId="244" fontId="0" fillId="5" borderId="0" xfId="0" applyFont="1" applyNumberFormat="1" applyFill="1"/>
    <xf numFmtId="235" fontId="0" fillId="0" borderId="0" xfId="0" applyFont="1" applyNumberFormat="1" applyAlignment="1">
      <alignment vertical="top" wrapText="1"/>
    </xf>
    <xf numFmtId="245" fontId="0" fillId="0" borderId="0" xfId="0" applyFont="1" applyNumberFormat="1"/>
    <xf numFmtId="246" fontId="0" fillId="4" borderId="0" xfId="0" applyFont="1" applyNumberFormat="1" applyFill="1"/>
    <xf numFmtId="247" fontId="0" fillId="4" borderId="0" xfId="0" applyFont="1" applyNumberFormat="1" applyFill="1"/>
    <xf numFmtId="248" fontId="0" fillId="4" borderId="0" xfId="0" applyFont="1" applyNumberFormat="1" applyFill="1"/>
    <xf numFmtId="249" fontId="0" fillId="4" borderId="0" xfId="0" applyFont="1" applyNumberFormat="1" applyFill="1"/>
    <xf numFmtId="250" fontId="0" fillId="5" borderId="0" xfId="0" applyFont="1" applyNumberFormat="1" applyFill="1"/>
    <xf numFmtId="251" fontId="0" fillId="5" borderId="0" xfId="0" applyFont="1" applyNumberFormat="1" applyFill="1"/>
    <xf numFmtId="252" fontId="0" fillId="0" borderId="0" xfId="0" applyFont="1" applyNumberFormat="1"/>
    <xf numFmtId="253" fontId="0" fillId="0" borderId="0" xfId="0" applyFont="1" applyNumberFormat="1"/>
    <xf numFmtId="254" fontId="0" fillId="0" borderId="0" xfId="0" applyFont="1" applyNumberFormat="1"/>
    <xf numFmtId="255" fontId="0" fillId="0" borderId="0" xfId="0" applyFont="1" applyNumberFormat="1"/>
    <xf numFmtId="256" fontId="0" fillId="0" borderId="0" xfId="0" applyFont="1" applyNumberFormat="1"/>
    <xf numFmtId="257" fontId="0" fillId="0" borderId="0" xfId="0" applyFont="1" applyNumberFormat="1"/>
    <xf numFmtId="258" fontId="0" fillId="4" borderId="0" xfId="0" applyFont="1" applyNumberFormat="1" applyFill="1"/>
    <xf numFmtId="259" fontId="0" fillId="4" borderId="0" xfId="0" applyFont="1" applyNumberFormat="1" applyFill="1"/>
    <xf numFmtId="260" fontId="0" fillId="4" borderId="0" xfId="0" applyFont="1" applyNumberFormat="1" applyFill="1"/>
    <xf numFmtId="261" fontId="0" fillId="4" borderId="0" xfId="0" applyFont="1" applyNumberFormat="1" applyFill="1"/>
    <xf numFmtId="262" fontId="0" fillId="4" borderId="0" xfId="0" applyFont="1" applyNumberFormat="1" applyFill="1"/>
    <xf numFmtId="263" fontId="0" fillId="5" borderId="0" xfId="0" applyFont="1" applyNumberFormat="1" applyFill="1"/>
    <xf numFmtId="264" fontId="0" fillId="5" borderId="0" xfId="0" applyFont="1" applyNumberFormat="1" applyFill="1"/>
    <xf numFmtId="265" fontId="0" fillId="5" borderId="0" xfId="0" applyFont="1" applyNumberFormat="1" applyFill="1"/>
    <xf numFmtId="266" fontId="0" fillId="5" borderId="0" xfId="0" applyFont="1" applyNumberFormat="1" applyFill="1"/>
    <xf numFmtId="267" fontId="0" fillId="5" borderId="0" xfId="0" applyFont="1" applyNumberFormat="1" applyFill="1"/>
    <xf numFmtId="268" fontId="0" fillId="5" borderId="0" xfId="0" applyFont="1" applyNumberFormat="1" applyFill="1"/>
    <xf numFmtId="269" fontId="0" fillId="5" borderId="0" xfId="0" applyFont="1" applyNumberFormat="1" applyFill="1"/>
    <xf numFmtId="270" fontId="0" fillId="5" borderId="0" xfId="0" applyFont="1" applyNumberFormat="1" applyFill="1"/>
    <xf numFmtId="271" fontId="0" fillId="5" borderId="0" xfId="0" applyFont="1" applyNumberFormat="1" applyFill="1"/>
    <xf numFmtId="272" fontId="0" fillId="5" borderId="0" xfId="0" applyFont="1" applyNumberFormat="1" applyFill="1"/>
    <xf numFmtId="273" fontId="0" fillId="0" borderId="0" xfId="0" applyFont="1" applyNumberFormat="1"/>
    <xf numFmtId="274" fontId="0" fillId="5" borderId="0" xfId="0" applyFont="1" applyNumberFormat="1" applyFill="1"/>
    <xf numFmtId="275" fontId="0" fillId="4" borderId="0" xfId="0" applyFont="1" applyNumberFormat="1" applyFill="1"/>
    <xf numFmtId="276" fontId="0" fillId="5" borderId="0" xfId="0" applyFont="1" applyNumberFormat="1" applyFill="1"/>
    <xf numFmtId="277" fontId="0" fillId="5" borderId="0" xfId="0" applyFont="1" applyNumberFormat="1" applyFill="1"/>
    <xf numFmtId="278" fontId="0" fillId="5" borderId="0" xfId="0" applyFont="1" applyNumberFormat="1" applyFill="1"/>
    <xf numFmtId="279" fontId="0" fillId="5" borderId="0" xfId="0" applyFont="1" applyNumberFormat="1" applyFill="1"/>
    <xf numFmtId="280" fontId="0" fillId="0" borderId="0" xfId="0" applyFont="1" applyNumberFormat="1"/>
    <xf numFmtId="281" fontId="0" fillId="5" borderId="0" xfId="0" applyFont="1" applyNumberFormat="1" applyFill="1"/>
    <xf numFmtId="282" fontId="0" fillId="5" borderId="0" xfId="0" applyFont="1" applyNumberFormat="1" applyFill="1"/>
    <xf numFmtId="283" fontId="0" fillId="5" borderId="0" xfId="0" applyFont="1" applyNumberFormat="1" applyFill="1"/>
    <xf numFmtId="284" fontId="0" fillId="5" borderId="0" xfId="0" applyFont="1" applyNumberFormat="1" applyFill="1"/>
    <xf numFmtId="285" fontId="0" fillId="5" borderId="0" xfId="0" applyFont="1" applyNumberFormat="1" applyFill="1"/>
    <xf numFmtId="286" fontId="0" fillId="5" borderId="0" xfId="0" applyFont="1" applyNumberFormat="1" applyFill="1"/>
    <xf numFmtId="287" fontId="0" fillId="4" borderId="0" xfId="0" applyFont="1" applyNumberFormat="1" applyFill="1"/>
    <xf numFmtId="288" fontId="0" fillId="5" borderId="0" xfId="0" applyFont="1" applyNumberFormat="1" applyFill="1"/>
    <xf numFmtId="289" fontId="0" fillId="5" borderId="0" xfId="0" applyFont="1" applyNumberFormat="1" applyFill="1"/>
    <xf numFmtId="290" fontId="0" fillId="5" borderId="0" xfId="0" applyFont="1" applyNumberFormat="1" applyFill="1"/>
    <xf numFmtId="291" fontId="0" fillId="5" borderId="0" xfId="0" applyFont="1" applyNumberFormat="1" applyFill="1"/>
    <xf numFmtId="292" fontId="0" fillId="5" borderId="0" xfId="0" applyFont="1" applyNumberFormat="1" applyFill="1"/>
    <xf numFmtId="293" fontId="0" fillId="5" borderId="0" xfId="0" applyFont="1" applyNumberFormat="1" applyFill="1"/>
    <xf numFmtId="294" fontId="0" fillId="5" borderId="0" xfId="0" applyFont="1" applyNumberFormat="1" applyFill="1"/>
    <xf numFmtId="295" fontId="0" fillId="5" borderId="0" xfId="0" applyFont="1" applyNumberFormat="1" applyFill="1"/>
    <xf numFmtId="296" fontId="0" fillId="5" borderId="0" xfId="0" applyFont="1" applyNumberFormat="1" applyFill="1"/>
    <xf numFmtId="297" fontId="0" fillId="5" borderId="0" xfId="0" applyFont="1" applyNumberFormat="1" applyFill="1"/>
    <xf numFmtId="298" fontId="0" fillId="5" borderId="0" xfId="0" applyFont="1" applyNumberFormat="1" applyFill="1"/>
    <xf numFmtId="0" fontId="0" fillId="5" borderId="0" xfId="0" applyFont="1" applyFill="1" applyAlignment="1">
      <alignment vertical="top" wrapText="1"/>
    </xf>
    <xf numFmtId="299" fontId="0" fillId="4" borderId="0" xfId="0" applyFont="1" applyNumberFormat="1" applyFill="1"/>
    <xf numFmtId="300" fontId="0" fillId="4" borderId="0" xfId="0" applyFont="1" applyNumberFormat="1" applyFill="1"/>
    <xf numFmtId="301" fontId="0" fillId="5" borderId="0" xfId="0" applyFont="1" applyNumberFormat="1" applyFill="1"/>
    <xf numFmtId="302" fontId="0" fillId="4" borderId="0" xfId="0" applyFont="1" applyNumberFormat="1" applyFill="1"/>
    <xf numFmtId="303" fontId="0" fillId="4" borderId="0" xfId="0" applyFont="1" applyNumberFormat="1" applyFill="1"/>
    <xf numFmtId="304" fontId="0" fillId="5" borderId="0" xfId="0" applyFont="1" applyNumberFormat="1" applyFill="1"/>
    <xf numFmtId="305" fontId="0" fillId="4" borderId="0" xfId="0" applyFont="1" applyNumberFormat="1" applyFill="1"/>
    <xf numFmtId="306" fontId="0" fillId="4" borderId="0" xfId="0" applyFont="1" applyNumberFormat="1" applyFill="1"/>
    <xf numFmtId="307" fontId="0" fillId="5" borderId="0" xfId="0" applyFont="1" applyNumberFormat="1" applyFill="1"/>
    <xf numFmtId="308" fontId="0" fillId="4" borderId="0" xfId="0" applyFont="1" applyNumberFormat="1" applyFill="1"/>
    <xf numFmtId="309" fontId="0" fillId="4" borderId="0" xfId="0" applyFont="1" applyNumberFormat="1" applyFill="1"/>
    <xf numFmtId="310" fontId="0" fillId="5" borderId="0" xfId="0" applyFont="1" applyNumberFormat="1" applyFill="1"/>
    <xf numFmtId="311" fontId="0" fillId="4" borderId="0" xfId="0" applyFont="1" applyNumberFormat="1" applyFill="1"/>
    <xf numFmtId="312" fontId="0" fillId="4" borderId="0" xfId="0" applyFont="1" applyNumberFormat="1" applyFill="1"/>
    <xf numFmtId="313" fontId="0" fillId="5" borderId="0" xfId="0" applyFont="1" applyNumberFormat="1" applyFill="1"/>
    <xf numFmtId="314" fontId="0" fillId="5" borderId="0" xfId="0" applyFont="1" applyNumberFormat="1" applyFill="1"/>
    <xf numFmtId="315" fontId="0" fillId="4" borderId="0" xfId="0" applyFont="1" applyNumberFormat="1" applyFill="1"/>
    <xf numFmtId="316" fontId="0" fillId="4" borderId="0" xfId="0" applyFont="1" applyNumberFormat="1" applyFill="1"/>
    <xf numFmtId="317" fontId="0" fillId="4" borderId="0" xfId="0" applyFont="1" applyNumberFormat="1" applyFill="1"/>
    <xf numFmtId="318" fontId="0" fillId="4" borderId="0" xfId="0" applyFont="1" applyNumberFormat="1" applyFill="1"/>
    <xf numFmtId="319" fontId="0" fillId="4" borderId="0" xfId="0" applyFont="1" applyNumberFormat="1" applyFill="1"/>
    <xf numFmtId="320" fontId="0" fillId="4" borderId="0" xfId="0" applyFont="1" applyNumberFormat="1" applyFill="1"/>
    <xf numFmtId="321" fontId="0" fillId="5" borderId="0" xfId="0" applyFont="1" applyNumberFormat="1" applyFill="1"/>
    <xf numFmtId="322" fontId="0" fillId="5" borderId="0" xfId="0" applyFont="1" applyNumberFormat="1" applyFill="1"/>
    <xf numFmtId="323" fontId="0" fillId="5" borderId="0" xfId="0" applyFont="1" applyNumberFormat="1" applyFill="1"/>
    <xf numFmtId="324" fontId="0" fillId="5" borderId="0" xfId="0" applyFont="1" applyNumberFormat="1" applyFill="1"/>
    <xf numFmtId="325" fontId="0" fillId="5" borderId="0" xfId="0" applyFont="1" applyNumberFormat="1" applyFill="1"/>
    <xf numFmtId="326" fontId="0" fillId="5" borderId="0" xfId="0" applyFont="1" applyNumberFormat="1" applyFill="1"/>
    <xf numFmtId="327" fontId="0" fillId="5" borderId="0" xfId="0" applyFont="1" applyNumberFormat="1" applyFill="1"/>
    <xf numFmtId="328" fontId="0" fillId="5" borderId="0" xfId="0" applyFont="1" applyNumberFormat="1" applyFill="1"/>
    <xf numFmtId="329" fontId="0" fillId="5" borderId="0" xfId="0" applyFont="1" applyNumberFormat="1" applyFill="1"/>
    <xf numFmtId="330" fontId="0" fillId="5" borderId="0" xfId="0" applyFont="1" applyNumberFormat="1" applyFill="1"/>
    <xf numFmtId="331" fontId="0" fillId="5" borderId="0" xfId="0" applyFont="1" applyNumberFormat="1" applyFill="1"/>
    <xf numFmtId="332" fontId="0" fillId="5" borderId="0" xfId="0" applyFont="1" applyNumberFormat="1" applyFill="1"/>
    <xf numFmtId="333" fontId="0" fillId="5" borderId="0" xfId="0" applyFont="1" applyNumberFormat="1" applyFill="1"/>
    <xf numFmtId="334" fontId="0" fillId="5" borderId="0" xfId="0" applyFont="1" applyNumberFormat="1" applyFill="1"/>
    <xf numFmtId="335" fontId="0" fillId="5" borderId="0" xfId="0" applyFont="1" applyNumberFormat="1" applyFill="1"/>
    <xf numFmtId="336" fontId="0" fillId="5" borderId="0" xfId="0" applyFont="1" applyNumberFormat="1" applyFill="1"/>
    <xf numFmtId="337" fontId="0" fillId="5" borderId="0" xfId="0" applyFont="1" applyNumberFormat="1" applyFill="1"/>
    <xf numFmtId="338" fontId="0" fillId="5" borderId="0" xfId="0" applyFont="1" applyNumberFormat="1" applyFill="1"/>
    <xf numFmtId="339" fontId="0" fillId="5" borderId="0" xfId="0" applyFont="1" applyNumberFormat="1" applyFill="1"/>
    <xf numFmtId="340" fontId="0" fillId="5" borderId="0" xfId="0" applyFont="1" applyNumberFormat="1" applyFill="1"/>
    <xf numFmtId="341" fontId="0" fillId="5" borderId="0" xfId="0" applyFont="1" applyNumberFormat="1" applyFill="1"/>
    <xf numFmtId="342" fontId="0" fillId="5" borderId="0" xfId="0" applyFont="1" applyNumberFormat="1" applyFill="1"/>
    <xf numFmtId="343" fontId="0" fillId="5" borderId="0" xfId="0" applyFont="1" applyNumberFormat="1" applyFill="1"/>
    <xf numFmtId="344" fontId="0" fillId="5" borderId="0" xfId="0" applyFont="1" applyNumberFormat="1" applyFill="1"/>
    <xf numFmtId="345" fontId="0" fillId="5" borderId="0" xfId="0" applyFont="1" applyNumberFormat="1" applyFill="1"/>
    <xf numFmtId="346" fontId="0" fillId="0" borderId="0" xfId="0" applyFont="1" applyNumberFormat="1"/>
    <xf numFmtId="347" fontId="0" fillId="0" borderId="0" xfId="0" applyFont="1" applyNumberFormat="1"/>
    <xf numFmtId="348" fontId="0" fillId="4" borderId="0" xfId="0" applyFont="1" applyNumberFormat="1" applyFill="1"/>
    <xf numFmtId="349" fontId="0" fillId="4" borderId="0" xfId="0" applyFont="1" applyNumberFormat="1" applyFill="1"/>
    <xf numFmtId="350" fontId="0" fillId="5" borderId="0" xfId="0" applyFont="1" applyNumberFormat="1" applyFill="1"/>
    <xf numFmtId="351" fontId="0" fillId="5" borderId="0" xfId="0" applyFont="1" applyNumberFormat="1" applyFill="1"/>
    <xf numFmtId="352" fontId="0" fillId="5" borderId="0" xfId="0" applyFont="1" applyNumberFormat="1" applyFill="1"/>
    <xf numFmtId="353" fontId="0" fillId="5" borderId="0" xfId="0" applyFont="1" applyNumberFormat="1" applyFill="1"/>
    <xf numFmtId="354" fontId="0" fillId="0" borderId="0" xfId="0" applyFont="1" applyNumberFormat="1"/>
    <xf numFmtId="355" fontId="0" fillId="5" borderId="0" xfId="0" applyFont="1" applyNumberFormat="1" applyFill="1"/>
    <xf numFmtId="356" fontId="0" fillId="5" borderId="0" xfId="0" applyFont="1" applyNumberFormat="1" applyFill="1"/>
    <xf numFmtId="357" fontId="0" fillId="5" borderId="0" xfId="0" applyFont="1" applyNumberFormat="1" applyFill="1"/>
    <xf numFmtId="358" fontId="0" fillId="5" borderId="0" xfId="0" applyFont="1" applyNumberFormat="1" applyFill="1"/>
    <xf numFmtId="359" fontId="0" fillId="4" borderId="0" xfId="0" applyFont="1" applyNumberFormat="1" applyFill="1"/>
    <xf numFmtId="0" fontId="0" fillId="4" borderId="0" xfId="0" applyFont="1" applyFill="1" applyAlignment="1">
      <alignment vertical="top" wrapText="1"/>
    </xf>
    <xf numFmtId="360" fontId="0" fillId="4" borderId="0" xfId="0" applyFont="1" applyNumberFormat="1" applyFill="1" applyAlignment="1">
      <alignment vertical="top" wrapText="1"/>
    </xf>
    <xf numFmtId="361" fontId="0" fillId="4" borderId="0" xfId="0" applyFont="1" applyNumberFormat="1" applyFill="1"/>
    <xf numFmtId="362" fontId="0" fillId="4" borderId="0" xfId="0" applyFont="1" applyNumberFormat="1" applyFill="1"/>
    <xf numFmtId="363" fontId="0" fillId="4" borderId="0" xfId="0" applyFont="1" applyNumberFormat="1" applyFill="1"/>
    <xf numFmtId="364" fontId="0" fillId="5" borderId="0" xfId="0" applyFont="1" applyNumberFormat="1" applyFill="1"/>
    <xf numFmtId="365" fontId="0" fillId="5" borderId="0" xfId="0" applyFont="1" applyNumberFormat="1" applyFill="1"/>
    <xf numFmtId="366" fontId="0" fillId="5" borderId="0" xfId="0" applyFont="1" applyNumberFormat="1" applyFill="1"/>
    <xf numFmtId="367" fontId="0" fillId="5" borderId="0" xfId="0" applyFont="1" applyNumberFormat="1" applyFill="1"/>
    <xf numFmtId="368" fontId="0" fillId="5" borderId="0" xfId="0" applyFont="1" applyNumberFormat="1" applyFill="1"/>
    <xf numFmtId="369" fontId="0" fillId="5" borderId="0" xfId="0" applyFont="1" applyNumberFormat="1" applyFill="1"/>
    <xf numFmtId="370" fontId="0" fillId="5" borderId="0" xfId="0" applyFont="1" applyNumberFormat="1" applyFill="1"/>
    <xf numFmtId="371" fontId="0" fillId="5" borderId="0" xfId="0" applyFont="1" applyNumberFormat="1" applyFill="1"/>
    <xf numFmtId="372" fontId="0" fillId="5" borderId="0" xfId="0" applyFont="1" applyNumberFormat="1" applyFill="1"/>
    <xf numFmtId="373" fontId="0" fillId="5" borderId="0" xfId="0" applyFont="1" applyNumberFormat="1" applyFill="1"/>
    <xf numFmtId="374" fontId="0" fillId="5" borderId="0" xfId="0" applyFont="1" applyNumberFormat="1" applyFill="1"/>
    <xf numFmtId="375" fontId="0" fillId="5" borderId="0" xfId="0" applyFont="1" applyNumberFormat="1" applyFill="1"/>
    <xf numFmtId="376" fontId="0" fillId="5" borderId="0" xfId="0" applyFont="1" applyNumberFormat="1" applyFill="1"/>
    <xf numFmtId="377" fontId="0" fillId="5" borderId="0" xfId="0" applyFont="1" applyNumberFormat="1" applyFill="1"/>
    <xf numFmtId="378" fontId="0" fillId="5" borderId="0" xfId="0" applyFont="1" applyNumberFormat="1" applyFill="1"/>
    <xf numFmtId="379" fontId="0" fillId="5" borderId="0" xfId="0" applyFont="1" applyNumberFormat="1" applyFill="1"/>
    <xf numFmtId="380" fontId="0" fillId="5" borderId="0" xfId="0" applyFont="1" applyNumberFormat="1" applyFill="1"/>
    <xf numFmtId="381" fontId="0" fillId="5" borderId="0" xfId="0" applyFont="1" applyNumberFormat="1" applyFill="1"/>
    <xf numFmtId="382" fontId="0" fillId="5" borderId="0" xfId="0" applyFont="1" applyNumberFormat="1" applyFill="1"/>
    <xf numFmtId="383" fontId="0" fillId="5" borderId="0" xfId="0" applyFont="1" applyNumberFormat="1" applyFill="1"/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theme" Target="theme/theme1.xml"/><Relationship Id="rId29" Type="http://schemas.openxmlformats.org/officeDocument/2006/relationships/styles" Target="styles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0.bin"/></Relationships>
</file>

<file path=xl/worksheets/_rels/sheet2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1.bin"/></Relationships>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2.bin"/></Relationships>
</file>

<file path=xl/worksheets/_rels/sheet2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3.bin"/></Relationships>
</file>

<file path=xl/worksheets/_rels/sheet2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4.bin"/></Relationships>
</file>

<file path=xl/worksheets/_rels/sheet2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5.bin"/></Relationships>
</file>

<file path=xl/worksheets/_rels/sheet2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6.bin"/></Relationships>
</file>

<file path=xl/worksheets/_rels/sheet2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2.71" hidden="0" customWidth="1"/>
    <col min="2" max="2" width="18.71" hidden="0" customWidth="1"/>
    <col min="3" max="3" width="14.71" hidden="0" customWidth="1"/>
    <col min="4" max="4" width="22.71" hidden="0" customWidth="1"/>
    <col min="5" max="5" width="60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4" t="n">
        <v>2025</v>
      </c>
      <c r="C2" t="s">
        <v>45</v>
      </c>
      <c r="D2" t="s">
        <v>46</v>
      </c>
      <c r="E2" s="35" t="s">
        <v>47</v>
      </c>
      <c r="F2" t="s">
        <v>48</v>
      </c>
    </row>
    <row r="3">
      <c r="A3" t="s">
        <v>7</v>
      </c>
      <c r="B3" s="5" t="n">
        <v>2050</v>
      </c>
      <c r="C3" t="s">
        <v>45</v>
      </c>
      <c r="D3" t="s">
        <v>46</v>
      </c>
      <c r="E3" s="35" t="s">
        <v>49</v>
      </c>
      <c r="F3" t="s">
        <v>48</v>
      </c>
    </row>
    <row r="4">
      <c r="A4" t="s">
        <v>8</v>
      </c>
      <c r="B4" s="2" t="s">
        <v>113</v>
      </c>
      <c r="C4" t="s">
        <v>50</v>
      </c>
      <c r="D4" t="s">
        <v>46</v>
      </c>
      <c r="E4" s="35" t="s">
        <v>51</v>
      </c>
      <c r="F4" t="s">
        <v>48</v>
      </c>
    </row>
    <row r="5">
      <c r="A5" t="s">
        <v>9</v>
      </c>
      <c r="B5" s="6" t="n">
        <v>2026</v>
      </c>
      <c r="C5" t="s">
        <v>45</v>
      </c>
      <c r="D5" t="s">
        <v>46</v>
      </c>
      <c r="E5" s="35" t="s">
        <v>52</v>
      </c>
      <c r="F5" t="s">
        <v>48</v>
      </c>
    </row>
    <row r="6">
      <c r="A6" t="s">
        <v>10</v>
      </c>
      <c r="B6" s="7" t="n">
        <v>2030</v>
      </c>
      <c r="C6" t="s">
        <v>45</v>
      </c>
      <c r="D6" t="s">
        <v>46</v>
      </c>
      <c r="E6" s="35" t="s">
        <v>53</v>
      </c>
      <c r="F6" t="s">
        <v>48</v>
      </c>
    </row>
    <row r="7">
      <c r="A7" t="s">
        <v>11</v>
      </c>
      <c r="B7" s="8" t="n">
        <v>3</v>
      </c>
      <c r="C7" t="s">
        <v>54</v>
      </c>
      <c r="D7" t="s">
        <v>46</v>
      </c>
      <c r="E7" s="35" t="s">
        <v>55</v>
      </c>
      <c r="F7" t="s">
        <v>48</v>
      </c>
    </row>
    <row r="8">
      <c r="A8" t="s">
        <v>12</v>
      </c>
      <c r="B8" s="9" t="n">
        <v>0.03</v>
      </c>
      <c r="C8" t="s">
        <v>56</v>
      </c>
      <c r="D8" t="s">
        <v>46</v>
      </c>
      <c r="E8" s="35" t="s">
        <v>57</v>
      </c>
      <c r="F8" t="s">
        <v>48</v>
      </c>
    </row>
    <row r="9">
      <c r="A9" t="s">
        <v>13</v>
      </c>
      <c r="B9" s="10" t="n">
        <v>2023</v>
      </c>
      <c r="C9" t="s">
        <v>58</v>
      </c>
      <c r="D9" t="s">
        <v>46</v>
      </c>
      <c r="E9" s="35" t="s">
        <v>59</v>
      </c>
      <c r="F9" t="s">
        <v>48</v>
      </c>
    </row>
    <row r="10">
      <c r="A10" t="s">
        <v>14</v>
      </c>
      <c r="B10" s="11" t="n">
        <v>2017</v>
      </c>
      <c r="C10" t="s">
        <v>58</v>
      </c>
      <c r="D10" t="s">
        <v>46</v>
      </c>
      <c r="E10" s="35" t="s">
        <v>60</v>
      </c>
      <c r="F10" t="s">
        <v>48</v>
      </c>
    </row>
    <row r="11">
      <c r="A11" t="s">
        <v>15</v>
      </c>
      <c r="B11" s="2" t="s">
        <v>85</v>
      </c>
      <c r="C11" t="s">
        <v>15</v>
      </c>
      <c r="D11" t="s">
        <v>61</v>
      </c>
      <c r="E11" s="35" t="s">
        <v>62</v>
      </c>
      <c r="F11" t="s">
        <v>48</v>
      </c>
    </row>
    <row r="12">
      <c r="A12" t="s">
        <v>16</v>
      </c>
      <c r="B12" s="2" t="s">
        <v>114</v>
      </c>
      <c r="C12" t="s">
        <v>63</v>
      </c>
      <c r="D12" t="s">
        <v>61</v>
      </c>
      <c r="E12" s="35" t="s">
        <v>64</v>
      </c>
      <c r="F12" t="s">
        <v>48</v>
      </c>
    </row>
    <row r="13">
      <c r="A13" t="s">
        <v>17</v>
      </c>
      <c r="B13" s="2" t="s">
        <v>115</v>
      </c>
      <c r="C13" t="s">
        <v>63</v>
      </c>
      <c r="D13" t="s">
        <v>46</v>
      </c>
      <c r="E13" s="35" t="s">
        <v>65</v>
      </c>
      <c r="F13" t="s">
        <v>48</v>
      </c>
    </row>
    <row r="14">
      <c r="A14" t="s">
        <v>18</v>
      </c>
      <c r="B14" s="12" t="n">
        <v>0</v>
      </c>
      <c r="C14" t="s">
        <v>66</v>
      </c>
      <c r="D14" t="s">
        <v>46</v>
      </c>
      <c r="E14" s="35" t="s">
        <v>67</v>
      </c>
      <c r="F14" t="s">
        <v>68</v>
      </c>
    </row>
    <row r="15">
      <c r="A15" t="s">
        <v>19</v>
      </c>
      <c r="B15" s="13" t="n">
        <v>0.001</v>
      </c>
      <c r="C15" t="s">
        <v>69</v>
      </c>
      <c r="D15" t="s">
        <v>70</v>
      </c>
      <c r="E15" s="35" t="s">
        <v>71</v>
      </c>
      <c r="F15" t="s">
        <v>72</v>
      </c>
    </row>
    <row r="16">
      <c r="A16" t="s">
        <v>20</v>
      </c>
      <c r="B16" s="14" t="n">
        <v>1000</v>
      </c>
      <c r="C16" t="s">
        <v>73</v>
      </c>
      <c r="D16" t="s">
        <v>70</v>
      </c>
      <c r="E16" s="35" t="s">
        <v>74</v>
      </c>
      <c r="F16" t="s">
        <v>72</v>
      </c>
    </row>
    <row r="17">
      <c r="A17" t="s">
        <v>21</v>
      </c>
      <c r="B17" s="15" t="n">
        <v>0</v>
      </c>
      <c r="C17" t="s">
        <v>75</v>
      </c>
      <c r="D17" t="s">
        <v>76</v>
      </c>
      <c r="E17" s="35" t="s">
        <v>77</v>
      </c>
      <c r="F17" t="s">
        <v>78</v>
      </c>
    </row>
    <row r="18">
      <c r="A18" t="s">
        <v>22</v>
      </c>
      <c r="B18" s="16" t="n">
        <v>107.59</v>
      </c>
      <c r="C18" t="s">
        <v>73</v>
      </c>
      <c r="D18" t="s">
        <v>76</v>
      </c>
      <c r="E18" s="35" t="s">
        <v>79</v>
      </c>
      <c r="F18" t="s">
        <v>78</v>
      </c>
    </row>
    <row r="19">
      <c r="A19" t="s">
        <v>23</v>
      </c>
      <c r="B19" s="17" t="n">
        <v>1</v>
      </c>
      <c r="C19" t="s">
        <v>75</v>
      </c>
      <c r="D19" t="s">
        <v>76</v>
      </c>
      <c r="E19" s="35" t="s">
        <v>80</v>
      </c>
      <c r="F19" t="s">
        <v>78</v>
      </c>
    </row>
    <row r="20">
      <c r="A20" t="s">
        <v>24</v>
      </c>
      <c r="B20" s="18" t="n">
        <v>1031276.67896663</v>
      </c>
      <c r="C20" t="s">
        <v>81</v>
      </c>
      <c r="D20" t="s">
        <v>82</v>
      </c>
      <c r="E20" s="35" t="s">
        <v>83</v>
      </c>
      <c r="F20" t="s">
        <v>84</v>
      </c>
    </row>
    <row r="21">
      <c r="A21" t="s">
        <v>25</v>
      </c>
      <c r="B21" s="19" t="n">
        <v>323348565.361053</v>
      </c>
      <c r="C21" t="s">
        <v>85</v>
      </c>
      <c r="D21" t="s">
        <v>82</v>
      </c>
      <c r="E21" s="35" t="s">
        <v>86</v>
      </c>
      <c r="F21" t="s">
        <v>84</v>
      </c>
    </row>
    <row r="22">
      <c r="A22" t="s">
        <v>26</v>
      </c>
      <c r="B22" s="20" t="n">
        <v>313.542012493736</v>
      </c>
      <c r="C22" t="s">
        <v>87</v>
      </c>
      <c r="D22" t="s">
        <v>82</v>
      </c>
      <c r="E22" s="35" t="s">
        <v>88</v>
      </c>
      <c r="F22" t="s">
        <v>84</v>
      </c>
    </row>
    <row r="23">
      <c r="A23" t="s">
        <v>27</v>
      </c>
      <c r="B23" s="3" t="s">
        <v>116</v>
      </c>
      <c r="C23" t="s">
        <v>50</v>
      </c>
      <c r="D23" t="s">
        <v>82</v>
      </c>
      <c r="E23" s="35" t="s">
        <v>89</v>
      </c>
      <c r="F23" t="s">
        <v>84</v>
      </c>
    </row>
    <row r="24">
      <c r="A24" t="s">
        <v>28</v>
      </c>
      <c r="B24" s="21" t="n">
        <v>2025</v>
      </c>
      <c r="C24" t="s">
        <v>45</v>
      </c>
      <c r="D24" t="s">
        <v>90</v>
      </c>
      <c r="E24" s="35" t="s">
        <v>91</v>
      </c>
      <c r="F24" t="s">
        <v>92</v>
      </c>
    </row>
    <row r="25">
      <c r="A25" t="s">
        <v>29</v>
      </c>
      <c r="B25" s="22" t="n">
        <v>0.03</v>
      </c>
      <c r="C25" t="s">
        <v>56</v>
      </c>
      <c r="D25" t="s">
        <v>90</v>
      </c>
      <c r="E25" s="35" t="s">
        <v>93</v>
      </c>
      <c r="F25" t="s">
        <v>92</v>
      </c>
    </row>
    <row r="26">
      <c r="A26" t="s">
        <v>30</v>
      </c>
      <c r="B26" s="23" t="n">
        <v>0.03</v>
      </c>
      <c r="C26" t="s">
        <v>56</v>
      </c>
      <c r="D26" t="s">
        <v>90</v>
      </c>
      <c r="E26" s="35" t="s">
        <v>94</v>
      </c>
      <c r="F26" t="s">
        <v>92</v>
      </c>
    </row>
    <row r="27">
      <c r="A27" t="s">
        <v>31</v>
      </c>
      <c r="B27" s="24" t="n">
        <v>0.08</v>
      </c>
      <c r="C27" t="s">
        <v>56</v>
      </c>
      <c r="D27" t="s">
        <v>90</v>
      </c>
      <c r="E27" s="35" t="s">
        <v>95</v>
      </c>
      <c r="F27" t="s">
        <v>92</v>
      </c>
    </row>
    <row r="28">
      <c r="A28" t="s">
        <v>32</v>
      </c>
      <c r="B28" s="25" t="n">
        <v>160</v>
      </c>
      <c r="C28" t="s">
        <v>96</v>
      </c>
      <c r="D28" t="s">
        <v>90</v>
      </c>
      <c r="E28" s="35" t="s">
        <v>97</v>
      </c>
      <c r="F28" t="s">
        <v>92</v>
      </c>
    </row>
    <row r="29">
      <c r="A29" t="s">
        <v>33</v>
      </c>
      <c r="B29" s="26" t="n">
        <v>1.5</v>
      </c>
      <c r="C29" t="s">
        <v>98</v>
      </c>
      <c r="D29" t="s">
        <v>90</v>
      </c>
      <c r="E29" s="35" t="s">
        <v>99</v>
      </c>
      <c r="F29" t="s">
        <v>92</v>
      </c>
    </row>
    <row r="30">
      <c r="A30" t="s">
        <v>34</v>
      </c>
      <c r="B30" s="27" t="n">
        <v>20</v>
      </c>
      <c r="C30" t="s">
        <v>96</v>
      </c>
      <c r="D30" t="s">
        <v>90</v>
      </c>
      <c r="E30" s="35" t="s">
        <v>100</v>
      </c>
      <c r="F30" t="s">
        <v>92</v>
      </c>
    </row>
    <row r="31">
      <c r="A31" t="s">
        <v>35</v>
      </c>
      <c r="B31" s="28" t="n">
        <v>100</v>
      </c>
      <c r="C31" t="s">
        <v>96</v>
      </c>
      <c r="D31" t="s">
        <v>90</v>
      </c>
      <c r="E31" s="35" t="s">
        <v>101</v>
      </c>
      <c r="F31" t="s">
        <v>92</v>
      </c>
    </row>
    <row r="32">
      <c r="A32" t="s">
        <v>36</v>
      </c>
      <c r="B32" s="29" t="n">
        <v>160</v>
      </c>
      <c r="C32" t="s">
        <v>96</v>
      </c>
      <c r="D32" t="s">
        <v>90</v>
      </c>
      <c r="E32" s="35" t="s">
        <v>102</v>
      </c>
      <c r="F32" t="s">
        <v>92</v>
      </c>
    </row>
    <row r="33">
      <c r="A33" t="s">
        <v>37</v>
      </c>
      <c r="B33" s="30" t="n">
        <v>15</v>
      </c>
      <c r="C33" t="s">
        <v>103</v>
      </c>
      <c r="D33" t="s">
        <v>90</v>
      </c>
      <c r="E33" s="35" t="s">
        <v>104</v>
      </c>
      <c r="F33" t="s">
        <v>92</v>
      </c>
    </row>
    <row r="34">
      <c r="A34" t="s">
        <v>38</v>
      </c>
      <c r="B34" s="31" t="n">
        <v>64</v>
      </c>
      <c r="C34" t="s">
        <v>103</v>
      </c>
      <c r="D34" t="s">
        <v>90</v>
      </c>
      <c r="E34" s="35" t="s">
        <v>105</v>
      </c>
      <c r="F34" t="s">
        <v>92</v>
      </c>
    </row>
    <row r="35">
      <c r="A35" t="s">
        <v>39</v>
      </c>
      <c r="B35" s="2" t="s">
        <v>117</v>
      </c>
      <c r="C35" t="s">
        <v>63</v>
      </c>
      <c r="D35" t="s">
        <v>90</v>
      </c>
      <c r="E35" s="35" t="s">
        <v>106</v>
      </c>
      <c r="F35" t="s">
        <v>92</v>
      </c>
    </row>
    <row r="36">
      <c r="A36" t="s">
        <v>40</v>
      </c>
      <c r="B36" s="32" t="n">
        <v>2023</v>
      </c>
      <c r="C36" t="s">
        <v>45</v>
      </c>
      <c r="D36" t="s">
        <v>90</v>
      </c>
      <c r="E36" s="35" t="s">
        <v>107</v>
      </c>
      <c r="F36" t="s">
        <v>92</v>
      </c>
    </row>
    <row r="37">
      <c r="A37" t="s">
        <v>41</v>
      </c>
      <c r="B37" s="33" t="n">
        <v>3</v>
      </c>
      <c r="C37" t="s">
        <v>108</v>
      </c>
      <c r="D37" t="s">
        <v>90</v>
      </c>
      <c r="E37" s="35" t="s">
        <v>109</v>
      </c>
      <c r="F37" t="s">
        <v>92</v>
      </c>
    </row>
    <row r="38">
      <c r="A38" t="s">
        <v>42</v>
      </c>
      <c r="B38" s="2" t="s">
        <v>118</v>
      </c>
      <c r="C38" t="s">
        <v>63</v>
      </c>
      <c r="D38" t="s">
        <v>90</v>
      </c>
      <c r="E38" s="35" t="s">
        <v>110</v>
      </c>
      <c r="F38" t="s">
        <v>92</v>
      </c>
    </row>
    <row r="39">
      <c r="A39" t="s">
        <v>43</v>
      </c>
      <c r="B39" s="2" t="s">
        <v>119</v>
      </c>
      <c r="C39" t="s">
        <v>63</v>
      </c>
      <c r="D39" t="s">
        <v>90</v>
      </c>
      <c r="E39" s="35" t="s">
        <v>111</v>
      </c>
      <c r="F39" t="s">
        <v>92</v>
      </c>
    </row>
    <row r="40">
      <c r="A40" t="s">
        <v>44</v>
      </c>
      <c r="B40" s="34" t="n">
        <v>0.0748813741634316</v>
      </c>
      <c r="C40" t="s">
        <v>56</v>
      </c>
      <c r="D40" t="s">
        <v>90</v>
      </c>
      <c r="E40" s="35" t="s">
        <v>112</v>
      </c>
      <c r="F40" t="s">
        <v>92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22.71" hidden="0" customWidth="1"/>
  </cols>
  <sheetData>
    <row r="1" ht="22" customHeight="1">
      <c r="A1" s="36" t="s">
        <v>120</v>
      </c>
    </row>
    <row r="3">
      <c r="A3" s="1" t="s">
        <v>121</v>
      </c>
      <c r="B3" s="1" t="s">
        <v>122</v>
      </c>
    </row>
    <row r="4">
      <c r="A4" t="s">
        <v>123</v>
      </c>
      <c r="B4" s="35" t="s">
        <v>124</v>
      </c>
    </row>
    <row r="5">
      <c r="A5" t="s">
        <v>125</v>
      </c>
      <c r="B5" s="35" t="s">
        <v>126</v>
      </c>
    </row>
    <row r="6">
      <c r="A6" t="s">
        <v>127</v>
      </c>
      <c r="B6" s="35" t="s">
        <v>128</v>
      </c>
    </row>
    <row r="7">
      <c r="A7" t="s">
        <v>129</v>
      </c>
      <c r="B7" s="35" t="s">
        <v>130</v>
      </c>
    </row>
    <row r="8">
      <c r="A8" t="s">
        <v>131</v>
      </c>
      <c r="B8" s="35" t="s">
        <v>132</v>
      </c>
    </row>
    <row r="9">
      <c r="A9" t="s">
        <v>133</v>
      </c>
      <c r="B9" s="35" t="s">
        <v>134</v>
      </c>
    </row>
    <row r="10">
      <c r="A10" t="s">
        <v>135</v>
      </c>
      <c r="B10" s="35" t="s">
        <v>136</v>
      </c>
    </row>
    <row r="11">
      <c r="A11" t="s">
        <v>137</v>
      </c>
      <c r="B11" s="35" t="s">
        <v>138</v>
      </c>
    </row>
    <row r="12">
      <c r="A12" t="s">
        <v>139</v>
      </c>
      <c r="B12" s="35" t="s">
        <v>140</v>
      </c>
    </row>
    <row r="13">
      <c r="A13" t="s">
        <v>141</v>
      </c>
      <c r="B13" s="35" t="s">
        <v>142</v>
      </c>
    </row>
    <row r="14">
      <c r="A14" t="s">
        <v>143</v>
      </c>
      <c r="B14" s="35" t="s">
        <v>144</v>
      </c>
    </row>
    <row r="15">
      <c r="A15" t="s">
        <v>145</v>
      </c>
      <c r="B15" s="35" t="s">
        <v>146</v>
      </c>
    </row>
    <row r="16">
      <c r="A16" t="s">
        <v>147</v>
      </c>
      <c r="B16" s="35" t="s">
        <v>148</v>
      </c>
    </row>
    <row r="17">
      <c r="A17" t="s">
        <v>149</v>
      </c>
      <c r="B17" s="35" t="s">
        <v>150</v>
      </c>
    </row>
    <row r="18">
      <c r="A18" t="s">
        <v>151</v>
      </c>
      <c r="B18" s="35" t="s">
        <v>152</v>
      </c>
    </row>
    <row r="19">
      <c r="A19" t="s">
        <v>153</v>
      </c>
      <c r="B19" s="35" t="s">
        <v>154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4.71" hidden="0" customWidth="1"/>
  </cols>
  <sheetData>
    <row r="1" ht="28" customHeight="1">
      <c r="A1" s="1" t="s">
        <v>155</v>
      </c>
      <c r="B1" s="1" t="s">
        <v>1</v>
      </c>
    </row>
    <row r="2">
      <c r="A2" t="s">
        <v>156</v>
      </c>
      <c r="B2" t="s">
        <v>157</v>
      </c>
    </row>
    <row r="3">
      <c r="A3" t="s">
        <v>158</v>
      </c>
      <c r="B3" t="s">
        <v>159</v>
      </c>
    </row>
    <row r="4">
      <c r="A4" t="s">
        <v>160</v>
      </c>
      <c r="B4" t="s">
        <v>161</v>
      </c>
    </row>
    <row r="5">
      <c r="A5" t="s">
        <v>162</v>
      </c>
      <c r="B5" t="s">
        <v>163</v>
      </c>
    </row>
    <row r="6">
      <c r="A6" t="s">
        <v>164</v>
      </c>
      <c r="B6" t="s">
        <v>165</v>
      </c>
    </row>
    <row r="7">
      <c r="A7" t="s">
        <v>166</v>
      </c>
      <c r="B7" t="s">
        <v>167</v>
      </c>
    </row>
    <row r="8">
      <c r="A8" t="s">
        <v>168</v>
      </c>
      <c r="B8" s="37" t="str">
        <f>'Calculation_Assumptions'!$B$2&amp;"-"&amp;'Calculation_Assumptions'!$B$3</f>
      </c>
    </row>
    <row r="9">
      <c r="A9" t="s">
        <v>170</v>
      </c>
      <c r="B9" s="37" t="str">
        <f>'Calculation_Assumptions'!$B$4</f>
      </c>
    </row>
    <row r="10">
      <c r="A10" t="s">
        <v>171</v>
      </c>
      <c r="B10" t="s">
        <v>172</v>
      </c>
    </row>
    <row r="11">
      <c r="A11" t="s">
        <v>173</v>
      </c>
      <c r="B11" s="38" t="str">
        <f>'Calculation_Assumptions'!$B$8</f>
      </c>
    </row>
    <row r="12">
      <c r="A12" t="s">
        <v>59</v>
      </c>
      <c r="B12" t="s">
        <v>175</v>
      </c>
    </row>
    <row r="13">
      <c r="A13" t="s">
        <v>176</v>
      </c>
      <c r="B13" t="s">
        <v>85</v>
      </c>
    </row>
    <row r="14">
      <c r="A14" t="s">
        <v>177</v>
      </c>
      <c r="B14" t="s">
        <v>114</v>
      </c>
    </row>
    <row r="15">
      <c r="A15" t="s">
        <v>178</v>
      </c>
      <c r="B15" t="s">
        <v>179</v>
      </c>
    </row>
    <row r="16">
      <c r="A16" t="s">
        <v>180</v>
      </c>
      <c r="B16" t="s">
        <v>181</v>
      </c>
    </row>
    <row r="17">
      <c r="A17" t="s">
        <v>182</v>
      </c>
      <c r="B17" t="s">
        <v>183</v>
      </c>
    </row>
    <row r="18">
      <c r="A18" t="s">
        <v>184</v>
      </c>
      <c r="B18" t="s">
        <v>185</v>
      </c>
    </row>
    <row r="19">
      <c r="A19" t="s">
        <v>186</v>
      </c>
      <c r="B19" t="s">
        <v>187</v>
      </c>
    </row>
    <row r="20">
      <c r="A20" t="s">
        <v>188</v>
      </c>
      <c r="B20" t="s">
        <v>189</v>
      </c>
    </row>
    <row r="21">
      <c r="A21" t="s">
        <v>190</v>
      </c>
      <c r="B21" t="s">
        <v>191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9.71" hidden="0" customWidth="1"/>
    <col min="4" max="4" width="11.71" hidden="0" customWidth="1"/>
    <col min="5" max="5" width="11.71" hidden="0" customWidth="1"/>
    <col min="6" max="6" width="12.71" hidden="0" customWidth="1"/>
    <col min="7" max="7" width="14.71" hidden="0" customWidth="1"/>
    <col min="8" max="8" width="18.71" hidden="0" customWidth="1"/>
    <col min="9" max="9" width="17.71" hidden="0" customWidth="1"/>
    <col min="10" max="10" width="15.71" hidden="0" customWidth="1"/>
    <col min="11" max="11" width="19.71" hidden="0" customWidth="1"/>
    <col min="12" max="12" width="17.71" hidden="0" customWidth="1"/>
    <col min="13" max="13" width="16.71" hidden="0" customWidth="1"/>
    <col min="14" max="14" width="11.71" hidden="0" customWidth="1"/>
    <col min="15" max="15" width="11.71" hidden="0" customWidth="1"/>
    <col min="16" max="16" width="15.71" hidden="0" customWidth="1"/>
    <col min="17" max="17" width="21.71" hidden="0" customWidth="1"/>
    <col min="18" max="18" width="22.71" hidden="0" customWidth="1"/>
    <col min="19" max="19" width="23.71" hidden="0" customWidth="1"/>
    <col min="20" max="20" width="24.71" hidden="0" customWidth="1"/>
    <col min="21" max="21" width="24.71" hidden="0" customWidth="1"/>
    <col min="22" max="22" width="15.71" hidden="0" customWidth="1"/>
    <col min="23" max="23" width="15.71" hidden="0" customWidth="1"/>
    <col min="24" max="24" width="11.71" hidden="0" customWidth="1"/>
    <col min="25" max="25" width="16.71" hidden="0" customWidth="1"/>
    <col min="26" max="26" width="19.71" hidden="0" customWidth="1"/>
    <col min="27" max="27" width="19.71" hidden="0" customWidth="1"/>
    <col min="28" max="28" width="19.71" hidden="0" customWidth="1"/>
  </cols>
  <sheetData>
    <row r="1" ht="28" customHeight="1">
      <c r="A1" s="1" t="s">
        <v>192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  <c r="Q1" s="1" t="s">
        <v>208</v>
      </c>
      <c r="R1" s="1" t="s">
        <v>10</v>
      </c>
      <c r="S1" s="1" t="s">
        <v>209</v>
      </c>
      <c r="T1" s="1" t="s">
        <v>210</v>
      </c>
      <c r="U1" s="1" t="s">
        <v>211</v>
      </c>
      <c r="V1" s="1" t="s">
        <v>212</v>
      </c>
      <c r="W1" s="1" t="s">
        <v>213</v>
      </c>
      <c r="X1" s="1" t="s">
        <v>214</v>
      </c>
      <c r="Y1" s="1" t="s">
        <v>215</v>
      </c>
      <c r="Z1" s="1" t="s">
        <v>216</v>
      </c>
      <c r="AA1" s="1" t="s">
        <v>217</v>
      </c>
      <c r="AB1" s="1" t="s">
        <v>218</v>
      </c>
    </row>
    <row r="2">
      <c r="A2" t="s">
        <v>219</v>
      </c>
      <c r="B2" t="s">
        <v>220</v>
      </c>
      <c r="C2" t="s">
        <v>221</v>
      </c>
      <c r="D2" t="s">
        <v>222</v>
      </c>
      <c r="E2" t="s">
        <v>223</v>
      </c>
      <c r="F2" t="s">
        <v>224</v>
      </c>
      <c r="G2" t="s">
        <v>225</v>
      </c>
      <c r="H2" t="s">
        <v>226</v>
      </c>
      <c r="I2" t="s">
        <v>227</v>
      </c>
      <c r="J2" t="s">
        <v>228</v>
      </c>
      <c r="K2" s="39" t="n">
        <v>0.303</v>
      </c>
      <c r="L2" s="40" t="n">
        <v>0.274215</v>
      </c>
      <c r="M2" s="41" t="n">
        <v>1.37</v>
      </c>
      <c r="N2" s="42"/>
      <c r="O2" t="s">
        <v>229</v>
      </c>
      <c r="P2" s="43" t="n">
        <v>0.0615144568129612</v>
      </c>
      <c r="Q2" s="44" t="n">
        <v>2026</v>
      </c>
      <c r="R2" s="45" t="n">
        <v>2030</v>
      </c>
      <c r="S2" s="46" t="str">
        <f>1-(1+L2*(M2-1))/(1+K2*(M2-1))</f>
      </c>
      <c r="T2" s="47" t="str">
        <f>K2-L2</f>
      </c>
      <c r="U2" s="48" t="str">
        <f>IF(K2=0,0,(K2-L2)/K2)</f>
      </c>
      <c r="V2" s="49" t="s">
        <v>230</v>
      </c>
      <c r="W2" t="s">
        <v>231</v>
      </c>
      <c r="X2" s="50" t="str">
        <f>COUNTIF($B$2:$B$29,B2)</f>
      </c>
      <c r="Y2" s="37" t="str">
        <f>IF(X2=1,"OK","DUPLICATE KEY")</f>
      </c>
      <c r="Z2" t="s">
        <v>219</v>
      </c>
      <c r="AA2" t="s">
        <v>232</v>
      </c>
      <c r="AB2" t="s">
        <v>189</v>
      </c>
    </row>
    <row r="3">
      <c r="A3" t="s">
        <v>219</v>
      </c>
      <c r="B3" t="s">
        <v>233</v>
      </c>
      <c r="C3" t="s">
        <v>221</v>
      </c>
      <c r="D3" t="s">
        <v>222</v>
      </c>
      <c r="E3" t="s">
        <v>234</v>
      </c>
      <c r="F3" t="s">
        <v>235</v>
      </c>
      <c r="G3" t="s">
        <v>225</v>
      </c>
      <c r="H3" t="s">
        <v>226</v>
      </c>
      <c r="I3" t="s">
        <v>227</v>
      </c>
      <c r="J3" t="s">
        <v>228</v>
      </c>
      <c r="K3" s="39" t="n">
        <v>0.303</v>
      </c>
      <c r="L3" s="40" t="n">
        <v>0.274215</v>
      </c>
      <c r="M3" s="41" t="n">
        <v>1.19</v>
      </c>
      <c r="N3" s="42"/>
      <c r="O3" t="s">
        <v>236</v>
      </c>
      <c r="P3" s="43" t="n">
        <v>0.0616</v>
      </c>
      <c r="Q3" s="44" t="n">
        <v>2026</v>
      </c>
      <c r="R3" s="45" t="n">
        <v>2030</v>
      </c>
      <c r="S3" s="46" t="str">
        <f>1-(1+L3*(M3-1))/(1+K3*(M3-1))</f>
      </c>
      <c r="T3" s="47" t="str">
        <f>K3-L3</f>
      </c>
      <c r="U3" s="48" t="str">
        <f>IF(K3=0,0,(K3-L3)/K3)</f>
      </c>
      <c r="V3" s="49" t="s">
        <v>230</v>
      </c>
      <c r="W3" t="s">
        <v>231</v>
      </c>
      <c r="X3" s="50" t="str">
        <f>COUNTIF($B$2:$B$29,B3)</f>
      </c>
      <c r="Y3" s="37" t="str">
        <f>IF(X3=1,"OK","DUPLICATE KEY")</f>
      </c>
      <c r="Z3" t="s">
        <v>219</v>
      </c>
      <c r="AA3" t="s">
        <v>232</v>
      </c>
      <c r="AB3" t="s">
        <v>189</v>
      </c>
    </row>
    <row r="4">
      <c r="A4" t="s">
        <v>219</v>
      </c>
      <c r="B4" t="s">
        <v>237</v>
      </c>
      <c r="C4" t="s">
        <v>221</v>
      </c>
      <c r="D4" t="s">
        <v>222</v>
      </c>
      <c r="E4" t="s">
        <v>234</v>
      </c>
      <c r="F4" t="s">
        <v>235</v>
      </c>
      <c r="G4" t="s">
        <v>238</v>
      </c>
      <c r="H4" t="s">
        <v>239</v>
      </c>
      <c r="I4" t="s">
        <v>228</v>
      </c>
      <c r="J4" t="s">
        <v>240</v>
      </c>
      <c r="K4" s="39" t="n">
        <v>0.303</v>
      </c>
      <c r="L4" s="40" t="n">
        <v>0.274215</v>
      </c>
      <c r="M4" s="41" t="n">
        <v>3</v>
      </c>
      <c r="N4" s="42"/>
      <c r="O4" t="s">
        <v>236</v>
      </c>
      <c r="P4" s="43" t="n">
        <v>0.0616</v>
      </c>
      <c r="Q4" s="44" t="n">
        <v>2026</v>
      </c>
      <c r="R4" s="45" t="n">
        <v>2030</v>
      </c>
      <c r="S4" s="46" t="str">
        <f>IFERROR(N4*M4,0)</f>
      </c>
      <c r="T4" s="47" t="str">
        <f>K4-L4</f>
      </c>
      <c r="U4" s="48" t="str">
        <f>IF(K4=0,0,(K4-L4)/K4)</f>
      </c>
      <c r="V4" s="49" t="s">
        <v>230</v>
      </c>
      <c r="W4" t="s">
        <v>241</v>
      </c>
      <c r="X4" s="50" t="str">
        <f>COUNTIF($B$2:$B$29,B4)</f>
      </c>
      <c r="Y4" s="37" t="str">
        <f>IF(X4=1,"OK","DUPLICATE KEY")</f>
      </c>
      <c r="Z4" t="s">
        <v>219</v>
      </c>
      <c r="AA4" t="s">
        <v>232</v>
      </c>
      <c r="AB4" t="s">
        <v>189</v>
      </c>
    </row>
    <row r="5">
      <c r="A5" t="s">
        <v>219</v>
      </c>
      <c r="B5" t="s">
        <v>242</v>
      </c>
      <c r="C5" t="s">
        <v>221</v>
      </c>
      <c r="D5" t="s">
        <v>222</v>
      </c>
      <c r="E5" t="s">
        <v>243</v>
      </c>
      <c r="F5" t="s">
        <v>244</v>
      </c>
      <c r="G5" t="s">
        <v>225</v>
      </c>
      <c r="H5" t="s">
        <v>226</v>
      </c>
      <c r="I5" t="s">
        <v>227</v>
      </c>
      <c r="J5" t="s">
        <v>228</v>
      </c>
      <c r="K5" s="39" t="n">
        <v>0.303</v>
      </c>
      <c r="L5" s="40" t="n">
        <v>0.274215</v>
      </c>
      <c r="M5" s="41" t="n">
        <v>1.6</v>
      </c>
      <c r="N5" s="42"/>
      <c r="O5" t="s">
        <v>236</v>
      </c>
      <c r="P5" s="43" t="n">
        <v>0.0616</v>
      </c>
      <c r="Q5" s="44" t="n">
        <v>2026</v>
      </c>
      <c r="R5" s="45" t="n">
        <v>2030</v>
      </c>
      <c r="S5" s="46" t="str">
        <f>1-(1+L5*(M5-1))/(1+K5*(M5-1))</f>
      </c>
      <c r="T5" s="47" t="str">
        <f>K5-L5</f>
      </c>
      <c r="U5" s="48" t="str">
        <f>IF(K5=0,0,(K5-L5)/K5)</f>
      </c>
      <c r="V5" s="49" t="s">
        <v>230</v>
      </c>
      <c r="W5" t="s">
        <v>231</v>
      </c>
      <c r="X5" s="50" t="str">
        <f>COUNTIF($B$2:$B$29,B5)</f>
      </c>
      <c r="Y5" s="37" t="str">
        <f>IF(X5=1,"OK","DUPLICATE KEY")</f>
      </c>
      <c r="Z5" t="s">
        <v>219</v>
      </c>
      <c r="AA5" t="s">
        <v>232</v>
      </c>
      <c r="AB5" t="s">
        <v>189</v>
      </c>
    </row>
    <row r="6">
      <c r="A6" t="s">
        <v>219</v>
      </c>
      <c r="B6" t="s">
        <v>245</v>
      </c>
      <c r="C6" t="s">
        <v>221</v>
      </c>
      <c r="D6" t="s">
        <v>222</v>
      </c>
      <c r="E6" t="s">
        <v>243</v>
      </c>
      <c r="F6" t="s">
        <v>244</v>
      </c>
      <c r="G6" t="s">
        <v>238</v>
      </c>
      <c r="H6" t="s">
        <v>239</v>
      </c>
      <c r="I6" t="s">
        <v>228</v>
      </c>
      <c r="J6" t="s">
        <v>240</v>
      </c>
      <c r="K6" s="39" t="n">
        <v>0.303</v>
      </c>
      <c r="L6" s="40" t="n">
        <v>0.274215</v>
      </c>
      <c r="M6" s="41" t="n">
        <v>3</v>
      </c>
      <c r="N6" s="42"/>
      <c r="O6" t="s">
        <v>236</v>
      </c>
      <c r="P6" s="43" t="n">
        <v>0.0616</v>
      </c>
      <c r="Q6" s="44" t="n">
        <v>2026</v>
      </c>
      <c r="R6" s="45" t="n">
        <v>2030</v>
      </c>
      <c r="S6" s="46" t="str">
        <f>IFERROR(N6*M6,0)</f>
      </c>
      <c r="T6" s="47" t="str">
        <f>K6-L6</f>
      </c>
      <c r="U6" s="48" t="str">
        <f>IF(K6=0,0,(K6-L6)/K6)</f>
      </c>
      <c r="V6" s="49" t="s">
        <v>230</v>
      </c>
      <c r="W6" t="s">
        <v>241</v>
      </c>
      <c r="X6" s="50" t="str">
        <f>COUNTIF($B$2:$B$29,B6)</f>
      </c>
      <c r="Y6" s="37" t="str">
        <f>IF(X6=1,"OK","DUPLICATE KEY")</f>
      </c>
      <c r="Z6" t="s">
        <v>219</v>
      </c>
      <c r="AA6" t="s">
        <v>232</v>
      </c>
      <c r="AB6" t="s">
        <v>189</v>
      </c>
    </row>
    <row r="7">
      <c r="A7" t="s">
        <v>219</v>
      </c>
      <c r="B7" t="s">
        <v>246</v>
      </c>
      <c r="C7" t="s">
        <v>221</v>
      </c>
      <c r="D7" t="s">
        <v>222</v>
      </c>
      <c r="E7" t="s">
        <v>247</v>
      </c>
      <c r="F7" t="s">
        <v>248</v>
      </c>
      <c r="G7" t="s">
        <v>225</v>
      </c>
      <c r="H7" t="s">
        <v>226</v>
      </c>
      <c r="I7" t="s">
        <v>227</v>
      </c>
      <c r="J7" t="s">
        <v>228</v>
      </c>
      <c r="K7" s="39" t="n">
        <v>0.303</v>
      </c>
      <c r="L7" s="40" t="n">
        <v>0.274215</v>
      </c>
      <c r="M7" s="41" t="n">
        <v>1.38</v>
      </c>
      <c r="N7" s="42"/>
      <c r="O7" t="s">
        <v>236</v>
      </c>
      <c r="P7" s="43" t="n">
        <v>0.0616</v>
      </c>
      <c r="Q7" s="44" t="n">
        <v>2026</v>
      </c>
      <c r="R7" s="45" t="n">
        <v>2030</v>
      </c>
      <c r="S7" s="46" t="str">
        <f>1-(1+L7*(M7-1))/(1+K7*(M7-1))</f>
      </c>
      <c r="T7" s="47" t="str">
        <f>K7-L7</f>
      </c>
      <c r="U7" s="48" t="str">
        <f>IF(K7=0,0,(K7-L7)/K7)</f>
      </c>
      <c r="V7" s="49" t="s">
        <v>230</v>
      </c>
      <c r="W7" t="s">
        <v>231</v>
      </c>
      <c r="X7" s="50" t="str">
        <f>COUNTIF($B$2:$B$29,B7)</f>
      </c>
      <c r="Y7" s="37" t="str">
        <f>IF(X7=1,"OK","DUPLICATE KEY")</f>
      </c>
      <c r="Z7" t="s">
        <v>219</v>
      </c>
      <c r="AA7" t="s">
        <v>232</v>
      </c>
      <c r="AB7" t="s">
        <v>189</v>
      </c>
    </row>
    <row r="8">
      <c r="A8" t="s">
        <v>219</v>
      </c>
      <c r="B8" t="s">
        <v>249</v>
      </c>
      <c r="C8" t="s">
        <v>221</v>
      </c>
      <c r="D8" t="s">
        <v>222</v>
      </c>
      <c r="E8" t="s">
        <v>247</v>
      </c>
      <c r="F8" t="s">
        <v>248</v>
      </c>
      <c r="G8" t="s">
        <v>238</v>
      </c>
      <c r="H8" t="s">
        <v>239</v>
      </c>
      <c r="I8" t="s">
        <v>228</v>
      </c>
      <c r="J8" t="s">
        <v>240</v>
      </c>
      <c r="K8" s="39" t="n">
        <v>0.303</v>
      </c>
      <c r="L8" s="40" t="n">
        <v>0.274215</v>
      </c>
      <c r="M8" s="41" t="n">
        <v>3</v>
      </c>
      <c r="N8" s="42"/>
      <c r="O8" t="s">
        <v>236</v>
      </c>
      <c r="P8" s="43" t="n">
        <v>0.0616</v>
      </c>
      <c r="Q8" s="44" t="n">
        <v>2026</v>
      </c>
      <c r="R8" s="45" t="n">
        <v>2030</v>
      </c>
      <c r="S8" s="46" t="str">
        <f>IFERROR(N8*M8,0)</f>
      </c>
      <c r="T8" s="47" t="str">
        <f>K8-L8</f>
      </c>
      <c r="U8" s="48" t="str">
        <f>IF(K8=0,0,(K8-L8)/K8)</f>
      </c>
      <c r="V8" s="49" t="s">
        <v>230</v>
      </c>
      <c r="W8" t="s">
        <v>241</v>
      </c>
      <c r="X8" s="50" t="str">
        <f>COUNTIF($B$2:$B$29,B8)</f>
      </c>
      <c r="Y8" s="37" t="str">
        <f>IF(X8=1,"OK","DUPLICATE KEY")</f>
      </c>
      <c r="Z8" t="s">
        <v>219</v>
      </c>
      <c r="AA8" t="s">
        <v>232</v>
      </c>
      <c r="AB8" t="s">
        <v>189</v>
      </c>
    </row>
    <row r="9">
      <c r="A9" t="s">
        <v>250</v>
      </c>
      <c r="B9" t="s">
        <v>251</v>
      </c>
      <c r="C9" t="s">
        <v>252</v>
      </c>
      <c r="D9" t="s">
        <v>222</v>
      </c>
      <c r="E9" t="s">
        <v>223</v>
      </c>
      <c r="F9" t="s">
        <v>224</v>
      </c>
      <c r="G9" t="s">
        <v>225</v>
      </c>
      <c r="H9" t="s">
        <v>226</v>
      </c>
      <c r="I9" t="s">
        <v>227</v>
      </c>
      <c r="J9" t="s">
        <v>228</v>
      </c>
      <c r="K9" s="39" t="n">
        <v>0.303</v>
      </c>
      <c r="L9" s="40" t="n">
        <v>0.29088</v>
      </c>
      <c r="M9" s="41" t="n">
        <v>1.37</v>
      </c>
      <c r="N9" s="42"/>
      <c r="O9" t="s">
        <v>229</v>
      </c>
      <c r="P9" s="43" t="n">
        <v>0.0615144568129612</v>
      </c>
      <c r="Q9" s="44" t="n">
        <v>2026</v>
      </c>
      <c r="R9" s="45" t="n">
        <v>2030</v>
      </c>
      <c r="S9" s="46" t="str">
        <f>1-(1+L9*(M9-1))/(1+K9*(M9-1))</f>
      </c>
      <c r="T9" s="47" t="str">
        <f>K9-L9</f>
      </c>
      <c r="U9" s="48" t="str">
        <f>IF(K9=0,0,(K9-L9)/K9)</f>
      </c>
      <c r="V9" s="49" t="s">
        <v>253</v>
      </c>
      <c r="W9" t="s">
        <v>231</v>
      </c>
      <c r="X9" s="50" t="str">
        <f>COUNTIF($B$2:$B$29,B9)</f>
      </c>
      <c r="Y9" s="37" t="str">
        <f>IF(X9=1,"OK","DUPLICATE KEY")</f>
      </c>
      <c r="Z9" t="s">
        <v>254</v>
      </c>
      <c r="AA9" t="s">
        <v>255</v>
      </c>
      <c r="AB9" t="s">
        <v>189</v>
      </c>
    </row>
    <row r="10">
      <c r="A10" t="s">
        <v>250</v>
      </c>
      <c r="B10" t="s">
        <v>256</v>
      </c>
      <c r="C10" t="s">
        <v>252</v>
      </c>
      <c r="D10" t="s">
        <v>222</v>
      </c>
      <c r="E10" t="s">
        <v>234</v>
      </c>
      <c r="F10" t="s">
        <v>235</v>
      </c>
      <c r="G10" t="s">
        <v>225</v>
      </c>
      <c r="H10" t="s">
        <v>226</v>
      </c>
      <c r="I10" t="s">
        <v>227</v>
      </c>
      <c r="J10" t="s">
        <v>228</v>
      </c>
      <c r="K10" s="39" t="n">
        <v>0.303</v>
      </c>
      <c r="L10" s="40" t="n">
        <v>0.29088</v>
      </c>
      <c r="M10" s="41" t="n">
        <v>1.19</v>
      </c>
      <c r="N10" s="42"/>
      <c r="O10" t="s">
        <v>236</v>
      </c>
      <c r="P10" s="43" t="n">
        <v>0.0616</v>
      </c>
      <c r="Q10" s="44" t="n">
        <v>2026</v>
      </c>
      <c r="R10" s="45" t="n">
        <v>2030</v>
      </c>
      <c r="S10" s="46" t="str">
        <f>1-(1+L10*(M10-1))/(1+K10*(M10-1))</f>
      </c>
      <c r="T10" s="47" t="str">
        <f>K10-L10</f>
      </c>
      <c r="U10" s="48" t="str">
        <f>IF(K10=0,0,(K10-L10)/K10)</f>
      </c>
      <c r="V10" s="49" t="s">
        <v>253</v>
      </c>
      <c r="W10" t="s">
        <v>231</v>
      </c>
      <c r="X10" s="50" t="str">
        <f>COUNTIF($B$2:$B$29,B10)</f>
      </c>
      <c r="Y10" s="37" t="str">
        <f>IF(X10=1,"OK","DUPLICATE KEY")</f>
      </c>
      <c r="Z10" t="s">
        <v>254</v>
      </c>
      <c r="AA10" t="s">
        <v>255</v>
      </c>
      <c r="AB10" t="s">
        <v>189</v>
      </c>
    </row>
    <row r="11">
      <c r="A11" t="s">
        <v>250</v>
      </c>
      <c r="B11" t="s">
        <v>257</v>
      </c>
      <c r="C11" t="s">
        <v>252</v>
      </c>
      <c r="D11" t="s">
        <v>222</v>
      </c>
      <c r="E11" t="s">
        <v>234</v>
      </c>
      <c r="F11" t="s">
        <v>235</v>
      </c>
      <c r="G11" t="s">
        <v>238</v>
      </c>
      <c r="H11" t="s">
        <v>239</v>
      </c>
      <c r="I11" t="s">
        <v>228</v>
      </c>
      <c r="J11" t="s">
        <v>240</v>
      </c>
      <c r="K11" s="39" t="n">
        <v>0.303</v>
      </c>
      <c r="L11" s="40" t="n">
        <v>0.29088</v>
      </c>
      <c r="M11" s="41" t="n">
        <v>3</v>
      </c>
      <c r="N11" s="42"/>
      <c r="O11" t="s">
        <v>236</v>
      </c>
      <c r="P11" s="43" t="n">
        <v>0.0616</v>
      </c>
      <c r="Q11" s="44" t="n">
        <v>2026</v>
      </c>
      <c r="R11" s="45" t="n">
        <v>2030</v>
      </c>
      <c r="S11" s="46" t="str">
        <f>IFERROR(N11*M11,0)</f>
      </c>
      <c r="T11" s="47" t="str">
        <f>K11-L11</f>
      </c>
      <c r="U11" s="48" t="str">
        <f>IF(K11=0,0,(K11-L11)/K11)</f>
      </c>
      <c r="V11" s="49" t="s">
        <v>253</v>
      </c>
      <c r="W11" t="s">
        <v>241</v>
      </c>
      <c r="X11" s="50" t="str">
        <f>COUNTIF($B$2:$B$29,B11)</f>
      </c>
      <c r="Y11" s="37" t="str">
        <f>IF(X11=1,"OK","DUPLICATE KEY")</f>
      </c>
      <c r="Z11" t="s">
        <v>254</v>
      </c>
      <c r="AA11" t="s">
        <v>255</v>
      </c>
      <c r="AB11" t="s">
        <v>189</v>
      </c>
    </row>
    <row r="12">
      <c r="A12" t="s">
        <v>250</v>
      </c>
      <c r="B12" t="s">
        <v>258</v>
      </c>
      <c r="C12" t="s">
        <v>252</v>
      </c>
      <c r="D12" t="s">
        <v>222</v>
      </c>
      <c r="E12" t="s">
        <v>243</v>
      </c>
      <c r="F12" t="s">
        <v>244</v>
      </c>
      <c r="G12" t="s">
        <v>225</v>
      </c>
      <c r="H12" t="s">
        <v>226</v>
      </c>
      <c r="I12" t="s">
        <v>227</v>
      </c>
      <c r="J12" t="s">
        <v>228</v>
      </c>
      <c r="K12" s="39" t="n">
        <v>0.303</v>
      </c>
      <c r="L12" s="40" t="n">
        <v>0.29088</v>
      </c>
      <c r="M12" s="41" t="n">
        <v>1.6</v>
      </c>
      <c r="N12" s="42"/>
      <c r="O12" t="s">
        <v>236</v>
      </c>
      <c r="P12" s="43" t="n">
        <v>0.0616</v>
      </c>
      <c r="Q12" s="44" t="n">
        <v>2026</v>
      </c>
      <c r="R12" s="45" t="n">
        <v>2030</v>
      </c>
      <c r="S12" s="46" t="str">
        <f>1-(1+L12*(M12-1))/(1+K12*(M12-1))</f>
      </c>
      <c r="T12" s="47" t="str">
        <f>K12-L12</f>
      </c>
      <c r="U12" s="48" t="str">
        <f>IF(K12=0,0,(K12-L12)/K12)</f>
      </c>
      <c r="V12" s="49" t="s">
        <v>253</v>
      </c>
      <c r="W12" t="s">
        <v>231</v>
      </c>
      <c r="X12" s="50" t="str">
        <f>COUNTIF($B$2:$B$29,B12)</f>
      </c>
      <c r="Y12" s="37" t="str">
        <f>IF(X12=1,"OK","DUPLICATE KEY")</f>
      </c>
      <c r="Z12" t="s">
        <v>254</v>
      </c>
      <c r="AA12" t="s">
        <v>255</v>
      </c>
      <c r="AB12" t="s">
        <v>189</v>
      </c>
    </row>
    <row r="13">
      <c r="A13" t="s">
        <v>250</v>
      </c>
      <c r="B13" t="s">
        <v>259</v>
      </c>
      <c r="C13" t="s">
        <v>252</v>
      </c>
      <c r="D13" t="s">
        <v>222</v>
      </c>
      <c r="E13" t="s">
        <v>243</v>
      </c>
      <c r="F13" t="s">
        <v>244</v>
      </c>
      <c r="G13" t="s">
        <v>238</v>
      </c>
      <c r="H13" t="s">
        <v>239</v>
      </c>
      <c r="I13" t="s">
        <v>228</v>
      </c>
      <c r="J13" t="s">
        <v>240</v>
      </c>
      <c r="K13" s="39" t="n">
        <v>0.303</v>
      </c>
      <c r="L13" s="40" t="n">
        <v>0.29088</v>
      </c>
      <c r="M13" s="41" t="n">
        <v>3</v>
      </c>
      <c r="N13" s="42"/>
      <c r="O13" t="s">
        <v>236</v>
      </c>
      <c r="P13" s="43" t="n">
        <v>0.0616</v>
      </c>
      <c r="Q13" s="44" t="n">
        <v>2026</v>
      </c>
      <c r="R13" s="45" t="n">
        <v>2030</v>
      </c>
      <c r="S13" s="46" t="str">
        <f>IFERROR(N13*M13,0)</f>
      </c>
      <c r="T13" s="47" t="str">
        <f>K13-L13</f>
      </c>
      <c r="U13" s="48" t="str">
        <f>IF(K13=0,0,(K13-L13)/K13)</f>
      </c>
      <c r="V13" s="49" t="s">
        <v>253</v>
      </c>
      <c r="W13" t="s">
        <v>241</v>
      </c>
      <c r="X13" s="50" t="str">
        <f>COUNTIF($B$2:$B$29,B13)</f>
      </c>
      <c r="Y13" s="37" t="str">
        <f>IF(X13=1,"OK","DUPLICATE KEY")</f>
      </c>
      <c r="Z13" t="s">
        <v>254</v>
      </c>
      <c r="AA13" t="s">
        <v>255</v>
      </c>
      <c r="AB13" t="s">
        <v>189</v>
      </c>
    </row>
    <row r="14">
      <c r="A14" t="s">
        <v>250</v>
      </c>
      <c r="B14" t="s">
        <v>260</v>
      </c>
      <c r="C14" t="s">
        <v>252</v>
      </c>
      <c r="D14" t="s">
        <v>222</v>
      </c>
      <c r="E14" t="s">
        <v>247</v>
      </c>
      <c r="F14" t="s">
        <v>248</v>
      </c>
      <c r="G14" t="s">
        <v>225</v>
      </c>
      <c r="H14" t="s">
        <v>226</v>
      </c>
      <c r="I14" t="s">
        <v>227</v>
      </c>
      <c r="J14" t="s">
        <v>228</v>
      </c>
      <c r="K14" s="39" t="n">
        <v>0.303</v>
      </c>
      <c r="L14" s="40" t="n">
        <v>0.29088</v>
      </c>
      <c r="M14" s="41" t="n">
        <v>1.38</v>
      </c>
      <c r="N14" s="42"/>
      <c r="O14" t="s">
        <v>236</v>
      </c>
      <c r="P14" s="43" t="n">
        <v>0.0616</v>
      </c>
      <c r="Q14" s="44" t="n">
        <v>2026</v>
      </c>
      <c r="R14" s="45" t="n">
        <v>2030</v>
      </c>
      <c r="S14" s="46" t="str">
        <f>1-(1+L14*(M14-1))/(1+K14*(M14-1))</f>
      </c>
      <c r="T14" s="47" t="str">
        <f>K14-L14</f>
      </c>
      <c r="U14" s="48" t="str">
        <f>IF(K14=0,0,(K14-L14)/K14)</f>
      </c>
      <c r="V14" s="49" t="s">
        <v>253</v>
      </c>
      <c r="W14" t="s">
        <v>231</v>
      </c>
      <c r="X14" s="50" t="str">
        <f>COUNTIF($B$2:$B$29,B14)</f>
      </c>
      <c r="Y14" s="37" t="str">
        <f>IF(X14=1,"OK","DUPLICATE KEY")</f>
      </c>
      <c r="Z14" t="s">
        <v>254</v>
      </c>
      <c r="AA14" t="s">
        <v>255</v>
      </c>
      <c r="AB14" t="s">
        <v>189</v>
      </c>
    </row>
    <row r="15">
      <c r="A15" t="s">
        <v>250</v>
      </c>
      <c r="B15" t="s">
        <v>261</v>
      </c>
      <c r="C15" t="s">
        <v>252</v>
      </c>
      <c r="D15" t="s">
        <v>222</v>
      </c>
      <c r="E15" t="s">
        <v>247</v>
      </c>
      <c r="F15" t="s">
        <v>248</v>
      </c>
      <c r="G15" t="s">
        <v>238</v>
      </c>
      <c r="H15" t="s">
        <v>239</v>
      </c>
      <c r="I15" t="s">
        <v>228</v>
      </c>
      <c r="J15" t="s">
        <v>240</v>
      </c>
      <c r="K15" s="39" t="n">
        <v>0.303</v>
      </c>
      <c r="L15" s="40" t="n">
        <v>0.29088</v>
      </c>
      <c r="M15" s="41" t="n">
        <v>3</v>
      </c>
      <c r="N15" s="42"/>
      <c r="O15" t="s">
        <v>236</v>
      </c>
      <c r="P15" s="43" t="n">
        <v>0.0616</v>
      </c>
      <c r="Q15" s="44" t="n">
        <v>2026</v>
      </c>
      <c r="R15" s="45" t="n">
        <v>2030</v>
      </c>
      <c r="S15" s="46" t="str">
        <f>IFERROR(N15*M15,0)</f>
      </c>
      <c r="T15" s="47" t="str">
        <f>K15-L15</f>
      </c>
      <c r="U15" s="48" t="str">
        <f>IF(K15=0,0,(K15-L15)/K15)</f>
      </c>
      <c r="V15" s="49" t="s">
        <v>253</v>
      </c>
      <c r="W15" t="s">
        <v>241</v>
      </c>
      <c r="X15" s="50" t="str">
        <f>COUNTIF($B$2:$B$29,B15)</f>
      </c>
      <c r="Y15" s="37" t="str">
        <f>IF(X15=1,"OK","DUPLICATE KEY")</f>
      </c>
      <c r="Z15" t="s">
        <v>254</v>
      </c>
      <c r="AA15" t="s">
        <v>255</v>
      </c>
      <c r="AB15" t="s">
        <v>189</v>
      </c>
    </row>
    <row r="16">
      <c r="A16" t="s">
        <v>262</v>
      </c>
      <c r="B16" t="s">
        <v>263</v>
      </c>
      <c r="C16" t="s">
        <v>264</v>
      </c>
      <c r="D16" t="s">
        <v>222</v>
      </c>
      <c r="E16" t="s">
        <v>223</v>
      </c>
      <c r="F16" t="s">
        <v>224</v>
      </c>
      <c r="G16" t="s">
        <v>225</v>
      </c>
      <c r="H16" t="s">
        <v>226</v>
      </c>
      <c r="I16" t="s">
        <v>227</v>
      </c>
      <c r="J16" t="s">
        <v>228</v>
      </c>
      <c r="K16" s="39" t="n">
        <v>0.303</v>
      </c>
      <c r="L16" s="40" t="n">
        <v>0.286335</v>
      </c>
      <c r="M16" s="41" t="n">
        <v>1.37</v>
      </c>
      <c r="N16" s="42"/>
      <c r="O16" t="s">
        <v>229</v>
      </c>
      <c r="P16" s="43" t="n">
        <v>0.0615144568129612</v>
      </c>
      <c r="Q16" s="44" t="n">
        <v>2026</v>
      </c>
      <c r="R16" s="45" t="n">
        <v>2030</v>
      </c>
      <c r="S16" s="46" t="str">
        <f>1-(1+L16*(M16-1))/(1+K16*(M16-1))</f>
      </c>
      <c r="T16" s="47" t="str">
        <f>K16-L16</f>
      </c>
      <c r="U16" s="48" t="str">
        <f>IF(K16=0,0,(K16-L16)/K16)</f>
      </c>
      <c r="V16" s="49" t="s">
        <v>265</v>
      </c>
      <c r="W16" t="s">
        <v>231</v>
      </c>
      <c r="X16" s="50" t="str">
        <f>COUNTIF($B$2:$B$29,B16)</f>
      </c>
      <c r="Y16" s="37" t="str">
        <f>IF(X16=1,"OK","DUPLICATE KEY")</f>
      </c>
      <c r="Z16" t="s">
        <v>254</v>
      </c>
      <c r="AA16" t="s">
        <v>255</v>
      </c>
      <c r="AB16" t="s">
        <v>189</v>
      </c>
    </row>
    <row r="17">
      <c r="A17" t="s">
        <v>262</v>
      </c>
      <c r="B17" t="s">
        <v>266</v>
      </c>
      <c r="C17" t="s">
        <v>264</v>
      </c>
      <c r="D17" t="s">
        <v>222</v>
      </c>
      <c r="E17" t="s">
        <v>234</v>
      </c>
      <c r="F17" t="s">
        <v>235</v>
      </c>
      <c r="G17" t="s">
        <v>225</v>
      </c>
      <c r="H17" t="s">
        <v>226</v>
      </c>
      <c r="I17" t="s">
        <v>227</v>
      </c>
      <c r="J17" t="s">
        <v>228</v>
      </c>
      <c r="K17" s="39" t="n">
        <v>0.303</v>
      </c>
      <c r="L17" s="40" t="n">
        <v>0.286335</v>
      </c>
      <c r="M17" s="41" t="n">
        <v>1.19</v>
      </c>
      <c r="N17" s="42"/>
      <c r="O17" t="s">
        <v>236</v>
      </c>
      <c r="P17" s="43" t="n">
        <v>0.0616</v>
      </c>
      <c r="Q17" s="44" t="n">
        <v>2026</v>
      </c>
      <c r="R17" s="45" t="n">
        <v>2030</v>
      </c>
      <c r="S17" s="46" t="str">
        <f>1-(1+L17*(M17-1))/(1+K17*(M17-1))</f>
      </c>
      <c r="T17" s="47" t="str">
        <f>K17-L17</f>
      </c>
      <c r="U17" s="48" t="str">
        <f>IF(K17=0,0,(K17-L17)/K17)</f>
      </c>
      <c r="V17" s="49" t="s">
        <v>265</v>
      </c>
      <c r="W17" t="s">
        <v>231</v>
      </c>
      <c r="X17" s="50" t="str">
        <f>COUNTIF($B$2:$B$29,B17)</f>
      </c>
      <c r="Y17" s="37" t="str">
        <f>IF(X17=1,"OK","DUPLICATE KEY")</f>
      </c>
      <c r="Z17" t="s">
        <v>254</v>
      </c>
      <c r="AA17" t="s">
        <v>255</v>
      </c>
      <c r="AB17" t="s">
        <v>189</v>
      </c>
    </row>
    <row r="18">
      <c r="A18" t="s">
        <v>262</v>
      </c>
      <c r="B18" t="s">
        <v>267</v>
      </c>
      <c r="C18" t="s">
        <v>264</v>
      </c>
      <c r="D18" t="s">
        <v>222</v>
      </c>
      <c r="E18" t="s">
        <v>234</v>
      </c>
      <c r="F18" t="s">
        <v>235</v>
      </c>
      <c r="G18" t="s">
        <v>238</v>
      </c>
      <c r="H18" t="s">
        <v>239</v>
      </c>
      <c r="I18" t="s">
        <v>228</v>
      </c>
      <c r="J18" t="s">
        <v>240</v>
      </c>
      <c r="K18" s="39" t="n">
        <v>0.303</v>
      </c>
      <c r="L18" s="40" t="n">
        <v>0.286335</v>
      </c>
      <c r="M18" s="41" t="n">
        <v>3</v>
      </c>
      <c r="N18" s="42"/>
      <c r="O18" t="s">
        <v>236</v>
      </c>
      <c r="P18" s="43" t="n">
        <v>0.0616</v>
      </c>
      <c r="Q18" s="44" t="n">
        <v>2026</v>
      </c>
      <c r="R18" s="45" t="n">
        <v>2030</v>
      </c>
      <c r="S18" s="46" t="str">
        <f>IFERROR(N18*M18,0)</f>
      </c>
      <c r="T18" s="47" t="str">
        <f>K18-L18</f>
      </c>
      <c r="U18" s="48" t="str">
        <f>IF(K18=0,0,(K18-L18)/K18)</f>
      </c>
      <c r="V18" s="49" t="s">
        <v>265</v>
      </c>
      <c r="W18" t="s">
        <v>241</v>
      </c>
      <c r="X18" s="50" t="str">
        <f>COUNTIF($B$2:$B$29,B18)</f>
      </c>
      <c r="Y18" s="37" t="str">
        <f>IF(X18=1,"OK","DUPLICATE KEY")</f>
      </c>
      <c r="Z18" t="s">
        <v>254</v>
      </c>
      <c r="AA18" t="s">
        <v>255</v>
      </c>
      <c r="AB18" t="s">
        <v>189</v>
      </c>
    </row>
    <row r="19">
      <c r="A19" t="s">
        <v>262</v>
      </c>
      <c r="B19" t="s">
        <v>268</v>
      </c>
      <c r="C19" t="s">
        <v>264</v>
      </c>
      <c r="D19" t="s">
        <v>222</v>
      </c>
      <c r="E19" t="s">
        <v>243</v>
      </c>
      <c r="F19" t="s">
        <v>244</v>
      </c>
      <c r="G19" t="s">
        <v>225</v>
      </c>
      <c r="H19" t="s">
        <v>226</v>
      </c>
      <c r="I19" t="s">
        <v>227</v>
      </c>
      <c r="J19" t="s">
        <v>228</v>
      </c>
      <c r="K19" s="39" t="n">
        <v>0.303</v>
      </c>
      <c r="L19" s="40" t="n">
        <v>0.286335</v>
      </c>
      <c r="M19" s="41" t="n">
        <v>1.6</v>
      </c>
      <c r="N19" s="42"/>
      <c r="O19" t="s">
        <v>236</v>
      </c>
      <c r="P19" s="43" t="n">
        <v>0.0616</v>
      </c>
      <c r="Q19" s="44" t="n">
        <v>2026</v>
      </c>
      <c r="R19" s="45" t="n">
        <v>2030</v>
      </c>
      <c r="S19" s="46" t="str">
        <f>1-(1+L19*(M19-1))/(1+K19*(M19-1))</f>
      </c>
      <c r="T19" s="47" t="str">
        <f>K19-L19</f>
      </c>
      <c r="U19" s="48" t="str">
        <f>IF(K19=0,0,(K19-L19)/K19)</f>
      </c>
      <c r="V19" s="49" t="s">
        <v>265</v>
      </c>
      <c r="W19" t="s">
        <v>231</v>
      </c>
      <c r="X19" s="50" t="str">
        <f>COUNTIF($B$2:$B$29,B19)</f>
      </c>
      <c r="Y19" s="37" t="str">
        <f>IF(X19=1,"OK","DUPLICATE KEY")</f>
      </c>
      <c r="Z19" t="s">
        <v>254</v>
      </c>
      <c r="AA19" t="s">
        <v>255</v>
      </c>
      <c r="AB19" t="s">
        <v>189</v>
      </c>
    </row>
    <row r="20">
      <c r="A20" t="s">
        <v>262</v>
      </c>
      <c r="B20" t="s">
        <v>269</v>
      </c>
      <c r="C20" t="s">
        <v>264</v>
      </c>
      <c r="D20" t="s">
        <v>222</v>
      </c>
      <c r="E20" t="s">
        <v>243</v>
      </c>
      <c r="F20" t="s">
        <v>244</v>
      </c>
      <c r="G20" t="s">
        <v>238</v>
      </c>
      <c r="H20" t="s">
        <v>239</v>
      </c>
      <c r="I20" t="s">
        <v>228</v>
      </c>
      <c r="J20" t="s">
        <v>240</v>
      </c>
      <c r="K20" s="39" t="n">
        <v>0.303</v>
      </c>
      <c r="L20" s="40" t="n">
        <v>0.286335</v>
      </c>
      <c r="M20" s="41" t="n">
        <v>3</v>
      </c>
      <c r="N20" s="42"/>
      <c r="O20" t="s">
        <v>236</v>
      </c>
      <c r="P20" s="43" t="n">
        <v>0.0616</v>
      </c>
      <c r="Q20" s="44" t="n">
        <v>2026</v>
      </c>
      <c r="R20" s="45" t="n">
        <v>2030</v>
      </c>
      <c r="S20" s="46" t="str">
        <f>IFERROR(N20*M20,0)</f>
      </c>
      <c r="T20" s="47" t="str">
        <f>K20-L20</f>
      </c>
      <c r="U20" s="48" t="str">
        <f>IF(K20=0,0,(K20-L20)/K20)</f>
      </c>
      <c r="V20" s="49" t="s">
        <v>265</v>
      </c>
      <c r="W20" t="s">
        <v>241</v>
      </c>
      <c r="X20" s="50" t="str">
        <f>COUNTIF($B$2:$B$29,B20)</f>
      </c>
      <c r="Y20" s="37" t="str">
        <f>IF(X20=1,"OK","DUPLICATE KEY")</f>
      </c>
      <c r="Z20" t="s">
        <v>254</v>
      </c>
      <c r="AA20" t="s">
        <v>255</v>
      </c>
      <c r="AB20" t="s">
        <v>189</v>
      </c>
    </row>
    <row r="21">
      <c r="A21" t="s">
        <v>262</v>
      </c>
      <c r="B21" t="s">
        <v>270</v>
      </c>
      <c r="C21" t="s">
        <v>264</v>
      </c>
      <c r="D21" t="s">
        <v>222</v>
      </c>
      <c r="E21" t="s">
        <v>247</v>
      </c>
      <c r="F21" t="s">
        <v>248</v>
      </c>
      <c r="G21" t="s">
        <v>225</v>
      </c>
      <c r="H21" t="s">
        <v>226</v>
      </c>
      <c r="I21" t="s">
        <v>227</v>
      </c>
      <c r="J21" t="s">
        <v>228</v>
      </c>
      <c r="K21" s="39" t="n">
        <v>0.303</v>
      </c>
      <c r="L21" s="40" t="n">
        <v>0.286335</v>
      </c>
      <c r="M21" s="41" t="n">
        <v>1.38</v>
      </c>
      <c r="N21" s="42"/>
      <c r="O21" t="s">
        <v>236</v>
      </c>
      <c r="P21" s="43" t="n">
        <v>0.0616</v>
      </c>
      <c r="Q21" s="44" t="n">
        <v>2026</v>
      </c>
      <c r="R21" s="45" t="n">
        <v>2030</v>
      </c>
      <c r="S21" s="46" t="str">
        <f>1-(1+L21*(M21-1))/(1+K21*(M21-1))</f>
      </c>
      <c r="T21" s="47" t="str">
        <f>K21-L21</f>
      </c>
      <c r="U21" s="48" t="str">
        <f>IF(K21=0,0,(K21-L21)/K21)</f>
      </c>
      <c r="V21" s="49" t="s">
        <v>265</v>
      </c>
      <c r="W21" t="s">
        <v>231</v>
      </c>
      <c r="X21" s="50" t="str">
        <f>COUNTIF($B$2:$B$29,B21)</f>
      </c>
      <c r="Y21" s="37" t="str">
        <f>IF(X21=1,"OK","DUPLICATE KEY")</f>
      </c>
      <c r="Z21" t="s">
        <v>254</v>
      </c>
      <c r="AA21" t="s">
        <v>255</v>
      </c>
      <c r="AB21" t="s">
        <v>189</v>
      </c>
    </row>
    <row r="22">
      <c r="A22" t="s">
        <v>262</v>
      </c>
      <c r="B22" t="s">
        <v>271</v>
      </c>
      <c r="C22" t="s">
        <v>264</v>
      </c>
      <c r="D22" t="s">
        <v>222</v>
      </c>
      <c r="E22" t="s">
        <v>247</v>
      </c>
      <c r="F22" t="s">
        <v>248</v>
      </c>
      <c r="G22" t="s">
        <v>238</v>
      </c>
      <c r="H22" t="s">
        <v>239</v>
      </c>
      <c r="I22" t="s">
        <v>228</v>
      </c>
      <c r="J22" t="s">
        <v>240</v>
      </c>
      <c r="K22" s="39" t="n">
        <v>0.303</v>
      </c>
      <c r="L22" s="40" t="n">
        <v>0.286335</v>
      </c>
      <c r="M22" s="41" t="n">
        <v>3</v>
      </c>
      <c r="N22" s="42"/>
      <c r="O22" t="s">
        <v>236</v>
      </c>
      <c r="P22" s="43" t="n">
        <v>0.0616</v>
      </c>
      <c r="Q22" s="44" t="n">
        <v>2026</v>
      </c>
      <c r="R22" s="45" t="n">
        <v>2030</v>
      </c>
      <c r="S22" s="46" t="str">
        <f>IFERROR(N22*M22,0)</f>
      </c>
      <c r="T22" s="47" t="str">
        <f>K22-L22</f>
      </c>
      <c r="U22" s="48" t="str">
        <f>IF(K22=0,0,(K22-L22)/K22)</f>
      </c>
      <c r="V22" s="49" t="s">
        <v>265</v>
      </c>
      <c r="W22" t="s">
        <v>241</v>
      </c>
      <c r="X22" s="50" t="str">
        <f>COUNTIF($B$2:$B$29,B22)</f>
      </c>
      <c r="Y22" s="37" t="str">
        <f>IF(X22=1,"OK","DUPLICATE KEY")</f>
      </c>
      <c r="Z22" t="s">
        <v>254</v>
      </c>
      <c r="AA22" t="s">
        <v>255</v>
      </c>
      <c r="AB22" t="s">
        <v>189</v>
      </c>
    </row>
    <row r="23">
      <c r="A23" t="s">
        <v>272</v>
      </c>
      <c r="B23" t="s">
        <v>273</v>
      </c>
      <c r="C23" t="s">
        <v>274</v>
      </c>
      <c r="D23" t="s">
        <v>222</v>
      </c>
      <c r="E23" t="s">
        <v>223</v>
      </c>
      <c r="F23" t="s">
        <v>224</v>
      </c>
      <c r="G23" t="s">
        <v>225</v>
      </c>
      <c r="H23" t="s">
        <v>226</v>
      </c>
      <c r="I23" t="s">
        <v>227</v>
      </c>
      <c r="J23" t="s">
        <v>228</v>
      </c>
      <c r="K23" s="39" t="n">
        <v>0.303</v>
      </c>
      <c r="L23" s="40" t="n">
        <v>0.283305</v>
      </c>
      <c r="M23" s="41" t="n">
        <v>1.37</v>
      </c>
      <c r="N23" s="42"/>
      <c r="O23" t="s">
        <v>229</v>
      </c>
      <c r="P23" s="43" t="n">
        <v>0.0615144568129612</v>
      </c>
      <c r="Q23" s="44" t="n">
        <v>2026</v>
      </c>
      <c r="R23" s="45" t="n">
        <v>2030</v>
      </c>
      <c r="S23" s="46" t="str">
        <f>1-(1+L23*(M23-1))/(1+K23*(M23-1))</f>
      </c>
      <c r="T23" s="47" t="str">
        <f>K23-L23</f>
      </c>
      <c r="U23" s="48" t="str">
        <f>IF(K23=0,0,(K23-L23)/K23)</f>
      </c>
      <c r="V23" s="49" t="s">
        <v>275</v>
      </c>
      <c r="W23" t="s">
        <v>231</v>
      </c>
      <c r="X23" s="50" t="str">
        <f>COUNTIF($B$2:$B$29,B23)</f>
      </c>
      <c r="Y23" s="37" t="str">
        <f>IF(X23=1,"OK","DUPLICATE KEY")</f>
      </c>
      <c r="Z23" t="s">
        <v>254</v>
      </c>
      <c r="AA23" t="s">
        <v>255</v>
      </c>
      <c r="AB23" t="s">
        <v>189</v>
      </c>
    </row>
    <row r="24">
      <c r="A24" t="s">
        <v>272</v>
      </c>
      <c r="B24" t="s">
        <v>276</v>
      </c>
      <c r="C24" t="s">
        <v>274</v>
      </c>
      <c r="D24" t="s">
        <v>222</v>
      </c>
      <c r="E24" t="s">
        <v>234</v>
      </c>
      <c r="F24" t="s">
        <v>235</v>
      </c>
      <c r="G24" t="s">
        <v>225</v>
      </c>
      <c r="H24" t="s">
        <v>226</v>
      </c>
      <c r="I24" t="s">
        <v>227</v>
      </c>
      <c r="J24" t="s">
        <v>228</v>
      </c>
      <c r="K24" s="39" t="n">
        <v>0.303</v>
      </c>
      <c r="L24" s="40" t="n">
        <v>0.283305</v>
      </c>
      <c r="M24" s="41" t="n">
        <v>1.19</v>
      </c>
      <c r="N24" s="42"/>
      <c r="O24" t="s">
        <v>236</v>
      </c>
      <c r="P24" s="43" t="n">
        <v>0.0616</v>
      </c>
      <c r="Q24" s="44" t="n">
        <v>2026</v>
      </c>
      <c r="R24" s="45" t="n">
        <v>2030</v>
      </c>
      <c r="S24" s="46" t="str">
        <f>1-(1+L24*(M24-1))/(1+K24*(M24-1))</f>
      </c>
      <c r="T24" s="47" t="str">
        <f>K24-L24</f>
      </c>
      <c r="U24" s="48" t="str">
        <f>IF(K24=0,0,(K24-L24)/K24)</f>
      </c>
      <c r="V24" s="49" t="s">
        <v>275</v>
      </c>
      <c r="W24" t="s">
        <v>231</v>
      </c>
      <c r="X24" s="50" t="str">
        <f>COUNTIF($B$2:$B$29,B24)</f>
      </c>
      <c r="Y24" s="37" t="str">
        <f>IF(X24=1,"OK","DUPLICATE KEY")</f>
      </c>
      <c r="Z24" t="s">
        <v>254</v>
      </c>
      <c r="AA24" t="s">
        <v>255</v>
      </c>
      <c r="AB24" t="s">
        <v>189</v>
      </c>
    </row>
    <row r="25">
      <c r="A25" t="s">
        <v>272</v>
      </c>
      <c r="B25" t="s">
        <v>277</v>
      </c>
      <c r="C25" t="s">
        <v>274</v>
      </c>
      <c r="D25" t="s">
        <v>222</v>
      </c>
      <c r="E25" t="s">
        <v>234</v>
      </c>
      <c r="F25" t="s">
        <v>235</v>
      </c>
      <c r="G25" t="s">
        <v>238</v>
      </c>
      <c r="H25" t="s">
        <v>239</v>
      </c>
      <c r="I25" t="s">
        <v>228</v>
      </c>
      <c r="J25" t="s">
        <v>240</v>
      </c>
      <c r="K25" s="39" t="n">
        <v>0.303</v>
      </c>
      <c r="L25" s="40" t="n">
        <v>0.283305</v>
      </c>
      <c r="M25" s="41" t="n">
        <v>3</v>
      </c>
      <c r="N25" s="42"/>
      <c r="O25" t="s">
        <v>236</v>
      </c>
      <c r="P25" s="43" t="n">
        <v>0.0616</v>
      </c>
      <c r="Q25" s="44" t="n">
        <v>2026</v>
      </c>
      <c r="R25" s="45" t="n">
        <v>2030</v>
      </c>
      <c r="S25" s="46" t="str">
        <f>IFERROR(N25*M25,0)</f>
      </c>
      <c r="T25" s="47" t="str">
        <f>K25-L25</f>
      </c>
      <c r="U25" s="48" t="str">
        <f>IF(K25=0,0,(K25-L25)/K25)</f>
      </c>
      <c r="V25" s="49" t="s">
        <v>275</v>
      </c>
      <c r="W25" t="s">
        <v>241</v>
      </c>
      <c r="X25" s="50" t="str">
        <f>COUNTIF($B$2:$B$29,B25)</f>
      </c>
      <c r="Y25" s="37" t="str">
        <f>IF(X25=1,"OK","DUPLICATE KEY")</f>
      </c>
      <c r="Z25" t="s">
        <v>254</v>
      </c>
      <c r="AA25" t="s">
        <v>255</v>
      </c>
      <c r="AB25" t="s">
        <v>189</v>
      </c>
    </row>
    <row r="26">
      <c r="A26" t="s">
        <v>272</v>
      </c>
      <c r="B26" t="s">
        <v>278</v>
      </c>
      <c r="C26" t="s">
        <v>274</v>
      </c>
      <c r="D26" t="s">
        <v>222</v>
      </c>
      <c r="E26" t="s">
        <v>243</v>
      </c>
      <c r="F26" t="s">
        <v>244</v>
      </c>
      <c r="G26" t="s">
        <v>225</v>
      </c>
      <c r="H26" t="s">
        <v>226</v>
      </c>
      <c r="I26" t="s">
        <v>227</v>
      </c>
      <c r="J26" t="s">
        <v>228</v>
      </c>
      <c r="K26" s="39" t="n">
        <v>0.303</v>
      </c>
      <c r="L26" s="40" t="n">
        <v>0.283305</v>
      </c>
      <c r="M26" s="41" t="n">
        <v>1.6</v>
      </c>
      <c r="N26" s="42"/>
      <c r="O26" t="s">
        <v>236</v>
      </c>
      <c r="P26" s="43" t="n">
        <v>0.0616</v>
      </c>
      <c r="Q26" s="44" t="n">
        <v>2026</v>
      </c>
      <c r="R26" s="45" t="n">
        <v>2030</v>
      </c>
      <c r="S26" s="46" t="str">
        <f>1-(1+L26*(M26-1))/(1+K26*(M26-1))</f>
      </c>
      <c r="T26" s="47" t="str">
        <f>K26-L26</f>
      </c>
      <c r="U26" s="48" t="str">
        <f>IF(K26=0,0,(K26-L26)/K26)</f>
      </c>
      <c r="V26" s="49" t="s">
        <v>275</v>
      </c>
      <c r="W26" t="s">
        <v>231</v>
      </c>
      <c r="X26" s="50" t="str">
        <f>COUNTIF($B$2:$B$29,B26)</f>
      </c>
      <c r="Y26" s="37" t="str">
        <f>IF(X26=1,"OK","DUPLICATE KEY")</f>
      </c>
      <c r="Z26" t="s">
        <v>254</v>
      </c>
      <c r="AA26" t="s">
        <v>255</v>
      </c>
      <c r="AB26" t="s">
        <v>189</v>
      </c>
    </row>
    <row r="27">
      <c r="A27" t="s">
        <v>272</v>
      </c>
      <c r="B27" t="s">
        <v>279</v>
      </c>
      <c r="C27" t="s">
        <v>274</v>
      </c>
      <c r="D27" t="s">
        <v>222</v>
      </c>
      <c r="E27" t="s">
        <v>243</v>
      </c>
      <c r="F27" t="s">
        <v>244</v>
      </c>
      <c r="G27" t="s">
        <v>238</v>
      </c>
      <c r="H27" t="s">
        <v>239</v>
      </c>
      <c r="I27" t="s">
        <v>228</v>
      </c>
      <c r="J27" t="s">
        <v>240</v>
      </c>
      <c r="K27" s="39" t="n">
        <v>0.303</v>
      </c>
      <c r="L27" s="40" t="n">
        <v>0.283305</v>
      </c>
      <c r="M27" s="41" t="n">
        <v>3</v>
      </c>
      <c r="N27" s="42"/>
      <c r="O27" t="s">
        <v>236</v>
      </c>
      <c r="P27" s="43" t="n">
        <v>0.0616</v>
      </c>
      <c r="Q27" s="44" t="n">
        <v>2026</v>
      </c>
      <c r="R27" s="45" t="n">
        <v>2030</v>
      </c>
      <c r="S27" s="46" t="str">
        <f>IFERROR(N27*M27,0)</f>
      </c>
      <c r="T27" s="47" t="str">
        <f>K27-L27</f>
      </c>
      <c r="U27" s="48" t="str">
        <f>IF(K27=0,0,(K27-L27)/K27)</f>
      </c>
      <c r="V27" s="49" t="s">
        <v>275</v>
      </c>
      <c r="W27" t="s">
        <v>241</v>
      </c>
      <c r="X27" s="50" t="str">
        <f>COUNTIF($B$2:$B$29,B27)</f>
      </c>
      <c r="Y27" s="37" t="str">
        <f>IF(X27=1,"OK","DUPLICATE KEY")</f>
      </c>
      <c r="Z27" t="s">
        <v>254</v>
      </c>
      <c r="AA27" t="s">
        <v>255</v>
      </c>
      <c r="AB27" t="s">
        <v>189</v>
      </c>
    </row>
    <row r="28">
      <c r="A28" t="s">
        <v>272</v>
      </c>
      <c r="B28" t="s">
        <v>280</v>
      </c>
      <c r="C28" t="s">
        <v>274</v>
      </c>
      <c r="D28" t="s">
        <v>222</v>
      </c>
      <c r="E28" t="s">
        <v>247</v>
      </c>
      <c r="F28" t="s">
        <v>248</v>
      </c>
      <c r="G28" t="s">
        <v>225</v>
      </c>
      <c r="H28" t="s">
        <v>226</v>
      </c>
      <c r="I28" t="s">
        <v>227</v>
      </c>
      <c r="J28" t="s">
        <v>228</v>
      </c>
      <c r="K28" s="39" t="n">
        <v>0.303</v>
      </c>
      <c r="L28" s="40" t="n">
        <v>0.283305</v>
      </c>
      <c r="M28" s="41" t="n">
        <v>1.38</v>
      </c>
      <c r="N28" s="42"/>
      <c r="O28" t="s">
        <v>236</v>
      </c>
      <c r="P28" s="43" t="n">
        <v>0.0616</v>
      </c>
      <c r="Q28" s="44" t="n">
        <v>2026</v>
      </c>
      <c r="R28" s="45" t="n">
        <v>2030</v>
      </c>
      <c r="S28" s="46" t="str">
        <f>1-(1+L28*(M28-1))/(1+K28*(M28-1))</f>
      </c>
      <c r="T28" s="47" t="str">
        <f>K28-L28</f>
      </c>
      <c r="U28" s="48" t="str">
        <f>IF(K28=0,0,(K28-L28)/K28)</f>
      </c>
      <c r="V28" s="49" t="s">
        <v>275</v>
      </c>
      <c r="W28" t="s">
        <v>231</v>
      </c>
      <c r="X28" s="50" t="str">
        <f>COUNTIF($B$2:$B$29,B28)</f>
      </c>
      <c r="Y28" s="37" t="str">
        <f>IF(X28=1,"OK","DUPLICATE KEY")</f>
      </c>
      <c r="Z28" t="s">
        <v>254</v>
      </c>
      <c r="AA28" t="s">
        <v>255</v>
      </c>
      <c r="AB28" t="s">
        <v>189</v>
      </c>
    </row>
    <row r="29">
      <c r="A29" t="s">
        <v>272</v>
      </c>
      <c r="B29" t="s">
        <v>281</v>
      </c>
      <c r="C29" t="s">
        <v>274</v>
      </c>
      <c r="D29" t="s">
        <v>222</v>
      </c>
      <c r="E29" t="s">
        <v>247</v>
      </c>
      <c r="F29" t="s">
        <v>248</v>
      </c>
      <c r="G29" t="s">
        <v>238</v>
      </c>
      <c r="H29" t="s">
        <v>239</v>
      </c>
      <c r="I29" t="s">
        <v>228</v>
      </c>
      <c r="J29" t="s">
        <v>240</v>
      </c>
      <c r="K29" s="39" t="n">
        <v>0.303</v>
      </c>
      <c r="L29" s="40" t="n">
        <v>0.283305</v>
      </c>
      <c r="M29" s="41" t="n">
        <v>3</v>
      </c>
      <c r="N29" s="42"/>
      <c r="O29" t="s">
        <v>236</v>
      </c>
      <c r="P29" s="43" t="n">
        <v>0.0616</v>
      </c>
      <c r="Q29" s="44" t="n">
        <v>2026</v>
      </c>
      <c r="R29" s="45" t="n">
        <v>2030</v>
      </c>
      <c r="S29" s="46" t="str">
        <f>IFERROR(N29*M29,0)</f>
      </c>
      <c r="T29" s="47" t="str">
        <f>K29-L29</f>
      </c>
      <c r="U29" s="48" t="str">
        <f>IF(K29=0,0,(K29-L29)/K29)</f>
      </c>
      <c r="V29" s="49" t="s">
        <v>275</v>
      </c>
      <c r="W29" t="s">
        <v>241</v>
      </c>
      <c r="X29" s="50" t="str">
        <f>COUNTIF($B$2:$B$29,B29)</f>
      </c>
      <c r="Y29" s="37" t="str">
        <f>IF(X29=1,"OK","DUPLICATE KEY")</f>
      </c>
      <c r="Z29" t="s">
        <v>254</v>
      </c>
      <c r="AA29" t="s">
        <v>255</v>
      </c>
      <c r="AB29" t="s">
        <v>189</v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80.71" hidden="0" customWidth="1"/>
  </cols>
  <sheetData>
    <row r="1">
      <c r="A1" s="1" t="s">
        <v>282</v>
      </c>
    </row>
    <row r="2">
      <c r="A2" t="s">
        <v>283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7.71" hidden="0" customWidth="1"/>
    <col min="3" max="3" width="11.71" hidden="0" customWidth="1"/>
    <col min="4" max="4" width="14.71" hidden="0" customWidth="1"/>
    <col min="5" max="5" width="19.71" hidden="0" customWidth="1"/>
    <col min="6" max="6" width="19.71" hidden="0" customWidth="1"/>
    <col min="7" max="7" width="27.71" hidden="0" customWidth="1"/>
    <col min="8" max="8" width="25.71" hidden="0" customWidth="1"/>
    <col min="9" max="9" width="23.71" hidden="0" customWidth="1"/>
    <col min="10" max="10" width="27.71" hidden="0" customWidth="1"/>
    <col min="11" max="11" width="25.71" hidden="0" customWidth="1"/>
    <col min="12" max="12" width="27.71" hidden="0" customWidth="1"/>
    <col min="13" max="13" width="25.71" hidden="0" customWidth="1"/>
    <col min="14" max="14" width="18.71" hidden="0" customWidth="1"/>
    <col min="15" max="15" width="20.71" hidden="0" customWidth="1"/>
    <col min="16" max="16" width="22.71" hidden="0" customWidth="1"/>
    <col min="17" max="17" width="18.71" hidden="0" customWidth="1"/>
    <col min="18" max="18" width="18.71" hidden="0" customWidth="1"/>
    <col min="19" max="19" width="29.71" hidden="0" customWidth="1"/>
    <col min="20" max="20" width="15.71" hidden="0" customWidth="1"/>
    <col min="21" max="21" width="11.71" hidden="0" customWidth="1"/>
  </cols>
  <sheetData>
    <row r="1" ht="28" customHeight="1">
      <c r="A1" s="1" t="s">
        <v>284</v>
      </c>
      <c r="B1" s="1" t="s">
        <v>192</v>
      </c>
      <c r="C1" s="1" t="s">
        <v>285</v>
      </c>
      <c r="D1" s="1" t="s">
        <v>286</v>
      </c>
      <c r="E1" s="1" t="s">
        <v>216</v>
      </c>
      <c r="F1" s="1" t="s">
        <v>217</v>
      </c>
      <c r="G1" s="1" t="s">
        <v>287</v>
      </c>
      <c r="H1" s="1" t="s">
        <v>288</v>
      </c>
      <c r="I1" s="1" t="s">
        <v>289</v>
      </c>
      <c r="J1" s="1" t="s">
        <v>290</v>
      </c>
      <c r="K1" s="1" t="s">
        <v>291</v>
      </c>
      <c r="L1" s="1" t="s">
        <v>292</v>
      </c>
      <c r="M1" s="1" t="s">
        <v>293</v>
      </c>
      <c r="N1" s="1" t="s">
        <v>294</v>
      </c>
      <c r="O1" s="1" t="s">
        <v>295</v>
      </c>
      <c r="P1" s="1" t="s">
        <v>296</v>
      </c>
      <c r="Q1" s="1" t="s">
        <v>297</v>
      </c>
      <c r="R1" s="1" t="s">
        <v>298</v>
      </c>
      <c r="S1" s="1" t="s">
        <v>299</v>
      </c>
      <c r="T1" s="1" t="s">
        <v>213</v>
      </c>
      <c r="U1" s="1" t="s">
        <v>300</v>
      </c>
    </row>
    <row r="2">
      <c r="A2" s="3" t="s">
        <v>301</v>
      </c>
      <c r="B2" s="3" t="s">
        <v>219</v>
      </c>
      <c r="C2" s="3" t="s">
        <v>302</v>
      </c>
      <c r="D2" s="3" t="s">
        <v>303</v>
      </c>
      <c r="E2" s="3" t="s">
        <v>219</v>
      </c>
      <c r="F2" s="3" t="s">
        <v>232</v>
      </c>
      <c r="G2" s="3" t="n">
        <v>0.38</v>
      </c>
      <c r="H2" s="3" t="n">
        <v>0.4789</v>
      </c>
      <c r="I2" s="3" t="s">
        <v>304</v>
      </c>
      <c r="J2" s="3" t="s">
        <v>305</v>
      </c>
      <c r="K2" s="3" t="s">
        <v>305</v>
      </c>
      <c r="L2" s="51" t="n">
        <v>0.5</v>
      </c>
      <c r="M2" s="52" t="n">
        <v>0.5</v>
      </c>
      <c r="N2" s="3" t="n">
        <v>-0.48</v>
      </c>
      <c r="O2" s="53" t="str">
        <f>IF(D2="regulatory_gap_multiplicative",MAX(0,M2-L2),"")</f>
      </c>
      <c r="P2" s="54" t="str">
        <f>IF(D2="tax_share_to_price_elasticity",(1-G2)/(1-H2)-1,IF(D2="price_elasticity",Q2,""))</f>
      </c>
      <c r="Q2" s="55" t="str">
        <f>IF(D2="price_elasticity",MAX(0,H2-G2),"")</f>
      </c>
      <c r="R2" s="56" t="str">
        <f>IF(D2="regulatory_gap_multiplicative",N2*O2,IF(OR(D2="price_elasticity",D2="tax_share_to_price_elasticity"),ABS(N2)*P2,""))</f>
      </c>
      <c r="S2" s="57" t="n">
        <v>0.0910995970063327</v>
      </c>
      <c r="T2" s="3" t="s">
        <v>231</v>
      </c>
      <c r="U2" s="3" t="s">
        <v>306</v>
      </c>
    </row>
    <row r="3">
      <c r="A3" s="3" t="s">
        <v>307</v>
      </c>
      <c r="B3" s="3" t="s">
        <v>308</v>
      </c>
      <c r="C3" s="3" t="s">
        <v>309</v>
      </c>
      <c r="D3" s="3" t="s">
        <v>310</v>
      </c>
      <c r="E3" s="3" t="s">
        <v>308</v>
      </c>
      <c r="F3" s="3" t="s">
        <v>232</v>
      </c>
      <c r="G3" s="3" t="n">
        <v>0</v>
      </c>
      <c r="H3" s="3" t="n">
        <v>0.25</v>
      </c>
      <c r="I3" s="3" t="s">
        <v>311</v>
      </c>
      <c r="J3" s="3" t="s">
        <v>312</v>
      </c>
      <c r="K3" s="3" t="s">
        <v>312</v>
      </c>
      <c r="L3" s="51" t="n">
        <v>0</v>
      </c>
      <c r="M3" s="52" t="n">
        <v>0</v>
      </c>
      <c r="N3" s="3" t="n">
        <v>-0.49</v>
      </c>
      <c r="O3" s="53" t="str">
        <f>IF(D3="regulatory_gap_multiplicative",MAX(0,M3-L3),"")</f>
      </c>
      <c r="P3" s="54" t="str">
        <f>IF(D3="tax_share_to_price_elasticity",(1-G3)/(1-H3)-1,IF(D3="price_elasticity",Q3,""))</f>
      </c>
      <c r="Q3" s="55" t="str">
        <f>IF(D3="price_elasticity",MAX(0,H3-G3),"")</f>
      </c>
      <c r="R3" s="56" t="str">
        <f>IF(D3="regulatory_gap_multiplicative",N3*O3,IF(OR(D3="price_elasticity",D3="tax_share_to_price_elasticity"),ABS(N3)*P3,""))</f>
      </c>
      <c r="S3" s="57" t="n">
        <v>0.1225</v>
      </c>
      <c r="T3" s="3" t="s">
        <v>231</v>
      </c>
      <c r="U3" s="3" t="s">
        <v>306</v>
      </c>
    </row>
    <row r="4">
      <c r="A4" s="3" t="s">
        <v>313</v>
      </c>
      <c r="B4" s="3" t="s">
        <v>262</v>
      </c>
      <c r="C4" s="3" t="s">
        <v>314</v>
      </c>
      <c r="D4" s="3" t="s">
        <v>315</v>
      </c>
      <c r="E4" s="3" t="s">
        <v>254</v>
      </c>
      <c r="F4" s="3" t="s">
        <v>255</v>
      </c>
      <c r="G4" s="3"/>
      <c r="H4" s="3"/>
      <c r="I4" s="3"/>
      <c r="J4" s="3" t="s">
        <v>305</v>
      </c>
      <c r="K4" s="3" t="s">
        <v>316</v>
      </c>
      <c r="L4" s="51" t="n">
        <v>0.5</v>
      </c>
      <c r="M4" s="52" t="n">
        <v>1</v>
      </c>
      <c r="N4" s="3" t="n">
        <v>0.11</v>
      </c>
      <c r="O4" s="53" t="str">
        <f>IF(D4="regulatory_gap_multiplicative",MAX(0,M4-L4),"")</f>
      </c>
      <c r="P4" s="54" t="str">
        <f>IF(D4="tax_share_to_price_elasticity",(1-G4)/(1-H4)-1,IF(D4="price_elasticity",Q4,""))</f>
      </c>
      <c r="Q4" s="55" t="str">
        <f>IF(D4="price_elasticity",MAX(0,H4-G4),"")</f>
      </c>
      <c r="R4" s="56" t="str">
        <f>IF(D4="regulatory_gap_multiplicative",N4*O4,IF(OR(D4="price_elasticity",D4="tax_share_to_price_elasticity"),ABS(N4)*P4,""))</f>
      </c>
      <c r="S4" s="57" t="n">
        <v>0.055</v>
      </c>
      <c r="T4" s="3" t="s">
        <v>231</v>
      </c>
      <c r="U4" s="3" t="s">
        <v>306</v>
      </c>
    </row>
    <row r="5">
      <c r="A5" s="3" t="s">
        <v>317</v>
      </c>
      <c r="B5" s="3" t="s">
        <v>272</v>
      </c>
      <c r="C5" s="3" t="s">
        <v>318</v>
      </c>
      <c r="D5" s="3" t="s">
        <v>315</v>
      </c>
      <c r="E5" s="3" t="s">
        <v>254</v>
      </c>
      <c r="F5" s="3" t="s">
        <v>255</v>
      </c>
      <c r="G5" s="3"/>
      <c r="H5" s="3"/>
      <c r="I5" s="3"/>
      <c r="J5" s="3" t="s">
        <v>312</v>
      </c>
      <c r="K5" s="3" t="s">
        <v>316</v>
      </c>
      <c r="L5" s="51" t="n">
        <v>0</v>
      </c>
      <c r="M5" s="52" t="n">
        <v>1</v>
      </c>
      <c r="N5" s="3" t="n">
        <v>0.065</v>
      </c>
      <c r="O5" s="53" t="str">
        <f>IF(D5="regulatory_gap_multiplicative",MAX(0,M5-L5),"")</f>
      </c>
      <c r="P5" s="54" t="str">
        <f>IF(D5="tax_share_to_price_elasticity",(1-G5)/(1-H5)-1,IF(D5="price_elasticity",Q5,""))</f>
      </c>
      <c r="Q5" s="55" t="str">
        <f>IF(D5="price_elasticity",MAX(0,H5-G5),"")</f>
      </c>
      <c r="R5" s="56" t="str">
        <f>IF(D5="regulatory_gap_multiplicative",N5*O5,IF(OR(D5="price_elasticity",D5="tax_share_to_price_elasticity"),ABS(N5)*P5,""))</f>
      </c>
      <c r="S5" s="57" t="n">
        <v>0.065</v>
      </c>
      <c r="T5" s="3" t="s">
        <v>231</v>
      </c>
      <c r="U5" s="3" t="s">
        <v>306</v>
      </c>
    </row>
    <row r="6">
      <c r="A6" s="3" t="s">
        <v>319</v>
      </c>
      <c r="B6" s="3" t="s">
        <v>250</v>
      </c>
      <c r="C6" s="3" t="s">
        <v>320</v>
      </c>
      <c r="D6" s="3" t="s">
        <v>315</v>
      </c>
      <c r="E6" s="3" t="s">
        <v>254</v>
      </c>
      <c r="F6" s="3" t="s">
        <v>255</v>
      </c>
      <c r="G6" s="3"/>
      <c r="H6" s="3"/>
      <c r="I6" s="3"/>
      <c r="J6" s="3" t="s">
        <v>312</v>
      </c>
      <c r="K6" s="3" t="s">
        <v>316</v>
      </c>
      <c r="L6" s="51" t="n">
        <v>0</v>
      </c>
      <c r="M6" s="52" t="n">
        <v>1</v>
      </c>
      <c r="N6" s="3" t="n">
        <v>0.04</v>
      </c>
      <c r="O6" s="53" t="str">
        <f>IF(D6="regulatory_gap_multiplicative",MAX(0,M6-L6),"")</f>
      </c>
      <c r="P6" s="54" t="str">
        <f>IF(D6="tax_share_to_price_elasticity",(1-G6)/(1-H6)-1,IF(D6="price_elasticity",Q6,""))</f>
      </c>
      <c r="Q6" s="55" t="str">
        <f>IF(D6="price_elasticity",MAX(0,H6-G6),"")</f>
      </c>
      <c r="R6" s="56" t="str">
        <f>IF(D6="regulatory_gap_multiplicative",N6*O6,IF(OR(D6="price_elasticity",D6="tax_share_to_price_elasticity"),ABS(N6)*P6,""))</f>
      </c>
      <c r="S6" s="57" t="n">
        <v>0.04</v>
      </c>
      <c r="T6" s="3" t="s">
        <v>231</v>
      </c>
      <c r="U6" s="3" t="s">
        <v>306</v>
      </c>
    </row>
    <row r="7">
      <c r="A7" s="3" t="s">
        <v>321</v>
      </c>
      <c r="B7" s="3" t="s">
        <v>322</v>
      </c>
      <c r="C7" s="3" t="s">
        <v>323</v>
      </c>
      <c r="D7" s="3" t="s">
        <v>315</v>
      </c>
      <c r="E7" s="3" t="s">
        <v>322</v>
      </c>
      <c r="F7" s="3" t="s">
        <v>232</v>
      </c>
      <c r="G7" s="3"/>
      <c r="H7" s="3"/>
      <c r="I7" s="3"/>
      <c r="J7" s="3" t="s">
        <v>305</v>
      </c>
      <c r="K7" s="3" t="s">
        <v>316</v>
      </c>
      <c r="L7" s="51" t="n">
        <v>0.5</v>
      </c>
      <c r="M7" s="52" t="n">
        <v>1</v>
      </c>
      <c r="N7" s="3" t="n">
        <v>0.269</v>
      </c>
      <c r="O7" s="53" t="str">
        <f>IF(D7="regulatory_gap_multiplicative",MAX(0,M7-L7),"")</f>
      </c>
      <c r="P7" s="54" t="str">
        <f>IF(D7="tax_share_to_price_elasticity",(1-G7)/(1-H7)-1,IF(D7="price_elasticity",Q7,""))</f>
      </c>
      <c r="Q7" s="55" t="str">
        <f>IF(D7="price_elasticity",MAX(0,H7-G7),"")</f>
      </c>
      <c r="R7" s="56" t="str">
        <f>IF(D7="regulatory_gap_multiplicative",N7*O7,IF(OR(D7="price_elasticity",D7="tax_share_to_price_elasticity"),ABS(N7)*P7,""))</f>
      </c>
      <c r="S7" s="57" t="n">
        <v>0.1345</v>
      </c>
      <c r="T7" s="3" t="s">
        <v>231</v>
      </c>
      <c r="U7" s="3" t="s">
        <v>306</v>
      </c>
    </row>
    <row r="8">
      <c r="A8" s="3" t="s">
        <v>324</v>
      </c>
      <c r="B8" s="3" t="s">
        <v>325</v>
      </c>
      <c r="C8" s="3" t="s">
        <v>326</v>
      </c>
      <c r="D8" s="3" t="s">
        <v>315</v>
      </c>
      <c r="E8" s="3" t="s">
        <v>327</v>
      </c>
      <c r="F8" s="3" t="s">
        <v>255</v>
      </c>
      <c r="G8" s="3"/>
      <c r="H8" s="3"/>
      <c r="I8" s="3"/>
      <c r="J8" s="3" t="s">
        <v>305</v>
      </c>
      <c r="K8" s="3" t="s">
        <v>316</v>
      </c>
      <c r="L8" s="51" t="n">
        <v>0.5</v>
      </c>
      <c r="M8" s="52" t="n">
        <v>1</v>
      </c>
      <c r="N8" s="3" t="n">
        <v>0.2</v>
      </c>
      <c r="O8" s="53" t="str">
        <f>IF(D8="regulatory_gap_multiplicative",MAX(0,M8-L8),"")</f>
      </c>
      <c r="P8" s="54" t="str">
        <f>IF(D8="tax_share_to_price_elasticity",(1-G8)/(1-H8)-1,IF(D8="price_elasticity",Q8,""))</f>
      </c>
      <c r="Q8" s="55" t="str">
        <f>IF(D8="price_elasticity",MAX(0,H8-G8),"")</f>
      </c>
      <c r="R8" s="56" t="str">
        <f>IF(D8="regulatory_gap_multiplicative",N8*O8,IF(OR(D8="price_elasticity",D8="tax_share_to_price_elasticity"),ABS(N8)*P8,""))</f>
      </c>
      <c r="S8" s="57" t="n">
        <v>0.1</v>
      </c>
      <c r="T8" s="3" t="s">
        <v>231</v>
      </c>
      <c r="U8" s="3" t="s">
        <v>306</v>
      </c>
    </row>
    <row r="9">
      <c r="A9" s="3" t="s">
        <v>328</v>
      </c>
      <c r="B9" s="3" t="s">
        <v>329</v>
      </c>
      <c r="C9" s="3" t="s">
        <v>330</v>
      </c>
      <c r="D9" s="3" t="s">
        <v>315</v>
      </c>
      <c r="E9" s="3" t="s">
        <v>327</v>
      </c>
      <c r="F9" s="3" t="s">
        <v>255</v>
      </c>
      <c r="G9" s="3"/>
      <c r="H9" s="3"/>
      <c r="I9" s="3"/>
      <c r="J9" s="3" t="s">
        <v>305</v>
      </c>
      <c r="K9" s="3" t="s">
        <v>316</v>
      </c>
      <c r="L9" s="51" t="n">
        <v>0.5</v>
      </c>
      <c r="M9" s="52" t="n">
        <v>1</v>
      </c>
      <c r="N9" s="3" t="n">
        <v>0.1</v>
      </c>
      <c r="O9" s="53" t="str">
        <f>IF(D9="regulatory_gap_multiplicative",MAX(0,M9-L9),"")</f>
      </c>
      <c r="P9" s="54" t="str">
        <f>IF(D9="tax_share_to_price_elasticity",(1-G9)/(1-H9)-1,IF(D9="price_elasticity",Q9,""))</f>
      </c>
      <c r="Q9" s="55" t="str">
        <f>IF(D9="price_elasticity",MAX(0,H9-G9),"")</f>
      </c>
      <c r="R9" s="56" t="str">
        <f>IF(D9="regulatory_gap_multiplicative",N9*O9,IF(OR(D9="price_elasticity",D9="tax_share_to_price_elasticity"),ABS(N9)*P9,""))</f>
      </c>
      <c r="S9" s="57" t="n">
        <v>0.05</v>
      </c>
      <c r="T9" s="3" t="s">
        <v>231</v>
      </c>
      <c r="U9" s="3" t="s">
        <v>306</v>
      </c>
    </row>
    <row r="10">
      <c r="A10" s="3" t="s">
        <v>331</v>
      </c>
      <c r="B10" s="3" t="s">
        <v>332</v>
      </c>
      <c r="C10" s="3" t="s">
        <v>333</v>
      </c>
      <c r="D10" s="3" t="s">
        <v>315</v>
      </c>
      <c r="E10" s="3" t="s">
        <v>327</v>
      </c>
      <c r="F10" s="3" t="s">
        <v>255</v>
      </c>
      <c r="G10" s="3"/>
      <c r="H10" s="3"/>
      <c r="I10" s="3"/>
      <c r="J10" s="3" t="s">
        <v>305</v>
      </c>
      <c r="K10" s="3" t="s">
        <v>305</v>
      </c>
      <c r="L10" s="51" t="n">
        <v>0.5</v>
      </c>
      <c r="M10" s="52" t="n">
        <v>0.5</v>
      </c>
      <c r="N10" s="3" t="n">
        <v>0.05</v>
      </c>
      <c r="O10" s="53" t="str">
        <f>IF(D10="regulatory_gap_multiplicative",MAX(0,M10-L10),"")</f>
      </c>
      <c r="P10" s="54" t="str">
        <f>IF(D10="tax_share_to_price_elasticity",(1-G10)/(1-H10)-1,IF(D10="price_elasticity",Q10,""))</f>
      </c>
      <c r="Q10" s="55" t="str">
        <f>IF(D10="price_elasticity",MAX(0,H10-G10),"")</f>
      </c>
      <c r="R10" s="56" t="str">
        <f>IF(D10="regulatory_gap_multiplicative",N10*O10,IF(OR(D10="price_elasticity",D10="tax_share_to_price_elasticity"),ABS(N10)*P10,""))</f>
      </c>
      <c r="S10" s="57" t="n">
        <v>0</v>
      </c>
      <c r="T10" s="3" t="s">
        <v>231</v>
      </c>
      <c r="U10" s="3" t="s">
        <v>306</v>
      </c>
    </row>
    <row r="11">
      <c r="A11" s="3" t="s">
        <v>334</v>
      </c>
      <c r="B11" s="3" t="s">
        <v>335</v>
      </c>
      <c r="C11" s="3" t="s">
        <v>336</v>
      </c>
      <c r="D11" s="3" t="s">
        <v>315</v>
      </c>
      <c r="E11" s="3" t="s">
        <v>327</v>
      </c>
      <c r="F11" s="3" t="s">
        <v>255</v>
      </c>
      <c r="G11" s="3"/>
      <c r="H11" s="3"/>
      <c r="I11" s="3"/>
      <c r="J11" s="3" t="s">
        <v>305</v>
      </c>
      <c r="K11" s="3" t="s">
        <v>316</v>
      </c>
      <c r="L11" s="51" t="n">
        <v>0.5</v>
      </c>
      <c r="M11" s="52" t="n">
        <v>1</v>
      </c>
      <c r="N11" s="3" t="n">
        <v>0.07</v>
      </c>
      <c r="O11" s="53" t="str">
        <f>IF(D11="regulatory_gap_multiplicative",MAX(0,M11-L11),"")</f>
      </c>
      <c r="P11" s="54" t="str">
        <f>IF(D11="tax_share_to_price_elasticity",(1-G11)/(1-H11)-1,IF(D11="price_elasticity",Q11,""))</f>
      </c>
      <c r="Q11" s="55" t="str">
        <f>IF(D11="price_elasticity",MAX(0,H11-G11),"")</f>
      </c>
      <c r="R11" s="56" t="str">
        <f>IF(D11="regulatory_gap_multiplicative",N11*O11,IF(OR(D11="price_elasticity",D11="tax_share_to_price_elasticity"),ABS(N11)*P11,""))</f>
      </c>
      <c r="S11" s="57" t="n">
        <v>0.035</v>
      </c>
      <c r="T11" s="3" t="s">
        <v>231</v>
      </c>
      <c r="U11" s="3" t="s">
        <v>306</v>
      </c>
    </row>
    <row r="12">
      <c r="A12" s="3" t="s">
        <v>337</v>
      </c>
      <c r="B12" s="3" t="s">
        <v>338</v>
      </c>
      <c r="C12" s="3" t="s">
        <v>339</v>
      </c>
      <c r="D12" s="3" t="s">
        <v>315</v>
      </c>
      <c r="E12" s="3" t="s">
        <v>338</v>
      </c>
      <c r="F12" s="3" t="s">
        <v>232</v>
      </c>
      <c r="G12" s="3"/>
      <c r="H12" s="3"/>
      <c r="I12" s="3"/>
      <c r="J12" s="3" t="s">
        <v>305</v>
      </c>
      <c r="K12" s="3" t="s">
        <v>316</v>
      </c>
      <c r="L12" s="51" t="n">
        <v>0.5</v>
      </c>
      <c r="M12" s="52" t="n">
        <v>1</v>
      </c>
      <c r="N12" s="3" t="n">
        <v>1</v>
      </c>
      <c r="O12" s="53" t="str">
        <f>IF(D12="regulatory_gap_multiplicative",MAX(0,M12-L12),"")</f>
      </c>
      <c r="P12" s="54" t="str">
        <f>IF(D12="tax_share_to_price_elasticity",(1-G12)/(1-H12)-1,IF(D12="price_elasticity",Q12,""))</f>
      </c>
      <c r="Q12" s="55" t="str">
        <f>IF(D12="price_elasticity",MAX(0,H12-G12),"")</f>
      </c>
      <c r="R12" s="56" t="str">
        <f>IF(D12="regulatory_gap_multiplicative",N12*O12,IF(OR(D12="price_elasticity",D12="tax_share_to_price_elasticity"),ABS(N12)*P12,""))</f>
      </c>
      <c r="S12" s="57" t="n">
        <v>0.5</v>
      </c>
      <c r="T12" s="3" t="s">
        <v>231</v>
      </c>
      <c r="U12" s="3" t="s">
        <v>306</v>
      </c>
    </row>
    <row r="13">
      <c r="A13" s="3" t="s">
        <v>340</v>
      </c>
      <c r="B13" s="3" t="s">
        <v>341</v>
      </c>
      <c r="C13" s="3" t="s">
        <v>342</v>
      </c>
      <c r="D13" s="3" t="s">
        <v>310</v>
      </c>
      <c r="E13" s="3" t="s">
        <v>341</v>
      </c>
      <c r="F13" s="3" t="s">
        <v>232</v>
      </c>
      <c r="G13" s="3" t="n">
        <v>0</v>
      </c>
      <c r="H13" s="3" t="n">
        <v>0.2</v>
      </c>
      <c r="I13" s="3" t="s">
        <v>343</v>
      </c>
      <c r="J13" s="3" t="s">
        <v>312</v>
      </c>
      <c r="K13" s="3" t="s">
        <v>316</v>
      </c>
      <c r="L13" s="51" t="n">
        <v>0</v>
      </c>
      <c r="M13" s="52" t="n">
        <v>1</v>
      </c>
      <c r="N13" s="3" t="n">
        <v>-0.875</v>
      </c>
      <c r="O13" s="53" t="str">
        <f>IF(D13="regulatory_gap_multiplicative",MAX(0,M13-L13),"")</f>
      </c>
      <c r="P13" s="54" t="str">
        <f>IF(D13="tax_share_to_price_elasticity",(1-G13)/(1-H13)-1,IF(D13="price_elasticity",Q13,""))</f>
      </c>
      <c r="Q13" s="55" t="str">
        <f>IF(D13="price_elasticity",MAX(0,H13-G13),"")</f>
      </c>
      <c r="R13" s="56" t="str">
        <f>IF(D13="regulatory_gap_multiplicative",N13*O13,IF(OR(D13="price_elasticity",D13="tax_share_to_price_elasticity"),ABS(N13)*P13,""))</f>
      </c>
      <c r="S13" s="57" t="n">
        <v>0.175</v>
      </c>
      <c r="T13" s="3" t="s">
        <v>231</v>
      </c>
      <c r="U13" s="3" t="s">
        <v>306</v>
      </c>
    </row>
  </sheetData>
  <autoFilter ref="A1:U1"/>
  <conditionalFormatting sqref="T2:T13">
    <cfRule type="containsText" dxfId="0" priority="3" operator="containsText" text="Ready">
      <formula>NOT(ISERROR(SEARCH("Ready", T2)))</formula>
    </cfRule>
    <cfRule type="containsText" dxfId="1" priority="2" operator="containsText" text="Review">
      <formula>NOT(ISERROR(SEARCH("Review", T2)))</formula>
    </cfRule>
    <cfRule type="containsText" dxfId="1" priority="1" operator="containsText" text="Missing">
      <formula>NOT(ISERROR(SEARCH("Missing", T2)))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11.71" hidden="0" customWidth="1"/>
    <col min="3" max="3" width="23.71" hidden="0" customWidth="1"/>
    <col min="4" max="4" width="15.71" hidden="0" customWidth="1"/>
    <col min="5" max="5" width="19.71" hidden="0" customWidth="1"/>
    <col min="6" max="6" width="18.71" hidden="0" customWidth="1"/>
    <col min="7" max="7" width="15.71" hidden="0" customWidth="1"/>
    <col min="8" max="8" width="16.71" hidden="0" customWidth="1"/>
    <col min="9" max="9" width="17.71" hidden="0" customWidth="1"/>
    <col min="10" max="10" width="20.71" hidden="0" customWidth="1"/>
    <col min="11" max="11" width="20.71" hidden="0" customWidth="1"/>
    <col min="12" max="12" width="12.71" hidden="0" customWidth="1"/>
    <col min="13" max="13" width="13.71" hidden="0" customWidth="1"/>
    <col min="14" max="14" width="16.71" hidden="0" customWidth="1"/>
    <col min="15" max="15" width="15.71" hidden="0" customWidth="1"/>
  </cols>
  <sheetData>
    <row r="1" ht="28" customHeight="1">
      <c r="A1" s="1" t="s">
        <v>192</v>
      </c>
      <c r="B1" s="1" t="s">
        <v>195</v>
      </c>
      <c r="C1" s="1" t="s">
        <v>344</v>
      </c>
      <c r="D1" s="1" t="s">
        <v>345</v>
      </c>
      <c r="E1" s="1" t="s">
        <v>202</v>
      </c>
      <c r="F1" s="1" t="s">
        <v>346</v>
      </c>
      <c r="G1" s="1" t="s">
        <v>347</v>
      </c>
      <c r="H1" s="1" t="s">
        <v>348</v>
      </c>
      <c r="I1" s="1" t="s">
        <v>203</v>
      </c>
      <c r="J1" s="1" t="s">
        <v>349</v>
      </c>
      <c r="K1" s="1" t="s">
        <v>350</v>
      </c>
      <c r="L1" s="1" t="s">
        <v>351</v>
      </c>
      <c r="M1" s="1" t="s">
        <v>352</v>
      </c>
      <c r="N1" s="1" t="s">
        <v>17</v>
      </c>
      <c r="O1" s="1" t="s">
        <v>213</v>
      </c>
    </row>
    <row r="2">
      <c r="A2" t="s">
        <v>322</v>
      </c>
      <c r="B2" t="s">
        <v>353</v>
      </c>
      <c r="C2" t="s">
        <v>354</v>
      </c>
      <c r="D2" t="s">
        <v>355</v>
      </c>
      <c r="E2" s="58" t="n">
        <v>0.1</v>
      </c>
      <c r="F2" t="s">
        <v>356</v>
      </c>
      <c r="G2" s="59" t="n">
        <v>0.1345</v>
      </c>
      <c r="H2" s="60" t="n">
        <v>0</v>
      </c>
      <c r="I2" s="61" t="str">
        <f>MAX(H2,E2*(1-G2))</f>
      </c>
      <c r="J2" s="62" t="str">
        <f>E2-I2</f>
      </c>
      <c r="K2" s="63" t="str">
        <f>IF(E2=0,0,(E2-I2)/E2)</f>
      </c>
      <c r="L2" s="64" t="n">
        <v>2026</v>
      </c>
      <c r="M2" s="65" t="n">
        <v>2030</v>
      </c>
      <c r="N2" t="s">
        <v>115</v>
      </c>
      <c r="O2" t="s">
        <v>231</v>
      </c>
    </row>
    <row r="3">
      <c r="A3" t="s">
        <v>308</v>
      </c>
      <c r="B3" t="s">
        <v>353</v>
      </c>
      <c r="C3" t="s">
        <v>354</v>
      </c>
      <c r="D3" t="s">
        <v>355</v>
      </c>
      <c r="E3" s="58" t="n">
        <v>0.1</v>
      </c>
      <c r="F3" t="s">
        <v>356</v>
      </c>
      <c r="G3" s="59" t="n">
        <v>0.1225</v>
      </c>
      <c r="H3" s="60" t="n">
        <v>0</v>
      </c>
      <c r="I3" s="61" t="str">
        <f>MAX(H3,E3*(1-G3))</f>
      </c>
      <c r="J3" s="62" t="str">
        <f>E3-I3</f>
      </c>
      <c r="K3" s="63" t="str">
        <f>IF(E3=0,0,(E3-I3)/E3)</f>
      </c>
      <c r="L3" s="64" t="n">
        <v>2026</v>
      </c>
      <c r="M3" s="65" t="n">
        <v>2030</v>
      </c>
      <c r="N3" t="s">
        <v>115</v>
      </c>
      <c r="O3" t="s">
        <v>357</v>
      </c>
    </row>
    <row r="4">
      <c r="A4" t="s">
        <v>335</v>
      </c>
      <c r="B4" t="s">
        <v>358</v>
      </c>
      <c r="C4" t="s">
        <v>359</v>
      </c>
      <c r="D4" t="s">
        <v>360</v>
      </c>
      <c r="E4" s="58" t="n">
        <v>4.4</v>
      </c>
      <c r="F4" t="s">
        <v>356</v>
      </c>
      <c r="G4" s="59" t="n">
        <v>0.035</v>
      </c>
      <c r="H4" s="60" t="n">
        <v>3</v>
      </c>
      <c r="I4" s="61" t="str">
        <f>MAX(H4,E4*(1-G4))</f>
      </c>
      <c r="J4" s="62" t="str">
        <f>E4-I4</f>
      </c>
      <c r="K4" s="63" t="str">
        <f>IF(E4=0,0,(E4-I4)/E4)</f>
      </c>
      <c r="L4" s="64" t="n">
        <v>2026</v>
      </c>
      <c r="M4" s="65" t="n">
        <v>2030</v>
      </c>
      <c r="N4" t="s">
        <v>115</v>
      </c>
      <c r="O4" t="s">
        <v>231</v>
      </c>
    </row>
    <row r="5">
      <c r="A5" t="s">
        <v>329</v>
      </c>
      <c r="B5" t="s">
        <v>358</v>
      </c>
      <c r="C5" t="s">
        <v>359</v>
      </c>
      <c r="D5" t="s">
        <v>360</v>
      </c>
      <c r="E5" s="58" t="n">
        <v>4.4</v>
      </c>
      <c r="F5" t="s">
        <v>356</v>
      </c>
      <c r="G5" s="59" t="n">
        <v>0.05</v>
      </c>
      <c r="H5" s="60" t="n">
        <v>3</v>
      </c>
      <c r="I5" s="61" t="str">
        <f>MAX(H5,E5*(1-G5))</f>
      </c>
      <c r="J5" s="62" t="str">
        <f>E5-I5</f>
      </c>
      <c r="K5" s="63" t="str">
        <f>IF(E5=0,0,(E5-I5)/E5)</f>
      </c>
      <c r="L5" s="64" t="n">
        <v>2026</v>
      </c>
      <c r="M5" s="65" t="n">
        <v>2030</v>
      </c>
      <c r="N5" t="s">
        <v>115</v>
      </c>
      <c r="O5" t="s">
        <v>231</v>
      </c>
    </row>
    <row r="6">
      <c r="A6" t="s">
        <v>332</v>
      </c>
      <c r="B6" t="s">
        <v>358</v>
      </c>
      <c r="C6" t="s">
        <v>359</v>
      </c>
      <c r="D6" t="s">
        <v>360</v>
      </c>
      <c r="E6" s="58" t="n">
        <v>4.4</v>
      </c>
      <c r="F6" t="s">
        <v>356</v>
      </c>
      <c r="G6" s="59" t="n">
        <v>0</v>
      </c>
      <c r="H6" s="60" t="n">
        <v>3</v>
      </c>
      <c r="I6" s="61" t="str">
        <f>MAX(H6,E6*(1-G6))</f>
      </c>
      <c r="J6" s="62" t="str">
        <f>E6-I6</f>
      </c>
      <c r="K6" s="63" t="str">
        <f>IF(E6=0,0,(E6-I6)/E6)</f>
      </c>
      <c r="L6" s="64" t="n">
        <v>2026</v>
      </c>
      <c r="M6" s="65" t="n">
        <v>2030</v>
      </c>
      <c r="N6" t="s">
        <v>115</v>
      </c>
      <c r="O6" t="s">
        <v>231</v>
      </c>
    </row>
    <row r="7">
      <c r="A7" t="s">
        <v>325</v>
      </c>
      <c r="B7" t="s">
        <v>358</v>
      </c>
      <c r="C7" t="s">
        <v>359</v>
      </c>
      <c r="D7" t="s">
        <v>360</v>
      </c>
      <c r="E7" s="58" t="n">
        <v>4.4</v>
      </c>
      <c r="F7" t="s">
        <v>356</v>
      </c>
      <c r="G7" s="59" t="n">
        <v>0.1</v>
      </c>
      <c r="H7" s="60" t="n">
        <v>3</v>
      </c>
      <c r="I7" s="61" t="str">
        <f>MAX(H7,E7*(1-G7))</f>
      </c>
      <c r="J7" s="62" t="str">
        <f>E7-I7</f>
      </c>
      <c r="K7" s="63" t="str">
        <f>IF(E7=0,0,(E7-I7)/E7)</f>
      </c>
      <c r="L7" s="64" t="n">
        <v>2026</v>
      </c>
      <c r="M7" s="65" t="n">
        <v>2030</v>
      </c>
      <c r="N7" t="s">
        <v>115</v>
      </c>
      <c r="O7" t="s">
        <v>231</v>
      </c>
    </row>
    <row r="8">
      <c r="A8" t="s">
        <v>341</v>
      </c>
      <c r="B8" t="s">
        <v>361</v>
      </c>
      <c r="C8" t="s">
        <v>362</v>
      </c>
      <c r="D8" t="s">
        <v>363</v>
      </c>
      <c r="E8" s="58" t="n">
        <v>0.114285714285714</v>
      </c>
      <c r="F8" t="s">
        <v>356</v>
      </c>
      <c r="G8" s="59" t="n">
        <v>0.175</v>
      </c>
      <c r="H8" s="60" t="n">
        <v>0</v>
      </c>
      <c r="I8" s="61" t="str">
        <f>MAX(H8,E8*(1-G8))</f>
      </c>
      <c r="J8" s="62" t="str">
        <f>E8-I8</f>
      </c>
      <c r="K8" s="63" t="str">
        <f>IF(E8=0,0,(E8-I8)/E8)</f>
      </c>
      <c r="L8" s="64" t="n">
        <v>2026</v>
      </c>
      <c r="M8" s="65" t="n">
        <v>2030</v>
      </c>
      <c r="N8" t="s">
        <v>115</v>
      </c>
      <c r="O8" t="s">
        <v>364</v>
      </c>
    </row>
    <row r="9">
      <c r="A9" t="s">
        <v>338</v>
      </c>
      <c r="B9" t="s">
        <v>365</v>
      </c>
      <c r="C9" t="s">
        <v>366</v>
      </c>
      <c r="D9" t="s">
        <v>367</v>
      </c>
      <c r="E9" s="58" t="n">
        <v>0.0317</v>
      </c>
      <c r="F9" t="s">
        <v>356</v>
      </c>
      <c r="G9" s="59" t="n">
        <v>0.5</v>
      </c>
      <c r="H9" s="60" t="n">
        <v>0</v>
      </c>
      <c r="I9" s="61" t="str">
        <f>MAX(H9,E9*(1-G9))</f>
      </c>
      <c r="J9" s="62" t="str">
        <f>E9-I9</f>
      </c>
      <c r="K9" s="63" t="str">
        <f>IF(E9=0,0,(E9-I9)/E9)</f>
      </c>
      <c r="L9" s="64" t="n">
        <v>2026</v>
      </c>
      <c r="M9" s="65" t="n">
        <v>2030</v>
      </c>
      <c r="N9" t="s">
        <v>115</v>
      </c>
      <c r="O9" t="s">
        <v>368</v>
      </c>
    </row>
    <row r="10">
      <c r="A10" t="s">
        <v>219</v>
      </c>
      <c r="B10" t="s">
        <v>222</v>
      </c>
      <c r="C10" t="s">
        <v>369</v>
      </c>
      <c r="D10" t="s">
        <v>66</v>
      </c>
      <c r="E10" s="58" t="n">
        <v>0.303</v>
      </c>
      <c r="F10" t="s">
        <v>356</v>
      </c>
      <c r="G10" s="59" t="n">
        <v>0.095</v>
      </c>
      <c r="H10" s="60" t="n">
        <v>0</v>
      </c>
      <c r="I10" s="61" t="str">
        <f>MAX(H10,E10*(1-G10))</f>
      </c>
      <c r="J10" s="62" t="str">
        <f>E10-I10</f>
      </c>
      <c r="K10" s="63" t="str">
        <f>IF(E10=0,0,(E10-I10)/E10)</f>
      </c>
      <c r="L10" s="64" t="n">
        <v>2026</v>
      </c>
      <c r="M10" s="65" t="n">
        <v>2030</v>
      </c>
      <c r="N10" t="s">
        <v>115</v>
      </c>
      <c r="O10" t="s">
        <v>357</v>
      </c>
    </row>
    <row r="11">
      <c r="A11" t="s">
        <v>250</v>
      </c>
      <c r="B11" t="s">
        <v>222</v>
      </c>
      <c r="C11" t="s">
        <v>369</v>
      </c>
      <c r="D11" t="s">
        <v>66</v>
      </c>
      <c r="E11" s="58" t="n">
        <v>0.303</v>
      </c>
      <c r="F11" t="s">
        <v>356</v>
      </c>
      <c r="G11" s="59" t="n">
        <v>0.04</v>
      </c>
      <c r="H11" s="60" t="n">
        <v>0</v>
      </c>
      <c r="I11" s="61" t="str">
        <f>MAX(H11,E11*(1-G11))</f>
      </c>
      <c r="J11" s="62" t="str">
        <f>E11-I11</f>
      </c>
      <c r="K11" s="63" t="str">
        <f>IF(E11=0,0,(E11-I11)/E11)</f>
      </c>
      <c r="L11" s="64" t="n">
        <v>2026</v>
      </c>
      <c r="M11" s="65" t="n">
        <v>2030</v>
      </c>
      <c r="N11" t="s">
        <v>115</v>
      </c>
      <c r="O11" t="s">
        <v>231</v>
      </c>
    </row>
    <row r="12">
      <c r="A12" t="s">
        <v>262</v>
      </c>
      <c r="B12" t="s">
        <v>222</v>
      </c>
      <c r="C12" t="s">
        <v>369</v>
      </c>
      <c r="D12" t="s">
        <v>66</v>
      </c>
      <c r="E12" s="58" t="n">
        <v>0.303</v>
      </c>
      <c r="F12" t="s">
        <v>356</v>
      </c>
      <c r="G12" s="59" t="n">
        <v>0.055</v>
      </c>
      <c r="H12" s="60" t="n">
        <v>0</v>
      </c>
      <c r="I12" s="61" t="str">
        <f>MAX(H12,E12*(1-G12))</f>
      </c>
      <c r="J12" s="62" t="str">
        <f>E12-I12</f>
      </c>
      <c r="K12" s="63" t="str">
        <f>IF(E12=0,0,(E12-I12)/E12)</f>
      </c>
      <c r="L12" s="64" t="n">
        <v>2026</v>
      </c>
      <c r="M12" s="65" t="n">
        <v>2030</v>
      </c>
      <c r="N12" t="s">
        <v>115</v>
      </c>
      <c r="O12" t="s">
        <v>231</v>
      </c>
    </row>
    <row r="13">
      <c r="A13" t="s">
        <v>272</v>
      </c>
      <c r="B13" t="s">
        <v>222</v>
      </c>
      <c r="C13" t="s">
        <v>369</v>
      </c>
      <c r="D13" t="s">
        <v>66</v>
      </c>
      <c r="E13" s="58" t="n">
        <v>0.303</v>
      </c>
      <c r="F13" t="s">
        <v>356</v>
      </c>
      <c r="G13" s="59" t="n">
        <v>0.065</v>
      </c>
      <c r="H13" s="60" t="n">
        <v>0</v>
      </c>
      <c r="I13" s="61" t="str">
        <f>MAX(H13,E13*(1-G13))</f>
      </c>
      <c r="J13" s="62" t="str">
        <f>E13-I13</f>
      </c>
      <c r="K13" s="63" t="str">
        <f>IF(E13=0,0,(E13-I13)/E13)</f>
      </c>
      <c r="L13" s="64" t="n">
        <v>2026</v>
      </c>
      <c r="M13" s="65" t="n">
        <v>2030</v>
      </c>
      <c r="N13" t="s">
        <v>115</v>
      </c>
      <c r="O13" t="s">
        <v>231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7.71" hidden="0" customWidth="1"/>
    <col min="3" max="3" width="11.71" hidden="0" customWidth="1"/>
    <col min="4" max="4" width="12.71" hidden="0" customWidth="1"/>
    <col min="5" max="5" width="14.71" hidden="0" customWidth="1"/>
    <col min="6" max="6" width="20.71" hidden="0" customWidth="1"/>
    <col min="7" max="7" width="16.71" hidden="0" customWidth="1"/>
    <col min="8" max="8" width="11.71" hidden="0" customWidth="1"/>
    <col min="9" max="9" width="11.71" hidden="0" customWidth="1"/>
    <col min="10" max="10" width="15.71" hidden="0" customWidth="1"/>
    <col min="11" max="11" width="19.71" hidden="0" customWidth="1"/>
    <col min="12" max="12" width="17.71" hidden="0" customWidth="1"/>
    <col min="13" max="13" width="23.71" hidden="0" customWidth="1"/>
    <col min="14" max="14" width="18.71" hidden="0" customWidth="1"/>
    <col min="15" max="15" width="11.71" hidden="0" customWidth="1"/>
    <col min="16" max="16" width="15.71" hidden="0" customWidth="1"/>
    <col min="17" max="17" width="17.71" hidden="0" customWidth="1"/>
    <col min="18" max="18" width="15.71" hidden="0" customWidth="1"/>
  </cols>
  <sheetData>
    <row r="1" ht="28" customHeight="1">
      <c r="A1" s="1" t="s">
        <v>193</v>
      </c>
      <c r="B1" s="1" t="s">
        <v>192</v>
      </c>
      <c r="C1" s="1" t="s">
        <v>196</v>
      </c>
      <c r="D1" s="1" t="s">
        <v>197</v>
      </c>
      <c r="E1" s="1" t="s">
        <v>198</v>
      </c>
      <c r="F1" s="1" t="s">
        <v>370</v>
      </c>
      <c r="G1" s="1" t="s">
        <v>204</v>
      </c>
      <c r="H1" s="1" t="s">
        <v>205</v>
      </c>
      <c r="I1" s="1" t="s">
        <v>206</v>
      </c>
      <c r="J1" s="1" t="s">
        <v>207</v>
      </c>
      <c r="K1" s="1" t="s">
        <v>202</v>
      </c>
      <c r="L1" s="1" t="s">
        <v>203</v>
      </c>
      <c r="M1" s="1" t="s">
        <v>209</v>
      </c>
      <c r="N1" s="1" t="s">
        <v>199</v>
      </c>
      <c r="O1" s="1" t="s">
        <v>371</v>
      </c>
      <c r="P1" s="1" t="s">
        <v>213</v>
      </c>
      <c r="Q1" s="1" t="s">
        <v>200</v>
      </c>
      <c r="R1" s="1" t="s">
        <v>201</v>
      </c>
    </row>
    <row r="2">
      <c r="A2" t="s">
        <v>220</v>
      </c>
      <c r="B2" t="s">
        <v>219</v>
      </c>
      <c r="C2" t="s">
        <v>223</v>
      </c>
      <c r="D2" t="s">
        <v>224</v>
      </c>
      <c r="E2" t="s">
        <v>225</v>
      </c>
      <c r="F2" t="s">
        <v>372</v>
      </c>
      <c r="G2" s="66" t="n">
        <v>1.37</v>
      </c>
      <c r="H2" s="67"/>
      <c r="I2" t="s">
        <v>229</v>
      </c>
      <c r="J2" s="68" t="n">
        <v>0.0615144568129612</v>
      </c>
      <c r="K2" s="69" t="n">
        <v>0.303</v>
      </c>
      <c r="L2" s="70" t="n">
        <v>0.274215</v>
      </c>
      <c r="M2" s="71" t="str">
        <f>1-(1+L2*(G2-1))/(1+K2*(G2-1))</f>
      </c>
      <c r="N2" t="s">
        <v>226</v>
      </c>
      <c r="O2" t="n">
        <v>1</v>
      </c>
      <c r="P2" t="s">
        <v>231</v>
      </c>
      <c r="Q2" t="s">
        <v>227</v>
      </c>
      <c r="R2" t="s">
        <v>228</v>
      </c>
    </row>
    <row r="3">
      <c r="A3" t="s">
        <v>233</v>
      </c>
      <c r="B3" t="s">
        <v>219</v>
      </c>
      <c r="C3" t="s">
        <v>234</v>
      </c>
      <c r="D3" t="s">
        <v>235</v>
      </c>
      <c r="E3" t="s">
        <v>225</v>
      </c>
      <c r="F3" t="s">
        <v>372</v>
      </c>
      <c r="G3" s="66" t="n">
        <v>1.19</v>
      </c>
      <c r="H3" s="67"/>
      <c r="I3" t="s">
        <v>236</v>
      </c>
      <c r="J3" s="68" t="n">
        <v>0.0616</v>
      </c>
      <c r="K3" s="69" t="n">
        <v>0.303</v>
      </c>
      <c r="L3" s="70" t="n">
        <v>0.274215</v>
      </c>
      <c r="M3" s="71" t="str">
        <f>1-(1+L3*(G3-1))/(1+K3*(G3-1))</f>
      </c>
      <c r="N3" t="s">
        <v>226</v>
      </c>
      <c r="O3" t="n">
        <v>1</v>
      </c>
      <c r="P3" t="s">
        <v>231</v>
      </c>
      <c r="Q3" t="s">
        <v>227</v>
      </c>
      <c r="R3" t="s">
        <v>228</v>
      </c>
    </row>
    <row r="4">
      <c r="A4" t="s">
        <v>237</v>
      </c>
      <c r="B4" t="s">
        <v>219</v>
      </c>
      <c r="C4" t="s">
        <v>234</v>
      </c>
      <c r="D4" t="s">
        <v>235</v>
      </c>
      <c r="E4" t="s">
        <v>238</v>
      </c>
      <c r="F4" t="s">
        <v>373</v>
      </c>
      <c r="G4" s="66" t="n">
        <v>3</v>
      </c>
      <c r="H4" s="67"/>
      <c r="I4" t="s">
        <v>236</v>
      </c>
      <c r="J4" s="68" t="n">
        <v>0.0616</v>
      </c>
      <c r="K4" s="69" t="n">
        <v>0.303</v>
      </c>
      <c r="L4" s="70" t="n">
        <v>0.274215</v>
      </c>
      <c r="M4" s="71" t="str">
        <f>IFERROR(H4*G4,0)</f>
      </c>
      <c r="N4" t="s">
        <v>239</v>
      </c>
      <c r="O4" t="n">
        <v>1</v>
      </c>
      <c r="P4" t="s">
        <v>241</v>
      </c>
      <c r="Q4" t="s">
        <v>228</v>
      </c>
      <c r="R4" t="s">
        <v>240</v>
      </c>
    </row>
    <row r="5">
      <c r="A5" t="s">
        <v>242</v>
      </c>
      <c r="B5" t="s">
        <v>219</v>
      </c>
      <c r="C5" t="s">
        <v>243</v>
      </c>
      <c r="D5" t="s">
        <v>244</v>
      </c>
      <c r="E5" t="s">
        <v>225</v>
      </c>
      <c r="F5" t="s">
        <v>372</v>
      </c>
      <c r="G5" s="66" t="n">
        <v>1.6</v>
      </c>
      <c r="H5" s="67"/>
      <c r="I5" t="s">
        <v>236</v>
      </c>
      <c r="J5" s="68" t="n">
        <v>0.0616</v>
      </c>
      <c r="K5" s="69" t="n">
        <v>0.303</v>
      </c>
      <c r="L5" s="70" t="n">
        <v>0.274215</v>
      </c>
      <c r="M5" s="71" t="str">
        <f>1-(1+L5*(G5-1))/(1+K5*(G5-1))</f>
      </c>
      <c r="N5" t="s">
        <v>226</v>
      </c>
      <c r="O5" t="n">
        <v>1</v>
      </c>
      <c r="P5" t="s">
        <v>231</v>
      </c>
      <c r="Q5" t="s">
        <v>227</v>
      </c>
      <c r="R5" t="s">
        <v>228</v>
      </c>
    </row>
    <row r="6">
      <c r="A6" t="s">
        <v>245</v>
      </c>
      <c r="B6" t="s">
        <v>219</v>
      </c>
      <c r="C6" t="s">
        <v>243</v>
      </c>
      <c r="D6" t="s">
        <v>244</v>
      </c>
      <c r="E6" t="s">
        <v>238</v>
      </c>
      <c r="F6" t="s">
        <v>373</v>
      </c>
      <c r="G6" s="66" t="n">
        <v>3</v>
      </c>
      <c r="H6" s="67"/>
      <c r="I6" t="s">
        <v>236</v>
      </c>
      <c r="J6" s="68" t="n">
        <v>0.0616</v>
      </c>
      <c r="K6" s="69" t="n">
        <v>0.303</v>
      </c>
      <c r="L6" s="70" t="n">
        <v>0.274215</v>
      </c>
      <c r="M6" s="71" t="str">
        <f>IFERROR(H6*G6,0)</f>
      </c>
      <c r="N6" t="s">
        <v>239</v>
      </c>
      <c r="O6" t="n">
        <v>1</v>
      </c>
      <c r="P6" t="s">
        <v>241</v>
      </c>
      <c r="Q6" t="s">
        <v>228</v>
      </c>
      <c r="R6" t="s">
        <v>240</v>
      </c>
    </row>
    <row r="7">
      <c r="A7" t="s">
        <v>246</v>
      </c>
      <c r="B7" t="s">
        <v>219</v>
      </c>
      <c r="C7" t="s">
        <v>247</v>
      </c>
      <c r="D7" t="s">
        <v>248</v>
      </c>
      <c r="E7" t="s">
        <v>225</v>
      </c>
      <c r="F7" t="s">
        <v>372</v>
      </c>
      <c r="G7" s="66" t="n">
        <v>1.38</v>
      </c>
      <c r="H7" s="67"/>
      <c r="I7" t="s">
        <v>236</v>
      </c>
      <c r="J7" s="68" t="n">
        <v>0.0616</v>
      </c>
      <c r="K7" s="69" t="n">
        <v>0.303</v>
      </c>
      <c r="L7" s="70" t="n">
        <v>0.274215</v>
      </c>
      <c r="M7" s="71" t="str">
        <f>1-(1+L7*(G7-1))/(1+K7*(G7-1))</f>
      </c>
      <c r="N7" t="s">
        <v>226</v>
      </c>
      <c r="O7" t="n">
        <v>1</v>
      </c>
      <c r="P7" t="s">
        <v>231</v>
      </c>
      <c r="Q7" t="s">
        <v>227</v>
      </c>
      <c r="R7" t="s">
        <v>228</v>
      </c>
    </row>
    <row r="8">
      <c r="A8" t="s">
        <v>249</v>
      </c>
      <c r="B8" t="s">
        <v>219</v>
      </c>
      <c r="C8" t="s">
        <v>247</v>
      </c>
      <c r="D8" t="s">
        <v>248</v>
      </c>
      <c r="E8" t="s">
        <v>238</v>
      </c>
      <c r="F8" t="s">
        <v>373</v>
      </c>
      <c r="G8" s="66" t="n">
        <v>3</v>
      </c>
      <c r="H8" s="67"/>
      <c r="I8" t="s">
        <v>236</v>
      </c>
      <c r="J8" s="68" t="n">
        <v>0.0616</v>
      </c>
      <c r="K8" s="69" t="n">
        <v>0.303</v>
      </c>
      <c r="L8" s="70" t="n">
        <v>0.274215</v>
      </c>
      <c r="M8" s="71" t="str">
        <f>IFERROR(H8*G8,0)</f>
      </c>
      <c r="N8" t="s">
        <v>239</v>
      </c>
      <c r="O8" t="n">
        <v>1</v>
      </c>
      <c r="P8" t="s">
        <v>241</v>
      </c>
      <c r="Q8" t="s">
        <v>228</v>
      </c>
      <c r="R8" t="s">
        <v>240</v>
      </c>
    </row>
    <row r="9">
      <c r="A9" t="s">
        <v>251</v>
      </c>
      <c r="B9" t="s">
        <v>250</v>
      </c>
      <c r="C9" t="s">
        <v>223</v>
      </c>
      <c r="D9" t="s">
        <v>224</v>
      </c>
      <c r="E9" t="s">
        <v>225</v>
      </c>
      <c r="F9" t="s">
        <v>372</v>
      </c>
      <c r="G9" s="66" t="n">
        <v>1.37</v>
      </c>
      <c r="H9" s="67"/>
      <c r="I9" t="s">
        <v>229</v>
      </c>
      <c r="J9" s="68" t="n">
        <v>0.0615144568129612</v>
      </c>
      <c r="K9" s="69" t="n">
        <v>0.303</v>
      </c>
      <c r="L9" s="70" t="n">
        <v>0.29088</v>
      </c>
      <c r="M9" s="71" t="str">
        <f>1-(1+L9*(G9-1))/(1+K9*(G9-1))</f>
      </c>
      <c r="N9" t="s">
        <v>226</v>
      </c>
      <c r="O9" t="n">
        <v>1</v>
      </c>
      <c r="P9" t="s">
        <v>231</v>
      </c>
      <c r="Q9" t="s">
        <v>227</v>
      </c>
      <c r="R9" t="s">
        <v>228</v>
      </c>
    </row>
    <row r="10">
      <c r="A10" t="s">
        <v>256</v>
      </c>
      <c r="B10" t="s">
        <v>250</v>
      </c>
      <c r="C10" t="s">
        <v>234</v>
      </c>
      <c r="D10" t="s">
        <v>235</v>
      </c>
      <c r="E10" t="s">
        <v>225</v>
      </c>
      <c r="F10" t="s">
        <v>372</v>
      </c>
      <c r="G10" s="66" t="n">
        <v>1.19</v>
      </c>
      <c r="H10" s="67"/>
      <c r="I10" t="s">
        <v>236</v>
      </c>
      <c r="J10" s="68" t="n">
        <v>0.0616</v>
      </c>
      <c r="K10" s="69" t="n">
        <v>0.303</v>
      </c>
      <c r="L10" s="70" t="n">
        <v>0.29088</v>
      </c>
      <c r="M10" s="71" t="str">
        <f>1-(1+L10*(G10-1))/(1+K10*(G10-1))</f>
      </c>
      <c r="N10" t="s">
        <v>226</v>
      </c>
      <c r="O10" t="n">
        <v>1</v>
      </c>
      <c r="P10" t="s">
        <v>231</v>
      </c>
      <c r="Q10" t="s">
        <v>227</v>
      </c>
      <c r="R10" t="s">
        <v>228</v>
      </c>
    </row>
    <row r="11">
      <c r="A11" t="s">
        <v>257</v>
      </c>
      <c r="B11" t="s">
        <v>250</v>
      </c>
      <c r="C11" t="s">
        <v>234</v>
      </c>
      <c r="D11" t="s">
        <v>235</v>
      </c>
      <c r="E11" t="s">
        <v>238</v>
      </c>
      <c r="F11" t="s">
        <v>373</v>
      </c>
      <c r="G11" s="66" t="n">
        <v>3</v>
      </c>
      <c r="H11" s="67"/>
      <c r="I11" t="s">
        <v>236</v>
      </c>
      <c r="J11" s="68" t="n">
        <v>0.0616</v>
      </c>
      <c r="K11" s="69" t="n">
        <v>0.303</v>
      </c>
      <c r="L11" s="70" t="n">
        <v>0.29088</v>
      </c>
      <c r="M11" s="71" t="str">
        <f>IFERROR(H11*G11,0)</f>
      </c>
      <c r="N11" t="s">
        <v>239</v>
      </c>
      <c r="O11" t="n">
        <v>1</v>
      </c>
      <c r="P11" t="s">
        <v>241</v>
      </c>
      <c r="Q11" t="s">
        <v>228</v>
      </c>
      <c r="R11" t="s">
        <v>240</v>
      </c>
    </row>
    <row r="12">
      <c r="A12" t="s">
        <v>258</v>
      </c>
      <c r="B12" t="s">
        <v>250</v>
      </c>
      <c r="C12" t="s">
        <v>243</v>
      </c>
      <c r="D12" t="s">
        <v>244</v>
      </c>
      <c r="E12" t="s">
        <v>225</v>
      </c>
      <c r="F12" t="s">
        <v>372</v>
      </c>
      <c r="G12" s="66" t="n">
        <v>1.6</v>
      </c>
      <c r="H12" s="67"/>
      <c r="I12" t="s">
        <v>236</v>
      </c>
      <c r="J12" s="68" t="n">
        <v>0.0616</v>
      </c>
      <c r="K12" s="69" t="n">
        <v>0.303</v>
      </c>
      <c r="L12" s="70" t="n">
        <v>0.29088</v>
      </c>
      <c r="M12" s="71" t="str">
        <f>1-(1+L12*(G12-1))/(1+K12*(G12-1))</f>
      </c>
      <c r="N12" t="s">
        <v>226</v>
      </c>
      <c r="O12" t="n">
        <v>1</v>
      </c>
      <c r="P12" t="s">
        <v>231</v>
      </c>
      <c r="Q12" t="s">
        <v>227</v>
      </c>
      <c r="R12" t="s">
        <v>228</v>
      </c>
    </row>
    <row r="13">
      <c r="A13" t="s">
        <v>259</v>
      </c>
      <c r="B13" t="s">
        <v>250</v>
      </c>
      <c r="C13" t="s">
        <v>243</v>
      </c>
      <c r="D13" t="s">
        <v>244</v>
      </c>
      <c r="E13" t="s">
        <v>238</v>
      </c>
      <c r="F13" t="s">
        <v>373</v>
      </c>
      <c r="G13" s="66" t="n">
        <v>3</v>
      </c>
      <c r="H13" s="67"/>
      <c r="I13" t="s">
        <v>236</v>
      </c>
      <c r="J13" s="68" t="n">
        <v>0.0616</v>
      </c>
      <c r="K13" s="69" t="n">
        <v>0.303</v>
      </c>
      <c r="L13" s="70" t="n">
        <v>0.29088</v>
      </c>
      <c r="M13" s="71" t="str">
        <f>IFERROR(H13*G13,0)</f>
      </c>
      <c r="N13" t="s">
        <v>239</v>
      </c>
      <c r="O13" t="n">
        <v>1</v>
      </c>
      <c r="P13" t="s">
        <v>241</v>
      </c>
      <c r="Q13" t="s">
        <v>228</v>
      </c>
      <c r="R13" t="s">
        <v>240</v>
      </c>
    </row>
    <row r="14">
      <c r="A14" t="s">
        <v>260</v>
      </c>
      <c r="B14" t="s">
        <v>250</v>
      </c>
      <c r="C14" t="s">
        <v>247</v>
      </c>
      <c r="D14" t="s">
        <v>248</v>
      </c>
      <c r="E14" t="s">
        <v>225</v>
      </c>
      <c r="F14" t="s">
        <v>372</v>
      </c>
      <c r="G14" s="66" t="n">
        <v>1.38</v>
      </c>
      <c r="H14" s="67"/>
      <c r="I14" t="s">
        <v>236</v>
      </c>
      <c r="J14" s="68" t="n">
        <v>0.0616</v>
      </c>
      <c r="K14" s="69" t="n">
        <v>0.303</v>
      </c>
      <c r="L14" s="70" t="n">
        <v>0.29088</v>
      </c>
      <c r="M14" s="71" t="str">
        <f>1-(1+L14*(G14-1))/(1+K14*(G14-1))</f>
      </c>
      <c r="N14" t="s">
        <v>226</v>
      </c>
      <c r="O14" t="n">
        <v>1</v>
      </c>
      <c r="P14" t="s">
        <v>231</v>
      </c>
      <c r="Q14" t="s">
        <v>227</v>
      </c>
      <c r="R14" t="s">
        <v>228</v>
      </c>
    </row>
    <row r="15">
      <c r="A15" t="s">
        <v>261</v>
      </c>
      <c r="B15" t="s">
        <v>250</v>
      </c>
      <c r="C15" t="s">
        <v>247</v>
      </c>
      <c r="D15" t="s">
        <v>248</v>
      </c>
      <c r="E15" t="s">
        <v>238</v>
      </c>
      <c r="F15" t="s">
        <v>373</v>
      </c>
      <c r="G15" s="66" t="n">
        <v>3</v>
      </c>
      <c r="H15" s="67"/>
      <c r="I15" t="s">
        <v>236</v>
      </c>
      <c r="J15" s="68" t="n">
        <v>0.0616</v>
      </c>
      <c r="K15" s="69" t="n">
        <v>0.303</v>
      </c>
      <c r="L15" s="70" t="n">
        <v>0.29088</v>
      </c>
      <c r="M15" s="71" t="str">
        <f>IFERROR(H15*G15,0)</f>
      </c>
      <c r="N15" t="s">
        <v>239</v>
      </c>
      <c r="O15" t="n">
        <v>1</v>
      </c>
      <c r="P15" t="s">
        <v>241</v>
      </c>
      <c r="Q15" t="s">
        <v>228</v>
      </c>
      <c r="R15" t="s">
        <v>240</v>
      </c>
    </row>
    <row r="16">
      <c r="A16" t="s">
        <v>263</v>
      </c>
      <c r="B16" t="s">
        <v>262</v>
      </c>
      <c r="C16" t="s">
        <v>223</v>
      </c>
      <c r="D16" t="s">
        <v>224</v>
      </c>
      <c r="E16" t="s">
        <v>225</v>
      </c>
      <c r="F16" t="s">
        <v>372</v>
      </c>
      <c r="G16" s="66" t="n">
        <v>1.37</v>
      </c>
      <c r="H16" s="67"/>
      <c r="I16" t="s">
        <v>229</v>
      </c>
      <c r="J16" s="68" t="n">
        <v>0.0615144568129612</v>
      </c>
      <c r="K16" s="69" t="n">
        <v>0.303</v>
      </c>
      <c r="L16" s="70" t="n">
        <v>0.286335</v>
      </c>
      <c r="M16" s="71" t="str">
        <f>1-(1+L16*(G16-1))/(1+K16*(G16-1))</f>
      </c>
      <c r="N16" t="s">
        <v>226</v>
      </c>
      <c r="O16" t="n">
        <v>1</v>
      </c>
      <c r="P16" t="s">
        <v>231</v>
      </c>
      <c r="Q16" t="s">
        <v>227</v>
      </c>
      <c r="R16" t="s">
        <v>228</v>
      </c>
    </row>
    <row r="17">
      <c r="A17" t="s">
        <v>266</v>
      </c>
      <c r="B17" t="s">
        <v>262</v>
      </c>
      <c r="C17" t="s">
        <v>234</v>
      </c>
      <c r="D17" t="s">
        <v>235</v>
      </c>
      <c r="E17" t="s">
        <v>225</v>
      </c>
      <c r="F17" t="s">
        <v>372</v>
      </c>
      <c r="G17" s="66" t="n">
        <v>1.19</v>
      </c>
      <c r="H17" s="67"/>
      <c r="I17" t="s">
        <v>236</v>
      </c>
      <c r="J17" s="68" t="n">
        <v>0.0616</v>
      </c>
      <c r="K17" s="69" t="n">
        <v>0.303</v>
      </c>
      <c r="L17" s="70" t="n">
        <v>0.286335</v>
      </c>
      <c r="M17" s="71" t="str">
        <f>1-(1+L17*(G17-1))/(1+K17*(G17-1))</f>
      </c>
      <c r="N17" t="s">
        <v>226</v>
      </c>
      <c r="O17" t="n">
        <v>1</v>
      </c>
      <c r="P17" t="s">
        <v>231</v>
      </c>
      <c r="Q17" t="s">
        <v>227</v>
      </c>
      <c r="R17" t="s">
        <v>228</v>
      </c>
    </row>
    <row r="18">
      <c r="A18" t="s">
        <v>267</v>
      </c>
      <c r="B18" t="s">
        <v>262</v>
      </c>
      <c r="C18" t="s">
        <v>234</v>
      </c>
      <c r="D18" t="s">
        <v>235</v>
      </c>
      <c r="E18" t="s">
        <v>238</v>
      </c>
      <c r="F18" t="s">
        <v>373</v>
      </c>
      <c r="G18" s="66" t="n">
        <v>3</v>
      </c>
      <c r="H18" s="67"/>
      <c r="I18" t="s">
        <v>236</v>
      </c>
      <c r="J18" s="68" t="n">
        <v>0.0616</v>
      </c>
      <c r="K18" s="69" t="n">
        <v>0.303</v>
      </c>
      <c r="L18" s="70" t="n">
        <v>0.286335</v>
      </c>
      <c r="M18" s="71" t="str">
        <f>IFERROR(H18*G18,0)</f>
      </c>
      <c r="N18" t="s">
        <v>239</v>
      </c>
      <c r="O18" t="n">
        <v>1</v>
      </c>
      <c r="P18" t="s">
        <v>241</v>
      </c>
      <c r="Q18" t="s">
        <v>228</v>
      </c>
      <c r="R18" t="s">
        <v>240</v>
      </c>
    </row>
    <row r="19">
      <c r="A19" t="s">
        <v>268</v>
      </c>
      <c r="B19" t="s">
        <v>262</v>
      </c>
      <c r="C19" t="s">
        <v>243</v>
      </c>
      <c r="D19" t="s">
        <v>244</v>
      </c>
      <c r="E19" t="s">
        <v>225</v>
      </c>
      <c r="F19" t="s">
        <v>372</v>
      </c>
      <c r="G19" s="66" t="n">
        <v>1.6</v>
      </c>
      <c r="H19" s="67"/>
      <c r="I19" t="s">
        <v>236</v>
      </c>
      <c r="J19" s="68" t="n">
        <v>0.0616</v>
      </c>
      <c r="K19" s="69" t="n">
        <v>0.303</v>
      </c>
      <c r="L19" s="70" t="n">
        <v>0.286335</v>
      </c>
      <c r="M19" s="71" t="str">
        <f>1-(1+L19*(G19-1))/(1+K19*(G19-1))</f>
      </c>
      <c r="N19" t="s">
        <v>226</v>
      </c>
      <c r="O19" t="n">
        <v>1</v>
      </c>
      <c r="P19" t="s">
        <v>231</v>
      </c>
      <c r="Q19" t="s">
        <v>227</v>
      </c>
      <c r="R19" t="s">
        <v>228</v>
      </c>
    </row>
    <row r="20">
      <c r="A20" t="s">
        <v>269</v>
      </c>
      <c r="B20" t="s">
        <v>262</v>
      </c>
      <c r="C20" t="s">
        <v>243</v>
      </c>
      <c r="D20" t="s">
        <v>244</v>
      </c>
      <c r="E20" t="s">
        <v>238</v>
      </c>
      <c r="F20" t="s">
        <v>373</v>
      </c>
      <c r="G20" s="66" t="n">
        <v>3</v>
      </c>
      <c r="H20" s="67"/>
      <c r="I20" t="s">
        <v>236</v>
      </c>
      <c r="J20" s="68" t="n">
        <v>0.0616</v>
      </c>
      <c r="K20" s="69" t="n">
        <v>0.303</v>
      </c>
      <c r="L20" s="70" t="n">
        <v>0.286335</v>
      </c>
      <c r="M20" s="71" t="str">
        <f>IFERROR(H20*G20,0)</f>
      </c>
      <c r="N20" t="s">
        <v>239</v>
      </c>
      <c r="O20" t="n">
        <v>1</v>
      </c>
      <c r="P20" t="s">
        <v>241</v>
      </c>
      <c r="Q20" t="s">
        <v>228</v>
      </c>
      <c r="R20" t="s">
        <v>240</v>
      </c>
    </row>
    <row r="21">
      <c r="A21" t="s">
        <v>270</v>
      </c>
      <c r="B21" t="s">
        <v>262</v>
      </c>
      <c r="C21" t="s">
        <v>247</v>
      </c>
      <c r="D21" t="s">
        <v>248</v>
      </c>
      <c r="E21" t="s">
        <v>225</v>
      </c>
      <c r="F21" t="s">
        <v>372</v>
      </c>
      <c r="G21" s="66" t="n">
        <v>1.38</v>
      </c>
      <c r="H21" s="67"/>
      <c r="I21" t="s">
        <v>236</v>
      </c>
      <c r="J21" s="68" t="n">
        <v>0.0616</v>
      </c>
      <c r="K21" s="69" t="n">
        <v>0.303</v>
      </c>
      <c r="L21" s="70" t="n">
        <v>0.286335</v>
      </c>
      <c r="M21" s="71" t="str">
        <f>1-(1+L21*(G21-1))/(1+K21*(G21-1))</f>
      </c>
      <c r="N21" t="s">
        <v>226</v>
      </c>
      <c r="O21" t="n">
        <v>1</v>
      </c>
      <c r="P21" t="s">
        <v>231</v>
      </c>
      <c r="Q21" t="s">
        <v>227</v>
      </c>
      <c r="R21" t="s">
        <v>228</v>
      </c>
    </row>
    <row r="22">
      <c r="A22" t="s">
        <v>271</v>
      </c>
      <c r="B22" t="s">
        <v>262</v>
      </c>
      <c r="C22" t="s">
        <v>247</v>
      </c>
      <c r="D22" t="s">
        <v>248</v>
      </c>
      <c r="E22" t="s">
        <v>238</v>
      </c>
      <c r="F22" t="s">
        <v>373</v>
      </c>
      <c r="G22" s="66" t="n">
        <v>3</v>
      </c>
      <c r="H22" s="67"/>
      <c r="I22" t="s">
        <v>236</v>
      </c>
      <c r="J22" s="68" t="n">
        <v>0.0616</v>
      </c>
      <c r="K22" s="69" t="n">
        <v>0.303</v>
      </c>
      <c r="L22" s="70" t="n">
        <v>0.286335</v>
      </c>
      <c r="M22" s="71" t="str">
        <f>IFERROR(H22*G22,0)</f>
      </c>
      <c r="N22" t="s">
        <v>239</v>
      </c>
      <c r="O22" t="n">
        <v>1</v>
      </c>
      <c r="P22" t="s">
        <v>241</v>
      </c>
      <c r="Q22" t="s">
        <v>228</v>
      </c>
      <c r="R22" t="s">
        <v>240</v>
      </c>
    </row>
    <row r="23">
      <c r="A23" t="s">
        <v>273</v>
      </c>
      <c r="B23" t="s">
        <v>272</v>
      </c>
      <c r="C23" t="s">
        <v>223</v>
      </c>
      <c r="D23" t="s">
        <v>224</v>
      </c>
      <c r="E23" t="s">
        <v>225</v>
      </c>
      <c r="F23" t="s">
        <v>372</v>
      </c>
      <c r="G23" s="66" t="n">
        <v>1.37</v>
      </c>
      <c r="H23" s="67"/>
      <c r="I23" t="s">
        <v>229</v>
      </c>
      <c r="J23" s="68" t="n">
        <v>0.0615144568129612</v>
      </c>
      <c r="K23" s="69" t="n">
        <v>0.303</v>
      </c>
      <c r="L23" s="70" t="n">
        <v>0.283305</v>
      </c>
      <c r="M23" s="71" t="str">
        <f>1-(1+L23*(G23-1))/(1+K23*(G23-1))</f>
      </c>
      <c r="N23" t="s">
        <v>226</v>
      </c>
      <c r="O23" t="n">
        <v>1</v>
      </c>
      <c r="P23" t="s">
        <v>231</v>
      </c>
      <c r="Q23" t="s">
        <v>227</v>
      </c>
      <c r="R23" t="s">
        <v>228</v>
      </c>
    </row>
    <row r="24">
      <c r="A24" t="s">
        <v>276</v>
      </c>
      <c r="B24" t="s">
        <v>272</v>
      </c>
      <c r="C24" t="s">
        <v>234</v>
      </c>
      <c r="D24" t="s">
        <v>235</v>
      </c>
      <c r="E24" t="s">
        <v>225</v>
      </c>
      <c r="F24" t="s">
        <v>372</v>
      </c>
      <c r="G24" s="66" t="n">
        <v>1.19</v>
      </c>
      <c r="H24" s="67"/>
      <c r="I24" t="s">
        <v>236</v>
      </c>
      <c r="J24" s="68" t="n">
        <v>0.0616</v>
      </c>
      <c r="K24" s="69" t="n">
        <v>0.303</v>
      </c>
      <c r="L24" s="70" t="n">
        <v>0.283305</v>
      </c>
      <c r="M24" s="71" t="str">
        <f>1-(1+L24*(G24-1))/(1+K24*(G24-1))</f>
      </c>
      <c r="N24" t="s">
        <v>226</v>
      </c>
      <c r="O24" t="n">
        <v>1</v>
      </c>
      <c r="P24" t="s">
        <v>231</v>
      </c>
      <c r="Q24" t="s">
        <v>227</v>
      </c>
      <c r="R24" t="s">
        <v>228</v>
      </c>
    </row>
    <row r="25">
      <c r="A25" t="s">
        <v>277</v>
      </c>
      <c r="B25" t="s">
        <v>272</v>
      </c>
      <c r="C25" t="s">
        <v>234</v>
      </c>
      <c r="D25" t="s">
        <v>235</v>
      </c>
      <c r="E25" t="s">
        <v>238</v>
      </c>
      <c r="F25" t="s">
        <v>373</v>
      </c>
      <c r="G25" s="66" t="n">
        <v>3</v>
      </c>
      <c r="H25" s="67"/>
      <c r="I25" t="s">
        <v>236</v>
      </c>
      <c r="J25" s="68" t="n">
        <v>0.0616</v>
      </c>
      <c r="K25" s="69" t="n">
        <v>0.303</v>
      </c>
      <c r="L25" s="70" t="n">
        <v>0.283305</v>
      </c>
      <c r="M25" s="71" t="str">
        <f>IFERROR(H25*G25,0)</f>
      </c>
      <c r="N25" t="s">
        <v>239</v>
      </c>
      <c r="O25" t="n">
        <v>1</v>
      </c>
      <c r="P25" t="s">
        <v>241</v>
      </c>
      <c r="Q25" t="s">
        <v>228</v>
      </c>
      <c r="R25" t="s">
        <v>240</v>
      </c>
    </row>
    <row r="26">
      <c r="A26" t="s">
        <v>278</v>
      </c>
      <c r="B26" t="s">
        <v>272</v>
      </c>
      <c r="C26" t="s">
        <v>243</v>
      </c>
      <c r="D26" t="s">
        <v>244</v>
      </c>
      <c r="E26" t="s">
        <v>225</v>
      </c>
      <c r="F26" t="s">
        <v>372</v>
      </c>
      <c r="G26" s="66" t="n">
        <v>1.6</v>
      </c>
      <c r="H26" s="67"/>
      <c r="I26" t="s">
        <v>236</v>
      </c>
      <c r="J26" s="68" t="n">
        <v>0.0616</v>
      </c>
      <c r="K26" s="69" t="n">
        <v>0.303</v>
      </c>
      <c r="L26" s="70" t="n">
        <v>0.283305</v>
      </c>
      <c r="M26" s="71" t="str">
        <f>1-(1+L26*(G26-1))/(1+K26*(G26-1))</f>
      </c>
      <c r="N26" t="s">
        <v>226</v>
      </c>
      <c r="O26" t="n">
        <v>1</v>
      </c>
      <c r="P26" t="s">
        <v>231</v>
      </c>
      <c r="Q26" t="s">
        <v>227</v>
      </c>
      <c r="R26" t="s">
        <v>228</v>
      </c>
    </row>
    <row r="27">
      <c r="A27" t="s">
        <v>279</v>
      </c>
      <c r="B27" t="s">
        <v>272</v>
      </c>
      <c r="C27" t="s">
        <v>243</v>
      </c>
      <c r="D27" t="s">
        <v>244</v>
      </c>
      <c r="E27" t="s">
        <v>238</v>
      </c>
      <c r="F27" t="s">
        <v>373</v>
      </c>
      <c r="G27" s="66" t="n">
        <v>3</v>
      </c>
      <c r="H27" s="67"/>
      <c r="I27" t="s">
        <v>236</v>
      </c>
      <c r="J27" s="68" t="n">
        <v>0.0616</v>
      </c>
      <c r="K27" s="69" t="n">
        <v>0.303</v>
      </c>
      <c r="L27" s="70" t="n">
        <v>0.283305</v>
      </c>
      <c r="M27" s="71" t="str">
        <f>IFERROR(H27*G27,0)</f>
      </c>
      <c r="N27" t="s">
        <v>239</v>
      </c>
      <c r="O27" t="n">
        <v>1</v>
      </c>
      <c r="P27" t="s">
        <v>241</v>
      </c>
      <c r="Q27" t="s">
        <v>228</v>
      </c>
      <c r="R27" t="s">
        <v>240</v>
      </c>
    </row>
    <row r="28">
      <c r="A28" t="s">
        <v>280</v>
      </c>
      <c r="B28" t="s">
        <v>272</v>
      </c>
      <c r="C28" t="s">
        <v>247</v>
      </c>
      <c r="D28" t="s">
        <v>248</v>
      </c>
      <c r="E28" t="s">
        <v>225</v>
      </c>
      <c r="F28" t="s">
        <v>372</v>
      </c>
      <c r="G28" s="66" t="n">
        <v>1.38</v>
      </c>
      <c r="H28" s="67"/>
      <c r="I28" t="s">
        <v>236</v>
      </c>
      <c r="J28" s="68" t="n">
        <v>0.0616</v>
      </c>
      <c r="K28" s="69" t="n">
        <v>0.303</v>
      </c>
      <c r="L28" s="70" t="n">
        <v>0.283305</v>
      </c>
      <c r="M28" s="71" t="str">
        <f>1-(1+L28*(G28-1))/(1+K28*(G28-1))</f>
      </c>
      <c r="N28" t="s">
        <v>226</v>
      </c>
      <c r="O28" t="n">
        <v>1</v>
      </c>
      <c r="P28" t="s">
        <v>231</v>
      </c>
      <c r="Q28" t="s">
        <v>227</v>
      </c>
      <c r="R28" t="s">
        <v>228</v>
      </c>
    </row>
    <row r="29">
      <c r="A29" t="s">
        <v>281</v>
      </c>
      <c r="B29" t="s">
        <v>272</v>
      </c>
      <c r="C29" t="s">
        <v>247</v>
      </c>
      <c r="D29" t="s">
        <v>248</v>
      </c>
      <c r="E29" t="s">
        <v>238</v>
      </c>
      <c r="F29" t="s">
        <v>373</v>
      </c>
      <c r="G29" s="66" t="n">
        <v>3</v>
      </c>
      <c r="H29" s="67"/>
      <c r="I29" t="s">
        <v>236</v>
      </c>
      <c r="J29" s="68" t="n">
        <v>0.0616</v>
      </c>
      <c r="K29" s="69" t="n">
        <v>0.303</v>
      </c>
      <c r="L29" s="70" t="n">
        <v>0.283305</v>
      </c>
      <c r="M29" s="71" t="str">
        <f>IFERROR(H29*G29,0)</f>
      </c>
      <c r="N29" t="s">
        <v>239</v>
      </c>
      <c r="O29" t="n">
        <v>1</v>
      </c>
      <c r="P29" t="s">
        <v>241</v>
      </c>
      <c r="Q29" t="s">
        <v>228</v>
      </c>
      <c r="R29" t="s">
        <v>240</v>
      </c>
    </row>
  </sheetData>
  <autoFilter ref="A1:R1"/>
  <conditionalFormatting sqref="O2:O29">
    <cfRule type="expression" dxfId="1" priority="1">
      <formula>O2=0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0.71" hidden="0" customWidth="1"/>
    <col min="3" max="3" width="15.71" hidden="0" customWidth="1"/>
    <col min="4" max="4" width="12.71" hidden="0" customWidth="1"/>
    <col min="5" max="5" width="17.71" hidden="0" customWidth="1"/>
    <col min="6" max="6" width="19.71" hidden="0" customWidth="1"/>
    <col min="7" max="7" width="15.71" hidden="0" customWidth="1"/>
    <col min="8" max="8" width="16.71" hidden="0" customWidth="1"/>
    <col min="9" max="9" width="28.71" hidden="0" customWidth="1"/>
    <col min="10" max="10" width="29.71" hidden="0" customWidth="1"/>
    <col min="11" max="11" width="20.71" hidden="0" customWidth="1"/>
    <col min="12" max="12" width="15.71" hidden="0" customWidth="1"/>
    <col min="13" max="13" width="23.71" hidden="0" customWidth="1"/>
    <col min="14" max="14" width="35.71" hidden="0" customWidth="1"/>
    <col min="15" max="15" width="19.71" hidden="0" customWidth="1"/>
    <col min="16" max="16" width="22.71" hidden="0" customWidth="1"/>
    <col min="17" max="17" width="12.71" hidden="0" customWidth="1"/>
    <col min="18" max="18" width="25.71" hidden="0" customWidth="1"/>
    <col min="19" max="19" width="16.71" hidden="0" customWidth="1"/>
    <col min="20" max="20" width="15.71" hidden="0" customWidth="1"/>
    <col min="21" max="21" width="12.71" hidden="0" customWidth="1"/>
    <col min="22" max="22" width="11.71" hidden="0" customWidth="1"/>
  </cols>
  <sheetData>
    <row r="1" ht="28" customHeight="1">
      <c r="A1" s="1" t="s">
        <v>374</v>
      </c>
      <c r="B1" s="1" t="s">
        <v>375</v>
      </c>
      <c r="C1" s="1" t="s">
        <v>212</v>
      </c>
      <c r="D1" s="1" t="s">
        <v>376</v>
      </c>
      <c r="E1" s="1" t="s">
        <v>192</v>
      </c>
      <c r="F1" s="1" t="s">
        <v>216</v>
      </c>
      <c r="G1" s="1" t="s">
        <v>377</v>
      </c>
      <c r="H1" s="1" t="s">
        <v>378</v>
      </c>
      <c r="I1" s="1" t="s">
        <v>379</v>
      </c>
      <c r="J1" s="1" t="s">
        <v>380</v>
      </c>
      <c r="K1" s="1" t="s">
        <v>381</v>
      </c>
      <c r="L1" s="1" t="s">
        <v>382</v>
      </c>
      <c r="M1" s="1" t="s">
        <v>383</v>
      </c>
      <c r="N1" s="1" t="s">
        <v>384</v>
      </c>
      <c r="O1" s="1" t="s">
        <v>385</v>
      </c>
      <c r="P1" s="1" t="s">
        <v>386</v>
      </c>
      <c r="Q1" s="1" t="s">
        <v>387</v>
      </c>
      <c r="R1" s="1" t="s">
        <v>388</v>
      </c>
      <c r="S1" s="1" t="s">
        <v>389</v>
      </c>
      <c r="T1" s="1" t="s">
        <v>213</v>
      </c>
      <c r="U1" s="1" t="s">
        <v>390</v>
      </c>
      <c r="V1" s="1" t="s">
        <v>391</v>
      </c>
    </row>
    <row r="2">
      <c r="A2" s="72" t="s">
        <v>392</v>
      </c>
      <c r="B2" s="73" t="s">
        <v>393</v>
      </c>
      <c r="C2" s="74" t="s">
        <v>230</v>
      </c>
      <c r="D2" s="75" t="s">
        <v>394</v>
      </c>
      <c r="E2" t="s">
        <v>219</v>
      </c>
      <c r="F2" t="s">
        <v>219</v>
      </c>
      <c r="G2" t="s">
        <v>232</v>
      </c>
      <c r="H2" s="85" t="s">
        <v>395</v>
      </c>
      <c r="I2" s="76" t="s">
        <v>396</v>
      </c>
      <c r="J2" s="77" t="n">
        <v>1</v>
      </c>
      <c r="K2" s="78" t="n">
        <v>1</v>
      </c>
      <c r="L2" s="79" t="n">
        <v>0.04</v>
      </c>
      <c r="M2" s="80" t="n">
        <v>1</v>
      </c>
      <c r="N2" s="81" t="n">
        <v>0.004</v>
      </c>
      <c r="O2" t="s">
        <v>397</v>
      </c>
      <c r="P2" s="82" t="str">
        <f>IFERROR(N2*M2,L2)</f>
      </c>
      <c r="Q2" s="83" t="n">
        <v>2017</v>
      </c>
      <c r="R2" t="n">
        <v>0</v>
      </c>
      <c r="S2" t="s">
        <v>398</v>
      </c>
      <c r="T2" t="s">
        <v>399</v>
      </c>
      <c r="U2" s="84" t="str">
        <f>IF(AND(L2&gt;=0,J2&lt;&gt;"",J2&gt;=0,J2&lt;=1,OR(I2="all",I2="prevalence",I2="incidence")),1,0)</f>
      </c>
      <c r="V2" s="35" t="s">
        <v>400</v>
      </c>
    </row>
    <row r="3">
      <c r="A3" s="72" t="s">
        <v>401</v>
      </c>
      <c r="B3" s="73" t="s">
        <v>402</v>
      </c>
      <c r="C3" s="74" t="s">
        <v>253</v>
      </c>
      <c r="D3" s="75" t="s">
        <v>403</v>
      </c>
      <c r="E3" t="s">
        <v>250</v>
      </c>
      <c r="F3" t="s">
        <v>254</v>
      </c>
      <c r="G3" t="s">
        <v>255</v>
      </c>
      <c r="H3" s="85" t="s">
        <v>395</v>
      </c>
      <c r="I3" s="76" t="s">
        <v>396</v>
      </c>
      <c r="J3" s="77" t="n">
        <v>1</v>
      </c>
      <c r="K3" s="78" t="n">
        <v>1</v>
      </c>
      <c r="L3" s="79" t="n">
        <v>0.0077</v>
      </c>
      <c r="M3" s="80" t="n">
        <v>0.333333333333333</v>
      </c>
      <c r="N3" s="81" t="n">
        <v>0.0231</v>
      </c>
      <c r="O3" t="s">
        <v>404</v>
      </c>
      <c r="P3" s="82" t="str">
        <f>IFERROR(N3*M3,L3)</f>
      </c>
      <c r="Q3" s="83" t="n">
        <v>2017</v>
      </c>
      <c r="R3" t="n">
        <v>0</v>
      </c>
      <c r="S3" t="s">
        <v>398</v>
      </c>
      <c r="T3" t="s">
        <v>399</v>
      </c>
      <c r="U3" s="84" t="str">
        <f>IF(AND(L3&gt;=0,J3&lt;&gt;"",J3&gt;=0,J3&lt;=1,OR(I3="all",I3="prevalence",I3="incidence")),1,0)</f>
      </c>
      <c r="V3" s="35" t="s">
        <v>400</v>
      </c>
    </row>
    <row r="4">
      <c r="A4" s="72" t="s">
        <v>405</v>
      </c>
      <c r="B4" s="73" t="s">
        <v>406</v>
      </c>
      <c r="C4" s="74" t="s">
        <v>265</v>
      </c>
      <c r="D4" s="75" t="s">
        <v>403</v>
      </c>
      <c r="E4" t="s">
        <v>262</v>
      </c>
      <c r="F4" t="s">
        <v>254</v>
      </c>
      <c r="G4" t="s">
        <v>255</v>
      </c>
      <c r="H4" s="85" t="s">
        <v>395</v>
      </c>
      <c r="I4" s="76" t="s">
        <v>396</v>
      </c>
      <c r="J4" s="77" t="n">
        <v>1</v>
      </c>
      <c r="K4" s="78" t="n">
        <v>1</v>
      </c>
      <c r="L4" s="79" t="n">
        <v>0.0077</v>
      </c>
      <c r="M4" s="80" t="n">
        <v>0.333333333333333</v>
      </c>
      <c r="N4" s="81" t="n">
        <v>0.0231</v>
      </c>
      <c r="O4" t="s">
        <v>404</v>
      </c>
      <c r="P4" s="82" t="str">
        <f>IFERROR(N4*M4,L4)</f>
      </c>
      <c r="Q4" s="83" t="n">
        <v>2017</v>
      </c>
      <c r="R4" t="n">
        <v>0</v>
      </c>
      <c r="S4" t="s">
        <v>398</v>
      </c>
      <c r="T4" t="s">
        <v>399</v>
      </c>
      <c r="U4" s="84" t="str">
        <f>IF(AND(L4&gt;=0,J4&lt;&gt;"",J4&gt;=0,J4&lt;=1,OR(I4="all",I4="prevalence",I4="incidence")),1,0)</f>
      </c>
      <c r="V4" s="35" t="s">
        <v>400</v>
      </c>
    </row>
    <row r="5">
      <c r="A5" s="72" t="s">
        <v>407</v>
      </c>
      <c r="B5" s="73" t="s">
        <v>408</v>
      </c>
      <c r="C5" s="74" t="s">
        <v>275</v>
      </c>
      <c r="D5" s="75" t="s">
        <v>403</v>
      </c>
      <c r="E5" t="s">
        <v>272</v>
      </c>
      <c r="F5" t="s">
        <v>254</v>
      </c>
      <c r="G5" t="s">
        <v>255</v>
      </c>
      <c r="H5" s="85" t="s">
        <v>395</v>
      </c>
      <c r="I5" s="76" t="s">
        <v>396</v>
      </c>
      <c r="J5" s="77" t="n">
        <v>1</v>
      </c>
      <c r="K5" s="78" t="n">
        <v>1</v>
      </c>
      <c r="L5" s="79" t="n">
        <v>0.0077</v>
      </c>
      <c r="M5" s="80" t="n">
        <v>0.333333333333333</v>
      </c>
      <c r="N5" s="81" t="n">
        <v>0.0231</v>
      </c>
      <c r="O5" t="s">
        <v>404</v>
      </c>
      <c r="P5" s="82" t="str">
        <f>IFERROR(N5*M5,L5)</f>
      </c>
      <c r="Q5" s="83" t="n">
        <v>2017</v>
      </c>
      <c r="R5" t="n">
        <v>0</v>
      </c>
      <c r="S5" t="s">
        <v>398</v>
      </c>
      <c r="T5" t="s">
        <v>399</v>
      </c>
      <c r="U5" s="84" t="str">
        <f>IF(AND(L5&gt;=0,J5&lt;&gt;"",J5&gt;=0,J5&lt;=1,OR(I5="all",I5="prevalence",I5="incidence")),1,0)</f>
      </c>
      <c r="V5" s="35" t="s">
        <v>400</v>
      </c>
    </row>
  </sheetData>
  <autoFilter ref="A1:V1"/>
  <conditionalFormatting sqref="R2:R5">
    <cfRule type="expression" dxfId="1" priority="1">
      <formula>R2=0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2.71" hidden="0" customWidth="1"/>
    <col min="8" max="8" width="13.71" hidden="0" customWidth="1"/>
    <col min="9" max="9" width="16.71" hidden="0" customWidth="1"/>
    <col min="10" max="10" width="15.71" hidden="0" customWidth="1"/>
  </cols>
  <sheetData>
    <row r="1" ht="28" customHeight="1">
      <c r="A1" s="1" t="s">
        <v>409</v>
      </c>
      <c r="B1" s="1" t="s">
        <v>410</v>
      </c>
      <c r="C1" s="1" t="s">
        <v>45</v>
      </c>
      <c r="D1" s="1" t="s">
        <v>411</v>
      </c>
      <c r="E1" s="1" t="s">
        <v>412</v>
      </c>
      <c r="F1" s="1" t="s">
        <v>413</v>
      </c>
      <c r="G1" s="1" t="s">
        <v>414</v>
      </c>
      <c r="H1" s="1" t="s">
        <v>415</v>
      </c>
      <c r="I1" s="1" t="s">
        <v>416</v>
      </c>
      <c r="J1" s="1" t="s">
        <v>417</v>
      </c>
    </row>
    <row r="2">
      <c r="A2" t="s">
        <v>254</v>
      </c>
      <c r="B2" t="s">
        <v>418</v>
      </c>
      <c r="C2" s="86" t="n">
        <v>2025</v>
      </c>
      <c r="D2" t="s">
        <v>419</v>
      </c>
      <c r="E2" s="87" t="n">
        <v>11293.8589534084</v>
      </c>
      <c r="F2" s="88" t="n">
        <v>8456.09110298006</v>
      </c>
      <c r="G2" s="89" t="n">
        <v>11293.858953409</v>
      </c>
      <c r="H2" s="90" t="n">
        <v>8456.09110298007</v>
      </c>
      <c r="I2" s="91" t="str">
        <f>H2-F2</f>
      </c>
      <c r="J2" s="92" t="str">
        <f>G2-E2</f>
      </c>
    </row>
    <row r="3">
      <c r="A3" t="s">
        <v>254</v>
      </c>
      <c r="B3" t="s">
        <v>418</v>
      </c>
      <c r="C3" s="86" t="n">
        <v>2025</v>
      </c>
      <c r="D3" t="s">
        <v>224</v>
      </c>
      <c r="E3" s="87" t="n">
        <v>796801.79248266</v>
      </c>
      <c r="F3" s="88" t="n">
        <v>124437.099676651</v>
      </c>
      <c r="G3" s="89" t="n">
        <v>796801.792482661</v>
      </c>
      <c r="H3" s="90" t="n">
        <v>124437.099676651</v>
      </c>
      <c r="I3" s="91" t="str">
        <f>H3-F3</f>
      </c>
      <c r="J3" s="92" t="str">
        <f>G3-E3</f>
      </c>
    </row>
    <row r="4">
      <c r="A4" t="s">
        <v>254</v>
      </c>
      <c r="B4" t="s">
        <v>418</v>
      </c>
      <c r="C4" s="86" t="n">
        <v>2025</v>
      </c>
      <c r="D4" t="s">
        <v>420</v>
      </c>
      <c r="E4" s="87" t="n">
        <v>110599.338170727</v>
      </c>
      <c r="F4" s="88" t="n">
        <v>70978.7980144996</v>
      </c>
      <c r="G4" s="89" t="n">
        <v>110599.338170727</v>
      </c>
      <c r="H4" s="90" t="n">
        <v>70978.7980144995</v>
      </c>
      <c r="I4" s="91" t="str">
        <f>H4-F4</f>
      </c>
      <c r="J4" s="92" t="str">
        <f>G4-E4</f>
      </c>
    </row>
    <row r="5">
      <c r="A5" t="s">
        <v>254</v>
      </c>
      <c r="B5" t="s">
        <v>418</v>
      </c>
      <c r="C5" s="86" t="n">
        <v>2025</v>
      </c>
      <c r="D5" t="s">
        <v>235</v>
      </c>
      <c r="E5" s="87" t="n">
        <v>269908.90899035</v>
      </c>
      <c r="F5" s="88" t="n">
        <v>250549.928104577</v>
      </c>
      <c r="G5" s="89" t="n">
        <v>269908.90899035</v>
      </c>
      <c r="H5" s="90" t="n">
        <v>250549.928104577</v>
      </c>
      <c r="I5" s="91" t="str">
        <f>H5-F5</f>
      </c>
      <c r="J5" s="92" t="str">
        <f>G5-E5</f>
      </c>
    </row>
    <row r="6">
      <c r="A6" t="s">
        <v>254</v>
      </c>
      <c r="B6" t="s">
        <v>418</v>
      </c>
      <c r="C6" s="86" t="n">
        <v>2025</v>
      </c>
      <c r="D6" t="s">
        <v>244</v>
      </c>
      <c r="E6" s="87" t="n">
        <v>605290.562665356</v>
      </c>
      <c r="F6" s="88" t="n">
        <v>336235.043603752</v>
      </c>
      <c r="G6" s="89" t="n">
        <v>605290.562665356</v>
      </c>
      <c r="H6" s="90" t="n">
        <v>336235.043603752</v>
      </c>
      <c r="I6" s="91" t="str">
        <f>H6-F6</f>
      </c>
      <c r="J6" s="92" t="str">
        <f>G6-E6</f>
      </c>
    </row>
    <row r="7">
      <c r="A7" t="s">
        <v>254</v>
      </c>
      <c r="B7" t="s">
        <v>418</v>
      </c>
      <c r="C7" s="86" t="n">
        <v>2025</v>
      </c>
      <c r="D7" t="s">
        <v>248</v>
      </c>
      <c r="E7" s="87" t="n">
        <v>328703.695708345</v>
      </c>
      <c r="F7" s="88" t="n">
        <v>165181.229862536</v>
      </c>
      <c r="G7" s="89" t="n">
        <v>328703.695708345</v>
      </c>
      <c r="H7" s="90" t="n">
        <v>165181.229862536</v>
      </c>
      <c r="I7" s="91" t="str">
        <f>H7-F7</f>
      </c>
      <c r="J7" s="92" t="str">
        <f>G7-E7</f>
      </c>
    </row>
    <row r="8">
      <c r="A8" t="s">
        <v>254</v>
      </c>
      <c r="B8" t="s">
        <v>418</v>
      </c>
      <c r="C8" s="86" t="n">
        <v>2025</v>
      </c>
      <c r="D8" t="s">
        <v>421</v>
      </c>
      <c r="E8" s="87" t="n">
        <v>12601.518831831</v>
      </c>
      <c r="F8" s="88" t="n">
        <v>3955.30711895499</v>
      </c>
      <c r="G8" s="89" t="n">
        <v>12601.5188318307</v>
      </c>
      <c r="H8" s="90" t="n">
        <v>3955.30711895499</v>
      </c>
      <c r="I8" s="91" t="str">
        <f>H8-F8</f>
      </c>
      <c r="J8" s="92" t="str">
        <f>G8-E8</f>
      </c>
    </row>
    <row r="9">
      <c r="A9" t="s">
        <v>254</v>
      </c>
      <c r="B9" t="s">
        <v>418</v>
      </c>
      <c r="C9" s="86" t="n">
        <v>2026</v>
      </c>
      <c r="D9" t="s">
        <v>419</v>
      </c>
      <c r="E9" s="87" t="n">
        <v>11413.9401907853</v>
      </c>
      <c r="F9" s="88" t="n">
        <v>8503.04883072895</v>
      </c>
      <c r="G9" s="89" t="n">
        <v>11413.9401907849</v>
      </c>
      <c r="H9" s="90" t="n">
        <v>8503.048830729</v>
      </c>
      <c r="I9" s="91" t="str">
        <f>H9-F9</f>
      </c>
      <c r="J9" s="92" t="str">
        <f>G9-E9</f>
      </c>
    </row>
    <row r="10">
      <c r="A10" t="s">
        <v>254</v>
      </c>
      <c r="B10" t="s">
        <v>418</v>
      </c>
      <c r="C10" s="86" t="n">
        <v>2026</v>
      </c>
      <c r="D10" t="s">
        <v>224</v>
      </c>
      <c r="E10" s="87" t="n">
        <v>813844.569716144</v>
      </c>
      <c r="F10" s="88" t="n">
        <v>128333.952745922</v>
      </c>
      <c r="G10" s="89" t="n">
        <v>813844.569716145</v>
      </c>
      <c r="H10" s="90" t="n">
        <v>128333.952745922</v>
      </c>
      <c r="I10" s="91" t="str">
        <f>H10-F10</f>
      </c>
      <c r="J10" s="92" t="str">
        <f>G10-E10</f>
      </c>
    </row>
    <row r="11">
      <c r="A11" t="s">
        <v>254</v>
      </c>
      <c r="B11" t="s">
        <v>418</v>
      </c>
      <c r="C11" s="86" t="n">
        <v>2026</v>
      </c>
      <c r="D11" t="s">
        <v>420</v>
      </c>
      <c r="E11" s="87" t="n">
        <v>113261.46718113</v>
      </c>
      <c r="F11" s="88" t="n">
        <v>72339.6884190734</v>
      </c>
      <c r="G11" s="89" t="n">
        <v>113261.467181129</v>
      </c>
      <c r="H11" s="90" t="n">
        <v>72339.6884190733</v>
      </c>
      <c r="I11" s="91" t="str">
        <f>H11-F11</f>
      </c>
      <c r="J11" s="92" t="str">
        <f>G11-E11</f>
      </c>
    </row>
    <row r="12">
      <c r="A12" t="s">
        <v>254</v>
      </c>
      <c r="B12" t="s">
        <v>418</v>
      </c>
      <c r="C12" s="86" t="n">
        <v>2026</v>
      </c>
      <c r="D12" t="s">
        <v>235</v>
      </c>
      <c r="E12" s="87" t="n">
        <v>273941.157648621</v>
      </c>
      <c r="F12" s="88" t="n">
        <v>253872.836331833</v>
      </c>
      <c r="G12" s="89" t="n">
        <v>274200.577929512</v>
      </c>
      <c r="H12" s="90" t="n">
        <v>254910.752627481</v>
      </c>
      <c r="I12" s="91" t="str">
        <f>H12-F12</f>
      </c>
      <c r="J12" s="92" t="str">
        <f>G12-E12</f>
      </c>
    </row>
    <row r="13">
      <c r="A13" t="s">
        <v>254</v>
      </c>
      <c r="B13" t="s">
        <v>418</v>
      </c>
      <c r="C13" s="86" t="n">
        <v>2026</v>
      </c>
      <c r="D13" t="s">
        <v>244</v>
      </c>
      <c r="E13" s="87" t="n">
        <v>618348.298545115</v>
      </c>
      <c r="F13" s="88" t="n">
        <v>343153.277372708</v>
      </c>
      <c r="G13" s="89" t="n">
        <v>620097.594779103</v>
      </c>
      <c r="H13" s="90" t="n">
        <v>344917.064339335</v>
      </c>
      <c r="I13" s="91" t="str">
        <f>H13-F13</f>
      </c>
      <c r="J13" s="92" t="str">
        <f>G13-E13</f>
      </c>
    </row>
    <row r="14">
      <c r="A14" t="s">
        <v>254</v>
      </c>
      <c r="B14" t="s">
        <v>418</v>
      </c>
      <c r="C14" s="86" t="n">
        <v>2026</v>
      </c>
      <c r="D14" t="s">
        <v>248</v>
      </c>
      <c r="E14" s="87" t="n">
        <v>334981.705941343</v>
      </c>
      <c r="F14" s="88" t="n">
        <v>167211.665489206</v>
      </c>
      <c r="G14" s="89" t="n">
        <v>335570.10792798</v>
      </c>
      <c r="H14" s="90" t="n">
        <v>167951.384337069</v>
      </c>
      <c r="I14" s="91" t="str">
        <f>H14-F14</f>
      </c>
      <c r="J14" s="92" t="str">
        <f>G14-E14</f>
      </c>
    </row>
    <row r="15">
      <c r="A15" t="s">
        <v>254</v>
      </c>
      <c r="B15" t="s">
        <v>418</v>
      </c>
      <c r="C15" s="86" t="n">
        <v>2026</v>
      </c>
      <c r="D15" t="s">
        <v>421</v>
      </c>
      <c r="E15" s="87" t="n">
        <v>12631.2009976531</v>
      </c>
      <c r="F15" s="88" t="n">
        <v>3824.41375844239</v>
      </c>
      <c r="G15" s="89" t="n">
        <v>12631.2009976529</v>
      </c>
      <c r="H15" s="90" t="n">
        <v>3824.41375844239</v>
      </c>
      <c r="I15" s="91" t="str">
        <f>H15-F15</f>
      </c>
      <c r="J15" s="92" t="str">
        <f>G15-E15</f>
      </c>
    </row>
    <row r="16">
      <c r="A16" t="s">
        <v>254</v>
      </c>
      <c r="B16" t="s">
        <v>418</v>
      </c>
      <c r="C16" s="86" t="n">
        <v>2027</v>
      </c>
      <c r="D16" t="s">
        <v>419</v>
      </c>
      <c r="E16" s="87" t="n">
        <v>11516.8418353197</v>
      </c>
      <c r="F16" s="88" t="n">
        <v>8579.03905337464</v>
      </c>
      <c r="G16" s="89" t="n">
        <v>11515.58910781</v>
      </c>
      <c r="H16" s="90" t="n">
        <v>8579.03905337462</v>
      </c>
      <c r="I16" s="91" t="str">
        <f>H16-F16</f>
      </c>
      <c r="J16" s="92" t="str">
        <f>G16-E16</f>
      </c>
    </row>
    <row r="17">
      <c r="A17" t="s">
        <v>254</v>
      </c>
      <c r="B17" t="s">
        <v>418</v>
      </c>
      <c r="C17" s="86" t="n">
        <v>2027</v>
      </c>
      <c r="D17" t="s">
        <v>224</v>
      </c>
      <c r="E17" s="87" t="n">
        <v>831372.420143451</v>
      </c>
      <c r="F17" s="88" t="n">
        <v>132462.188251167</v>
      </c>
      <c r="G17" s="89" t="n">
        <v>832166.906185925</v>
      </c>
      <c r="H17" s="90" t="n">
        <v>132462.188251167</v>
      </c>
      <c r="I17" s="91" t="str">
        <f>H17-F17</f>
      </c>
      <c r="J17" s="92" t="str">
        <f>G17-E17</f>
      </c>
    </row>
    <row r="18">
      <c r="A18" t="s">
        <v>254</v>
      </c>
      <c r="B18" t="s">
        <v>418</v>
      </c>
      <c r="C18" s="86" t="n">
        <v>2027</v>
      </c>
      <c r="D18" t="s">
        <v>420</v>
      </c>
      <c r="E18" s="87" t="n">
        <v>115942.164650717</v>
      </c>
      <c r="F18" s="88" t="n">
        <v>73859.9102925665</v>
      </c>
      <c r="G18" s="89" t="n">
        <v>115932.769375635</v>
      </c>
      <c r="H18" s="90" t="n">
        <v>73859.9102925664</v>
      </c>
      <c r="I18" s="91" t="str">
        <f>H18-F18</f>
      </c>
      <c r="J18" s="92" t="str">
        <f>G18-E18</f>
      </c>
    </row>
    <row r="19">
      <c r="A19" t="s">
        <v>254</v>
      </c>
      <c r="B19" t="s">
        <v>418</v>
      </c>
      <c r="C19" s="86" t="n">
        <v>2027</v>
      </c>
      <c r="D19" t="s">
        <v>235</v>
      </c>
      <c r="E19" s="87" t="n">
        <v>277997.39168871</v>
      </c>
      <c r="F19" s="88" t="n">
        <v>257459.621181781</v>
      </c>
      <c r="G19" s="89" t="n">
        <v>278508.667642155</v>
      </c>
      <c r="H19" s="90" t="n">
        <v>259318.038089282</v>
      </c>
      <c r="I19" s="91" t="str">
        <f>H19-F19</f>
      </c>
      <c r="J19" s="92" t="str">
        <f>G19-E19</f>
      </c>
    </row>
    <row r="20">
      <c r="A20" t="s">
        <v>254</v>
      </c>
      <c r="B20" t="s">
        <v>418</v>
      </c>
      <c r="C20" s="86" t="n">
        <v>2027</v>
      </c>
      <c r="D20" t="s">
        <v>244</v>
      </c>
      <c r="E20" s="87" t="n">
        <v>631559.054487076</v>
      </c>
      <c r="F20" s="88" t="n">
        <v>350600.443929657</v>
      </c>
      <c r="G20" s="89" t="n">
        <v>635095.671557741</v>
      </c>
      <c r="H20" s="90" t="n">
        <v>354171.544362645</v>
      </c>
      <c r="I20" s="91" t="str">
        <f>H20-F20</f>
      </c>
      <c r="J20" s="92" t="str">
        <f>G20-E20</f>
      </c>
    </row>
    <row r="21">
      <c r="A21" t="s">
        <v>254</v>
      </c>
      <c r="B21" t="s">
        <v>418</v>
      </c>
      <c r="C21" s="86" t="n">
        <v>2027</v>
      </c>
      <c r="D21" t="s">
        <v>248</v>
      </c>
      <c r="E21" s="87" t="n">
        <v>341315.247324429</v>
      </c>
      <c r="F21" s="88" t="n">
        <v>169785.926128828</v>
      </c>
      <c r="G21" s="89" t="n">
        <v>342492.405098957</v>
      </c>
      <c r="H21" s="90" t="n">
        <v>171237.362695819</v>
      </c>
      <c r="I21" s="91" t="str">
        <f>H21-F21</f>
      </c>
      <c r="J21" s="92" t="str">
        <f>G21-E21</f>
      </c>
    </row>
    <row r="22">
      <c r="A22" t="s">
        <v>254</v>
      </c>
      <c r="B22" t="s">
        <v>418</v>
      </c>
      <c r="C22" s="86" t="n">
        <v>2027</v>
      </c>
      <c r="D22" t="s">
        <v>421</v>
      </c>
      <c r="E22" s="87" t="n">
        <v>12629.8268419164</v>
      </c>
      <c r="F22" s="88" t="n">
        <v>3692.70803496508</v>
      </c>
      <c r="G22" s="89" t="n">
        <v>12629.8028477439</v>
      </c>
      <c r="H22" s="90" t="n">
        <v>3692.70803496508</v>
      </c>
      <c r="I22" s="91" t="str">
        <f>H22-F22</f>
      </c>
      <c r="J22" s="92" t="str">
        <f>G22-E22</f>
      </c>
    </row>
    <row r="23">
      <c r="A23" t="s">
        <v>254</v>
      </c>
      <c r="B23" t="s">
        <v>418</v>
      </c>
      <c r="C23" s="86" t="n">
        <v>2028</v>
      </c>
      <c r="D23" t="s">
        <v>419</v>
      </c>
      <c r="E23" s="87" t="n">
        <v>11833.0027435488</v>
      </c>
      <c r="F23" s="88" t="n">
        <v>8691.25948956562</v>
      </c>
      <c r="G23" s="89" t="n">
        <v>11829.3995552585</v>
      </c>
      <c r="H23" s="90" t="n">
        <v>8690.97079151088</v>
      </c>
      <c r="I23" s="91" t="str">
        <f>H23-F23</f>
      </c>
      <c r="J23" s="92" t="str">
        <f>G23-E23</f>
      </c>
    </row>
    <row r="24">
      <c r="A24" t="s">
        <v>254</v>
      </c>
      <c r="B24" t="s">
        <v>418</v>
      </c>
      <c r="C24" s="86" t="n">
        <v>2028</v>
      </c>
      <c r="D24" t="s">
        <v>224</v>
      </c>
      <c r="E24" s="87" t="n">
        <v>853401.488101529</v>
      </c>
      <c r="F24" s="88" t="n">
        <v>136765.57860945</v>
      </c>
      <c r="G24" s="89" t="n">
        <v>854958.476961541</v>
      </c>
      <c r="H24" s="90" t="n">
        <v>136770.52662348</v>
      </c>
      <c r="I24" s="91" t="str">
        <f>H24-F24</f>
      </c>
      <c r="J24" s="92" t="str">
        <f>G24-E24</f>
      </c>
    </row>
    <row r="25">
      <c r="A25" t="s">
        <v>254</v>
      </c>
      <c r="B25" t="s">
        <v>418</v>
      </c>
      <c r="C25" s="86" t="n">
        <v>2028</v>
      </c>
      <c r="D25" t="s">
        <v>420</v>
      </c>
      <c r="E25" s="87" t="n">
        <v>119711.767207574</v>
      </c>
      <c r="F25" s="88" t="n">
        <v>75546.7343478885</v>
      </c>
      <c r="G25" s="89" t="n">
        <v>119684.609316206</v>
      </c>
      <c r="H25" s="90" t="n">
        <v>75545.0868001112</v>
      </c>
      <c r="I25" s="91" t="str">
        <f>H25-F25</f>
      </c>
      <c r="J25" s="92" t="str">
        <f>G25-E25</f>
      </c>
    </row>
    <row r="26">
      <c r="A26" t="s">
        <v>254</v>
      </c>
      <c r="B26" t="s">
        <v>418</v>
      </c>
      <c r="C26" s="86" t="n">
        <v>2028</v>
      </c>
      <c r="D26" t="s">
        <v>235</v>
      </c>
      <c r="E26" s="87" t="n">
        <v>282450.949125577</v>
      </c>
      <c r="F26" s="88" t="n">
        <v>261194.38391412</v>
      </c>
      <c r="G26" s="89" t="n">
        <v>283208.63975277</v>
      </c>
      <c r="H26" s="90" t="n">
        <v>263753.748205613</v>
      </c>
      <c r="I26" s="91" t="str">
        <f>H26-F26</f>
      </c>
      <c r="J26" s="92" t="str">
        <f>G26-E26</f>
      </c>
    </row>
    <row r="27">
      <c r="A27" t="s">
        <v>254</v>
      </c>
      <c r="B27" t="s">
        <v>418</v>
      </c>
      <c r="C27" s="86" t="n">
        <v>2028</v>
      </c>
      <c r="D27" t="s">
        <v>244</v>
      </c>
      <c r="E27" s="87" t="n">
        <v>648802.727483316</v>
      </c>
      <c r="F27" s="88" t="n">
        <v>358511.945426472</v>
      </c>
      <c r="G27" s="89" t="n">
        <v>654200.049400957</v>
      </c>
      <c r="H27" s="90" t="n">
        <v>363945.253777133</v>
      </c>
      <c r="I27" s="91" t="str">
        <f>H27-F27</f>
      </c>
      <c r="J27" s="92" t="str">
        <f>G27-E27</f>
      </c>
    </row>
    <row r="28">
      <c r="A28" t="s">
        <v>254</v>
      </c>
      <c r="B28" t="s">
        <v>418</v>
      </c>
      <c r="C28" s="86" t="n">
        <v>2028</v>
      </c>
      <c r="D28" t="s">
        <v>248</v>
      </c>
      <c r="E28" s="87" t="n">
        <v>349964.221794062</v>
      </c>
      <c r="F28" s="88" t="n">
        <v>173074.90866197</v>
      </c>
      <c r="G28" s="89" t="n">
        <v>351745.983284134</v>
      </c>
      <c r="H28" s="90" t="n">
        <v>175235.344826664</v>
      </c>
      <c r="I28" s="91" t="str">
        <f>H28-F28</f>
      </c>
      <c r="J28" s="92" t="str">
        <f>G28-E28</f>
      </c>
    </row>
    <row r="29">
      <c r="A29" t="s">
        <v>254</v>
      </c>
      <c r="B29" t="s">
        <v>418</v>
      </c>
      <c r="C29" s="86" t="n">
        <v>2028</v>
      </c>
      <c r="D29" t="s">
        <v>421</v>
      </c>
      <c r="E29" s="87" t="n">
        <v>12493.5957541041</v>
      </c>
      <c r="F29" s="88" t="n">
        <v>3559.53866472773</v>
      </c>
      <c r="G29" s="89" t="n">
        <v>12493.5410814872</v>
      </c>
      <c r="H29" s="90" t="n">
        <v>3559.53799626408</v>
      </c>
      <c r="I29" s="91" t="str">
        <f>H29-F29</f>
      </c>
      <c r="J29" s="92" t="str">
        <f>G29-E29</f>
      </c>
    </row>
    <row r="30">
      <c r="A30" t="s">
        <v>254</v>
      </c>
      <c r="B30" t="s">
        <v>418</v>
      </c>
      <c r="C30" s="86" t="n">
        <v>2029</v>
      </c>
      <c r="D30" t="s">
        <v>419</v>
      </c>
      <c r="E30" s="87" t="n">
        <v>12027.1305938264</v>
      </c>
      <c r="F30" s="88" t="n">
        <v>8821.37230956081</v>
      </c>
      <c r="G30" s="89" t="n">
        <v>12020.2428783132</v>
      </c>
      <c r="H30" s="90" t="n">
        <v>8820.39462668691</v>
      </c>
      <c r="I30" s="91" t="str">
        <f>H30-F30</f>
      </c>
      <c r="J30" s="92" t="str">
        <f>G30-E30</f>
      </c>
    </row>
    <row r="31">
      <c r="A31" t="s">
        <v>254</v>
      </c>
      <c r="B31" t="s">
        <v>418</v>
      </c>
      <c r="C31" s="86" t="n">
        <v>2029</v>
      </c>
      <c r="D31" t="s">
        <v>224</v>
      </c>
      <c r="E31" s="87" t="n">
        <v>869850.014966048</v>
      </c>
      <c r="F31" s="88" t="n">
        <v>141405.031692677</v>
      </c>
      <c r="G31" s="89" t="n">
        <v>872122.58793486</v>
      </c>
      <c r="H31" s="90" t="n">
        <v>141419.192572278</v>
      </c>
      <c r="I31" s="91" t="str">
        <f>H31-F31</f>
      </c>
      <c r="J31" s="92" t="str">
        <f>G31-E31</f>
      </c>
    </row>
    <row r="32">
      <c r="A32" t="s">
        <v>254</v>
      </c>
      <c r="B32" t="s">
        <v>418</v>
      </c>
      <c r="C32" s="86" t="n">
        <v>2029</v>
      </c>
      <c r="D32" t="s">
        <v>420</v>
      </c>
      <c r="E32" s="87" t="n">
        <v>122754.537505623</v>
      </c>
      <c r="F32" s="88" t="n">
        <v>77389.0911750207</v>
      </c>
      <c r="G32" s="89" t="n">
        <v>122702.091699448</v>
      </c>
      <c r="H32" s="90" t="n">
        <v>77383.2509010991</v>
      </c>
      <c r="I32" s="91" t="str">
        <f>H32-F32</f>
      </c>
      <c r="J32" s="92" t="str">
        <f>G32-E32</f>
      </c>
    </row>
    <row r="33">
      <c r="A33" t="s">
        <v>254</v>
      </c>
      <c r="B33" t="s">
        <v>418</v>
      </c>
      <c r="C33" s="86" t="n">
        <v>2029</v>
      </c>
      <c r="D33" t="s">
        <v>235</v>
      </c>
      <c r="E33" s="87" t="n">
        <v>286755.989885569</v>
      </c>
      <c r="F33" s="88" t="n">
        <v>265071.247684754</v>
      </c>
      <c r="G33" s="89" t="n">
        <v>287809.159991119</v>
      </c>
      <c r="H33" s="90" t="n">
        <v>268469.018676722</v>
      </c>
      <c r="I33" s="91" t="str">
        <f>H33-F33</f>
      </c>
      <c r="J33" s="92" t="str">
        <f>G33-E33</f>
      </c>
    </row>
    <row r="34">
      <c r="A34" t="s">
        <v>254</v>
      </c>
      <c r="B34" t="s">
        <v>418</v>
      </c>
      <c r="C34" s="86" t="n">
        <v>2029</v>
      </c>
      <c r="D34" t="s">
        <v>244</v>
      </c>
      <c r="E34" s="87" t="n">
        <v>662403.616456246</v>
      </c>
      <c r="F34" s="88" t="n">
        <v>366706.384792019</v>
      </c>
      <c r="G34" s="89" t="n">
        <v>670042.029002105</v>
      </c>
      <c r="H34" s="90" t="n">
        <v>374519.264871248</v>
      </c>
      <c r="I34" s="91" t="str">
        <f>H34-F34</f>
      </c>
      <c r="J34" s="92" t="str">
        <f>G34-E34</f>
      </c>
    </row>
    <row r="35">
      <c r="A35" t="s">
        <v>254</v>
      </c>
      <c r="B35" t="s">
        <v>418</v>
      </c>
      <c r="C35" s="86" t="n">
        <v>2029</v>
      </c>
      <c r="D35" t="s">
        <v>248</v>
      </c>
      <c r="E35" s="87" t="n">
        <v>356968.726224153</v>
      </c>
      <c r="F35" s="88" t="n">
        <v>176486.380592248</v>
      </c>
      <c r="G35" s="89" t="n">
        <v>359486.672358836</v>
      </c>
      <c r="H35" s="90" t="n">
        <v>179568.517960818</v>
      </c>
      <c r="I35" s="91" t="str">
        <f>H35-F35</f>
      </c>
      <c r="J35" s="92" t="str">
        <f>G35-E35</f>
      </c>
    </row>
    <row r="36">
      <c r="A36" t="s">
        <v>254</v>
      </c>
      <c r="B36" t="s">
        <v>418</v>
      </c>
      <c r="C36" s="86" t="n">
        <v>2029</v>
      </c>
      <c r="D36" t="s">
        <v>421</v>
      </c>
      <c r="E36" s="87" t="n">
        <v>12505.3862156339</v>
      </c>
      <c r="F36" s="88" t="n">
        <v>3430.77311877218</v>
      </c>
      <c r="G36" s="89" t="n">
        <v>12505.2897091232</v>
      </c>
      <c r="H36" s="90" t="n">
        <v>3430.77105367489</v>
      </c>
      <c r="I36" s="91" t="str">
        <f>H36-F36</f>
      </c>
      <c r="J36" s="92" t="str">
        <f>G36-E36</f>
      </c>
    </row>
    <row r="37">
      <c r="A37" t="s">
        <v>254</v>
      </c>
      <c r="B37" t="s">
        <v>418</v>
      </c>
      <c r="C37" s="86" t="n">
        <v>2030</v>
      </c>
      <c r="D37" t="s">
        <v>419</v>
      </c>
      <c r="E37" s="87" t="n">
        <v>12285.7428125957</v>
      </c>
      <c r="F37" s="88" t="n">
        <v>8967.71067949583</v>
      </c>
      <c r="G37" s="89" t="n">
        <v>12274.2647344434</v>
      </c>
      <c r="H37" s="90" t="n">
        <v>8965.59723882955</v>
      </c>
      <c r="I37" s="91" t="str">
        <f>H37-F37</f>
      </c>
      <c r="J37" s="92" t="str">
        <f>G37-E37</f>
      </c>
    </row>
    <row r="38">
      <c r="A38" t="s">
        <v>254</v>
      </c>
      <c r="B38" t="s">
        <v>418</v>
      </c>
      <c r="C38" s="86" t="n">
        <v>2030</v>
      </c>
      <c r="D38" t="s">
        <v>224</v>
      </c>
      <c r="E38" s="87" t="n">
        <v>885710.668925483</v>
      </c>
      <c r="F38" s="88" t="n">
        <v>146228.968855364</v>
      </c>
      <c r="G38" s="89" t="n">
        <v>888648.849091124</v>
      </c>
      <c r="H38" s="90" t="n">
        <v>146256.073838529</v>
      </c>
      <c r="I38" s="91" t="str">
        <f>H38-F38</f>
      </c>
      <c r="J38" s="92" t="str">
        <f>G38-E38</f>
      </c>
    </row>
    <row r="39">
      <c r="A39" t="s">
        <v>254</v>
      </c>
      <c r="B39" t="s">
        <v>418</v>
      </c>
      <c r="C39" s="86" t="n">
        <v>2030</v>
      </c>
      <c r="D39" t="s">
        <v>420</v>
      </c>
      <c r="E39" s="87" t="n">
        <v>126188.649090381</v>
      </c>
      <c r="F39" s="88" t="n">
        <v>79347.8964269375</v>
      </c>
      <c r="G39" s="89" t="n">
        <v>126100.520404265</v>
      </c>
      <c r="H39" s="90" t="n">
        <v>79334.7983616028</v>
      </c>
      <c r="I39" s="91" t="str">
        <f>H39-F39</f>
      </c>
      <c r="J39" s="92" t="str">
        <f>G39-E39</f>
      </c>
    </row>
    <row r="40">
      <c r="A40" t="s">
        <v>254</v>
      </c>
      <c r="B40" t="s">
        <v>418</v>
      </c>
      <c r="C40" s="86" t="n">
        <v>2030</v>
      </c>
      <c r="D40" t="s">
        <v>235</v>
      </c>
      <c r="E40" s="87" t="n">
        <v>290945.74166515</v>
      </c>
      <c r="F40" s="88" t="n">
        <v>269042.075900202</v>
      </c>
      <c r="G40" s="89" t="n">
        <v>292286.017029858</v>
      </c>
      <c r="H40" s="90" t="n">
        <v>273157.810650434</v>
      </c>
      <c r="I40" s="91" t="str">
        <f>H40-F40</f>
      </c>
      <c r="J40" s="92" t="str">
        <f>G40-E40</f>
      </c>
    </row>
    <row r="41">
      <c r="A41" t="s">
        <v>254</v>
      </c>
      <c r="B41" t="s">
        <v>418</v>
      </c>
      <c r="C41" s="86" t="n">
        <v>2030</v>
      </c>
      <c r="D41" t="s">
        <v>244</v>
      </c>
      <c r="E41" s="87" t="n">
        <v>676594.393668838</v>
      </c>
      <c r="F41" s="88" t="n">
        <v>375140.693128422</v>
      </c>
      <c r="G41" s="89" t="n">
        <v>686528.816871955</v>
      </c>
      <c r="H41" s="90" t="n">
        <v>385417.279419066</v>
      </c>
      <c r="I41" s="91" t="str">
        <f>H41-F41</f>
      </c>
      <c r="J41" s="92" t="str">
        <f>G41-E41</f>
      </c>
    </row>
    <row r="42">
      <c r="A42" t="s">
        <v>254</v>
      </c>
      <c r="B42" t="s">
        <v>418</v>
      </c>
      <c r="C42" s="86" t="n">
        <v>2030</v>
      </c>
      <c r="D42" t="s">
        <v>248</v>
      </c>
      <c r="E42" s="87" t="n">
        <v>364691.445160047</v>
      </c>
      <c r="F42" s="88" t="n">
        <v>180359.922818494</v>
      </c>
      <c r="G42" s="89" t="n">
        <v>367955.05484547</v>
      </c>
      <c r="H42" s="90" t="n">
        <v>184377.512558869</v>
      </c>
      <c r="I42" s="91" t="str">
        <f>H42-F42</f>
      </c>
      <c r="J42" s="92" t="str">
        <f>G42-E42</f>
      </c>
    </row>
    <row r="43">
      <c r="A43" t="s">
        <v>254</v>
      </c>
      <c r="B43" t="s">
        <v>418</v>
      </c>
      <c r="C43" s="86" t="n">
        <v>2030</v>
      </c>
      <c r="D43" t="s">
        <v>421</v>
      </c>
      <c r="E43" s="87" t="n">
        <v>12655.4152914388</v>
      </c>
      <c r="F43" s="88" t="n">
        <v>3301.15065693281</v>
      </c>
      <c r="G43" s="89" t="n">
        <v>12655.2774901684</v>
      </c>
      <c r="H43" s="90" t="n">
        <v>3301.14666213427</v>
      </c>
      <c r="I43" s="91" t="str">
        <f>H43-F43</f>
      </c>
      <c r="J43" s="92" t="str">
        <f>G43-E43</f>
      </c>
    </row>
    <row r="44">
      <c r="A44" t="s">
        <v>254</v>
      </c>
      <c r="B44" t="s">
        <v>418</v>
      </c>
      <c r="C44" s="86" t="n">
        <v>2031</v>
      </c>
      <c r="D44" t="s">
        <v>419</v>
      </c>
      <c r="E44" s="87" t="n">
        <v>12523.9062441982</v>
      </c>
      <c r="F44" s="88" t="n">
        <v>9118.27819644004</v>
      </c>
      <c r="G44" s="89" t="n">
        <v>12506.5880665311</v>
      </c>
      <c r="H44" s="90" t="n">
        <v>9114.48302310478</v>
      </c>
      <c r="I44" s="91" t="str">
        <f>H44-F44</f>
      </c>
      <c r="J44" s="92" t="str">
        <f>G44-E44</f>
      </c>
    </row>
    <row r="45">
      <c r="A45" t="s">
        <v>254</v>
      </c>
      <c r="B45" t="s">
        <v>418</v>
      </c>
      <c r="C45" s="86" t="n">
        <v>2031</v>
      </c>
      <c r="D45" t="s">
        <v>224</v>
      </c>
      <c r="E45" s="87" t="n">
        <v>902142.361464919</v>
      </c>
      <c r="F45" s="88" t="n">
        <v>150974.170898168</v>
      </c>
      <c r="G45" s="89" t="n">
        <v>905698.50533388</v>
      </c>
      <c r="H45" s="90" t="n">
        <v>151017.314585235</v>
      </c>
      <c r="I45" s="91" t="str">
        <f>H45-F45</f>
      </c>
      <c r="J45" s="92" t="str">
        <f>G45-E45</f>
      </c>
    </row>
    <row r="46">
      <c r="A46" t="s">
        <v>254</v>
      </c>
      <c r="B46" t="s">
        <v>418</v>
      </c>
      <c r="C46" s="86" t="n">
        <v>2031</v>
      </c>
      <c r="D46" t="s">
        <v>420</v>
      </c>
      <c r="E46" s="87" t="n">
        <v>129471.210077316</v>
      </c>
      <c r="F46" s="88" t="n">
        <v>81245.4392553725</v>
      </c>
      <c r="G46" s="89" t="n">
        <v>129337.020613882</v>
      </c>
      <c r="H46" s="90" t="n">
        <v>81221.2142709578</v>
      </c>
      <c r="I46" s="91" t="str">
        <f>H46-F46</f>
      </c>
      <c r="J46" s="92" t="str">
        <f>G46-E46</f>
      </c>
    </row>
    <row r="47">
      <c r="A47" t="s">
        <v>254</v>
      </c>
      <c r="B47" t="s">
        <v>418</v>
      </c>
      <c r="C47" s="86" t="n">
        <v>2031</v>
      </c>
      <c r="D47" t="s">
        <v>235</v>
      </c>
      <c r="E47" s="87" t="n">
        <v>295093.073145511</v>
      </c>
      <c r="F47" s="88" t="n">
        <v>273743.623587843</v>
      </c>
      <c r="G47" s="89" t="n">
        <v>296437.738378722</v>
      </c>
      <c r="H47" s="90" t="n">
        <v>277404.152195349</v>
      </c>
      <c r="I47" s="91" t="str">
        <f>H47-F47</f>
      </c>
      <c r="J47" s="92" t="str">
        <f>G47-E47</f>
      </c>
    </row>
    <row r="48">
      <c r="A48" t="s">
        <v>254</v>
      </c>
      <c r="B48" t="s">
        <v>418</v>
      </c>
      <c r="C48" s="86" t="n">
        <v>2031</v>
      </c>
      <c r="D48" t="s">
        <v>244</v>
      </c>
      <c r="E48" s="87" t="n">
        <v>692198.08549754</v>
      </c>
      <c r="F48" s="88" t="n">
        <v>385216.871542288</v>
      </c>
      <c r="G48" s="89" t="n">
        <v>702548.134334822</v>
      </c>
      <c r="H48" s="90" t="n">
        <v>396078.261698986</v>
      </c>
      <c r="I48" s="91" t="str">
        <f>H48-F48</f>
      </c>
      <c r="J48" s="92" t="str">
        <f>G48-E48</f>
      </c>
    </row>
    <row r="49">
      <c r="A49" t="s">
        <v>254</v>
      </c>
      <c r="B49" t="s">
        <v>418</v>
      </c>
      <c r="C49" s="86" t="n">
        <v>2031</v>
      </c>
      <c r="D49" t="s">
        <v>248</v>
      </c>
      <c r="E49" s="87" t="n">
        <v>372662.743110036</v>
      </c>
      <c r="F49" s="88" t="n">
        <v>185001.021574363</v>
      </c>
      <c r="G49" s="89" t="n">
        <v>376026.788964657</v>
      </c>
      <c r="H49" s="90" t="n">
        <v>189147.352294789</v>
      </c>
      <c r="I49" s="91" t="str">
        <f>H49-F49</f>
      </c>
      <c r="J49" s="92" t="str">
        <f>G49-E49</f>
      </c>
    </row>
    <row r="50">
      <c r="A50" t="s">
        <v>254</v>
      </c>
      <c r="B50" t="s">
        <v>418</v>
      </c>
      <c r="C50" s="86" t="n">
        <v>2031</v>
      </c>
      <c r="D50" t="s">
        <v>421</v>
      </c>
      <c r="E50" s="87" t="n">
        <v>12740.8257486721</v>
      </c>
      <c r="F50" s="88" t="n">
        <v>3174.86922664277</v>
      </c>
      <c r="G50" s="89" t="n">
        <v>12740.6278729228</v>
      </c>
      <c r="H50" s="90" t="n">
        <v>3174.86317276916</v>
      </c>
      <c r="I50" s="91" t="str">
        <f>H50-F50</f>
      </c>
      <c r="J50" s="92" t="str">
        <f>G50-E50</f>
      </c>
    </row>
    <row r="51">
      <c r="A51" t="s">
        <v>254</v>
      </c>
      <c r="B51" t="s">
        <v>418</v>
      </c>
      <c r="C51" s="86" t="n">
        <v>2032</v>
      </c>
      <c r="D51" t="s">
        <v>419</v>
      </c>
      <c r="E51" s="87" t="n">
        <v>12766.8573998821</v>
      </c>
      <c r="F51" s="88" t="n">
        <v>9273.98785093451</v>
      </c>
      <c r="G51" s="89" t="n">
        <v>12743.8944071303</v>
      </c>
      <c r="H51" s="90" t="n">
        <v>9267.91175287106</v>
      </c>
      <c r="I51" s="91" t="str">
        <f>H51-F51</f>
      </c>
      <c r="J51" s="92" t="str">
        <f>G51-E51</f>
      </c>
    </row>
    <row r="52">
      <c r="A52" t="s">
        <v>254</v>
      </c>
      <c r="B52" t="s">
        <v>418</v>
      </c>
      <c r="C52" s="86" t="n">
        <v>2032</v>
      </c>
      <c r="D52" t="s">
        <v>224</v>
      </c>
      <c r="E52" s="87" t="n">
        <v>919629.731445897</v>
      </c>
      <c r="F52" s="88" t="n">
        <v>155852.947979853</v>
      </c>
      <c r="G52" s="89" t="n">
        <v>923778.433647484</v>
      </c>
      <c r="H52" s="90" t="n">
        <v>155914.890344467</v>
      </c>
      <c r="I52" s="91" t="str">
        <f>H52-F52</f>
      </c>
      <c r="J52" s="92" t="str">
        <f>G52-E52</f>
      </c>
    </row>
    <row r="53">
      <c r="A53" t="s">
        <v>254</v>
      </c>
      <c r="B53" t="s">
        <v>418</v>
      </c>
      <c r="C53" s="86" t="n">
        <v>2032</v>
      </c>
      <c r="D53" t="s">
        <v>420</v>
      </c>
      <c r="E53" s="87" t="n">
        <v>132745.854480549</v>
      </c>
      <c r="F53" s="88" t="n">
        <v>83203.8728079811</v>
      </c>
      <c r="G53" s="89" t="n">
        <v>132566.317868369</v>
      </c>
      <c r="H53" s="90" t="n">
        <v>83164.0959360433</v>
      </c>
      <c r="I53" s="91" t="str">
        <f>H53-F53</f>
      </c>
      <c r="J53" s="92" t="str">
        <f>G53-E53</f>
      </c>
    </row>
    <row r="54">
      <c r="A54" t="s">
        <v>254</v>
      </c>
      <c r="B54" t="s">
        <v>418</v>
      </c>
      <c r="C54" s="86" t="n">
        <v>2032</v>
      </c>
      <c r="D54" t="s">
        <v>235</v>
      </c>
      <c r="E54" s="87" t="n">
        <v>299154.400013474</v>
      </c>
      <c r="F54" s="88" t="n">
        <v>278103.298263521</v>
      </c>
      <c r="G54" s="89" t="n">
        <v>300504.550336341</v>
      </c>
      <c r="H54" s="90" t="n">
        <v>281488.739628123</v>
      </c>
      <c r="I54" s="91" t="str">
        <f>H54-F54</f>
      </c>
      <c r="J54" s="92" t="str">
        <f>G54-E54</f>
      </c>
    </row>
    <row r="55">
      <c r="A55" t="s">
        <v>254</v>
      </c>
      <c r="B55" t="s">
        <v>418</v>
      </c>
      <c r="C55" s="86" t="n">
        <v>2032</v>
      </c>
      <c r="D55" t="s">
        <v>244</v>
      </c>
      <c r="E55" s="87" t="n">
        <v>708378.191149691</v>
      </c>
      <c r="F55" s="88" t="n">
        <v>395425.695421216</v>
      </c>
      <c r="G55" s="89" t="n">
        <v>719168.67859234</v>
      </c>
      <c r="H55" s="90" t="n">
        <v>406904.282877455</v>
      </c>
      <c r="I55" s="91" t="str">
        <f>H55-F55</f>
      </c>
      <c r="J55" s="92" t="str">
        <f>G55-E55</f>
      </c>
    </row>
    <row r="56">
      <c r="A56" t="s">
        <v>254</v>
      </c>
      <c r="B56" t="s">
        <v>418</v>
      </c>
      <c r="C56" s="86" t="n">
        <v>2032</v>
      </c>
      <c r="D56" t="s">
        <v>248</v>
      </c>
      <c r="E56" s="87" t="n">
        <v>381134.168936319</v>
      </c>
      <c r="F56" s="88" t="n">
        <v>189876.477250525</v>
      </c>
      <c r="G56" s="89" t="n">
        <v>384609.051353766</v>
      </c>
      <c r="H56" s="90" t="n">
        <v>194193.38475982</v>
      </c>
      <c r="I56" s="91" t="str">
        <f>H56-F56</f>
      </c>
      <c r="J56" s="92" t="str">
        <f>G56-E56</f>
      </c>
    </row>
    <row r="57">
      <c r="A57" t="s">
        <v>254</v>
      </c>
      <c r="B57" t="s">
        <v>418</v>
      </c>
      <c r="C57" s="86" t="n">
        <v>2032</v>
      </c>
      <c r="D57" t="s">
        <v>421</v>
      </c>
      <c r="E57" s="87" t="n">
        <v>12856.1808594136</v>
      </c>
      <c r="F57" s="88" t="n">
        <v>3046.52876039639</v>
      </c>
      <c r="G57" s="89" t="n">
        <v>12855.9427389859</v>
      </c>
      <c r="H57" s="90" t="n">
        <v>3046.52022706146</v>
      </c>
      <c r="I57" s="91" t="str">
        <f>H57-F57</f>
      </c>
      <c r="J57" s="92" t="str">
        <f>G57-E57</f>
      </c>
    </row>
    <row r="58">
      <c r="A58" t="s">
        <v>254</v>
      </c>
      <c r="B58" t="s">
        <v>418</v>
      </c>
      <c r="C58" s="86" t="n">
        <v>2033</v>
      </c>
      <c r="D58" t="s">
        <v>419</v>
      </c>
      <c r="E58" s="87" t="n">
        <v>13175.6659574741</v>
      </c>
      <c r="F58" s="88" t="n">
        <v>9446.22080428961</v>
      </c>
      <c r="G58" s="89" t="n">
        <v>13146.3513901505</v>
      </c>
      <c r="H58" s="90" t="n">
        <v>9437.49521839436</v>
      </c>
      <c r="I58" s="91" t="str">
        <f>H58-F58</f>
      </c>
      <c r="J58" s="92" t="str">
        <f>G58-E58</f>
      </c>
    </row>
    <row r="59">
      <c r="A59" t="s">
        <v>254</v>
      </c>
      <c r="B59" t="s">
        <v>418</v>
      </c>
      <c r="C59" s="86" t="n">
        <v>2033</v>
      </c>
      <c r="D59" t="s">
        <v>224</v>
      </c>
      <c r="E59" s="87" t="n">
        <v>939782.908159165</v>
      </c>
      <c r="F59" s="88" t="n">
        <v>160738.018724248</v>
      </c>
      <c r="G59" s="89" t="n">
        <v>944521.71811111</v>
      </c>
      <c r="H59" s="90" t="n">
        <v>160821.219639763</v>
      </c>
      <c r="I59" s="91" t="str">
        <f>H59-F59</f>
      </c>
      <c r="J59" s="92" t="str">
        <f>G59-E59</f>
      </c>
    </row>
    <row r="60">
      <c r="A60" t="s">
        <v>254</v>
      </c>
      <c r="B60" t="s">
        <v>418</v>
      </c>
      <c r="C60" s="86" t="n">
        <v>2033</v>
      </c>
      <c r="D60" t="s">
        <v>420</v>
      </c>
      <c r="E60" s="87" t="n">
        <v>136934.961915699</v>
      </c>
      <c r="F60" s="88" t="n">
        <v>85198.3908317267</v>
      </c>
      <c r="G60" s="89" t="n">
        <v>136707.716312745</v>
      </c>
      <c r="H60" s="90" t="n">
        <v>85140.0559210379</v>
      </c>
      <c r="I60" s="91" t="str">
        <f>H60-F60</f>
      </c>
      <c r="J60" s="92" t="str">
        <f>G60-E60</f>
      </c>
    </row>
    <row r="61">
      <c r="A61" t="s">
        <v>254</v>
      </c>
      <c r="B61" t="s">
        <v>418</v>
      </c>
      <c r="C61" s="86" t="n">
        <v>2033</v>
      </c>
      <c r="D61" t="s">
        <v>235</v>
      </c>
      <c r="E61" s="87" t="n">
        <v>303113.08180629</v>
      </c>
      <c r="F61" s="88" t="n">
        <v>282105.742832402</v>
      </c>
      <c r="G61" s="89" t="n">
        <v>304468.286850227</v>
      </c>
      <c r="H61" s="90" t="n">
        <v>285297.748513227</v>
      </c>
      <c r="I61" s="91" t="str">
        <f>H61-F61</f>
      </c>
      <c r="J61" s="92" t="str">
        <f>G61-E61</f>
      </c>
    </row>
    <row r="62">
      <c r="A62" t="s">
        <v>254</v>
      </c>
      <c r="B62" t="s">
        <v>418</v>
      </c>
      <c r="C62" s="86" t="n">
        <v>2033</v>
      </c>
      <c r="D62" t="s">
        <v>244</v>
      </c>
      <c r="E62" s="87" t="n">
        <v>727113.155552193</v>
      </c>
      <c r="F62" s="88" t="n">
        <v>405475.459221037</v>
      </c>
      <c r="G62" s="89" t="n">
        <v>738395.913710054</v>
      </c>
      <c r="H62" s="90" t="n">
        <v>417591.194273361</v>
      </c>
      <c r="I62" s="91" t="str">
        <f>H62-F62</f>
      </c>
      <c r="J62" s="92" t="str">
        <f>G62-E62</f>
      </c>
    </row>
    <row r="63">
      <c r="A63" t="s">
        <v>254</v>
      </c>
      <c r="B63" t="s">
        <v>418</v>
      </c>
      <c r="C63" s="86" t="n">
        <v>2033</v>
      </c>
      <c r="D63" t="s">
        <v>248</v>
      </c>
      <c r="E63" s="87" t="n">
        <v>390554.146005877</v>
      </c>
      <c r="F63" s="88" t="n">
        <v>194795.08023658</v>
      </c>
      <c r="G63" s="89" t="n">
        <v>394159.184915109</v>
      </c>
      <c r="H63" s="90" t="n">
        <v>199311.530364044</v>
      </c>
      <c r="I63" s="91" t="str">
        <f>H63-F63</f>
      </c>
      <c r="J63" s="92" t="str">
        <f>G63-E63</f>
      </c>
    </row>
    <row r="64">
      <c r="A64" t="s">
        <v>254</v>
      </c>
      <c r="B64" t="s">
        <v>418</v>
      </c>
      <c r="C64" s="86" t="n">
        <v>2033</v>
      </c>
      <c r="D64" t="s">
        <v>421</v>
      </c>
      <c r="E64" s="87" t="n">
        <v>12780.9775592638</v>
      </c>
      <c r="F64" s="88" t="n">
        <v>2919.80530976973</v>
      </c>
      <c r="G64" s="89" t="n">
        <v>12780.7417922516</v>
      </c>
      <c r="H64" s="90" t="n">
        <v>2919.79454897481</v>
      </c>
      <c r="I64" s="91" t="str">
        <f>H64-F64</f>
      </c>
      <c r="J64" s="92" t="str">
        <f>G64-E64</f>
      </c>
    </row>
    <row r="65">
      <c r="A65" t="s">
        <v>254</v>
      </c>
      <c r="B65" t="s">
        <v>418</v>
      </c>
      <c r="C65" s="86" t="n">
        <v>2034</v>
      </c>
      <c r="D65" t="s">
        <v>419</v>
      </c>
      <c r="E65" s="87" t="n">
        <v>13431.4452109747</v>
      </c>
      <c r="F65" s="88" t="n">
        <v>9622.43456734025</v>
      </c>
      <c r="G65" s="89" t="n">
        <v>13396.3770662857</v>
      </c>
      <c r="H65" s="90" t="n">
        <v>9610.78717894584</v>
      </c>
      <c r="I65" s="91" t="str">
        <f>H65-F65</f>
      </c>
      <c r="J65" s="92" t="str">
        <f>G65-E65</f>
      </c>
    </row>
    <row r="66">
      <c r="A66" t="s">
        <v>254</v>
      </c>
      <c r="B66" t="s">
        <v>418</v>
      </c>
      <c r="C66" s="86" t="n">
        <v>2034</v>
      </c>
      <c r="D66" t="s">
        <v>224</v>
      </c>
      <c r="E66" s="87" t="n">
        <v>954938.04291552</v>
      </c>
      <c r="F66" s="88" t="n">
        <v>165725.69186174</v>
      </c>
      <c r="G66" s="89" t="n">
        <v>960221.655861689</v>
      </c>
      <c r="H66" s="90" t="n">
        <v>165832.802590949</v>
      </c>
      <c r="I66" s="91" t="str">
        <f>H66-F66</f>
      </c>
      <c r="J66" s="92" t="str">
        <f>G66-E66</f>
      </c>
    </row>
    <row r="67">
      <c r="A67" t="s">
        <v>254</v>
      </c>
      <c r="B67" t="s">
        <v>418</v>
      </c>
      <c r="C67" s="86" t="n">
        <v>2034</v>
      </c>
      <c r="D67" t="s">
        <v>420</v>
      </c>
      <c r="E67" s="87" t="n">
        <v>140196.410732637</v>
      </c>
      <c r="F67" s="88" t="n">
        <v>87205.4098258458</v>
      </c>
      <c r="G67" s="89" t="n">
        <v>139922.665552402</v>
      </c>
      <c r="H67" s="90" t="n">
        <v>87126.2119501461</v>
      </c>
      <c r="I67" s="91" t="str">
        <f>H67-F67</f>
      </c>
      <c r="J67" s="92" t="str">
        <f>G67-E67</f>
      </c>
    </row>
    <row r="68">
      <c r="A68" t="s">
        <v>254</v>
      </c>
      <c r="B68" t="s">
        <v>418</v>
      </c>
      <c r="C68" s="86" t="n">
        <v>2034</v>
      </c>
      <c r="D68" t="s">
        <v>235</v>
      </c>
      <c r="E68" s="87" t="n">
        <v>306842.020720522</v>
      </c>
      <c r="F68" s="88" t="n">
        <v>286201.846964175</v>
      </c>
      <c r="G68" s="89" t="n">
        <v>308142.620646514</v>
      </c>
      <c r="H68" s="90" t="n">
        <v>289022.375898514</v>
      </c>
      <c r="I68" s="91" t="str">
        <f>H68-F68</f>
      </c>
      <c r="J68" s="92" t="str">
        <f>G68-E68</f>
      </c>
    </row>
    <row r="69">
      <c r="A69" t="s">
        <v>254</v>
      </c>
      <c r="B69" t="s">
        <v>418</v>
      </c>
      <c r="C69" s="86" t="n">
        <v>2034</v>
      </c>
      <c r="D69" t="s">
        <v>244</v>
      </c>
      <c r="E69" s="87" t="n">
        <v>742933.843569214</v>
      </c>
      <c r="F69" s="88" t="n">
        <v>416214.836155679</v>
      </c>
      <c r="G69" s="89" t="n">
        <v>754264.519314827</v>
      </c>
      <c r="H69" s="90" t="n">
        <v>428496.093357131</v>
      </c>
      <c r="I69" s="91" t="str">
        <f>H69-F69</f>
      </c>
      <c r="J69" s="92" t="str">
        <f>G69-E69</f>
      </c>
    </row>
    <row r="70">
      <c r="A70" t="s">
        <v>254</v>
      </c>
      <c r="B70" t="s">
        <v>418</v>
      </c>
      <c r="C70" s="86" t="n">
        <v>2034</v>
      </c>
      <c r="D70" t="s">
        <v>248</v>
      </c>
      <c r="E70" s="87" t="n">
        <v>398851.965863381</v>
      </c>
      <c r="F70" s="88" t="n">
        <v>200010.020141638</v>
      </c>
      <c r="G70" s="89" t="n">
        <v>402421.553872422</v>
      </c>
      <c r="H70" s="90" t="n">
        <v>204510.58021707</v>
      </c>
      <c r="I70" s="91" t="str">
        <f>H70-F70</f>
      </c>
      <c r="J70" s="92" t="str">
        <f>G70-E70</f>
      </c>
    </row>
    <row r="71">
      <c r="A71" t="s">
        <v>254</v>
      </c>
      <c r="B71" t="s">
        <v>418</v>
      </c>
      <c r="C71" s="86" t="n">
        <v>2034</v>
      </c>
      <c r="D71" t="s">
        <v>421</v>
      </c>
      <c r="E71" s="87" t="n">
        <v>12872.6947293936</v>
      </c>
      <c r="F71" s="88" t="n">
        <v>2795.78190853488</v>
      </c>
      <c r="G71" s="89" t="n">
        <v>12872.434861331</v>
      </c>
      <c r="H71" s="90" t="n">
        <v>2795.76959562027</v>
      </c>
      <c r="I71" s="91" t="str">
        <f>H71-F71</f>
      </c>
      <c r="J71" s="92" t="str">
        <f>G71-E71</f>
      </c>
    </row>
    <row r="72">
      <c r="A72" t="s">
        <v>254</v>
      </c>
      <c r="B72" t="s">
        <v>418</v>
      </c>
      <c r="C72" s="86" t="n">
        <v>2035</v>
      </c>
      <c r="D72" t="s">
        <v>419</v>
      </c>
      <c r="E72" s="87" t="n">
        <v>13767.6352719094</v>
      </c>
      <c r="F72" s="88" t="n">
        <v>9802.19566003798</v>
      </c>
      <c r="G72" s="89" t="n">
        <v>13726.7399692658</v>
      </c>
      <c r="H72" s="90" t="n">
        <v>9787.51275865094</v>
      </c>
      <c r="I72" s="91" t="str">
        <f>H72-F72</f>
      </c>
      <c r="J72" s="92" t="str">
        <f>G72-E72</f>
      </c>
    </row>
    <row r="73">
      <c r="A73" t="s">
        <v>254</v>
      </c>
      <c r="B73" t="s">
        <v>418</v>
      </c>
      <c r="C73" s="86" t="n">
        <v>2035</v>
      </c>
      <c r="D73" t="s">
        <v>224</v>
      </c>
      <c r="E73" s="87" t="n">
        <v>969239.92355849</v>
      </c>
      <c r="F73" s="88" t="n">
        <v>170777.535013231</v>
      </c>
      <c r="G73" s="89" t="n">
        <v>975047.326959866</v>
      </c>
      <c r="H73" s="90" t="n">
        <v>170911.003808462</v>
      </c>
      <c r="I73" s="91" t="str">
        <f>H73-F73</f>
      </c>
      <c r="J73" s="92" t="str">
        <f>G73-E73</f>
      </c>
    </row>
    <row r="74">
      <c r="A74" t="s">
        <v>254</v>
      </c>
      <c r="B74" t="s">
        <v>418</v>
      </c>
      <c r="C74" s="86" t="n">
        <v>2035</v>
      </c>
      <c r="D74" t="s">
        <v>420</v>
      </c>
      <c r="E74" s="87" t="n">
        <v>143749.831409915</v>
      </c>
      <c r="F74" s="88" t="n">
        <v>89239.7787976128</v>
      </c>
      <c r="G74" s="89" t="n">
        <v>143430.147346953</v>
      </c>
      <c r="H74" s="90" t="n">
        <v>89138.141517925</v>
      </c>
      <c r="I74" s="91" t="str">
        <f>H74-F74</f>
      </c>
      <c r="J74" s="92" t="str">
        <f>G74-E74</f>
      </c>
    </row>
    <row r="75">
      <c r="A75" t="s">
        <v>254</v>
      </c>
      <c r="B75" t="s">
        <v>418</v>
      </c>
      <c r="C75" s="86" t="n">
        <v>2035</v>
      </c>
      <c r="D75" t="s">
        <v>235</v>
      </c>
      <c r="E75" s="87" t="n">
        <v>310351.108600696</v>
      </c>
      <c r="F75" s="88" t="n">
        <v>290001.942006795</v>
      </c>
      <c r="G75" s="89" t="n">
        <v>311598.659349735</v>
      </c>
      <c r="H75" s="90" t="n">
        <v>292543.4341723</v>
      </c>
      <c r="I75" s="91" t="str">
        <f>H75-F75</f>
      </c>
      <c r="J75" s="92" t="str">
        <f>G75-E75</f>
      </c>
    </row>
    <row r="76">
      <c r="A76" t="s">
        <v>254</v>
      </c>
      <c r="B76" t="s">
        <v>418</v>
      </c>
      <c r="C76" s="86" t="n">
        <v>2035</v>
      </c>
      <c r="D76" t="s">
        <v>244</v>
      </c>
      <c r="E76" s="87" t="n">
        <v>758666.06876865</v>
      </c>
      <c r="F76" s="88" t="n">
        <v>426964.167045252</v>
      </c>
      <c r="G76" s="89" t="n">
        <v>770043.407398033</v>
      </c>
      <c r="H76" s="90" t="n">
        <v>439419.393176264</v>
      </c>
      <c r="I76" s="91" t="str">
        <f>H76-F76</f>
      </c>
      <c r="J76" s="92" t="str">
        <f>G76-E76</f>
      </c>
    </row>
    <row r="77">
      <c r="A77" t="s">
        <v>254</v>
      </c>
      <c r="B77" t="s">
        <v>418</v>
      </c>
      <c r="C77" s="86" t="n">
        <v>2035</v>
      </c>
      <c r="D77" t="s">
        <v>248</v>
      </c>
      <c r="E77" s="87" t="n">
        <v>406896.26086326</v>
      </c>
      <c r="F77" s="88" t="n">
        <v>205347.215113835</v>
      </c>
      <c r="G77" s="89" t="n">
        <v>410430.68648466</v>
      </c>
      <c r="H77" s="90" t="n">
        <v>209854.988515264</v>
      </c>
      <c r="I77" s="91" t="str">
        <f>H77-F77</f>
      </c>
      <c r="J77" s="92" t="str">
        <f>G77-E77</f>
      </c>
    </row>
    <row r="78">
      <c r="A78" t="s">
        <v>254</v>
      </c>
      <c r="B78" t="s">
        <v>418</v>
      </c>
      <c r="C78" s="86" t="n">
        <v>2035</v>
      </c>
      <c r="D78" t="s">
        <v>421</v>
      </c>
      <c r="E78" s="87" t="n">
        <v>13061.8506500388</v>
      </c>
      <c r="F78" s="88" t="n">
        <v>2671.51131240423</v>
      </c>
      <c r="G78" s="89" t="n">
        <v>13061.5900844962</v>
      </c>
      <c r="H78" s="90" t="n">
        <v>2671.49784394295</v>
      </c>
      <c r="I78" s="91" t="str">
        <f>H78-F78</f>
      </c>
      <c r="J78" s="92" t="str">
        <f>G78-E78</f>
      </c>
    </row>
    <row r="79">
      <c r="A79" t="s">
        <v>254</v>
      </c>
      <c r="B79" t="s">
        <v>418</v>
      </c>
      <c r="C79" s="86" t="n">
        <v>2036</v>
      </c>
      <c r="D79" t="s">
        <v>419</v>
      </c>
      <c r="E79" s="87" t="n">
        <v>14105.4580866003</v>
      </c>
      <c r="F79" s="88" t="n">
        <v>9990.52116968362</v>
      </c>
      <c r="G79" s="89" t="n">
        <v>14058.8402730705</v>
      </c>
      <c r="H79" s="90" t="n">
        <v>9972.733436972</v>
      </c>
      <c r="I79" s="91" t="str">
        <f>H79-F79</f>
      </c>
      <c r="J79" s="92" t="str">
        <f>G79-E79</f>
      </c>
    </row>
    <row r="80">
      <c r="A80" t="s">
        <v>254</v>
      </c>
      <c r="B80" t="s">
        <v>418</v>
      </c>
      <c r="C80" s="86" t="n">
        <v>2036</v>
      </c>
      <c r="D80" t="s">
        <v>224</v>
      </c>
      <c r="E80" s="87" t="n">
        <v>986259.810963982</v>
      </c>
      <c r="F80" s="88" t="n">
        <v>175977.544362155</v>
      </c>
      <c r="G80" s="89" t="n">
        <v>992593.127567906</v>
      </c>
      <c r="H80" s="90" t="n">
        <v>176139.997785528</v>
      </c>
      <c r="I80" s="91" t="str">
        <f>H80-F80</f>
      </c>
      <c r="J80" s="92" t="str">
        <f>G80-E80</f>
      </c>
    </row>
    <row r="81">
      <c r="A81" t="s">
        <v>254</v>
      </c>
      <c r="B81" t="s">
        <v>418</v>
      </c>
      <c r="C81" s="86" t="n">
        <v>2036</v>
      </c>
      <c r="D81" t="s">
        <v>420</v>
      </c>
      <c r="E81" s="87" t="n">
        <v>147343.889266937</v>
      </c>
      <c r="F81" s="88" t="n">
        <v>91350.5502364469</v>
      </c>
      <c r="G81" s="89" t="n">
        <v>146978.916070349</v>
      </c>
      <c r="H81" s="90" t="n">
        <v>91225.4078140792</v>
      </c>
      <c r="I81" s="91" t="str">
        <f>H81-F81</f>
      </c>
      <c r="J81" s="92" t="str">
        <f>G81-E81</f>
      </c>
    </row>
    <row r="82">
      <c r="A82" t="s">
        <v>254</v>
      </c>
      <c r="B82" t="s">
        <v>418</v>
      </c>
      <c r="C82" s="86" t="n">
        <v>2036</v>
      </c>
      <c r="D82" t="s">
        <v>235</v>
      </c>
      <c r="E82" s="87" t="n">
        <v>313892.715122368</v>
      </c>
      <c r="F82" s="88" t="n">
        <v>292975.353422234</v>
      </c>
      <c r="G82" s="89" t="n">
        <v>315288.949461379</v>
      </c>
      <c r="H82" s="90" t="n">
        <v>296084.402747987</v>
      </c>
      <c r="I82" s="91" t="str">
        <f>H82-F82</f>
      </c>
      <c r="J82" s="92" t="str">
        <f>G82-E82</f>
      </c>
    </row>
    <row r="83">
      <c r="A83" t="s">
        <v>254</v>
      </c>
      <c r="B83" t="s">
        <v>418</v>
      </c>
      <c r="C83" s="86" t="n">
        <v>2036</v>
      </c>
      <c r="D83" t="s">
        <v>244</v>
      </c>
      <c r="E83" s="87" t="n">
        <v>773991.407710838</v>
      </c>
      <c r="F83" s="88" t="n">
        <v>436228.982975735</v>
      </c>
      <c r="G83" s="89" t="n">
        <v>786706.265291046</v>
      </c>
      <c r="H83" s="90" t="n">
        <v>450600.66503166</v>
      </c>
      <c r="I83" s="91" t="str">
        <f>H83-F83</f>
      </c>
      <c r="J83" s="92" t="str">
        <f>G83-E83</f>
      </c>
    </row>
    <row r="84">
      <c r="A84" t="s">
        <v>254</v>
      </c>
      <c r="B84" t="s">
        <v>418</v>
      </c>
      <c r="C84" s="86" t="n">
        <v>2036</v>
      </c>
      <c r="D84" t="s">
        <v>248</v>
      </c>
      <c r="E84" s="87" t="n">
        <v>414872.253693811</v>
      </c>
      <c r="F84" s="88" t="n">
        <v>209996.684558154</v>
      </c>
      <c r="G84" s="89" t="n">
        <v>418880.52544402</v>
      </c>
      <c r="H84" s="90" t="n">
        <v>215434.246910517</v>
      </c>
      <c r="I84" s="91" t="str">
        <f>H84-F84</f>
      </c>
      <c r="J84" s="92" t="str">
        <f>G84-E84</f>
      </c>
    </row>
    <row r="85">
      <c r="A85" t="s">
        <v>254</v>
      </c>
      <c r="B85" t="s">
        <v>418</v>
      </c>
      <c r="C85" s="86" t="n">
        <v>2036</v>
      </c>
      <c r="D85" t="s">
        <v>421</v>
      </c>
      <c r="E85" s="87" t="n">
        <v>13309.0631198043</v>
      </c>
      <c r="F85" s="88" t="n">
        <v>2547.75608825615</v>
      </c>
      <c r="G85" s="89" t="n">
        <v>13308.7944546361</v>
      </c>
      <c r="H85" s="90" t="n">
        <v>2547.74258396749</v>
      </c>
      <c r="I85" s="91" t="str">
        <f>H85-F85</f>
      </c>
      <c r="J85" s="92" t="str">
        <f>G85-E85</f>
      </c>
    </row>
    <row r="86">
      <c r="A86" t="s">
        <v>254</v>
      </c>
      <c r="B86" t="s">
        <v>418</v>
      </c>
      <c r="C86" s="86" t="n">
        <v>2037</v>
      </c>
      <c r="D86" t="s">
        <v>419</v>
      </c>
      <c r="E86" s="87" t="n">
        <v>14440.4136772587</v>
      </c>
      <c r="F86" s="88" t="n">
        <v>10180.0905669338</v>
      </c>
      <c r="G86" s="89" t="n">
        <v>14386.6366039025</v>
      </c>
      <c r="H86" s="90" t="n">
        <v>10159.1873336905</v>
      </c>
      <c r="I86" s="91" t="str">
        <f>H86-F86</f>
      </c>
      <c r="J86" s="92" t="str">
        <f>G86-E86</f>
      </c>
    </row>
    <row r="87">
      <c r="A87" t="s">
        <v>254</v>
      </c>
      <c r="B87" t="s">
        <v>418</v>
      </c>
      <c r="C87" s="86" t="n">
        <v>2037</v>
      </c>
      <c r="D87" t="s">
        <v>224</v>
      </c>
      <c r="E87" s="87" t="n">
        <v>1002499.10996146</v>
      </c>
      <c r="F87" s="88" t="n">
        <v>181263.903864613</v>
      </c>
      <c r="G87" s="89" t="n">
        <v>1009301.65749756</v>
      </c>
      <c r="H87" s="90" t="n">
        <v>181458.235839908</v>
      </c>
      <c r="I87" s="91" t="str">
        <f>H87-F87</f>
      </c>
      <c r="J87" s="92" t="str">
        <f>G87-E87</f>
      </c>
    </row>
    <row r="88">
      <c r="A88" t="s">
        <v>254</v>
      </c>
      <c r="B88" t="s">
        <v>418</v>
      </c>
      <c r="C88" s="86" t="n">
        <v>2037</v>
      </c>
      <c r="D88" t="s">
        <v>420</v>
      </c>
      <c r="E88" s="87" t="n">
        <v>150909.17824829</v>
      </c>
      <c r="F88" s="88" t="n">
        <v>93490.5500829296</v>
      </c>
      <c r="G88" s="89" t="n">
        <v>150487.441619108</v>
      </c>
      <c r="H88" s="90" t="n">
        <v>93341.2784245107</v>
      </c>
      <c r="I88" s="91" t="str">
        <f>H88-F88</f>
      </c>
      <c r="J88" s="92" t="str">
        <f>G88-E88</f>
      </c>
    </row>
    <row r="89">
      <c r="A89" t="s">
        <v>254</v>
      </c>
      <c r="B89" t="s">
        <v>418</v>
      </c>
      <c r="C89" s="86" t="n">
        <v>2037</v>
      </c>
      <c r="D89" t="s">
        <v>235</v>
      </c>
      <c r="E89" s="87" t="n">
        <v>317219.543503451</v>
      </c>
      <c r="F89" s="88" t="n">
        <v>295948.895765964</v>
      </c>
      <c r="G89" s="89" t="n">
        <v>318754.964813024</v>
      </c>
      <c r="H89" s="90" t="n">
        <v>299434.655195925</v>
      </c>
      <c r="I89" s="91" t="str">
        <f>H89-F89</f>
      </c>
      <c r="J89" s="92" t="str">
        <f>G89-E89</f>
      </c>
    </row>
    <row r="90">
      <c r="A90" t="s">
        <v>254</v>
      </c>
      <c r="B90" t="s">
        <v>418</v>
      </c>
      <c r="C90" s="86" t="n">
        <v>2037</v>
      </c>
      <c r="D90" t="s">
        <v>244</v>
      </c>
      <c r="E90" s="87" t="n">
        <v>789370.586680505</v>
      </c>
      <c r="F90" s="88" t="n">
        <v>445519.764453831</v>
      </c>
      <c r="G90" s="89" t="n">
        <v>803452.229036644</v>
      </c>
      <c r="H90" s="90" t="n">
        <v>461851.049511551</v>
      </c>
      <c r="I90" s="91" t="str">
        <f>H90-F90</f>
      </c>
      <c r="J90" s="92" t="str">
        <f>G90-E90</f>
      </c>
    </row>
    <row r="91">
      <c r="A91" t="s">
        <v>254</v>
      </c>
      <c r="B91" t="s">
        <v>418</v>
      </c>
      <c r="C91" s="86" t="n">
        <v>2037</v>
      </c>
      <c r="D91" t="s">
        <v>248</v>
      </c>
      <c r="E91" s="87" t="n">
        <v>423022.301194078</v>
      </c>
      <c r="F91" s="88" t="n">
        <v>214784.038633801</v>
      </c>
      <c r="G91" s="89" t="n">
        <v>427506.733072448</v>
      </c>
      <c r="H91" s="90" t="n">
        <v>221141.826108993</v>
      </c>
      <c r="I91" s="91" t="str">
        <f>H91-F91</f>
      </c>
      <c r="J91" s="92" t="str">
        <f>G91-E91</f>
      </c>
    </row>
    <row r="92">
      <c r="A92" t="s">
        <v>254</v>
      </c>
      <c r="B92" t="s">
        <v>418</v>
      </c>
      <c r="C92" s="86" t="n">
        <v>2037</v>
      </c>
      <c r="D92" t="s">
        <v>421</v>
      </c>
      <c r="E92" s="87" t="n">
        <v>13385.3891793694</v>
      </c>
      <c r="F92" s="88" t="n">
        <v>2421.58991343114</v>
      </c>
      <c r="G92" s="89" t="n">
        <v>13385.128134315</v>
      </c>
      <c r="H92" s="90" t="n">
        <v>2421.57667984156</v>
      </c>
      <c r="I92" s="91" t="str">
        <f>H92-F92</f>
      </c>
      <c r="J92" s="92" t="str">
        <f>G92-E92</f>
      </c>
    </row>
    <row r="93">
      <c r="A93" t="s">
        <v>254</v>
      </c>
      <c r="B93" t="s">
        <v>418</v>
      </c>
      <c r="C93" s="86" t="n">
        <v>2038</v>
      </c>
      <c r="D93" t="s">
        <v>419</v>
      </c>
      <c r="E93" s="87" t="n">
        <v>14853.2100632618</v>
      </c>
      <c r="F93" s="88" t="n">
        <v>10374.3250312081</v>
      </c>
      <c r="G93" s="89" t="n">
        <v>14790.2897218897</v>
      </c>
      <c r="H93" s="90" t="n">
        <v>10349.9036883417</v>
      </c>
      <c r="I93" s="91" t="str">
        <f>H93-F93</f>
      </c>
      <c r="J93" s="92" t="str">
        <f>G93-E93</f>
      </c>
    </row>
    <row r="94">
      <c r="A94" t="s">
        <v>254</v>
      </c>
      <c r="B94" t="s">
        <v>418</v>
      </c>
      <c r="C94" s="86" t="n">
        <v>2038</v>
      </c>
      <c r="D94" t="s">
        <v>224</v>
      </c>
      <c r="E94" s="87" t="n">
        <v>1018498.56887063</v>
      </c>
      <c r="F94" s="88" t="n">
        <v>186559.379105639</v>
      </c>
      <c r="G94" s="89" t="n">
        <v>1025731.21343356</v>
      </c>
      <c r="H94" s="90" t="n">
        <v>186787.491870524</v>
      </c>
      <c r="I94" s="91" t="str">
        <f>H94-F94</f>
      </c>
      <c r="J94" s="92" t="str">
        <f>G94-E94</f>
      </c>
    </row>
    <row r="95">
      <c r="A95" t="s">
        <v>254</v>
      </c>
      <c r="B95" t="s">
        <v>418</v>
      </c>
      <c r="C95" s="86" t="n">
        <v>2038</v>
      </c>
      <c r="D95" t="s">
        <v>420</v>
      </c>
      <c r="E95" s="87" t="n">
        <v>155323.414173186</v>
      </c>
      <c r="F95" s="88" t="n">
        <v>95644.8080186537</v>
      </c>
      <c r="G95" s="89" t="n">
        <v>154833.021861689</v>
      </c>
      <c r="H95" s="90" t="n">
        <v>95469.0447801143</v>
      </c>
      <c r="I95" s="91" t="str">
        <f>H95-F95</f>
      </c>
      <c r="J95" s="92" t="str">
        <f>G95-E95</f>
      </c>
    </row>
    <row r="96">
      <c r="A96" t="s">
        <v>254</v>
      </c>
      <c r="B96" t="s">
        <v>418</v>
      </c>
      <c r="C96" s="86" t="n">
        <v>2038</v>
      </c>
      <c r="D96" t="s">
        <v>235</v>
      </c>
      <c r="E96" s="87" t="n">
        <v>320144.634744866</v>
      </c>
      <c r="F96" s="88" t="n">
        <v>298685.412719576</v>
      </c>
      <c r="G96" s="89" t="n">
        <v>321808.304576111</v>
      </c>
      <c r="H96" s="90" t="n">
        <v>302464.555231106</v>
      </c>
      <c r="I96" s="91" t="str">
        <f>H96-F96</f>
      </c>
      <c r="J96" s="92" t="str">
        <f>G96-E96</f>
      </c>
    </row>
    <row r="97">
      <c r="A97" t="s">
        <v>254</v>
      </c>
      <c r="B97" t="s">
        <v>418</v>
      </c>
      <c r="C97" s="86" t="n">
        <v>2038</v>
      </c>
      <c r="D97" t="s">
        <v>244</v>
      </c>
      <c r="E97" s="87" t="n">
        <v>806997.690839549</v>
      </c>
      <c r="F97" s="88" t="n">
        <v>454632.990261911</v>
      </c>
      <c r="G97" s="89" t="n">
        <v>822517.79120794</v>
      </c>
      <c r="H97" s="90" t="n">
        <v>472964.182972518</v>
      </c>
      <c r="I97" s="91" t="str">
        <f>H97-F97</f>
      </c>
      <c r="J97" s="92" t="str">
        <f>G97-E97</f>
      </c>
    </row>
    <row r="98">
      <c r="A98" t="s">
        <v>254</v>
      </c>
      <c r="B98" t="s">
        <v>418</v>
      </c>
      <c r="C98" s="86" t="n">
        <v>2038</v>
      </c>
      <c r="D98" t="s">
        <v>248</v>
      </c>
      <c r="E98" s="87" t="n">
        <v>432889.128912378</v>
      </c>
      <c r="F98" s="88" t="n">
        <v>219558.160950147</v>
      </c>
      <c r="G98" s="89" t="n">
        <v>437875.904421767</v>
      </c>
      <c r="H98" s="90" t="n">
        <v>226837.611544716</v>
      </c>
      <c r="I98" s="91" t="str">
        <f>H98-F98</f>
      </c>
      <c r="J98" s="92" t="str">
        <f>G98-E98</f>
      </c>
    </row>
    <row r="99">
      <c r="A99" t="s">
        <v>254</v>
      </c>
      <c r="B99" t="s">
        <v>418</v>
      </c>
      <c r="C99" s="86" t="n">
        <v>2038</v>
      </c>
      <c r="D99" t="s">
        <v>421</v>
      </c>
      <c r="E99" s="87" t="n">
        <v>13130.7248182488</v>
      </c>
      <c r="F99" s="88" t="n">
        <v>2303.47783976656</v>
      </c>
      <c r="G99" s="89" t="n">
        <v>13130.4959942569</v>
      </c>
      <c r="H99" s="90" t="n">
        <v>2303.4653337572</v>
      </c>
      <c r="I99" s="91" t="str">
        <f>H99-F99</f>
      </c>
      <c r="J99" s="92" t="str">
        <f>G99-E99</f>
      </c>
    </row>
    <row r="100">
      <c r="A100" t="s">
        <v>254</v>
      </c>
      <c r="B100" t="s">
        <v>418</v>
      </c>
      <c r="C100" s="86" t="n">
        <v>2039</v>
      </c>
      <c r="D100" t="s">
        <v>419</v>
      </c>
      <c r="E100" s="87" t="n">
        <v>15208.6472301942</v>
      </c>
      <c r="F100" s="88" t="n">
        <v>10573.5136375444</v>
      </c>
      <c r="G100" s="89" t="n">
        <v>15135.74798412</v>
      </c>
      <c r="H100" s="90" t="n">
        <v>10545.0523038997</v>
      </c>
      <c r="I100" s="91" t="str">
        <f>H100-F100</f>
      </c>
      <c r="J100" s="92" t="str">
        <f>G100-E100</f>
      </c>
    </row>
    <row r="101">
      <c r="A101" t="s">
        <v>254</v>
      </c>
      <c r="B101" t="s">
        <v>418</v>
      </c>
      <c r="C101" s="86" t="n">
        <v>2039</v>
      </c>
      <c r="D101" t="s">
        <v>224</v>
      </c>
      <c r="E101" s="87" t="n">
        <v>1031729.55654911</v>
      </c>
      <c r="F101" s="88" t="n">
        <v>192033.026981454</v>
      </c>
      <c r="G101" s="89" t="n">
        <v>1039334.21211717</v>
      </c>
      <c r="H101" s="90" t="n">
        <v>192296.552192256</v>
      </c>
      <c r="I101" s="91" t="str">
        <f>H101-F101</f>
      </c>
      <c r="J101" s="92" t="str">
        <f>G101-E101</f>
      </c>
    </row>
    <row r="102">
      <c r="A102" t="s">
        <v>254</v>
      </c>
      <c r="B102" t="s">
        <v>418</v>
      </c>
      <c r="C102" s="86" t="n">
        <v>2039</v>
      </c>
      <c r="D102" t="s">
        <v>420</v>
      </c>
      <c r="E102" s="87" t="n">
        <v>158894.006019773</v>
      </c>
      <c r="F102" s="88" t="n">
        <v>97872.297094912</v>
      </c>
      <c r="G102" s="89" t="n">
        <v>158325.904186221</v>
      </c>
      <c r="H102" s="90" t="n">
        <v>97666.5125218666</v>
      </c>
      <c r="I102" s="91" t="str">
        <f>H102-F102</f>
      </c>
      <c r="J102" s="92" t="str">
        <f>G102-E102</f>
      </c>
    </row>
    <row r="103">
      <c r="A103" t="s">
        <v>254</v>
      </c>
      <c r="B103" t="s">
        <v>418</v>
      </c>
      <c r="C103" s="86" t="n">
        <v>2039</v>
      </c>
      <c r="D103" t="s">
        <v>235</v>
      </c>
      <c r="E103" s="87" t="n">
        <v>323161.971769789</v>
      </c>
      <c r="F103" s="88" t="n">
        <v>301503.879090935</v>
      </c>
      <c r="G103" s="89" t="n">
        <v>324947.685920243</v>
      </c>
      <c r="H103" s="90" t="n">
        <v>305533.683824107</v>
      </c>
      <c r="I103" s="91" t="str">
        <f>H103-F103</f>
      </c>
      <c r="J103" s="92" t="str">
        <f>G103-E103</f>
      </c>
    </row>
    <row r="104">
      <c r="A104" t="s">
        <v>254</v>
      </c>
      <c r="B104" t="s">
        <v>418</v>
      </c>
      <c r="C104" s="86" t="n">
        <v>2039</v>
      </c>
      <c r="D104" t="s">
        <v>244</v>
      </c>
      <c r="E104" s="87" t="n">
        <v>821443.005651042</v>
      </c>
      <c r="F104" s="88" t="n">
        <v>463971.525377205</v>
      </c>
      <c r="G104" s="89" t="n">
        <v>838380.897928912</v>
      </c>
      <c r="H104" s="90" t="n">
        <v>484364.275142346</v>
      </c>
      <c r="I104" s="91" t="str">
        <f>H104-F104</f>
      </c>
      <c r="J104" s="92" t="str">
        <f>G104-E104</f>
      </c>
    </row>
    <row r="105">
      <c r="A105" t="s">
        <v>254</v>
      </c>
      <c r="B105" t="s">
        <v>418</v>
      </c>
      <c r="C105" s="86" t="n">
        <v>2039</v>
      </c>
      <c r="D105" t="s">
        <v>248</v>
      </c>
      <c r="E105" s="87" t="n">
        <v>440631.646554049</v>
      </c>
      <c r="F105" s="88" t="n">
        <v>224541.696343519</v>
      </c>
      <c r="G105" s="89" t="n">
        <v>446097.450852593</v>
      </c>
      <c r="H105" s="90" t="n">
        <v>232753.81626835</v>
      </c>
      <c r="I105" s="91" t="str">
        <f>H105-F105</f>
      </c>
      <c r="J105" s="92" t="str">
        <f>G105-E105</f>
      </c>
    </row>
    <row r="106">
      <c r="A106" t="s">
        <v>254</v>
      </c>
      <c r="B106" t="s">
        <v>418</v>
      </c>
      <c r="C106" s="86" t="n">
        <v>2039</v>
      </c>
      <c r="D106" t="s">
        <v>421</v>
      </c>
      <c r="E106" s="87" t="n">
        <v>13011.1497423774</v>
      </c>
      <c r="F106" s="88" t="n">
        <v>2187.91555390109</v>
      </c>
      <c r="G106" s="89" t="n">
        <v>13010.9148835445</v>
      </c>
      <c r="H106" s="90" t="n">
        <v>2187.90404676672</v>
      </c>
      <c r="I106" s="91" t="str">
        <f>H106-F106</f>
      </c>
      <c r="J106" s="92" t="str">
        <f>G106-E106</f>
      </c>
    </row>
    <row r="107">
      <c r="A107" t="s">
        <v>254</v>
      </c>
      <c r="B107" t="s">
        <v>418</v>
      </c>
      <c r="C107" s="86" t="n">
        <v>2040</v>
      </c>
      <c r="D107" t="s">
        <v>419</v>
      </c>
      <c r="E107" s="87" t="n">
        <v>15616.190510051</v>
      </c>
      <c r="F107" s="88" t="n">
        <v>10773.7943162689</v>
      </c>
      <c r="G107" s="89" t="n">
        <v>15531.5458454137</v>
      </c>
      <c r="H107" s="90" t="n">
        <v>10740.752829966</v>
      </c>
      <c r="I107" s="91" t="str">
        <f>H107-F107</f>
      </c>
      <c r="J107" s="92" t="str">
        <f>G107-E107</f>
      </c>
    </row>
    <row r="108">
      <c r="A108" t="s">
        <v>254</v>
      </c>
      <c r="B108" t="s">
        <v>418</v>
      </c>
      <c r="C108" s="86" t="n">
        <v>2040</v>
      </c>
      <c r="D108" t="s">
        <v>224</v>
      </c>
      <c r="E108" s="87" t="n">
        <v>1043335.05078321</v>
      </c>
      <c r="F108" s="88" t="n">
        <v>197440.23181088</v>
      </c>
      <c r="G108" s="89" t="n">
        <v>1051265.69371329</v>
      </c>
      <c r="H108" s="90" t="n">
        <v>197739.851826417</v>
      </c>
      <c r="I108" s="91" t="str">
        <f>H108-F108</f>
      </c>
      <c r="J108" s="92" t="str">
        <f>G108-E108</f>
      </c>
    </row>
    <row r="109">
      <c r="A109" t="s">
        <v>254</v>
      </c>
      <c r="B109" t="s">
        <v>418</v>
      </c>
      <c r="C109" s="86" t="n">
        <v>2040</v>
      </c>
      <c r="D109" t="s">
        <v>420</v>
      </c>
      <c r="E109" s="87" t="n">
        <v>162672.982055078</v>
      </c>
      <c r="F109" s="88" t="n">
        <v>100070.229316279</v>
      </c>
      <c r="G109" s="89" t="n">
        <v>162016.43342865</v>
      </c>
      <c r="H109" s="90" t="n">
        <v>99830.4797881527</v>
      </c>
      <c r="I109" s="91" t="str">
        <f>H109-F109</f>
      </c>
      <c r="J109" s="92" t="str">
        <f>G109-E109</f>
      </c>
    </row>
    <row r="110">
      <c r="A110" t="s">
        <v>254</v>
      </c>
      <c r="B110" t="s">
        <v>418</v>
      </c>
      <c r="C110" s="86" t="n">
        <v>2040</v>
      </c>
      <c r="D110" t="s">
        <v>235</v>
      </c>
      <c r="E110" s="87" t="n">
        <v>325931.239340481</v>
      </c>
      <c r="F110" s="88" t="n">
        <v>304072.754662313</v>
      </c>
      <c r="G110" s="89" t="n">
        <v>327830.115399056</v>
      </c>
      <c r="H110" s="90" t="n">
        <v>308326.231940747</v>
      </c>
      <c r="I110" s="91" t="str">
        <f>H110-F110</f>
      </c>
      <c r="J110" s="92" t="str">
        <f>G110-E110</f>
      </c>
    </row>
    <row r="111">
      <c r="A111" t="s">
        <v>254</v>
      </c>
      <c r="B111" t="s">
        <v>418</v>
      </c>
      <c r="C111" s="86" t="n">
        <v>2040</v>
      </c>
      <c r="D111" t="s">
        <v>244</v>
      </c>
      <c r="E111" s="87" t="n">
        <v>834863.887069071</v>
      </c>
      <c r="F111" s="88" t="n">
        <v>472996.474480852</v>
      </c>
      <c r="G111" s="89" t="n">
        <v>853229.023620414</v>
      </c>
      <c r="H111" s="90" t="n">
        <v>495491.389021897</v>
      </c>
      <c r="I111" s="91" t="str">
        <f>H111-F111</f>
      </c>
      <c r="J111" s="92" t="str">
        <f>G111-E111</f>
      </c>
    </row>
    <row r="112">
      <c r="A112" t="s">
        <v>254</v>
      </c>
      <c r="B112" t="s">
        <v>418</v>
      </c>
      <c r="C112" s="86" t="n">
        <v>2040</v>
      </c>
      <c r="D112" t="s">
        <v>248</v>
      </c>
      <c r="E112" s="87" t="n">
        <v>447656.850295745</v>
      </c>
      <c r="F112" s="88" t="n">
        <v>229432.225843258</v>
      </c>
      <c r="G112" s="89" t="n">
        <v>453595.602682997</v>
      </c>
      <c r="H112" s="90" t="n">
        <v>238587.525717873</v>
      </c>
      <c r="I112" s="91" t="str">
        <f>H112-F112</f>
      </c>
      <c r="J112" s="92" t="str">
        <f>G112-E112</f>
      </c>
    </row>
    <row r="113">
      <c r="A113" t="s">
        <v>254</v>
      </c>
      <c r="B113" t="s">
        <v>418</v>
      </c>
      <c r="C113" s="86" t="n">
        <v>2040</v>
      </c>
      <c r="D113" t="s">
        <v>421</v>
      </c>
      <c r="E113" s="87" t="n">
        <v>12921.8423461089</v>
      </c>
      <c r="F113" s="88" t="n">
        <v>2071.45507884472</v>
      </c>
      <c r="G113" s="89" t="n">
        <v>12921.6065425891</v>
      </c>
      <c r="H113" s="90" t="n">
        <v>2071.44438113687</v>
      </c>
      <c r="I113" s="91" t="str">
        <f>H113-F113</f>
      </c>
      <c r="J113" s="92" t="str">
        <f>G113-E113</f>
      </c>
    </row>
    <row r="114">
      <c r="A114" t="s">
        <v>254</v>
      </c>
      <c r="B114" t="s">
        <v>418</v>
      </c>
      <c r="C114" s="86" t="n">
        <v>2041</v>
      </c>
      <c r="D114" t="s">
        <v>419</v>
      </c>
      <c r="E114" s="87" t="n">
        <v>16018.7774738818</v>
      </c>
      <c r="F114" s="88" t="n">
        <v>10977.7951636667</v>
      </c>
      <c r="G114" s="89" t="n">
        <v>15920.8775016153</v>
      </c>
      <c r="H114" s="90" t="n">
        <v>10939.5011556982</v>
      </c>
      <c r="I114" s="91" t="str">
        <f>H114-F114</f>
      </c>
      <c r="J114" s="92" t="str">
        <f>G114-E114</f>
      </c>
    </row>
    <row r="115">
      <c r="A115" t="s">
        <v>254</v>
      </c>
      <c r="B115" t="s">
        <v>418</v>
      </c>
      <c r="C115" s="86" t="n">
        <v>2041</v>
      </c>
      <c r="D115" t="s">
        <v>224</v>
      </c>
      <c r="E115" s="87" t="n">
        <v>1058311.76168947</v>
      </c>
      <c r="F115" s="88" t="n">
        <v>202865.112774194</v>
      </c>
      <c r="G115" s="89" t="n">
        <v>1066563.6735298</v>
      </c>
      <c r="H115" s="90" t="n">
        <v>203201.128796519</v>
      </c>
      <c r="I115" s="91" t="str">
        <f>H115-F115</f>
      </c>
      <c r="J115" s="92" t="str">
        <f>G115-E115</f>
      </c>
    </row>
    <row r="116">
      <c r="A116" t="s">
        <v>254</v>
      </c>
      <c r="B116" t="s">
        <v>418</v>
      </c>
      <c r="C116" s="86" t="n">
        <v>2041</v>
      </c>
      <c r="D116" t="s">
        <v>420</v>
      </c>
      <c r="E116" s="87" t="n">
        <v>166358.848084067</v>
      </c>
      <c r="F116" s="88" t="n">
        <v>102277.064142444</v>
      </c>
      <c r="G116" s="89" t="n">
        <v>165603.256683252</v>
      </c>
      <c r="H116" s="90" t="n">
        <v>101998.78936442</v>
      </c>
      <c r="I116" s="91" t="str">
        <f>H116-F116</f>
      </c>
      <c r="J116" s="92" t="str">
        <f>G116-E116</f>
      </c>
    </row>
    <row r="117">
      <c r="A117" t="s">
        <v>254</v>
      </c>
      <c r="B117" t="s">
        <v>418</v>
      </c>
      <c r="C117" s="86" t="n">
        <v>2041</v>
      </c>
      <c r="D117" t="s">
        <v>235</v>
      </c>
      <c r="E117" s="87" t="n">
        <v>329005.53207021</v>
      </c>
      <c r="F117" s="88" t="n">
        <v>307399.847627496</v>
      </c>
      <c r="G117" s="89" t="n">
        <v>330799.892538861</v>
      </c>
      <c r="H117" s="90" t="n">
        <v>311000.568285778</v>
      </c>
      <c r="I117" s="91" t="str">
        <f>H117-F117</f>
      </c>
      <c r="J117" s="92" t="str">
        <f>G117-E117</f>
      </c>
    </row>
    <row r="118">
      <c r="A118" t="s">
        <v>254</v>
      </c>
      <c r="B118" t="s">
        <v>418</v>
      </c>
      <c r="C118" s="86" t="n">
        <v>2041</v>
      </c>
      <c r="D118" t="s">
        <v>244</v>
      </c>
      <c r="E118" s="87" t="n">
        <v>850670.894427449</v>
      </c>
      <c r="F118" s="88" t="n">
        <v>483884.573384769</v>
      </c>
      <c r="G118" s="89" t="n">
        <v>869077.592101044</v>
      </c>
      <c r="H118" s="90" t="n">
        <v>506572.614435606</v>
      </c>
      <c r="I118" s="91" t="str">
        <f>H118-F118</f>
      </c>
      <c r="J118" s="92" t="str">
        <f>G118-E118</f>
      </c>
    </row>
    <row r="119">
      <c r="A119" t="s">
        <v>254</v>
      </c>
      <c r="B119" t="s">
        <v>418</v>
      </c>
      <c r="C119" s="86" t="n">
        <v>2041</v>
      </c>
      <c r="D119" t="s">
        <v>248</v>
      </c>
      <c r="E119" s="87" t="n">
        <v>455715.868600218</v>
      </c>
      <c r="F119" s="88" t="n">
        <v>235319.693038797</v>
      </c>
      <c r="G119" s="89" t="n">
        <v>461572.525619781</v>
      </c>
      <c r="H119" s="90" t="n">
        <v>244403.938380915</v>
      </c>
      <c r="I119" s="91" t="str">
        <f>H119-F119</f>
      </c>
      <c r="J119" s="92" t="str">
        <f>G119-E119</f>
      </c>
    </row>
    <row r="120">
      <c r="A120" t="s">
        <v>254</v>
      </c>
      <c r="B120" t="s">
        <v>418</v>
      </c>
      <c r="C120" s="86" t="n">
        <v>2041</v>
      </c>
      <c r="D120" t="s">
        <v>421</v>
      </c>
      <c r="E120" s="87" t="n">
        <v>12914.1974586417</v>
      </c>
      <c r="F120" s="88" t="n">
        <v>1954.43329377712</v>
      </c>
      <c r="G120" s="89" t="n">
        <v>12913.9661072478</v>
      </c>
      <c r="H120" s="90" t="n">
        <v>1954.42370545678</v>
      </c>
      <c r="I120" s="91" t="str">
        <f>H120-F120</f>
      </c>
      <c r="J120" s="92" t="str">
        <f>G120-E120</f>
      </c>
    </row>
    <row r="121">
      <c r="A121" t="s">
        <v>254</v>
      </c>
      <c r="B121" t="s">
        <v>418</v>
      </c>
      <c r="C121" s="86" t="n">
        <v>2042</v>
      </c>
      <c r="D121" t="s">
        <v>419</v>
      </c>
      <c r="E121" s="87" t="n">
        <v>16420.6560941333</v>
      </c>
      <c r="F121" s="88" t="n">
        <v>11179.7638581488</v>
      </c>
      <c r="G121" s="89" t="n">
        <v>16309.8993609652</v>
      </c>
      <c r="H121" s="90" t="n">
        <v>11135.4965430843</v>
      </c>
      <c r="I121" s="91" t="str">
        <f>H121-F121</f>
      </c>
      <c r="J121" s="92" t="str">
        <f>G121-E121</f>
      </c>
    </row>
    <row r="122">
      <c r="A122" t="s">
        <v>254</v>
      </c>
      <c r="B122" t="s">
        <v>418</v>
      </c>
      <c r="C122" s="86" t="n">
        <v>2042</v>
      </c>
      <c r="D122" t="s">
        <v>224</v>
      </c>
      <c r="E122" s="87" t="n">
        <v>1069507.17409862</v>
      </c>
      <c r="F122" s="88" t="n">
        <v>208274.2465853</v>
      </c>
      <c r="G122" s="89" t="n">
        <v>1078026.60097981</v>
      </c>
      <c r="H122" s="90" t="n">
        <v>208646.654553543</v>
      </c>
      <c r="I122" s="91" t="str">
        <f>H122-F122</f>
      </c>
      <c r="J122" s="92" t="str">
        <f>G122-E122</f>
      </c>
    </row>
    <row r="123">
      <c r="A123" t="s">
        <v>254</v>
      </c>
      <c r="B123" t="s">
        <v>418</v>
      </c>
      <c r="C123" s="86" t="n">
        <v>2042</v>
      </c>
      <c r="D123" t="s">
        <v>420</v>
      </c>
      <c r="E123" s="87" t="n">
        <v>169992.137517021</v>
      </c>
      <c r="F123" s="88" t="n">
        <v>104475.515416671</v>
      </c>
      <c r="G123" s="89" t="n">
        <v>169141.556637021</v>
      </c>
      <c r="H123" s="90" t="n">
        <v>104153.760083299</v>
      </c>
      <c r="I123" s="91" t="str">
        <f>H123-F123</f>
      </c>
      <c r="J123" s="92" t="str">
        <f>G123-E123</f>
      </c>
    </row>
    <row r="124">
      <c r="A124" t="s">
        <v>254</v>
      </c>
      <c r="B124" t="s">
        <v>418</v>
      </c>
      <c r="C124" s="86" t="n">
        <v>2042</v>
      </c>
      <c r="D124" t="s">
        <v>235</v>
      </c>
      <c r="E124" s="87" t="n">
        <v>331629.258635407</v>
      </c>
      <c r="F124" s="88" t="n">
        <v>310231.579867744</v>
      </c>
      <c r="G124" s="89" t="n">
        <v>333321.323938657</v>
      </c>
      <c r="H124" s="90" t="n">
        <v>313428.604068663</v>
      </c>
      <c r="I124" s="91" t="str">
        <f>H124-F124</f>
      </c>
      <c r="J124" s="92" t="str">
        <f>G124-E124</f>
      </c>
    </row>
    <row r="125">
      <c r="A125" t="s">
        <v>254</v>
      </c>
      <c r="B125" t="s">
        <v>418</v>
      </c>
      <c r="C125" s="86" t="n">
        <v>2042</v>
      </c>
      <c r="D125" t="s">
        <v>244</v>
      </c>
      <c r="E125" s="87" t="n">
        <v>865840.233536563</v>
      </c>
      <c r="F125" s="88" t="n">
        <v>494605.867406057</v>
      </c>
      <c r="G125" s="89" t="n">
        <v>884281.978207785</v>
      </c>
      <c r="H125" s="90" t="n">
        <v>517499.023505678</v>
      </c>
      <c r="I125" s="91" t="str">
        <f>H125-F125</f>
      </c>
      <c r="J125" s="92" t="str">
        <f>G125-E125</f>
      </c>
    </row>
    <row r="126">
      <c r="A126" t="s">
        <v>254</v>
      </c>
      <c r="B126" t="s">
        <v>418</v>
      </c>
      <c r="C126" s="86" t="n">
        <v>2042</v>
      </c>
      <c r="D126" t="s">
        <v>248</v>
      </c>
      <c r="E126" s="87" t="n">
        <v>463674.013739537</v>
      </c>
      <c r="F126" s="88" t="n">
        <v>241123.617556317</v>
      </c>
      <c r="G126" s="89" t="n">
        <v>469454.149721884</v>
      </c>
      <c r="H126" s="90" t="n">
        <v>250175.663514197</v>
      </c>
      <c r="I126" s="91" t="str">
        <f>H126-F126</f>
      </c>
      <c r="J126" s="92" t="str">
        <f>G126-E126</f>
      </c>
    </row>
    <row r="127">
      <c r="A127" t="s">
        <v>254</v>
      </c>
      <c r="B127" t="s">
        <v>418</v>
      </c>
      <c r="C127" s="86" t="n">
        <v>2042</v>
      </c>
      <c r="D127" t="s">
        <v>421</v>
      </c>
      <c r="E127" s="87" t="n">
        <v>12448.1954782212</v>
      </c>
      <c r="F127" s="88" t="n">
        <v>1837.14646790073</v>
      </c>
      <c r="G127" s="89" t="n">
        <v>12447.9578277165</v>
      </c>
      <c r="H127" s="90" t="n">
        <v>1837.13778678778</v>
      </c>
      <c r="I127" s="91" t="str">
        <f>H127-F127</f>
      </c>
      <c r="J127" s="92" t="str">
        <f>G127-E127</f>
      </c>
    </row>
    <row r="128">
      <c r="A128" t="s">
        <v>254</v>
      </c>
      <c r="B128" t="s">
        <v>418</v>
      </c>
      <c r="C128" s="86" t="n">
        <v>2043</v>
      </c>
      <c r="D128" t="s">
        <v>419</v>
      </c>
      <c r="E128" s="87" t="n">
        <v>16878.6451629396</v>
      </c>
      <c r="F128" s="88" t="n">
        <v>11391.3265906856</v>
      </c>
      <c r="G128" s="89" t="n">
        <v>16754.8072801891</v>
      </c>
      <c r="H128" s="90" t="n">
        <v>11340.588740714</v>
      </c>
      <c r="I128" s="91" t="str">
        <f>H128-F128</f>
      </c>
      <c r="J128" s="92" t="str">
        <f>G128-E128</f>
      </c>
    </row>
    <row r="129">
      <c r="A129" t="s">
        <v>254</v>
      </c>
      <c r="B129" t="s">
        <v>418</v>
      </c>
      <c r="C129" s="86" t="n">
        <v>2043</v>
      </c>
      <c r="D129" t="s">
        <v>224</v>
      </c>
      <c r="E129" s="87" t="n">
        <v>1080837.87112962</v>
      </c>
      <c r="F129" s="88" t="n">
        <v>213604.668844567</v>
      </c>
      <c r="G129" s="89" t="n">
        <v>1089617.8876954</v>
      </c>
      <c r="H129" s="90" t="n">
        <v>214013.627325169</v>
      </c>
      <c r="I129" s="91" t="str">
        <f>H129-F129</f>
      </c>
      <c r="J129" s="92" t="str">
        <f>G129-E129</f>
      </c>
    </row>
    <row r="130">
      <c r="A130" t="s">
        <v>254</v>
      </c>
      <c r="B130" t="s">
        <v>418</v>
      </c>
      <c r="C130" s="86" t="n">
        <v>2043</v>
      </c>
      <c r="D130" t="s">
        <v>420</v>
      </c>
      <c r="E130" s="87" t="n">
        <v>174353.493684188</v>
      </c>
      <c r="F130" s="88" t="n">
        <v>106665.054844111</v>
      </c>
      <c r="G130" s="89" t="n">
        <v>173407.833179956</v>
      </c>
      <c r="H130" s="90" t="n">
        <v>106296.685429372</v>
      </c>
      <c r="I130" s="91" t="str">
        <f>H130-F130</f>
      </c>
      <c r="J130" s="92" t="str">
        <f>G130-E130</f>
      </c>
    </row>
    <row r="131">
      <c r="A131" t="s">
        <v>254</v>
      </c>
      <c r="B131" t="s">
        <v>418</v>
      </c>
      <c r="C131" s="86" t="n">
        <v>2043</v>
      </c>
      <c r="D131" t="s">
        <v>235</v>
      </c>
      <c r="E131" s="87" t="n">
        <v>333600.756648348</v>
      </c>
      <c r="F131" s="88" t="n">
        <v>312445.525594361</v>
      </c>
      <c r="G131" s="89" t="n">
        <v>335190.948405484</v>
      </c>
      <c r="H131" s="90" t="n">
        <v>315350.995136011</v>
      </c>
      <c r="I131" s="91" t="str">
        <f>H131-F131</f>
      </c>
      <c r="J131" s="92" t="str">
        <f>G131-E131</f>
      </c>
    </row>
    <row r="132">
      <c r="A132" t="s">
        <v>254</v>
      </c>
      <c r="B132" t="s">
        <v>418</v>
      </c>
      <c r="C132" s="86" t="n">
        <v>2043</v>
      </c>
      <c r="D132" t="s">
        <v>244</v>
      </c>
      <c r="E132" s="87" t="n">
        <v>883241.153027648</v>
      </c>
      <c r="F132" s="88" t="n">
        <v>504983.84989209</v>
      </c>
      <c r="G132" s="89" t="n">
        <v>901770.411974376</v>
      </c>
      <c r="H132" s="90" t="n">
        <v>528079.181081669</v>
      </c>
      <c r="I132" s="91" t="str">
        <f>H132-F132</f>
      </c>
      <c r="J132" s="92" t="str">
        <f>G132-E132</f>
      </c>
    </row>
    <row r="133">
      <c r="A133" t="s">
        <v>254</v>
      </c>
      <c r="B133" t="s">
        <v>418</v>
      </c>
      <c r="C133" s="86" t="n">
        <v>2043</v>
      </c>
      <c r="D133" t="s">
        <v>248</v>
      </c>
      <c r="E133" s="87" t="n">
        <v>473745.969075898</v>
      </c>
      <c r="F133" s="88" t="n">
        <v>246942.862638334</v>
      </c>
      <c r="G133" s="89" t="n">
        <v>479482.188386743</v>
      </c>
      <c r="H133" s="90" t="n">
        <v>255992.973248088</v>
      </c>
      <c r="I133" s="91" t="str">
        <f>H133-F133</f>
      </c>
      <c r="J133" s="92" t="str">
        <f>G133-E133</f>
      </c>
    </row>
    <row r="134">
      <c r="A134" t="s">
        <v>254</v>
      </c>
      <c r="B134" t="s">
        <v>418</v>
      </c>
      <c r="C134" s="86" t="n">
        <v>2043</v>
      </c>
      <c r="D134" t="s">
        <v>421</v>
      </c>
      <c r="E134" s="87" t="n">
        <v>12246.8044027564</v>
      </c>
      <c r="F134" s="88" t="n">
        <v>1731.14007673098</v>
      </c>
      <c r="G134" s="89" t="n">
        <v>12246.5731114781</v>
      </c>
      <c r="H134" s="90" t="n">
        <v>1731.1314511154</v>
      </c>
      <c r="I134" s="91" t="str">
        <f>H134-F134</f>
      </c>
      <c r="J134" s="92" t="str">
        <f>G134-E134</f>
      </c>
    </row>
    <row r="135">
      <c r="A135" t="s">
        <v>254</v>
      </c>
      <c r="B135" t="s">
        <v>418</v>
      </c>
      <c r="C135" s="86" t="n">
        <v>2044</v>
      </c>
      <c r="D135" t="s">
        <v>419</v>
      </c>
      <c r="E135" s="87" t="n">
        <v>17277.879158974</v>
      </c>
      <c r="F135" s="88" t="n">
        <v>11598.1603226186</v>
      </c>
      <c r="G135" s="89" t="n">
        <v>17141.7120461147</v>
      </c>
      <c r="H135" s="90" t="n">
        <v>11540.7879834335</v>
      </c>
      <c r="I135" s="91" t="str">
        <f>H135-F135</f>
      </c>
      <c r="J135" s="92" t="str">
        <f>G135-E135</f>
      </c>
    </row>
    <row r="136">
      <c r="A136" t="s">
        <v>254</v>
      </c>
      <c r="B136" t="s">
        <v>418</v>
      </c>
      <c r="C136" s="86" t="n">
        <v>2044</v>
      </c>
      <c r="D136" t="s">
        <v>224</v>
      </c>
      <c r="E136" s="87" t="n">
        <v>1091565.99126537</v>
      </c>
      <c r="F136" s="88" t="n">
        <v>218941.575225627</v>
      </c>
      <c r="G136" s="89" t="n">
        <v>1100597.33187273</v>
      </c>
      <c r="H136" s="90" t="n">
        <v>219387.626065992</v>
      </c>
      <c r="I136" s="91" t="str">
        <f>H136-F136</f>
      </c>
      <c r="J136" s="92" t="str">
        <f>G136-E136</f>
      </c>
    </row>
    <row r="137">
      <c r="A137" t="s">
        <v>254</v>
      </c>
      <c r="B137" t="s">
        <v>418</v>
      </c>
      <c r="C137" s="86" t="n">
        <v>2044</v>
      </c>
      <c r="D137" t="s">
        <v>420</v>
      </c>
      <c r="E137" s="87" t="n">
        <v>177755.5505379</v>
      </c>
      <c r="F137" s="88" t="n">
        <v>108821.605256429</v>
      </c>
      <c r="G137" s="89" t="n">
        <v>176720.973913542</v>
      </c>
      <c r="H137" s="90" t="n">
        <v>108405.015378104</v>
      </c>
      <c r="I137" s="91" t="str">
        <f>H137-F137</f>
      </c>
      <c r="J137" s="92" t="str">
        <f>G137-E137</f>
      </c>
    </row>
    <row r="138">
      <c r="A138" t="s">
        <v>254</v>
      </c>
      <c r="B138" t="s">
        <v>418</v>
      </c>
      <c r="C138" s="86" t="n">
        <v>2044</v>
      </c>
      <c r="D138" t="s">
        <v>235</v>
      </c>
      <c r="E138" s="87" t="n">
        <v>335647.026124717</v>
      </c>
      <c r="F138" s="88" t="n">
        <v>314492.889210364</v>
      </c>
      <c r="G138" s="89" t="n">
        <v>337141.608513163</v>
      </c>
      <c r="H138" s="90" t="n">
        <v>317170.637977033</v>
      </c>
      <c r="I138" s="91" t="str">
        <f>H138-F138</f>
      </c>
      <c r="J138" s="92" t="str">
        <f>G138-E138</f>
      </c>
    </row>
    <row r="139">
      <c r="A139" t="s">
        <v>254</v>
      </c>
      <c r="B139" t="s">
        <v>418</v>
      </c>
      <c r="C139" s="86" t="n">
        <v>2044</v>
      </c>
      <c r="D139" t="s">
        <v>244</v>
      </c>
      <c r="E139" s="87" t="n">
        <v>897153.791289015</v>
      </c>
      <c r="F139" s="88" t="n">
        <v>515218.28328813</v>
      </c>
      <c r="G139" s="89" t="n">
        <v>915703.811540802</v>
      </c>
      <c r="H139" s="90" t="n">
        <v>538525.397411542</v>
      </c>
      <c r="I139" s="91" t="str">
        <f>H139-F139</f>
      </c>
      <c r="J139" s="92" t="str">
        <f>G139-E139</f>
      </c>
    </row>
    <row r="140">
      <c r="A140" t="s">
        <v>254</v>
      </c>
      <c r="B140" t="s">
        <v>418</v>
      </c>
      <c r="C140" s="86" t="n">
        <v>2044</v>
      </c>
      <c r="D140" t="s">
        <v>248</v>
      </c>
      <c r="E140" s="87" t="n">
        <v>480941.030007968</v>
      </c>
      <c r="F140" s="88" t="n">
        <v>252615.689333931</v>
      </c>
      <c r="G140" s="89" t="n">
        <v>486601.390422378</v>
      </c>
      <c r="H140" s="90" t="n">
        <v>261683.339551894</v>
      </c>
      <c r="I140" s="91" t="str">
        <f>H140-F140</f>
      </c>
      <c r="J140" s="92" t="str">
        <f>G140-E140</f>
      </c>
    </row>
    <row r="141">
      <c r="A141" t="s">
        <v>254</v>
      </c>
      <c r="B141" t="s">
        <v>418</v>
      </c>
      <c r="C141" s="86" t="n">
        <v>2044</v>
      </c>
      <c r="D141" t="s">
        <v>421</v>
      </c>
      <c r="E141" s="87" t="n">
        <v>12150.1001996517</v>
      </c>
      <c r="F141" s="88" t="n">
        <v>1626.38418753257</v>
      </c>
      <c r="G141" s="89" t="n">
        <v>12149.8552379252</v>
      </c>
      <c r="H141" s="90" t="n">
        <v>1626.37538137955</v>
      </c>
      <c r="I141" s="91" t="str">
        <f>H141-F141</f>
      </c>
      <c r="J141" s="92" t="str">
        <f>G141-E141</f>
      </c>
    </row>
    <row r="142">
      <c r="A142" t="s">
        <v>254</v>
      </c>
      <c r="B142" t="s">
        <v>418</v>
      </c>
      <c r="C142" s="86" t="n">
        <v>2045</v>
      </c>
      <c r="D142" t="s">
        <v>419</v>
      </c>
      <c r="E142" s="87" t="n">
        <v>17706.8664511561</v>
      </c>
      <c r="F142" s="88" t="n">
        <v>11809.9867086785</v>
      </c>
      <c r="G142" s="89" t="n">
        <v>17558.0225793012</v>
      </c>
      <c r="H142" s="90" t="n">
        <v>11745.9298391965</v>
      </c>
      <c r="I142" s="91" t="str">
        <f>H142-F142</f>
      </c>
      <c r="J142" s="92" t="str">
        <f>G142-E142</f>
      </c>
    </row>
    <row r="143">
      <c r="A143" t="s">
        <v>254</v>
      </c>
      <c r="B143" t="s">
        <v>418</v>
      </c>
      <c r="C143" s="86" t="n">
        <v>2045</v>
      </c>
      <c r="D143" t="s">
        <v>224</v>
      </c>
      <c r="E143" s="87" t="n">
        <v>1101568.2407659</v>
      </c>
      <c r="F143" s="88" t="n">
        <v>224305.038038822</v>
      </c>
      <c r="G143" s="89" t="n">
        <v>1110841.03545085</v>
      </c>
      <c r="H143" s="90" t="n">
        <v>224789.135470853</v>
      </c>
      <c r="I143" s="91" t="str">
        <f>H143-F143</f>
      </c>
      <c r="J143" s="92" t="str">
        <f>G143-E143</f>
      </c>
    </row>
    <row r="144">
      <c r="A144" t="s">
        <v>254</v>
      </c>
      <c r="B144" t="s">
        <v>418</v>
      </c>
      <c r="C144" s="86" t="n">
        <v>2045</v>
      </c>
      <c r="D144" t="s">
        <v>420</v>
      </c>
      <c r="E144" s="87" t="n">
        <v>181276.848739143</v>
      </c>
      <c r="F144" s="88" t="n">
        <v>111000.993730915</v>
      </c>
      <c r="G144" s="89" t="n">
        <v>180153.68435169</v>
      </c>
      <c r="H144" s="90" t="n">
        <v>110535.42825069</v>
      </c>
      <c r="I144" s="91" t="str">
        <f>H144-F144</f>
      </c>
      <c r="J144" s="92" t="str">
        <f>G144-E144</f>
      </c>
    </row>
    <row r="145">
      <c r="A145" t="s">
        <v>254</v>
      </c>
      <c r="B145" t="s">
        <v>418</v>
      </c>
      <c r="C145" s="86" t="n">
        <v>2045</v>
      </c>
      <c r="D145" t="s">
        <v>235</v>
      </c>
      <c r="E145" s="87" t="n">
        <v>337765.988636419</v>
      </c>
      <c r="F145" s="88" t="n">
        <v>316428.212281867</v>
      </c>
      <c r="G145" s="89" t="n">
        <v>339169.596103443</v>
      </c>
      <c r="H145" s="90" t="n">
        <v>318918.904925021</v>
      </c>
      <c r="I145" s="91" t="str">
        <f>H145-F145</f>
      </c>
      <c r="J145" s="92" t="str">
        <f>G145-E145</f>
      </c>
    </row>
    <row r="146">
      <c r="A146" t="s">
        <v>254</v>
      </c>
      <c r="B146" t="s">
        <v>418</v>
      </c>
      <c r="C146" s="86" t="n">
        <v>2045</v>
      </c>
      <c r="D146" t="s">
        <v>244</v>
      </c>
      <c r="E146" s="87" t="n">
        <v>910634.537251506</v>
      </c>
      <c r="F146" s="88" t="n">
        <v>525490.07265935</v>
      </c>
      <c r="G146" s="89" t="n">
        <v>929197.274787431</v>
      </c>
      <c r="H146" s="90" t="n">
        <v>549018.34448389</v>
      </c>
      <c r="I146" s="91" t="str">
        <f>H146-F146</f>
      </c>
      <c r="J146" s="92" t="str">
        <f>G146-E146</f>
      </c>
    </row>
    <row r="147">
      <c r="A147" t="s">
        <v>254</v>
      </c>
      <c r="B147" t="s">
        <v>418</v>
      </c>
      <c r="C147" s="86" t="n">
        <v>2045</v>
      </c>
      <c r="D147" t="s">
        <v>248</v>
      </c>
      <c r="E147" s="87" t="n">
        <v>487674.828588587</v>
      </c>
      <c r="F147" s="88" t="n">
        <v>258282.571677543</v>
      </c>
      <c r="G147" s="89" t="n">
        <v>493255.893083406</v>
      </c>
      <c r="H147" s="90" t="n">
        <v>267382.392924501</v>
      </c>
      <c r="I147" s="91" t="str">
        <f>H147-F147</f>
      </c>
      <c r="J147" s="92" t="str">
        <f>G147-E147</f>
      </c>
    </row>
    <row r="148">
      <c r="A148" t="s">
        <v>254</v>
      </c>
      <c r="B148" t="s">
        <v>418</v>
      </c>
      <c r="C148" s="86" t="n">
        <v>2045</v>
      </c>
      <c r="D148" t="s">
        <v>421</v>
      </c>
      <c r="E148" s="87" t="n">
        <v>12048.7568037926</v>
      </c>
      <c r="F148" s="88" t="n">
        <v>1523.27328501306</v>
      </c>
      <c r="G148" s="89" t="n">
        <v>12048.500629735</v>
      </c>
      <c r="H148" s="90" t="n">
        <v>1523.26402182686</v>
      </c>
      <c r="I148" s="91" t="str">
        <f>H148-F148</f>
      </c>
      <c r="J148" s="92" t="str">
        <f>G148-E148</f>
      </c>
    </row>
    <row r="149">
      <c r="A149" t="s">
        <v>254</v>
      </c>
      <c r="B149" t="s">
        <v>418</v>
      </c>
      <c r="C149" s="86" t="n">
        <v>2046</v>
      </c>
      <c r="D149" t="s">
        <v>419</v>
      </c>
      <c r="E149" s="87" t="n">
        <v>18129.9924842418</v>
      </c>
      <c r="F149" s="88" t="n">
        <v>12027.3562632602</v>
      </c>
      <c r="G149" s="89" t="n">
        <v>17968.503099892</v>
      </c>
      <c r="H149" s="90" t="n">
        <v>11956.4732180851</v>
      </c>
      <c r="I149" s="91" t="str">
        <f>H149-F149</f>
      </c>
      <c r="J149" s="92" t="str">
        <f>G149-E149</f>
      </c>
    </row>
    <row r="150">
      <c r="A150" t="s">
        <v>254</v>
      </c>
      <c r="B150" t="s">
        <v>418</v>
      </c>
      <c r="C150" s="86" t="n">
        <v>2046</v>
      </c>
      <c r="D150" t="s">
        <v>224</v>
      </c>
      <c r="E150" s="87" t="n">
        <v>1115200.78077546</v>
      </c>
      <c r="F150" s="88" t="n">
        <v>229700.493924141</v>
      </c>
      <c r="G150" s="89" t="n">
        <v>1124741.39385058</v>
      </c>
      <c r="H150" s="90" t="n">
        <v>230223.641273017</v>
      </c>
      <c r="I150" s="91" t="str">
        <f>H150-F150</f>
      </c>
      <c r="J150" s="92" t="str">
        <f>G150-E150</f>
      </c>
    </row>
    <row r="151">
      <c r="A151" t="s">
        <v>254</v>
      </c>
      <c r="B151" t="s">
        <v>418</v>
      </c>
      <c r="C151" s="86" t="n">
        <v>2046</v>
      </c>
      <c r="D151" t="s">
        <v>420</v>
      </c>
      <c r="E151" s="87" t="n">
        <v>184720.867694158</v>
      </c>
      <c r="F151" s="88" t="n">
        <v>113194.883944896</v>
      </c>
      <c r="G151" s="89" t="n">
        <v>183510.562290158</v>
      </c>
      <c r="H151" s="90" t="n">
        <v>112679.652863118</v>
      </c>
      <c r="I151" s="91" t="str">
        <f>H151-F151</f>
      </c>
      <c r="J151" s="92" t="str">
        <f>G151-E151</f>
      </c>
    </row>
    <row r="152">
      <c r="A152" t="s">
        <v>254</v>
      </c>
      <c r="B152" t="s">
        <v>418</v>
      </c>
      <c r="C152" s="86" t="n">
        <v>2046</v>
      </c>
      <c r="D152" t="s">
        <v>235</v>
      </c>
      <c r="E152" s="87" t="n">
        <v>339908.511231531</v>
      </c>
      <c r="F152" s="88" t="n">
        <v>318242.065651404</v>
      </c>
      <c r="G152" s="89" t="n">
        <v>341225.275481564</v>
      </c>
      <c r="H152" s="90" t="n">
        <v>320574.163172874</v>
      </c>
      <c r="I152" s="91" t="str">
        <f>H152-F152</f>
      </c>
      <c r="J152" s="92" t="str">
        <f>G152-E152</f>
      </c>
    </row>
    <row r="153">
      <c r="A153" t="s">
        <v>254</v>
      </c>
      <c r="B153" t="s">
        <v>418</v>
      </c>
      <c r="C153" s="86" t="n">
        <v>2046</v>
      </c>
      <c r="D153" t="s">
        <v>244</v>
      </c>
      <c r="E153" s="87" t="n">
        <v>925397.834725802</v>
      </c>
      <c r="F153" s="88" t="n">
        <v>535789.324123994</v>
      </c>
      <c r="G153" s="89" t="n">
        <v>944010.931257439</v>
      </c>
      <c r="H153" s="90" t="n">
        <v>559544.256752656</v>
      </c>
      <c r="I153" s="91" t="str">
        <f>H153-F153</f>
      </c>
      <c r="J153" s="92" t="str">
        <f>G153-E153</f>
      </c>
    </row>
    <row r="154">
      <c r="A154" t="s">
        <v>254</v>
      </c>
      <c r="B154" t="s">
        <v>418</v>
      </c>
      <c r="C154" s="86" t="n">
        <v>2046</v>
      </c>
      <c r="D154" t="s">
        <v>248</v>
      </c>
      <c r="E154" s="87" t="n">
        <v>495128.03667901</v>
      </c>
      <c r="F154" s="88" t="n">
        <v>263940.256586725</v>
      </c>
      <c r="G154" s="89" t="n">
        <v>500645.717898476</v>
      </c>
      <c r="H154" s="90" t="n">
        <v>273080.787934234</v>
      </c>
      <c r="I154" s="91" t="str">
        <f>H154-F154</f>
      </c>
      <c r="J154" s="92" t="str">
        <f>G154-E154</f>
      </c>
    </row>
    <row r="155">
      <c r="A155" t="s">
        <v>254</v>
      </c>
      <c r="B155" t="s">
        <v>418</v>
      </c>
      <c r="C155" s="86" t="n">
        <v>2046</v>
      </c>
      <c r="D155" t="s">
        <v>421</v>
      </c>
      <c r="E155" s="87" t="n">
        <v>11944.0576921763</v>
      </c>
      <c r="F155" s="88" t="n">
        <v>1421.3099942797</v>
      </c>
      <c r="G155" s="89" t="n">
        <v>11943.7945693929</v>
      </c>
      <c r="H155" s="90" t="n">
        <v>1421.3002106259</v>
      </c>
      <c r="I155" s="91" t="str">
        <f>H155-F155</f>
      </c>
      <c r="J155" s="92" t="str">
        <f>G155-E155</f>
      </c>
    </row>
    <row r="156">
      <c r="A156" t="s">
        <v>254</v>
      </c>
      <c r="B156" t="s">
        <v>418</v>
      </c>
      <c r="C156" s="86" t="n">
        <v>2047</v>
      </c>
      <c r="D156" t="s">
        <v>419</v>
      </c>
      <c r="E156" s="87" t="n">
        <v>18544.8988704446</v>
      </c>
      <c r="F156" s="88" t="n">
        <v>12237.9954144567</v>
      </c>
      <c r="G156" s="89" t="n">
        <v>18370.9982297807</v>
      </c>
      <c r="H156" s="90" t="n">
        <v>12160.3227217187</v>
      </c>
      <c r="I156" s="91" t="str">
        <f>H156-F156</f>
      </c>
      <c r="J156" s="92" t="str">
        <f>G156-E156</f>
      </c>
    </row>
    <row r="157">
      <c r="A157" t="s">
        <v>254</v>
      </c>
      <c r="B157" t="s">
        <v>418</v>
      </c>
      <c r="C157" s="86" t="n">
        <v>2047</v>
      </c>
      <c r="D157" t="s">
        <v>224</v>
      </c>
      <c r="E157" s="87" t="n">
        <v>1123942.44722446</v>
      </c>
      <c r="F157" s="88" t="n">
        <v>235011.184634261</v>
      </c>
      <c r="G157" s="89" t="n">
        <v>1133680.16398797</v>
      </c>
      <c r="H157" s="90" t="n">
        <v>235574.501787602</v>
      </c>
      <c r="I157" s="91" t="str">
        <f>H157-F157</f>
      </c>
      <c r="J157" s="92" t="str">
        <f>G157-E157</f>
      </c>
    </row>
    <row r="158">
      <c r="A158" t="s">
        <v>254</v>
      </c>
      <c r="B158" t="s">
        <v>418</v>
      </c>
      <c r="C158" s="86" t="n">
        <v>2047</v>
      </c>
      <c r="D158" t="s">
        <v>420</v>
      </c>
      <c r="E158" s="87" t="n">
        <v>188220.554599464</v>
      </c>
      <c r="F158" s="88" t="n">
        <v>115335.073200583</v>
      </c>
      <c r="G158" s="89" t="n">
        <v>186925.284089995</v>
      </c>
      <c r="H158" s="90" t="n">
        <v>114770.43405396</v>
      </c>
      <c r="I158" s="91" t="str">
        <f>H158-F158</f>
      </c>
      <c r="J158" s="92" t="str">
        <f>G158-E158</f>
      </c>
    </row>
    <row r="159">
      <c r="A159" t="s">
        <v>254</v>
      </c>
      <c r="B159" t="s">
        <v>418</v>
      </c>
      <c r="C159" s="86" t="n">
        <v>2047</v>
      </c>
      <c r="D159" t="s">
        <v>235</v>
      </c>
      <c r="E159" s="87" t="n">
        <v>341591.327534474</v>
      </c>
      <c r="F159" s="88" t="n">
        <v>319842.939203941</v>
      </c>
      <c r="G159" s="89" t="n">
        <v>342821.899904036</v>
      </c>
      <c r="H159" s="90" t="n">
        <v>322040.722228729</v>
      </c>
      <c r="I159" s="91" t="str">
        <f>H159-F159</f>
      </c>
      <c r="J159" s="92" t="str">
        <f>G159-E159</f>
      </c>
    </row>
    <row r="160">
      <c r="A160" t="s">
        <v>254</v>
      </c>
      <c r="B160" t="s">
        <v>418</v>
      </c>
      <c r="C160" s="86" t="n">
        <v>2047</v>
      </c>
      <c r="D160" t="s">
        <v>244</v>
      </c>
      <c r="E160" s="87" t="n">
        <v>939058.517787091</v>
      </c>
      <c r="F160" s="88" t="n">
        <v>545798.480992181</v>
      </c>
      <c r="G160" s="89" t="n">
        <v>957700.330331823</v>
      </c>
      <c r="H160" s="90" t="n">
        <v>569776.387385101</v>
      </c>
      <c r="I160" s="91" t="str">
        <f>H160-F160</f>
      </c>
      <c r="J160" s="92" t="str">
        <f>G160-E160</f>
      </c>
    </row>
    <row r="161">
      <c r="A161" t="s">
        <v>254</v>
      </c>
      <c r="B161" t="s">
        <v>418</v>
      </c>
      <c r="C161" s="86" t="n">
        <v>2047</v>
      </c>
      <c r="D161" t="s">
        <v>248</v>
      </c>
      <c r="E161" s="87" t="n">
        <v>502274.592400092</v>
      </c>
      <c r="F161" s="88" t="n">
        <v>269409.402886688</v>
      </c>
      <c r="G161" s="89" t="n">
        <v>507728.749767113</v>
      </c>
      <c r="H161" s="90" t="n">
        <v>278595.1987469</v>
      </c>
      <c r="I161" s="91" t="str">
        <f>H161-F161</f>
      </c>
      <c r="J161" s="92" t="str">
        <f>G161-E161</f>
      </c>
    </row>
    <row r="162">
      <c r="A162" t="s">
        <v>254</v>
      </c>
      <c r="B162" t="s">
        <v>418</v>
      </c>
      <c r="C162" s="86" t="n">
        <v>2047</v>
      </c>
      <c r="D162" t="s">
        <v>421</v>
      </c>
      <c r="E162" s="87" t="n">
        <v>11677.0842576311</v>
      </c>
      <c r="F162" s="88" t="n">
        <v>1320.01784292728</v>
      </c>
      <c r="G162" s="89" t="n">
        <v>11676.8139890787</v>
      </c>
      <c r="H162" s="90" t="n">
        <v>1320.00748918915</v>
      </c>
      <c r="I162" s="91" t="str">
        <f>H162-F162</f>
      </c>
      <c r="J162" s="92" t="str">
        <f>G162-E162</f>
      </c>
    </row>
    <row r="163">
      <c r="A163" t="s">
        <v>254</v>
      </c>
      <c r="B163" t="s">
        <v>418</v>
      </c>
      <c r="C163" s="86" t="n">
        <v>2048</v>
      </c>
      <c r="D163" t="s">
        <v>419</v>
      </c>
      <c r="E163" s="87" t="n">
        <v>19051.8905778971</v>
      </c>
      <c r="F163" s="88" t="n">
        <v>12444.2010823082</v>
      </c>
      <c r="G163" s="89" t="n">
        <v>18865.0138793559</v>
      </c>
      <c r="H163" s="90" t="n">
        <v>12359.797946018</v>
      </c>
      <c r="I163" s="91" t="str">
        <f>H163-F163</f>
      </c>
      <c r="J163" s="92" t="str">
        <f>G163-E163</f>
      </c>
    </row>
    <row r="164">
      <c r="A164" t="s">
        <v>254</v>
      </c>
      <c r="B164" t="s">
        <v>418</v>
      </c>
      <c r="C164" s="86" t="n">
        <v>2048</v>
      </c>
      <c r="D164" t="s">
        <v>224</v>
      </c>
      <c r="E164" s="87" t="n">
        <v>1130017.68038929</v>
      </c>
      <c r="F164" s="88" t="n">
        <v>240174.322369474</v>
      </c>
      <c r="G164" s="89" t="n">
        <v>1139921.42222342</v>
      </c>
      <c r="H164" s="90" t="n">
        <v>240778.643136103</v>
      </c>
      <c r="I164" s="91" t="str">
        <f>H164-F164</f>
      </c>
      <c r="J164" s="92" t="str">
        <f>G164-E164</f>
      </c>
    </row>
    <row r="165">
      <c r="A165" t="s">
        <v>254</v>
      </c>
      <c r="B165" t="s">
        <v>418</v>
      </c>
      <c r="C165" s="86" t="n">
        <v>2048</v>
      </c>
      <c r="D165" t="s">
        <v>420</v>
      </c>
      <c r="E165" s="87" t="n">
        <v>192557.749909264</v>
      </c>
      <c r="F165" s="88" t="n">
        <v>117402.180664151</v>
      </c>
      <c r="G165" s="89" t="n">
        <v>191173.834498201</v>
      </c>
      <c r="H165" s="90" t="n">
        <v>116788.610084</v>
      </c>
      <c r="I165" s="91" t="str">
        <f>H165-F165</f>
      </c>
      <c r="J165" s="92" t="str">
        <f>G165-E165</f>
      </c>
    </row>
    <row r="166">
      <c r="A166" t="s">
        <v>254</v>
      </c>
      <c r="B166" t="s">
        <v>418</v>
      </c>
      <c r="C166" s="86" t="n">
        <v>2048</v>
      </c>
      <c r="D166" t="s">
        <v>235</v>
      </c>
      <c r="E166" s="87" t="n">
        <v>342643.077517359</v>
      </c>
      <c r="F166" s="88" t="n">
        <v>320981.030219295</v>
      </c>
      <c r="G166" s="89" t="n">
        <v>343787.138006374</v>
      </c>
      <c r="H166" s="90" t="n">
        <v>323063.01307722</v>
      </c>
      <c r="I166" s="91" t="str">
        <f>H166-F166</f>
      </c>
      <c r="J166" s="92" t="str">
        <f>G166-E166</f>
      </c>
    </row>
    <row r="167">
      <c r="A167" t="s">
        <v>254</v>
      </c>
      <c r="B167" t="s">
        <v>418</v>
      </c>
      <c r="C167" s="86" t="n">
        <v>2048</v>
      </c>
      <c r="D167" t="s">
        <v>244</v>
      </c>
      <c r="E167" s="87" t="n">
        <v>954056.825032778</v>
      </c>
      <c r="F167" s="88" t="n">
        <v>555274.787173331</v>
      </c>
      <c r="G167" s="89" t="n">
        <v>972752.000469153</v>
      </c>
      <c r="H167" s="90" t="n">
        <v>579456.858882308</v>
      </c>
      <c r="I167" s="91" t="str">
        <f>H167-F167</f>
      </c>
      <c r="J167" s="92" t="str">
        <f>G167-E167</f>
      </c>
    </row>
    <row r="168">
      <c r="A168" t="s">
        <v>254</v>
      </c>
      <c r="B168" t="s">
        <v>418</v>
      </c>
      <c r="C168" s="86" t="n">
        <v>2048</v>
      </c>
      <c r="D168" t="s">
        <v>248</v>
      </c>
      <c r="E168" s="87" t="n">
        <v>510738.475613881</v>
      </c>
      <c r="F168" s="88" t="n">
        <v>274678.763647665</v>
      </c>
      <c r="G168" s="89" t="n">
        <v>516145.438063223</v>
      </c>
      <c r="H168" s="90" t="n">
        <v>283909.318240972</v>
      </c>
      <c r="I168" s="91" t="str">
        <f>H168-F168</f>
      </c>
      <c r="J168" s="92" t="str">
        <f>G168-E168</f>
      </c>
    </row>
    <row r="169">
      <c r="A169" t="s">
        <v>254</v>
      </c>
      <c r="B169" t="s">
        <v>418</v>
      </c>
      <c r="C169" s="86" t="n">
        <v>2048</v>
      </c>
      <c r="D169" t="s">
        <v>421</v>
      </c>
      <c r="E169" s="87" t="n">
        <v>11567.6885044698</v>
      </c>
      <c r="F169" s="88" t="n">
        <v>1228.74362395326</v>
      </c>
      <c r="G169" s="89" t="n">
        <v>11567.4035703729</v>
      </c>
      <c r="H169" s="90" t="n">
        <v>1228.73261677247</v>
      </c>
      <c r="I169" s="91" t="str">
        <f>H169-F169</f>
      </c>
      <c r="J169" s="92" t="str">
        <f>G169-E169</f>
      </c>
    </row>
    <row r="170">
      <c r="A170" t="s">
        <v>254</v>
      </c>
      <c r="B170" t="s">
        <v>418</v>
      </c>
      <c r="C170" s="86" t="n">
        <v>2049</v>
      </c>
      <c r="D170" t="s">
        <v>419</v>
      </c>
      <c r="E170" s="87" t="n">
        <v>19465.2667182341</v>
      </c>
      <c r="F170" s="88" t="n">
        <v>12654.1358662635</v>
      </c>
      <c r="G170" s="89" t="n">
        <v>19265.9413357536</v>
      </c>
      <c r="H170" s="90" t="n">
        <v>12562.9700035081</v>
      </c>
      <c r="I170" s="91" t="str">
        <f>H170-F170</f>
      </c>
      <c r="J170" s="92" t="str">
        <f>G170-E170</f>
      </c>
    </row>
    <row r="171">
      <c r="A171" t="s">
        <v>254</v>
      </c>
      <c r="B171" t="s">
        <v>418</v>
      </c>
      <c r="C171" s="86" t="n">
        <v>2049</v>
      </c>
      <c r="D171" t="s">
        <v>224</v>
      </c>
      <c r="E171" s="87" t="n">
        <v>1138866.55675813</v>
      </c>
      <c r="F171" s="88" t="n">
        <v>245377.772276341</v>
      </c>
      <c r="G171" s="89" t="n">
        <v>1148955.60958046</v>
      </c>
      <c r="H171" s="90" t="n">
        <v>246024.454765088</v>
      </c>
      <c r="I171" s="91" t="str">
        <f>H171-F171</f>
      </c>
      <c r="J171" s="92" t="str">
        <f>G171-E171</f>
      </c>
    </row>
    <row r="172">
      <c r="A172" t="s">
        <v>254</v>
      </c>
      <c r="B172" t="s">
        <v>418</v>
      </c>
      <c r="C172" s="86" t="n">
        <v>2049</v>
      </c>
      <c r="D172" t="s">
        <v>420</v>
      </c>
      <c r="E172" s="87" t="n">
        <v>195758.118644679</v>
      </c>
      <c r="F172" s="88" t="n">
        <v>119490.150948239</v>
      </c>
      <c r="G172" s="89" t="n">
        <v>194292.055539498</v>
      </c>
      <c r="H172" s="90" t="n">
        <v>118827.584291328</v>
      </c>
      <c r="I172" s="91" t="str">
        <f>H172-F172</f>
      </c>
      <c r="J172" s="92" t="str">
        <f>G172-E172</f>
      </c>
    </row>
    <row r="173">
      <c r="A173" t="s">
        <v>254</v>
      </c>
      <c r="B173" t="s">
        <v>418</v>
      </c>
      <c r="C173" s="86" t="n">
        <v>2049</v>
      </c>
      <c r="D173" t="s">
        <v>235</v>
      </c>
      <c r="E173" s="87" t="n">
        <v>343968.261261181</v>
      </c>
      <c r="F173" s="88" t="n">
        <v>322143.444255366</v>
      </c>
      <c r="G173" s="89" t="n">
        <v>345031.334829118</v>
      </c>
      <c r="H173" s="90" t="n">
        <v>324116.922797206</v>
      </c>
      <c r="I173" s="91" t="str">
        <f>H173-F173</f>
      </c>
      <c r="J173" s="92" t="str">
        <f>G173-E173</f>
      </c>
    </row>
    <row r="174">
      <c r="A174" t="s">
        <v>254</v>
      </c>
      <c r="B174" t="s">
        <v>418</v>
      </c>
      <c r="C174" s="86" t="n">
        <v>2049</v>
      </c>
      <c r="D174" t="s">
        <v>244</v>
      </c>
      <c r="E174" s="87" t="n">
        <v>966795.057305835</v>
      </c>
      <c r="F174" s="88" t="n">
        <v>564830.738141926</v>
      </c>
      <c r="G174" s="89" t="n">
        <v>985505.206976823</v>
      </c>
      <c r="H174" s="90" t="n">
        <v>589228.445176563</v>
      </c>
      <c r="I174" s="91" t="str">
        <f>H174-F174</f>
      </c>
      <c r="J174" s="92" t="str">
        <f>G174-E174</f>
      </c>
    </row>
    <row r="175">
      <c r="A175" t="s">
        <v>254</v>
      </c>
      <c r="B175" t="s">
        <v>418</v>
      </c>
      <c r="C175" s="86" t="n">
        <v>2049</v>
      </c>
      <c r="D175" t="s">
        <v>248</v>
      </c>
      <c r="E175" s="87" t="n">
        <v>517151.222488391</v>
      </c>
      <c r="F175" s="88" t="n">
        <v>279965.342759023</v>
      </c>
      <c r="G175" s="89" t="n">
        <v>522492.200230248</v>
      </c>
      <c r="H175" s="90" t="n">
        <v>289249.089939416</v>
      </c>
      <c r="I175" s="91" t="str">
        <f>H175-F175</f>
      </c>
      <c r="J175" s="92" t="str">
        <f>G175-E175</f>
      </c>
    </row>
    <row r="176">
      <c r="A176" t="s">
        <v>254</v>
      </c>
      <c r="B176" t="s">
        <v>418</v>
      </c>
      <c r="C176" s="86" t="n">
        <v>2049</v>
      </c>
      <c r="D176" t="s">
        <v>421</v>
      </c>
      <c r="E176" s="87" t="n">
        <v>11514.8388507705</v>
      </c>
      <c r="F176" s="88" t="n">
        <v>1139.25344462381</v>
      </c>
      <c r="G176" s="89" t="n">
        <v>11514.5369642823</v>
      </c>
      <c r="H176" s="90" t="n">
        <v>1139.24175250417</v>
      </c>
      <c r="I176" s="91" t="str">
        <f>H176-F176</f>
      </c>
      <c r="J176" s="92" t="str">
        <f>G176-E176</f>
      </c>
    </row>
    <row r="177">
      <c r="A177" t="s">
        <v>254</v>
      </c>
      <c r="B177" t="s">
        <v>418</v>
      </c>
      <c r="C177" s="86" t="n">
        <v>2050</v>
      </c>
      <c r="D177" t="s">
        <v>419</v>
      </c>
      <c r="E177" s="87" t="n">
        <v>19863.4876337741</v>
      </c>
      <c r="F177" s="88" t="n">
        <v>12862.9063779411</v>
      </c>
      <c r="G177" s="89" t="n">
        <v>19651.774602414</v>
      </c>
      <c r="H177" s="90" t="n">
        <v>12764.9906286853</v>
      </c>
      <c r="I177" s="91" t="str">
        <f>H177-F177</f>
      </c>
      <c r="J177" s="92" t="str">
        <f>G177-E177</f>
      </c>
    </row>
    <row r="178">
      <c r="A178" t="s">
        <v>254</v>
      </c>
      <c r="B178" t="s">
        <v>418</v>
      </c>
      <c r="C178" s="86" t="n">
        <v>2050</v>
      </c>
      <c r="D178" t="s">
        <v>224</v>
      </c>
      <c r="E178" s="87" t="n">
        <v>1147398.44078391</v>
      </c>
      <c r="F178" s="88" t="n">
        <v>250488.882450744</v>
      </c>
      <c r="G178" s="89" t="n">
        <v>1157673.56667431</v>
      </c>
      <c r="H178" s="90" t="n">
        <v>251178.956267752</v>
      </c>
      <c r="I178" s="91" t="str">
        <f>H178-F178</f>
      </c>
      <c r="J178" s="92" t="str">
        <f>G178-E178</f>
      </c>
    </row>
    <row r="179">
      <c r="A179" t="s">
        <v>254</v>
      </c>
      <c r="B179" t="s">
        <v>418</v>
      </c>
      <c r="C179" s="86" t="n">
        <v>2050</v>
      </c>
      <c r="D179" t="s">
        <v>420</v>
      </c>
      <c r="E179" s="87" t="n">
        <v>198462.715701618</v>
      </c>
      <c r="F179" s="88" t="n">
        <v>121538.932292714</v>
      </c>
      <c r="G179" s="89" t="n">
        <v>196917.204625516</v>
      </c>
      <c r="H179" s="90" t="n">
        <v>120827.928759862</v>
      </c>
      <c r="I179" s="91" t="str">
        <f>H179-F179</f>
      </c>
      <c r="J179" s="92" t="str">
        <f>G179-E179</f>
      </c>
    </row>
    <row r="180">
      <c r="A180" t="s">
        <v>254</v>
      </c>
      <c r="B180" t="s">
        <v>418</v>
      </c>
      <c r="C180" s="86" t="n">
        <v>2050</v>
      </c>
      <c r="D180" t="s">
        <v>235</v>
      </c>
      <c r="E180" s="87" t="n">
        <v>345247.935319811</v>
      </c>
      <c r="F180" s="88" t="n">
        <v>323091.159417174</v>
      </c>
      <c r="G180" s="89" t="n">
        <v>346233.851249823</v>
      </c>
      <c r="H180" s="90" t="n">
        <v>324973.279226193</v>
      </c>
      <c r="I180" s="91" t="str">
        <f>H180-F180</f>
      </c>
      <c r="J180" s="92" t="str">
        <f>G180-E180</f>
      </c>
    </row>
    <row r="181">
      <c r="A181" t="s">
        <v>254</v>
      </c>
      <c r="B181" t="s">
        <v>418</v>
      </c>
      <c r="C181" s="86" t="n">
        <v>2050</v>
      </c>
      <c r="D181" t="s">
        <v>244</v>
      </c>
      <c r="E181" s="87" t="n">
        <v>978546.021019375</v>
      </c>
      <c r="F181" s="88" t="n">
        <v>574209.415863819</v>
      </c>
      <c r="G181" s="89" t="n">
        <v>997255.105001918</v>
      </c>
      <c r="H181" s="90" t="n">
        <v>598816.687069898</v>
      </c>
      <c r="I181" s="91" t="str">
        <f>H181-F181</f>
      </c>
      <c r="J181" s="92" t="str">
        <f>G181-E181</f>
      </c>
    </row>
    <row r="182">
      <c r="A182" t="s">
        <v>254</v>
      </c>
      <c r="B182" t="s">
        <v>418</v>
      </c>
      <c r="C182" s="86" t="n">
        <v>2050</v>
      </c>
      <c r="D182" t="s">
        <v>248</v>
      </c>
      <c r="E182" s="87" t="n">
        <v>522740.773674208</v>
      </c>
      <c r="F182" s="88" t="n">
        <v>285060.52095003</v>
      </c>
      <c r="G182" s="89" t="n">
        <v>528009.464128417</v>
      </c>
      <c r="H182" s="90" t="n">
        <v>294395.50759804</v>
      </c>
      <c r="I182" s="91" t="str">
        <f>H182-F182</f>
      </c>
      <c r="J182" s="92" t="str">
        <f>G182-E182</f>
      </c>
    </row>
    <row r="183">
      <c r="A183" t="s">
        <v>254</v>
      </c>
      <c r="B183" t="s">
        <v>418</v>
      </c>
      <c r="C183" s="86" t="n">
        <v>2050</v>
      </c>
      <c r="D183" t="s">
        <v>421</v>
      </c>
      <c r="E183" s="87" t="n">
        <v>11458.6523967416</v>
      </c>
      <c r="F183" s="88" t="n">
        <v>1051.12623756522</v>
      </c>
      <c r="G183" s="89" t="n">
        <v>11458.3317669049</v>
      </c>
      <c r="H183" s="90" t="n">
        <v>1051.113893317</v>
      </c>
      <c r="I183" s="91" t="str">
        <f>H183-F183</f>
      </c>
      <c r="J183" s="92" t="str">
        <f>G183-E183</f>
      </c>
    </row>
    <row r="184">
      <c r="A184" t="s">
        <v>219</v>
      </c>
      <c r="B184" t="s">
        <v>221</v>
      </c>
      <c r="C184" s="86" t="n">
        <v>2025</v>
      </c>
      <c r="D184" t="s">
        <v>419</v>
      </c>
      <c r="E184" s="87" t="n">
        <v>11293.8589534084</v>
      </c>
      <c r="F184" s="88" t="n">
        <v>8456.09110298006</v>
      </c>
      <c r="G184" s="89" t="n">
        <v>11293.858953409</v>
      </c>
      <c r="H184" s="90" t="n">
        <v>8456.09110298007</v>
      </c>
      <c r="I184" s="91" t="str">
        <f>H184-F184</f>
      </c>
      <c r="J184" s="92" t="str">
        <f>G184-E184</f>
      </c>
    </row>
    <row r="185">
      <c r="A185" t="s">
        <v>219</v>
      </c>
      <c r="B185" t="s">
        <v>221</v>
      </c>
      <c r="C185" s="86" t="n">
        <v>2025</v>
      </c>
      <c r="D185" t="s">
        <v>224</v>
      </c>
      <c r="E185" s="87" t="n">
        <v>796801.79248266</v>
      </c>
      <c r="F185" s="88" t="n">
        <v>124437.099676651</v>
      </c>
      <c r="G185" s="89" t="n">
        <v>796801.792482661</v>
      </c>
      <c r="H185" s="90" t="n">
        <v>124437.099676651</v>
      </c>
      <c r="I185" s="91" t="str">
        <f>H185-F185</f>
      </c>
      <c r="J185" s="92" t="str">
        <f>G185-E185</f>
      </c>
    </row>
    <row r="186">
      <c r="A186" t="s">
        <v>219</v>
      </c>
      <c r="B186" t="s">
        <v>221</v>
      </c>
      <c r="C186" s="86" t="n">
        <v>2025</v>
      </c>
      <c r="D186" t="s">
        <v>420</v>
      </c>
      <c r="E186" s="87" t="n">
        <v>110599.338170727</v>
      </c>
      <c r="F186" s="88" t="n">
        <v>70978.7980144996</v>
      </c>
      <c r="G186" s="89" t="n">
        <v>110599.338170727</v>
      </c>
      <c r="H186" s="90" t="n">
        <v>70978.7980144995</v>
      </c>
      <c r="I186" s="91" t="str">
        <f>H186-F186</f>
      </c>
      <c r="J186" s="92" t="str">
        <f>G186-E186</f>
      </c>
    </row>
    <row r="187">
      <c r="A187" t="s">
        <v>219</v>
      </c>
      <c r="B187" t="s">
        <v>221</v>
      </c>
      <c r="C187" s="86" t="n">
        <v>2025</v>
      </c>
      <c r="D187" t="s">
        <v>235</v>
      </c>
      <c r="E187" s="87" t="n">
        <v>269908.90899035</v>
      </c>
      <c r="F187" s="88" t="n">
        <v>250549.928104577</v>
      </c>
      <c r="G187" s="89" t="n">
        <v>269908.90899035</v>
      </c>
      <c r="H187" s="90" t="n">
        <v>250549.928104577</v>
      </c>
      <c r="I187" s="91" t="str">
        <f>H187-F187</f>
      </c>
      <c r="J187" s="92" t="str">
        <f>G187-E187</f>
      </c>
    </row>
    <row r="188">
      <c r="A188" t="s">
        <v>219</v>
      </c>
      <c r="B188" t="s">
        <v>221</v>
      </c>
      <c r="C188" s="86" t="n">
        <v>2025</v>
      </c>
      <c r="D188" t="s">
        <v>244</v>
      </c>
      <c r="E188" s="87" t="n">
        <v>605290.562665356</v>
      </c>
      <c r="F188" s="88" t="n">
        <v>336235.043603752</v>
      </c>
      <c r="G188" s="89" t="n">
        <v>605290.562665356</v>
      </c>
      <c r="H188" s="90" t="n">
        <v>336235.043603752</v>
      </c>
      <c r="I188" s="91" t="str">
        <f>H188-F188</f>
      </c>
      <c r="J188" s="92" t="str">
        <f>G188-E188</f>
      </c>
    </row>
    <row r="189">
      <c r="A189" t="s">
        <v>219</v>
      </c>
      <c r="B189" t="s">
        <v>221</v>
      </c>
      <c r="C189" s="86" t="n">
        <v>2025</v>
      </c>
      <c r="D189" t="s">
        <v>248</v>
      </c>
      <c r="E189" s="87" t="n">
        <v>328703.695708345</v>
      </c>
      <c r="F189" s="88" t="n">
        <v>165181.229862536</v>
      </c>
      <c r="G189" s="89" t="n">
        <v>328703.695708345</v>
      </c>
      <c r="H189" s="90" t="n">
        <v>165181.229862536</v>
      </c>
      <c r="I189" s="91" t="str">
        <f>H189-F189</f>
      </c>
      <c r="J189" s="92" t="str">
        <f>G189-E189</f>
      </c>
    </row>
    <row r="190">
      <c r="A190" t="s">
        <v>219</v>
      </c>
      <c r="B190" t="s">
        <v>221</v>
      </c>
      <c r="C190" s="86" t="n">
        <v>2025</v>
      </c>
      <c r="D190" t="s">
        <v>421</v>
      </c>
      <c r="E190" s="87" t="n">
        <v>12601.518831831</v>
      </c>
      <c r="F190" s="88" t="n">
        <v>3955.30711895499</v>
      </c>
      <c r="G190" s="89" t="n">
        <v>12601.5188318307</v>
      </c>
      <c r="H190" s="90" t="n">
        <v>3955.30711895499</v>
      </c>
      <c r="I190" s="91" t="str">
        <f>H190-F190</f>
      </c>
      <c r="J190" s="92" t="str">
        <f>G190-E190</f>
      </c>
    </row>
    <row r="191">
      <c r="A191" t="s">
        <v>219</v>
      </c>
      <c r="B191" t="s">
        <v>221</v>
      </c>
      <c r="C191" s="86" t="n">
        <v>2026</v>
      </c>
      <c r="D191" t="s">
        <v>419</v>
      </c>
      <c r="E191" s="87" t="n">
        <v>11413.9401907853</v>
      </c>
      <c r="F191" s="88" t="n">
        <v>8503.04883072895</v>
      </c>
      <c r="G191" s="89" t="n">
        <v>11413.9401907849</v>
      </c>
      <c r="H191" s="90" t="n">
        <v>8503.048830729</v>
      </c>
      <c r="I191" s="91" t="str">
        <f>H191-F191</f>
      </c>
      <c r="J191" s="92" t="str">
        <f>G191-E191</f>
      </c>
    </row>
    <row r="192">
      <c r="A192" t="s">
        <v>219</v>
      </c>
      <c r="B192" t="s">
        <v>221</v>
      </c>
      <c r="C192" s="86" t="n">
        <v>2026</v>
      </c>
      <c r="D192" t="s">
        <v>224</v>
      </c>
      <c r="E192" s="87" t="n">
        <v>813844.569716144</v>
      </c>
      <c r="F192" s="88" t="n">
        <v>128333.952745922</v>
      </c>
      <c r="G192" s="89" t="n">
        <v>813844.569716145</v>
      </c>
      <c r="H192" s="90" t="n">
        <v>128333.952745922</v>
      </c>
      <c r="I192" s="91" t="str">
        <f>H192-F192</f>
      </c>
      <c r="J192" s="92" t="str">
        <f>G192-E192</f>
      </c>
    </row>
    <row r="193">
      <c r="A193" t="s">
        <v>219</v>
      </c>
      <c r="B193" t="s">
        <v>221</v>
      </c>
      <c r="C193" s="86" t="n">
        <v>2026</v>
      </c>
      <c r="D193" t="s">
        <v>420</v>
      </c>
      <c r="E193" s="87" t="n">
        <v>113261.46718113</v>
      </c>
      <c r="F193" s="88" t="n">
        <v>72339.6884190734</v>
      </c>
      <c r="G193" s="89" t="n">
        <v>113261.467181129</v>
      </c>
      <c r="H193" s="90" t="n">
        <v>72339.6884190733</v>
      </c>
      <c r="I193" s="91" t="str">
        <f>H193-F193</f>
      </c>
      <c r="J193" s="92" t="str">
        <f>G193-E193</f>
      </c>
    </row>
    <row r="194">
      <c r="A194" t="s">
        <v>219</v>
      </c>
      <c r="B194" t="s">
        <v>221</v>
      </c>
      <c r="C194" s="86" t="n">
        <v>2026</v>
      </c>
      <c r="D194" t="s">
        <v>235</v>
      </c>
      <c r="E194" s="87" t="n">
        <v>274046.494319827</v>
      </c>
      <c r="F194" s="88" t="n">
        <v>254293.459364034</v>
      </c>
      <c r="G194" s="89" t="n">
        <v>274200.577929512</v>
      </c>
      <c r="H194" s="90" t="n">
        <v>254910.752627481</v>
      </c>
      <c r="I194" s="91" t="str">
        <f>H194-F194</f>
      </c>
      <c r="J194" s="92" t="str">
        <f>G194-E194</f>
      </c>
    </row>
    <row r="195">
      <c r="A195" t="s">
        <v>219</v>
      </c>
      <c r="B195" t="s">
        <v>221</v>
      </c>
      <c r="C195" s="86" t="n">
        <v>2026</v>
      </c>
      <c r="D195" t="s">
        <v>244</v>
      </c>
      <c r="E195" s="87" t="n">
        <v>619057.880405896</v>
      </c>
      <c r="F195" s="88" t="n">
        <v>343867.860550785</v>
      </c>
      <c r="G195" s="89" t="n">
        <v>620097.594779103</v>
      </c>
      <c r="H195" s="90" t="n">
        <v>344917.064339335</v>
      </c>
      <c r="I195" s="91" t="str">
        <f>H195-F195</f>
      </c>
      <c r="J195" s="92" t="str">
        <f>G195-E195</f>
      </c>
    </row>
    <row r="196">
      <c r="A196" t="s">
        <v>219</v>
      </c>
      <c r="B196" t="s">
        <v>221</v>
      </c>
      <c r="C196" s="86" t="n">
        <v>2026</v>
      </c>
      <c r="D196" t="s">
        <v>248</v>
      </c>
      <c r="E196" s="87" t="n">
        <v>335220.523071369</v>
      </c>
      <c r="F196" s="88" t="n">
        <v>167511.508453691</v>
      </c>
      <c r="G196" s="89" t="n">
        <v>335570.10792798</v>
      </c>
      <c r="H196" s="90" t="n">
        <v>167951.384337069</v>
      </c>
      <c r="I196" s="91" t="str">
        <f>H196-F196</f>
      </c>
      <c r="J196" s="92" t="str">
        <f>G196-E196</f>
      </c>
    </row>
    <row r="197">
      <c r="A197" t="s">
        <v>219</v>
      </c>
      <c r="B197" t="s">
        <v>221</v>
      </c>
      <c r="C197" s="86" t="n">
        <v>2026</v>
      </c>
      <c r="D197" t="s">
        <v>421</v>
      </c>
      <c r="E197" s="87" t="n">
        <v>12631.2009976531</v>
      </c>
      <c r="F197" s="88" t="n">
        <v>3824.41375844239</v>
      </c>
      <c r="G197" s="89" t="n">
        <v>12631.2009976529</v>
      </c>
      <c r="H197" s="90" t="n">
        <v>3824.41375844239</v>
      </c>
      <c r="I197" s="91" t="str">
        <f>H197-F197</f>
      </c>
      <c r="J197" s="92" t="str">
        <f>G197-E197</f>
      </c>
    </row>
    <row r="198">
      <c r="A198" t="s">
        <v>219</v>
      </c>
      <c r="B198" t="s">
        <v>221</v>
      </c>
      <c r="C198" s="86" t="n">
        <v>2027</v>
      </c>
      <c r="D198" t="s">
        <v>419</v>
      </c>
      <c r="E198" s="87" t="n">
        <v>11516.3337858233</v>
      </c>
      <c r="F198" s="88" t="n">
        <v>8579.03905337464</v>
      </c>
      <c r="G198" s="89" t="n">
        <v>11515.58910781</v>
      </c>
      <c r="H198" s="90" t="n">
        <v>8579.03905337462</v>
      </c>
      <c r="I198" s="91" t="str">
        <f>H198-F198</f>
      </c>
      <c r="J198" s="92" t="str">
        <f>G198-E198</f>
      </c>
    </row>
    <row r="199">
      <c r="A199" t="s">
        <v>219</v>
      </c>
      <c r="B199" t="s">
        <v>221</v>
      </c>
      <c r="C199" s="86" t="n">
        <v>2027</v>
      </c>
      <c r="D199" t="s">
        <v>224</v>
      </c>
      <c r="E199" s="87" t="n">
        <v>831695.053088517</v>
      </c>
      <c r="F199" s="88" t="n">
        <v>132462.188251167</v>
      </c>
      <c r="G199" s="89" t="n">
        <v>832166.906185925</v>
      </c>
      <c r="H199" s="90" t="n">
        <v>132462.188251167</v>
      </c>
      <c r="I199" s="91" t="str">
        <f>H199-F199</f>
      </c>
      <c r="J199" s="92" t="str">
        <f>G199-E199</f>
      </c>
    </row>
    <row r="200">
      <c r="A200" t="s">
        <v>219</v>
      </c>
      <c r="B200" t="s">
        <v>221</v>
      </c>
      <c r="C200" s="86" t="n">
        <v>2027</v>
      </c>
      <c r="D200" t="s">
        <v>420</v>
      </c>
      <c r="E200" s="87" t="n">
        <v>115938.354647287</v>
      </c>
      <c r="F200" s="88" t="n">
        <v>73859.9102925665</v>
      </c>
      <c r="G200" s="89" t="n">
        <v>115932.769375635</v>
      </c>
      <c r="H200" s="90" t="n">
        <v>73859.9102925664</v>
      </c>
      <c r="I200" s="91" t="str">
        <f>H200-F200</f>
      </c>
      <c r="J200" s="92" t="str">
        <f>G200-E200</f>
      </c>
    </row>
    <row r="201">
      <c r="A201" t="s">
        <v>219</v>
      </c>
      <c r="B201" t="s">
        <v>221</v>
      </c>
      <c r="C201" s="86" t="n">
        <v>2027</v>
      </c>
      <c r="D201" t="s">
        <v>235</v>
      </c>
      <c r="E201" s="87" t="n">
        <v>278204.900629567</v>
      </c>
      <c r="F201" s="88" t="n">
        <v>258211.078029174</v>
      </c>
      <c r="G201" s="89" t="n">
        <v>278508.667642155</v>
      </c>
      <c r="H201" s="90" t="n">
        <v>259318.038089282</v>
      </c>
      <c r="I201" s="91" t="str">
        <f>H201-F201</f>
      </c>
      <c r="J201" s="92" t="str">
        <f>G201-E201</f>
      </c>
    </row>
    <row r="202">
      <c r="A202" t="s">
        <v>219</v>
      </c>
      <c r="B202" t="s">
        <v>221</v>
      </c>
      <c r="C202" s="86" t="n">
        <v>2027</v>
      </c>
      <c r="D202" t="s">
        <v>244</v>
      </c>
      <c r="E202" s="87" t="n">
        <v>632991.506944276</v>
      </c>
      <c r="F202" s="88" t="n">
        <v>352043.363706477</v>
      </c>
      <c r="G202" s="89" t="n">
        <v>635095.671557741</v>
      </c>
      <c r="H202" s="90" t="n">
        <v>354171.544362645</v>
      </c>
      <c r="I202" s="91" t="str">
        <f>H202-F202</f>
      </c>
      <c r="J202" s="92" t="str">
        <f>G202-E202</f>
      </c>
    </row>
    <row r="203">
      <c r="A203" t="s">
        <v>219</v>
      </c>
      <c r="B203" t="s">
        <v>221</v>
      </c>
      <c r="C203" s="86" t="n">
        <v>2027</v>
      </c>
      <c r="D203" t="s">
        <v>248</v>
      </c>
      <c r="E203" s="87" t="n">
        <v>341792.59767169</v>
      </c>
      <c r="F203" s="88" t="n">
        <v>170373.014149233</v>
      </c>
      <c r="G203" s="89" t="n">
        <v>342492.405098957</v>
      </c>
      <c r="H203" s="90" t="n">
        <v>171237.362695819</v>
      </c>
      <c r="I203" s="91" t="str">
        <f>H203-F203</f>
      </c>
      <c r="J203" s="92" t="str">
        <f>G203-E203</f>
      </c>
    </row>
    <row r="204">
      <c r="A204" t="s">
        <v>219</v>
      </c>
      <c r="B204" t="s">
        <v>221</v>
      </c>
      <c r="C204" s="86" t="n">
        <v>2027</v>
      </c>
      <c r="D204" t="s">
        <v>421</v>
      </c>
      <c r="E204" s="87" t="n">
        <v>12629.8171250014</v>
      </c>
      <c r="F204" s="88" t="n">
        <v>3692.70803496508</v>
      </c>
      <c r="G204" s="89" t="n">
        <v>12629.8028477439</v>
      </c>
      <c r="H204" s="90" t="n">
        <v>3692.70803496508</v>
      </c>
      <c r="I204" s="91" t="str">
        <f>H204-F204</f>
      </c>
      <c r="J204" s="92" t="str">
        <f>G204-E204</f>
      </c>
    </row>
    <row r="205">
      <c r="A205" t="s">
        <v>219</v>
      </c>
      <c r="B205" t="s">
        <v>221</v>
      </c>
      <c r="C205" s="86" t="n">
        <v>2028</v>
      </c>
      <c r="D205" t="s">
        <v>419</v>
      </c>
      <c r="E205" s="87" t="n">
        <v>11831.5429107575</v>
      </c>
      <c r="F205" s="88" t="n">
        <v>8691.14240267538</v>
      </c>
      <c r="G205" s="89" t="n">
        <v>11829.3995552585</v>
      </c>
      <c r="H205" s="90" t="n">
        <v>8690.97079151088</v>
      </c>
      <c r="I205" s="91" t="str">
        <f>H205-F205</f>
      </c>
      <c r="J205" s="92" t="str">
        <f>G205-E205</f>
      </c>
    </row>
    <row r="206">
      <c r="A206" t="s">
        <v>219</v>
      </c>
      <c r="B206" t="s">
        <v>221</v>
      </c>
      <c r="C206" s="86" t="n">
        <v>2028</v>
      </c>
      <c r="D206" t="s">
        <v>224</v>
      </c>
      <c r="E206" s="87" t="n">
        <v>854033.557791212</v>
      </c>
      <c r="F206" s="88" t="n">
        <v>136767.588227691</v>
      </c>
      <c r="G206" s="89" t="n">
        <v>854958.476961541</v>
      </c>
      <c r="H206" s="90" t="n">
        <v>136770.52662348</v>
      </c>
      <c r="I206" s="91" t="str">
        <f>H206-F206</f>
      </c>
      <c r="J206" s="92" t="str">
        <f>G206-E206</f>
      </c>
    </row>
    <row r="207">
      <c r="A207" t="s">
        <v>219</v>
      </c>
      <c r="B207" t="s">
        <v>221</v>
      </c>
      <c r="C207" s="86" t="n">
        <v>2028</v>
      </c>
      <c r="D207" t="s">
        <v>420</v>
      </c>
      <c r="E207" s="87" t="n">
        <v>119700.76597254</v>
      </c>
      <c r="F207" s="88" t="n">
        <v>75546.0662192309</v>
      </c>
      <c r="G207" s="89" t="n">
        <v>119684.609316206</v>
      </c>
      <c r="H207" s="90" t="n">
        <v>75545.0868001112</v>
      </c>
      <c r="I207" s="91" t="str">
        <f>H207-F207</f>
      </c>
      <c r="J207" s="92" t="str">
        <f>G207-E207</f>
      </c>
    </row>
    <row r="208">
      <c r="A208" t="s">
        <v>219</v>
      </c>
      <c r="B208" t="s">
        <v>221</v>
      </c>
      <c r="C208" s="86" t="n">
        <v>2028</v>
      </c>
      <c r="D208" t="s">
        <v>235</v>
      </c>
      <c r="E208" s="87" t="n">
        <v>282758.351747154</v>
      </c>
      <c r="F208" s="88" t="n">
        <v>262227.23033667</v>
      </c>
      <c r="G208" s="89" t="n">
        <v>283208.63975277</v>
      </c>
      <c r="H208" s="90" t="n">
        <v>263753.748205613</v>
      </c>
      <c r="I208" s="91" t="str">
        <f>H208-F208</f>
      </c>
      <c r="J208" s="92" t="str">
        <f>G208-E208</f>
      </c>
    </row>
    <row r="209">
      <c r="A209" t="s">
        <v>219</v>
      </c>
      <c r="B209" t="s">
        <v>221</v>
      </c>
      <c r="C209" s="86" t="n">
        <v>2028</v>
      </c>
      <c r="D209" t="s">
        <v>244</v>
      </c>
      <c r="E209" s="87" t="n">
        <v>650985.620828568</v>
      </c>
      <c r="F209" s="88" t="n">
        <v>360701.546813251</v>
      </c>
      <c r="G209" s="89" t="n">
        <v>654200.049400957</v>
      </c>
      <c r="H209" s="90" t="n">
        <v>363945.253777133</v>
      </c>
      <c r="I209" s="91" t="str">
        <f>H209-F209</f>
      </c>
      <c r="J209" s="92" t="str">
        <f>G209-E209</f>
      </c>
    </row>
    <row r="210">
      <c r="A210" t="s">
        <v>219</v>
      </c>
      <c r="B210" t="s">
        <v>221</v>
      </c>
      <c r="C210" s="86" t="n">
        <v>2028</v>
      </c>
      <c r="D210" t="s">
        <v>248</v>
      </c>
      <c r="E210" s="87" t="n">
        <v>350686.122781412</v>
      </c>
      <c r="F210" s="88" t="n">
        <v>173947.010815301</v>
      </c>
      <c r="G210" s="89" t="n">
        <v>351745.983284134</v>
      </c>
      <c r="H210" s="90" t="n">
        <v>175235.344826664</v>
      </c>
      <c r="I210" s="91" t="str">
        <f>H210-F210</f>
      </c>
      <c r="J210" s="92" t="str">
        <f>G210-E210</f>
      </c>
    </row>
    <row r="211">
      <c r="A211" t="s">
        <v>219</v>
      </c>
      <c r="B211" t="s">
        <v>221</v>
      </c>
      <c r="C211" s="86" t="n">
        <v>2028</v>
      </c>
      <c r="D211" t="s">
        <v>421</v>
      </c>
      <c r="E211" s="87" t="n">
        <v>12493.573651319</v>
      </c>
      <c r="F211" s="88" t="n">
        <v>3559.53839360894</v>
      </c>
      <c r="G211" s="89" t="n">
        <v>12493.5410814872</v>
      </c>
      <c r="H211" s="90" t="n">
        <v>3559.53799626408</v>
      </c>
      <c r="I211" s="91" t="str">
        <f>H211-F211</f>
      </c>
      <c r="J211" s="92" t="str">
        <f>G211-E211</f>
      </c>
    </row>
    <row r="212">
      <c r="A212" t="s">
        <v>219</v>
      </c>
      <c r="B212" t="s">
        <v>221</v>
      </c>
      <c r="C212" s="86" t="n">
        <v>2029</v>
      </c>
      <c r="D212" t="s">
        <v>419</v>
      </c>
      <c r="E212" s="87" t="n">
        <v>12024.3426099924</v>
      </c>
      <c r="F212" s="88" t="n">
        <v>8820.97610859902</v>
      </c>
      <c r="G212" s="89" t="n">
        <v>12020.2428783132</v>
      </c>
      <c r="H212" s="90" t="n">
        <v>8820.39462668691</v>
      </c>
      <c r="I212" s="91" t="str">
        <f>H212-F212</f>
      </c>
      <c r="J212" s="92" t="str">
        <f>G212-E212</f>
      </c>
    </row>
    <row r="213">
      <c r="A213" t="s">
        <v>219</v>
      </c>
      <c r="B213" t="s">
        <v>221</v>
      </c>
      <c r="C213" s="86" t="n">
        <v>2029</v>
      </c>
      <c r="D213" t="s">
        <v>224</v>
      </c>
      <c r="E213" s="87" t="n">
        <v>870772.346563504</v>
      </c>
      <c r="F213" s="88" t="n">
        <v>141410.782567741</v>
      </c>
      <c r="G213" s="89" t="n">
        <v>872122.58793486</v>
      </c>
      <c r="H213" s="90" t="n">
        <v>141419.192572278</v>
      </c>
      <c r="I213" s="91" t="str">
        <f>H213-F213</f>
      </c>
      <c r="J213" s="92" t="str">
        <f>G213-E213</f>
      </c>
    </row>
    <row r="214">
      <c r="A214" t="s">
        <v>219</v>
      </c>
      <c r="B214" t="s">
        <v>221</v>
      </c>
      <c r="C214" s="86" t="n">
        <v>2029</v>
      </c>
      <c r="D214" t="s">
        <v>420</v>
      </c>
      <c r="E214" s="87" t="n">
        <v>122733.314336439</v>
      </c>
      <c r="F214" s="88" t="n">
        <v>77386.7248050689</v>
      </c>
      <c r="G214" s="89" t="n">
        <v>122702.091699448</v>
      </c>
      <c r="H214" s="90" t="n">
        <v>77383.2509010991</v>
      </c>
      <c r="I214" s="91" t="str">
        <f>H214-F214</f>
      </c>
      <c r="J214" s="92" t="str">
        <f>G214-E214</f>
      </c>
    </row>
    <row r="215">
      <c r="A215" t="s">
        <v>219</v>
      </c>
      <c r="B215" t="s">
        <v>221</v>
      </c>
      <c r="C215" s="86" t="n">
        <v>2029</v>
      </c>
      <c r="D215" t="s">
        <v>235</v>
      </c>
      <c r="E215" s="87" t="n">
        <v>287183.100634817</v>
      </c>
      <c r="F215" s="88" t="n">
        <v>266439.692575127</v>
      </c>
      <c r="G215" s="89" t="n">
        <v>287809.159991119</v>
      </c>
      <c r="H215" s="90" t="n">
        <v>268469.018676722</v>
      </c>
      <c r="I215" s="91" t="str">
        <f>H215-F215</f>
      </c>
      <c r="J215" s="92" t="str">
        <f>G215-E215</f>
      </c>
    </row>
    <row r="216">
      <c r="A216" t="s">
        <v>219</v>
      </c>
      <c r="B216" t="s">
        <v>221</v>
      </c>
      <c r="C216" s="86" t="n">
        <v>2029</v>
      </c>
      <c r="D216" t="s">
        <v>244</v>
      </c>
      <c r="E216" s="87" t="n">
        <v>665487.875821825</v>
      </c>
      <c r="F216" s="88" t="n">
        <v>369845.380947695</v>
      </c>
      <c r="G216" s="89" t="n">
        <v>670042.029002105</v>
      </c>
      <c r="H216" s="90" t="n">
        <v>374519.264871248</v>
      </c>
      <c r="I216" s="91" t="str">
        <f>H216-F216</f>
      </c>
      <c r="J216" s="92" t="str">
        <f>G216-E216</f>
      </c>
    </row>
    <row r="217">
      <c r="A217" t="s">
        <v>219</v>
      </c>
      <c r="B217" t="s">
        <v>221</v>
      </c>
      <c r="C217" s="86" t="n">
        <v>2029</v>
      </c>
      <c r="D217" t="s">
        <v>248</v>
      </c>
      <c r="E217" s="87" t="n">
        <v>357987.913896189</v>
      </c>
      <c r="F217" s="88" t="n">
        <v>177727.467350326</v>
      </c>
      <c r="G217" s="89" t="n">
        <v>359486.672358836</v>
      </c>
      <c r="H217" s="90" t="n">
        <v>179568.517960818</v>
      </c>
      <c r="I217" s="91" t="str">
        <f>H217-F217</f>
      </c>
      <c r="J217" s="92" t="str">
        <f>G217-E217</f>
      </c>
    </row>
    <row r="218">
      <c r="A218" t="s">
        <v>219</v>
      </c>
      <c r="B218" t="s">
        <v>221</v>
      </c>
      <c r="C218" s="86" t="n">
        <v>2029</v>
      </c>
      <c r="D218" t="s">
        <v>421</v>
      </c>
      <c r="E218" s="87" t="n">
        <v>12505.3472837558</v>
      </c>
      <c r="F218" s="88" t="n">
        <v>3430.77228171902</v>
      </c>
      <c r="G218" s="89" t="n">
        <v>12505.2897091232</v>
      </c>
      <c r="H218" s="90" t="n">
        <v>3430.77105367489</v>
      </c>
      <c r="I218" s="91" t="str">
        <f>H218-F218</f>
      </c>
      <c r="J218" s="92" t="str">
        <f>G218-E218</f>
      </c>
    </row>
    <row r="219">
      <c r="A219" t="s">
        <v>219</v>
      </c>
      <c r="B219" t="s">
        <v>221</v>
      </c>
      <c r="C219" s="86" t="n">
        <v>2030</v>
      </c>
      <c r="D219" t="s">
        <v>419</v>
      </c>
      <c r="E219" s="87" t="n">
        <v>12281.1019430151</v>
      </c>
      <c r="F219" s="88" t="n">
        <v>8966.85487514492</v>
      </c>
      <c r="G219" s="89" t="n">
        <v>12274.2647344434</v>
      </c>
      <c r="H219" s="90" t="n">
        <v>8965.59723882955</v>
      </c>
      <c r="I219" s="91" t="str">
        <f>H219-F219</f>
      </c>
      <c r="J219" s="92" t="str">
        <f>G219-E219</f>
      </c>
    </row>
    <row r="220">
      <c r="A220" t="s">
        <v>219</v>
      </c>
      <c r="B220" t="s">
        <v>221</v>
      </c>
      <c r="C220" s="86" t="n">
        <v>2030</v>
      </c>
      <c r="D220" t="s">
        <v>224</v>
      </c>
      <c r="E220" s="87" t="n">
        <v>886902.97180004</v>
      </c>
      <c r="F220" s="88" t="n">
        <v>146239.976290743</v>
      </c>
      <c r="G220" s="89" t="n">
        <v>888648.849091124</v>
      </c>
      <c r="H220" s="90" t="n">
        <v>146256.073838529</v>
      </c>
      <c r="I220" s="91" t="str">
        <f>H220-F220</f>
      </c>
      <c r="J220" s="92" t="str">
        <f>G220-E220</f>
      </c>
    </row>
    <row r="221">
      <c r="A221" t="s">
        <v>219</v>
      </c>
      <c r="B221" t="s">
        <v>221</v>
      </c>
      <c r="C221" s="86" t="n">
        <v>2030</v>
      </c>
      <c r="D221" t="s">
        <v>420</v>
      </c>
      <c r="E221" s="87" t="n">
        <v>126153.030318046</v>
      </c>
      <c r="F221" s="88" t="n">
        <v>79342.5937909381</v>
      </c>
      <c r="G221" s="89" t="n">
        <v>126100.520404265</v>
      </c>
      <c r="H221" s="90" t="n">
        <v>79334.7983616028</v>
      </c>
      <c r="I221" s="91" t="str">
        <f>H221-F221</f>
      </c>
      <c r="J221" s="92" t="str">
        <f>G221-E221</f>
      </c>
    </row>
    <row r="222">
      <c r="A222" t="s">
        <v>219</v>
      </c>
      <c r="B222" t="s">
        <v>221</v>
      </c>
      <c r="C222" s="86" t="n">
        <v>2030</v>
      </c>
      <c r="D222" t="s">
        <v>235</v>
      </c>
      <c r="E222" s="87" t="n">
        <v>291489.120027897</v>
      </c>
      <c r="F222" s="88" t="n">
        <v>270696.851796417</v>
      </c>
      <c r="G222" s="89" t="n">
        <v>292286.017029858</v>
      </c>
      <c r="H222" s="90" t="n">
        <v>273157.810650434</v>
      </c>
      <c r="I222" s="91" t="str">
        <f>H222-F222</f>
      </c>
      <c r="J222" s="92" t="str">
        <f>G222-E222</f>
      </c>
    </row>
    <row r="223">
      <c r="A223" t="s">
        <v>219</v>
      </c>
      <c r="B223" t="s">
        <v>221</v>
      </c>
      <c r="C223" s="86" t="n">
        <v>2030</v>
      </c>
      <c r="D223" t="s">
        <v>244</v>
      </c>
      <c r="E223" s="87" t="n">
        <v>680599.292897129</v>
      </c>
      <c r="F223" s="88" t="n">
        <v>379257.25118046</v>
      </c>
      <c r="G223" s="89" t="n">
        <v>686528.816871955</v>
      </c>
      <c r="H223" s="90" t="n">
        <v>385417.279419066</v>
      </c>
      <c r="I223" s="91" t="str">
        <f>H223-F223</f>
      </c>
      <c r="J223" s="92" t="str">
        <f>G223-E223</f>
      </c>
    </row>
    <row r="224">
      <c r="A224" t="s">
        <v>219</v>
      </c>
      <c r="B224" t="s">
        <v>221</v>
      </c>
      <c r="C224" s="86" t="n">
        <v>2030</v>
      </c>
      <c r="D224" t="s">
        <v>248</v>
      </c>
      <c r="E224" s="87" t="n">
        <v>366011.23575209</v>
      </c>
      <c r="F224" s="88" t="n">
        <v>181973.862139616</v>
      </c>
      <c r="G224" s="89" t="n">
        <v>367955.05484547</v>
      </c>
      <c r="H224" s="90" t="n">
        <v>184377.512558869</v>
      </c>
      <c r="I224" s="91" t="str">
        <f>H224-F224</f>
      </c>
      <c r="J224" s="92" t="str">
        <f>G224-E224</f>
      </c>
    </row>
    <row r="225">
      <c r="A225" t="s">
        <v>219</v>
      </c>
      <c r="B225" t="s">
        <v>221</v>
      </c>
      <c r="C225" s="86" t="n">
        <v>2030</v>
      </c>
      <c r="D225" t="s">
        <v>421</v>
      </c>
      <c r="E225" s="87" t="n">
        <v>12655.3598480129</v>
      </c>
      <c r="F225" s="88" t="n">
        <v>3301.14903864987</v>
      </c>
      <c r="G225" s="89" t="n">
        <v>12655.2774901684</v>
      </c>
      <c r="H225" s="90" t="n">
        <v>3301.14666213427</v>
      </c>
      <c r="I225" s="91" t="str">
        <f>H225-F225</f>
      </c>
      <c r="J225" s="92" t="str">
        <f>G225-E225</f>
      </c>
    </row>
    <row r="226">
      <c r="A226" t="s">
        <v>219</v>
      </c>
      <c r="B226" t="s">
        <v>221</v>
      </c>
      <c r="C226" s="86" t="n">
        <v>2031</v>
      </c>
      <c r="D226" t="s">
        <v>419</v>
      </c>
      <c r="E226" s="87" t="n">
        <v>12516.911930689</v>
      </c>
      <c r="F226" s="88" t="n">
        <v>9116.74280875665</v>
      </c>
      <c r="G226" s="89" t="n">
        <v>12506.5880665311</v>
      </c>
      <c r="H226" s="90" t="n">
        <v>9114.48302310478</v>
      </c>
      <c r="I226" s="91" t="str">
        <f>H226-F226</f>
      </c>
      <c r="J226" s="92" t="str">
        <f>G226-E226</f>
      </c>
    </row>
    <row r="227">
      <c r="A227" t="s">
        <v>219</v>
      </c>
      <c r="B227" t="s">
        <v>221</v>
      </c>
      <c r="C227" s="86" t="n">
        <v>2031</v>
      </c>
      <c r="D227" t="s">
        <v>224</v>
      </c>
      <c r="E227" s="87" t="n">
        <v>903585.401562249</v>
      </c>
      <c r="F227" s="88" t="n">
        <v>150991.693869706</v>
      </c>
      <c r="G227" s="89" t="n">
        <v>905698.50533388</v>
      </c>
      <c r="H227" s="90" t="n">
        <v>151017.314585235</v>
      </c>
      <c r="I227" s="91" t="str">
        <f>H227-F227</f>
      </c>
      <c r="J227" s="92" t="str">
        <f>G227-E227</f>
      </c>
    </row>
    <row r="228">
      <c r="A228" t="s">
        <v>219</v>
      </c>
      <c r="B228" t="s">
        <v>221</v>
      </c>
      <c r="C228" s="86" t="n">
        <v>2031</v>
      </c>
      <c r="D228" t="s">
        <v>420</v>
      </c>
      <c r="E228" s="87" t="n">
        <v>129417.043422958</v>
      </c>
      <c r="F228" s="88" t="n">
        <v>81235.641718473</v>
      </c>
      <c r="G228" s="89" t="n">
        <v>129337.020613882</v>
      </c>
      <c r="H228" s="90" t="n">
        <v>81221.2142709578</v>
      </c>
      <c r="I228" s="91" t="str">
        <f>H228-F228</f>
      </c>
      <c r="J228" s="92" t="str">
        <f>G228-E228</f>
      </c>
    </row>
    <row r="229">
      <c r="A229" t="s">
        <v>219</v>
      </c>
      <c r="B229" t="s">
        <v>221</v>
      </c>
      <c r="C229" s="86" t="n">
        <v>2031</v>
      </c>
      <c r="D229" t="s">
        <v>235</v>
      </c>
      <c r="E229" s="87" t="n">
        <v>295638.479343571</v>
      </c>
      <c r="F229" s="88" t="n">
        <v>275218.181962146</v>
      </c>
      <c r="G229" s="89" t="n">
        <v>296437.738378722</v>
      </c>
      <c r="H229" s="90" t="n">
        <v>277404.152195349</v>
      </c>
      <c r="I229" s="91" t="str">
        <f>H229-F229</f>
      </c>
      <c r="J229" s="92" t="str">
        <f>G229-E229</f>
      </c>
    </row>
    <row r="230">
      <c r="A230" t="s">
        <v>219</v>
      </c>
      <c r="B230" t="s">
        <v>221</v>
      </c>
      <c r="C230" s="86" t="n">
        <v>2031</v>
      </c>
      <c r="D230" t="s">
        <v>244</v>
      </c>
      <c r="E230" s="87" t="n">
        <v>696370.245385246</v>
      </c>
      <c r="F230" s="88" t="n">
        <v>389567.559722818</v>
      </c>
      <c r="G230" s="89" t="n">
        <v>702548.134334822</v>
      </c>
      <c r="H230" s="90" t="n">
        <v>396078.261698986</v>
      </c>
      <c r="I230" s="91" t="str">
        <f>H230-F230</f>
      </c>
      <c r="J230" s="92" t="str">
        <f>G230-E230</f>
      </c>
    </row>
    <row r="231">
      <c r="A231" t="s">
        <v>219</v>
      </c>
      <c r="B231" t="s">
        <v>221</v>
      </c>
      <c r="C231" s="86" t="n">
        <v>2031</v>
      </c>
      <c r="D231" t="s">
        <v>248</v>
      </c>
      <c r="E231" s="87" t="n">
        <v>374023.313260771</v>
      </c>
      <c r="F231" s="88" t="n">
        <v>186667.071877845</v>
      </c>
      <c r="G231" s="89" t="n">
        <v>376026.788964657</v>
      </c>
      <c r="H231" s="90" t="n">
        <v>189147.352294789</v>
      </c>
      <c r="I231" s="91" t="str">
        <f>H231-F231</f>
      </c>
      <c r="J231" s="92" t="str">
        <f>G231-E231</f>
      </c>
    </row>
    <row r="232">
      <c r="A232" t="s">
        <v>219</v>
      </c>
      <c r="B232" t="s">
        <v>221</v>
      </c>
      <c r="C232" s="86" t="n">
        <v>2031</v>
      </c>
      <c r="D232" t="s">
        <v>421</v>
      </c>
      <c r="E232" s="87" t="n">
        <v>12740.7463381475</v>
      </c>
      <c r="F232" s="88" t="n">
        <v>3174.86677583133</v>
      </c>
      <c r="G232" s="89" t="n">
        <v>12740.6278729228</v>
      </c>
      <c r="H232" s="90" t="n">
        <v>3174.86317276916</v>
      </c>
      <c r="I232" s="91" t="str">
        <f>H232-F232</f>
      </c>
      <c r="J232" s="92" t="str">
        <f>G232-E232</f>
      </c>
    </row>
    <row r="233">
      <c r="A233" t="s">
        <v>219</v>
      </c>
      <c r="B233" t="s">
        <v>221</v>
      </c>
      <c r="C233" s="86" t="n">
        <v>2032</v>
      </c>
      <c r="D233" t="s">
        <v>419</v>
      </c>
      <c r="E233" s="87" t="n">
        <v>12757.5871425996</v>
      </c>
      <c r="F233" s="88" t="n">
        <v>9271.53204327376</v>
      </c>
      <c r="G233" s="89" t="n">
        <v>12743.8944071303</v>
      </c>
      <c r="H233" s="90" t="n">
        <v>9267.91175287106</v>
      </c>
      <c r="I233" s="91" t="str">
        <f>H233-F233</f>
      </c>
      <c r="J233" s="92" t="str">
        <f>G233-E233</f>
      </c>
    </row>
    <row r="234">
      <c r="A234" t="s">
        <v>219</v>
      </c>
      <c r="B234" t="s">
        <v>221</v>
      </c>
      <c r="C234" s="86" t="n">
        <v>2032</v>
      </c>
      <c r="D234" t="s">
        <v>224</v>
      </c>
      <c r="E234" s="87" t="n">
        <v>921313.075339488</v>
      </c>
      <c r="F234" s="88" t="n">
        <v>155878.112753085</v>
      </c>
      <c r="G234" s="89" t="n">
        <v>923778.433647484</v>
      </c>
      <c r="H234" s="90" t="n">
        <v>155914.890344467</v>
      </c>
      <c r="I234" s="91" t="str">
        <f>H234-F234</f>
      </c>
      <c r="J234" s="92" t="str">
        <f>G234-E234</f>
      </c>
    </row>
    <row r="235">
      <c r="A235" t="s">
        <v>219</v>
      </c>
      <c r="B235" t="s">
        <v>221</v>
      </c>
      <c r="C235" s="86" t="n">
        <v>2032</v>
      </c>
      <c r="D235" t="s">
        <v>420</v>
      </c>
      <c r="E235" s="87" t="n">
        <v>132673.421567501</v>
      </c>
      <c r="F235" s="88" t="n">
        <v>83187.8024079853</v>
      </c>
      <c r="G235" s="89" t="n">
        <v>132566.317868369</v>
      </c>
      <c r="H235" s="90" t="n">
        <v>83164.0959360433</v>
      </c>
      <c r="I235" s="91" t="str">
        <f>H235-F235</f>
      </c>
      <c r="J235" s="92" t="str">
        <f>G235-E235</f>
      </c>
    </row>
    <row r="236">
      <c r="A236" t="s">
        <v>219</v>
      </c>
      <c r="B236" t="s">
        <v>221</v>
      </c>
      <c r="C236" s="86" t="n">
        <v>2032</v>
      </c>
      <c r="D236" t="s">
        <v>235</v>
      </c>
      <c r="E236" s="87" t="n">
        <v>299702.273158454</v>
      </c>
      <c r="F236" s="88" t="n">
        <v>279469.184467094</v>
      </c>
      <c r="G236" s="89" t="n">
        <v>300504.550336341</v>
      </c>
      <c r="H236" s="90" t="n">
        <v>281488.739628123</v>
      </c>
      <c r="I236" s="91" t="str">
        <f>H236-F236</f>
      </c>
      <c r="J236" s="92" t="str">
        <f>G236-E236</f>
      </c>
    </row>
    <row r="237">
      <c r="A237" t="s">
        <v>219</v>
      </c>
      <c r="B237" t="s">
        <v>221</v>
      </c>
      <c r="C237" s="86" t="n">
        <v>2032</v>
      </c>
      <c r="D237" t="s">
        <v>244</v>
      </c>
      <c r="E237" s="87" t="n">
        <v>712727.532375908</v>
      </c>
      <c r="F237" s="88" t="n">
        <v>400023.193654064</v>
      </c>
      <c r="G237" s="89" t="n">
        <v>719168.67859234</v>
      </c>
      <c r="H237" s="90" t="n">
        <v>406904.282877455</v>
      </c>
      <c r="I237" s="91" t="str">
        <f>H237-F237</f>
      </c>
      <c r="J237" s="92" t="str">
        <f>G237-E237</f>
      </c>
    </row>
    <row r="238">
      <c r="A238" t="s">
        <v>219</v>
      </c>
      <c r="B238" t="s">
        <v>221</v>
      </c>
      <c r="C238" s="86" t="n">
        <v>2032</v>
      </c>
      <c r="D238" t="s">
        <v>248</v>
      </c>
      <c r="E238" s="87" t="n">
        <v>382539.709761957</v>
      </c>
      <c r="F238" s="88" t="n">
        <v>191611.150521555</v>
      </c>
      <c r="G238" s="89" t="n">
        <v>384609.051353766</v>
      </c>
      <c r="H238" s="90" t="n">
        <v>194193.38475982</v>
      </c>
      <c r="I238" s="91" t="str">
        <f>H238-F238</f>
      </c>
      <c r="J238" s="92" t="str">
        <f>G238-E238</f>
      </c>
    </row>
    <row r="239">
      <c r="A239" t="s">
        <v>219</v>
      </c>
      <c r="B239" t="s">
        <v>221</v>
      </c>
      <c r="C239" s="86" t="n">
        <v>2032</v>
      </c>
      <c r="D239" t="s">
        <v>421</v>
      </c>
      <c r="E239" s="87" t="n">
        <v>12856.0854664186</v>
      </c>
      <c r="F239" s="88" t="n">
        <v>3046.52530829781</v>
      </c>
      <c r="G239" s="89" t="n">
        <v>12855.9427389859</v>
      </c>
      <c r="H239" s="90" t="n">
        <v>3046.52022706146</v>
      </c>
      <c r="I239" s="91" t="str">
        <f>H239-F239</f>
      </c>
      <c r="J239" s="92" t="str">
        <f>G239-E239</f>
      </c>
    </row>
    <row r="240">
      <c r="A240" t="s">
        <v>219</v>
      </c>
      <c r="B240" t="s">
        <v>221</v>
      </c>
      <c r="C240" s="86" t="n">
        <v>2033</v>
      </c>
      <c r="D240" t="s">
        <v>419</v>
      </c>
      <c r="E240" s="87" t="n">
        <v>13163.8336978895</v>
      </c>
      <c r="F240" s="88" t="n">
        <v>9442.69614093924</v>
      </c>
      <c r="G240" s="89" t="n">
        <v>13146.3513901505</v>
      </c>
      <c r="H240" s="90" t="n">
        <v>9437.49521839436</v>
      </c>
      <c r="I240" s="91" t="str">
        <f>H240-F240</f>
      </c>
      <c r="J240" s="92" t="str">
        <f>G240-E240</f>
      </c>
    </row>
    <row r="241">
      <c r="A241" t="s">
        <v>219</v>
      </c>
      <c r="B241" t="s">
        <v>221</v>
      </c>
      <c r="C241" s="86" t="n">
        <v>2033</v>
      </c>
      <c r="D241" t="s">
        <v>224</v>
      </c>
      <c r="E241" s="87" t="n">
        <v>941705.46415599</v>
      </c>
      <c r="F241" s="88" t="n">
        <v>160771.828012637</v>
      </c>
      <c r="G241" s="89" t="n">
        <v>944521.71811111</v>
      </c>
      <c r="H241" s="90" t="n">
        <v>160821.219639763</v>
      </c>
      <c r="I241" s="91" t="str">
        <f>H241-F241</f>
      </c>
      <c r="J241" s="92" t="str">
        <f>G241-E241</f>
      </c>
    </row>
    <row r="242">
      <c r="A242" t="s">
        <v>219</v>
      </c>
      <c r="B242" t="s">
        <v>221</v>
      </c>
      <c r="C242" s="86" t="n">
        <v>2033</v>
      </c>
      <c r="D242" t="s">
        <v>420</v>
      </c>
      <c r="E242" s="87" t="n">
        <v>136843.308850965</v>
      </c>
      <c r="F242" s="88" t="n">
        <v>85174.8388427423</v>
      </c>
      <c r="G242" s="89" t="n">
        <v>136707.716312745</v>
      </c>
      <c r="H242" s="90" t="n">
        <v>85140.0559210379</v>
      </c>
      <c r="I242" s="91" t="str">
        <f>H242-F242</f>
      </c>
      <c r="J242" s="92" t="str">
        <f>G242-E242</f>
      </c>
    </row>
    <row r="243">
      <c r="A243" t="s">
        <v>219</v>
      </c>
      <c r="B243" t="s">
        <v>221</v>
      </c>
      <c r="C243" s="86" t="n">
        <v>2033</v>
      </c>
      <c r="D243" t="s">
        <v>235</v>
      </c>
      <c r="E243" s="87" t="n">
        <v>303663.252958851</v>
      </c>
      <c r="F243" s="88" t="n">
        <v>283395.314746923</v>
      </c>
      <c r="G243" s="89" t="n">
        <v>304468.286850227</v>
      </c>
      <c r="H243" s="90" t="n">
        <v>285297.748513227</v>
      </c>
      <c r="I243" s="91" t="str">
        <f>H243-F243</f>
      </c>
      <c r="J243" s="92" t="str">
        <f>G243-E243</f>
      </c>
    </row>
    <row r="244">
      <c r="A244" t="s">
        <v>219</v>
      </c>
      <c r="B244" t="s">
        <v>221</v>
      </c>
      <c r="C244" s="86" t="n">
        <v>2033</v>
      </c>
      <c r="D244" t="s">
        <v>244</v>
      </c>
      <c r="E244" s="87" t="n">
        <v>731660.514706287</v>
      </c>
      <c r="F244" s="88" t="n">
        <v>410327.511971836</v>
      </c>
      <c r="G244" s="89" t="n">
        <v>738395.913710054</v>
      </c>
      <c r="H244" s="90" t="n">
        <v>417591.194273361</v>
      </c>
      <c r="I244" s="91" t="str">
        <f>H244-F244</f>
      </c>
      <c r="J244" s="92" t="str">
        <f>G244-E244</f>
      </c>
    </row>
    <row r="245">
      <c r="A245" t="s">
        <v>219</v>
      </c>
      <c r="B245" t="s">
        <v>221</v>
      </c>
      <c r="C245" s="86" t="n">
        <v>2033</v>
      </c>
      <c r="D245" t="s">
        <v>248</v>
      </c>
      <c r="E245" s="87" t="n">
        <v>392012.454622188</v>
      </c>
      <c r="F245" s="88" t="n">
        <v>196609.826745559</v>
      </c>
      <c r="G245" s="89" t="n">
        <v>394159.184915109</v>
      </c>
      <c r="H245" s="90" t="n">
        <v>199311.530364044</v>
      </c>
      <c r="I245" s="91" t="str">
        <f>H245-F245</f>
      </c>
      <c r="J245" s="92" t="str">
        <f>G245-E245</f>
      </c>
    </row>
    <row r="246">
      <c r="A246" t="s">
        <v>219</v>
      </c>
      <c r="B246" t="s">
        <v>221</v>
      </c>
      <c r="C246" s="86" t="n">
        <v>2033</v>
      </c>
      <c r="D246" t="s">
        <v>421</v>
      </c>
      <c r="E246" s="87" t="n">
        <v>12780.8831561755</v>
      </c>
      <c r="F246" s="88" t="n">
        <v>2919.80095813922</v>
      </c>
      <c r="G246" s="89" t="n">
        <v>12780.7417922516</v>
      </c>
      <c r="H246" s="90" t="n">
        <v>2919.79454897481</v>
      </c>
      <c r="I246" s="91" t="str">
        <f>H246-F246</f>
      </c>
      <c r="J246" s="92" t="str">
        <f>G246-E246</f>
      </c>
    </row>
    <row r="247">
      <c r="A247" t="s">
        <v>219</v>
      </c>
      <c r="B247" t="s">
        <v>221</v>
      </c>
      <c r="C247" s="86" t="n">
        <v>2034</v>
      </c>
      <c r="D247" t="s">
        <v>419</v>
      </c>
      <c r="E247" s="87" t="n">
        <v>13417.2924152622</v>
      </c>
      <c r="F247" s="88" t="n">
        <v>9617.73127153847</v>
      </c>
      <c r="G247" s="89" t="n">
        <v>13396.3770662857</v>
      </c>
      <c r="H247" s="90" t="n">
        <v>9610.78717894584</v>
      </c>
      <c r="I247" s="91" t="str">
        <f>H247-F247</f>
      </c>
      <c r="J247" s="92" t="str">
        <f>G247-E247</f>
      </c>
    </row>
    <row r="248">
      <c r="A248" t="s">
        <v>219</v>
      </c>
      <c r="B248" t="s">
        <v>221</v>
      </c>
      <c r="C248" s="86" t="n">
        <v>2034</v>
      </c>
      <c r="D248" t="s">
        <v>224</v>
      </c>
      <c r="E248" s="87" t="n">
        <v>957081.376850902</v>
      </c>
      <c r="F248" s="88" t="n">
        <v>165769.224870988</v>
      </c>
      <c r="G248" s="89" t="n">
        <v>960221.655861689</v>
      </c>
      <c r="H248" s="90" t="n">
        <v>165832.802590949</v>
      </c>
      <c r="I248" s="91" t="str">
        <f>H248-F248</f>
      </c>
      <c r="J248" s="92" t="str">
        <f>G248-E248</f>
      </c>
    </row>
    <row r="249">
      <c r="A249" t="s">
        <v>219</v>
      </c>
      <c r="B249" t="s">
        <v>221</v>
      </c>
      <c r="C249" s="86" t="n">
        <v>2034</v>
      </c>
      <c r="D249" t="s">
        <v>420</v>
      </c>
      <c r="E249" s="87" t="n">
        <v>140086.028959757</v>
      </c>
      <c r="F249" s="88" t="n">
        <v>87173.4492701182</v>
      </c>
      <c r="G249" s="89" t="n">
        <v>139922.665552402</v>
      </c>
      <c r="H249" s="90" t="n">
        <v>87126.2119501461</v>
      </c>
      <c r="I249" s="91" t="str">
        <f>H249-F249</f>
      </c>
      <c r="J249" s="92" t="str">
        <f>G249-E249</f>
      </c>
    </row>
    <row r="250">
      <c r="A250" t="s">
        <v>219</v>
      </c>
      <c r="B250" t="s">
        <v>221</v>
      </c>
      <c r="C250" s="86" t="n">
        <v>2034</v>
      </c>
      <c r="D250" t="s">
        <v>235</v>
      </c>
      <c r="E250" s="87" t="n">
        <v>307370.365001365</v>
      </c>
      <c r="F250" s="88" t="n">
        <v>287343.518300076</v>
      </c>
      <c r="G250" s="89" t="n">
        <v>308142.620646514</v>
      </c>
      <c r="H250" s="90" t="n">
        <v>289022.375898514</v>
      </c>
      <c r="I250" s="91" t="str">
        <f>H250-F250</f>
      </c>
      <c r="J250" s="92" t="str">
        <f>G250-E250</f>
      </c>
    </row>
    <row r="251">
      <c r="A251" t="s">
        <v>219</v>
      </c>
      <c r="B251" t="s">
        <v>221</v>
      </c>
      <c r="C251" s="86" t="n">
        <v>2034</v>
      </c>
      <c r="D251" t="s">
        <v>244</v>
      </c>
      <c r="E251" s="87" t="n">
        <v>747501.118450816</v>
      </c>
      <c r="F251" s="88" t="n">
        <v>421135.26340123</v>
      </c>
      <c r="G251" s="89" t="n">
        <v>754264.519314827</v>
      </c>
      <c r="H251" s="90" t="n">
        <v>428496.093357131</v>
      </c>
      <c r="I251" s="91" t="str">
        <f>H251-F251</f>
      </c>
      <c r="J251" s="92" t="str">
        <f>G251-E251</f>
      </c>
    </row>
    <row r="252">
      <c r="A252" t="s">
        <v>219</v>
      </c>
      <c r="B252" t="s">
        <v>221</v>
      </c>
      <c r="C252" s="86" t="n">
        <v>2034</v>
      </c>
      <c r="D252" t="s">
        <v>248</v>
      </c>
      <c r="E252" s="87" t="n">
        <v>400296.350540723</v>
      </c>
      <c r="F252" s="88" t="n">
        <v>201819.401759653</v>
      </c>
      <c r="G252" s="89" t="n">
        <v>402421.553872422</v>
      </c>
      <c r="H252" s="90" t="n">
        <v>204510.58021707</v>
      </c>
      <c r="I252" s="91" t="str">
        <f>H252-F252</f>
      </c>
      <c r="J252" s="92" t="str">
        <f>G252-E252</f>
      </c>
    </row>
    <row r="253">
      <c r="A253" t="s">
        <v>219</v>
      </c>
      <c r="B253" t="s">
        <v>221</v>
      </c>
      <c r="C253" s="86" t="n">
        <v>2034</v>
      </c>
      <c r="D253" t="s">
        <v>421</v>
      </c>
      <c r="E253" s="87" t="n">
        <v>12872.5907549998</v>
      </c>
      <c r="F253" s="88" t="n">
        <v>2795.77692985548</v>
      </c>
      <c r="G253" s="89" t="n">
        <v>12872.434861331</v>
      </c>
      <c r="H253" s="90" t="n">
        <v>2795.76959562027</v>
      </c>
      <c r="I253" s="91" t="str">
        <f>H253-F253</f>
      </c>
      <c r="J253" s="92" t="str">
        <f>G253-E253</f>
      </c>
    </row>
    <row r="254">
      <c r="A254" t="s">
        <v>219</v>
      </c>
      <c r="B254" t="s">
        <v>221</v>
      </c>
      <c r="C254" s="86" t="n">
        <v>2035</v>
      </c>
      <c r="D254" t="s">
        <v>419</v>
      </c>
      <c r="E254" s="87" t="n">
        <v>13751.1306539776</v>
      </c>
      <c r="F254" s="88" t="n">
        <v>9796.26798178688</v>
      </c>
      <c r="G254" s="89" t="n">
        <v>13726.7399692658</v>
      </c>
      <c r="H254" s="90" t="n">
        <v>9787.51275865094</v>
      </c>
      <c r="I254" s="91" t="str">
        <f>H254-F254</f>
      </c>
      <c r="J254" s="92" t="str">
        <f>G254-E254</f>
      </c>
    </row>
    <row r="255">
      <c r="A255" t="s">
        <v>219</v>
      </c>
      <c r="B255" t="s">
        <v>221</v>
      </c>
      <c r="C255" s="86" t="n">
        <v>2035</v>
      </c>
      <c r="D255" t="s">
        <v>224</v>
      </c>
      <c r="E255" s="87" t="n">
        <v>971595.401757111</v>
      </c>
      <c r="F255" s="88" t="n">
        <v>170831.788516025</v>
      </c>
      <c r="G255" s="89" t="n">
        <v>975047.326959866</v>
      </c>
      <c r="H255" s="90" t="n">
        <v>170911.003808462</v>
      </c>
      <c r="I255" s="91" t="str">
        <f>H255-F255</f>
      </c>
      <c r="J255" s="92" t="str">
        <f>G255-E255</f>
      </c>
    </row>
    <row r="256">
      <c r="A256" t="s">
        <v>219</v>
      </c>
      <c r="B256" t="s">
        <v>221</v>
      </c>
      <c r="C256" s="86" t="n">
        <v>2035</v>
      </c>
      <c r="D256" t="s">
        <v>420</v>
      </c>
      <c r="E256" s="87" t="n">
        <v>143620.936908345</v>
      </c>
      <c r="F256" s="88" t="n">
        <v>89198.7763242961</v>
      </c>
      <c r="G256" s="89" t="n">
        <v>143430.147346953</v>
      </c>
      <c r="H256" s="90" t="n">
        <v>89138.141517925</v>
      </c>
      <c r="I256" s="91" t="str">
        <f>H256-F256</f>
      </c>
      <c r="J256" s="92" t="str">
        <f>G256-E256</f>
      </c>
    </row>
    <row r="257">
      <c r="A257" t="s">
        <v>219</v>
      </c>
      <c r="B257" t="s">
        <v>221</v>
      </c>
      <c r="C257" s="86" t="n">
        <v>2035</v>
      </c>
      <c r="D257" t="s">
        <v>235</v>
      </c>
      <c r="E257" s="87" t="n">
        <v>310858.229550548</v>
      </c>
      <c r="F257" s="88" t="n">
        <v>291032.312862858</v>
      </c>
      <c r="G257" s="89" t="n">
        <v>311598.659349735</v>
      </c>
      <c r="H257" s="90" t="n">
        <v>292543.4341723</v>
      </c>
      <c r="I257" s="91" t="str">
        <f>H257-F257</f>
      </c>
      <c r="J257" s="92" t="str">
        <f>G257-E257</f>
      </c>
    </row>
    <row r="258">
      <c r="A258" t="s">
        <v>219</v>
      </c>
      <c r="B258" t="s">
        <v>221</v>
      </c>
      <c r="C258" s="86" t="n">
        <v>2035</v>
      </c>
      <c r="D258" t="s">
        <v>244</v>
      </c>
      <c r="E258" s="87" t="n">
        <v>763252.741812786</v>
      </c>
      <c r="F258" s="88" t="n">
        <v>431956.186384593</v>
      </c>
      <c r="G258" s="89" t="n">
        <v>770043.407398033</v>
      </c>
      <c r="H258" s="90" t="n">
        <v>439419.393176264</v>
      </c>
      <c r="I258" s="91" t="str">
        <f>H258-F258</f>
      </c>
      <c r="J258" s="92" t="str">
        <f>G258-E258</f>
      </c>
    </row>
    <row r="259">
      <c r="A259" t="s">
        <v>219</v>
      </c>
      <c r="B259" t="s">
        <v>221</v>
      </c>
      <c r="C259" s="86" t="n">
        <v>2035</v>
      </c>
      <c r="D259" t="s">
        <v>248</v>
      </c>
      <c r="E259" s="87" t="n">
        <v>408326.813913211</v>
      </c>
      <c r="F259" s="88" t="n">
        <v>207160.319318073</v>
      </c>
      <c r="G259" s="89" t="n">
        <v>410430.68648466</v>
      </c>
      <c r="H259" s="90" t="n">
        <v>209854.988515264</v>
      </c>
      <c r="I259" s="91" t="str">
        <f>H259-F259</f>
      </c>
      <c r="J259" s="92" t="str">
        <f>G259-E259</f>
      </c>
    </row>
    <row r="260">
      <c r="A260" t="s">
        <v>219</v>
      </c>
      <c r="B260" t="s">
        <v>221</v>
      </c>
      <c r="C260" s="86" t="n">
        <v>2035</v>
      </c>
      <c r="D260" t="s">
        <v>421</v>
      </c>
      <c r="E260" s="87" t="n">
        <v>13061.7465389322</v>
      </c>
      <c r="F260" s="88" t="n">
        <v>2671.50586685499</v>
      </c>
      <c r="G260" s="89" t="n">
        <v>13061.5900844962</v>
      </c>
      <c r="H260" s="90" t="n">
        <v>2671.49784394295</v>
      </c>
      <c r="I260" s="91" t="str">
        <f>H260-F260</f>
      </c>
      <c r="J260" s="92" t="str">
        <f>G260-E260</f>
      </c>
    </row>
    <row r="261">
      <c r="A261" t="s">
        <v>219</v>
      </c>
      <c r="B261" t="s">
        <v>221</v>
      </c>
      <c r="C261" s="86" t="n">
        <v>2036</v>
      </c>
      <c r="D261" t="s">
        <v>419</v>
      </c>
      <c r="E261" s="87" t="n">
        <v>14086.6423189436</v>
      </c>
      <c r="F261" s="88" t="n">
        <v>9983.34095801028</v>
      </c>
      <c r="G261" s="89" t="n">
        <v>14058.8402730705</v>
      </c>
      <c r="H261" s="90" t="n">
        <v>9972.733436972</v>
      </c>
      <c r="I261" s="91" t="str">
        <f>H261-F261</f>
      </c>
      <c r="J261" s="92" t="str">
        <f>G261-E261</f>
      </c>
    </row>
    <row r="262">
      <c r="A262" t="s">
        <v>219</v>
      </c>
      <c r="B262" t="s">
        <v>221</v>
      </c>
      <c r="C262" s="86" t="n">
        <v>2036</v>
      </c>
      <c r="D262" t="s">
        <v>224</v>
      </c>
      <c r="E262" s="87" t="n">
        <v>988828.174159166</v>
      </c>
      <c r="F262" s="88" t="n">
        <v>176043.586125781</v>
      </c>
      <c r="G262" s="89" t="n">
        <v>992593.127567906</v>
      </c>
      <c r="H262" s="90" t="n">
        <v>176139.997785528</v>
      </c>
      <c r="I262" s="91" t="str">
        <f>H262-F262</f>
      </c>
      <c r="J262" s="92" t="str">
        <f>G262-E262</f>
      </c>
    </row>
    <row r="263">
      <c r="A263" t="s">
        <v>219</v>
      </c>
      <c r="B263" t="s">
        <v>221</v>
      </c>
      <c r="C263" s="86" t="n">
        <v>2036</v>
      </c>
      <c r="D263" t="s">
        <v>420</v>
      </c>
      <c r="E263" s="87" t="n">
        <v>147196.731785732</v>
      </c>
      <c r="F263" s="88" t="n">
        <v>91300.0762333822</v>
      </c>
      <c r="G263" s="89" t="n">
        <v>146978.916070349</v>
      </c>
      <c r="H263" s="90" t="n">
        <v>91225.4078140792</v>
      </c>
      <c r="I263" s="91" t="str">
        <f>H263-F263</f>
      </c>
      <c r="J263" s="92" t="str">
        <f>G263-E263</f>
      </c>
    </row>
    <row r="264">
      <c r="A264" t="s">
        <v>219</v>
      </c>
      <c r="B264" t="s">
        <v>221</v>
      </c>
      <c r="C264" s="86" t="n">
        <v>2036</v>
      </c>
      <c r="D264" t="s">
        <v>235</v>
      </c>
      <c r="E264" s="87" t="n">
        <v>314460.223693436</v>
      </c>
      <c r="F264" s="88" t="n">
        <v>294234.655326834</v>
      </c>
      <c r="G264" s="89" t="n">
        <v>315288.949461379</v>
      </c>
      <c r="H264" s="90" t="n">
        <v>296084.402747987</v>
      </c>
      <c r="I264" s="91" t="str">
        <f>H264-F264</f>
      </c>
      <c r="J264" s="92" t="str">
        <f>G264-E264</f>
      </c>
    </row>
    <row r="265">
      <c r="A265" t="s">
        <v>219</v>
      </c>
      <c r="B265" t="s">
        <v>221</v>
      </c>
      <c r="C265" s="86" t="n">
        <v>2036</v>
      </c>
      <c r="D265" t="s">
        <v>244</v>
      </c>
      <c r="E265" s="87" t="n">
        <v>779114.655985221</v>
      </c>
      <c r="F265" s="88" t="n">
        <v>441980.694020256</v>
      </c>
      <c r="G265" s="89" t="n">
        <v>786706.265291046</v>
      </c>
      <c r="H265" s="90" t="n">
        <v>450600.66503166</v>
      </c>
      <c r="I265" s="91" t="str">
        <f>H265-F265</f>
      </c>
      <c r="J265" s="92" t="str">
        <f>G265-E265</f>
      </c>
    </row>
    <row r="266">
      <c r="A266" t="s">
        <v>219</v>
      </c>
      <c r="B266" t="s">
        <v>221</v>
      </c>
      <c r="C266" s="86" t="n">
        <v>2036</v>
      </c>
      <c r="D266" t="s">
        <v>248</v>
      </c>
      <c r="E266" s="87" t="n">
        <v>416493.980414405</v>
      </c>
      <c r="F266" s="88" t="n">
        <v>212179.292853609</v>
      </c>
      <c r="G266" s="89" t="n">
        <v>418880.52544402</v>
      </c>
      <c r="H266" s="90" t="n">
        <v>215434.246910517</v>
      </c>
      <c r="I266" s="91" t="str">
        <f>H266-F266</f>
      </c>
      <c r="J266" s="92" t="str">
        <f>G266-E266</f>
      </c>
    </row>
    <row r="267">
      <c r="A267" t="s">
        <v>219</v>
      </c>
      <c r="B267" t="s">
        <v>221</v>
      </c>
      <c r="C267" s="86" t="n">
        <v>2036</v>
      </c>
      <c r="D267" t="s">
        <v>421</v>
      </c>
      <c r="E267" s="87" t="n">
        <v>13308.9557913337</v>
      </c>
      <c r="F267" s="88" t="n">
        <v>2547.75062885752</v>
      </c>
      <c r="G267" s="89" t="n">
        <v>13308.7944546361</v>
      </c>
      <c r="H267" s="90" t="n">
        <v>2547.74258396749</v>
      </c>
      <c r="I267" s="91" t="str">
        <f>H267-F267</f>
      </c>
      <c r="J267" s="92" t="str">
        <f>G267-E267</f>
      </c>
    </row>
    <row r="268">
      <c r="A268" t="s">
        <v>219</v>
      </c>
      <c r="B268" t="s">
        <v>221</v>
      </c>
      <c r="C268" s="86" t="n">
        <v>2037</v>
      </c>
      <c r="D268" t="s">
        <v>419</v>
      </c>
      <c r="E268" s="87" t="n">
        <v>14418.7130954018</v>
      </c>
      <c r="F268" s="88" t="n">
        <v>10171.6531682243</v>
      </c>
      <c r="G268" s="89" t="n">
        <v>14386.6366039025</v>
      </c>
      <c r="H268" s="90" t="n">
        <v>10159.1873336905</v>
      </c>
      <c r="I268" s="91" t="str">
        <f>H268-F268</f>
      </c>
      <c r="J268" s="92" t="str">
        <f>G268-E268</f>
      </c>
    </row>
    <row r="269">
      <c r="A269" t="s">
        <v>219</v>
      </c>
      <c r="B269" t="s">
        <v>221</v>
      </c>
      <c r="C269" s="86" t="n">
        <v>2037</v>
      </c>
      <c r="D269" t="s">
        <v>224</v>
      </c>
      <c r="E269" s="87" t="n">
        <v>1005257.58991119</v>
      </c>
      <c r="F269" s="88" t="n">
        <v>181342.908932376</v>
      </c>
      <c r="G269" s="89" t="n">
        <v>1009301.65749756</v>
      </c>
      <c r="H269" s="90" t="n">
        <v>181458.235839908</v>
      </c>
      <c r="I269" s="91" t="str">
        <f>H269-F269</f>
      </c>
      <c r="J269" s="92" t="str">
        <f>G269-E269</f>
      </c>
    </row>
    <row r="270">
      <c r="A270" t="s">
        <v>219</v>
      </c>
      <c r="B270" t="s">
        <v>221</v>
      </c>
      <c r="C270" s="86" t="n">
        <v>2037</v>
      </c>
      <c r="D270" t="s">
        <v>420</v>
      </c>
      <c r="E270" s="87" t="n">
        <v>150739.183226138</v>
      </c>
      <c r="F270" s="88" t="n">
        <v>93430.3515061765</v>
      </c>
      <c r="G270" s="89" t="n">
        <v>150487.441619108</v>
      </c>
      <c r="H270" s="90" t="n">
        <v>93341.2784245107</v>
      </c>
      <c r="I270" s="91" t="str">
        <f>H270-F270</f>
      </c>
      <c r="J270" s="92" t="str">
        <f>G270-E270</f>
      </c>
    </row>
    <row r="271">
      <c r="A271" t="s">
        <v>219</v>
      </c>
      <c r="B271" t="s">
        <v>221</v>
      </c>
      <c r="C271" s="86" t="n">
        <v>2037</v>
      </c>
      <c r="D271" t="s">
        <v>235</v>
      </c>
      <c r="E271" s="87" t="n">
        <v>317843.690605509</v>
      </c>
      <c r="F271" s="88" t="n">
        <v>297360.712053578</v>
      </c>
      <c r="G271" s="89" t="n">
        <v>318754.964813024</v>
      </c>
      <c r="H271" s="90" t="n">
        <v>299434.655195925</v>
      </c>
      <c r="I271" s="91" t="str">
        <f>H271-F271</f>
      </c>
      <c r="J271" s="92" t="str">
        <f>G271-E271</f>
      </c>
    </row>
    <row r="272">
      <c r="A272" t="s">
        <v>219</v>
      </c>
      <c r="B272" t="s">
        <v>221</v>
      </c>
      <c r="C272" s="86" t="n">
        <v>2037</v>
      </c>
      <c r="D272" t="s">
        <v>244</v>
      </c>
      <c r="E272" s="87" t="n">
        <v>795041.451060281</v>
      </c>
      <c r="F272" s="88" t="n">
        <v>452046.372397518</v>
      </c>
      <c r="G272" s="89" t="n">
        <v>803452.229036644</v>
      </c>
      <c r="H272" s="90" t="n">
        <v>461851.049511551</v>
      </c>
      <c r="I272" s="91" t="str">
        <f>H272-F272</f>
      </c>
      <c r="J272" s="92" t="str">
        <f>G272-E272</f>
      </c>
    </row>
    <row r="273">
      <c r="A273" t="s">
        <v>219</v>
      </c>
      <c r="B273" t="s">
        <v>221</v>
      </c>
      <c r="C273" s="86" t="n">
        <v>2037</v>
      </c>
      <c r="D273" t="s">
        <v>248</v>
      </c>
      <c r="E273" s="87" t="n">
        <v>424836.07206116</v>
      </c>
      <c r="F273" s="88" t="n">
        <v>217331.595829756</v>
      </c>
      <c r="G273" s="89" t="n">
        <v>427506.733072448</v>
      </c>
      <c r="H273" s="90" t="n">
        <v>221141.826108993</v>
      </c>
      <c r="I273" s="91" t="str">
        <f>H273-F273</f>
      </c>
      <c r="J273" s="92" t="str">
        <f>G273-E273</f>
      </c>
    </row>
    <row r="274">
      <c r="A274" t="s">
        <v>219</v>
      </c>
      <c r="B274" t="s">
        <v>221</v>
      </c>
      <c r="C274" s="86" t="n">
        <v>2037</v>
      </c>
      <c r="D274" t="s">
        <v>421</v>
      </c>
      <c r="E274" s="87" t="n">
        <v>13385.2850068157</v>
      </c>
      <c r="F274" s="88" t="n">
        <v>2421.58456395092</v>
      </c>
      <c r="G274" s="89" t="n">
        <v>13385.128134315</v>
      </c>
      <c r="H274" s="90" t="n">
        <v>2421.57667984156</v>
      </c>
      <c r="I274" s="91" t="str">
        <f>H274-F274</f>
      </c>
      <c r="J274" s="92" t="str">
        <f>G274-E274</f>
      </c>
    </row>
    <row r="275">
      <c r="A275" t="s">
        <v>219</v>
      </c>
      <c r="B275" t="s">
        <v>221</v>
      </c>
      <c r="C275" s="86" t="n">
        <v>2038</v>
      </c>
      <c r="D275" t="s">
        <v>419</v>
      </c>
      <c r="E275" s="87" t="n">
        <v>14827.830020904</v>
      </c>
      <c r="F275" s="88" t="n">
        <v>10364.4688333015</v>
      </c>
      <c r="G275" s="89" t="n">
        <v>14790.2897218897</v>
      </c>
      <c r="H275" s="90" t="n">
        <v>10349.9036883417</v>
      </c>
      <c r="I275" s="91" t="str">
        <f>H275-F275</f>
      </c>
      <c r="J275" s="92" t="str">
        <f>G275-E275</f>
      </c>
    </row>
    <row r="276">
      <c r="A276" t="s">
        <v>219</v>
      </c>
      <c r="B276" t="s">
        <v>221</v>
      </c>
      <c r="C276" s="86" t="n">
        <v>2038</v>
      </c>
      <c r="D276" t="s">
        <v>224</v>
      </c>
      <c r="E276" s="87" t="n">
        <v>1021431.52335655</v>
      </c>
      <c r="F276" s="88" t="n">
        <v>186652.125314291</v>
      </c>
      <c r="G276" s="89" t="n">
        <v>1025731.21343356</v>
      </c>
      <c r="H276" s="90" t="n">
        <v>186787.491870524</v>
      </c>
      <c r="I276" s="91" t="str">
        <f>H276-F276</f>
      </c>
      <c r="J276" s="92" t="str">
        <f>G276-E276</f>
      </c>
    </row>
    <row r="277">
      <c r="A277" t="s">
        <v>219</v>
      </c>
      <c r="B277" t="s">
        <v>221</v>
      </c>
      <c r="C277" s="86" t="n">
        <v>2038</v>
      </c>
      <c r="D277" t="s">
        <v>420</v>
      </c>
      <c r="E277" s="87" t="n">
        <v>155125.846823965</v>
      </c>
      <c r="F277" s="88" t="n">
        <v>95573.939108445</v>
      </c>
      <c r="G277" s="89" t="n">
        <v>154833.021861689</v>
      </c>
      <c r="H277" s="90" t="n">
        <v>95469.0447801143</v>
      </c>
      <c r="I277" s="91" t="str">
        <f>H277-F277</f>
      </c>
      <c r="J277" s="92" t="str">
        <f>G277-E277</f>
      </c>
    </row>
    <row r="278">
      <c r="A278" t="s">
        <v>219</v>
      </c>
      <c r="B278" t="s">
        <v>221</v>
      </c>
      <c r="C278" s="86" t="n">
        <v>2038</v>
      </c>
      <c r="D278" t="s">
        <v>235</v>
      </c>
      <c r="E278" s="87" t="n">
        <v>320821.098852969</v>
      </c>
      <c r="F278" s="88" t="n">
        <v>300216.404332011</v>
      </c>
      <c r="G278" s="89" t="n">
        <v>321808.304576111</v>
      </c>
      <c r="H278" s="90" t="n">
        <v>302464.555231106</v>
      </c>
      <c r="I278" s="91" t="str">
        <f>H278-F278</f>
      </c>
      <c r="J278" s="92" t="str">
        <f>G278-E278</f>
      </c>
    </row>
    <row r="279">
      <c r="A279" t="s">
        <v>219</v>
      </c>
      <c r="B279" t="s">
        <v>221</v>
      </c>
      <c r="C279" s="86" t="n">
        <v>2038</v>
      </c>
      <c r="D279" t="s">
        <v>244</v>
      </c>
      <c r="E279" s="87" t="n">
        <v>813244.278140222</v>
      </c>
      <c r="F279" s="88" t="n">
        <v>461948.519150174</v>
      </c>
      <c r="G279" s="89" t="n">
        <v>822517.79120794</v>
      </c>
      <c r="H279" s="90" t="n">
        <v>472964.182972518</v>
      </c>
      <c r="I279" s="91" t="str">
        <f>H279-F279</f>
      </c>
      <c r="J279" s="92" t="str">
        <f>G279-E279</f>
      </c>
    </row>
    <row r="280">
      <c r="A280" t="s">
        <v>219</v>
      </c>
      <c r="B280" t="s">
        <v>221</v>
      </c>
      <c r="C280" s="86" t="n">
        <v>2038</v>
      </c>
      <c r="D280" t="s">
        <v>248</v>
      </c>
      <c r="E280" s="87" t="n">
        <v>434905.467741978</v>
      </c>
      <c r="F280" s="88" t="n">
        <v>222470.475636669</v>
      </c>
      <c r="G280" s="89" t="n">
        <v>437875.904421767</v>
      </c>
      <c r="H280" s="90" t="n">
        <v>226837.611544716</v>
      </c>
      <c r="I280" s="91" t="str">
        <f>H280-F280</f>
      </c>
      <c r="J280" s="92" t="str">
        <f>G280-E280</f>
      </c>
    </row>
    <row r="281">
      <c r="A281" t="s">
        <v>219</v>
      </c>
      <c r="B281" t="s">
        <v>221</v>
      </c>
      <c r="C281" s="86" t="n">
        <v>2038</v>
      </c>
      <c r="D281" t="s">
        <v>421</v>
      </c>
      <c r="E281" s="87" t="n">
        <v>13130.6335435445</v>
      </c>
      <c r="F281" s="88" t="n">
        <v>2303.47278581642</v>
      </c>
      <c r="G281" s="89" t="n">
        <v>13130.4959942569</v>
      </c>
      <c r="H281" s="90" t="n">
        <v>2303.4653337572</v>
      </c>
      <c r="I281" s="91" t="str">
        <f>H281-F281</f>
      </c>
      <c r="J281" s="92" t="str">
        <f>G281-E281</f>
      </c>
    </row>
    <row r="282">
      <c r="A282" t="s">
        <v>219</v>
      </c>
      <c r="B282" t="s">
        <v>221</v>
      </c>
      <c r="C282" s="86" t="n">
        <v>2039</v>
      </c>
      <c r="D282" t="s">
        <v>419</v>
      </c>
      <c r="E282" s="87" t="n">
        <v>15179.2589926938</v>
      </c>
      <c r="F282" s="88" t="n">
        <v>10562.0298376395</v>
      </c>
      <c r="G282" s="89" t="n">
        <v>15135.74798412</v>
      </c>
      <c r="H282" s="90" t="n">
        <v>10545.0523038997</v>
      </c>
      <c r="I282" s="91" t="str">
        <f>H282-F282</f>
      </c>
      <c r="J282" s="92" t="str">
        <f>G282-E282</f>
      </c>
    </row>
    <row r="283">
      <c r="A283" t="s">
        <v>219</v>
      </c>
      <c r="B283" t="s">
        <v>221</v>
      </c>
      <c r="C283" s="86" t="n">
        <v>2039</v>
      </c>
      <c r="D283" t="s">
        <v>224</v>
      </c>
      <c r="E283" s="87" t="n">
        <v>1034813.68856188</v>
      </c>
      <c r="F283" s="88" t="n">
        <v>192140.187700659</v>
      </c>
      <c r="G283" s="89" t="n">
        <v>1039334.21211717</v>
      </c>
      <c r="H283" s="90" t="n">
        <v>192296.552192256</v>
      </c>
      <c r="I283" s="91" t="str">
        <f>H283-F283</f>
      </c>
      <c r="J283" s="92" t="str">
        <f>G283-E283</f>
      </c>
    </row>
    <row r="284">
      <c r="A284" t="s">
        <v>219</v>
      </c>
      <c r="B284" t="s">
        <v>221</v>
      </c>
      <c r="C284" s="86" t="n">
        <v>2039</v>
      </c>
      <c r="D284" t="s">
        <v>420</v>
      </c>
      <c r="E284" s="87" t="n">
        <v>158665.283271686</v>
      </c>
      <c r="F284" s="88" t="n">
        <v>97789.3484399168</v>
      </c>
      <c r="G284" s="89" t="n">
        <v>158325.904186221</v>
      </c>
      <c r="H284" s="90" t="n">
        <v>97666.5125218666</v>
      </c>
      <c r="I284" s="91" t="str">
        <f>H284-F284</f>
      </c>
      <c r="J284" s="92" t="str">
        <f>G284-E284</f>
      </c>
    </row>
    <row r="285">
      <c r="A285" t="s">
        <v>219</v>
      </c>
      <c r="B285" t="s">
        <v>221</v>
      </c>
      <c r="C285" s="86" t="n">
        <v>2039</v>
      </c>
      <c r="D285" t="s">
        <v>235</v>
      </c>
      <c r="E285" s="87" t="n">
        <v>323888.360703347</v>
      </c>
      <c r="F285" s="88" t="n">
        <v>303137.01073979</v>
      </c>
      <c r="G285" s="89" t="n">
        <v>324947.685920243</v>
      </c>
      <c r="H285" s="90" t="n">
        <v>305533.683824107</v>
      </c>
      <c r="I285" s="91" t="str">
        <f>H285-F285</f>
      </c>
      <c r="J285" s="92" t="str">
        <f>G285-E285</f>
      </c>
    </row>
    <row r="286">
      <c r="A286" t="s">
        <v>219</v>
      </c>
      <c r="B286" t="s">
        <v>221</v>
      </c>
      <c r="C286" s="86" t="n">
        <v>2039</v>
      </c>
      <c r="D286" t="s">
        <v>244</v>
      </c>
      <c r="E286" s="87" t="n">
        <v>828256.175416279</v>
      </c>
      <c r="F286" s="88" t="n">
        <v>472098.446572691</v>
      </c>
      <c r="G286" s="89" t="n">
        <v>838380.897928912</v>
      </c>
      <c r="H286" s="90" t="n">
        <v>484364.275142346</v>
      </c>
      <c r="I286" s="91" t="str">
        <f>H286-F286</f>
      </c>
      <c r="J286" s="92" t="str">
        <f>G286-E286</f>
      </c>
    </row>
    <row r="287">
      <c r="A287" t="s">
        <v>219</v>
      </c>
      <c r="B287" t="s">
        <v>221</v>
      </c>
      <c r="C287" s="86" t="n">
        <v>2039</v>
      </c>
      <c r="D287" t="s">
        <v>248</v>
      </c>
      <c r="E287" s="87" t="n">
        <v>442841.093963052</v>
      </c>
      <c r="F287" s="88" t="n">
        <v>227822.405661425</v>
      </c>
      <c r="G287" s="89" t="n">
        <v>446097.450852593</v>
      </c>
      <c r="H287" s="90" t="n">
        <v>232753.81626835</v>
      </c>
      <c r="I287" s="91" t="str">
        <f>H287-F287</f>
      </c>
      <c r="J287" s="92" t="str">
        <f>G287-E287</f>
      </c>
    </row>
    <row r="288">
      <c r="A288" t="s">
        <v>219</v>
      </c>
      <c r="B288" t="s">
        <v>221</v>
      </c>
      <c r="C288" s="86" t="n">
        <v>2039</v>
      </c>
      <c r="D288" t="s">
        <v>421</v>
      </c>
      <c r="E288" s="87" t="n">
        <v>13011.0560563234</v>
      </c>
      <c r="F288" s="88" t="n">
        <v>2187.91090527093</v>
      </c>
      <c r="G288" s="89" t="n">
        <v>13010.9148835445</v>
      </c>
      <c r="H288" s="90" t="n">
        <v>2187.90404676672</v>
      </c>
      <c r="I288" s="91" t="str">
        <f>H288-F288</f>
      </c>
      <c r="J288" s="92" t="str">
        <f>G288-E288</f>
      </c>
    </row>
    <row r="289">
      <c r="A289" t="s">
        <v>219</v>
      </c>
      <c r="B289" t="s">
        <v>221</v>
      </c>
      <c r="C289" s="86" t="n">
        <v>2040</v>
      </c>
      <c r="D289" t="s">
        <v>419</v>
      </c>
      <c r="E289" s="87" t="n">
        <v>15582.0895384876</v>
      </c>
      <c r="F289" s="88" t="n">
        <v>10760.4676942732</v>
      </c>
      <c r="G289" s="89" t="n">
        <v>15531.5458454137</v>
      </c>
      <c r="H289" s="90" t="n">
        <v>10740.752829966</v>
      </c>
      <c r="I289" s="91" t="str">
        <f>H289-F289</f>
      </c>
      <c r="J289" s="92" t="str">
        <f>G289-E289</f>
      </c>
    </row>
    <row r="290">
      <c r="A290" t="s">
        <v>219</v>
      </c>
      <c r="B290" t="s">
        <v>221</v>
      </c>
      <c r="C290" s="86" t="n">
        <v>2040</v>
      </c>
      <c r="D290" t="s">
        <v>224</v>
      </c>
      <c r="E290" s="87" t="n">
        <v>1046551.95101314</v>
      </c>
      <c r="F290" s="88" t="n">
        <v>197562.100535461</v>
      </c>
      <c r="G290" s="89" t="n">
        <v>1051265.69371329</v>
      </c>
      <c r="H290" s="90" t="n">
        <v>197739.851826417</v>
      </c>
      <c r="I290" s="91" t="str">
        <f>H290-F290</f>
      </c>
      <c r="J290" s="92" t="str">
        <f>G290-E290</f>
      </c>
    </row>
    <row r="291">
      <c r="A291" t="s">
        <v>219</v>
      </c>
      <c r="B291" t="s">
        <v>221</v>
      </c>
      <c r="C291" s="86" t="n">
        <v>2040</v>
      </c>
      <c r="D291" t="s">
        <v>420</v>
      </c>
      <c r="E291" s="87" t="n">
        <v>162408.850645454</v>
      </c>
      <c r="F291" s="88" t="n">
        <v>99973.6311341086</v>
      </c>
      <c r="G291" s="89" t="n">
        <v>162016.43342865</v>
      </c>
      <c r="H291" s="90" t="n">
        <v>99830.4797881527</v>
      </c>
      <c r="I291" s="91" t="str">
        <f>H291-F291</f>
      </c>
      <c r="J291" s="92" t="str">
        <f>G291-E291</f>
      </c>
    </row>
    <row r="292">
      <c r="A292" t="s">
        <v>219</v>
      </c>
      <c r="B292" t="s">
        <v>221</v>
      </c>
      <c r="C292" s="86" t="n">
        <v>2040</v>
      </c>
      <c r="D292" t="s">
        <v>235</v>
      </c>
      <c r="E292" s="87" t="n">
        <v>326704.087569553</v>
      </c>
      <c r="F292" s="88" t="n">
        <v>305797.265948573</v>
      </c>
      <c r="G292" s="89" t="n">
        <v>327830.115399056</v>
      </c>
      <c r="H292" s="90" t="n">
        <v>308326.231940747</v>
      </c>
      <c r="I292" s="91" t="str">
        <f>H292-F292</f>
      </c>
      <c r="J292" s="92" t="str">
        <f>G292-E292</f>
      </c>
    </row>
    <row r="293">
      <c r="A293" t="s">
        <v>219</v>
      </c>
      <c r="B293" t="s">
        <v>221</v>
      </c>
      <c r="C293" s="86" t="n">
        <v>2040</v>
      </c>
      <c r="D293" t="s">
        <v>244</v>
      </c>
      <c r="E293" s="87" t="n">
        <v>842246.664116876</v>
      </c>
      <c r="F293" s="88" t="n">
        <v>481948.810577468</v>
      </c>
      <c r="G293" s="89" t="n">
        <v>853229.023620414</v>
      </c>
      <c r="H293" s="90" t="n">
        <v>495491.389021897</v>
      </c>
      <c r="I293" s="91" t="str">
        <f>H293-F293</f>
      </c>
      <c r="J293" s="92" t="str">
        <f>G293-E293</f>
      </c>
    </row>
    <row r="294">
      <c r="A294" t="s">
        <v>219</v>
      </c>
      <c r="B294" t="s">
        <v>221</v>
      </c>
      <c r="C294" s="86" t="n">
        <v>2040</v>
      </c>
      <c r="D294" t="s">
        <v>248</v>
      </c>
      <c r="E294" s="87" t="n">
        <v>450056.929345158</v>
      </c>
      <c r="F294" s="88" t="n">
        <v>233084.735234246</v>
      </c>
      <c r="G294" s="89" t="n">
        <v>453595.602682997</v>
      </c>
      <c r="H294" s="90" t="n">
        <v>238587.525717873</v>
      </c>
      <c r="I294" s="91" t="str">
        <f>H294-F294</f>
      </c>
      <c r="J294" s="92" t="str">
        <f>G294-E294</f>
      </c>
    </row>
    <row r="295">
      <c r="A295" t="s">
        <v>219</v>
      </c>
      <c r="B295" t="s">
        <v>221</v>
      </c>
      <c r="C295" s="86" t="n">
        <v>2040</v>
      </c>
      <c r="D295" t="s">
        <v>421</v>
      </c>
      <c r="E295" s="87" t="n">
        <v>12921.7483061992</v>
      </c>
      <c r="F295" s="88" t="n">
        <v>2071.45075886322</v>
      </c>
      <c r="G295" s="89" t="n">
        <v>12921.6065425891</v>
      </c>
      <c r="H295" s="90" t="n">
        <v>2071.44438113687</v>
      </c>
      <c r="I295" s="91" t="str">
        <f>H295-F295</f>
      </c>
      <c r="J295" s="92" t="str">
        <f>G295-E295</f>
      </c>
    </row>
    <row r="296">
      <c r="A296" t="s">
        <v>219</v>
      </c>
      <c r="B296" t="s">
        <v>221</v>
      </c>
      <c r="C296" s="86" t="n">
        <v>2041</v>
      </c>
      <c r="D296" t="s">
        <v>419</v>
      </c>
      <c r="E296" s="87" t="n">
        <v>15979.3635325771</v>
      </c>
      <c r="F296" s="88" t="n">
        <v>10962.3577080386</v>
      </c>
      <c r="G296" s="89" t="n">
        <v>15920.8775016153</v>
      </c>
      <c r="H296" s="90" t="n">
        <v>10939.5011556982</v>
      </c>
      <c r="I296" s="91" t="str">
        <f>H296-F296</f>
      </c>
      <c r="J296" s="92" t="str">
        <f>G296-E296</f>
      </c>
    </row>
    <row r="297">
      <c r="A297" t="s">
        <v>219</v>
      </c>
      <c r="B297" t="s">
        <v>221</v>
      </c>
      <c r="C297" s="86" t="n">
        <v>2041</v>
      </c>
      <c r="D297" t="s">
        <v>224</v>
      </c>
      <c r="E297" s="87" t="n">
        <v>1061659.74727752</v>
      </c>
      <c r="F297" s="88" t="n">
        <v>203001.833492412</v>
      </c>
      <c r="G297" s="89" t="n">
        <v>1066563.6735298</v>
      </c>
      <c r="H297" s="90" t="n">
        <v>203201.128796519</v>
      </c>
      <c r="I297" s="91" t="str">
        <f>H297-F297</f>
      </c>
      <c r="J297" s="92" t="str">
        <f>G297-E297</f>
      </c>
    </row>
    <row r="298">
      <c r="A298" t="s">
        <v>219</v>
      </c>
      <c r="B298" t="s">
        <v>221</v>
      </c>
      <c r="C298" s="86" t="n">
        <v>2041</v>
      </c>
      <c r="D298" t="s">
        <v>420</v>
      </c>
      <c r="E298" s="87" t="n">
        <v>166055.115005694</v>
      </c>
      <c r="F298" s="88" t="n">
        <v>102165.003648638</v>
      </c>
      <c r="G298" s="89" t="n">
        <v>165603.256683252</v>
      </c>
      <c r="H298" s="90" t="n">
        <v>101998.78936442</v>
      </c>
      <c r="I298" s="91" t="str">
        <f>H298-F298</f>
      </c>
      <c r="J298" s="92" t="str">
        <f>G298-E298</f>
      </c>
    </row>
    <row r="299">
      <c r="A299" t="s">
        <v>219</v>
      </c>
      <c r="B299" t="s">
        <v>221</v>
      </c>
      <c r="C299" s="86" t="n">
        <v>2041</v>
      </c>
      <c r="D299" t="s">
        <v>235</v>
      </c>
      <c r="E299" s="87" t="n">
        <v>329737.110610862</v>
      </c>
      <c r="F299" s="88" t="n">
        <v>308865.214756131</v>
      </c>
      <c r="G299" s="89" t="n">
        <v>330799.892538861</v>
      </c>
      <c r="H299" s="90" t="n">
        <v>311000.568285778</v>
      </c>
      <c r="I299" s="91" t="str">
        <f>H299-F299</f>
      </c>
      <c r="J299" s="92" t="str">
        <f>G299-E299</f>
      </c>
    </row>
    <row r="300">
      <c r="A300" t="s">
        <v>219</v>
      </c>
      <c r="B300" t="s">
        <v>221</v>
      </c>
      <c r="C300" s="86" t="n">
        <v>2041</v>
      </c>
      <c r="D300" t="s">
        <v>244</v>
      </c>
      <c r="E300" s="87" t="n">
        <v>858072.263375753</v>
      </c>
      <c r="F300" s="88" t="n">
        <v>492921.602918883</v>
      </c>
      <c r="G300" s="89" t="n">
        <v>869077.592101044</v>
      </c>
      <c r="H300" s="90" t="n">
        <v>506572.614435606</v>
      </c>
      <c r="I300" s="91" t="str">
        <f>H300-F300</f>
      </c>
      <c r="J300" s="92" t="str">
        <f>G300-E300</f>
      </c>
    </row>
    <row r="301">
      <c r="A301" t="s">
        <v>219</v>
      </c>
      <c r="B301" t="s">
        <v>221</v>
      </c>
      <c r="C301" s="86" t="n">
        <v>2041</v>
      </c>
      <c r="D301" t="s">
        <v>248</v>
      </c>
      <c r="E301" s="87" t="n">
        <v>458084.236449702</v>
      </c>
      <c r="F301" s="88" t="n">
        <v>238948.792097534</v>
      </c>
      <c r="G301" s="89" t="n">
        <v>461572.525619781</v>
      </c>
      <c r="H301" s="90" t="n">
        <v>244403.938380915</v>
      </c>
      <c r="I301" s="91" t="str">
        <f>H301-F301</f>
      </c>
      <c r="J301" s="92" t="str">
        <f>G301-E301</f>
      </c>
    </row>
    <row r="302">
      <c r="A302" t="s">
        <v>219</v>
      </c>
      <c r="B302" t="s">
        <v>221</v>
      </c>
      <c r="C302" s="86" t="n">
        <v>2041</v>
      </c>
      <c r="D302" t="s">
        <v>421</v>
      </c>
      <c r="E302" s="87" t="n">
        <v>12914.1051959158</v>
      </c>
      <c r="F302" s="88" t="n">
        <v>1954.42942396706</v>
      </c>
      <c r="G302" s="89" t="n">
        <v>12913.9661072478</v>
      </c>
      <c r="H302" s="90" t="n">
        <v>1954.42370545678</v>
      </c>
      <c r="I302" s="91" t="str">
        <f>H302-F302</f>
      </c>
      <c r="J302" s="92" t="str">
        <f>G302-E302</f>
      </c>
    </row>
    <row r="303">
      <c r="A303" t="s">
        <v>219</v>
      </c>
      <c r="B303" t="s">
        <v>221</v>
      </c>
      <c r="C303" s="86" t="n">
        <v>2042</v>
      </c>
      <c r="D303" t="s">
        <v>419</v>
      </c>
      <c r="E303" s="87" t="n">
        <v>16376.081764713</v>
      </c>
      <c r="F303" s="88" t="n">
        <v>11161.9287117893</v>
      </c>
      <c r="G303" s="89" t="n">
        <v>16309.8993609652</v>
      </c>
      <c r="H303" s="90" t="n">
        <v>11135.4965430843</v>
      </c>
      <c r="I303" s="91" t="str">
        <f>H303-F303</f>
      </c>
      <c r="J303" s="92" t="str">
        <f>G303-E303</f>
      </c>
    </row>
    <row r="304">
      <c r="A304" t="s">
        <v>219</v>
      </c>
      <c r="B304" t="s">
        <v>221</v>
      </c>
      <c r="C304" s="86" t="n">
        <v>2042</v>
      </c>
      <c r="D304" t="s">
        <v>224</v>
      </c>
      <c r="E304" s="87" t="n">
        <v>1072964.3636863</v>
      </c>
      <c r="F304" s="88" t="n">
        <v>208425.844690266</v>
      </c>
      <c r="G304" s="89" t="n">
        <v>1078026.60097981</v>
      </c>
      <c r="H304" s="90" t="n">
        <v>208646.654553543</v>
      </c>
      <c r="I304" s="91" t="str">
        <f>H304-F304</f>
      </c>
      <c r="J304" s="92" t="str">
        <f>G304-E304</f>
      </c>
    </row>
    <row r="305">
      <c r="A305" t="s">
        <v>219</v>
      </c>
      <c r="B305" t="s">
        <v>221</v>
      </c>
      <c r="C305" s="86" t="n">
        <v>2042</v>
      </c>
      <c r="D305" t="s">
        <v>420</v>
      </c>
      <c r="E305" s="87" t="n">
        <v>169650.37564276</v>
      </c>
      <c r="F305" s="88" t="n">
        <v>104346.026120112</v>
      </c>
      <c r="G305" s="89" t="n">
        <v>169141.556637021</v>
      </c>
      <c r="H305" s="90" t="n">
        <v>104153.760083299</v>
      </c>
      <c r="I305" s="91" t="str">
        <f>H305-F305</f>
      </c>
      <c r="J305" s="92" t="str">
        <f>G305-E305</f>
      </c>
    </row>
    <row r="306">
      <c r="A306" t="s">
        <v>219</v>
      </c>
      <c r="B306" t="s">
        <v>221</v>
      </c>
      <c r="C306" s="86" t="n">
        <v>2042</v>
      </c>
      <c r="D306" t="s">
        <v>235</v>
      </c>
      <c r="E306" s="87" t="n">
        <v>332320.349143211</v>
      </c>
      <c r="F306" s="88" t="n">
        <v>311535.72547793</v>
      </c>
      <c r="G306" s="89" t="n">
        <v>333321.323938657</v>
      </c>
      <c r="H306" s="90" t="n">
        <v>313428.604068663</v>
      </c>
      <c r="I306" s="91" t="str">
        <f>H306-F306</f>
      </c>
      <c r="J306" s="92" t="str">
        <f>G306-E306</f>
      </c>
    </row>
    <row r="307">
      <c r="A307" t="s">
        <v>219</v>
      </c>
      <c r="B307" t="s">
        <v>221</v>
      </c>
      <c r="C307" s="86" t="n">
        <v>2042</v>
      </c>
      <c r="D307" t="s">
        <v>244</v>
      </c>
      <c r="E307" s="87" t="n">
        <v>873257.432900425</v>
      </c>
      <c r="F307" s="88" t="n">
        <v>503731.445753716</v>
      </c>
      <c r="G307" s="89" t="n">
        <v>884281.978207785</v>
      </c>
      <c r="H307" s="90" t="n">
        <v>517499.023505678</v>
      </c>
      <c r="I307" s="91" t="str">
        <f>H307-F307</f>
      </c>
      <c r="J307" s="92" t="str">
        <f>G307-E307</f>
      </c>
    </row>
    <row r="308">
      <c r="A308" t="s">
        <v>219</v>
      </c>
      <c r="B308" t="s">
        <v>221</v>
      </c>
      <c r="C308" s="86" t="n">
        <v>2042</v>
      </c>
      <c r="D308" t="s">
        <v>248</v>
      </c>
      <c r="E308" s="87" t="n">
        <v>466012.805133744</v>
      </c>
      <c r="F308" s="88" t="n">
        <v>244743.783677381</v>
      </c>
      <c r="G308" s="89" t="n">
        <v>469454.149721884</v>
      </c>
      <c r="H308" s="90" t="n">
        <v>250175.663514197</v>
      </c>
      <c r="I308" s="91" t="str">
        <f>H308-F308</f>
      </c>
      <c r="J308" s="92" t="str">
        <f>G308-E308</f>
      </c>
    </row>
    <row r="309">
      <c r="A309" t="s">
        <v>219</v>
      </c>
      <c r="B309" t="s">
        <v>221</v>
      </c>
      <c r="C309" s="86" t="n">
        <v>2042</v>
      </c>
      <c r="D309" t="s">
        <v>421</v>
      </c>
      <c r="E309" s="87" t="n">
        <v>12448.1006223412</v>
      </c>
      <c r="F309" s="88" t="n">
        <v>1837.14296602307</v>
      </c>
      <c r="G309" s="89" t="n">
        <v>12447.9578277165</v>
      </c>
      <c r="H309" s="90" t="n">
        <v>1837.13778678778</v>
      </c>
      <c r="I309" s="91" t="str">
        <f>H309-F309</f>
      </c>
      <c r="J309" s="92" t="str">
        <f>G309-E309</f>
      </c>
    </row>
    <row r="310">
      <c r="A310" t="s">
        <v>219</v>
      </c>
      <c r="B310" t="s">
        <v>221</v>
      </c>
      <c r="C310" s="86" t="n">
        <v>2043</v>
      </c>
      <c r="D310" t="s">
        <v>419</v>
      </c>
      <c r="E310" s="87" t="n">
        <v>16828.8137968584</v>
      </c>
      <c r="F310" s="88" t="n">
        <v>11370.8940490077</v>
      </c>
      <c r="G310" s="89" t="n">
        <v>16754.8072801891</v>
      </c>
      <c r="H310" s="90" t="n">
        <v>11340.588740714</v>
      </c>
      <c r="I310" s="91" t="str">
        <f>H310-F310</f>
      </c>
      <c r="J310" s="92" t="str">
        <f>G310-E310</f>
      </c>
    </row>
    <row r="311">
      <c r="A311" t="s">
        <v>219</v>
      </c>
      <c r="B311" t="s">
        <v>221</v>
      </c>
      <c r="C311" s="86" t="n">
        <v>2043</v>
      </c>
      <c r="D311" t="s">
        <v>224</v>
      </c>
      <c r="E311" s="87" t="n">
        <v>1084401.35407161</v>
      </c>
      <c r="F311" s="88" t="n">
        <v>213771.228658802</v>
      </c>
      <c r="G311" s="89" t="n">
        <v>1089617.8876954</v>
      </c>
      <c r="H311" s="90" t="n">
        <v>214013.627325169</v>
      </c>
      <c r="I311" s="91" t="str">
        <f>H311-F311</f>
      </c>
      <c r="J311" s="92" t="str">
        <f>G311-E311</f>
      </c>
    </row>
    <row r="312">
      <c r="A312" t="s">
        <v>219</v>
      </c>
      <c r="B312" t="s">
        <v>221</v>
      </c>
      <c r="C312" s="86" t="n">
        <v>2043</v>
      </c>
      <c r="D312" t="s">
        <v>420</v>
      </c>
      <c r="E312" s="87" t="n">
        <v>173973.630836967</v>
      </c>
      <c r="F312" s="88" t="n">
        <v>106516.88680484</v>
      </c>
      <c r="G312" s="89" t="n">
        <v>173407.833179956</v>
      </c>
      <c r="H312" s="90" t="n">
        <v>106296.685429372</v>
      </c>
      <c r="I312" s="91" t="str">
        <f>H312-F312</f>
      </c>
      <c r="J312" s="92" t="str">
        <f>G312-E312</f>
      </c>
    </row>
    <row r="313">
      <c r="A313" t="s">
        <v>219</v>
      </c>
      <c r="B313" t="s">
        <v>221</v>
      </c>
      <c r="C313" s="86" t="n">
        <v>2043</v>
      </c>
      <c r="D313" t="s">
        <v>235</v>
      </c>
      <c r="E313" s="87" t="n">
        <v>334251.431615554</v>
      </c>
      <c r="F313" s="88" t="n">
        <v>313632.842786929</v>
      </c>
      <c r="G313" s="89" t="n">
        <v>335190.948405484</v>
      </c>
      <c r="H313" s="90" t="n">
        <v>315350.995136011</v>
      </c>
      <c r="I313" s="91" t="str">
        <f>H313-F313</f>
      </c>
      <c r="J313" s="92" t="str">
        <f>G313-E313</f>
      </c>
    </row>
    <row r="314">
      <c r="A314" t="s">
        <v>219</v>
      </c>
      <c r="B314" t="s">
        <v>221</v>
      </c>
      <c r="C314" s="86" t="n">
        <v>2043</v>
      </c>
      <c r="D314" t="s">
        <v>244</v>
      </c>
      <c r="E314" s="87" t="n">
        <v>890695.198448657</v>
      </c>
      <c r="F314" s="88" t="n">
        <v>514196.092083723</v>
      </c>
      <c r="G314" s="89" t="n">
        <v>901770.411974376</v>
      </c>
      <c r="H314" s="90" t="n">
        <v>528079.181081669</v>
      </c>
      <c r="I314" s="91" t="str">
        <f>H314-F314</f>
      </c>
      <c r="J314" s="92" t="str">
        <f>G314-E314</f>
      </c>
    </row>
    <row r="315">
      <c r="A315" t="s">
        <v>219</v>
      </c>
      <c r="B315" t="s">
        <v>221</v>
      </c>
      <c r="C315" s="86" t="n">
        <v>2043</v>
      </c>
      <c r="D315" t="s">
        <v>248</v>
      </c>
      <c r="E315" s="87" t="n">
        <v>476068.286792372</v>
      </c>
      <c r="F315" s="88" t="n">
        <v>250565.521873758</v>
      </c>
      <c r="G315" s="89" t="n">
        <v>479482.188386743</v>
      </c>
      <c r="H315" s="90" t="n">
        <v>255992.973248088</v>
      </c>
      <c r="I315" s="91" t="str">
        <f>H315-F315</f>
      </c>
      <c r="J315" s="92" t="str">
        <f>G315-E315</f>
      </c>
    </row>
    <row r="316">
      <c r="A316" t="s">
        <v>219</v>
      </c>
      <c r="B316" t="s">
        <v>221</v>
      </c>
      <c r="C316" s="86" t="n">
        <v>2043</v>
      </c>
      <c r="D316" t="s">
        <v>421</v>
      </c>
      <c r="E316" s="87" t="n">
        <v>12246.7119796382</v>
      </c>
      <c r="F316" s="88" t="n">
        <v>1731.13659733577</v>
      </c>
      <c r="G316" s="89" t="n">
        <v>12246.5731114781</v>
      </c>
      <c r="H316" s="90" t="n">
        <v>1731.1314511154</v>
      </c>
      <c r="I316" s="91" t="str">
        <f>H316-F316</f>
      </c>
      <c r="J316" s="92" t="str">
        <f>G316-E316</f>
      </c>
    </row>
    <row r="317">
      <c r="A317" t="s">
        <v>219</v>
      </c>
      <c r="B317" t="s">
        <v>221</v>
      </c>
      <c r="C317" s="86" t="n">
        <v>2044</v>
      </c>
      <c r="D317" t="s">
        <v>419</v>
      </c>
      <c r="E317" s="87" t="n">
        <v>17223.0904505743</v>
      </c>
      <c r="F317" s="88" t="n">
        <v>11575.0639989813</v>
      </c>
      <c r="G317" s="89" t="n">
        <v>17141.7120461147</v>
      </c>
      <c r="H317" s="90" t="n">
        <v>11540.7879834335</v>
      </c>
      <c r="I317" s="91" t="str">
        <f>H317-F317</f>
      </c>
      <c r="J317" s="92" t="str">
        <f>G317-E317</f>
      </c>
    </row>
    <row r="318">
      <c r="A318" t="s">
        <v>219</v>
      </c>
      <c r="B318" t="s">
        <v>221</v>
      </c>
      <c r="C318" s="86" t="n">
        <v>2044</v>
      </c>
      <c r="D318" t="s">
        <v>224</v>
      </c>
      <c r="E318" s="87" t="n">
        <v>1095231.90310125</v>
      </c>
      <c r="F318" s="88" t="n">
        <v>219123.332623155</v>
      </c>
      <c r="G318" s="89" t="n">
        <v>1100597.33187273</v>
      </c>
      <c r="H318" s="90" t="n">
        <v>219387.626065992</v>
      </c>
      <c r="I318" s="91" t="str">
        <f>H318-F318</f>
      </c>
      <c r="J318" s="92" t="str">
        <f>G318-E318</f>
      </c>
    </row>
    <row r="319">
      <c r="A319" t="s">
        <v>219</v>
      </c>
      <c r="B319" t="s">
        <v>221</v>
      </c>
      <c r="C319" s="86" t="n">
        <v>2044</v>
      </c>
      <c r="D319" t="s">
        <v>420</v>
      </c>
      <c r="E319" s="87" t="n">
        <v>177340.03373342</v>
      </c>
      <c r="F319" s="88" t="n">
        <v>108654.115644524</v>
      </c>
      <c r="G319" s="89" t="n">
        <v>176720.973913542</v>
      </c>
      <c r="H319" s="90" t="n">
        <v>108405.015378104</v>
      </c>
      <c r="I319" s="91" t="str">
        <f>H319-F319</f>
      </c>
      <c r="J319" s="92" t="str">
        <f>G319-E319</f>
      </c>
    </row>
    <row r="320">
      <c r="A320" t="s">
        <v>219</v>
      </c>
      <c r="B320" t="s">
        <v>221</v>
      </c>
      <c r="C320" s="86" t="n">
        <v>2044</v>
      </c>
      <c r="D320" t="s">
        <v>235</v>
      </c>
      <c r="E320" s="87" t="n">
        <v>336259.743351549</v>
      </c>
      <c r="F320" s="88" t="n">
        <v>315588.83585793</v>
      </c>
      <c r="G320" s="89" t="n">
        <v>337141.608513163</v>
      </c>
      <c r="H320" s="90" t="n">
        <v>317170.637977033</v>
      </c>
      <c r="I320" s="91" t="str">
        <f>H320-F320</f>
      </c>
      <c r="J320" s="92" t="str">
        <f>G320-E320</f>
      </c>
    </row>
    <row r="321">
      <c r="A321" t="s">
        <v>219</v>
      </c>
      <c r="B321" t="s">
        <v>221</v>
      </c>
      <c r="C321" s="86" t="n">
        <v>2044</v>
      </c>
      <c r="D321" t="s">
        <v>244</v>
      </c>
      <c r="E321" s="87" t="n">
        <v>904617.752038685</v>
      </c>
      <c r="F321" s="88" t="n">
        <v>524520.38155304</v>
      </c>
      <c r="G321" s="89" t="n">
        <v>915703.811540802</v>
      </c>
      <c r="H321" s="90" t="n">
        <v>538525.397411542</v>
      </c>
      <c r="I321" s="91" t="str">
        <f>H321-F321</f>
      </c>
      <c r="J321" s="92" t="str">
        <f>G321-E321</f>
      </c>
    </row>
    <row r="322">
      <c r="A322" t="s">
        <v>219</v>
      </c>
      <c r="B322" t="s">
        <v>221</v>
      </c>
      <c r="C322" s="86" t="n">
        <v>2044</v>
      </c>
      <c r="D322" t="s">
        <v>248</v>
      </c>
      <c r="E322" s="87" t="n">
        <v>483233.875945461</v>
      </c>
      <c r="F322" s="88" t="n">
        <v>256248.127633955</v>
      </c>
      <c r="G322" s="89" t="n">
        <v>486601.390422378</v>
      </c>
      <c r="H322" s="90" t="n">
        <v>261683.339551894</v>
      </c>
      <c r="I322" s="91" t="str">
        <f>H322-F322</f>
      </c>
      <c r="J322" s="92" t="str">
        <f>G322-E322</f>
      </c>
    </row>
    <row r="323">
      <c r="A323" t="s">
        <v>219</v>
      </c>
      <c r="B323" t="s">
        <v>221</v>
      </c>
      <c r="C323" s="86" t="n">
        <v>2044</v>
      </c>
      <c r="D323" t="s">
        <v>421</v>
      </c>
      <c r="E323" s="87" t="n">
        <v>12150.0021973253</v>
      </c>
      <c r="F323" s="88" t="n">
        <v>1626.38063439744</v>
      </c>
      <c r="G323" s="89" t="n">
        <v>12149.8552379252</v>
      </c>
      <c r="H323" s="90" t="n">
        <v>1626.37538137955</v>
      </c>
      <c r="I323" s="91" t="str">
        <f>H323-F323</f>
      </c>
      <c r="J323" s="92" t="str">
        <f>G323-E323</f>
      </c>
    </row>
    <row r="324">
      <c r="A324" t="s">
        <v>219</v>
      </c>
      <c r="B324" t="s">
        <v>221</v>
      </c>
      <c r="C324" s="86" t="n">
        <v>2045</v>
      </c>
      <c r="D324" t="s">
        <v>419</v>
      </c>
      <c r="E324" s="87" t="n">
        <v>17646.9764407115</v>
      </c>
      <c r="F324" s="88" t="n">
        <v>11784.2058124385</v>
      </c>
      <c r="G324" s="89" t="n">
        <v>17558.0225793012</v>
      </c>
      <c r="H324" s="90" t="n">
        <v>11745.9298391965</v>
      </c>
      <c r="I324" s="91" t="str">
        <f>H324-F324</f>
      </c>
      <c r="J324" s="92" t="str">
        <f>G324-E324</f>
      </c>
    </row>
    <row r="325">
      <c r="A325" t="s">
        <v>219</v>
      </c>
      <c r="B325" t="s">
        <v>221</v>
      </c>
      <c r="C325" s="86" t="n">
        <v>2045</v>
      </c>
      <c r="D325" t="s">
        <v>224</v>
      </c>
      <c r="E325" s="87" t="n">
        <v>1105332.48124454</v>
      </c>
      <c r="F325" s="88" t="n">
        <v>224502.391914002</v>
      </c>
      <c r="G325" s="89" t="n">
        <v>1110841.03545085</v>
      </c>
      <c r="H325" s="90" t="n">
        <v>224789.135470853</v>
      </c>
      <c r="I325" s="91" t="str">
        <f>H325-F325</f>
      </c>
      <c r="J325" s="92" t="str">
        <f>G325-E325</f>
      </c>
    </row>
    <row r="326">
      <c r="A326" t="s">
        <v>219</v>
      </c>
      <c r="B326" t="s">
        <v>221</v>
      </c>
      <c r="C326" s="86" t="n">
        <v>2045</v>
      </c>
      <c r="D326" t="s">
        <v>420</v>
      </c>
      <c r="E326" s="87" t="n">
        <v>180825.785248341</v>
      </c>
      <c r="F326" s="88" t="n">
        <v>110813.877699839</v>
      </c>
      <c r="G326" s="89" t="n">
        <v>180153.68435169</v>
      </c>
      <c r="H326" s="90" t="n">
        <v>110535.42825069</v>
      </c>
      <c r="I326" s="91" t="str">
        <f>H326-F326</f>
      </c>
      <c r="J326" s="92" t="str">
        <f>G326-E326</f>
      </c>
    </row>
    <row r="327">
      <c r="A327" t="s">
        <v>219</v>
      </c>
      <c r="B327" t="s">
        <v>221</v>
      </c>
      <c r="C327" s="86" t="n">
        <v>2045</v>
      </c>
      <c r="D327" t="s">
        <v>235</v>
      </c>
      <c r="E327" s="87" t="n">
        <v>338342.56148133</v>
      </c>
      <c r="F327" s="88" t="n">
        <v>317449.063020965</v>
      </c>
      <c r="G327" s="89" t="n">
        <v>339169.596103443</v>
      </c>
      <c r="H327" s="90" t="n">
        <v>318918.904925021</v>
      </c>
      <c r="I327" s="91" t="str">
        <f>H327-F327</f>
      </c>
      <c r="J327" s="92" t="str">
        <f>G327-E327</f>
      </c>
    </row>
    <row r="328">
      <c r="A328" t="s">
        <v>219</v>
      </c>
      <c r="B328" t="s">
        <v>221</v>
      </c>
      <c r="C328" s="86" t="n">
        <v>2045</v>
      </c>
      <c r="D328" t="s">
        <v>244</v>
      </c>
      <c r="E328" s="87" t="n">
        <v>918105.135927312</v>
      </c>
      <c r="F328" s="88" t="n">
        <v>534885.336232699</v>
      </c>
      <c r="G328" s="89" t="n">
        <v>929197.274787431</v>
      </c>
      <c r="H328" s="90" t="n">
        <v>549018.34448389</v>
      </c>
      <c r="I328" s="91" t="str">
        <f>H328-F328</f>
      </c>
      <c r="J328" s="92" t="str">
        <f>G328-E328</f>
      </c>
    </row>
    <row r="329">
      <c r="A329" t="s">
        <v>219</v>
      </c>
      <c r="B329" t="s">
        <v>221</v>
      </c>
      <c r="C329" s="86" t="n">
        <v>2045</v>
      </c>
      <c r="D329" t="s">
        <v>248</v>
      </c>
      <c r="E329" s="87" t="n">
        <v>489936.759454643</v>
      </c>
      <c r="F329" s="88" t="n">
        <v>261930.329511751</v>
      </c>
      <c r="G329" s="89" t="n">
        <v>493255.893083406</v>
      </c>
      <c r="H329" s="90" t="n">
        <v>267382.392924501</v>
      </c>
      <c r="I329" s="91" t="str">
        <f>H329-F329</f>
      </c>
      <c r="J329" s="92" t="str">
        <f>G329-E329</f>
      </c>
    </row>
    <row r="330">
      <c r="A330" t="s">
        <v>219</v>
      </c>
      <c r="B330" t="s">
        <v>221</v>
      </c>
      <c r="C330" s="86" t="n">
        <v>2045</v>
      </c>
      <c r="D330" t="s">
        <v>421</v>
      </c>
      <c r="E330" s="87" t="n">
        <v>12048.6542115294</v>
      </c>
      <c r="F330" s="88" t="n">
        <v>1523.26954555256</v>
      </c>
      <c r="G330" s="89" t="n">
        <v>12048.500629735</v>
      </c>
      <c r="H330" s="90" t="n">
        <v>1523.26402182686</v>
      </c>
      <c r="I330" s="91" t="str">
        <f>H330-F330</f>
      </c>
      <c r="J330" s="92" t="str">
        <f>G330-E330</f>
      </c>
    </row>
    <row r="331">
      <c r="A331" t="s">
        <v>219</v>
      </c>
      <c r="B331" t="s">
        <v>221</v>
      </c>
      <c r="C331" s="86" t="n">
        <v>2046</v>
      </c>
      <c r="D331" t="s">
        <v>419</v>
      </c>
      <c r="E331" s="87" t="n">
        <v>18065.0099513974</v>
      </c>
      <c r="F331" s="88" t="n">
        <v>11998.8324444172</v>
      </c>
      <c r="G331" s="89" t="n">
        <v>17968.503099892</v>
      </c>
      <c r="H331" s="90" t="n">
        <v>11956.4732180851</v>
      </c>
      <c r="I331" s="91" t="str">
        <f>H331-F331</f>
      </c>
      <c r="J331" s="92" t="str">
        <f>G331-E331</f>
      </c>
    </row>
    <row r="332">
      <c r="A332" t="s">
        <v>219</v>
      </c>
      <c r="B332" t="s">
        <v>221</v>
      </c>
      <c r="C332" s="86" t="n">
        <v>2046</v>
      </c>
      <c r="D332" t="s">
        <v>224</v>
      </c>
      <c r="E332" s="87" t="n">
        <v>1119073.92456246</v>
      </c>
      <c r="F332" s="88" t="n">
        <v>229913.860983356</v>
      </c>
      <c r="G332" s="89" t="n">
        <v>1124741.39385058</v>
      </c>
      <c r="H332" s="90" t="n">
        <v>230223.641273017</v>
      </c>
      <c r="I332" s="91" t="str">
        <f>H332-F332</f>
      </c>
      <c r="J332" s="92" t="str">
        <f>G332-E332</f>
      </c>
    </row>
    <row r="333">
      <c r="A333" t="s">
        <v>219</v>
      </c>
      <c r="B333" t="s">
        <v>221</v>
      </c>
      <c r="C333" s="86" t="n">
        <v>2046</v>
      </c>
      <c r="D333" t="s">
        <v>420</v>
      </c>
      <c r="E333" s="87" t="n">
        <v>184234.807368562</v>
      </c>
      <c r="F333" s="88" t="n">
        <v>112987.858919071</v>
      </c>
      <c r="G333" s="89" t="n">
        <v>183510.562290158</v>
      </c>
      <c r="H333" s="90" t="n">
        <v>112679.652863118</v>
      </c>
      <c r="I333" s="91" t="str">
        <f>H333-F333</f>
      </c>
      <c r="J333" s="92" t="str">
        <f>G333-E333</f>
      </c>
    </row>
    <row r="334">
      <c r="A334" t="s">
        <v>219</v>
      </c>
      <c r="B334" t="s">
        <v>221</v>
      </c>
      <c r="C334" s="86" t="n">
        <v>2046</v>
      </c>
      <c r="D334" t="s">
        <v>235</v>
      </c>
      <c r="E334" s="87" t="n">
        <v>340450.558798748</v>
      </c>
      <c r="F334" s="88" t="n">
        <v>319199.201802575</v>
      </c>
      <c r="G334" s="89" t="n">
        <v>341225.275481564</v>
      </c>
      <c r="H334" s="90" t="n">
        <v>320574.163172874</v>
      </c>
      <c r="I334" s="91" t="str">
        <f>H334-F334</f>
      </c>
      <c r="J334" s="92" t="str">
        <f>G334-E334</f>
      </c>
    </row>
    <row r="335">
      <c r="A335" t="s">
        <v>219</v>
      </c>
      <c r="B335" t="s">
        <v>221</v>
      </c>
      <c r="C335" s="86" t="n">
        <v>2046</v>
      </c>
      <c r="D335" t="s">
        <v>244</v>
      </c>
      <c r="E335" s="87" t="n">
        <v>932890.025891044</v>
      </c>
      <c r="F335" s="88" t="n">
        <v>545279.606208903</v>
      </c>
      <c r="G335" s="89" t="n">
        <v>944010.931257439</v>
      </c>
      <c r="H335" s="90" t="n">
        <v>559544.256752656</v>
      </c>
      <c r="I335" s="91" t="str">
        <f>H335-F335</f>
      </c>
      <c r="J335" s="92" t="str">
        <f>G335-E335</f>
      </c>
    </row>
    <row r="336">
      <c r="A336" t="s">
        <v>219</v>
      </c>
      <c r="B336" t="s">
        <v>221</v>
      </c>
      <c r="C336" s="86" t="n">
        <v>2046</v>
      </c>
      <c r="D336" t="s">
        <v>248</v>
      </c>
      <c r="E336" s="87" t="n">
        <v>497365.374071866</v>
      </c>
      <c r="F336" s="88" t="n">
        <v>267606.54274246</v>
      </c>
      <c r="G336" s="89" t="n">
        <v>500645.717898476</v>
      </c>
      <c r="H336" s="90" t="n">
        <v>273080.787934234</v>
      </c>
      <c r="I336" s="91" t="str">
        <f>H336-F336</f>
      </c>
      <c r="J336" s="92" t="str">
        <f>G336-E336</f>
      </c>
    </row>
    <row r="337">
      <c r="A337" t="s">
        <v>219</v>
      </c>
      <c r="B337" t="s">
        <v>221</v>
      </c>
      <c r="C337" s="86" t="n">
        <v>2046</v>
      </c>
      <c r="D337" t="s">
        <v>421</v>
      </c>
      <c r="E337" s="87" t="n">
        <v>11943.9521802234</v>
      </c>
      <c r="F337" s="88" t="n">
        <v>1421.30604230491</v>
      </c>
      <c r="G337" s="89" t="n">
        <v>11943.7945693929</v>
      </c>
      <c r="H337" s="90" t="n">
        <v>1421.3002106259</v>
      </c>
      <c r="I337" s="91" t="str">
        <f>H337-F337</f>
      </c>
      <c r="J337" s="92" t="str">
        <f>G337-E337</f>
      </c>
    </row>
    <row r="338">
      <c r="A338" t="s">
        <v>219</v>
      </c>
      <c r="B338" t="s">
        <v>221</v>
      </c>
      <c r="C338" s="86" t="n">
        <v>2047</v>
      </c>
      <c r="D338" t="s">
        <v>419</v>
      </c>
      <c r="E338" s="87" t="n">
        <v>18474.9164418165</v>
      </c>
      <c r="F338" s="88" t="n">
        <v>12206.7419894656</v>
      </c>
      <c r="G338" s="89" t="n">
        <v>18370.9982297807</v>
      </c>
      <c r="H338" s="90" t="n">
        <v>12160.3227217187</v>
      </c>
      <c r="I338" s="91" t="str">
        <f>H338-F338</f>
      </c>
      <c r="J338" s="92" t="str">
        <f>G338-E338</f>
      </c>
    </row>
    <row r="339">
      <c r="A339" t="s">
        <v>219</v>
      </c>
      <c r="B339" t="s">
        <v>221</v>
      </c>
      <c r="C339" s="86" t="n">
        <v>2047</v>
      </c>
      <c r="D339" t="s">
        <v>224</v>
      </c>
      <c r="E339" s="87" t="n">
        <v>1127895.88950336</v>
      </c>
      <c r="F339" s="88" t="n">
        <v>235241.025904557</v>
      </c>
      <c r="G339" s="89" t="n">
        <v>1133680.16398797</v>
      </c>
      <c r="H339" s="90" t="n">
        <v>235574.501787602</v>
      </c>
      <c r="I339" s="91" t="str">
        <f>H339-F339</f>
      </c>
      <c r="J339" s="92" t="str">
        <f>G339-E339</f>
      </c>
    </row>
    <row r="340">
      <c r="A340" t="s">
        <v>219</v>
      </c>
      <c r="B340" t="s">
        <v>221</v>
      </c>
      <c r="C340" s="86" t="n">
        <v>2047</v>
      </c>
      <c r="D340" t="s">
        <v>420</v>
      </c>
      <c r="E340" s="87" t="n">
        <v>187700.361938147</v>
      </c>
      <c r="F340" s="88" t="n">
        <v>115108.23611538</v>
      </c>
      <c r="G340" s="89" t="n">
        <v>186925.284089995</v>
      </c>
      <c r="H340" s="90" t="n">
        <v>114770.43405396</v>
      </c>
      <c r="I340" s="91" t="str">
        <f>H340-F340</f>
      </c>
      <c r="J340" s="92" t="str">
        <f>G340-E340</f>
      </c>
    </row>
    <row r="341">
      <c r="A341" t="s">
        <v>219</v>
      </c>
      <c r="B341" t="s">
        <v>221</v>
      </c>
      <c r="C341" s="86" t="n">
        <v>2047</v>
      </c>
      <c r="D341" t="s">
        <v>235</v>
      </c>
      <c r="E341" s="87" t="n">
        <v>342099.063640483</v>
      </c>
      <c r="F341" s="88" t="n">
        <v>320746.08316102</v>
      </c>
      <c r="G341" s="89" t="n">
        <v>342821.899904036</v>
      </c>
      <c r="H341" s="90" t="n">
        <v>322040.722228729</v>
      </c>
      <c r="I341" s="91" t="str">
        <f>H341-F341</f>
      </c>
      <c r="J341" s="92" t="str">
        <f>G341-E341</f>
      </c>
    </row>
    <row r="342">
      <c r="A342" t="s">
        <v>219</v>
      </c>
      <c r="B342" t="s">
        <v>221</v>
      </c>
      <c r="C342" s="86" t="n">
        <v>2047</v>
      </c>
      <c r="D342" t="s">
        <v>244</v>
      </c>
      <c r="E342" s="87" t="n">
        <v>946563.574934828</v>
      </c>
      <c r="F342" s="88" t="n">
        <v>555381.931629635</v>
      </c>
      <c r="G342" s="89" t="n">
        <v>957700.330331823</v>
      </c>
      <c r="H342" s="90" t="n">
        <v>569776.387385101</v>
      </c>
      <c r="I342" s="91" t="str">
        <f>H342-F342</f>
      </c>
      <c r="J342" s="92" t="str">
        <f>G342-E342</f>
      </c>
    </row>
    <row r="343">
      <c r="A343" t="s">
        <v>219</v>
      </c>
      <c r="B343" t="s">
        <v>221</v>
      </c>
      <c r="C343" s="86" t="n">
        <v>2047</v>
      </c>
      <c r="D343" t="s">
        <v>248</v>
      </c>
      <c r="E343" s="87" t="n">
        <v>504487.241263081</v>
      </c>
      <c r="F343" s="88" t="n">
        <v>273095.835681773</v>
      </c>
      <c r="G343" s="89" t="n">
        <v>507728.749767113</v>
      </c>
      <c r="H343" s="90" t="n">
        <v>278595.1987469</v>
      </c>
      <c r="I343" s="91" t="str">
        <f>H343-F343</f>
      </c>
      <c r="J343" s="92" t="str">
        <f>G343-E343</f>
      </c>
    </row>
    <row r="344">
      <c r="A344" t="s">
        <v>219</v>
      </c>
      <c r="B344" t="s">
        <v>221</v>
      </c>
      <c r="C344" s="86" t="n">
        <v>2047</v>
      </c>
      <c r="D344" t="s">
        <v>421</v>
      </c>
      <c r="E344" s="87" t="n">
        <v>11676.9757208962</v>
      </c>
      <c r="F344" s="88" t="n">
        <v>1320.01365777861</v>
      </c>
      <c r="G344" s="89" t="n">
        <v>11676.8139890787</v>
      </c>
      <c r="H344" s="90" t="n">
        <v>1320.00748918915</v>
      </c>
      <c r="I344" s="91" t="str">
        <f>H344-F344</f>
      </c>
      <c r="J344" s="92" t="str">
        <f>G344-E344</f>
      </c>
    </row>
    <row r="345">
      <c r="A345" t="s">
        <v>219</v>
      </c>
      <c r="B345" t="s">
        <v>221</v>
      </c>
      <c r="C345" s="86" t="n">
        <v>2048</v>
      </c>
      <c r="D345" t="s">
        <v>419</v>
      </c>
      <c r="E345" s="87" t="n">
        <v>18976.6813319356</v>
      </c>
      <c r="F345" s="88" t="n">
        <v>12410.2407557947</v>
      </c>
      <c r="G345" s="89" t="n">
        <v>18865.0138793559</v>
      </c>
      <c r="H345" s="90" t="n">
        <v>12359.797946018</v>
      </c>
      <c r="I345" s="91" t="str">
        <f>H345-F345</f>
      </c>
      <c r="J345" s="92" t="str">
        <f>G345-E345</f>
      </c>
    </row>
    <row r="346">
      <c r="A346" t="s">
        <v>219</v>
      </c>
      <c r="B346" t="s">
        <v>221</v>
      </c>
      <c r="C346" s="86" t="n">
        <v>2048</v>
      </c>
      <c r="D346" t="s">
        <v>224</v>
      </c>
      <c r="E346" s="87" t="n">
        <v>1134038.76513626</v>
      </c>
      <c r="F346" s="88" t="n">
        <v>240420.981261251</v>
      </c>
      <c r="G346" s="89" t="n">
        <v>1139921.42222342</v>
      </c>
      <c r="H346" s="90" t="n">
        <v>240778.643136103</v>
      </c>
      <c r="I346" s="91" t="str">
        <f>H346-F346</f>
      </c>
      <c r="J346" s="92" t="str">
        <f>G346-E346</f>
      </c>
    </row>
    <row r="347">
      <c r="A347" t="s">
        <v>219</v>
      </c>
      <c r="B347" t="s">
        <v>221</v>
      </c>
      <c r="C347" s="86" t="n">
        <v>2048</v>
      </c>
      <c r="D347" t="s">
        <v>420</v>
      </c>
      <c r="E347" s="87" t="n">
        <v>192001.944772958</v>
      </c>
      <c r="F347" s="88" t="n">
        <v>117155.716531747</v>
      </c>
      <c r="G347" s="89" t="n">
        <v>191173.834498201</v>
      </c>
      <c r="H347" s="90" t="n">
        <v>116788.610084</v>
      </c>
      <c r="I347" s="91" t="str">
        <f>H347-F347</f>
      </c>
      <c r="J347" s="92" t="str">
        <f>G347-E347</f>
      </c>
    </row>
    <row r="348">
      <c r="A348" t="s">
        <v>219</v>
      </c>
      <c r="B348" t="s">
        <v>221</v>
      </c>
      <c r="C348" s="86" t="n">
        <v>2048</v>
      </c>
      <c r="D348" t="s">
        <v>235</v>
      </c>
      <c r="E348" s="87" t="n">
        <v>343116.321751212</v>
      </c>
      <c r="F348" s="88" t="n">
        <v>321837.582913453</v>
      </c>
      <c r="G348" s="89" t="n">
        <v>343787.138006374</v>
      </c>
      <c r="H348" s="90" t="n">
        <v>323063.01307722</v>
      </c>
      <c r="I348" s="91" t="str">
        <f>H348-F348</f>
      </c>
      <c r="J348" s="92" t="str">
        <f>G348-E348</f>
      </c>
    </row>
    <row r="349">
      <c r="A349" t="s">
        <v>219</v>
      </c>
      <c r="B349" t="s">
        <v>221</v>
      </c>
      <c r="C349" s="86" t="n">
        <v>2048</v>
      </c>
      <c r="D349" t="s">
        <v>244</v>
      </c>
      <c r="E349" s="87" t="n">
        <v>961584.67846537</v>
      </c>
      <c r="F349" s="88" t="n">
        <v>564943.590890498</v>
      </c>
      <c r="G349" s="89" t="n">
        <v>972752.000469153</v>
      </c>
      <c r="H349" s="90" t="n">
        <v>579456.858882308</v>
      </c>
      <c r="I349" s="91" t="str">
        <f>H349-F349</f>
      </c>
      <c r="J349" s="92" t="str">
        <f>G349-E349</f>
      </c>
    </row>
    <row r="350">
      <c r="A350" t="s">
        <v>219</v>
      </c>
      <c r="B350" t="s">
        <v>221</v>
      </c>
      <c r="C350" s="86" t="n">
        <v>2048</v>
      </c>
      <c r="D350" t="s">
        <v>248</v>
      </c>
      <c r="E350" s="87" t="n">
        <v>512933.036080221</v>
      </c>
      <c r="F350" s="88" t="n">
        <v>278384.994100147</v>
      </c>
      <c r="G350" s="89" t="n">
        <v>516145.438063223</v>
      </c>
      <c r="H350" s="90" t="n">
        <v>283909.318240972</v>
      </c>
      <c r="I350" s="91" t="str">
        <f>H350-F350</f>
      </c>
      <c r="J350" s="92" t="str">
        <f>G350-E350</f>
      </c>
    </row>
    <row r="351">
      <c r="A351" t="s">
        <v>219</v>
      </c>
      <c r="B351" t="s">
        <v>221</v>
      </c>
      <c r="C351" s="86" t="n">
        <v>2048</v>
      </c>
      <c r="D351" t="s">
        <v>421</v>
      </c>
      <c r="E351" s="87" t="n">
        <v>11567.5739454273</v>
      </c>
      <c r="F351" s="88" t="n">
        <v>1228.73917165625</v>
      </c>
      <c r="G351" s="89" t="n">
        <v>11567.4035703729</v>
      </c>
      <c r="H351" s="90" t="n">
        <v>1228.73261677247</v>
      </c>
      <c r="I351" s="91" t="str">
        <f>H351-F351</f>
      </c>
      <c r="J351" s="92" t="str">
        <f>G351-E351</f>
      </c>
    </row>
    <row r="352">
      <c r="A352" t="s">
        <v>219</v>
      </c>
      <c r="B352" t="s">
        <v>221</v>
      </c>
      <c r="C352" s="86" t="n">
        <v>2049</v>
      </c>
      <c r="D352" t="s">
        <v>419</v>
      </c>
      <c r="E352" s="87" t="n">
        <v>19385.0401105118</v>
      </c>
      <c r="F352" s="88" t="n">
        <v>12617.4547287213</v>
      </c>
      <c r="G352" s="89" t="n">
        <v>19265.9413357536</v>
      </c>
      <c r="H352" s="90" t="n">
        <v>12562.9700035081</v>
      </c>
      <c r="I352" s="91" t="str">
        <f>H352-F352</f>
      </c>
      <c r="J352" s="92" t="str">
        <f>G352-E352</f>
      </c>
    </row>
    <row r="353">
      <c r="A353" t="s">
        <v>219</v>
      </c>
      <c r="B353" t="s">
        <v>221</v>
      </c>
      <c r="C353" s="86" t="n">
        <v>2049</v>
      </c>
      <c r="D353" t="s">
        <v>224</v>
      </c>
      <c r="E353" s="87" t="n">
        <v>1142963.08801491</v>
      </c>
      <c r="F353" s="88" t="n">
        <v>245641.803395189</v>
      </c>
      <c r="G353" s="89" t="n">
        <v>1148955.60958046</v>
      </c>
      <c r="H353" s="90" t="n">
        <v>246024.454765088</v>
      </c>
      <c r="I353" s="91" t="str">
        <f>H353-F353</f>
      </c>
      <c r="J353" s="92" t="str">
        <f>G353-E353</f>
      </c>
    </row>
    <row r="354">
      <c r="A354" t="s">
        <v>219</v>
      </c>
      <c r="B354" t="s">
        <v>221</v>
      </c>
      <c r="C354" s="86" t="n">
        <v>2049</v>
      </c>
      <c r="D354" t="s">
        <v>420</v>
      </c>
      <c r="E354" s="87" t="n">
        <v>195169.293800491</v>
      </c>
      <c r="F354" s="88" t="n">
        <v>119224.027975173</v>
      </c>
      <c r="G354" s="89" t="n">
        <v>194292.055539498</v>
      </c>
      <c r="H354" s="90" t="n">
        <v>118827.584291328</v>
      </c>
      <c r="I354" s="91" t="str">
        <f>H354-F354</f>
      </c>
      <c r="J354" s="92" t="str">
        <f>G354-E354</f>
      </c>
    </row>
    <row r="355">
      <c r="A355" t="s">
        <v>219</v>
      </c>
      <c r="B355" t="s">
        <v>221</v>
      </c>
      <c r="C355" s="86" t="n">
        <v>2049</v>
      </c>
      <c r="D355" t="s">
        <v>235</v>
      </c>
      <c r="E355" s="87" t="n">
        <v>344409.215105394</v>
      </c>
      <c r="F355" s="88" t="n">
        <v>322956.415160828</v>
      </c>
      <c r="G355" s="89" t="n">
        <v>345031.334829118</v>
      </c>
      <c r="H355" s="90" t="n">
        <v>324116.922797206</v>
      </c>
      <c r="I355" s="91" t="str">
        <f>H355-F355</f>
      </c>
      <c r="J355" s="92" t="str">
        <f>G355-E355</f>
      </c>
    </row>
    <row r="356">
      <c r="A356" t="s">
        <v>219</v>
      </c>
      <c r="B356" t="s">
        <v>221</v>
      </c>
      <c r="C356" s="86" t="n">
        <v>2049</v>
      </c>
      <c r="D356" t="s">
        <v>244</v>
      </c>
      <c r="E356" s="87" t="n">
        <v>974330.193525079</v>
      </c>
      <c r="F356" s="88" t="n">
        <v>574589.183125756</v>
      </c>
      <c r="G356" s="89" t="n">
        <v>985505.206976823</v>
      </c>
      <c r="H356" s="90" t="n">
        <v>589228.445176563</v>
      </c>
      <c r="I356" s="91" t="str">
        <f>H356-F356</f>
      </c>
      <c r="J356" s="92" t="str">
        <f>G356-E356</f>
      </c>
    </row>
    <row r="357">
      <c r="A357" t="s">
        <v>219</v>
      </c>
      <c r="B357" t="s">
        <v>221</v>
      </c>
      <c r="C357" s="86" t="n">
        <v>2049</v>
      </c>
      <c r="D357" t="s">
        <v>248</v>
      </c>
      <c r="E357" s="87" t="n">
        <v>519320.026743742</v>
      </c>
      <c r="F357" s="88" t="n">
        <v>283694.59509982</v>
      </c>
      <c r="G357" s="89" t="n">
        <v>522492.200230248</v>
      </c>
      <c r="H357" s="90" t="n">
        <v>289249.089939416</v>
      </c>
      <c r="I357" s="91" t="str">
        <f>H357-F357</f>
      </c>
      <c r="J357" s="92" t="str">
        <f>G357-E357</f>
      </c>
    </row>
    <row r="358">
      <c r="A358" t="s">
        <v>219</v>
      </c>
      <c r="B358" t="s">
        <v>221</v>
      </c>
      <c r="C358" s="86" t="n">
        <v>2049</v>
      </c>
      <c r="D358" t="s">
        <v>421</v>
      </c>
      <c r="E358" s="87" t="n">
        <v>11514.7173592047</v>
      </c>
      <c r="F358" s="88" t="n">
        <v>1139.24871202363</v>
      </c>
      <c r="G358" s="89" t="n">
        <v>11514.5369642823</v>
      </c>
      <c r="H358" s="90" t="n">
        <v>1139.24175250417</v>
      </c>
      <c r="I358" s="91" t="str">
        <f>H358-F358</f>
      </c>
      <c r="J358" s="92" t="str">
        <f>G358-E358</f>
      </c>
    </row>
    <row r="359">
      <c r="A359" t="s">
        <v>219</v>
      </c>
      <c r="B359" t="s">
        <v>221</v>
      </c>
      <c r="C359" s="86" t="n">
        <v>2050</v>
      </c>
      <c r="D359" t="s">
        <v>419</v>
      </c>
      <c r="E359" s="87" t="n">
        <v>19778.2676269455</v>
      </c>
      <c r="F359" s="88" t="n">
        <v>12823.508606662</v>
      </c>
      <c r="G359" s="89" t="n">
        <v>19651.774602414</v>
      </c>
      <c r="H359" s="90" t="n">
        <v>12764.9906286853</v>
      </c>
      <c r="I359" s="91" t="str">
        <f>H359-F359</f>
      </c>
      <c r="J359" s="92" t="str">
        <f>G359-E359</f>
      </c>
    </row>
    <row r="360">
      <c r="A360" t="s">
        <v>219</v>
      </c>
      <c r="B360" t="s">
        <v>221</v>
      </c>
      <c r="C360" s="86" t="n">
        <v>2050</v>
      </c>
      <c r="D360" t="s">
        <v>224</v>
      </c>
      <c r="E360" s="87" t="n">
        <v>1151570.62851575</v>
      </c>
      <c r="F360" s="88" t="n">
        <v>250770.705903462</v>
      </c>
      <c r="G360" s="89" t="n">
        <v>1157673.56667431</v>
      </c>
      <c r="H360" s="90" t="n">
        <v>251178.956267752</v>
      </c>
      <c r="I360" s="91" t="str">
        <f>H360-F360</f>
      </c>
      <c r="J360" s="92" t="str">
        <f>G360-E360</f>
      </c>
    </row>
    <row r="361">
      <c r="A361" t="s">
        <v>219</v>
      </c>
      <c r="B361" t="s">
        <v>221</v>
      </c>
      <c r="C361" s="86" t="n">
        <v>2050</v>
      </c>
      <c r="D361" t="s">
        <v>420</v>
      </c>
      <c r="E361" s="87" t="n">
        <v>197841.948184216</v>
      </c>
      <c r="F361" s="88" t="n">
        <v>121253.36894066</v>
      </c>
      <c r="G361" s="89" t="n">
        <v>196917.204625516</v>
      </c>
      <c r="H361" s="90" t="n">
        <v>120827.928759862</v>
      </c>
      <c r="I361" s="91" t="str">
        <f>H361-F361</f>
      </c>
      <c r="J361" s="92" t="str">
        <f>G361-E361</f>
      </c>
    </row>
    <row r="362">
      <c r="A362" t="s">
        <v>219</v>
      </c>
      <c r="B362" t="s">
        <v>221</v>
      </c>
      <c r="C362" s="86" t="n">
        <v>2050</v>
      </c>
      <c r="D362" t="s">
        <v>235</v>
      </c>
      <c r="E362" s="87" t="n">
        <v>345658.109705217</v>
      </c>
      <c r="F362" s="88" t="n">
        <v>323867.452566411</v>
      </c>
      <c r="G362" s="89" t="n">
        <v>346233.851249823</v>
      </c>
      <c r="H362" s="90" t="n">
        <v>324973.279226193</v>
      </c>
      <c r="I362" s="91" t="str">
        <f>H362-F362</f>
      </c>
      <c r="J362" s="92" t="str">
        <f>G362-E362</f>
      </c>
    </row>
    <row r="363">
      <c r="A363" t="s">
        <v>219</v>
      </c>
      <c r="B363" t="s">
        <v>221</v>
      </c>
      <c r="C363" s="86" t="n">
        <v>2050</v>
      </c>
      <c r="D363" t="s">
        <v>244</v>
      </c>
      <c r="E363" s="87" t="n">
        <v>986081.961419397</v>
      </c>
      <c r="F363" s="88" t="n">
        <v>584054.886101136</v>
      </c>
      <c r="G363" s="89" t="n">
        <v>997255.105001918</v>
      </c>
      <c r="H363" s="90" t="n">
        <v>598816.687069898</v>
      </c>
      <c r="I363" s="91" t="str">
        <f>H363-F363</f>
      </c>
      <c r="J363" s="92" t="str">
        <f>G363-E363</f>
      </c>
    </row>
    <row r="364">
      <c r="A364" t="s">
        <v>219</v>
      </c>
      <c r="B364" t="s">
        <v>221</v>
      </c>
      <c r="C364" s="86" t="n">
        <v>2050</v>
      </c>
      <c r="D364" t="s">
        <v>248</v>
      </c>
      <c r="E364" s="87" t="n">
        <v>524881.237148458</v>
      </c>
      <c r="F364" s="88" t="n">
        <v>288811.905478151</v>
      </c>
      <c r="G364" s="89" t="n">
        <v>528009.464128417</v>
      </c>
      <c r="H364" s="90" t="n">
        <v>294395.50759804</v>
      </c>
      <c r="I364" s="91" t="str">
        <f>H364-F364</f>
      </c>
      <c r="J364" s="92" t="str">
        <f>G364-E364</f>
      </c>
    </row>
    <row r="365">
      <c r="A365" t="s">
        <v>219</v>
      </c>
      <c r="B365" t="s">
        <v>221</v>
      </c>
      <c r="C365" s="86" t="n">
        <v>2050</v>
      </c>
      <c r="D365" t="s">
        <v>421</v>
      </c>
      <c r="E365" s="87" t="n">
        <v>11458.5232399558</v>
      </c>
      <c r="F365" s="88" t="n">
        <v>1051.12123768826</v>
      </c>
      <c r="G365" s="89" t="n">
        <v>11458.3317669049</v>
      </c>
      <c r="H365" s="90" t="n">
        <v>1051.113893317</v>
      </c>
      <c r="I365" s="91" t="str">
        <f>H365-F365</f>
      </c>
      <c r="J365" s="92" t="str">
        <f>G365-E365</f>
      </c>
    </row>
    <row r="366">
      <c r="A366" t="s">
        <v>250</v>
      </c>
      <c r="B366" t="s">
        <v>252</v>
      </c>
      <c r="C366" s="86" t="n">
        <v>2025</v>
      </c>
      <c r="D366" t="s">
        <v>419</v>
      </c>
      <c r="E366" s="87" t="n">
        <v>11293.8589534084</v>
      </c>
      <c r="F366" s="88" t="n">
        <v>8456.09110298006</v>
      </c>
      <c r="G366" s="89" t="n">
        <v>11293.858953409</v>
      </c>
      <c r="H366" s="90" t="n">
        <v>8456.09110298007</v>
      </c>
      <c r="I366" s="91" t="str">
        <f>H366-F366</f>
      </c>
      <c r="J366" s="92" t="str">
        <f>G366-E366</f>
      </c>
    </row>
    <row r="367">
      <c r="A367" t="s">
        <v>250</v>
      </c>
      <c r="B367" t="s">
        <v>252</v>
      </c>
      <c r="C367" s="86" t="n">
        <v>2025</v>
      </c>
      <c r="D367" t="s">
        <v>224</v>
      </c>
      <c r="E367" s="87" t="n">
        <v>796801.79248266</v>
      </c>
      <c r="F367" s="88" t="n">
        <v>124437.099676651</v>
      </c>
      <c r="G367" s="89" t="n">
        <v>796801.792482661</v>
      </c>
      <c r="H367" s="90" t="n">
        <v>124437.099676651</v>
      </c>
      <c r="I367" s="91" t="str">
        <f>H367-F367</f>
      </c>
      <c r="J367" s="92" t="str">
        <f>G367-E367</f>
      </c>
    </row>
    <row r="368">
      <c r="A368" t="s">
        <v>250</v>
      </c>
      <c r="B368" t="s">
        <v>252</v>
      </c>
      <c r="C368" s="86" t="n">
        <v>2025</v>
      </c>
      <c r="D368" t="s">
        <v>420</v>
      </c>
      <c r="E368" s="87" t="n">
        <v>110599.338170727</v>
      </c>
      <c r="F368" s="88" t="n">
        <v>70978.7980144996</v>
      </c>
      <c r="G368" s="89" t="n">
        <v>110599.338170727</v>
      </c>
      <c r="H368" s="90" t="n">
        <v>70978.7980144995</v>
      </c>
      <c r="I368" s="91" t="str">
        <f>H368-F368</f>
      </c>
      <c r="J368" s="92" t="str">
        <f>G368-E368</f>
      </c>
    </row>
    <row r="369">
      <c r="A369" t="s">
        <v>250</v>
      </c>
      <c r="B369" t="s">
        <v>252</v>
      </c>
      <c r="C369" s="86" t="n">
        <v>2025</v>
      </c>
      <c r="D369" t="s">
        <v>235</v>
      </c>
      <c r="E369" s="87" t="n">
        <v>269908.90899035</v>
      </c>
      <c r="F369" s="88" t="n">
        <v>250549.928104577</v>
      </c>
      <c r="G369" s="89" t="n">
        <v>269908.90899035</v>
      </c>
      <c r="H369" s="90" t="n">
        <v>250549.928104577</v>
      </c>
      <c r="I369" s="91" t="str">
        <f>H369-F369</f>
      </c>
      <c r="J369" s="92" t="str">
        <f>G369-E369</f>
      </c>
    </row>
    <row r="370">
      <c r="A370" t="s">
        <v>250</v>
      </c>
      <c r="B370" t="s">
        <v>252</v>
      </c>
      <c r="C370" s="86" t="n">
        <v>2025</v>
      </c>
      <c r="D370" t="s">
        <v>244</v>
      </c>
      <c r="E370" s="87" t="n">
        <v>605290.562665356</v>
      </c>
      <c r="F370" s="88" t="n">
        <v>336235.043603752</v>
      </c>
      <c r="G370" s="89" t="n">
        <v>605290.562665356</v>
      </c>
      <c r="H370" s="90" t="n">
        <v>336235.043603752</v>
      </c>
      <c r="I370" s="91" t="str">
        <f>H370-F370</f>
      </c>
      <c r="J370" s="92" t="str">
        <f>G370-E370</f>
      </c>
    </row>
    <row r="371">
      <c r="A371" t="s">
        <v>250</v>
      </c>
      <c r="B371" t="s">
        <v>252</v>
      </c>
      <c r="C371" s="86" t="n">
        <v>2025</v>
      </c>
      <c r="D371" t="s">
        <v>248</v>
      </c>
      <c r="E371" s="87" t="n">
        <v>328703.695708345</v>
      </c>
      <c r="F371" s="88" t="n">
        <v>165181.229862536</v>
      </c>
      <c r="G371" s="89" t="n">
        <v>328703.695708345</v>
      </c>
      <c r="H371" s="90" t="n">
        <v>165181.229862536</v>
      </c>
      <c r="I371" s="91" t="str">
        <f>H371-F371</f>
      </c>
      <c r="J371" s="92" t="str">
        <f>G371-E371</f>
      </c>
    </row>
    <row r="372">
      <c r="A372" t="s">
        <v>250</v>
      </c>
      <c r="B372" t="s">
        <v>252</v>
      </c>
      <c r="C372" s="86" t="n">
        <v>2025</v>
      </c>
      <c r="D372" t="s">
        <v>421</v>
      </c>
      <c r="E372" s="87" t="n">
        <v>12601.518831831</v>
      </c>
      <c r="F372" s="88" t="n">
        <v>3955.30711895499</v>
      </c>
      <c r="G372" s="89" t="n">
        <v>12601.5188318307</v>
      </c>
      <c r="H372" s="90" t="n">
        <v>3955.30711895499</v>
      </c>
      <c r="I372" s="91" t="str">
        <f>H372-F372</f>
      </c>
      <c r="J372" s="92" t="str">
        <f>G372-E372</f>
      </c>
    </row>
    <row r="373">
      <c r="A373" t="s">
        <v>250</v>
      </c>
      <c r="B373" t="s">
        <v>252</v>
      </c>
      <c r="C373" s="86" t="n">
        <v>2026</v>
      </c>
      <c r="D373" t="s">
        <v>419</v>
      </c>
      <c r="E373" s="87" t="n">
        <v>11413.9401907853</v>
      </c>
      <c r="F373" s="88" t="n">
        <v>8503.04883072895</v>
      </c>
      <c r="G373" s="89" t="n">
        <v>11413.9401907849</v>
      </c>
      <c r="H373" s="90" t="n">
        <v>8503.048830729</v>
      </c>
      <c r="I373" s="91" t="str">
        <f>H373-F373</f>
      </c>
      <c r="J373" s="92" t="str">
        <f>G373-E373</f>
      </c>
    </row>
    <row r="374">
      <c r="A374" t="s">
        <v>250</v>
      </c>
      <c r="B374" t="s">
        <v>252</v>
      </c>
      <c r="C374" s="86" t="n">
        <v>2026</v>
      </c>
      <c r="D374" t="s">
        <v>224</v>
      </c>
      <c r="E374" s="87" t="n">
        <v>813844.569716144</v>
      </c>
      <c r="F374" s="88" t="n">
        <v>128333.952745922</v>
      </c>
      <c r="G374" s="89" t="n">
        <v>813844.569716145</v>
      </c>
      <c r="H374" s="90" t="n">
        <v>128333.952745922</v>
      </c>
      <c r="I374" s="91" t="str">
        <f>H374-F374</f>
      </c>
      <c r="J374" s="92" t="str">
        <f>G374-E374</f>
      </c>
    </row>
    <row r="375">
      <c r="A375" t="s">
        <v>250</v>
      </c>
      <c r="B375" t="s">
        <v>252</v>
      </c>
      <c r="C375" s="86" t="n">
        <v>2026</v>
      </c>
      <c r="D375" t="s">
        <v>420</v>
      </c>
      <c r="E375" s="87" t="n">
        <v>113261.46718113</v>
      </c>
      <c r="F375" s="88" t="n">
        <v>72339.6884190734</v>
      </c>
      <c r="G375" s="89" t="n">
        <v>113261.467181129</v>
      </c>
      <c r="H375" s="90" t="n">
        <v>72339.6884190733</v>
      </c>
      <c r="I375" s="91" t="str">
        <f>H375-F375</f>
      </c>
      <c r="J375" s="92" t="str">
        <f>G375-E375</f>
      </c>
    </row>
    <row r="376">
      <c r="A376" t="s">
        <v>250</v>
      </c>
      <c r="B376" t="s">
        <v>252</v>
      </c>
      <c r="C376" s="86" t="n">
        <v>2026</v>
      </c>
      <c r="D376" t="s">
        <v>235</v>
      </c>
      <c r="E376" s="87" t="n">
        <v>274135.700654838</v>
      </c>
      <c r="F376" s="88" t="n">
        <v>254650.945696258</v>
      </c>
      <c r="G376" s="89" t="n">
        <v>274200.577929512</v>
      </c>
      <c r="H376" s="90" t="n">
        <v>254910.752627481</v>
      </c>
      <c r="I376" s="91" t="str">
        <f>H376-F376</f>
      </c>
      <c r="J376" s="92" t="str">
        <f>G376-E376</f>
      </c>
    </row>
    <row r="377">
      <c r="A377" t="s">
        <v>250</v>
      </c>
      <c r="B377" t="s">
        <v>252</v>
      </c>
      <c r="C377" s="86" t="n">
        <v>2026</v>
      </c>
      <c r="D377" t="s">
        <v>244</v>
      </c>
      <c r="E377" s="87" t="n">
        <v>619659.822660535</v>
      </c>
      <c r="F377" s="88" t="n">
        <v>344475.326527376</v>
      </c>
      <c r="G377" s="89" t="n">
        <v>620097.594779103</v>
      </c>
      <c r="H377" s="90" t="n">
        <v>344917.064339335</v>
      </c>
      <c r="I377" s="91" t="str">
        <f>H377-F377</f>
      </c>
      <c r="J377" s="92" t="str">
        <f>G377-E377</f>
      </c>
    </row>
    <row r="378">
      <c r="A378" t="s">
        <v>250</v>
      </c>
      <c r="B378" t="s">
        <v>252</v>
      </c>
      <c r="C378" s="86" t="n">
        <v>2026</v>
      </c>
      <c r="D378" t="s">
        <v>248</v>
      </c>
      <c r="E378" s="87" t="n">
        <v>335422.914743202</v>
      </c>
      <c r="F378" s="88" t="n">
        <v>167766.19487482</v>
      </c>
      <c r="G378" s="89" t="n">
        <v>335570.10792798</v>
      </c>
      <c r="H378" s="90" t="n">
        <v>167951.384337069</v>
      </c>
      <c r="I378" s="91" t="str">
        <f>H378-F378</f>
      </c>
      <c r="J378" s="92" t="str">
        <f>G378-E378</f>
      </c>
    </row>
    <row r="379">
      <c r="A379" t="s">
        <v>250</v>
      </c>
      <c r="B379" t="s">
        <v>252</v>
      </c>
      <c r="C379" s="86" t="n">
        <v>2026</v>
      </c>
      <c r="D379" t="s">
        <v>421</v>
      </c>
      <c r="E379" s="87" t="n">
        <v>12631.2009976531</v>
      </c>
      <c r="F379" s="88" t="n">
        <v>3824.41375844239</v>
      </c>
      <c r="G379" s="89" t="n">
        <v>12631.2009976529</v>
      </c>
      <c r="H379" s="90" t="n">
        <v>3824.41375844239</v>
      </c>
      <c r="I379" s="91" t="str">
        <f>H379-F379</f>
      </c>
      <c r="J379" s="92" t="str">
        <f>G379-E379</f>
      </c>
    </row>
    <row r="380">
      <c r="A380" t="s">
        <v>250</v>
      </c>
      <c r="B380" t="s">
        <v>252</v>
      </c>
      <c r="C380" s="86" t="n">
        <v>2027</v>
      </c>
      <c r="D380" t="s">
        <v>419</v>
      </c>
      <c r="E380" s="87" t="n">
        <v>11515.9025646628</v>
      </c>
      <c r="F380" s="88" t="n">
        <v>8579.03905337464</v>
      </c>
      <c r="G380" s="89" t="n">
        <v>11515.58910781</v>
      </c>
      <c r="H380" s="90" t="n">
        <v>8579.03905337462</v>
      </c>
      <c r="I380" s="91" t="str">
        <f>H380-F380</f>
      </c>
      <c r="J380" s="92" t="str">
        <f>G380-E380</f>
      </c>
    </row>
    <row r="381">
      <c r="A381" t="s">
        <v>250</v>
      </c>
      <c r="B381" t="s">
        <v>252</v>
      </c>
      <c r="C381" s="86" t="n">
        <v>2027</v>
      </c>
      <c r="D381" t="s">
        <v>224</v>
      </c>
      <c r="E381" s="87" t="n">
        <v>831968.232673078</v>
      </c>
      <c r="F381" s="88" t="n">
        <v>132462.188251167</v>
      </c>
      <c r="G381" s="89" t="n">
        <v>832166.906185925</v>
      </c>
      <c r="H381" s="90" t="n">
        <v>132462.188251167</v>
      </c>
      <c r="I381" s="91" t="str">
        <f>H381-F381</f>
      </c>
      <c r="J381" s="92" t="str">
        <f>G381-E381</f>
      </c>
    </row>
    <row r="382">
      <c r="A382" t="s">
        <v>250</v>
      </c>
      <c r="B382" t="s">
        <v>252</v>
      </c>
      <c r="C382" s="86" t="n">
        <v>2027</v>
      </c>
      <c r="D382" t="s">
        <v>420</v>
      </c>
      <c r="E382" s="87" t="n">
        <v>115935.120447867</v>
      </c>
      <c r="F382" s="88" t="n">
        <v>73859.9102925665</v>
      </c>
      <c r="G382" s="89" t="n">
        <v>115932.769375635</v>
      </c>
      <c r="H382" s="90" t="n">
        <v>73859.9102925664</v>
      </c>
      <c r="I382" s="91" t="str">
        <f>H382-F382</f>
      </c>
      <c r="J382" s="92" t="str">
        <f>G382-E382</f>
      </c>
    </row>
    <row r="383">
      <c r="A383" t="s">
        <v>250</v>
      </c>
      <c r="B383" t="s">
        <v>252</v>
      </c>
      <c r="C383" s="86" t="n">
        <v>2027</v>
      </c>
      <c r="D383" t="s">
        <v>235</v>
      </c>
      <c r="E383" s="87" t="n">
        <v>278380.767323492</v>
      </c>
      <c r="F383" s="88" t="n">
        <v>258852.485707768</v>
      </c>
      <c r="G383" s="89" t="n">
        <v>278508.667642155</v>
      </c>
      <c r="H383" s="90" t="n">
        <v>259318.038089282</v>
      </c>
      <c r="I383" s="91" t="str">
        <f>H383-F383</f>
      </c>
      <c r="J383" s="92" t="str">
        <f>G383-E383</f>
      </c>
    </row>
    <row r="384">
      <c r="A384" t="s">
        <v>250</v>
      </c>
      <c r="B384" t="s">
        <v>252</v>
      </c>
      <c r="C384" s="86" t="n">
        <v>2027</v>
      </c>
      <c r="D384" t="s">
        <v>244</v>
      </c>
      <c r="E384" s="87" t="n">
        <v>634209.72705063</v>
      </c>
      <c r="F384" s="88" t="n">
        <v>353275.618800168</v>
      </c>
      <c r="G384" s="89" t="n">
        <v>635095.671557741</v>
      </c>
      <c r="H384" s="90" t="n">
        <v>354171.544362645</v>
      </c>
      <c r="I384" s="91" t="str">
        <f>H384-F384</f>
      </c>
      <c r="J384" s="92" t="str">
        <f>G384-E384</f>
      </c>
    </row>
    <row r="385">
      <c r="A385" t="s">
        <v>250</v>
      </c>
      <c r="B385" t="s">
        <v>252</v>
      </c>
      <c r="C385" s="86" t="n">
        <v>2027</v>
      </c>
      <c r="D385" t="s">
        <v>248</v>
      </c>
      <c r="E385" s="87" t="n">
        <v>342197.75507946</v>
      </c>
      <c r="F385" s="88" t="n">
        <v>170873.544899061</v>
      </c>
      <c r="G385" s="89" t="n">
        <v>342492.405098957</v>
      </c>
      <c r="H385" s="90" t="n">
        <v>171237.362695819</v>
      </c>
      <c r="I385" s="91" t="str">
        <f>H385-F385</f>
      </c>
      <c r="J385" s="92" t="str">
        <f>G385-E385</f>
      </c>
    </row>
    <row r="386">
      <c r="A386" t="s">
        <v>250</v>
      </c>
      <c r="B386" t="s">
        <v>252</v>
      </c>
      <c r="C386" s="86" t="n">
        <v>2027</v>
      </c>
      <c r="D386" t="s">
        <v>421</v>
      </c>
      <c r="E386" s="87" t="n">
        <v>12629.808858016</v>
      </c>
      <c r="F386" s="88" t="n">
        <v>3692.70803496508</v>
      </c>
      <c r="G386" s="89" t="n">
        <v>12629.8028477439</v>
      </c>
      <c r="H386" s="90" t="n">
        <v>3692.70803496508</v>
      </c>
      <c r="I386" s="91" t="str">
        <f>H386-F386</f>
      </c>
      <c r="J386" s="92" t="str">
        <f>G386-E386</f>
      </c>
    </row>
    <row r="387">
      <c r="A387" t="s">
        <v>250</v>
      </c>
      <c r="B387" t="s">
        <v>252</v>
      </c>
      <c r="C387" s="86" t="n">
        <v>2028</v>
      </c>
      <c r="D387" t="s">
        <v>419</v>
      </c>
      <c r="E387" s="87" t="n">
        <v>11830.3014888008</v>
      </c>
      <c r="F387" s="88" t="n">
        <v>8691.04302635238</v>
      </c>
      <c r="G387" s="89" t="n">
        <v>11829.3995552585</v>
      </c>
      <c r="H387" s="90" t="n">
        <v>8690.97079151088</v>
      </c>
      <c r="I387" s="91" t="str">
        <f>H387-F387</f>
      </c>
      <c r="J387" s="92" t="str">
        <f>G387-E387</f>
      </c>
    </row>
    <row r="388">
      <c r="A388" t="s">
        <v>250</v>
      </c>
      <c r="B388" t="s">
        <v>252</v>
      </c>
      <c r="C388" s="86" t="n">
        <v>2028</v>
      </c>
      <c r="D388" t="s">
        <v>224</v>
      </c>
      <c r="E388" s="87" t="n">
        <v>854569.044454435</v>
      </c>
      <c r="F388" s="88" t="n">
        <v>136769.289419838</v>
      </c>
      <c r="G388" s="89" t="n">
        <v>854958.476961541</v>
      </c>
      <c r="H388" s="90" t="n">
        <v>136770.52662348</v>
      </c>
      <c r="I388" s="91" t="str">
        <f>H388-F388</f>
      </c>
      <c r="J388" s="92" t="str">
        <f>G388-E388</f>
      </c>
    </row>
    <row r="389">
      <c r="A389" t="s">
        <v>250</v>
      </c>
      <c r="B389" t="s">
        <v>252</v>
      </c>
      <c r="C389" s="86" t="n">
        <v>2028</v>
      </c>
      <c r="D389" t="s">
        <v>420</v>
      </c>
      <c r="E389" s="87" t="n">
        <v>119691.408507236</v>
      </c>
      <c r="F389" s="88" t="n">
        <v>75545.4990709883</v>
      </c>
      <c r="G389" s="89" t="n">
        <v>119684.609316206</v>
      </c>
      <c r="H389" s="90" t="n">
        <v>75545.0868001112</v>
      </c>
      <c r="I389" s="91" t="str">
        <f>H389-F389</f>
      </c>
      <c r="J389" s="92" t="str">
        <f>G389-E389</f>
      </c>
    </row>
    <row r="390">
      <c r="A390" t="s">
        <v>250</v>
      </c>
      <c r="B390" t="s">
        <v>252</v>
      </c>
      <c r="C390" s="86" t="n">
        <v>2028</v>
      </c>
      <c r="D390" t="s">
        <v>235</v>
      </c>
      <c r="E390" s="87" t="n">
        <v>283019.050618655</v>
      </c>
      <c r="F390" s="88" t="n">
        <v>263112.336999139</v>
      </c>
      <c r="G390" s="89" t="n">
        <v>283208.63975277</v>
      </c>
      <c r="H390" s="90" t="n">
        <v>263753.748205613</v>
      </c>
      <c r="I390" s="91" t="str">
        <f>H390-F390</f>
      </c>
      <c r="J390" s="92" t="str">
        <f>G390-E390</f>
      </c>
    </row>
    <row r="391">
      <c r="A391" t="s">
        <v>250</v>
      </c>
      <c r="B391" t="s">
        <v>252</v>
      </c>
      <c r="C391" s="86" t="n">
        <v>2028</v>
      </c>
      <c r="D391" t="s">
        <v>244</v>
      </c>
      <c r="E391" s="87" t="n">
        <v>652846.668807864</v>
      </c>
      <c r="F391" s="88" t="n">
        <v>362579.856158814</v>
      </c>
      <c r="G391" s="89" t="n">
        <v>654200.049400957</v>
      </c>
      <c r="H391" s="90" t="n">
        <v>363945.253777133</v>
      </c>
      <c r="I391" s="91" t="str">
        <f>H391-F391</f>
      </c>
      <c r="J391" s="92" t="str">
        <f>G391-E391</f>
      </c>
    </row>
    <row r="392">
      <c r="A392" t="s">
        <v>250</v>
      </c>
      <c r="B392" t="s">
        <v>252</v>
      </c>
      <c r="C392" s="86" t="n">
        <v>2028</v>
      </c>
      <c r="D392" t="s">
        <v>248</v>
      </c>
      <c r="E392" s="87" t="n">
        <v>351299.745962643</v>
      </c>
      <c r="F392" s="88" t="n">
        <v>174693.204390705</v>
      </c>
      <c r="G392" s="89" t="n">
        <v>351745.983284134</v>
      </c>
      <c r="H392" s="90" t="n">
        <v>175235.344826664</v>
      </c>
      <c r="I392" s="91" t="str">
        <f>H392-F392</f>
      </c>
      <c r="J392" s="92" t="str">
        <f>G392-E392</f>
      </c>
    </row>
    <row r="393">
      <c r="A393" t="s">
        <v>250</v>
      </c>
      <c r="B393" t="s">
        <v>252</v>
      </c>
      <c r="C393" s="86" t="n">
        <v>2028</v>
      </c>
      <c r="D393" t="s">
        <v>421</v>
      </c>
      <c r="E393" s="87" t="n">
        <v>12493.5547888639</v>
      </c>
      <c r="F393" s="88" t="n">
        <v>3559.53816350839</v>
      </c>
      <c r="G393" s="89" t="n">
        <v>12493.5410814872</v>
      </c>
      <c r="H393" s="90" t="n">
        <v>3559.53799626408</v>
      </c>
      <c r="I393" s="91" t="str">
        <f>H393-F393</f>
      </c>
      <c r="J393" s="92" t="str">
        <f>G393-E393</f>
      </c>
    </row>
    <row r="394">
      <c r="A394" t="s">
        <v>250</v>
      </c>
      <c r="B394" t="s">
        <v>252</v>
      </c>
      <c r="C394" s="86" t="n">
        <v>2029</v>
      </c>
      <c r="D394" t="s">
        <v>419</v>
      </c>
      <c r="E394" s="87" t="n">
        <v>12021.9675053418</v>
      </c>
      <c r="F394" s="88" t="n">
        <v>8820.63932056036</v>
      </c>
      <c r="G394" s="89" t="n">
        <v>12020.2428783132</v>
      </c>
      <c r="H394" s="90" t="n">
        <v>8820.39462668691</v>
      </c>
      <c r="I394" s="91" t="str">
        <f>H394-F394</f>
      </c>
      <c r="J394" s="92" t="str">
        <f>G394-E394</f>
      </c>
    </row>
    <row r="395">
      <c r="A395" t="s">
        <v>250</v>
      </c>
      <c r="B395" t="s">
        <v>252</v>
      </c>
      <c r="C395" s="86" t="n">
        <v>2029</v>
      </c>
      <c r="D395" t="s">
        <v>224</v>
      </c>
      <c r="E395" s="87" t="n">
        <v>871554.082603015</v>
      </c>
      <c r="F395" s="88" t="n">
        <v>141415.651610647</v>
      </c>
      <c r="G395" s="89" t="n">
        <v>872122.58793486</v>
      </c>
      <c r="H395" s="90" t="n">
        <v>141419.192572278</v>
      </c>
      <c r="I395" s="91" t="str">
        <f>H395-F395</f>
      </c>
      <c r="J395" s="92" t="str">
        <f>G395-E395</f>
      </c>
    </row>
    <row r="396">
      <c r="A396" t="s">
        <v>250</v>
      </c>
      <c r="B396" t="s">
        <v>252</v>
      </c>
      <c r="C396" s="86" t="n">
        <v>2029</v>
      </c>
      <c r="D396" t="s">
        <v>420</v>
      </c>
      <c r="E396" s="87" t="n">
        <v>122715.227300441</v>
      </c>
      <c r="F396" s="88" t="n">
        <v>77384.7128512806</v>
      </c>
      <c r="G396" s="89" t="n">
        <v>122702.091699448</v>
      </c>
      <c r="H396" s="90" t="n">
        <v>77383.2509010991</v>
      </c>
      <c r="I396" s="91" t="str">
        <f>H396-F396</f>
      </c>
      <c r="J396" s="92" t="str">
        <f>G396-E396</f>
      </c>
    </row>
    <row r="397">
      <c r="A397" t="s">
        <v>250</v>
      </c>
      <c r="B397" t="s">
        <v>252</v>
      </c>
      <c r="C397" s="86" t="n">
        <v>2029</v>
      </c>
      <c r="D397" t="s">
        <v>235</v>
      </c>
      <c r="E397" s="87" t="n">
        <v>287545.570875084</v>
      </c>
      <c r="F397" s="88" t="n">
        <v>267617.383732328</v>
      </c>
      <c r="G397" s="89" t="n">
        <v>287809.159991119</v>
      </c>
      <c r="H397" s="90" t="n">
        <v>268469.018676722</v>
      </c>
      <c r="I397" s="91" t="str">
        <f>H397-F397</f>
      </c>
      <c r="J397" s="92" t="str">
        <f>G397-E397</f>
      </c>
    </row>
    <row r="398">
      <c r="A398" t="s">
        <v>250</v>
      </c>
      <c r="B398" t="s">
        <v>252</v>
      </c>
      <c r="C398" s="86" t="n">
        <v>2029</v>
      </c>
      <c r="D398" t="s">
        <v>244</v>
      </c>
      <c r="E398" s="87" t="n">
        <v>668124.647000922</v>
      </c>
      <c r="F398" s="88" t="n">
        <v>372552.108162374</v>
      </c>
      <c r="G398" s="89" t="n">
        <v>670042.029002105</v>
      </c>
      <c r="H398" s="90" t="n">
        <v>374519.264871248</v>
      </c>
      <c r="I398" s="91" t="str">
        <f>H398-F398</f>
      </c>
      <c r="J398" s="92" t="str">
        <f>G398-E398</f>
      </c>
    </row>
    <row r="399">
      <c r="A399" t="s">
        <v>250</v>
      </c>
      <c r="B399" t="s">
        <v>252</v>
      </c>
      <c r="C399" s="86" t="n">
        <v>2029</v>
      </c>
      <c r="D399" t="s">
        <v>248</v>
      </c>
      <c r="E399" s="87" t="n">
        <v>358855.666667823</v>
      </c>
      <c r="F399" s="88" t="n">
        <v>178794.032610192</v>
      </c>
      <c r="G399" s="89" t="n">
        <v>359486.672358836</v>
      </c>
      <c r="H399" s="90" t="n">
        <v>179568.517960818</v>
      </c>
      <c r="I399" s="91" t="str">
        <f>H399-F399</f>
      </c>
      <c r="J399" s="92" t="str">
        <f>G399-E399</f>
      </c>
    </row>
    <row r="400">
      <c r="A400" t="s">
        <v>250</v>
      </c>
      <c r="B400" t="s">
        <v>252</v>
      </c>
      <c r="C400" s="86" t="n">
        <v>2029</v>
      </c>
      <c r="D400" t="s">
        <v>421</v>
      </c>
      <c r="E400" s="87" t="n">
        <v>12505.3139348482</v>
      </c>
      <c r="F400" s="88" t="n">
        <v>3430.77157040047</v>
      </c>
      <c r="G400" s="89" t="n">
        <v>12505.2897091232</v>
      </c>
      <c r="H400" s="90" t="n">
        <v>3430.77105367489</v>
      </c>
      <c r="I400" s="91" t="str">
        <f>H400-F400</f>
      </c>
      <c r="J400" s="92" t="str">
        <f>G400-E400</f>
      </c>
    </row>
    <row r="401">
      <c r="A401" t="s">
        <v>250</v>
      </c>
      <c r="B401" t="s">
        <v>252</v>
      </c>
      <c r="C401" s="86" t="n">
        <v>2030</v>
      </c>
      <c r="D401" t="s">
        <v>419</v>
      </c>
      <c r="E401" s="87" t="n">
        <v>12277.1397834235</v>
      </c>
      <c r="F401" s="88" t="n">
        <v>8966.12631511595</v>
      </c>
      <c r="G401" s="89" t="n">
        <v>12274.2647344434</v>
      </c>
      <c r="H401" s="90" t="n">
        <v>8965.59723882955</v>
      </c>
      <c r="I401" s="91" t="str">
        <f>H401-F401</f>
      </c>
      <c r="J401" s="92" t="str">
        <f>G401-E401</f>
      </c>
    </row>
    <row r="402">
      <c r="A402" t="s">
        <v>250</v>
      </c>
      <c r="B402" t="s">
        <v>252</v>
      </c>
      <c r="C402" s="86" t="n">
        <v>2030</v>
      </c>
      <c r="D402" t="s">
        <v>224</v>
      </c>
      <c r="E402" s="87" t="n">
        <v>887913.772495312</v>
      </c>
      <c r="F402" s="88" t="n">
        <v>146249.296196706</v>
      </c>
      <c r="G402" s="89" t="n">
        <v>888648.849091124</v>
      </c>
      <c r="H402" s="90" t="n">
        <v>146256.073838529</v>
      </c>
      <c r="I402" s="91" t="str">
        <f>H402-F402</f>
      </c>
      <c r="J402" s="92" t="str">
        <f>G402-E402</f>
      </c>
    </row>
    <row r="403">
      <c r="A403" t="s">
        <v>250</v>
      </c>
      <c r="B403" t="s">
        <v>252</v>
      </c>
      <c r="C403" s="86" t="n">
        <v>2030</v>
      </c>
      <c r="D403" t="s">
        <v>420</v>
      </c>
      <c r="E403" s="87" t="n">
        <v>126122.603866335</v>
      </c>
      <c r="F403" s="88" t="n">
        <v>79338.0781653453</v>
      </c>
      <c r="G403" s="89" t="n">
        <v>126100.520404265</v>
      </c>
      <c r="H403" s="90" t="n">
        <v>79334.7983616028</v>
      </c>
      <c r="I403" s="91" t="str">
        <f>H403-F403</f>
      </c>
      <c r="J403" s="92" t="str">
        <f>G403-E403</f>
      </c>
    </row>
    <row r="404">
      <c r="A404" t="s">
        <v>250</v>
      </c>
      <c r="B404" t="s">
        <v>252</v>
      </c>
      <c r="C404" s="86" t="n">
        <v>2030</v>
      </c>
      <c r="D404" t="s">
        <v>235</v>
      </c>
      <c r="E404" s="87" t="n">
        <v>291950.511030016</v>
      </c>
      <c r="F404" s="88" t="n">
        <v>272126.460302668</v>
      </c>
      <c r="G404" s="89" t="n">
        <v>292286.017029858</v>
      </c>
      <c r="H404" s="90" t="n">
        <v>273157.810650434</v>
      </c>
      <c r="I404" s="91" t="str">
        <f>H404-F404</f>
      </c>
      <c r="J404" s="92" t="str">
        <f>G404-E404</f>
      </c>
    </row>
    <row r="405">
      <c r="A405" t="s">
        <v>250</v>
      </c>
      <c r="B405" t="s">
        <v>252</v>
      </c>
      <c r="C405" s="86" t="n">
        <v>2030</v>
      </c>
      <c r="D405" t="s">
        <v>244</v>
      </c>
      <c r="E405" s="87" t="n">
        <v>684032.489070159</v>
      </c>
      <c r="F405" s="88" t="n">
        <v>382824.994174161</v>
      </c>
      <c r="G405" s="89" t="n">
        <v>686528.816871955</v>
      </c>
      <c r="H405" s="90" t="n">
        <v>385417.279419066</v>
      </c>
      <c r="I405" s="91" t="str">
        <f>H405-F405</f>
      </c>
      <c r="J405" s="92" t="str">
        <f>G405-E405</f>
      </c>
    </row>
    <row r="406">
      <c r="A406" t="s">
        <v>250</v>
      </c>
      <c r="B406" t="s">
        <v>252</v>
      </c>
      <c r="C406" s="86" t="n">
        <v>2030</v>
      </c>
      <c r="D406" t="s">
        <v>248</v>
      </c>
      <c r="E406" s="87" t="n">
        <v>367136.706906686</v>
      </c>
      <c r="F406" s="88" t="n">
        <v>183366.713084829</v>
      </c>
      <c r="G406" s="89" t="n">
        <v>367955.05484547</v>
      </c>
      <c r="H406" s="90" t="n">
        <v>184377.512558869</v>
      </c>
      <c r="I406" s="91" t="str">
        <f>H406-F406</f>
      </c>
      <c r="J406" s="92" t="str">
        <f>G406-E406</f>
      </c>
    </row>
    <row r="407">
      <c r="A407" t="s">
        <v>250</v>
      </c>
      <c r="B407" t="s">
        <v>252</v>
      </c>
      <c r="C407" s="86" t="n">
        <v>2030</v>
      </c>
      <c r="D407" t="s">
        <v>421</v>
      </c>
      <c r="E407" s="87" t="n">
        <v>12655.3121368988</v>
      </c>
      <c r="F407" s="88" t="n">
        <v>3301.14766175899</v>
      </c>
      <c r="G407" s="89" t="n">
        <v>12655.2774901684</v>
      </c>
      <c r="H407" s="90" t="n">
        <v>3301.14666213427</v>
      </c>
      <c r="I407" s="91" t="str">
        <f>H407-F407</f>
      </c>
      <c r="J407" s="92" t="str">
        <f>G407-E407</f>
      </c>
    </row>
    <row r="408">
      <c r="A408" t="s">
        <v>250</v>
      </c>
      <c r="B408" t="s">
        <v>252</v>
      </c>
      <c r="C408" s="86" t="n">
        <v>2031</v>
      </c>
      <c r="D408" t="s">
        <v>419</v>
      </c>
      <c r="E408" s="87" t="n">
        <v>12510.927470415</v>
      </c>
      <c r="F408" s="88" t="n">
        <v>9115.433366668</v>
      </c>
      <c r="G408" s="89" t="n">
        <v>12506.5880665311</v>
      </c>
      <c r="H408" s="90" t="n">
        <v>9114.48302310478</v>
      </c>
      <c r="I408" s="91" t="str">
        <f>H408-F408</f>
      </c>
      <c r="J408" s="92" t="str">
        <f>G408-E408</f>
      </c>
    </row>
    <row r="409">
      <c r="A409" t="s">
        <v>250</v>
      </c>
      <c r="B409" t="s">
        <v>252</v>
      </c>
      <c r="C409" s="86" t="n">
        <v>2031</v>
      </c>
      <c r="D409" t="s">
        <v>224</v>
      </c>
      <c r="E409" s="87" t="n">
        <v>904808.825584572</v>
      </c>
      <c r="F409" s="88" t="n">
        <v>151006.527422692</v>
      </c>
      <c r="G409" s="89" t="n">
        <v>905698.50533388</v>
      </c>
      <c r="H409" s="90" t="n">
        <v>151017.314585235</v>
      </c>
      <c r="I409" s="91" t="str">
        <f>H409-F409</f>
      </c>
      <c r="J409" s="92" t="str">
        <f>G409-E409</f>
      </c>
    </row>
    <row r="410">
      <c r="A410" t="s">
        <v>250</v>
      </c>
      <c r="B410" t="s">
        <v>252</v>
      </c>
      <c r="C410" s="86" t="n">
        <v>2031</v>
      </c>
      <c r="D410" t="s">
        <v>420</v>
      </c>
      <c r="E410" s="87" t="n">
        <v>129370.662971876</v>
      </c>
      <c r="F410" s="88" t="n">
        <v>81227.2825873725</v>
      </c>
      <c r="G410" s="89" t="n">
        <v>129337.020613882</v>
      </c>
      <c r="H410" s="90" t="n">
        <v>81221.2142709578</v>
      </c>
      <c r="I410" s="91" t="str">
        <f>H410-F410</f>
      </c>
      <c r="J410" s="92" t="str">
        <f>G410-E410</f>
      </c>
    </row>
    <row r="411">
      <c r="A411" t="s">
        <v>250</v>
      </c>
      <c r="B411" t="s">
        <v>252</v>
      </c>
      <c r="C411" s="86" t="n">
        <v>2031</v>
      </c>
      <c r="D411" t="s">
        <v>235</v>
      </c>
      <c r="E411" s="87" t="n">
        <v>296101.245182074</v>
      </c>
      <c r="F411" s="88" t="n">
        <v>276488.775510705</v>
      </c>
      <c r="G411" s="89" t="n">
        <v>296437.738378722</v>
      </c>
      <c r="H411" s="90" t="n">
        <v>277404.152195349</v>
      </c>
      <c r="I411" s="91" t="str">
        <f>H411-F411</f>
      </c>
      <c r="J411" s="92" t="str">
        <f>G411-E411</f>
      </c>
    </row>
    <row r="412">
      <c r="A412" t="s">
        <v>250</v>
      </c>
      <c r="B412" t="s">
        <v>252</v>
      </c>
      <c r="C412" s="86" t="n">
        <v>2031</v>
      </c>
      <c r="D412" t="s">
        <v>244</v>
      </c>
      <c r="E412" s="87" t="n">
        <v>699947.367335252</v>
      </c>
      <c r="F412" s="88" t="n">
        <v>393338.56746</v>
      </c>
      <c r="G412" s="89" t="n">
        <v>702548.134334822</v>
      </c>
      <c r="H412" s="90" t="n">
        <v>396078.261698986</v>
      </c>
      <c r="I412" s="91" t="str">
        <f>H412-F412</f>
      </c>
      <c r="J412" s="92" t="str">
        <f>G412-E412</f>
      </c>
    </row>
    <row r="413">
      <c r="A413" t="s">
        <v>250</v>
      </c>
      <c r="B413" t="s">
        <v>252</v>
      </c>
      <c r="C413" s="86" t="n">
        <v>2031</v>
      </c>
      <c r="D413" t="s">
        <v>248</v>
      </c>
      <c r="E413" s="87" t="n">
        <v>375183.362788678</v>
      </c>
      <c r="F413" s="88" t="n">
        <v>188104.551389868</v>
      </c>
      <c r="G413" s="89" t="n">
        <v>376026.788964657</v>
      </c>
      <c r="H413" s="90" t="n">
        <v>189147.352294789</v>
      </c>
      <c r="I413" s="91" t="str">
        <f>H413-F413</f>
      </c>
      <c r="J413" s="92" t="str">
        <f>G413-E413</f>
      </c>
    </row>
    <row r="414">
      <c r="A414" t="s">
        <v>250</v>
      </c>
      <c r="B414" t="s">
        <v>252</v>
      </c>
      <c r="C414" s="86" t="n">
        <v>2031</v>
      </c>
      <c r="D414" t="s">
        <v>421</v>
      </c>
      <c r="E414" s="87" t="n">
        <v>12740.6777060981</v>
      </c>
      <c r="F414" s="88" t="n">
        <v>3174.86468767047</v>
      </c>
      <c r="G414" s="89" t="n">
        <v>12740.6278729228</v>
      </c>
      <c r="H414" s="90" t="n">
        <v>3174.86317276916</v>
      </c>
      <c r="I414" s="91" t="str">
        <f>H414-F414</f>
      </c>
      <c r="J414" s="92" t="str">
        <f>G414-E414</f>
      </c>
    </row>
    <row r="415">
      <c r="A415" t="s">
        <v>250</v>
      </c>
      <c r="B415" t="s">
        <v>252</v>
      </c>
      <c r="C415" s="86" t="n">
        <v>2032</v>
      </c>
      <c r="D415" t="s">
        <v>419</v>
      </c>
      <c r="E415" s="87" t="n">
        <v>12749.6484524498</v>
      </c>
      <c r="F415" s="88" t="n">
        <v>9269.43368355592</v>
      </c>
      <c r="G415" s="89" t="n">
        <v>12743.8944071303</v>
      </c>
      <c r="H415" s="90" t="n">
        <v>9267.91175287106</v>
      </c>
      <c r="I415" s="91" t="str">
        <f>H415-F415</f>
      </c>
      <c r="J415" s="92" t="str">
        <f>G415-E415</f>
      </c>
    </row>
    <row r="416">
      <c r="A416" t="s">
        <v>250</v>
      </c>
      <c r="B416" t="s">
        <v>252</v>
      </c>
      <c r="C416" s="86" t="n">
        <v>2032</v>
      </c>
      <c r="D416" t="s">
        <v>224</v>
      </c>
      <c r="E416" s="87" t="n">
        <v>922740.472495959</v>
      </c>
      <c r="F416" s="88" t="n">
        <v>155899.405743193</v>
      </c>
      <c r="G416" s="89" t="n">
        <v>923778.433647484</v>
      </c>
      <c r="H416" s="90" t="n">
        <v>155914.890344467</v>
      </c>
      <c r="I416" s="91" t="str">
        <f>H416-F416</f>
      </c>
      <c r="J416" s="92" t="str">
        <f>G416-E416</f>
      </c>
    </row>
    <row r="417">
      <c r="A417" t="s">
        <v>250</v>
      </c>
      <c r="B417" t="s">
        <v>252</v>
      </c>
      <c r="C417" s="86" t="n">
        <v>2032</v>
      </c>
      <c r="D417" t="s">
        <v>420</v>
      </c>
      <c r="E417" s="87" t="n">
        <v>132611.336419864</v>
      </c>
      <c r="F417" s="88" t="n">
        <v>83174.0639234851</v>
      </c>
      <c r="G417" s="89" t="n">
        <v>132566.317868369</v>
      </c>
      <c r="H417" s="90" t="n">
        <v>83164.0959360433</v>
      </c>
      <c r="I417" s="91" t="str">
        <f>H417-F417</f>
      </c>
      <c r="J417" s="92" t="str">
        <f>G417-E417</f>
      </c>
    </row>
    <row r="418">
      <c r="A418" t="s">
        <v>250</v>
      </c>
      <c r="B418" t="s">
        <v>252</v>
      </c>
      <c r="C418" s="86" t="n">
        <v>2032</v>
      </c>
      <c r="D418" t="s">
        <v>235</v>
      </c>
      <c r="E418" s="87" t="n">
        <v>300166.79234827</v>
      </c>
      <c r="F418" s="88" t="n">
        <v>280643.676451988</v>
      </c>
      <c r="G418" s="89" t="n">
        <v>300504.550336341</v>
      </c>
      <c r="H418" s="90" t="n">
        <v>281488.739628123</v>
      </c>
      <c r="I418" s="91" t="str">
        <f>H418-F418</f>
      </c>
      <c r="J418" s="92" t="str">
        <f>G418-E418</f>
      </c>
    </row>
    <row r="419">
      <c r="A419" t="s">
        <v>250</v>
      </c>
      <c r="B419" t="s">
        <v>252</v>
      </c>
      <c r="C419" s="86" t="n">
        <v>2032</v>
      </c>
      <c r="D419" t="s">
        <v>244</v>
      </c>
      <c r="E419" s="87" t="n">
        <v>716457.218666274</v>
      </c>
      <c r="F419" s="88" t="n">
        <v>404008.891003499</v>
      </c>
      <c r="G419" s="89" t="n">
        <v>719168.67859234</v>
      </c>
      <c r="H419" s="90" t="n">
        <v>406904.282877455</v>
      </c>
      <c r="I419" s="91" t="str">
        <f>H419-F419</f>
      </c>
      <c r="J419" s="92" t="str">
        <f>G419-E419</f>
      </c>
    </row>
    <row r="420">
      <c r="A420" t="s">
        <v>250</v>
      </c>
      <c r="B420" t="s">
        <v>252</v>
      </c>
      <c r="C420" s="86" t="n">
        <v>2032</v>
      </c>
      <c r="D420" t="s">
        <v>248</v>
      </c>
      <c r="E420" s="87" t="n">
        <v>383737.93959285</v>
      </c>
      <c r="F420" s="88" t="n">
        <v>193107.899554403</v>
      </c>
      <c r="G420" s="89" t="n">
        <v>384609.051353766</v>
      </c>
      <c r="H420" s="90" t="n">
        <v>194193.38475982</v>
      </c>
      <c r="I420" s="91" t="str">
        <f>H420-F420</f>
      </c>
      <c r="J420" s="92" t="str">
        <f>G420-E420</f>
      </c>
    </row>
    <row r="421">
      <c r="A421" t="s">
        <v>250</v>
      </c>
      <c r="B421" t="s">
        <v>252</v>
      </c>
      <c r="C421" s="86" t="n">
        <v>2032</v>
      </c>
      <c r="D421" t="s">
        <v>421</v>
      </c>
      <c r="E421" s="87" t="n">
        <v>12856.0027814986</v>
      </c>
      <c r="F421" s="88" t="n">
        <v>3046.52236238982</v>
      </c>
      <c r="G421" s="89" t="n">
        <v>12855.9427389859</v>
      </c>
      <c r="H421" s="90" t="n">
        <v>3046.52022706146</v>
      </c>
      <c r="I421" s="91" t="str">
        <f>H421-F421</f>
      </c>
      <c r="J421" s="92" t="str">
        <f>G421-E421</f>
      </c>
    </row>
    <row r="422">
      <c r="A422" t="s">
        <v>250</v>
      </c>
      <c r="B422" t="s">
        <v>252</v>
      </c>
      <c r="C422" s="86" t="n">
        <v>2033</v>
      </c>
      <c r="D422" t="s">
        <v>419</v>
      </c>
      <c r="E422" s="87" t="n">
        <v>13153.6964016724</v>
      </c>
      <c r="F422" s="88" t="n">
        <v>9439.6810482516</v>
      </c>
      <c r="G422" s="89" t="n">
        <v>13146.3513901505</v>
      </c>
      <c r="H422" s="90" t="n">
        <v>9437.49521839436</v>
      </c>
      <c r="I422" s="91" t="str">
        <f>H422-F422</f>
      </c>
      <c r="J422" s="92" t="str">
        <f>G422-E422</f>
      </c>
    </row>
    <row r="423">
      <c r="A423" t="s">
        <v>250</v>
      </c>
      <c r="B423" t="s">
        <v>252</v>
      </c>
      <c r="C423" s="86" t="n">
        <v>2033</v>
      </c>
      <c r="D423" t="s">
        <v>224</v>
      </c>
      <c r="E423" s="87" t="n">
        <v>943336.060867329</v>
      </c>
      <c r="F423" s="88" t="n">
        <v>160800.424326393</v>
      </c>
      <c r="G423" s="89" t="n">
        <v>944521.71811111</v>
      </c>
      <c r="H423" s="90" t="n">
        <v>160821.219639763</v>
      </c>
      <c r="I423" s="91" t="str">
        <f>H423-F423</f>
      </c>
      <c r="J423" s="92" t="str">
        <f>G423-E423</f>
      </c>
    </row>
    <row r="424">
      <c r="A424" t="s">
        <v>250</v>
      </c>
      <c r="B424" t="s">
        <v>252</v>
      </c>
      <c r="C424" s="86" t="n">
        <v>2033</v>
      </c>
      <c r="D424" t="s">
        <v>420</v>
      </c>
      <c r="E424" s="87" t="n">
        <v>136764.70031779</v>
      </c>
      <c r="F424" s="88" t="n">
        <v>85154.6779541795</v>
      </c>
      <c r="G424" s="89" t="n">
        <v>136707.716312745</v>
      </c>
      <c r="H424" s="90" t="n">
        <v>85140.0559210379</v>
      </c>
      <c r="I424" s="91" t="str">
        <f>H424-F424</f>
      </c>
      <c r="J424" s="92" t="str">
        <f>G424-E424</f>
      </c>
    </row>
    <row r="425">
      <c r="A425" t="s">
        <v>250</v>
      </c>
      <c r="B425" t="s">
        <v>252</v>
      </c>
      <c r="C425" s="86" t="n">
        <v>2033</v>
      </c>
      <c r="D425" t="s">
        <v>235</v>
      </c>
      <c r="E425" s="87" t="n">
        <v>304129.37375785</v>
      </c>
      <c r="F425" s="88" t="n">
        <v>284502.200183894</v>
      </c>
      <c r="G425" s="89" t="n">
        <v>304468.286850227</v>
      </c>
      <c r="H425" s="90" t="n">
        <v>285297.748513227</v>
      </c>
      <c r="I425" s="91" t="str">
        <f>H425-F425</f>
      </c>
      <c r="J425" s="92" t="str">
        <f>G425-E425</f>
      </c>
    </row>
    <row r="426">
      <c r="A426" t="s">
        <v>250</v>
      </c>
      <c r="B426" t="s">
        <v>252</v>
      </c>
      <c r="C426" s="86" t="n">
        <v>2033</v>
      </c>
      <c r="D426" t="s">
        <v>244</v>
      </c>
      <c r="E426" s="87" t="n">
        <v>735560.727833701</v>
      </c>
      <c r="F426" s="88" t="n">
        <v>414534.985418307</v>
      </c>
      <c r="G426" s="89" t="n">
        <v>738395.913710054</v>
      </c>
      <c r="H426" s="90" t="n">
        <v>417591.194273361</v>
      </c>
      <c r="I426" s="91" t="str">
        <f>H426-F426</f>
      </c>
      <c r="J426" s="92" t="str">
        <f>G426-E426</f>
      </c>
    </row>
    <row r="427">
      <c r="A427" t="s">
        <v>250</v>
      </c>
      <c r="B427" t="s">
        <v>252</v>
      </c>
      <c r="C427" s="86" t="n">
        <v>2033</v>
      </c>
      <c r="D427" t="s">
        <v>248</v>
      </c>
      <c r="E427" s="87" t="n">
        <v>393255.539234605</v>
      </c>
      <c r="F427" s="88" t="n">
        <v>198175.98700788</v>
      </c>
      <c r="G427" s="89" t="n">
        <v>394159.184915109</v>
      </c>
      <c r="H427" s="90" t="n">
        <v>199311.530364044</v>
      </c>
      <c r="I427" s="91" t="str">
        <f>H427-F427</f>
      </c>
      <c r="J427" s="92" t="str">
        <f>G427-E427</f>
      </c>
    </row>
    <row r="428">
      <c r="A428" t="s">
        <v>250</v>
      </c>
      <c r="B428" t="s">
        <v>252</v>
      </c>
      <c r="C428" s="86" t="n">
        <v>2033</v>
      </c>
      <c r="D428" t="s">
        <v>421</v>
      </c>
      <c r="E428" s="87" t="n">
        <v>12780.8012656978</v>
      </c>
      <c r="F428" s="88" t="n">
        <v>2919.79724121745</v>
      </c>
      <c r="G428" s="89" t="n">
        <v>12780.7417922516</v>
      </c>
      <c r="H428" s="90" t="n">
        <v>2919.79454897481</v>
      </c>
      <c r="I428" s="91" t="str">
        <f>H428-F428</f>
      </c>
      <c r="J428" s="92" t="str">
        <f>G428-E428</f>
      </c>
    </row>
    <row r="429">
      <c r="A429" t="s">
        <v>250</v>
      </c>
      <c r="B429" t="s">
        <v>252</v>
      </c>
      <c r="C429" s="86" t="n">
        <v>2034</v>
      </c>
      <c r="D429" t="s">
        <v>419</v>
      </c>
      <c r="E429" s="87" t="n">
        <v>13405.1629655982</v>
      </c>
      <c r="F429" s="88" t="n">
        <v>9613.70500806898</v>
      </c>
      <c r="G429" s="89" t="n">
        <v>13396.3770662857</v>
      </c>
      <c r="H429" s="90" t="n">
        <v>9610.78717894584</v>
      </c>
      <c r="I429" s="91" t="str">
        <f>H429-F429</f>
      </c>
      <c r="J429" s="92" t="str">
        <f>G429-E429</f>
      </c>
    </row>
    <row r="430">
      <c r="A430" t="s">
        <v>250</v>
      </c>
      <c r="B430" t="s">
        <v>252</v>
      </c>
      <c r="C430" s="86" t="n">
        <v>2034</v>
      </c>
      <c r="D430" t="s">
        <v>224</v>
      </c>
      <c r="E430" s="87" t="n">
        <v>958899.628125582</v>
      </c>
      <c r="F430" s="88" t="n">
        <v>165806.035136184</v>
      </c>
      <c r="G430" s="89" t="n">
        <v>960221.655861689</v>
      </c>
      <c r="H430" s="90" t="n">
        <v>165832.802590949</v>
      </c>
      <c r="I430" s="91" t="str">
        <f>H430-F430</f>
      </c>
      <c r="J430" s="92" t="str">
        <f>G430-E430</f>
      </c>
    </row>
    <row r="431">
      <c r="A431" t="s">
        <v>250</v>
      </c>
      <c r="B431" t="s">
        <v>252</v>
      </c>
      <c r="C431" s="86" t="n">
        <v>2034</v>
      </c>
      <c r="D431" t="s">
        <v>420</v>
      </c>
      <c r="E431" s="87" t="n">
        <v>139991.311580721</v>
      </c>
      <c r="F431" s="88" t="n">
        <v>87146.0660784412</v>
      </c>
      <c r="G431" s="89" t="n">
        <v>139922.665552402</v>
      </c>
      <c r="H431" s="90" t="n">
        <v>87126.2119501461</v>
      </c>
      <c r="I431" s="91" t="str">
        <f>H431-F431</f>
      </c>
      <c r="J431" s="92" t="str">
        <f>G431-E431</f>
      </c>
    </row>
    <row r="432">
      <c r="A432" t="s">
        <v>250</v>
      </c>
      <c r="B432" t="s">
        <v>252</v>
      </c>
      <c r="C432" s="86" t="n">
        <v>2034</v>
      </c>
      <c r="D432" t="s">
        <v>235</v>
      </c>
      <c r="E432" s="87" t="n">
        <v>307817.507054268</v>
      </c>
      <c r="F432" s="88" t="n">
        <v>288320.436190168</v>
      </c>
      <c r="G432" s="89" t="n">
        <v>308142.620646514</v>
      </c>
      <c r="H432" s="90" t="n">
        <v>289022.375898514</v>
      </c>
      <c r="I432" s="91" t="str">
        <f>H432-F432</f>
      </c>
      <c r="J432" s="92" t="str">
        <f>G432-E432</f>
      </c>
    </row>
    <row r="433">
      <c r="A433" t="s">
        <v>250</v>
      </c>
      <c r="B433" t="s">
        <v>252</v>
      </c>
      <c r="C433" s="86" t="n">
        <v>2034</v>
      </c>
      <c r="D433" t="s">
        <v>244</v>
      </c>
      <c r="E433" s="87" t="n">
        <v>751417.670685138</v>
      </c>
      <c r="F433" s="88" t="n">
        <v>425399.056003947</v>
      </c>
      <c r="G433" s="89" t="n">
        <v>754264.519314827</v>
      </c>
      <c r="H433" s="90" t="n">
        <v>428496.093357131</v>
      </c>
      <c r="I433" s="91" t="str">
        <f>H433-F433</f>
      </c>
      <c r="J433" s="92" t="str">
        <f>G433-E433</f>
      </c>
    </row>
    <row r="434">
      <c r="A434" t="s">
        <v>250</v>
      </c>
      <c r="B434" t="s">
        <v>252</v>
      </c>
      <c r="C434" s="86" t="n">
        <v>2034</v>
      </c>
      <c r="D434" t="s">
        <v>248</v>
      </c>
      <c r="E434" s="87" t="n">
        <v>401527.00511194</v>
      </c>
      <c r="F434" s="88" t="n">
        <v>203379.549966582</v>
      </c>
      <c r="G434" s="89" t="n">
        <v>402421.553872422</v>
      </c>
      <c r="H434" s="90" t="n">
        <v>204510.58021707</v>
      </c>
      <c r="I434" s="91" t="str">
        <f>H434-F434</f>
      </c>
      <c r="J434" s="92" t="str">
        <f>G434-E434</f>
      </c>
    </row>
    <row r="435">
      <c r="A435" t="s">
        <v>250</v>
      </c>
      <c r="B435" t="s">
        <v>252</v>
      </c>
      <c r="C435" s="86" t="n">
        <v>2034</v>
      </c>
      <c r="D435" t="s">
        <v>421</v>
      </c>
      <c r="E435" s="87" t="n">
        <v>12872.5004558247</v>
      </c>
      <c r="F435" s="88" t="n">
        <v>2795.77267537304</v>
      </c>
      <c r="G435" s="89" t="n">
        <v>12872.434861331</v>
      </c>
      <c r="H435" s="90" t="n">
        <v>2795.76959562027</v>
      </c>
      <c r="I435" s="91" t="str">
        <f>H435-F435</f>
      </c>
      <c r="J435" s="92" t="str">
        <f>G435-E435</f>
      </c>
    </row>
    <row r="436">
      <c r="A436" t="s">
        <v>250</v>
      </c>
      <c r="B436" t="s">
        <v>252</v>
      </c>
      <c r="C436" s="86" t="n">
        <v>2035</v>
      </c>
      <c r="D436" t="s">
        <v>419</v>
      </c>
      <c r="E436" s="87" t="n">
        <v>13736.9845379576</v>
      </c>
      <c r="F436" s="88" t="n">
        <v>9791.19098326374</v>
      </c>
      <c r="G436" s="89" t="n">
        <v>13726.7399692658</v>
      </c>
      <c r="H436" s="90" t="n">
        <v>9787.51275865094</v>
      </c>
      <c r="I436" s="91" t="str">
        <f>H436-F436</f>
      </c>
      <c r="J436" s="92" t="str">
        <f>G436-E436</f>
      </c>
    </row>
    <row r="437">
      <c r="A437" t="s">
        <v>250</v>
      </c>
      <c r="B437" t="s">
        <v>252</v>
      </c>
      <c r="C437" s="86" t="n">
        <v>2035</v>
      </c>
      <c r="D437" t="s">
        <v>224</v>
      </c>
      <c r="E437" s="87" t="n">
        <v>973594.152487411</v>
      </c>
      <c r="F437" s="88" t="n">
        <v>170877.653713714</v>
      </c>
      <c r="G437" s="89" t="n">
        <v>975047.326959866</v>
      </c>
      <c r="H437" s="90" t="n">
        <v>170911.003808462</v>
      </c>
      <c r="I437" s="91" t="str">
        <f>H437-F437</f>
      </c>
      <c r="J437" s="92" t="str">
        <f>G437-E437</f>
      </c>
    </row>
    <row r="438">
      <c r="A438" t="s">
        <v>250</v>
      </c>
      <c r="B438" t="s">
        <v>252</v>
      </c>
      <c r="C438" s="86" t="n">
        <v>2035</v>
      </c>
      <c r="D438" t="s">
        <v>420</v>
      </c>
      <c r="E438" s="87" t="n">
        <v>143510.310650475</v>
      </c>
      <c r="F438" s="88" t="n">
        <v>89163.6231417048</v>
      </c>
      <c r="G438" s="89" t="n">
        <v>143430.147346953</v>
      </c>
      <c r="H438" s="90" t="n">
        <v>89138.141517925</v>
      </c>
      <c r="I438" s="91" t="str">
        <f>H438-F438</f>
      </c>
      <c r="J438" s="92" t="str">
        <f>G438-E438</f>
      </c>
    </row>
    <row r="439">
      <c r="A439" t="s">
        <v>250</v>
      </c>
      <c r="B439" t="s">
        <v>252</v>
      </c>
      <c r="C439" s="86" t="n">
        <v>2035</v>
      </c>
      <c r="D439" t="s">
        <v>235</v>
      </c>
      <c r="E439" s="87" t="n">
        <v>311286.943254004</v>
      </c>
      <c r="F439" s="88" t="n">
        <v>291911.689375848</v>
      </c>
      <c r="G439" s="89" t="n">
        <v>311598.659349735</v>
      </c>
      <c r="H439" s="90" t="n">
        <v>292543.4341723</v>
      </c>
      <c r="I439" s="91" t="str">
        <f>H439-F439</f>
      </c>
      <c r="J439" s="92" t="str">
        <f>G439-E439</f>
      </c>
    </row>
    <row r="440">
      <c r="A440" t="s">
        <v>250</v>
      </c>
      <c r="B440" t="s">
        <v>252</v>
      </c>
      <c r="C440" s="86" t="n">
        <v>2035</v>
      </c>
      <c r="D440" t="s">
        <v>244</v>
      </c>
      <c r="E440" s="87" t="n">
        <v>767185.205536734</v>
      </c>
      <c r="F440" s="88" t="n">
        <v>436279.319255856</v>
      </c>
      <c r="G440" s="89" t="n">
        <v>770043.407398033</v>
      </c>
      <c r="H440" s="90" t="n">
        <v>439419.393176264</v>
      </c>
      <c r="I440" s="91" t="str">
        <f>H440-F440</f>
      </c>
      <c r="J440" s="92" t="str">
        <f>G440-E440</f>
      </c>
    </row>
    <row r="441">
      <c r="A441" t="s">
        <v>250</v>
      </c>
      <c r="B441" t="s">
        <v>252</v>
      </c>
      <c r="C441" s="86" t="n">
        <v>2035</v>
      </c>
      <c r="D441" t="s">
        <v>248</v>
      </c>
      <c r="E441" s="87" t="n">
        <v>409545.150386501</v>
      </c>
      <c r="F441" s="88" t="n">
        <v>208722.552034389</v>
      </c>
      <c r="G441" s="89" t="n">
        <v>410430.68648466</v>
      </c>
      <c r="H441" s="90" t="n">
        <v>209854.988515264</v>
      </c>
      <c r="I441" s="91" t="str">
        <f>H441-F441</f>
      </c>
      <c r="J441" s="92" t="str">
        <f>G441-E441</f>
      </c>
    </row>
    <row r="442">
      <c r="A442" t="s">
        <v>250</v>
      </c>
      <c r="B442" t="s">
        <v>252</v>
      </c>
      <c r="C442" s="86" t="n">
        <v>2035</v>
      </c>
      <c r="D442" t="s">
        <v>421</v>
      </c>
      <c r="E442" s="87" t="n">
        <v>13061.6559417282</v>
      </c>
      <c r="F442" s="88" t="n">
        <v>2671.50121193374</v>
      </c>
      <c r="G442" s="89" t="n">
        <v>13061.5900844962</v>
      </c>
      <c r="H442" s="90" t="n">
        <v>2671.49784394295</v>
      </c>
      <c r="I442" s="91" t="str">
        <f>H442-F442</f>
      </c>
      <c r="J442" s="92" t="str">
        <f>G442-E442</f>
      </c>
    </row>
    <row r="443">
      <c r="A443" t="s">
        <v>250</v>
      </c>
      <c r="B443" t="s">
        <v>252</v>
      </c>
      <c r="C443" s="86" t="n">
        <v>2036</v>
      </c>
      <c r="D443" t="s">
        <v>419</v>
      </c>
      <c r="E443" s="87" t="n">
        <v>14070.5166894338</v>
      </c>
      <c r="F443" s="88" t="n">
        <v>9977.18928398026</v>
      </c>
      <c r="G443" s="89" t="n">
        <v>14058.8402730705</v>
      </c>
      <c r="H443" s="90" t="n">
        <v>9972.733436972</v>
      </c>
      <c r="I443" s="91" t="str">
        <f>H443-F443</f>
      </c>
      <c r="J443" s="92" t="str">
        <f>G443-E443</f>
      </c>
    </row>
    <row r="444">
      <c r="A444" t="s">
        <v>250</v>
      </c>
      <c r="B444" t="s">
        <v>252</v>
      </c>
      <c r="C444" s="86" t="n">
        <v>2036</v>
      </c>
      <c r="D444" t="s">
        <v>224</v>
      </c>
      <c r="E444" s="87" t="n">
        <v>991008.241839247</v>
      </c>
      <c r="F444" s="88" t="n">
        <v>176099.409620292</v>
      </c>
      <c r="G444" s="89" t="n">
        <v>992593.127567906</v>
      </c>
      <c r="H444" s="90" t="n">
        <v>176139.997785528</v>
      </c>
      <c r="I444" s="91" t="str">
        <f>H444-F444</f>
      </c>
      <c r="J444" s="92" t="str">
        <f>G444-E444</f>
      </c>
    </row>
    <row r="445">
      <c r="A445" t="s">
        <v>250</v>
      </c>
      <c r="B445" t="s">
        <v>252</v>
      </c>
      <c r="C445" s="86" t="n">
        <v>2036</v>
      </c>
      <c r="D445" t="s">
        <v>420</v>
      </c>
      <c r="E445" s="87" t="n">
        <v>147070.42941055</v>
      </c>
      <c r="F445" s="88" t="n">
        <v>91256.7837742562</v>
      </c>
      <c r="G445" s="89" t="n">
        <v>146978.916070349</v>
      </c>
      <c r="H445" s="90" t="n">
        <v>91225.4078140792</v>
      </c>
      <c r="I445" s="91" t="str">
        <f>H445-F445</f>
      </c>
      <c r="J445" s="92" t="str">
        <f>G445-E445</f>
      </c>
    </row>
    <row r="446">
      <c r="A446" t="s">
        <v>250</v>
      </c>
      <c r="B446" t="s">
        <v>252</v>
      </c>
      <c r="C446" s="86" t="n">
        <v>2036</v>
      </c>
      <c r="D446" t="s">
        <v>235</v>
      </c>
      <c r="E446" s="87" t="n">
        <v>314940.089516259</v>
      </c>
      <c r="F446" s="88" t="n">
        <v>295312.380184153</v>
      </c>
      <c r="G446" s="89" t="n">
        <v>315288.949461379</v>
      </c>
      <c r="H446" s="90" t="n">
        <v>296084.402747987</v>
      </c>
      <c r="I446" s="91" t="str">
        <f>H446-F446</f>
      </c>
      <c r="J446" s="92" t="str">
        <f>G446-E446</f>
      </c>
    </row>
    <row r="447">
      <c r="A447" t="s">
        <v>250</v>
      </c>
      <c r="B447" t="s">
        <v>252</v>
      </c>
      <c r="C447" s="86" t="n">
        <v>2036</v>
      </c>
      <c r="D447" t="s">
        <v>244</v>
      </c>
      <c r="E447" s="87" t="n">
        <v>783511.211655132</v>
      </c>
      <c r="F447" s="88" t="n">
        <v>446974.594939413</v>
      </c>
      <c r="G447" s="89" t="n">
        <v>786706.265291046</v>
      </c>
      <c r="H447" s="90" t="n">
        <v>450600.66503166</v>
      </c>
      <c r="I447" s="91" t="str">
        <f>H447-F447</f>
      </c>
      <c r="J447" s="92" t="str">
        <f>G447-E447</f>
      </c>
    </row>
    <row r="448">
      <c r="A448" t="s">
        <v>250</v>
      </c>
      <c r="B448" t="s">
        <v>252</v>
      </c>
      <c r="C448" s="86" t="n">
        <v>2036</v>
      </c>
      <c r="D448" t="s">
        <v>248</v>
      </c>
      <c r="E448" s="87" t="n">
        <v>417876.110383054</v>
      </c>
      <c r="F448" s="88" t="n">
        <v>214066.848527392</v>
      </c>
      <c r="G448" s="89" t="n">
        <v>418880.52544402</v>
      </c>
      <c r="H448" s="90" t="n">
        <v>215434.246910517</v>
      </c>
      <c r="I448" s="91" t="str">
        <f>H448-F448</f>
      </c>
      <c r="J448" s="92" t="str">
        <f>G448-E448</f>
      </c>
    </row>
    <row r="449">
      <c r="A449" t="s">
        <v>250</v>
      </c>
      <c r="B449" t="s">
        <v>252</v>
      </c>
      <c r="C449" s="86" t="n">
        <v>2036</v>
      </c>
      <c r="D449" t="s">
        <v>421</v>
      </c>
      <c r="E449" s="87" t="n">
        <v>13308.86236686</v>
      </c>
      <c r="F449" s="88" t="n">
        <v>2547.74596064979</v>
      </c>
      <c r="G449" s="89" t="n">
        <v>13308.7944546361</v>
      </c>
      <c r="H449" s="90" t="n">
        <v>2547.74258396749</v>
      </c>
      <c r="I449" s="91" t="str">
        <f>H449-F449</f>
      </c>
      <c r="J449" s="92" t="str">
        <f>G449-E449</f>
      </c>
    </row>
    <row r="450">
      <c r="A450" t="s">
        <v>250</v>
      </c>
      <c r="B450" t="s">
        <v>252</v>
      </c>
      <c r="C450" s="86" t="n">
        <v>2037</v>
      </c>
      <c r="D450" t="s">
        <v>419</v>
      </c>
      <c r="E450" s="87" t="n">
        <v>14400.1054224895</v>
      </c>
      <c r="F450" s="88" t="n">
        <v>10164.4233008097</v>
      </c>
      <c r="G450" s="89" t="n">
        <v>14386.6366039025</v>
      </c>
      <c r="H450" s="90" t="n">
        <v>10159.1873336905</v>
      </c>
      <c r="I450" s="91" t="str">
        <f>H450-F450</f>
      </c>
      <c r="J450" s="92" t="str">
        <f>G450-E450</f>
      </c>
    </row>
    <row r="451">
      <c r="A451" t="s">
        <v>250</v>
      </c>
      <c r="B451" t="s">
        <v>252</v>
      </c>
      <c r="C451" s="86" t="n">
        <v>2037</v>
      </c>
      <c r="D451" t="s">
        <v>224</v>
      </c>
      <c r="E451" s="87" t="n">
        <v>1007599.34447273</v>
      </c>
      <c r="F451" s="88" t="n">
        <v>181409.686983416</v>
      </c>
      <c r="G451" s="89" t="n">
        <v>1009301.65749756</v>
      </c>
      <c r="H451" s="90" t="n">
        <v>181458.235839908</v>
      </c>
      <c r="I451" s="91" t="str">
        <f>H451-F451</f>
      </c>
      <c r="J451" s="92" t="str">
        <f>G451-E451</f>
      </c>
    </row>
    <row r="452">
      <c r="A452" t="s">
        <v>250</v>
      </c>
      <c r="B452" t="s">
        <v>252</v>
      </c>
      <c r="C452" s="86" t="n">
        <v>2037</v>
      </c>
      <c r="D452" t="s">
        <v>420</v>
      </c>
      <c r="E452" s="87" t="n">
        <v>150593.190484226</v>
      </c>
      <c r="F452" s="88" t="n">
        <v>93378.7043924794</v>
      </c>
      <c r="G452" s="89" t="n">
        <v>150487.441619108</v>
      </c>
      <c r="H452" s="90" t="n">
        <v>93341.2784245107</v>
      </c>
      <c r="I452" s="91" t="str">
        <f>H452-F452</f>
      </c>
      <c r="J452" s="92" t="str">
        <f>G452-E452</f>
      </c>
    </row>
    <row r="453">
      <c r="A453" t="s">
        <v>250</v>
      </c>
      <c r="B453" t="s">
        <v>252</v>
      </c>
      <c r="C453" s="86" t="n">
        <v>2037</v>
      </c>
      <c r="D453" t="s">
        <v>235</v>
      </c>
      <c r="E453" s="87" t="n">
        <v>318371.38305072</v>
      </c>
      <c r="F453" s="88" t="n">
        <v>298570.144163682</v>
      </c>
      <c r="G453" s="89" t="n">
        <v>318754.964813024</v>
      </c>
      <c r="H453" s="90" t="n">
        <v>299434.655195925</v>
      </c>
      <c r="I453" s="91" t="str">
        <f>H453-F453</f>
      </c>
      <c r="J453" s="92" t="str">
        <f>G453-E453</f>
      </c>
    </row>
    <row r="454">
      <c r="A454" t="s">
        <v>250</v>
      </c>
      <c r="B454" t="s">
        <v>252</v>
      </c>
      <c r="C454" s="86" t="n">
        <v>2037</v>
      </c>
      <c r="D454" t="s">
        <v>244</v>
      </c>
      <c r="E454" s="87" t="n">
        <v>799912.718437036</v>
      </c>
      <c r="F454" s="88" t="n">
        <v>457727.507279949</v>
      </c>
      <c r="G454" s="89" t="n">
        <v>803452.229036644</v>
      </c>
      <c r="H454" s="90" t="n">
        <v>461851.049511551</v>
      </c>
      <c r="I454" s="91" t="str">
        <f>H454-F454</f>
      </c>
      <c r="J454" s="92" t="str">
        <f>G454-E454</f>
      </c>
    </row>
    <row r="455">
      <c r="A455" t="s">
        <v>250</v>
      </c>
      <c r="B455" t="s">
        <v>252</v>
      </c>
      <c r="C455" s="86" t="n">
        <v>2037</v>
      </c>
      <c r="D455" t="s">
        <v>248</v>
      </c>
      <c r="E455" s="87" t="n">
        <v>426382.848029248</v>
      </c>
      <c r="F455" s="88" t="n">
        <v>219541.771393357</v>
      </c>
      <c r="G455" s="89" t="n">
        <v>427506.733072448</v>
      </c>
      <c r="H455" s="90" t="n">
        <v>221141.826108993</v>
      </c>
      <c r="I455" s="91" t="str">
        <f>H455-F455</f>
      </c>
      <c r="J455" s="92" t="str">
        <f>G455-E455</f>
      </c>
    </row>
    <row r="456">
      <c r="A456" t="s">
        <v>250</v>
      </c>
      <c r="B456" t="s">
        <v>252</v>
      </c>
      <c r="C456" s="86" t="n">
        <v>2037</v>
      </c>
      <c r="D456" t="s">
        <v>421</v>
      </c>
      <c r="E456" s="87" t="n">
        <v>13385.1941807568</v>
      </c>
      <c r="F456" s="88" t="n">
        <v>2421.57998860765</v>
      </c>
      <c r="G456" s="89" t="n">
        <v>13385.128134315</v>
      </c>
      <c r="H456" s="90" t="n">
        <v>2421.57667984156</v>
      </c>
      <c r="I456" s="91" t="str">
        <f>H456-F456</f>
      </c>
      <c r="J456" s="92" t="str">
        <f>G456-E456</f>
      </c>
    </row>
    <row r="457">
      <c r="A457" t="s">
        <v>250</v>
      </c>
      <c r="B457" t="s">
        <v>252</v>
      </c>
      <c r="C457" s="86" t="n">
        <v>2038</v>
      </c>
      <c r="D457" t="s">
        <v>419</v>
      </c>
      <c r="E457" s="87" t="n">
        <v>14806.0481191443</v>
      </c>
      <c r="F457" s="88" t="n">
        <v>10356.0204997037</v>
      </c>
      <c r="G457" s="89" t="n">
        <v>14790.2897218897</v>
      </c>
      <c r="H457" s="90" t="n">
        <v>10349.9036883417</v>
      </c>
      <c r="I457" s="91" t="str">
        <f>H457-F457</f>
      </c>
      <c r="J457" s="92" t="str">
        <f>G457-E457</f>
      </c>
    </row>
    <row r="458">
      <c r="A458" t="s">
        <v>250</v>
      </c>
      <c r="B458" t="s">
        <v>252</v>
      </c>
      <c r="C458" s="86" t="n">
        <v>2038</v>
      </c>
      <c r="D458" t="s">
        <v>224</v>
      </c>
      <c r="E458" s="87" t="n">
        <v>1023921.36629419</v>
      </c>
      <c r="F458" s="88" t="n">
        <v>186730.509513604</v>
      </c>
      <c r="G458" s="89" t="n">
        <v>1025731.21343356</v>
      </c>
      <c r="H458" s="90" t="n">
        <v>186787.491870524</v>
      </c>
      <c r="I458" s="91" t="str">
        <f>H458-F458</f>
      </c>
      <c r="J458" s="92" t="str">
        <f>G458-E458</f>
      </c>
    </row>
    <row r="459">
      <c r="A459" t="s">
        <v>250</v>
      </c>
      <c r="B459" t="s">
        <v>252</v>
      </c>
      <c r="C459" s="86" t="n">
        <v>2038</v>
      </c>
      <c r="D459" t="s">
        <v>420</v>
      </c>
      <c r="E459" s="87" t="n">
        <v>154955.999806429</v>
      </c>
      <c r="F459" s="88" t="n">
        <v>95513.1132648284</v>
      </c>
      <c r="G459" s="89" t="n">
        <v>154833.021861689</v>
      </c>
      <c r="H459" s="90" t="n">
        <v>95469.0447801143</v>
      </c>
      <c r="I459" s="91" t="str">
        <f>H459-F459</f>
      </c>
      <c r="J459" s="92" t="str">
        <f>G459-E459</f>
      </c>
    </row>
    <row r="460">
      <c r="A460" t="s">
        <v>250</v>
      </c>
      <c r="B460" t="s">
        <v>252</v>
      </c>
      <c r="C460" s="86" t="n">
        <v>2038</v>
      </c>
      <c r="D460" t="s">
        <v>235</v>
      </c>
      <c r="E460" s="87" t="n">
        <v>321392.788840937</v>
      </c>
      <c r="F460" s="88" t="n">
        <v>301528.536032225</v>
      </c>
      <c r="G460" s="89" t="n">
        <v>321808.304576111</v>
      </c>
      <c r="H460" s="90" t="n">
        <v>302464.555231106</v>
      </c>
      <c r="I460" s="91" t="str">
        <f>H460-F460</f>
      </c>
      <c r="J460" s="92" t="str">
        <f>G460-E460</f>
      </c>
    </row>
    <row r="461">
      <c r="A461" t="s">
        <v>250</v>
      </c>
      <c r="B461" t="s">
        <v>252</v>
      </c>
      <c r="C461" s="86" t="n">
        <v>2038</v>
      </c>
      <c r="D461" t="s">
        <v>244</v>
      </c>
      <c r="E461" s="87" t="n">
        <v>818615.57398217</v>
      </c>
      <c r="F461" s="88" t="n">
        <v>468332.426798356</v>
      </c>
      <c r="G461" s="89" t="n">
        <v>822517.79120794</v>
      </c>
      <c r="H461" s="90" t="n">
        <v>472964.182972518</v>
      </c>
      <c r="I461" s="91" t="str">
        <f>H461-F461</f>
      </c>
      <c r="J461" s="92" t="str">
        <f>G461-E461</f>
      </c>
    </row>
    <row r="462">
      <c r="A462" t="s">
        <v>250</v>
      </c>
      <c r="B462" t="s">
        <v>252</v>
      </c>
      <c r="C462" s="86" t="n">
        <v>2038</v>
      </c>
      <c r="D462" t="s">
        <v>248</v>
      </c>
      <c r="E462" s="87" t="n">
        <v>436625.983330661</v>
      </c>
      <c r="F462" s="88" t="n">
        <v>225004.437378155</v>
      </c>
      <c r="G462" s="89" t="n">
        <v>437875.904421767</v>
      </c>
      <c r="H462" s="90" t="n">
        <v>226837.611544716</v>
      </c>
      <c r="I462" s="91" t="str">
        <f>H462-F462</f>
      </c>
      <c r="J462" s="92" t="str">
        <f>G462-E462</f>
      </c>
    </row>
    <row r="463">
      <c r="A463" t="s">
        <v>250</v>
      </c>
      <c r="B463" t="s">
        <v>252</v>
      </c>
      <c r="C463" s="86" t="n">
        <v>2038</v>
      </c>
      <c r="D463" t="s">
        <v>421</v>
      </c>
      <c r="E463" s="87" t="n">
        <v>13130.5539167199</v>
      </c>
      <c r="F463" s="88" t="n">
        <v>2303.46846085197</v>
      </c>
      <c r="G463" s="89" t="n">
        <v>13130.4959942569</v>
      </c>
      <c r="H463" s="90" t="n">
        <v>2303.4653337572</v>
      </c>
      <c r="I463" s="91" t="str">
        <f>H463-F463</f>
      </c>
      <c r="J463" s="92" t="str">
        <f>G463-E463</f>
      </c>
    </row>
    <row r="464">
      <c r="A464" t="s">
        <v>250</v>
      </c>
      <c r="B464" t="s">
        <v>252</v>
      </c>
      <c r="C464" s="86" t="n">
        <v>2039</v>
      </c>
      <c r="D464" t="s">
        <v>419</v>
      </c>
      <c r="E464" s="87" t="n">
        <v>15154.0068570675</v>
      </c>
      <c r="F464" s="88" t="n">
        <v>10552.1806880044</v>
      </c>
      <c r="G464" s="89" t="n">
        <v>15135.74798412</v>
      </c>
      <c r="H464" s="90" t="n">
        <v>10545.0523038997</v>
      </c>
      <c r="I464" s="91" t="str">
        <f>H464-F464</f>
      </c>
      <c r="J464" s="92" t="str">
        <f>G464-E464</f>
      </c>
    </row>
    <row r="465">
      <c r="A465" t="s">
        <v>250</v>
      </c>
      <c r="B465" t="s">
        <v>252</v>
      </c>
      <c r="C465" s="86" t="n">
        <v>2039</v>
      </c>
      <c r="D465" t="s">
        <v>224</v>
      </c>
      <c r="E465" s="87" t="n">
        <v>1037431.47291784</v>
      </c>
      <c r="F465" s="88" t="n">
        <v>192230.733206852</v>
      </c>
      <c r="G465" s="89" t="n">
        <v>1039334.21211717</v>
      </c>
      <c r="H465" s="90" t="n">
        <v>192296.552192256</v>
      </c>
      <c r="I465" s="91" t="str">
        <f>H465-F465</f>
      </c>
      <c r="J465" s="92" t="str">
        <f>G465-E465</f>
      </c>
    </row>
    <row r="466">
      <c r="A466" t="s">
        <v>250</v>
      </c>
      <c r="B466" t="s">
        <v>252</v>
      </c>
      <c r="C466" s="86" t="n">
        <v>2039</v>
      </c>
      <c r="D466" t="s">
        <v>420</v>
      </c>
      <c r="E466" s="87" t="n">
        <v>158468.394742156</v>
      </c>
      <c r="F466" s="88" t="n">
        <v>97718.1101799798</v>
      </c>
      <c r="G466" s="89" t="n">
        <v>158325.904186221</v>
      </c>
      <c r="H466" s="90" t="n">
        <v>97666.5125218666</v>
      </c>
      <c r="I466" s="91" t="str">
        <f>H466-F466</f>
      </c>
      <c r="J466" s="92" t="str">
        <f>G466-E466</f>
      </c>
    </row>
    <row r="467">
      <c r="A467" t="s">
        <v>250</v>
      </c>
      <c r="B467" t="s">
        <v>252</v>
      </c>
      <c r="C467" s="86" t="n">
        <v>2039</v>
      </c>
      <c r="D467" t="s">
        <v>235</v>
      </c>
      <c r="E467" s="87" t="n">
        <v>324501.843384985</v>
      </c>
      <c r="F467" s="88" t="n">
        <v>304536.995136124</v>
      </c>
      <c r="G467" s="89" t="n">
        <v>324947.685920243</v>
      </c>
      <c r="H467" s="90" t="n">
        <v>305533.683824107</v>
      </c>
      <c r="I467" s="91" t="str">
        <f>H467-F467</f>
      </c>
      <c r="J467" s="92" t="str">
        <f>G467-E467</f>
      </c>
    </row>
    <row r="468">
      <c r="A468" t="s">
        <v>250</v>
      </c>
      <c r="B468" t="s">
        <v>252</v>
      </c>
      <c r="C468" s="86" t="n">
        <v>2039</v>
      </c>
      <c r="D468" t="s">
        <v>244</v>
      </c>
      <c r="E468" s="87" t="n">
        <v>834120.925977563</v>
      </c>
      <c r="F468" s="88" t="n">
        <v>479208.163915202</v>
      </c>
      <c r="G468" s="89" t="n">
        <v>838380.897928912</v>
      </c>
      <c r="H468" s="90" t="n">
        <v>484364.275142346</v>
      </c>
      <c r="I468" s="91" t="str">
        <f>H468-F468</f>
      </c>
      <c r="J468" s="92" t="str">
        <f>G468-E468</f>
      </c>
    </row>
    <row r="469">
      <c r="A469" t="s">
        <v>250</v>
      </c>
      <c r="B469" t="s">
        <v>252</v>
      </c>
      <c r="C469" s="86" t="n">
        <v>2039</v>
      </c>
      <c r="D469" t="s">
        <v>248</v>
      </c>
      <c r="E469" s="87" t="n">
        <v>444727.358128717</v>
      </c>
      <c r="F469" s="88" t="n">
        <v>230684.677688394</v>
      </c>
      <c r="G469" s="89" t="n">
        <v>446097.450852593</v>
      </c>
      <c r="H469" s="90" t="n">
        <v>232753.81626835</v>
      </c>
      <c r="I469" s="91" t="str">
        <f>H469-F469</f>
      </c>
      <c r="J469" s="92" t="str">
        <f>G469-E469</f>
      </c>
    </row>
    <row r="470">
      <c r="A470" t="s">
        <v>250</v>
      </c>
      <c r="B470" t="s">
        <v>252</v>
      </c>
      <c r="C470" s="86" t="n">
        <v>2039</v>
      </c>
      <c r="D470" t="s">
        <v>421</v>
      </c>
      <c r="E470" s="87" t="n">
        <v>13010.9743205371</v>
      </c>
      <c r="F470" s="88" t="n">
        <v>2187.90692427754</v>
      </c>
      <c r="G470" s="89" t="n">
        <v>13010.9148835445</v>
      </c>
      <c r="H470" s="90" t="n">
        <v>2187.90404676672</v>
      </c>
      <c r="I470" s="91" t="str">
        <f>H470-F470</f>
      </c>
      <c r="J470" s="92" t="str">
        <f>G470-E470</f>
      </c>
    </row>
    <row r="471">
      <c r="A471" t="s">
        <v>250</v>
      </c>
      <c r="B471" t="s">
        <v>252</v>
      </c>
      <c r="C471" s="86" t="n">
        <v>2040</v>
      </c>
      <c r="D471" t="s">
        <v>419</v>
      </c>
      <c r="E471" s="87" t="n">
        <v>15552.7481443888</v>
      </c>
      <c r="F471" s="88" t="n">
        <v>10749.0283722028</v>
      </c>
      <c r="G471" s="89" t="n">
        <v>15531.5458454137</v>
      </c>
      <c r="H471" s="90" t="n">
        <v>10740.752829966</v>
      </c>
      <c r="I471" s="91" t="str">
        <f>H471-F471</f>
      </c>
      <c r="J471" s="92" t="str">
        <f>G471-E471</f>
      </c>
    </row>
    <row r="472">
      <c r="A472" t="s">
        <v>250</v>
      </c>
      <c r="B472" t="s">
        <v>252</v>
      </c>
      <c r="C472" s="86" t="n">
        <v>2040</v>
      </c>
      <c r="D472" t="s">
        <v>224</v>
      </c>
      <c r="E472" s="87" t="n">
        <v>1049281.6797415</v>
      </c>
      <c r="F472" s="88" t="n">
        <v>197665.03242065</v>
      </c>
      <c r="G472" s="89" t="n">
        <v>1051265.69371329</v>
      </c>
      <c r="H472" s="90" t="n">
        <v>197739.851826417</v>
      </c>
      <c r="I472" s="91" t="str">
        <f>H472-F472</f>
      </c>
      <c r="J472" s="92" t="str">
        <f>G472-E472</f>
      </c>
    </row>
    <row r="473">
      <c r="A473" t="s">
        <v>250</v>
      </c>
      <c r="B473" t="s">
        <v>252</v>
      </c>
      <c r="C473" s="86" t="n">
        <v>2040</v>
      </c>
      <c r="D473" t="s">
        <v>420</v>
      </c>
      <c r="E473" s="87" t="n">
        <v>162181.142015967</v>
      </c>
      <c r="F473" s="88" t="n">
        <v>99890.5985093434</v>
      </c>
      <c r="G473" s="89" t="n">
        <v>162016.43342865</v>
      </c>
      <c r="H473" s="90" t="n">
        <v>99830.4797881527</v>
      </c>
      <c r="I473" s="91" t="str">
        <f>H473-F473</f>
      </c>
      <c r="J473" s="92" t="str">
        <f>G473-E473</f>
      </c>
    </row>
    <row r="474">
      <c r="A474" t="s">
        <v>250</v>
      </c>
      <c r="B474" t="s">
        <v>252</v>
      </c>
      <c r="C474" s="86" t="n">
        <v>2040</v>
      </c>
      <c r="D474" t="s">
        <v>235</v>
      </c>
      <c r="E474" s="87" t="n">
        <v>327356.227974635</v>
      </c>
      <c r="F474" s="88" t="n">
        <v>307275.745795009</v>
      </c>
      <c r="G474" s="89" t="n">
        <v>327830.115399056</v>
      </c>
      <c r="H474" s="90" t="n">
        <v>308326.231940747</v>
      </c>
      <c r="I474" s="91" t="str">
        <f>H474-F474</f>
      </c>
      <c r="J474" s="92" t="str">
        <f>G474-E474</f>
      </c>
    </row>
    <row r="475">
      <c r="A475" t="s">
        <v>250</v>
      </c>
      <c r="B475" t="s">
        <v>252</v>
      </c>
      <c r="C475" s="86" t="n">
        <v>2040</v>
      </c>
      <c r="D475" t="s">
        <v>244</v>
      </c>
      <c r="E475" s="87" t="n">
        <v>848608.703636729</v>
      </c>
      <c r="F475" s="88" t="n">
        <v>489800.115240574</v>
      </c>
      <c r="G475" s="89" t="n">
        <v>853229.023620414</v>
      </c>
      <c r="H475" s="90" t="n">
        <v>495491.389021897</v>
      </c>
      <c r="I475" s="91" t="str">
        <f>H475-F475</f>
      </c>
      <c r="J475" s="92" t="str">
        <f>G475-E475</f>
      </c>
    </row>
    <row r="476">
      <c r="A476" t="s">
        <v>250</v>
      </c>
      <c r="B476" t="s">
        <v>252</v>
      </c>
      <c r="C476" s="86" t="n">
        <v>2040</v>
      </c>
      <c r="D476" t="s">
        <v>248</v>
      </c>
      <c r="E476" s="87" t="n">
        <v>452106.888531833</v>
      </c>
      <c r="F476" s="88" t="n">
        <v>236279.697515139</v>
      </c>
      <c r="G476" s="89" t="n">
        <v>453595.602682997</v>
      </c>
      <c r="H476" s="90" t="n">
        <v>238587.525717873</v>
      </c>
      <c r="I476" s="91" t="str">
        <f>H476-F476</f>
      </c>
      <c r="J476" s="92" t="str">
        <f>G476-E476</f>
      </c>
    </row>
    <row r="477">
      <c r="A477" t="s">
        <v>250</v>
      </c>
      <c r="B477" t="s">
        <v>252</v>
      </c>
      <c r="C477" s="86" t="n">
        <v>2040</v>
      </c>
      <c r="D477" t="s">
        <v>421</v>
      </c>
      <c r="E477" s="87" t="n">
        <v>12921.666222755</v>
      </c>
      <c r="F477" s="88" t="n">
        <v>2071.44705622004</v>
      </c>
      <c r="G477" s="89" t="n">
        <v>12921.6065425891</v>
      </c>
      <c r="H477" s="90" t="n">
        <v>2071.44438113687</v>
      </c>
      <c r="I477" s="91" t="str">
        <f>H477-F477</f>
      </c>
      <c r="J477" s="92" t="str">
        <f>G477-E477</f>
      </c>
    </row>
    <row r="478">
      <c r="A478" t="s">
        <v>250</v>
      </c>
      <c r="B478" t="s">
        <v>252</v>
      </c>
      <c r="C478" s="86" t="n">
        <v>2041</v>
      </c>
      <c r="D478" t="s">
        <v>419</v>
      </c>
      <c r="E478" s="87" t="n">
        <v>15945.4020697113</v>
      </c>
      <c r="F478" s="88" t="n">
        <v>10949.0925191631</v>
      </c>
      <c r="G478" s="89" t="n">
        <v>15920.8775016153</v>
      </c>
      <c r="H478" s="90" t="n">
        <v>10939.5011556982</v>
      </c>
      <c r="I478" s="91" t="str">
        <f>H478-F478</f>
      </c>
      <c r="J478" s="92" t="str">
        <f>G478-E478</f>
      </c>
    </row>
    <row r="479">
      <c r="A479" t="s">
        <v>250</v>
      </c>
      <c r="B479" t="s">
        <v>252</v>
      </c>
      <c r="C479" s="86" t="n">
        <v>2041</v>
      </c>
      <c r="D479" t="s">
        <v>224</v>
      </c>
      <c r="E479" s="87" t="n">
        <v>1064499.65671017</v>
      </c>
      <c r="F479" s="88" t="n">
        <v>203117.242240911</v>
      </c>
      <c r="G479" s="89" t="n">
        <v>1066563.6735298</v>
      </c>
      <c r="H479" s="90" t="n">
        <v>203201.128796519</v>
      </c>
      <c r="I479" s="91" t="str">
        <f>H479-F479</f>
      </c>
      <c r="J479" s="92" t="str">
        <f>G479-E479</f>
      </c>
    </row>
    <row r="480">
      <c r="A480" t="s">
        <v>250</v>
      </c>
      <c r="B480" t="s">
        <v>252</v>
      </c>
      <c r="C480" s="86" t="n">
        <v>2041</v>
      </c>
      <c r="D480" t="s">
        <v>420</v>
      </c>
      <c r="E480" s="87" t="n">
        <v>165792.853982416</v>
      </c>
      <c r="F480" s="88" t="n">
        <v>102068.576520903</v>
      </c>
      <c r="G480" s="89" t="n">
        <v>165603.256683252</v>
      </c>
      <c r="H480" s="90" t="n">
        <v>101998.78936442</v>
      </c>
      <c r="I480" s="91" t="str">
        <f>H480-F480</f>
      </c>
      <c r="J480" s="92" t="str">
        <f>G480-E480</f>
      </c>
    </row>
    <row r="481">
      <c r="A481" t="s">
        <v>250</v>
      </c>
      <c r="B481" t="s">
        <v>252</v>
      </c>
      <c r="C481" s="86" t="n">
        <v>2041</v>
      </c>
      <c r="D481" t="s">
        <v>235</v>
      </c>
      <c r="E481" s="87" t="n">
        <v>330352.603565198</v>
      </c>
      <c r="F481" s="88" t="n">
        <v>310112.877477289</v>
      </c>
      <c r="G481" s="89" t="n">
        <v>330799.892538861</v>
      </c>
      <c r="H481" s="90" t="n">
        <v>311000.568285778</v>
      </c>
      <c r="I481" s="91" t="str">
        <f>H481-F481</f>
      </c>
      <c r="J481" s="92" t="str">
        <f>G481-E481</f>
      </c>
    </row>
    <row r="482">
      <c r="A482" t="s">
        <v>250</v>
      </c>
      <c r="B482" t="s">
        <v>252</v>
      </c>
      <c r="C482" s="86" t="n">
        <v>2041</v>
      </c>
      <c r="D482" t="s">
        <v>244</v>
      </c>
      <c r="E482" s="87" t="n">
        <v>864447.959829103</v>
      </c>
      <c r="F482" s="88" t="n">
        <v>500836.527361992</v>
      </c>
      <c r="G482" s="89" t="n">
        <v>869077.592101044</v>
      </c>
      <c r="H482" s="90" t="n">
        <v>506572.614435606</v>
      </c>
      <c r="I482" s="91" t="str">
        <f>H482-F482</f>
      </c>
      <c r="J482" s="92" t="str">
        <f>G482-E482</f>
      </c>
    </row>
    <row r="483">
      <c r="A483" t="s">
        <v>250</v>
      </c>
      <c r="B483" t="s">
        <v>252</v>
      </c>
      <c r="C483" s="86" t="n">
        <v>2041</v>
      </c>
      <c r="D483" t="s">
        <v>248</v>
      </c>
      <c r="E483" s="87" t="n">
        <v>460105.09723486</v>
      </c>
      <c r="F483" s="88" t="n">
        <v>242116.574341491</v>
      </c>
      <c r="G483" s="89" t="n">
        <v>461572.525619781</v>
      </c>
      <c r="H483" s="90" t="n">
        <v>244403.938380915</v>
      </c>
      <c r="I483" s="91" t="str">
        <f>H483-F483</f>
      </c>
      <c r="J483" s="92" t="str">
        <f>G483-E483</f>
      </c>
    </row>
    <row r="484">
      <c r="A484" t="s">
        <v>250</v>
      </c>
      <c r="B484" t="s">
        <v>252</v>
      </c>
      <c r="C484" s="86" t="n">
        <v>2041</v>
      </c>
      <c r="D484" t="s">
        <v>421</v>
      </c>
      <c r="E484" s="87" t="n">
        <v>12914.0246532986</v>
      </c>
      <c r="F484" s="88" t="n">
        <v>1954.42610349545</v>
      </c>
      <c r="G484" s="89" t="n">
        <v>12913.9661072478</v>
      </c>
      <c r="H484" s="90" t="n">
        <v>1954.42370545678</v>
      </c>
      <c r="I484" s="91" t="str">
        <f>H484-F484</f>
      </c>
      <c r="J484" s="92" t="str">
        <f>G484-E484</f>
      </c>
    </row>
    <row r="485">
      <c r="A485" t="s">
        <v>250</v>
      </c>
      <c r="B485" t="s">
        <v>252</v>
      </c>
      <c r="C485" s="86" t="n">
        <v>2042</v>
      </c>
      <c r="D485" t="s">
        <v>419</v>
      </c>
      <c r="E485" s="87" t="n">
        <v>16337.6438447346</v>
      </c>
      <c r="F485" s="88" t="n">
        <v>11146.5845767143</v>
      </c>
      <c r="G485" s="89" t="n">
        <v>16309.8993609652</v>
      </c>
      <c r="H485" s="90" t="n">
        <v>11135.4965430843</v>
      </c>
      <c r="I485" s="91" t="str">
        <f>H485-F485</f>
      </c>
      <c r="J485" s="92" t="str">
        <f>G485-E485</f>
      </c>
    </row>
    <row r="486">
      <c r="A486" t="s">
        <v>250</v>
      </c>
      <c r="B486" t="s">
        <v>252</v>
      </c>
      <c r="C486" s="86" t="n">
        <v>2042</v>
      </c>
      <c r="D486" t="s">
        <v>224</v>
      </c>
      <c r="E486" s="87" t="n">
        <v>1075896.03541777</v>
      </c>
      <c r="F486" s="88" t="n">
        <v>208553.712207455</v>
      </c>
      <c r="G486" s="89" t="n">
        <v>1078026.60097981</v>
      </c>
      <c r="H486" s="90" t="n">
        <v>208646.654553543</v>
      </c>
      <c r="I486" s="91" t="str">
        <f>H486-F486</f>
      </c>
      <c r="J486" s="92" t="str">
        <f>G486-E486</f>
      </c>
    </row>
    <row r="487">
      <c r="A487" t="s">
        <v>250</v>
      </c>
      <c r="B487" t="s">
        <v>252</v>
      </c>
      <c r="C487" s="86" t="n">
        <v>2042</v>
      </c>
      <c r="D487" t="s">
        <v>420</v>
      </c>
      <c r="E487" s="87" t="n">
        <v>169355.009366037</v>
      </c>
      <c r="F487" s="88" t="n">
        <v>104234.462992928</v>
      </c>
      <c r="G487" s="89" t="n">
        <v>169141.556637021</v>
      </c>
      <c r="H487" s="90" t="n">
        <v>104153.760083299</v>
      </c>
      <c r="I487" s="91" t="str">
        <f>H487-F487</f>
      </c>
      <c r="J487" s="92" t="str">
        <f>G487-E487</f>
      </c>
    </row>
    <row r="488">
      <c r="A488" t="s">
        <v>250</v>
      </c>
      <c r="B488" t="s">
        <v>252</v>
      </c>
      <c r="C488" s="86" t="n">
        <v>2042</v>
      </c>
      <c r="D488" t="s">
        <v>235</v>
      </c>
      <c r="E488" s="87" t="n">
        <v>332900.02430372</v>
      </c>
      <c r="F488" s="88" t="n">
        <v>312641.165519854</v>
      </c>
      <c r="G488" s="89" t="n">
        <v>333321.323938657</v>
      </c>
      <c r="H488" s="90" t="n">
        <v>313428.604068663</v>
      </c>
      <c r="I488" s="91" t="str">
        <f>H488-F488</f>
      </c>
      <c r="J488" s="92" t="str">
        <f>G488-E488</f>
      </c>
    </row>
    <row r="489">
      <c r="A489" t="s">
        <v>250</v>
      </c>
      <c r="B489" t="s">
        <v>252</v>
      </c>
      <c r="C489" s="86" t="n">
        <v>2042</v>
      </c>
      <c r="D489" t="s">
        <v>244</v>
      </c>
      <c r="E489" s="87" t="n">
        <v>879644.629231705</v>
      </c>
      <c r="F489" s="88" t="n">
        <v>511714.620128717</v>
      </c>
      <c r="G489" s="89" t="n">
        <v>884281.978207785</v>
      </c>
      <c r="H489" s="90" t="n">
        <v>517499.023505678</v>
      </c>
      <c r="I489" s="91" t="str">
        <f>H489-F489</f>
      </c>
      <c r="J489" s="92" t="str">
        <f>G489-E489</f>
      </c>
    </row>
    <row r="490">
      <c r="A490" t="s">
        <v>250</v>
      </c>
      <c r="B490" t="s">
        <v>252</v>
      </c>
      <c r="C490" s="86" t="n">
        <v>2042</v>
      </c>
      <c r="D490" t="s">
        <v>248</v>
      </c>
      <c r="E490" s="87" t="n">
        <v>468006.570919762</v>
      </c>
      <c r="F490" s="88" t="n">
        <v>247898.411144053</v>
      </c>
      <c r="G490" s="89" t="n">
        <v>469454.149721884</v>
      </c>
      <c r="H490" s="90" t="n">
        <v>250175.663514197</v>
      </c>
      <c r="I490" s="91" t="str">
        <f>H490-F490</f>
      </c>
      <c r="J490" s="92" t="str">
        <f>G490-E490</f>
      </c>
    </row>
    <row r="491">
      <c r="A491" t="s">
        <v>250</v>
      </c>
      <c r="B491" t="s">
        <v>252</v>
      </c>
      <c r="C491" s="86" t="n">
        <v>2042</v>
      </c>
      <c r="D491" t="s">
        <v>421</v>
      </c>
      <c r="E491" s="87" t="n">
        <v>12448.0179076941</v>
      </c>
      <c r="F491" s="88" t="n">
        <v>1837.13995813514</v>
      </c>
      <c r="G491" s="89" t="n">
        <v>12447.9578277165</v>
      </c>
      <c r="H491" s="90" t="n">
        <v>1837.13778678778</v>
      </c>
      <c r="I491" s="91" t="str">
        <f>H491-F491</f>
      </c>
      <c r="J491" s="92" t="str">
        <f>G491-E491</f>
      </c>
    </row>
    <row r="492">
      <c r="A492" t="s">
        <v>250</v>
      </c>
      <c r="B492" t="s">
        <v>252</v>
      </c>
      <c r="C492" s="86" t="n">
        <v>2043</v>
      </c>
      <c r="D492" t="s">
        <v>419</v>
      </c>
      <c r="E492" s="87" t="n">
        <v>16785.8250696632</v>
      </c>
      <c r="F492" s="88" t="n">
        <v>11353.297672586</v>
      </c>
      <c r="G492" s="89" t="n">
        <v>16754.8072801891</v>
      </c>
      <c r="H492" s="90" t="n">
        <v>11340.588740714</v>
      </c>
      <c r="I492" s="91" t="str">
        <f>H492-F492</f>
      </c>
      <c r="J492" s="92" t="str">
        <f>G492-E492</f>
      </c>
    </row>
    <row r="493">
      <c r="A493" t="s">
        <v>250</v>
      </c>
      <c r="B493" t="s">
        <v>252</v>
      </c>
      <c r="C493" s="86" t="n">
        <v>2043</v>
      </c>
      <c r="D493" t="s">
        <v>224</v>
      </c>
      <c r="E493" s="87" t="n">
        <v>1087422.48707276</v>
      </c>
      <c r="F493" s="88" t="n">
        <v>213911.598048848</v>
      </c>
      <c r="G493" s="89" t="n">
        <v>1089617.8876954</v>
      </c>
      <c r="H493" s="90" t="n">
        <v>214013.627325169</v>
      </c>
      <c r="I493" s="91" t="str">
        <f>H493-F493</f>
      </c>
      <c r="J493" s="92" t="str">
        <f>G493-E493</f>
      </c>
    </row>
    <row r="494">
      <c r="A494" t="s">
        <v>250</v>
      </c>
      <c r="B494" t="s">
        <v>252</v>
      </c>
      <c r="C494" s="86" t="n">
        <v>2043</v>
      </c>
      <c r="D494" t="s">
        <v>420</v>
      </c>
      <c r="E494" s="87" t="n">
        <v>173645.152291735</v>
      </c>
      <c r="F494" s="88" t="n">
        <v>106389.091146318</v>
      </c>
      <c r="G494" s="89" t="n">
        <v>173407.833179956</v>
      </c>
      <c r="H494" s="90" t="n">
        <v>106296.685429372</v>
      </c>
      <c r="I494" s="91" t="str">
        <f>H494-F494</f>
      </c>
      <c r="J494" s="92" t="str">
        <f>G494-E494</f>
      </c>
    </row>
    <row r="495">
      <c r="A495" t="s">
        <v>250</v>
      </c>
      <c r="B495" t="s">
        <v>252</v>
      </c>
      <c r="C495" s="86" t="n">
        <v>2043</v>
      </c>
      <c r="D495" t="s">
        <v>235</v>
      </c>
      <c r="E495" s="87" t="n">
        <v>334795.489687286</v>
      </c>
      <c r="F495" s="88" t="n">
        <v>314635.800080122</v>
      </c>
      <c r="G495" s="89" t="n">
        <v>335190.948405484</v>
      </c>
      <c r="H495" s="90" t="n">
        <v>315350.995136011</v>
      </c>
      <c r="I495" s="91" t="str">
        <f>H495-F495</f>
      </c>
      <c r="J495" s="92" t="str">
        <f>G495-E495</f>
      </c>
    </row>
    <row r="496">
      <c r="A496" t="s">
        <v>250</v>
      </c>
      <c r="B496" t="s">
        <v>252</v>
      </c>
      <c r="C496" s="86" t="n">
        <v>2043</v>
      </c>
      <c r="D496" t="s">
        <v>244</v>
      </c>
      <c r="E496" s="87" t="n">
        <v>897112.120230216</v>
      </c>
      <c r="F496" s="88" t="n">
        <v>522246.855436534</v>
      </c>
      <c r="G496" s="89" t="n">
        <v>901770.411974376</v>
      </c>
      <c r="H496" s="90" t="n">
        <v>528079.181081669</v>
      </c>
      <c r="I496" s="91" t="str">
        <f>H496-F496</f>
      </c>
      <c r="J496" s="92" t="str">
        <f>G496-E496</f>
      </c>
    </row>
    <row r="497">
      <c r="A497" t="s">
        <v>250</v>
      </c>
      <c r="B497" t="s">
        <v>252</v>
      </c>
      <c r="C497" s="86" t="n">
        <v>2043</v>
      </c>
      <c r="D497" t="s">
        <v>248</v>
      </c>
      <c r="E497" s="87" t="n">
        <v>478046.256842645</v>
      </c>
      <c r="F497" s="88" t="n">
        <v>253717.870130405</v>
      </c>
      <c r="G497" s="89" t="n">
        <v>479482.188386743</v>
      </c>
      <c r="H497" s="90" t="n">
        <v>255992.973248088</v>
      </c>
      <c r="I497" s="91" t="str">
        <f>H497-F497</f>
      </c>
      <c r="J497" s="92" t="str">
        <f>G497-E497</f>
      </c>
    </row>
    <row r="498">
      <c r="A498" t="s">
        <v>250</v>
      </c>
      <c r="B498" t="s">
        <v>252</v>
      </c>
      <c r="C498" s="86" t="n">
        <v>2043</v>
      </c>
      <c r="D498" t="s">
        <v>421</v>
      </c>
      <c r="E498" s="87" t="n">
        <v>12246.6315144427</v>
      </c>
      <c r="F498" s="88" t="n">
        <v>1731.13360772128</v>
      </c>
      <c r="G498" s="89" t="n">
        <v>12246.5731114781</v>
      </c>
      <c r="H498" s="90" t="n">
        <v>1731.1314511154</v>
      </c>
      <c r="I498" s="91" t="str">
        <f>H498-F498</f>
      </c>
      <c r="J498" s="92" t="str">
        <f>G498-E498</f>
      </c>
    </row>
    <row r="499">
      <c r="A499" t="s">
        <v>250</v>
      </c>
      <c r="B499" t="s">
        <v>252</v>
      </c>
      <c r="C499" s="86" t="n">
        <v>2044</v>
      </c>
      <c r="D499" t="s">
        <v>419</v>
      </c>
      <c r="E499" s="87" t="n">
        <v>17175.8141243607</v>
      </c>
      <c r="F499" s="88" t="n">
        <v>11555.1584974552</v>
      </c>
      <c r="G499" s="89" t="n">
        <v>17141.7120461147</v>
      </c>
      <c r="H499" s="90" t="n">
        <v>11540.7879834335</v>
      </c>
      <c r="I499" s="91" t="str">
        <f>H499-F499</f>
      </c>
      <c r="J499" s="92" t="str">
        <f>G499-E499</f>
      </c>
    </row>
    <row r="500">
      <c r="A500" t="s">
        <v>250</v>
      </c>
      <c r="B500" t="s">
        <v>252</v>
      </c>
      <c r="C500" s="86" t="n">
        <v>2044</v>
      </c>
      <c r="D500" t="s">
        <v>224</v>
      </c>
      <c r="E500" s="87" t="n">
        <v>1098339.37965564</v>
      </c>
      <c r="F500" s="88" t="n">
        <v>219276.381818058</v>
      </c>
      <c r="G500" s="89" t="n">
        <v>1100597.33187273</v>
      </c>
      <c r="H500" s="90" t="n">
        <v>219387.626065992</v>
      </c>
      <c r="I500" s="91" t="str">
        <f>H500-F500</f>
      </c>
      <c r="J500" s="92" t="str">
        <f>G500-E500</f>
      </c>
    </row>
    <row r="501">
      <c r="A501" t="s">
        <v>250</v>
      </c>
      <c r="B501" t="s">
        <v>252</v>
      </c>
      <c r="C501" s="86" t="n">
        <v>2044</v>
      </c>
      <c r="D501" t="s">
        <v>420</v>
      </c>
      <c r="E501" s="87" t="n">
        <v>176980.602538738</v>
      </c>
      <c r="F501" s="88" t="n">
        <v>108509.526868186</v>
      </c>
      <c r="G501" s="89" t="n">
        <v>176720.973913542</v>
      </c>
      <c r="H501" s="90" t="n">
        <v>108405.015378104</v>
      </c>
      <c r="I501" s="91" t="str">
        <f>H501-F501</f>
      </c>
      <c r="J501" s="92" t="str">
        <f>G501-E501</f>
      </c>
    </row>
    <row r="502">
      <c r="A502" t="s">
        <v>250</v>
      </c>
      <c r="B502" t="s">
        <v>252</v>
      </c>
      <c r="C502" s="86" t="n">
        <v>2044</v>
      </c>
      <c r="D502" t="s">
        <v>235</v>
      </c>
      <c r="E502" s="87" t="n">
        <v>336770.389116007</v>
      </c>
      <c r="F502" s="88" t="n">
        <v>316511.86869069</v>
      </c>
      <c r="G502" s="89" t="n">
        <v>337141.608513163</v>
      </c>
      <c r="H502" s="90" t="n">
        <v>317170.637977033</v>
      </c>
      <c r="I502" s="91" t="str">
        <f>H502-F502</f>
      </c>
      <c r="J502" s="92" t="str">
        <f>G502-E502</f>
      </c>
    </row>
    <row r="503">
      <c r="A503" t="s">
        <v>250</v>
      </c>
      <c r="B503" t="s">
        <v>252</v>
      </c>
      <c r="C503" s="86" t="n">
        <v>2044</v>
      </c>
      <c r="D503" t="s">
        <v>244</v>
      </c>
      <c r="E503" s="87" t="n">
        <v>911041.322272926</v>
      </c>
      <c r="F503" s="88" t="n">
        <v>532642.398266633</v>
      </c>
      <c r="G503" s="89" t="n">
        <v>915703.811540802</v>
      </c>
      <c r="H503" s="90" t="n">
        <v>538525.397411542</v>
      </c>
      <c r="I503" s="91" t="str">
        <f>H503-F503</f>
      </c>
      <c r="J503" s="92" t="str">
        <f>G503-E503</f>
      </c>
    </row>
    <row r="504">
      <c r="A504" t="s">
        <v>250</v>
      </c>
      <c r="B504" t="s">
        <v>252</v>
      </c>
      <c r="C504" s="86" t="n">
        <v>2044</v>
      </c>
      <c r="D504" t="s">
        <v>248</v>
      </c>
      <c r="E504" s="87" t="n">
        <v>485185.072907634</v>
      </c>
      <c r="F504" s="88" t="n">
        <v>259405.227342074</v>
      </c>
      <c r="G504" s="89" t="n">
        <v>486601.390422378</v>
      </c>
      <c r="H504" s="90" t="n">
        <v>261683.339551894</v>
      </c>
      <c r="I504" s="91" t="str">
        <f>H504-F504</f>
      </c>
      <c r="J504" s="92" t="str">
        <f>G504-E504</f>
      </c>
    </row>
    <row r="505">
      <c r="A505" t="s">
        <v>250</v>
      </c>
      <c r="B505" t="s">
        <v>252</v>
      </c>
      <c r="C505" s="86" t="n">
        <v>2044</v>
      </c>
      <c r="D505" t="s">
        <v>421</v>
      </c>
      <c r="E505" s="87" t="n">
        <v>12149.917006607</v>
      </c>
      <c r="F505" s="88" t="n">
        <v>1626.37758178421</v>
      </c>
      <c r="G505" s="89" t="n">
        <v>12149.8552379252</v>
      </c>
      <c r="H505" s="90" t="n">
        <v>1626.37538137955</v>
      </c>
      <c r="I505" s="91" t="str">
        <f>H505-F505</f>
      </c>
      <c r="J505" s="92" t="str">
        <f>G505-E505</f>
      </c>
    </row>
    <row r="506">
      <c r="A506" t="s">
        <v>250</v>
      </c>
      <c r="B506" t="s">
        <v>252</v>
      </c>
      <c r="C506" s="86" t="n">
        <v>2045</v>
      </c>
      <c r="D506" t="s">
        <v>419</v>
      </c>
      <c r="E506" s="87" t="n">
        <v>17595.2939925842</v>
      </c>
      <c r="F506" s="88" t="n">
        <v>11761.9742245526</v>
      </c>
      <c r="G506" s="89" t="n">
        <v>17558.0225793012</v>
      </c>
      <c r="H506" s="90" t="n">
        <v>11745.9298391965</v>
      </c>
      <c r="I506" s="91" t="str">
        <f>H506-F506</f>
      </c>
      <c r="J506" s="92" t="str">
        <f>G506-E506</f>
      </c>
    </row>
    <row r="507">
      <c r="A507" t="s">
        <v>250</v>
      </c>
      <c r="B507" t="s">
        <v>252</v>
      </c>
      <c r="C507" s="86" t="n">
        <v>2045</v>
      </c>
      <c r="D507" t="s">
        <v>224</v>
      </c>
      <c r="E507" s="87" t="n">
        <v>1108522.97202099</v>
      </c>
      <c r="F507" s="88" t="n">
        <v>224668.443820695</v>
      </c>
      <c r="G507" s="89" t="n">
        <v>1110841.03545085</v>
      </c>
      <c r="H507" s="90" t="n">
        <v>224789.135470853</v>
      </c>
      <c r="I507" s="91" t="str">
        <f>H507-F507</f>
      </c>
      <c r="J507" s="92" t="str">
        <f>G507-E507</f>
      </c>
    </row>
    <row r="508">
      <c r="A508" t="s">
        <v>250</v>
      </c>
      <c r="B508" t="s">
        <v>252</v>
      </c>
      <c r="C508" s="86" t="n">
        <v>2045</v>
      </c>
      <c r="D508" t="s">
        <v>420</v>
      </c>
      <c r="E508" s="87" t="n">
        <v>180435.53035797</v>
      </c>
      <c r="F508" s="88" t="n">
        <v>110652.234344554</v>
      </c>
      <c r="G508" s="89" t="n">
        <v>180153.68435169</v>
      </c>
      <c r="H508" s="90" t="n">
        <v>110535.42825069</v>
      </c>
      <c r="I508" s="91" t="str">
        <f>H508-F508</f>
      </c>
      <c r="J508" s="92" t="str">
        <f>G508-E508</f>
      </c>
    </row>
    <row r="509">
      <c r="A509" t="s">
        <v>250</v>
      </c>
      <c r="B509" t="s">
        <v>252</v>
      </c>
      <c r="C509" s="86" t="n">
        <v>2045</v>
      </c>
      <c r="D509" t="s">
        <v>235</v>
      </c>
      <c r="E509" s="87" t="n">
        <v>338821.428830103</v>
      </c>
      <c r="F509" s="88" t="n">
        <v>318306.522498497</v>
      </c>
      <c r="G509" s="89" t="n">
        <v>339169.596103443</v>
      </c>
      <c r="H509" s="90" t="n">
        <v>318918.904925021</v>
      </c>
      <c r="I509" s="91" t="str">
        <f>H509-F509</f>
      </c>
      <c r="J509" s="92" t="str">
        <f>G509-E509</f>
      </c>
    </row>
    <row r="510">
      <c r="A510" t="s">
        <v>250</v>
      </c>
      <c r="B510" t="s">
        <v>252</v>
      </c>
      <c r="C510" s="86" t="n">
        <v>2045</v>
      </c>
      <c r="D510" t="s">
        <v>244</v>
      </c>
      <c r="E510" s="87" t="n">
        <v>924532.592948162</v>
      </c>
      <c r="F510" s="88" t="n">
        <v>543082.119791104</v>
      </c>
      <c r="G510" s="89" t="n">
        <v>929197.274787431</v>
      </c>
      <c r="H510" s="90" t="n">
        <v>549018.34448389</v>
      </c>
      <c r="I510" s="91" t="str">
        <f>H510-F510</f>
      </c>
      <c r="J510" s="92" t="str">
        <f>G510-E510</f>
      </c>
    </row>
    <row r="511">
      <c r="A511" t="s">
        <v>250</v>
      </c>
      <c r="B511" t="s">
        <v>252</v>
      </c>
      <c r="C511" s="86" t="n">
        <v>2045</v>
      </c>
      <c r="D511" t="s">
        <v>248</v>
      </c>
      <c r="E511" s="87" t="n">
        <v>491860.026862081</v>
      </c>
      <c r="F511" s="88" t="n">
        <v>265097.452849697</v>
      </c>
      <c r="G511" s="89" t="n">
        <v>493255.893083406</v>
      </c>
      <c r="H511" s="90" t="n">
        <v>267382.392924501</v>
      </c>
      <c r="I511" s="91" t="str">
        <f>H511-F511</f>
      </c>
      <c r="J511" s="92" t="str">
        <f>G511-E511</f>
      </c>
    </row>
    <row r="512">
      <c r="A512" t="s">
        <v>250</v>
      </c>
      <c r="B512" t="s">
        <v>252</v>
      </c>
      <c r="C512" s="86" t="n">
        <v>2045</v>
      </c>
      <c r="D512" t="s">
        <v>421</v>
      </c>
      <c r="E512" s="87" t="n">
        <v>12048.5651491243</v>
      </c>
      <c r="F512" s="88" t="n">
        <v>1523.26633453336</v>
      </c>
      <c r="G512" s="89" t="n">
        <v>12048.500629735</v>
      </c>
      <c r="H512" s="90" t="n">
        <v>1523.26402182686</v>
      </c>
      <c r="I512" s="91" t="str">
        <f>H512-F512</f>
      </c>
      <c r="J512" s="92" t="str">
        <f>G512-E512</f>
      </c>
    </row>
    <row r="513">
      <c r="A513" t="s">
        <v>250</v>
      </c>
      <c r="B513" t="s">
        <v>252</v>
      </c>
      <c r="C513" s="86" t="n">
        <v>2046</v>
      </c>
      <c r="D513" t="s">
        <v>419</v>
      </c>
      <c r="E513" s="87" t="n">
        <v>18008.9346933344</v>
      </c>
      <c r="F513" s="88" t="n">
        <v>11974.2263404695</v>
      </c>
      <c r="G513" s="89" t="n">
        <v>17968.503099892</v>
      </c>
      <c r="H513" s="90" t="n">
        <v>11956.4732180851</v>
      </c>
      <c r="I513" s="91" t="str">
        <f>H513-F513</f>
      </c>
      <c r="J513" s="92" t="str">
        <f>G513-E513</f>
      </c>
    </row>
    <row r="514">
      <c r="A514" t="s">
        <v>250</v>
      </c>
      <c r="B514" t="s">
        <v>252</v>
      </c>
      <c r="C514" s="86" t="n">
        <v>2046</v>
      </c>
      <c r="D514" t="s">
        <v>224</v>
      </c>
      <c r="E514" s="87" t="n">
        <v>1122356.57826343</v>
      </c>
      <c r="F514" s="88" t="n">
        <v>230093.25693078</v>
      </c>
      <c r="G514" s="89" t="n">
        <v>1124741.39385058</v>
      </c>
      <c r="H514" s="90" t="n">
        <v>230223.641273017</v>
      </c>
      <c r="I514" s="91" t="str">
        <f>H514-F514</f>
      </c>
      <c r="J514" s="92" t="str">
        <f>G514-E514</f>
      </c>
    </row>
    <row r="515">
      <c r="A515" t="s">
        <v>250</v>
      </c>
      <c r="B515" t="s">
        <v>252</v>
      </c>
      <c r="C515" s="86" t="n">
        <v>2046</v>
      </c>
      <c r="D515" t="s">
        <v>420</v>
      </c>
      <c r="E515" s="87" t="n">
        <v>183814.250944541</v>
      </c>
      <c r="F515" s="88" t="n">
        <v>112808.924482675</v>
      </c>
      <c r="G515" s="89" t="n">
        <v>183510.562290158</v>
      </c>
      <c r="H515" s="90" t="n">
        <v>112679.652863118</v>
      </c>
      <c r="I515" s="91" t="str">
        <f>H515-F515</f>
      </c>
      <c r="J515" s="92" t="str">
        <f>G515-E515</f>
      </c>
    </row>
    <row r="516">
      <c r="A516" t="s">
        <v>250</v>
      </c>
      <c r="B516" t="s">
        <v>252</v>
      </c>
      <c r="C516" s="86" t="n">
        <v>2046</v>
      </c>
      <c r="D516" t="s">
        <v>235</v>
      </c>
      <c r="E516" s="87" t="n">
        <v>340899.103543536</v>
      </c>
      <c r="F516" s="88" t="n">
        <v>320001.132685559</v>
      </c>
      <c r="G516" s="89" t="n">
        <v>341225.275481564</v>
      </c>
      <c r="H516" s="90" t="n">
        <v>320574.163172874</v>
      </c>
      <c r="I516" s="91" t="str">
        <f>H516-F516</f>
      </c>
      <c r="J516" s="92" t="str">
        <f>G516-E516</f>
      </c>
    </row>
    <row r="517">
      <c r="A517" t="s">
        <v>250</v>
      </c>
      <c r="B517" t="s">
        <v>252</v>
      </c>
      <c r="C517" s="86" t="n">
        <v>2046</v>
      </c>
      <c r="D517" t="s">
        <v>244</v>
      </c>
      <c r="E517" s="87" t="n">
        <v>939334.497059855</v>
      </c>
      <c r="F517" s="88" t="n">
        <v>553553.283598946</v>
      </c>
      <c r="G517" s="89" t="n">
        <v>944010.931257439</v>
      </c>
      <c r="H517" s="90" t="n">
        <v>559544.256752656</v>
      </c>
      <c r="I517" s="91" t="str">
        <f>H517-F517</f>
      </c>
      <c r="J517" s="92" t="str">
        <f>G517-E517</f>
      </c>
    </row>
    <row r="518">
      <c r="A518" t="s">
        <v>250</v>
      </c>
      <c r="B518" t="s">
        <v>252</v>
      </c>
      <c r="C518" s="86" t="n">
        <v>2046</v>
      </c>
      <c r="D518" t="s">
        <v>248</v>
      </c>
      <c r="E518" s="87" t="n">
        <v>499266.262057235</v>
      </c>
      <c r="F518" s="88" t="n">
        <v>270786.794371069</v>
      </c>
      <c r="G518" s="89" t="n">
        <v>500645.717898476</v>
      </c>
      <c r="H518" s="90" t="n">
        <v>273080.787934234</v>
      </c>
      <c r="I518" s="91" t="str">
        <f>H518-F518</f>
      </c>
      <c r="J518" s="92" t="str">
        <f>G518-E518</f>
      </c>
    </row>
    <row r="519">
      <c r="A519" t="s">
        <v>250</v>
      </c>
      <c r="B519" t="s">
        <v>252</v>
      </c>
      <c r="C519" s="86" t="n">
        <v>2046</v>
      </c>
      <c r="D519" t="s">
        <v>421</v>
      </c>
      <c r="E519" s="87" t="n">
        <v>11943.860744622</v>
      </c>
      <c r="F519" s="88" t="n">
        <v>1421.30265118701</v>
      </c>
      <c r="G519" s="89" t="n">
        <v>11943.7945693929</v>
      </c>
      <c r="H519" s="90" t="n">
        <v>1421.3002106259</v>
      </c>
      <c r="I519" s="91" t="str">
        <f>H519-F519</f>
      </c>
      <c r="J519" s="92" t="str">
        <f>G519-E519</f>
      </c>
    </row>
    <row r="520">
      <c r="A520" t="s">
        <v>250</v>
      </c>
      <c r="B520" t="s">
        <v>252</v>
      </c>
      <c r="C520" s="86" t="n">
        <v>2047</v>
      </c>
      <c r="D520" t="s">
        <v>419</v>
      </c>
      <c r="E520" s="87" t="n">
        <v>18414.5308982492</v>
      </c>
      <c r="F520" s="88" t="n">
        <v>12179.7749105229</v>
      </c>
      <c r="G520" s="89" t="n">
        <v>18370.9982297807</v>
      </c>
      <c r="H520" s="90" t="n">
        <v>12160.3227217187</v>
      </c>
      <c r="I520" s="91" t="str">
        <f>H520-F520</f>
      </c>
      <c r="J520" s="92" t="str">
        <f>G520-E520</f>
      </c>
    </row>
    <row r="521">
      <c r="A521" t="s">
        <v>250</v>
      </c>
      <c r="B521" t="s">
        <v>252</v>
      </c>
      <c r="C521" s="86" t="n">
        <v>2047</v>
      </c>
      <c r="D521" t="s">
        <v>224</v>
      </c>
      <c r="E521" s="87" t="n">
        <v>1131246.3419735</v>
      </c>
      <c r="F521" s="88" t="n">
        <v>235434.149339603</v>
      </c>
      <c r="G521" s="89" t="n">
        <v>1133680.16398797</v>
      </c>
      <c r="H521" s="90" t="n">
        <v>235574.501787602</v>
      </c>
      <c r="I521" s="91" t="str">
        <f>H521-F521</f>
      </c>
      <c r="J521" s="92" t="str">
        <f>G521-E521</f>
      </c>
    </row>
    <row r="522">
      <c r="A522" t="s">
        <v>250</v>
      </c>
      <c r="B522" t="s">
        <v>252</v>
      </c>
      <c r="C522" s="86" t="n">
        <v>2047</v>
      </c>
      <c r="D522" t="s">
        <v>420</v>
      </c>
      <c r="E522" s="87" t="n">
        <v>187250.268097349</v>
      </c>
      <c r="F522" s="88" t="n">
        <v>114912.104336569</v>
      </c>
      <c r="G522" s="89" t="n">
        <v>186925.284089995</v>
      </c>
      <c r="H522" s="90" t="n">
        <v>114770.43405396</v>
      </c>
      <c r="I522" s="91" t="str">
        <f>H522-F522</f>
      </c>
      <c r="J522" s="92" t="str">
        <f>G522-E522</f>
      </c>
    </row>
    <row r="523">
      <c r="A523" t="s">
        <v>250</v>
      </c>
      <c r="B523" t="s">
        <v>252</v>
      </c>
      <c r="C523" s="86" t="n">
        <v>2047</v>
      </c>
      <c r="D523" t="s">
        <v>235</v>
      </c>
      <c r="E523" s="87" t="n">
        <v>342517.540435418</v>
      </c>
      <c r="F523" s="88" t="n">
        <v>321501.03503725</v>
      </c>
      <c r="G523" s="89" t="n">
        <v>342821.899904036</v>
      </c>
      <c r="H523" s="90" t="n">
        <v>322040.722228729</v>
      </c>
      <c r="I523" s="91" t="str">
        <f>H523-F523</f>
      </c>
      <c r="J523" s="92" t="str">
        <f>G523-E523</f>
      </c>
    </row>
    <row r="524">
      <c r="A524" t="s">
        <v>250</v>
      </c>
      <c r="B524" t="s">
        <v>252</v>
      </c>
      <c r="C524" s="86" t="n">
        <v>2047</v>
      </c>
      <c r="D524" t="s">
        <v>244</v>
      </c>
      <c r="E524" s="87" t="n">
        <v>953017.578729555</v>
      </c>
      <c r="F524" s="88" t="n">
        <v>563731.427345473</v>
      </c>
      <c r="G524" s="89" t="n">
        <v>957700.330331823</v>
      </c>
      <c r="H524" s="90" t="n">
        <v>569776.387385101</v>
      </c>
      <c r="I524" s="91" t="str">
        <f>H524-F524</f>
      </c>
      <c r="J524" s="92" t="str">
        <f>G524-E524</f>
      </c>
    </row>
    <row r="525">
      <c r="A525" t="s">
        <v>250</v>
      </c>
      <c r="B525" t="s">
        <v>252</v>
      </c>
      <c r="C525" s="86" t="n">
        <v>2047</v>
      </c>
      <c r="D525" t="s">
        <v>248</v>
      </c>
      <c r="E525" s="87" t="n">
        <v>506365.72438782</v>
      </c>
      <c r="F525" s="88" t="n">
        <v>276290.918881348</v>
      </c>
      <c r="G525" s="89" t="n">
        <v>507728.749767113</v>
      </c>
      <c r="H525" s="90" t="n">
        <v>278595.1987469</v>
      </c>
      <c r="I525" s="91" t="str">
        <f>H525-F525</f>
      </c>
      <c r="J525" s="92" t="str">
        <f>G525-E525</f>
      </c>
    </row>
    <row r="526">
      <c r="A526" t="s">
        <v>250</v>
      </c>
      <c r="B526" t="s">
        <v>252</v>
      </c>
      <c r="C526" s="86" t="n">
        <v>2047</v>
      </c>
      <c r="D526" t="s">
        <v>421</v>
      </c>
      <c r="E526" s="87" t="n">
        <v>11676.881848888</v>
      </c>
      <c r="F526" s="88" t="n">
        <v>1320.01006963419</v>
      </c>
      <c r="G526" s="89" t="n">
        <v>11676.8139890787</v>
      </c>
      <c r="H526" s="90" t="n">
        <v>1320.00748918915</v>
      </c>
      <c r="I526" s="91" t="str">
        <f>H526-F526</f>
      </c>
      <c r="J526" s="92" t="str">
        <f>G526-E526</f>
      </c>
    </row>
    <row r="527">
      <c r="A527" t="s">
        <v>250</v>
      </c>
      <c r="B527" t="s">
        <v>252</v>
      </c>
      <c r="C527" s="86" t="n">
        <v>2048</v>
      </c>
      <c r="D527" t="s">
        <v>419</v>
      </c>
      <c r="E527" s="87" t="n">
        <v>18911.7896889069</v>
      </c>
      <c r="F527" s="88" t="n">
        <v>12380.9340045165</v>
      </c>
      <c r="G527" s="89" t="n">
        <v>18865.0138793559</v>
      </c>
      <c r="H527" s="90" t="n">
        <v>12359.797946018</v>
      </c>
      <c r="I527" s="91" t="str">
        <f>H527-F527</f>
      </c>
      <c r="J527" s="92" t="str">
        <f>G527-E527</f>
      </c>
    </row>
    <row r="528">
      <c r="A528" t="s">
        <v>250</v>
      </c>
      <c r="B528" t="s">
        <v>252</v>
      </c>
      <c r="C528" s="86" t="n">
        <v>2048</v>
      </c>
      <c r="D528" t="s">
        <v>224</v>
      </c>
      <c r="E528" s="87" t="n">
        <v>1137446.35569814</v>
      </c>
      <c r="F528" s="88" t="n">
        <v>240628.118244591</v>
      </c>
      <c r="G528" s="89" t="n">
        <v>1139921.42222342</v>
      </c>
      <c r="H528" s="90" t="n">
        <v>240778.643136103</v>
      </c>
      <c r="I528" s="91" t="str">
        <f>H528-F528</f>
      </c>
      <c r="J528" s="92" t="str">
        <f>G528-E528</f>
      </c>
    </row>
    <row r="529">
      <c r="A529" t="s">
        <v>250</v>
      </c>
      <c r="B529" t="s">
        <v>252</v>
      </c>
      <c r="C529" s="86" t="n">
        <v>2048</v>
      </c>
      <c r="D529" t="s">
        <v>420</v>
      </c>
      <c r="E529" s="87" t="n">
        <v>191521.039178132</v>
      </c>
      <c r="F529" s="88" t="n">
        <v>116942.557442423</v>
      </c>
      <c r="G529" s="89" t="n">
        <v>191173.834498201</v>
      </c>
      <c r="H529" s="90" t="n">
        <v>116788.610084</v>
      </c>
      <c r="I529" s="91" t="str">
        <f>H529-F529</f>
      </c>
      <c r="J529" s="92" t="str">
        <f>G529-E529</f>
      </c>
    </row>
    <row r="530">
      <c r="A530" t="s">
        <v>250</v>
      </c>
      <c r="B530" t="s">
        <v>252</v>
      </c>
      <c r="C530" s="86" t="n">
        <v>2048</v>
      </c>
      <c r="D530" t="s">
        <v>235</v>
      </c>
      <c r="E530" s="87" t="n">
        <v>343504.650463696</v>
      </c>
      <c r="F530" s="88" t="n">
        <v>322552.078588806</v>
      </c>
      <c r="G530" s="89" t="n">
        <v>343787.138006374</v>
      </c>
      <c r="H530" s="90" t="n">
        <v>323063.01307722</v>
      </c>
      <c r="I530" s="91" t="str">
        <f>H530-F530</f>
      </c>
      <c r="J530" s="92" t="str">
        <f>G530-E530</f>
      </c>
    </row>
    <row r="531">
      <c r="A531" t="s">
        <v>250</v>
      </c>
      <c r="B531" t="s">
        <v>252</v>
      </c>
      <c r="C531" s="86" t="n">
        <v>2048</v>
      </c>
      <c r="D531" t="s">
        <v>244</v>
      </c>
      <c r="E531" s="87" t="n">
        <v>968056.751633102</v>
      </c>
      <c r="F531" s="88" t="n">
        <v>573362.526367936</v>
      </c>
      <c r="G531" s="89" t="n">
        <v>972752.000469153</v>
      </c>
      <c r="H531" s="90" t="n">
        <v>579456.858882308</v>
      </c>
      <c r="I531" s="91" t="str">
        <f>H531-F531</f>
      </c>
      <c r="J531" s="92" t="str">
        <f>G531-E531</f>
      </c>
    </row>
    <row r="532">
      <c r="A532" t="s">
        <v>250</v>
      </c>
      <c r="B532" t="s">
        <v>252</v>
      </c>
      <c r="C532" s="86" t="n">
        <v>2048</v>
      </c>
      <c r="D532" t="s">
        <v>248</v>
      </c>
      <c r="E532" s="87" t="n">
        <v>514794.755441993</v>
      </c>
      <c r="F532" s="88" t="n">
        <v>281594.823675084</v>
      </c>
      <c r="G532" s="89" t="n">
        <v>516145.438063223</v>
      </c>
      <c r="H532" s="90" t="n">
        <v>283909.318240972</v>
      </c>
      <c r="I532" s="91" t="str">
        <f>H532-F532</f>
      </c>
      <c r="J532" s="92" t="str">
        <f>G532-E532</f>
      </c>
    </row>
    <row r="533">
      <c r="A533" t="s">
        <v>250</v>
      </c>
      <c r="B533" t="s">
        <v>252</v>
      </c>
      <c r="C533" s="86" t="n">
        <v>2048</v>
      </c>
      <c r="D533" t="s">
        <v>421</v>
      </c>
      <c r="E533" s="87" t="n">
        <v>11567.475017244</v>
      </c>
      <c r="F533" s="88" t="n">
        <v>1228.7353577237</v>
      </c>
      <c r="G533" s="89" t="n">
        <v>11567.4035703729</v>
      </c>
      <c r="H533" s="90" t="n">
        <v>1228.73261677247</v>
      </c>
      <c r="I533" s="91" t="str">
        <f>H533-F533</f>
      </c>
      <c r="J533" s="92" t="str">
        <f>G533-E533</f>
      </c>
    </row>
    <row r="534">
      <c r="A534" t="s">
        <v>250</v>
      </c>
      <c r="B534" t="s">
        <v>252</v>
      </c>
      <c r="C534" s="86" t="n">
        <v>2049</v>
      </c>
      <c r="D534" t="s">
        <v>419</v>
      </c>
      <c r="E534" s="87" t="n">
        <v>19315.8267811595</v>
      </c>
      <c r="F534" s="88" t="n">
        <v>12585.7977292185</v>
      </c>
      <c r="G534" s="89" t="n">
        <v>19265.9413357536</v>
      </c>
      <c r="H534" s="90" t="n">
        <v>12562.9700035081</v>
      </c>
      <c r="I534" s="91" t="str">
        <f>H534-F534</f>
      </c>
      <c r="J534" s="92" t="str">
        <f>G534-E534</f>
      </c>
    </row>
    <row r="535">
      <c r="A535" t="s">
        <v>250</v>
      </c>
      <c r="B535" t="s">
        <v>252</v>
      </c>
      <c r="C535" s="86" t="n">
        <v>2049</v>
      </c>
      <c r="D535" t="s">
        <v>224</v>
      </c>
      <c r="E535" s="87" t="n">
        <v>1146434.46679703</v>
      </c>
      <c r="F535" s="88" t="n">
        <v>245863.421387994</v>
      </c>
      <c r="G535" s="89" t="n">
        <v>1148955.60958046</v>
      </c>
      <c r="H535" s="90" t="n">
        <v>246024.454765088</v>
      </c>
      <c r="I535" s="91" t="str">
        <f>H535-F535</f>
      </c>
      <c r="J535" s="92" t="str">
        <f>G535-E535</f>
      </c>
    </row>
    <row r="536">
      <c r="A536" t="s">
        <v>250</v>
      </c>
      <c r="B536" t="s">
        <v>252</v>
      </c>
      <c r="C536" s="86" t="n">
        <v>2049</v>
      </c>
      <c r="D536" t="s">
        <v>420</v>
      </c>
      <c r="E536" s="87" t="n">
        <v>194659.842461572</v>
      </c>
      <c r="F536" s="88" t="n">
        <v>118993.823263355</v>
      </c>
      <c r="G536" s="89" t="n">
        <v>194292.055539498</v>
      </c>
      <c r="H536" s="90" t="n">
        <v>118827.584291328</v>
      </c>
      <c r="I536" s="91" t="str">
        <f>H536-F536</f>
      </c>
      <c r="J536" s="92" t="str">
        <f>G536-E536</f>
      </c>
    </row>
    <row r="537">
      <c r="A537" t="s">
        <v>250</v>
      </c>
      <c r="B537" t="s">
        <v>252</v>
      </c>
      <c r="C537" s="86" t="n">
        <v>2049</v>
      </c>
      <c r="D537" t="s">
        <v>235</v>
      </c>
      <c r="E537" s="87" t="n">
        <v>344769.321054958</v>
      </c>
      <c r="F537" s="88" t="n">
        <v>323633.018041931</v>
      </c>
      <c r="G537" s="89" t="n">
        <v>345031.334829118</v>
      </c>
      <c r="H537" s="90" t="n">
        <v>324116.922797206</v>
      </c>
      <c r="I537" s="91" t="str">
        <f>H537-F537</f>
      </c>
      <c r="J537" s="92" t="str">
        <f>G537-E537</f>
      </c>
    </row>
    <row r="538">
      <c r="A538" t="s">
        <v>250</v>
      </c>
      <c r="B538" t="s">
        <v>252</v>
      </c>
      <c r="C538" s="86" t="n">
        <v>2049</v>
      </c>
      <c r="D538" t="s">
        <v>244</v>
      </c>
      <c r="E538" s="87" t="n">
        <v>980807.063512372</v>
      </c>
      <c r="F538" s="88" t="n">
        <v>583081.712271902</v>
      </c>
      <c r="G538" s="89" t="n">
        <v>985505.206976823</v>
      </c>
      <c r="H538" s="90" t="n">
        <v>589228.445176563</v>
      </c>
      <c r="I538" s="91" t="str">
        <f>H538-F538</f>
      </c>
      <c r="J538" s="92" t="str">
        <f>G538-E538</f>
      </c>
    </row>
    <row r="539">
      <c r="A539" t="s">
        <v>250</v>
      </c>
      <c r="B539" t="s">
        <v>252</v>
      </c>
      <c r="C539" s="86" t="n">
        <v>2049</v>
      </c>
      <c r="D539" t="s">
        <v>248</v>
      </c>
      <c r="E539" s="87" t="n">
        <v>521158.531206673</v>
      </c>
      <c r="F539" s="88" t="n">
        <v>286922.190079482</v>
      </c>
      <c r="G539" s="89" t="n">
        <v>522492.200230248</v>
      </c>
      <c r="H539" s="90" t="n">
        <v>289249.089939416</v>
      </c>
      <c r="I539" s="91" t="str">
        <f>H539-F539</f>
      </c>
      <c r="J539" s="92" t="str">
        <f>G539-E539</f>
      </c>
    </row>
    <row r="540">
      <c r="A540" t="s">
        <v>250</v>
      </c>
      <c r="B540" t="s">
        <v>252</v>
      </c>
      <c r="C540" s="86" t="n">
        <v>2049</v>
      </c>
      <c r="D540" t="s">
        <v>421</v>
      </c>
      <c r="E540" s="87" t="n">
        <v>11514.6125772042</v>
      </c>
      <c r="F540" s="88" t="n">
        <v>1139.24466155173</v>
      </c>
      <c r="G540" s="89" t="n">
        <v>11514.5369642823</v>
      </c>
      <c r="H540" s="90" t="n">
        <v>1139.24175250417</v>
      </c>
      <c r="I540" s="91" t="str">
        <f>H540-F540</f>
      </c>
      <c r="J540" s="92" t="str">
        <f>G540-E540</f>
      </c>
    </row>
    <row r="541">
      <c r="A541" t="s">
        <v>250</v>
      </c>
      <c r="B541" t="s">
        <v>252</v>
      </c>
      <c r="C541" s="86" t="n">
        <v>2050</v>
      </c>
      <c r="D541" t="s">
        <v>419</v>
      </c>
      <c r="E541" s="87" t="n">
        <v>19704.7542628012</v>
      </c>
      <c r="F541" s="88" t="n">
        <v>12789.5064377133</v>
      </c>
      <c r="G541" s="89" t="n">
        <v>19651.774602414</v>
      </c>
      <c r="H541" s="90" t="n">
        <v>12764.9906286853</v>
      </c>
      <c r="I541" s="91" t="str">
        <f>H541-F541</f>
      </c>
      <c r="J541" s="92" t="str">
        <f>G541-E541</f>
      </c>
    </row>
    <row r="542">
      <c r="A542" t="s">
        <v>250</v>
      </c>
      <c r="B542" t="s">
        <v>252</v>
      </c>
      <c r="C542" s="86" t="n">
        <v>2050</v>
      </c>
      <c r="D542" t="s">
        <v>224</v>
      </c>
      <c r="E542" s="87" t="n">
        <v>1155106.11413625</v>
      </c>
      <c r="F542" s="88" t="n">
        <v>251007.16006771</v>
      </c>
      <c r="G542" s="89" t="n">
        <v>1157673.56667431</v>
      </c>
      <c r="H542" s="90" t="n">
        <v>251178.956267752</v>
      </c>
      <c r="I542" s="91" t="str">
        <f>H542-F542</f>
      </c>
      <c r="J542" s="92" t="str">
        <f>G542-E542</f>
      </c>
    </row>
    <row r="543">
      <c r="A543" t="s">
        <v>250</v>
      </c>
      <c r="B543" t="s">
        <v>252</v>
      </c>
      <c r="C543" s="86" t="n">
        <v>2050</v>
      </c>
      <c r="D543" t="s">
        <v>420</v>
      </c>
      <c r="E543" s="87" t="n">
        <v>197304.893895018</v>
      </c>
      <c r="F543" s="88" t="n">
        <v>121006.317131744</v>
      </c>
      <c r="G543" s="89" t="n">
        <v>196917.204625516</v>
      </c>
      <c r="H543" s="90" t="n">
        <v>120827.928759862</v>
      </c>
      <c r="I543" s="91" t="str">
        <f>H543-F543</f>
      </c>
      <c r="J543" s="92" t="str">
        <f>G543-E543</f>
      </c>
    </row>
    <row r="544">
      <c r="A544" t="s">
        <v>250</v>
      </c>
      <c r="B544" t="s">
        <v>252</v>
      </c>
      <c r="C544" s="86" t="n">
        <v>2050</v>
      </c>
      <c r="D544" t="s">
        <v>235</v>
      </c>
      <c r="E544" s="87" t="n">
        <v>345991.335982239</v>
      </c>
      <c r="F544" s="88" t="n">
        <v>324512.16752602</v>
      </c>
      <c r="G544" s="89" t="n">
        <v>346233.851249823</v>
      </c>
      <c r="H544" s="90" t="n">
        <v>324973.279226193</v>
      </c>
      <c r="I544" s="91" t="str">
        <f>H544-F544</f>
      </c>
      <c r="J544" s="92" t="str">
        <f>G544-E544</f>
      </c>
    </row>
    <row r="545">
      <c r="A545" t="s">
        <v>250</v>
      </c>
      <c r="B545" t="s">
        <v>252</v>
      </c>
      <c r="C545" s="86" t="n">
        <v>2050</v>
      </c>
      <c r="D545" t="s">
        <v>244</v>
      </c>
      <c r="E545" s="87" t="n">
        <v>992558.08151971</v>
      </c>
      <c r="F545" s="88" t="n">
        <v>592619.016521094</v>
      </c>
      <c r="G545" s="89" t="n">
        <v>997255.105001918</v>
      </c>
      <c r="H545" s="90" t="n">
        <v>598816.687069898</v>
      </c>
      <c r="I545" s="91" t="str">
        <f>H545-F545</f>
      </c>
      <c r="J545" s="92" t="str">
        <f>G545-E545</f>
      </c>
    </row>
    <row r="546">
      <c r="A546" t="s">
        <v>250</v>
      </c>
      <c r="B546" t="s">
        <v>252</v>
      </c>
      <c r="C546" s="86" t="n">
        <v>2050</v>
      </c>
      <c r="D546" t="s">
        <v>248</v>
      </c>
      <c r="E546" s="87" t="n">
        <v>526694.37097216</v>
      </c>
      <c r="F546" s="88" t="n">
        <v>292056.653375087</v>
      </c>
      <c r="G546" s="89" t="n">
        <v>528009.464128417</v>
      </c>
      <c r="H546" s="90" t="n">
        <v>294395.50759804</v>
      </c>
      <c r="I546" s="91" t="str">
        <f>H546-F546</f>
      </c>
      <c r="J546" s="92" t="str">
        <f>G546-E546</f>
      </c>
    </row>
    <row r="547">
      <c r="A547" t="s">
        <v>250</v>
      </c>
      <c r="B547" t="s">
        <v>252</v>
      </c>
      <c r="C547" s="86" t="n">
        <v>2050</v>
      </c>
      <c r="D547" t="s">
        <v>421</v>
      </c>
      <c r="E547" s="87" t="n">
        <v>11458.4119859785</v>
      </c>
      <c r="F547" s="88" t="n">
        <v>1051.11696215051</v>
      </c>
      <c r="G547" s="89" t="n">
        <v>11458.3317669049</v>
      </c>
      <c r="H547" s="90" t="n">
        <v>1051.113893317</v>
      </c>
      <c r="I547" s="91" t="str">
        <f>H547-F547</f>
      </c>
      <c r="J547" s="92" t="str">
        <f>G547-E547</f>
      </c>
    </row>
    <row r="548">
      <c r="A548" t="s">
        <v>262</v>
      </c>
      <c r="B548" t="s">
        <v>264</v>
      </c>
      <c r="C548" s="86" t="n">
        <v>2025</v>
      </c>
      <c r="D548" t="s">
        <v>419</v>
      </c>
      <c r="E548" s="87" t="n">
        <v>11293.8589534084</v>
      </c>
      <c r="F548" s="88" t="n">
        <v>8456.09110298006</v>
      </c>
      <c r="G548" s="89" t="n">
        <v>11293.858953409</v>
      </c>
      <c r="H548" s="90" t="n">
        <v>8456.09110298007</v>
      </c>
      <c r="I548" s="91" t="str">
        <f>H548-F548</f>
      </c>
      <c r="J548" s="92" t="str">
        <f>G548-E548</f>
      </c>
    </row>
    <row r="549">
      <c r="A549" t="s">
        <v>262</v>
      </c>
      <c r="B549" t="s">
        <v>264</v>
      </c>
      <c r="C549" s="86" t="n">
        <v>2025</v>
      </c>
      <c r="D549" t="s">
        <v>224</v>
      </c>
      <c r="E549" s="87" t="n">
        <v>796801.79248266</v>
      </c>
      <c r="F549" s="88" t="n">
        <v>124437.099676651</v>
      </c>
      <c r="G549" s="89" t="n">
        <v>796801.792482661</v>
      </c>
      <c r="H549" s="90" t="n">
        <v>124437.099676651</v>
      </c>
      <c r="I549" s="91" t="str">
        <f>H549-F549</f>
      </c>
      <c r="J549" s="92" t="str">
        <f>G549-E549</f>
      </c>
    </row>
    <row r="550">
      <c r="A550" t="s">
        <v>262</v>
      </c>
      <c r="B550" t="s">
        <v>264</v>
      </c>
      <c r="C550" s="86" t="n">
        <v>2025</v>
      </c>
      <c r="D550" t="s">
        <v>420</v>
      </c>
      <c r="E550" s="87" t="n">
        <v>110599.338170727</v>
      </c>
      <c r="F550" s="88" t="n">
        <v>70978.7980144996</v>
      </c>
      <c r="G550" s="89" t="n">
        <v>110599.338170727</v>
      </c>
      <c r="H550" s="90" t="n">
        <v>70978.7980144995</v>
      </c>
      <c r="I550" s="91" t="str">
        <f>H550-F550</f>
      </c>
      <c r="J550" s="92" t="str">
        <f>G550-E550</f>
      </c>
    </row>
    <row r="551">
      <c r="A551" t="s">
        <v>262</v>
      </c>
      <c r="B551" t="s">
        <v>264</v>
      </c>
      <c r="C551" s="86" t="n">
        <v>2025</v>
      </c>
      <c r="D551" t="s">
        <v>235</v>
      </c>
      <c r="E551" s="87" t="n">
        <v>269908.90899035</v>
      </c>
      <c r="F551" s="88" t="n">
        <v>250549.928104577</v>
      </c>
      <c r="G551" s="89" t="n">
        <v>269908.90899035</v>
      </c>
      <c r="H551" s="90" t="n">
        <v>250549.928104577</v>
      </c>
      <c r="I551" s="91" t="str">
        <f>H551-F551</f>
      </c>
      <c r="J551" s="92" t="str">
        <f>G551-E551</f>
      </c>
    </row>
    <row r="552">
      <c r="A552" t="s">
        <v>262</v>
      </c>
      <c r="B552" t="s">
        <v>264</v>
      </c>
      <c r="C552" s="86" t="n">
        <v>2025</v>
      </c>
      <c r="D552" t="s">
        <v>244</v>
      </c>
      <c r="E552" s="87" t="n">
        <v>605290.562665356</v>
      </c>
      <c r="F552" s="88" t="n">
        <v>336235.043603752</v>
      </c>
      <c r="G552" s="89" t="n">
        <v>605290.562665356</v>
      </c>
      <c r="H552" s="90" t="n">
        <v>336235.043603752</v>
      </c>
      <c r="I552" s="91" t="str">
        <f>H552-F552</f>
      </c>
      <c r="J552" s="92" t="str">
        <f>G552-E552</f>
      </c>
    </row>
    <row r="553">
      <c r="A553" t="s">
        <v>262</v>
      </c>
      <c r="B553" t="s">
        <v>264</v>
      </c>
      <c r="C553" s="86" t="n">
        <v>2025</v>
      </c>
      <c r="D553" t="s">
        <v>248</v>
      </c>
      <c r="E553" s="87" t="n">
        <v>328703.695708345</v>
      </c>
      <c r="F553" s="88" t="n">
        <v>165181.229862536</v>
      </c>
      <c r="G553" s="89" t="n">
        <v>328703.695708345</v>
      </c>
      <c r="H553" s="90" t="n">
        <v>165181.229862536</v>
      </c>
      <c r="I553" s="91" t="str">
        <f>H553-F553</f>
      </c>
      <c r="J553" s="92" t="str">
        <f>G553-E553</f>
      </c>
    </row>
    <row r="554">
      <c r="A554" t="s">
        <v>262</v>
      </c>
      <c r="B554" t="s">
        <v>264</v>
      </c>
      <c r="C554" s="86" t="n">
        <v>2025</v>
      </c>
      <c r="D554" t="s">
        <v>421</v>
      </c>
      <c r="E554" s="87" t="n">
        <v>12601.518831831</v>
      </c>
      <c r="F554" s="88" t="n">
        <v>3955.30711895499</v>
      </c>
      <c r="G554" s="89" t="n">
        <v>12601.5188318307</v>
      </c>
      <c r="H554" s="90" t="n">
        <v>3955.30711895499</v>
      </c>
      <c r="I554" s="91" t="str">
        <f>H554-F554</f>
      </c>
      <c r="J554" s="92" t="str">
        <f>G554-E554</f>
      </c>
    </row>
    <row r="555">
      <c r="A555" t="s">
        <v>262</v>
      </c>
      <c r="B555" t="s">
        <v>264</v>
      </c>
      <c r="C555" s="86" t="n">
        <v>2026</v>
      </c>
      <c r="D555" t="s">
        <v>419</v>
      </c>
      <c r="E555" s="87" t="n">
        <v>11413.9401907853</v>
      </c>
      <c r="F555" s="88" t="n">
        <v>8503.04883072895</v>
      </c>
      <c r="G555" s="89" t="n">
        <v>11413.9401907849</v>
      </c>
      <c r="H555" s="90" t="n">
        <v>8503.048830729</v>
      </c>
      <c r="I555" s="91" t="str">
        <f>H555-F555</f>
      </c>
      <c r="J555" s="92" t="str">
        <f>G555-E555</f>
      </c>
    </row>
    <row r="556">
      <c r="A556" t="s">
        <v>262</v>
      </c>
      <c r="B556" t="s">
        <v>264</v>
      </c>
      <c r="C556" s="86" t="n">
        <v>2026</v>
      </c>
      <c r="D556" t="s">
        <v>224</v>
      </c>
      <c r="E556" s="87" t="n">
        <v>813844.569716144</v>
      </c>
      <c r="F556" s="88" t="n">
        <v>128333.952745922</v>
      </c>
      <c r="G556" s="89" t="n">
        <v>813844.569716145</v>
      </c>
      <c r="H556" s="90" t="n">
        <v>128333.952745922</v>
      </c>
      <c r="I556" s="91" t="str">
        <f>H556-F556</f>
      </c>
      <c r="J556" s="92" t="str">
        <f>G556-E556</f>
      </c>
    </row>
    <row r="557">
      <c r="A557" t="s">
        <v>262</v>
      </c>
      <c r="B557" t="s">
        <v>264</v>
      </c>
      <c r="C557" s="86" t="n">
        <v>2026</v>
      </c>
      <c r="D557" t="s">
        <v>420</v>
      </c>
      <c r="E557" s="87" t="n">
        <v>113261.46718113</v>
      </c>
      <c r="F557" s="88" t="n">
        <v>72339.6884190734</v>
      </c>
      <c r="G557" s="89" t="n">
        <v>113261.467181129</v>
      </c>
      <c r="H557" s="90" t="n">
        <v>72339.6884190733</v>
      </c>
      <c r="I557" s="91" t="str">
        <f>H557-F557</f>
      </c>
      <c r="J557" s="92" t="str">
        <f>G557-E557</f>
      </c>
    </row>
    <row r="558">
      <c r="A558" t="s">
        <v>262</v>
      </c>
      <c r="B558" t="s">
        <v>264</v>
      </c>
      <c r="C558" s="86" t="n">
        <v>2026</v>
      </c>
      <c r="D558" t="s">
        <v>235</v>
      </c>
      <c r="E558" s="87" t="n">
        <v>274111.371663837</v>
      </c>
      <c r="F558" s="88" t="n">
        <v>254553.478353266</v>
      </c>
      <c r="G558" s="89" t="n">
        <v>274200.577929512</v>
      </c>
      <c r="H558" s="90" t="n">
        <v>254910.752627481</v>
      </c>
      <c r="I558" s="91" t="str">
        <f>H558-F558</f>
      </c>
      <c r="J558" s="92" t="str">
        <f>G558-E558</f>
      </c>
    </row>
    <row r="559">
      <c r="A559" t="s">
        <v>262</v>
      </c>
      <c r="B559" t="s">
        <v>264</v>
      </c>
      <c r="C559" s="86" t="n">
        <v>2026</v>
      </c>
      <c r="D559" t="s">
        <v>244</v>
      </c>
      <c r="E559" s="87" t="n">
        <v>619495.65723319</v>
      </c>
      <c r="F559" s="88" t="n">
        <v>344309.662771844</v>
      </c>
      <c r="G559" s="89" t="n">
        <v>620097.594779103</v>
      </c>
      <c r="H559" s="90" t="n">
        <v>344917.064339335</v>
      </c>
      <c r="I559" s="91" t="str">
        <f>H559-F559</f>
      </c>
      <c r="J559" s="92" t="str">
        <f>G559-E559</f>
      </c>
    </row>
    <row r="560">
      <c r="A560" t="s">
        <v>262</v>
      </c>
      <c r="B560" t="s">
        <v>264</v>
      </c>
      <c r="C560" s="86" t="n">
        <v>2026</v>
      </c>
      <c r="D560" t="s">
        <v>248</v>
      </c>
      <c r="E560" s="87" t="n">
        <v>335367.717134265</v>
      </c>
      <c r="F560" s="88" t="n">
        <v>167696.740788974</v>
      </c>
      <c r="G560" s="89" t="n">
        <v>335570.10792798</v>
      </c>
      <c r="H560" s="90" t="n">
        <v>167951.384337069</v>
      </c>
      <c r="I560" s="91" t="str">
        <f>H560-F560</f>
      </c>
      <c r="J560" s="92" t="str">
        <f>G560-E560</f>
      </c>
    </row>
    <row r="561">
      <c r="A561" t="s">
        <v>262</v>
      </c>
      <c r="B561" t="s">
        <v>264</v>
      </c>
      <c r="C561" s="86" t="n">
        <v>2026</v>
      </c>
      <c r="D561" t="s">
        <v>421</v>
      </c>
      <c r="E561" s="87" t="n">
        <v>12631.2009976531</v>
      </c>
      <c r="F561" s="88" t="n">
        <v>3824.41375844239</v>
      </c>
      <c r="G561" s="89" t="n">
        <v>12631.2009976529</v>
      </c>
      <c r="H561" s="90" t="n">
        <v>3824.41375844239</v>
      </c>
      <c r="I561" s="91" t="str">
        <f>H561-F561</f>
      </c>
      <c r="J561" s="92" t="str">
        <f>G561-E561</f>
      </c>
    </row>
    <row r="562">
      <c r="A562" t="s">
        <v>262</v>
      </c>
      <c r="B562" t="s">
        <v>264</v>
      </c>
      <c r="C562" s="86" t="n">
        <v>2027</v>
      </c>
      <c r="D562" t="s">
        <v>419</v>
      </c>
      <c r="E562" s="87" t="n">
        <v>11516.0201453893</v>
      </c>
      <c r="F562" s="88" t="n">
        <v>8579.03905337464</v>
      </c>
      <c r="G562" s="89" t="n">
        <v>11515.58910781</v>
      </c>
      <c r="H562" s="90" t="n">
        <v>8579.03905337462</v>
      </c>
      <c r="I562" s="91" t="str">
        <f>H562-F562</f>
      </c>
      <c r="J562" s="92" t="str">
        <f>G562-E562</f>
      </c>
    </row>
    <row r="563">
      <c r="A563" t="s">
        <v>262</v>
      </c>
      <c r="B563" t="s">
        <v>264</v>
      </c>
      <c r="C563" s="86" t="n">
        <v>2027</v>
      </c>
      <c r="D563" t="s">
        <v>224</v>
      </c>
      <c r="E563" s="87" t="n">
        <v>831893.729552429</v>
      </c>
      <c r="F563" s="88" t="n">
        <v>132462.188251167</v>
      </c>
      <c r="G563" s="89" t="n">
        <v>832166.906185925</v>
      </c>
      <c r="H563" s="90" t="n">
        <v>132462.188251167</v>
      </c>
      <c r="I563" s="91" t="str">
        <f>H563-F563</f>
      </c>
      <c r="J563" s="92" t="str">
        <f>G563-E563</f>
      </c>
    </row>
    <row r="564">
      <c r="A564" t="s">
        <v>262</v>
      </c>
      <c r="B564" t="s">
        <v>264</v>
      </c>
      <c r="C564" s="86" t="n">
        <v>2027</v>
      </c>
      <c r="D564" t="s">
        <v>420</v>
      </c>
      <c r="E564" s="87" t="n">
        <v>115936.002332781</v>
      </c>
      <c r="F564" s="88" t="n">
        <v>73859.9102925665</v>
      </c>
      <c r="G564" s="89" t="n">
        <v>115932.769375635</v>
      </c>
      <c r="H564" s="90" t="n">
        <v>73859.9102925664</v>
      </c>
      <c r="I564" s="91" t="str">
        <f>H564-F564</f>
      </c>
      <c r="J564" s="92" t="str">
        <f>G564-E564</f>
      </c>
    </row>
    <row r="565">
      <c r="A565" t="s">
        <v>262</v>
      </c>
      <c r="B565" t="s">
        <v>264</v>
      </c>
      <c r="C565" s="86" t="n">
        <v>2027</v>
      </c>
      <c r="D565" t="s">
        <v>235</v>
      </c>
      <c r="E565" s="87" t="n">
        <v>278332.80411102</v>
      </c>
      <c r="F565" s="88" t="n">
        <v>258677.702714684</v>
      </c>
      <c r="G565" s="89" t="n">
        <v>278508.667642155</v>
      </c>
      <c r="H565" s="90" t="n">
        <v>259318.038089282</v>
      </c>
      <c r="I565" s="91" t="str">
        <f>H565-F565</f>
      </c>
      <c r="J565" s="92" t="str">
        <f>G565-E565</f>
      </c>
    </row>
    <row r="566">
      <c r="A566" t="s">
        <v>262</v>
      </c>
      <c r="B566" t="s">
        <v>264</v>
      </c>
      <c r="C566" s="86" t="n">
        <v>2027</v>
      </c>
      <c r="D566" t="s">
        <v>244</v>
      </c>
      <c r="E566" s="87" t="n">
        <v>633877.49053325</v>
      </c>
      <c r="F566" s="88" t="n">
        <v>352939.590284828</v>
      </c>
      <c r="G566" s="89" t="n">
        <v>635095.671557741</v>
      </c>
      <c r="H566" s="90" t="n">
        <v>354171.544362645</v>
      </c>
      <c r="I566" s="91" t="str">
        <f>H566-F566</f>
      </c>
      <c r="J566" s="92" t="str">
        <f>G566-E566</f>
      </c>
    </row>
    <row r="567">
      <c r="A567" t="s">
        <v>262</v>
      </c>
      <c r="B567" t="s">
        <v>264</v>
      </c>
      <c r="C567" s="86" t="n">
        <v>2027</v>
      </c>
      <c r="D567" t="s">
        <v>248</v>
      </c>
      <c r="E567" s="87" t="n">
        <v>342087.259170055</v>
      </c>
      <c r="F567" s="88" t="n">
        <v>170737.06882973</v>
      </c>
      <c r="G567" s="89" t="n">
        <v>342492.405098957</v>
      </c>
      <c r="H567" s="90" t="n">
        <v>171237.362695819</v>
      </c>
      <c r="I567" s="91" t="str">
        <f>H567-F567</f>
      </c>
      <c r="J567" s="92" t="str">
        <f>G567-E567</f>
      </c>
    </row>
    <row r="568">
      <c r="A568" t="s">
        <v>262</v>
      </c>
      <c r="B568" t="s">
        <v>264</v>
      </c>
      <c r="C568" s="86" t="n">
        <v>2027</v>
      </c>
      <c r="D568" t="s">
        <v>421</v>
      </c>
      <c r="E568" s="87" t="n">
        <v>12629.8111123197</v>
      </c>
      <c r="F568" s="88" t="n">
        <v>3692.70803496508</v>
      </c>
      <c r="G568" s="89" t="n">
        <v>12629.8028477439</v>
      </c>
      <c r="H568" s="90" t="n">
        <v>3692.70803496508</v>
      </c>
      <c r="I568" s="91" t="str">
        <f>H568-F568</f>
      </c>
      <c r="J568" s="92" t="str">
        <f>G568-E568</f>
      </c>
    </row>
    <row r="569">
      <c r="A569" t="s">
        <v>262</v>
      </c>
      <c r="B569" t="s">
        <v>264</v>
      </c>
      <c r="C569" s="86" t="n">
        <v>2028</v>
      </c>
      <c r="D569" t="s">
        <v>419</v>
      </c>
      <c r="E569" s="87" t="n">
        <v>11830.6399131982</v>
      </c>
      <c r="F569" s="88" t="n">
        <v>8691.0701228491</v>
      </c>
      <c r="G569" s="89" t="n">
        <v>11829.3995552585</v>
      </c>
      <c r="H569" s="90" t="n">
        <v>8690.97079151088</v>
      </c>
      <c r="I569" s="91" t="str">
        <f>H569-F569</f>
      </c>
      <c r="J569" s="92" t="str">
        <f>G569-E569</f>
      </c>
    </row>
    <row r="570">
      <c r="A570" t="s">
        <v>262</v>
      </c>
      <c r="B570" t="s">
        <v>264</v>
      </c>
      <c r="C570" s="86" t="n">
        <v>2028</v>
      </c>
      <c r="D570" t="s">
        <v>224</v>
      </c>
      <c r="E570" s="87" t="n">
        <v>854423.004585178</v>
      </c>
      <c r="F570" s="88" t="n">
        <v>136768.825462607</v>
      </c>
      <c r="G570" s="89" t="n">
        <v>854958.476961541</v>
      </c>
      <c r="H570" s="90" t="n">
        <v>136770.52662348</v>
      </c>
      <c r="I570" s="91" t="str">
        <f>H570-F570</f>
      </c>
      <c r="J570" s="92" t="str">
        <f>G570-E570</f>
      </c>
    </row>
    <row r="571">
      <c r="A571" t="s">
        <v>262</v>
      </c>
      <c r="B571" t="s">
        <v>264</v>
      </c>
      <c r="C571" s="86" t="n">
        <v>2028</v>
      </c>
      <c r="D571" t="s">
        <v>420</v>
      </c>
      <c r="E571" s="87" t="n">
        <v>119693.959557189</v>
      </c>
      <c r="F571" s="88" t="n">
        <v>75545.6537160968</v>
      </c>
      <c r="G571" s="89" t="n">
        <v>119684.609316206</v>
      </c>
      <c r="H571" s="90" t="n">
        <v>75545.0868001112</v>
      </c>
      <c r="I571" s="91" t="str">
        <f>H571-F571</f>
      </c>
      <c r="J571" s="92" t="str">
        <f>G571-E571</f>
      </c>
    </row>
    <row r="572">
      <c r="A572" t="s">
        <v>262</v>
      </c>
      <c r="B572" t="s">
        <v>264</v>
      </c>
      <c r="C572" s="86" t="n">
        <v>2028</v>
      </c>
      <c r="D572" t="s">
        <v>235</v>
      </c>
      <c r="E572" s="87" t="n">
        <v>282947.952512778</v>
      </c>
      <c r="F572" s="88" t="n">
        <v>262871.308615793</v>
      </c>
      <c r="G572" s="89" t="n">
        <v>283208.63975277</v>
      </c>
      <c r="H572" s="90" t="n">
        <v>263753.748205613</v>
      </c>
      <c r="I572" s="91" t="str">
        <f>H572-F572</f>
      </c>
      <c r="J572" s="92" t="str">
        <f>G572-E572</f>
      </c>
    </row>
    <row r="573">
      <c r="A573" t="s">
        <v>262</v>
      </c>
      <c r="B573" t="s">
        <v>264</v>
      </c>
      <c r="C573" s="86" t="n">
        <v>2028</v>
      </c>
      <c r="D573" t="s">
        <v>244</v>
      </c>
      <c r="E573" s="87" t="n">
        <v>652339.127457836</v>
      </c>
      <c r="F573" s="88" t="n">
        <v>362067.691952173</v>
      </c>
      <c r="G573" s="89" t="n">
        <v>654200.049400957</v>
      </c>
      <c r="H573" s="90" t="n">
        <v>363945.253777133</v>
      </c>
      <c r="I573" s="91" t="str">
        <f>H573-F573</f>
      </c>
      <c r="J573" s="92" t="str">
        <f>G573-E573</f>
      </c>
    </row>
    <row r="574">
      <c r="A574" t="s">
        <v>262</v>
      </c>
      <c r="B574" t="s">
        <v>264</v>
      </c>
      <c r="C574" s="86" t="n">
        <v>2028</v>
      </c>
      <c r="D574" t="s">
        <v>248</v>
      </c>
      <c r="E574" s="87" t="n">
        <v>351132.399568197</v>
      </c>
      <c r="F574" s="88" t="n">
        <v>174489.783320589</v>
      </c>
      <c r="G574" s="89" t="n">
        <v>351745.983284134</v>
      </c>
      <c r="H574" s="90" t="n">
        <v>175235.344826664</v>
      </c>
      <c r="I574" s="91" t="str">
        <f>H574-F574</f>
      </c>
      <c r="J574" s="92" t="str">
        <f>G574-E574</f>
      </c>
    </row>
    <row r="575">
      <c r="A575" t="s">
        <v>262</v>
      </c>
      <c r="B575" t="s">
        <v>264</v>
      </c>
      <c r="C575" s="86" t="n">
        <v>2028</v>
      </c>
      <c r="D575" t="s">
        <v>421</v>
      </c>
      <c r="E575" s="87" t="n">
        <v>12493.5599314673</v>
      </c>
      <c r="F575" s="88" t="n">
        <v>3559.53822624704</v>
      </c>
      <c r="G575" s="89" t="n">
        <v>12493.5410814872</v>
      </c>
      <c r="H575" s="90" t="n">
        <v>3559.53799626408</v>
      </c>
      <c r="I575" s="91" t="str">
        <f>H575-F575</f>
      </c>
      <c r="J575" s="92" t="str">
        <f>G575-E575</f>
      </c>
    </row>
    <row r="576">
      <c r="A576" t="s">
        <v>262</v>
      </c>
      <c r="B576" t="s">
        <v>264</v>
      </c>
      <c r="C576" s="86" t="n">
        <v>2029</v>
      </c>
      <c r="D576" t="s">
        <v>419</v>
      </c>
      <c r="E576" s="87" t="n">
        <v>12022.6148306702</v>
      </c>
      <c r="F576" s="88" t="n">
        <v>8820.73113345501</v>
      </c>
      <c r="G576" s="89" t="n">
        <v>12020.2428783132</v>
      </c>
      <c r="H576" s="90" t="n">
        <v>8820.39462668691</v>
      </c>
      <c r="I576" s="91" t="str">
        <f>H576-F576</f>
      </c>
      <c r="J576" s="92" t="str">
        <f>G576-E576</f>
      </c>
    </row>
    <row r="577">
      <c r="A577" t="s">
        <v>262</v>
      </c>
      <c r="B577" t="s">
        <v>264</v>
      </c>
      <c r="C577" s="86" t="n">
        <v>2029</v>
      </c>
      <c r="D577" t="s">
        <v>224</v>
      </c>
      <c r="E577" s="87" t="n">
        <v>871340.886594977</v>
      </c>
      <c r="F577" s="88" t="n">
        <v>141414.323715175</v>
      </c>
      <c r="G577" s="89" t="n">
        <v>872122.58793486</v>
      </c>
      <c r="H577" s="90" t="n">
        <v>141419.192572278</v>
      </c>
      <c r="I577" s="91" t="str">
        <f>H577-F577</f>
      </c>
      <c r="J577" s="92" t="str">
        <f>G577-E577</f>
      </c>
    </row>
    <row r="578">
      <c r="A578" t="s">
        <v>262</v>
      </c>
      <c r="B578" t="s">
        <v>264</v>
      </c>
      <c r="C578" s="86" t="n">
        <v>2029</v>
      </c>
      <c r="D578" t="s">
        <v>420</v>
      </c>
      <c r="E578" s="87" t="n">
        <v>122720.157185574</v>
      </c>
      <c r="F578" s="88" t="n">
        <v>77385.261362228</v>
      </c>
      <c r="G578" s="89" t="n">
        <v>122702.091699448</v>
      </c>
      <c r="H578" s="90" t="n">
        <v>77383.2509010991</v>
      </c>
      <c r="I578" s="91" t="str">
        <f>H578-F578</f>
      </c>
      <c r="J578" s="92" t="str">
        <f>G578-E578</f>
      </c>
    </row>
    <row r="579">
      <c r="A579" t="s">
        <v>262</v>
      </c>
      <c r="B579" t="s">
        <v>264</v>
      </c>
      <c r="C579" s="86" t="n">
        <v>2029</v>
      </c>
      <c r="D579" t="s">
        <v>235</v>
      </c>
      <c r="E579" s="87" t="n">
        <v>287446.719398589</v>
      </c>
      <c r="F579" s="88" t="n">
        <v>267296.966281436</v>
      </c>
      <c r="G579" s="89" t="n">
        <v>287809.159991119</v>
      </c>
      <c r="H579" s="90" t="n">
        <v>268469.018676722</v>
      </c>
      <c r="I579" s="91" t="str">
        <f>H579-F579</f>
      </c>
      <c r="J579" s="92" t="str">
        <f>G579-E579</f>
      </c>
    </row>
    <row r="580">
      <c r="A580" t="s">
        <v>262</v>
      </c>
      <c r="B580" t="s">
        <v>264</v>
      </c>
      <c r="C580" s="86" t="n">
        <v>2029</v>
      </c>
      <c r="D580" t="s">
        <v>244</v>
      </c>
      <c r="E580" s="87" t="n">
        <v>667405.570196179</v>
      </c>
      <c r="F580" s="88" t="n">
        <v>371814.126675815</v>
      </c>
      <c r="G580" s="89" t="n">
        <v>670042.029002105</v>
      </c>
      <c r="H580" s="90" t="n">
        <v>374519.264871248</v>
      </c>
      <c r="I580" s="91" t="str">
        <f>H580-F580</f>
      </c>
      <c r="J580" s="92" t="str">
        <f>G580-E580</f>
      </c>
    </row>
    <row r="581">
      <c r="A581" t="s">
        <v>262</v>
      </c>
      <c r="B581" t="s">
        <v>264</v>
      </c>
      <c r="C581" s="86" t="n">
        <v>2029</v>
      </c>
      <c r="D581" t="s">
        <v>248</v>
      </c>
      <c r="E581" s="87" t="n">
        <v>358619.020597011</v>
      </c>
      <c r="F581" s="88" t="n">
        <v>178503.340722438</v>
      </c>
      <c r="G581" s="89" t="n">
        <v>359486.672358836</v>
      </c>
      <c r="H581" s="90" t="n">
        <v>179568.517960818</v>
      </c>
      <c r="I581" s="91" t="str">
        <f>H581-F581</f>
      </c>
      <c r="J581" s="92" t="str">
        <f>G581-E581</f>
      </c>
    </row>
    <row r="582">
      <c r="A582" t="s">
        <v>262</v>
      </c>
      <c r="B582" t="s">
        <v>264</v>
      </c>
      <c r="C582" s="86" t="n">
        <v>2029</v>
      </c>
      <c r="D582" t="s">
        <v>421</v>
      </c>
      <c r="E582" s="87" t="n">
        <v>12505.3230255727</v>
      </c>
      <c r="F582" s="88" t="n">
        <v>3430.77176430209</v>
      </c>
      <c r="G582" s="89" t="n">
        <v>12505.2897091232</v>
      </c>
      <c r="H582" s="90" t="n">
        <v>3430.77105367489</v>
      </c>
      <c r="I582" s="91" t="str">
        <f>H582-F582</f>
      </c>
      <c r="J582" s="92" t="str">
        <f>G582-E582</f>
      </c>
    </row>
    <row r="583">
      <c r="A583" t="s">
        <v>262</v>
      </c>
      <c r="B583" t="s">
        <v>264</v>
      </c>
      <c r="C583" s="86" t="n">
        <v>2030</v>
      </c>
      <c r="D583" t="s">
        <v>419</v>
      </c>
      <c r="E583" s="87" t="n">
        <v>12278.2193401775</v>
      </c>
      <c r="F583" s="88" t="n">
        <v>8966.32488907395</v>
      </c>
      <c r="G583" s="89" t="n">
        <v>12274.2647344434</v>
      </c>
      <c r="H583" s="90" t="n">
        <v>8965.59723882955</v>
      </c>
      <c r="I583" s="91" t="str">
        <f>H583-F583</f>
      </c>
      <c r="J583" s="92" t="str">
        <f>G583-E583</f>
      </c>
    </row>
    <row r="584">
      <c r="A584" t="s">
        <v>262</v>
      </c>
      <c r="B584" t="s">
        <v>264</v>
      </c>
      <c r="C584" s="86" t="n">
        <v>2030</v>
      </c>
      <c r="D584" t="s">
        <v>224</v>
      </c>
      <c r="E584" s="87" t="n">
        <v>887638.107649579</v>
      </c>
      <c r="F584" s="88" t="n">
        <v>146246.754478519</v>
      </c>
      <c r="G584" s="89" t="n">
        <v>888648.849091124</v>
      </c>
      <c r="H584" s="90" t="n">
        <v>146256.073838529</v>
      </c>
      <c r="I584" s="91" t="str">
        <f>H584-F584</f>
      </c>
      <c r="J584" s="92" t="str">
        <f>G584-E584</f>
      </c>
    </row>
    <row r="585">
      <c r="A585" t="s">
        <v>262</v>
      </c>
      <c r="B585" t="s">
        <v>264</v>
      </c>
      <c r="C585" s="86" t="n">
        <v>2030</v>
      </c>
      <c r="D585" t="s">
        <v>420</v>
      </c>
      <c r="E585" s="87" t="n">
        <v>126130.894888325</v>
      </c>
      <c r="F585" s="88" t="n">
        <v>79339.3090215527</v>
      </c>
      <c r="G585" s="89" t="n">
        <v>126100.520404265</v>
      </c>
      <c r="H585" s="90" t="n">
        <v>79334.7983616028</v>
      </c>
      <c r="I585" s="91" t="str">
        <f>H585-F585</f>
      </c>
      <c r="J585" s="92" t="str">
        <f>G585-E585</f>
      </c>
    </row>
    <row r="586">
      <c r="A586" t="s">
        <v>262</v>
      </c>
      <c r="B586" t="s">
        <v>264</v>
      </c>
      <c r="C586" s="86" t="n">
        <v>2030</v>
      </c>
      <c r="D586" t="s">
        <v>235</v>
      </c>
      <c r="E586" s="87" t="n">
        <v>291824.685189028</v>
      </c>
      <c r="F586" s="88" t="n">
        <v>271737.893872406</v>
      </c>
      <c r="G586" s="89" t="n">
        <v>292286.017029858</v>
      </c>
      <c r="H586" s="90" t="n">
        <v>273157.810650434</v>
      </c>
      <c r="I586" s="91" t="str">
        <f>H586-F586</f>
      </c>
      <c r="J586" s="92" t="str">
        <f>G586-E586</f>
      </c>
    </row>
    <row r="587">
      <c r="A587" t="s">
        <v>262</v>
      </c>
      <c r="B587" t="s">
        <v>264</v>
      </c>
      <c r="C587" s="86" t="n">
        <v>2030</v>
      </c>
      <c r="D587" t="s">
        <v>244</v>
      </c>
      <c r="E587" s="87" t="n">
        <v>683096.248477831</v>
      </c>
      <c r="F587" s="88" t="n">
        <v>381852.358642583</v>
      </c>
      <c r="G587" s="89" t="n">
        <v>686528.816871955</v>
      </c>
      <c r="H587" s="90" t="n">
        <v>385417.279419066</v>
      </c>
      <c r="I587" s="91" t="str">
        <f>H587-F587</f>
      </c>
      <c r="J587" s="92" t="str">
        <f>G587-E587</f>
      </c>
    </row>
    <row r="588">
      <c r="A588" t="s">
        <v>262</v>
      </c>
      <c r="B588" t="s">
        <v>264</v>
      </c>
      <c r="C588" s="86" t="n">
        <v>2030</v>
      </c>
      <c r="D588" t="s">
        <v>248</v>
      </c>
      <c r="E588" s="87" t="n">
        <v>366829.78810656</v>
      </c>
      <c r="F588" s="88" t="n">
        <v>182987.190162613</v>
      </c>
      <c r="G588" s="89" t="n">
        <v>367955.05484547</v>
      </c>
      <c r="H588" s="90" t="n">
        <v>184377.512558869</v>
      </c>
      <c r="I588" s="91" t="str">
        <f>H588-F588</f>
      </c>
      <c r="J588" s="92" t="str">
        <f>G588-E588</f>
      </c>
    </row>
    <row r="589">
      <c r="A589" t="s">
        <v>262</v>
      </c>
      <c r="B589" t="s">
        <v>264</v>
      </c>
      <c r="C589" s="86" t="n">
        <v>2030</v>
      </c>
      <c r="D589" t="s">
        <v>421</v>
      </c>
      <c r="E589" s="87" t="n">
        <v>12655.3251407496</v>
      </c>
      <c r="F589" s="88" t="n">
        <v>3301.14803699788</v>
      </c>
      <c r="G589" s="89" t="n">
        <v>12655.2774901684</v>
      </c>
      <c r="H589" s="90" t="n">
        <v>3301.14666213427</v>
      </c>
      <c r="I589" s="91" t="str">
        <f>H589-F589</f>
      </c>
      <c r="J589" s="92" t="str">
        <f>G589-E589</f>
      </c>
    </row>
    <row r="590">
      <c r="A590" t="s">
        <v>262</v>
      </c>
      <c r="B590" t="s">
        <v>264</v>
      </c>
      <c r="C590" s="86" t="n">
        <v>2031</v>
      </c>
      <c r="D590" t="s">
        <v>419</v>
      </c>
      <c r="E590" s="87" t="n">
        <v>12512.5575476249</v>
      </c>
      <c r="F590" s="88" t="n">
        <v>9115.79017422132</v>
      </c>
      <c r="G590" s="89" t="n">
        <v>12506.5880665311</v>
      </c>
      <c r="H590" s="90" t="n">
        <v>9114.48302310478</v>
      </c>
      <c r="I590" s="91" t="str">
        <f>H590-F590</f>
      </c>
      <c r="J590" s="92" t="str">
        <f>G590-E590</f>
      </c>
    </row>
    <row r="591">
      <c r="A591" t="s">
        <v>262</v>
      </c>
      <c r="B591" t="s">
        <v>264</v>
      </c>
      <c r="C591" s="86" t="n">
        <v>2031</v>
      </c>
      <c r="D591" t="s">
        <v>224</v>
      </c>
      <c r="E591" s="87" t="n">
        <v>904475.17758456</v>
      </c>
      <c r="F591" s="88" t="n">
        <v>151002.482046047</v>
      </c>
      <c r="G591" s="89" t="n">
        <v>905698.50533388</v>
      </c>
      <c r="H591" s="90" t="n">
        <v>151017.314585235</v>
      </c>
      <c r="I591" s="91" t="str">
        <f>H591-F591</f>
      </c>
      <c r="J591" s="92" t="str">
        <f>G591-E591</f>
      </c>
    </row>
    <row r="592">
      <c r="A592" t="s">
        <v>262</v>
      </c>
      <c r="B592" t="s">
        <v>264</v>
      </c>
      <c r="C592" s="86" t="n">
        <v>2031</v>
      </c>
      <c r="D592" t="s">
        <v>420</v>
      </c>
      <c r="E592" s="87" t="n">
        <v>129383.29810694</v>
      </c>
      <c r="F592" s="88" t="n">
        <v>81229.5606015409</v>
      </c>
      <c r="G592" s="89" t="n">
        <v>129337.020613882</v>
      </c>
      <c r="H592" s="90" t="n">
        <v>81221.2142709578</v>
      </c>
      <c r="I592" s="91" t="str">
        <f>H592-F592</f>
      </c>
      <c r="J592" s="92" t="str">
        <f>G592-E592</f>
      </c>
    </row>
    <row r="593">
      <c r="A593" t="s">
        <v>262</v>
      </c>
      <c r="B593" t="s">
        <v>264</v>
      </c>
      <c r="C593" s="86" t="n">
        <v>2031</v>
      </c>
      <c r="D593" t="s">
        <v>235</v>
      </c>
      <c r="E593" s="87" t="n">
        <v>295975.04638469</v>
      </c>
      <c r="F593" s="88" t="n">
        <v>276143.630225747</v>
      </c>
      <c r="G593" s="89" t="n">
        <v>296437.738378722</v>
      </c>
      <c r="H593" s="90" t="n">
        <v>277404.152195349</v>
      </c>
      <c r="I593" s="91" t="str">
        <f>H593-F593</f>
      </c>
      <c r="J593" s="92" t="str">
        <f>G593-E593</f>
      </c>
    </row>
    <row r="594">
      <c r="A594" t="s">
        <v>262</v>
      </c>
      <c r="B594" t="s">
        <v>264</v>
      </c>
      <c r="C594" s="86" t="n">
        <v>2031</v>
      </c>
      <c r="D594" t="s">
        <v>244</v>
      </c>
      <c r="E594" s="87" t="n">
        <v>698971.911225379</v>
      </c>
      <c r="F594" s="88" t="n">
        <v>392310.562745842</v>
      </c>
      <c r="G594" s="89" t="n">
        <v>702548.134334822</v>
      </c>
      <c r="H594" s="90" t="n">
        <v>396078.261698986</v>
      </c>
      <c r="I594" s="91" t="str">
        <f>H594-F594</f>
      </c>
      <c r="J594" s="92" t="str">
        <f>G594-E594</f>
      </c>
    </row>
    <row r="595">
      <c r="A595" t="s">
        <v>262</v>
      </c>
      <c r="B595" t="s">
        <v>264</v>
      </c>
      <c r="C595" s="86" t="n">
        <v>2031</v>
      </c>
      <c r="D595" t="s">
        <v>248</v>
      </c>
      <c r="E595" s="87" t="n">
        <v>374867.024508153</v>
      </c>
      <c r="F595" s="88" t="n">
        <v>187712.929487394</v>
      </c>
      <c r="G595" s="89" t="n">
        <v>376026.788964657</v>
      </c>
      <c r="H595" s="90" t="n">
        <v>189147.352294789</v>
      </c>
      <c r="I595" s="91" t="str">
        <f>H595-F595</f>
      </c>
      <c r="J595" s="92" t="str">
        <f>G595-E595</f>
      </c>
    </row>
    <row r="596">
      <c r="A596" t="s">
        <v>262</v>
      </c>
      <c r="B596" t="s">
        <v>264</v>
      </c>
      <c r="C596" s="86" t="n">
        <v>2031</v>
      </c>
      <c r="D596" t="s">
        <v>421</v>
      </c>
      <c r="E596" s="87" t="n">
        <v>12740.6964110842</v>
      </c>
      <c r="F596" s="88" t="n">
        <v>3174.86525657374</v>
      </c>
      <c r="G596" s="89" t="n">
        <v>12740.6278729228</v>
      </c>
      <c r="H596" s="90" t="n">
        <v>3174.86317276916</v>
      </c>
      <c r="I596" s="91" t="str">
        <f>H596-F596</f>
      </c>
      <c r="J596" s="92" t="str">
        <f>G596-E596</f>
      </c>
    </row>
    <row r="597">
      <c r="A597" t="s">
        <v>262</v>
      </c>
      <c r="B597" t="s">
        <v>264</v>
      </c>
      <c r="C597" s="86" t="n">
        <v>2032</v>
      </c>
      <c r="D597" t="s">
        <v>419</v>
      </c>
      <c r="E597" s="87" t="n">
        <v>12751.8104517924</v>
      </c>
      <c r="F597" s="88" t="n">
        <v>9270.00530638513</v>
      </c>
      <c r="G597" s="89" t="n">
        <v>12743.8944071303</v>
      </c>
      <c r="H597" s="90" t="n">
        <v>9267.91175287106</v>
      </c>
      <c r="I597" s="91" t="str">
        <f>H597-F597</f>
      </c>
      <c r="J597" s="92" t="str">
        <f>G597-E597</f>
      </c>
    </row>
    <row r="598">
      <c r="A598" t="s">
        <v>262</v>
      </c>
      <c r="B598" t="s">
        <v>264</v>
      </c>
      <c r="C598" s="86" t="n">
        <v>2032</v>
      </c>
      <c r="D598" t="s">
        <v>224</v>
      </c>
      <c r="E598" s="87" t="n">
        <v>922351.205323769</v>
      </c>
      <c r="F598" s="88" t="n">
        <v>155893.598753393</v>
      </c>
      <c r="G598" s="89" t="n">
        <v>923778.433647484</v>
      </c>
      <c r="H598" s="90" t="n">
        <v>155914.890344467</v>
      </c>
      <c r="I598" s="91" t="str">
        <f>H598-F598</f>
      </c>
      <c r="J598" s="92" t="str">
        <f>G598-E598</f>
      </c>
    </row>
    <row r="599">
      <c r="A599" t="s">
        <v>262</v>
      </c>
      <c r="B599" t="s">
        <v>264</v>
      </c>
      <c r="C599" s="86" t="n">
        <v>2032</v>
      </c>
      <c r="D599" t="s">
        <v>420</v>
      </c>
      <c r="E599" s="87" t="n">
        <v>132628.247451056</v>
      </c>
      <c r="F599" s="88" t="n">
        <v>83177.8070396846</v>
      </c>
      <c r="G599" s="89" t="n">
        <v>132566.317868369</v>
      </c>
      <c r="H599" s="90" t="n">
        <v>83164.0959360433</v>
      </c>
      <c r="I599" s="91" t="str">
        <f>H599-F599</f>
      </c>
      <c r="J599" s="92" t="str">
        <f>G599-E599</f>
      </c>
    </row>
    <row r="600">
      <c r="A600" t="s">
        <v>262</v>
      </c>
      <c r="B600" t="s">
        <v>264</v>
      </c>
      <c r="C600" s="86" t="n">
        <v>2032</v>
      </c>
      <c r="D600" t="s">
        <v>235</v>
      </c>
      <c r="E600" s="87" t="n">
        <v>300040.116993059</v>
      </c>
      <c r="F600" s="88" t="n">
        <v>280324.808946228</v>
      </c>
      <c r="G600" s="89" t="n">
        <v>300504.550336341</v>
      </c>
      <c r="H600" s="90" t="n">
        <v>281488.739628123</v>
      </c>
      <c r="I600" s="91" t="str">
        <f>H600-F600</f>
      </c>
      <c r="J600" s="92" t="str">
        <f>G600-E600</f>
      </c>
    </row>
    <row r="601">
      <c r="A601" t="s">
        <v>262</v>
      </c>
      <c r="B601" t="s">
        <v>264</v>
      </c>
      <c r="C601" s="86" t="n">
        <v>2032</v>
      </c>
      <c r="D601" t="s">
        <v>244</v>
      </c>
      <c r="E601" s="87" t="n">
        <v>715440.19561864</v>
      </c>
      <c r="F601" s="88" t="n">
        <v>402922.404475247</v>
      </c>
      <c r="G601" s="89" t="n">
        <v>719168.67859234</v>
      </c>
      <c r="H601" s="90" t="n">
        <v>406904.282877455</v>
      </c>
      <c r="I601" s="91" t="str">
        <f>H601-F601</f>
      </c>
      <c r="J601" s="92" t="str">
        <f>G601-E601</f>
      </c>
    </row>
    <row r="602">
      <c r="A602" t="s">
        <v>262</v>
      </c>
      <c r="B602" t="s">
        <v>264</v>
      </c>
      <c r="C602" s="86" t="n">
        <v>2032</v>
      </c>
      <c r="D602" t="s">
        <v>248</v>
      </c>
      <c r="E602" s="87" t="n">
        <v>383411.201416531</v>
      </c>
      <c r="F602" s="88" t="n">
        <v>192700.180152441</v>
      </c>
      <c r="G602" s="89" t="n">
        <v>384609.051353766</v>
      </c>
      <c r="H602" s="90" t="n">
        <v>194193.38475982</v>
      </c>
      <c r="I602" s="91" t="str">
        <f>H602-F602</f>
      </c>
      <c r="J602" s="92" t="str">
        <f>G602-E602</f>
      </c>
    </row>
    <row r="603">
      <c r="A603" t="s">
        <v>262</v>
      </c>
      <c r="B603" t="s">
        <v>264</v>
      </c>
      <c r="C603" s="86" t="n">
        <v>2032</v>
      </c>
      <c r="D603" t="s">
        <v>421</v>
      </c>
      <c r="E603" s="87" t="n">
        <v>12856.0253173265</v>
      </c>
      <c r="F603" s="88" t="n">
        <v>3046.52316468692</v>
      </c>
      <c r="G603" s="89" t="n">
        <v>12855.9427389859</v>
      </c>
      <c r="H603" s="90" t="n">
        <v>3046.52022706146</v>
      </c>
      <c r="I603" s="91" t="str">
        <f>H603-F603</f>
      </c>
      <c r="J603" s="92" t="str">
        <f>G603-E603</f>
      </c>
    </row>
    <row r="604">
      <c r="A604" t="s">
        <v>262</v>
      </c>
      <c r="B604" t="s">
        <v>264</v>
      </c>
      <c r="C604" s="86" t="n">
        <v>2033</v>
      </c>
      <c r="D604" t="s">
        <v>419</v>
      </c>
      <c r="E604" s="87" t="n">
        <v>13156.4567483071</v>
      </c>
      <c r="F604" s="88" t="n">
        <v>9440.50224266503</v>
      </c>
      <c r="G604" s="89" t="n">
        <v>13146.3513901505</v>
      </c>
      <c r="H604" s="90" t="n">
        <v>9437.49521839436</v>
      </c>
      <c r="I604" s="91" t="str">
        <f>H604-F604</f>
      </c>
      <c r="J604" s="92" t="str">
        <f>G604-E604</f>
      </c>
    </row>
    <row r="605">
      <c r="A605" t="s">
        <v>262</v>
      </c>
      <c r="B605" t="s">
        <v>264</v>
      </c>
      <c r="C605" s="86" t="n">
        <v>2033</v>
      </c>
      <c r="D605" t="s">
        <v>224</v>
      </c>
      <c r="E605" s="87" t="n">
        <v>942891.389077332</v>
      </c>
      <c r="F605" s="88" t="n">
        <v>160792.62564475</v>
      </c>
      <c r="G605" s="89" t="n">
        <v>944521.71811111</v>
      </c>
      <c r="H605" s="90" t="n">
        <v>160821.219639763</v>
      </c>
      <c r="I605" s="91" t="str">
        <f>H605-F605</f>
      </c>
      <c r="J605" s="92" t="str">
        <f>G605-E605</f>
      </c>
    </row>
    <row r="606">
      <c r="A606" t="s">
        <v>262</v>
      </c>
      <c r="B606" t="s">
        <v>264</v>
      </c>
      <c r="C606" s="86" t="n">
        <v>2033</v>
      </c>
      <c r="D606" t="s">
        <v>420</v>
      </c>
      <c r="E606" s="87" t="n">
        <v>136786.109545976</v>
      </c>
      <c r="F606" s="88" t="n">
        <v>85160.169972474</v>
      </c>
      <c r="G606" s="89" t="n">
        <v>136707.716312745</v>
      </c>
      <c r="H606" s="90" t="n">
        <v>85140.0559210379</v>
      </c>
      <c r="I606" s="91" t="str">
        <f>H606-F606</f>
      </c>
      <c r="J606" s="92" t="str">
        <f>G606-E606</f>
      </c>
    </row>
    <row r="607">
      <c r="A607" t="s">
        <v>262</v>
      </c>
      <c r="B607" t="s">
        <v>264</v>
      </c>
      <c r="C607" s="86" t="n">
        <v>2033</v>
      </c>
      <c r="D607" t="s">
        <v>235</v>
      </c>
      <c r="E607" s="87" t="n">
        <v>304002.263118825</v>
      </c>
      <c r="F607" s="88" t="n">
        <v>284201.82732004</v>
      </c>
      <c r="G607" s="89" t="n">
        <v>304468.286850227</v>
      </c>
      <c r="H607" s="90" t="n">
        <v>285297.748513227</v>
      </c>
      <c r="I607" s="91" t="str">
        <f>H607-F607</f>
      </c>
      <c r="J607" s="92" t="str">
        <f>G607-E607</f>
      </c>
    </row>
    <row r="608">
      <c r="A608" t="s">
        <v>262</v>
      </c>
      <c r="B608" t="s">
        <v>264</v>
      </c>
      <c r="C608" s="86" t="n">
        <v>2033</v>
      </c>
      <c r="D608" t="s">
        <v>244</v>
      </c>
      <c r="E608" s="87" t="n">
        <v>734497.243820554</v>
      </c>
      <c r="F608" s="88" t="n">
        <v>413388.089866442</v>
      </c>
      <c r="G608" s="89" t="n">
        <v>738395.913710054</v>
      </c>
      <c r="H608" s="90" t="n">
        <v>417591.194273361</v>
      </c>
      <c r="I608" s="91" t="str">
        <f>H608-F608</f>
      </c>
      <c r="J608" s="92" t="str">
        <f>G608-E608</f>
      </c>
    </row>
    <row r="609">
      <c r="A609" t="s">
        <v>262</v>
      </c>
      <c r="B609" t="s">
        <v>264</v>
      </c>
      <c r="C609" s="86" t="n">
        <v>2033</v>
      </c>
      <c r="D609" t="s">
        <v>248</v>
      </c>
      <c r="E609" s="87" t="n">
        <v>392916.58177041</v>
      </c>
      <c r="F609" s="88" t="n">
        <v>197749.404498045</v>
      </c>
      <c r="G609" s="89" t="n">
        <v>394159.184915109</v>
      </c>
      <c r="H609" s="90" t="n">
        <v>199311.530364044</v>
      </c>
      <c r="I609" s="91" t="str">
        <f>H609-F609</f>
      </c>
      <c r="J609" s="92" t="str">
        <f>G609-E609</f>
      </c>
    </row>
    <row r="610">
      <c r="A610" t="s">
        <v>262</v>
      </c>
      <c r="B610" t="s">
        <v>264</v>
      </c>
      <c r="C610" s="86" t="n">
        <v>2033</v>
      </c>
      <c r="D610" t="s">
        <v>421</v>
      </c>
      <c r="E610" s="87" t="n">
        <v>12780.8235862037</v>
      </c>
      <c r="F610" s="88" t="n">
        <v>2919.79825318434</v>
      </c>
      <c r="G610" s="89" t="n">
        <v>12780.7417922516</v>
      </c>
      <c r="H610" s="90" t="n">
        <v>2919.79454897481</v>
      </c>
      <c r="I610" s="91" t="str">
        <f>H610-F610</f>
      </c>
      <c r="J610" s="92" t="str">
        <f>G610-E610</f>
      </c>
    </row>
    <row r="611">
      <c r="A611" t="s">
        <v>262</v>
      </c>
      <c r="B611" t="s">
        <v>264</v>
      </c>
      <c r="C611" s="86" t="n">
        <v>2034</v>
      </c>
      <c r="D611" t="s">
        <v>419</v>
      </c>
      <c r="E611" s="87" t="n">
        <v>13408.465364561</v>
      </c>
      <c r="F611" s="88" t="n">
        <v>9614.80143734271</v>
      </c>
      <c r="G611" s="89" t="n">
        <v>13396.3770662857</v>
      </c>
      <c r="H611" s="90" t="n">
        <v>9610.78717894584</v>
      </c>
      <c r="I611" s="91" t="str">
        <f>H611-F611</f>
      </c>
      <c r="J611" s="92" t="str">
        <f>G611-E611</f>
      </c>
    </row>
    <row r="612">
      <c r="A612" t="s">
        <v>262</v>
      </c>
      <c r="B612" t="s">
        <v>264</v>
      </c>
      <c r="C612" s="86" t="n">
        <v>2034</v>
      </c>
      <c r="D612" t="s">
        <v>224</v>
      </c>
      <c r="E612" s="87" t="n">
        <v>958403.794434979</v>
      </c>
      <c r="F612" s="88" t="n">
        <v>165795.996542439</v>
      </c>
      <c r="G612" s="89" t="n">
        <v>960221.655861689</v>
      </c>
      <c r="H612" s="90" t="n">
        <v>165832.802590949</v>
      </c>
      <c r="I612" s="91" t="str">
        <f>H612-F612</f>
      </c>
      <c r="J612" s="92" t="str">
        <f>G612-E612</f>
      </c>
    </row>
    <row r="613">
      <c r="A613" t="s">
        <v>262</v>
      </c>
      <c r="B613" t="s">
        <v>264</v>
      </c>
      <c r="C613" s="86" t="n">
        <v>2034</v>
      </c>
      <c r="D613" t="s">
        <v>420</v>
      </c>
      <c r="E613" s="87" t="n">
        <v>140017.105636797</v>
      </c>
      <c r="F613" s="88" t="n">
        <v>87153.524565927</v>
      </c>
      <c r="G613" s="89" t="n">
        <v>139922.665552402</v>
      </c>
      <c r="H613" s="90" t="n">
        <v>87126.2119501461</v>
      </c>
      <c r="I613" s="91" t="str">
        <f>H613-F613</f>
      </c>
      <c r="J613" s="92" t="str">
        <f>G613-E613</f>
      </c>
    </row>
    <row r="614">
      <c r="A614" t="s">
        <v>262</v>
      </c>
      <c r="B614" t="s">
        <v>264</v>
      </c>
      <c r="C614" s="86" t="n">
        <v>2034</v>
      </c>
      <c r="D614" t="s">
        <v>235</v>
      </c>
      <c r="E614" s="87" t="n">
        <v>307695.571908712</v>
      </c>
      <c r="F614" s="88" t="n">
        <v>288055.364912092</v>
      </c>
      <c r="G614" s="89" t="n">
        <v>308142.620646514</v>
      </c>
      <c r="H614" s="90" t="n">
        <v>289022.375898514</v>
      </c>
      <c r="I614" s="91" t="str">
        <f>H614-F614</f>
      </c>
      <c r="J614" s="92" t="str">
        <f>G614-E614</f>
      </c>
    </row>
    <row r="615">
      <c r="A615" t="s">
        <v>262</v>
      </c>
      <c r="B615" t="s">
        <v>264</v>
      </c>
      <c r="C615" s="86" t="n">
        <v>2034</v>
      </c>
      <c r="D615" t="s">
        <v>244</v>
      </c>
      <c r="E615" s="87" t="n">
        <v>750349.765302296</v>
      </c>
      <c r="F615" s="88" t="n">
        <v>424236.821627244</v>
      </c>
      <c r="G615" s="89" t="n">
        <v>754264.519314827</v>
      </c>
      <c r="H615" s="90" t="n">
        <v>428496.093357131</v>
      </c>
      <c r="I615" s="91" t="str">
        <f>H615-F615</f>
      </c>
      <c r="J615" s="92" t="str">
        <f>G615-E615</f>
      </c>
    </row>
    <row r="616">
      <c r="A616" t="s">
        <v>262</v>
      </c>
      <c r="B616" t="s">
        <v>264</v>
      </c>
      <c r="C616" s="86" t="n">
        <v>2034</v>
      </c>
      <c r="D616" t="s">
        <v>248</v>
      </c>
      <c r="E616" s="87" t="n">
        <v>401191.446608777</v>
      </c>
      <c r="F616" s="88" t="n">
        <v>202954.629627702</v>
      </c>
      <c r="G616" s="89" t="n">
        <v>402421.553872422</v>
      </c>
      <c r="H616" s="90" t="n">
        <v>204510.58021707</v>
      </c>
      <c r="I616" s="91" t="str">
        <f>H616-F616</f>
      </c>
      <c r="J616" s="92" t="str">
        <f>G616-E616</f>
      </c>
    </row>
    <row r="617">
      <c r="A617" t="s">
        <v>262</v>
      </c>
      <c r="B617" t="s">
        <v>264</v>
      </c>
      <c r="C617" s="86" t="n">
        <v>2034</v>
      </c>
      <c r="D617" t="s">
        <v>421</v>
      </c>
      <c r="E617" s="87" t="n">
        <v>12872.5250704713</v>
      </c>
      <c r="F617" s="88" t="n">
        <v>2795.77383340035</v>
      </c>
      <c r="G617" s="89" t="n">
        <v>12872.434861331</v>
      </c>
      <c r="H617" s="90" t="n">
        <v>2795.76959562027</v>
      </c>
      <c r="I617" s="91" t="str">
        <f>H617-F617</f>
      </c>
      <c r="J617" s="92" t="str">
        <f>G617-E617</f>
      </c>
    </row>
    <row r="618">
      <c r="A618" t="s">
        <v>262</v>
      </c>
      <c r="B618" t="s">
        <v>264</v>
      </c>
      <c r="C618" s="86" t="n">
        <v>2035</v>
      </c>
      <c r="D618" t="s">
        <v>419</v>
      </c>
      <c r="E618" s="87" t="n">
        <v>13740.8356671728</v>
      </c>
      <c r="F618" s="88" t="n">
        <v>9792.57337750544</v>
      </c>
      <c r="G618" s="89" t="n">
        <v>13726.7399692658</v>
      </c>
      <c r="H618" s="90" t="n">
        <v>9787.51275865094</v>
      </c>
      <c r="I618" s="91" t="str">
        <f>H618-F618</f>
      </c>
      <c r="J618" s="92" t="str">
        <f>G618-E618</f>
      </c>
    </row>
    <row r="619">
      <c r="A619" t="s">
        <v>262</v>
      </c>
      <c r="B619" t="s">
        <v>264</v>
      </c>
      <c r="C619" s="86" t="n">
        <v>2035</v>
      </c>
      <c r="D619" t="s">
        <v>224</v>
      </c>
      <c r="E619" s="87" t="n">
        <v>973049.111453484</v>
      </c>
      <c r="F619" s="88" t="n">
        <v>170865.146026146</v>
      </c>
      <c r="G619" s="89" t="n">
        <v>975047.326959866</v>
      </c>
      <c r="H619" s="90" t="n">
        <v>170911.003808462</v>
      </c>
      <c r="I619" s="91" t="str">
        <f>H619-F619</f>
      </c>
      <c r="J619" s="92" t="str">
        <f>G619-E619</f>
      </c>
    </row>
    <row r="620">
      <c r="A620" t="s">
        <v>262</v>
      </c>
      <c r="B620" t="s">
        <v>264</v>
      </c>
      <c r="C620" s="86" t="n">
        <v>2035</v>
      </c>
      <c r="D620" t="s">
        <v>420</v>
      </c>
      <c r="E620" s="87" t="n">
        <v>143540.435105363</v>
      </c>
      <c r="F620" s="88" t="n">
        <v>89173.1970035527</v>
      </c>
      <c r="G620" s="89" t="n">
        <v>143430.147346953</v>
      </c>
      <c r="H620" s="90" t="n">
        <v>89138.141517925</v>
      </c>
      <c r="I620" s="91" t="str">
        <f>H620-F620</f>
      </c>
      <c r="J620" s="92" t="str">
        <f>G620-E620</f>
      </c>
    </row>
    <row r="621">
      <c r="A621" t="s">
        <v>262</v>
      </c>
      <c r="B621" t="s">
        <v>264</v>
      </c>
      <c r="C621" s="86" t="n">
        <v>2035</v>
      </c>
      <c r="D621" t="s">
        <v>235</v>
      </c>
      <c r="E621" s="87" t="n">
        <v>311170.033220268</v>
      </c>
      <c r="F621" s="88" t="n">
        <v>291673.102678802</v>
      </c>
      <c r="G621" s="89" t="n">
        <v>311598.659349735</v>
      </c>
      <c r="H621" s="90" t="n">
        <v>292543.4341723</v>
      </c>
      <c r="I621" s="91" t="str">
        <f>H621-F621</f>
      </c>
      <c r="J621" s="92" t="str">
        <f>G621-E621</f>
      </c>
    </row>
    <row r="622">
      <c r="A622" t="s">
        <v>262</v>
      </c>
      <c r="B622" t="s">
        <v>264</v>
      </c>
      <c r="C622" s="86" t="n">
        <v>2035</v>
      </c>
      <c r="D622" t="s">
        <v>244</v>
      </c>
      <c r="E622" s="87" t="n">
        <v>766112.995173746</v>
      </c>
      <c r="F622" s="88" t="n">
        <v>435100.920324919</v>
      </c>
      <c r="G622" s="89" t="n">
        <v>770043.407398033</v>
      </c>
      <c r="H622" s="90" t="n">
        <v>439419.393176264</v>
      </c>
      <c r="I622" s="91" t="str">
        <f>H622-F622</f>
      </c>
      <c r="J622" s="92" t="str">
        <f>G622-E622</f>
      </c>
    </row>
    <row r="623">
      <c r="A623" t="s">
        <v>262</v>
      </c>
      <c r="B623" t="s">
        <v>264</v>
      </c>
      <c r="C623" s="86" t="n">
        <v>2035</v>
      </c>
      <c r="D623" t="s">
        <v>248</v>
      </c>
      <c r="E623" s="87" t="n">
        <v>409212.959865788</v>
      </c>
      <c r="F623" s="88" t="n">
        <v>208297.080762782</v>
      </c>
      <c r="G623" s="89" t="n">
        <v>410430.68648466</v>
      </c>
      <c r="H623" s="90" t="n">
        <v>209854.988515264</v>
      </c>
      <c r="I623" s="91" t="str">
        <f>H623-F623</f>
      </c>
      <c r="J623" s="92" t="str">
        <f>G623-E623</f>
      </c>
    </row>
    <row r="624">
      <c r="A624" t="s">
        <v>262</v>
      </c>
      <c r="B624" t="s">
        <v>264</v>
      </c>
      <c r="C624" s="86" t="n">
        <v>2035</v>
      </c>
      <c r="D624" t="s">
        <v>421</v>
      </c>
      <c r="E624" s="87" t="n">
        <v>13061.6806449259</v>
      </c>
      <c r="F624" s="88" t="n">
        <v>2671.50247869611</v>
      </c>
      <c r="G624" s="89" t="n">
        <v>13061.5900844962</v>
      </c>
      <c r="H624" s="90" t="n">
        <v>2671.49784394295</v>
      </c>
      <c r="I624" s="91" t="str">
        <f>H624-F624</f>
      </c>
      <c r="J624" s="92" t="str">
        <f>G624-E624</f>
      </c>
    </row>
    <row r="625">
      <c r="A625" t="s">
        <v>262</v>
      </c>
      <c r="B625" t="s">
        <v>264</v>
      </c>
      <c r="C625" s="86" t="n">
        <v>2036</v>
      </c>
      <c r="D625" t="s">
        <v>419</v>
      </c>
      <c r="E625" s="87" t="n">
        <v>14074.9064477737</v>
      </c>
      <c r="F625" s="88" t="n">
        <v>9978.86414300565</v>
      </c>
      <c r="G625" s="89" t="n">
        <v>14058.8402730705</v>
      </c>
      <c r="H625" s="90" t="n">
        <v>9972.733436972</v>
      </c>
      <c r="I625" s="91" t="str">
        <f>H625-F625</f>
      </c>
      <c r="J625" s="92" t="str">
        <f>G625-E625</f>
      </c>
    </row>
    <row r="626">
      <c r="A626" t="s">
        <v>262</v>
      </c>
      <c r="B626" t="s">
        <v>264</v>
      </c>
      <c r="C626" s="86" t="n">
        <v>2036</v>
      </c>
      <c r="D626" t="s">
        <v>224</v>
      </c>
      <c r="E626" s="87" t="n">
        <v>990413.775255142</v>
      </c>
      <c r="F626" s="88" t="n">
        <v>176084.186712898</v>
      </c>
      <c r="G626" s="89" t="n">
        <v>992593.127567906</v>
      </c>
      <c r="H626" s="90" t="n">
        <v>176139.997785528</v>
      </c>
      <c r="I626" s="91" t="str">
        <f>H626-F626</f>
      </c>
      <c r="J626" s="92" t="str">
        <f>G626-E626</f>
      </c>
    </row>
    <row r="627">
      <c r="A627" t="s">
        <v>262</v>
      </c>
      <c r="B627" t="s">
        <v>264</v>
      </c>
      <c r="C627" s="86" t="n">
        <v>2036</v>
      </c>
      <c r="D627" t="s">
        <v>420</v>
      </c>
      <c r="E627" s="87" t="n">
        <v>147104.821107586</v>
      </c>
      <c r="F627" s="88" t="n">
        <v>91268.5734491262</v>
      </c>
      <c r="G627" s="89" t="n">
        <v>146978.916070349</v>
      </c>
      <c r="H627" s="90" t="n">
        <v>91225.4078140792</v>
      </c>
      <c r="I627" s="91" t="str">
        <f>H627-F627</f>
      </c>
      <c r="J627" s="92" t="str">
        <f>G627-E627</f>
      </c>
    </row>
    <row r="628">
      <c r="A628" t="s">
        <v>262</v>
      </c>
      <c r="B628" t="s">
        <v>264</v>
      </c>
      <c r="C628" s="86" t="n">
        <v>2036</v>
      </c>
      <c r="D628" t="s">
        <v>235</v>
      </c>
      <c r="E628" s="87" t="n">
        <v>314809.238005309</v>
      </c>
      <c r="F628" s="88" t="n">
        <v>295020.333479384</v>
      </c>
      <c r="G628" s="89" t="n">
        <v>315288.949461379</v>
      </c>
      <c r="H628" s="90" t="n">
        <v>296084.402747987</v>
      </c>
      <c r="I628" s="91" t="str">
        <f>H628-F628</f>
      </c>
      <c r="J628" s="92" t="str">
        <f>G628-E628</f>
      </c>
    </row>
    <row r="629">
      <c r="A629" t="s">
        <v>262</v>
      </c>
      <c r="B629" t="s">
        <v>264</v>
      </c>
      <c r="C629" s="86" t="n">
        <v>2036</v>
      </c>
      <c r="D629" t="s">
        <v>244</v>
      </c>
      <c r="E629" s="87" t="n">
        <v>782312.536593153</v>
      </c>
      <c r="F629" s="88" t="n">
        <v>445613.550024513</v>
      </c>
      <c r="G629" s="89" t="n">
        <v>786706.265291046</v>
      </c>
      <c r="H629" s="90" t="n">
        <v>450600.66503166</v>
      </c>
      <c r="I629" s="91" t="str">
        <f>H629-F629</f>
      </c>
      <c r="J629" s="92" t="str">
        <f>G629-E629</f>
      </c>
    </row>
    <row r="630">
      <c r="A630" t="s">
        <v>262</v>
      </c>
      <c r="B630" t="s">
        <v>264</v>
      </c>
      <c r="C630" s="86" t="n">
        <v>2036</v>
      </c>
      <c r="D630" t="s">
        <v>248</v>
      </c>
      <c r="E630" s="87" t="n">
        <v>417499.287388898</v>
      </c>
      <c r="F630" s="88" t="n">
        <v>213552.912670967</v>
      </c>
      <c r="G630" s="89" t="n">
        <v>418880.52544402</v>
      </c>
      <c r="H630" s="90" t="n">
        <v>215434.246910517</v>
      </c>
      <c r="I630" s="91" t="str">
        <f>H630-F630</f>
      </c>
      <c r="J630" s="92" t="str">
        <f>G630-E630</f>
      </c>
    </row>
    <row r="631">
      <c r="A631" t="s">
        <v>262</v>
      </c>
      <c r="B631" t="s">
        <v>264</v>
      </c>
      <c r="C631" s="86" t="n">
        <v>2036</v>
      </c>
      <c r="D631" t="s">
        <v>421</v>
      </c>
      <c r="E631" s="87" t="n">
        <v>13308.8878409229</v>
      </c>
      <c r="F631" s="88" t="n">
        <v>2547.74723088065</v>
      </c>
      <c r="G631" s="89" t="n">
        <v>13308.7944546361</v>
      </c>
      <c r="H631" s="90" t="n">
        <v>2547.74258396749</v>
      </c>
      <c r="I631" s="91" t="str">
        <f>H631-F631</f>
      </c>
      <c r="J631" s="92" t="str">
        <f>G631-E631</f>
      </c>
    </row>
    <row r="632">
      <c r="A632" t="s">
        <v>262</v>
      </c>
      <c r="B632" t="s">
        <v>264</v>
      </c>
      <c r="C632" s="86" t="n">
        <v>2037</v>
      </c>
      <c r="D632" t="s">
        <v>419</v>
      </c>
      <c r="E632" s="87" t="n">
        <v>14405.170080293</v>
      </c>
      <c r="F632" s="88" t="n">
        <v>10166.3915743187</v>
      </c>
      <c r="G632" s="89" t="n">
        <v>14386.6366039025</v>
      </c>
      <c r="H632" s="90" t="n">
        <v>10159.1873336905</v>
      </c>
      <c r="I632" s="91" t="str">
        <f>H632-F632</f>
      </c>
      <c r="J632" s="92" t="str">
        <f>G632-E632</f>
      </c>
    </row>
    <row r="633">
      <c r="A633" t="s">
        <v>262</v>
      </c>
      <c r="B633" t="s">
        <v>264</v>
      </c>
      <c r="C633" s="86" t="n">
        <v>2037</v>
      </c>
      <c r="D633" t="s">
        <v>224</v>
      </c>
      <c r="E633" s="87" t="n">
        <v>1006960.80714486</v>
      </c>
      <c r="F633" s="88" t="n">
        <v>181391.477453699</v>
      </c>
      <c r="G633" s="89" t="n">
        <v>1009301.65749756</v>
      </c>
      <c r="H633" s="90" t="n">
        <v>181458.235839908</v>
      </c>
      <c r="I633" s="91" t="str">
        <f>H633-F633</f>
      </c>
      <c r="J633" s="92" t="str">
        <f>G633-E633</f>
      </c>
    </row>
    <row r="634">
      <c r="A634" t="s">
        <v>262</v>
      </c>
      <c r="B634" t="s">
        <v>264</v>
      </c>
      <c r="C634" s="86" t="n">
        <v>2037</v>
      </c>
      <c r="D634" t="s">
        <v>420</v>
      </c>
      <c r="E634" s="87" t="n">
        <v>150632.938813331</v>
      </c>
      <c r="F634" s="88" t="n">
        <v>93392.7684656419</v>
      </c>
      <c r="G634" s="89" t="n">
        <v>150487.441619108</v>
      </c>
      <c r="H634" s="90" t="n">
        <v>93341.2784245107</v>
      </c>
      <c r="I634" s="91" t="str">
        <f>H634-F634</f>
      </c>
      <c r="J634" s="92" t="str">
        <f>G634-E634</f>
      </c>
    </row>
    <row r="635">
      <c r="A635" t="s">
        <v>262</v>
      </c>
      <c r="B635" t="s">
        <v>264</v>
      </c>
      <c r="C635" s="86" t="n">
        <v>2037</v>
      </c>
      <c r="D635" t="s">
        <v>235</v>
      </c>
      <c r="E635" s="87" t="n">
        <v>318227.49756072</v>
      </c>
      <c r="F635" s="88" t="n">
        <v>298242.706646395</v>
      </c>
      <c r="G635" s="89" t="n">
        <v>318754.964813024</v>
      </c>
      <c r="H635" s="90" t="n">
        <v>299434.655195925</v>
      </c>
      <c r="I635" s="91" t="str">
        <f>H635-F635</f>
      </c>
      <c r="J635" s="92" t="str">
        <f>G635-E635</f>
      </c>
    </row>
    <row r="636">
      <c r="A636" t="s">
        <v>262</v>
      </c>
      <c r="B636" t="s">
        <v>264</v>
      </c>
      <c r="C636" s="86" t="n">
        <v>2037</v>
      </c>
      <c r="D636" t="s">
        <v>244</v>
      </c>
      <c r="E636" s="87" t="n">
        <v>798584.701054537</v>
      </c>
      <c r="F636" s="88" t="n">
        <v>456179.404996085</v>
      </c>
      <c r="G636" s="89" t="n">
        <v>803452.229036644</v>
      </c>
      <c r="H636" s="90" t="n">
        <v>461851.049511551</v>
      </c>
      <c r="I636" s="91" t="str">
        <f>H636-F636</f>
      </c>
      <c r="J636" s="92" t="str">
        <f>G636-E636</f>
      </c>
    </row>
    <row r="637">
      <c r="A637" t="s">
        <v>262</v>
      </c>
      <c r="B637" t="s">
        <v>264</v>
      </c>
      <c r="C637" s="86" t="n">
        <v>2037</v>
      </c>
      <c r="D637" t="s">
        <v>248</v>
      </c>
      <c r="E637" s="87" t="n">
        <v>425961.164614218</v>
      </c>
      <c r="F637" s="88" t="n">
        <v>218940.162433494</v>
      </c>
      <c r="G637" s="89" t="n">
        <v>427506.733072448</v>
      </c>
      <c r="H637" s="90" t="n">
        <v>221141.826108993</v>
      </c>
      <c r="I637" s="91" t="str">
        <f>H637-F637</f>
      </c>
      <c r="J637" s="92" t="str">
        <f>G637-E637</f>
      </c>
    </row>
    <row r="638">
      <c r="A638" t="s">
        <v>262</v>
      </c>
      <c r="B638" t="s">
        <v>264</v>
      </c>
      <c r="C638" s="86" t="n">
        <v>2037</v>
      </c>
      <c r="D638" t="s">
        <v>421</v>
      </c>
      <c r="E638" s="87" t="n">
        <v>13385.2189499569</v>
      </c>
      <c r="F638" s="88" t="n">
        <v>2421.58123345077</v>
      </c>
      <c r="G638" s="89" t="n">
        <v>13385.128134315</v>
      </c>
      <c r="H638" s="90" t="n">
        <v>2421.57667984156</v>
      </c>
      <c r="I638" s="91" t="str">
        <f>H638-F638</f>
      </c>
      <c r="J638" s="92" t="str">
        <f>G638-E638</f>
      </c>
    </row>
    <row r="639">
      <c r="A639" t="s">
        <v>262</v>
      </c>
      <c r="B639" t="s">
        <v>264</v>
      </c>
      <c r="C639" s="86" t="n">
        <v>2038</v>
      </c>
      <c r="D639" t="s">
        <v>419</v>
      </c>
      <c r="E639" s="87" t="n">
        <v>14811.9754614243</v>
      </c>
      <c r="F639" s="88" t="n">
        <v>10358.3202382285</v>
      </c>
      <c r="G639" s="89" t="n">
        <v>14790.2897218897</v>
      </c>
      <c r="H639" s="90" t="n">
        <v>10349.9036883417</v>
      </c>
      <c r="I639" s="91" t="str">
        <f>H639-F639</f>
      </c>
      <c r="J639" s="92" t="str">
        <f>G639-E639</f>
      </c>
    </row>
    <row r="640">
      <c r="A640" t="s">
        <v>262</v>
      </c>
      <c r="B640" t="s">
        <v>264</v>
      </c>
      <c r="C640" s="86" t="n">
        <v>2038</v>
      </c>
      <c r="D640" t="s">
        <v>224</v>
      </c>
      <c r="E640" s="87" t="n">
        <v>1023242.46738602</v>
      </c>
      <c r="F640" s="88" t="n">
        <v>186709.135822932</v>
      </c>
      <c r="G640" s="89" t="n">
        <v>1025731.21343356</v>
      </c>
      <c r="H640" s="90" t="n">
        <v>186787.491870524</v>
      </c>
      <c r="I640" s="91" t="str">
        <f>H640-F640</f>
      </c>
      <c r="J640" s="92" t="str">
        <f>G640-E640</f>
      </c>
    </row>
    <row r="641">
      <c r="A641" t="s">
        <v>262</v>
      </c>
      <c r="B641" t="s">
        <v>264</v>
      </c>
      <c r="C641" s="86" t="n">
        <v>2038</v>
      </c>
      <c r="D641" t="s">
        <v>420</v>
      </c>
      <c r="E641" s="87" t="n">
        <v>155002.234840153</v>
      </c>
      <c r="F641" s="88" t="n">
        <v>95529.6753986767</v>
      </c>
      <c r="G641" s="89" t="n">
        <v>154833.021861689</v>
      </c>
      <c r="H641" s="90" t="n">
        <v>95469.0447801143</v>
      </c>
      <c r="I641" s="91" t="str">
        <f>H641-F641</f>
      </c>
      <c r="J641" s="92" t="str">
        <f>G641-E641</f>
      </c>
    </row>
    <row r="642">
      <c r="A642" t="s">
        <v>262</v>
      </c>
      <c r="B642" t="s">
        <v>264</v>
      </c>
      <c r="C642" s="86" t="n">
        <v>2038</v>
      </c>
      <c r="D642" t="s">
        <v>235</v>
      </c>
      <c r="E642" s="87" t="n">
        <v>321236.914138485</v>
      </c>
      <c r="F642" s="88" t="n">
        <v>301173.602082156</v>
      </c>
      <c r="G642" s="89" t="n">
        <v>321808.304576111</v>
      </c>
      <c r="H642" s="90" t="n">
        <v>302464.555231106</v>
      </c>
      <c r="I642" s="91" t="str">
        <f>H642-F642</f>
      </c>
      <c r="J642" s="92" t="str">
        <f>G642-E642</f>
      </c>
    </row>
    <row r="643">
      <c r="A643" t="s">
        <v>262</v>
      </c>
      <c r="B643" t="s">
        <v>264</v>
      </c>
      <c r="C643" s="86" t="n">
        <v>2038</v>
      </c>
      <c r="D643" t="s">
        <v>244</v>
      </c>
      <c r="E643" s="87" t="n">
        <v>817151.335378405</v>
      </c>
      <c r="F643" s="88" t="n">
        <v>466593.118240616</v>
      </c>
      <c r="G643" s="89" t="n">
        <v>822517.79120794</v>
      </c>
      <c r="H643" s="90" t="n">
        <v>472964.182972518</v>
      </c>
      <c r="I643" s="91" t="str">
        <f>H643-F643</f>
      </c>
      <c r="J643" s="92" t="str">
        <f>G643-E643</f>
      </c>
    </row>
    <row r="644">
      <c r="A644" t="s">
        <v>262</v>
      </c>
      <c r="B644" t="s">
        <v>264</v>
      </c>
      <c r="C644" s="86" t="n">
        <v>2038</v>
      </c>
      <c r="D644" t="s">
        <v>248</v>
      </c>
      <c r="E644" s="87" t="n">
        <v>436156.966889233</v>
      </c>
      <c r="F644" s="88" t="n">
        <v>224314.898859987</v>
      </c>
      <c r="G644" s="89" t="n">
        <v>437875.904421767</v>
      </c>
      <c r="H644" s="90" t="n">
        <v>226837.611544716</v>
      </c>
      <c r="I644" s="91" t="str">
        <f>H644-F644</f>
      </c>
      <c r="J644" s="92" t="str">
        <f>G644-E644</f>
      </c>
    </row>
    <row r="645">
      <c r="A645" t="s">
        <v>262</v>
      </c>
      <c r="B645" t="s">
        <v>264</v>
      </c>
      <c r="C645" s="86" t="n">
        <v>2038</v>
      </c>
      <c r="D645" t="s">
        <v>421</v>
      </c>
      <c r="E645" s="87" t="n">
        <v>13130.5756348712</v>
      </c>
      <c r="F645" s="88" t="n">
        <v>2303.46963747625</v>
      </c>
      <c r="G645" s="89" t="n">
        <v>13130.4959942569</v>
      </c>
      <c r="H645" s="90" t="n">
        <v>2303.4653337572</v>
      </c>
      <c r="I645" s="91" t="str">
        <f>H645-F645</f>
      </c>
      <c r="J645" s="92" t="str">
        <f>G645-E645</f>
      </c>
    </row>
    <row r="646">
      <c r="A646" t="s">
        <v>262</v>
      </c>
      <c r="B646" t="s">
        <v>264</v>
      </c>
      <c r="C646" s="86" t="n">
        <v>2039</v>
      </c>
      <c r="D646" t="s">
        <v>419</v>
      </c>
      <c r="E646" s="87" t="n">
        <v>15160.8769126488</v>
      </c>
      <c r="F646" s="88" t="n">
        <v>10554.8613222038</v>
      </c>
      <c r="G646" s="89" t="n">
        <v>15135.74798412</v>
      </c>
      <c r="H646" s="90" t="n">
        <v>10545.0523038997</v>
      </c>
      <c r="I646" s="91" t="str">
        <f>H646-F646</f>
      </c>
      <c r="J646" s="92" t="str">
        <f>G646-E646</f>
      </c>
    </row>
    <row r="647">
      <c r="A647" t="s">
        <v>262</v>
      </c>
      <c r="B647" t="s">
        <v>264</v>
      </c>
      <c r="C647" s="86" t="n">
        <v>2039</v>
      </c>
      <c r="D647" t="s">
        <v>224</v>
      </c>
      <c r="E647" s="87" t="n">
        <v>1036717.70536894</v>
      </c>
      <c r="F647" s="88" t="n">
        <v>192206.0440438</v>
      </c>
      <c r="G647" s="89" t="n">
        <v>1039334.21211717</v>
      </c>
      <c r="H647" s="90" t="n">
        <v>192296.552192256</v>
      </c>
      <c r="I647" s="91" t="str">
        <f>H647-F647</f>
      </c>
      <c r="J647" s="92" t="str">
        <f>G647-E647</f>
      </c>
    </row>
    <row r="648">
      <c r="A648" t="s">
        <v>262</v>
      </c>
      <c r="B648" t="s">
        <v>264</v>
      </c>
      <c r="C648" s="86" t="n">
        <v>2039</v>
      </c>
      <c r="D648" t="s">
        <v>420</v>
      </c>
      <c r="E648" s="87" t="n">
        <v>158521.980225034</v>
      </c>
      <c r="F648" s="88" t="n">
        <v>97737.5051502058</v>
      </c>
      <c r="G648" s="89" t="n">
        <v>158325.904186221</v>
      </c>
      <c r="H648" s="90" t="n">
        <v>97666.5125218666</v>
      </c>
      <c r="I648" s="91" t="str">
        <f>H648-F648</f>
      </c>
      <c r="J648" s="92" t="str">
        <f>G648-E648</f>
      </c>
    </row>
    <row r="649">
      <c r="A649" t="s">
        <v>262</v>
      </c>
      <c r="B649" t="s">
        <v>264</v>
      </c>
      <c r="C649" s="86" t="n">
        <v>2039</v>
      </c>
      <c r="D649" t="s">
        <v>235</v>
      </c>
      <c r="E649" s="87" t="n">
        <v>324334.581353286</v>
      </c>
      <c r="F649" s="88" t="n">
        <v>304158.622321046</v>
      </c>
      <c r="G649" s="89" t="n">
        <v>324947.685920243</v>
      </c>
      <c r="H649" s="90" t="n">
        <v>305533.683824107</v>
      </c>
      <c r="I649" s="91" t="str">
        <f>H649-F649</f>
      </c>
      <c r="J649" s="92" t="str">
        <f>G649-E649</f>
      </c>
    </row>
    <row r="650">
      <c r="A650" t="s">
        <v>262</v>
      </c>
      <c r="B650" t="s">
        <v>264</v>
      </c>
      <c r="C650" s="86" t="n">
        <v>2039</v>
      </c>
      <c r="D650" t="s">
        <v>244</v>
      </c>
      <c r="E650" s="87" t="n">
        <v>832522.286012893</v>
      </c>
      <c r="F650" s="88" t="n">
        <v>477271.46394398</v>
      </c>
      <c r="G650" s="89" t="n">
        <v>838380.897928912</v>
      </c>
      <c r="H650" s="90" t="n">
        <v>484364.275142346</v>
      </c>
      <c r="I650" s="91" t="str">
        <f>H650-F650</f>
      </c>
      <c r="J650" s="92" t="str">
        <f>G650-E650</f>
      </c>
    </row>
    <row r="651">
      <c r="A651" t="s">
        <v>262</v>
      </c>
      <c r="B651" t="s">
        <v>264</v>
      </c>
      <c r="C651" s="86" t="n">
        <v>2039</v>
      </c>
      <c r="D651" t="s">
        <v>248</v>
      </c>
      <c r="E651" s="87" t="n">
        <v>444213.196344247</v>
      </c>
      <c r="F651" s="88" t="n">
        <v>229906.047147799</v>
      </c>
      <c r="G651" s="89" t="n">
        <v>446097.450852593</v>
      </c>
      <c r="H651" s="90" t="n">
        <v>232753.81626835</v>
      </c>
      <c r="I651" s="91" t="str">
        <f>H651-F651</f>
      </c>
      <c r="J651" s="92" t="str">
        <f>G651-E651</f>
      </c>
    </row>
    <row r="652">
      <c r="A652" t="s">
        <v>262</v>
      </c>
      <c r="B652" t="s">
        <v>264</v>
      </c>
      <c r="C652" s="86" t="n">
        <v>2039</v>
      </c>
      <c r="D652" t="s">
        <v>421</v>
      </c>
      <c r="E652" s="87" t="n">
        <v>13010.9966107616</v>
      </c>
      <c r="F652" s="88" t="n">
        <v>2187.9080071816</v>
      </c>
      <c r="G652" s="89" t="n">
        <v>13010.9148835445</v>
      </c>
      <c r="H652" s="90" t="n">
        <v>2187.90404676672</v>
      </c>
      <c r="I652" s="91" t="str">
        <f>H652-F652</f>
      </c>
      <c r="J652" s="92" t="str">
        <f>G652-E652</f>
      </c>
    </row>
    <row r="653">
      <c r="A653" t="s">
        <v>262</v>
      </c>
      <c r="B653" t="s">
        <v>264</v>
      </c>
      <c r="C653" s="86" t="n">
        <v>2040</v>
      </c>
      <c r="D653" t="s">
        <v>419</v>
      </c>
      <c r="E653" s="87" t="n">
        <v>15560.7285801273</v>
      </c>
      <c r="F653" s="88" t="n">
        <v>10752.1412051559</v>
      </c>
      <c r="G653" s="89" t="n">
        <v>15531.5458454137</v>
      </c>
      <c r="H653" s="90" t="n">
        <v>10740.752829966</v>
      </c>
      <c r="I653" s="91" t="str">
        <f>H653-F653</f>
      </c>
      <c r="J653" s="92" t="str">
        <f>G653-E653</f>
      </c>
    </row>
    <row r="654">
      <c r="A654" t="s">
        <v>262</v>
      </c>
      <c r="B654" t="s">
        <v>264</v>
      </c>
      <c r="C654" s="86" t="n">
        <v>2040</v>
      </c>
      <c r="D654" t="s">
        <v>224</v>
      </c>
      <c r="E654" s="87" t="n">
        <v>1048537.40362672</v>
      </c>
      <c r="F654" s="88" t="n">
        <v>197636.966380913</v>
      </c>
      <c r="G654" s="89" t="n">
        <v>1051265.69371329</v>
      </c>
      <c r="H654" s="90" t="n">
        <v>197739.851826417</v>
      </c>
      <c r="I654" s="91" t="str">
        <f>H654-F654</f>
      </c>
      <c r="J654" s="92" t="str">
        <f>G654-E654</f>
      </c>
    </row>
    <row r="655">
      <c r="A655" t="s">
        <v>262</v>
      </c>
      <c r="B655" t="s">
        <v>264</v>
      </c>
      <c r="C655" s="86" t="n">
        <v>2040</v>
      </c>
      <c r="D655" t="s">
        <v>420</v>
      </c>
      <c r="E655" s="87" t="n">
        <v>162243.101655886</v>
      </c>
      <c r="F655" s="88" t="n">
        <v>99913.2011112982</v>
      </c>
      <c r="G655" s="89" t="n">
        <v>162016.43342865</v>
      </c>
      <c r="H655" s="90" t="n">
        <v>99830.4797881527</v>
      </c>
      <c r="I655" s="91" t="str">
        <f>H655-F655</f>
      </c>
      <c r="J655" s="92" t="str">
        <f>G655-E655</f>
      </c>
    </row>
    <row r="656">
      <c r="A656" t="s">
        <v>262</v>
      </c>
      <c r="B656" t="s">
        <v>264</v>
      </c>
      <c r="C656" s="86" t="n">
        <v>2040</v>
      </c>
      <c r="D656" t="s">
        <v>235</v>
      </c>
      <c r="E656" s="87" t="n">
        <v>327178.433888458</v>
      </c>
      <c r="F656" s="88" t="n">
        <v>306876.498747312</v>
      </c>
      <c r="G656" s="89" t="n">
        <v>327830.115399056</v>
      </c>
      <c r="H656" s="90" t="n">
        <v>308326.231940747</v>
      </c>
      <c r="I656" s="91" t="str">
        <f>H656-F656</f>
      </c>
      <c r="J656" s="92" t="str">
        <f>G656-E656</f>
      </c>
    </row>
    <row r="657">
      <c r="A657" t="s">
        <v>262</v>
      </c>
      <c r="B657" t="s">
        <v>264</v>
      </c>
      <c r="C657" s="86" t="n">
        <v>2040</v>
      </c>
      <c r="D657" t="s">
        <v>244</v>
      </c>
      <c r="E657" s="87" t="n">
        <v>846874.647461339</v>
      </c>
      <c r="F657" s="88" t="n">
        <v>487661.827277995</v>
      </c>
      <c r="G657" s="89" t="n">
        <v>853229.023620414</v>
      </c>
      <c r="H657" s="90" t="n">
        <v>495491.389021897</v>
      </c>
      <c r="I657" s="91" t="str">
        <f>H657-F657</f>
      </c>
      <c r="J657" s="92" t="str">
        <f>G657-E657</f>
      </c>
    </row>
    <row r="658">
      <c r="A658" t="s">
        <v>262</v>
      </c>
      <c r="B658" t="s">
        <v>264</v>
      </c>
      <c r="C658" s="86" t="n">
        <v>2040</v>
      </c>
      <c r="D658" t="s">
        <v>248</v>
      </c>
      <c r="E658" s="87" t="n">
        <v>451548.150393081</v>
      </c>
      <c r="F658" s="88" t="n">
        <v>235410.85434903</v>
      </c>
      <c r="G658" s="89" t="n">
        <v>453595.602682997</v>
      </c>
      <c r="H658" s="90" t="n">
        <v>238587.525717873</v>
      </c>
      <c r="I658" s="91" t="str">
        <f>H658-F658</f>
      </c>
      <c r="J658" s="92" t="str">
        <f>G658-E658</f>
      </c>
    </row>
    <row r="659">
      <c r="A659" t="s">
        <v>262</v>
      </c>
      <c r="B659" t="s">
        <v>264</v>
      </c>
      <c r="C659" s="86" t="n">
        <v>2040</v>
      </c>
      <c r="D659" t="s">
        <v>421</v>
      </c>
      <c r="E659" s="87" t="n">
        <v>12921.6886062074</v>
      </c>
      <c r="F659" s="88" t="n">
        <v>2071.44806320947</v>
      </c>
      <c r="G659" s="89" t="n">
        <v>12921.6065425891</v>
      </c>
      <c r="H659" s="90" t="n">
        <v>2071.44438113687</v>
      </c>
      <c r="I659" s="91" t="str">
        <f>H659-F659</f>
      </c>
      <c r="J659" s="92" t="str">
        <f>G659-E659</f>
      </c>
    </row>
    <row r="660">
      <c r="A660" t="s">
        <v>262</v>
      </c>
      <c r="B660" t="s">
        <v>264</v>
      </c>
      <c r="C660" s="86" t="n">
        <v>2041</v>
      </c>
      <c r="D660" t="s">
        <v>419</v>
      </c>
      <c r="E660" s="87" t="n">
        <v>15954.6364991719</v>
      </c>
      <c r="F660" s="88" t="n">
        <v>10952.701391839</v>
      </c>
      <c r="G660" s="89" t="n">
        <v>15920.8775016153</v>
      </c>
      <c r="H660" s="90" t="n">
        <v>10939.5011556982</v>
      </c>
      <c r="I660" s="91" t="str">
        <f>H660-F660</f>
      </c>
      <c r="J660" s="92" t="str">
        <f>G660-E660</f>
      </c>
    </row>
    <row r="661">
      <c r="A661" t="s">
        <v>262</v>
      </c>
      <c r="B661" t="s">
        <v>264</v>
      </c>
      <c r="C661" s="86" t="n">
        <v>2041</v>
      </c>
      <c r="D661" t="s">
        <v>224</v>
      </c>
      <c r="E661" s="87" t="n">
        <v>1063725.35123716</v>
      </c>
      <c r="F661" s="88" t="n">
        <v>203085.774494257</v>
      </c>
      <c r="G661" s="89" t="n">
        <v>1066563.6735298</v>
      </c>
      <c r="H661" s="90" t="n">
        <v>203201.128796519</v>
      </c>
      <c r="I661" s="91" t="str">
        <f>H661-F661</f>
      </c>
      <c r="J661" s="92" t="str">
        <f>G661-E661</f>
      </c>
    </row>
    <row r="662">
      <c r="A662" t="s">
        <v>262</v>
      </c>
      <c r="B662" t="s">
        <v>264</v>
      </c>
      <c r="C662" s="86" t="n">
        <v>2041</v>
      </c>
      <c r="D662" t="s">
        <v>420</v>
      </c>
      <c r="E662" s="87" t="n">
        <v>165864.19867582</v>
      </c>
      <c r="F662" s="88" t="n">
        <v>102094.820542889</v>
      </c>
      <c r="G662" s="89" t="n">
        <v>165603.256683252</v>
      </c>
      <c r="H662" s="90" t="n">
        <v>101998.78936442</v>
      </c>
      <c r="I662" s="91" t="str">
        <f>H662-F662</f>
      </c>
      <c r="J662" s="92" t="str">
        <f>G662-E662</f>
      </c>
    </row>
    <row r="663">
      <c r="A663" t="s">
        <v>262</v>
      </c>
      <c r="B663" t="s">
        <v>264</v>
      </c>
      <c r="C663" s="86" t="n">
        <v>2041</v>
      </c>
      <c r="D663" t="s">
        <v>235</v>
      </c>
      <c r="E663" s="87" t="n">
        <v>330184.795534499</v>
      </c>
      <c r="F663" s="88" t="n">
        <v>309775.772980357</v>
      </c>
      <c r="G663" s="89" t="n">
        <v>330799.892538861</v>
      </c>
      <c r="H663" s="90" t="n">
        <v>311000.568285778</v>
      </c>
      <c r="I663" s="91" t="str">
        <f>H663-F663</f>
      </c>
      <c r="J663" s="92" t="str">
        <f>G663-E663</f>
      </c>
    </row>
    <row r="664">
      <c r="A664" t="s">
        <v>262</v>
      </c>
      <c r="B664" t="s">
        <v>264</v>
      </c>
      <c r="C664" s="86" t="n">
        <v>2041</v>
      </c>
      <c r="D664" t="s">
        <v>244</v>
      </c>
      <c r="E664" s="87" t="n">
        <v>862710.276717798</v>
      </c>
      <c r="F664" s="88" t="n">
        <v>498681.120943104</v>
      </c>
      <c r="G664" s="89" t="n">
        <v>869077.592101044</v>
      </c>
      <c r="H664" s="90" t="n">
        <v>506572.614435606</v>
      </c>
      <c r="I664" s="91" t="str">
        <f>H664-F664</f>
      </c>
      <c r="J664" s="92" t="str">
        <f>G664-E664</f>
      </c>
    </row>
    <row r="665">
      <c r="A665" t="s">
        <v>262</v>
      </c>
      <c r="B665" t="s">
        <v>264</v>
      </c>
      <c r="C665" s="86" t="n">
        <v>2041</v>
      </c>
      <c r="D665" t="s">
        <v>248</v>
      </c>
      <c r="E665" s="87" t="n">
        <v>459554.314221475</v>
      </c>
      <c r="F665" s="88" t="n">
        <v>241255.256571652</v>
      </c>
      <c r="G665" s="89" t="n">
        <v>461572.525619781</v>
      </c>
      <c r="H665" s="90" t="n">
        <v>244403.938380915</v>
      </c>
      <c r="I665" s="91" t="str">
        <f>H665-F665</f>
      </c>
      <c r="J665" s="92" t="str">
        <f>G665-E665</f>
      </c>
    </row>
    <row r="666">
      <c r="A666" t="s">
        <v>262</v>
      </c>
      <c r="B666" t="s">
        <v>264</v>
      </c>
      <c r="C666" s="86" t="n">
        <v>2041</v>
      </c>
      <c r="D666" t="s">
        <v>421</v>
      </c>
      <c r="E666" s="87" t="n">
        <v>12914.0466143116</v>
      </c>
      <c r="F666" s="88" t="n">
        <v>1954.42700639609</v>
      </c>
      <c r="G666" s="89" t="n">
        <v>12913.9661072478</v>
      </c>
      <c r="H666" s="90" t="n">
        <v>1954.42370545678</v>
      </c>
      <c r="I666" s="91" t="str">
        <f>H666-F666</f>
      </c>
      <c r="J666" s="92" t="str">
        <f>G666-E666</f>
      </c>
    </row>
    <row r="667">
      <c r="A667" t="s">
        <v>262</v>
      </c>
      <c r="B667" t="s">
        <v>264</v>
      </c>
      <c r="C667" s="86" t="n">
        <v>2042</v>
      </c>
      <c r="D667" t="s">
        <v>419</v>
      </c>
      <c r="E667" s="87" t="n">
        <v>16348.0934330331</v>
      </c>
      <c r="F667" s="88" t="n">
        <v>11150.7579976793</v>
      </c>
      <c r="G667" s="89" t="n">
        <v>16309.8993609652</v>
      </c>
      <c r="H667" s="90" t="n">
        <v>11135.4965430843</v>
      </c>
      <c r="I667" s="91" t="str">
        <f>H667-F667</f>
      </c>
      <c r="J667" s="92" t="str">
        <f>G667-E667</f>
      </c>
    </row>
    <row r="668">
      <c r="A668" t="s">
        <v>262</v>
      </c>
      <c r="B668" t="s">
        <v>264</v>
      </c>
      <c r="C668" s="86" t="n">
        <v>2042</v>
      </c>
      <c r="D668" t="s">
        <v>224</v>
      </c>
      <c r="E668" s="87" t="n">
        <v>1075096.73312019</v>
      </c>
      <c r="F668" s="88" t="n">
        <v>208518.847394702</v>
      </c>
      <c r="G668" s="89" t="n">
        <v>1078026.60097981</v>
      </c>
      <c r="H668" s="90" t="n">
        <v>208646.654553543</v>
      </c>
      <c r="I668" s="91" t="str">
        <f>H668-F668</f>
      </c>
      <c r="J668" s="92" t="str">
        <f>G668-E668</f>
      </c>
    </row>
    <row r="669">
      <c r="A669" t="s">
        <v>262</v>
      </c>
      <c r="B669" t="s">
        <v>264</v>
      </c>
      <c r="C669" s="86" t="n">
        <v>2042</v>
      </c>
      <c r="D669" t="s">
        <v>420</v>
      </c>
      <c r="E669" s="87" t="n">
        <v>169435.347488031</v>
      </c>
      <c r="F669" s="88" t="n">
        <v>104264.820314924</v>
      </c>
      <c r="G669" s="89" t="n">
        <v>169141.556637021</v>
      </c>
      <c r="H669" s="90" t="n">
        <v>104153.760083299</v>
      </c>
      <c r="I669" s="91" t="str">
        <f>H669-F669</f>
      </c>
      <c r="J669" s="92" t="str">
        <f>G669-E669</f>
      </c>
    </row>
    <row r="670">
      <c r="A670" t="s">
        <v>262</v>
      </c>
      <c r="B670" t="s">
        <v>264</v>
      </c>
      <c r="C670" s="86" t="n">
        <v>2042</v>
      </c>
      <c r="D670" t="s">
        <v>235</v>
      </c>
      <c r="E670" s="87" t="n">
        <v>332741.975130666</v>
      </c>
      <c r="F670" s="88" t="n">
        <v>312342.339539277</v>
      </c>
      <c r="G670" s="89" t="n">
        <v>333321.323938657</v>
      </c>
      <c r="H670" s="90" t="n">
        <v>313428.604068663</v>
      </c>
      <c r="I670" s="91" t="str">
        <f>H670-F670</f>
      </c>
      <c r="J670" s="92" t="str">
        <f>G670-E670</f>
      </c>
    </row>
    <row r="671">
      <c r="A671" t="s">
        <v>262</v>
      </c>
      <c r="B671" t="s">
        <v>264</v>
      </c>
      <c r="C671" s="86" t="n">
        <v>2042</v>
      </c>
      <c r="D671" t="s">
        <v>244</v>
      </c>
      <c r="E671" s="87" t="n">
        <v>877903.911729486</v>
      </c>
      <c r="F671" s="88" t="n">
        <v>509540.81074508</v>
      </c>
      <c r="G671" s="89" t="n">
        <v>884281.978207785</v>
      </c>
      <c r="H671" s="90" t="n">
        <v>517499.023505678</v>
      </c>
      <c r="I671" s="91" t="str">
        <f>H671-F671</f>
      </c>
      <c r="J671" s="92" t="str">
        <f>G671-E671</f>
      </c>
    </row>
    <row r="672">
      <c r="A672" t="s">
        <v>262</v>
      </c>
      <c r="B672" t="s">
        <v>264</v>
      </c>
      <c r="C672" s="86" t="n">
        <v>2042</v>
      </c>
      <c r="D672" t="s">
        <v>248</v>
      </c>
      <c r="E672" s="87" t="n">
        <v>467463.199972228</v>
      </c>
      <c r="F672" s="88" t="n">
        <v>247040.769004974</v>
      </c>
      <c r="G672" s="89" t="n">
        <v>469454.149721884</v>
      </c>
      <c r="H672" s="90" t="n">
        <v>250175.663514197</v>
      </c>
      <c r="I672" s="91" t="str">
        <f>H672-F672</f>
      </c>
      <c r="J672" s="92" t="str">
        <f>G672-E672</f>
      </c>
    </row>
    <row r="673">
      <c r="A673" t="s">
        <v>262</v>
      </c>
      <c r="B673" t="s">
        <v>264</v>
      </c>
      <c r="C673" s="86" t="n">
        <v>2042</v>
      </c>
      <c r="D673" t="s">
        <v>421</v>
      </c>
      <c r="E673" s="87" t="n">
        <v>12448.0404537414</v>
      </c>
      <c r="F673" s="88" t="n">
        <v>1837.14077588427</v>
      </c>
      <c r="G673" s="89" t="n">
        <v>12447.9578277165</v>
      </c>
      <c r="H673" s="90" t="n">
        <v>1837.13778678778</v>
      </c>
      <c r="I673" s="91" t="str">
        <f>H673-F673</f>
      </c>
      <c r="J673" s="92" t="str">
        <f>G673-E673</f>
      </c>
    </row>
    <row r="674">
      <c r="A674" t="s">
        <v>262</v>
      </c>
      <c r="B674" t="s">
        <v>264</v>
      </c>
      <c r="C674" s="86" t="n">
        <v>2043</v>
      </c>
      <c r="D674" t="s">
        <v>419</v>
      </c>
      <c r="E674" s="87" t="n">
        <v>16797.5099845749</v>
      </c>
      <c r="F674" s="88" t="n">
        <v>11358.0826152223</v>
      </c>
      <c r="G674" s="89" t="n">
        <v>16754.8072801891</v>
      </c>
      <c r="H674" s="90" t="n">
        <v>11340.588740714</v>
      </c>
      <c r="I674" s="91" t="str">
        <f>H674-F674</f>
      </c>
      <c r="J674" s="92" t="str">
        <f>G674-E674</f>
      </c>
    </row>
    <row r="675">
      <c r="A675" t="s">
        <v>262</v>
      </c>
      <c r="B675" t="s">
        <v>264</v>
      </c>
      <c r="C675" s="86" t="n">
        <v>2043</v>
      </c>
      <c r="D675" t="s">
        <v>224</v>
      </c>
      <c r="E675" s="87" t="n">
        <v>1086598.82189471</v>
      </c>
      <c r="F675" s="88" t="n">
        <v>213873.324440033</v>
      </c>
      <c r="G675" s="89" t="n">
        <v>1089617.8876954</v>
      </c>
      <c r="H675" s="90" t="n">
        <v>214013.627325169</v>
      </c>
      <c r="I675" s="91" t="str">
        <f>H675-F675</f>
      </c>
      <c r="J675" s="92" t="str">
        <f>G675-E675</f>
      </c>
    </row>
    <row r="676">
      <c r="A676" t="s">
        <v>262</v>
      </c>
      <c r="B676" t="s">
        <v>264</v>
      </c>
      <c r="C676" s="86" t="n">
        <v>2043</v>
      </c>
      <c r="D676" t="s">
        <v>420</v>
      </c>
      <c r="E676" s="87" t="n">
        <v>173734.486690642</v>
      </c>
      <c r="F676" s="88" t="n">
        <v>106423.859153196</v>
      </c>
      <c r="G676" s="89" t="n">
        <v>173407.833179956</v>
      </c>
      <c r="H676" s="90" t="n">
        <v>106296.685429372</v>
      </c>
      <c r="I676" s="91" t="str">
        <f>H676-F676</f>
      </c>
      <c r="J676" s="92" t="str">
        <f>G676-E676</f>
      </c>
    </row>
    <row r="677">
      <c r="A677" t="s">
        <v>262</v>
      </c>
      <c r="B677" t="s">
        <v>264</v>
      </c>
      <c r="C677" s="86" t="n">
        <v>2043</v>
      </c>
      <c r="D677" t="s">
        <v>235</v>
      </c>
      <c r="E677" s="87" t="n">
        <v>334647.14423437</v>
      </c>
      <c r="F677" s="88" t="n">
        <v>314364.556774366</v>
      </c>
      <c r="G677" s="89" t="n">
        <v>335190.948405484</v>
      </c>
      <c r="H677" s="90" t="n">
        <v>315350.995136011</v>
      </c>
      <c r="I677" s="91" t="str">
        <f>H677-F677</f>
      </c>
      <c r="J677" s="92" t="str">
        <f>G677-E677</f>
      </c>
    </row>
    <row r="678">
      <c r="A678" t="s">
        <v>262</v>
      </c>
      <c r="B678" t="s">
        <v>264</v>
      </c>
      <c r="C678" s="86" t="n">
        <v>2043</v>
      </c>
      <c r="D678" t="s">
        <v>244</v>
      </c>
      <c r="E678" s="87" t="n">
        <v>895363.402334561</v>
      </c>
      <c r="F678" s="88" t="n">
        <v>520054.809389704</v>
      </c>
      <c r="G678" s="89" t="n">
        <v>901770.411974376</v>
      </c>
      <c r="H678" s="90" t="n">
        <v>528079.181081669</v>
      </c>
      <c r="I678" s="91" t="str">
        <f>H678-F678</f>
      </c>
      <c r="J678" s="92" t="str">
        <f>G678-E678</f>
      </c>
    </row>
    <row r="679">
      <c r="A679" t="s">
        <v>262</v>
      </c>
      <c r="B679" t="s">
        <v>264</v>
      </c>
      <c r="C679" s="86" t="n">
        <v>2043</v>
      </c>
      <c r="D679" t="s">
        <v>248</v>
      </c>
      <c r="E679" s="87" t="n">
        <v>477507.218794016</v>
      </c>
      <c r="F679" s="88" t="n">
        <v>252860.928787104</v>
      </c>
      <c r="G679" s="89" t="n">
        <v>479482.188386743</v>
      </c>
      <c r="H679" s="90" t="n">
        <v>255992.973248088</v>
      </c>
      <c r="I679" s="91" t="str">
        <f>H679-F679</f>
      </c>
      <c r="J679" s="92" t="str">
        <f>G679-E679</f>
      </c>
    </row>
    <row r="680">
      <c r="A680" t="s">
        <v>262</v>
      </c>
      <c r="B680" t="s">
        <v>264</v>
      </c>
      <c r="C680" s="86" t="n">
        <v>2043</v>
      </c>
      <c r="D680" t="s">
        <v>421</v>
      </c>
      <c r="E680" s="87" t="n">
        <v>12246.6534404097</v>
      </c>
      <c r="F680" s="88" t="n">
        <v>1731.13442025204</v>
      </c>
      <c r="G680" s="89" t="n">
        <v>12246.5731114781</v>
      </c>
      <c r="H680" s="90" t="n">
        <v>1731.1314511154</v>
      </c>
      <c r="I680" s="91" t="str">
        <f>H680-F680</f>
      </c>
      <c r="J680" s="92" t="str">
        <f>G680-E680</f>
      </c>
    </row>
    <row r="681">
      <c r="A681" t="s">
        <v>262</v>
      </c>
      <c r="B681" t="s">
        <v>264</v>
      </c>
      <c r="C681" s="86" t="n">
        <v>2044</v>
      </c>
      <c r="D681" t="s">
        <v>419</v>
      </c>
      <c r="E681" s="87" t="n">
        <v>17188.6629662157</v>
      </c>
      <c r="F681" s="88" t="n">
        <v>11560.5703653023</v>
      </c>
      <c r="G681" s="89" t="n">
        <v>17141.7120461147</v>
      </c>
      <c r="H681" s="90" t="n">
        <v>11540.7879834335</v>
      </c>
      <c r="I681" s="91" t="str">
        <f>H681-F681</f>
      </c>
      <c r="J681" s="92" t="str">
        <f>G681-E681</f>
      </c>
    </row>
    <row r="682">
      <c r="A682" t="s">
        <v>262</v>
      </c>
      <c r="B682" t="s">
        <v>264</v>
      </c>
      <c r="C682" s="86" t="n">
        <v>2044</v>
      </c>
      <c r="D682" t="s">
        <v>224</v>
      </c>
      <c r="E682" s="87" t="n">
        <v>1097492.20446046</v>
      </c>
      <c r="F682" s="88" t="n">
        <v>219234.651096558</v>
      </c>
      <c r="G682" s="89" t="n">
        <v>1100597.33187273</v>
      </c>
      <c r="H682" s="90" t="n">
        <v>219387.626065992</v>
      </c>
      <c r="I682" s="91" t="str">
        <f>H682-F682</f>
      </c>
      <c r="J682" s="92" t="str">
        <f>G682-E682</f>
      </c>
    </row>
    <row r="683">
      <c r="A683" t="s">
        <v>262</v>
      </c>
      <c r="B683" t="s">
        <v>264</v>
      </c>
      <c r="C683" s="86" t="n">
        <v>2044</v>
      </c>
      <c r="D683" t="s">
        <v>420</v>
      </c>
      <c r="E683" s="87" t="n">
        <v>177078.346426023</v>
      </c>
      <c r="F683" s="88" t="n">
        <v>108548.857687746</v>
      </c>
      <c r="G683" s="89" t="n">
        <v>176720.973913542</v>
      </c>
      <c r="H683" s="90" t="n">
        <v>108405.015378104</v>
      </c>
      <c r="I683" s="91" t="str">
        <f>H683-F683</f>
      </c>
      <c r="J683" s="92" t="str">
        <f>G683-E683</f>
      </c>
    </row>
    <row r="684">
      <c r="A684" t="s">
        <v>262</v>
      </c>
      <c r="B684" t="s">
        <v>264</v>
      </c>
      <c r="C684" s="86" t="n">
        <v>2044</v>
      </c>
      <c r="D684" t="s">
        <v>235</v>
      </c>
      <c r="E684" s="87" t="n">
        <v>336631.146376243</v>
      </c>
      <c r="F684" s="88" t="n">
        <v>316262.149720311</v>
      </c>
      <c r="G684" s="89" t="n">
        <v>337141.608513163</v>
      </c>
      <c r="H684" s="90" t="n">
        <v>317170.637977033</v>
      </c>
      <c r="I684" s="91" t="str">
        <f>H684-F684</f>
      </c>
      <c r="J684" s="92" t="str">
        <f>G684-E684</f>
      </c>
    </row>
    <row r="685">
      <c r="A685" t="s">
        <v>262</v>
      </c>
      <c r="B685" t="s">
        <v>264</v>
      </c>
      <c r="C685" s="86" t="n">
        <v>2044</v>
      </c>
      <c r="D685" t="s">
        <v>244</v>
      </c>
      <c r="E685" s="87" t="n">
        <v>909290.891752235</v>
      </c>
      <c r="F685" s="88" t="n">
        <v>530431.102312898</v>
      </c>
      <c r="G685" s="89" t="n">
        <v>915703.811540802</v>
      </c>
      <c r="H685" s="90" t="n">
        <v>538525.397411542</v>
      </c>
      <c r="I685" s="91" t="str">
        <f>H685-F685</f>
      </c>
      <c r="J685" s="92" t="str">
        <f>G685-E685</f>
      </c>
    </row>
    <row r="686">
      <c r="A686" t="s">
        <v>262</v>
      </c>
      <c r="B686" t="s">
        <v>264</v>
      </c>
      <c r="C686" s="86" t="n">
        <v>2044</v>
      </c>
      <c r="D686" t="s">
        <v>248</v>
      </c>
      <c r="E686" s="87" t="n">
        <v>484653.358964292</v>
      </c>
      <c r="F686" s="88" t="n">
        <v>258547.061920398</v>
      </c>
      <c r="G686" s="89" t="n">
        <v>486601.390422378</v>
      </c>
      <c r="H686" s="90" t="n">
        <v>261683.339551894</v>
      </c>
      <c r="I686" s="91" t="str">
        <f>H686-F686</f>
      </c>
      <c r="J686" s="92" t="str">
        <f>G686-E686</f>
      </c>
    </row>
    <row r="687">
      <c r="A687" t="s">
        <v>262</v>
      </c>
      <c r="B687" t="s">
        <v>264</v>
      </c>
      <c r="C687" s="86" t="n">
        <v>2044</v>
      </c>
      <c r="D687" t="s">
        <v>421</v>
      </c>
      <c r="E687" s="87" t="n">
        <v>12149.9402099835</v>
      </c>
      <c r="F687" s="88" t="n">
        <v>1626.37841117153</v>
      </c>
      <c r="G687" s="89" t="n">
        <v>12149.8552379252</v>
      </c>
      <c r="H687" s="90" t="n">
        <v>1626.37538137955</v>
      </c>
      <c r="I687" s="91" t="str">
        <f>H687-F687</f>
      </c>
      <c r="J687" s="92" t="str">
        <f>G687-E687</f>
      </c>
    </row>
    <row r="688">
      <c r="A688" t="s">
        <v>262</v>
      </c>
      <c r="B688" t="s">
        <v>264</v>
      </c>
      <c r="C688" s="86" t="n">
        <v>2045</v>
      </c>
      <c r="D688" t="s">
        <v>419</v>
      </c>
      <c r="E688" s="87" t="n">
        <v>17609.3389016351</v>
      </c>
      <c r="F688" s="88" t="n">
        <v>11768.0176357644</v>
      </c>
      <c r="G688" s="89" t="n">
        <v>17558.0225793012</v>
      </c>
      <c r="H688" s="90" t="n">
        <v>11745.9298391965</v>
      </c>
      <c r="I688" s="91" t="str">
        <f>H688-F688</f>
      </c>
      <c r="J688" s="92" t="str">
        <f>G688-E688</f>
      </c>
    </row>
    <row r="689">
      <c r="A689" t="s">
        <v>262</v>
      </c>
      <c r="B689" t="s">
        <v>264</v>
      </c>
      <c r="C689" s="86" t="n">
        <v>2045</v>
      </c>
      <c r="D689" t="s">
        <v>224</v>
      </c>
      <c r="E689" s="87" t="n">
        <v>1107653.19786112</v>
      </c>
      <c r="F689" s="88" t="n">
        <v>224623.168298407</v>
      </c>
      <c r="G689" s="89" t="n">
        <v>1110841.03545085</v>
      </c>
      <c r="H689" s="90" t="n">
        <v>224789.135470853</v>
      </c>
      <c r="I689" s="91" t="str">
        <f>H689-F689</f>
      </c>
      <c r="J689" s="92" t="str">
        <f>G689-E689</f>
      </c>
    </row>
    <row r="690">
      <c r="A690" t="s">
        <v>262</v>
      </c>
      <c r="B690" t="s">
        <v>264</v>
      </c>
      <c r="C690" s="86" t="n">
        <v>2045</v>
      </c>
      <c r="D690" t="s">
        <v>420</v>
      </c>
      <c r="E690" s="87" t="n">
        <v>180541.648829177</v>
      </c>
      <c r="F690" s="88" t="n">
        <v>110696.199071066</v>
      </c>
      <c r="G690" s="89" t="n">
        <v>180153.68435169</v>
      </c>
      <c r="H690" s="90" t="n">
        <v>110535.42825069</v>
      </c>
      <c r="I690" s="91" t="str">
        <f>H690-F690</f>
      </c>
      <c r="J690" s="92" t="str">
        <f>G690-E690</f>
      </c>
    </row>
    <row r="691">
      <c r="A691" t="s">
        <v>262</v>
      </c>
      <c r="B691" t="s">
        <v>264</v>
      </c>
      <c r="C691" s="86" t="n">
        <v>2045</v>
      </c>
      <c r="D691" t="s">
        <v>235</v>
      </c>
      <c r="E691" s="87" t="n">
        <v>338690.843369093</v>
      </c>
      <c r="F691" s="88" t="n">
        <v>318074.4776506</v>
      </c>
      <c r="G691" s="89" t="n">
        <v>339169.596103443</v>
      </c>
      <c r="H691" s="90" t="n">
        <v>318918.904925021</v>
      </c>
      <c r="I691" s="91" t="str">
        <f>H691-F691</f>
      </c>
      <c r="J691" s="92" t="str">
        <f>G691-E691</f>
      </c>
    </row>
    <row r="692">
      <c r="A692" t="s">
        <v>262</v>
      </c>
      <c r="B692" t="s">
        <v>264</v>
      </c>
      <c r="C692" s="86" t="n">
        <v>2045</v>
      </c>
      <c r="D692" t="s">
        <v>244</v>
      </c>
      <c r="E692" s="87" t="n">
        <v>922781.202455152</v>
      </c>
      <c r="F692" s="88" t="n">
        <v>540850.616034368</v>
      </c>
      <c r="G692" s="89" t="n">
        <v>929197.274787431</v>
      </c>
      <c r="H692" s="90" t="n">
        <v>549018.34448389</v>
      </c>
      <c r="I692" s="91" t="str">
        <f>H692-F692</f>
      </c>
      <c r="J692" s="92" t="str">
        <f>G692-E692</f>
      </c>
    </row>
    <row r="693">
      <c r="A693" t="s">
        <v>262</v>
      </c>
      <c r="B693" t="s">
        <v>264</v>
      </c>
      <c r="C693" s="86" t="n">
        <v>2045</v>
      </c>
      <c r="D693" t="s">
        <v>248</v>
      </c>
      <c r="E693" s="87" t="n">
        <v>491335.9518369</v>
      </c>
      <c r="F693" s="88" t="n">
        <v>264236.627768461</v>
      </c>
      <c r="G693" s="89" t="n">
        <v>493255.893083406</v>
      </c>
      <c r="H693" s="90" t="n">
        <v>267382.392924501</v>
      </c>
      <c r="I693" s="91" t="str">
        <f>H693-F693</f>
      </c>
      <c r="J693" s="92" t="str">
        <f>G693-E693</f>
      </c>
    </row>
    <row r="694">
      <c r="A694" t="s">
        <v>262</v>
      </c>
      <c r="B694" t="s">
        <v>264</v>
      </c>
      <c r="C694" s="86" t="n">
        <v>2045</v>
      </c>
      <c r="D694" t="s">
        <v>421</v>
      </c>
      <c r="E694" s="87" t="n">
        <v>12048.5893979974</v>
      </c>
      <c r="F694" s="88" t="n">
        <v>1523.26720665649</v>
      </c>
      <c r="G694" s="89" t="n">
        <v>12048.500629735</v>
      </c>
      <c r="H694" s="90" t="n">
        <v>1523.26402182686</v>
      </c>
      <c r="I694" s="91" t="str">
        <f>H694-F694</f>
      </c>
      <c r="J694" s="92" t="str">
        <f>G694-E694</f>
      </c>
    </row>
    <row r="695">
      <c r="A695" t="s">
        <v>262</v>
      </c>
      <c r="B695" t="s">
        <v>264</v>
      </c>
      <c r="C695" s="86" t="n">
        <v>2046</v>
      </c>
      <c r="D695" t="s">
        <v>419</v>
      </c>
      <c r="E695" s="87" t="n">
        <v>18024.1721237329</v>
      </c>
      <c r="F695" s="88" t="n">
        <v>11980.9144461061</v>
      </c>
      <c r="G695" s="89" t="n">
        <v>17968.503099892</v>
      </c>
      <c r="H695" s="90" t="n">
        <v>11956.4732180851</v>
      </c>
      <c r="I695" s="91" t="str">
        <f>H695-F695</f>
      </c>
      <c r="J695" s="92" t="str">
        <f>G695-E695</f>
      </c>
    </row>
    <row r="696">
      <c r="A696" t="s">
        <v>262</v>
      </c>
      <c r="B696" t="s">
        <v>264</v>
      </c>
      <c r="C696" s="86" t="n">
        <v>2046</v>
      </c>
      <c r="D696" t="s">
        <v>224</v>
      </c>
      <c r="E696" s="87" t="n">
        <v>1121461.71207065</v>
      </c>
      <c r="F696" s="88" t="n">
        <v>230044.343981627</v>
      </c>
      <c r="G696" s="89" t="n">
        <v>1124741.39385058</v>
      </c>
      <c r="H696" s="90" t="n">
        <v>230223.641273017</v>
      </c>
      <c r="I696" s="91" t="str">
        <f>H696-F696</f>
      </c>
      <c r="J696" s="92" t="str">
        <f>G696-E696</f>
      </c>
    </row>
    <row r="697">
      <c r="A697" t="s">
        <v>262</v>
      </c>
      <c r="B697" t="s">
        <v>264</v>
      </c>
      <c r="C697" s="86" t="n">
        <v>2046</v>
      </c>
      <c r="D697" t="s">
        <v>420</v>
      </c>
      <c r="E697" s="87" t="n">
        <v>183928.602399244</v>
      </c>
      <c r="F697" s="88" t="n">
        <v>112857.587443004</v>
      </c>
      <c r="G697" s="89" t="n">
        <v>183510.562290158</v>
      </c>
      <c r="H697" s="90" t="n">
        <v>112679.652863118</v>
      </c>
      <c r="I697" s="91" t="str">
        <f>H697-F697</f>
      </c>
      <c r="J697" s="92" t="str">
        <f>G697-E697</f>
      </c>
    </row>
    <row r="698">
      <c r="A698" t="s">
        <v>262</v>
      </c>
      <c r="B698" t="s">
        <v>264</v>
      </c>
      <c r="C698" s="86" t="n">
        <v>2046</v>
      </c>
      <c r="D698" t="s">
        <v>235</v>
      </c>
      <c r="E698" s="87" t="n">
        <v>340776.778640588</v>
      </c>
      <c r="F698" s="88" t="n">
        <v>319784.06581432</v>
      </c>
      <c r="G698" s="89" t="n">
        <v>341225.275481564</v>
      </c>
      <c r="H698" s="90" t="n">
        <v>320574.163172874</v>
      </c>
      <c r="I698" s="91" t="str">
        <f>H698-F698</f>
      </c>
      <c r="J698" s="92" t="str">
        <f>G698-E698</f>
      </c>
    </row>
    <row r="699">
      <c r="A699" t="s">
        <v>262</v>
      </c>
      <c r="B699" t="s">
        <v>264</v>
      </c>
      <c r="C699" s="86" t="n">
        <v>2046</v>
      </c>
      <c r="D699" t="s">
        <v>244</v>
      </c>
      <c r="E699" s="87" t="n">
        <v>937578.56444591</v>
      </c>
      <c r="F699" s="88" t="n">
        <v>551300.995606123</v>
      </c>
      <c r="G699" s="89" t="n">
        <v>944010.931257439</v>
      </c>
      <c r="H699" s="90" t="n">
        <v>559544.256752656</v>
      </c>
      <c r="I699" s="91" t="str">
        <f>H699-F699</f>
      </c>
      <c r="J699" s="92" t="str">
        <f>G699-E699</f>
      </c>
    </row>
    <row r="700">
      <c r="A700" t="s">
        <v>262</v>
      </c>
      <c r="B700" t="s">
        <v>264</v>
      </c>
      <c r="C700" s="86" t="n">
        <v>2046</v>
      </c>
      <c r="D700" t="s">
        <v>248</v>
      </c>
      <c r="E700" s="87" t="n">
        <v>498748.311592407</v>
      </c>
      <c r="F700" s="88" t="n">
        <v>269922.467904964</v>
      </c>
      <c r="G700" s="89" t="n">
        <v>500645.717898476</v>
      </c>
      <c r="H700" s="90" t="n">
        <v>273080.787934234</v>
      </c>
      <c r="I700" s="91" t="str">
        <f>H700-F700</f>
      </c>
      <c r="J700" s="92" t="str">
        <f>G700-E700</f>
      </c>
    </row>
    <row r="701">
      <c r="A701" t="s">
        <v>262</v>
      </c>
      <c r="B701" t="s">
        <v>264</v>
      </c>
      <c r="C701" s="86" t="n">
        <v>2046</v>
      </c>
      <c r="D701" t="s">
        <v>421</v>
      </c>
      <c r="E701" s="87" t="n">
        <v>11943.885629495</v>
      </c>
      <c r="F701" s="88" t="n">
        <v>1421.30357192659</v>
      </c>
      <c r="G701" s="89" t="n">
        <v>11943.7945693929</v>
      </c>
      <c r="H701" s="90" t="n">
        <v>1421.3002106259</v>
      </c>
      <c r="I701" s="91" t="str">
        <f>H701-F701</f>
      </c>
      <c r="J701" s="92" t="str">
        <f>G701-E701</f>
      </c>
    </row>
    <row r="702">
      <c r="A702" t="s">
        <v>262</v>
      </c>
      <c r="B702" t="s">
        <v>264</v>
      </c>
      <c r="C702" s="86" t="n">
        <v>2047</v>
      </c>
      <c r="D702" t="s">
        <v>419</v>
      </c>
      <c r="E702" s="87" t="n">
        <v>18430.9384891893</v>
      </c>
      <c r="F702" s="88" t="n">
        <v>12187.1040458498</v>
      </c>
      <c r="G702" s="89" t="n">
        <v>18370.9982297807</v>
      </c>
      <c r="H702" s="90" t="n">
        <v>12160.3227217187</v>
      </c>
      <c r="I702" s="91" t="str">
        <f>H702-F702</f>
      </c>
      <c r="J702" s="92" t="str">
        <f>G702-E702</f>
      </c>
    </row>
    <row r="703">
      <c r="A703" t="s">
        <v>262</v>
      </c>
      <c r="B703" t="s">
        <v>264</v>
      </c>
      <c r="C703" s="86" t="n">
        <v>2047</v>
      </c>
      <c r="D703" t="s">
        <v>224</v>
      </c>
      <c r="E703" s="87" t="n">
        <v>1130333.03270792</v>
      </c>
      <c r="F703" s="88" t="n">
        <v>235381.494932244</v>
      </c>
      <c r="G703" s="89" t="n">
        <v>1133680.16398797</v>
      </c>
      <c r="H703" s="90" t="n">
        <v>235574.501787602</v>
      </c>
      <c r="I703" s="91" t="str">
        <f>H703-F703</f>
      </c>
      <c r="J703" s="92" t="str">
        <f>G703-E703</f>
      </c>
    </row>
    <row r="704">
      <c r="A704" t="s">
        <v>262</v>
      </c>
      <c r="B704" t="s">
        <v>264</v>
      </c>
      <c r="C704" s="86" t="n">
        <v>2047</v>
      </c>
      <c r="D704" t="s">
        <v>420</v>
      </c>
      <c r="E704" s="87" t="n">
        <v>187372.645486559</v>
      </c>
      <c r="F704" s="88" t="n">
        <v>114965.440174482</v>
      </c>
      <c r="G704" s="89" t="n">
        <v>186925.284089995</v>
      </c>
      <c r="H704" s="90" t="n">
        <v>114770.43405396</v>
      </c>
      <c r="I704" s="91" t="str">
        <f>H704-F704</f>
      </c>
      <c r="J704" s="92" t="str">
        <f>G704-E704</f>
      </c>
    </row>
    <row r="705">
      <c r="A705" t="s">
        <v>262</v>
      </c>
      <c r="B705" t="s">
        <v>264</v>
      </c>
      <c r="C705" s="86" t="n">
        <v>2047</v>
      </c>
      <c r="D705" t="s">
        <v>235</v>
      </c>
      <c r="E705" s="87" t="n">
        <v>342403.407017152</v>
      </c>
      <c r="F705" s="88" t="n">
        <v>321296.647971348</v>
      </c>
      <c r="G705" s="89" t="n">
        <v>342821.899904036</v>
      </c>
      <c r="H705" s="90" t="n">
        <v>322040.722228729</v>
      </c>
      <c r="I705" s="91" t="str">
        <f>H705-F705</f>
      </c>
      <c r="J705" s="92" t="str">
        <f>G705-E705</f>
      </c>
    </row>
    <row r="706">
      <c r="A706" t="s">
        <v>262</v>
      </c>
      <c r="B706" t="s">
        <v>264</v>
      </c>
      <c r="C706" s="86" t="n">
        <v>2047</v>
      </c>
      <c r="D706" t="s">
        <v>244</v>
      </c>
      <c r="E706" s="87" t="n">
        <v>951259.143464905</v>
      </c>
      <c r="F706" s="88" t="n">
        <v>561458.645039586</v>
      </c>
      <c r="G706" s="89" t="n">
        <v>957700.330331823</v>
      </c>
      <c r="H706" s="90" t="n">
        <v>569776.387385101</v>
      </c>
      <c r="I706" s="91" t="str">
        <f>H706-F706</f>
      </c>
      <c r="J706" s="92" t="str">
        <f>G706-E706</f>
      </c>
    </row>
    <row r="707">
      <c r="A707" t="s">
        <v>262</v>
      </c>
      <c r="B707" t="s">
        <v>264</v>
      </c>
      <c r="C707" s="86" t="n">
        <v>2047</v>
      </c>
      <c r="D707" t="s">
        <v>248</v>
      </c>
      <c r="E707" s="87" t="n">
        <v>505853.905684394</v>
      </c>
      <c r="F707" s="88" t="n">
        <v>275422.62733771</v>
      </c>
      <c r="G707" s="89" t="n">
        <v>507728.749767113</v>
      </c>
      <c r="H707" s="90" t="n">
        <v>278595.1987469</v>
      </c>
      <c r="I707" s="91" t="str">
        <f>H707-F707</f>
      </c>
      <c r="J707" s="92" t="str">
        <f>G707-E707</f>
      </c>
    </row>
    <row r="708">
      <c r="A708" t="s">
        <v>262</v>
      </c>
      <c r="B708" t="s">
        <v>264</v>
      </c>
      <c r="C708" s="86" t="n">
        <v>2047</v>
      </c>
      <c r="D708" t="s">
        <v>421</v>
      </c>
      <c r="E708" s="87" t="n">
        <v>11676.9073842632</v>
      </c>
      <c r="F708" s="88" t="n">
        <v>1320.01104356199</v>
      </c>
      <c r="G708" s="89" t="n">
        <v>11676.8139890787</v>
      </c>
      <c r="H708" s="90" t="n">
        <v>1320.00748918915</v>
      </c>
      <c r="I708" s="91" t="str">
        <f>H708-F708</f>
      </c>
      <c r="J708" s="92" t="str">
        <f>G708-E708</f>
      </c>
    </row>
    <row r="709">
      <c r="A709" t="s">
        <v>262</v>
      </c>
      <c r="B709" t="s">
        <v>264</v>
      </c>
      <c r="C709" s="86" t="n">
        <v>2048</v>
      </c>
      <c r="D709" t="s">
        <v>419</v>
      </c>
      <c r="E709" s="87" t="n">
        <v>18929.4207901865</v>
      </c>
      <c r="F709" s="88" t="n">
        <v>12388.8984070317</v>
      </c>
      <c r="G709" s="89" t="n">
        <v>18865.0138793559</v>
      </c>
      <c r="H709" s="90" t="n">
        <v>12359.797946018</v>
      </c>
      <c r="I709" s="91" t="str">
        <f>H709-F709</f>
      </c>
      <c r="J709" s="92" t="str">
        <f>G709-E709</f>
      </c>
    </row>
    <row r="710">
      <c r="A710" t="s">
        <v>262</v>
      </c>
      <c r="B710" t="s">
        <v>264</v>
      </c>
      <c r="C710" s="86" t="n">
        <v>2048</v>
      </c>
      <c r="D710" t="s">
        <v>224</v>
      </c>
      <c r="E710" s="87" t="n">
        <v>1136517.51221384</v>
      </c>
      <c r="F710" s="88" t="n">
        <v>240571.644947783</v>
      </c>
      <c r="G710" s="89" t="n">
        <v>1139921.42222342</v>
      </c>
      <c r="H710" s="90" t="n">
        <v>240778.643136103</v>
      </c>
      <c r="I710" s="91" t="str">
        <f>H710-F710</f>
      </c>
      <c r="J710" s="92" t="str">
        <f>G710-E710</f>
      </c>
    </row>
    <row r="711">
      <c r="A711" t="s">
        <v>262</v>
      </c>
      <c r="B711" t="s">
        <v>264</v>
      </c>
      <c r="C711" s="86" t="n">
        <v>2048</v>
      </c>
      <c r="D711" t="s">
        <v>420</v>
      </c>
      <c r="E711" s="87" t="n">
        <v>191651.789819226</v>
      </c>
      <c r="F711" s="88" t="n">
        <v>117000.52011669</v>
      </c>
      <c r="G711" s="89" t="n">
        <v>191173.834498201</v>
      </c>
      <c r="H711" s="90" t="n">
        <v>116788.610084</v>
      </c>
      <c r="I711" s="91" t="str">
        <f>H711-F711</f>
      </c>
      <c r="J711" s="92" t="str">
        <f>G711-E711</f>
      </c>
    </row>
    <row r="712">
      <c r="A712" t="s">
        <v>262</v>
      </c>
      <c r="B712" t="s">
        <v>264</v>
      </c>
      <c r="C712" s="86" t="n">
        <v>2048</v>
      </c>
      <c r="D712" t="s">
        <v>235</v>
      </c>
      <c r="E712" s="87" t="n">
        <v>343398.73057987</v>
      </c>
      <c r="F712" s="88" t="n">
        <v>322358.616978213</v>
      </c>
      <c r="G712" s="89" t="n">
        <v>343787.138006374</v>
      </c>
      <c r="H712" s="90" t="n">
        <v>323063.01307722</v>
      </c>
      <c r="I712" s="91" t="str">
        <f>H712-F712</f>
      </c>
      <c r="J712" s="92" t="str">
        <f>G712-E712</f>
      </c>
    </row>
    <row r="713">
      <c r="A713" t="s">
        <v>262</v>
      </c>
      <c r="B713" t="s">
        <v>264</v>
      </c>
      <c r="C713" s="86" t="n">
        <v>2048</v>
      </c>
      <c r="D713" t="s">
        <v>244</v>
      </c>
      <c r="E713" s="87" t="n">
        <v>966293.49007027</v>
      </c>
      <c r="F713" s="88" t="n">
        <v>571070.985375978</v>
      </c>
      <c r="G713" s="89" t="n">
        <v>972752.000469153</v>
      </c>
      <c r="H713" s="90" t="n">
        <v>579456.858882308</v>
      </c>
      <c r="I713" s="91" t="str">
        <f>H713-F713</f>
      </c>
      <c r="J713" s="92" t="str">
        <f>G713-E713</f>
      </c>
    </row>
    <row r="714">
      <c r="A714" t="s">
        <v>262</v>
      </c>
      <c r="B714" t="s">
        <v>264</v>
      </c>
      <c r="C714" s="86" t="n">
        <v>2048</v>
      </c>
      <c r="D714" t="s">
        <v>248</v>
      </c>
      <c r="E714" s="87" t="n">
        <v>514287.532380816</v>
      </c>
      <c r="F714" s="88" t="n">
        <v>280722.591754592</v>
      </c>
      <c r="G714" s="89" t="n">
        <v>516145.438063223</v>
      </c>
      <c r="H714" s="90" t="n">
        <v>283909.318240972</v>
      </c>
      <c r="I714" s="91" t="str">
        <f>H714-F714</f>
      </c>
      <c r="J714" s="92" t="str">
        <f>G714-E714</f>
      </c>
    </row>
    <row r="715">
      <c r="A715" t="s">
        <v>262</v>
      </c>
      <c r="B715" t="s">
        <v>264</v>
      </c>
      <c r="C715" s="86" t="n">
        <v>2048</v>
      </c>
      <c r="D715" t="s">
        <v>421</v>
      </c>
      <c r="E715" s="87" t="n">
        <v>11567.5019171456</v>
      </c>
      <c r="F715" s="88" t="n">
        <v>1228.73639263679</v>
      </c>
      <c r="G715" s="89" t="n">
        <v>11567.4035703729</v>
      </c>
      <c r="H715" s="90" t="n">
        <v>1228.73261677247</v>
      </c>
      <c r="I715" s="91" t="str">
        <f>H715-F715</f>
      </c>
      <c r="J715" s="92" t="str">
        <f>G715-E715</f>
      </c>
    </row>
    <row r="716">
      <c r="A716" t="s">
        <v>262</v>
      </c>
      <c r="B716" t="s">
        <v>264</v>
      </c>
      <c r="C716" s="86" t="n">
        <v>2049</v>
      </c>
      <c r="D716" t="s">
        <v>419</v>
      </c>
      <c r="E716" s="87" t="n">
        <v>19334.6311964438</v>
      </c>
      <c r="F716" s="88" t="n">
        <v>12594.4003003687</v>
      </c>
      <c r="G716" s="89" t="n">
        <v>19265.9413357536</v>
      </c>
      <c r="H716" s="90" t="n">
        <v>12562.9700035081</v>
      </c>
      <c r="I716" s="91" t="str">
        <f>H716-F716</f>
      </c>
      <c r="J716" s="92" t="str">
        <f>G716-E716</f>
      </c>
    </row>
    <row r="717">
      <c r="A717" t="s">
        <v>262</v>
      </c>
      <c r="B717" t="s">
        <v>264</v>
      </c>
      <c r="C717" s="86" t="n">
        <v>2049</v>
      </c>
      <c r="D717" t="s">
        <v>224</v>
      </c>
      <c r="E717" s="87" t="n">
        <v>1145488.27620011</v>
      </c>
      <c r="F717" s="88" t="n">
        <v>245803.002333444</v>
      </c>
      <c r="G717" s="89" t="n">
        <v>1148955.60958046</v>
      </c>
      <c r="H717" s="90" t="n">
        <v>246024.454765088</v>
      </c>
      <c r="I717" s="91" t="str">
        <f>H717-F717</f>
      </c>
      <c r="J717" s="92" t="str">
        <f>G717-E717</f>
      </c>
    </row>
    <row r="718">
      <c r="A718" t="s">
        <v>262</v>
      </c>
      <c r="B718" t="s">
        <v>264</v>
      </c>
      <c r="C718" s="86" t="n">
        <v>2049</v>
      </c>
      <c r="D718" t="s">
        <v>420</v>
      </c>
      <c r="E718" s="87" t="n">
        <v>194798.349882577</v>
      </c>
      <c r="F718" s="88" t="n">
        <v>119056.417964079</v>
      </c>
      <c r="G718" s="89" t="n">
        <v>194292.055539498</v>
      </c>
      <c r="H718" s="90" t="n">
        <v>118827.584291328</v>
      </c>
      <c r="I718" s="91" t="str">
        <f>H718-F718</f>
      </c>
      <c r="J718" s="92" t="str">
        <f>G718-E718</f>
      </c>
    </row>
    <row r="719">
      <c r="A719" t="s">
        <v>262</v>
      </c>
      <c r="B719" t="s">
        <v>264</v>
      </c>
      <c r="C719" s="86" t="n">
        <v>2049</v>
      </c>
      <c r="D719" t="s">
        <v>235</v>
      </c>
      <c r="E719" s="87" t="n">
        <v>344671.089955971</v>
      </c>
      <c r="F719" s="88" t="n">
        <v>323449.805486479</v>
      </c>
      <c r="G719" s="89" t="n">
        <v>345031.334829118</v>
      </c>
      <c r="H719" s="90" t="n">
        <v>324116.922797206</v>
      </c>
      <c r="I719" s="91" t="str">
        <f>H719-F719</f>
      </c>
      <c r="J719" s="92" t="str">
        <f>G719-E719</f>
      </c>
    </row>
    <row r="720">
      <c r="A720" t="s">
        <v>262</v>
      </c>
      <c r="B720" t="s">
        <v>264</v>
      </c>
      <c r="C720" s="86" t="n">
        <v>2049</v>
      </c>
      <c r="D720" t="s">
        <v>244</v>
      </c>
      <c r="E720" s="87" t="n">
        <v>979042.587547595</v>
      </c>
      <c r="F720" s="88" t="n">
        <v>580770.27856202</v>
      </c>
      <c r="G720" s="89" t="n">
        <v>985505.206976823</v>
      </c>
      <c r="H720" s="90" t="n">
        <v>589228.445176563</v>
      </c>
      <c r="I720" s="91" t="str">
        <f>H720-F720</f>
      </c>
      <c r="J720" s="92" t="str">
        <f>G720-E720</f>
      </c>
    </row>
    <row r="721">
      <c r="A721" t="s">
        <v>262</v>
      </c>
      <c r="B721" t="s">
        <v>264</v>
      </c>
      <c r="C721" s="86" t="n">
        <v>2049</v>
      </c>
      <c r="D721" t="s">
        <v>248</v>
      </c>
      <c r="E721" s="87" t="n">
        <v>520657.659909612</v>
      </c>
      <c r="F721" s="88" t="n">
        <v>286045.195186839</v>
      </c>
      <c r="G721" s="89" t="n">
        <v>522492.200230248</v>
      </c>
      <c r="H721" s="90" t="n">
        <v>289249.089939416</v>
      </c>
      <c r="I721" s="91" t="str">
        <f>H721-F721</f>
      </c>
      <c r="J721" s="92" t="str">
        <f>G721-E721</f>
      </c>
    </row>
    <row r="722">
      <c r="A722" t="s">
        <v>262</v>
      </c>
      <c r="B722" t="s">
        <v>264</v>
      </c>
      <c r="C722" s="86" t="n">
        <v>2049</v>
      </c>
      <c r="D722" t="s">
        <v>421</v>
      </c>
      <c r="E722" s="87" t="n">
        <v>11514.641058991</v>
      </c>
      <c r="F722" s="88" t="n">
        <v>1139.24576034579</v>
      </c>
      <c r="G722" s="89" t="n">
        <v>11514.5369642823</v>
      </c>
      <c r="H722" s="90" t="n">
        <v>1139.24175250417</v>
      </c>
      <c r="I722" s="91" t="str">
        <f>H722-F722</f>
      </c>
      <c r="J722" s="92" t="str">
        <f>G722-E722</f>
      </c>
    </row>
    <row r="723">
      <c r="A723" t="s">
        <v>262</v>
      </c>
      <c r="B723" t="s">
        <v>264</v>
      </c>
      <c r="C723" s="86" t="n">
        <v>2050</v>
      </c>
      <c r="D723" t="s">
        <v>419</v>
      </c>
      <c r="E723" s="87" t="n">
        <v>19724.7261397516</v>
      </c>
      <c r="F723" s="88" t="n">
        <v>12798.7458101113</v>
      </c>
      <c r="G723" s="89" t="n">
        <v>19651.774602414</v>
      </c>
      <c r="H723" s="90" t="n">
        <v>12764.9906286853</v>
      </c>
      <c r="I723" s="91" t="str">
        <f>H723-F723</f>
      </c>
      <c r="J723" s="92" t="str">
        <f>G723-E723</f>
      </c>
    </row>
    <row r="724">
      <c r="A724" t="s">
        <v>262</v>
      </c>
      <c r="B724" t="s">
        <v>264</v>
      </c>
      <c r="C724" s="86" t="n">
        <v>2050</v>
      </c>
      <c r="D724" t="s">
        <v>224</v>
      </c>
      <c r="E724" s="87" t="n">
        <v>1154142.48929099</v>
      </c>
      <c r="F724" s="88" t="n">
        <v>250942.699020101</v>
      </c>
      <c r="G724" s="89" t="n">
        <v>1157673.56667431</v>
      </c>
      <c r="H724" s="90" t="n">
        <v>251178.956267752</v>
      </c>
      <c r="I724" s="91" t="str">
        <f>H724-F724</f>
      </c>
      <c r="J724" s="92" t="str">
        <f>G724-E724</f>
      </c>
    </row>
    <row r="725">
      <c r="A725" t="s">
        <v>262</v>
      </c>
      <c r="B725" t="s">
        <v>264</v>
      </c>
      <c r="C725" s="86" t="n">
        <v>2050</v>
      </c>
      <c r="D725" t="s">
        <v>420</v>
      </c>
      <c r="E725" s="87" t="n">
        <v>197450.901896152</v>
      </c>
      <c r="F725" s="88" t="n">
        <v>121073.490063083</v>
      </c>
      <c r="G725" s="89" t="n">
        <v>196917.204625516</v>
      </c>
      <c r="H725" s="90" t="n">
        <v>120827.928759862</v>
      </c>
      <c r="I725" s="91" t="str">
        <f>H725-F725</f>
      </c>
      <c r="J725" s="92" t="str">
        <f>G725-E725</f>
      </c>
    </row>
    <row r="726">
      <c r="A726" t="s">
        <v>262</v>
      </c>
      <c r="B726" t="s">
        <v>264</v>
      </c>
      <c r="C726" s="86" t="n">
        <v>2050</v>
      </c>
      <c r="D726" t="s">
        <v>235</v>
      </c>
      <c r="E726" s="87" t="n">
        <v>345900.427622763</v>
      </c>
      <c r="F726" s="88" t="n">
        <v>324337.587279908</v>
      </c>
      <c r="G726" s="89" t="n">
        <v>346233.851249823</v>
      </c>
      <c r="H726" s="90" t="n">
        <v>324973.279226193</v>
      </c>
      <c r="I726" s="91" t="str">
        <f>H726-F726</f>
      </c>
      <c r="J726" s="92" t="str">
        <f>G726-E726</f>
      </c>
    </row>
    <row r="727">
      <c r="A727" t="s">
        <v>262</v>
      </c>
      <c r="B727" t="s">
        <v>264</v>
      </c>
      <c r="C727" s="86" t="n">
        <v>2050</v>
      </c>
      <c r="D727" t="s">
        <v>244</v>
      </c>
      <c r="E727" s="87" t="n">
        <v>990793.900861271</v>
      </c>
      <c r="F727" s="88" t="n">
        <v>590288.23559759</v>
      </c>
      <c r="G727" s="89" t="n">
        <v>997255.105001918</v>
      </c>
      <c r="H727" s="90" t="n">
        <v>598816.687069898</v>
      </c>
      <c r="I727" s="91" t="str">
        <f>H727-F727</f>
      </c>
      <c r="J727" s="92" t="str">
        <f>G727-E727</f>
      </c>
    </row>
    <row r="728">
      <c r="A728" t="s">
        <v>262</v>
      </c>
      <c r="B728" t="s">
        <v>264</v>
      </c>
      <c r="C728" s="86" t="n">
        <v>2050</v>
      </c>
      <c r="D728" t="s">
        <v>248</v>
      </c>
      <c r="E728" s="87" t="n">
        <v>526200.438509263</v>
      </c>
      <c r="F728" s="88" t="n">
        <v>291175.063385056</v>
      </c>
      <c r="G728" s="89" t="n">
        <v>528009.464128417</v>
      </c>
      <c r="H728" s="90" t="n">
        <v>294395.50759804</v>
      </c>
      <c r="I728" s="91" t="str">
        <f>H728-F728</f>
      </c>
      <c r="J728" s="92" t="str">
        <f>G728-E728</f>
      </c>
    </row>
    <row r="729">
      <c r="A729" t="s">
        <v>262</v>
      </c>
      <c r="B729" t="s">
        <v>264</v>
      </c>
      <c r="C729" s="86" t="n">
        <v>2050</v>
      </c>
      <c r="D729" t="s">
        <v>421</v>
      </c>
      <c r="E729" s="87" t="n">
        <v>11458.4422167261</v>
      </c>
      <c r="F729" s="88" t="n">
        <v>1051.11812170189</v>
      </c>
      <c r="G729" s="89" t="n">
        <v>11458.3317669049</v>
      </c>
      <c r="H729" s="90" t="n">
        <v>1051.113893317</v>
      </c>
      <c r="I729" s="91" t="str">
        <f>H729-F729</f>
      </c>
      <c r="J729" s="92" t="str">
        <f>G729-E729</f>
      </c>
    </row>
    <row r="730">
      <c r="A730" t="s">
        <v>272</v>
      </c>
      <c r="B730" t="s">
        <v>274</v>
      </c>
      <c r="C730" s="86" t="n">
        <v>2025</v>
      </c>
      <c r="D730" t="s">
        <v>419</v>
      </c>
      <c r="E730" s="87" t="n">
        <v>11293.8589534084</v>
      </c>
      <c r="F730" s="88" t="n">
        <v>8456.09110298006</v>
      </c>
      <c r="G730" s="89" t="n">
        <v>11293.858953409</v>
      </c>
      <c r="H730" s="90" t="n">
        <v>8456.09110298007</v>
      </c>
      <c r="I730" s="91" t="str">
        <f>H730-F730</f>
      </c>
      <c r="J730" s="92" t="str">
        <f>G730-E730</f>
      </c>
    </row>
    <row r="731">
      <c r="A731" t="s">
        <v>272</v>
      </c>
      <c r="B731" t="s">
        <v>274</v>
      </c>
      <c r="C731" s="86" t="n">
        <v>2025</v>
      </c>
      <c r="D731" t="s">
        <v>224</v>
      </c>
      <c r="E731" s="87" t="n">
        <v>796801.79248266</v>
      </c>
      <c r="F731" s="88" t="n">
        <v>124437.099676651</v>
      </c>
      <c r="G731" s="89" t="n">
        <v>796801.792482661</v>
      </c>
      <c r="H731" s="90" t="n">
        <v>124437.099676651</v>
      </c>
      <c r="I731" s="91" t="str">
        <f>H731-F731</f>
      </c>
      <c r="J731" s="92" t="str">
        <f>G731-E731</f>
      </c>
    </row>
    <row r="732">
      <c r="A732" t="s">
        <v>272</v>
      </c>
      <c r="B732" t="s">
        <v>274</v>
      </c>
      <c r="C732" s="86" t="n">
        <v>2025</v>
      </c>
      <c r="D732" t="s">
        <v>420</v>
      </c>
      <c r="E732" s="87" t="n">
        <v>110599.338170727</v>
      </c>
      <c r="F732" s="88" t="n">
        <v>70978.7980144996</v>
      </c>
      <c r="G732" s="89" t="n">
        <v>110599.338170727</v>
      </c>
      <c r="H732" s="90" t="n">
        <v>70978.7980144995</v>
      </c>
      <c r="I732" s="91" t="str">
        <f>H732-F732</f>
      </c>
      <c r="J732" s="92" t="str">
        <f>G732-E732</f>
      </c>
    </row>
    <row r="733">
      <c r="A733" t="s">
        <v>272</v>
      </c>
      <c r="B733" t="s">
        <v>274</v>
      </c>
      <c r="C733" s="86" t="n">
        <v>2025</v>
      </c>
      <c r="D733" t="s">
        <v>235</v>
      </c>
      <c r="E733" s="87" t="n">
        <v>269908.90899035</v>
      </c>
      <c r="F733" s="88" t="n">
        <v>250549.928104577</v>
      </c>
      <c r="G733" s="89" t="n">
        <v>269908.90899035</v>
      </c>
      <c r="H733" s="90" t="n">
        <v>250549.928104577</v>
      </c>
      <c r="I733" s="91" t="str">
        <f>H733-F733</f>
      </c>
      <c r="J733" s="92" t="str">
        <f>G733-E733</f>
      </c>
    </row>
    <row r="734">
      <c r="A734" t="s">
        <v>272</v>
      </c>
      <c r="B734" t="s">
        <v>274</v>
      </c>
      <c r="C734" s="86" t="n">
        <v>2025</v>
      </c>
      <c r="D734" t="s">
        <v>244</v>
      </c>
      <c r="E734" s="87" t="n">
        <v>605290.562665356</v>
      </c>
      <c r="F734" s="88" t="n">
        <v>336235.043603752</v>
      </c>
      <c r="G734" s="89" t="n">
        <v>605290.562665356</v>
      </c>
      <c r="H734" s="90" t="n">
        <v>336235.043603752</v>
      </c>
      <c r="I734" s="91" t="str">
        <f>H734-F734</f>
      </c>
      <c r="J734" s="92" t="str">
        <f>G734-E734</f>
      </c>
    </row>
    <row r="735">
      <c r="A735" t="s">
        <v>272</v>
      </c>
      <c r="B735" t="s">
        <v>274</v>
      </c>
      <c r="C735" s="86" t="n">
        <v>2025</v>
      </c>
      <c r="D735" t="s">
        <v>248</v>
      </c>
      <c r="E735" s="87" t="n">
        <v>328703.695708345</v>
      </c>
      <c r="F735" s="88" t="n">
        <v>165181.229862536</v>
      </c>
      <c r="G735" s="89" t="n">
        <v>328703.695708345</v>
      </c>
      <c r="H735" s="90" t="n">
        <v>165181.229862536</v>
      </c>
      <c r="I735" s="91" t="str">
        <f>H735-F735</f>
      </c>
      <c r="J735" s="92" t="str">
        <f>G735-E735</f>
      </c>
    </row>
    <row r="736">
      <c r="A736" t="s">
        <v>272</v>
      </c>
      <c r="B736" t="s">
        <v>274</v>
      </c>
      <c r="C736" s="86" t="n">
        <v>2025</v>
      </c>
      <c r="D736" t="s">
        <v>421</v>
      </c>
      <c r="E736" s="87" t="n">
        <v>12601.518831831</v>
      </c>
      <c r="F736" s="88" t="n">
        <v>3955.30711895499</v>
      </c>
      <c r="G736" s="89" t="n">
        <v>12601.5188318307</v>
      </c>
      <c r="H736" s="90" t="n">
        <v>3955.30711895499</v>
      </c>
      <c r="I736" s="91" t="str">
        <f>H736-F736</f>
      </c>
      <c r="J736" s="92" t="str">
        <f>G736-E736</f>
      </c>
    </row>
    <row r="737">
      <c r="A737" t="s">
        <v>272</v>
      </c>
      <c r="B737" t="s">
        <v>274</v>
      </c>
      <c r="C737" s="86" t="n">
        <v>2026</v>
      </c>
      <c r="D737" t="s">
        <v>419</v>
      </c>
      <c r="E737" s="87" t="n">
        <v>11413.9401907853</v>
      </c>
      <c r="F737" s="88" t="n">
        <v>8503.04883072895</v>
      </c>
      <c r="G737" s="89" t="n">
        <v>11413.9401907849</v>
      </c>
      <c r="H737" s="90" t="n">
        <v>8503.048830729</v>
      </c>
      <c r="I737" s="91" t="str">
        <f>H737-F737</f>
      </c>
      <c r="J737" s="92" t="str">
        <f>G737-E737</f>
      </c>
    </row>
    <row r="738">
      <c r="A738" t="s">
        <v>272</v>
      </c>
      <c r="B738" t="s">
        <v>274</v>
      </c>
      <c r="C738" s="86" t="n">
        <v>2026</v>
      </c>
      <c r="D738" t="s">
        <v>224</v>
      </c>
      <c r="E738" s="87" t="n">
        <v>813844.569716144</v>
      </c>
      <c r="F738" s="88" t="n">
        <v>128333.952745922</v>
      </c>
      <c r="G738" s="89" t="n">
        <v>813844.569716145</v>
      </c>
      <c r="H738" s="90" t="n">
        <v>128333.952745922</v>
      </c>
      <c r="I738" s="91" t="str">
        <f>H738-F738</f>
      </c>
      <c r="J738" s="92" t="str">
        <f>G738-E738</f>
      </c>
    </row>
    <row r="739">
      <c r="A739" t="s">
        <v>272</v>
      </c>
      <c r="B739" t="s">
        <v>274</v>
      </c>
      <c r="C739" s="86" t="n">
        <v>2026</v>
      </c>
      <c r="D739" t="s">
        <v>420</v>
      </c>
      <c r="E739" s="87" t="n">
        <v>113261.46718113</v>
      </c>
      <c r="F739" s="88" t="n">
        <v>72339.6884190734</v>
      </c>
      <c r="G739" s="89" t="n">
        <v>113261.467181129</v>
      </c>
      <c r="H739" s="90" t="n">
        <v>72339.6884190733</v>
      </c>
      <c r="I739" s="91" t="str">
        <f>H739-F739</f>
      </c>
      <c r="J739" s="92" t="str">
        <f>G739-E739</f>
      </c>
    </row>
    <row r="740">
      <c r="A740" t="s">
        <v>272</v>
      </c>
      <c r="B740" t="s">
        <v>274</v>
      </c>
      <c r="C740" s="86" t="n">
        <v>2026</v>
      </c>
      <c r="D740" t="s">
        <v>235</v>
      </c>
      <c r="E740" s="87" t="n">
        <v>274095.152332561</v>
      </c>
      <c r="F740" s="88" t="n">
        <v>254488.488073948</v>
      </c>
      <c r="G740" s="89" t="n">
        <v>274200.577929512</v>
      </c>
      <c r="H740" s="90" t="n">
        <v>254910.752627481</v>
      </c>
      <c r="I740" s="91" t="str">
        <f>H740-F740</f>
      </c>
      <c r="J740" s="92" t="str">
        <f>G740-E740</f>
      </c>
    </row>
    <row r="741">
      <c r="A741" t="s">
        <v>272</v>
      </c>
      <c r="B741" t="s">
        <v>274</v>
      </c>
      <c r="C741" s="86" t="n">
        <v>2026</v>
      </c>
      <c r="D741" t="s">
        <v>244</v>
      </c>
      <c r="E741" s="87" t="n">
        <v>619386.213347418</v>
      </c>
      <c r="F741" s="88" t="n">
        <v>344199.216608474</v>
      </c>
      <c r="G741" s="89" t="n">
        <v>620097.594779103</v>
      </c>
      <c r="H741" s="90" t="n">
        <v>344917.064339335</v>
      </c>
      <c r="I741" s="91" t="str">
        <f>H741-F741</f>
      </c>
      <c r="J741" s="92" t="str">
        <f>G741-E741</f>
      </c>
    </row>
    <row r="742">
      <c r="A742" t="s">
        <v>272</v>
      </c>
      <c r="B742" t="s">
        <v>274</v>
      </c>
      <c r="C742" s="86" t="n">
        <v>2026</v>
      </c>
      <c r="D742" t="s">
        <v>248</v>
      </c>
      <c r="E742" s="87" t="n">
        <v>335330.918678413</v>
      </c>
      <c r="F742" s="88" t="n">
        <v>167650.435628975</v>
      </c>
      <c r="G742" s="89" t="n">
        <v>335570.10792798</v>
      </c>
      <c r="H742" s="90" t="n">
        <v>167951.384337069</v>
      </c>
      <c r="I742" s="91" t="str">
        <f>H742-F742</f>
      </c>
      <c r="J742" s="92" t="str">
        <f>G742-E742</f>
      </c>
    </row>
    <row r="743">
      <c r="A743" t="s">
        <v>272</v>
      </c>
      <c r="B743" t="s">
        <v>274</v>
      </c>
      <c r="C743" s="86" t="n">
        <v>2026</v>
      </c>
      <c r="D743" t="s">
        <v>421</v>
      </c>
      <c r="E743" s="87" t="n">
        <v>12631.2009976531</v>
      </c>
      <c r="F743" s="88" t="n">
        <v>3824.41375844239</v>
      </c>
      <c r="G743" s="89" t="n">
        <v>12631.2009976529</v>
      </c>
      <c r="H743" s="90" t="n">
        <v>3824.41375844239</v>
      </c>
      <c r="I743" s="91" t="str">
        <f>H743-F743</f>
      </c>
      <c r="J743" s="92" t="str">
        <f>G743-E743</f>
      </c>
    </row>
    <row r="744">
      <c r="A744" t="s">
        <v>272</v>
      </c>
      <c r="B744" t="s">
        <v>274</v>
      </c>
      <c r="C744" s="86" t="n">
        <v>2027</v>
      </c>
      <c r="D744" t="s">
        <v>419</v>
      </c>
      <c r="E744" s="87" t="n">
        <v>11516.0985429727</v>
      </c>
      <c r="F744" s="88" t="n">
        <v>8579.03905337464</v>
      </c>
      <c r="G744" s="89" t="n">
        <v>11515.58910781</v>
      </c>
      <c r="H744" s="90" t="n">
        <v>8579.03905337462</v>
      </c>
      <c r="I744" s="91" t="str">
        <f>H744-F744</f>
      </c>
      <c r="J744" s="92" t="str">
        <f>G744-E744</f>
      </c>
    </row>
    <row r="745">
      <c r="A745" t="s">
        <v>272</v>
      </c>
      <c r="B745" t="s">
        <v>274</v>
      </c>
      <c r="C745" s="86" t="n">
        <v>2027</v>
      </c>
      <c r="D745" t="s">
        <v>224</v>
      </c>
      <c r="E745" s="87" t="n">
        <v>831844.060637655</v>
      </c>
      <c r="F745" s="88" t="n">
        <v>132462.188251167</v>
      </c>
      <c r="G745" s="89" t="n">
        <v>832166.906185925</v>
      </c>
      <c r="H745" s="90" t="n">
        <v>132462.188251167</v>
      </c>
      <c r="I745" s="91" t="str">
        <f>H745-F745</f>
      </c>
      <c r="J745" s="92" t="str">
        <f>G745-E745</f>
      </c>
    </row>
    <row r="746">
      <c r="A746" t="s">
        <v>272</v>
      </c>
      <c r="B746" t="s">
        <v>274</v>
      </c>
      <c r="C746" s="86" t="n">
        <v>2027</v>
      </c>
      <c r="D746" t="s">
        <v>420</v>
      </c>
      <c r="E746" s="87" t="n">
        <v>115936.590326652</v>
      </c>
      <c r="F746" s="88" t="n">
        <v>73859.9102925665</v>
      </c>
      <c r="G746" s="89" t="n">
        <v>115932.769375635</v>
      </c>
      <c r="H746" s="90" t="n">
        <v>73859.9102925664</v>
      </c>
      <c r="I746" s="91" t="str">
        <f>H746-F746</f>
      </c>
      <c r="J746" s="92" t="str">
        <f>G746-E746</f>
      </c>
    </row>
    <row r="747">
      <c r="A747" t="s">
        <v>272</v>
      </c>
      <c r="B747" t="s">
        <v>274</v>
      </c>
      <c r="C747" s="86" t="n">
        <v>2027</v>
      </c>
      <c r="D747" t="s">
        <v>235</v>
      </c>
      <c r="E747" s="87" t="n">
        <v>278300.828456329</v>
      </c>
      <c r="F747" s="88" t="n">
        <v>258561.119769883</v>
      </c>
      <c r="G747" s="89" t="n">
        <v>278508.667642155</v>
      </c>
      <c r="H747" s="90" t="n">
        <v>259318.038089282</v>
      </c>
      <c r="I747" s="91" t="str">
        <f>H747-F747</f>
      </c>
      <c r="J747" s="92" t="str">
        <f>G747-E747</f>
      </c>
    </row>
    <row r="748">
      <c r="A748" t="s">
        <v>272</v>
      </c>
      <c r="B748" t="s">
        <v>274</v>
      </c>
      <c r="C748" s="86" t="n">
        <v>2027</v>
      </c>
      <c r="D748" t="s">
        <v>244</v>
      </c>
      <c r="E748" s="87" t="n">
        <v>633655.997301033</v>
      </c>
      <c r="F748" s="88" t="n">
        <v>352715.554170191</v>
      </c>
      <c r="G748" s="89" t="n">
        <v>635095.671557741</v>
      </c>
      <c r="H748" s="90" t="n">
        <v>354171.544362645</v>
      </c>
      <c r="I748" s="91" t="str">
        <f>H748-F748</f>
      </c>
      <c r="J748" s="92" t="str">
        <f>G748-E748</f>
      </c>
    </row>
    <row r="749">
      <c r="A749" t="s">
        <v>272</v>
      </c>
      <c r="B749" t="s">
        <v>274</v>
      </c>
      <c r="C749" s="86" t="n">
        <v>2027</v>
      </c>
      <c r="D749" t="s">
        <v>248</v>
      </c>
      <c r="E749" s="87" t="n">
        <v>342013.594578223</v>
      </c>
      <c r="F749" s="88" t="n">
        <v>170646.071321958</v>
      </c>
      <c r="G749" s="89" t="n">
        <v>342492.405098957</v>
      </c>
      <c r="H749" s="90" t="n">
        <v>171237.362695819</v>
      </c>
      <c r="I749" s="91" t="str">
        <f>H749-F749</f>
      </c>
      <c r="J749" s="92" t="str">
        <f>G749-E749</f>
      </c>
    </row>
    <row r="750">
      <c r="A750" t="s">
        <v>272</v>
      </c>
      <c r="B750" t="s">
        <v>274</v>
      </c>
      <c r="C750" s="86" t="n">
        <v>2027</v>
      </c>
      <c r="D750" t="s">
        <v>421</v>
      </c>
      <c r="E750" s="87" t="n">
        <v>12629.8126153258</v>
      </c>
      <c r="F750" s="88" t="n">
        <v>3692.70803496508</v>
      </c>
      <c r="G750" s="89" t="n">
        <v>12629.8028477439</v>
      </c>
      <c r="H750" s="90" t="n">
        <v>3692.70803496508</v>
      </c>
      <c r="I750" s="91" t="str">
        <f>H750-F750</f>
      </c>
      <c r="J750" s="92" t="str">
        <f>G750-E750</f>
      </c>
    </row>
    <row r="751">
      <c r="A751" t="s">
        <v>272</v>
      </c>
      <c r="B751" t="s">
        <v>274</v>
      </c>
      <c r="C751" s="86" t="n">
        <v>2028</v>
      </c>
      <c r="D751" t="s">
        <v>419</v>
      </c>
      <c r="E751" s="87" t="n">
        <v>11830.8655899392</v>
      </c>
      <c r="F751" s="88" t="n">
        <v>8691.08818973658</v>
      </c>
      <c r="G751" s="89" t="n">
        <v>11829.3995552585</v>
      </c>
      <c r="H751" s="90" t="n">
        <v>8690.97079151088</v>
      </c>
      <c r="I751" s="91" t="str">
        <f>H751-F751</f>
      </c>
      <c r="J751" s="92" t="str">
        <f>G751-E751</f>
      </c>
    </row>
    <row r="752">
      <c r="A752" t="s">
        <v>272</v>
      </c>
      <c r="B752" t="s">
        <v>274</v>
      </c>
      <c r="C752" s="86" t="n">
        <v>2028</v>
      </c>
      <c r="D752" t="s">
        <v>224</v>
      </c>
      <c r="E752" s="87" t="n">
        <v>854325.64386062</v>
      </c>
      <c r="F752" s="88" t="n">
        <v>136768.516156009</v>
      </c>
      <c r="G752" s="89" t="n">
        <v>854958.476961541</v>
      </c>
      <c r="H752" s="90" t="n">
        <v>136770.52662348</v>
      </c>
      <c r="I752" s="91" t="str">
        <f>H752-F752</f>
      </c>
      <c r="J752" s="92" t="str">
        <f>G752-E752</f>
      </c>
    </row>
    <row r="753">
      <c r="A753" t="s">
        <v>272</v>
      </c>
      <c r="B753" t="s">
        <v>274</v>
      </c>
      <c r="C753" s="86" t="n">
        <v>2028</v>
      </c>
      <c r="D753" t="s">
        <v>420</v>
      </c>
      <c r="E753" s="87" t="n">
        <v>119695.660667769</v>
      </c>
      <c r="F753" s="88" t="n">
        <v>75545.7568260344</v>
      </c>
      <c r="G753" s="89" t="n">
        <v>119684.609316206</v>
      </c>
      <c r="H753" s="90" t="n">
        <v>75545.0868001112</v>
      </c>
      <c r="I753" s="91" t="str">
        <f>H753-F753</f>
      </c>
      <c r="J753" s="92" t="str">
        <f>G753-E753</f>
      </c>
    </row>
    <row r="754">
      <c r="A754" t="s">
        <v>272</v>
      </c>
      <c r="B754" t="s">
        <v>274</v>
      </c>
      <c r="C754" s="86" t="n">
        <v>2028</v>
      </c>
      <c r="D754" t="s">
        <v>235</v>
      </c>
      <c r="E754" s="87" t="n">
        <v>282900.55311461</v>
      </c>
      <c r="F754" s="88" t="n">
        <v>262710.471389169</v>
      </c>
      <c r="G754" s="89" t="n">
        <v>283208.63975277</v>
      </c>
      <c r="H754" s="90" t="n">
        <v>263753.748205613</v>
      </c>
      <c r="I754" s="91" t="str">
        <f>H754-F754</f>
      </c>
      <c r="J754" s="92" t="str">
        <f>G754-E754</f>
      </c>
    </row>
    <row r="755">
      <c r="A755" t="s">
        <v>272</v>
      </c>
      <c r="B755" t="s">
        <v>274</v>
      </c>
      <c r="C755" s="86" t="n">
        <v>2028</v>
      </c>
      <c r="D755" t="s">
        <v>244</v>
      </c>
      <c r="E755" s="87" t="n">
        <v>652000.759396206</v>
      </c>
      <c r="F755" s="88" t="n">
        <v>361726.206668254</v>
      </c>
      <c r="G755" s="89" t="n">
        <v>654200.049400957</v>
      </c>
      <c r="H755" s="90" t="n">
        <v>363945.253777133</v>
      </c>
      <c r="I755" s="91" t="str">
        <f>H755-F755</f>
      </c>
      <c r="J755" s="92" t="str">
        <f>G755-E755</f>
      </c>
    </row>
    <row r="756">
      <c r="A756" t="s">
        <v>272</v>
      </c>
      <c r="B756" t="s">
        <v>274</v>
      </c>
      <c r="C756" s="86" t="n">
        <v>2028</v>
      </c>
      <c r="D756" t="s">
        <v>248</v>
      </c>
      <c r="E756" s="87" t="n">
        <v>351020.833062789</v>
      </c>
      <c r="F756" s="88" t="n">
        <v>174354.133348967</v>
      </c>
      <c r="G756" s="89" t="n">
        <v>351745.983284134</v>
      </c>
      <c r="H756" s="90" t="n">
        <v>175235.344826664</v>
      </c>
      <c r="I756" s="91" t="str">
        <f>H756-F756</f>
      </c>
      <c r="J756" s="92" t="str">
        <f>G756-E756</f>
      </c>
    </row>
    <row r="757">
      <c r="A757" t="s">
        <v>272</v>
      </c>
      <c r="B757" t="s">
        <v>274</v>
      </c>
      <c r="C757" s="86" t="n">
        <v>2028</v>
      </c>
      <c r="D757" t="s">
        <v>421</v>
      </c>
      <c r="E757" s="87" t="n">
        <v>12493.5633605786</v>
      </c>
      <c r="F757" s="88" t="n">
        <v>3559.5382680795</v>
      </c>
      <c r="G757" s="89" t="n">
        <v>12493.5410814872</v>
      </c>
      <c r="H757" s="90" t="n">
        <v>3559.53799626408</v>
      </c>
      <c r="I757" s="91" t="str">
        <f>H757-F757</f>
      </c>
      <c r="J757" s="92" t="str">
        <f>G757-E757</f>
      </c>
    </row>
    <row r="758">
      <c r="A758" t="s">
        <v>272</v>
      </c>
      <c r="B758" t="s">
        <v>274</v>
      </c>
      <c r="C758" s="86" t="n">
        <v>2029</v>
      </c>
      <c r="D758" t="s">
        <v>419</v>
      </c>
      <c r="E758" s="87" t="n">
        <v>12023.0465600926</v>
      </c>
      <c r="F758" s="88" t="n">
        <v>8820.79235803786</v>
      </c>
      <c r="G758" s="89" t="n">
        <v>12020.2428783132</v>
      </c>
      <c r="H758" s="90" t="n">
        <v>8820.39462668691</v>
      </c>
      <c r="I758" s="91" t="str">
        <f>H758-F758</f>
      </c>
      <c r="J758" s="92" t="str">
        <f>G758-E758</f>
      </c>
    </row>
    <row r="759">
      <c r="A759" t="s">
        <v>272</v>
      </c>
      <c r="B759" t="s">
        <v>274</v>
      </c>
      <c r="C759" s="86" t="n">
        <v>2029</v>
      </c>
      <c r="D759" t="s">
        <v>224</v>
      </c>
      <c r="E759" s="87" t="n">
        <v>871198.753951649</v>
      </c>
      <c r="F759" s="88" t="n">
        <v>141413.438440972</v>
      </c>
      <c r="G759" s="89" t="n">
        <v>872122.58793486</v>
      </c>
      <c r="H759" s="90" t="n">
        <v>141419.192572278</v>
      </c>
      <c r="I759" s="91" t="str">
        <f>H759-F759</f>
      </c>
      <c r="J759" s="92" t="str">
        <f>G759-E759</f>
      </c>
    </row>
    <row r="760">
      <c r="A760" t="s">
        <v>272</v>
      </c>
      <c r="B760" t="s">
        <v>274</v>
      </c>
      <c r="C760" s="86" t="n">
        <v>2029</v>
      </c>
      <c r="D760" t="s">
        <v>420</v>
      </c>
      <c r="E760" s="87" t="n">
        <v>122723.445000736</v>
      </c>
      <c r="F760" s="88" t="n">
        <v>77385.6271210304</v>
      </c>
      <c r="G760" s="89" t="n">
        <v>122702.091699448</v>
      </c>
      <c r="H760" s="90" t="n">
        <v>77383.2509010991</v>
      </c>
      <c r="I760" s="91" t="str">
        <f>H760-F760</f>
      </c>
      <c r="J760" s="92" t="str">
        <f>G760-E760</f>
      </c>
    </row>
    <row r="761">
      <c r="A761" t="s">
        <v>272</v>
      </c>
      <c r="B761" t="s">
        <v>274</v>
      </c>
      <c r="C761" s="86" t="n">
        <v>2029</v>
      </c>
      <c r="D761" t="s">
        <v>235</v>
      </c>
      <c r="E761" s="87" t="n">
        <v>287380.816729621</v>
      </c>
      <c r="F761" s="88" t="n">
        <v>267083.033939296</v>
      </c>
      <c r="G761" s="89" t="n">
        <v>287809.159991119</v>
      </c>
      <c r="H761" s="90" t="n">
        <v>268469.018676722</v>
      </c>
      <c r="I761" s="91" t="str">
        <f>H761-F761</f>
      </c>
      <c r="J761" s="92" t="str">
        <f>G761-E761</f>
      </c>
    </row>
    <row r="762">
      <c r="A762" t="s">
        <v>272</v>
      </c>
      <c r="B762" t="s">
        <v>274</v>
      </c>
      <c r="C762" s="86" t="n">
        <v>2029</v>
      </c>
      <c r="D762" t="s">
        <v>244</v>
      </c>
      <c r="E762" s="87" t="n">
        <v>666926.167909461</v>
      </c>
      <c r="F762" s="88" t="n">
        <v>371322.04870836</v>
      </c>
      <c r="G762" s="89" t="n">
        <v>670042.029002105</v>
      </c>
      <c r="H762" s="90" t="n">
        <v>374519.264871248</v>
      </c>
      <c r="I762" s="91" t="str">
        <f>H762-F762</f>
      </c>
      <c r="J762" s="92" t="str">
        <f>G762-E762</f>
      </c>
    </row>
    <row r="763">
      <c r="A763" t="s">
        <v>272</v>
      </c>
      <c r="B763" t="s">
        <v>274</v>
      </c>
      <c r="C763" s="86" t="n">
        <v>2029</v>
      </c>
      <c r="D763" t="s">
        <v>248</v>
      </c>
      <c r="E763" s="87" t="n">
        <v>358461.250810313</v>
      </c>
      <c r="F763" s="88" t="n">
        <v>178309.467224277</v>
      </c>
      <c r="G763" s="89" t="n">
        <v>359486.672358836</v>
      </c>
      <c r="H763" s="90" t="n">
        <v>179568.517960818</v>
      </c>
      <c r="I763" s="91" t="str">
        <f>H763-F763</f>
      </c>
      <c r="J763" s="92" t="str">
        <f>G763-E763</f>
      </c>
    </row>
    <row r="764">
      <c r="A764" t="s">
        <v>272</v>
      </c>
      <c r="B764" t="s">
        <v>274</v>
      </c>
      <c r="C764" s="86" t="n">
        <v>2029</v>
      </c>
      <c r="D764" t="s">
        <v>421</v>
      </c>
      <c r="E764" s="87" t="n">
        <v>12505.3290879008</v>
      </c>
      <c r="F764" s="88" t="n">
        <v>3430.77189360913</v>
      </c>
      <c r="G764" s="89" t="n">
        <v>12505.2897091232</v>
      </c>
      <c r="H764" s="90" t="n">
        <v>3430.77105367489</v>
      </c>
      <c r="I764" s="91" t="str">
        <f>H764-F764</f>
      </c>
      <c r="J764" s="92" t="str">
        <f>G764-E764</f>
      </c>
    </row>
    <row r="765">
      <c r="A765" t="s">
        <v>272</v>
      </c>
      <c r="B765" t="s">
        <v>274</v>
      </c>
      <c r="C765" s="86" t="n">
        <v>2030</v>
      </c>
      <c r="D765" t="s">
        <v>419</v>
      </c>
      <c r="E765" s="87" t="n">
        <v>12278.9394742051</v>
      </c>
      <c r="F765" s="88" t="n">
        <v>8966.45732343094</v>
      </c>
      <c r="G765" s="89" t="n">
        <v>12274.2647344434</v>
      </c>
      <c r="H765" s="90" t="n">
        <v>8965.59723882955</v>
      </c>
      <c r="I765" s="91" t="str">
        <f>H765-F765</f>
      </c>
      <c r="J765" s="92" t="str">
        <f>G765-E765</f>
      </c>
    </row>
    <row r="766">
      <c r="A766" t="s">
        <v>272</v>
      </c>
      <c r="B766" t="s">
        <v>274</v>
      </c>
      <c r="C766" s="86" t="n">
        <v>2030</v>
      </c>
      <c r="D766" t="s">
        <v>224</v>
      </c>
      <c r="E766" s="87" t="n">
        <v>887454.327720423</v>
      </c>
      <c r="F766" s="88" t="n">
        <v>146245.059968723</v>
      </c>
      <c r="G766" s="89" t="n">
        <v>888648.849091124</v>
      </c>
      <c r="H766" s="90" t="n">
        <v>146256.073838529</v>
      </c>
      <c r="I766" s="91" t="str">
        <f>H766-F766</f>
      </c>
      <c r="J766" s="92" t="str">
        <f>G766-E766</f>
      </c>
    </row>
    <row r="767">
      <c r="A767" t="s">
        <v>272</v>
      </c>
      <c r="B767" t="s">
        <v>274</v>
      </c>
      <c r="C767" s="86" t="n">
        <v>2030</v>
      </c>
      <c r="D767" t="s">
        <v>420</v>
      </c>
      <c r="E767" s="87" t="n">
        <v>126136.425191269</v>
      </c>
      <c r="F767" s="88" t="n">
        <v>79340.1298746357</v>
      </c>
      <c r="G767" s="89" t="n">
        <v>126100.520404265</v>
      </c>
      <c r="H767" s="90" t="n">
        <v>79334.7983616028</v>
      </c>
      <c r="I767" s="91" t="str">
        <f>H767-F767</f>
      </c>
      <c r="J767" s="92" t="str">
        <f>G767-E767</f>
      </c>
    </row>
    <row r="768">
      <c r="A768" t="s">
        <v>272</v>
      </c>
      <c r="B768" t="s">
        <v>274</v>
      </c>
      <c r="C768" s="86" t="n">
        <v>2030</v>
      </c>
      <c r="D768" t="s">
        <v>235</v>
      </c>
      <c r="E768" s="87" t="n">
        <v>291740.797933411</v>
      </c>
      <c r="F768" s="88" t="n">
        <v>271478.29812817</v>
      </c>
      <c r="G768" s="89" t="n">
        <v>292286.017029858</v>
      </c>
      <c r="H768" s="90" t="n">
        <v>273157.810650434</v>
      </c>
      <c r="I768" s="91" t="str">
        <f>H768-F768</f>
      </c>
      <c r="J768" s="92" t="str">
        <f>G768-E768</f>
      </c>
    </row>
    <row r="769">
      <c r="A769" t="s">
        <v>272</v>
      </c>
      <c r="B769" t="s">
        <v>274</v>
      </c>
      <c r="C769" s="86" t="n">
        <v>2030</v>
      </c>
      <c r="D769" t="s">
        <v>244</v>
      </c>
      <c r="E769" s="87" t="n">
        <v>682472.052409028</v>
      </c>
      <c r="F769" s="88" t="n">
        <v>381203.774534683</v>
      </c>
      <c r="G769" s="89" t="n">
        <v>686528.816871955</v>
      </c>
      <c r="H769" s="90" t="n">
        <v>385417.279419066</v>
      </c>
      <c r="I769" s="91" t="str">
        <f>H769-F769</f>
      </c>
      <c r="J769" s="92" t="str">
        <f>G769-E769</f>
      </c>
    </row>
    <row r="770">
      <c r="A770" t="s">
        <v>272</v>
      </c>
      <c r="B770" t="s">
        <v>274</v>
      </c>
      <c r="C770" s="86" t="n">
        <v>2030</v>
      </c>
      <c r="D770" t="s">
        <v>248</v>
      </c>
      <c r="E770" s="87" t="n">
        <v>366625.163958069</v>
      </c>
      <c r="F770" s="88" t="n">
        <v>182734.031104347</v>
      </c>
      <c r="G770" s="89" t="n">
        <v>367955.05484547</v>
      </c>
      <c r="H770" s="90" t="n">
        <v>184377.512558869</v>
      </c>
      <c r="I770" s="91" t="str">
        <f>H770-F770</f>
      </c>
      <c r="J770" s="92" t="str">
        <f>G770-E770</f>
      </c>
    </row>
    <row r="771">
      <c r="A771" t="s">
        <v>272</v>
      </c>
      <c r="B771" t="s">
        <v>274</v>
      </c>
      <c r="C771" s="86" t="n">
        <v>2030</v>
      </c>
      <c r="D771" t="s">
        <v>421</v>
      </c>
      <c r="E771" s="87" t="n">
        <v>12655.3338134254</v>
      </c>
      <c r="F771" s="88" t="n">
        <v>3301.14828727238</v>
      </c>
      <c r="G771" s="89" t="n">
        <v>12655.2774901684</v>
      </c>
      <c r="H771" s="90" t="n">
        <v>3301.14666213427</v>
      </c>
      <c r="I771" s="91" t="str">
        <f>H771-F771</f>
      </c>
      <c r="J771" s="92" t="str">
        <f>G771-E771</f>
      </c>
    </row>
    <row r="772">
      <c r="A772" t="s">
        <v>272</v>
      </c>
      <c r="B772" t="s">
        <v>274</v>
      </c>
      <c r="C772" s="86" t="n">
        <v>2031</v>
      </c>
      <c r="D772" t="s">
        <v>419</v>
      </c>
      <c r="E772" s="87" t="n">
        <v>12513.6451177227</v>
      </c>
      <c r="F772" s="88" t="n">
        <v>9116.02817618565</v>
      </c>
      <c r="G772" s="89" t="n">
        <v>12506.5880665311</v>
      </c>
      <c r="H772" s="90" t="n">
        <v>9114.48302310478</v>
      </c>
      <c r="I772" s="91" t="str">
        <f>H772-F772</f>
      </c>
      <c r="J772" s="92" t="str">
        <f>G772-E772</f>
      </c>
    </row>
    <row r="773">
      <c r="A773" t="s">
        <v>272</v>
      </c>
      <c r="B773" t="s">
        <v>274</v>
      </c>
      <c r="C773" s="86" t="n">
        <v>2031</v>
      </c>
      <c r="D773" t="s">
        <v>224</v>
      </c>
      <c r="E773" s="87" t="n">
        <v>904252.740119238</v>
      </c>
      <c r="F773" s="88" t="n">
        <v>150999.785070748</v>
      </c>
      <c r="G773" s="89" t="n">
        <v>905698.50533388</v>
      </c>
      <c r="H773" s="90" t="n">
        <v>151017.314585235</v>
      </c>
      <c r="I773" s="91" t="str">
        <f>H773-F773</f>
      </c>
      <c r="J773" s="92" t="str">
        <f>G773-E773</f>
      </c>
    </row>
    <row r="774">
      <c r="A774" t="s">
        <v>272</v>
      </c>
      <c r="B774" t="s">
        <v>274</v>
      </c>
      <c r="C774" s="86" t="n">
        <v>2031</v>
      </c>
      <c r="D774" t="s">
        <v>420</v>
      </c>
      <c r="E774" s="87" t="n">
        <v>129391.72738616</v>
      </c>
      <c r="F774" s="88" t="n">
        <v>81231.080005464</v>
      </c>
      <c r="G774" s="89" t="n">
        <v>129337.020613882</v>
      </c>
      <c r="H774" s="90" t="n">
        <v>81221.2142709578</v>
      </c>
      <c r="I774" s="91" t="str">
        <f>H774-F774</f>
      </c>
      <c r="J774" s="92" t="str">
        <f>G774-E774</f>
      </c>
    </row>
    <row r="775">
      <c r="A775" t="s">
        <v>272</v>
      </c>
      <c r="B775" t="s">
        <v>274</v>
      </c>
      <c r="C775" s="86" t="n">
        <v>2031</v>
      </c>
      <c r="D775" t="s">
        <v>235</v>
      </c>
      <c r="E775" s="87" t="n">
        <v>295890.909657701</v>
      </c>
      <c r="F775" s="88" t="n">
        <v>275912.960083161</v>
      </c>
      <c r="G775" s="89" t="n">
        <v>296437.738378722</v>
      </c>
      <c r="H775" s="90" t="n">
        <v>277404.152195349</v>
      </c>
      <c r="I775" s="91" t="str">
        <f>H775-F775</f>
      </c>
      <c r="J775" s="92" t="str">
        <f>G775-E775</f>
      </c>
    </row>
    <row r="776">
      <c r="A776" t="s">
        <v>272</v>
      </c>
      <c r="B776" t="s">
        <v>274</v>
      </c>
      <c r="C776" s="86" t="n">
        <v>2031</v>
      </c>
      <c r="D776" t="s">
        <v>244</v>
      </c>
      <c r="E776" s="87" t="n">
        <v>698321.556076334</v>
      </c>
      <c r="F776" s="88" t="n">
        <v>391625.03815689</v>
      </c>
      <c r="G776" s="89" t="n">
        <v>702548.134334822</v>
      </c>
      <c r="H776" s="90" t="n">
        <v>396078.261698986</v>
      </c>
      <c r="I776" s="91" t="str">
        <f>H776-F776</f>
      </c>
      <c r="J776" s="92" t="str">
        <f>G776-E776</f>
      </c>
    </row>
    <row r="777">
      <c r="A777" t="s">
        <v>272</v>
      </c>
      <c r="B777" t="s">
        <v>274</v>
      </c>
      <c r="C777" s="86" t="n">
        <v>2031</v>
      </c>
      <c r="D777" t="s">
        <v>248</v>
      </c>
      <c r="E777" s="87" t="n">
        <v>374656.116125379</v>
      </c>
      <c r="F777" s="88" t="n">
        <v>187451.674368682</v>
      </c>
      <c r="G777" s="89" t="n">
        <v>376026.788964657</v>
      </c>
      <c r="H777" s="90" t="n">
        <v>189147.352294789</v>
      </c>
      <c r="I777" s="91" t="str">
        <f>H777-F777</f>
      </c>
      <c r="J777" s="92" t="str">
        <f>G777-E777</f>
      </c>
    </row>
    <row r="778">
      <c r="A778" t="s">
        <v>272</v>
      </c>
      <c r="B778" t="s">
        <v>274</v>
      </c>
      <c r="C778" s="86" t="n">
        <v>2031</v>
      </c>
      <c r="D778" t="s">
        <v>421</v>
      </c>
      <c r="E778" s="87" t="n">
        <v>12740.708886416</v>
      </c>
      <c r="F778" s="88" t="n">
        <v>3174.86563609027</v>
      </c>
      <c r="G778" s="89" t="n">
        <v>12740.6278729228</v>
      </c>
      <c r="H778" s="90" t="n">
        <v>3174.86317276916</v>
      </c>
      <c r="I778" s="91" t="str">
        <f>H778-F778</f>
      </c>
      <c r="J778" s="92" t="str">
        <f>G778-E778</f>
      </c>
    </row>
    <row r="779">
      <c r="A779" t="s">
        <v>272</v>
      </c>
      <c r="B779" t="s">
        <v>274</v>
      </c>
      <c r="C779" s="86" t="n">
        <v>2032</v>
      </c>
      <c r="D779" t="s">
        <v>419</v>
      </c>
      <c r="E779" s="87" t="n">
        <v>12753.2530728753</v>
      </c>
      <c r="F779" s="88" t="n">
        <v>9270.3866616103</v>
      </c>
      <c r="G779" s="89" t="n">
        <v>12743.8944071303</v>
      </c>
      <c r="H779" s="90" t="n">
        <v>9267.91175287106</v>
      </c>
      <c r="I779" s="91" t="str">
        <f>H779-F779</f>
      </c>
      <c r="J779" s="92" t="str">
        <f>G779-E779</f>
      </c>
    </row>
    <row r="780">
      <c r="A780" t="s">
        <v>272</v>
      </c>
      <c r="B780" t="s">
        <v>274</v>
      </c>
      <c r="C780" s="86" t="n">
        <v>2032</v>
      </c>
      <c r="D780" t="s">
        <v>224</v>
      </c>
      <c r="E780" s="87" t="n">
        <v>922091.684292185</v>
      </c>
      <c r="F780" s="88" t="n">
        <v>155889.72734759</v>
      </c>
      <c r="G780" s="89" t="n">
        <v>923778.433647484</v>
      </c>
      <c r="H780" s="90" t="n">
        <v>155914.890344467</v>
      </c>
      <c r="I780" s="91" t="str">
        <f>H780-F780</f>
      </c>
      <c r="J780" s="92" t="str">
        <f>G780-E780</f>
      </c>
    </row>
    <row r="781">
      <c r="A781" t="s">
        <v>272</v>
      </c>
      <c r="B781" t="s">
        <v>274</v>
      </c>
      <c r="C781" s="86" t="n">
        <v>2032</v>
      </c>
      <c r="D781" t="s">
        <v>420</v>
      </c>
      <c r="E781" s="87" t="n">
        <v>132639.530321164</v>
      </c>
      <c r="F781" s="88" t="n">
        <v>83180.304007655</v>
      </c>
      <c r="G781" s="89" t="n">
        <v>132566.317868369</v>
      </c>
      <c r="H781" s="90" t="n">
        <v>83164.0959360433</v>
      </c>
      <c r="I781" s="91" t="str">
        <f>H781-F781</f>
      </c>
      <c r="J781" s="92" t="str">
        <f>G781-E781</f>
      </c>
    </row>
    <row r="782">
      <c r="A782" t="s">
        <v>272</v>
      </c>
      <c r="B782" t="s">
        <v>274</v>
      </c>
      <c r="C782" s="86" t="n">
        <v>2032</v>
      </c>
      <c r="D782" t="s">
        <v>235</v>
      </c>
      <c r="E782" s="87" t="n">
        <v>299955.661880098</v>
      </c>
      <c r="F782" s="88" t="n">
        <v>280111.629274511</v>
      </c>
      <c r="G782" s="89" t="n">
        <v>300504.550336341</v>
      </c>
      <c r="H782" s="90" t="n">
        <v>281488.739628123</v>
      </c>
      <c r="I782" s="91" t="str">
        <f>H782-F782</f>
      </c>
      <c r="J782" s="92" t="str">
        <f>G782-E782</f>
      </c>
    </row>
    <row r="783">
      <c r="A783" t="s">
        <v>272</v>
      </c>
      <c r="B783" t="s">
        <v>274</v>
      </c>
      <c r="C783" s="86" t="n">
        <v>2032</v>
      </c>
      <c r="D783" t="s">
        <v>244</v>
      </c>
      <c r="E783" s="87" t="n">
        <v>714762.11187806</v>
      </c>
      <c r="F783" s="88" t="n">
        <v>402197.86297328</v>
      </c>
      <c r="G783" s="89" t="n">
        <v>719168.67859234</v>
      </c>
      <c r="H783" s="90" t="n">
        <v>406904.282877455</v>
      </c>
      <c r="I783" s="91" t="str">
        <f>H783-F783</f>
      </c>
      <c r="J783" s="92" t="str">
        <f>G783-E783</f>
      </c>
    </row>
    <row r="784">
      <c r="A784" t="s">
        <v>272</v>
      </c>
      <c r="B784" t="s">
        <v>274</v>
      </c>
      <c r="C784" s="86" t="n">
        <v>2032</v>
      </c>
      <c r="D784" t="s">
        <v>248</v>
      </c>
      <c r="E784" s="87" t="n">
        <v>383193.354384701</v>
      </c>
      <c r="F784" s="88" t="n">
        <v>192428.165594091</v>
      </c>
      <c r="G784" s="89" t="n">
        <v>384609.051353766</v>
      </c>
      <c r="H784" s="90" t="n">
        <v>194193.38475982</v>
      </c>
      <c r="I784" s="91" t="str">
        <f>H784-F784</f>
      </c>
      <c r="J784" s="92" t="str">
        <f>G784-E784</f>
      </c>
    </row>
    <row r="785">
      <c r="A785" t="s">
        <v>272</v>
      </c>
      <c r="B785" t="s">
        <v>274</v>
      </c>
      <c r="C785" s="86" t="n">
        <v>2032</v>
      </c>
      <c r="D785" t="s">
        <v>421</v>
      </c>
      <c r="E785" s="87" t="n">
        <v>12856.0403472783</v>
      </c>
      <c r="F785" s="88" t="n">
        <v>3046.5237000227</v>
      </c>
      <c r="G785" s="89" t="n">
        <v>12855.9427389859</v>
      </c>
      <c r="H785" s="90" t="n">
        <v>3046.52022706146</v>
      </c>
      <c r="I785" s="91" t="str">
        <f>H785-F785</f>
      </c>
      <c r="J785" s="92" t="str">
        <f>G785-E785</f>
      </c>
    </row>
    <row r="786">
      <c r="A786" t="s">
        <v>272</v>
      </c>
      <c r="B786" t="s">
        <v>274</v>
      </c>
      <c r="C786" s="86" t="n">
        <v>2033</v>
      </c>
      <c r="D786" t="s">
        <v>419</v>
      </c>
      <c r="E786" s="87" t="n">
        <v>13158.2987963875</v>
      </c>
      <c r="F786" s="88" t="n">
        <v>9441.05016455017</v>
      </c>
      <c r="G786" s="89" t="n">
        <v>13146.3513901505</v>
      </c>
      <c r="H786" s="90" t="n">
        <v>9437.49521839436</v>
      </c>
      <c r="I786" s="91" t="str">
        <f>H786-F786</f>
      </c>
      <c r="J786" s="92" t="str">
        <f>G786-E786</f>
      </c>
    </row>
    <row r="787">
      <c r="A787" t="s">
        <v>272</v>
      </c>
      <c r="B787" t="s">
        <v>274</v>
      </c>
      <c r="C787" s="86" t="n">
        <v>2033</v>
      </c>
      <c r="D787" t="s">
        <v>224</v>
      </c>
      <c r="E787" s="87" t="n">
        <v>942594.926023187</v>
      </c>
      <c r="F787" s="88" t="n">
        <v>160787.426392389</v>
      </c>
      <c r="G787" s="89" t="n">
        <v>944521.71811111</v>
      </c>
      <c r="H787" s="90" t="n">
        <v>160821.219639763</v>
      </c>
      <c r="I787" s="91" t="str">
        <f>H787-F787</f>
      </c>
      <c r="J787" s="92" t="str">
        <f>G787-E787</f>
      </c>
    </row>
    <row r="788">
      <c r="A788" t="s">
        <v>272</v>
      </c>
      <c r="B788" t="s">
        <v>274</v>
      </c>
      <c r="C788" s="86" t="n">
        <v>2033</v>
      </c>
      <c r="D788" t="s">
        <v>420</v>
      </c>
      <c r="E788" s="87" t="n">
        <v>136800.394613452</v>
      </c>
      <c r="F788" s="88" t="n">
        <v>85163.8339820907</v>
      </c>
      <c r="G788" s="89" t="n">
        <v>136707.716312745</v>
      </c>
      <c r="H788" s="90" t="n">
        <v>85140.0559210379</v>
      </c>
      <c r="I788" s="91" t="str">
        <f>H788-F788</f>
      </c>
      <c r="J788" s="92" t="str">
        <f>G788-E788</f>
      </c>
    </row>
    <row r="789">
      <c r="A789" t="s">
        <v>272</v>
      </c>
      <c r="B789" t="s">
        <v>274</v>
      </c>
      <c r="C789" s="86" t="n">
        <v>2033</v>
      </c>
      <c r="D789" t="s">
        <v>235</v>
      </c>
      <c r="E789" s="87" t="n">
        <v>303917.517180838</v>
      </c>
      <c r="F789" s="88" t="n">
        <v>284000.954282702</v>
      </c>
      <c r="G789" s="89" t="n">
        <v>304468.286850227</v>
      </c>
      <c r="H789" s="90" t="n">
        <v>285297.748513227</v>
      </c>
      <c r="I789" s="91" t="str">
        <f>H789-F789</f>
      </c>
      <c r="J789" s="92" t="str">
        <f>G789-E789</f>
      </c>
    </row>
    <row r="790">
      <c r="A790" t="s">
        <v>272</v>
      </c>
      <c r="B790" t="s">
        <v>274</v>
      </c>
      <c r="C790" s="86" t="n">
        <v>2033</v>
      </c>
      <c r="D790" t="s">
        <v>244</v>
      </c>
      <c r="E790" s="87" t="n">
        <v>733788.1667891</v>
      </c>
      <c r="F790" s="88" t="n">
        <v>412623.244372958</v>
      </c>
      <c r="G790" s="89" t="n">
        <v>738395.913710054</v>
      </c>
      <c r="H790" s="90" t="n">
        <v>417591.194273361</v>
      </c>
      <c r="I790" s="91" t="str">
        <f>H790-F790</f>
      </c>
      <c r="J790" s="92" t="str">
        <f>G790-E790</f>
      </c>
    </row>
    <row r="791">
      <c r="A791" t="s">
        <v>272</v>
      </c>
      <c r="B791" t="s">
        <v>274</v>
      </c>
      <c r="C791" s="86" t="n">
        <v>2033</v>
      </c>
      <c r="D791" t="s">
        <v>248</v>
      </c>
      <c r="E791" s="87" t="n">
        <v>392690.582777913</v>
      </c>
      <c r="F791" s="88" t="n">
        <v>197464.786632547</v>
      </c>
      <c r="G791" s="89" t="n">
        <v>394159.184915109</v>
      </c>
      <c r="H791" s="90" t="n">
        <v>199311.530364044</v>
      </c>
      <c r="I791" s="91" t="str">
        <f>H791-F791</f>
      </c>
      <c r="J791" s="92" t="str">
        <f>G791-E791</f>
      </c>
    </row>
    <row r="792">
      <c r="A792" t="s">
        <v>272</v>
      </c>
      <c r="B792" t="s">
        <v>274</v>
      </c>
      <c r="C792" s="86" t="n">
        <v>2033</v>
      </c>
      <c r="D792" t="s">
        <v>421</v>
      </c>
      <c r="E792" s="87" t="n">
        <v>12780.8384720403</v>
      </c>
      <c r="F792" s="88" t="n">
        <v>2919.79892855207</v>
      </c>
      <c r="G792" s="89" t="n">
        <v>12780.7417922516</v>
      </c>
      <c r="H792" s="90" t="n">
        <v>2919.79454897481</v>
      </c>
      <c r="I792" s="91" t="str">
        <f>H792-F792</f>
      </c>
      <c r="J792" s="92" t="str">
        <f>G792-E792</f>
      </c>
    </row>
    <row r="793">
      <c r="A793" t="s">
        <v>272</v>
      </c>
      <c r="B793" t="s">
        <v>274</v>
      </c>
      <c r="C793" s="86" t="n">
        <v>2034</v>
      </c>
      <c r="D793" t="s">
        <v>419</v>
      </c>
      <c r="E793" s="87" t="n">
        <v>13410.6693052368</v>
      </c>
      <c r="F793" s="88" t="n">
        <v>9615.53307313805</v>
      </c>
      <c r="G793" s="89" t="n">
        <v>13396.3770662857</v>
      </c>
      <c r="H793" s="90" t="n">
        <v>9610.78717894584</v>
      </c>
      <c r="I793" s="91" t="str">
        <f>H793-F793</f>
      </c>
      <c r="J793" s="92" t="str">
        <f>G793-E793</f>
      </c>
    </row>
    <row r="794">
      <c r="A794" t="s">
        <v>272</v>
      </c>
      <c r="B794" t="s">
        <v>274</v>
      </c>
      <c r="C794" s="86" t="n">
        <v>2034</v>
      </c>
      <c r="D794" t="s">
        <v>224</v>
      </c>
      <c r="E794" s="87" t="n">
        <v>958073.216512102</v>
      </c>
      <c r="F794" s="88" t="n">
        <v>165789.303907861</v>
      </c>
      <c r="G794" s="89" t="n">
        <v>960221.655861689</v>
      </c>
      <c r="H794" s="90" t="n">
        <v>165832.802590949</v>
      </c>
      <c r="I794" s="91" t="str">
        <f>H794-F794</f>
      </c>
      <c r="J794" s="92" t="str">
        <f>G794-E794</f>
      </c>
    </row>
    <row r="795">
      <c r="A795" t="s">
        <v>272</v>
      </c>
      <c r="B795" t="s">
        <v>274</v>
      </c>
      <c r="C795" s="86" t="n">
        <v>2034</v>
      </c>
      <c r="D795" t="s">
        <v>420</v>
      </c>
      <c r="E795" s="87" t="n">
        <v>140034.317451338</v>
      </c>
      <c r="F795" s="88" t="n">
        <v>87158.500905731</v>
      </c>
      <c r="G795" s="89" t="n">
        <v>139922.665552402</v>
      </c>
      <c r="H795" s="90" t="n">
        <v>87126.2119501461</v>
      </c>
      <c r="I795" s="91" t="str">
        <f>H795-F795</f>
      </c>
      <c r="J795" s="92" t="str">
        <f>G795-E795</f>
      </c>
    </row>
    <row r="796">
      <c r="A796" t="s">
        <v>272</v>
      </c>
      <c r="B796" t="s">
        <v>274</v>
      </c>
      <c r="C796" s="86" t="n">
        <v>2034</v>
      </c>
      <c r="D796" t="s">
        <v>235</v>
      </c>
      <c r="E796" s="87" t="n">
        <v>307614.27651542</v>
      </c>
      <c r="F796" s="88" t="n">
        <v>287878.086332014</v>
      </c>
      <c r="G796" s="89" t="n">
        <v>308142.620646514</v>
      </c>
      <c r="H796" s="90" t="n">
        <v>289022.375898514</v>
      </c>
      <c r="I796" s="91" t="str">
        <f>H796-F796</f>
      </c>
      <c r="J796" s="92" t="str">
        <f>G796-E796</f>
      </c>
    </row>
    <row r="797">
      <c r="A797" t="s">
        <v>272</v>
      </c>
      <c r="B797" t="s">
        <v>274</v>
      </c>
      <c r="C797" s="86" t="n">
        <v>2034</v>
      </c>
      <c r="D797" t="s">
        <v>244</v>
      </c>
      <c r="E797" s="87" t="n">
        <v>749637.72620634</v>
      </c>
      <c r="F797" s="88" t="n">
        <v>423461.741587178</v>
      </c>
      <c r="G797" s="89" t="n">
        <v>754264.519314827</v>
      </c>
      <c r="H797" s="90" t="n">
        <v>428496.093357131</v>
      </c>
      <c r="I797" s="91" t="str">
        <f>H797-F797</f>
      </c>
      <c r="J797" s="92" t="str">
        <f>G797-E797</f>
      </c>
    </row>
    <row r="798">
      <c r="A798" t="s">
        <v>272</v>
      </c>
      <c r="B798" t="s">
        <v>274</v>
      </c>
      <c r="C798" s="86" t="n">
        <v>2034</v>
      </c>
      <c r="D798" t="s">
        <v>248</v>
      </c>
      <c r="E798" s="87" t="n">
        <v>400967.709853675</v>
      </c>
      <c r="F798" s="88" t="n">
        <v>202671.110562635</v>
      </c>
      <c r="G798" s="89" t="n">
        <v>402421.553872422</v>
      </c>
      <c r="H798" s="90" t="n">
        <v>204510.58021707</v>
      </c>
      <c r="I798" s="91" t="str">
        <f>H798-F798</f>
      </c>
      <c r="J798" s="92" t="str">
        <f>G798-E798</f>
      </c>
    </row>
    <row r="799">
      <c r="A799" t="s">
        <v>272</v>
      </c>
      <c r="B799" t="s">
        <v>274</v>
      </c>
      <c r="C799" s="86" t="n">
        <v>2034</v>
      </c>
      <c r="D799" t="s">
        <v>421</v>
      </c>
      <c r="E799" s="87" t="n">
        <v>12872.54148537</v>
      </c>
      <c r="F799" s="88" t="n">
        <v>2795.77460636885</v>
      </c>
      <c r="G799" s="89" t="n">
        <v>12872.434861331</v>
      </c>
      <c r="H799" s="90" t="n">
        <v>2795.76959562027</v>
      </c>
      <c r="I799" s="91" t="str">
        <f>H799-F799</f>
      </c>
      <c r="J799" s="92" t="str">
        <f>G799-E799</f>
      </c>
    </row>
    <row r="800">
      <c r="A800" t="s">
        <v>272</v>
      </c>
      <c r="B800" t="s">
        <v>274</v>
      </c>
      <c r="C800" s="86" t="n">
        <v>2035</v>
      </c>
      <c r="D800" t="s">
        <v>419</v>
      </c>
      <c r="E800" s="87" t="n">
        <v>13743.4059554474</v>
      </c>
      <c r="F800" s="88" t="n">
        <v>9793.49590556394</v>
      </c>
      <c r="G800" s="89" t="n">
        <v>13726.7399692658</v>
      </c>
      <c r="H800" s="90" t="n">
        <v>9787.51275865094</v>
      </c>
      <c r="I800" s="91" t="str">
        <f>H800-F800</f>
      </c>
      <c r="J800" s="92" t="str">
        <f>G800-E800</f>
      </c>
    </row>
    <row r="801">
      <c r="A801" t="s">
        <v>272</v>
      </c>
      <c r="B801" t="s">
        <v>274</v>
      </c>
      <c r="C801" s="86" t="n">
        <v>2035</v>
      </c>
      <c r="D801" t="s">
        <v>224</v>
      </c>
      <c r="E801" s="87" t="n">
        <v>972685.720381582</v>
      </c>
      <c r="F801" s="88" t="n">
        <v>170856.807147725</v>
      </c>
      <c r="G801" s="89" t="n">
        <v>975047.326959866</v>
      </c>
      <c r="H801" s="90" t="n">
        <v>170911.003808462</v>
      </c>
      <c r="I801" s="91" t="str">
        <f>H801-F801</f>
      </c>
      <c r="J801" s="92" t="str">
        <f>G801-E801</f>
      </c>
    </row>
    <row r="802">
      <c r="A802" t="s">
        <v>272</v>
      </c>
      <c r="B802" t="s">
        <v>274</v>
      </c>
      <c r="C802" s="86" t="n">
        <v>2035</v>
      </c>
      <c r="D802" t="s">
        <v>420</v>
      </c>
      <c r="E802" s="87" t="n">
        <v>143560.537336083</v>
      </c>
      <c r="F802" s="88" t="n">
        <v>89179.5851362888</v>
      </c>
      <c r="G802" s="89" t="n">
        <v>143430.147346953</v>
      </c>
      <c r="H802" s="90" t="n">
        <v>89138.141517925</v>
      </c>
      <c r="I802" s="91" t="str">
        <f>H802-F802</f>
      </c>
      <c r="J802" s="92" t="str">
        <f>G802-E802</f>
      </c>
    </row>
    <row r="803">
      <c r="A803" t="s">
        <v>272</v>
      </c>
      <c r="B803" t="s">
        <v>274</v>
      </c>
      <c r="C803" s="86" t="n">
        <v>2035</v>
      </c>
      <c r="D803" t="s">
        <v>235</v>
      </c>
      <c r="E803" s="87" t="n">
        <v>311092.088230576</v>
      </c>
      <c r="F803" s="88" t="n">
        <v>291513.529470871</v>
      </c>
      <c r="G803" s="89" t="n">
        <v>311598.659349735</v>
      </c>
      <c r="H803" s="90" t="n">
        <v>292543.4341723</v>
      </c>
      <c r="I803" s="91" t="str">
        <f>H803-F803</f>
      </c>
      <c r="J803" s="92" t="str">
        <f>G803-E803</f>
      </c>
    </row>
    <row r="804">
      <c r="A804" t="s">
        <v>272</v>
      </c>
      <c r="B804" t="s">
        <v>274</v>
      </c>
      <c r="C804" s="86" t="n">
        <v>2035</v>
      </c>
      <c r="D804" t="s">
        <v>244</v>
      </c>
      <c r="E804" s="87" t="n">
        <v>765398.071703357</v>
      </c>
      <c r="F804" s="88" t="n">
        <v>434315.05598197</v>
      </c>
      <c r="G804" s="89" t="n">
        <v>770043.407398033</v>
      </c>
      <c r="H804" s="90" t="n">
        <v>439419.393176264</v>
      </c>
      <c r="I804" s="91" t="str">
        <f>H804-F804</f>
      </c>
      <c r="J804" s="92" t="str">
        <f>G804-E804</f>
      </c>
    </row>
    <row r="805">
      <c r="A805" t="s">
        <v>272</v>
      </c>
      <c r="B805" t="s">
        <v>274</v>
      </c>
      <c r="C805" s="86" t="n">
        <v>2035</v>
      </c>
      <c r="D805" t="s">
        <v>248</v>
      </c>
      <c r="E805" s="87" t="n">
        <v>408991.46488273</v>
      </c>
      <c r="F805" s="88" t="n">
        <v>208013.187142798</v>
      </c>
      <c r="G805" s="89" t="n">
        <v>410430.68648466</v>
      </c>
      <c r="H805" s="90" t="n">
        <v>209854.988515264</v>
      </c>
      <c r="I805" s="91" t="str">
        <f>H805-F805</f>
      </c>
      <c r="J805" s="92" t="str">
        <f>G805-E805</f>
      </c>
    </row>
    <row r="806">
      <c r="A806" t="s">
        <v>272</v>
      </c>
      <c r="B806" t="s">
        <v>274</v>
      </c>
      <c r="C806" s="86" t="n">
        <v>2035</v>
      </c>
      <c r="D806" t="s">
        <v>421</v>
      </c>
      <c r="E806" s="87" t="n">
        <v>13061.6971158314</v>
      </c>
      <c r="F806" s="88" t="n">
        <v>2671.503324352</v>
      </c>
      <c r="G806" s="89" t="n">
        <v>13061.5900844962</v>
      </c>
      <c r="H806" s="90" t="n">
        <v>2671.49784394295</v>
      </c>
      <c r="I806" s="91" t="str">
        <f>H806-F806</f>
      </c>
      <c r="J806" s="92" t="str">
        <f>G806-E806</f>
      </c>
    </row>
    <row r="807">
      <c r="A807" t="s">
        <v>272</v>
      </c>
      <c r="B807" t="s">
        <v>274</v>
      </c>
      <c r="C807" s="86" t="n">
        <v>2036</v>
      </c>
      <c r="D807" t="s">
        <v>419</v>
      </c>
      <c r="E807" s="87" t="n">
        <v>14077.8363364762</v>
      </c>
      <c r="F807" s="88" t="n">
        <v>9979.98190871992</v>
      </c>
      <c r="G807" s="89" t="n">
        <v>14058.8402730705</v>
      </c>
      <c r="H807" s="90" t="n">
        <v>9972.733436972</v>
      </c>
      <c r="I807" s="91" t="str">
        <f>H807-F807</f>
      </c>
      <c r="J807" s="92" t="str">
        <f>G807-E807</f>
      </c>
    </row>
    <row r="808">
      <c r="A808" t="s">
        <v>272</v>
      </c>
      <c r="B808" t="s">
        <v>274</v>
      </c>
      <c r="C808" s="86" t="n">
        <v>2036</v>
      </c>
      <c r="D808" t="s">
        <v>224</v>
      </c>
      <c r="E808" s="87" t="n">
        <v>990017.423586768</v>
      </c>
      <c r="F808" s="88" t="n">
        <v>176074.037403979</v>
      </c>
      <c r="G808" s="89" t="n">
        <v>992593.127567906</v>
      </c>
      <c r="H808" s="90" t="n">
        <v>176139.997785528</v>
      </c>
      <c r="I808" s="91" t="str">
        <f>H808-F808</f>
      </c>
      <c r="J808" s="92" t="str">
        <f>G808-E808</f>
      </c>
    </row>
    <row r="809">
      <c r="A809" t="s">
        <v>272</v>
      </c>
      <c r="B809" t="s">
        <v>274</v>
      </c>
      <c r="C809" s="86" t="n">
        <v>2036</v>
      </c>
      <c r="D809" t="s">
        <v>420</v>
      </c>
      <c r="E809" s="87" t="n">
        <v>147127.771515428</v>
      </c>
      <c r="F809" s="88" t="n">
        <v>91276.4404481905</v>
      </c>
      <c r="G809" s="89" t="n">
        <v>146978.916070349</v>
      </c>
      <c r="H809" s="90" t="n">
        <v>91225.4078140792</v>
      </c>
      <c r="I809" s="91" t="str">
        <f>H809-F809</f>
      </c>
      <c r="J809" s="92" t="str">
        <f>G809-E809</f>
      </c>
    </row>
    <row r="810">
      <c r="A810" t="s">
        <v>272</v>
      </c>
      <c r="B810" t="s">
        <v>274</v>
      </c>
      <c r="C810" s="86" t="n">
        <v>2036</v>
      </c>
      <c r="D810" t="s">
        <v>235</v>
      </c>
      <c r="E810" s="87" t="n">
        <v>314721.994903532</v>
      </c>
      <c r="F810" s="88" t="n">
        <v>294824.85735718</v>
      </c>
      <c r="G810" s="89" t="n">
        <v>315288.949461379</v>
      </c>
      <c r="H810" s="90" t="n">
        <v>296084.402747987</v>
      </c>
      <c r="I810" s="91" t="str">
        <f>H810-F810</f>
      </c>
      <c r="J810" s="92" t="str">
        <f>G810-E810</f>
      </c>
    </row>
    <row r="811">
      <c r="A811" t="s">
        <v>272</v>
      </c>
      <c r="B811" t="s">
        <v>274</v>
      </c>
      <c r="C811" s="86" t="n">
        <v>2036</v>
      </c>
      <c r="D811" t="s">
        <v>244</v>
      </c>
      <c r="E811" s="87" t="n">
        <v>781513.259249458</v>
      </c>
      <c r="F811" s="88" t="n">
        <v>444705.800771843</v>
      </c>
      <c r="G811" s="89" t="n">
        <v>786706.265291046</v>
      </c>
      <c r="H811" s="90" t="n">
        <v>450600.66503166</v>
      </c>
      <c r="I811" s="91" t="str">
        <f>H811-F811</f>
      </c>
      <c r="J811" s="92" t="str">
        <f>G811-E811</f>
      </c>
    </row>
    <row r="812">
      <c r="A812" t="s">
        <v>272</v>
      </c>
      <c r="B812" t="s">
        <v>274</v>
      </c>
      <c r="C812" s="86" t="n">
        <v>2036</v>
      </c>
      <c r="D812" t="s">
        <v>248</v>
      </c>
      <c r="E812" s="87" t="n">
        <v>417248.021394803</v>
      </c>
      <c r="F812" s="88" t="n">
        <v>213209.934717797</v>
      </c>
      <c r="G812" s="89" t="n">
        <v>418880.52544402</v>
      </c>
      <c r="H812" s="90" t="n">
        <v>215434.246910517</v>
      </c>
      <c r="I812" s="91" t="str">
        <f>H812-F812</f>
      </c>
      <c r="J812" s="92" t="str">
        <f>G812-E812</f>
      </c>
    </row>
    <row r="813">
      <c r="A813" t="s">
        <v>272</v>
      </c>
      <c r="B813" t="s">
        <v>274</v>
      </c>
      <c r="C813" s="86" t="n">
        <v>2036</v>
      </c>
      <c r="D813" t="s">
        <v>421</v>
      </c>
      <c r="E813" s="87" t="n">
        <v>13308.9048258211</v>
      </c>
      <c r="F813" s="88" t="n">
        <v>2547.7480789131</v>
      </c>
      <c r="G813" s="89" t="n">
        <v>13308.7944546361</v>
      </c>
      <c r="H813" s="90" t="n">
        <v>2547.74258396749</v>
      </c>
      <c r="I813" s="91" t="str">
        <f>H813-F813</f>
      </c>
      <c r="J813" s="92" t="str">
        <f>G813-E813</f>
      </c>
    </row>
    <row r="814">
      <c r="A814" t="s">
        <v>272</v>
      </c>
      <c r="B814" t="s">
        <v>274</v>
      </c>
      <c r="C814" s="86" t="n">
        <v>2037</v>
      </c>
      <c r="D814" t="s">
        <v>419</v>
      </c>
      <c r="E814" s="87" t="n">
        <v>14408.5507412673</v>
      </c>
      <c r="F814" s="88" t="n">
        <v>10167.7052148426</v>
      </c>
      <c r="G814" s="89" t="n">
        <v>14386.6366039025</v>
      </c>
      <c r="H814" s="90" t="n">
        <v>10159.1873336905</v>
      </c>
      <c r="I814" s="91" t="str">
        <f>H814-F814</f>
      </c>
      <c r="J814" s="92" t="str">
        <f>G814-E814</f>
      </c>
    </row>
    <row r="815">
      <c r="A815" t="s">
        <v>272</v>
      </c>
      <c r="B815" t="s">
        <v>274</v>
      </c>
      <c r="C815" s="86" t="n">
        <v>2037</v>
      </c>
      <c r="D815" t="s">
        <v>224</v>
      </c>
      <c r="E815" s="87" t="n">
        <v>1006535.06426197</v>
      </c>
      <c r="F815" s="88" t="n">
        <v>181379.336652256</v>
      </c>
      <c r="G815" s="89" t="n">
        <v>1009301.65749756</v>
      </c>
      <c r="H815" s="90" t="n">
        <v>181458.235839908</v>
      </c>
      <c r="I815" s="91" t="str">
        <f>H815-F815</f>
      </c>
      <c r="J815" s="92" t="str">
        <f>G815-E815</f>
      </c>
    </row>
    <row r="816">
      <c r="A816" t="s">
        <v>272</v>
      </c>
      <c r="B816" t="s">
        <v>274</v>
      </c>
      <c r="C816" s="86" t="n">
        <v>2037</v>
      </c>
      <c r="D816" t="s">
        <v>420</v>
      </c>
      <c r="E816" s="87" t="n">
        <v>150659.465900764</v>
      </c>
      <c r="F816" s="88" t="n">
        <v>93402.1534517884</v>
      </c>
      <c r="G816" s="89" t="n">
        <v>150487.441619108</v>
      </c>
      <c r="H816" s="90" t="n">
        <v>93341.2784245107</v>
      </c>
      <c r="I816" s="91" t="str">
        <f>H816-F816</f>
      </c>
      <c r="J816" s="92" t="str">
        <f>G816-E816</f>
      </c>
    </row>
    <row r="817">
      <c r="A817" t="s">
        <v>272</v>
      </c>
      <c r="B817" t="s">
        <v>274</v>
      </c>
      <c r="C817" s="86" t="n">
        <v>2037</v>
      </c>
      <c r="D817" t="s">
        <v>235</v>
      </c>
      <c r="E817" s="87" t="n">
        <v>318131.561117306</v>
      </c>
      <c r="F817" s="88" t="n">
        <v>298023.418050816</v>
      </c>
      <c r="G817" s="89" t="n">
        <v>318754.964813024</v>
      </c>
      <c r="H817" s="90" t="n">
        <v>299434.655195925</v>
      </c>
      <c r="I817" s="91" t="str">
        <f>H817-F817</f>
      </c>
      <c r="J817" s="92" t="str">
        <f>G817-E817</f>
      </c>
    </row>
    <row r="818">
      <c r="A818" t="s">
        <v>272</v>
      </c>
      <c r="B818" t="s">
        <v>274</v>
      </c>
      <c r="C818" s="86" t="n">
        <v>2037</v>
      </c>
      <c r="D818" t="s">
        <v>244</v>
      </c>
      <c r="E818" s="87" t="n">
        <v>797699.143641588</v>
      </c>
      <c r="F818" s="88" t="n">
        <v>455146.796973101</v>
      </c>
      <c r="G818" s="89" t="n">
        <v>803452.229036644</v>
      </c>
      <c r="H818" s="90" t="n">
        <v>461851.049511551</v>
      </c>
      <c r="I818" s="91" t="str">
        <f>H818-F818</f>
      </c>
      <c r="J818" s="92" t="str">
        <f>G818-E818</f>
      </c>
    </row>
    <row r="819">
      <c r="A819" t="s">
        <v>272</v>
      </c>
      <c r="B819" t="s">
        <v>274</v>
      </c>
      <c r="C819" s="86" t="n">
        <v>2037</v>
      </c>
      <c r="D819" t="s">
        <v>248</v>
      </c>
      <c r="E819" s="87" t="n">
        <v>425679.973741533</v>
      </c>
      <c r="F819" s="88" t="n">
        <v>218538.605332083</v>
      </c>
      <c r="G819" s="89" t="n">
        <v>427506.733072448</v>
      </c>
      <c r="H819" s="90" t="n">
        <v>221141.826108993</v>
      </c>
      <c r="I819" s="91" t="str">
        <f>H819-F819</f>
      </c>
      <c r="J819" s="92" t="str">
        <f>G819-E819</f>
      </c>
    </row>
    <row r="820">
      <c r="A820" t="s">
        <v>272</v>
      </c>
      <c r="B820" t="s">
        <v>274</v>
      </c>
      <c r="C820" s="86" t="n">
        <v>2037</v>
      </c>
      <c r="D820" t="s">
        <v>421</v>
      </c>
      <c r="E820" s="87" t="n">
        <v>13385.2354633674</v>
      </c>
      <c r="F820" s="88" t="n">
        <v>2421.5820645832</v>
      </c>
      <c r="G820" s="89" t="n">
        <v>13385.128134315</v>
      </c>
      <c r="H820" s="90" t="n">
        <v>2421.57667984156</v>
      </c>
      <c r="I820" s="91" t="str">
        <f>H820-F820</f>
      </c>
      <c r="J820" s="92" t="str">
        <f>G820-E820</f>
      </c>
    </row>
    <row r="821">
      <c r="A821" t="s">
        <v>272</v>
      </c>
      <c r="B821" t="s">
        <v>274</v>
      </c>
      <c r="C821" s="86" t="n">
        <v>2038</v>
      </c>
      <c r="D821" t="s">
        <v>419</v>
      </c>
      <c r="E821" s="87" t="n">
        <v>14815.9324962985</v>
      </c>
      <c r="F821" s="88" t="n">
        <v>10359.8552059152</v>
      </c>
      <c r="G821" s="89" t="n">
        <v>14790.2897218897</v>
      </c>
      <c r="H821" s="90" t="n">
        <v>10349.9036883417</v>
      </c>
      <c r="I821" s="91" t="str">
        <f>H821-F821</f>
      </c>
      <c r="J821" s="92" t="str">
        <f>G821-E821</f>
      </c>
    </row>
    <row r="822">
      <c r="A822" t="s">
        <v>272</v>
      </c>
      <c r="B822" t="s">
        <v>274</v>
      </c>
      <c r="C822" s="86" t="n">
        <v>2038</v>
      </c>
      <c r="D822" t="s">
        <v>224</v>
      </c>
      <c r="E822" s="87" t="n">
        <v>1022789.80585262</v>
      </c>
      <c r="F822" s="88" t="n">
        <v>186694.885099411</v>
      </c>
      <c r="G822" s="89" t="n">
        <v>1025731.21343356</v>
      </c>
      <c r="H822" s="90" t="n">
        <v>186787.491870524</v>
      </c>
      <c r="I822" s="91" t="str">
        <f>H822-F822</f>
      </c>
      <c r="J822" s="92" t="str">
        <f>G822-E822</f>
      </c>
    </row>
    <row r="823">
      <c r="A823" t="s">
        <v>272</v>
      </c>
      <c r="B823" t="s">
        <v>274</v>
      </c>
      <c r="C823" s="86" t="n">
        <v>2038</v>
      </c>
      <c r="D823" t="s">
        <v>420</v>
      </c>
      <c r="E823" s="87" t="n">
        <v>155033.09428452</v>
      </c>
      <c r="F823" s="88" t="n">
        <v>95540.7279304071</v>
      </c>
      <c r="G823" s="89" t="n">
        <v>154833.021861689</v>
      </c>
      <c r="H823" s="90" t="n">
        <v>95469.0447801143</v>
      </c>
      <c r="I823" s="91" t="str">
        <f>H823-F823</f>
      </c>
      <c r="J823" s="92" t="str">
        <f>G823-E823</f>
      </c>
    </row>
    <row r="824">
      <c r="A824" t="s">
        <v>272</v>
      </c>
      <c r="B824" t="s">
        <v>274</v>
      </c>
      <c r="C824" s="86" t="n">
        <v>2038</v>
      </c>
      <c r="D824" t="s">
        <v>235</v>
      </c>
      <c r="E824" s="87" t="n">
        <v>321132.980665273</v>
      </c>
      <c r="F824" s="88" t="n">
        <v>300935.771295964</v>
      </c>
      <c r="G824" s="89" t="n">
        <v>321808.304576111</v>
      </c>
      <c r="H824" s="90" t="n">
        <v>302464.555231106</v>
      </c>
      <c r="I824" s="91" t="str">
        <f>H824-F824</f>
      </c>
      <c r="J824" s="92" t="str">
        <f>G824-E824</f>
      </c>
    </row>
    <row r="825">
      <c r="A825" t="s">
        <v>272</v>
      </c>
      <c r="B825" t="s">
        <v>274</v>
      </c>
      <c r="C825" s="86" t="n">
        <v>2038</v>
      </c>
      <c r="D825" t="s">
        <v>244</v>
      </c>
      <c r="E825" s="87" t="n">
        <v>816174.90126836</v>
      </c>
      <c r="F825" s="88" t="n">
        <v>465432.848600277</v>
      </c>
      <c r="G825" s="89" t="n">
        <v>822517.79120794</v>
      </c>
      <c r="H825" s="90" t="n">
        <v>472964.182972518</v>
      </c>
      <c r="I825" s="91" t="str">
        <f>H825-F825</f>
      </c>
      <c r="J825" s="92" t="str">
        <f>G825-E825</f>
      </c>
    </row>
    <row r="826">
      <c r="A826" t="s">
        <v>272</v>
      </c>
      <c r="B826" t="s">
        <v>274</v>
      </c>
      <c r="C826" s="86" t="n">
        <v>2038</v>
      </c>
      <c r="D826" t="s">
        <v>248</v>
      </c>
      <c r="E826" s="87" t="n">
        <v>435844.1996151</v>
      </c>
      <c r="F826" s="88" t="n">
        <v>223854.566152452</v>
      </c>
      <c r="G826" s="89" t="n">
        <v>437875.904421767</v>
      </c>
      <c r="H826" s="90" t="n">
        <v>226837.611544716</v>
      </c>
      <c r="I826" s="91" t="str">
        <f>H826-F826</f>
      </c>
      <c r="J826" s="92" t="str">
        <f>G826-E826</f>
      </c>
    </row>
    <row r="827">
      <c r="A827" t="s">
        <v>272</v>
      </c>
      <c r="B827" t="s">
        <v>274</v>
      </c>
      <c r="C827" s="86" t="n">
        <v>2038</v>
      </c>
      <c r="D827" t="s">
        <v>421</v>
      </c>
      <c r="E827" s="87" t="n">
        <v>13130.5901128758</v>
      </c>
      <c r="F827" s="88" t="n">
        <v>2303.47042310174</v>
      </c>
      <c r="G827" s="89" t="n">
        <v>13130.4959942569</v>
      </c>
      <c r="H827" s="90" t="n">
        <v>2303.4653337572</v>
      </c>
      <c r="I827" s="91" t="str">
        <f>H827-F827</f>
      </c>
      <c r="J827" s="92" t="str">
        <f>G827-E827</f>
      </c>
    </row>
    <row r="828">
      <c r="A828" t="s">
        <v>272</v>
      </c>
      <c r="B828" t="s">
        <v>274</v>
      </c>
      <c r="C828" s="86" t="n">
        <v>2039</v>
      </c>
      <c r="D828" t="s">
        <v>419</v>
      </c>
      <c r="E828" s="87" t="n">
        <v>15165.4639636398</v>
      </c>
      <c r="F828" s="88" t="n">
        <v>10556.6506956567</v>
      </c>
      <c r="G828" s="89" t="n">
        <v>15135.74798412</v>
      </c>
      <c r="H828" s="90" t="n">
        <v>10545.0523038997</v>
      </c>
      <c r="I828" s="91" t="str">
        <f>H828-F828</f>
      </c>
      <c r="J828" s="92" t="str">
        <f>G828-E828</f>
      </c>
    </row>
    <row r="829">
      <c r="A829" t="s">
        <v>272</v>
      </c>
      <c r="B829" t="s">
        <v>274</v>
      </c>
      <c r="C829" s="86" t="n">
        <v>2039</v>
      </c>
      <c r="D829" t="s">
        <v>224</v>
      </c>
      <c r="E829" s="87" t="n">
        <v>1036241.78783253</v>
      </c>
      <c r="F829" s="88" t="n">
        <v>192189.582483448</v>
      </c>
      <c r="G829" s="89" t="n">
        <v>1039334.21211717</v>
      </c>
      <c r="H829" s="90" t="n">
        <v>192296.552192256</v>
      </c>
      <c r="I829" s="91" t="str">
        <f>H829-F829</f>
      </c>
      <c r="J829" s="92" t="str">
        <f>G829-E829</f>
      </c>
    </row>
    <row r="830">
      <c r="A830" t="s">
        <v>272</v>
      </c>
      <c r="B830" t="s">
        <v>274</v>
      </c>
      <c r="C830" s="86" t="n">
        <v>2039</v>
      </c>
      <c r="D830" t="s">
        <v>420</v>
      </c>
      <c r="E830" s="87" t="n">
        <v>158557.750134373</v>
      </c>
      <c r="F830" s="88" t="n">
        <v>97750.449109559</v>
      </c>
      <c r="G830" s="89" t="n">
        <v>158325.904186221</v>
      </c>
      <c r="H830" s="90" t="n">
        <v>97666.5125218666</v>
      </c>
      <c r="I830" s="91" t="str">
        <f>H830-F830</f>
      </c>
      <c r="J830" s="92" t="str">
        <f>G830-E830</f>
      </c>
    </row>
    <row r="831">
      <c r="A831" t="s">
        <v>272</v>
      </c>
      <c r="B831" t="s">
        <v>274</v>
      </c>
      <c r="C831" s="86" t="n">
        <v>2039</v>
      </c>
      <c r="D831" t="s">
        <v>235</v>
      </c>
      <c r="E831" s="87" t="n">
        <v>324223.051868667</v>
      </c>
      <c r="F831" s="88" t="n">
        <v>303904.951342225</v>
      </c>
      <c r="G831" s="89" t="n">
        <v>324947.685920243</v>
      </c>
      <c r="H831" s="90" t="n">
        <v>305533.683824107</v>
      </c>
      <c r="I831" s="91" t="str">
        <f>H831-F831</f>
      </c>
      <c r="J831" s="92" t="str">
        <f>G831-E831</f>
      </c>
    </row>
    <row r="832">
      <c r="A832" t="s">
        <v>272</v>
      </c>
      <c r="B832" t="s">
        <v>274</v>
      </c>
      <c r="C832" s="86" t="n">
        <v>2039</v>
      </c>
      <c r="D832" t="s">
        <v>244</v>
      </c>
      <c r="E832" s="87" t="n">
        <v>831456.177192192</v>
      </c>
      <c r="F832" s="88" t="n">
        <v>475979.36876733</v>
      </c>
      <c r="G832" s="89" t="n">
        <v>838380.897928912</v>
      </c>
      <c r="H832" s="90" t="n">
        <v>484364.275142346</v>
      </c>
      <c r="I832" s="91" t="str">
        <f>H832-F832</f>
      </c>
      <c r="J832" s="92" t="str">
        <f>G832-E832</f>
      </c>
    </row>
    <row r="833">
      <c r="A833" t="s">
        <v>272</v>
      </c>
      <c r="B833" t="s">
        <v>274</v>
      </c>
      <c r="C833" s="86" t="n">
        <v>2039</v>
      </c>
      <c r="D833" t="s">
        <v>248</v>
      </c>
      <c r="E833" s="87" t="n">
        <v>443870.307657783</v>
      </c>
      <c r="F833" s="88" t="n">
        <v>229386.134362262</v>
      </c>
      <c r="G833" s="89" t="n">
        <v>446097.450852593</v>
      </c>
      <c r="H833" s="90" t="n">
        <v>232753.81626835</v>
      </c>
      <c r="I833" s="91" t="str">
        <f>H833-F833</f>
      </c>
      <c r="J833" s="92" t="str">
        <f>G833-E833</f>
      </c>
    </row>
    <row r="834">
      <c r="A834" t="s">
        <v>272</v>
      </c>
      <c r="B834" t="s">
        <v>274</v>
      </c>
      <c r="C834" s="86" t="n">
        <v>2039</v>
      </c>
      <c r="D834" t="s">
        <v>421</v>
      </c>
      <c r="E834" s="87" t="n">
        <v>13011.011471426</v>
      </c>
      <c r="F834" s="88" t="n">
        <v>2187.90873028918</v>
      </c>
      <c r="G834" s="89" t="n">
        <v>13010.9148835445</v>
      </c>
      <c r="H834" s="90" t="n">
        <v>2187.90404676672</v>
      </c>
      <c r="I834" s="91" t="str">
        <f>H834-F834</f>
      </c>
      <c r="J834" s="92" t="str">
        <f>G834-E834</f>
      </c>
    </row>
    <row r="835">
      <c r="A835" t="s">
        <v>272</v>
      </c>
      <c r="B835" t="s">
        <v>274</v>
      </c>
      <c r="C835" s="86" t="n">
        <v>2040</v>
      </c>
      <c r="D835" t="s">
        <v>419</v>
      </c>
      <c r="E835" s="87" t="n">
        <v>15566.0579045639</v>
      </c>
      <c r="F835" s="88" t="n">
        <v>10754.2193271072</v>
      </c>
      <c r="G835" s="89" t="n">
        <v>15531.5458454137</v>
      </c>
      <c r="H835" s="90" t="n">
        <v>10740.752829966</v>
      </c>
      <c r="I835" s="91" t="str">
        <f>H835-F835</f>
      </c>
      <c r="J835" s="92" t="str">
        <f>G835-E835</f>
      </c>
    </row>
    <row r="836">
      <c r="A836" t="s">
        <v>272</v>
      </c>
      <c r="B836" t="s">
        <v>274</v>
      </c>
      <c r="C836" s="86" t="n">
        <v>2040</v>
      </c>
      <c r="D836" t="s">
        <v>224</v>
      </c>
      <c r="E836" s="87" t="n">
        <v>1048041.13793294</v>
      </c>
      <c r="F836" s="88" t="n">
        <v>197618.25305519</v>
      </c>
      <c r="G836" s="89" t="n">
        <v>1051265.69371329</v>
      </c>
      <c r="H836" s="90" t="n">
        <v>197739.851826417</v>
      </c>
      <c r="I836" s="91" t="str">
        <f>H836-F836</f>
      </c>
      <c r="J836" s="92" t="str">
        <f>G836-E836</f>
      </c>
    </row>
    <row r="837">
      <c r="A837" t="s">
        <v>272</v>
      </c>
      <c r="B837" t="s">
        <v>274</v>
      </c>
      <c r="C837" s="86" t="n">
        <v>2040</v>
      </c>
      <c r="D837" t="s">
        <v>420</v>
      </c>
      <c r="E837" s="87" t="n">
        <v>162284.467323031</v>
      </c>
      <c r="F837" s="88" t="n">
        <v>99928.2872318333</v>
      </c>
      <c r="G837" s="89" t="n">
        <v>162016.43342865</v>
      </c>
      <c r="H837" s="90" t="n">
        <v>99830.4797881527</v>
      </c>
      <c r="I837" s="91" t="str">
        <f>H837-F837</f>
      </c>
      <c r="J837" s="92" t="str">
        <f>G837-E837</f>
      </c>
    </row>
    <row r="838">
      <c r="A838" t="s">
        <v>272</v>
      </c>
      <c r="B838" t="s">
        <v>274</v>
      </c>
      <c r="C838" s="86" t="n">
        <v>2040</v>
      </c>
      <c r="D838" t="s">
        <v>235</v>
      </c>
      <c r="E838" s="87" t="n">
        <v>327059.87845262</v>
      </c>
      <c r="F838" s="88" t="n">
        <v>306608.692557336</v>
      </c>
      <c r="G838" s="89" t="n">
        <v>327830.115399056</v>
      </c>
      <c r="H838" s="90" t="n">
        <v>308326.231940747</v>
      </c>
      <c r="I838" s="91" t="str">
        <f>H838-F838</f>
      </c>
      <c r="J838" s="92" t="str">
        <f>G838-E838</f>
      </c>
    </row>
    <row r="839">
      <c r="A839" t="s">
        <v>272</v>
      </c>
      <c r="B839" t="s">
        <v>274</v>
      </c>
      <c r="C839" s="86" t="n">
        <v>2040</v>
      </c>
      <c r="D839" t="s">
        <v>244</v>
      </c>
      <c r="E839" s="87" t="n">
        <v>845718.174514249</v>
      </c>
      <c r="F839" s="88" t="n">
        <v>486235.064755112</v>
      </c>
      <c r="G839" s="89" t="n">
        <v>853229.023620414</v>
      </c>
      <c r="H839" s="90" t="n">
        <v>495491.389021897</v>
      </c>
      <c r="I839" s="91" t="str">
        <f>H839-F839</f>
      </c>
      <c r="J839" s="92" t="str">
        <f>G839-E839</f>
      </c>
    </row>
    <row r="840">
      <c r="A840" t="s">
        <v>272</v>
      </c>
      <c r="B840" t="s">
        <v>274</v>
      </c>
      <c r="C840" s="86" t="n">
        <v>2040</v>
      </c>
      <c r="D840" t="s">
        <v>248</v>
      </c>
      <c r="E840" s="87" t="n">
        <v>451175.515893929</v>
      </c>
      <c r="F840" s="88" t="n">
        <v>234830.583903612</v>
      </c>
      <c r="G840" s="89" t="n">
        <v>453595.602682997</v>
      </c>
      <c r="H840" s="90" t="n">
        <v>238587.525717873</v>
      </c>
      <c r="I840" s="91" t="str">
        <f>H840-F840</f>
      </c>
      <c r="J840" s="92" t="str">
        <f>G840-E840</f>
      </c>
    </row>
    <row r="841">
      <c r="A841" t="s">
        <v>272</v>
      </c>
      <c r="B841" t="s">
        <v>274</v>
      </c>
      <c r="C841" s="86" t="n">
        <v>2040</v>
      </c>
      <c r="D841" t="s">
        <v>421</v>
      </c>
      <c r="E841" s="87" t="n">
        <v>12921.7035296712</v>
      </c>
      <c r="F841" s="88" t="n">
        <v>2071.44873570716</v>
      </c>
      <c r="G841" s="89" t="n">
        <v>12921.6065425891</v>
      </c>
      <c r="H841" s="90" t="n">
        <v>2071.44438113687</v>
      </c>
      <c r="I841" s="91" t="str">
        <f>H841-F841</f>
      </c>
      <c r="J841" s="92" t="str">
        <f>G841-E841</f>
      </c>
    </row>
    <row r="842">
      <c r="A842" t="s">
        <v>272</v>
      </c>
      <c r="B842" t="s">
        <v>274</v>
      </c>
      <c r="C842" s="86" t="n">
        <v>2041</v>
      </c>
      <c r="D842" t="s">
        <v>419</v>
      </c>
      <c r="E842" s="87" t="n">
        <v>15960.8043161176</v>
      </c>
      <c r="F842" s="88" t="n">
        <v>10955.111004842</v>
      </c>
      <c r="G842" s="89" t="n">
        <v>15920.8775016153</v>
      </c>
      <c r="H842" s="90" t="n">
        <v>10939.5011556982</v>
      </c>
      <c r="I842" s="91" t="str">
        <f>H842-F842</f>
      </c>
      <c r="J842" s="92" t="str">
        <f>G842-E842</f>
      </c>
    </row>
    <row r="843">
      <c r="A843" t="s">
        <v>272</v>
      </c>
      <c r="B843" t="s">
        <v>274</v>
      </c>
      <c r="C843" s="86" t="n">
        <v>2041</v>
      </c>
      <c r="D843" t="s">
        <v>224</v>
      </c>
      <c r="E843" s="87" t="n">
        <v>1063209.05758239</v>
      </c>
      <c r="F843" s="88" t="n">
        <v>203064.792911683</v>
      </c>
      <c r="G843" s="89" t="n">
        <v>1066563.6735298</v>
      </c>
      <c r="H843" s="90" t="n">
        <v>203201.128796519</v>
      </c>
      <c r="I843" s="91" t="str">
        <f>H843-F843</f>
      </c>
      <c r="J843" s="92" t="str">
        <f>G843-E843</f>
      </c>
    </row>
    <row r="844">
      <c r="A844" t="s">
        <v>272</v>
      </c>
      <c r="B844" t="s">
        <v>274</v>
      </c>
      <c r="C844" s="86" t="n">
        <v>2041</v>
      </c>
      <c r="D844" t="s">
        <v>420</v>
      </c>
      <c r="E844" s="87" t="n">
        <v>165911.83692616</v>
      </c>
      <c r="F844" s="88" t="n">
        <v>102112.339098847</v>
      </c>
      <c r="G844" s="89" t="n">
        <v>165603.256683252</v>
      </c>
      <c r="H844" s="90" t="n">
        <v>101998.78936442</v>
      </c>
      <c r="I844" s="91" t="str">
        <f>H844-F844</f>
      </c>
      <c r="J844" s="92" t="str">
        <f>G844-E844</f>
      </c>
    </row>
    <row r="845">
      <c r="A845" t="s">
        <v>272</v>
      </c>
      <c r="B845" t="s">
        <v>274</v>
      </c>
      <c r="C845" s="86" t="n">
        <v>2041</v>
      </c>
      <c r="D845" t="s">
        <v>235</v>
      </c>
      <c r="E845" s="87" t="n">
        <v>330072.901063544</v>
      </c>
      <c r="F845" s="88" t="n">
        <v>309549.730106241</v>
      </c>
      <c r="G845" s="89" t="n">
        <v>330799.892538861</v>
      </c>
      <c r="H845" s="90" t="n">
        <v>311000.568285778</v>
      </c>
      <c r="I845" s="91" t="str">
        <f>H845-F845</f>
      </c>
      <c r="J845" s="92" t="str">
        <f>G845-E845</f>
      </c>
    </row>
    <row r="846">
      <c r="A846" t="s">
        <v>272</v>
      </c>
      <c r="B846" t="s">
        <v>274</v>
      </c>
      <c r="C846" s="86" t="n">
        <v>2041</v>
      </c>
      <c r="D846" t="s">
        <v>244</v>
      </c>
      <c r="E846" s="87" t="n">
        <v>861551.345061861</v>
      </c>
      <c r="F846" s="88" t="n">
        <v>497242.849872901</v>
      </c>
      <c r="G846" s="89" t="n">
        <v>869077.592101044</v>
      </c>
      <c r="H846" s="90" t="n">
        <v>506572.614435606</v>
      </c>
      <c r="I846" s="91" t="str">
        <f>H846-F846</f>
      </c>
      <c r="J846" s="92" t="str">
        <f>G846-E846</f>
      </c>
    </row>
    <row r="847">
      <c r="A847" t="s">
        <v>272</v>
      </c>
      <c r="B847" t="s">
        <v>274</v>
      </c>
      <c r="C847" s="86" t="n">
        <v>2041</v>
      </c>
      <c r="D847" t="s">
        <v>248</v>
      </c>
      <c r="E847" s="87" t="n">
        <v>459186.975077709</v>
      </c>
      <c r="F847" s="88" t="n">
        <v>240679.956723221</v>
      </c>
      <c r="G847" s="89" t="n">
        <v>461572.525619781</v>
      </c>
      <c r="H847" s="90" t="n">
        <v>244403.938380915</v>
      </c>
      <c r="I847" s="91" t="str">
        <f>H847-F847</f>
      </c>
      <c r="J847" s="92" t="str">
        <f>G847-E847</f>
      </c>
    </row>
    <row r="848">
      <c r="A848" t="s">
        <v>272</v>
      </c>
      <c r="B848" t="s">
        <v>274</v>
      </c>
      <c r="C848" s="86" t="n">
        <v>2041</v>
      </c>
      <c r="D848" t="s">
        <v>421</v>
      </c>
      <c r="E848" s="87" t="n">
        <v>12914.0612570531</v>
      </c>
      <c r="F848" s="88" t="n">
        <v>1954.42760944251</v>
      </c>
      <c r="G848" s="89" t="n">
        <v>12913.9661072478</v>
      </c>
      <c r="H848" s="90" t="n">
        <v>1954.42370545678</v>
      </c>
      <c r="I848" s="91" t="str">
        <f>H848-F848</f>
      </c>
      <c r="J848" s="92" t="str">
        <f>G848-E848</f>
      </c>
    </row>
    <row r="849">
      <c r="A849" t="s">
        <v>272</v>
      </c>
      <c r="B849" t="s">
        <v>274</v>
      </c>
      <c r="C849" s="86" t="n">
        <v>2042</v>
      </c>
      <c r="D849" t="s">
        <v>419</v>
      </c>
      <c r="E849" s="87" t="n">
        <v>16355.0737146453</v>
      </c>
      <c r="F849" s="88" t="n">
        <v>11153.5449864121</v>
      </c>
      <c r="G849" s="89" t="n">
        <v>16309.8993609652</v>
      </c>
      <c r="H849" s="90" t="n">
        <v>11135.4965430843</v>
      </c>
      <c r="I849" s="91" t="str">
        <f>H849-F849</f>
      </c>
      <c r="J849" s="92" t="str">
        <f>G849-E849</f>
      </c>
    </row>
    <row r="850">
      <c r="A850" t="s">
        <v>272</v>
      </c>
      <c r="B850" t="s">
        <v>274</v>
      </c>
      <c r="C850" s="86" t="n">
        <v>2042</v>
      </c>
      <c r="D850" t="s">
        <v>224</v>
      </c>
      <c r="E850" s="87" t="n">
        <v>1074563.76264571</v>
      </c>
      <c r="F850" s="88" t="n">
        <v>208495.600769422</v>
      </c>
      <c r="G850" s="89" t="n">
        <v>1078026.60097981</v>
      </c>
      <c r="H850" s="90" t="n">
        <v>208646.654553543</v>
      </c>
      <c r="I850" s="91" t="str">
        <f>H850-F850</f>
      </c>
      <c r="J850" s="92" t="str">
        <f>G850-E850</f>
      </c>
    </row>
    <row r="851">
      <c r="A851" t="s">
        <v>272</v>
      </c>
      <c r="B851" t="s">
        <v>274</v>
      </c>
      <c r="C851" s="86" t="n">
        <v>2042</v>
      </c>
      <c r="D851" t="s">
        <v>420</v>
      </c>
      <c r="E851" s="87" t="n">
        <v>169488.995972282</v>
      </c>
      <c r="F851" s="88" t="n">
        <v>104285.087164836</v>
      </c>
      <c r="G851" s="89" t="n">
        <v>169141.556637021</v>
      </c>
      <c r="H851" s="90" t="n">
        <v>104153.760083299</v>
      </c>
      <c r="I851" s="91" t="str">
        <f>H851-F851</f>
      </c>
      <c r="J851" s="92" t="str">
        <f>G851-E851</f>
      </c>
    </row>
    <row r="852">
      <c r="A852" t="s">
        <v>272</v>
      </c>
      <c r="B852" t="s">
        <v>274</v>
      </c>
      <c r="C852" s="86" t="n">
        <v>2042</v>
      </c>
      <c r="D852" t="s">
        <v>235</v>
      </c>
      <c r="E852" s="87" t="n">
        <v>332636.590540443</v>
      </c>
      <c r="F852" s="88" t="n">
        <v>312142.026355177</v>
      </c>
      <c r="G852" s="89" t="n">
        <v>333321.323938657</v>
      </c>
      <c r="H852" s="90" t="n">
        <v>313428.604068663</v>
      </c>
      <c r="I852" s="91" t="str">
        <f>H852-F852</f>
      </c>
      <c r="J852" s="92" t="str">
        <f>G852-E852</f>
      </c>
    </row>
    <row r="853">
      <c r="A853" t="s">
        <v>272</v>
      </c>
      <c r="B853" t="s">
        <v>274</v>
      </c>
      <c r="C853" s="86" t="n">
        <v>2042</v>
      </c>
      <c r="D853" t="s">
        <v>244</v>
      </c>
      <c r="E853" s="87" t="n">
        <v>876742.914625966</v>
      </c>
      <c r="F853" s="88" t="n">
        <v>508090.183773056</v>
      </c>
      <c r="G853" s="89" t="n">
        <v>884281.978207785</v>
      </c>
      <c r="H853" s="90" t="n">
        <v>517499.023505678</v>
      </c>
      <c r="I853" s="91" t="str">
        <f>H853-F853</f>
      </c>
      <c r="J853" s="92" t="str">
        <f>G853-E853</f>
      </c>
    </row>
    <row r="854">
      <c r="A854" t="s">
        <v>272</v>
      </c>
      <c r="B854" t="s">
        <v>274</v>
      </c>
      <c r="C854" s="86" t="n">
        <v>2042</v>
      </c>
      <c r="D854" t="s">
        <v>248</v>
      </c>
      <c r="E854" s="87" t="n">
        <v>467100.792767105</v>
      </c>
      <c r="F854" s="88" t="n">
        <v>246467.883384353</v>
      </c>
      <c r="G854" s="89" t="n">
        <v>469454.149721884</v>
      </c>
      <c r="H854" s="90" t="n">
        <v>250175.663514197</v>
      </c>
      <c r="I854" s="91" t="str">
        <f>H854-F854</f>
      </c>
      <c r="J854" s="92" t="str">
        <f>G854-E854</f>
      </c>
    </row>
    <row r="855">
      <c r="A855" t="s">
        <v>272</v>
      </c>
      <c r="B855" t="s">
        <v>274</v>
      </c>
      <c r="C855" s="86" t="n">
        <v>2042</v>
      </c>
      <c r="D855" t="s">
        <v>421</v>
      </c>
      <c r="E855" s="87" t="n">
        <v>12448.0554895359</v>
      </c>
      <c r="F855" s="88" t="n">
        <v>1837.14132212129</v>
      </c>
      <c r="G855" s="89" t="n">
        <v>12447.9578277165</v>
      </c>
      <c r="H855" s="90" t="n">
        <v>1837.13778678778</v>
      </c>
      <c r="I855" s="91" t="str">
        <f>H855-F855</f>
      </c>
      <c r="J855" s="92" t="str">
        <f>G855-E855</f>
      </c>
    </row>
    <row r="856">
      <c r="A856" t="s">
        <v>272</v>
      </c>
      <c r="B856" t="s">
        <v>274</v>
      </c>
      <c r="C856" s="86" t="n">
        <v>2043</v>
      </c>
      <c r="D856" t="s">
        <v>419</v>
      </c>
      <c r="E856" s="87" t="n">
        <v>16805.3162212762</v>
      </c>
      <c r="F856" s="88" t="n">
        <v>11361.2784147426</v>
      </c>
      <c r="G856" s="89" t="n">
        <v>16754.8072801891</v>
      </c>
      <c r="H856" s="90" t="n">
        <v>11340.588740714</v>
      </c>
      <c r="I856" s="91" t="str">
        <f>H856-F856</f>
      </c>
      <c r="J856" s="92" t="str">
        <f>G856-E856</f>
      </c>
    </row>
    <row r="857">
      <c r="A857" t="s">
        <v>272</v>
      </c>
      <c r="B857" t="s">
        <v>274</v>
      </c>
      <c r="C857" s="86" t="n">
        <v>2043</v>
      </c>
      <c r="D857" t="s">
        <v>224</v>
      </c>
      <c r="E857" s="87" t="n">
        <v>1086049.59457683</v>
      </c>
      <c r="F857" s="88" t="n">
        <v>213847.80493968</v>
      </c>
      <c r="G857" s="89" t="n">
        <v>1089617.8876954</v>
      </c>
      <c r="H857" s="90" t="n">
        <v>214013.627325169</v>
      </c>
      <c r="I857" s="91" t="str">
        <f>H857-F857</f>
      </c>
      <c r="J857" s="92" t="str">
        <f>G857-E857</f>
      </c>
    </row>
    <row r="858">
      <c r="A858" t="s">
        <v>272</v>
      </c>
      <c r="B858" t="s">
        <v>274</v>
      </c>
      <c r="C858" s="86" t="n">
        <v>2043</v>
      </c>
      <c r="D858" t="s">
        <v>420</v>
      </c>
      <c r="E858" s="87" t="n">
        <v>173794.14692065</v>
      </c>
      <c r="F858" s="88" t="n">
        <v>106447.073243745</v>
      </c>
      <c r="G858" s="89" t="n">
        <v>173407.833179956</v>
      </c>
      <c r="H858" s="90" t="n">
        <v>106296.685429372</v>
      </c>
      <c r="I858" s="91" t="str">
        <f>H858-F858</f>
      </c>
      <c r="J858" s="92" t="str">
        <f>G858-E858</f>
      </c>
    </row>
    <row r="859">
      <c r="A859" t="s">
        <v>272</v>
      </c>
      <c r="B859" t="s">
        <v>274</v>
      </c>
      <c r="C859" s="86" t="n">
        <v>2043</v>
      </c>
      <c r="D859" t="s">
        <v>235</v>
      </c>
      <c r="E859" s="87" t="n">
        <v>334548.232930263</v>
      </c>
      <c r="F859" s="88" t="n">
        <v>314182.783717462</v>
      </c>
      <c r="G859" s="89" t="n">
        <v>335190.948405484</v>
      </c>
      <c r="H859" s="90" t="n">
        <v>315350.995136011</v>
      </c>
      <c r="I859" s="91" t="str">
        <f>H859-F859</f>
      </c>
      <c r="J859" s="92" t="str">
        <f>G859-E859</f>
      </c>
    </row>
    <row r="860">
      <c r="A860" t="s">
        <v>272</v>
      </c>
      <c r="B860" t="s">
        <v>274</v>
      </c>
      <c r="C860" s="86" t="n">
        <v>2043</v>
      </c>
      <c r="D860" t="s">
        <v>244</v>
      </c>
      <c r="E860" s="87" t="n">
        <v>894197.027205451</v>
      </c>
      <c r="F860" s="88" t="n">
        <v>518591.943136852</v>
      </c>
      <c r="G860" s="89" t="n">
        <v>901770.411974376</v>
      </c>
      <c r="H860" s="90" t="n">
        <v>528079.181081669</v>
      </c>
      <c r="I860" s="91" t="str">
        <f>H860-F860</f>
      </c>
      <c r="J860" s="92" t="str">
        <f>G860-E860</f>
      </c>
    </row>
    <row r="861">
      <c r="A861" t="s">
        <v>272</v>
      </c>
      <c r="B861" t="s">
        <v>274</v>
      </c>
      <c r="C861" s="86" t="n">
        <v>2043</v>
      </c>
      <c r="D861" t="s">
        <v>248</v>
      </c>
      <c r="E861" s="87" t="n">
        <v>477147.689735815</v>
      </c>
      <c r="F861" s="88" t="n">
        <v>252288.477729641</v>
      </c>
      <c r="G861" s="89" t="n">
        <v>479482.188386743</v>
      </c>
      <c r="H861" s="90" t="n">
        <v>255992.973248088</v>
      </c>
      <c r="I861" s="91" t="str">
        <f>H861-F861</f>
      </c>
      <c r="J861" s="92" t="str">
        <f>G861-E861</f>
      </c>
    </row>
    <row r="862">
      <c r="A862" t="s">
        <v>272</v>
      </c>
      <c r="B862" t="s">
        <v>274</v>
      </c>
      <c r="C862" s="86" t="n">
        <v>2043</v>
      </c>
      <c r="D862" t="s">
        <v>421</v>
      </c>
      <c r="E862" s="87" t="n">
        <v>12246.6680655388</v>
      </c>
      <c r="F862" s="88" t="n">
        <v>1731.13496310666</v>
      </c>
      <c r="G862" s="89" t="n">
        <v>12246.5731114781</v>
      </c>
      <c r="H862" s="90" t="n">
        <v>1731.1314511154</v>
      </c>
      <c r="I862" s="91" t="str">
        <f>H862-F862</f>
      </c>
      <c r="J862" s="92" t="str">
        <f>G862-E862</f>
      </c>
    </row>
    <row r="863">
      <c r="A863" t="s">
        <v>272</v>
      </c>
      <c r="B863" t="s">
        <v>274</v>
      </c>
      <c r="C863" s="86" t="n">
        <v>2044</v>
      </c>
      <c r="D863" t="s">
        <v>419</v>
      </c>
      <c r="E863" s="87" t="n">
        <v>17197.2473990579</v>
      </c>
      <c r="F863" s="88" t="n">
        <v>11564.1852901218</v>
      </c>
      <c r="G863" s="89" t="n">
        <v>17141.7120461147</v>
      </c>
      <c r="H863" s="90" t="n">
        <v>11540.7879834335</v>
      </c>
      <c r="I863" s="91" t="str">
        <f>H863-F863</f>
      </c>
      <c r="J863" s="92" t="str">
        <f>G863-E863</f>
      </c>
    </row>
    <row r="864">
      <c r="A864" t="s">
        <v>272</v>
      </c>
      <c r="B864" t="s">
        <v>274</v>
      </c>
      <c r="C864" s="86" t="n">
        <v>2044</v>
      </c>
      <c r="D864" t="s">
        <v>224</v>
      </c>
      <c r="E864" s="87" t="n">
        <v>1096927.28781132</v>
      </c>
      <c r="F864" s="88" t="n">
        <v>219206.826421263</v>
      </c>
      <c r="G864" s="89" t="n">
        <v>1100597.33187273</v>
      </c>
      <c r="H864" s="90" t="n">
        <v>219387.626065992</v>
      </c>
      <c r="I864" s="91" t="str">
        <f>H864-F864</f>
      </c>
      <c r="J864" s="92" t="str">
        <f>G864-E864</f>
      </c>
    </row>
    <row r="865">
      <c r="A865" t="s">
        <v>272</v>
      </c>
      <c r="B865" t="s">
        <v>274</v>
      </c>
      <c r="C865" s="86" t="n">
        <v>2044</v>
      </c>
      <c r="D865" t="s">
        <v>420</v>
      </c>
      <c r="E865" s="87" t="n">
        <v>177143.626299267</v>
      </c>
      <c r="F865" s="88" t="n">
        <v>108575.120751099</v>
      </c>
      <c r="G865" s="89" t="n">
        <v>176720.973913542</v>
      </c>
      <c r="H865" s="90" t="n">
        <v>108405.015378104</v>
      </c>
      <c r="I865" s="91" t="str">
        <f>H865-F865</f>
      </c>
      <c r="J865" s="92" t="str">
        <f>G865-E865</f>
      </c>
    </row>
    <row r="866">
      <c r="A866" t="s">
        <v>272</v>
      </c>
      <c r="B866" t="s">
        <v>274</v>
      </c>
      <c r="C866" s="86" t="n">
        <v>2044</v>
      </c>
      <c r="D866" t="s">
        <v>235</v>
      </c>
      <c r="E866" s="87" t="n">
        <v>336538.307563109</v>
      </c>
      <c r="F866" s="88" t="n">
        <v>316094.838999493</v>
      </c>
      <c r="G866" s="89" t="n">
        <v>337141.608513163</v>
      </c>
      <c r="H866" s="90" t="n">
        <v>317170.637977033</v>
      </c>
      <c r="I866" s="91" t="str">
        <f>H866-F866</f>
      </c>
      <c r="J866" s="92" t="str">
        <f>G866-E866</f>
      </c>
    </row>
    <row r="867">
      <c r="A867" t="s">
        <v>272</v>
      </c>
      <c r="B867" t="s">
        <v>274</v>
      </c>
      <c r="C867" s="86" t="n">
        <v>2044</v>
      </c>
      <c r="D867" t="s">
        <v>244</v>
      </c>
      <c r="E867" s="87" t="n">
        <v>908123.332936345</v>
      </c>
      <c r="F867" s="88" t="n">
        <v>528955.327003518</v>
      </c>
      <c r="G867" s="89" t="n">
        <v>915703.811540802</v>
      </c>
      <c r="H867" s="90" t="n">
        <v>538525.397411542</v>
      </c>
      <c r="I867" s="91" t="str">
        <f>H867-F867</f>
      </c>
      <c r="J867" s="92" t="str">
        <f>G867-E867</f>
      </c>
    </row>
    <row r="868">
      <c r="A868" t="s">
        <v>272</v>
      </c>
      <c r="B868" t="s">
        <v>274</v>
      </c>
      <c r="C868" s="86" t="n">
        <v>2044</v>
      </c>
      <c r="D868" t="s">
        <v>248</v>
      </c>
      <c r="E868" s="87" t="n">
        <v>484298.70328774</v>
      </c>
      <c r="F868" s="88" t="n">
        <v>257973.765200741</v>
      </c>
      <c r="G868" s="89" t="n">
        <v>486601.390422378</v>
      </c>
      <c r="H868" s="90" t="n">
        <v>261683.339551894</v>
      </c>
      <c r="I868" s="91" t="str">
        <f>H868-F868</f>
      </c>
      <c r="J868" s="92" t="str">
        <f>G868-E868</f>
      </c>
    </row>
    <row r="869">
      <c r="A869" t="s">
        <v>272</v>
      </c>
      <c r="B869" t="s">
        <v>274</v>
      </c>
      <c r="C869" s="86" t="n">
        <v>2044</v>
      </c>
      <c r="D869" t="s">
        <v>421</v>
      </c>
      <c r="E869" s="87" t="n">
        <v>12149.9556914203</v>
      </c>
      <c r="F869" s="88" t="n">
        <v>1626.3789653978</v>
      </c>
      <c r="G869" s="89" t="n">
        <v>12149.8552379252</v>
      </c>
      <c r="H869" s="90" t="n">
        <v>1626.37538137955</v>
      </c>
      <c r="I869" s="91" t="str">
        <f>H869-F869</f>
      </c>
      <c r="J869" s="92" t="str">
        <f>G869-E869</f>
      </c>
    </row>
    <row r="870">
      <c r="A870" t="s">
        <v>272</v>
      </c>
      <c r="B870" t="s">
        <v>274</v>
      </c>
      <c r="C870" s="86" t="n">
        <v>2045</v>
      </c>
      <c r="D870" t="s">
        <v>419</v>
      </c>
      <c r="E870" s="87" t="n">
        <v>17618.7230336725</v>
      </c>
      <c r="F870" s="88" t="n">
        <v>11772.0547677582</v>
      </c>
      <c r="G870" s="89" t="n">
        <v>17558.0225793012</v>
      </c>
      <c r="H870" s="90" t="n">
        <v>11745.9298391965</v>
      </c>
      <c r="I870" s="91" t="str">
        <f>H870-F870</f>
      </c>
      <c r="J870" s="92" t="str">
        <f>G870-E870</f>
      </c>
    </row>
    <row r="871">
      <c r="A871" t="s">
        <v>272</v>
      </c>
      <c r="B871" t="s">
        <v>274</v>
      </c>
      <c r="C871" s="86" t="n">
        <v>2045</v>
      </c>
      <c r="D871" t="s">
        <v>224</v>
      </c>
      <c r="E871" s="87" t="n">
        <v>1107073.19798731</v>
      </c>
      <c r="F871" s="88" t="n">
        <v>224592.979831426</v>
      </c>
      <c r="G871" s="89" t="n">
        <v>1110841.03545085</v>
      </c>
      <c r="H871" s="90" t="n">
        <v>224789.135470853</v>
      </c>
      <c r="I871" s="91" t="str">
        <f>H871-F871</f>
      </c>
      <c r="J871" s="92" t="str">
        <f>G871-E871</f>
      </c>
    </row>
    <row r="872">
      <c r="A872" t="s">
        <v>272</v>
      </c>
      <c r="B872" t="s">
        <v>274</v>
      </c>
      <c r="C872" s="86" t="n">
        <v>2045</v>
      </c>
      <c r="D872" t="s">
        <v>420</v>
      </c>
      <c r="E872" s="87" t="n">
        <v>180612.524966598</v>
      </c>
      <c r="F872" s="88" t="n">
        <v>110725.55859125</v>
      </c>
      <c r="G872" s="89" t="n">
        <v>180153.68435169</v>
      </c>
      <c r="H872" s="90" t="n">
        <v>110535.42825069</v>
      </c>
      <c r="I872" s="91" t="str">
        <f>H872-F872</f>
      </c>
      <c r="J872" s="92" t="str">
        <f>G872-E872</f>
      </c>
    </row>
    <row r="873">
      <c r="A873" t="s">
        <v>272</v>
      </c>
      <c r="B873" t="s">
        <v>274</v>
      </c>
      <c r="C873" s="86" t="n">
        <v>2045</v>
      </c>
      <c r="D873" t="s">
        <v>235</v>
      </c>
      <c r="E873" s="87" t="n">
        <v>338603.780018955</v>
      </c>
      <c r="F873" s="88" t="n">
        <v>317919.036098355</v>
      </c>
      <c r="G873" s="89" t="n">
        <v>339169.596103443</v>
      </c>
      <c r="H873" s="90" t="n">
        <v>318918.904925021</v>
      </c>
      <c r="I873" s="91" t="str">
        <f>H873-F873</f>
      </c>
      <c r="J873" s="92" t="str">
        <f>G873-E873</f>
      </c>
    </row>
    <row r="874">
      <c r="A874" t="s">
        <v>272</v>
      </c>
      <c r="B874" t="s">
        <v>274</v>
      </c>
      <c r="C874" s="86" t="n">
        <v>2045</v>
      </c>
      <c r="D874" t="s">
        <v>244</v>
      </c>
      <c r="E874" s="87" t="n">
        <v>921612.961947946</v>
      </c>
      <c r="F874" s="88" t="n">
        <v>539361.292893485</v>
      </c>
      <c r="G874" s="89" t="n">
        <v>929197.274787431</v>
      </c>
      <c r="H874" s="90" t="n">
        <v>549018.34448389</v>
      </c>
      <c r="I874" s="91" t="str">
        <f>H874-F874</f>
      </c>
      <c r="J874" s="92" t="str">
        <f>G874-E874</f>
      </c>
    </row>
    <row r="875">
      <c r="A875" t="s">
        <v>272</v>
      </c>
      <c r="B875" t="s">
        <v>274</v>
      </c>
      <c r="C875" s="86" t="n">
        <v>2045</v>
      </c>
      <c r="D875" t="s">
        <v>248</v>
      </c>
      <c r="E875" s="87" t="n">
        <v>490986.379664958</v>
      </c>
      <c r="F875" s="88" t="n">
        <v>263661.527341196</v>
      </c>
      <c r="G875" s="89" t="n">
        <v>493255.893083406</v>
      </c>
      <c r="H875" s="90" t="n">
        <v>267382.392924501</v>
      </c>
      <c r="I875" s="91" t="str">
        <f>H875-F875</f>
      </c>
      <c r="J875" s="92" t="str">
        <f>G875-E875</f>
      </c>
    </row>
    <row r="876">
      <c r="A876" t="s">
        <v>272</v>
      </c>
      <c r="B876" t="s">
        <v>274</v>
      </c>
      <c r="C876" s="86" t="n">
        <v>2045</v>
      </c>
      <c r="D876" t="s">
        <v>421</v>
      </c>
      <c r="E876" s="87" t="n">
        <v>12048.6055807393</v>
      </c>
      <c r="F876" s="88" t="n">
        <v>1523.26778956566</v>
      </c>
      <c r="G876" s="89" t="n">
        <v>12048.500629735</v>
      </c>
      <c r="H876" s="90" t="n">
        <v>1523.26402182686</v>
      </c>
      <c r="I876" s="91" t="str">
        <f>H876-F876</f>
      </c>
      <c r="J876" s="92" t="str">
        <f>G876-E876</f>
      </c>
    </row>
    <row r="877">
      <c r="A877" t="s">
        <v>272</v>
      </c>
      <c r="B877" t="s">
        <v>274</v>
      </c>
      <c r="C877" s="86" t="n">
        <v>2046</v>
      </c>
      <c r="D877" t="s">
        <v>419</v>
      </c>
      <c r="E877" s="87" t="n">
        <v>18034.3535561334</v>
      </c>
      <c r="F877" s="88" t="n">
        <v>11985.3825762185</v>
      </c>
      <c r="G877" s="89" t="n">
        <v>17968.503099892</v>
      </c>
      <c r="H877" s="90" t="n">
        <v>11956.4732180851</v>
      </c>
      <c r="I877" s="91" t="str">
        <f>H877-F877</f>
      </c>
      <c r="J877" s="92" t="str">
        <f>G877-E877</f>
      </c>
    </row>
    <row r="878">
      <c r="A878" t="s">
        <v>272</v>
      </c>
      <c r="B878" t="s">
        <v>274</v>
      </c>
      <c r="C878" s="86" t="n">
        <v>2046</v>
      </c>
      <c r="D878" t="s">
        <v>224</v>
      </c>
      <c r="E878" s="87" t="n">
        <v>1120864.96608762</v>
      </c>
      <c r="F878" s="88" t="n">
        <v>230011.729778577</v>
      </c>
      <c r="G878" s="89" t="n">
        <v>1124741.39385058</v>
      </c>
      <c r="H878" s="90" t="n">
        <v>230223.641273017</v>
      </c>
      <c r="I878" s="91" t="str">
        <f>H878-F878</f>
      </c>
      <c r="J878" s="92" t="str">
        <f>G878-E878</f>
      </c>
    </row>
    <row r="879">
      <c r="A879" t="s">
        <v>272</v>
      </c>
      <c r="B879" t="s">
        <v>274</v>
      </c>
      <c r="C879" s="86" t="n">
        <v>2046</v>
      </c>
      <c r="D879" t="s">
        <v>420</v>
      </c>
      <c r="E879" s="87" t="n">
        <v>184004.980067493</v>
      </c>
      <c r="F879" s="88" t="n">
        <v>112890.086376223</v>
      </c>
      <c r="G879" s="89" t="n">
        <v>183510.562290158</v>
      </c>
      <c r="H879" s="90" t="n">
        <v>112679.652863118</v>
      </c>
      <c r="I879" s="91" t="str">
        <f>H879-F879</f>
      </c>
      <c r="J879" s="92" t="str">
        <f>G879-E879</f>
      </c>
    </row>
    <row r="880">
      <c r="A880" t="s">
        <v>272</v>
      </c>
      <c r="B880" t="s">
        <v>274</v>
      </c>
      <c r="C880" s="86" t="n">
        <v>2046</v>
      </c>
      <c r="D880" t="s">
        <v>235</v>
      </c>
      <c r="E880" s="87" t="n">
        <v>340695.22614141</v>
      </c>
      <c r="F880" s="88" t="n">
        <v>319638.678092674</v>
      </c>
      <c r="G880" s="89" t="n">
        <v>341225.275481564</v>
      </c>
      <c r="H880" s="90" t="n">
        <v>320574.163172874</v>
      </c>
      <c r="I880" s="91" t="str">
        <f>H880-F880</f>
      </c>
      <c r="J880" s="92" t="str">
        <f>G880-E880</f>
      </c>
    </row>
    <row r="881">
      <c r="A881" t="s">
        <v>272</v>
      </c>
      <c r="B881" t="s">
        <v>274</v>
      </c>
      <c r="C881" s="86" t="n">
        <v>2046</v>
      </c>
      <c r="D881" t="s">
        <v>244</v>
      </c>
      <c r="E881" s="87" t="n">
        <v>936407.25497214</v>
      </c>
      <c r="F881" s="88" t="n">
        <v>549797.738791799</v>
      </c>
      <c r="G881" s="89" t="n">
        <v>944010.931257439</v>
      </c>
      <c r="H881" s="90" t="n">
        <v>559544.256752656</v>
      </c>
      <c r="I881" s="91" t="str">
        <f>H881-F881</f>
      </c>
      <c r="J881" s="92" t="str">
        <f>G881-E881</f>
      </c>
    </row>
    <row r="882">
      <c r="A882" t="s">
        <v>272</v>
      </c>
      <c r="B882" t="s">
        <v>274</v>
      </c>
      <c r="C882" s="86" t="n">
        <v>2046</v>
      </c>
      <c r="D882" t="s">
        <v>248</v>
      </c>
      <c r="E882" s="87" t="n">
        <v>498402.813642847</v>
      </c>
      <c r="F882" s="88" t="n">
        <v>269345.000512739</v>
      </c>
      <c r="G882" s="89" t="n">
        <v>500645.717898476</v>
      </c>
      <c r="H882" s="90" t="n">
        <v>273080.787934234</v>
      </c>
      <c r="I882" s="91" t="str">
        <f>H882-F882</f>
      </c>
      <c r="J882" s="92" t="str">
        <f>G882-E882</f>
      </c>
    </row>
    <row r="883">
      <c r="A883" t="s">
        <v>272</v>
      </c>
      <c r="B883" t="s">
        <v>274</v>
      </c>
      <c r="C883" s="86" t="n">
        <v>2046</v>
      </c>
      <c r="D883" t="s">
        <v>421</v>
      </c>
      <c r="E883" s="87" t="n">
        <v>11943.9022408804</v>
      </c>
      <c r="F883" s="88" t="n">
        <v>1421.30418745383</v>
      </c>
      <c r="G883" s="89" t="n">
        <v>11943.7945693929</v>
      </c>
      <c r="H883" s="90" t="n">
        <v>1421.3002106259</v>
      </c>
      <c r="I883" s="91" t="str">
        <f>H883-F883</f>
      </c>
      <c r="J883" s="92" t="str">
        <f>G883-E883</f>
      </c>
    </row>
    <row r="884">
      <c r="A884" t="s">
        <v>272</v>
      </c>
      <c r="B884" t="s">
        <v>274</v>
      </c>
      <c r="C884" s="86" t="n">
        <v>2047</v>
      </c>
      <c r="D884" t="s">
        <v>419</v>
      </c>
      <c r="E884" s="87" t="n">
        <v>18441.9022543783</v>
      </c>
      <c r="F884" s="88" t="n">
        <v>12192.0007192003</v>
      </c>
      <c r="G884" s="89" t="n">
        <v>18370.9982297807</v>
      </c>
      <c r="H884" s="90" t="n">
        <v>12160.3227217187</v>
      </c>
      <c r="I884" s="91" t="str">
        <f>H884-F884</f>
      </c>
      <c r="J884" s="92" t="str">
        <f>G884-E884</f>
      </c>
    </row>
    <row r="885">
      <c r="A885" t="s">
        <v>272</v>
      </c>
      <c r="B885" t="s">
        <v>274</v>
      </c>
      <c r="C885" s="86" t="n">
        <v>2047</v>
      </c>
      <c r="D885" t="s">
        <v>224</v>
      </c>
      <c r="E885" s="87" t="n">
        <v>1129723.97151683</v>
      </c>
      <c r="F885" s="88" t="n">
        <v>235346.385411607</v>
      </c>
      <c r="G885" s="89" t="n">
        <v>1133680.16398797</v>
      </c>
      <c r="H885" s="90" t="n">
        <v>235574.501787602</v>
      </c>
      <c r="I885" s="91" t="str">
        <f>H885-F885</f>
      </c>
      <c r="J885" s="92" t="str">
        <f>G885-E885</f>
      </c>
    </row>
    <row r="886">
      <c r="A886" t="s">
        <v>272</v>
      </c>
      <c r="B886" t="s">
        <v>274</v>
      </c>
      <c r="C886" s="86" t="n">
        <v>2047</v>
      </c>
      <c r="D886" t="s">
        <v>420</v>
      </c>
      <c r="E886" s="87" t="n">
        <v>187454.386095626</v>
      </c>
      <c r="F886" s="88" t="n">
        <v>115001.061529977</v>
      </c>
      <c r="G886" s="89" t="n">
        <v>186925.284089995</v>
      </c>
      <c r="H886" s="90" t="n">
        <v>114770.43405396</v>
      </c>
      <c r="I886" s="91" t="str">
        <f>H886-F886</f>
      </c>
      <c r="J886" s="92" t="str">
        <f>G886-E886</f>
      </c>
    </row>
    <row r="887">
      <c r="A887" t="s">
        <v>272</v>
      </c>
      <c r="B887" t="s">
        <v>274</v>
      </c>
      <c r="C887" s="86" t="n">
        <v>2047</v>
      </c>
      <c r="D887" t="s">
        <v>235</v>
      </c>
      <c r="E887" s="87" t="n">
        <v>342327.31916461</v>
      </c>
      <c r="F887" s="88" t="n">
        <v>321159.768107718</v>
      </c>
      <c r="G887" s="89" t="n">
        <v>342821.899904036</v>
      </c>
      <c r="H887" s="90" t="n">
        <v>322040.722228729</v>
      </c>
      <c r="I887" s="91" t="str">
        <f>H887-F887</f>
      </c>
      <c r="J887" s="92" t="str">
        <f>G887-E887</f>
      </c>
    </row>
    <row r="888">
      <c r="A888" t="s">
        <v>272</v>
      </c>
      <c r="B888" t="s">
        <v>274</v>
      </c>
      <c r="C888" s="86" t="n">
        <v>2047</v>
      </c>
      <c r="D888" t="s">
        <v>244</v>
      </c>
      <c r="E888" s="87" t="n">
        <v>950086.125071241</v>
      </c>
      <c r="F888" s="88" t="n">
        <v>559941.649216343</v>
      </c>
      <c r="G888" s="89" t="n">
        <v>957700.330331823</v>
      </c>
      <c r="H888" s="90" t="n">
        <v>569776.387385101</v>
      </c>
      <c r="I888" s="91" t="str">
        <f>H888-F888</f>
      </c>
      <c r="J888" s="92" t="str">
        <f>G888-E888</f>
      </c>
    </row>
    <row r="889">
      <c r="A889" t="s">
        <v>272</v>
      </c>
      <c r="B889" t="s">
        <v>274</v>
      </c>
      <c r="C889" s="86" t="n">
        <v>2047</v>
      </c>
      <c r="D889" t="s">
        <v>248</v>
      </c>
      <c r="E889" s="87" t="n">
        <v>505512.486651366</v>
      </c>
      <c r="F889" s="88" t="n">
        <v>274842.483479743</v>
      </c>
      <c r="G889" s="89" t="n">
        <v>507728.749767113</v>
      </c>
      <c r="H889" s="90" t="n">
        <v>278595.1987469</v>
      </c>
      <c r="I889" s="91" t="str">
        <f>H889-F889</f>
      </c>
      <c r="J889" s="92" t="str">
        <f>G889-E889</f>
      </c>
    </row>
    <row r="890">
      <c r="A890" t="s">
        <v>272</v>
      </c>
      <c r="B890" t="s">
        <v>274</v>
      </c>
      <c r="C890" s="86" t="n">
        <v>2047</v>
      </c>
      <c r="D890" t="s">
        <v>421</v>
      </c>
      <c r="E890" s="87" t="n">
        <v>11676.924435097</v>
      </c>
      <c r="F890" s="88" t="n">
        <v>1320.01169477378</v>
      </c>
      <c r="G890" s="89" t="n">
        <v>11676.8139890787</v>
      </c>
      <c r="H890" s="90" t="n">
        <v>1320.00748918915</v>
      </c>
      <c r="I890" s="91" t="str">
        <f>H890-F890</f>
      </c>
      <c r="J890" s="92" t="str">
        <f>G890-E890</f>
      </c>
    </row>
    <row r="891">
      <c r="A891" t="s">
        <v>272</v>
      </c>
      <c r="B891" t="s">
        <v>274</v>
      </c>
      <c r="C891" s="86" t="n">
        <v>2048</v>
      </c>
      <c r="D891" t="s">
        <v>419</v>
      </c>
      <c r="E891" s="87" t="n">
        <v>18941.2024772727</v>
      </c>
      <c r="F891" s="88" t="n">
        <v>12394.2197623659</v>
      </c>
      <c r="G891" s="89" t="n">
        <v>18865.0138793559</v>
      </c>
      <c r="H891" s="90" t="n">
        <v>12359.797946018</v>
      </c>
      <c r="I891" s="91" t="str">
        <f>H891-F891</f>
      </c>
      <c r="J891" s="92" t="str">
        <f>G891-E891</f>
      </c>
    </row>
    <row r="892">
      <c r="A892" t="s">
        <v>272</v>
      </c>
      <c r="B892" t="s">
        <v>274</v>
      </c>
      <c r="C892" s="86" t="n">
        <v>2048</v>
      </c>
      <c r="D892" t="s">
        <v>224</v>
      </c>
      <c r="E892" s="87" t="n">
        <v>1135898.07447423</v>
      </c>
      <c r="F892" s="88" t="n">
        <v>240533.988244868</v>
      </c>
      <c r="G892" s="89" t="n">
        <v>1139921.42222342</v>
      </c>
      <c r="H892" s="90" t="n">
        <v>240778.643136103</v>
      </c>
      <c r="I892" s="91" t="str">
        <f>H892-F892</f>
      </c>
      <c r="J892" s="92" t="str">
        <f>G892-E892</f>
      </c>
    </row>
    <row r="893">
      <c r="A893" t="s">
        <v>272</v>
      </c>
      <c r="B893" t="s">
        <v>274</v>
      </c>
      <c r="C893" s="86" t="n">
        <v>2048</v>
      </c>
      <c r="D893" t="s">
        <v>420</v>
      </c>
      <c r="E893" s="87" t="n">
        <v>191739.125010227</v>
      </c>
      <c r="F893" s="88" t="n">
        <v>117039.233063239</v>
      </c>
      <c r="G893" s="89" t="n">
        <v>191173.834498201</v>
      </c>
      <c r="H893" s="90" t="n">
        <v>116788.610084</v>
      </c>
      <c r="I893" s="91" t="str">
        <f>H893-F893</f>
      </c>
      <c r="J893" s="92" t="str">
        <f>G893-E893</f>
      </c>
    </row>
    <row r="894">
      <c r="A894" t="s">
        <v>272</v>
      </c>
      <c r="B894" t="s">
        <v>274</v>
      </c>
      <c r="C894" s="86" t="n">
        <v>2048</v>
      </c>
      <c r="D894" t="s">
        <v>235</v>
      </c>
      <c r="E894" s="87" t="n">
        <v>343328.12199452</v>
      </c>
      <c r="F894" s="88" t="n">
        <v>322229.065248656</v>
      </c>
      <c r="G894" s="89" t="n">
        <v>343787.138006374</v>
      </c>
      <c r="H894" s="90" t="n">
        <v>323063.01307722</v>
      </c>
      <c r="I894" s="91" t="str">
        <f>H894-F894</f>
      </c>
      <c r="J894" s="92" t="str">
        <f>G894-E894</f>
      </c>
    </row>
    <row r="895">
      <c r="A895" t="s">
        <v>272</v>
      </c>
      <c r="B895" t="s">
        <v>274</v>
      </c>
      <c r="C895" s="86" t="n">
        <v>2048</v>
      </c>
      <c r="D895" t="s">
        <v>244</v>
      </c>
      <c r="E895" s="87" t="n">
        <v>965117.211765085</v>
      </c>
      <c r="F895" s="88" t="n">
        <v>569541.409262909</v>
      </c>
      <c r="G895" s="89" t="n">
        <v>972752.000469153</v>
      </c>
      <c r="H895" s="90" t="n">
        <v>579456.858882308</v>
      </c>
      <c r="I895" s="91" t="str">
        <f>H895-F895</f>
      </c>
      <c r="J895" s="92" t="str">
        <f>G895-E895</f>
      </c>
    </row>
    <row r="896">
      <c r="A896" t="s">
        <v>272</v>
      </c>
      <c r="B896" t="s">
        <v>274</v>
      </c>
      <c r="C896" s="86" t="n">
        <v>2048</v>
      </c>
      <c r="D896" t="s">
        <v>248</v>
      </c>
      <c r="E896" s="87" t="n">
        <v>513949.167202395</v>
      </c>
      <c r="F896" s="88" t="n">
        <v>280139.787274035</v>
      </c>
      <c r="G896" s="89" t="n">
        <v>516145.438063223</v>
      </c>
      <c r="H896" s="90" t="n">
        <v>283909.318240972</v>
      </c>
      <c r="I896" s="91" t="str">
        <f>H896-F896</f>
      </c>
      <c r="J896" s="92" t="str">
        <f>G896-E896</f>
      </c>
    </row>
    <row r="897">
      <c r="A897" t="s">
        <v>272</v>
      </c>
      <c r="B897" t="s">
        <v>274</v>
      </c>
      <c r="C897" s="86" t="n">
        <v>2048</v>
      </c>
      <c r="D897" t="s">
        <v>421</v>
      </c>
      <c r="E897" s="87" t="n">
        <v>11567.5198836311</v>
      </c>
      <c r="F897" s="88" t="n">
        <v>1228.73708475065</v>
      </c>
      <c r="G897" s="89" t="n">
        <v>11567.4035703729</v>
      </c>
      <c r="H897" s="90" t="n">
        <v>1228.73261677247</v>
      </c>
      <c r="I897" s="91" t="str">
        <f>H897-F897</f>
      </c>
      <c r="J897" s="92" t="str">
        <f>G897-E897</f>
      </c>
    </row>
    <row r="898">
      <c r="A898" t="s">
        <v>272</v>
      </c>
      <c r="B898" t="s">
        <v>274</v>
      </c>
      <c r="C898" s="86" t="n">
        <v>2049</v>
      </c>
      <c r="D898" t="s">
        <v>419</v>
      </c>
      <c r="E898" s="87" t="n">
        <v>19347.1973006048</v>
      </c>
      <c r="F898" s="88" t="n">
        <v>12600.1482649412</v>
      </c>
      <c r="G898" s="89" t="n">
        <v>19265.9413357536</v>
      </c>
      <c r="H898" s="90" t="n">
        <v>12562.9700035081</v>
      </c>
      <c r="I898" s="91" t="str">
        <f>H898-F898</f>
      </c>
      <c r="J898" s="92" t="str">
        <f>G898-E898</f>
      </c>
    </row>
    <row r="899">
      <c r="A899" t="s">
        <v>272</v>
      </c>
      <c r="B899" t="s">
        <v>274</v>
      </c>
      <c r="C899" s="86" t="n">
        <v>2049</v>
      </c>
      <c r="D899" t="s">
        <v>224</v>
      </c>
      <c r="E899" s="87" t="n">
        <v>1144857.25299988</v>
      </c>
      <c r="F899" s="88" t="n">
        <v>245762.713610732</v>
      </c>
      <c r="G899" s="89" t="n">
        <v>1148955.60958046</v>
      </c>
      <c r="H899" s="90" t="n">
        <v>246024.454765088</v>
      </c>
      <c r="I899" s="91" t="str">
        <f>H899-F899</f>
      </c>
      <c r="J899" s="92" t="str">
        <f>G899-E899</f>
      </c>
    </row>
    <row r="900">
      <c r="A900" t="s">
        <v>272</v>
      </c>
      <c r="B900" t="s">
        <v>274</v>
      </c>
      <c r="C900" s="86" t="n">
        <v>2049</v>
      </c>
      <c r="D900" t="s">
        <v>420</v>
      </c>
      <c r="E900" s="87" t="n">
        <v>194890.868040684</v>
      </c>
      <c r="F900" s="88" t="n">
        <v>119098.22588087</v>
      </c>
      <c r="G900" s="89" t="n">
        <v>194292.055539498</v>
      </c>
      <c r="H900" s="90" t="n">
        <v>118827.584291328</v>
      </c>
      <c r="I900" s="91" t="str">
        <f>H900-F900</f>
      </c>
      <c r="J900" s="92" t="str">
        <f>G900-E900</f>
      </c>
    </row>
    <row r="901">
      <c r="A901" t="s">
        <v>272</v>
      </c>
      <c r="B901" t="s">
        <v>274</v>
      </c>
      <c r="C901" s="86" t="n">
        <v>2049</v>
      </c>
      <c r="D901" t="s">
        <v>235</v>
      </c>
      <c r="E901" s="87" t="n">
        <v>344605.610666378</v>
      </c>
      <c r="F901" s="88" t="n">
        <v>323327.121586187</v>
      </c>
      <c r="G901" s="89" t="n">
        <v>345031.334829118</v>
      </c>
      <c r="H901" s="90" t="n">
        <v>324116.922797206</v>
      </c>
      <c r="I901" s="91" t="str">
        <f>H901-F901</f>
      </c>
      <c r="J901" s="92" t="str">
        <f>G901-E901</f>
      </c>
    </row>
    <row r="902">
      <c r="A902" t="s">
        <v>272</v>
      </c>
      <c r="B902" t="s">
        <v>274</v>
      </c>
      <c r="C902" s="86" t="n">
        <v>2049</v>
      </c>
      <c r="D902" t="s">
        <v>244</v>
      </c>
      <c r="E902" s="87" t="n">
        <v>977865.460556379</v>
      </c>
      <c r="F902" s="88" t="n">
        <v>579227.366602333</v>
      </c>
      <c r="G902" s="89" t="n">
        <v>985505.206976823</v>
      </c>
      <c r="H902" s="90" t="n">
        <v>589228.445176563</v>
      </c>
      <c r="I902" s="91" t="str">
        <f>H902-F902</f>
      </c>
      <c r="J902" s="92" t="str">
        <f>G902-E902</f>
      </c>
    </row>
    <row r="903">
      <c r="A903" t="s">
        <v>272</v>
      </c>
      <c r="B903" t="s">
        <v>274</v>
      </c>
      <c r="C903" s="86" t="n">
        <v>2049</v>
      </c>
      <c r="D903" t="s">
        <v>248</v>
      </c>
      <c r="E903" s="87" t="n">
        <v>520323.520704622</v>
      </c>
      <c r="F903" s="88" t="n">
        <v>285459.181357831</v>
      </c>
      <c r="G903" s="89" t="n">
        <v>522492.200230248</v>
      </c>
      <c r="H903" s="90" t="n">
        <v>289249.089939416</v>
      </c>
      <c r="I903" s="91" t="str">
        <f>H903-F903</f>
      </c>
      <c r="J903" s="92" t="str">
        <f>G903-E903</f>
      </c>
    </row>
    <row r="904">
      <c r="A904" t="s">
        <v>272</v>
      </c>
      <c r="B904" t="s">
        <v>274</v>
      </c>
      <c r="C904" s="86" t="n">
        <v>2049</v>
      </c>
      <c r="D904" t="s">
        <v>421</v>
      </c>
      <c r="E904" s="87" t="n">
        <v>11514.6600861082</v>
      </c>
      <c r="F904" s="88" t="n">
        <v>1139.24649530731</v>
      </c>
      <c r="G904" s="89" t="n">
        <v>11514.5369642823</v>
      </c>
      <c r="H904" s="90" t="n">
        <v>1139.24175250417</v>
      </c>
      <c r="I904" s="91" t="str">
        <f>H904-F904</f>
      </c>
      <c r="J904" s="92" t="str">
        <f>G904-E904</f>
      </c>
    </row>
    <row r="905">
      <c r="A905" t="s">
        <v>272</v>
      </c>
      <c r="B905" t="s">
        <v>274</v>
      </c>
      <c r="C905" s="86" t="n">
        <v>2050</v>
      </c>
      <c r="D905" t="s">
        <v>419</v>
      </c>
      <c r="E905" s="87" t="n">
        <v>19738.0727377777</v>
      </c>
      <c r="F905" s="88" t="n">
        <v>12804.9194650339</v>
      </c>
      <c r="G905" s="89" t="n">
        <v>19651.774602414</v>
      </c>
      <c r="H905" s="90" t="n">
        <v>12764.9906286853</v>
      </c>
      <c r="I905" s="91" t="str">
        <f>H905-F905</f>
      </c>
      <c r="J905" s="92" t="str">
        <f>G905-E905</f>
      </c>
    </row>
    <row r="906">
      <c r="A906" t="s">
        <v>272</v>
      </c>
      <c r="B906" t="s">
        <v>274</v>
      </c>
      <c r="C906" s="86" t="n">
        <v>2050</v>
      </c>
      <c r="D906" t="s">
        <v>224</v>
      </c>
      <c r="E906" s="87" t="n">
        <v>1153499.8226489</v>
      </c>
      <c r="F906" s="88" t="n">
        <v>250899.713859765</v>
      </c>
      <c r="G906" s="89" t="n">
        <v>1157673.56667431</v>
      </c>
      <c r="H906" s="90" t="n">
        <v>251178.956267752</v>
      </c>
      <c r="I906" s="91" t="str">
        <f>H906-F906</f>
      </c>
      <c r="J906" s="92" t="str">
        <f>G906-E906</f>
      </c>
    </row>
    <row r="907">
      <c r="A907" t="s">
        <v>272</v>
      </c>
      <c r="B907" t="s">
        <v>274</v>
      </c>
      <c r="C907" s="86" t="n">
        <v>2050</v>
      </c>
      <c r="D907" t="s">
        <v>420</v>
      </c>
      <c r="E907" s="87" t="n">
        <v>197548.431839035</v>
      </c>
      <c r="F907" s="88" t="n">
        <v>121118.356942618</v>
      </c>
      <c r="G907" s="89" t="n">
        <v>196917.204625516</v>
      </c>
      <c r="H907" s="90" t="n">
        <v>120827.928759862</v>
      </c>
      <c r="I907" s="91" t="str">
        <f>H907-F907</f>
      </c>
      <c r="J907" s="92" t="str">
        <f>G907-E907</f>
      </c>
    </row>
    <row r="908">
      <c r="A908" t="s">
        <v>272</v>
      </c>
      <c r="B908" t="s">
        <v>274</v>
      </c>
      <c r="C908" s="86" t="n">
        <v>2050</v>
      </c>
      <c r="D908" t="s">
        <v>235</v>
      </c>
      <c r="E908" s="87" t="n">
        <v>345839.833496054</v>
      </c>
      <c r="F908" s="88" t="n">
        <v>324220.684729307</v>
      </c>
      <c r="G908" s="89" t="n">
        <v>346233.851249823</v>
      </c>
      <c r="H908" s="90" t="n">
        <v>324973.279226193</v>
      </c>
      <c r="I908" s="91" t="str">
        <f>H908-F908</f>
      </c>
      <c r="J908" s="92" t="str">
        <f>G908-E908</f>
      </c>
    </row>
    <row r="909">
      <c r="A909" t="s">
        <v>272</v>
      </c>
      <c r="B909" t="s">
        <v>274</v>
      </c>
      <c r="C909" s="86" t="n">
        <v>2050</v>
      </c>
      <c r="D909" t="s">
        <v>244</v>
      </c>
      <c r="E909" s="87" t="n">
        <v>989616.932924785</v>
      </c>
      <c r="F909" s="88" t="n">
        <v>588732.350565482</v>
      </c>
      <c r="G909" s="89" t="n">
        <v>997255.105001918</v>
      </c>
      <c r="H909" s="90" t="n">
        <v>598816.687069898</v>
      </c>
      <c r="I909" s="91" t="str">
        <f>H909-F909</f>
      </c>
      <c r="J909" s="92" t="str">
        <f>G909-E909</f>
      </c>
    </row>
    <row r="910">
      <c r="A910" t="s">
        <v>272</v>
      </c>
      <c r="B910" t="s">
        <v>274</v>
      </c>
      <c r="C910" s="86" t="n">
        <v>2050</v>
      </c>
      <c r="D910" t="s">
        <v>248</v>
      </c>
      <c r="E910" s="87" t="n">
        <v>525870.917019367</v>
      </c>
      <c r="F910" s="88" t="n">
        <v>290585.951769281</v>
      </c>
      <c r="G910" s="89" t="n">
        <v>528009.464128417</v>
      </c>
      <c r="H910" s="90" t="n">
        <v>294395.50759804</v>
      </c>
      <c r="I910" s="91" t="str">
        <f>H910-F910</f>
      </c>
      <c r="J910" s="92" t="str">
        <f>G910-E910</f>
      </c>
    </row>
    <row r="911">
      <c r="A911" t="s">
        <v>272</v>
      </c>
      <c r="B911" t="s">
        <v>274</v>
      </c>
      <c r="C911" s="86" t="n">
        <v>2050</v>
      </c>
      <c r="D911" t="s">
        <v>421</v>
      </c>
      <c r="E911" s="87" t="n">
        <v>11458.4624164851</v>
      </c>
      <c r="F911" s="88" t="n">
        <v>1051.11889742638</v>
      </c>
      <c r="G911" s="89" t="n">
        <v>11458.3317669049</v>
      </c>
      <c r="H911" s="90" t="n">
        <v>1051.113893317</v>
      </c>
      <c r="I911" s="91" t="str">
        <f>H911-F911</f>
      </c>
      <c r="J911" s="92" t="str">
        <f>G911-E911</f>
      </c>
    </row>
    <row r="912">
      <c r="A912" t="s">
        <v>116</v>
      </c>
      <c r="B912" t="s">
        <v>422</v>
      </c>
      <c r="C912" s="86" t="n">
        <v>2025</v>
      </c>
      <c r="D912" t="s">
        <v>419</v>
      </c>
      <c r="E912" s="87" t="n">
        <v>11293.8589534084</v>
      </c>
      <c r="F912" s="88" t="n">
        <v>8456.09110298006</v>
      </c>
      <c r="G912" s="89" t="n">
        <v>11293.858953409</v>
      </c>
      <c r="H912" s="90" t="n">
        <v>8456.09110298007</v>
      </c>
      <c r="I912" s="91" t="str">
        <f>H912-F912</f>
      </c>
      <c r="J912" s="92" t="str">
        <f>G912-E912</f>
      </c>
    </row>
    <row r="913">
      <c r="A913" t="s">
        <v>116</v>
      </c>
      <c r="B913" t="s">
        <v>422</v>
      </c>
      <c r="C913" s="86" t="n">
        <v>2025</v>
      </c>
      <c r="D913" t="s">
        <v>224</v>
      </c>
      <c r="E913" s="87" t="n">
        <v>796801.79248266</v>
      </c>
      <c r="F913" s="88" t="n">
        <v>124437.099676651</v>
      </c>
      <c r="G913" s="89" t="n">
        <v>796801.792482661</v>
      </c>
      <c r="H913" s="90" t="n">
        <v>124437.099676651</v>
      </c>
      <c r="I913" s="91" t="str">
        <f>H913-F913</f>
      </c>
      <c r="J913" s="92" t="str">
        <f>G913-E913</f>
      </c>
    </row>
    <row r="914">
      <c r="A914" t="s">
        <v>116</v>
      </c>
      <c r="B914" t="s">
        <v>422</v>
      </c>
      <c r="C914" s="86" t="n">
        <v>2025</v>
      </c>
      <c r="D914" t="s">
        <v>420</v>
      </c>
      <c r="E914" s="87" t="n">
        <v>110599.338170727</v>
      </c>
      <c r="F914" s="88" t="n">
        <v>70978.7980144996</v>
      </c>
      <c r="G914" s="89" t="n">
        <v>110599.338170727</v>
      </c>
      <c r="H914" s="90" t="n">
        <v>70978.7980144995</v>
      </c>
      <c r="I914" s="91" t="str">
        <f>H914-F914</f>
      </c>
      <c r="J914" s="92" t="str">
        <f>G914-E914</f>
      </c>
    </row>
    <row r="915">
      <c r="A915" t="s">
        <v>116</v>
      </c>
      <c r="B915" t="s">
        <v>422</v>
      </c>
      <c r="C915" s="86" t="n">
        <v>2025</v>
      </c>
      <c r="D915" t="s">
        <v>235</v>
      </c>
      <c r="E915" s="87" t="n">
        <v>269908.90899035</v>
      </c>
      <c r="F915" s="88" t="n">
        <v>250549.928104577</v>
      </c>
      <c r="G915" s="89" t="n">
        <v>269908.90899035</v>
      </c>
      <c r="H915" s="90" t="n">
        <v>250549.928104577</v>
      </c>
      <c r="I915" s="91" t="str">
        <f>H915-F915</f>
      </c>
      <c r="J915" s="92" t="str">
        <f>G915-E915</f>
      </c>
    </row>
    <row r="916">
      <c r="A916" t="s">
        <v>116</v>
      </c>
      <c r="B916" t="s">
        <v>422</v>
      </c>
      <c r="C916" s="86" t="n">
        <v>2025</v>
      </c>
      <c r="D916" t="s">
        <v>244</v>
      </c>
      <c r="E916" s="87" t="n">
        <v>605290.562665356</v>
      </c>
      <c r="F916" s="88" t="n">
        <v>336235.043603752</v>
      </c>
      <c r="G916" s="89" t="n">
        <v>605290.562665356</v>
      </c>
      <c r="H916" s="90" t="n">
        <v>336235.043603752</v>
      </c>
      <c r="I916" s="91" t="str">
        <f>H916-F916</f>
      </c>
      <c r="J916" s="92" t="str">
        <f>G916-E916</f>
      </c>
    </row>
    <row r="917">
      <c r="A917" t="s">
        <v>116</v>
      </c>
      <c r="B917" t="s">
        <v>422</v>
      </c>
      <c r="C917" s="86" t="n">
        <v>2025</v>
      </c>
      <c r="D917" t="s">
        <v>248</v>
      </c>
      <c r="E917" s="87" t="n">
        <v>328703.695708345</v>
      </c>
      <c r="F917" s="88" t="n">
        <v>165181.229862536</v>
      </c>
      <c r="G917" s="89" t="n">
        <v>328703.695708345</v>
      </c>
      <c r="H917" s="90" t="n">
        <v>165181.229862536</v>
      </c>
      <c r="I917" s="91" t="str">
        <f>H917-F917</f>
      </c>
      <c r="J917" s="92" t="str">
        <f>G917-E917</f>
      </c>
    </row>
    <row r="918">
      <c r="A918" t="s">
        <v>116</v>
      </c>
      <c r="B918" t="s">
        <v>422</v>
      </c>
      <c r="C918" s="86" t="n">
        <v>2025</v>
      </c>
      <c r="D918" t="s">
        <v>421</v>
      </c>
      <c r="E918" s="87" t="n">
        <v>12601.518831831</v>
      </c>
      <c r="F918" s="88" t="n">
        <v>3955.30711895499</v>
      </c>
      <c r="G918" s="89" t="n">
        <v>12601.5188318307</v>
      </c>
      <c r="H918" s="90" t="n">
        <v>3955.30711895499</v>
      </c>
      <c r="I918" s="91" t="str">
        <f>H918-F918</f>
      </c>
      <c r="J918" s="92" t="str">
        <f>G918-E918</f>
      </c>
    </row>
    <row r="919">
      <c r="A919" t="s">
        <v>116</v>
      </c>
      <c r="B919" t="s">
        <v>422</v>
      </c>
      <c r="C919" s="86" t="n">
        <v>2026</v>
      </c>
      <c r="D919" t="s">
        <v>419</v>
      </c>
      <c r="E919" s="87" t="n">
        <v>11413.9401907853</v>
      </c>
      <c r="F919" s="88" t="n">
        <v>8503.04883072895</v>
      </c>
      <c r="G919" s="89" t="n">
        <v>11413.9401907849</v>
      </c>
      <c r="H919" s="90" t="n">
        <v>8503.048830729</v>
      </c>
      <c r="I919" s="91" t="str">
        <f>H919-F919</f>
      </c>
      <c r="J919" s="92" t="str">
        <f>G919-E919</f>
      </c>
    </row>
    <row r="920">
      <c r="A920" t="s">
        <v>116</v>
      </c>
      <c r="B920" t="s">
        <v>422</v>
      </c>
      <c r="C920" s="86" t="n">
        <v>2026</v>
      </c>
      <c r="D920" t="s">
        <v>224</v>
      </c>
      <c r="E920" s="87" t="n">
        <v>813844.569716144</v>
      </c>
      <c r="F920" s="88" t="n">
        <v>128333.952745922</v>
      </c>
      <c r="G920" s="89" t="n">
        <v>813844.569716145</v>
      </c>
      <c r="H920" s="90" t="n">
        <v>128333.952745922</v>
      </c>
      <c r="I920" s="91" t="str">
        <f>H920-F920</f>
      </c>
      <c r="J920" s="92" t="str">
        <f>G920-E920</f>
      </c>
    </row>
    <row r="921">
      <c r="A921" t="s">
        <v>116</v>
      </c>
      <c r="B921" t="s">
        <v>422</v>
      </c>
      <c r="C921" s="86" t="n">
        <v>2026</v>
      </c>
      <c r="D921" t="s">
        <v>420</v>
      </c>
      <c r="E921" s="87" t="n">
        <v>113261.46718113</v>
      </c>
      <c r="F921" s="88" t="n">
        <v>72339.6884190734</v>
      </c>
      <c r="G921" s="89" t="n">
        <v>113261.467181129</v>
      </c>
      <c r="H921" s="90" t="n">
        <v>72339.6884190733</v>
      </c>
      <c r="I921" s="91" t="str">
        <f>H921-F921</f>
      </c>
      <c r="J921" s="92" t="str">
        <f>G921-E921</f>
      </c>
    </row>
    <row r="922">
      <c r="A922" t="s">
        <v>116</v>
      </c>
      <c r="B922" t="s">
        <v>422</v>
      </c>
      <c r="C922" s="86" t="n">
        <v>2026</v>
      </c>
      <c r="D922" t="s">
        <v>235</v>
      </c>
      <c r="E922" s="87" t="n">
        <v>273787.235265294</v>
      </c>
      <c r="F922" s="88" t="n">
        <v>253258.13611334</v>
      </c>
      <c r="G922" s="89" t="n">
        <v>274200.577929512</v>
      </c>
      <c r="H922" s="90" t="n">
        <v>254910.752627481</v>
      </c>
      <c r="I922" s="91" t="str">
        <f>H922-F922</f>
      </c>
      <c r="J922" s="92" t="str">
        <f>G922-E922</f>
      </c>
    </row>
    <row r="923">
      <c r="A923" t="s">
        <v>116</v>
      </c>
      <c r="B923" t="s">
        <v>422</v>
      </c>
      <c r="C923" s="86" t="n">
        <v>2026</v>
      </c>
      <c r="D923" t="s">
        <v>244</v>
      </c>
      <c r="E923" s="87" t="n">
        <v>617311.839243105</v>
      </c>
      <c r="F923" s="88" t="n">
        <v>342109.874644562</v>
      </c>
      <c r="G923" s="89" t="n">
        <v>620097.594779103</v>
      </c>
      <c r="H923" s="90" t="n">
        <v>344917.064339335</v>
      </c>
      <c r="I923" s="91" t="str">
        <f>H923-F923</f>
      </c>
      <c r="J923" s="92" t="str">
        <f>G923-E923</f>
      </c>
    </row>
    <row r="924">
      <c r="A924" t="s">
        <v>116</v>
      </c>
      <c r="B924" t="s">
        <v>422</v>
      </c>
      <c r="C924" s="86" t="n">
        <v>2026</v>
      </c>
      <c r="D924" t="s">
        <v>248</v>
      </c>
      <c r="E924" s="87" t="n">
        <v>334632.794544761</v>
      </c>
      <c r="F924" s="88" t="n">
        <v>166773.71710998</v>
      </c>
      <c r="G924" s="89" t="n">
        <v>335570.10792798</v>
      </c>
      <c r="H924" s="90" t="n">
        <v>167951.384337069</v>
      </c>
      <c r="I924" s="91" t="str">
        <f>H924-F924</f>
      </c>
      <c r="J924" s="92" t="str">
        <f>G924-E924</f>
      </c>
    </row>
    <row r="925">
      <c r="A925" t="s">
        <v>116</v>
      </c>
      <c r="B925" t="s">
        <v>422</v>
      </c>
      <c r="C925" s="86" t="n">
        <v>2026</v>
      </c>
      <c r="D925" t="s">
        <v>421</v>
      </c>
      <c r="E925" s="87" t="n">
        <v>12631.2009976531</v>
      </c>
      <c r="F925" s="88" t="n">
        <v>3824.41375844239</v>
      </c>
      <c r="G925" s="89" t="n">
        <v>12631.2009976529</v>
      </c>
      <c r="H925" s="90" t="n">
        <v>3824.41375844239</v>
      </c>
      <c r="I925" s="91" t="str">
        <f>H925-F925</f>
      </c>
      <c r="J925" s="92" t="str">
        <f>G925-E925</f>
      </c>
    </row>
    <row r="926">
      <c r="A926" t="s">
        <v>116</v>
      </c>
      <c r="B926" t="s">
        <v>422</v>
      </c>
      <c r="C926" s="86" t="n">
        <v>2027</v>
      </c>
      <c r="D926" t="s">
        <v>419</v>
      </c>
      <c r="E926" s="87" t="n">
        <v>11517.5843316657</v>
      </c>
      <c r="F926" s="88" t="n">
        <v>8579.03905337464</v>
      </c>
      <c r="G926" s="89" t="n">
        <v>11515.58910781</v>
      </c>
      <c r="H926" s="90" t="n">
        <v>8579.03905337462</v>
      </c>
      <c r="I926" s="91" t="str">
        <f>H926-F926</f>
      </c>
      <c r="J926" s="92" t="str">
        <f>G926-E926</f>
      </c>
    </row>
    <row r="927">
      <c r="A927" t="s">
        <v>116</v>
      </c>
      <c r="B927" t="s">
        <v>422</v>
      </c>
      <c r="C927" s="86" t="n">
        <v>2027</v>
      </c>
      <c r="D927" t="s">
        <v>224</v>
      </c>
      <c r="E927" s="87" t="n">
        <v>830900.9475749</v>
      </c>
      <c r="F927" s="88" t="n">
        <v>132462.188251167</v>
      </c>
      <c r="G927" s="89" t="n">
        <v>832166.906185925</v>
      </c>
      <c r="H927" s="90" t="n">
        <v>132462.188251167</v>
      </c>
      <c r="I927" s="91" t="str">
        <f>H927-F927</f>
      </c>
      <c r="J927" s="92" t="str">
        <f>G927-E927</f>
      </c>
    </row>
    <row r="928">
      <c r="A928" t="s">
        <v>116</v>
      </c>
      <c r="B928" t="s">
        <v>422</v>
      </c>
      <c r="C928" s="86" t="n">
        <v>2027</v>
      </c>
      <c r="D928" t="s">
        <v>420</v>
      </c>
      <c r="E928" s="87" t="n">
        <v>115947.732311509</v>
      </c>
      <c r="F928" s="88" t="n">
        <v>73859.9102925665</v>
      </c>
      <c r="G928" s="89" t="n">
        <v>115932.769375635</v>
      </c>
      <c r="H928" s="90" t="n">
        <v>73859.9102925664</v>
      </c>
      <c r="I928" s="91" t="str">
        <f>H928-F928</f>
      </c>
      <c r="J928" s="92" t="str">
        <f>G928-E928</f>
      </c>
    </row>
    <row r="929">
      <c r="A929" t="s">
        <v>116</v>
      </c>
      <c r="B929" t="s">
        <v>422</v>
      </c>
      <c r="C929" s="86" t="n">
        <v>2027</v>
      </c>
      <c r="D929" t="s">
        <v>235</v>
      </c>
      <c r="E929" s="87" t="n">
        <v>277694.218055752</v>
      </c>
      <c r="F929" s="88" t="n">
        <v>256360.626152201</v>
      </c>
      <c r="G929" s="89" t="n">
        <v>278508.667642155</v>
      </c>
      <c r="H929" s="90" t="n">
        <v>259318.038089282</v>
      </c>
      <c r="I929" s="91" t="str">
        <f>H929-F929</f>
      </c>
      <c r="J929" s="92" t="str">
        <f>G929-E929</f>
      </c>
    </row>
    <row r="930">
      <c r="A930" t="s">
        <v>116</v>
      </c>
      <c r="B930" t="s">
        <v>422</v>
      </c>
      <c r="C930" s="86" t="n">
        <v>2027</v>
      </c>
      <c r="D930" t="s">
        <v>244</v>
      </c>
      <c r="E930" s="87" t="n">
        <v>629467.906500672</v>
      </c>
      <c r="F930" s="88" t="n">
        <v>348495.385057074</v>
      </c>
      <c r="G930" s="89" t="n">
        <v>635095.671557741</v>
      </c>
      <c r="H930" s="90" t="n">
        <v>354171.544362645</v>
      </c>
      <c r="I930" s="91" t="str">
        <f>H930-F930</f>
      </c>
      <c r="J930" s="92" t="str">
        <f>G930-E930</f>
      </c>
    </row>
    <row r="931">
      <c r="A931" t="s">
        <v>116</v>
      </c>
      <c r="B931" t="s">
        <v>422</v>
      </c>
      <c r="C931" s="86" t="n">
        <v>2027</v>
      </c>
      <c r="D931" t="s">
        <v>248</v>
      </c>
      <c r="E931" s="87" t="n">
        <v>340618.066823088</v>
      </c>
      <c r="F931" s="88" t="n">
        <v>168928.766419056</v>
      </c>
      <c r="G931" s="89" t="n">
        <v>342492.405098957</v>
      </c>
      <c r="H931" s="90" t="n">
        <v>171237.362695819</v>
      </c>
      <c r="I931" s="91" t="str">
        <f>H931-F931</f>
      </c>
      <c r="J931" s="92" t="str">
        <f>G931-E931</f>
      </c>
    </row>
    <row r="932">
      <c r="A932" t="s">
        <v>116</v>
      </c>
      <c r="B932" t="s">
        <v>422</v>
      </c>
      <c r="C932" s="86" t="n">
        <v>2027</v>
      </c>
      <c r="D932" t="s">
        <v>421</v>
      </c>
      <c r="E932" s="87" t="n">
        <v>12629.8410317229</v>
      </c>
      <c r="F932" s="88" t="n">
        <v>3692.70803496508</v>
      </c>
      <c r="G932" s="89" t="n">
        <v>12629.8028477439</v>
      </c>
      <c r="H932" s="90" t="n">
        <v>3692.70803496508</v>
      </c>
      <c r="I932" s="91" t="str">
        <f>H932-F932</f>
      </c>
      <c r="J932" s="92" t="str">
        <f>G932-E932</f>
      </c>
    </row>
    <row r="933">
      <c r="A933" t="s">
        <v>116</v>
      </c>
      <c r="B933" t="s">
        <v>422</v>
      </c>
      <c r="C933" s="86" t="n">
        <v>2028</v>
      </c>
      <c r="D933" t="s">
        <v>419</v>
      </c>
      <c r="E933" s="87" t="n">
        <v>11835.1367709636</v>
      </c>
      <c r="F933" s="88" t="n">
        <v>8691.43061725245</v>
      </c>
      <c r="G933" s="89" t="n">
        <v>11829.3995552585</v>
      </c>
      <c r="H933" s="90" t="n">
        <v>8690.97079151088</v>
      </c>
      <c r="I933" s="91" t="str">
        <f>H933-F933</f>
      </c>
      <c r="J933" s="92" t="str">
        <f>G933-E933</f>
      </c>
    </row>
    <row r="934">
      <c r="A934" t="s">
        <v>116</v>
      </c>
      <c r="B934" t="s">
        <v>422</v>
      </c>
      <c r="C934" s="86" t="n">
        <v>2028</v>
      </c>
      <c r="D934" t="s">
        <v>224</v>
      </c>
      <c r="E934" s="87" t="n">
        <v>852477.928831881</v>
      </c>
      <c r="F934" s="88" t="n">
        <v>136762.641698904</v>
      </c>
      <c r="G934" s="89" t="n">
        <v>854958.476961541</v>
      </c>
      <c r="H934" s="90" t="n">
        <v>136770.52662348</v>
      </c>
      <c r="I934" s="91" t="str">
        <f>H934-F934</f>
      </c>
      <c r="J934" s="92" t="str">
        <f>G934-E934</f>
      </c>
    </row>
    <row r="935">
      <c r="A935" t="s">
        <v>116</v>
      </c>
      <c r="B935" t="s">
        <v>422</v>
      </c>
      <c r="C935" s="86" t="n">
        <v>2028</v>
      </c>
      <c r="D935" t="s">
        <v>420</v>
      </c>
      <c r="E935" s="87" t="n">
        <v>119727.846024396</v>
      </c>
      <c r="F935" s="88" t="n">
        <v>75547.7107454668</v>
      </c>
      <c r="G935" s="89" t="n">
        <v>119684.609316206</v>
      </c>
      <c r="H935" s="90" t="n">
        <v>75545.0868001112</v>
      </c>
      <c r="I935" s="91" t="str">
        <f>H935-F935</f>
      </c>
      <c r="J935" s="92" t="str">
        <f>G935-E935</f>
      </c>
    </row>
    <row r="936">
      <c r="A936" t="s">
        <v>116</v>
      </c>
      <c r="B936" t="s">
        <v>422</v>
      </c>
      <c r="C936" s="86" t="n">
        <v>2028</v>
      </c>
      <c r="D936" t="s">
        <v>235</v>
      </c>
      <c r="E936" s="87" t="n">
        <v>282001.88087699</v>
      </c>
      <c r="F936" s="88" t="n">
        <v>259681.975659095</v>
      </c>
      <c r="G936" s="89" t="n">
        <v>283208.63975277</v>
      </c>
      <c r="H936" s="90" t="n">
        <v>263753.748205613</v>
      </c>
      <c r="I936" s="91" t="str">
        <f>H936-F936</f>
      </c>
      <c r="J936" s="92" t="str">
        <f>G936-E936</f>
      </c>
    </row>
    <row r="937">
      <c r="A937" t="s">
        <v>116</v>
      </c>
      <c r="B937" t="s">
        <v>422</v>
      </c>
      <c r="C937" s="86" t="n">
        <v>2028</v>
      </c>
      <c r="D937" t="s">
        <v>244</v>
      </c>
      <c r="E937" s="87" t="n">
        <v>645617.763684549</v>
      </c>
      <c r="F937" s="88" t="n">
        <v>355320.149140705</v>
      </c>
      <c r="G937" s="89" t="n">
        <v>654200.049400957</v>
      </c>
      <c r="H937" s="90" t="n">
        <v>363945.253777133</v>
      </c>
      <c r="I937" s="91" t="str">
        <f>H937-F937</f>
      </c>
      <c r="J937" s="92" t="str">
        <f>G937-E937</f>
      </c>
    </row>
    <row r="938">
      <c r="A938" t="s">
        <v>116</v>
      </c>
      <c r="B938" t="s">
        <v>422</v>
      </c>
      <c r="C938" s="86" t="n">
        <v>2028</v>
      </c>
      <c r="D938" t="s">
        <v>248</v>
      </c>
      <c r="E938" s="87" t="n">
        <v>348910.179355702</v>
      </c>
      <c r="F938" s="88" t="n">
        <v>171801.931763835</v>
      </c>
      <c r="G938" s="89" t="n">
        <v>351745.983284134</v>
      </c>
      <c r="H938" s="90" t="n">
        <v>175235.344826664</v>
      </c>
      <c r="I938" s="91" t="str">
        <f>H938-F938</f>
      </c>
      <c r="J938" s="92" t="str">
        <f>G938-E938</f>
      </c>
    </row>
    <row r="939">
      <c r="A939" t="s">
        <v>116</v>
      </c>
      <c r="B939" t="s">
        <v>422</v>
      </c>
      <c r="C939" s="86" t="n">
        <v>2028</v>
      </c>
      <c r="D939" t="s">
        <v>421</v>
      </c>
      <c r="E939" s="87" t="n">
        <v>12493.628027355</v>
      </c>
      <c r="F939" s="88" t="n">
        <v>3559.53906102124</v>
      </c>
      <c r="G939" s="89" t="n">
        <v>12493.5410814872</v>
      </c>
      <c r="H939" s="90" t="n">
        <v>3559.53799626408</v>
      </c>
      <c r="I939" s="91" t="str">
        <f>H939-F939</f>
      </c>
      <c r="J939" s="92" t="str">
        <f>G939-E939</f>
      </c>
    </row>
    <row r="940">
      <c r="A940" t="s">
        <v>116</v>
      </c>
      <c r="B940" t="s">
        <v>422</v>
      </c>
      <c r="C940" s="86" t="n">
        <v>2029</v>
      </c>
      <c r="D940" t="s">
        <v>419</v>
      </c>
      <c r="E940" s="87" t="n">
        <v>12031.2075344759</v>
      </c>
      <c r="F940" s="88" t="n">
        <v>8821.95152300109</v>
      </c>
      <c r="G940" s="89" t="n">
        <v>12020.2428783132</v>
      </c>
      <c r="H940" s="90" t="n">
        <v>8820.39462668691</v>
      </c>
      <c r="I940" s="91" t="str">
        <f>H940-F940</f>
      </c>
      <c r="J940" s="92" t="str">
        <f>G940-E940</f>
      </c>
    </row>
    <row r="941">
      <c r="A941" t="s">
        <v>116</v>
      </c>
      <c r="B941" t="s">
        <v>422</v>
      </c>
      <c r="C941" s="86" t="n">
        <v>2029</v>
      </c>
      <c r="D941" t="s">
        <v>224</v>
      </c>
      <c r="E941" s="87" t="n">
        <v>868502.438745276</v>
      </c>
      <c r="F941" s="88" t="n">
        <v>141396.627267133</v>
      </c>
      <c r="G941" s="89" t="n">
        <v>872122.58793486</v>
      </c>
      <c r="H941" s="90" t="n">
        <v>141419.192572278</v>
      </c>
      <c r="I941" s="91" t="str">
        <f>H941-F941</f>
      </c>
      <c r="J941" s="92" t="str">
        <f>G941-E941</f>
      </c>
    </row>
    <row r="942">
      <c r="A942" t="s">
        <v>116</v>
      </c>
      <c r="B942" t="s">
        <v>422</v>
      </c>
      <c r="C942" s="86" t="n">
        <v>2029</v>
      </c>
      <c r="D942" t="s">
        <v>420</v>
      </c>
      <c r="E942" s="87" t="n">
        <v>122785.563033705</v>
      </c>
      <c r="F942" s="88" t="n">
        <v>77392.5499097262</v>
      </c>
      <c r="G942" s="89" t="n">
        <v>122702.091699448</v>
      </c>
      <c r="H942" s="90" t="n">
        <v>77383.2509010991</v>
      </c>
      <c r="I942" s="91" t="str">
        <f>H942-F942</f>
      </c>
      <c r="J942" s="92" t="str">
        <f>G942-E942</f>
      </c>
    </row>
    <row r="943">
      <c r="A943" t="s">
        <v>116</v>
      </c>
      <c r="B943" t="s">
        <v>422</v>
      </c>
      <c r="C943" s="86" t="n">
        <v>2029</v>
      </c>
      <c r="D943" t="s">
        <v>235</v>
      </c>
      <c r="E943" s="87" t="n">
        <v>286132.112675826</v>
      </c>
      <c r="F943" s="88" t="n">
        <v>263063.623653838</v>
      </c>
      <c r="G943" s="89" t="n">
        <v>287809.159991119</v>
      </c>
      <c r="H943" s="90" t="n">
        <v>268469.018676722</v>
      </c>
      <c r="I943" s="91" t="str">
        <f>H943-F943</f>
      </c>
      <c r="J943" s="92" t="str">
        <f>G943-E943</f>
      </c>
    </row>
    <row r="944">
      <c r="A944" t="s">
        <v>116</v>
      </c>
      <c r="B944" t="s">
        <v>422</v>
      </c>
      <c r="C944" s="86" t="n">
        <v>2029</v>
      </c>
      <c r="D944" t="s">
        <v>244</v>
      </c>
      <c r="E944" s="87" t="n">
        <v>657906.084756004</v>
      </c>
      <c r="F944" s="88" t="n">
        <v>362134.829396431</v>
      </c>
      <c r="G944" s="89" t="n">
        <v>670042.029002105</v>
      </c>
      <c r="H944" s="90" t="n">
        <v>374519.264871248</v>
      </c>
      <c r="I944" s="91" t="str">
        <f>H944-F944</f>
      </c>
      <c r="J944" s="92" t="str">
        <f>G944-E944</f>
      </c>
    </row>
    <row r="945">
      <c r="A945" t="s">
        <v>116</v>
      </c>
      <c r="B945" t="s">
        <v>422</v>
      </c>
      <c r="C945" s="86" t="n">
        <v>2029</v>
      </c>
      <c r="D945" t="s">
        <v>248</v>
      </c>
      <c r="E945" s="87" t="n">
        <v>355481.080105614</v>
      </c>
      <c r="F945" s="88" t="n">
        <v>174675.343692957</v>
      </c>
      <c r="G945" s="89" t="n">
        <v>359486.672358836</v>
      </c>
      <c r="H945" s="90" t="n">
        <v>179568.517960818</v>
      </c>
      <c r="I945" s="91" t="str">
        <f>H945-F945</f>
      </c>
      <c r="J945" s="92" t="str">
        <f>G945-E945</f>
      </c>
    </row>
    <row r="946">
      <c r="A946" t="s">
        <v>116</v>
      </c>
      <c r="B946" t="s">
        <v>422</v>
      </c>
      <c r="C946" s="86" t="n">
        <v>2029</v>
      </c>
      <c r="D946" t="s">
        <v>421</v>
      </c>
      <c r="E946" s="87" t="n">
        <v>12505.4430410252</v>
      </c>
      <c r="F946" s="88" t="n">
        <v>3430.77434283588</v>
      </c>
      <c r="G946" s="89" t="n">
        <v>12505.2897091232</v>
      </c>
      <c r="H946" s="90" t="n">
        <v>3430.77105367489</v>
      </c>
      <c r="I946" s="91" t="str">
        <f>H946-F946</f>
      </c>
      <c r="J946" s="92" t="str">
        <f>G946-E946</f>
      </c>
    </row>
    <row r="947">
      <c r="A947" t="s">
        <v>116</v>
      </c>
      <c r="B947" t="s">
        <v>422</v>
      </c>
      <c r="C947" s="86" t="n">
        <v>2030</v>
      </c>
      <c r="D947" t="s">
        <v>419</v>
      </c>
      <c r="E947" s="87" t="n">
        <v>12292.5321757027</v>
      </c>
      <c r="F947" s="88" t="n">
        <v>8968.96219092243</v>
      </c>
      <c r="G947" s="89" t="n">
        <v>12274.2647344434</v>
      </c>
      <c r="H947" s="90" t="n">
        <v>8965.59723882955</v>
      </c>
      <c r="I947" s="91" t="str">
        <f>H947-F947</f>
      </c>
      <c r="J947" s="92" t="str">
        <f>G947-E947</f>
      </c>
    </row>
    <row r="948">
      <c r="A948" t="s">
        <v>116</v>
      </c>
      <c r="B948" t="s">
        <v>422</v>
      </c>
      <c r="C948" s="86" t="n">
        <v>2030</v>
      </c>
      <c r="D948" t="s">
        <v>224</v>
      </c>
      <c r="E948" s="87" t="n">
        <v>883968.715292715</v>
      </c>
      <c r="F948" s="88" t="n">
        <v>146212.882021713</v>
      </c>
      <c r="G948" s="89" t="n">
        <v>888648.849091124</v>
      </c>
      <c r="H948" s="90" t="n">
        <v>146256.073838529</v>
      </c>
      <c r="I948" s="91" t="str">
        <f>H948-F948</f>
      </c>
      <c r="J948" s="92" t="str">
        <f>G948-E948</f>
      </c>
    </row>
    <row r="949">
      <c r="A949" t="s">
        <v>116</v>
      </c>
      <c r="B949" t="s">
        <v>422</v>
      </c>
      <c r="C949" s="86" t="n">
        <v>2030</v>
      </c>
      <c r="D949" t="s">
        <v>420</v>
      </c>
      <c r="E949" s="87" t="n">
        <v>126240.733973509</v>
      </c>
      <c r="F949" s="88" t="n">
        <v>79355.6484412681</v>
      </c>
      <c r="G949" s="89" t="n">
        <v>126100.520404265</v>
      </c>
      <c r="H949" s="90" t="n">
        <v>79334.7983616028</v>
      </c>
      <c r="I949" s="91" t="str">
        <f>H949-F949</f>
      </c>
      <c r="J949" s="92" t="str">
        <f>G949-E949</f>
      </c>
    </row>
    <row r="950">
      <c r="A950" t="s">
        <v>116</v>
      </c>
      <c r="B950" t="s">
        <v>422</v>
      </c>
      <c r="C950" s="86" t="n">
        <v>2030</v>
      </c>
      <c r="D950" t="s">
        <v>235</v>
      </c>
      <c r="E950" s="87" t="n">
        <v>290152.077445883</v>
      </c>
      <c r="F950" s="88" t="n">
        <v>266608.702397225</v>
      </c>
      <c r="G950" s="89" t="n">
        <v>292286.017029858</v>
      </c>
      <c r="H950" s="90" t="n">
        <v>273157.810650434</v>
      </c>
      <c r="I950" s="91" t="str">
        <f>H950-F950</f>
      </c>
      <c r="J950" s="92" t="str">
        <f>G950-E950</f>
      </c>
    </row>
    <row r="951">
      <c r="A951" t="s">
        <v>116</v>
      </c>
      <c r="B951" t="s">
        <v>422</v>
      </c>
      <c r="C951" s="86" t="n">
        <v>2030</v>
      </c>
      <c r="D951" t="s">
        <v>244</v>
      </c>
      <c r="E951" s="87" t="n">
        <v>670757.524003385</v>
      </c>
      <c r="F951" s="88" t="n">
        <v>369150.579568935</v>
      </c>
      <c r="G951" s="89" t="n">
        <v>686528.816871955</v>
      </c>
      <c r="H951" s="90" t="n">
        <v>385417.279419066</v>
      </c>
      <c r="I951" s="91" t="str">
        <f>H951-F951</f>
      </c>
      <c r="J951" s="92" t="str">
        <f>G951-E951</f>
      </c>
    </row>
    <row r="952">
      <c r="A952" t="s">
        <v>116</v>
      </c>
      <c r="B952" t="s">
        <v>422</v>
      </c>
      <c r="C952" s="86" t="n">
        <v>2030</v>
      </c>
      <c r="D952" t="s">
        <v>248</v>
      </c>
      <c r="E952" s="87" t="n">
        <v>362765.550915821</v>
      </c>
      <c r="F952" s="88" t="n">
        <v>178005.169628176</v>
      </c>
      <c r="G952" s="89" t="n">
        <v>367955.05484547</v>
      </c>
      <c r="H952" s="90" t="n">
        <v>184377.512558869</v>
      </c>
      <c r="I952" s="91" t="str">
        <f>H952-F952</f>
      </c>
      <c r="J952" s="92" t="str">
        <f>G952-E952</f>
      </c>
    </row>
    <row r="953">
      <c r="A953" t="s">
        <v>116</v>
      </c>
      <c r="B953" t="s">
        <v>422</v>
      </c>
      <c r="C953" s="86" t="n">
        <v>2030</v>
      </c>
      <c r="D953" t="s">
        <v>421</v>
      </c>
      <c r="E953" s="87" t="n">
        <v>12655.4961703715</v>
      </c>
      <c r="F953" s="88" t="n">
        <v>3301.15302466085</v>
      </c>
      <c r="G953" s="89" t="n">
        <v>12655.2774901684</v>
      </c>
      <c r="H953" s="90" t="n">
        <v>3301.14666213427</v>
      </c>
      <c r="I953" s="91" t="str">
        <f>H953-F953</f>
      </c>
      <c r="J953" s="92" t="str">
        <f>G953-E953</f>
      </c>
    </row>
    <row r="954">
      <c r="A954" t="s">
        <v>116</v>
      </c>
      <c r="B954" t="s">
        <v>422</v>
      </c>
      <c r="C954" s="86" t="n">
        <v>2031</v>
      </c>
      <c r="D954" t="s">
        <v>419</v>
      </c>
      <c r="E954" s="87" t="n">
        <v>12534.1432001974</v>
      </c>
      <c r="F954" s="88" t="n">
        <v>9120.52438814582</v>
      </c>
      <c r="G954" s="89" t="n">
        <v>12506.5880665311</v>
      </c>
      <c r="H954" s="90" t="n">
        <v>9114.48302310478</v>
      </c>
      <c r="I954" s="91" t="str">
        <f>H954-F954</f>
      </c>
      <c r="J954" s="92" t="str">
        <f>G954-E954</f>
      </c>
    </row>
    <row r="955">
      <c r="A955" t="s">
        <v>116</v>
      </c>
      <c r="B955" t="s">
        <v>422</v>
      </c>
      <c r="C955" s="86" t="n">
        <v>2031</v>
      </c>
      <c r="D955" t="s">
        <v>224</v>
      </c>
      <c r="E955" s="87" t="n">
        <v>900034.042159048</v>
      </c>
      <c r="F955" s="88" t="n">
        <v>150948.560302275</v>
      </c>
      <c r="G955" s="89" t="n">
        <v>905698.50533388</v>
      </c>
      <c r="H955" s="90" t="n">
        <v>151017.314585235</v>
      </c>
      <c r="I955" s="91" t="str">
        <f>H955-F955</f>
      </c>
      <c r="J955" s="92" t="str">
        <f>G955-E955</f>
      </c>
    </row>
    <row r="956">
      <c r="A956" t="s">
        <v>116</v>
      </c>
      <c r="B956" t="s">
        <v>422</v>
      </c>
      <c r="C956" s="86" t="n">
        <v>2031</v>
      </c>
      <c r="D956" t="s">
        <v>420</v>
      </c>
      <c r="E956" s="87" t="n">
        <v>129550.438686786</v>
      </c>
      <c r="F956" s="88" t="n">
        <v>81259.7660784118</v>
      </c>
      <c r="G956" s="89" t="n">
        <v>129337.020613882</v>
      </c>
      <c r="H956" s="90" t="n">
        <v>81221.2142709578</v>
      </c>
      <c r="I956" s="91" t="str">
        <f>H956-F956</f>
      </c>
      <c r="J956" s="92" t="str">
        <f>G956-E956</f>
      </c>
    </row>
    <row r="957">
      <c r="A957" t="s">
        <v>116</v>
      </c>
      <c r="B957" t="s">
        <v>422</v>
      </c>
      <c r="C957" s="86" t="n">
        <v>2031</v>
      </c>
      <c r="D957" t="s">
        <v>235</v>
      </c>
      <c r="E957" s="87" t="n">
        <v>294296.265506571</v>
      </c>
      <c r="F957" s="88" t="n">
        <v>271569.984009592</v>
      </c>
      <c r="G957" s="89" t="n">
        <v>296437.738378722</v>
      </c>
      <c r="H957" s="90" t="n">
        <v>277404.152195349</v>
      </c>
      <c r="I957" s="91" t="str">
        <f>H957-F957</f>
      </c>
      <c r="J957" s="92" t="str">
        <f>G957-E957</f>
      </c>
    </row>
    <row r="958">
      <c r="A958" t="s">
        <v>116</v>
      </c>
      <c r="B958" t="s">
        <v>422</v>
      </c>
      <c r="C958" s="86" t="n">
        <v>2031</v>
      </c>
      <c r="D958" t="s">
        <v>244</v>
      </c>
      <c r="E958" s="87" t="n">
        <v>686116.985874739</v>
      </c>
      <c r="F958" s="88" t="n">
        <v>378885.400046253</v>
      </c>
      <c r="G958" s="89" t="n">
        <v>702548.134334822</v>
      </c>
      <c r="H958" s="90" t="n">
        <v>396078.261698986</v>
      </c>
      <c r="I958" s="91" t="str">
        <f>H958-F958</f>
      </c>
      <c r="J958" s="92" t="str">
        <f>G958-E958</f>
      </c>
    </row>
    <row r="959">
      <c r="A959" t="s">
        <v>116</v>
      </c>
      <c r="B959" t="s">
        <v>422</v>
      </c>
      <c r="C959" s="86" t="n">
        <v>2031</v>
      </c>
      <c r="D959" t="s">
        <v>248</v>
      </c>
      <c r="E959" s="87" t="n">
        <v>370677.056343716</v>
      </c>
      <c r="F959" s="88" t="n">
        <v>182568.879805133</v>
      </c>
      <c r="G959" s="89" t="n">
        <v>376026.788964657</v>
      </c>
      <c r="H959" s="90" t="n">
        <v>189147.352294789</v>
      </c>
      <c r="I959" s="91" t="str">
        <f>H959-F959</f>
      </c>
      <c r="J959" s="92" t="str">
        <f>G959-E959</f>
      </c>
    </row>
    <row r="960">
      <c r="A960" t="s">
        <v>116</v>
      </c>
      <c r="B960" t="s">
        <v>422</v>
      </c>
      <c r="C960" s="86" t="n">
        <v>2031</v>
      </c>
      <c r="D960" t="s">
        <v>421</v>
      </c>
      <c r="E960" s="87" t="n">
        <v>12740.9414950563</v>
      </c>
      <c r="F960" s="88" t="n">
        <v>3174.87281483773</v>
      </c>
      <c r="G960" s="89" t="n">
        <v>12740.6278729228</v>
      </c>
      <c r="H960" s="90" t="n">
        <v>3174.86317276916</v>
      </c>
      <c r="I960" s="91" t="str">
        <f>H960-F960</f>
      </c>
      <c r="J960" s="92" t="str">
        <f>G960-E960</f>
      </c>
    </row>
    <row r="961">
      <c r="A961" t="s">
        <v>116</v>
      </c>
      <c r="B961" t="s">
        <v>422</v>
      </c>
      <c r="C961" s="86" t="n">
        <v>2032</v>
      </c>
      <c r="D961" t="s">
        <v>419</v>
      </c>
      <c r="E961" s="87" t="n">
        <v>12780.4303512867</v>
      </c>
      <c r="F961" s="88" t="n">
        <v>9277.58211845249</v>
      </c>
      <c r="G961" s="89" t="n">
        <v>12743.8944071303</v>
      </c>
      <c r="H961" s="90" t="n">
        <v>9267.91175287106</v>
      </c>
      <c r="I961" s="91" t="str">
        <f>H961-F961</f>
      </c>
      <c r="J961" s="92" t="str">
        <f>G961-E961</f>
      </c>
    </row>
    <row r="962">
      <c r="A962" t="s">
        <v>116</v>
      </c>
      <c r="B962" t="s">
        <v>422</v>
      </c>
      <c r="C962" s="86" t="n">
        <v>2032</v>
      </c>
      <c r="D962" t="s">
        <v>224</v>
      </c>
      <c r="E962" s="87" t="n">
        <v>917170.269475101</v>
      </c>
      <c r="F962" s="88" t="n">
        <v>155816.164837102</v>
      </c>
      <c r="G962" s="89" t="n">
        <v>923778.433647484</v>
      </c>
      <c r="H962" s="90" t="n">
        <v>155914.890344467</v>
      </c>
      <c r="I962" s="91" t="str">
        <f>H962-F962</f>
      </c>
      <c r="J962" s="92" t="str">
        <f>G962-E962</f>
      </c>
    </row>
    <row r="963">
      <c r="A963" t="s">
        <v>116</v>
      </c>
      <c r="B963" t="s">
        <v>422</v>
      </c>
      <c r="C963" s="86" t="n">
        <v>2032</v>
      </c>
      <c r="D963" t="s">
        <v>420</v>
      </c>
      <c r="E963" s="87" t="n">
        <v>132851.824044903</v>
      </c>
      <c r="F963" s="88" t="n">
        <v>83227.378852792</v>
      </c>
      <c r="G963" s="89" t="n">
        <v>132566.317868369</v>
      </c>
      <c r="H963" s="90" t="n">
        <v>83164.0959360433</v>
      </c>
      <c r="I963" s="91" t="str">
        <f>H963-F963</f>
      </c>
      <c r="J963" s="92" t="str">
        <f>G963-E963</f>
      </c>
    </row>
    <row r="964">
      <c r="A964" t="s">
        <v>116</v>
      </c>
      <c r="B964" t="s">
        <v>422</v>
      </c>
      <c r="C964" s="86" t="n">
        <v>2032</v>
      </c>
      <c r="D964" t="s">
        <v>235</v>
      </c>
      <c r="E964" s="87" t="n">
        <v>298353.816893274</v>
      </c>
      <c r="F964" s="88" t="n">
        <v>276085.46035818</v>
      </c>
      <c r="G964" s="89" t="n">
        <v>300504.550336341</v>
      </c>
      <c r="H964" s="90" t="n">
        <v>281488.739628123</v>
      </c>
      <c r="I964" s="91" t="str">
        <f>H964-F964</f>
      </c>
      <c r="J964" s="92" t="str">
        <f>G964-E964</f>
      </c>
    </row>
    <row r="965">
      <c r="A965" t="s">
        <v>116</v>
      </c>
      <c r="B965" t="s">
        <v>422</v>
      </c>
      <c r="C965" s="86" t="n">
        <v>2032</v>
      </c>
      <c r="D965" t="s">
        <v>244</v>
      </c>
      <c r="E965" s="87" t="n">
        <v>702038.368989481</v>
      </c>
      <c r="F965" s="88" t="n">
        <v>388734.543677237</v>
      </c>
      <c r="G965" s="89" t="n">
        <v>719168.67859234</v>
      </c>
      <c r="H965" s="90" t="n">
        <v>406904.282877455</v>
      </c>
      <c r="I965" s="91" t="str">
        <f>H965-F965</f>
      </c>
      <c r="J965" s="92" t="str">
        <f>G965-E965</f>
      </c>
    </row>
    <row r="966">
      <c r="A966" t="s">
        <v>116</v>
      </c>
      <c r="B966" t="s">
        <v>422</v>
      </c>
      <c r="C966" s="86" t="n">
        <v>2032</v>
      </c>
      <c r="D966" t="s">
        <v>248</v>
      </c>
      <c r="E966" s="87" t="n">
        <v>379082.547398692</v>
      </c>
      <c r="F966" s="88" t="n">
        <v>187343.190813049</v>
      </c>
      <c r="G966" s="89" t="n">
        <v>384609.051353766</v>
      </c>
      <c r="H966" s="90" t="n">
        <v>194193.38475982</v>
      </c>
      <c r="I966" s="91" t="str">
        <f>H966-F966</f>
      </c>
      <c r="J966" s="92" t="str">
        <f>G966-E966</f>
      </c>
    </row>
    <row r="967">
      <c r="A967" t="s">
        <v>116</v>
      </c>
      <c r="B967" t="s">
        <v>422</v>
      </c>
      <c r="C967" s="86" t="n">
        <v>2032</v>
      </c>
      <c r="D967" t="s">
        <v>421</v>
      </c>
      <c r="E967" s="87" t="n">
        <v>12856.3197935102</v>
      </c>
      <c r="F967" s="88" t="n">
        <v>3046.53381864344</v>
      </c>
      <c r="G967" s="89" t="n">
        <v>12855.9427389859</v>
      </c>
      <c r="H967" s="90" t="n">
        <v>3046.52022706146</v>
      </c>
      <c r="I967" s="91" t="str">
        <f>H967-F967</f>
      </c>
      <c r="J967" s="92" t="str">
        <f>G967-E967</f>
      </c>
    </row>
    <row r="968">
      <c r="A968" t="s">
        <v>116</v>
      </c>
      <c r="B968" t="s">
        <v>422</v>
      </c>
      <c r="C968" s="86" t="n">
        <v>2033</v>
      </c>
      <c r="D968" t="s">
        <v>419</v>
      </c>
      <c r="E968" s="87" t="n">
        <v>13192.9965180885</v>
      </c>
      <c r="F968" s="88" t="n">
        <v>9451.38125596459</v>
      </c>
      <c r="G968" s="89" t="n">
        <v>13146.3513901505</v>
      </c>
      <c r="H968" s="90" t="n">
        <v>9437.49521839436</v>
      </c>
      <c r="I968" s="91" t="str">
        <f>H968-F968</f>
      </c>
      <c r="J968" s="92" t="str">
        <f>G968-E968</f>
      </c>
    </row>
    <row r="969">
      <c r="A969" t="s">
        <v>116</v>
      </c>
      <c r="B969" t="s">
        <v>422</v>
      </c>
      <c r="C969" s="86" t="n">
        <v>2033</v>
      </c>
      <c r="D969" t="s">
        <v>224</v>
      </c>
      <c r="E969" s="87" t="n">
        <v>936973.888445926</v>
      </c>
      <c r="F969" s="88" t="n">
        <v>160688.59418798</v>
      </c>
      <c r="G969" s="89" t="n">
        <v>944521.71811111</v>
      </c>
      <c r="H969" s="90" t="n">
        <v>160821.219639763</v>
      </c>
      <c r="I969" s="91" t="str">
        <f>H969-F969</f>
      </c>
      <c r="J969" s="92" t="str">
        <f>G969-E969</f>
      </c>
    </row>
    <row r="970">
      <c r="A970" t="s">
        <v>116</v>
      </c>
      <c r="B970" t="s">
        <v>422</v>
      </c>
      <c r="C970" s="86" t="n">
        <v>2033</v>
      </c>
      <c r="D970" t="s">
        <v>420</v>
      </c>
      <c r="E970" s="87" t="n">
        <v>137069.081398869</v>
      </c>
      <c r="F970" s="88" t="n">
        <v>85232.8479061838</v>
      </c>
      <c r="G970" s="89" t="n">
        <v>136707.716312745</v>
      </c>
      <c r="H970" s="90" t="n">
        <v>85140.0559210379</v>
      </c>
      <c r="I970" s="91" t="str">
        <f>H970-F970</f>
      </c>
      <c r="J970" s="92" t="str">
        <f>G970-E970</f>
      </c>
    </row>
    <row r="971">
      <c r="A971" t="s">
        <v>116</v>
      </c>
      <c r="B971" t="s">
        <v>422</v>
      </c>
      <c r="C971" s="86" t="n">
        <v>2033</v>
      </c>
      <c r="D971" t="s">
        <v>235</v>
      </c>
      <c r="E971" s="87" t="n">
        <v>302308.968350132</v>
      </c>
      <c r="F971" s="88" t="n">
        <v>280197.062544985</v>
      </c>
      <c r="G971" s="89" t="n">
        <v>304468.286850227</v>
      </c>
      <c r="H971" s="90" t="n">
        <v>285297.748513227</v>
      </c>
      <c r="I971" s="91" t="str">
        <f>H971-F971</f>
      </c>
      <c r="J971" s="92" t="str">
        <f>G971-E971</f>
      </c>
    </row>
    <row r="972">
      <c r="A972" t="s">
        <v>116</v>
      </c>
      <c r="B972" t="s">
        <v>422</v>
      </c>
      <c r="C972" s="86" t="n">
        <v>2033</v>
      </c>
      <c r="D972" t="s">
        <v>244</v>
      </c>
      <c r="E972" s="87" t="n">
        <v>720484.194514337</v>
      </c>
      <c r="F972" s="88" t="n">
        <v>398413.412898664</v>
      </c>
      <c r="G972" s="89" t="n">
        <v>738395.913710054</v>
      </c>
      <c r="H972" s="90" t="n">
        <v>417591.194273361</v>
      </c>
      <c r="I972" s="91" t="str">
        <f>H972-F972</f>
      </c>
      <c r="J972" s="92" t="str">
        <f>G972-E972</f>
      </c>
    </row>
    <row r="973">
      <c r="A973" t="s">
        <v>116</v>
      </c>
      <c r="B973" t="s">
        <v>422</v>
      </c>
      <c r="C973" s="86" t="n">
        <v>2033</v>
      </c>
      <c r="D973" t="s">
        <v>248</v>
      </c>
      <c r="E973" s="87" t="n">
        <v>388425.206394387</v>
      </c>
      <c r="F973" s="88" t="n">
        <v>192144.091853563</v>
      </c>
      <c r="G973" s="89" t="n">
        <v>394159.184915109</v>
      </c>
      <c r="H973" s="90" t="n">
        <v>199311.530364044</v>
      </c>
      <c r="I973" s="91" t="str">
        <f>H973-F973</f>
      </c>
      <c r="J973" s="92" t="str">
        <f>G973-E973</f>
      </c>
    </row>
    <row r="974">
      <c r="A974" t="s">
        <v>116</v>
      </c>
      <c r="B974" t="s">
        <v>422</v>
      </c>
      <c r="C974" s="86" t="n">
        <v>2033</v>
      </c>
      <c r="D974" t="s">
        <v>421</v>
      </c>
      <c r="E974" s="87" t="n">
        <v>12781.1150088023</v>
      </c>
      <c r="F974" s="88" t="n">
        <v>2919.81169104893</v>
      </c>
      <c r="G974" s="89" t="n">
        <v>12780.7417922516</v>
      </c>
      <c r="H974" s="90" t="n">
        <v>2919.79454897481</v>
      </c>
      <c r="I974" s="91" t="str">
        <f>H974-F974</f>
      </c>
      <c r="J974" s="92" t="str">
        <f>G974-E974</f>
      </c>
    </row>
    <row r="975">
      <c r="A975" t="s">
        <v>116</v>
      </c>
      <c r="B975" t="s">
        <v>422</v>
      </c>
      <c r="C975" s="86" t="n">
        <v>2034</v>
      </c>
      <c r="D975" t="s">
        <v>419</v>
      </c>
      <c r="E975" s="87" t="n">
        <v>13452.1811244878</v>
      </c>
      <c r="F975" s="88" t="n">
        <v>9629.32287599769</v>
      </c>
      <c r="G975" s="89" t="n">
        <v>13396.3770662857</v>
      </c>
      <c r="H975" s="90" t="n">
        <v>9610.78717894584</v>
      </c>
      <c r="I975" s="91" t="str">
        <f>H975-F975</f>
      </c>
      <c r="J975" s="92" t="str">
        <f>G975-E975</f>
      </c>
    </row>
    <row r="976">
      <c r="A976" t="s">
        <v>116</v>
      </c>
      <c r="B976" t="s">
        <v>422</v>
      </c>
      <c r="C976" s="86" t="n">
        <v>2034</v>
      </c>
      <c r="D976" t="s">
        <v>224</v>
      </c>
      <c r="E976" s="87" t="n">
        <v>951806.36578777</v>
      </c>
      <c r="F976" s="88" t="n">
        <v>165662.044882235</v>
      </c>
      <c r="G976" s="89" t="n">
        <v>960221.655861689</v>
      </c>
      <c r="H976" s="90" t="n">
        <v>165832.802590949</v>
      </c>
      <c r="I976" s="91" t="str">
        <f>H976-F976</f>
      </c>
      <c r="J976" s="92" t="str">
        <f>G976-E976</f>
      </c>
    </row>
    <row r="977">
      <c r="A977" t="s">
        <v>116</v>
      </c>
      <c r="B977" t="s">
        <v>422</v>
      </c>
      <c r="C977" s="86" t="n">
        <v>2034</v>
      </c>
      <c r="D977" t="s">
        <v>420</v>
      </c>
      <c r="E977" s="87" t="n">
        <v>140357.967560958</v>
      </c>
      <c r="F977" s="88" t="n">
        <v>87252.1782141866</v>
      </c>
      <c r="G977" s="89" t="n">
        <v>139922.665552402</v>
      </c>
      <c r="H977" s="90" t="n">
        <v>87126.2119501461</v>
      </c>
      <c r="I977" s="91" t="str">
        <f>H977-F977</f>
      </c>
      <c r="J977" s="92" t="str">
        <f>G977-E977</f>
      </c>
    </row>
    <row r="978">
      <c r="A978" t="s">
        <v>116</v>
      </c>
      <c r="B978" t="s">
        <v>422</v>
      </c>
      <c r="C978" s="86" t="n">
        <v>2034</v>
      </c>
      <c r="D978" t="s">
        <v>235</v>
      </c>
      <c r="E978" s="87" t="n">
        <v>306069.60842404</v>
      </c>
      <c r="F978" s="88" t="n">
        <v>284510.231886272</v>
      </c>
      <c r="G978" s="89" t="n">
        <v>308142.620646514</v>
      </c>
      <c r="H978" s="90" t="n">
        <v>289022.375898514</v>
      </c>
      <c r="I978" s="91" t="str">
        <f>H978-F978</f>
      </c>
      <c r="J978" s="92" t="str">
        <f>G978-E978</f>
      </c>
    </row>
    <row r="979">
      <c r="A979" t="s">
        <v>116</v>
      </c>
      <c r="B979" t="s">
        <v>422</v>
      </c>
      <c r="C979" s="86" t="n">
        <v>2034</v>
      </c>
      <c r="D979" t="s">
        <v>244</v>
      </c>
      <c r="E979" s="87" t="n">
        <v>736274.86200687</v>
      </c>
      <c r="F979" s="88" t="n">
        <v>409051.919547093</v>
      </c>
      <c r="G979" s="89" t="n">
        <v>754264.519314827</v>
      </c>
      <c r="H979" s="90" t="n">
        <v>428496.093357131</v>
      </c>
      <c r="I979" s="91" t="str">
        <f>H979-F979</f>
      </c>
      <c r="J979" s="92" t="str">
        <f>G979-E979</f>
      </c>
    </row>
    <row r="980">
      <c r="A980" t="s">
        <v>116</v>
      </c>
      <c r="B980" t="s">
        <v>422</v>
      </c>
      <c r="C980" s="86" t="n">
        <v>2034</v>
      </c>
      <c r="D980" t="s">
        <v>248</v>
      </c>
      <c r="E980" s="87" t="n">
        <v>396742.92869624</v>
      </c>
      <c r="F980" s="88" t="n">
        <v>197365.830939291</v>
      </c>
      <c r="G980" s="89" t="n">
        <v>402421.553872422</v>
      </c>
      <c r="H980" s="90" t="n">
        <v>204510.58021707</v>
      </c>
      <c r="I980" s="91" t="str">
        <f>H980-F980</f>
      </c>
      <c r="J980" s="92" t="str">
        <f>G980-E980</f>
      </c>
    </row>
    <row r="981">
      <c r="A981" t="s">
        <v>116</v>
      </c>
      <c r="B981" t="s">
        <v>422</v>
      </c>
      <c r="C981" s="86" t="n">
        <v>2034</v>
      </c>
      <c r="D981" t="s">
        <v>421</v>
      </c>
      <c r="E981" s="87" t="n">
        <v>12872.8460338382</v>
      </c>
      <c r="F981" s="88" t="n">
        <v>2795.78921460148</v>
      </c>
      <c r="G981" s="89" t="n">
        <v>12872.434861331</v>
      </c>
      <c r="H981" s="90" t="n">
        <v>2795.76959562027</v>
      </c>
      <c r="I981" s="91" t="str">
        <f>H981-F981</f>
      </c>
      <c r="J981" s="92" t="str">
        <f>G981-E981</f>
      </c>
    </row>
    <row r="982">
      <c r="A982" t="s">
        <v>116</v>
      </c>
      <c r="B982" t="s">
        <v>422</v>
      </c>
      <c r="C982" s="86" t="n">
        <v>2035</v>
      </c>
      <c r="D982" t="s">
        <v>419</v>
      </c>
      <c r="E982" s="87" t="n">
        <v>13791.8232194916</v>
      </c>
      <c r="F982" s="88" t="n">
        <v>9810.8795515672</v>
      </c>
      <c r="G982" s="89" t="n">
        <v>13726.7399692658</v>
      </c>
      <c r="H982" s="90" t="n">
        <v>9787.51275865094</v>
      </c>
      <c r="I982" s="91" t="str">
        <f>H982-F982</f>
      </c>
      <c r="J982" s="92" t="str">
        <f>G982-E982</f>
      </c>
    </row>
    <row r="983">
      <c r="A983" t="s">
        <v>116</v>
      </c>
      <c r="B983" t="s">
        <v>422</v>
      </c>
      <c r="C983" s="86" t="n">
        <v>2035</v>
      </c>
      <c r="D983" t="s">
        <v>224</v>
      </c>
      <c r="E983" s="87" t="n">
        <v>965798.20429548</v>
      </c>
      <c r="F983" s="88" t="n">
        <v>170698.204166421</v>
      </c>
      <c r="G983" s="89" t="n">
        <v>975047.326959866</v>
      </c>
      <c r="H983" s="90" t="n">
        <v>170911.003808462</v>
      </c>
      <c r="I983" s="91" t="str">
        <f>H983-F983</f>
      </c>
      <c r="J983" s="92" t="str">
        <f>G983-E983</f>
      </c>
    </row>
    <row r="984">
      <c r="A984" t="s">
        <v>116</v>
      </c>
      <c r="B984" t="s">
        <v>422</v>
      </c>
      <c r="C984" s="86" t="n">
        <v>2035</v>
      </c>
      <c r="D984" t="s">
        <v>420</v>
      </c>
      <c r="E984" s="87" t="n">
        <v>143938.5147128</v>
      </c>
      <c r="F984" s="88" t="n">
        <v>89299.7886807093</v>
      </c>
      <c r="G984" s="89" t="n">
        <v>143430.147346953</v>
      </c>
      <c r="H984" s="90" t="n">
        <v>89138.141517925</v>
      </c>
      <c r="I984" s="91" t="str">
        <f>H984-F984</f>
      </c>
      <c r="J984" s="92" t="str">
        <f>G984-E984</f>
      </c>
    </row>
    <row r="985">
      <c r="A985" t="s">
        <v>116</v>
      </c>
      <c r="B985" t="s">
        <v>422</v>
      </c>
      <c r="C985" s="86" t="n">
        <v>2035</v>
      </c>
      <c r="D985" t="s">
        <v>235</v>
      </c>
      <c r="E985" s="87" t="n">
        <v>309609.536611484</v>
      </c>
      <c r="F985" s="88" t="n">
        <v>288473.952136132</v>
      </c>
      <c r="G985" s="89" t="n">
        <v>311598.659349735</v>
      </c>
      <c r="H985" s="90" t="n">
        <v>292543.4341723</v>
      </c>
      <c r="I985" s="91" t="str">
        <f>H985-F985</f>
      </c>
      <c r="J985" s="92" t="str">
        <f>G985-E985</f>
      </c>
    </row>
    <row r="986">
      <c r="A986" t="s">
        <v>116</v>
      </c>
      <c r="B986" t="s">
        <v>422</v>
      </c>
      <c r="C986" s="86" t="n">
        <v>2035</v>
      </c>
      <c r="D986" t="s">
        <v>244</v>
      </c>
      <c r="E986" s="87" t="n">
        <v>751977.83228381</v>
      </c>
      <c r="F986" s="88" t="n">
        <v>419695.818559462</v>
      </c>
      <c r="G986" s="89" t="n">
        <v>770043.407398033</v>
      </c>
      <c r="H986" s="90" t="n">
        <v>439419.393176264</v>
      </c>
      <c r="I986" s="91" t="str">
        <f>H986-F986</f>
      </c>
      <c r="J986" s="92" t="str">
        <f>G986-E986</f>
      </c>
    </row>
    <row r="987">
      <c r="A987" t="s">
        <v>116</v>
      </c>
      <c r="B987" t="s">
        <v>422</v>
      </c>
      <c r="C987" s="86" t="n">
        <v>2035</v>
      </c>
      <c r="D987" t="s">
        <v>248</v>
      </c>
      <c r="E987" s="87" t="n">
        <v>404807.013551139</v>
      </c>
      <c r="F987" s="88" t="n">
        <v>202696.803115511</v>
      </c>
      <c r="G987" s="89" t="n">
        <v>410430.68648466</v>
      </c>
      <c r="H987" s="90" t="n">
        <v>209854.988515264</v>
      </c>
      <c r="I987" s="91" t="str">
        <f>H987-F987</f>
      </c>
      <c r="J987" s="92" t="str">
        <f>G987-E987</f>
      </c>
    </row>
    <row r="988">
      <c r="A988" t="s">
        <v>116</v>
      </c>
      <c r="B988" t="s">
        <v>422</v>
      </c>
      <c r="C988" s="86" t="n">
        <v>2035</v>
      </c>
      <c r="D988" t="s">
        <v>421</v>
      </c>
      <c r="E988" s="87" t="n">
        <v>13062.0019413966</v>
      </c>
      <c r="F988" s="88" t="n">
        <v>2671.5193083739</v>
      </c>
      <c r="G988" s="89" t="n">
        <v>13061.5900844962</v>
      </c>
      <c r="H988" s="90" t="n">
        <v>2671.49784394295</v>
      </c>
      <c r="I988" s="91" t="str">
        <f>H988-F988</f>
      </c>
      <c r="J988" s="92" t="str">
        <f>G988-E988</f>
      </c>
    </row>
    <row r="989">
      <c r="A989" t="s">
        <v>116</v>
      </c>
      <c r="B989" t="s">
        <v>422</v>
      </c>
      <c r="C989" s="86" t="n">
        <v>2036</v>
      </c>
      <c r="D989" t="s">
        <v>419</v>
      </c>
      <c r="E989" s="87" t="n">
        <v>14133.0390824912</v>
      </c>
      <c r="F989" s="88" t="n">
        <v>10001.0423290618</v>
      </c>
      <c r="G989" s="89" t="n">
        <v>14058.8402730705</v>
      </c>
      <c r="H989" s="90" t="n">
        <v>9972.733436972</v>
      </c>
      <c r="I989" s="91" t="str">
        <f>H989-F989</f>
      </c>
      <c r="J989" s="92" t="str">
        <f>G989-E989</f>
      </c>
    </row>
    <row r="990">
      <c r="A990" t="s">
        <v>116</v>
      </c>
      <c r="B990" t="s">
        <v>422</v>
      </c>
      <c r="C990" s="86" t="n">
        <v>2036</v>
      </c>
      <c r="D990" t="s">
        <v>224</v>
      </c>
      <c r="E990" s="87" t="n">
        <v>982506.945779396</v>
      </c>
      <c r="F990" s="88" t="n">
        <v>175880.963998488</v>
      </c>
      <c r="G990" s="89" t="n">
        <v>992593.127567906</v>
      </c>
      <c r="H990" s="90" t="n">
        <v>176139.997785528</v>
      </c>
      <c r="I990" s="91" t="str">
        <f>H990-F990</f>
      </c>
      <c r="J990" s="92" t="str">
        <f>G990-E990</f>
      </c>
    </row>
    <row r="991">
      <c r="A991" t="s">
        <v>116</v>
      </c>
      <c r="B991" t="s">
        <v>422</v>
      </c>
      <c r="C991" s="86" t="n">
        <v>2036</v>
      </c>
      <c r="D991" t="s">
        <v>420</v>
      </c>
      <c r="E991" s="87" t="n">
        <v>147559.335865111</v>
      </c>
      <c r="F991" s="88" t="n">
        <v>91424.4326740826</v>
      </c>
      <c r="G991" s="89" t="n">
        <v>146978.916070349</v>
      </c>
      <c r="H991" s="90" t="n">
        <v>91225.4078140792</v>
      </c>
      <c r="I991" s="91" t="str">
        <f>H991-F991</f>
      </c>
      <c r="J991" s="92" t="str">
        <f>G991-E991</f>
      </c>
    </row>
    <row r="992">
      <c r="A992" t="s">
        <v>116</v>
      </c>
      <c r="B992" t="s">
        <v>422</v>
      </c>
      <c r="C992" s="86" t="n">
        <v>2036</v>
      </c>
      <c r="D992" t="s">
        <v>235</v>
      </c>
      <c r="E992" s="87" t="n">
        <v>313062.722370055</v>
      </c>
      <c r="F992" s="88" t="n">
        <v>291101.800555887</v>
      </c>
      <c r="G992" s="89" t="n">
        <v>315288.949461379</v>
      </c>
      <c r="H992" s="90" t="n">
        <v>296084.402747987</v>
      </c>
      <c r="I992" s="91" t="str">
        <f>H992-F992</f>
      </c>
      <c r="J992" s="92" t="str">
        <f>G992-E992</f>
      </c>
    </row>
    <row r="993">
      <c r="A993" t="s">
        <v>116</v>
      </c>
      <c r="B993" t="s">
        <v>422</v>
      </c>
      <c r="C993" s="86" t="n">
        <v>2036</v>
      </c>
      <c r="D993" t="s">
        <v>244</v>
      </c>
      <c r="E993" s="87" t="n">
        <v>766520.907354687</v>
      </c>
      <c r="F993" s="88" t="n">
        <v>427855.87492239</v>
      </c>
      <c r="G993" s="89" t="n">
        <v>786706.265291046</v>
      </c>
      <c r="H993" s="90" t="n">
        <v>450600.66503166</v>
      </c>
      <c r="I993" s="91" t="str">
        <f>H993-F993</f>
      </c>
      <c r="J993" s="92" t="str">
        <f>G993-E993</f>
      </c>
    </row>
    <row r="994">
      <c r="A994" t="s">
        <v>116</v>
      </c>
      <c r="B994" t="s">
        <v>422</v>
      </c>
      <c r="C994" s="86" t="n">
        <v>2036</v>
      </c>
      <c r="D994" t="s">
        <v>248</v>
      </c>
      <c r="E994" s="87" t="n">
        <v>412503.652460231</v>
      </c>
      <c r="F994" s="88" t="n">
        <v>206806.176364718</v>
      </c>
      <c r="G994" s="89" t="n">
        <v>418880.52544402</v>
      </c>
      <c r="H994" s="90" t="n">
        <v>215434.246910517</v>
      </c>
      <c r="I994" s="91" t="str">
        <f>H994-F994</f>
      </c>
      <c r="J994" s="92" t="str">
        <f>G994-E994</f>
      </c>
    </row>
    <row r="995">
      <c r="A995" t="s">
        <v>116</v>
      </c>
      <c r="B995" t="s">
        <v>422</v>
      </c>
      <c r="C995" s="86" t="n">
        <v>2036</v>
      </c>
      <c r="D995" t="s">
        <v>421</v>
      </c>
      <c r="E995" s="87" t="n">
        <v>13309.219078344</v>
      </c>
      <c r="F995" s="88" t="n">
        <v>2547.76410709421</v>
      </c>
      <c r="G995" s="89" t="n">
        <v>13308.7944546361</v>
      </c>
      <c r="H995" s="90" t="n">
        <v>2547.74258396749</v>
      </c>
      <c r="I995" s="91" t="str">
        <f>H995-F995</f>
      </c>
      <c r="J995" s="92" t="str">
        <f>G995-E995</f>
      </c>
    </row>
    <row r="996">
      <c r="A996" t="s">
        <v>116</v>
      </c>
      <c r="B996" t="s">
        <v>422</v>
      </c>
      <c r="C996" s="86" t="n">
        <v>2037</v>
      </c>
      <c r="D996" t="s">
        <v>419</v>
      </c>
      <c r="E996" s="87" t="n">
        <v>14472.234900297</v>
      </c>
      <c r="F996" s="88" t="n">
        <v>10192.4561584875</v>
      </c>
      <c r="G996" s="89" t="n">
        <v>14386.6366039025</v>
      </c>
      <c r="H996" s="90" t="n">
        <v>10159.1873336905</v>
      </c>
      <c r="I996" s="91" t="str">
        <f>H996-F996</f>
      </c>
      <c r="J996" s="92" t="str">
        <f>G996-E996</f>
      </c>
    </row>
    <row r="997">
      <c r="A997" t="s">
        <v>116</v>
      </c>
      <c r="B997" t="s">
        <v>422</v>
      </c>
      <c r="C997" s="86" t="n">
        <v>2037</v>
      </c>
      <c r="D997" t="s">
        <v>224</v>
      </c>
      <c r="E997" s="87" t="n">
        <v>998468.204404952</v>
      </c>
      <c r="F997" s="88" t="n">
        <v>181148.351219763</v>
      </c>
      <c r="G997" s="89" t="n">
        <v>1009301.65749756</v>
      </c>
      <c r="H997" s="90" t="n">
        <v>181458.235839908</v>
      </c>
      <c r="I997" s="91" t="str">
        <f>H997-F997</f>
      </c>
      <c r="J997" s="92" t="str">
        <f>G997-E997</f>
      </c>
    </row>
    <row r="998">
      <c r="A998" t="s">
        <v>116</v>
      </c>
      <c r="B998" t="s">
        <v>422</v>
      </c>
      <c r="C998" s="86" t="n">
        <v>2037</v>
      </c>
      <c r="D998" t="s">
        <v>420</v>
      </c>
      <c r="E998" s="87" t="n">
        <v>151158.12420168</v>
      </c>
      <c r="F998" s="88" t="n">
        <v>93578.6774438184</v>
      </c>
      <c r="G998" s="89" t="n">
        <v>150487.441619108</v>
      </c>
      <c r="H998" s="90" t="n">
        <v>93341.2784245107</v>
      </c>
      <c r="I998" s="91" t="str">
        <f>H998-F998</f>
      </c>
      <c r="J998" s="92" t="str">
        <f>G998-E998</f>
      </c>
    </row>
    <row r="999">
      <c r="A999" t="s">
        <v>116</v>
      </c>
      <c r="B999" t="s">
        <v>422</v>
      </c>
      <c r="C999" s="86" t="n">
        <v>2037</v>
      </c>
      <c r="D999" t="s">
        <v>235</v>
      </c>
      <c r="E999" s="87" t="n">
        <v>316306.536163779</v>
      </c>
      <c r="F999" s="88" t="n">
        <v>293842.755437423</v>
      </c>
      <c r="G999" s="89" t="n">
        <v>318754.964813024</v>
      </c>
      <c r="H999" s="90" t="n">
        <v>299434.655195925</v>
      </c>
      <c r="I999" s="91" t="str">
        <f>H999-F999</f>
      </c>
      <c r="J999" s="92" t="str">
        <f>G999-E999</f>
      </c>
    </row>
    <row r="1000">
      <c r="A1000" t="s">
        <v>116</v>
      </c>
      <c r="B1000" t="s">
        <v>422</v>
      </c>
      <c r="C1000" s="86" t="n">
        <v>2037</v>
      </c>
      <c r="D1000" t="s">
        <v>244</v>
      </c>
      <c r="E1000" s="87" t="n">
        <v>781101.823242854</v>
      </c>
      <c r="F1000" s="88" t="n">
        <v>436019.583915893</v>
      </c>
      <c r="G1000" s="89" t="n">
        <v>803452.229036644</v>
      </c>
      <c r="H1000" s="90" t="n">
        <v>461851.049511551</v>
      </c>
      <c r="I1000" s="91" t="str">
        <f>H1000-F1000</f>
      </c>
      <c r="J1000" s="92" t="str">
        <f>G1000-E1000</f>
      </c>
    </row>
    <row r="1001">
      <c r="A1001" t="s">
        <v>116</v>
      </c>
      <c r="B1001" t="s">
        <v>422</v>
      </c>
      <c r="C1001" s="86" t="n">
        <v>2037</v>
      </c>
      <c r="D1001" t="s">
        <v>248</v>
      </c>
      <c r="E1001" s="87" t="n">
        <v>420373.030269317</v>
      </c>
      <c r="F1001" s="88" t="n">
        <v>211059.497762579</v>
      </c>
      <c r="G1001" s="89" t="n">
        <v>427506.733072448</v>
      </c>
      <c r="H1001" s="90" t="n">
        <v>221141.826108993</v>
      </c>
      <c r="I1001" s="91" t="str">
        <f>H1001-F1001</f>
      </c>
      <c r="J1001" s="92" t="str">
        <f>G1001-E1001</f>
      </c>
    </row>
    <row r="1002">
      <c r="A1002" t="s">
        <v>116</v>
      </c>
      <c r="B1002" t="s">
        <v>422</v>
      </c>
      <c r="C1002" s="86" t="n">
        <v>2037</v>
      </c>
      <c r="D1002" t="s">
        <v>421</v>
      </c>
      <c r="E1002" s="87" t="n">
        <v>13385.5404211919</v>
      </c>
      <c r="F1002" s="88" t="n">
        <v>2421.59777294303</v>
      </c>
      <c r="G1002" s="89" t="n">
        <v>13385.128134315</v>
      </c>
      <c r="H1002" s="90" t="n">
        <v>2421.57667984156</v>
      </c>
      <c r="I1002" s="91" t="str">
        <f>H1002-F1002</f>
      </c>
      <c r="J1002" s="92" t="str">
        <f>G1002-E1002</f>
      </c>
    </row>
    <row r="1003">
      <c r="A1003" t="s">
        <v>116</v>
      </c>
      <c r="B1003" t="s">
        <v>422</v>
      </c>
      <c r="C1003" s="86" t="n">
        <v>2038</v>
      </c>
      <c r="D1003" t="s">
        <v>419</v>
      </c>
      <c r="E1003" s="87" t="n">
        <v>14890.4447793623</v>
      </c>
      <c r="F1003" s="88" t="n">
        <v>10388.7739518096</v>
      </c>
      <c r="G1003" s="89" t="n">
        <v>14790.2897218897</v>
      </c>
      <c r="H1003" s="90" t="n">
        <v>10349.9036883417</v>
      </c>
      <c r="I1003" s="91" t="str">
        <f>H1003-F1003</f>
      </c>
      <c r="J1003" s="92" t="str">
        <f>G1003-E1003</f>
      </c>
    </row>
    <row r="1004">
      <c r="A1004" t="s">
        <v>116</v>
      </c>
      <c r="B1004" t="s">
        <v>422</v>
      </c>
      <c r="C1004" s="86" t="n">
        <v>2038</v>
      </c>
      <c r="D1004" t="s">
        <v>224</v>
      </c>
      <c r="E1004" s="87" t="n">
        <v>1014212.3294395</v>
      </c>
      <c r="F1004" s="88" t="n">
        <v>186423.711197409</v>
      </c>
      <c r="G1004" s="89" t="n">
        <v>1025731.21343356</v>
      </c>
      <c r="H1004" s="90" t="n">
        <v>186787.491870524</v>
      </c>
      <c r="I1004" s="91" t="str">
        <f>H1004-F1004</f>
      </c>
      <c r="J1004" s="92" t="str">
        <f>G1004-E1004</f>
      </c>
    </row>
    <row r="1005">
      <c r="A1005" t="s">
        <v>116</v>
      </c>
      <c r="B1005" t="s">
        <v>422</v>
      </c>
      <c r="C1005" s="86" t="n">
        <v>2038</v>
      </c>
      <c r="D1005" t="s">
        <v>420</v>
      </c>
      <c r="E1005" s="87" t="n">
        <v>155612.826431356</v>
      </c>
      <c r="F1005" s="88" t="n">
        <v>95748.5746251525</v>
      </c>
      <c r="G1005" s="89" t="n">
        <v>154833.021861689</v>
      </c>
      <c r="H1005" s="90" t="n">
        <v>95469.0447801143</v>
      </c>
      <c r="I1005" s="91" t="str">
        <f>H1005-F1005</f>
      </c>
      <c r="J1005" s="92" t="str">
        <f>G1005-E1005</f>
      </c>
    </row>
    <row r="1006">
      <c r="A1006" t="s">
        <v>116</v>
      </c>
      <c r="B1006" t="s">
        <v>422</v>
      </c>
      <c r="C1006" s="86" t="n">
        <v>2038</v>
      </c>
      <c r="D1006" t="s">
        <v>235</v>
      </c>
      <c r="E1006" s="87" t="n">
        <v>319154.849151271</v>
      </c>
      <c r="F1006" s="88" t="n">
        <v>296395.420195952</v>
      </c>
      <c r="G1006" s="89" t="n">
        <v>321808.304576111</v>
      </c>
      <c r="H1006" s="90" t="n">
        <v>302464.555231106</v>
      </c>
      <c r="I1006" s="91" t="str">
        <f>H1006-F1006</f>
      </c>
      <c r="J1006" s="92" t="str">
        <f>G1006-E1006</f>
      </c>
    </row>
    <row r="1007">
      <c r="A1007" t="s">
        <v>116</v>
      </c>
      <c r="B1007" t="s">
        <v>422</v>
      </c>
      <c r="C1007" s="86" t="n">
        <v>2038</v>
      </c>
      <c r="D1007" t="s">
        <v>244</v>
      </c>
      <c r="E1007" s="87" t="n">
        <v>797889.687636407</v>
      </c>
      <c r="F1007" s="88" t="n">
        <v>443985.008687839</v>
      </c>
      <c r="G1007" s="89" t="n">
        <v>822517.79120794</v>
      </c>
      <c r="H1007" s="90" t="n">
        <v>472964.182972518</v>
      </c>
      <c r="I1007" s="91" t="str">
        <f>H1007-F1007</f>
      </c>
      <c r="J1007" s="92" t="str">
        <f>G1007-E1007</f>
      </c>
    </row>
    <row r="1008">
      <c r="A1008" t="s">
        <v>116</v>
      </c>
      <c r="B1008" t="s">
        <v>422</v>
      </c>
      <c r="C1008" s="86" t="n">
        <v>2038</v>
      </c>
      <c r="D1008" t="s">
        <v>248</v>
      </c>
      <c r="E1008" s="87" t="n">
        <v>429943.736686544</v>
      </c>
      <c r="F1008" s="88" t="n">
        <v>215299.21200661</v>
      </c>
      <c r="G1008" s="89" t="n">
        <v>437875.904421767</v>
      </c>
      <c r="H1008" s="90" t="n">
        <v>226837.611544716</v>
      </c>
      <c r="I1008" s="91" t="str">
        <f>H1008-F1008</f>
      </c>
      <c r="J1008" s="92" t="str">
        <f>G1008-E1008</f>
      </c>
    </row>
    <row r="1009">
      <c r="A1009" t="s">
        <v>116</v>
      </c>
      <c r="B1009" t="s">
        <v>422</v>
      </c>
      <c r="C1009" s="86" t="n">
        <v>2038</v>
      </c>
      <c r="D1009" t="s">
        <v>421</v>
      </c>
      <c r="E1009" s="87" t="n">
        <v>13130.8572592147</v>
      </c>
      <c r="F1009" s="88" t="n">
        <v>2303.48526622764</v>
      </c>
      <c r="G1009" s="89" t="n">
        <v>13130.4959942569</v>
      </c>
      <c r="H1009" s="90" t="n">
        <v>2303.4653337572</v>
      </c>
      <c r="I1009" s="91" t="str">
        <f>H1009-F1009</f>
      </c>
      <c r="J1009" s="92" t="str">
        <f>G1009-E1009</f>
      </c>
    </row>
    <row r="1010">
      <c r="A1010" t="s">
        <v>116</v>
      </c>
      <c r="B1010" t="s">
        <v>422</v>
      </c>
      <c r="C1010" s="86" t="n">
        <v>2039</v>
      </c>
      <c r="D1010" t="s">
        <v>419</v>
      </c>
      <c r="E1010" s="87" t="n">
        <v>15251.7824498582</v>
      </c>
      <c r="F1010" s="88" t="n">
        <v>10590.3547874095</v>
      </c>
      <c r="G1010" s="89" t="n">
        <v>15135.74798412</v>
      </c>
      <c r="H1010" s="90" t="n">
        <v>10545.0523038997</v>
      </c>
      <c r="I1010" s="91" t="str">
        <f>H1010-F1010</f>
      </c>
      <c r="J1010" s="92" t="str">
        <f>G1010-E1010</f>
      </c>
    </row>
    <row r="1011">
      <c r="A1011" t="s">
        <v>116</v>
      </c>
      <c r="B1011" t="s">
        <v>422</v>
      </c>
      <c r="C1011" s="86" t="n">
        <v>2039</v>
      </c>
      <c r="D1011" t="s">
        <v>224</v>
      </c>
      <c r="E1011" s="87" t="n">
        <v>1027221.89198416</v>
      </c>
      <c r="F1011" s="88" t="n">
        <v>191876.251695515</v>
      </c>
      <c r="G1011" s="89" t="n">
        <v>1039334.21211717</v>
      </c>
      <c r="H1011" s="90" t="n">
        <v>192296.552192256</v>
      </c>
      <c r="I1011" s="91" t="str">
        <f>H1011-F1011</f>
      </c>
      <c r="J1011" s="92" t="str">
        <f>G1011-E1011</f>
      </c>
    </row>
    <row r="1012">
      <c r="A1012" t="s">
        <v>116</v>
      </c>
      <c r="B1012" t="s">
        <v>422</v>
      </c>
      <c r="C1012" s="86" t="n">
        <v>2039</v>
      </c>
      <c r="D1012" t="s">
        <v>420</v>
      </c>
      <c r="E1012" s="87" t="n">
        <v>159229.167487965</v>
      </c>
      <c r="F1012" s="88" t="n">
        <v>97993.7798419293</v>
      </c>
      <c r="G1012" s="89" t="n">
        <v>158325.904186221</v>
      </c>
      <c r="H1012" s="90" t="n">
        <v>97666.5125218666</v>
      </c>
      <c r="I1012" s="91" t="str">
        <f>H1012-F1012</f>
      </c>
      <c r="J1012" s="92" t="str">
        <f>G1012-E1012</f>
      </c>
    </row>
    <row r="1013">
      <c r="A1013" t="s">
        <v>116</v>
      </c>
      <c r="B1013" t="s">
        <v>422</v>
      </c>
      <c r="C1013" s="86" t="n">
        <v>2039</v>
      </c>
      <c r="D1013" t="s">
        <v>235</v>
      </c>
      <c r="E1013" s="87" t="n">
        <v>322098.81919829</v>
      </c>
      <c r="F1013" s="88" t="n">
        <v>299054.572216332</v>
      </c>
      <c r="G1013" s="89" t="n">
        <v>324947.685920243</v>
      </c>
      <c r="H1013" s="90" t="n">
        <v>305533.683824107</v>
      </c>
      <c r="I1013" s="91" t="str">
        <f>H1013-F1013</f>
      </c>
      <c r="J1013" s="92" t="str">
        <f>G1013-E1013</f>
      </c>
    </row>
    <row r="1014">
      <c r="A1014" t="s">
        <v>116</v>
      </c>
      <c r="B1014" t="s">
        <v>422</v>
      </c>
      <c r="C1014" s="86" t="n">
        <v>2039</v>
      </c>
      <c r="D1014" t="s">
        <v>244</v>
      </c>
      <c r="E1014" s="87" t="n">
        <v>811509.043289152</v>
      </c>
      <c r="F1014" s="88" t="n">
        <v>452142.658338081</v>
      </c>
      <c r="G1014" s="89" t="n">
        <v>838380.897928912</v>
      </c>
      <c r="H1014" s="90" t="n">
        <v>484364.275142346</v>
      </c>
      <c r="I1014" s="91" t="str">
        <f>H1014-F1014</f>
      </c>
      <c r="J1014" s="92" t="str">
        <f>G1014-E1014</f>
      </c>
    </row>
    <row r="1015">
      <c r="A1015" t="s">
        <v>116</v>
      </c>
      <c r="B1015" t="s">
        <v>422</v>
      </c>
      <c r="C1015" s="86" t="n">
        <v>2039</v>
      </c>
      <c r="D1015" t="s">
        <v>248</v>
      </c>
      <c r="E1015" s="87" t="n">
        <v>437403.798268361</v>
      </c>
      <c r="F1015" s="88" t="n">
        <v>219742.233998316</v>
      </c>
      <c r="G1015" s="89" t="n">
        <v>446097.450852593</v>
      </c>
      <c r="H1015" s="90" t="n">
        <v>232753.81626835</v>
      </c>
      <c r="I1015" s="91" t="str">
        <f>H1015-F1015</f>
      </c>
      <c r="J1015" s="92" t="str">
        <f>G1015-E1015</f>
      </c>
    </row>
    <row r="1016">
      <c r="A1016" t="s">
        <v>116</v>
      </c>
      <c r="B1016" t="s">
        <v>422</v>
      </c>
      <c r="C1016" s="86" t="n">
        <v>2039</v>
      </c>
      <c r="D1016" t="s">
        <v>421</v>
      </c>
      <c r="E1016" s="87" t="n">
        <v>13011.2857453784</v>
      </c>
      <c r="F1016" s="88" t="n">
        <v>2187.92238665377</v>
      </c>
      <c r="G1016" s="89" t="n">
        <v>13010.9148835445</v>
      </c>
      <c r="H1016" s="90" t="n">
        <v>2187.90404676672</v>
      </c>
      <c r="I1016" s="91" t="str">
        <f>H1016-F1016</f>
      </c>
      <c r="J1016" s="92" t="str">
        <f>G1016-E1016</f>
      </c>
    </row>
    <row r="1017">
      <c r="A1017" t="s">
        <v>116</v>
      </c>
      <c r="B1017" t="s">
        <v>422</v>
      </c>
      <c r="C1017" s="86" t="n">
        <v>2040</v>
      </c>
      <c r="D1017" t="s">
        <v>419</v>
      </c>
      <c r="E1017" s="87" t="n">
        <v>15666.2695929311</v>
      </c>
      <c r="F1017" s="88" t="n">
        <v>10793.3460599358</v>
      </c>
      <c r="G1017" s="89" t="n">
        <v>15531.5458454137</v>
      </c>
      <c r="H1017" s="90" t="n">
        <v>10740.752829966</v>
      </c>
      <c r="I1017" s="91" t="str">
        <f>H1017-F1017</f>
      </c>
      <c r="J1017" s="92" t="str">
        <f>G1017-E1017</f>
      </c>
    </row>
    <row r="1018">
      <c r="A1018" t="s">
        <v>116</v>
      </c>
      <c r="B1018" t="s">
        <v>422</v>
      </c>
      <c r="C1018" s="86" t="n">
        <v>2040</v>
      </c>
      <c r="D1018" t="s">
        <v>224</v>
      </c>
      <c r="E1018" s="87" t="n">
        <v>1038632.75389717</v>
      </c>
      <c r="F1018" s="88" t="n">
        <v>197261.911009123</v>
      </c>
      <c r="G1018" s="89" t="n">
        <v>1051265.69371329</v>
      </c>
      <c r="H1018" s="90" t="n">
        <v>197739.851826417</v>
      </c>
      <c r="I1018" s="91" t="str">
        <f>H1018-F1018</f>
      </c>
      <c r="J1018" s="92" t="str">
        <f>G1018-E1018</f>
      </c>
    </row>
    <row r="1019">
      <c r="A1019" t="s">
        <v>116</v>
      </c>
      <c r="B1019" t="s">
        <v>422</v>
      </c>
      <c r="C1019" s="86" t="n">
        <v>2040</v>
      </c>
      <c r="D1019" t="s">
        <v>420</v>
      </c>
      <c r="E1019" s="87" t="n">
        <v>163060.171084563</v>
      </c>
      <c r="F1019" s="88" t="n">
        <v>100211.742518399</v>
      </c>
      <c r="G1019" s="89" t="n">
        <v>162016.43342865</v>
      </c>
      <c r="H1019" s="90" t="n">
        <v>99830.4797881527</v>
      </c>
      <c r="I1019" s="91" t="str">
        <f>H1019-F1019</f>
      </c>
      <c r="J1019" s="92" t="str">
        <f>G1019-E1019</f>
      </c>
    </row>
    <row r="1020">
      <c r="A1020" t="s">
        <v>116</v>
      </c>
      <c r="B1020" t="s">
        <v>422</v>
      </c>
      <c r="C1020" s="86" t="n">
        <v>2040</v>
      </c>
      <c r="D1020" t="s">
        <v>235</v>
      </c>
      <c r="E1020" s="87" t="n">
        <v>324799.696084257</v>
      </c>
      <c r="F1020" s="88" t="n">
        <v>301479.485143603</v>
      </c>
      <c r="G1020" s="89" t="n">
        <v>327830.115399056</v>
      </c>
      <c r="H1020" s="90" t="n">
        <v>308326.231940747</v>
      </c>
      <c r="I1020" s="91" t="str">
        <f>H1020-F1020</f>
      </c>
      <c r="J1020" s="92" t="str">
        <f>G1020-E1020</f>
      </c>
    </row>
    <row r="1021">
      <c r="A1021" t="s">
        <v>116</v>
      </c>
      <c r="B1021" t="s">
        <v>422</v>
      </c>
      <c r="C1021" s="86" t="n">
        <v>2040</v>
      </c>
      <c r="D1021" t="s">
        <v>244</v>
      </c>
      <c r="E1021" s="87" t="n">
        <v>824099.437531646</v>
      </c>
      <c r="F1021" s="88" t="n">
        <v>459965.792242</v>
      </c>
      <c r="G1021" s="89" t="n">
        <v>853229.023620414</v>
      </c>
      <c r="H1021" s="90" t="n">
        <v>495491.389021897</v>
      </c>
      <c r="I1021" s="91" t="str">
        <f>H1021-F1021</f>
      </c>
      <c r="J1021" s="92" t="str">
        <f>G1021-E1021</f>
      </c>
    </row>
    <row r="1022">
      <c r="A1022" t="s">
        <v>116</v>
      </c>
      <c r="B1022" t="s">
        <v>422</v>
      </c>
      <c r="C1022" s="86" t="n">
        <v>2040</v>
      </c>
      <c r="D1022" t="s">
        <v>248</v>
      </c>
      <c r="E1022" s="87" t="n">
        <v>444150.007125544</v>
      </c>
      <c r="F1022" s="88" t="n">
        <v>224086.4698867</v>
      </c>
      <c r="G1022" s="89" t="n">
        <v>453595.602682997</v>
      </c>
      <c r="H1022" s="90" t="n">
        <v>238587.525717873</v>
      </c>
      <c r="I1022" s="91" t="str">
        <f>H1022-F1022</f>
      </c>
      <c r="J1022" s="92" t="str">
        <f>G1022-E1022</f>
      </c>
    </row>
    <row r="1023">
      <c r="A1023" t="s">
        <v>116</v>
      </c>
      <c r="B1023" t="s">
        <v>422</v>
      </c>
      <c r="C1023" s="86" t="n">
        <v>2040</v>
      </c>
      <c r="D1023" t="s">
        <v>421</v>
      </c>
      <c r="E1023" s="87" t="n">
        <v>12921.9788816619</v>
      </c>
      <c r="F1023" s="88" t="n">
        <v>2071.4614314932</v>
      </c>
      <c r="G1023" s="89" t="n">
        <v>12921.6065425891</v>
      </c>
      <c r="H1023" s="90" t="n">
        <v>2071.44438113687</v>
      </c>
      <c r="I1023" s="91" t="str">
        <f>H1023-F1023</f>
      </c>
      <c r="J1023" s="92" t="str">
        <f>G1023-E1023</f>
      </c>
    </row>
    <row r="1024">
      <c r="A1024" t="s">
        <v>116</v>
      </c>
      <c r="B1024" t="s">
        <v>422</v>
      </c>
      <c r="C1024" s="86" t="n">
        <v>2041</v>
      </c>
      <c r="D1024" t="s">
        <v>419</v>
      </c>
      <c r="E1024" s="87" t="n">
        <v>16076.6910172627</v>
      </c>
      <c r="F1024" s="88" t="n">
        <v>11000.4543050033</v>
      </c>
      <c r="G1024" s="89" t="n">
        <v>15920.8775016153</v>
      </c>
      <c r="H1024" s="90" t="n">
        <v>10939.5011556982</v>
      </c>
      <c r="I1024" s="91" t="str">
        <f>H1024-F1024</f>
      </c>
      <c r="J1024" s="92" t="str">
        <f>G1024-E1024</f>
      </c>
    </row>
    <row r="1025">
      <c r="A1025" t="s">
        <v>116</v>
      </c>
      <c r="B1025" t="s">
        <v>422</v>
      </c>
      <c r="C1025" s="86" t="n">
        <v>2041</v>
      </c>
      <c r="D1025" t="s">
        <v>224</v>
      </c>
      <c r="E1025" s="87" t="n">
        <v>1053417.18666903</v>
      </c>
      <c r="F1025" s="88" t="n">
        <v>202665.026133432</v>
      </c>
      <c r="G1025" s="89" t="n">
        <v>1066563.6735298</v>
      </c>
      <c r="H1025" s="90" t="n">
        <v>203201.128796519</v>
      </c>
      <c r="I1025" s="91" t="str">
        <f>H1025-F1025</f>
      </c>
      <c r="J1025" s="92" t="str">
        <f>G1025-E1025</f>
      </c>
    </row>
    <row r="1026">
      <c r="A1026" t="s">
        <v>116</v>
      </c>
      <c r="B1026" t="s">
        <v>422</v>
      </c>
      <c r="C1026" s="86" t="n">
        <v>2041</v>
      </c>
      <c r="D1026" t="s">
        <v>420</v>
      </c>
      <c r="E1026" s="87" t="n">
        <v>166804.255322025</v>
      </c>
      <c r="F1026" s="88" t="n">
        <v>102441.282219265</v>
      </c>
      <c r="G1026" s="89" t="n">
        <v>165603.256683252</v>
      </c>
      <c r="H1026" s="90" t="n">
        <v>101998.78936442</v>
      </c>
      <c r="I1026" s="91" t="str">
        <f>H1026-F1026</f>
      </c>
      <c r="J1026" s="92" t="str">
        <f>G1026-E1026</f>
      </c>
    </row>
    <row r="1027">
      <c r="A1027" t="s">
        <v>116</v>
      </c>
      <c r="B1027" t="s">
        <v>422</v>
      </c>
      <c r="C1027" s="86" t="n">
        <v>2041</v>
      </c>
      <c r="D1027" t="s">
        <v>235</v>
      </c>
      <c r="E1027" s="87" t="n">
        <v>327933.768542309</v>
      </c>
      <c r="F1027" s="88" t="n">
        <v>305196.394889737</v>
      </c>
      <c r="G1027" s="89" t="n">
        <v>330799.892538861</v>
      </c>
      <c r="H1027" s="90" t="n">
        <v>311000.568285778</v>
      </c>
      <c r="I1027" s="91" t="str">
        <f>H1027-F1027</f>
      </c>
      <c r="J1027" s="92" t="str">
        <f>G1027-E1027</f>
      </c>
    </row>
    <row r="1028">
      <c r="A1028" t="s">
        <v>116</v>
      </c>
      <c r="B1028" t="s">
        <v>422</v>
      </c>
      <c r="C1028" s="86" t="n">
        <v>2041</v>
      </c>
      <c r="D1028" t="s">
        <v>244</v>
      </c>
      <c r="E1028" s="87" t="n">
        <v>839876.479917331</v>
      </c>
      <c r="F1028" s="88" t="n">
        <v>470722.911986802</v>
      </c>
      <c r="G1028" s="89" t="n">
        <v>869077.592101044</v>
      </c>
      <c r="H1028" s="90" t="n">
        <v>506572.614435606</v>
      </c>
      <c r="I1028" s="91" t="str">
        <f>H1028-F1028</f>
      </c>
      <c r="J1028" s="92" t="str">
        <f>G1028-E1028</f>
      </c>
    </row>
    <row r="1029">
      <c r="A1029" t="s">
        <v>116</v>
      </c>
      <c r="B1029" t="s">
        <v>422</v>
      </c>
      <c r="C1029" s="86" t="n">
        <v>2041</v>
      </c>
      <c r="D1029" t="s">
        <v>248</v>
      </c>
      <c r="E1029" s="87" t="n">
        <v>452254.063682194</v>
      </c>
      <c r="F1029" s="88" t="n">
        <v>230003.122135211</v>
      </c>
      <c r="G1029" s="89" t="n">
        <v>461572.525619781</v>
      </c>
      <c r="H1029" s="90" t="n">
        <v>244403.938380915</v>
      </c>
      <c r="I1029" s="91" t="str">
        <f>H1029-F1029</f>
      </c>
      <c r="J1029" s="92" t="str">
        <f>G1029-E1029</f>
      </c>
    </row>
    <row r="1030">
      <c r="A1030" t="s">
        <v>116</v>
      </c>
      <c r="B1030" t="s">
        <v>422</v>
      </c>
      <c r="C1030" s="86" t="n">
        <v>2041</v>
      </c>
      <c r="D1030" t="s">
        <v>421</v>
      </c>
      <c r="E1030" s="87" t="n">
        <v>12914.3314587682</v>
      </c>
      <c r="F1030" s="88" t="n">
        <v>1954.43898626509</v>
      </c>
      <c r="G1030" s="89" t="n">
        <v>12913.9661072478</v>
      </c>
      <c r="H1030" s="90" t="n">
        <v>1954.42370545678</v>
      </c>
      <c r="I1030" s="91" t="str">
        <f>H1030-F1030</f>
      </c>
      <c r="J1030" s="92" t="str">
        <f>G1030-E1030</f>
      </c>
    </row>
    <row r="1031">
      <c r="A1031" t="s">
        <v>116</v>
      </c>
      <c r="B1031" t="s">
        <v>422</v>
      </c>
      <c r="C1031" s="86" t="n">
        <v>2042</v>
      </c>
      <c r="D1031" t="s">
        <v>419</v>
      </c>
      <c r="E1031" s="87" t="n">
        <v>16486.1802089823</v>
      </c>
      <c r="F1031" s="88" t="n">
        <v>11205.9555833807</v>
      </c>
      <c r="G1031" s="89" t="n">
        <v>16309.8993609652</v>
      </c>
      <c r="H1031" s="90" t="n">
        <v>11135.4965430843</v>
      </c>
      <c r="I1031" s="91" t="str">
        <f>H1031-F1031</f>
      </c>
      <c r="J1031" s="92" t="str">
        <f>G1031-E1031</f>
      </c>
    </row>
    <row r="1032">
      <c r="A1032" t="s">
        <v>116</v>
      </c>
      <c r="B1032" t="s">
        <v>422</v>
      </c>
      <c r="C1032" s="86" t="n">
        <v>2042</v>
      </c>
      <c r="D1032" t="s">
        <v>224</v>
      </c>
      <c r="E1032" s="87" t="n">
        <v>1064452.14814658</v>
      </c>
      <c r="F1032" s="88" t="n">
        <v>208052.346505541</v>
      </c>
      <c r="G1032" s="89" t="n">
        <v>1078026.60097981</v>
      </c>
      <c r="H1032" s="90" t="n">
        <v>208646.654553543</v>
      </c>
      <c r="I1032" s="91" t="str">
        <f>H1032-F1032</f>
      </c>
      <c r="J1032" s="92" t="str">
        <f>G1032-E1032</f>
      </c>
    </row>
    <row r="1033">
      <c r="A1033" t="s">
        <v>116</v>
      </c>
      <c r="B1033" t="s">
        <v>422</v>
      </c>
      <c r="C1033" s="86" t="n">
        <v>2042</v>
      </c>
      <c r="D1033" t="s">
        <v>420</v>
      </c>
      <c r="E1033" s="87" t="n">
        <v>170493.448990859</v>
      </c>
      <c r="F1033" s="88" t="n">
        <v>104665.341749337</v>
      </c>
      <c r="G1033" s="89" t="n">
        <v>169141.556637021</v>
      </c>
      <c r="H1033" s="90" t="n">
        <v>104153.760083299</v>
      </c>
      <c r="I1033" s="91" t="str">
        <f>H1033-F1033</f>
      </c>
      <c r="J1033" s="92" t="str">
        <f>G1033-E1033</f>
      </c>
    </row>
    <row r="1034">
      <c r="A1034" t="s">
        <v>116</v>
      </c>
      <c r="B1034" t="s">
        <v>422</v>
      </c>
      <c r="C1034" s="86" t="n">
        <v>2042</v>
      </c>
      <c r="D1034" t="s">
        <v>235</v>
      </c>
      <c r="E1034" s="87" t="n">
        <v>330616.214190429</v>
      </c>
      <c r="F1034" s="88" t="n">
        <v>308271.516013854</v>
      </c>
      <c r="G1034" s="89" t="n">
        <v>333321.323938657</v>
      </c>
      <c r="H1034" s="90" t="n">
        <v>313428.604068663</v>
      </c>
      <c r="I1034" s="91" t="str">
        <f>H1034-F1034</f>
      </c>
      <c r="J1034" s="92" t="str">
        <f>G1034-E1034</f>
      </c>
    </row>
    <row r="1035">
      <c r="A1035" t="s">
        <v>116</v>
      </c>
      <c r="B1035" t="s">
        <v>422</v>
      </c>
      <c r="C1035" s="86" t="n">
        <v>2042</v>
      </c>
      <c r="D1035" t="s">
        <v>244</v>
      </c>
      <c r="E1035" s="87" t="n">
        <v>855019.874950369</v>
      </c>
      <c r="F1035" s="88" t="n">
        <v>481308.422287205</v>
      </c>
      <c r="G1035" s="89" t="n">
        <v>884281.978207785</v>
      </c>
      <c r="H1035" s="90" t="n">
        <v>517499.023505678</v>
      </c>
      <c r="I1035" s="91" t="str">
        <f>H1035-F1035</f>
      </c>
      <c r="J1035" s="92" t="str">
        <f>G1035-E1035</f>
      </c>
    </row>
    <row r="1036">
      <c r="A1036" t="s">
        <v>116</v>
      </c>
      <c r="B1036" t="s">
        <v>422</v>
      </c>
      <c r="C1036" s="86" t="n">
        <v>2042</v>
      </c>
      <c r="D1036" t="s">
        <v>248</v>
      </c>
      <c r="E1036" s="87" t="n">
        <v>460254.136004046</v>
      </c>
      <c r="F1036" s="88" t="n">
        <v>235816.191921186</v>
      </c>
      <c r="G1036" s="89" t="n">
        <v>469454.149721884</v>
      </c>
      <c r="H1036" s="90" t="n">
        <v>250175.663514197</v>
      </c>
      <c r="I1036" s="91" t="str">
        <f>H1036-F1036</f>
      </c>
      <c r="J1036" s="92" t="str">
        <f>G1036-E1036</f>
      </c>
    </row>
    <row r="1037">
      <c r="A1037" t="s">
        <v>116</v>
      </c>
      <c r="B1037" t="s">
        <v>422</v>
      </c>
      <c r="C1037" s="86" t="n">
        <v>2042</v>
      </c>
      <c r="D1037" t="s">
        <v>421</v>
      </c>
      <c r="E1037" s="87" t="n">
        <v>12448.3334287175</v>
      </c>
      <c r="F1037" s="88" t="n">
        <v>1837.15162127849</v>
      </c>
      <c r="G1037" s="89" t="n">
        <v>12447.9578277165</v>
      </c>
      <c r="H1037" s="90" t="n">
        <v>1837.13778678778</v>
      </c>
      <c r="I1037" s="91" t="str">
        <f>H1037-F1037</f>
      </c>
      <c r="J1037" s="92" t="str">
        <f>G1037-E1037</f>
      </c>
    </row>
    <row r="1038">
      <c r="A1038" t="s">
        <v>116</v>
      </c>
      <c r="B1038" t="s">
        <v>422</v>
      </c>
      <c r="C1038" s="86" t="n">
        <v>2043</v>
      </c>
      <c r="D1038" t="s">
        <v>419</v>
      </c>
      <c r="E1038" s="87" t="n">
        <v>16951.9262572032</v>
      </c>
      <c r="F1038" s="88" t="n">
        <v>11421.3467306801</v>
      </c>
      <c r="G1038" s="89" t="n">
        <v>16754.8072801891</v>
      </c>
      <c r="H1038" s="90" t="n">
        <v>11340.588740714</v>
      </c>
      <c r="I1038" s="91" t="str">
        <f>H1038-F1038</f>
      </c>
      <c r="J1038" s="92" t="str">
        <f>G1038-E1038</f>
      </c>
    </row>
    <row r="1039">
      <c r="A1039" t="s">
        <v>116</v>
      </c>
      <c r="B1039" t="s">
        <v>422</v>
      </c>
      <c r="C1039" s="86" t="n">
        <v>2043</v>
      </c>
      <c r="D1039" t="s">
        <v>224</v>
      </c>
      <c r="E1039" s="87" t="n">
        <v>1075626.58289585</v>
      </c>
      <c r="F1039" s="88" t="n">
        <v>213360.819770461</v>
      </c>
      <c r="G1039" s="89" t="n">
        <v>1089617.8876954</v>
      </c>
      <c r="H1039" s="90" t="n">
        <v>214013.627325169</v>
      </c>
      <c r="I1039" s="91" t="str">
        <f>H1039-F1039</f>
      </c>
      <c r="J1039" s="92" t="str">
        <f>G1039-E1039</f>
      </c>
    </row>
    <row r="1040">
      <c r="A1040" t="s">
        <v>116</v>
      </c>
      <c r="B1040" t="s">
        <v>422</v>
      </c>
      <c r="C1040" s="86" t="n">
        <v>2043</v>
      </c>
      <c r="D1040" t="s">
        <v>420</v>
      </c>
      <c r="E1040" s="87" t="n">
        <v>174910.816627272</v>
      </c>
      <c r="F1040" s="88" t="n">
        <v>106882.33326989</v>
      </c>
      <c r="G1040" s="89" t="n">
        <v>173407.833179956</v>
      </c>
      <c r="H1040" s="90" t="n">
        <v>106296.685429372</v>
      </c>
      <c r="I1040" s="91" t="str">
        <f>H1040-F1040</f>
      </c>
      <c r="J1040" s="92" t="str">
        <f>G1040-E1040</f>
      </c>
    </row>
    <row r="1041">
      <c r="A1041" t="s">
        <v>116</v>
      </c>
      <c r="B1041" t="s">
        <v>422</v>
      </c>
      <c r="C1041" s="86" t="n">
        <v>2043</v>
      </c>
      <c r="D1041" t="s">
        <v>235</v>
      </c>
      <c r="E1041" s="87" t="n">
        <v>332646.386977674</v>
      </c>
      <c r="F1041" s="88" t="n">
        <v>310662.073555568</v>
      </c>
      <c r="G1041" s="89" t="n">
        <v>335190.948405484</v>
      </c>
      <c r="H1041" s="90" t="n">
        <v>315350.995136011</v>
      </c>
      <c r="I1041" s="91" t="str">
        <f>H1041-F1041</f>
      </c>
      <c r="J1041" s="92" t="str">
        <f>G1041-E1041</f>
      </c>
    </row>
    <row r="1042">
      <c r="A1042" t="s">
        <v>116</v>
      </c>
      <c r="B1042" t="s">
        <v>422</v>
      </c>
      <c r="C1042" s="86" t="n">
        <v>2043</v>
      </c>
      <c r="D1042" t="s">
        <v>244</v>
      </c>
      <c r="E1042" s="87" t="n">
        <v>872364.217755117</v>
      </c>
      <c r="F1042" s="88" t="n">
        <v>491553.916518547</v>
      </c>
      <c r="G1042" s="89" t="n">
        <v>901770.411974376</v>
      </c>
      <c r="H1042" s="90" t="n">
        <v>528079.181081669</v>
      </c>
      <c r="I1042" s="91" t="str">
        <f>H1042-F1042</f>
      </c>
      <c r="J1042" s="92" t="str">
        <f>G1042-E1042</f>
      </c>
    </row>
    <row r="1043">
      <c r="A1043" t="s">
        <v>116</v>
      </c>
      <c r="B1043" t="s">
        <v>422</v>
      </c>
      <c r="C1043" s="86" t="n">
        <v>2043</v>
      </c>
      <c r="D1043" t="s">
        <v>248</v>
      </c>
      <c r="E1043" s="87" t="n">
        <v>470348.899978923</v>
      </c>
      <c r="F1043" s="88" t="n">
        <v>241628.503015452</v>
      </c>
      <c r="G1043" s="89" t="n">
        <v>479482.188386743</v>
      </c>
      <c r="H1043" s="90" t="n">
        <v>255992.973248088</v>
      </c>
      <c r="I1043" s="91" t="str">
        <f>H1043-F1043</f>
      </c>
      <c r="J1043" s="92" t="str">
        <f>G1043-E1043</f>
      </c>
    </row>
    <row r="1044">
      <c r="A1044" t="s">
        <v>116</v>
      </c>
      <c r="B1044" t="s">
        <v>422</v>
      </c>
      <c r="C1044" s="86" t="n">
        <v>2043</v>
      </c>
      <c r="D1044" t="s">
        <v>421</v>
      </c>
      <c r="E1044" s="87" t="n">
        <v>12246.9390111834</v>
      </c>
      <c r="F1044" s="88" t="n">
        <v>1731.14520186398</v>
      </c>
      <c r="G1044" s="89" t="n">
        <v>12246.5731114781</v>
      </c>
      <c r="H1044" s="90" t="n">
        <v>1731.1314511154</v>
      </c>
      <c r="I1044" s="91" t="str">
        <f>H1044-F1044</f>
      </c>
      <c r="J1044" s="92" t="str">
        <f>G1044-E1044</f>
      </c>
    </row>
    <row r="1045">
      <c r="A1045" t="s">
        <v>116</v>
      </c>
      <c r="B1045" t="s">
        <v>422</v>
      </c>
      <c r="C1045" s="86" t="n">
        <v>2044</v>
      </c>
      <c r="D1045" t="s">
        <v>419</v>
      </c>
      <c r="E1045" s="87" t="n">
        <v>17358.4752376425</v>
      </c>
      <c r="F1045" s="88" t="n">
        <v>11632.107740718</v>
      </c>
      <c r="G1045" s="89" t="n">
        <v>17141.7120461147</v>
      </c>
      <c r="H1045" s="90" t="n">
        <v>11540.7879834335</v>
      </c>
      <c r="I1045" s="91" t="str">
        <f>H1045-F1045</f>
      </c>
      <c r="J1045" s="92" t="str">
        <f>G1045-E1045</f>
      </c>
    </row>
    <row r="1046">
      <c r="A1046" t="s">
        <v>116</v>
      </c>
      <c r="B1046" t="s">
        <v>422</v>
      </c>
      <c r="C1046" s="86" t="n">
        <v>2044</v>
      </c>
      <c r="D1046" t="s">
        <v>224</v>
      </c>
      <c r="E1046" s="87" t="n">
        <v>1086204.09640439</v>
      </c>
      <c r="F1046" s="88" t="n">
        <v>218675.41902353</v>
      </c>
      <c r="G1046" s="89" t="n">
        <v>1100597.33187273</v>
      </c>
      <c r="H1046" s="90" t="n">
        <v>219387.626065992</v>
      </c>
      <c r="I1046" s="91" t="str">
        <f>H1046-F1046</f>
      </c>
      <c r="J1046" s="92" t="str">
        <f>G1046-E1046</f>
      </c>
    </row>
    <row r="1047">
      <c r="A1047" t="s">
        <v>116</v>
      </c>
      <c r="B1047" t="s">
        <v>422</v>
      </c>
      <c r="C1047" s="86" t="n">
        <v>2044</v>
      </c>
      <c r="D1047" t="s">
        <v>420</v>
      </c>
      <c r="E1047" s="87" t="n">
        <v>178365.299319677</v>
      </c>
      <c r="F1047" s="88" t="n">
        <v>109067.283047134</v>
      </c>
      <c r="G1047" s="89" t="n">
        <v>176720.973913542</v>
      </c>
      <c r="H1047" s="90" t="n">
        <v>108405.015378104</v>
      </c>
      <c r="I1047" s="91" t="str">
        <f>H1047-F1047</f>
      </c>
      <c r="J1047" s="92" t="str">
        <f>G1047-E1047</f>
      </c>
    </row>
    <row r="1048">
      <c r="A1048" t="s">
        <v>116</v>
      </c>
      <c r="B1048" t="s">
        <v>422</v>
      </c>
      <c r="C1048" s="86" t="n">
        <v>2044</v>
      </c>
      <c r="D1048" t="s">
        <v>235</v>
      </c>
      <c r="E1048" s="87" t="n">
        <v>334747.782209488</v>
      </c>
      <c r="F1048" s="88" t="n">
        <v>312847.406390566</v>
      </c>
      <c r="G1048" s="89" t="n">
        <v>337141.608513163</v>
      </c>
      <c r="H1048" s="90" t="n">
        <v>317170.637977033</v>
      </c>
      <c r="I1048" s="91" t="str">
        <f>H1048-F1048</f>
      </c>
      <c r="J1048" s="92" t="str">
        <f>G1048-E1048</f>
      </c>
    </row>
    <row r="1049">
      <c r="A1049" t="s">
        <v>116</v>
      </c>
      <c r="B1049" t="s">
        <v>422</v>
      </c>
      <c r="C1049" s="86" t="n">
        <v>2044</v>
      </c>
      <c r="D1049" t="s">
        <v>244</v>
      </c>
      <c r="E1049" s="87" t="n">
        <v>886259.636710513</v>
      </c>
      <c r="F1049" s="88" t="n">
        <v>501651.771187108</v>
      </c>
      <c r="G1049" s="89" t="n">
        <v>915703.811540802</v>
      </c>
      <c r="H1049" s="90" t="n">
        <v>538525.397411542</v>
      </c>
      <c r="I1049" s="91" t="str">
        <f>H1049-F1049</f>
      </c>
      <c r="J1049" s="92" t="str">
        <f>G1049-E1049</f>
      </c>
    </row>
    <row r="1050">
      <c r="A1050" t="s">
        <v>116</v>
      </c>
      <c r="B1050" t="s">
        <v>422</v>
      </c>
      <c r="C1050" s="86" t="n">
        <v>2044</v>
      </c>
      <c r="D1050" t="s">
        <v>248</v>
      </c>
      <c r="E1050" s="87" t="n">
        <v>477585.822619671</v>
      </c>
      <c r="F1050" s="88" t="n">
        <v>247284.21768946</v>
      </c>
      <c r="G1050" s="89" t="n">
        <v>486601.390422378</v>
      </c>
      <c r="H1050" s="90" t="n">
        <v>261683.339551894</v>
      </c>
      <c r="I1050" s="91" t="str">
        <f>H1050-F1050</f>
      </c>
      <c r="J1050" s="92" t="str">
        <f>G1050-E1050</f>
      </c>
    </row>
    <row r="1051">
      <c r="A1051" t="s">
        <v>116</v>
      </c>
      <c r="B1051" t="s">
        <v>422</v>
      </c>
      <c r="C1051" s="86" t="n">
        <v>2044</v>
      </c>
      <c r="D1051" t="s">
        <v>421</v>
      </c>
      <c r="E1051" s="87" t="n">
        <v>12150.2431947266</v>
      </c>
      <c r="F1051" s="88" t="n">
        <v>1626.3894269728</v>
      </c>
      <c r="G1051" s="89" t="n">
        <v>12149.8552379252</v>
      </c>
      <c r="H1051" s="90" t="n">
        <v>1626.37538137955</v>
      </c>
      <c r="I1051" s="91" t="str">
        <f>H1051-F1051</f>
      </c>
      <c r="J1051" s="92" t="str">
        <f>G1051-E1051</f>
      </c>
    </row>
    <row r="1052">
      <c r="A1052" t="s">
        <v>116</v>
      </c>
      <c r="B1052" t="s">
        <v>422</v>
      </c>
      <c r="C1052" s="86" t="n">
        <v>2045</v>
      </c>
      <c r="D1052" t="s">
        <v>419</v>
      </c>
      <c r="E1052" s="87" t="n">
        <v>17794.993002661</v>
      </c>
      <c r="F1052" s="88" t="n">
        <v>11847.8921067365</v>
      </c>
      <c r="G1052" s="89" t="n">
        <v>17558.0225793012</v>
      </c>
      <c r="H1052" s="90" t="n">
        <v>11745.9298391965</v>
      </c>
      <c r="I1052" s="91" t="str">
        <f>H1052-F1052</f>
      </c>
      <c r="J1052" s="92" t="str">
        <f>G1052-E1052</f>
      </c>
    </row>
    <row r="1053">
      <c r="A1053" t="s">
        <v>116</v>
      </c>
      <c r="B1053" t="s">
        <v>422</v>
      </c>
      <c r="C1053" s="86" t="n">
        <v>2045</v>
      </c>
      <c r="D1053" t="s">
        <v>224</v>
      </c>
      <c r="E1053" s="87" t="n">
        <v>1096061.72666618</v>
      </c>
      <c r="F1053" s="88" t="n">
        <v>224015.977860941</v>
      </c>
      <c r="G1053" s="89" t="n">
        <v>1110841.03545085</v>
      </c>
      <c r="H1053" s="90" t="n">
        <v>224789.135470853</v>
      </c>
      <c r="I1053" s="91" t="str">
        <f>H1053-F1053</f>
      </c>
      <c r="J1053" s="92" t="str">
        <f>G1053-E1053</f>
      </c>
    </row>
    <row r="1054">
      <c r="A1054" t="s">
        <v>116</v>
      </c>
      <c r="B1054" t="s">
        <v>422</v>
      </c>
      <c r="C1054" s="86" t="n">
        <v>2045</v>
      </c>
      <c r="D1054" t="s">
        <v>420</v>
      </c>
      <c r="E1054" s="87" t="n">
        <v>181938.876399312</v>
      </c>
      <c r="F1054" s="88" t="n">
        <v>111275.518576631</v>
      </c>
      <c r="G1054" s="89" t="n">
        <v>180153.68435169</v>
      </c>
      <c r="H1054" s="90" t="n">
        <v>110535.42825069</v>
      </c>
      <c r="I1054" s="91" t="str">
        <f>H1054-F1054</f>
      </c>
      <c r="J1054" s="92" t="str">
        <f>G1054-E1054</f>
      </c>
    </row>
    <row r="1055">
      <c r="A1055" t="s">
        <v>116</v>
      </c>
      <c r="B1055" t="s">
        <v>422</v>
      </c>
      <c r="C1055" s="86" t="n">
        <v>2045</v>
      </c>
      <c r="D1055" t="s">
        <v>235</v>
      </c>
      <c r="E1055" s="87" t="n">
        <v>336919.256084913</v>
      </c>
      <c r="F1055" s="88" t="n">
        <v>314895.880879161</v>
      </c>
      <c r="G1055" s="89" t="n">
        <v>339169.596103443</v>
      </c>
      <c r="H1055" s="90" t="n">
        <v>318918.904925021</v>
      </c>
      <c r="I1055" s="91" t="str">
        <f>H1055-F1055</f>
      </c>
      <c r="J1055" s="92" t="str">
        <f>G1055-E1055</f>
      </c>
    </row>
    <row r="1056">
      <c r="A1056" t="s">
        <v>116</v>
      </c>
      <c r="B1056" t="s">
        <v>422</v>
      </c>
      <c r="C1056" s="86" t="n">
        <v>2045</v>
      </c>
      <c r="D1056" t="s">
        <v>244</v>
      </c>
      <c r="E1056" s="87" t="n">
        <v>899727.966112276</v>
      </c>
      <c r="F1056" s="88" t="n">
        <v>511782.368516976</v>
      </c>
      <c r="G1056" s="89" t="n">
        <v>929197.274787431</v>
      </c>
      <c r="H1056" s="90" t="n">
        <v>549018.34448389</v>
      </c>
      <c r="I1056" s="91" t="str">
        <f>H1056-F1056</f>
      </c>
      <c r="J1056" s="92" t="str">
        <f>G1056-E1056</f>
      </c>
    </row>
    <row r="1057">
      <c r="A1057" t="s">
        <v>116</v>
      </c>
      <c r="B1057" t="s">
        <v>422</v>
      </c>
      <c r="C1057" s="86" t="n">
        <v>2045</v>
      </c>
      <c r="D1057" t="s">
        <v>248</v>
      </c>
      <c r="E1057" s="87" t="n">
        <v>484363.627569534</v>
      </c>
      <c r="F1057" s="88" t="n">
        <v>252926.067470331</v>
      </c>
      <c r="G1057" s="89" t="n">
        <v>493255.893083406</v>
      </c>
      <c r="H1057" s="90" t="n">
        <v>267382.392924501</v>
      </c>
      <c r="I1057" s="91" t="str">
        <f>H1057-F1057</f>
      </c>
      <c r="J1057" s="92" t="str">
        <f>G1057-E1057</f>
      </c>
    </row>
    <row r="1058">
      <c r="A1058" t="s">
        <v>116</v>
      </c>
      <c r="B1058" t="s">
        <v>422</v>
      </c>
      <c r="C1058" s="86" t="n">
        <v>2045</v>
      </c>
      <c r="D1058" t="s">
        <v>421</v>
      </c>
      <c r="E1058" s="87" t="n">
        <v>12048.906727538</v>
      </c>
      <c r="F1058" s="88" t="n">
        <v>1523.27880614001</v>
      </c>
      <c r="G1058" s="89" t="n">
        <v>12048.500629735</v>
      </c>
      <c r="H1058" s="90" t="n">
        <v>1523.26402182686</v>
      </c>
      <c r="I1058" s="91" t="str">
        <f>H1058-F1058</f>
      </c>
      <c r="J1058" s="92" t="str">
        <f>G1058-E1058</f>
      </c>
    </row>
    <row r="1059">
      <c r="A1059" t="s">
        <v>116</v>
      </c>
      <c r="B1059" t="s">
        <v>422</v>
      </c>
      <c r="C1059" s="86" t="n">
        <v>2046</v>
      </c>
      <c r="D1059" t="s">
        <v>419</v>
      </c>
      <c r="E1059" s="87" t="n">
        <v>18225.637238623</v>
      </c>
      <c r="F1059" s="88" t="n">
        <v>12069.3064022278</v>
      </c>
      <c r="G1059" s="89" t="n">
        <v>17968.503099892</v>
      </c>
      <c r="H1059" s="90" t="n">
        <v>11956.4732180851</v>
      </c>
      <c r="I1059" s="91" t="str">
        <f>H1059-F1059</f>
      </c>
      <c r="J1059" s="92" t="str">
        <f>G1059-E1059</f>
      </c>
    </row>
    <row r="1060">
      <c r="A1060" t="s">
        <v>116</v>
      </c>
      <c r="B1060" t="s">
        <v>422</v>
      </c>
      <c r="C1060" s="86" t="n">
        <v>2046</v>
      </c>
      <c r="D1060" t="s">
        <v>224</v>
      </c>
      <c r="E1060" s="87" t="n">
        <v>1109534.22458673</v>
      </c>
      <c r="F1060" s="88" t="n">
        <v>229387.906541133</v>
      </c>
      <c r="G1060" s="89" t="n">
        <v>1124741.39385058</v>
      </c>
      <c r="H1060" s="90" t="n">
        <v>230223.641273017</v>
      </c>
      <c r="I1060" s="91" t="str">
        <f>H1060-F1060</f>
      </c>
      <c r="J1060" s="92" t="str">
        <f>G1060-E1060</f>
      </c>
    </row>
    <row r="1061">
      <c r="A1061" t="s">
        <v>116</v>
      </c>
      <c r="B1061" t="s">
        <v>422</v>
      </c>
      <c r="C1061" s="86" t="n">
        <v>2046</v>
      </c>
      <c r="D1061" t="s">
        <v>420</v>
      </c>
      <c r="E1061" s="87" t="n">
        <v>185434.375940805</v>
      </c>
      <c r="F1061" s="88" t="n">
        <v>113498.672839502</v>
      </c>
      <c r="G1061" s="89" t="n">
        <v>183510.562290158</v>
      </c>
      <c r="H1061" s="90" t="n">
        <v>112679.652863118</v>
      </c>
      <c r="I1061" s="91" t="str">
        <f>H1061-F1061</f>
      </c>
      <c r="J1061" s="92" t="str">
        <f>G1061-E1061</f>
      </c>
    </row>
    <row r="1062">
      <c r="A1062" t="s">
        <v>116</v>
      </c>
      <c r="B1062" t="s">
        <v>422</v>
      </c>
      <c r="C1062" s="86" t="n">
        <v>2046</v>
      </c>
      <c r="D1062" t="s">
        <v>235</v>
      </c>
      <c r="E1062" s="87" t="n">
        <v>339111.951400379</v>
      </c>
      <c r="F1062" s="88" t="n">
        <v>316805.552129906</v>
      </c>
      <c r="G1062" s="89" t="n">
        <v>341225.275481564</v>
      </c>
      <c r="H1062" s="90" t="n">
        <v>320574.163172874</v>
      </c>
      <c r="I1062" s="91" t="str">
        <f>H1062-F1062</f>
      </c>
      <c r="J1062" s="92" t="str">
        <f>G1062-E1062</f>
      </c>
    </row>
    <row r="1063">
      <c r="A1063" t="s">
        <v>116</v>
      </c>
      <c r="B1063" t="s">
        <v>422</v>
      </c>
      <c r="C1063" s="86" t="n">
        <v>2046</v>
      </c>
      <c r="D1063" t="s">
        <v>244</v>
      </c>
      <c r="E1063" s="87" t="n">
        <v>914457.210962535</v>
      </c>
      <c r="F1063" s="88" t="n">
        <v>521937.827551552</v>
      </c>
      <c r="G1063" s="89" t="n">
        <v>944010.931257439</v>
      </c>
      <c r="H1063" s="90" t="n">
        <v>559544.256752656</v>
      </c>
      <c r="I1063" s="91" t="str">
        <f>H1063-F1063</f>
      </c>
      <c r="J1063" s="92" t="str">
        <f>G1063-E1063</f>
      </c>
    </row>
    <row r="1064">
      <c r="A1064" t="s">
        <v>116</v>
      </c>
      <c r="B1064" t="s">
        <v>422</v>
      </c>
      <c r="C1064" s="86" t="n">
        <v>2046</v>
      </c>
      <c r="D1064" t="s">
        <v>248</v>
      </c>
      <c r="E1064" s="87" t="n">
        <v>491851.69139788</v>
      </c>
      <c r="F1064" s="88" t="n">
        <v>258554.079680697</v>
      </c>
      <c r="G1064" s="89" t="n">
        <v>500645.717898476</v>
      </c>
      <c r="H1064" s="90" t="n">
        <v>273080.787934234</v>
      </c>
      <c r="I1064" s="91" t="str">
        <f>H1064-F1064</f>
      </c>
      <c r="J1064" s="92" t="str">
        <f>G1064-E1064</f>
      </c>
    </row>
    <row r="1065">
      <c r="A1065" t="s">
        <v>116</v>
      </c>
      <c r="B1065" t="s">
        <v>422</v>
      </c>
      <c r="C1065" s="86" t="n">
        <v>2046</v>
      </c>
      <c r="D1065" t="s">
        <v>421</v>
      </c>
      <c r="E1065" s="87" t="n">
        <v>11944.2121553145</v>
      </c>
      <c r="F1065" s="88" t="n">
        <v>1421.31583630796</v>
      </c>
      <c r="G1065" s="89" t="n">
        <v>11943.7945693929</v>
      </c>
      <c r="H1065" s="90" t="n">
        <v>1421.3002106259</v>
      </c>
      <c r="I1065" s="91" t="str">
        <f>H1065-F1065</f>
      </c>
      <c r="J1065" s="92" t="str">
        <f>G1065-E1065</f>
      </c>
    </row>
    <row r="1066">
      <c r="A1066" t="s">
        <v>116</v>
      </c>
      <c r="B1066" t="s">
        <v>422</v>
      </c>
      <c r="C1066" s="86" t="n">
        <v>2047</v>
      </c>
      <c r="D1066" t="s">
        <v>419</v>
      </c>
      <c r="E1066" s="87" t="n">
        <v>18647.9252432081</v>
      </c>
      <c r="F1066" s="88" t="n">
        <v>12283.9711398163</v>
      </c>
      <c r="G1066" s="89" t="n">
        <v>18370.9982297807</v>
      </c>
      <c r="H1066" s="90" t="n">
        <v>12160.3227217187</v>
      </c>
      <c r="I1066" s="91" t="str">
        <f>H1066-F1066</f>
      </c>
      <c r="J1066" s="92" t="str">
        <f>G1066-E1066</f>
      </c>
    </row>
    <row r="1067">
      <c r="A1067" t="s">
        <v>116</v>
      </c>
      <c r="B1067" t="s">
        <v>422</v>
      </c>
      <c r="C1067" s="86" t="n">
        <v>2047</v>
      </c>
      <c r="D1067" t="s">
        <v>224</v>
      </c>
      <c r="E1067" s="87" t="n">
        <v>1118157.50517446</v>
      </c>
      <c r="F1067" s="88" t="n">
        <v>234674.382313401</v>
      </c>
      <c r="G1067" s="89" t="n">
        <v>1133680.16398797</v>
      </c>
      <c r="H1067" s="90" t="n">
        <v>235574.501787602</v>
      </c>
      <c r="I1067" s="91" t="str">
        <f>H1067-F1067</f>
      </c>
      <c r="J1067" s="92" t="str">
        <f>G1067-E1067</f>
      </c>
    </row>
    <row r="1068">
      <c r="A1068" t="s">
        <v>116</v>
      </c>
      <c r="B1068" t="s">
        <v>422</v>
      </c>
      <c r="C1068" s="86" t="n">
        <v>2047</v>
      </c>
      <c r="D1068" t="s">
        <v>420</v>
      </c>
      <c r="E1068" s="87" t="n">
        <v>188984.266163758</v>
      </c>
      <c r="F1068" s="88" t="n">
        <v>115667.984510293</v>
      </c>
      <c r="G1068" s="89" t="n">
        <v>186925.284089995</v>
      </c>
      <c r="H1068" s="90" t="n">
        <v>114770.43405396</v>
      </c>
      <c r="I1068" s="91" t="str">
        <f>H1068-F1068</f>
      </c>
      <c r="J1068" s="92" t="str">
        <f>G1068-E1068</f>
      </c>
    </row>
    <row r="1069">
      <c r="A1069" t="s">
        <v>116</v>
      </c>
      <c r="B1069" t="s">
        <v>422</v>
      </c>
      <c r="C1069" s="86" t="n">
        <v>2047</v>
      </c>
      <c r="D1069" t="s">
        <v>235</v>
      </c>
      <c r="E1069" s="87" t="n">
        <v>340844.650051351</v>
      </c>
      <c r="F1069" s="88" t="n">
        <v>318487.495967281</v>
      </c>
      <c r="G1069" s="89" t="n">
        <v>342821.899904036</v>
      </c>
      <c r="H1069" s="90" t="n">
        <v>322040.722228729</v>
      </c>
      <c r="I1069" s="91" t="str">
        <f>H1069-F1069</f>
      </c>
      <c r="J1069" s="92" t="str">
        <f>G1069-E1069</f>
      </c>
    </row>
    <row r="1070">
      <c r="A1070" t="s">
        <v>116</v>
      </c>
      <c r="B1070" t="s">
        <v>422</v>
      </c>
      <c r="C1070" s="86" t="n">
        <v>2047</v>
      </c>
      <c r="D1070" t="s">
        <v>244</v>
      </c>
      <c r="E1070" s="87" t="n">
        <v>928096.573774485</v>
      </c>
      <c r="F1070" s="88" t="n">
        <v>531806.118758138</v>
      </c>
      <c r="G1070" s="89" t="n">
        <v>957700.330331823</v>
      </c>
      <c r="H1070" s="90" t="n">
        <v>569776.387385101</v>
      </c>
      <c r="I1070" s="91" t="str">
        <f>H1070-F1070</f>
      </c>
      <c r="J1070" s="92" t="str">
        <f>G1070-E1070</f>
      </c>
    </row>
    <row r="1071">
      <c r="A1071" t="s">
        <v>116</v>
      </c>
      <c r="B1071" t="s">
        <v>422</v>
      </c>
      <c r="C1071" s="86" t="n">
        <v>2047</v>
      </c>
      <c r="D1071" t="s">
        <v>248</v>
      </c>
      <c r="E1071" s="87" t="n">
        <v>499033.258403687</v>
      </c>
      <c r="F1071" s="88" t="n">
        <v>263991.299260883</v>
      </c>
      <c r="G1071" s="89" t="n">
        <v>507728.749767113</v>
      </c>
      <c r="H1071" s="90" t="n">
        <v>278595.1987469</v>
      </c>
      <c r="I1071" s="91" t="str">
        <f>H1071-F1071</f>
      </c>
      <c r="J1071" s="92" t="str">
        <f>G1071-E1071</f>
      </c>
    </row>
    <row r="1072">
      <c r="A1072" t="s">
        <v>116</v>
      </c>
      <c r="B1072" t="s">
        <v>422</v>
      </c>
      <c r="C1072" s="86" t="n">
        <v>2047</v>
      </c>
      <c r="D1072" t="s">
        <v>421</v>
      </c>
      <c r="E1072" s="87" t="n">
        <v>11677.2434788569</v>
      </c>
      <c r="F1072" s="88" t="n">
        <v>1320.02403721023</v>
      </c>
      <c r="G1072" s="89" t="n">
        <v>11676.8139890787</v>
      </c>
      <c r="H1072" s="90" t="n">
        <v>1320.00748918915</v>
      </c>
      <c r="I1072" s="91" t="str">
        <f>H1072-F1072</f>
      </c>
      <c r="J1072" s="92" t="str">
        <f>G1072-E1072</f>
      </c>
    </row>
    <row r="1073">
      <c r="A1073" t="s">
        <v>116</v>
      </c>
      <c r="B1073" t="s">
        <v>422</v>
      </c>
      <c r="C1073" s="86" t="n">
        <v>2048</v>
      </c>
      <c r="D1073" t="s">
        <v>419</v>
      </c>
      <c r="E1073" s="87" t="n">
        <v>19162.6296934328</v>
      </c>
      <c r="F1073" s="88" t="n">
        <v>12494.1690758076</v>
      </c>
      <c r="G1073" s="89" t="n">
        <v>18865.0138793559</v>
      </c>
      <c r="H1073" s="90" t="n">
        <v>12359.797946018</v>
      </c>
      <c r="I1073" s="91" t="str">
        <f>H1073-F1073</f>
      </c>
      <c r="J1073" s="92" t="str">
        <f>G1073-E1073</f>
      </c>
    </row>
    <row r="1074">
      <c r="A1074" t="s">
        <v>116</v>
      </c>
      <c r="B1074" t="s">
        <v>422</v>
      </c>
      <c r="C1074" s="86" t="n">
        <v>2048</v>
      </c>
      <c r="D1074" t="s">
        <v>224</v>
      </c>
      <c r="E1074" s="87" t="n">
        <v>1124132.84275265</v>
      </c>
      <c r="F1074" s="88" t="n">
        <v>239812.789377398</v>
      </c>
      <c r="G1074" s="89" t="n">
        <v>1139921.42222342</v>
      </c>
      <c r="H1074" s="90" t="n">
        <v>240778.643136103</v>
      </c>
      <c r="I1074" s="91" t="str">
        <f>H1074-F1074</f>
      </c>
      <c r="J1074" s="92" t="str">
        <f>G1074-E1074</f>
      </c>
    </row>
    <row r="1075">
      <c r="A1075" t="s">
        <v>116</v>
      </c>
      <c r="B1075" t="s">
        <v>422</v>
      </c>
      <c r="C1075" s="86" t="n">
        <v>2048</v>
      </c>
      <c r="D1075" t="s">
        <v>420</v>
      </c>
      <c r="E1075" s="87" t="n">
        <v>193373.823413067</v>
      </c>
      <c r="F1075" s="88" t="n">
        <v>117763.942390822</v>
      </c>
      <c r="G1075" s="89" t="n">
        <v>191173.834498201</v>
      </c>
      <c r="H1075" s="90" t="n">
        <v>116788.610084</v>
      </c>
      <c r="I1075" s="91" t="str">
        <f>H1075-F1075</f>
      </c>
      <c r="J1075" s="92" t="str">
        <f>G1075-E1075</f>
      </c>
    </row>
    <row r="1076">
      <c r="A1076" t="s">
        <v>116</v>
      </c>
      <c r="B1076" t="s">
        <v>422</v>
      </c>
      <c r="C1076" s="86" t="n">
        <v>2048</v>
      </c>
      <c r="D1076" t="s">
        <v>235</v>
      </c>
      <c r="E1076" s="87" t="n">
        <v>341946.571456142</v>
      </c>
      <c r="F1076" s="88" t="n">
        <v>319695.453134513</v>
      </c>
      <c r="G1076" s="89" t="n">
        <v>343787.138006374</v>
      </c>
      <c r="H1076" s="90" t="n">
        <v>323063.01307722</v>
      </c>
      <c r="I1076" s="91" t="str">
        <f>H1076-F1076</f>
      </c>
      <c r="J1076" s="92" t="str">
        <f>G1076-E1076</f>
      </c>
    </row>
    <row r="1077">
      <c r="A1077" t="s">
        <v>116</v>
      </c>
      <c r="B1077" t="s">
        <v>422</v>
      </c>
      <c r="C1077" s="86" t="n">
        <v>2048</v>
      </c>
      <c r="D1077" t="s">
        <v>244</v>
      </c>
      <c r="E1077" s="87" t="n">
        <v>943059.010271846</v>
      </c>
      <c r="F1077" s="88" t="n">
        <v>541153.11782075</v>
      </c>
      <c r="G1077" s="89" t="n">
        <v>972752.000469153</v>
      </c>
      <c r="H1077" s="90" t="n">
        <v>579456.858882308</v>
      </c>
      <c r="I1077" s="91" t="str">
        <f>H1077-F1077</f>
      </c>
      <c r="J1077" s="92" t="str">
        <f>G1077-E1077</f>
      </c>
    </row>
    <row r="1078">
      <c r="A1078" t="s">
        <v>116</v>
      </c>
      <c r="B1078" t="s">
        <v>422</v>
      </c>
      <c r="C1078" s="86" t="n">
        <v>2048</v>
      </c>
      <c r="D1078" t="s">
        <v>248</v>
      </c>
      <c r="E1078" s="87" t="n">
        <v>507522.482361966</v>
      </c>
      <c r="F1078" s="88" t="n">
        <v>269229.292652278</v>
      </c>
      <c r="G1078" s="89" t="n">
        <v>516145.438063223</v>
      </c>
      <c r="H1078" s="90" t="n">
        <v>283909.318240972</v>
      </c>
      <c r="I1078" s="91" t="str">
        <f>H1078-F1078</f>
      </c>
      <c r="J1078" s="92" t="str">
        <f>G1078-E1078</f>
      </c>
    </row>
    <row r="1079">
      <c r="A1079" t="s">
        <v>116</v>
      </c>
      <c r="B1079" t="s">
        <v>422</v>
      </c>
      <c r="C1079" s="86" t="n">
        <v>2048</v>
      </c>
      <c r="D1079" t="s">
        <v>421</v>
      </c>
      <c r="E1079" s="87" t="n">
        <v>11567.8568423702</v>
      </c>
      <c r="F1079" s="88" t="n">
        <v>1228.7502211158</v>
      </c>
      <c r="G1079" s="89" t="n">
        <v>11567.4035703729</v>
      </c>
      <c r="H1079" s="90" t="n">
        <v>1228.73261677247</v>
      </c>
      <c r="I1079" s="91" t="str">
        <f>H1079-F1079</f>
      </c>
      <c r="J1079" s="92" t="str">
        <f>G1079-E1079</f>
      </c>
    </row>
    <row r="1080">
      <c r="A1080" t="s">
        <v>116</v>
      </c>
      <c r="B1080" t="s">
        <v>422</v>
      </c>
      <c r="C1080" s="86" t="n">
        <v>2049</v>
      </c>
      <c r="D1080" t="s">
        <v>419</v>
      </c>
      <c r="E1080" s="87" t="n">
        <v>19583.4134979722</v>
      </c>
      <c r="F1080" s="88" t="n">
        <v>12708.1165628084</v>
      </c>
      <c r="G1080" s="89" t="n">
        <v>19265.9413357536</v>
      </c>
      <c r="H1080" s="90" t="n">
        <v>12562.9700035081</v>
      </c>
      <c r="I1080" s="91" t="str">
        <f>H1080-F1080</f>
      </c>
      <c r="J1080" s="92" t="str">
        <f>G1080-E1080</f>
      </c>
    </row>
    <row r="1081">
      <c r="A1081" t="s">
        <v>116</v>
      </c>
      <c r="B1081" t="s">
        <v>422</v>
      </c>
      <c r="C1081" s="86" t="n">
        <v>2049</v>
      </c>
      <c r="D1081" t="s">
        <v>224</v>
      </c>
      <c r="E1081" s="87" t="n">
        <v>1132870.42013816</v>
      </c>
      <c r="F1081" s="88" t="n">
        <v>244990.684631175</v>
      </c>
      <c r="G1081" s="89" t="n">
        <v>1148955.60958046</v>
      </c>
      <c r="H1081" s="90" t="n">
        <v>246024.454765088</v>
      </c>
      <c r="I1081" s="91" t="str">
        <f>H1081-F1081</f>
      </c>
      <c r="J1081" s="92" t="str">
        <f>G1081-E1081</f>
      </c>
    </row>
    <row r="1082">
      <c r="A1082" t="s">
        <v>116</v>
      </c>
      <c r="B1082" t="s">
        <v>422</v>
      </c>
      <c r="C1082" s="86" t="n">
        <v>2049</v>
      </c>
      <c r="D1082" t="s">
        <v>420</v>
      </c>
      <c r="E1082" s="87" t="n">
        <v>196622.763637334</v>
      </c>
      <c r="F1082" s="88" t="n">
        <v>119880.808711105</v>
      </c>
      <c r="G1082" s="89" t="n">
        <v>194292.055539498</v>
      </c>
      <c r="H1082" s="90" t="n">
        <v>118827.584291328</v>
      </c>
      <c r="I1082" s="91" t="str">
        <f>H1082-F1082</f>
      </c>
      <c r="J1082" s="92" t="str">
        <f>G1082-E1082</f>
      </c>
    </row>
    <row r="1083">
      <c r="A1083" t="s">
        <v>116</v>
      </c>
      <c r="B1083" t="s">
        <v>422</v>
      </c>
      <c r="C1083" s="86" t="n">
        <v>2049</v>
      </c>
      <c r="D1083" t="s">
        <v>235</v>
      </c>
      <c r="E1083" s="87" t="n">
        <v>343318.727744764</v>
      </c>
      <c r="F1083" s="88" t="n">
        <v>320922.882282286</v>
      </c>
      <c r="G1083" s="89" t="n">
        <v>345031.334829118</v>
      </c>
      <c r="H1083" s="90" t="n">
        <v>324116.922797206</v>
      </c>
      <c r="I1083" s="91" t="str">
        <f>H1083-F1083</f>
      </c>
      <c r="J1083" s="92" t="str">
        <f>G1083-E1083</f>
      </c>
    </row>
    <row r="1084">
      <c r="A1084" t="s">
        <v>116</v>
      </c>
      <c r="B1084" t="s">
        <v>422</v>
      </c>
      <c r="C1084" s="86" t="n">
        <v>2049</v>
      </c>
      <c r="D1084" t="s">
        <v>244</v>
      </c>
      <c r="E1084" s="87" t="n">
        <v>955784.141778333</v>
      </c>
      <c r="F1084" s="88" t="n">
        <v>550573.699932927</v>
      </c>
      <c r="G1084" s="89" t="n">
        <v>985505.206976823</v>
      </c>
      <c r="H1084" s="90" t="n">
        <v>589228.445176563</v>
      </c>
      <c r="I1084" s="91" t="str">
        <f>H1084-F1084</f>
      </c>
      <c r="J1084" s="92" t="str">
        <f>G1084-E1084</f>
      </c>
    </row>
    <row r="1085">
      <c r="A1085" t="s">
        <v>116</v>
      </c>
      <c r="B1085" t="s">
        <v>422</v>
      </c>
      <c r="C1085" s="86" t="n">
        <v>2049</v>
      </c>
      <c r="D1085" t="s">
        <v>248</v>
      </c>
      <c r="E1085" s="87" t="n">
        <v>513971.856609148</v>
      </c>
      <c r="F1085" s="88" t="n">
        <v>274479.886249024</v>
      </c>
      <c r="G1085" s="89" t="n">
        <v>522492.200230248</v>
      </c>
      <c r="H1085" s="90" t="n">
        <v>289249.089939416</v>
      </c>
      <c r="I1085" s="91" t="str">
        <f>H1085-F1085</f>
      </c>
      <c r="J1085" s="92" t="str">
        <f>G1085-E1085</f>
      </c>
    </row>
    <row r="1086">
      <c r="A1086" t="s">
        <v>116</v>
      </c>
      <c r="B1086" t="s">
        <v>422</v>
      </c>
      <c r="C1086" s="86" t="n">
        <v>2049</v>
      </c>
      <c r="D1086" t="s">
        <v>421</v>
      </c>
      <c r="E1086" s="87" t="n">
        <v>11515.0176287918</v>
      </c>
      <c r="F1086" s="88" t="n">
        <v>1139.2604648029</v>
      </c>
      <c r="G1086" s="89" t="n">
        <v>11514.5369642823</v>
      </c>
      <c r="H1086" s="90" t="n">
        <v>1139.24175250417</v>
      </c>
      <c r="I1086" s="91" t="str">
        <f>H1086-F1086</f>
      </c>
      <c r="J1086" s="92" t="str">
        <f>G1086-E1086</f>
      </c>
    </row>
    <row r="1087">
      <c r="A1087" t="s">
        <v>116</v>
      </c>
      <c r="B1087" t="s">
        <v>422</v>
      </c>
      <c r="C1087" s="86" t="n">
        <v>2050</v>
      </c>
      <c r="D1087" t="s">
        <v>419</v>
      </c>
      <c r="E1087" s="87" t="n">
        <v>19989.0065809555</v>
      </c>
      <c r="F1087" s="88" t="n">
        <v>12920.8939318733</v>
      </c>
      <c r="G1087" s="89" t="n">
        <v>19651.774602414</v>
      </c>
      <c r="H1087" s="90" t="n">
        <v>12764.9906286853</v>
      </c>
      <c r="I1087" s="91" t="str">
        <f>H1087-F1087</f>
      </c>
      <c r="J1087" s="92" t="str">
        <f>G1087-E1087</f>
      </c>
    </row>
    <row r="1088">
      <c r="A1088" t="s">
        <v>116</v>
      </c>
      <c r="B1088" t="s">
        <v>422</v>
      </c>
      <c r="C1088" s="86" t="n">
        <v>2050</v>
      </c>
      <c r="D1088" t="s">
        <v>224</v>
      </c>
      <c r="E1088" s="87" t="n">
        <v>1141290.76148239</v>
      </c>
      <c r="F1088" s="88" t="n">
        <v>250075.61322989</v>
      </c>
      <c r="G1088" s="89" t="n">
        <v>1157673.56667431</v>
      </c>
      <c r="H1088" s="90" t="n">
        <v>251178.956267752</v>
      </c>
      <c r="I1088" s="91" t="str">
        <f>H1088-F1088</f>
      </c>
      <c r="J1088" s="92" t="str">
        <f>G1088-E1088</f>
      </c>
    </row>
    <row r="1089">
      <c r="A1089" t="s">
        <v>116</v>
      </c>
      <c r="B1089" t="s">
        <v>422</v>
      </c>
      <c r="C1089" s="86" t="n">
        <v>2050</v>
      </c>
      <c r="D1089" t="s">
        <v>420</v>
      </c>
      <c r="E1089" s="87" t="n">
        <v>199374.352488759</v>
      </c>
      <c r="F1089" s="88" t="n">
        <v>121958.165104528</v>
      </c>
      <c r="G1089" s="89" t="n">
        <v>196917.204625516</v>
      </c>
      <c r="H1089" s="90" t="n">
        <v>120827.928759862</v>
      </c>
      <c r="I1089" s="91" t="str">
        <f>H1089-F1089</f>
      </c>
      <c r="J1089" s="92" t="str">
        <f>G1089-E1089</f>
      </c>
    </row>
    <row r="1090">
      <c r="A1090" t="s">
        <v>116</v>
      </c>
      <c r="B1090" t="s">
        <v>422</v>
      </c>
      <c r="C1090" s="86" t="n">
        <v>2050</v>
      </c>
      <c r="D1090" t="s">
        <v>235</v>
      </c>
      <c r="E1090" s="87" t="n">
        <v>344643.187474455</v>
      </c>
      <c r="F1090" s="88" t="n">
        <v>321925.165484056</v>
      </c>
      <c r="G1090" s="89" t="n">
        <v>346233.851249823</v>
      </c>
      <c r="H1090" s="90" t="n">
        <v>324973.279226193</v>
      </c>
      <c r="I1090" s="91" t="str">
        <f>H1090-F1090</f>
      </c>
      <c r="J1090" s="92" t="str">
        <f>G1090-E1090</f>
      </c>
    </row>
    <row r="1091">
      <c r="A1091" t="s">
        <v>116</v>
      </c>
      <c r="B1091" t="s">
        <v>422</v>
      </c>
      <c r="C1091" s="86" t="n">
        <v>2050</v>
      </c>
      <c r="D1091" t="s">
        <v>244</v>
      </c>
      <c r="E1091" s="87" t="n">
        <v>967531.507478704</v>
      </c>
      <c r="F1091" s="88" t="n">
        <v>559820.857870959</v>
      </c>
      <c r="G1091" s="89" t="n">
        <v>997255.105001918</v>
      </c>
      <c r="H1091" s="90" t="n">
        <v>598816.687069898</v>
      </c>
      <c r="I1091" s="91" t="str">
        <f>H1091-F1091</f>
      </c>
      <c r="J1091" s="92" t="str">
        <f>G1091-E1091</f>
      </c>
    </row>
    <row r="1092">
      <c r="A1092" t="s">
        <v>116</v>
      </c>
      <c r="B1092" t="s">
        <v>422</v>
      </c>
      <c r="C1092" s="86" t="n">
        <v>2050</v>
      </c>
      <c r="D1092" t="s">
        <v>248</v>
      </c>
      <c r="E1092" s="87" t="n">
        <v>519601.843135359</v>
      </c>
      <c r="F1092" s="88" t="n">
        <v>279540.414997069</v>
      </c>
      <c r="G1092" s="89" t="n">
        <v>528009.464128417</v>
      </c>
      <c r="H1092" s="90" t="n">
        <v>294395.50759804</v>
      </c>
      <c r="I1092" s="91" t="str">
        <f>H1092-F1092</f>
      </c>
      <c r="J1092" s="92" t="str">
        <f>G1092-E1092</f>
      </c>
    </row>
    <row r="1093">
      <c r="A1093" t="s">
        <v>116</v>
      </c>
      <c r="B1093" t="s">
        <v>422</v>
      </c>
      <c r="C1093" s="86" t="n">
        <v>2050</v>
      </c>
      <c r="D1093" t="s">
        <v>421</v>
      </c>
      <c r="E1093" s="87" t="n">
        <v>11458.8427177031</v>
      </c>
      <c r="F1093" s="88" t="n">
        <v>1051.13366180132</v>
      </c>
      <c r="G1093" s="89" t="n">
        <v>11458.3317669049</v>
      </c>
      <c r="H1093" s="90" t="n">
        <v>1051.113893317</v>
      </c>
      <c r="I1093" s="91" t="str">
        <f>H1093-F1093</f>
      </c>
      <c r="J1093" s="92" t="str">
        <f>G1093-E1093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7.71" hidden="0" customWidth="1"/>
    <col min="4" max="4" width="16.71" hidden="0" customWidth="1"/>
    <col min="5" max="5" width="20.71" hidden="0" customWidth="1"/>
    <col min="6" max="6" width="15.71" hidden="0" customWidth="1"/>
    <col min="7" max="7" width="12.71" hidden="0" customWidth="1"/>
    <col min="8" max="8" width="28.71" hidden="0" customWidth="1"/>
    <col min="9" max="9" width="29.71" hidden="0" customWidth="1"/>
    <col min="10" max="10" width="20.71" hidden="0" customWidth="1"/>
    <col min="11" max="11" width="15.71" hidden="0" customWidth="1"/>
    <col min="12" max="12" width="14.71" hidden="0" customWidth="1"/>
    <col min="13" max="13" width="14.71" hidden="0" customWidth="1"/>
    <col min="14" max="14" width="16.71" hidden="0" customWidth="1"/>
    <col min="15" max="15" width="14.71" hidden="0" customWidth="1"/>
    <col min="16" max="16" width="14.71" hidden="0" customWidth="1"/>
    <col min="17" max="17" width="22.71" hidden="0" customWidth="1"/>
    <col min="18" max="18" width="22.71" hidden="0" customWidth="1"/>
    <col min="19" max="19" width="25.71" hidden="0" customWidth="1"/>
    <col min="20" max="20" width="17.71" hidden="0" customWidth="1"/>
    <col min="21" max="21" width="20.71" hidden="0" customWidth="1"/>
    <col min="22" max="22" width="20.71" hidden="0" customWidth="1"/>
    <col min="23" max="23" width="23.71" hidden="0" customWidth="1"/>
    <col min="24" max="24" width="25.71" hidden="0" customWidth="1"/>
    <col min="25" max="25" width="12.71" hidden="0" customWidth="1"/>
    <col min="26" max="26" width="15.71" hidden="0" customWidth="1"/>
    <col min="27" max="27" width="24.71" hidden="0" customWidth="1"/>
    <col min="28" max="28" width="21.71" hidden="0" customWidth="1"/>
    <col min="29" max="29" width="33.71" hidden="0" customWidth="1"/>
    <col min="30" max="30" width="33.71" hidden="0" customWidth="1"/>
    <col min="31" max="31" width="36.71" hidden="0" customWidth="1"/>
    <col min="32" max="32" width="34.71" hidden="0" customWidth="1"/>
  </cols>
  <sheetData>
    <row r="1" ht="28" customHeight="1">
      <c r="A1" s="1" t="s">
        <v>409</v>
      </c>
      <c r="B1" s="1" t="s">
        <v>45</v>
      </c>
      <c r="C1" s="1" t="s">
        <v>192</v>
      </c>
      <c r="D1" s="1" t="s">
        <v>374</v>
      </c>
      <c r="E1" s="1" t="s">
        <v>375</v>
      </c>
      <c r="F1" s="1" t="s">
        <v>212</v>
      </c>
      <c r="G1" s="1" t="s">
        <v>376</v>
      </c>
      <c r="H1" s="1" t="s">
        <v>379</v>
      </c>
      <c r="I1" s="1" t="s">
        <v>380</v>
      </c>
      <c r="J1" s="1" t="s">
        <v>381</v>
      </c>
      <c r="K1" s="1" t="s">
        <v>382</v>
      </c>
      <c r="L1" s="1" t="s">
        <v>423</v>
      </c>
      <c r="M1" s="1" t="s">
        <v>424</v>
      </c>
      <c r="N1" s="1" t="s">
        <v>425</v>
      </c>
      <c r="O1" s="1" t="s">
        <v>426</v>
      </c>
      <c r="P1" s="1" t="s">
        <v>427</v>
      </c>
      <c r="Q1" s="1" t="s">
        <v>428</v>
      </c>
      <c r="R1" s="1" t="s">
        <v>429</v>
      </c>
      <c r="S1" s="1" t="s">
        <v>430</v>
      </c>
      <c r="T1" s="1" t="s">
        <v>431</v>
      </c>
      <c r="U1" s="1" t="s">
        <v>432</v>
      </c>
      <c r="V1" s="1" t="s">
        <v>433</v>
      </c>
      <c r="W1" s="1" t="s">
        <v>434</v>
      </c>
      <c r="X1" s="1" t="s">
        <v>388</v>
      </c>
      <c r="Y1" s="1" t="s">
        <v>387</v>
      </c>
      <c r="Z1" s="1" t="s">
        <v>213</v>
      </c>
      <c r="AA1" s="1" t="s">
        <v>435</v>
      </c>
      <c r="AB1" s="1" t="s">
        <v>436</v>
      </c>
      <c r="AC1" s="1" t="s">
        <v>437</v>
      </c>
      <c r="AD1" s="1" t="s">
        <v>438</v>
      </c>
      <c r="AE1" s="1" t="s">
        <v>439</v>
      </c>
      <c r="AF1" s="1" t="s">
        <v>440</v>
      </c>
    </row>
    <row r="2">
      <c r="A2" t="s">
        <v>219</v>
      </c>
      <c r="B2" s="93" t="n">
        <v>2025</v>
      </c>
      <c r="C2" t="s">
        <v>219</v>
      </c>
      <c r="D2" s="94" t="s">
        <v>392</v>
      </c>
      <c r="E2" s="95" t="s">
        <v>393</v>
      </c>
      <c r="F2" s="96" t="s">
        <v>230</v>
      </c>
      <c r="G2" s="97" t="s">
        <v>394</v>
      </c>
      <c r="H2" s="98" t="s">
        <v>396</v>
      </c>
      <c r="I2" s="99" t="n">
        <v>1</v>
      </c>
      <c r="J2" s="100" t="n">
        <v>1</v>
      </c>
      <c r="K2" s="101" t="n">
        <v>0.04</v>
      </c>
      <c r="L2" s="102" t="n">
        <v>291886571.325912</v>
      </c>
      <c r="M2" s="103" t="n">
        <v>291223951.413062</v>
      </c>
      <c r="N2" s="104" t="str">
        <f>MIN(MAX((B2-'Calculation_Assumptions'!$B$5+1)/'Calculation_Assumptions'!$B$7,0),1)</f>
      </c>
      <c r="O2" s="105" t="str">
        <f>L2*I2</f>
      </c>
      <c r="P2" s="106" t="str">
        <f>M2*I2</f>
      </c>
      <c r="Q2" s="107" t="str">
        <f>P2*'Calculation_Assumptions'!$B$14*J2*K2</f>
      </c>
      <c r="R2" s="108" t="str">
        <f>O2*N2*J2*K2</f>
      </c>
      <c r="S2" s="109" t="str">
        <f>R2-Q2</f>
      </c>
      <c r="T2" s="110" t="str">
        <f>1/(1+'Calculation_Assumptions'!$B$8)^(B2-'Calculation_Assumptions'!$B$2)</f>
      </c>
      <c r="U2" s="111" t="str">
        <f>Q2*T2</f>
      </c>
      <c r="V2" s="112" t="str">
        <f>R2*T2</f>
      </c>
      <c r="W2" s="113" t="str">
        <f>S2*T2</f>
      </c>
      <c r="X2" t="n">
        <v>0</v>
      </c>
      <c r="Y2" s="114" t="n">
        <v>2017</v>
      </c>
      <c r="Z2" t="s">
        <v>399</v>
      </c>
      <c r="AA2" s="115" t="str">
        <f>IF(G2="shared-count-once",COUNTIFS($A$2:$A$287,A2,$B$2:$B$287,B2,$D$2:$D$287,D2),1)</f>
      </c>
      <c r="AB2" s="116" t="n">
        <v>288391907.644456</v>
      </c>
      <c r="AC2" s="117" t="str">
        <f>IF(AB2=0,"",Q2/AB2)</f>
      </c>
      <c r="AD2" s="118" t="str">
        <f>IF(AB2=0,"",R2/AB2)</f>
      </c>
      <c r="AE2" s="119" t="str">
        <f>IF(AB2=0,"",S2/AB2)</f>
      </c>
      <c r="AF2" s="120" t="str">
        <f>IF(AB2=0,"",W2/AB2)</f>
      </c>
    </row>
    <row r="3">
      <c r="A3" t="s">
        <v>219</v>
      </c>
      <c r="B3" s="93" t="n">
        <v>2026</v>
      </c>
      <c r="C3" t="s">
        <v>219</v>
      </c>
      <c r="D3" s="94" t="s">
        <v>392</v>
      </c>
      <c r="E3" s="95" t="s">
        <v>393</v>
      </c>
      <c r="F3" s="96" t="s">
        <v>230</v>
      </c>
      <c r="G3" s="97" t="s">
        <v>394</v>
      </c>
      <c r="H3" s="98" t="s">
        <v>396</v>
      </c>
      <c r="I3" s="99" t="n">
        <v>1</v>
      </c>
      <c r="J3" s="100" t="n">
        <v>1</v>
      </c>
      <c r="K3" s="101" t="n">
        <v>0.04</v>
      </c>
      <c r="L3" s="102" t="n">
        <v>293828806.709757</v>
      </c>
      <c r="M3" s="103" t="n">
        <v>293212473.334583</v>
      </c>
      <c r="N3" s="104" t="str">
        <f>MIN(MAX((B3-'Calculation_Assumptions'!$B$5+1)/'Calculation_Assumptions'!$B$7,0),1)</f>
      </c>
      <c r="O3" s="105" t="str">
        <f>L3*I3</f>
      </c>
      <c r="P3" s="106" t="str">
        <f>M3*I3</f>
      </c>
      <c r="Q3" s="107" t="str">
        <f>P3*'Calculation_Assumptions'!$B$14*J3*K3</f>
      </c>
      <c r="R3" s="108" t="str">
        <f>O3*N3*J3*K3</f>
      </c>
      <c r="S3" s="109" t="str">
        <f>R3-Q3</f>
      </c>
      <c r="T3" s="110" t="str">
        <f>1/(1+'Calculation_Assumptions'!$B$8)^(B3-'Calculation_Assumptions'!$B$2)</f>
      </c>
      <c r="U3" s="111" t="str">
        <f>Q3*T3</f>
      </c>
      <c r="V3" s="112" t="str">
        <f>R3*T3</f>
      </c>
      <c r="W3" s="113" t="str">
        <f>S3*T3</f>
      </c>
      <c r="X3" t="n">
        <v>0</v>
      </c>
      <c r="Y3" s="114" t="n">
        <v>2017</v>
      </c>
      <c r="Z3" t="s">
        <v>399</v>
      </c>
      <c r="AA3" s="115" t="str">
        <f>IF(G3="shared-count-once",COUNTIFS($A$2:$A$287,A3,$B$2:$B$287,B3,$D$2:$D$287,D3),1)</f>
      </c>
      <c r="AB3" s="116" t="n">
        <v>290472130.233437</v>
      </c>
      <c r="AC3" s="117" t="str">
        <f>IF(AB3=0,"",Q3/AB3)</f>
      </c>
      <c r="AD3" s="118" t="str">
        <f>IF(AB3=0,"",R3/AB3)</f>
      </c>
      <c r="AE3" s="119" t="str">
        <f>IF(AB3=0,"",S3/AB3)</f>
      </c>
      <c r="AF3" s="120" t="str">
        <f>IF(AB3=0,"",W3/AB3)</f>
      </c>
    </row>
    <row r="4">
      <c r="A4" t="s">
        <v>219</v>
      </c>
      <c r="B4" s="93" t="n">
        <v>2027</v>
      </c>
      <c r="C4" t="s">
        <v>219</v>
      </c>
      <c r="D4" s="94" t="s">
        <v>392</v>
      </c>
      <c r="E4" s="95" t="s">
        <v>393</v>
      </c>
      <c r="F4" s="96" t="s">
        <v>230</v>
      </c>
      <c r="G4" s="97" t="s">
        <v>394</v>
      </c>
      <c r="H4" s="98" t="s">
        <v>396</v>
      </c>
      <c r="I4" s="99" t="n">
        <v>1</v>
      </c>
      <c r="J4" s="100" t="n">
        <v>1</v>
      </c>
      <c r="K4" s="101" t="n">
        <v>0.04</v>
      </c>
      <c r="L4" s="102" t="n">
        <v>295813234.296121</v>
      </c>
      <c r="M4" s="103" t="n">
        <v>295196117.964647</v>
      </c>
      <c r="N4" s="104" t="str">
        <f>MIN(MAX((B4-'Calculation_Assumptions'!$B$5+1)/'Calculation_Assumptions'!$B$7,0),1)</f>
      </c>
      <c r="O4" s="105" t="str">
        <f>L4*I4</f>
      </c>
      <c r="P4" s="106" t="str">
        <f>M4*I4</f>
      </c>
      <c r="Q4" s="107" t="str">
        <f>P4*'Calculation_Assumptions'!$B$14*J4*K4</f>
      </c>
      <c r="R4" s="108" t="str">
        <f>O4*N4*J4*K4</f>
      </c>
      <c r="S4" s="109" t="str">
        <f>R4-Q4</f>
      </c>
      <c r="T4" s="110" t="str">
        <f>1/(1+'Calculation_Assumptions'!$B$8)^(B4-'Calculation_Assumptions'!$B$2)</f>
      </c>
      <c r="U4" s="111" t="str">
        <f>Q4*T4</f>
      </c>
      <c r="V4" s="112" t="str">
        <f>R4*T4</f>
      </c>
      <c r="W4" s="113" t="str">
        <f>S4*T4</f>
      </c>
      <c r="X4" t="n">
        <v>0</v>
      </c>
      <c r="Y4" s="114" t="n">
        <v>2017</v>
      </c>
      <c r="Z4" t="s">
        <v>399</v>
      </c>
      <c r="AA4" s="115" t="str">
        <f>IF(G4="shared-count-once",COUNTIFS($A$2:$A$287,A4,$B$2:$B$287,B4,$D$2:$D$287,D4),1)</f>
      </c>
      <c r="AB4" s="116" t="n">
        <v>292505080.826208</v>
      </c>
      <c r="AC4" s="117" t="str">
        <f>IF(AB4=0,"",Q4/AB4)</f>
      </c>
      <c r="AD4" s="118" t="str">
        <f>IF(AB4=0,"",R4/AB4)</f>
      </c>
      <c r="AE4" s="119" t="str">
        <f>IF(AB4=0,"",S4/AB4)</f>
      </c>
      <c r="AF4" s="120" t="str">
        <f>IF(AB4=0,"",W4/AB4)</f>
      </c>
    </row>
    <row r="5">
      <c r="A5" t="s">
        <v>219</v>
      </c>
      <c r="B5" s="93" t="n">
        <v>2028</v>
      </c>
      <c r="C5" t="s">
        <v>219</v>
      </c>
      <c r="D5" s="94" t="s">
        <v>392</v>
      </c>
      <c r="E5" s="95" t="s">
        <v>393</v>
      </c>
      <c r="F5" s="96" t="s">
        <v>230</v>
      </c>
      <c r="G5" s="97" t="s">
        <v>394</v>
      </c>
      <c r="H5" s="98" t="s">
        <v>396</v>
      </c>
      <c r="I5" s="99" t="n">
        <v>1</v>
      </c>
      <c r="J5" s="100" t="n">
        <v>1</v>
      </c>
      <c r="K5" s="101" t="n">
        <v>0.04</v>
      </c>
      <c r="L5" s="102" t="n">
        <v>297641302.705447</v>
      </c>
      <c r="M5" s="103" t="n">
        <v>297107934.99345</v>
      </c>
      <c r="N5" s="104" t="str">
        <f>MIN(MAX((B5-'Calculation_Assumptions'!$B$5+1)/'Calculation_Assumptions'!$B$7,0),1)</f>
      </c>
      <c r="O5" s="105" t="str">
        <f>L5*I5</f>
      </c>
      <c r="P5" s="106" t="str">
        <f>M5*I5</f>
      </c>
      <c r="Q5" s="107" t="str">
        <f>P5*'Calculation_Assumptions'!$B$14*J5*K5</f>
      </c>
      <c r="R5" s="108" t="str">
        <f>O5*N5*J5*K5</f>
      </c>
      <c r="S5" s="109" t="str">
        <f>R5-Q5</f>
      </c>
      <c r="T5" s="110" t="str">
        <f>1/(1+'Calculation_Assumptions'!$B$8)^(B5-'Calculation_Assumptions'!$B$2)</f>
      </c>
      <c r="U5" s="111" t="str">
        <f>Q5*T5</f>
      </c>
      <c r="V5" s="112" t="str">
        <f>R5*T5</f>
      </c>
      <c r="W5" s="113" t="str">
        <f>S5*T5</f>
      </c>
      <c r="X5" t="n">
        <v>0</v>
      </c>
      <c r="Y5" s="114" t="n">
        <v>2017</v>
      </c>
      <c r="Z5" t="s">
        <v>399</v>
      </c>
      <c r="AA5" s="115" t="str">
        <f>IF(G5="shared-count-once",COUNTIFS($A$2:$A$287,A5,$B$2:$B$287,B5,$D$2:$D$287,D5),1)</f>
      </c>
      <c r="AB5" s="116" t="n">
        <v>294484707.921554</v>
      </c>
      <c r="AC5" s="117" t="str">
        <f>IF(AB5=0,"",Q5/AB5)</f>
      </c>
      <c r="AD5" s="118" t="str">
        <f>IF(AB5=0,"",R5/AB5)</f>
      </c>
      <c r="AE5" s="119" t="str">
        <f>IF(AB5=0,"",S5/AB5)</f>
      </c>
      <c r="AF5" s="120" t="str">
        <f>IF(AB5=0,"",W5/AB5)</f>
      </c>
    </row>
    <row r="6">
      <c r="A6" t="s">
        <v>219</v>
      </c>
      <c r="B6" s="93" t="n">
        <v>2029</v>
      </c>
      <c r="C6" t="s">
        <v>219</v>
      </c>
      <c r="D6" s="94" t="s">
        <v>392</v>
      </c>
      <c r="E6" s="95" t="s">
        <v>393</v>
      </c>
      <c r="F6" s="96" t="s">
        <v>230</v>
      </c>
      <c r="G6" s="97" t="s">
        <v>394</v>
      </c>
      <c r="H6" s="98" t="s">
        <v>396</v>
      </c>
      <c r="I6" s="99" t="n">
        <v>1</v>
      </c>
      <c r="J6" s="100" t="n">
        <v>1</v>
      </c>
      <c r="K6" s="101" t="n">
        <v>0.04</v>
      </c>
      <c r="L6" s="102" t="n">
        <v>299471792.9282</v>
      </c>
      <c r="M6" s="103" t="n">
        <v>298981169.683309</v>
      </c>
      <c r="N6" s="104" t="str">
        <f>MIN(MAX((B6-'Calculation_Assumptions'!$B$5+1)/'Calculation_Assumptions'!$B$7,0),1)</f>
      </c>
      <c r="O6" s="105" t="str">
        <f>L6*I6</f>
      </c>
      <c r="P6" s="106" t="str">
        <f>M6*I6</f>
      </c>
      <c r="Q6" s="107" t="str">
        <f>P6*'Calculation_Assumptions'!$B$14*J6*K6</f>
      </c>
      <c r="R6" s="108" t="str">
        <f>O6*N6*J6*K6</f>
      </c>
      <c r="S6" s="109" t="str">
        <f>R6-Q6</f>
      </c>
      <c r="T6" s="110" t="str">
        <f>1/(1+'Calculation_Assumptions'!$B$8)^(B6-'Calculation_Assumptions'!$B$2)</f>
      </c>
      <c r="U6" s="111" t="str">
        <f>Q6*T6</f>
      </c>
      <c r="V6" s="112" t="str">
        <f>R6*T6</f>
      </c>
      <c r="W6" s="113" t="str">
        <f>S6*T6</f>
      </c>
      <c r="X6" t="n">
        <v>0</v>
      </c>
      <c r="Y6" s="114" t="n">
        <v>2017</v>
      </c>
      <c r="Z6" t="s">
        <v>399</v>
      </c>
      <c r="AA6" s="115" t="str">
        <f>IF(G6="shared-count-once",COUNTIFS($A$2:$A$287,A6,$B$2:$B$287,B6,$D$2:$D$287,D6),1)</f>
      </c>
      <c r="AB6" s="116" t="n">
        <v>296414030.31143</v>
      </c>
      <c r="AC6" s="117" t="str">
        <f>IF(AB6=0,"",Q6/AB6)</f>
      </c>
      <c r="AD6" s="118" t="str">
        <f>IF(AB6=0,"",R6/AB6)</f>
      </c>
      <c r="AE6" s="119" t="str">
        <f>IF(AB6=0,"",S6/AB6)</f>
      </c>
      <c r="AF6" s="120" t="str">
        <f>IF(AB6=0,"",W6/AB6)</f>
      </c>
    </row>
    <row r="7">
      <c r="A7" t="s">
        <v>219</v>
      </c>
      <c r="B7" s="93" t="n">
        <v>2030</v>
      </c>
      <c r="C7" t="s">
        <v>219</v>
      </c>
      <c r="D7" s="94" t="s">
        <v>392</v>
      </c>
      <c r="E7" s="95" t="s">
        <v>393</v>
      </c>
      <c r="F7" s="96" t="s">
        <v>230</v>
      </c>
      <c r="G7" s="97" t="s">
        <v>394</v>
      </c>
      <c r="H7" s="98" t="s">
        <v>396</v>
      </c>
      <c r="I7" s="99" t="n">
        <v>1</v>
      </c>
      <c r="J7" s="100" t="n">
        <v>1</v>
      </c>
      <c r="K7" s="101" t="n">
        <v>0.04</v>
      </c>
      <c r="L7" s="102" t="n">
        <v>301253448.800518</v>
      </c>
      <c r="M7" s="103" t="n">
        <v>300784244.146626</v>
      </c>
      <c r="N7" s="104" t="str">
        <f>MIN(MAX((B7-'Calculation_Assumptions'!$B$5+1)/'Calculation_Assumptions'!$B$7,0),1)</f>
      </c>
      <c r="O7" s="105" t="str">
        <f>L7*I7</f>
      </c>
      <c r="P7" s="106" t="str">
        <f>M7*I7</f>
      </c>
      <c r="Q7" s="107" t="str">
        <f>P7*'Calculation_Assumptions'!$B$14*J7*K7</f>
      </c>
      <c r="R7" s="108" t="str">
        <f>O7*N7*J7*K7</f>
      </c>
      <c r="S7" s="109" t="str">
        <f>R7-Q7</f>
      </c>
      <c r="T7" s="110" t="str">
        <f>1/(1+'Calculation_Assumptions'!$B$8)^(B7-'Calculation_Assumptions'!$B$2)</f>
      </c>
      <c r="U7" s="111" t="str">
        <f>Q7*T7</f>
      </c>
      <c r="V7" s="112" t="str">
        <f>R7*T7</f>
      </c>
      <c r="W7" s="113" t="str">
        <f>S7*T7</f>
      </c>
      <c r="X7" t="n">
        <v>0</v>
      </c>
      <c r="Y7" s="114" t="n">
        <v>2017</v>
      </c>
      <c r="Z7" t="s">
        <v>399</v>
      </c>
      <c r="AA7" s="115" t="str">
        <f>IF(G7="shared-count-once",COUNTIFS($A$2:$A$287,A7,$B$2:$B$287,B7,$D$2:$D$287,D7),1)</f>
      </c>
      <c r="AB7" s="116" t="n">
        <v>298289404.664994</v>
      </c>
      <c r="AC7" s="117" t="str">
        <f>IF(AB7=0,"",Q7/AB7)</f>
      </c>
      <c r="AD7" s="118" t="str">
        <f>IF(AB7=0,"",R7/AB7)</f>
      </c>
      <c r="AE7" s="119" t="str">
        <f>IF(AB7=0,"",S7/AB7)</f>
      </c>
      <c r="AF7" s="120" t="str">
        <f>IF(AB7=0,"",W7/AB7)</f>
      </c>
    </row>
    <row r="8">
      <c r="A8" t="s">
        <v>219</v>
      </c>
      <c r="B8" s="93" t="n">
        <v>2031</v>
      </c>
      <c r="C8" t="s">
        <v>219</v>
      </c>
      <c r="D8" s="94" t="s">
        <v>392</v>
      </c>
      <c r="E8" s="95" t="s">
        <v>393</v>
      </c>
      <c r="F8" s="96" t="s">
        <v>230</v>
      </c>
      <c r="G8" s="97" t="s">
        <v>394</v>
      </c>
      <c r="H8" s="98" t="s">
        <v>396</v>
      </c>
      <c r="I8" s="99" t="n">
        <v>1</v>
      </c>
      <c r="J8" s="100" t="n">
        <v>1</v>
      </c>
      <c r="K8" s="101" t="n">
        <v>0.04</v>
      </c>
      <c r="L8" s="102" t="n">
        <v>302995855.496852</v>
      </c>
      <c r="M8" s="103" t="n">
        <v>302561623.795312</v>
      </c>
      <c r="N8" s="104" t="str">
        <f>MIN(MAX((B8-'Calculation_Assumptions'!$B$5+1)/'Calculation_Assumptions'!$B$7,0),1)</f>
      </c>
      <c r="O8" s="105" t="str">
        <f>L8*I8</f>
      </c>
      <c r="P8" s="106" t="str">
        <f>M8*I8</f>
      </c>
      <c r="Q8" s="107" t="str">
        <f>P8*'Calculation_Assumptions'!$B$14*J8*K8</f>
      </c>
      <c r="R8" s="108" t="str">
        <f>O8*N8*J8*K8</f>
      </c>
      <c r="S8" s="109" t="str">
        <f>R8-Q8</f>
      </c>
      <c r="T8" s="110" t="str">
        <f>1/(1+'Calculation_Assumptions'!$B$8)^(B8-'Calculation_Assumptions'!$B$2)</f>
      </c>
      <c r="U8" s="111" t="str">
        <f>Q8*T8</f>
      </c>
      <c r="V8" s="112" t="str">
        <f>R8*T8</f>
      </c>
      <c r="W8" s="113" t="str">
        <f>S8*T8</f>
      </c>
      <c r="X8" t="n">
        <v>0</v>
      </c>
      <c r="Y8" s="114" t="n">
        <v>2017</v>
      </c>
      <c r="Z8" t="s">
        <v>399</v>
      </c>
      <c r="AA8" s="115" t="str">
        <f>IF(G8="shared-count-once",COUNTIFS($A$2:$A$287,A8,$B$2:$B$287,B8,$D$2:$D$287,D8),1)</f>
      </c>
      <c r="AB8" s="116" t="n">
        <v>300119636.925519</v>
      </c>
      <c r="AC8" s="117" t="str">
        <f>IF(AB8=0,"",Q8/AB8)</f>
      </c>
      <c r="AD8" s="118" t="str">
        <f>IF(AB8=0,"",R8/AB8)</f>
      </c>
      <c r="AE8" s="119" t="str">
        <f>IF(AB8=0,"",S8/AB8)</f>
      </c>
      <c r="AF8" s="120" t="str">
        <f>IF(AB8=0,"",W8/AB8)</f>
      </c>
    </row>
    <row r="9">
      <c r="A9" t="s">
        <v>219</v>
      </c>
      <c r="B9" s="93" t="n">
        <v>2032</v>
      </c>
      <c r="C9" t="s">
        <v>219</v>
      </c>
      <c r="D9" s="94" t="s">
        <v>392</v>
      </c>
      <c r="E9" s="95" t="s">
        <v>393</v>
      </c>
      <c r="F9" s="96" t="s">
        <v>230</v>
      </c>
      <c r="G9" s="97" t="s">
        <v>394</v>
      </c>
      <c r="H9" s="98" t="s">
        <v>396</v>
      </c>
      <c r="I9" s="99" t="n">
        <v>1</v>
      </c>
      <c r="J9" s="100" t="n">
        <v>1</v>
      </c>
      <c r="K9" s="101" t="n">
        <v>0.04</v>
      </c>
      <c r="L9" s="102" t="n">
        <v>304682745.443459</v>
      </c>
      <c r="M9" s="103" t="n">
        <v>304296909.955394</v>
      </c>
      <c r="N9" s="104" t="str">
        <f>MIN(MAX((B9-'Calculation_Assumptions'!$B$5+1)/'Calculation_Assumptions'!$B$7,0),1)</f>
      </c>
      <c r="O9" s="105" t="str">
        <f>L9*I9</f>
      </c>
      <c r="P9" s="106" t="str">
        <f>M9*I9</f>
      </c>
      <c r="Q9" s="107" t="str">
        <f>P9*'Calculation_Assumptions'!$B$14*J9*K9</f>
      </c>
      <c r="R9" s="108" t="str">
        <f>O9*N9*J9*K9</f>
      </c>
      <c r="S9" s="109" t="str">
        <f>R9-Q9</f>
      </c>
      <c r="T9" s="110" t="str">
        <f>1/(1+'Calculation_Assumptions'!$B$8)^(B9-'Calculation_Assumptions'!$B$2)</f>
      </c>
      <c r="U9" s="111" t="str">
        <f>Q9*T9</f>
      </c>
      <c r="V9" s="112" t="str">
        <f>R9*T9</f>
      </c>
      <c r="W9" s="113" t="str">
        <f>S9*T9</f>
      </c>
      <c r="X9" t="n">
        <v>0</v>
      </c>
      <c r="Y9" s="114" t="n">
        <v>2017</v>
      </c>
      <c r="Z9" t="s">
        <v>399</v>
      </c>
      <c r="AA9" s="115" t="str">
        <f>IF(G9="shared-count-once",COUNTIFS($A$2:$A$287,A9,$B$2:$B$287,B9,$D$2:$D$287,D9),1)</f>
      </c>
      <c r="AB9" s="116" t="n">
        <v>301904628.083541</v>
      </c>
      <c r="AC9" s="117" t="str">
        <f>IF(AB9=0,"",Q9/AB9)</f>
      </c>
      <c r="AD9" s="118" t="str">
        <f>IF(AB9=0,"",R9/AB9)</f>
      </c>
      <c r="AE9" s="119" t="str">
        <f>IF(AB9=0,"",S9/AB9)</f>
      </c>
      <c r="AF9" s="120" t="str">
        <f>IF(AB9=0,"",W9/AB9)</f>
      </c>
    </row>
    <row r="10">
      <c r="A10" t="s">
        <v>219</v>
      </c>
      <c r="B10" s="93" t="n">
        <v>2033</v>
      </c>
      <c r="C10" t="s">
        <v>219</v>
      </c>
      <c r="D10" s="94" t="s">
        <v>392</v>
      </c>
      <c r="E10" s="95" t="s">
        <v>393</v>
      </c>
      <c r="F10" s="96" t="s">
        <v>230</v>
      </c>
      <c r="G10" s="97" t="s">
        <v>394</v>
      </c>
      <c r="H10" s="98" t="s">
        <v>396</v>
      </c>
      <c r="I10" s="99" t="n">
        <v>1</v>
      </c>
      <c r="J10" s="100" t="n">
        <v>1</v>
      </c>
      <c r="K10" s="101" t="n">
        <v>0.04</v>
      </c>
      <c r="L10" s="102" t="n">
        <v>306346473.193697</v>
      </c>
      <c r="M10" s="103" t="n">
        <v>305990042.260363</v>
      </c>
      <c r="N10" s="104" t="str">
        <f>MIN(MAX((B10-'Calculation_Assumptions'!$B$5+1)/'Calculation_Assumptions'!$B$7,0),1)</f>
      </c>
      <c r="O10" s="105" t="str">
        <f>L10*I10</f>
      </c>
      <c r="P10" s="106" t="str">
        <f>M10*I10</f>
      </c>
      <c r="Q10" s="107" t="str">
        <f>P10*'Calculation_Assumptions'!$B$14*J10*K10</f>
      </c>
      <c r="R10" s="108" t="str">
        <f>O10*N10*J10*K10</f>
      </c>
      <c r="S10" s="109" t="str">
        <f>R10-Q10</f>
      </c>
      <c r="T10" s="110" t="str">
        <f>1/(1+'Calculation_Assumptions'!$B$8)^(B10-'Calculation_Assumptions'!$B$2)</f>
      </c>
      <c r="U10" s="111" t="str">
        <f>Q10*T10</f>
      </c>
      <c r="V10" s="112" t="str">
        <f>R10*T10</f>
      </c>
      <c r="W10" s="113" t="str">
        <f>S10*T10</f>
      </c>
      <c r="X10" t="n">
        <v>0</v>
      </c>
      <c r="Y10" s="114" t="n">
        <v>2017</v>
      </c>
      <c r="Z10" t="s">
        <v>399</v>
      </c>
      <c r="AA10" s="115" t="str">
        <f>IF(G10="shared-count-once",COUNTIFS($A$2:$A$287,A10,$B$2:$B$287,B10,$D$2:$D$287,D10),1)</f>
      </c>
      <c r="AB10" s="116" t="n">
        <v>303644277.16916</v>
      </c>
      <c r="AC10" s="117" t="str">
        <f>IF(AB10=0,"",Q10/AB10)</f>
      </c>
      <c r="AD10" s="118" t="str">
        <f>IF(AB10=0,"",R10/AB10)</f>
      </c>
      <c r="AE10" s="119" t="str">
        <f>IF(AB10=0,"",S10/AB10)</f>
      </c>
      <c r="AF10" s="120" t="str">
        <f>IF(AB10=0,"",W10/AB10)</f>
      </c>
    </row>
    <row r="11">
      <c r="A11" t="s">
        <v>219</v>
      </c>
      <c r="B11" s="93" t="n">
        <v>2034</v>
      </c>
      <c r="C11" t="s">
        <v>219</v>
      </c>
      <c r="D11" s="94" t="s">
        <v>392</v>
      </c>
      <c r="E11" s="95" t="s">
        <v>393</v>
      </c>
      <c r="F11" s="96" t="s">
        <v>230</v>
      </c>
      <c r="G11" s="97" t="s">
        <v>394</v>
      </c>
      <c r="H11" s="98" t="s">
        <v>396</v>
      </c>
      <c r="I11" s="99" t="n">
        <v>1</v>
      </c>
      <c r="J11" s="100" t="n">
        <v>1</v>
      </c>
      <c r="K11" s="101" t="n">
        <v>0.04</v>
      </c>
      <c r="L11" s="102" t="n">
        <v>307963916.104598</v>
      </c>
      <c r="M11" s="103" t="n">
        <v>307635526.02883</v>
      </c>
      <c r="N11" s="104" t="str">
        <f>MIN(MAX((B11-'Calculation_Assumptions'!$B$5+1)/'Calculation_Assumptions'!$B$7,0),1)</f>
      </c>
      <c r="O11" s="105" t="str">
        <f>L11*I11</f>
      </c>
      <c r="P11" s="106" t="str">
        <f>M11*I11</f>
      </c>
      <c r="Q11" s="107" t="str">
        <f>P11*'Calculation_Assumptions'!$B$14*J11*K11</f>
      </c>
      <c r="R11" s="108" t="str">
        <f>O11*N11*J11*K11</f>
      </c>
      <c r="S11" s="109" t="str">
        <f>R11-Q11</f>
      </c>
      <c r="T11" s="110" t="str">
        <f>1/(1+'Calculation_Assumptions'!$B$8)^(B11-'Calculation_Assumptions'!$B$2)</f>
      </c>
      <c r="U11" s="111" t="str">
        <f>Q11*T11</f>
      </c>
      <c r="V11" s="112" t="str">
        <f>R11*T11</f>
      </c>
      <c r="W11" s="113" t="str">
        <f>S11*T11</f>
      </c>
      <c r="X11" t="n">
        <v>0</v>
      </c>
      <c r="Y11" s="114" t="n">
        <v>2017</v>
      </c>
      <c r="Z11" t="s">
        <v>399</v>
      </c>
      <c r="AA11" s="115" t="str">
        <f>IF(G11="shared-count-once",COUNTIFS($A$2:$A$287,A11,$B$2:$B$287,B11,$D$2:$D$287,D11),1)</f>
      </c>
      <c r="AB11" s="116" t="n">
        <v>305332541.184984</v>
      </c>
      <c r="AC11" s="117" t="str">
        <f>IF(AB11=0,"",Q11/AB11)</f>
      </c>
      <c r="AD11" s="118" t="str">
        <f>IF(AB11=0,"",R11/AB11)</f>
      </c>
      <c r="AE11" s="119" t="str">
        <f>IF(AB11=0,"",S11/AB11)</f>
      </c>
      <c r="AF11" s="120" t="str">
        <f>IF(AB11=0,"",W11/AB11)</f>
      </c>
    </row>
    <row r="12">
      <c r="A12" t="s">
        <v>219</v>
      </c>
      <c r="B12" s="93" t="n">
        <v>2035</v>
      </c>
      <c r="C12" t="s">
        <v>219</v>
      </c>
      <c r="D12" s="94" t="s">
        <v>392</v>
      </c>
      <c r="E12" s="95" t="s">
        <v>393</v>
      </c>
      <c r="F12" s="96" t="s">
        <v>230</v>
      </c>
      <c r="G12" s="97" t="s">
        <v>394</v>
      </c>
      <c r="H12" s="98" t="s">
        <v>396</v>
      </c>
      <c r="I12" s="99" t="n">
        <v>1</v>
      </c>
      <c r="J12" s="100" t="n">
        <v>1</v>
      </c>
      <c r="K12" s="101" t="n">
        <v>0.04</v>
      </c>
      <c r="L12" s="102" t="n">
        <v>309530920.416858</v>
      </c>
      <c r="M12" s="103" t="n">
        <v>309228183.19713</v>
      </c>
      <c r="N12" s="104" t="str">
        <f>MIN(MAX((B12-'Calculation_Assumptions'!$B$5+1)/'Calculation_Assumptions'!$B$7,0),1)</f>
      </c>
      <c r="O12" s="105" t="str">
        <f>L12*I12</f>
      </c>
      <c r="P12" s="106" t="str">
        <f>M12*I12</f>
      </c>
      <c r="Q12" s="107" t="str">
        <f>P12*'Calculation_Assumptions'!$B$14*J12*K12</f>
      </c>
      <c r="R12" s="108" t="str">
        <f>O12*N12*J12*K12</f>
      </c>
      <c r="S12" s="109" t="str">
        <f>R12-Q12</f>
      </c>
      <c r="T12" s="110" t="str">
        <f>1/(1+'Calculation_Assumptions'!$B$8)^(B12-'Calculation_Assumptions'!$B$2)</f>
      </c>
      <c r="U12" s="111" t="str">
        <f>Q12*T12</f>
      </c>
      <c r="V12" s="112" t="str">
        <f>R12*T12</f>
      </c>
      <c r="W12" s="113" t="str">
        <f>S12*T12</f>
      </c>
      <c r="X12" t="n">
        <v>0</v>
      </c>
      <c r="Y12" s="114" t="n">
        <v>2017</v>
      </c>
      <c r="Z12" t="s">
        <v>399</v>
      </c>
      <c r="AA12" s="115" t="str">
        <f>IF(G12="shared-count-once",COUNTIFS($A$2:$A$287,A12,$B$2:$B$287,B12,$D$2:$D$287,D12),1)</f>
      </c>
      <c r="AB12" s="116" t="n">
        <v>306964650.16712</v>
      </c>
      <c r="AC12" s="117" t="str">
        <f>IF(AB12=0,"",Q12/AB12)</f>
      </c>
      <c r="AD12" s="118" t="str">
        <f>IF(AB12=0,"",R12/AB12)</f>
      </c>
      <c r="AE12" s="119" t="str">
        <f>IF(AB12=0,"",S12/AB12)</f>
      </c>
      <c r="AF12" s="120" t="str">
        <f>IF(AB12=0,"",W12/AB12)</f>
      </c>
    </row>
    <row r="13">
      <c r="A13" t="s">
        <v>219</v>
      </c>
      <c r="B13" s="93" t="n">
        <v>2036</v>
      </c>
      <c r="C13" t="s">
        <v>219</v>
      </c>
      <c r="D13" s="94" t="s">
        <v>392</v>
      </c>
      <c r="E13" s="95" t="s">
        <v>393</v>
      </c>
      <c r="F13" s="96" t="s">
        <v>230</v>
      </c>
      <c r="G13" s="97" t="s">
        <v>394</v>
      </c>
      <c r="H13" s="98" t="s">
        <v>396</v>
      </c>
      <c r="I13" s="99" t="n">
        <v>1</v>
      </c>
      <c r="J13" s="100" t="n">
        <v>1</v>
      </c>
      <c r="K13" s="101" t="n">
        <v>0.04</v>
      </c>
      <c r="L13" s="102" t="n">
        <v>311049060.330854</v>
      </c>
      <c r="M13" s="103" t="n">
        <v>310769483.46493</v>
      </c>
      <c r="N13" s="104" t="str">
        <f>MIN(MAX((B13-'Calculation_Assumptions'!$B$5+1)/'Calculation_Assumptions'!$B$7,0),1)</f>
      </c>
      <c r="O13" s="105" t="str">
        <f>L13*I13</f>
      </c>
      <c r="P13" s="106" t="str">
        <f>M13*I13</f>
      </c>
      <c r="Q13" s="107" t="str">
        <f>P13*'Calculation_Assumptions'!$B$14*J13*K13</f>
      </c>
      <c r="R13" s="108" t="str">
        <f>O13*N13*J13*K13</f>
      </c>
      <c r="S13" s="109" t="str">
        <f>R13-Q13</f>
      </c>
      <c r="T13" s="110" t="str">
        <f>1/(1+'Calculation_Assumptions'!$B$8)^(B13-'Calculation_Assumptions'!$B$2)</f>
      </c>
      <c r="U13" s="111" t="str">
        <f>Q13*T13</f>
      </c>
      <c r="V13" s="112" t="str">
        <f>R13*T13</f>
      </c>
      <c r="W13" s="113" t="str">
        <f>S13*T13</f>
      </c>
      <c r="X13" t="n">
        <v>0</v>
      </c>
      <c r="Y13" s="114" t="n">
        <v>2017</v>
      </c>
      <c r="Z13" t="s">
        <v>399</v>
      </c>
      <c r="AA13" s="115" t="str">
        <f>IF(G13="shared-count-once",COUNTIFS($A$2:$A$287,A13,$B$2:$B$287,B13,$D$2:$D$287,D13),1)</f>
      </c>
      <c r="AB13" s="116" t="n">
        <v>308542769.756622</v>
      </c>
      <c r="AC13" s="117" t="str">
        <f>IF(AB13=0,"",Q13/AB13)</f>
      </c>
      <c r="AD13" s="118" t="str">
        <f>IF(AB13=0,"",R13/AB13)</f>
      </c>
      <c r="AE13" s="119" t="str">
        <f>IF(AB13=0,"",S13/AB13)</f>
      </c>
      <c r="AF13" s="120" t="str">
        <f>IF(AB13=0,"",W13/AB13)</f>
      </c>
    </row>
    <row r="14">
      <c r="A14" t="s">
        <v>219</v>
      </c>
      <c r="B14" s="93" t="n">
        <v>2037</v>
      </c>
      <c r="C14" t="s">
        <v>219</v>
      </c>
      <c r="D14" s="94" t="s">
        <v>392</v>
      </c>
      <c r="E14" s="95" t="s">
        <v>393</v>
      </c>
      <c r="F14" s="96" t="s">
        <v>230</v>
      </c>
      <c r="G14" s="97" t="s">
        <v>394</v>
      </c>
      <c r="H14" s="98" t="s">
        <v>396</v>
      </c>
      <c r="I14" s="99" t="n">
        <v>1</v>
      </c>
      <c r="J14" s="100" t="n">
        <v>1</v>
      </c>
      <c r="K14" s="101" t="n">
        <v>0.04</v>
      </c>
      <c r="L14" s="102" t="n">
        <v>312533637.785885</v>
      </c>
      <c r="M14" s="103" t="n">
        <v>312262197.186949</v>
      </c>
      <c r="N14" s="104" t="str">
        <f>MIN(MAX((B14-'Calculation_Assumptions'!$B$5+1)/'Calculation_Assumptions'!$B$7,0),1)</f>
      </c>
      <c r="O14" s="105" t="str">
        <f>L14*I14</f>
      </c>
      <c r="P14" s="106" t="str">
        <f>M14*I14</f>
      </c>
      <c r="Q14" s="107" t="str">
        <f>P14*'Calculation_Assumptions'!$B$14*J14*K14</f>
      </c>
      <c r="R14" s="108" t="str">
        <f>O14*N14*J14*K14</f>
      </c>
      <c r="S14" s="109" t="str">
        <f>R14-Q14</f>
      </c>
      <c r="T14" s="110" t="str">
        <f>1/(1+'Calculation_Assumptions'!$B$8)^(B14-'Calculation_Assumptions'!$B$2)</f>
      </c>
      <c r="U14" s="111" t="str">
        <f>Q14*T14</f>
      </c>
      <c r="V14" s="112" t="str">
        <f>R14*T14</f>
      </c>
      <c r="W14" s="113" t="str">
        <f>S14*T14</f>
      </c>
      <c r="X14" t="n">
        <v>0</v>
      </c>
      <c r="Y14" s="114" t="n">
        <v>2017</v>
      </c>
      <c r="Z14" t="s">
        <v>399</v>
      </c>
      <c r="AA14" s="115" t="str">
        <f>IF(G14="shared-count-once",COUNTIFS($A$2:$A$287,A14,$B$2:$B$287,B14,$D$2:$D$287,D14),1)</f>
      </c>
      <c r="AB14" s="116" t="n">
        <v>310068287.63643</v>
      </c>
      <c r="AC14" s="117" t="str">
        <f>IF(AB14=0,"",Q14/AB14)</f>
      </c>
      <c r="AD14" s="118" t="str">
        <f>IF(AB14=0,"",R14/AB14)</f>
      </c>
      <c r="AE14" s="119" t="str">
        <f>IF(AB14=0,"",S14/AB14)</f>
      </c>
      <c r="AF14" s="120" t="str">
        <f>IF(AB14=0,"",W14/AB14)</f>
      </c>
    </row>
    <row r="15">
      <c r="A15" t="s">
        <v>219</v>
      </c>
      <c r="B15" s="93" t="n">
        <v>2038</v>
      </c>
      <c r="C15" t="s">
        <v>219</v>
      </c>
      <c r="D15" s="94" t="s">
        <v>392</v>
      </c>
      <c r="E15" s="95" t="s">
        <v>393</v>
      </c>
      <c r="F15" s="96" t="s">
        <v>230</v>
      </c>
      <c r="G15" s="97" t="s">
        <v>394</v>
      </c>
      <c r="H15" s="98" t="s">
        <v>396</v>
      </c>
      <c r="I15" s="99" t="n">
        <v>1</v>
      </c>
      <c r="J15" s="100" t="n">
        <v>1</v>
      </c>
      <c r="K15" s="101" t="n">
        <v>0.04</v>
      </c>
      <c r="L15" s="102" t="n">
        <v>313991541.531024</v>
      </c>
      <c r="M15" s="103" t="n">
        <v>313730463.490198</v>
      </c>
      <c r="N15" s="104" t="str">
        <f>MIN(MAX((B15-'Calculation_Assumptions'!$B$5+1)/'Calculation_Assumptions'!$B$7,0),1)</f>
      </c>
      <c r="O15" s="105" t="str">
        <f>L15*I15</f>
      </c>
      <c r="P15" s="106" t="str">
        <f>M15*I15</f>
      </c>
      <c r="Q15" s="107" t="str">
        <f>P15*'Calculation_Assumptions'!$B$14*J15*K15</f>
      </c>
      <c r="R15" s="108" t="str">
        <f>O15*N15*J15*K15</f>
      </c>
      <c r="S15" s="109" t="str">
        <f>R15-Q15</f>
      </c>
      <c r="T15" s="110" t="str">
        <f>1/(1+'Calculation_Assumptions'!$B$8)^(B15-'Calculation_Assumptions'!$B$2)</f>
      </c>
      <c r="U15" s="111" t="str">
        <f>Q15*T15</f>
      </c>
      <c r="V15" s="112" t="str">
        <f>R15*T15</f>
      </c>
      <c r="W15" s="113" t="str">
        <f>S15*T15</f>
      </c>
      <c r="X15" t="n">
        <v>0</v>
      </c>
      <c r="Y15" s="114" t="n">
        <v>2017</v>
      </c>
      <c r="Z15" t="s">
        <v>399</v>
      </c>
      <c r="AA15" s="115" t="str">
        <f>IF(G15="shared-count-once",COUNTIFS($A$2:$A$287,A15,$B$2:$B$287,B15,$D$2:$D$287,D15),1)</f>
      </c>
      <c r="AB15" s="116" t="n">
        <v>311532999.13163</v>
      </c>
      <c r="AC15" s="117" t="str">
        <f>IF(AB15=0,"",Q15/AB15)</f>
      </c>
      <c r="AD15" s="118" t="str">
        <f>IF(AB15=0,"",R15/AB15)</f>
      </c>
      <c r="AE15" s="119" t="str">
        <f>IF(AB15=0,"",S15/AB15)</f>
      </c>
      <c r="AF15" s="120" t="str">
        <f>IF(AB15=0,"",W15/AB15)</f>
      </c>
    </row>
    <row r="16">
      <c r="A16" t="s">
        <v>219</v>
      </c>
      <c r="B16" s="93" t="n">
        <v>2039</v>
      </c>
      <c r="C16" t="s">
        <v>219</v>
      </c>
      <c r="D16" s="94" t="s">
        <v>392</v>
      </c>
      <c r="E16" s="95" t="s">
        <v>393</v>
      </c>
      <c r="F16" s="96" t="s">
        <v>230</v>
      </c>
      <c r="G16" s="97" t="s">
        <v>394</v>
      </c>
      <c r="H16" s="98" t="s">
        <v>396</v>
      </c>
      <c r="I16" s="99" t="n">
        <v>1</v>
      </c>
      <c r="J16" s="100" t="n">
        <v>1</v>
      </c>
      <c r="K16" s="101" t="n">
        <v>0.04</v>
      </c>
      <c r="L16" s="102" t="n">
        <v>315368622.335353</v>
      </c>
      <c r="M16" s="103" t="n">
        <v>315115398.935154</v>
      </c>
      <c r="N16" s="104" t="str">
        <f>MIN(MAX((B16-'Calculation_Assumptions'!$B$5+1)/'Calculation_Assumptions'!$B$7,0),1)</f>
      </c>
      <c r="O16" s="105" t="str">
        <f>L16*I16</f>
      </c>
      <c r="P16" s="106" t="str">
        <f>M16*I16</f>
      </c>
      <c r="Q16" s="107" t="str">
        <f>P16*'Calculation_Assumptions'!$B$14*J16*K16</f>
      </c>
      <c r="R16" s="108" t="str">
        <f>O16*N16*J16*K16</f>
      </c>
      <c r="S16" s="109" t="str">
        <f>R16-Q16</f>
      </c>
      <c r="T16" s="110" t="str">
        <f>1/(1+'Calculation_Assumptions'!$B$8)^(B16-'Calculation_Assumptions'!$B$2)</f>
      </c>
      <c r="U16" s="111" t="str">
        <f>Q16*T16</f>
      </c>
      <c r="V16" s="112" t="str">
        <f>R16*T16</f>
      </c>
      <c r="W16" s="113" t="str">
        <f>S16*T16</f>
      </c>
      <c r="X16" t="n">
        <v>0</v>
      </c>
      <c r="Y16" s="114" t="n">
        <v>2017</v>
      </c>
      <c r="Z16" t="s">
        <v>399</v>
      </c>
      <c r="AA16" s="115" t="str">
        <f>IF(G16="shared-count-once",COUNTIFS($A$2:$A$287,A16,$B$2:$B$287,B16,$D$2:$D$287,D16),1)</f>
      </c>
      <c r="AB16" s="116" t="n">
        <v>312936391.858479</v>
      </c>
      <c r="AC16" s="117" t="str">
        <f>IF(AB16=0,"",Q16/AB16)</f>
      </c>
      <c r="AD16" s="118" t="str">
        <f>IF(AB16=0,"",R16/AB16)</f>
      </c>
      <c r="AE16" s="119" t="str">
        <f>IF(AB16=0,"",S16/AB16)</f>
      </c>
      <c r="AF16" s="120" t="str">
        <f>IF(AB16=0,"",W16/AB16)</f>
      </c>
    </row>
    <row r="17">
      <c r="A17" t="s">
        <v>219</v>
      </c>
      <c r="B17" s="93" t="n">
        <v>2040</v>
      </c>
      <c r="C17" t="s">
        <v>219</v>
      </c>
      <c r="D17" s="94" t="s">
        <v>392</v>
      </c>
      <c r="E17" s="95" t="s">
        <v>393</v>
      </c>
      <c r="F17" s="96" t="s">
        <v>230</v>
      </c>
      <c r="G17" s="97" t="s">
        <v>394</v>
      </c>
      <c r="H17" s="98" t="s">
        <v>396</v>
      </c>
      <c r="I17" s="99" t="n">
        <v>1</v>
      </c>
      <c r="J17" s="100" t="n">
        <v>1</v>
      </c>
      <c r="K17" s="101" t="n">
        <v>0.04</v>
      </c>
      <c r="L17" s="102" t="n">
        <v>316676646.250946</v>
      </c>
      <c r="M17" s="103" t="n">
        <v>316427530.0167</v>
      </c>
      <c r="N17" s="104" t="str">
        <f>MIN(MAX((B17-'Calculation_Assumptions'!$B$5+1)/'Calculation_Assumptions'!$B$7,0),1)</f>
      </c>
      <c r="O17" s="105" t="str">
        <f>L17*I17</f>
      </c>
      <c r="P17" s="106" t="str">
        <f>M17*I17</f>
      </c>
      <c r="Q17" s="107" t="str">
        <f>P17*'Calculation_Assumptions'!$B$14*J17*K17</f>
      </c>
      <c r="R17" s="108" t="str">
        <f>O17*N17*J17*K17</f>
      </c>
      <c r="S17" s="109" t="str">
        <f>R17-Q17</f>
      </c>
      <c r="T17" s="110" t="str">
        <f>1/(1+'Calculation_Assumptions'!$B$8)^(B17-'Calculation_Assumptions'!$B$2)</f>
      </c>
      <c r="U17" s="111" t="str">
        <f>Q17*T17</f>
      </c>
      <c r="V17" s="112" t="str">
        <f>R17*T17</f>
      </c>
      <c r="W17" s="113" t="str">
        <f>S17*T17</f>
      </c>
      <c r="X17" t="n">
        <v>0</v>
      </c>
      <c r="Y17" s="114" t="n">
        <v>2017</v>
      </c>
      <c r="Z17" t="s">
        <v>399</v>
      </c>
      <c r="AA17" s="115" t="str">
        <f>IF(G17="shared-count-once",COUNTIFS($A$2:$A$287,A17,$B$2:$B$287,B17,$D$2:$D$287,D17),1)</f>
      </c>
      <c r="AB17" s="116" t="n">
        <v>314265537.410829</v>
      </c>
      <c r="AC17" s="117" t="str">
        <f>IF(AB17=0,"",Q17/AB17)</f>
      </c>
      <c r="AD17" s="118" t="str">
        <f>IF(AB17=0,"",R17/AB17)</f>
      </c>
      <c r="AE17" s="119" t="str">
        <f>IF(AB17=0,"",S17/AB17)</f>
      </c>
      <c r="AF17" s="120" t="str">
        <f>IF(AB17=0,"",W17/AB17)</f>
      </c>
    </row>
    <row r="18">
      <c r="A18" t="s">
        <v>219</v>
      </c>
      <c r="B18" s="93" t="n">
        <v>2041</v>
      </c>
      <c r="C18" t="s">
        <v>219</v>
      </c>
      <c r="D18" s="94" t="s">
        <v>392</v>
      </c>
      <c r="E18" s="95" t="s">
        <v>393</v>
      </c>
      <c r="F18" s="96" t="s">
        <v>230</v>
      </c>
      <c r="G18" s="97" t="s">
        <v>394</v>
      </c>
      <c r="H18" s="98" t="s">
        <v>396</v>
      </c>
      <c r="I18" s="99" t="n">
        <v>1</v>
      </c>
      <c r="J18" s="100" t="n">
        <v>1</v>
      </c>
      <c r="K18" s="101" t="n">
        <v>0.04</v>
      </c>
      <c r="L18" s="102" t="n">
        <v>317919967.375105</v>
      </c>
      <c r="M18" s="103" t="n">
        <v>317614843.247219</v>
      </c>
      <c r="N18" s="104" t="str">
        <f>MIN(MAX((B18-'Calculation_Assumptions'!$B$5+1)/'Calculation_Assumptions'!$B$7,0),1)</f>
      </c>
      <c r="O18" s="105" t="str">
        <f>L18*I18</f>
      </c>
      <c r="P18" s="106" t="str">
        <f>M18*I18</f>
      </c>
      <c r="Q18" s="107" t="str">
        <f>P18*'Calculation_Assumptions'!$B$14*J18*K18</f>
      </c>
      <c r="R18" s="108" t="str">
        <f>O18*N18*J18*K18</f>
      </c>
      <c r="S18" s="109" t="str">
        <f>R18-Q18</f>
      </c>
      <c r="T18" s="110" t="str">
        <f>1/(1+'Calculation_Assumptions'!$B$8)^(B18-'Calculation_Assumptions'!$B$2)</f>
      </c>
      <c r="U18" s="111" t="str">
        <f>Q18*T18</f>
      </c>
      <c r="V18" s="112" t="str">
        <f>R18*T18</f>
      </c>
      <c r="W18" s="113" t="str">
        <f>S18*T18</f>
      </c>
      <c r="X18" t="n">
        <v>0</v>
      </c>
      <c r="Y18" s="114" t="n">
        <v>2017</v>
      </c>
      <c r="Z18" t="s">
        <v>399</v>
      </c>
      <c r="AA18" s="115" t="str">
        <f>IF(G18="shared-count-once",COUNTIFS($A$2:$A$287,A18,$B$2:$B$287,B18,$D$2:$D$287,D18),1)</f>
      </c>
      <c r="AB18" s="116" t="n">
        <v>315525215.312548</v>
      </c>
      <c r="AC18" s="117" t="str">
        <f>IF(AB18=0,"",Q18/AB18)</f>
      </c>
      <c r="AD18" s="118" t="str">
        <f>IF(AB18=0,"",R18/AB18)</f>
      </c>
      <c r="AE18" s="119" t="str">
        <f>IF(AB18=0,"",S18/AB18)</f>
      </c>
      <c r="AF18" s="120" t="str">
        <f>IF(AB18=0,"",W18/AB18)</f>
      </c>
    </row>
    <row r="19">
      <c r="A19" t="s">
        <v>219</v>
      </c>
      <c r="B19" s="93" t="n">
        <v>2042</v>
      </c>
      <c r="C19" t="s">
        <v>219</v>
      </c>
      <c r="D19" s="94" t="s">
        <v>392</v>
      </c>
      <c r="E19" s="95" t="s">
        <v>393</v>
      </c>
      <c r="F19" s="96" t="s">
        <v>230</v>
      </c>
      <c r="G19" s="97" t="s">
        <v>394</v>
      </c>
      <c r="H19" s="98" t="s">
        <v>396</v>
      </c>
      <c r="I19" s="99" t="n">
        <v>1</v>
      </c>
      <c r="J19" s="100" t="n">
        <v>1</v>
      </c>
      <c r="K19" s="101" t="n">
        <v>0.04</v>
      </c>
      <c r="L19" s="102" t="n">
        <v>319088931.703015</v>
      </c>
      <c r="M19" s="103" t="n">
        <v>318781045.920738</v>
      </c>
      <c r="N19" s="104" t="str">
        <f>MIN(MAX((B19-'Calculation_Assumptions'!$B$5+1)/'Calculation_Assumptions'!$B$7,0),1)</f>
      </c>
      <c r="O19" s="105" t="str">
        <f>L19*I19</f>
      </c>
      <c r="P19" s="106" t="str">
        <f>M19*I19</f>
      </c>
      <c r="Q19" s="107" t="str">
        <f>P19*'Calculation_Assumptions'!$B$14*J19*K19</f>
      </c>
      <c r="R19" s="108" t="str">
        <f>O19*N19*J19*K19</f>
      </c>
      <c r="S19" s="109" t="str">
        <f>R19-Q19</f>
      </c>
      <c r="T19" s="110" t="str">
        <f>1/(1+'Calculation_Assumptions'!$B$8)^(B19-'Calculation_Assumptions'!$B$2)</f>
      </c>
      <c r="U19" s="111" t="str">
        <f>Q19*T19</f>
      </c>
      <c r="V19" s="112" t="str">
        <f>R19*T19</f>
      </c>
      <c r="W19" s="113" t="str">
        <f>S19*T19</f>
      </c>
      <c r="X19" t="n">
        <v>0</v>
      </c>
      <c r="Y19" s="114" t="n">
        <v>2017</v>
      </c>
      <c r="Z19" t="s">
        <v>399</v>
      </c>
      <c r="AA19" s="115" t="str">
        <f>IF(G19="shared-count-once",COUNTIFS($A$2:$A$287,A19,$B$2:$B$287,B19,$D$2:$D$287,D19),1)</f>
      </c>
      <c r="AB19" s="116" t="n">
        <v>316707694.211882</v>
      </c>
      <c r="AC19" s="117" t="str">
        <f>IF(AB19=0,"",Q19/AB19)</f>
      </c>
      <c r="AD19" s="118" t="str">
        <f>IF(AB19=0,"",R19/AB19)</f>
      </c>
      <c r="AE19" s="119" t="str">
        <f>IF(AB19=0,"",S19/AB19)</f>
      </c>
      <c r="AF19" s="120" t="str">
        <f>IF(AB19=0,"",W19/AB19)</f>
      </c>
    </row>
    <row r="20">
      <c r="A20" t="s">
        <v>219</v>
      </c>
      <c r="B20" s="93" t="n">
        <v>2043</v>
      </c>
      <c r="C20" t="s">
        <v>219</v>
      </c>
      <c r="D20" s="94" t="s">
        <v>392</v>
      </c>
      <c r="E20" s="95" t="s">
        <v>393</v>
      </c>
      <c r="F20" s="96" t="s">
        <v>230</v>
      </c>
      <c r="G20" s="97" t="s">
        <v>394</v>
      </c>
      <c r="H20" s="98" t="s">
        <v>396</v>
      </c>
      <c r="I20" s="99" t="n">
        <v>1</v>
      </c>
      <c r="J20" s="100" t="n">
        <v>1</v>
      </c>
      <c r="K20" s="101" t="n">
        <v>0.04</v>
      </c>
      <c r="L20" s="102" t="n">
        <v>320190290.611779</v>
      </c>
      <c r="M20" s="103" t="n">
        <v>319872275.594712</v>
      </c>
      <c r="N20" s="104" t="str">
        <f>MIN(MAX((B20-'Calculation_Assumptions'!$B$5+1)/'Calculation_Assumptions'!$B$7,0),1)</f>
      </c>
      <c r="O20" s="105" t="str">
        <f>L20*I20</f>
      </c>
      <c r="P20" s="106" t="str">
        <f>M20*I20</f>
      </c>
      <c r="Q20" s="107" t="str">
        <f>P20*'Calculation_Assumptions'!$B$14*J20*K20</f>
      </c>
      <c r="R20" s="108" t="str">
        <f>O20*N20*J20*K20</f>
      </c>
      <c r="S20" s="109" t="str">
        <f>R20-Q20</f>
      </c>
      <c r="T20" s="110" t="str">
        <f>1/(1+'Calculation_Assumptions'!$B$8)^(B20-'Calculation_Assumptions'!$B$2)</f>
      </c>
      <c r="U20" s="111" t="str">
        <f>Q20*T20</f>
      </c>
      <c r="V20" s="112" t="str">
        <f>R20*T20</f>
      </c>
      <c r="W20" s="113" t="str">
        <f>S20*T20</f>
      </c>
      <c r="X20" t="n">
        <v>0</v>
      </c>
      <c r="Y20" s="114" t="n">
        <v>2017</v>
      </c>
      <c r="Z20" t="s">
        <v>399</v>
      </c>
      <c r="AA20" s="115" t="str">
        <f>IF(G20="shared-count-once",COUNTIFS($A$2:$A$287,A20,$B$2:$B$287,B20,$D$2:$D$287,D20),1)</f>
      </c>
      <c r="AB20" s="116" t="n">
        <v>317814114.067152</v>
      </c>
      <c r="AC20" s="117" t="str">
        <f>IF(AB20=0,"",Q20/AB20)</f>
      </c>
      <c r="AD20" s="118" t="str">
        <f>IF(AB20=0,"",R20/AB20)</f>
      </c>
      <c r="AE20" s="119" t="str">
        <f>IF(AB20=0,"",S20/AB20)</f>
      </c>
      <c r="AF20" s="120" t="str">
        <f>IF(AB20=0,"",W20/AB20)</f>
      </c>
    </row>
    <row r="21">
      <c r="A21" t="s">
        <v>219</v>
      </c>
      <c r="B21" s="93" t="n">
        <v>2044</v>
      </c>
      <c r="C21" t="s">
        <v>219</v>
      </c>
      <c r="D21" s="94" t="s">
        <v>392</v>
      </c>
      <c r="E21" s="95" t="s">
        <v>393</v>
      </c>
      <c r="F21" s="96" t="s">
        <v>230</v>
      </c>
      <c r="G21" s="97" t="s">
        <v>394</v>
      </c>
      <c r="H21" s="98" t="s">
        <v>396</v>
      </c>
      <c r="I21" s="99" t="n">
        <v>1</v>
      </c>
      <c r="J21" s="100" t="n">
        <v>1</v>
      </c>
      <c r="K21" s="101" t="n">
        <v>0.04</v>
      </c>
      <c r="L21" s="102" t="n">
        <v>321225196.257339</v>
      </c>
      <c r="M21" s="103" t="n">
        <v>320897722.542069</v>
      </c>
      <c r="N21" s="104" t="str">
        <f>MIN(MAX((B21-'Calculation_Assumptions'!$B$5+1)/'Calculation_Assumptions'!$B$7,0),1)</f>
      </c>
      <c r="O21" s="105" t="str">
        <f>L21*I21</f>
      </c>
      <c r="P21" s="106" t="str">
        <f>M21*I21</f>
      </c>
      <c r="Q21" s="107" t="str">
        <f>P21*'Calculation_Assumptions'!$B$14*J21*K21</f>
      </c>
      <c r="R21" s="108" t="str">
        <f>O21*N21*J21*K21</f>
      </c>
      <c r="S21" s="109" t="str">
        <f>R21-Q21</f>
      </c>
      <c r="T21" s="110" t="str">
        <f>1/(1+'Calculation_Assumptions'!$B$8)^(B21-'Calculation_Assumptions'!$B$2)</f>
      </c>
      <c r="U21" s="111" t="str">
        <f>Q21*T21</f>
      </c>
      <c r="V21" s="112" t="str">
        <f>R21*T21</f>
      </c>
      <c r="W21" s="113" t="str">
        <f>S21*T21</f>
      </c>
      <c r="X21" t="n">
        <v>0</v>
      </c>
      <c r="Y21" s="114" t="n">
        <v>2017</v>
      </c>
      <c r="Z21" t="s">
        <v>399</v>
      </c>
      <c r="AA21" s="115" t="str">
        <f>IF(G21="shared-count-once",COUNTIFS($A$2:$A$287,A21,$B$2:$B$287,B21,$D$2:$D$287,D21),1)</f>
      </c>
      <c r="AB21" s="116" t="n">
        <v>318840890.732156</v>
      </c>
      <c r="AC21" s="117" t="str">
        <f>IF(AB21=0,"",Q21/AB21)</f>
      </c>
      <c r="AD21" s="118" t="str">
        <f>IF(AB21=0,"",R21/AB21)</f>
      </c>
      <c r="AE21" s="119" t="str">
        <f>IF(AB21=0,"",S21/AB21)</f>
      </c>
      <c r="AF21" s="120" t="str">
        <f>IF(AB21=0,"",W21/AB21)</f>
      </c>
    </row>
    <row r="22">
      <c r="A22" t="s">
        <v>219</v>
      </c>
      <c r="B22" s="93" t="n">
        <v>2045</v>
      </c>
      <c r="C22" t="s">
        <v>219</v>
      </c>
      <c r="D22" s="94" t="s">
        <v>392</v>
      </c>
      <c r="E22" s="95" t="s">
        <v>393</v>
      </c>
      <c r="F22" s="96" t="s">
        <v>230</v>
      </c>
      <c r="G22" s="97" t="s">
        <v>394</v>
      </c>
      <c r="H22" s="98" t="s">
        <v>396</v>
      </c>
      <c r="I22" s="99" t="n">
        <v>1</v>
      </c>
      <c r="J22" s="100" t="n">
        <v>1</v>
      </c>
      <c r="K22" s="101" t="n">
        <v>0.04</v>
      </c>
      <c r="L22" s="102" t="n">
        <v>322099797.936883</v>
      </c>
      <c r="M22" s="103" t="n">
        <v>321832323.778944</v>
      </c>
      <c r="N22" s="104" t="str">
        <f>MIN(MAX((B22-'Calculation_Assumptions'!$B$5+1)/'Calculation_Assumptions'!$B$7,0),1)</f>
      </c>
      <c r="O22" s="105" t="str">
        <f>L22*I22</f>
      </c>
      <c r="P22" s="106" t="str">
        <f>M22*I22</f>
      </c>
      <c r="Q22" s="107" t="str">
        <f>P22*'Calculation_Assumptions'!$B$14*J22*K22</f>
      </c>
      <c r="R22" s="108" t="str">
        <f>O22*N22*J22*K22</f>
      </c>
      <c r="S22" s="109" t="str">
        <f>R22-Q22</f>
      </c>
      <c r="T22" s="110" t="str">
        <f>1/(1+'Calculation_Assumptions'!$B$8)^(B22-'Calculation_Assumptions'!$B$2)</f>
      </c>
      <c r="U22" s="111" t="str">
        <f>Q22*T22</f>
      </c>
      <c r="V22" s="112" t="str">
        <f>R22*T22</f>
      </c>
      <c r="W22" s="113" t="str">
        <f>S22*T22</f>
      </c>
      <c r="X22" t="n">
        <v>0</v>
      </c>
      <c r="Y22" s="114" t="n">
        <v>2017</v>
      </c>
      <c r="Z22" t="s">
        <v>399</v>
      </c>
      <c r="AA22" s="115" t="str">
        <f>IF(G22="shared-count-once",COUNTIFS($A$2:$A$287,A22,$B$2:$B$287,B22,$D$2:$D$287,D22),1)</f>
      </c>
      <c r="AB22" s="116" t="n">
        <v>319784682.33108</v>
      </c>
      <c r="AC22" s="117" t="str">
        <f>IF(AB22=0,"",Q22/AB22)</f>
      </c>
      <c r="AD22" s="118" t="str">
        <f>IF(AB22=0,"",R22/AB22)</f>
      </c>
      <c r="AE22" s="119" t="str">
        <f>IF(AB22=0,"",S22/AB22)</f>
      </c>
      <c r="AF22" s="120" t="str">
        <f>IF(AB22=0,"",W22/AB22)</f>
      </c>
    </row>
    <row r="23">
      <c r="A23" t="s">
        <v>219</v>
      </c>
      <c r="B23" s="93" t="n">
        <v>2046</v>
      </c>
      <c r="C23" t="s">
        <v>219</v>
      </c>
      <c r="D23" s="94" t="s">
        <v>392</v>
      </c>
      <c r="E23" s="95" t="s">
        <v>393</v>
      </c>
      <c r="F23" s="96" t="s">
        <v>230</v>
      </c>
      <c r="G23" s="97" t="s">
        <v>394</v>
      </c>
      <c r="H23" s="98" t="s">
        <v>396</v>
      </c>
      <c r="I23" s="99" t="n">
        <v>1</v>
      </c>
      <c r="J23" s="100" t="n">
        <v>1</v>
      </c>
      <c r="K23" s="101" t="n">
        <v>0.04</v>
      </c>
      <c r="L23" s="102" t="n">
        <v>322960164.090707</v>
      </c>
      <c r="M23" s="103" t="n">
        <v>322683379.427444</v>
      </c>
      <c r="N23" s="104" t="str">
        <f>MIN(MAX((B23-'Calculation_Assumptions'!$B$5+1)/'Calculation_Assumptions'!$B$7,0),1)</f>
      </c>
      <c r="O23" s="105" t="str">
        <f>L23*I23</f>
      </c>
      <c r="P23" s="106" t="str">
        <f>M23*I23</f>
      </c>
      <c r="Q23" s="107" t="str">
        <f>P23*'Calculation_Assumptions'!$B$14*J23*K23</f>
      </c>
      <c r="R23" s="108" t="str">
        <f>O23*N23*J23*K23</f>
      </c>
      <c r="S23" s="109" t="str">
        <f>R23-Q23</f>
      </c>
      <c r="T23" s="110" t="str">
        <f>1/(1+'Calculation_Assumptions'!$B$8)^(B23-'Calculation_Assumptions'!$B$2)</f>
      </c>
      <c r="U23" s="111" t="str">
        <f>Q23*T23</f>
      </c>
      <c r="V23" s="112" t="str">
        <f>R23*T23</f>
      </c>
      <c r="W23" s="113" t="str">
        <f>S23*T23</f>
      </c>
      <c r="X23" t="n">
        <v>0</v>
      </c>
      <c r="Y23" s="114" t="n">
        <v>2017</v>
      </c>
      <c r="Z23" t="s">
        <v>399</v>
      </c>
      <c r="AA23" s="115" t="str">
        <f>IF(G23="shared-count-once",COUNTIFS($A$2:$A$287,A23,$B$2:$B$287,B23,$D$2:$D$287,D23),1)</f>
      </c>
      <c r="AB23" s="116" t="n">
        <v>320645615.981408</v>
      </c>
      <c r="AC23" s="117" t="str">
        <f>IF(AB23=0,"",Q23/AB23)</f>
      </c>
      <c r="AD23" s="118" t="str">
        <f>IF(AB23=0,"",R23/AB23)</f>
      </c>
      <c r="AE23" s="119" t="str">
        <f>IF(AB23=0,"",S23/AB23)</f>
      </c>
      <c r="AF23" s="120" t="str">
        <f>IF(AB23=0,"",W23/AB23)</f>
      </c>
    </row>
    <row r="24">
      <c r="A24" t="s">
        <v>219</v>
      </c>
      <c r="B24" s="93" t="n">
        <v>2047</v>
      </c>
      <c r="C24" t="s">
        <v>219</v>
      </c>
      <c r="D24" s="94" t="s">
        <v>392</v>
      </c>
      <c r="E24" s="95" t="s">
        <v>393</v>
      </c>
      <c r="F24" s="96" t="s">
        <v>230</v>
      </c>
      <c r="G24" s="97" t="s">
        <v>394</v>
      </c>
      <c r="H24" s="98" t="s">
        <v>396</v>
      </c>
      <c r="I24" s="99" t="n">
        <v>1</v>
      </c>
      <c r="J24" s="100" t="n">
        <v>1</v>
      </c>
      <c r="K24" s="101" t="n">
        <v>0.04</v>
      </c>
      <c r="L24" s="102" t="n">
        <v>323733185.369417</v>
      </c>
      <c r="M24" s="103" t="n">
        <v>323457177.765372</v>
      </c>
      <c r="N24" s="104" t="str">
        <f>MIN(MAX((B24-'Calculation_Assumptions'!$B$5+1)/'Calculation_Assumptions'!$B$7,0),1)</f>
      </c>
      <c r="O24" s="105" t="str">
        <f>L24*I24</f>
      </c>
      <c r="P24" s="106" t="str">
        <f>M24*I24</f>
      </c>
      <c r="Q24" s="107" t="str">
        <f>P24*'Calculation_Assumptions'!$B$14*J24*K24</f>
      </c>
      <c r="R24" s="108" t="str">
        <f>O24*N24*J24*K24</f>
      </c>
      <c r="S24" s="109" t="str">
        <f>R24-Q24</f>
      </c>
      <c r="T24" s="110" t="str">
        <f>1/(1+'Calculation_Assumptions'!$B$8)^(B24-'Calculation_Assumptions'!$B$2)</f>
      </c>
      <c r="U24" s="111" t="str">
        <f>Q24*T24</f>
      </c>
      <c r="V24" s="112" t="str">
        <f>R24*T24</f>
      </c>
      <c r="W24" s="113" t="str">
        <f>S24*T24</f>
      </c>
      <c r="X24" t="n">
        <v>0</v>
      </c>
      <c r="Y24" s="114" t="n">
        <v>2017</v>
      </c>
      <c r="Z24" t="s">
        <v>399</v>
      </c>
      <c r="AA24" s="115" t="str">
        <f>IF(G24="shared-count-once",COUNTIFS($A$2:$A$287,A24,$B$2:$B$287,B24,$D$2:$D$287,D24),1)</f>
      </c>
      <c r="AB24" s="116" t="n">
        <v>321429520.522875</v>
      </c>
      <c r="AC24" s="117" t="str">
        <f>IF(AB24=0,"",Q24/AB24)</f>
      </c>
      <c r="AD24" s="118" t="str">
        <f>IF(AB24=0,"",R24/AB24)</f>
      </c>
      <c r="AE24" s="119" t="str">
        <f>IF(AB24=0,"",S24/AB24)</f>
      </c>
      <c r="AF24" s="120" t="str">
        <f>IF(AB24=0,"",W24/AB24)</f>
      </c>
    </row>
    <row r="25">
      <c r="A25" t="s">
        <v>219</v>
      </c>
      <c r="B25" s="93" t="n">
        <v>2048</v>
      </c>
      <c r="C25" t="s">
        <v>219</v>
      </c>
      <c r="D25" s="94" t="s">
        <v>392</v>
      </c>
      <c r="E25" s="95" t="s">
        <v>393</v>
      </c>
      <c r="F25" s="96" t="s">
        <v>230</v>
      </c>
      <c r="G25" s="97" t="s">
        <v>394</v>
      </c>
      <c r="H25" s="98" t="s">
        <v>396</v>
      </c>
      <c r="I25" s="99" t="n">
        <v>1</v>
      </c>
      <c r="J25" s="100" t="n">
        <v>1</v>
      </c>
      <c r="K25" s="101" t="n">
        <v>0.04</v>
      </c>
      <c r="L25" s="102" t="n">
        <v>324444416.972404</v>
      </c>
      <c r="M25" s="103" t="n">
        <v>324153264.068833</v>
      </c>
      <c r="N25" s="104" t="str">
        <f>MIN(MAX((B25-'Calculation_Assumptions'!$B$5+1)/'Calculation_Assumptions'!$B$7,0),1)</f>
      </c>
      <c r="O25" s="105" t="str">
        <f>L25*I25</f>
      </c>
      <c r="P25" s="106" t="str">
        <f>M25*I25</f>
      </c>
      <c r="Q25" s="107" t="str">
        <f>P25*'Calculation_Assumptions'!$B$14*J25*K25</f>
      </c>
      <c r="R25" s="108" t="str">
        <f>O25*N25*J25*K25</f>
      </c>
      <c r="S25" s="109" t="str">
        <f>R25-Q25</f>
      </c>
      <c r="T25" s="110" t="str">
        <f>1/(1+'Calculation_Assumptions'!$B$8)^(B25-'Calculation_Assumptions'!$B$2)</f>
      </c>
      <c r="U25" s="111" t="str">
        <f>Q25*T25</f>
      </c>
      <c r="V25" s="112" t="str">
        <f>R25*T25</f>
      </c>
      <c r="W25" s="113" t="str">
        <f>S25*T25</f>
      </c>
      <c r="X25" t="n">
        <v>0</v>
      </c>
      <c r="Y25" s="114" t="n">
        <v>2017</v>
      </c>
      <c r="Z25" t="s">
        <v>399</v>
      </c>
      <c r="AA25" s="115" t="str">
        <f>IF(G25="shared-count-once",COUNTIFS($A$2:$A$287,A25,$B$2:$B$287,B25,$D$2:$D$287,D25),1)</f>
      </c>
      <c r="AB25" s="116" t="n">
        <v>322136832.260161</v>
      </c>
      <c r="AC25" s="117" t="str">
        <f>IF(AB25=0,"",Q25/AB25)</f>
      </c>
      <c r="AD25" s="118" t="str">
        <f>IF(AB25=0,"",R25/AB25)</f>
      </c>
      <c r="AE25" s="119" t="str">
        <f>IF(AB25=0,"",S25/AB25)</f>
      </c>
      <c r="AF25" s="120" t="str">
        <f>IF(AB25=0,"",W25/AB25)</f>
      </c>
    </row>
    <row r="26">
      <c r="A26" t="s">
        <v>219</v>
      </c>
      <c r="B26" s="93" t="n">
        <v>2049</v>
      </c>
      <c r="C26" t="s">
        <v>219</v>
      </c>
      <c r="D26" s="94" t="s">
        <v>392</v>
      </c>
      <c r="E26" s="95" t="s">
        <v>393</v>
      </c>
      <c r="F26" s="96" t="s">
        <v>230</v>
      </c>
      <c r="G26" s="97" t="s">
        <v>394</v>
      </c>
      <c r="H26" s="98" t="s">
        <v>396</v>
      </c>
      <c r="I26" s="99" t="n">
        <v>1</v>
      </c>
      <c r="J26" s="100" t="n">
        <v>1</v>
      </c>
      <c r="K26" s="101" t="n">
        <v>0.04</v>
      </c>
      <c r="L26" s="102" t="n">
        <v>325044846.677852</v>
      </c>
      <c r="M26" s="103" t="n">
        <v>324770595.66435</v>
      </c>
      <c r="N26" s="104" t="str">
        <f>MIN(MAX((B26-'Calculation_Assumptions'!$B$5+1)/'Calculation_Assumptions'!$B$7,0),1)</f>
      </c>
      <c r="O26" s="105" t="str">
        <f>L26*I26</f>
      </c>
      <c r="P26" s="106" t="str">
        <f>M26*I26</f>
      </c>
      <c r="Q26" s="107" t="str">
        <f>P26*'Calculation_Assumptions'!$B$14*J26*K26</f>
      </c>
      <c r="R26" s="108" t="str">
        <f>O26*N26*J26*K26</f>
      </c>
      <c r="S26" s="109" t="str">
        <f>R26-Q26</f>
      </c>
      <c r="T26" s="110" t="str">
        <f>1/(1+'Calculation_Assumptions'!$B$8)^(B26-'Calculation_Assumptions'!$B$2)</f>
      </c>
      <c r="U26" s="111" t="str">
        <f>Q26*T26</f>
      </c>
      <c r="V26" s="112" t="str">
        <f>R26*T26</f>
      </c>
      <c r="W26" s="113" t="str">
        <f>S26*T26</f>
      </c>
      <c r="X26" t="n">
        <v>0</v>
      </c>
      <c r="Y26" s="114" t="n">
        <v>2017</v>
      </c>
      <c r="Z26" t="s">
        <v>399</v>
      </c>
      <c r="AA26" s="115" t="str">
        <f>IF(G26="shared-count-once",COUNTIFS($A$2:$A$287,A26,$B$2:$B$287,B26,$D$2:$D$287,D26),1)</f>
      </c>
      <c r="AB26" s="116" t="n">
        <v>322765819.752681</v>
      </c>
      <c r="AC26" s="117" t="str">
        <f>IF(AB26=0,"",Q26/AB26)</f>
      </c>
      <c r="AD26" s="118" t="str">
        <f>IF(AB26=0,"",R26/AB26)</f>
      </c>
      <c r="AE26" s="119" t="str">
        <f>IF(AB26=0,"",S26/AB26)</f>
      </c>
      <c r="AF26" s="120" t="str">
        <f>IF(AB26=0,"",W26/AB26)</f>
      </c>
    </row>
    <row r="27">
      <c r="A27" t="s">
        <v>219</v>
      </c>
      <c r="B27" s="93" t="n">
        <v>2050</v>
      </c>
      <c r="C27" t="s">
        <v>219</v>
      </c>
      <c r="D27" s="94" t="s">
        <v>392</v>
      </c>
      <c r="E27" s="95" t="s">
        <v>393</v>
      </c>
      <c r="F27" s="96" t="s">
        <v>230</v>
      </c>
      <c r="G27" s="97" t="s">
        <v>394</v>
      </c>
      <c r="H27" s="98" t="s">
        <v>396</v>
      </c>
      <c r="I27" s="99" t="n">
        <v>1</v>
      </c>
      <c r="J27" s="100" t="n">
        <v>1</v>
      </c>
      <c r="K27" s="101" t="n">
        <v>0.04</v>
      </c>
      <c r="L27" s="102" t="n">
        <v>325591331.998584</v>
      </c>
      <c r="M27" s="103" t="n">
        <v>325271287.464889</v>
      </c>
      <c r="N27" s="104" t="str">
        <f>MIN(MAX((B27-'Calculation_Assumptions'!$B$5+1)/'Calculation_Assumptions'!$B$7,0),1)</f>
      </c>
      <c r="O27" s="105" t="str">
        <f>L27*I27</f>
      </c>
      <c r="P27" s="106" t="str">
        <f>M27*I27</f>
      </c>
      <c r="Q27" s="107" t="str">
        <f>P27*'Calculation_Assumptions'!$B$14*J27*K27</f>
      </c>
      <c r="R27" s="108" t="str">
        <f>O27*N27*J27*K27</f>
      </c>
      <c r="S27" s="109" t="str">
        <f>R27-Q27</f>
      </c>
      <c r="T27" s="110" t="str">
        <f>1/(1+'Calculation_Assumptions'!$B$8)^(B27-'Calculation_Assumptions'!$B$2)</f>
      </c>
      <c r="U27" s="111" t="str">
        <f>Q27*T27</f>
      </c>
      <c r="V27" s="112" t="str">
        <f>R27*T27</f>
      </c>
      <c r="W27" s="113" t="str">
        <f>S27*T27</f>
      </c>
      <c r="X27" t="n">
        <v>0</v>
      </c>
      <c r="Y27" s="114" t="n">
        <v>2017</v>
      </c>
      <c r="Z27" t="s">
        <v>399</v>
      </c>
      <c r="AA27" s="115" t="str">
        <f>IF(G27="shared-count-once",COUNTIFS($A$2:$A$287,A27,$B$2:$B$287,B27,$D$2:$D$287,D27),1)</f>
      </c>
      <c r="AB27" s="116" t="n">
        <v>323312042.563285</v>
      </c>
      <c r="AC27" s="117" t="str">
        <f>IF(AB27=0,"",Q27/AB27)</f>
      </c>
      <c r="AD27" s="118" t="str">
        <f>IF(AB27=0,"",R27/AB27)</f>
      </c>
      <c r="AE27" s="119" t="str">
        <f>IF(AB27=0,"",S27/AB27)</f>
      </c>
      <c r="AF27" s="120" t="str">
        <f>IF(AB27=0,"",W27/AB27)</f>
      </c>
    </row>
    <row r="28">
      <c r="A28" t="s">
        <v>262</v>
      </c>
      <c r="B28" s="93" t="n">
        <v>2025</v>
      </c>
      <c r="C28" t="s">
        <v>262</v>
      </c>
      <c r="D28" s="94" t="s">
        <v>405</v>
      </c>
      <c r="E28" s="95" t="s">
        <v>406</v>
      </c>
      <c r="F28" s="96" t="s">
        <v>265</v>
      </c>
      <c r="G28" s="97" t="s">
        <v>403</v>
      </c>
      <c r="H28" s="98" t="s">
        <v>396</v>
      </c>
      <c r="I28" s="99" t="n">
        <v>1</v>
      </c>
      <c r="J28" s="100" t="n">
        <v>1</v>
      </c>
      <c r="K28" s="101" t="n">
        <v>0.0077</v>
      </c>
      <c r="L28" s="102" t="n">
        <v>291886571.325912</v>
      </c>
      <c r="M28" s="103" t="n">
        <v>291223951.413062</v>
      </c>
      <c r="N28" s="104" t="str">
        <f>MIN(MAX((B28-'Calculation_Assumptions'!$B$5+1)/'Calculation_Assumptions'!$B$7,0),1)</f>
      </c>
      <c r="O28" s="105" t="str">
        <f>L28*I28</f>
      </c>
      <c r="P28" s="106" t="str">
        <f>M28*I28</f>
      </c>
      <c r="Q28" s="107" t="str">
        <f>P28*'Calculation_Assumptions'!$B$14*J28*K28</f>
      </c>
      <c r="R28" s="108" t="str">
        <f>O28*N28*J28*K28</f>
      </c>
      <c r="S28" s="109" t="str">
        <f>R28-Q28</f>
      </c>
      <c r="T28" s="110" t="str">
        <f>1/(1+'Calculation_Assumptions'!$B$8)^(B28-'Calculation_Assumptions'!$B$2)</f>
      </c>
      <c r="U28" s="111" t="str">
        <f>Q28*T28</f>
      </c>
      <c r="V28" s="112" t="str">
        <f>R28*T28</f>
      </c>
      <c r="W28" s="113" t="str">
        <f>S28*T28</f>
      </c>
      <c r="X28" t="n">
        <v>0</v>
      </c>
      <c r="Y28" s="114" t="n">
        <v>2017</v>
      </c>
      <c r="Z28" t="s">
        <v>399</v>
      </c>
      <c r="AA28" s="115" t="str">
        <f>IF(G28="shared-count-once",COUNTIFS($A$2:$A$287,A28,$B$2:$B$287,B28,$D$2:$D$287,D28),1)</f>
      </c>
      <c r="AB28" s="116" t="n">
        <v>288391907.644456</v>
      </c>
      <c r="AC28" s="117" t="str">
        <f>IF(AB28=0,"",Q28/AB28)</f>
      </c>
      <c r="AD28" s="118" t="str">
        <f>IF(AB28=0,"",R28/AB28)</f>
      </c>
      <c r="AE28" s="119" t="str">
        <f>IF(AB28=0,"",S28/AB28)</f>
      </c>
      <c r="AF28" s="120" t="str">
        <f>IF(AB28=0,"",W28/AB28)</f>
      </c>
    </row>
    <row r="29">
      <c r="A29" t="s">
        <v>262</v>
      </c>
      <c r="B29" s="93" t="n">
        <v>2026</v>
      </c>
      <c r="C29" t="s">
        <v>262</v>
      </c>
      <c r="D29" s="94" t="s">
        <v>405</v>
      </c>
      <c r="E29" s="95" t="s">
        <v>406</v>
      </c>
      <c r="F29" s="96" t="s">
        <v>265</v>
      </c>
      <c r="G29" s="97" t="s">
        <v>403</v>
      </c>
      <c r="H29" s="98" t="s">
        <v>396</v>
      </c>
      <c r="I29" s="99" t="n">
        <v>1</v>
      </c>
      <c r="J29" s="100" t="n">
        <v>1</v>
      </c>
      <c r="K29" s="101" t="n">
        <v>0.0077</v>
      </c>
      <c r="L29" s="102" t="n">
        <v>293828806.709757</v>
      </c>
      <c r="M29" s="103" t="n">
        <v>293212473.334583</v>
      </c>
      <c r="N29" s="104" t="str">
        <f>MIN(MAX((B29-'Calculation_Assumptions'!$B$5+1)/'Calculation_Assumptions'!$B$7,0),1)</f>
      </c>
      <c r="O29" s="105" t="str">
        <f>L29*I29</f>
      </c>
      <c r="P29" s="106" t="str">
        <f>M29*I29</f>
      </c>
      <c r="Q29" s="107" t="str">
        <f>P29*'Calculation_Assumptions'!$B$14*J29*K29</f>
      </c>
      <c r="R29" s="108" t="str">
        <f>O29*N29*J29*K29</f>
      </c>
      <c r="S29" s="109" t="str">
        <f>R29-Q29</f>
      </c>
      <c r="T29" s="110" t="str">
        <f>1/(1+'Calculation_Assumptions'!$B$8)^(B29-'Calculation_Assumptions'!$B$2)</f>
      </c>
      <c r="U29" s="111" t="str">
        <f>Q29*T29</f>
      </c>
      <c r="V29" s="112" t="str">
        <f>R29*T29</f>
      </c>
      <c r="W29" s="113" t="str">
        <f>S29*T29</f>
      </c>
      <c r="X29" t="n">
        <v>0</v>
      </c>
      <c r="Y29" s="114" t="n">
        <v>2017</v>
      </c>
      <c r="Z29" t="s">
        <v>399</v>
      </c>
      <c r="AA29" s="115" t="str">
        <f>IF(G29="shared-count-once",COUNTIFS($A$2:$A$287,A29,$B$2:$B$287,B29,$D$2:$D$287,D29),1)</f>
      </c>
      <c r="AB29" s="116" t="n">
        <v>290472130.233437</v>
      </c>
      <c r="AC29" s="117" t="str">
        <f>IF(AB29=0,"",Q29/AB29)</f>
      </c>
      <c r="AD29" s="118" t="str">
        <f>IF(AB29=0,"",R29/AB29)</f>
      </c>
      <c r="AE29" s="119" t="str">
        <f>IF(AB29=0,"",S29/AB29)</f>
      </c>
      <c r="AF29" s="120" t="str">
        <f>IF(AB29=0,"",W29/AB29)</f>
      </c>
    </row>
    <row r="30">
      <c r="A30" t="s">
        <v>262</v>
      </c>
      <c r="B30" s="93" t="n">
        <v>2027</v>
      </c>
      <c r="C30" t="s">
        <v>262</v>
      </c>
      <c r="D30" s="94" t="s">
        <v>405</v>
      </c>
      <c r="E30" s="95" t="s">
        <v>406</v>
      </c>
      <c r="F30" s="96" t="s">
        <v>265</v>
      </c>
      <c r="G30" s="97" t="s">
        <v>403</v>
      </c>
      <c r="H30" s="98" t="s">
        <v>396</v>
      </c>
      <c r="I30" s="99" t="n">
        <v>1</v>
      </c>
      <c r="J30" s="100" t="n">
        <v>1</v>
      </c>
      <c r="K30" s="101" t="n">
        <v>0.0077</v>
      </c>
      <c r="L30" s="102" t="n">
        <v>295750895.261709</v>
      </c>
      <c r="M30" s="103" t="n">
        <v>295196117.964647</v>
      </c>
      <c r="N30" s="104" t="str">
        <f>MIN(MAX((B30-'Calculation_Assumptions'!$B$5+1)/'Calculation_Assumptions'!$B$7,0),1)</f>
      </c>
      <c r="O30" s="105" t="str">
        <f>L30*I30</f>
      </c>
      <c r="P30" s="106" t="str">
        <f>M30*I30</f>
      </c>
      <c r="Q30" s="107" t="str">
        <f>P30*'Calculation_Assumptions'!$B$14*J30*K30</f>
      </c>
      <c r="R30" s="108" t="str">
        <f>O30*N30*J30*K30</f>
      </c>
      <c r="S30" s="109" t="str">
        <f>R30-Q30</f>
      </c>
      <c r="T30" s="110" t="str">
        <f>1/(1+'Calculation_Assumptions'!$B$8)^(B30-'Calculation_Assumptions'!$B$2)</f>
      </c>
      <c r="U30" s="111" t="str">
        <f>Q30*T30</f>
      </c>
      <c r="V30" s="112" t="str">
        <f>R30*T30</f>
      </c>
      <c r="W30" s="113" t="str">
        <f>S30*T30</f>
      </c>
      <c r="X30" t="n">
        <v>0</v>
      </c>
      <c r="Y30" s="114" t="n">
        <v>2017</v>
      </c>
      <c r="Z30" t="s">
        <v>399</v>
      </c>
      <c r="AA30" s="115" t="str">
        <f>IF(G30="shared-count-once",COUNTIFS($A$2:$A$287,A30,$B$2:$B$287,B30,$D$2:$D$287,D30),1)</f>
      </c>
      <c r="AB30" s="116" t="n">
        <v>292505080.826208</v>
      </c>
      <c r="AC30" s="117" t="str">
        <f>IF(AB30=0,"",Q30/AB30)</f>
      </c>
      <c r="AD30" s="118" t="str">
        <f>IF(AB30=0,"",R30/AB30)</f>
      </c>
      <c r="AE30" s="119" t="str">
        <f>IF(AB30=0,"",S30/AB30)</f>
      </c>
      <c r="AF30" s="120" t="str">
        <f>IF(AB30=0,"",W30/AB30)</f>
      </c>
    </row>
    <row r="31">
      <c r="A31" t="s">
        <v>262</v>
      </c>
      <c r="B31" s="93" t="n">
        <v>2028</v>
      </c>
      <c r="C31" t="s">
        <v>262</v>
      </c>
      <c r="D31" s="94" t="s">
        <v>405</v>
      </c>
      <c r="E31" s="95" t="s">
        <v>406</v>
      </c>
      <c r="F31" s="96" t="s">
        <v>265</v>
      </c>
      <c r="G31" s="97" t="s">
        <v>403</v>
      </c>
      <c r="H31" s="98" t="s">
        <v>396</v>
      </c>
      <c r="I31" s="99" t="n">
        <v>1</v>
      </c>
      <c r="J31" s="100" t="n">
        <v>1</v>
      </c>
      <c r="K31" s="101" t="n">
        <v>0.0077</v>
      </c>
      <c r="L31" s="102" t="n">
        <v>297638613.406511</v>
      </c>
      <c r="M31" s="103" t="n">
        <v>297107934.99345</v>
      </c>
      <c r="N31" s="104" t="str">
        <f>MIN(MAX((B31-'Calculation_Assumptions'!$B$5+1)/'Calculation_Assumptions'!$B$7,0),1)</f>
      </c>
      <c r="O31" s="105" t="str">
        <f>L31*I31</f>
      </c>
      <c r="P31" s="106" t="str">
        <f>M31*I31</f>
      </c>
      <c r="Q31" s="107" t="str">
        <f>P31*'Calculation_Assumptions'!$B$14*J31*K31</f>
      </c>
      <c r="R31" s="108" t="str">
        <f>O31*N31*J31*K31</f>
      </c>
      <c r="S31" s="109" t="str">
        <f>R31-Q31</f>
      </c>
      <c r="T31" s="110" t="str">
        <f>1/(1+'Calculation_Assumptions'!$B$8)^(B31-'Calculation_Assumptions'!$B$2)</f>
      </c>
      <c r="U31" s="111" t="str">
        <f>Q31*T31</f>
      </c>
      <c r="V31" s="112" t="str">
        <f>R31*T31</f>
      </c>
      <c r="W31" s="113" t="str">
        <f>S31*T31</f>
      </c>
      <c r="X31" t="n">
        <v>0</v>
      </c>
      <c r="Y31" s="114" t="n">
        <v>2017</v>
      </c>
      <c r="Z31" t="s">
        <v>399</v>
      </c>
      <c r="AA31" s="115" t="str">
        <f>IF(G31="shared-count-once",COUNTIFS($A$2:$A$287,A31,$B$2:$B$287,B31,$D$2:$D$287,D31),1)</f>
      </c>
      <c r="AB31" s="116" t="n">
        <v>294484707.921554</v>
      </c>
      <c r="AC31" s="117" t="str">
        <f>IF(AB31=0,"",Q31/AB31)</f>
      </c>
      <c r="AD31" s="118" t="str">
        <f>IF(AB31=0,"",R31/AB31)</f>
      </c>
      <c r="AE31" s="119" t="str">
        <f>IF(AB31=0,"",S31/AB31)</f>
      </c>
      <c r="AF31" s="120" t="str">
        <f>IF(AB31=0,"",W31/AB31)</f>
      </c>
    </row>
    <row r="32">
      <c r="A32" t="s">
        <v>262</v>
      </c>
      <c r="B32" s="93" t="n">
        <v>2029</v>
      </c>
      <c r="C32" t="s">
        <v>262</v>
      </c>
      <c r="D32" s="94" t="s">
        <v>405</v>
      </c>
      <c r="E32" s="95" t="s">
        <v>406</v>
      </c>
      <c r="F32" s="96" t="s">
        <v>265</v>
      </c>
      <c r="G32" s="97" t="s">
        <v>403</v>
      </c>
      <c r="H32" s="98" t="s">
        <v>396</v>
      </c>
      <c r="I32" s="99" t="n">
        <v>1</v>
      </c>
      <c r="J32" s="100" t="n">
        <v>1</v>
      </c>
      <c r="K32" s="101" t="n">
        <v>0.0077</v>
      </c>
      <c r="L32" s="102" t="n">
        <v>299448176.11422</v>
      </c>
      <c r="M32" s="103" t="n">
        <v>298981169.683309</v>
      </c>
      <c r="N32" s="104" t="str">
        <f>MIN(MAX((B32-'Calculation_Assumptions'!$B$5+1)/'Calculation_Assumptions'!$B$7,0),1)</f>
      </c>
      <c r="O32" s="105" t="str">
        <f>L32*I32</f>
      </c>
      <c r="P32" s="106" t="str">
        <f>M32*I32</f>
      </c>
      <c r="Q32" s="107" t="str">
        <f>P32*'Calculation_Assumptions'!$B$14*J32*K32</f>
      </c>
      <c r="R32" s="108" t="str">
        <f>O32*N32*J32*K32</f>
      </c>
      <c r="S32" s="109" t="str">
        <f>R32-Q32</f>
      </c>
      <c r="T32" s="110" t="str">
        <f>1/(1+'Calculation_Assumptions'!$B$8)^(B32-'Calculation_Assumptions'!$B$2)</f>
      </c>
      <c r="U32" s="111" t="str">
        <f>Q32*T32</f>
      </c>
      <c r="V32" s="112" t="str">
        <f>R32*T32</f>
      </c>
      <c r="W32" s="113" t="str">
        <f>S32*T32</f>
      </c>
      <c r="X32" t="n">
        <v>0</v>
      </c>
      <c r="Y32" s="114" t="n">
        <v>2017</v>
      </c>
      <c r="Z32" t="s">
        <v>399</v>
      </c>
      <c r="AA32" s="115" t="str">
        <f>IF(G32="shared-count-once",COUNTIFS($A$2:$A$287,A32,$B$2:$B$287,B32,$D$2:$D$287,D32),1)</f>
      </c>
      <c r="AB32" s="116" t="n">
        <v>296414030.31143</v>
      </c>
      <c r="AC32" s="117" t="str">
        <f>IF(AB32=0,"",Q32/AB32)</f>
      </c>
      <c r="AD32" s="118" t="str">
        <f>IF(AB32=0,"",R32/AB32)</f>
      </c>
      <c r="AE32" s="119" t="str">
        <f>IF(AB32=0,"",S32/AB32)</f>
      </c>
      <c r="AF32" s="120" t="str">
        <f>IF(AB32=0,"",W32/AB32)</f>
      </c>
    </row>
    <row r="33">
      <c r="A33" t="s">
        <v>262</v>
      </c>
      <c r="B33" s="93" t="n">
        <v>2030</v>
      </c>
      <c r="C33" t="s">
        <v>262</v>
      </c>
      <c r="D33" s="94" t="s">
        <v>405</v>
      </c>
      <c r="E33" s="95" t="s">
        <v>406</v>
      </c>
      <c r="F33" s="96" t="s">
        <v>265</v>
      </c>
      <c r="G33" s="97" t="s">
        <v>403</v>
      </c>
      <c r="H33" s="98" t="s">
        <v>396</v>
      </c>
      <c r="I33" s="99" t="n">
        <v>1</v>
      </c>
      <c r="J33" s="100" t="n">
        <v>1</v>
      </c>
      <c r="K33" s="101" t="n">
        <v>0.0077</v>
      </c>
      <c r="L33" s="102" t="n">
        <v>301227443.362379</v>
      </c>
      <c r="M33" s="103" t="n">
        <v>300784244.146626</v>
      </c>
      <c r="N33" s="104" t="str">
        <f>MIN(MAX((B33-'Calculation_Assumptions'!$B$5+1)/'Calculation_Assumptions'!$B$7,0),1)</f>
      </c>
      <c r="O33" s="105" t="str">
        <f>L33*I33</f>
      </c>
      <c r="P33" s="106" t="str">
        <f>M33*I33</f>
      </c>
      <c r="Q33" s="107" t="str">
        <f>P33*'Calculation_Assumptions'!$B$14*J33*K33</f>
      </c>
      <c r="R33" s="108" t="str">
        <f>O33*N33*J33*K33</f>
      </c>
      <c r="S33" s="109" t="str">
        <f>R33-Q33</f>
      </c>
      <c r="T33" s="110" t="str">
        <f>1/(1+'Calculation_Assumptions'!$B$8)^(B33-'Calculation_Assumptions'!$B$2)</f>
      </c>
      <c r="U33" s="111" t="str">
        <f>Q33*T33</f>
      </c>
      <c r="V33" s="112" t="str">
        <f>R33*T33</f>
      </c>
      <c r="W33" s="113" t="str">
        <f>S33*T33</f>
      </c>
      <c r="X33" t="n">
        <v>0</v>
      </c>
      <c r="Y33" s="114" t="n">
        <v>2017</v>
      </c>
      <c r="Z33" t="s">
        <v>399</v>
      </c>
      <c r="AA33" s="115" t="str">
        <f>IF(G33="shared-count-once",COUNTIFS($A$2:$A$287,A33,$B$2:$B$287,B33,$D$2:$D$287,D33),1)</f>
      </c>
      <c r="AB33" s="116" t="n">
        <v>298289404.664994</v>
      </c>
      <c r="AC33" s="117" t="str">
        <f>IF(AB33=0,"",Q33/AB33)</f>
      </c>
      <c r="AD33" s="118" t="str">
        <f>IF(AB33=0,"",R33/AB33)</f>
      </c>
      <c r="AE33" s="119" t="str">
        <f>IF(AB33=0,"",S33/AB33)</f>
      </c>
      <c r="AF33" s="120" t="str">
        <f>IF(AB33=0,"",W33/AB33)</f>
      </c>
    </row>
    <row r="34">
      <c r="A34" t="s">
        <v>262</v>
      </c>
      <c r="B34" s="93" t="n">
        <v>2031</v>
      </c>
      <c r="C34" t="s">
        <v>262</v>
      </c>
      <c r="D34" s="94" t="s">
        <v>405</v>
      </c>
      <c r="E34" s="95" t="s">
        <v>406</v>
      </c>
      <c r="F34" s="96" t="s">
        <v>265</v>
      </c>
      <c r="G34" s="97" t="s">
        <v>403</v>
      </c>
      <c r="H34" s="98" t="s">
        <v>396</v>
      </c>
      <c r="I34" s="99" t="n">
        <v>1</v>
      </c>
      <c r="J34" s="100" t="n">
        <v>1</v>
      </c>
      <c r="K34" s="101" t="n">
        <v>0.0077</v>
      </c>
      <c r="L34" s="102" t="n">
        <v>302966097.459038</v>
      </c>
      <c r="M34" s="103" t="n">
        <v>302561623.795312</v>
      </c>
      <c r="N34" s="104" t="str">
        <f>MIN(MAX((B34-'Calculation_Assumptions'!$B$5+1)/'Calculation_Assumptions'!$B$7,0),1)</f>
      </c>
      <c r="O34" s="105" t="str">
        <f>L34*I34</f>
      </c>
      <c r="P34" s="106" t="str">
        <f>M34*I34</f>
      </c>
      <c r="Q34" s="107" t="str">
        <f>P34*'Calculation_Assumptions'!$B$14*J34*K34</f>
      </c>
      <c r="R34" s="108" t="str">
        <f>O34*N34*J34*K34</f>
      </c>
      <c r="S34" s="109" t="str">
        <f>R34-Q34</f>
      </c>
      <c r="T34" s="110" t="str">
        <f>1/(1+'Calculation_Assumptions'!$B$8)^(B34-'Calculation_Assumptions'!$B$2)</f>
      </c>
      <c r="U34" s="111" t="str">
        <f>Q34*T34</f>
      </c>
      <c r="V34" s="112" t="str">
        <f>R34*T34</f>
      </c>
      <c r="W34" s="113" t="str">
        <f>S34*T34</f>
      </c>
      <c r="X34" t="n">
        <v>0</v>
      </c>
      <c r="Y34" s="114" t="n">
        <v>2017</v>
      </c>
      <c r="Z34" t="s">
        <v>399</v>
      </c>
      <c r="AA34" s="115" t="str">
        <f>IF(G34="shared-count-once",COUNTIFS($A$2:$A$287,A34,$B$2:$B$287,B34,$D$2:$D$287,D34),1)</f>
      </c>
      <c r="AB34" s="116" t="n">
        <v>300119636.925519</v>
      </c>
      <c r="AC34" s="117" t="str">
        <f>IF(AB34=0,"",Q34/AB34)</f>
      </c>
      <c r="AD34" s="118" t="str">
        <f>IF(AB34=0,"",R34/AB34)</f>
      </c>
      <c r="AE34" s="119" t="str">
        <f>IF(AB34=0,"",S34/AB34)</f>
      </c>
      <c r="AF34" s="120" t="str">
        <f>IF(AB34=0,"",W34/AB34)</f>
      </c>
    </row>
    <row r="35">
      <c r="A35" t="s">
        <v>262</v>
      </c>
      <c r="B35" s="93" t="n">
        <v>2032</v>
      </c>
      <c r="C35" t="s">
        <v>262</v>
      </c>
      <c r="D35" s="94" t="s">
        <v>405</v>
      </c>
      <c r="E35" s="95" t="s">
        <v>406</v>
      </c>
      <c r="F35" s="96" t="s">
        <v>265</v>
      </c>
      <c r="G35" s="97" t="s">
        <v>403</v>
      </c>
      <c r="H35" s="98" t="s">
        <v>396</v>
      </c>
      <c r="I35" s="99" t="n">
        <v>1</v>
      </c>
      <c r="J35" s="100" t="n">
        <v>1</v>
      </c>
      <c r="K35" s="101" t="n">
        <v>0.0077</v>
      </c>
      <c r="L35" s="102" t="n">
        <v>304664891.575713</v>
      </c>
      <c r="M35" s="103" t="n">
        <v>304296909.955394</v>
      </c>
      <c r="N35" s="104" t="str">
        <f>MIN(MAX((B35-'Calculation_Assumptions'!$B$5+1)/'Calculation_Assumptions'!$B$7,0),1)</f>
      </c>
      <c r="O35" s="105" t="str">
        <f>L35*I35</f>
      </c>
      <c r="P35" s="106" t="str">
        <f>M35*I35</f>
      </c>
      <c r="Q35" s="107" t="str">
        <f>P35*'Calculation_Assumptions'!$B$14*J35*K35</f>
      </c>
      <c r="R35" s="108" t="str">
        <f>O35*N35*J35*K35</f>
      </c>
      <c r="S35" s="109" t="str">
        <f>R35-Q35</f>
      </c>
      <c r="T35" s="110" t="str">
        <f>1/(1+'Calculation_Assumptions'!$B$8)^(B35-'Calculation_Assumptions'!$B$2)</f>
      </c>
      <c r="U35" s="111" t="str">
        <f>Q35*T35</f>
      </c>
      <c r="V35" s="112" t="str">
        <f>R35*T35</f>
      </c>
      <c r="W35" s="113" t="str">
        <f>S35*T35</f>
      </c>
      <c r="X35" t="n">
        <v>0</v>
      </c>
      <c r="Y35" s="114" t="n">
        <v>2017</v>
      </c>
      <c r="Z35" t="s">
        <v>399</v>
      </c>
      <c r="AA35" s="115" t="str">
        <f>IF(G35="shared-count-once",COUNTIFS($A$2:$A$287,A35,$B$2:$B$287,B35,$D$2:$D$287,D35),1)</f>
      </c>
      <c r="AB35" s="116" t="n">
        <v>301904628.083541</v>
      </c>
      <c r="AC35" s="117" t="str">
        <f>IF(AB35=0,"",Q35/AB35)</f>
      </c>
      <c r="AD35" s="118" t="str">
        <f>IF(AB35=0,"",R35/AB35)</f>
      </c>
      <c r="AE35" s="119" t="str">
        <f>IF(AB35=0,"",S35/AB35)</f>
      </c>
      <c r="AF35" s="120" t="str">
        <f>IF(AB35=0,"",W35/AB35)</f>
      </c>
    </row>
    <row r="36">
      <c r="A36" t="s">
        <v>262</v>
      </c>
      <c r="B36" s="93" t="n">
        <v>2033</v>
      </c>
      <c r="C36" t="s">
        <v>262</v>
      </c>
      <c r="D36" s="94" t="s">
        <v>405</v>
      </c>
      <c r="E36" s="95" t="s">
        <v>406</v>
      </c>
      <c r="F36" s="96" t="s">
        <v>265</v>
      </c>
      <c r="G36" s="97" t="s">
        <v>403</v>
      </c>
      <c r="H36" s="98" t="s">
        <v>396</v>
      </c>
      <c r="I36" s="99" t="n">
        <v>1</v>
      </c>
      <c r="J36" s="100" t="n">
        <v>1</v>
      </c>
      <c r="K36" s="101" t="n">
        <v>0.0077</v>
      </c>
      <c r="L36" s="102" t="n">
        <v>306324138.750863</v>
      </c>
      <c r="M36" s="103" t="n">
        <v>305990042.260363</v>
      </c>
      <c r="N36" s="104" t="str">
        <f>MIN(MAX((B36-'Calculation_Assumptions'!$B$5+1)/'Calculation_Assumptions'!$B$7,0),1)</f>
      </c>
      <c r="O36" s="105" t="str">
        <f>L36*I36</f>
      </c>
      <c r="P36" s="106" t="str">
        <f>M36*I36</f>
      </c>
      <c r="Q36" s="107" t="str">
        <f>P36*'Calculation_Assumptions'!$B$14*J36*K36</f>
      </c>
      <c r="R36" s="108" t="str">
        <f>O36*N36*J36*K36</f>
      </c>
      <c r="S36" s="109" t="str">
        <f>R36-Q36</f>
      </c>
      <c r="T36" s="110" t="str">
        <f>1/(1+'Calculation_Assumptions'!$B$8)^(B36-'Calculation_Assumptions'!$B$2)</f>
      </c>
      <c r="U36" s="111" t="str">
        <f>Q36*T36</f>
      </c>
      <c r="V36" s="112" t="str">
        <f>R36*T36</f>
      </c>
      <c r="W36" s="113" t="str">
        <f>S36*T36</f>
      </c>
      <c r="X36" t="n">
        <v>0</v>
      </c>
      <c r="Y36" s="114" t="n">
        <v>2017</v>
      </c>
      <c r="Z36" t="s">
        <v>399</v>
      </c>
      <c r="AA36" s="115" t="str">
        <f>IF(G36="shared-count-once",COUNTIFS($A$2:$A$287,A36,$B$2:$B$287,B36,$D$2:$D$287,D36),1)</f>
      </c>
      <c r="AB36" s="116" t="n">
        <v>303644277.16916</v>
      </c>
      <c r="AC36" s="117" t="str">
        <f>IF(AB36=0,"",Q36/AB36)</f>
      </c>
      <c r="AD36" s="118" t="str">
        <f>IF(AB36=0,"",R36/AB36)</f>
      </c>
      <c r="AE36" s="119" t="str">
        <f>IF(AB36=0,"",S36/AB36)</f>
      </c>
      <c r="AF36" s="120" t="str">
        <f>IF(AB36=0,"",W36/AB36)</f>
      </c>
    </row>
    <row r="37">
      <c r="A37" t="s">
        <v>262</v>
      </c>
      <c r="B37" s="93" t="n">
        <v>2034</v>
      </c>
      <c r="C37" t="s">
        <v>262</v>
      </c>
      <c r="D37" s="94" t="s">
        <v>405</v>
      </c>
      <c r="E37" s="95" t="s">
        <v>406</v>
      </c>
      <c r="F37" s="96" t="s">
        <v>265</v>
      </c>
      <c r="G37" s="97" t="s">
        <v>403</v>
      </c>
      <c r="H37" s="98" t="s">
        <v>396</v>
      </c>
      <c r="I37" s="99" t="n">
        <v>1</v>
      </c>
      <c r="J37" s="100" t="n">
        <v>1</v>
      </c>
      <c r="K37" s="101" t="n">
        <v>0.0077</v>
      </c>
      <c r="L37" s="102" t="n">
        <v>307937076.252744</v>
      </c>
      <c r="M37" s="103" t="n">
        <v>307635526.02883</v>
      </c>
      <c r="N37" s="104" t="str">
        <f>MIN(MAX((B37-'Calculation_Assumptions'!$B$5+1)/'Calculation_Assumptions'!$B$7,0),1)</f>
      </c>
      <c r="O37" s="105" t="str">
        <f>L37*I37</f>
      </c>
      <c r="P37" s="106" t="str">
        <f>M37*I37</f>
      </c>
      <c r="Q37" s="107" t="str">
        <f>P37*'Calculation_Assumptions'!$B$14*J37*K37</f>
      </c>
      <c r="R37" s="108" t="str">
        <f>O37*N37*J37*K37</f>
      </c>
      <c r="S37" s="109" t="str">
        <f>R37-Q37</f>
      </c>
      <c r="T37" s="110" t="str">
        <f>1/(1+'Calculation_Assumptions'!$B$8)^(B37-'Calculation_Assumptions'!$B$2)</f>
      </c>
      <c r="U37" s="111" t="str">
        <f>Q37*T37</f>
      </c>
      <c r="V37" s="112" t="str">
        <f>R37*T37</f>
      </c>
      <c r="W37" s="113" t="str">
        <f>S37*T37</f>
      </c>
      <c r="X37" t="n">
        <v>0</v>
      </c>
      <c r="Y37" s="114" t="n">
        <v>2017</v>
      </c>
      <c r="Z37" t="s">
        <v>399</v>
      </c>
      <c r="AA37" s="115" t="str">
        <f>IF(G37="shared-count-once",COUNTIFS($A$2:$A$287,A37,$B$2:$B$287,B37,$D$2:$D$287,D37),1)</f>
      </c>
      <c r="AB37" s="116" t="n">
        <v>305332541.184984</v>
      </c>
      <c r="AC37" s="117" t="str">
        <f>IF(AB37=0,"",Q37/AB37)</f>
      </c>
      <c r="AD37" s="118" t="str">
        <f>IF(AB37=0,"",R37/AB37)</f>
      </c>
      <c r="AE37" s="119" t="str">
        <f>IF(AB37=0,"",S37/AB37)</f>
      </c>
      <c r="AF37" s="120" t="str">
        <f>IF(AB37=0,"",W37/AB37)</f>
      </c>
    </row>
    <row r="38">
      <c r="A38" t="s">
        <v>262</v>
      </c>
      <c r="B38" s="93" t="n">
        <v>2035</v>
      </c>
      <c r="C38" t="s">
        <v>262</v>
      </c>
      <c r="D38" s="94" t="s">
        <v>405</v>
      </c>
      <c r="E38" s="95" t="s">
        <v>406</v>
      </c>
      <c r="F38" s="96" t="s">
        <v>265</v>
      </c>
      <c r="G38" s="97" t="s">
        <v>403</v>
      </c>
      <c r="H38" s="98" t="s">
        <v>396</v>
      </c>
      <c r="I38" s="99" t="n">
        <v>1</v>
      </c>
      <c r="J38" s="100" t="n">
        <v>1</v>
      </c>
      <c r="K38" s="101" t="n">
        <v>0.0077</v>
      </c>
      <c r="L38" s="102" t="n">
        <v>309499781.22177</v>
      </c>
      <c r="M38" s="103" t="n">
        <v>309228183.19713</v>
      </c>
      <c r="N38" s="104" t="str">
        <f>MIN(MAX((B38-'Calculation_Assumptions'!$B$5+1)/'Calculation_Assumptions'!$B$7,0),1)</f>
      </c>
      <c r="O38" s="105" t="str">
        <f>L38*I38</f>
      </c>
      <c r="P38" s="106" t="str">
        <f>M38*I38</f>
      </c>
      <c r="Q38" s="107" t="str">
        <f>P38*'Calculation_Assumptions'!$B$14*J38*K38</f>
      </c>
      <c r="R38" s="108" t="str">
        <f>O38*N38*J38*K38</f>
      </c>
      <c r="S38" s="109" t="str">
        <f>R38-Q38</f>
      </c>
      <c r="T38" s="110" t="str">
        <f>1/(1+'Calculation_Assumptions'!$B$8)^(B38-'Calculation_Assumptions'!$B$2)</f>
      </c>
      <c r="U38" s="111" t="str">
        <f>Q38*T38</f>
      </c>
      <c r="V38" s="112" t="str">
        <f>R38*T38</f>
      </c>
      <c r="W38" s="113" t="str">
        <f>S38*T38</f>
      </c>
      <c r="X38" t="n">
        <v>0</v>
      </c>
      <c r="Y38" s="114" t="n">
        <v>2017</v>
      </c>
      <c r="Z38" t="s">
        <v>399</v>
      </c>
      <c r="AA38" s="115" t="str">
        <f>IF(G38="shared-count-once",COUNTIFS($A$2:$A$287,A38,$B$2:$B$287,B38,$D$2:$D$287,D38),1)</f>
      </c>
      <c r="AB38" s="116" t="n">
        <v>306964650.16712</v>
      </c>
      <c r="AC38" s="117" t="str">
        <f>IF(AB38=0,"",Q38/AB38)</f>
      </c>
      <c r="AD38" s="118" t="str">
        <f>IF(AB38=0,"",R38/AB38)</f>
      </c>
      <c r="AE38" s="119" t="str">
        <f>IF(AB38=0,"",S38/AB38)</f>
      </c>
      <c r="AF38" s="120" t="str">
        <f>IF(AB38=0,"",W38/AB38)</f>
      </c>
    </row>
    <row r="39">
      <c r="A39" t="s">
        <v>262</v>
      </c>
      <c r="B39" s="93" t="n">
        <v>2036</v>
      </c>
      <c r="C39" t="s">
        <v>262</v>
      </c>
      <c r="D39" s="94" t="s">
        <v>405</v>
      </c>
      <c r="E39" s="95" t="s">
        <v>406</v>
      </c>
      <c r="F39" s="96" t="s">
        <v>265</v>
      </c>
      <c r="G39" s="97" t="s">
        <v>403</v>
      </c>
      <c r="H39" s="98" t="s">
        <v>396</v>
      </c>
      <c r="I39" s="99" t="n">
        <v>1</v>
      </c>
      <c r="J39" s="100" t="n">
        <v>1</v>
      </c>
      <c r="K39" s="101" t="n">
        <v>0.0077</v>
      </c>
      <c r="L39" s="102" t="n">
        <v>311013783.271604</v>
      </c>
      <c r="M39" s="103" t="n">
        <v>310769483.46493</v>
      </c>
      <c r="N39" s="104" t="str">
        <f>MIN(MAX((B39-'Calculation_Assumptions'!$B$5+1)/'Calculation_Assumptions'!$B$7,0),1)</f>
      </c>
      <c r="O39" s="105" t="str">
        <f>L39*I39</f>
      </c>
      <c r="P39" s="106" t="str">
        <f>M39*I39</f>
      </c>
      <c r="Q39" s="107" t="str">
        <f>P39*'Calculation_Assumptions'!$B$14*J39*K39</f>
      </c>
      <c r="R39" s="108" t="str">
        <f>O39*N39*J39*K39</f>
      </c>
      <c r="S39" s="109" t="str">
        <f>R39-Q39</f>
      </c>
      <c r="T39" s="110" t="str">
        <f>1/(1+'Calculation_Assumptions'!$B$8)^(B39-'Calculation_Assumptions'!$B$2)</f>
      </c>
      <c r="U39" s="111" t="str">
        <f>Q39*T39</f>
      </c>
      <c r="V39" s="112" t="str">
        <f>R39*T39</f>
      </c>
      <c r="W39" s="113" t="str">
        <f>S39*T39</f>
      </c>
      <c r="X39" t="n">
        <v>0</v>
      </c>
      <c r="Y39" s="114" t="n">
        <v>2017</v>
      </c>
      <c r="Z39" t="s">
        <v>399</v>
      </c>
      <c r="AA39" s="115" t="str">
        <f>IF(G39="shared-count-once",COUNTIFS($A$2:$A$287,A39,$B$2:$B$287,B39,$D$2:$D$287,D39),1)</f>
      </c>
      <c r="AB39" s="116" t="n">
        <v>308542769.756622</v>
      </c>
      <c r="AC39" s="117" t="str">
        <f>IF(AB39=0,"",Q39/AB39)</f>
      </c>
      <c r="AD39" s="118" t="str">
        <f>IF(AB39=0,"",R39/AB39)</f>
      </c>
      <c r="AE39" s="119" t="str">
        <f>IF(AB39=0,"",S39/AB39)</f>
      </c>
      <c r="AF39" s="120" t="str">
        <f>IF(AB39=0,"",W39/AB39)</f>
      </c>
    </row>
    <row r="40">
      <c r="A40" t="s">
        <v>262</v>
      </c>
      <c r="B40" s="93" t="n">
        <v>2037</v>
      </c>
      <c r="C40" t="s">
        <v>262</v>
      </c>
      <c r="D40" s="94" t="s">
        <v>405</v>
      </c>
      <c r="E40" s="95" t="s">
        <v>406</v>
      </c>
      <c r="F40" s="96" t="s">
        <v>265</v>
      </c>
      <c r="G40" s="97" t="s">
        <v>403</v>
      </c>
      <c r="H40" s="98" t="s">
        <v>396</v>
      </c>
      <c r="I40" s="99" t="n">
        <v>1</v>
      </c>
      <c r="J40" s="100" t="n">
        <v>1</v>
      </c>
      <c r="K40" s="101" t="n">
        <v>0.0077</v>
      </c>
      <c r="L40" s="102" t="n">
        <v>312493410.521435</v>
      </c>
      <c r="M40" s="103" t="n">
        <v>312262197.186949</v>
      </c>
      <c r="N40" s="104" t="str">
        <f>MIN(MAX((B40-'Calculation_Assumptions'!$B$5+1)/'Calculation_Assumptions'!$B$7,0),1)</f>
      </c>
      <c r="O40" s="105" t="str">
        <f>L40*I40</f>
      </c>
      <c r="P40" s="106" t="str">
        <f>M40*I40</f>
      </c>
      <c r="Q40" s="107" t="str">
        <f>P40*'Calculation_Assumptions'!$B$14*J40*K40</f>
      </c>
      <c r="R40" s="108" t="str">
        <f>O40*N40*J40*K40</f>
      </c>
      <c r="S40" s="109" t="str">
        <f>R40-Q40</f>
      </c>
      <c r="T40" s="110" t="str">
        <f>1/(1+'Calculation_Assumptions'!$B$8)^(B40-'Calculation_Assumptions'!$B$2)</f>
      </c>
      <c r="U40" s="111" t="str">
        <f>Q40*T40</f>
      </c>
      <c r="V40" s="112" t="str">
        <f>R40*T40</f>
      </c>
      <c r="W40" s="113" t="str">
        <f>S40*T40</f>
      </c>
      <c r="X40" t="n">
        <v>0</v>
      </c>
      <c r="Y40" s="114" t="n">
        <v>2017</v>
      </c>
      <c r="Z40" t="s">
        <v>399</v>
      </c>
      <c r="AA40" s="115" t="str">
        <f>IF(G40="shared-count-once",COUNTIFS($A$2:$A$287,A40,$B$2:$B$287,B40,$D$2:$D$287,D40),1)</f>
      </c>
      <c r="AB40" s="116" t="n">
        <v>310068287.63643</v>
      </c>
      <c r="AC40" s="117" t="str">
        <f>IF(AB40=0,"",Q40/AB40)</f>
      </c>
      <c r="AD40" s="118" t="str">
        <f>IF(AB40=0,"",R40/AB40)</f>
      </c>
      <c r="AE40" s="119" t="str">
        <f>IF(AB40=0,"",S40/AB40)</f>
      </c>
      <c r="AF40" s="120" t="str">
        <f>IF(AB40=0,"",W40/AB40)</f>
      </c>
    </row>
    <row r="41">
      <c r="A41" t="s">
        <v>262</v>
      </c>
      <c r="B41" s="93" t="n">
        <v>2038</v>
      </c>
      <c r="C41" t="s">
        <v>262</v>
      </c>
      <c r="D41" s="94" t="s">
        <v>405</v>
      </c>
      <c r="E41" s="95" t="s">
        <v>406</v>
      </c>
      <c r="F41" s="96" t="s">
        <v>265</v>
      </c>
      <c r="G41" s="97" t="s">
        <v>403</v>
      </c>
      <c r="H41" s="98" t="s">
        <v>396</v>
      </c>
      <c r="I41" s="99" t="n">
        <v>1</v>
      </c>
      <c r="J41" s="100" t="n">
        <v>1</v>
      </c>
      <c r="K41" s="101" t="n">
        <v>0.0077</v>
      </c>
      <c r="L41" s="102" t="n">
        <v>313945576.944759</v>
      </c>
      <c r="M41" s="103" t="n">
        <v>313730463.490198</v>
      </c>
      <c r="N41" s="104" t="str">
        <f>MIN(MAX((B41-'Calculation_Assumptions'!$B$5+1)/'Calculation_Assumptions'!$B$7,0),1)</f>
      </c>
      <c r="O41" s="105" t="str">
        <f>L41*I41</f>
      </c>
      <c r="P41" s="106" t="str">
        <f>M41*I41</f>
      </c>
      <c r="Q41" s="107" t="str">
        <f>P41*'Calculation_Assumptions'!$B$14*J41*K41</f>
      </c>
      <c r="R41" s="108" t="str">
        <f>O41*N41*J41*K41</f>
      </c>
      <c r="S41" s="109" t="str">
        <f>R41-Q41</f>
      </c>
      <c r="T41" s="110" t="str">
        <f>1/(1+'Calculation_Assumptions'!$B$8)^(B41-'Calculation_Assumptions'!$B$2)</f>
      </c>
      <c r="U41" s="111" t="str">
        <f>Q41*T41</f>
      </c>
      <c r="V41" s="112" t="str">
        <f>R41*T41</f>
      </c>
      <c r="W41" s="113" t="str">
        <f>S41*T41</f>
      </c>
      <c r="X41" t="n">
        <v>0</v>
      </c>
      <c r="Y41" s="114" t="n">
        <v>2017</v>
      </c>
      <c r="Z41" t="s">
        <v>399</v>
      </c>
      <c r="AA41" s="115" t="str">
        <f>IF(G41="shared-count-once",COUNTIFS($A$2:$A$287,A41,$B$2:$B$287,B41,$D$2:$D$287,D41),1)</f>
      </c>
      <c r="AB41" s="116" t="n">
        <v>311532999.13163</v>
      </c>
      <c r="AC41" s="117" t="str">
        <f>IF(AB41=0,"",Q41/AB41)</f>
      </c>
      <c r="AD41" s="118" t="str">
        <f>IF(AB41=0,"",R41/AB41)</f>
      </c>
      <c r="AE41" s="119" t="str">
        <f>IF(AB41=0,"",S41/AB41)</f>
      </c>
      <c r="AF41" s="120" t="str">
        <f>IF(AB41=0,"",W41/AB41)</f>
      </c>
    </row>
    <row r="42">
      <c r="A42" t="s">
        <v>262</v>
      </c>
      <c r="B42" s="93" t="n">
        <v>2039</v>
      </c>
      <c r="C42" t="s">
        <v>262</v>
      </c>
      <c r="D42" s="94" t="s">
        <v>405</v>
      </c>
      <c r="E42" s="95" t="s">
        <v>406</v>
      </c>
      <c r="F42" s="96" t="s">
        <v>265</v>
      </c>
      <c r="G42" s="97" t="s">
        <v>403</v>
      </c>
      <c r="H42" s="98" t="s">
        <v>396</v>
      </c>
      <c r="I42" s="99" t="n">
        <v>1</v>
      </c>
      <c r="J42" s="100" t="n">
        <v>1</v>
      </c>
      <c r="K42" s="101" t="n">
        <v>0.0077</v>
      </c>
      <c r="L42" s="102" t="n">
        <v>315245534.316554</v>
      </c>
      <c r="M42" s="103" t="n">
        <v>315115398.935154</v>
      </c>
      <c r="N42" s="104" t="str">
        <f>MIN(MAX((B42-'Calculation_Assumptions'!$B$5+1)/'Calculation_Assumptions'!$B$7,0),1)</f>
      </c>
      <c r="O42" s="105" t="str">
        <f>L42*I42</f>
      </c>
      <c r="P42" s="106" t="str">
        <f>M42*I42</f>
      </c>
      <c r="Q42" s="107" t="str">
        <f>P42*'Calculation_Assumptions'!$B$14*J42*K42</f>
      </c>
      <c r="R42" s="108" t="str">
        <f>O42*N42*J42*K42</f>
      </c>
      <c r="S42" s="109" t="str">
        <f>R42-Q42</f>
      </c>
      <c r="T42" s="110" t="str">
        <f>1/(1+'Calculation_Assumptions'!$B$8)^(B42-'Calculation_Assumptions'!$B$2)</f>
      </c>
      <c r="U42" s="111" t="str">
        <f>Q42*T42</f>
      </c>
      <c r="V42" s="112" t="str">
        <f>R42*T42</f>
      </c>
      <c r="W42" s="113" t="str">
        <f>S42*T42</f>
      </c>
      <c r="X42" t="n">
        <v>0</v>
      </c>
      <c r="Y42" s="114" t="n">
        <v>2017</v>
      </c>
      <c r="Z42" t="s">
        <v>399</v>
      </c>
      <c r="AA42" s="115" t="str">
        <f>IF(G42="shared-count-once",COUNTIFS($A$2:$A$287,A42,$B$2:$B$287,B42,$D$2:$D$287,D42),1)</f>
      </c>
      <c r="AB42" s="116" t="n">
        <v>312936391.858479</v>
      </c>
      <c r="AC42" s="117" t="str">
        <f>IF(AB42=0,"",Q42/AB42)</f>
      </c>
      <c r="AD42" s="118" t="str">
        <f>IF(AB42=0,"",R42/AB42)</f>
      </c>
      <c r="AE42" s="119" t="str">
        <f>IF(AB42=0,"",S42/AB42)</f>
      </c>
      <c r="AF42" s="120" t="str">
        <f>IF(AB42=0,"",W42/AB42)</f>
      </c>
    </row>
    <row r="43">
      <c r="A43" t="s">
        <v>262</v>
      </c>
      <c r="B43" s="93" t="n">
        <v>2040</v>
      </c>
      <c r="C43" t="s">
        <v>262</v>
      </c>
      <c r="D43" s="94" t="s">
        <v>405</v>
      </c>
      <c r="E43" s="95" t="s">
        <v>406</v>
      </c>
      <c r="F43" s="96" t="s">
        <v>265</v>
      </c>
      <c r="G43" s="97" t="s">
        <v>403</v>
      </c>
      <c r="H43" s="98" t="s">
        <v>396</v>
      </c>
      <c r="I43" s="99" t="n">
        <v>1</v>
      </c>
      <c r="J43" s="100" t="n">
        <v>1</v>
      </c>
      <c r="K43" s="101" t="n">
        <v>0.0077</v>
      </c>
      <c r="L43" s="102" t="n">
        <v>316544480.629818</v>
      </c>
      <c r="M43" s="103" t="n">
        <v>316427530.0167</v>
      </c>
      <c r="N43" s="104" t="str">
        <f>MIN(MAX((B43-'Calculation_Assumptions'!$B$5+1)/'Calculation_Assumptions'!$B$7,0),1)</f>
      </c>
      <c r="O43" s="105" t="str">
        <f>L43*I43</f>
      </c>
      <c r="P43" s="106" t="str">
        <f>M43*I43</f>
      </c>
      <c r="Q43" s="107" t="str">
        <f>P43*'Calculation_Assumptions'!$B$14*J43*K43</f>
      </c>
      <c r="R43" s="108" t="str">
        <f>O43*N43*J43*K43</f>
      </c>
      <c r="S43" s="109" t="str">
        <f>R43-Q43</f>
      </c>
      <c r="T43" s="110" t="str">
        <f>1/(1+'Calculation_Assumptions'!$B$8)^(B43-'Calculation_Assumptions'!$B$2)</f>
      </c>
      <c r="U43" s="111" t="str">
        <f>Q43*T43</f>
      </c>
      <c r="V43" s="112" t="str">
        <f>R43*T43</f>
      </c>
      <c r="W43" s="113" t="str">
        <f>S43*T43</f>
      </c>
      <c r="X43" t="n">
        <v>0</v>
      </c>
      <c r="Y43" s="114" t="n">
        <v>2017</v>
      </c>
      <c r="Z43" t="s">
        <v>399</v>
      </c>
      <c r="AA43" s="115" t="str">
        <f>IF(G43="shared-count-once",COUNTIFS($A$2:$A$287,A43,$B$2:$B$287,B43,$D$2:$D$287,D43),1)</f>
      </c>
      <c r="AB43" s="116" t="n">
        <v>314265537.410829</v>
      </c>
      <c r="AC43" s="117" t="str">
        <f>IF(AB43=0,"",Q43/AB43)</f>
      </c>
      <c r="AD43" s="118" t="str">
        <f>IF(AB43=0,"",R43/AB43)</f>
      </c>
      <c r="AE43" s="119" t="str">
        <f>IF(AB43=0,"",S43/AB43)</f>
      </c>
      <c r="AF43" s="120" t="str">
        <f>IF(AB43=0,"",W43/AB43)</f>
      </c>
    </row>
    <row r="44">
      <c r="A44" t="s">
        <v>262</v>
      </c>
      <c r="B44" s="93" t="n">
        <v>2041</v>
      </c>
      <c r="C44" t="s">
        <v>262</v>
      </c>
      <c r="D44" s="94" t="s">
        <v>405</v>
      </c>
      <c r="E44" s="95" t="s">
        <v>406</v>
      </c>
      <c r="F44" s="96" t="s">
        <v>265</v>
      </c>
      <c r="G44" s="97" t="s">
        <v>403</v>
      </c>
      <c r="H44" s="98" t="s">
        <v>396</v>
      </c>
      <c r="I44" s="99" t="n">
        <v>1</v>
      </c>
      <c r="J44" s="100" t="n">
        <v>1</v>
      </c>
      <c r="K44" s="101" t="n">
        <v>0.0077</v>
      </c>
      <c r="L44" s="102" t="n">
        <v>317778049.498846</v>
      </c>
      <c r="M44" s="103" t="n">
        <v>317614843.247219</v>
      </c>
      <c r="N44" s="104" t="str">
        <f>MIN(MAX((B44-'Calculation_Assumptions'!$B$5+1)/'Calculation_Assumptions'!$B$7,0),1)</f>
      </c>
      <c r="O44" s="105" t="str">
        <f>L44*I44</f>
      </c>
      <c r="P44" s="106" t="str">
        <f>M44*I44</f>
      </c>
      <c r="Q44" s="107" t="str">
        <f>P44*'Calculation_Assumptions'!$B$14*J44*K44</f>
      </c>
      <c r="R44" s="108" t="str">
        <f>O44*N44*J44*K44</f>
      </c>
      <c r="S44" s="109" t="str">
        <f>R44-Q44</f>
      </c>
      <c r="T44" s="110" t="str">
        <f>1/(1+'Calculation_Assumptions'!$B$8)^(B44-'Calculation_Assumptions'!$B$2)</f>
      </c>
      <c r="U44" s="111" t="str">
        <f>Q44*T44</f>
      </c>
      <c r="V44" s="112" t="str">
        <f>R44*T44</f>
      </c>
      <c r="W44" s="113" t="str">
        <f>S44*T44</f>
      </c>
      <c r="X44" t="n">
        <v>0</v>
      </c>
      <c r="Y44" s="114" t="n">
        <v>2017</v>
      </c>
      <c r="Z44" t="s">
        <v>399</v>
      </c>
      <c r="AA44" s="115" t="str">
        <f>IF(G44="shared-count-once",COUNTIFS($A$2:$A$287,A44,$B$2:$B$287,B44,$D$2:$D$287,D44),1)</f>
      </c>
      <c r="AB44" s="116" t="n">
        <v>315525215.312548</v>
      </c>
      <c r="AC44" s="117" t="str">
        <f>IF(AB44=0,"",Q44/AB44)</f>
      </c>
      <c r="AD44" s="118" t="str">
        <f>IF(AB44=0,"",R44/AB44)</f>
      </c>
      <c r="AE44" s="119" t="str">
        <f>IF(AB44=0,"",S44/AB44)</f>
      </c>
      <c r="AF44" s="120" t="str">
        <f>IF(AB44=0,"",W44/AB44)</f>
      </c>
    </row>
    <row r="45">
      <c r="A45" t="s">
        <v>262</v>
      </c>
      <c r="B45" s="93" t="n">
        <v>2042</v>
      </c>
      <c r="C45" t="s">
        <v>262</v>
      </c>
      <c r="D45" s="94" t="s">
        <v>405</v>
      </c>
      <c r="E45" s="95" t="s">
        <v>406</v>
      </c>
      <c r="F45" s="96" t="s">
        <v>265</v>
      </c>
      <c r="G45" s="97" t="s">
        <v>403</v>
      </c>
      <c r="H45" s="98" t="s">
        <v>396</v>
      </c>
      <c r="I45" s="99" t="n">
        <v>1</v>
      </c>
      <c r="J45" s="100" t="n">
        <v>1</v>
      </c>
      <c r="K45" s="101" t="n">
        <v>0.0077</v>
      </c>
      <c r="L45" s="102" t="n">
        <v>318938072.585975</v>
      </c>
      <c r="M45" s="103" t="n">
        <v>318781045.920738</v>
      </c>
      <c r="N45" s="104" t="str">
        <f>MIN(MAX((B45-'Calculation_Assumptions'!$B$5+1)/'Calculation_Assumptions'!$B$7,0),1)</f>
      </c>
      <c r="O45" s="105" t="str">
        <f>L45*I45</f>
      </c>
      <c r="P45" s="106" t="str">
        <f>M45*I45</f>
      </c>
      <c r="Q45" s="107" t="str">
        <f>P45*'Calculation_Assumptions'!$B$14*J45*K45</f>
      </c>
      <c r="R45" s="108" t="str">
        <f>O45*N45*J45*K45</f>
      </c>
      <c r="S45" s="109" t="str">
        <f>R45-Q45</f>
      </c>
      <c r="T45" s="110" t="str">
        <f>1/(1+'Calculation_Assumptions'!$B$8)^(B45-'Calculation_Assumptions'!$B$2)</f>
      </c>
      <c r="U45" s="111" t="str">
        <f>Q45*T45</f>
      </c>
      <c r="V45" s="112" t="str">
        <f>R45*T45</f>
      </c>
      <c r="W45" s="113" t="str">
        <f>S45*T45</f>
      </c>
      <c r="X45" t="n">
        <v>0</v>
      </c>
      <c r="Y45" s="114" t="n">
        <v>2017</v>
      </c>
      <c r="Z45" t="s">
        <v>399</v>
      </c>
      <c r="AA45" s="115" t="str">
        <f>IF(G45="shared-count-once",COUNTIFS($A$2:$A$287,A45,$B$2:$B$287,B45,$D$2:$D$287,D45),1)</f>
      </c>
      <c r="AB45" s="116" t="n">
        <v>316707694.211882</v>
      </c>
      <c r="AC45" s="117" t="str">
        <f>IF(AB45=0,"",Q45/AB45)</f>
      </c>
      <c r="AD45" s="118" t="str">
        <f>IF(AB45=0,"",R45/AB45)</f>
      </c>
      <c r="AE45" s="119" t="str">
        <f>IF(AB45=0,"",S45/AB45)</f>
      </c>
      <c r="AF45" s="120" t="str">
        <f>IF(AB45=0,"",W45/AB45)</f>
      </c>
    </row>
    <row r="46">
      <c r="A46" t="s">
        <v>262</v>
      </c>
      <c r="B46" s="93" t="n">
        <v>2043</v>
      </c>
      <c r="C46" t="s">
        <v>262</v>
      </c>
      <c r="D46" s="94" t="s">
        <v>405</v>
      </c>
      <c r="E46" s="95" t="s">
        <v>406</v>
      </c>
      <c r="F46" s="96" t="s">
        <v>265</v>
      </c>
      <c r="G46" s="97" t="s">
        <v>403</v>
      </c>
      <c r="H46" s="98" t="s">
        <v>396</v>
      </c>
      <c r="I46" s="99" t="n">
        <v>1</v>
      </c>
      <c r="J46" s="100" t="n">
        <v>1</v>
      </c>
      <c r="K46" s="101" t="n">
        <v>0.0077</v>
      </c>
      <c r="L46" s="102" t="n">
        <v>320025392.471553</v>
      </c>
      <c r="M46" s="103" t="n">
        <v>319872275.594712</v>
      </c>
      <c r="N46" s="104" t="str">
        <f>MIN(MAX((B46-'Calculation_Assumptions'!$B$5+1)/'Calculation_Assumptions'!$B$7,0),1)</f>
      </c>
      <c r="O46" s="105" t="str">
        <f>L46*I46</f>
      </c>
      <c r="P46" s="106" t="str">
        <f>M46*I46</f>
      </c>
      <c r="Q46" s="107" t="str">
        <f>P46*'Calculation_Assumptions'!$B$14*J46*K46</f>
      </c>
      <c r="R46" s="108" t="str">
        <f>O46*N46*J46*K46</f>
      </c>
      <c r="S46" s="109" t="str">
        <f>R46-Q46</f>
      </c>
      <c r="T46" s="110" t="str">
        <f>1/(1+'Calculation_Assumptions'!$B$8)^(B46-'Calculation_Assumptions'!$B$2)</f>
      </c>
      <c r="U46" s="111" t="str">
        <f>Q46*T46</f>
      </c>
      <c r="V46" s="112" t="str">
        <f>R46*T46</f>
      </c>
      <c r="W46" s="113" t="str">
        <f>S46*T46</f>
      </c>
      <c r="X46" t="n">
        <v>0</v>
      </c>
      <c r="Y46" s="114" t="n">
        <v>2017</v>
      </c>
      <c r="Z46" t="s">
        <v>399</v>
      </c>
      <c r="AA46" s="115" t="str">
        <f>IF(G46="shared-count-once",COUNTIFS($A$2:$A$287,A46,$B$2:$B$287,B46,$D$2:$D$287,D46),1)</f>
      </c>
      <c r="AB46" s="116" t="n">
        <v>317814114.067152</v>
      </c>
      <c r="AC46" s="117" t="str">
        <f>IF(AB46=0,"",Q46/AB46)</f>
      </c>
      <c r="AD46" s="118" t="str">
        <f>IF(AB46=0,"",R46/AB46)</f>
      </c>
      <c r="AE46" s="119" t="str">
        <f>IF(AB46=0,"",S46/AB46)</f>
      </c>
      <c r="AF46" s="120" t="str">
        <f>IF(AB46=0,"",W46/AB46)</f>
      </c>
    </row>
    <row r="47">
      <c r="A47" t="s">
        <v>262</v>
      </c>
      <c r="B47" s="93" t="n">
        <v>2044</v>
      </c>
      <c r="C47" t="s">
        <v>262</v>
      </c>
      <c r="D47" s="94" t="s">
        <v>405</v>
      </c>
      <c r="E47" s="95" t="s">
        <v>406</v>
      </c>
      <c r="F47" s="96" t="s">
        <v>265</v>
      </c>
      <c r="G47" s="97" t="s">
        <v>403</v>
      </c>
      <c r="H47" s="98" t="s">
        <v>396</v>
      </c>
      <c r="I47" s="99" t="n">
        <v>1</v>
      </c>
      <c r="J47" s="100" t="n">
        <v>1</v>
      </c>
      <c r="K47" s="101" t="n">
        <v>0.0077</v>
      </c>
      <c r="L47" s="102" t="n">
        <v>321048657.254503</v>
      </c>
      <c r="M47" s="103" t="n">
        <v>320897722.542069</v>
      </c>
      <c r="N47" s="104" t="str">
        <f>MIN(MAX((B47-'Calculation_Assumptions'!$B$5+1)/'Calculation_Assumptions'!$B$7,0),1)</f>
      </c>
      <c r="O47" s="105" t="str">
        <f>L47*I47</f>
      </c>
      <c r="P47" s="106" t="str">
        <f>M47*I47</f>
      </c>
      <c r="Q47" s="107" t="str">
        <f>P47*'Calculation_Assumptions'!$B$14*J47*K47</f>
      </c>
      <c r="R47" s="108" t="str">
        <f>O47*N47*J47*K47</f>
      </c>
      <c r="S47" s="109" t="str">
        <f>R47-Q47</f>
      </c>
      <c r="T47" s="110" t="str">
        <f>1/(1+'Calculation_Assumptions'!$B$8)^(B47-'Calculation_Assumptions'!$B$2)</f>
      </c>
      <c r="U47" s="111" t="str">
        <f>Q47*T47</f>
      </c>
      <c r="V47" s="112" t="str">
        <f>R47*T47</f>
      </c>
      <c r="W47" s="113" t="str">
        <f>S47*T47</f>
      </c>
      <c r="X47" t="n">
        <v>0</v>
      </c>
      <c r="Y47" s="114" t="n">
        <v>2017</v>
      </c>
      <c r="Z47" t="s">
        <v>399</v>
      </c>
      <c r="AA47" s="115" t="str">
        <f>IF(G47="shared-count-once",COUNTIFS($A$2:$A$287,A47,$B$2:$B$287,B47,$D$2:$D$287,D47),1)</f>
      </c>
      <c r="AB47" s="116" t="n">
        <v>318840890.732156</v>
      </c>
      <c r="AC47" s="117" t="str">
        <f>IF(AB47=0,"",Q47/AB47)</f>
      </c>
      <c r="AD47" s="118" t="str">
        <f>IF(AB47=0,"",R47/AB47)</f>
      </c>
      <c r="AE47" s="119" t="str">
        <f>IF(AB47=0,"",S47/AB47)</f>
      </c>
      <c r="AF47" s="120" t="str">
        <f>IF(AB47=0,"",W47/AB47)</f>
      </c>
    </row>
    <row r="48">
      <c r="A48" t="s">
        <v>262</v>
      </c>
      <c r="B48" s="93" t="n">
        <v>2045</v>
      </c>
      <c r="C48" t="s">
        <v>262</v>
      </c>
      <c r="D48" s="94" t="s">
        <v>405</v>
      </c>
      <c r="E48" s="95" t="s">
        <v>406</v>
      </c>
      <c r="F48" s="96" t="s">
        <v>265</v>
      </c>
      <c r="G48" s="97" t="s">
        <v>403</v>
      </c>
      <c r="H48" s="98" t="s">
        <v>396</v>
      </c>
      <c r="I48" s="99" t="n">
        <v>1</v>
      </c>
      <c r="J48" s="100" t="n">
        <v>1</v>
      </c>
      <c r="K48" s="101" t="n">
        <v>0.0077</v>
      </c>
      <c r="L48" s="102" t="n">
        <v>321982882.317876</v>
      </c>
      <c r="M48" s="103" t="n">
        <v>321832323.778944</v>
      </c>
      <c r="N48" s="104" t="str">
        <f>MIN(MAX((B48-'Calculation_Assumptions'!$B$5+1)/'Calculation_Assumptions'!$B$7,0),1)</f>
      </c>
      <c r="O48" s="105" t="str">
        <f>L48*I48</f>
      </c>
      <c r="P48" s="106" t="str">
        <f>M48*I48</f>
      </c>
      <c r="Q48" s="107" t="str">
        <f>P48*'Calculation_Assumptions'!$B$14*J48*K48</f>
      </c>
      <c r="R48" s="108" t="str">
        <f>O48*N48*J48*K48</f>
      </c>
      <c r="S48" s="109" t="str">
        <f>R48-Q48</f>
      </c>
      <c r="T48" s="110" t="str">
        <f>1/(1+'Calculation_Assumptions'!$B$8)^(B48-'Calculation_Assumptions'!$B$2)</f>
      </c>
      <c r="U48" s="111" t="str">
        <f>Q48*T48</f>
      </c>
      <c r="V48" s="112" t="str">
        <f>R48*T48</f>
      </c>
      <c r="W48" s="113" t="str">
        <f>S48*T48</f>
      </c>
      <c r="X48" t="n">
        <v>0</v>
      </c>
      <c r="Y48" s="114" t="n">
        <v>2017</v>
      </c>
      <c r="Z48" t="s">
        <v>399</v>
      </c>
      <c r="AA48" s="115" t="str">
        <f>IF(G48="shared-count-once",COUNTIFS($A$2:$A$287,A48,$B$2:$B$287,B48,$D$2:$D$287,D48),1)</f>
      </c>
      <c r="AB48" s="116" t="n">
        <v>319784682.33108</v>
      </c>
      <c r="AC48" s="117" t="str">
        <f>IF(AB48=0,"",Q48/AB48)</f>
      </c>
      <c r="AD48" s="118" t="str">
        <f>IF(AB48=0,"",R48/AB48)</f>
      </c>
      <c r="AE48" s="119" t="str">
        <f>IF(AB48=0,"",S48/AB48)</f>
      </c>
      <c r="AF48" s="120" t="str">
        <f>IF(AB48=0,"",W48/AB48)</f>
      </c>
    </row>
    <row r="49">
      <c r="A49" t="s">
        <v>262</v>
      </c>
      <c r="B49" s="93" t="n">
        <v>2046</v>
      </c>
      <c r="C49" t="s">
        <v>262</v>
      </c>
      <c r="D49" s="94" t="s">
        <v>405</v>
      </c>
      <c r="E49" s="95" t="s">
        <v>406</v>
      </c>
      <c r="F49" s="96" t="s">
        <v>265</v>
      </c>
      <c r="G49" s="97" t="s">
        <v>403</v>
      </c>
      <c r="H49" s="98" t="s">
        <v>396</v>
      </c>
      <c r="I49" s="99" t="n">
        <v>1</v>
      </c>
      <c r="J49" s="100" t="n">
        <v>1</v>
      </c>
      <c r="K49" s="101" t="n">
        <v>0.0077</v>
      </c>
      <c r="L49" s="102" t="n">
        <v>322835262.02227</v>
      </c>
      <c r="M49" s="103" t="n">
        <v>322683379.427444</v>
      </c>
      <c r="N49" s="104" t="str">
        <f>MIN(MAX((B49-'Calculation_Assumptions'!$B$5+1)/'Calculation_Assumptions'!$B$7,0),1)</f>
      </c>
      <c r="O49" s="105" t="str">
        <f>L49*I49</f>
      </c>
      <c r="P49" s="106" t="str">
        <f>M49*I49</f>
      </c>
      <c r="Q49" s="107" t="str">
        <f>P49*'Calculation_Assumptions'!$B$14*J49*K49</f>
      </c>
      <c r="R49" s="108" t="str">
        <f>O49*N49*J49*K49</f>
      </c>
      <c r="S49" s="109" t="str">
        <f>R49-Q49</f>
      </c>
      <c r="T49" s="110" t="str">
        <f>1/(1+'Calculation_Assumptions'!$B$8)^(B49-'Calculation_Assumptions'!$B$2)</f>
      </c>
      <c r="U49" s="111" t="str">
        <f>Q49*T49</f>
      </c>
      <c r="V49" s="112" t="str">
        <f>R49*T49</f>
      </c>
      <c r="W49" s="113" t="str">
        <f>S49*T49</f>
      </c>
      <c r="X49" t="n">
        <v>0</v>
      </c>
      <c r="Y49" s="114" t="n">
        <v>2017</v>
      </c>
      <c r="Z49" t="s">
        <v>399</v>
      </c>
      <c r="AA49" s="115" t="str">
        <f>IF(G49="shared-count-once",COUNTIFS($A$2:$A$287,A49,$B$2:$B$287,B49,$D$2:$D$287,D49),1)</f>
      </c>
      <c r="AB49" s="116" t="n">
        <v>320645615.981408</v>
      </c>
      <c r="AC49" s="117" t="str">
        <f>IF(AB49=0,"",Q49/AB49)</f>
      </c>
      <c r="AD49" s="118" t="str">
        <f>IF(AB49=0,"",R49/AB49)</f>
      </c>
      <c r="AE49" s="119" t="str">
        <f>IF(AB49=0,"",S49/AB49)</f>
      </c>
      <c r="AF49" s="120" t="str">
        <f>IF(AB49=0,"",W49/AB49)</f>
      </c>
    </row>
    <row r="50">
      <c r="A50" t="s">
        <v>262</v>
      </c>
      <c r="B50" s="93" t="n">
        <v>2047</v>
      </c>
      <c r="C50" t="s">
        <v>262</v>
      </c>
      <c r="D50" s="94" t="s">
        <v>405</v>
      </c>
      <c r="E50" s="95" t="s">
        <v>406</v>
      </c>
      <c r="F50" s="96" t="s">
        <v>265</v>
      </c>
      <c r="G50" s="97" t="s">
        <v>403</v>
      </c>
      <c r="H50" s="98" t="s">
        <v>396</v>
      </c>
      <c r="I50" s="99" t="n">
        <v>1</v>
      </c>
      <c r="J50" s="100" t="n">
        <v>1</v>
      </c>
      <c r="K50" s="101" t="n">
        <v>0.0077</v>
      </c>
      <c r="L50" s="102" t="n">
        <v>323628208.237186</v>
      </c>
      <c r="M50" s="103" t="n">
        <v>323457177.765372</v>
      </c>
      <c r="N50" s="104" t="str">
        <f>MIN(MAX((B50-'Calculation_Assumptions'!$B$5+1)/'Calculation_Assumptions'!$B$7,0),1)</f>
      </c>
      <c r="O50" s="105" t="str">
        <f>L50*I50</f>
      </c>
      <c r="P50" s="106" t="str">
        <f>M50*I50</f>
      </c>
      <c r="Q50" s="107" t="str">
        <f>P50*'Calculation_Assumptions'!$B$14*J50*K50</f>
      </c>
      <c r="R50" s="108" t="str">
        <f>O50*N50*J50*K50</f>
      </c>
      <c r="S50" s="109" t="str">
        <f>R50-Q50</f>
      </c>
      <c r="T50" s="110" t="str">
        <f>1/(1+'Calculation_Assumptions'!$B$8)^(B50-'Calculation_Assumptions'!$B$2)</f>
      </c>
      <c r="U50" s="111" t="str">
        <f>Q50*T50</f>
      </c>
      <c r="V50" s="112" t="str">
        <f>R50*T50</f>
      </c>
      <c r="W50" s="113" t="str">
        <f>S50*T50</f>
      </c>
      <c r="X50" t="n">
        <v>0</v>
      </c>
      <c r="Y50" s="114" t="n">
        <v>2017</v>
      </c>
      <c r="Z50" t="s">
        <v>399</v>
      </c>
      <c r="AA50" s="115" t="str">
        <f>IF(G50="shared-count-once",COUNTIFS($A$2:$A$287,A50,$B$2:$B$287,B50,$D$2:$D$287,D50),1)</f>
      </c>
      <c r="AB50" s="116" t="n">
        <v>321429520.522875</v>
      </c>
      <c r="AC50" s="117" t="str">
        <f>IF(AB50=0,"",Q50/AB50)</f>
      </c>
      <c r="AD50" s="118" t="str">
        <f>IF(AB50=0,"",R50/AB50)</f>
      </c>
      <c r="AE50" s="119" t="str">
        <f>IF(AB50=0,"",S50/AB50)</f>
      </c>
      <c r="AF50" s="120" t="str">
        <f>IF(AB50=0,"",W50/AB50)</f>
      </c>
    </row>
    <row r="51">
      <c r="A51" t="s">
        <v>262</v>
      </c>
      <c r="B51" s="93" t="n">
        <v>2048</v>
      </c>
      <c r="C51" t="s">
        <v>262</v>
      </c>
      <c r="D51" s="94" t="s">
        <v>405</v>
      </c>
      <c r="E51" s="95" t="s">
        <v>406</v>
      </c>
      <c r="F51" s="96" t="s">
        <v>265</v>
      </c>
      <c r="G51" s="97" t="s">
        <v>403</v>
      </c>
      <c r="H51" s="98" t="s">
        <v>396</v>
      </c>
      <c r="I51" s="99" t="n">
        <v>1</v>
      </c>
      <c r="J51" s="100" t="n">
        <v>1</v>
      </c>
      <c r="K51" s="101" t="n">
        <v>0.0077</v>
      </c>
      <c r="L51" s="102" t="n">
        <v>324333744.450231</v>
      </c>
      <c r="M51" s="103" t="n">
        <v>324153264.068833</v>
      </c>
      <c r="N51" s="104" t="str">
        <f>MIN(MAX((B51-'Calculation_Assumptions'!$B$5+1)/'Calculation_Assumptions'!$B$7,0),1)</f>
      </c>
      <c r="O51" s="105" t="str">
        <f>L51*I51</f>
      </c>
      <c r="P51" s="106" t="str">
        <f>M51*I51</f>
      </c>
      <c r="Q51" s="107" t="str">
        <f>P51*'Calculation_Assumptions'!$B$14*J51*K51</f>
      </c>
      <c r="R51" s="108" t="str">
        <f>O51*N51*J51*K51</f>
      </c>
      <c r="S51" s="109" t="str">
        <f>R51-Q51</f>
      </c>
      <c r="T51" s="110" t="str">
        <f>1/(1+'Calculation_Assumptions'!$B$8)^(B51-'Calculation_Assumptions'!$B$2)</f>
      </c>
      <c r="U51" s="111" t="str">
        <f>Q51*T51</f>
      </c>
      <c r="V51" s="112" t="str">
        <f>R51*T51</f>
      </c>
      <c r="W51" s="113" t="str">
        <f>S51*T51</f>
      </c>
      <c r="X51" t="n">
        <v>0</v>
      </c>
      <c r="Y51" s="114" t="n">
        <v>2017</v>
      </c>
      <c r="Z51" t="s">
        <v>399</v>
      </c>
      <c r="AA51" s="115" t="str">
        <f>IF(G51="shared-count-once",COUNTIFS($A$2:$A$287,A51,$B$2:$B$287,B51,$D$2:$D$287,D51),1)</f>
      </c>
      <c r="AB51" s="116" t="n">
        <v>322136832.260161</v>
      </c>
      <c r="AC51" s="117" t="str">
        <f>IF(AB51=0,"",Q51/AB51)</f>
      </c>
      <c r="AD51" s="118" t="str">
        <f>IF(AB51=0,"",R51/AB51)</f>
      </c>
      <c r="AE51" s="119" t="str">
        <f>IF(AB51=0,"",S51/AB51)</f>
      </c>
      <c r="AF51" s="120" t="str">
        <f>IF(AB51=0,"",W51/AB51)</f>
      </c>
    </row>
    <row r="52">
      <c r="A52" t="s">
        <v>262</v>
      </c>
      <c r="B52" s="93" t="n">
        <v>2049</v>
      </c>
      <c r="C52" t="s">
        <v>262</v>
      </c>
      <c r="D52" s="94" t="s">
        <v>405</v>
      </c>
      <c r="E52" s="95" t="s">
        <v>406</v>
      </c>
      <c r="F52" s="96" t="s">
        <v>265</v>
      </c>
      <c r="G52" s="97" t="s">
        <v>403</v>
      </c>
      <c r="H52" s="98" t="s">
        <v>396</v>
      </c>
      <c r="I52" s="99" t="n">
        <v>1</v>
      </c>
      <c r="J52" s="100" t="n">
        <v>1</v>
      </c>
      <c r="K52" s="101" t="n">
        <v>0.0077</v>
      </c>
      <c r="L52" s="102" t="n">
        <v>324929060.3714</v>
      </c>
      <c r="M52" s="103" t="n">
        <v>324770595.66435</v>
      </c>
      <c r="N52" s="104" t="str">
        <f>MIN(MAX((B52-'Calculation_Assumptions'!$B$5+1)/'Calculation_Assumptions'!$B$7,0),1)</f>
      </c>
      <c r="O52" s="105" t="str">
        <f>L52*I52</f>
      </c>
      <c r="P52" s="106" t="str">
        <f>M52*I52</f>
      </c>
      <c r="Q52" s="107" t="str">
        <f>P52*'Calculation_Assumptions'!$B$14*J52*K52</f>
      </c>
      <c r="R52" s="108" t="str">
        <f>O52*N52*J52*K52</f>
      </c>
      <c r="S52" s="109" t="str">
        <f>R52-Q52</f>
      </c>
      <c r="T52" s="110" t="str">
        <f>1/(1+'Calculation_Assumptions'!$B$8)^(B52-'Calculation_Assumptions'!$B$2)</f>
      </c>
      <c r="U52" s="111" t="str">
        <f>Q52*T52</f>
      </c>
      <c r="V52" s="112" t="str">
        <f>R52*T52</f>
      </c>
      <c r="W52" s="113" t="str">
        <f>S52*T52</f>
      </c>
      <c r="X52" t="n">
        <v>0</v>
      </c>
      <c r="Y52" s="114" t="n">
        <v>2017</v>
      </c>
      <c r="Z52" t="s">
        <v>399</v>
      </c>
      <c r="AA52" s="115" t="str">
        <f>IF(G52="shared-count-once",COUNTIFS($A$2:$A$287,A52,$B$2:$B$287,B52,$D$2:$D$287,D52),1)</f>
      </c>
      <c r="AB52" s="116" t="n">
        <v>322765819.752681</v>
      </c>
      <c r="AC52" s="117" t="str">
        <f>IF(AB52=0,"",Q52/AB52)</f>
      </c>
      <c r="AD52" s="118" t="str">
        <f>IF(AB52=0,"",R52/AB52)</f>
      </c>
      <c r="AE52" s="119" t="str">
        <f>IF(AB52=0,"",S52/AB52)</f>
      </c>
      <c r="AF52" s="120" t="str">
        <f>IF(AB52=0,"",W52/AB52)</f>
      </c>
    </row>
    <row r="53">
      <c r="A53" t="s">
        <v>262</v>
      </c>
      <c r="B53" s="93" t="n">
        <v>2050</v>
      </c>
      <c r="C53" t="s">
        <v>262</v>
      </c>
      <c r="D53" s="94" t="s">
        <v>405</v>
      </c>
      <c r="E53" s="95" t="s">
        <v>406</v>
      </c>
      <c r="F53" s="96" t="s">
        <v>265</v>
      </c>
      <c r="G53" s="97" t="s">
        <v>403</v>
      </c>
      <c r="H53" s="98" t="s">
        <v>396</v>
      </c>
      <c r="I53" s="99" t="n">
        <v>1</v>
      </c>
      <c r="J53" s="100" t="n">
        <v>1</v>
      </c>
      <c r="K53" s="101" t="n">
        <v>0.0077</v>
      </c>
      <c r="L53" s="102" t="n">
        <v>325470272.124347</v>
      </c>
      <c r="M53" s="103" t="n">
        <v>325271287.464889</v>
      </c>
      <c r="N53" s="104" t="str">
        <f>MIN(MAX((B53-'Calculation_Assumptions'!$B$5+1)/'Calculation_Assumptions'!$B$7,0),1)</f>
      </c>
      <c r="O53" s="105" t="str">
        <f>L53*I53</f>
      </c>
      <c r="P53" s="106" t="str">
        <f>M53*I53</f>
      </c>
      <c r="Q53" s="107" t="str">
        <f>P53*'Calculation_Assumptions'!$B$14*J53*K53</f>
      </c>
      <c r="R53" s="108" t="str">
        <f>O53*N53*J53*K53</f>
      </c>
      <c r="S53" s="109" t="str">
        <f>R53-Q53</f>
      </c>
      <c r="T53" s="110" t="str">
        <f>1/(1+'Calculation_Assumptions'!$B$8)^(B53-'Calculation_Assumptions'!$B$2)</f>
      </c>
      <c r="U53" s="111" t="str">
        <f>Q53*T53</f>
      </c>
      <c r="V53" s="112" t="str">
        <f>R53*T53</f>
      </c>
      <c r="W53" s="113" t="str">
        <f>S53*T53</f>
      </c>
      <c r="X53" t="n">
        <v>0</v>
      </c>
      <c r="Y53" s="114" t="n">
        <v>2017</v>
      </c>
      <c r="Z53" t="s">
        <v>399</v>
      </c>
      <c r="AA53" s="115" t="str">
        <f>IF(G53="shared-count-once",COUNTIFS($A$2:$A$287,A53,$B$2:$B$287,B53,$D$2:$D$287,D53),1)</f>
      </c>
      <c r="AB53" s="116" t="n">
        <v>323312042.563285</v>
      </c>
      <c r="AC53" s="117" t="str">
        <f>IF(AB53=0,"",Q53/AB53)</f>
      </c>
      <c r="AD53" s="118" t="str">
        <f>IF(AB53=0,"",R53/AB53)</f>
      </c>
      <c r="AE53" s="119" t="str">
        <f>IF(AB53=0,"",S53/AB53)</f>
      </c>
      <c r="AF53" s="120" t="str">
        <f>IF(AB53=0,"",W53/AB53)</f>
      </c>
    </row>
    <row r="54">
      <c r="A54" t="s">
        <v>272</v>
      </c>
      <c r="B54" s="93" t="n">
        <v>2025</v>
      </c>
      <c r="C54" t="s">
        <v>272</v>
      </c>
      <c r="D54" s="94" t="s">
        <v>407</v>
      </c>
      <c r="E54" s="95" t="s">
        <v>408</v>
      </c>
      <c r="F54" s="96" t="s">
        <v>275</v>
      </c>
      <c r="G54" s="97" t="s">
        <v>403</v>
      </c>
      <c r="H54" s="98" t="s">
        <v>396</v>
      </c>
      <c r="I54" s="99" t="n">
        <v>1</v>
      </c>
      <c r="J54" s="100" t="n">
        <v>1</v>
      </c>
      <c r="K54" s="101" t="n">
        <v>0.0077</v>
      </c>
      <c r="L54" s="102" t="n">
        <v>291886571.325912</v>
      </c>
      <c r="M54" s="103" t="n">
        <v>291223951.413062</v>
      </c>
      <c r="N54" s="104" t="str">
        <f>MIN(MAX((B54-'Calculation_Assumptions'!$B$5+1)/'Calculation_Assumptions'!$B$7,0),1)</f>
      </c>
      <c r="O54" s="105" t="str">
        <f>L54*I54</f>
      </c>
      <c r="P54" s="106" t="str">
        <f>M54*I54</f>
      </c>
      <c r="Q54" s="107" t="str">
        <f>P54*'Calculation_Assumptions'!$B$14*J54*K54</f>
      </c>
      <c r="R54" s="108" t="str">
        <f>O54*N54*J54*K54</f>
      </c>
      <c r="S54" s="109" t="str">
        <f>R54-Q54</f>
      </c>
      <c r="T54" s="110" t="str">
        <f>1/(1+'Calculation_Assumptions'!$B$8)^(B54-'Calculation_Assumptions'!$B$2)</f>
      </c>
      <c r="U54" s="111" t="str">
        <f>Q54*T54</f>
      </c>
      <c r="V54" s="112" t="str">
        <f>R54*T54</f>
      </c>
      <c r="W54" s="113" t="str">
        <f>S54*T54</f>
      </c>
      <c r="X54" t="n">
        <v>0</v>
      </c>
      <c r="Y54" s="114" t="n">
        <v>2017</v>
      </c>
      <c r="Z54" t="s">
        <v>399</v>
      </c>
      <c r="AA54" s="115" t="str">
        <f>IF(G54="shared-count-once",COUNTIFS($A$2:$A$287,A54,$B$2:$B$287,B54,$D$2:$D$287,D54),1)</f>
      </c>
      <c r="AB54" s="116" t="n">
        <v>288391907.644456</v>
      </c>
      <c r="AC54" s="117" t="str">
        <f>IF(AB54=0,"",Q54/AB54)</f>
      </c>
      <c r="AD54" s="118" t="str">
        <f>IF(AB54=0,"",R54/AB54)</f>
      </c>
      <c r="AE54" s="119" t="str">
        <f>IF(AB54=0,"",S54/AB54)</f>
      </c>
      <c r="AF54" s="120" t="str">
        <f>IF(AB54=0,"",W54/AB54)</f>
      </c>
    </row>
    <row r="55">
      <c r="A55" t="s">
        <v>272</v>
      </c>
      <c r="B55" s="93" t="n">
        <v>2026</v>
      </c>
      <c r="C55" t="s">
        <v>272</v>
      </c>
      <c r="D55" s="94" t="s">
        <v>407</v>
      </c>
      <c r="E55" s="95" t="s">
        <v>408</v>
      </c>
      <c r="F55" s="96" t="s">
        <v>275</v>
      </c>
      <c r="G55" s="97" t="s">
        <v>403</v>
      </c>
      <c r="H55" s="98" t="s">
        <v>396</v>
      </c>
      <c r="I55" s="99" t="n">
        <v>1</v>
      </c>
      <c r="J55" s="100" t="n">
        <v>1</v>
      </c>
      <c r="K55" s="101" t="n">
        <v>0.0077</v>
      </c>
      <c r="L55" s="102" t="n">
        <v>293828806.709757</v>
      </c>
      <c r="M55" s="103" t="n">
        <v>293212473.334583</v>
      </c>
      <c r="N55" s="104" t="str">
        <f>MIN(MAX((B55-'Calculation_Assumptions'!$B$5+1)/'Calculation_Assumptions'!$B$7,0),1)</f>
      </c>
      <c r="O55" s="105" t="str">
        <f>L55*I55</f>
      </c>
      <c r="P55" s="106" t="str">
        <f>M55*I55</f>
      </c>
      <c r="Q55" s="107" t="str">
        <f>P55*'Calculation_Assumptions'!$B$14*J55*K55</f>
      </c>
      <c r="R55" s="108" t="str">
        <f>O55*N55*J55*K55</f>
      </c>
      <c r="S55" s="109" t="str">
        <f>R55-Q55</f>
      </c>
      <c r="T55" s="110" t="str">
        <f>1/(1+'Calculation_Assumptions'!$B$8)^(B55-'Calculation_Assumptions'!$B$2)</f>
      </c>
      <c r="U55" s="111" t="str">
        <f>Q55*T55</f>
      </c>
      <c r="V55" s="112" t="str">
        <f>R55*T55</f>
      </c>
      <c r="W55" s="113" t="str">
        <f>S55*T55</f>
      </c>
      <c r="X55" t="n">
        <v>0</v>
      </c>
      <c r="Y55" s="114" t="n">
        <v>2017</v>
      </c>
      <c r="Z55" t="s">
        <v>399</v>
      </c>
      <c r="AA55" s="115" t="str">
        <f>IF(G55="shared-count-once",COUNTIFS($A$2:$A$287,A55,$B$2:$B$287,B55,$D$2:$D$287,D55),1)</f>
      </c>
      <c r="AB55" s="116" t="n">
        <v>290472130.233437</v>
      </c>
      <c r="AC55" s="117" t="str">
        <f>IF(AB55=0,"",Q55/AB55)</f>
      </c>
      <c r="AD55" s="118" t="str">
        <f>IF(AB55=0,"",R55/AB55)</f>
      </c>
      <c r="AE55" s="119" t="str">
        <f>IF(AB55=0,"",S55/AB55)</f>
      </c>
      <c r="AF55" s="120" t="str">
        <f>IF(AB55=0,"",W55/AB55)</f>
      </c>
    </row>
    <row r="56">
      <c r="A56" t="s">
        <v>272</v>
      </c>
      <c r="B56" s="93" t="n">
        <v>2027</v>
      </c>
      <c r="C56" t="s">
        <v>272</v>
      </c>
      <c r="D56" s="94" t="s">
        <v>407</v>
      </c>
      <c r="E56" s="95" t="s">
        <v>408</v>
      </c>
      <c r="F56" s="96" t="s">
        <v>275</v>
      </c>
      <c r="G56" s="97" t="s">
        <v>403</v>
      </c>
      <c r="H56" s="98" t="s">
        <v>396</v>
      </c>
      <c r="I56" s="99" t="n">
        <v>1</v>
      </c>
      <c r="J56" s="100" t="n">
        <v>1</v>
      </c>
      <c r="K56" s="101" t="n">
        <v>0.0077</v>
      </c>
      <c r="L56" s="102" t="n">
        <v>295742566.139845</v>
      </c>
      <c r="M56" s="103" t="n">
        <v>295196117.964647</v>
      </c>
      <c r="N56" s="104" t="str">
        <f>MIN(MAX((B56-'Calculation_Assumptions'!$B$5+1)/'Calculation_Assumptions'!$B$7,0),1)</f>
      </c>
      <c r="O56" s="105" t="str">
        <f>L56*I56</f>
      </c>
      <c r="P56" s="106" t="str">
        <f>M56*I56</f>
      </c>
      <c r="Q56" s="107" t="str">
        <f>P56*'Calculation_Assumptions'!$B$14*J56*K56</f>
      </c>
      <c r="R56" s="108" t="str">
        <f>O56*N56*J56*K56</f>
      </c>
      <c r="S56" s="109" t="str">
        <f>R56-Q56</f>
      </c>
      <c r="T56" s="110" t="str">
        <f>1/(1+'Calculation_Assumptions'!$B$8)^(B56-'Calculation_Assumptions'!$B$2)</f>
      </c>
      <c r="U56" s="111" t="str">
        <f>Q56*T56</f>
      </c>
      <c r="V56" s="112" t="str">
        <f>R56*T56</f>
      </c>
      <c r="W56" s="113" t="str">
        <f>S56*T56</f>
      </c>
      <c r="X56" t="n">
        <v>0</v>
      </c>
      <c r="Y56" s="114" t="n">
        <v>2017</v>
      </c>
      <c r="Z56" t="s">
        <v>399</v>
      </c>
      <c r="AA56" s="115" t="str">
        <f>IF(G56="shared-count-once",COUNTIFS($A$2:$A$287,A56,$B$2:$B$287,B56,$D$2:$D$287,D56),1)</f>
      </c>
      <c r="AB56" s="116" t="n">
        <v>292505080.826208</v>
      </c>
      <c r="AC56" s="117" t="str">
        <f>IF(AB56=0,"",Q56/AB56)</f>
      </c>
      <c r="AD56" s="118" t="str">
        <f>IF(AB56=0,"",R56/AB56)</f>
      </c>
      <c r="AE56" s="119" t="str">
        <f>IF(AB56=0,"",S56/AB56)</f>
      </c>
      <c r="AF56" s="120" t="str">
        <f>IF(AB56=0,"",W56/AB56)</f>
      </c>
    </row>
    <row r="57">
      <c r="A57" t="s">
        <v>272</v>
      </c>
      <c r="B57" s="93" t="n">
        <v>2028</v>
      </c>
      <c r="C57" t="s">
        <v>272</v>
      </c>
      <c r="D57" s="94" t="s">
        <v>407</v>
      </c>
      <c r="E57" s="95" t="s">
        <v>408</v>
      </c>
      <c r="F57" s="96" t="s">
        <v>275</v>
      </c>
      <c r="G57" s="97" t="s">
        <v>403</v>
      </c>
      <c r="H57" s="98" t="s">
        <v>396</v>
      </c>
      <c r="I57" s="99" t="n">
        <v>1</v>
      </c>
      <c r="J57" s="100" t="n">
        <v>1</v>
      </c>
      <c r="K57" s="101" t="n">
        <v>0.0077</v>
      </c>
      <c r="L57" s="102" t="n">
        <v>297619110.89847</v>
      </c>
      <c r="M57" s="103" t="n">
        <v>297107934.99345</v>
      </c>
      <c r="N57" s="104" t="str">
        <f>MIN(MAX((B57-'Calculation_Assumptions'!$B$5+1)/'Calculation_Assumptions'!$B$7,0),1)</f>
      </c>
      <c r="O57" s="105" t="str">
        <f>L57*I57</f>
      </c>
      <c r="P57" s="106" t="str">
        <f>M57*I57</f>
      </c>
      <c r="Q57" s="107" t="str">
        <f>P57*'Calculation_Assumptions'!$B$14*J57*K57</f>
      </c>
      <c r="R57" s="108" t="str">
        <f>O57*N57*J57*K57</f>
      </c>
      <c r="S57" s="109" t="str">
        <f>R57-Q57</f>
      </c>
      <c r="T57" s="110" t="str">
        <f>1/(1+'Calculation_Assumptions'!$B$8)^(B57-'Calculation_Assumptions'!$B$2)</f>
      </c>
      <c r="U57" s="111" t="str">
        <f>Q57*T57</f>
      </c>
      <c r="V57" s="112" t="str">
        <f>R57*T57</f>
      </c>
      <c r="W57" s="113" t="str">
        <f>S57*T57</f>
      </c>
      <c r="X57" t="n">
        <v>0</v>
      </c>
      <c r="Y57" s="114" t="n">
        <v>2017</v>
      </c>
      <c r="Z57" t="s">
        <v>399</v>
      </c>
      <c r="AA57" s="115" t="str">
        <f>IF(G57="shared-count-once",COUNTIFS($A$2:$A$287,A57,$B$2:$B$287,B57,$D$2:$D$287,D57),1)</f>
      </c>
      <c r="AB57" s="116" t="n">
        <v>294484707.921554</v>
      </c>
      <c r="AC57" s="117" t="str">
        <f>IF(AB57=0,"",Q57/AB57)</f>
      </c>
      <c r="AD57" s="118" t="str">
        <f>IF(AB57=0,"",R57/AB57)</f>
      </c>
      <c r="AE57" s="119" t="str">
        <f>IF(AB57=0,"",S57/AB57)</f>
      </c>
      <c r="AF57" s="120" t="str">
        <f>IF(AB57=0,"",W57/AB57)</f>
      </c>
    </row>
    <row r="58">
      <c r="A58" t="s">
        <v>272</v>
      </c>
      <c r="B58" s="93" t="n">
        <v>2029</v>
      </c>
      <c r="C58" t="s">
        <v>272</v>
      </c>
      <c r="D58" s="94" t="s">
        <v>407</v>
      </c>
      <c r="E58" s="95" t="s">
        <v>408</v>
      </c>
      <c r="F58" s="96" t="s">
        <v>275</v>
      </c>
      <c r="G58" s="97" t="s">
        <v>403</v>
      </c>
      <c r="H58" s="98" t="s">
        <v>396</v>
      </c>
      <c r="I58" s="99" t="n">
        <v>1</v>
      </c>
      <c r="J58" s="100" t="n">
        <v>1</v>
      </c>
      <c r="K58" s="101" t="n">
        <v>0.0077</v>
      </c>
      <c r="L58" s="102" t="n">
        <v>299449486.936108</v>
      </c>
      <c r="M58" s="103" t="n">
        <v>298981169.683309</v>
      </c>
      <c r="N58" s="104" t="str">
        <f>MIN(MAX((B58-'Calculation_Assumptions'!$B$5+1)/'Calculation_Assumptions'!$B$7,0),1)</f>
      </c>
      <c r="O58" s="105" t="str">
        <f>L58*I58</f>
      </c>
      <c r="P58" s="106" t="str">
        <f>M58*I58</f>
      </c>
      <c r="Q58" s="107" t="str">
        <f>P58*'Calculation_Assumptions'!$B$14*J58*K58</f>
      </c>
      <c r="R58" s="108" t="str">
        <f>O58*N58*J58*K58</f>
      </c>
      <c r="S58" s="109" t="str">
        <f>R58-Q58</f>
      </c>
      <c r="T58" s="110" t="str">
        <f>1/(1+'Calculation_Assumptions'!$B$8)^(B58-'Calculation_Assumptions'!$B$2)</f>
      </c>
      <c r="U58" s="111" t="str">
        <f>Q58*T58</f>
      </c>
      <c r="V58" s="112" t="str">
        <f>R58*T58</f>
      </c>
      <c r="W58" s="113" t="str">
        <f>S58*T58</f>
      </c>
      <c r="X58" t="n">
        <v>0</v>
      </c>
      <c r="Y58" s="114" t="n">
        <v>2017</v>
      </c>
      <c r="Z58" t="s">
        <v>399</v>
      </c>
      <c r="AA58" s="115" t="str">
        <f>IF(G58="shared-count-once",COUNTIFS($A$2:$A$287,A58,$B$2:$B$287,B58,$D$2:$D$287,D58),1)</f>
      </c>
      <c r="AB58" s="116" t="n">
        <v>296414030.31143</v>
      </c>
      <c r="AC58" s="117" t="str">
        <f>IF(AB58=0,"",Q58/AB58)</f>
      </c>
      <c r="AD58" s="118" t="str">
        <f>IF(AB58=0,"",R58/AB58)</f>
      </c>
      <c r="AE58" s="119" t="str">
        <f>IF(AB58=0,"",S58/AB58)</f>
      </c>
      <c r="AF58" s="120" t="str">
        <f>IF(AB58=0,"",W58/AB58)</f>
      </c>
    </row>
    <row r="59">
      <c r="A59" t="s">
        <v>272</v>
      </c>
      <c r="B59" s="93" t="n">
        <v>2030</v>
      </c>
      <c r="C59" t="s">
        <v>272</v>
      </c>
      <c r="D59" s="94" t="s">
        <v>407</v>
      </c>
      <c r="E59" s="95" t="s">
        <v>408</v>
      </c>
      <c r="F59" s="96" t="s">
        <v>275</v>
      </c>
      <c r="G59" s="97" t="s">
        <v>403</v>
      </c>
      <c r="H59" s="98" t="s">
        <v>396</v>
      </c>
      <c r="I59" s="99" t="n">
        <v>1</v>
      </c>
      <c r="J59" s="100" t="n">
        <v>1</v>
      </c>
      <c r="K59" s="101" t="n">
        <v>0.0077</v>
      </c>
      <c r="L59" s="102" t="n">
        <v>301229647.486046</v>
      </c>
      <c r="M59" s="103" t="n">
        <v>300784244.146626</v>
      </c>
      <c r="N59" s="104" t="str">
        <f>MIN(MAX((B59-'Calculation_Assumptions'!$B$5+1)/'Calculation_Assumptions'!$B$7,0),1)</f>
      </c>
      <c r="O59" s="105" t="str">
        <f>L59*I59</f>
      </c>
      <c r="P59" s="106" t="str">
        <f>M59*I59</f>
      </c>
      <c r="Q59" s="107" t="str">
        <f>P59*'Calculation_Assumptions'!$B$14*J59*K59</f>
      </c>
      <c r="R59" s="108" t="str">
        <f>O59*N59*J59*K59</f>
      </c>
      <c r="S59" s="109" t="str">
        <f>R59-Q59</f>
      </c>
      <c r="T59" s="110" t="str">
        <f>1/(1+'Calculation_Assumptions'!$B$8)^(B59-'Calculation_Assumptions'!$B$2)</f>
      </c>
      <c r="U59" s="111" t="str">
        <f>Q59*T59</f>
      </c>
      <c r="V59" s="112" t="str">
        <f>R59*T59</f>
      </c>
      <c r="W59" s="113" t="str">
        <f>S59*T59</f>
      </c>
      <c r="X59" t="n">
        <v>0</v>
      </c>
      <c r="Y59" s="114" t="n">
        <v>2017</v>
      </c>
      <c r="Z59" t="s">
        <v>399</v>
      </c>
      <c r="AA59" s="115" t="str">
        <f>IF(G59="shared-count-once",COUNTIFS($A$2:$A$287,A59,$B$2:$B$287,B59,$D$2:$D$287,D59),1)</f>
      </c>
      <c r="AB59" s="116" t="n">
        <v>298289404.664994</v>
      </c>
      <c r="AC59" s="117" t="str">
        <f>IF(AB59=0,"",Q59/AB59)</f>
      </c>
      <c r="AD59" s="118" t="str">
        <f>IF(AB59=0,"",R59/AB59)</f>
      </c>
      <c r="AE59" s="119" t="str">
        <f>IF(AB59=0,"",S59/AB59)</f>
      </c>
      <c r="AF59" s="120" t="str">
        <f>IF(AB59=0,"",W59/AB59)</f>
      </c>
    </row>
    <row r="60">
      <c r="A60" t="s">
        <v>272</v>
      </c>
      <c r="B60" s="93" t="n">
        <v>2031</v>
      </c>
      <c r="C60" t="s">
        <v>272</v>
      </c>
      <c r="D60" s="94" t="s">
        <v>407</v>
      </c>
      <c r="E60" s="95" t="s">
        <v>408</v>
      </c>
      <c r="F60" s="96" t="s">
        <v>275</v>
      </c>
      <c r="G60" s="97" t="s">
        <v>403</v>
      </c>
      <c r="H60" s="98" t="s">
        <v>396</v>
      </c>
      <c r="I60" s="99" t="n">
        <v>1</v>
      </c>
      <c r="J60" s="100" t="n">
        <v>1</v>
      </c>
      <c r="K60" s="101" t="n">
        <v>0.0077</v>
      </c>
      <c r="L60" s="102" t="n">
        <v>302969438.365322</v>
      </c>
      <c r="M60" s="103" t="n">
        <v>302561623.795312</v>
      </c>
      <c r="N60" s="104" t="str">
        <f>MIN(MAX((B60-'Calculation_Assumptions'!$B$5+1)/'Calculation_Assumptions'!$B$7,0),1)</f>
      </c>
      <c r="O60" s="105" t="str">
        <f>L60*I60</f>
      </c>
      <c r="P60" s="106" t="str">
        <f>M60*I60</f>
      </c>
      <c r="Q60" s="107" t="str">
        <f>P60*'Calculation_Assumptions'!$B$14*J60*K60</f>
      </c>
      <c r="R60" s="108" t="str">
        <f>O60*N60*J60*K60</f>
      </c>
      <c r="S60" s="109" t="str">
        <f>R60-Q60</f>
      </c>
      <c r="T60" s="110" t="str">
        <f>1/(1+'Calculation_Assumptions'!$B$8)^(B60-'Calculation_Assumptions'!$B$2)</f>
      </c>
      <c r="U60" s="111" t="str">
        <f>Q60*T60</f>
      </c>
      <c r="V60" s="112" t="str">
        <f>R60*T60</f>
      </c>
      <c r="W60" s="113" t="str">
        <f>S60*T60</f>
      </c>
      <c r="X60" t="n">
        <v>0</v>
      </c>
      <c r="Y60" s="114" t="n">
        <v>2017</v>
      </c>
      <c r="Z60" t="s">
        <v>399</v>
      </c>
      <c r="AA60" s="115" t="str">
        <f>IF(G60="shared-count-once",COUNTIFS($A$2:$A$287,A60,$B$2:$B$287,B60,$D$2:$D$287,D60),1)</f>
      </c>
      <c r="AB60" s="116" t="n">
        <v>300119636.925519</v>
      </c>
      <c r="AC60" s="117" t="str">
        <f>IF(AB60=0,"",Q60/AB60)</f>
      </c>
      <c r="AD60" s="118" t="str">
        <f>IF(AB60=0,"",R60/AB60)</f>
      </c>
      <c r="AE60" s="119" t="str">
        <f>IF(AB60=0,"",S60/AB60)</f>
      </c>
      <c r="AF60" s="120" t="str">
        <f>IF(AB60=0,"",W60/AB60)</f>
      </c>
    </row>
    <row r="61">
      <c r="A61" t="s">
        <v>272</v>
      </c>
      <c r="B61" s="93" t="n">
        <v>2032</v>
      </c>
      <c r="C61" t="s">
        <v>272</v>
      </c>
      <c r="D61" s="94" t="s">
        <v>407</v>
      </c>
      <c r="E61" s="95" t="s">
        <v>408</v>
      </c>
      <c r="F61" s="96" t="s">
        <v>275</v>
      </c>
      <c r="G61" s="97" t="s">
        <v>403</v>
      </c>
      <c r="H61" s="98" t="s">
        <v>396</v>
      </c>
      <c r="I61" s="99" t="n">
        <v>1</v>
      </c>
      <c r="J61" s="100" t="n">
        <v>1</v>
      </c>
      <c r="K61" s="101" t="n">
        <v>0.0077</v>
      </c>
      <c r="L61" s="102" t="n">
        <v>304669351.921027</v>
      </c>
      <c r="M61" s="103" t="n">
        <v>304296909.955394</v>
      </c>
      <c r="N61" s="104" t="str">
        <f>MIN(MAX((B61-'Calculation_Assumptions'!$B$5+1)/'Calculation_Assumptions'!$B$7,0),1)</f>
      </c>
      <c r="O61" s="105" t="str">
        <f>L61*I61</f>
      </c>
      <c r="P61" s="106" t="str">
        <f>M61*I61</f>
      </c>
      <c r="Q61" s="107" t="str">
        <f>P61*'Calculation_Assumptions'!$B$14*J61*K61</f>
      </c>
      <c r="R61" s="108" t="str">
        <f>O61*N61*J61*K61</f>
      </c>
      <c r="S61" s="109" t="str">
        <f>R61-Q61</f>
      </c>
      <c r="T61" s="110" t="str">
        <f>1/(1+'Calculation_Assumptions'!$B$8)^(B61-'Calculation_Assumptions'!$B$2)</f>
      </c>
      <c r="U61" s="111" t="str">
        <f>Q61*T61</f>
      </c>
      <c r="V61" s="112" t="str">
        <f>R61*T61</f>
      </c>
      <c r="W61" s="113" t="str">
        <f>S61*T61</f>
      </c>
      <c r="X61" t="n">
        <v>0</v>
      </c>
      <c r="Y61" s="114" t="n">
        <v>2017</v>
      </c>
      <c r="Z61" t="s">
        <v>399</v>
      </c>
      <c r="AA61" s="115" t="str">
        <f>IF(G61="shared-count-once",COUNTIFS($A$2:$A$287,A61,$B$2:$B$287,B61,$D$2:$D$287,D61),1)</f>
      </c>
      <c r="AB61" s="116" t="n">
        <v>301904628.083541</v>
      </c>
      <c r="AC61" s="117" t="str">
        <f>IF(AB61=0,"",Q61/AB61)</f>
      </c>
      <c r="AD61" s="118" t="str">
        <f>IF(AB61=0,"",R61/AB61)</f>
      </c>
      <c r="AE61" s="119" t="str">
        <f>IF(AB61=0,"",S61/AB61)</f>
      </c>
      <c r="AF61" s="120" t="str">
        <f>IF(AB61=0,"",W61/AB61)</f>
      </c>
    </row>
    <row r="62">
      <c r="A62" t="s">
        <v>272</v>
      </c>
      <c r="B62" s="93" t="n">
        <v>2033</v>
      </c>
      <c r="C62" t="s">
        <v>272</v>
      </c>
      <c r="D62" s="94" t="s">
        <v>407</v>
      </c>
      <c r="E62" s="95" t="s">
        <v>408</v>
      </c>
      <c r="F62" s="96" t="s">
        <v>275</v>
      </c>
      <c r="G62" s="97" t="s">
        <v>403</v>
      </c>
      <c r="H62" s="98" t="s">
        <v>396</v>
      </c>
      <c r="I62" s="99" t="n">
        <v>1</v>
      </c>
      <c r="J62" s="100" t="n">
        <v>1</v>
      </c>
      <c r="K62" s="101" t="n">
        <v>0.0077</v>
      </c>
      <c r="L62" s="102" t="n">
        <v>306329718.089211</v>
      </c>
      <c r="M62" s="103" t="n">
        <v>305990042.260363</v>
      </c>
      <c r="N62" s="104" t="str">
        <f>MIN(MAX((B62-'Calculation_Assumptions'!$B$5+1)/'Calculation_Assumptions'!$B$7,0),1)</f>
      </c>
      <c r="O62" s="105" t="str">
        <f>L62*I62</f>
      </c>
      <c r="P62" s="106" t="str">
        <f>M62*I62</f>
      </c>
      <c r="Q62" s="107" t="str">
        <f>P62*'Calculation_Assumptions'!$B$14*J62*K62</f>
      </c>
      <c r="R62" s="108" t="str">
        <f>O62*N62*J62*K62</f>
      </c>
      <c r="S62" s="109" t="str">
        <f>R62-Q62</f>
      </c>
      <c r="T62" s="110" t="str">
        <f>1/(1+'Calculation_Assumptions'!$B$8)^(B62-'Calculation_Assumptions'!$B$2)</f>
      </c>
      <c r="U62" s="111" t="str">
        <f>Q62*T62</f>
      </c>
      <c r="V62" s="112" t="str">
        <f>R62*T62</f>
      </c>
      <c r="W62" s="113" t="str">
        <f>S62*T62</f>
      </c>
      <c r="X62" t="n">
        <v>0</v>
      </c>
      <c r="Y62" s="114" t="n">
        <v>2017</v>
      </c>
      <c r="Z62" t="s">
        <v>399</v>
      </c>
      <c r="AA62" s="115" t="str">
        <f>IF(G62="shared-count-once",COUNTIFS($A$2:$A$287,A62,$B$2:$B$287,B62,$D$2:$D$287,D62),1)</f>
      </c>
      <c r="AB62" s="116" t="n">
        <v>303644277.16916</v>
      </c>
      <c r="AC62" s="117" t="str">
        <f>IF(AB62=0,"",Q62/AB62)</f>
      </c>
      <c r="AD62" s="118" t="str">
        <f>IF(AB62=0,"",R62/AB62)</f>
      </c>
      <c r="AE62" s="119" t="str">
        <f>IF(AB62=0,"",S62/AB62)</f>
      </c>
      <c r="AF62" s="120" t="str">
        <f>IF(AB62=0,"",W62/AB62)</f>
      </c>
    </row>
    <row r="63">
      <c r="A63" t="s">
        <v>272</v>
      </c>
      <c r="B63" s="93" t="n">
        <v>2034</v>
      </c>
      <c r="C63" t="s">
        <v>272</v>
      </c>
      <c r="D63" s="94" t="s">
        <v>407</v>
      </c>
      <c r="E63" s="95" t="s">
        <v>408</v>
      </c>
      <c r="F63" s="96" t="s">
        <v>275</v>
      </c>
      <c r="G63" s="97" t="s">
        <v>403</v>
      </c>
      <c r="H63" s="98" t="s">
        <v>396</v>
      </c>
      <c r="I63" s="99" t="n">
        <v>1</v>
      </c>
      <c r="J63" s="100" t="n">
        <v>1</v>
      </c>
      <c r="K63" s="101" t="n">
        <v>0.0077</v>
      </c>
      <c r="L63" s="102" t="n">
        <v>307943780.739549</v>
      </c>
      <c r="M63" s="103" t="n">
        <v>307635526.02883</v>
      </c>
      <c r="N63" s="104" t="str">
        <f>MIN(MAX((B63-'Calculation_Assumptions'!$B$5+1)/'Calculation_Assumptions'!$B$7,0),1)</f>
      </c>
      <c r="O63" s="105" t="str">
        <f>L63*I63</f>
      </c>
      <c r="P63" s="106" t="str">
        <f>M63*I63</f>
      </c>
      <c r="Q63" s="107" t="str">
        <f>P63*'Calculation_Assumptions'!$B$14*J63*K63</f>
      </c>
      <c r="R63" s="108" t="str">
        <f>O63*N63*J63*K63</f>
      </c>
      <c r="S63" s="109" t="str">
        <f>R63-Q63</f>
      </c>
      <c r="T63" s="110" t="str">
        <f>1/(1+'Calculation_Assumptions'!$B$8)^(B63-'Calculation_Assumptions'!$B$2)</f>
      </c>
      <c r="U63" s="111" t="str">
        <f>Q63*T63</f>
      </c>
      <c r="V63" s="112" t="str">
        <f>R63*T63</f>
      </c>
      <c r="W63" s="113" t="str">
        <f>S63*T63</f>
      </c>
      <c r="X63" t="n">
        <v>0</v>
      </c>
      <c r="Y63" s="114" t="n">
        <v>2017</v>
      </c>
      <c r="Z63" t="s">
        <v>399</v>
      </c>
      <c r="AA63" s="115" t="str">
        <f>IF(G63="shared-count-once",COUNTIFS($A$2:$A$287,A63,$B$2:$B$287,B63,$D$2:$D$287,D63),1)</f>
      </c>
      <c r="AB63" s="116" t="n">
        <v>305332541.184984</v>
      </c>
      <c r="AC63" s="117" t="str">
        <f>IF(AB63=0,"",Q63/AB63)</f>
      </c>
      <c r="AD63" s="118" t="str">
        <f>IF(AB63=0,"",R63/AB63)</f>
      </c>
      <c r="AE63" s="119" t="str">
        <f>IF(AB63=0,"",S63/AB63)</f>
      </c>
      <c r="AF63" s="120" t="str">
        <f>IF(AB63=0,"",W63/AB63)</f>
      </c>
    </row>
    <row r="64">
      <c r="A64" t="s">
        <v>272</v>
      </c>
      <c r="B64" s="93" t="n">
        <v>2035</v>
      </c>
      <c r="C64" t="s">
        <v>272</v>
      </c>
      <c r="D64" s="94" t="s">
        <v>407</v>
      </c>
      <c r="E64" s="95" t="s">
        <v>408</v>
      </c>
      <c r="F64" s="96" t="s">
        <v>275</v>
      </c>
      <c r="G64" s="97" t="s">
        <v>403</v>
      </c>
      <c r="H64" s="98" t="s">
        <v>396</v>
      </c>
      <c r="I64" s="99" t="n">
        <v>1</v>
      </c>
      <c r="J64" s="100" t="n">
        <v>1</v>
      </c>
      <c r="K64" s="101" t="n">
        <v>0.0077</v>
      </c>
      <c r="L64" s="102" t="n">
        <v>309507559.444963</v>
      </c>
      <c r="M64" s="103" t="n">
        <v>309228183.19713</v>
      </c>
      <c r="N64" s="104" t="str">
        <f>MIN(MAX((B64-'Calculation_Assumptions'!$B$5+1)/'Calculation_Assumptions'!$B$7,0),1)</f>
      </c>
      <c r="O64" s="105" t="str">
        <f>L64*I64</f>
      </c>
      <c r="P64" s="106" t="str">
        <f>M64*I64</f>
      </c>
      <c r="Q64" s="107" t="str">
        <f>P64*'Calculation_Assumptions'!$B$14*J64*K64</f>
      </c>
      <c r="R64" s="108" t="str">
        <f>O64*N64*J64*K64</f>
      </c>
      <c r="S64" s="109" t="str">
        <f>R64-Q64</f>
      </c>
      <c r="T64" s="110" t="str">
        <f>1/(1+'Calculation_Assumptions'!$B$8)^(B64-'Calculation_Assumptions'!$B$2)</f>
      </c>
      <c r="U64" s="111" t="str">
        <f>Q64*T64</f>
      </c>
      <c r="V64" s="112" t="str">
        <f>R64*T64</f>
      </c>
      <c r="W64" s="113" t="str">
        <f>S64*T64</f>
      </c>
      <c r="X64" t="n">
        <v>0</v>
      </c>
      <c r="Y64" s="114" t="n">
        <v>2017</v>
      </c>
      <c r="Z64" t="s">
        <v>399</v>
      </c>
      <c r="AA64" s="115" t="str">
        <f>IF(G64="shared-count-once",COUNTIFS($A$2:$A$287,A64,$B$2:$B$287,B64,$D$2:$D$287,D64),1)</f>
      </c>
      <c r="AB64" s="116" t="n">
        <v>306964650.16712</v>
      </c>
      <c r="AC64" s="117" t="str">
        <f>IF(AB64=0,"",Q64/AB64)</f>
      </c>
      <c r="AD64" s="118" t="str">
        <f>IF(AB64=0,"",R64/AB64)</f>
      </c>
      <c r="AE64" s="119" t="str">
        <f>IF(AB64=0,"",S64/AB64)</f>
      </c>
      <c r="AF64" s="120" t="str">
        <f>IF(AB64=0,"",W64/AB64)</f>
      </c>
    </row>
    <row r="65">
      <c r="A65" t="s">
        <v>272</v>
      </c>
      <c r="B65" s="93" t="n">
        <v>2036</v>
      </c>
      <c r="C65" t="s">
        <v>272</v>
      </c>
      <c r="D65" s="94" t="s">
        <v>407</v>
      </c>
      <c r="E65" s="95" t="s">
        <v>408</v>
      </c>
      <c r="F65" s="96" t="s">
        <v>275</v>
      </c>
      <c r="G65" s="97" t="s">
        <v>403</v>
      </c>
      <c r="H65" s="98" t="s">
        <v>396</v>
      </c>
      <c r="I65" s="99" t="n">
        <v>1</v>
      </c>
      <c r="J65" s="100" t="n">
        <v>1</v>
      </c>
      <c r="K65" s="101" t="n">
        <v>0.0077</v>
      </c>
      <c r="L65" s="102" t="n">
        <v>311022594.953097</v>
      </c>
      <c r="M65" s="103" t="n">
        <v>310769483.46493</v>
      </c>
      <c r="N65" s="104" t="str">
        <f>MIN(MAX((B65-'Calculation_Assumptions'!$B$5+1)/'Calculation_Assumptions'!$B$7,0),1)</f>
      </c>
      <c r="O65" s="105" t="str">
        <f>L65*I65</f>
      </c>
      <c r="P65" s="106" t="str">
        <f>M65*I65</f>
      </c>
      <c r="Q65" s="107" t="str">
        <f>P65*'Calculation_Assumptions'!$B$14*J65*K65</f>
      </c>
      <c r="R65" s="108" t="str">
        <f>O65*N65*J65*K65</f>
      </c>
      <c r="S65" s="109" t="str">
        <f>R65-Q65</f>
      </c>
      <c r="T65" s="110" t="str">
        <f>1/(1+'Calculation_Assumptions'!$B$8)^(B65-'Calculation_Assumptions'!$B$2)</f>
      </c>
      <c r="U65" s="111" t="str">
        <f>Q65*T65</f>
      </c>
      <c r="V65" s="112" t="str">
        <f>R65*T65</f>
      </c>
      <c r="W65" s="113" t="str">
        <f>S65*T65</f>
      </c>
      <c r="X65" t="n">
        <v>0</v>
      </c>
      <c r="Y65" s="114" t="n">
        <v>2017</v>
      </c>
      <c r="Z65" t="s">
        <v>399</v>
      </c>
      <c r="AA65" s="115" t="str">
        <f>IF(G65="shared-count-once",COUNTIFS($A$2:$A$287,A65,$B$2:$B$287,B65,$D$2:$D$287,D65),1)</f>
      </c>
      <c r="AB65" s="116" t="n">
        <v>308542769.756622</v>
      </c>
      <c r="AC65" s="117" t="str">
        <f>IF(AB65=0,"",Q65/AB65)</f>
      </c>
      <c r="AD65" s="118" t="str">
        <f>IF(AB65=0,"",R65/AB65)</f>
      </c>
      <c r="AE65" s="119" t="str">
        <f>IF(AB65=0,"",S65/AB65)</f>
      </c>
      <c r="AF65" s="120" t="str">
        <f>IF(AB65=0,"",W65/AB65)</f>
      </c>
    </row>
    <row r="66">
      <c r="A66" t="s">
        <v>272</v>
      </c>
      <c r="B66" s="93" t="n">
        <v>2037</v>
      </c>
      <c r="C66" t="s">
        <v>272</v>
      </c>
      <c r="D66" s="94" t="s">
        <v>407</v>
      </c>
      <c r="E66" s="95" t="s">
        <v>408</v>
      </c>
      <c r="F66" s="96" t="s">
        <v>275</v>
      </c>
      <c r="G66" s="97" t="s">
        <v>403</v>
      </c>
      <c r="H66" s="98" t="s">
        <v>396</v>
      </c>
      <c r="I66" s="99" t="n">
        <v>1</v>
      </c>
      <c r="J66" s="100" t="n">
        <v>1</v>
      </c>
      <c r="K66" s="101" t="n">
        <v>0.0077</v>
      </c>
      <c r="L66" s="102" t="n">
        <v>312503458.156424</v>
      </c>
      <c r="M66" s="103" t="n">
        <v>312262197.186949</v>
      </c>
      <c r="N66" s="104" t="str">
        <f>MIN(MAX((B66-'Calculation_Assumptions'!$B$5+1)/'Calculation_Assumptions'!$B$7,0),1)</f>
      </c>
      <c r="O66" s="105" t="str">
        <f>L66*I66</f>
      </c>
      <c r="P66" s="106" t="str">
        <f>M66*I66</f>
      </c>
      <c r="Q66" s="107" t="str">
        <f>P66*'Calculation_Assumptions'!$B$14*J66*K66</f>
      </c>
      <c r="R66" s="108" t="str">
        <f>O66*N66*J66*K66</f>
      </c>
      <c r="S66" s="109" t="str">
        <f>R66-Q66</f>
      </c>
      <c r="T66" s="110" t="str">
        <f>1/(1+'Calculation_Assumptions'!$B$8)^(B66-'Calculation_Assumptions'!$B$2)</f>
      </c>
      <c r="U66" s="111" t="str">
        <f>Q66*T66</f>
      </c>
      <c r="V66" s="112" t="str">
        <f>R66*T66</f>
      </c>
      <c r="W66" s="113" t="str">
        <f>S66*T66</f>
      </c>
      <c r="X66" t="n">
        <v>0</v>
      </c>
      <c r="Y66" s="114" t="n">
        <v>2017</v>
      </c>
      <c r="Z66" t="s">
        <v>399</v>
      </c>
      <c r="AA66" s="115" t="str">
        <f>IF(G66="shared-count-once",COUNTIFS($A$2:$A$287,A66,$B$2:$B$287,B66,$D$2:$D$287,D66),1)</f>
      </c>
      <c r="AB66" s="116" t="n">
        <v>310068287.63643</v>
      </c>
      <c r="AC66" s="117" t="str">
        <f>IF(AB66=0,"",Q66/AB66)</f>
      </c>
      <c r="AD66" s="118" t="str">
        <f>IF(AB66=0,"",R66/AB66)</f>
      </c>
      <c r="AE66" s="119" t="str">
        <f>IF(AB66=0,"",S66/AB66)</f>
      </c>
      <c r="AF66" s="120" t="str">
        <f>IF(AB66=0,"",W66/AB66)</f>
      </c>
    </row>
    <row r="67">
      <c r="A67" t="s">
        <v>272</v>
      </c>
      <c r="B67" s="93" t="n">
        <v>2038</v>
      </c>
      <c r="C67" t="s">
        <v>272</v>
      </c>
      <c r="D67" s="94" t="s">
        <v>407</v>
      </c>
      <c r="E67" s="95" t="s">
        <v>408</v>
      </c>
      <c r="F67" s="96" t="s">
        <v>275</v>
      </c>
      <c r="G67" s="97" t="s">
        <v>403</v>
      </c>
      <c r="H67" s="98" t="s">
        <v>396</v>
      </c>
      <c r="I67" s="99" t="n">
        <v>1</v>
      </c>
      <c r="J67" s="100" t="n">
        <v>1</v>
      </c>
      <c r="K67" s="101" t="n">
        <v>0.0077</v>
      </c>
      <c r="L67" s="102" t="n">
        <v>313957056.684213</v>
      </c>
      <c r="M67" s="103" t="n">
        <v>313730463.490198</v>
      </c>
      <c r="N67" s="104" t="str">
        <f>MIN(MAX((B67-'Calculation_Assumptions'!$B$5+1)/'Calculation_Assumptions'!$B$7,0),1)</f>
      </c>
      <c r="O67" s="105" t="str">
        <f>L67*I67</f>
      </c>
      <c r="P67" s="106" t="str">
        <f>M67*I67</f>
      </c>
      <c r="Q67" s="107" t="str">
        <f>P67*'Calculation_Assumptions'!$B$14*J67*K67</f>
      </c>
      <c r="R67" s="108" t="str">
        <f>O67*N67*J67*K67</f>
      </c>
      <c r="S67" s="109" t="str">
        <f>R67-Q67</f>
      </c>
      <c r="T67" s="110" t="str">
        <f>1/(1+'Calculation_Assumptions'!$B$8)^(B67-'Calculation_Assumptions'!$B$2)</f>
      </c>
      <c r="U67" s="111" t="str">
        <f>Q67*T67</f>
      </c>
      <c r="V67" s="112" t="str">
        <f>R67*T67</f>
      </c>
      <c r="W67" s="113" t="str">
        <f>S67*T67</f>
      </c>
      <c r="X67" t="n">
        <v>0</v>
      </c>
      <c r="Y67" s="114" t="n">
        <v>2017</v>
      </c>
      <c r="Z67" t="s">
        <v>399</v>
      </c>
      <c r="AA67" s="115" t="str">
        <f>IF(G67="shared-count-once",COUNTIFS($A$2:$A$287,A67,$B$2:$B$287,B67,$D$2:$D$287,D67),1)</f>
      </c>
      <c r="AB67" s="116" t="n">
        <v>311532999.13163</v>
      </c>
      <c r="AC67" s="117" t="str">
        <f>IF(AB67=0,"",Q67/AB67)</f>
      </c>
      <c r="AD67" s="118" t="str">
        <f>IF(AB67=0,"",R67/AB67)</f>
      </c>
      <c r="AE67" s="119" t="str">
        <f>IF(AB67=0,"",S67/AB67)</f>
      </c>
      <c r="AF67" s="120" t="str">
        <f>IF(AB67=0,"",W67/AB67)</f>
      </c>
    </row>
    <row r="68">
      <c r="A68" t="s">
        <v>272</v>
      </c>
      <c r="B68" s="93" t="n">
        <v>2039</v>
      </c>
      <c r="C68" t="s">
        <v>272</v>
      </c>
      <c r="D68" s="94" t="s">
        <v>407</v>
      </c>
      <c r="E68" s="95" t="s">
        <v>408</v>
      </c>
      <c r="F68" s="96" t="s">
        <v>275</v>
      </c>
      <c r="G68" s="97" t="s">
        <v>403</v>
      </c>
      <c r="H68" s="98" t="s">
        <v>396</v>
      </c>
      <c r="I68" s="99" t="n">
        <v>1</v>
      </c>
      <c r="J68" s="100" t="n">
        <v>1</v>
      </c>
      <c r="K68" s="101" t="n">
        <v>0.0077</v>
      </c>
      <c r="L68" s="102" t="n">
        <v>315329415.550199</v>
      </c>
      <c r="M68" s="103" t="n">
        <v>315115398.935154</v>
      </c>
      <c r="N68" s="104" t="str">
        <f>MIN(MAX((B68-'Calculation_Assumptions'!$B$5+1)/'Calculation_Assumptions'!$B$7,0),1)</f>
      </c>
      <c r="O68" s="105" t="str">
        <f>L68*I68</f>
      </c>
      <c r="P68" s="106" t="str">
        <f>M68*I68</f>
      </c>
      <c r="Q68" s="107" t="str">
        <f>P68*'Calculation_Assumptions'!$B$14*J68*K68</f>
      </c>
      <c r="R68" s="108" t="str">
        <f>O68*N68*J68*K68</f>
      </c>
      <c r="S68" s="109" t="str">
        <f>R68-Q68</f>
      </c>
      <c r="T68" s="110" t="str">
        <f>1/(1+'Calculation_Assumptions'!$B$8)^(B68-'Calculation_Assumptions'!$B$2)</f>
      </c>
      <c r="U68" s="111" t="str">
        <f>Q68*T68</f>
      </c>
      <c r="V68" s="112" t="str">
        <f>R68*T68</f>
      </c>
      <c r="W68" s="113" t="str">
        <f>S68*T68</f>
      </c>
      <c r="X68" t="n">
        <v>0</v>
      </c>
      <c r="Y68" s="114" t="n">
        <v>2017</v>
      </c>
      <c r="Z68" t="s">
        <v>399</v>
      </c>
      <c r="AA68" s="115" t="str">
        <f>IF(G68="shared-count-once",COUNTIFS($A$2:$A$287,A68,$B$2:$B$287,B68,$D$2:$D$287,D68),1)</f>
      </c>
      <c r="AB68" s="116" t="n">
        <v>312936391.858479</v>
      </c>
      <c r="AC68" s="117" t="str">
        <f>IF(AB68=0,"",Q68/AB68)</f>
      </c>
      <c r="AD68" s="118" t="str">
        <f>IF(AB68=0,"",R68/AB68)</f>
      </c>
      <c r="AE68" s="119" t="str">
        <f>IF(AB68=0,"",S68/AB68)</f>
      </c>
      <c r="AF68" s="120" t="str">
        <f>IF(AB68=0,"",W68/AB68)</f>
      </c>
    </row>
    <row r="69">
      <c r="A69" t="s">
        <v>272</v>
      </c>
      <c r="B69" s="93" t="n">
        <v>2040</v>
      </c>
      <c r="C69" t="s">
        <v>272</v>
      </c>
      <c r="D69" s="94" t="s">
        <v>407</v>
      </c>
      <c r="E69" s="95" t="s">
        <v>408</v>
      </c>
      <c r="F69" s="96" t="s">
        <v>275</v>
      </c>
      <c r="G69" s="97" t="s">
        <v>403</v>
      </c>
      <c r="H69" s="98" t="s">
        <v>396</v>
      </c>
      <c r="I69" s="99" t="n">
        <v>1</v>
      </c>
      <c r="J69" s="100" t="n">
        <v>1</v>
      </c>
      <c r="K69" s="101" t="n">
        <v>0.0077</v>
      </c>
      <c r="L69" s="102" t="n">
        <v>316632245.426235</v>
      </c>
      <c r="M69" s="103" t="n">
        <v>316427530.0167</v>
      </c>
      <c r="N69" s="104" t="str">
        <f>MIN(MAX((B69-'Calculation_Assumptions'!$B$5+1)/'Calculation_Assumptions'!$B$7,0),1)</f>
      </c>
      <c r="O69" s="105" t="str">
        <f>L69*I69</f>
      </c>
      <c r="P69" s="106" t="str">
        <f>M69*I69</f>
      </c>
      <c r="Q69" s="107" t="str">
        <f>P69*'Calculation_Assumptions'!$B$14*J69*K69</f>
      </c>
      <c r="R69" s="108" t="str">
        <f>O69*N69*J69*K69</f>
      </c>
      <c r="S69" s="109" t="str">
        <f>R69-Q69</f>
      </c>
      <c r="T69" s="110" t="str">
        <f>1/(1+'Calculation_Assumptions'!$B$8)^(B69-'Calculation_Assumptions'!$B$2)</f>
      </c>
      <c r="U69" s="111" t="str">
        <f>Q69*T69</f>
      </c>
      <c r="V69" s="112" t="str">
        <f>R69*T69</f>
      </c>
      <c r="W69" s="113" t="str">
        <f>S69*T69</f>
      </c>
      <c r="X69" t="n">
        <v>0</v>
      </c>
      <c r="Y69" s="114" t="n">
        <v>2017</v>
      </c>
      <c r="Z69" t="s">
        <v>399</v>
      </c>
      <c r="AA69" s="115" t="str">
        <f>IF(G69="shared-count-once",COUNTIFS($A$2:$A$287,A69,$B$2:$B$287,B69,$D$2:$D$287,D69),1)</f>
      </c>
      <c r="AB69" s="116" t="n">
        <v>314265537.410829</v>
      </c>
      <c r="AC69" s="117" t="str">
        <f>IF(AB69=0,"",Q69/AB69)</f>
      </c>
      <c r="AD69" s="118" t="str">
        <f>IF(AB69=0,"",R69/AB69)</f>
      </c>
      <c r="AE69" s="119" t="str">
        <f>IF(AB69=0,"",S69/AB69)</f>
      </c>
      <c r="AF69" s="120" t="str">
        <f>IF(AB69=0,"",W69/AB69)</f>
      </c>
    </row>
    <row r="70">
      <c r="A70" t="s">
        <v>272</v>
      </c>
      <c r="B70" s="93" t="n">
        <v>2041</v>
      </c>
      <c r="C70" t="s">
        <v>272</v>
      </c>
      <c r="D70" s="94" t="s">
        <v>407</v>
      </c>
      <c r="E70" s="95" t="s">
        <v>408</v>
      </c>
      <c r="F70" s="96" t="s">
        <v>275</v>
      </c>
      <c r="G70" s="97" t="s">
        <v>403</v>
      </c>
      <c r="H70" s="98" t="s">
        <v>396</v>
      </c>
      <c r="I70" s="99" t="n">
        <v>1</v>
      </c>
      <c r="J70" s="100" t="n">
        <v>1</v>
      </c>
      <c r="K70" s="101" t="n">
        <v>0.0077</v>
      </c>
      <c r="L70" s="102" t="n">
        <v>317794589.134859</v>
      </c>
      <c r="M70" s="103" t="n">
        <v>317614843.247219</v>
      </c>
      <c r="N70" s="104" t="str">
        <f>MIN(MAX((B70-'Calculation_Assumptions'!$B$5+1)/'Calculation_Assumptions'!$B$7,0),1)</f>
      </c>
      <c r="O70" s="105" t="str">
        <f>L70*I70</f>
      </c>
      <c r="P70" s="106" t="str">
        <f>M70*I70</f>
      </c>
      <c r="Q70" s="107" t="str">
        <f>P70*'Calculation_Assumptions'!$B$14*J70*K70</f>
      </c>
      <c r="R70" s="108" t="str">
        <f>O70*N70*J70*K70</f>
      </c>
      <c r="S70" s="109" t="str">
        <f>R70-Q70</f>
      </c>
      <c r="T70" s="110" t="str">
        <f>1/(1+'Calculation_Assumptions'!$B$8)^(B70-'Calculation_Assumptions'!$B$2)</f>
      </c>
      <c r="U70" s="111" t="str">
        <f>Q70*T70</f>
      </c>
      <c r="V70" s="112" t="str">
        <f>R70*T70</f>
      </c>
      <c r="W70" s="113" t="str">
        <f>S70*T70</f>
      </c>
      <c r="X70" t="n">
        <v>0</v>
      </c>
      <c r="Y70" s="114" t="n">
        <v>2017</v>
      </c>
      <c r="Z70" t="s">
        <v>399</v>
      </c>
      <c r="AA70" s="115" t="str">
        <f>IF(G70="shared-count-once",COUNTIFS($A$2:$A$287,A70,$B$2:$B$287,B70,$D$2:$D$287,D70),1)</f>
      </c>
      <c r="AB70" s="116" t="n">
        <v>315525215.312548</v>
      </c>
      <c r="AC70" s="117" t="str">
        <f>IF(AB70=0,"",Q70/AB70)</f>
      </c>
      <c r="AD70" s="118" t="str">
        <f>IF(AB70=0,"",R70/AB70)</f>
      </c>
      <c r="AE70" s="119" t="str">
        <f>IF(AB70=0,"",S70/AB70)</f>
      </c>
      <c r="AF70" s="120" t="str">
        <f>IF(AB70=0,"",W70/AB70)</f>
      </c>
    </row>
    <row r="71">
      <c r="A71" t="s">
        <v>272</v>
      </c>
      <c r="B71" s="93" t="n">
        <v>2042</v>
      </c>
      <c r="C71" t="s">
        <v>272</v>
      </c>
      <c r="D71" s="94" t="s">
        <v>407</v>
      </c>
      <c r="E71" s="95" t="s">
        <v>408</v>
      </c>
      <c r="F71" s="96" t="s">
        <v>275</v>
      </c>
      <c r="G71" s="97" t="s">
        <v>403</v>
      </c>
      <c r="H71" s="98" t="s">
        <v>396</v>
      </c>
      <c r="I71" s="99" t="n">
        <v>1</v>
      </c>
      <c r="J71" s="100" t="n">
        <v>1</v>
      </c>
      <c r="K71" s="101" t="n">
        <v>0.0077</v>
      </c>
      <c r="L71" s="102" t="n">
        <v>318956373.914599</v>
      </c>
      <c r="M71" s="103" t="n">
        <v>318781045.920738</v>
      </c>
      <c r="N71" s="104" t="str">
        <f>MIN(MAX((B71-'Calculation_Assumptions'!$B$5+1)/'Calculation_Assumptions'!$B$7,0),1)</f>
      </c>
      <c r="O71" s="105" t="str">
        <f>L71*I71</f>
      </c>
      <c r="P71" s="106" t="str">
        <f>M71*I71</f>
      </c>
      <c r="Q71" s="107" t="str">
        <f>P71*'Calculation_Assumptions'!$B$14*J71*K71</f>
      </c>
      <c r="R71" s="108" t="str">
        <f>O71*N71*J71*K71</f>
      </c>
      <c r="S71" s="109" t="str">
        <f>R71-Q71</f>
      </c>
      <c r="T71" s="110" t="str">
        <f>1/(1+'Calculation_Assumptions'!$B$8)^(B71-'Calculation_Assumptions'!$B$2)</f>
      </c>
      <c r="U71" s="111" t="str">
        <f>Q71*T71</f>
      </c>
      <c r="V71" s="112" t="str">
        <f>R71*T71</f>
      </c>
      <c r="W71" s="113" t="str">
        <f>S71*T71</f>
      </c>
      <c r="X71" t="n">
        <v>0</v>
      </c>
      <c r="Y71" s="114" t="n">
        <v>2017</v>
      </c>
      <c r="Z71" t="s">
        <v>399</v>
      </c>
      <c r="AA71" s="115" t="str">
        <f>IF(G71="shared-count-once",COUNTIFS($A$2:$A$287,A71,$B$2:$B$287,B71,$D$2:$D$287,D71),1)</f>
      </c>
      <c r="AB71" s="116" t="n">
        <v>316707694.211882</v>
      </c>
      <c r="AC71" s="117" t="str">
        <f>IF(AB71=0,"",Q71/AB71)</f>
      </c>
      <c r="AD71" s="118" t="str">
        <f>IF(AB71=0,"",R71/AB71)</f>
      </c>
      <c r="AE71" s="119" t="str">
        <f>IF(AB71=0,"",S71/AB71)</f>
      </c>
      <c r="AF71" s="120" t="str">
        <f>IF(AB71=0,"",W71/AB71)</f>
      </c>
    </row>
    <row r="72">
      <c r="A72" t="s">
        <v>272</v>
      </c>
      <c r="B72" s="93" t="n">
        <v>2043</v>
      </c>
      <c r="C72" t="s">
        <v>272</v>
      </c>
      <c r="D72" s="94" t="s">
        <v>407</v>
      </c>
      <c r="E72" s="95" t="s">
        <v>408</v>
      </c>
      <c r="F72" s="96" t="s">
        <v>275</v>
      </c>
      <c r="G72" s="97" t="s">
        <v>403</v>
      </c>
      <c r="H72" s="98" t="s">
        <v>396</v>
      </c>
      <c r="I72" s="99" t="n">
        <v>1</v>
      </c>
      <c r="J72" s="100" t="n">
        <v>1</v>
      </c>
      <c r="K72" s="101" t="n">
        <v>0.0077</v>
      </c>
      <c r="L72" s="102" t="n">
        <v>320045375.119266</v>
      </c>
      <c r="M72" s="103" t="n">
        <v>319872275.594712</v>
      </c>
      <c r="N72" s="104" t="str">
        <f>MIN(MAX((B72-'Calculation_Assumptions'!$B$5+1)/'Calculation_Assumptions'!$B$7,0),1)</f>
      </c>
      <c r="O72" s="105" t="str">
        <f>L72*I72</f>
      </c>
      <c r="P72" s="106" t="str">
        <f>M72*I72</f>
      </c>
      <c r="Q72" s="107" t="str">
        <f>P72*'Calculation_Assumptions'!$B$14*J72*K72</f>
      </c>
      <c r="R72" s="108" t="str">
        <f>O72*N72*J72*K72</f>
      </c>
      <c r="S72" s="109" t="str">
        <f>R72-Q72</f>
      </c>
      <c r="T72" s="110" t="str">
        <f>1/(1+'Calculation_Assumptions'!$B$8)^(B72-'Calculation_Assumptions'!$B$2)</f>
      </c>
      <c r="U72" s="111" t="str">
        <f>Q72*T72</f>
      </c>
      <c r="V72" s="112" t="str">
        <f>R72*T72</f>
      </c>
      <c r="W72" s="113" t="str">
        <f>S72*T72</f>
      </c>
      <c r="X72" t="n">
        <v>0</v>
      </c>
      <c r="Y72" s="114" t="n">
        <v>2017</v>
      </c>
      <c r="Z72" t="s">
        <v>399</v>
      </c>
      <c r="AA72" s="115" t="str">
        <f>IF(G72="shared-count-once",COUNTIFS($A$2:$A$287,A72,$B$2:$B$287,B72,$D$2:$D$287,D72),1)</f>
      </c>
      <c r="AB72" s="116" t="n">
        <v>317814114.067152</v>
      </c>
      <c r="AC72" s="117" t="str">
        <f>IF(AB72=0,"",Q72/AB72)</f>
      </c>
      <c r="AD72" s="118" t="str">
        <f>IF(AB72=0,"",R72/AB72)</f>
      </c>
      <c r="AE72" s="119" t="str">
        <f>IF(AB72=0,"",S72/AB72)</f>
      </c>
      <c r="AF72" s="120" t="str">
        <f>IF(AB72=0,"",W72/AB72)</f>
      </c>
    </row>
    <row r="73">
      <c r="A73" t="s">
        <v>272</v>
      </c>
      <c r="B73" s="93" t="n">
        <v>2044</v>
      </c>
      <c r="C73" t="s">
        <v>272</v>
      </c>
      <c r="D73" s="94" t="s">
        <v>407</v>
      </c>
      <c r="E73" s="95" t="s">
        <v>408</v>
      </c>
      <c r="F73" s="96" t="s">
        <v>275</v>
      </c>
      <c r="G73" s="97" t="s">
        <v>403</v>
      </c>
      <c r="H73" s="98" t="s">
        <v>396</v>
      </c>
      <c r="I73" s="99" t="n">
        <v>1</v>
      </c>
      <c r="J73" s="100" t="n">
        <v>1</v>
      </c>
      <c r="K73" s="101" t="n">
        <v>0.0077</v>
      </c>
      <c r="L73" s="102" t="n">
        <v>321070285.635556</v>
      </c>
      <c r="M73" s="103" t="n">
        <v>320897722.542069</v>
      </c>
      <c r="N73" s="104" t="str">
        <f>MIN(MAX((B73-'Calculation_Assumptions'!$B$5+1)/'Calculation_Assumptions'!$B$7,0),1)</f>
      </c>
      <c r="O73" s="105" t="str">
        <f>L73*I73</f>
      </c>
      <c r="P73" s="106" t="str">
        <f>M73*I73</f>
      </c>
      <c r="Q73" s="107" t="str">
        <f>P73*'Calculation_Assumptions'!$B$14*J73*K73</f>
      </c>
      <c r="R73" s="108" t="str">
        <f>O73*N73*J73*K73</f>
      </c>
      <c r="S73" s="109" t="str">
        <f>R73-Q73</f>
      </c>
      <c r="T73" s="110" t="str">
        <f>1/(1+'Calculation_Assumptions'!$B$8)^(B73-'Calculation_Assumptions'!$B$2)</f>
      </c>
      <c r="U73" s="111" t="str">
        <f>Q73*T73</f>
      </c>
      <c r="V73" s="112" t="str">
        <f>R73*T73</f>
      </c>
      <c r="W73" s="113" t="str">
        <f>S73*T73</f>
      </c>
      <c r="X73" t="n">
        <v>0</v>
      </c>
      <c r="Y73" s="114" t="n">
        <v>2017</v>
      </c>
      <c r="Z73" t="s">
        <v>399</v>
      </c>
      <c r="AA73" s="115" t="str">
        <f>IF(G73="shared-count-once",COUNTIFS($A$2:$A$287,A73,$B$2:$B$287,B73,$D$2:$D$287,D73),1)</f>
      </c>
      <c r="AB73" s="116" t="n">
        <v>318840890.732156</v>
      </c>
      <c r="AC73" s="117" t="str">
        <f>IF(AB73=0,"",Q73/AB73)</f>
      </c>
      <c r="AD73" s="118" t="str">
        <f>IF(AB73=0,"",R73/AB73)</f>
      </c>
      <c r="AE73" s="119" t="str">
        <f>IF(AB73=0,"",S73/AB73)</f>
      </c>
      <c r="AF73" s="120" t="str">
        <f>IF(AB73=0,"",W73/AB73)</f>
      </c>
    </row>
    <row r="74">
      <c r="A74" t="s">
        <v>272</v>
      </c>
      <c r="B74" s="93" t="n">
        <v>2045</v>
      </c>
      <c r="C74" t="s">
        <v>272</v>
      </c>
      <c r="D74" s="94" t="s">
        <v>407</v>
      </c>
      <c r="E74" s="95" t="s">
        <v>408</v>
      </c>
      <c r="F74" s="96" t="s">
        <v>275</v>
      </c>
      <c r="G74" s="97" t="s">
        <v>403</v>
      </c>
      <c r="H74" s="98" t="s">
        <v>396</v>
      </c>
      <c r="I74" s="99" t="n">
        <v>1</v>
      </c>
      <c r="J74" s="100" t="n">
        <v>1</v>
      </c>
      <c r="K74" s="101" t="n">
        <v>0.0077</v>
      </c>
      <c r="L74" s="102" t="n">
        <v>322006073.199754</v>
      </c>
      <c r="M74" s="103" t="n">
        <v>321832323.778944</v>
      </c>
      <c r="N74" s="104" t="str">
        <f>MIN(MAX((B74-'Calculation_Assumptions'!$B$5+1)/'Calculation_Assumptions'!$B$7,0),1)</f>
      </c>
      <c r="O74" s="105" t="str">
        <f>L74*I74</f>
      </c>
      <c r="P74" s="106" t="str">
        <f>M74*I74</f>
      </c>
      <c r="Q74" s="107" t="str">
        <f>P74*'Calculation_Assumptions'!$B$14*J74*K74</f>
      </c>
      <c r="R74" s="108" t="str">
        <f>O74*N74*J74*K74</f>
      </c>
      <c r="S74" s="109" t="str">
        <f>R74-Q74</f>
      </c>
      <c r="T74" s="110" t="str">
        <f>1/(1+'Calculation_Assumptions'!$B$8)^(B74-'Calculation_Assumptions'!$B$2)</f>
      </c>
      <c r="U74" s="111" t="str">
        <f>Q74*T74</f>
      </c>
      <c r="V74" s="112" t="str">
        <f>R74*T74</f>
      </c>
      <c r="W74" s="113" t="str">
        <f>S74*T74</f>
      </c>
      <c r="X74" t="n">
        <v>0</v>
      </c>
      <c r="Y74" s="114" t="n">
        <v>2017</v>
      </c>
      <c r="Z74" t="s">
        <v>399</v>
      </c>
      <c r="AA74" s="115" t="str">
        <f>IF(G74="shared-count-once",COUNTIFS($A$2:$A$287,A74,$B$2:$B$287,B74,$D$2:$D$287,D74),1)</f>
      </c>
      <c r="AB74" s="116" t="n">
        <v>319784682.33108</v>
      </c>
      <c r="AC74" s="117" t="str">
        <f>IF(AB74=0,"",Q74/AB74)</f>
      </c>
      <c r="AD74" s="118" t="str">
        <f>IF(AB74=0,"",R74/AB74)</f>
      </c>
      <c r="AE74" s="119" t="str">
        <f>IF(AB74=0,"",S74/AB74)</f>
      </c>
      <c r="AF74" s="120" t="str">
        <f>IF(AB74=0,"",W74/AB74)</f>
      </c>
    </row>
    <row r="75">
      <c r="A75" t="s">
        <v>272</v>
      </c>
      <c r="B75" s="93" t="n">
        <v>2046</v>
      </c>
      <c r="C75" t="s">
        <v>272</v>
      </c>
      <c r="D75" s="94" t="s">
        <v>407</v>
      </c>
      <c r="E75" s="95" t="s">
        <v>408</v>
      </c>
      <c r="F75" s="96" t="s">
        <v>275</v>
      </c>
      <c r="G75" s="97" t="s">
        <v>403</v>
      </c>
      <c r="H75" s="98" t="s">
        <v>396</v>
      </c>
      <c r="I75" s="99" t="n">
        <v>1</v>
      </c>
      <c r="J75" s="100" t="n">
        <v>1</v>
      </c>
      <c r="K75" s="101" t="n">
        <v>0.0077</v>
      </c>
      <c r="L75" s="102" t="n">
        <v>322859960.505418</v>
      </c>
      <c r="M75" s="103" t="n">
        <v>322683379.427444</v>
      </c>
      <c r="N75" s="104" t="str">
        <f>MIN(MAX((B75-'Calculation_Assumptions'!$B$5+1)/'Calculation_Assumptions'!$B$7,0),1)</f>
      </c>
      <c r="O75" s="105" t="str">
        <f>L75*I75</f>
      </c>
      <c r="P75" s="106" t="str">
        <f>M75*I75</f>
      </c>
      <c r="Q75" s="107" t="str">
        <f>P75*'Calculation_Assumptions'!$B$14*J75*K75</f>
      </c>
      <c r="R75" s="108" t="str">
        <f>O75*N75*J75*K75</f>
      </c>
      <c r="S75" s="109" t="str">
        <f>R75-Q75</f>
      </c>
      <c r="T75" s="110" t="str">
        <f>1/(1+'Calculation_Assumptions'!$B$8)^(B75-'Calculation_Assumptions'!$B$2)</f>
      </c>
      <c r="U75" s="111" t="str">
        <f>Q75*T75</f>
      </c>
      <c r="V75" s="112" t="str">
        <f>R75*T75</f>
      </c>
      <c r="W75" s="113" t="str">
        <f>S75*T75</f>
      </c>
      <c r="X75" t="n">
        <v>0</v>
      </c>
      <c r="Y75" s="114" t="n">
        <v>2017</v>
      </c>
      <c r="Z75" t="s">
        <v>399</v>
      </c>
      <c r="AA75" s="115" t="str">
        <f>IF(G75="shared-count-once",COUNTIFS($A$2:$A$287,A75,$B$2:$B$287,B75,$D$2:$D$287,D75),1)</f>
      </c>
      <c r="AB75" s="116" t="n">
        <v>320645615.981408</v>
      </c>
      <c r="AC75" s="117" t="str">
        <f>IF(AB75=0,"",Q75/AB75)</f>
      </c>
      <c r="AD75" s="118" t="str">
        <f>IF(AB75=0,"",R75/AB75)</f>
      </c>
      <c r="AE75" s="119" t="str">
        <f>IF(AB75=0,"",S75/AB75)</f>
      </c>
      <c r="AF75" s="120" t="str">
        <f>IF(AB75=0,"",W75/AB75)</f>
      </c>
    </row>
    <row r="76">
      <c r="A76" t="s">
        <v>272</v>
      </c>
      <c r="B76" s="93" t="n">
        <v>2047</v>
      </c>
      <c r="C76" t="s">
        <v>272</v>
      </c>
      <c r="D76" s="94" t="s">
        <v>407</v>
      </c>
      <c r="E76" s="95" t="s">
        <v>408</v>
      </c>
      <c r="F76" s="96" t="s">
        <v>275</v>
      </c>
      <c r="G76" s="97" t="s">
        <v>403</v>
      </c>
      <c r="H76" s="98" t="s">
        <v>396</v>
      </c>
      <c r="I76" s="99" t="n">
        <v>1</v>
      </c>
      <c r="J76" s="100" t="n">
        <v>1</v>
      </c>
      <c r="K76" s="101" t="n">
        <v>0.0077</v>
      </c>
      <c r="L76" s="102" t="n">
        <v>323654413.522701</v>
      </c>
      <c r="M76" s="103" t="n">
        <v>323457177.765372</v>
      </c>
      <c r="N76" s="104" t="str">
        <f>MIN(MAX((B76-'Calculation_Assumptions'!$B$5+1)/'Calculation_Assumptions'!$B$7,0),1)</f>
      </c>
      <c r="O76" s="105" t="str">
        <f>L76*I76</f>
      </c>
      <c r="P76" s="106" t="str">
        <f>M76*I76</f>
      </c>
      <c r="Q76" s="107" t="str">
        <f>P76*'Calculation_Assumptions'!$B$14*J76*K76</f>
      </c>
      <c r="R76" s="108" t="str">
        <f>O76*N76*J76*K76</f>
      </c>
      <c r="S76" s="109" t="str">
        <f>R76-Q76</f>
      </c>
      <c r="T76" s="110" t="str">
        <f>1/(1+'Calculation_Assumptions'!$B$8)^(B76-'Calculation_Assumptions'!$B$2)</f>
      </c>
      <c r="U76" s="111" t="str">
        <f>Q76*T76</f>
      </c>
      <c r="V76" s="112" t="str">
        <f>R76*T76</f>
      </c>
      <c r="W76" s="113" t="str">
        <f>S76*T76</f>
      </c>
      <c r="X76" t="n">
        <v>0</v>
      </c>
      <c r="Y76" s="114" t="n">
        <v>2017</v>
      </c>
      <c r="Z76" t="s">
        <v>399</v>
      </c>
      <c r="AA76" s="115" t="str">
        <f>IF(G76="shared-count-once",COUNTIFS($A$2:$A$287,A76,$B$2:$B$287,B76,$D$2:$D$287,D76),1)</f>
      </c>
      <c r="AB76" s="116" t="n">
        <v>321429520.522875</v>
      </c>
      <c r="AC76" s="117" t="str">
        <f>IF(AB76=0,"",Q76/AB76)</f>
      </c>
      <c r="AD76" s="118" t="str">
        <f>IF(AB76=0,"",R76/AB76)</f>
      </c>
      <c r="AE76" s="119" t="str">
        <f>IF(AB76=0,"",S76/AB76)</f>
      </c>
      <c r="AF76" s="120" t="str">
        <f>IF(AB76=0,"",W76/AB76)</f>
      </c>
    </row>
    <row r="77">
      <c r="A77" t="s">
        <v>272</v>
      </c>
      <c r="B77" s="93" t="n">
        <v>2048</v>
      </c>
      <c r="C77" t="s">
        <v>272</v>
      </c>
      <c r="D77" s="94" t="s">
        <v>407</v>
      </c>
      <c r="E77" s="95" t="s">
        <v>408</v>
      </c>
      <c r="F77" s="96" t="s">
        <v>275</v>
      </c>
      <c r="G77" s="97" t="s">
        <v>403</v>
      </c>
      <c r="H77" s="98" t="s">
        <v>396</v>
      </c>
      <c r="I77" s="99" t="n">
        <v>1</v>
      </c>
      <c r="J77" s="100" t="n">
        <v>1</v>
      </c>
      <c r="K77" s="101" t="n">
        <v>0.0077</v>
      </c>
      <c r="L77" s="102" t="n">
        <v>324361371.221659</v>
      </c>
      <c r="M77" s="103" t="n">
        <v>324153264.068833</v>
      </c>
      <c r="N77" s="104" t="str">
        <f>MIN(MAX((B77-'Calculation_Assumptions'!$B$5+1)/'Calculation_Assumptions'!$B$7,0),1)</f>
      </c>
      <c r="O77" s="105" t="str">
        <f>L77*I77</f>
      </c>
      <c r="P77" s="106" t="str">
        <f>M77*I77</f>
      </c>
      <c r="Q77" s="107" t="str">
        <f>P77*'Calculation_Assumptions'!$B$14*J77*K77</f>
      </c>
      <c r="R77" s="108" t="str">
        <f>O77*N77*J77*K77</f>
      </c>
      <c r="S77" s="109" t="str">
        <f>R77-Q77</f>
      </c>
      <c r="T77" s="110" t="str">
        <f>1/(1+'Calculation_Assumptions'!$B$8)^(B77-'Calculation_Assumptions'!$B$2)</f>
      </c>
      <c r="U77" s="111" t="str">
        <f>Q77*T77</f>
      </c>
      <c r="V77" s="112" t="str">
        <f>R77*T77</f>
      </c>
      <c r="W77" s="113" t="str">
        <f>S77*T77</f>
      </c>
      <c r="X77" t="n">
        <v>0</v>
      </c>
      <c r="Y77" s="114" t="n">
        <v>2017</v>
      </c>
      <c r="Z77" t="s">
        <v>399</v>
      </c>
      <c r="AA77" s="115" t="str">
        <f>IF(G77="shared-count-once",COUNTIFS($A$2:$A$287,A77,$B$2:$B$287,B77,$D$2:$D$287,D77),1)</f>
      </c>
      <c r="AB77" s="116" t="n">
        <v>322136832.260161</v>
      </c>
      <c r="AC77" s="117" t="str">
        <f>IF(AB77=0,"",Q77/AB77)</f>
      </c>
      <c r="AD77" s="118" t="str">
        <f>IF(AB77=0,"",R77/AB77)</f>
      </c>
      <c r="AE77" s="119" t="str">
        <f>IF(AB77=0,"",S77/AB77)</f>
      </c>
      <c r="AF77" s="120" t="str">
        <f>IF(AB77=0,"",W77/AB77)</f>
      </c>
    </row>
    <row r="78">
      <c r="A78" t="s">
        <v>272</v>
      </c>
      <c r="B78" s="93" t="n">
        <v>2049</v>
      </c>
      <c r="C78" t="s">
        <v>272</v>
      </c>
      <c r="D78" s="94" t="s">
        <v>407</v>
      </c>
      <c r="E78" s="95" t="s">
        <v>408</v>
      </c>
      <c r="F78" s="96" t="s">
        <v>275</v>
      </c>
      <c r="G78" s="97" t="s">
        <v>403</v>
      </c>
      <c r="H78" s="98" t="s">
        <v>396</v>
      </c>
      <c r="I78" s="99" t="n">
        <v>1</v>
      </c>
      <c r="J78" s="100" t="n">
        <v>1</v>
      </c>
      <c r="K78" s="101" t="n">
        <v>0.0077</v>
      </c>
      <c r="L78" s="102" t="n">
        <v>324989603.145559</v>
      </c>
      <c r="M78" s="103" t="n">
        <v>324770595.66435</v>
      </c>
      <c r="N78" s="104" t="str">
        <f>MIN(MAX((B78-'Calculation_Assumptions'!$B$5+1)/'Calculation_Assumptions'!$B$7,0),1)</f>
      </c>
      <c r="O78" s="105" t="str">
        <f>L78*I78</f>
      </c>
      <c r="P78" s="106" t="str">
        <f>M78*I78</f>
      </c>
      <c r="Q78" s="107" t="str">
        <f>P78*'Calculation_Assumptions'!$B$14*J78*K78</f>
      </c>
      <c r="R78" s="108" t="str">
        <f>O78*N78*J78*K78</f>
      </c>
      <c r="S78" s="109" t="str">
        <f>R78-Q78</f>
      </c>
      <c r="T78" s="110" t="str">
        <f>1/(1+'Calculation_Assumptions'!$B$8)^(B78-'Calculation_Assumptions'!$B$2)</f>
      </c>
      <c r="U78" s="111" t="str">
        <f>Q78*T78</f>
      </c>
      <c r="V78" s="112" t="str">
        <f>R78*T78</f>
      </c>
      <c r="W78" s="113" t="str">
        <f>S78*T78</f>
      </c>
      <c r="X78" t="n">
        <v>0</v>
      </c>
      <c r="Y78" s="114" t="n">
        <v>2017</v>
      </c>
      <c r="Z78" t="s">
        <v>399</v>
      </c>
      <c r="AA78" s="115" t="str">
        <f>IF(G78="shared-count-once",COUNTIFS($A$2:$A$287,A78,$B$2:$B$287,B78,$D$2:$D$287,D78),1)</f>
      </c>
      <c r="AB78" s="116" t="n">
        <v>322765819.752681</v>
      </c>
      <c r="AC78" s="117" t="str">
        <f>IF(AB78=0,"",Q78/AB78)</f>
      </c>
      <c r="AD78" s="118" t="str">
        <f>IF(AB78=0,"",R78/AB78)</f>
      </c>
      <c r="AE78" s="119" t="str">
        <f>IF(AB78=0,"",S78/AB78)</f>
      </c>
      <c r="AF78" s="120" t="str">
        <f>IF(AB78=0,"",W78/AB78)</f>
      </c>
    </row>
    <row r="79">
      <c r="A79" t="s">
        <v>272</v>
      </c>
      <c r="B79" s="93" t="n">
        <v>2050</v>
      </c>
      <c r="C79" t="s">
        <v>272</v>
      </c>
      <c r="D79" s="94" t="s">
        <v>407</v>
      </c>
      <c r="E79" s="95" t="s">
        <v>408</v>
      </c>
      <c r="F79" s="96" t="s">
        <v>275</v>
      </c>
      <c r="G79" s="97" t="s">
        <v>403</v>
      </c>
      <c r="H79" s="98" t="s">
        <v>396</v>
      </c>
      <c r="I79" s="99" t="n">
        <v>1</v>
      </c>
      <c r="J79" s="100" t="n">
        <v>1</v>
      </c>
      <c r="K79" s="101" t="n">
        <v>0.0077</v>
      </c>
      <c r="L79" s="102" t="n">
        <v>325500491.948554</v>
      </c>
      <c r="M79" s="103" t="n">
        <v>325271287.464889</v>
      </c>
      <c r="N79" s="104" t="str">
        <f>MIN(MAX((B79-'Calculation_Assumptions'!$B$5+1)/'Calculation_Assumptions'!$B$7,0),1)</f>
      </c>
      <c r="O79" s="105" t="str">
        <f>L79*I79</f>
      </c>
      <c r="P79" s="106" t="str">
        <f>M79*I79</f>
      </c>
      <c r="Q79" s="107" t="str">
        <f>P79*'Calculation_Assumptions'!$B$14*J79*K79</f>
      </c>
      <c r="R79" s="108" t="str">
        <f>O79*N79*J79*K79</f>
      </c>
      <c r="S79" s="109" t="str">
        <f>R79-Q79</f>
      </c>
      <c r="T79" s="110" t="str">
        <f>1/(1+'Calculation_Assumptions'!$B$8)^(B79-'Calculation_Assumptions'!$B$2)</f>
      </c>
      <c r="U79" s="111" t="str">
        <f>Q79*T79</f>
      </c>
      <c r="V79" s="112" t="str">
        <f>R79*T79</f>
      </c>
      <c r="W79" s="113" t="str">
        <f>S79*T79</f>
      </c>
      <c r="X79" t="n">
        <v>0</v>
      </c>
      <c r="Y79" s="114" t="n">
        <v>2017</v>
      </c>
      <c r="Z79" t="s">
        <v>399</v>
      </c>
      <c r="AA79" s="115" t="str">
        <f>IF(G79="shared-count-once",COUNTIFS($A$2:$A$287,A79,$B$2:$B$287,B79,$D$2:$D$287,D79),1)</f>
      </c>
      <c r="AB79" s="116" t="n">
        <v>323312042.563285</v>
      </c>
      <c r="AC79" s="117" t="str">
        <f>IF(AB79=0,"",Q79/AB79)</f>
      </c>
      <c r="AD79" s="118" t="str">
        <f>IF(AB79=0,"",R79/AB79)</f>
      </c>
      <c r="AE79" s="119" t="str">
        <f>IF(AB79=0,"",S79/AB79)</f>
      </c>
      <c r="AF79" s="120" t="str">
        <f>IF(AB79=0,"",W79/AB79)</f>
      </c>
    </row>
    <row r="80">
      <c r="A80" t="s">
        <v>250</v>
      </c>
      <c r="B80" s="93" t="n">
        <v>2025</v>
      </c>
      <c r="C80" t="s">
        <v>250</v>
      </c>
      <c r="D80" s="94" t="s">
        <v>401</v>
      </c>
      <c r="E80" s="95" t="s">
        <v>402</v>
      </c>
      <c r="F80" s="96" t="s">
        <v>253</v>
      </c>
      <c r="G80" s="97" t="s">
        <v>403</v>
      </c>
      <c r="H80" s="98" t="s">
        <v>396</v>
      </c>
      <c r="I80" s="99" t="n">
        <v>1</v>
      </c>
      <c r="J80" s="100" t="n">
        <v>1</v>
      </c>
      <c r="K80" s="101" t="n">
        <v>0.0077</v>
      </c>
      <c r="L80" s="102" t="n">
        <v>291886571.325912</v>
      </c>
      <c r="M80" s="103" t="n">
        <v>291223951.413062</v>
      </c>
      <c r="N80" s="104" t="str">
        <f>MIN(MAX((B80-'Calculation_Assumptions'!$B$5+1)/'Calculation_Assumptions'!$B$7,0),1)</f>
      </c>
      <c r="O80" s="105" t="str">
        <f>L80*I80</f>
      </c>
      <c r="P80" s="106" t="str">
        <f>M80*I80</f>
      </c>
      <c r="Q80" s="107" t="str">
        <f>P80*'Calculation_Assumptions'!$B$14*J80*K80</f>
      </c>
      <c r="R80" s="108" t="str">
        <f>O80*N80*J80*K80</f>
      </c>
      <c r="S80" s="109" t="str">
        <f>R80-Q80</f>
      </c>
      <c r="T80" s="110" t="str">
        <f>1/(1+'Calculation_Assumptions'!$B$8)^(B80-'Calculation_Assumptions'!$B$2)</f>
      </c>
      <c r="U80" s="111" t="str">
        <f>Q80*T80</f>
      </c>
      <c r="V80" s="112" t="str">
        <f>R80*T80</f>
      </c>
      <c r="W80" s="113" t="str">
        <f>S80*T80</f>
      </c>
      <c r="X80" t="n">
        <v>0</v>
      </c>
      <c r="Y80" s="114" t="n">
        <v>2017</v>
      </c>
      <c r="Z80" t="s">
        <v>399</v>
      </c>
      <c r="AA80" s="115" t="str">
        <f>IF(G80="shared-count-once",COUNTIFS($A$2:$A$287,A80,$B$2:$B$287,B80,$D$2:$D$287,D80),1)</f>
      </c>
      <c r="AB80" s="116" t="n">
        <v>288391907.644456</v>
      </c>
      <c r="AC80" s="117" t="str">
        <f>IF(AB80=0,"",Q80/AB80)</f>
      </c>
      <c r="AD80" s="118" t="str">
        <f>IF(AB80=0,"",R80/AB80)</f>
      </c>
      <c r="AE80" s="119" t="str">
        <f>IF(AB80=0,"",S80/AB80)</f>
      </c>
      <c r="AF80" s="120" t="str">
        <f>IF(AB80=0,"",W80/AB80)</f>
      </c>
    </row>
    <row r="81">
      <c r="A81" t="s">
        <v>250</v>
      </c>
      <c r="B81" s="93" t="n">
        <v>2026</v>
      </c>
      <c r="C81" t="s">
        <v>250</v>
      </c>
      <c r="D81" s="94" t="s">
        <v>401</v>
      </c>
      <c r="E81" s="95" t="s">
        <v>402</v>
      </c>
      <c r="F81" s="96" t="s">
        <v>253</v>
      </c>
      <c r="G81" s="97" t="s">
        <v>403</v>
      </c>
      <c r="H81" s="98" t="s">
        <v>396</v>
      </c>
      <c r="I81" s="99" t="n">
        <v>1</v>
      </c>
      <c r="J81" s="100" t="n">
        <v>1</v>
      </c>
      <c r="K81" s="101" t="n">
        <v>0.0077</v>
      </c>
      <c r="L81" s="102" t="n">
        <v>293828806.709757</v>
      </c>
      <c r="M81" s="103" t="n">
        <v>293212473.334583</v>
      </c>
      <c r="N81" s="104" t="str">
        <f>MIN(MAX((B81-'Calculation_Assumptions'!$B$5+1)/'Calculation_Assumptions'!$B$7,0),1)</f>
      </c>
      <c r="O81" s="105" t="str">
        <f>L81*I81</f>
      </c>
      <c r="P81" s="106" t="str">
        <f>M81*I81</f>
      </c>
      <c r="Q81" s="107" t="str">
        <f>P81*'Calculation_Assumptions'!$B$14*J81*K81</f>
      </c>
      <c r="R81" s="108" t="str">
        <f>O81*N81*J81*K81</f>
      </c>
      <c r="S81" s="109" t="str">
        <f>R81-Q81</f>
      </c>
      <c r="T81" s="110" t="str">
        <f>1/(1+'Calculation_Assumptions'!$B$8)^(B81-'Calculation_Assumptions'!$B$2)</f>
      </c>
      <c r="U81" s="111" t="str">
        <f>Q81*T81</f>
      </c>
      <c r="V81" s="112" t="str">
        <f>R81*T81</f>
      </c>
      <c r="W81" s="113" t="str">
        <f>S81*T81</f>
      </c>
      <c r="X81" t="n">
        <v>0</v>
      </c>
      <c r="Y81" s="114" t="n">
        <v>2017</v>
      </c>
      <c r="Z81" t="s">
        <v>399</v>
      </c>
      <c r="AA81" s="115" t="str">
        <f>IF(G81="shared-count-once",COUNTIFS($A$2:$A$287,A81,$B$2:$B$287,B81,$D$2:$D$287,D81),1)</f>
      </c>
      <c r="AB81" s="116" t="n">
        <v>290472130.233437</v>
      </c>
      <c r="AC81" s="117" t="str">
        <f>IF(AB81=0,"",Q81/AB81)</f>
      </c>
      <c r="AD81" s="118" t="str">
        <f>IF(AB81=0,"",R81/AB81)</f>
      </c>
      <c r="AE81" s="119" t="str">
        <f>IF(AB81=0,"",S81/AB81)</f>
      </c>
      <c r="AF81" s="120" t="str">
        <f>IF(AB81=0,"",W81/AB81)</f>
      </c>
    </row>
    <row r="82">
      <c r="A82" t="s">
        <v>250</v>
      </c>
      <c r="B82" s="93" t="n">
        <v>2027</v>
      </c>
      <c r="C82" t="s">
        <v>250</v>
      </c>
      <c r="D82" s="94" t="s">
        <v>401</v>
      </c>
      <c r="E82" s="95" t="s">
        <v>402</v>
      </c>
      <c r="F82" s="96" t="s">
        <v>253</v>
      </c>
      <c r="G82" s="97" t="s">
        <v>403</v>
      </c>
      <c r="H82" s="98" t="s">
        <v>396</v>
      </c>
      <c r="I82" s="99" t="n">
        <v>1</v>
      </c>
      <c r="J82" s="100" t="n">
        <v>1</v>
      </c>
      <c r="K82" s="101" t="n">
        <v>0.0077</v>
      </c>
      <c r="L82" s="102" t="n">
        <v>295750549.697717</v>
      </c>
      <c r="M82" s="103" t="n">
        <v>295196117.964647</v>
      </c>
      <c r="N82" s="104" t="str">
        <f>MIN(MAX((B82-'Calculation_Assumptions'!$B$5+1)/'Calculation_Assumptions'!$B$7,0),1)</f>
      </c>
      <c r="O82" s="105" t="str">
        <f>L82*I82</f>
      </c>
      <c r="P82" s="106" t="str">
        <f>M82*I82</f>
      </c>
      <c r="Q82" s="107" t="str">
        <f>P82*'Calculation_Assumptions'!$B$14*J82*K82</f>
      </c>
      <c r="R82" s="108" t="str">
        <f>O82*N82*J82*K82</f>
      </c>
      <c r="S82" s="109" t="str">
        <f>R82-Q82</f>
      </c>
      <c r="T82" s="110" t="str">
        <f>1/(1+'Calculation_Assumptions'!$B$8)^(B82-'Calculation_Assumptions'!$B$2)</f>
      </c>
      <c r="U82" s="111" t="str">
        <f>Q82*T82</f>
      </c>
      <c r="V82" s="112" t="str">
        <f>R82*T82</f>
      </c>
      <c r="W82" s="113" t="str">
        <f>S82*T82</f>
      </c>
      <c r="X82" t="n">
        <v>0</v>
      </c>
      <c r="Y82" s="114" t="n">
        <v>2017</v>
      </c>
      <c r="Z82" t="s">
        <v>399</v>
      </c>
      <c r="AA82" s="115" t="str">
        <f>IF(G82="shared-count-once",COUNTIFS($A$2:$A$287,A82,$B$2:$B$287,B82,$D$2:$D$287,D82),1)</f>
      </c>
      <c r="AB82" s="116" t="n">
        <v>292505080.826208</v>
      </c>
      <c r="AC82" s="117" t="str">
        <f>IF(AB82=0,"",Q82/AB82)</f>
      </c>
      <c r="AD82" s="118" t="str">
        <f>IF(AB82=0,"",R82/AB82)</f>
      </c>
      <c r="AE82" s="119" t="str">
        <f>IF(AB82=0,"",S82/AB82)</f>
      </c>
      <c r="AF82" s="120" t="str">
        <f>IF(AB82=0,"",W82/AB82)</f>
      </c>
    </row>
    <row r="83">
      <c r="A83" t="s">
        <v>250</v>
      </c>
      <c r="B83" s="93" t="n">
        <v>2028</v>
      </c>
      <c r="C83" t="s">
        <v>250</v>
      </c>
      <c r="D83" s="94" t="s">
        <v>401</v>
      </c>
      <c r="E83" s="95" t="s">
        <v>402</v>
      </c>
      <c r="F83" s="96" t="s">
        <v>253</v>
      </c>
      <c r="G83" s="97" t="s">
        <v>403</v>
      </c>
      <c r="H83" s="98" t="s">
        <v>396</v>
      </c>
      <c r="I83" s="99" t="n">
        <v>1</v>
      </c>
      <c r="J83" s="100" t="n">
        <v>1</v>
      </c>
      <c r="K83" s="101" t="n">
        <v>0.0077</v>
      </c>
      <c r="L83" s="102" t="n">
        <v>297637605.295735</v>
      </c>
      <c r="M83" s="103" t="n">
        <v>297107934.99345</v>
      </c>
      <c r="N83" s="104" t="str">
        <f>MIN(MAX((B83-'Calculation_Assumptions'!$B$5+1)/'Calculation_Assumptions'!$B$7,0),1)</f>
      </c>
      <c r="O83" s="105" t="str">
        <f>L83*I83</f>
      </c>
      <c r="P83" s="106" t="str">
        <f>M83*I83</f>
      </c>
      <c r="Q83" s="107" t="str">
        <f>P83*'Calculation_Assumptions'!$B$14*J83*K83</f>
      </c>
      <c r="R83" s="108" t="str">
        <f>O83*N83*J83*K83</f>
      </c>
      <c r="S83" s="109" t="str">
        <f>R83-Q83</f>
      </c>
      <c r="T83" s="110" t="str">
        <f>1/(1+'Calculation_Assumptions'!$B$8)^(B83-'Calculation_Assumptions'!$B$2)</f>
      </c>
      <c r="U83" s="111" t="str">
        <f>Q83*T83</f>
      </c>
      <c r="V83" s="112" t="str">
        <f>R83*T83</f>
      </c>
      <c r="W83" s="113" t="str">
        <f>S83*T83</f>
      </c>
      <c r="X83" t="n">
        <v>0</v>
      </c>
      <c r="Y83" s="114" t="n">
        <v>2017</v>
      </c>
      <c r="Z83" t="s">
        <v>399</v>
      </c>
      <c r="AA83" s="115" t="str">
        <f>IF(G83="shared-count-once",COUNTIFS($A$2:$A$287,A83,$B$2:$B$287,B83,$D$2:$D$287,D83),1)</f>
      </c>
      <c r="AB83" s="116" t="n">
        <v>294484707.921554</v>
      </c>
      <c r="AC83" s="117" t="str">
        <f>IF(AB83=0,"",Q83/AB83)</f>
      </c>
      <c r="AD83" s="118" t="str">
        <f>IF(AB83=0,"",R83/AB83)</f>
      </c>
      <c r="AE83" s="119" t="str">
        <f>IF(AB83=0,"",S83/AB83)</f>
      </c>
      <c r="AF83" s="120" t="str">
        <f>IF(AB83=0,"",W83/AB83)</f>
      </c>
    </row>
    <row r="84">
      <c r="A84" t="s">
        <v>250</v>
      </c>
      <c r="B84" s="93" t="n">
        <v>2029</v>
      </c>
      <c r="C84" t="s">
        <v>250</v>
      </c>
      <c r="D84" s="94" t="s">
        <v>401</v>
      </c>
      <c r="E84" s="95" t="s">
        <v>402</v>
      </c>
      <c r="F84" s="96" t="s">
        <v>253</v>
      </c>
      <c r="G84" s="97" t="s">
        <v>403</v>
      </c>
      <c r="H84" s="98" t="s">
        <v>396</v>
      </c>
      <c r="I84" s="99" t="n">
        <v>1</v>
      </c>
      <c r="J84" s="100" t="n">
        <v>1</v>
      </c>
      <c r="K84" s="101" t="n">
        <v>0.0077</v>
      </c>
      <c r="L84" s="102" t="n">
        <v>299464567.005983</v>
      </c>
      <c r="M84" s="103" t="n">
        <v>298981169.683309</v>
      </c>
      <c r="N84" s="104" t="str">
        <f>MIN(MAX((B84-'Calculation_Assumptions'!$B$5+1)/'Calculation_Assumptions'!$B$7,0),1)</f>
      </c>
      <c r="O84" s="105" t="str">
        <f>L84*I84</f>
      </c>
      <c r="P84" s="106" t="str">
        <f>M84*I84</f>
      </c>
      <c r="Q84" s="107" t="str">
        <f>P84*'Calculation_Assumptions'!$B$14*J84*K84</f>
      </c>
      <c r="R84" s="108" t="str">
        <f>O84*N84*J84*K84</f>
      </c>
      <c r="S84" s="109" t="str">
        <f>R84-Q84</f>
      </c>
      <c r="T84" s="110" t="str">
        <f>1/(1+'Calculation_Assumptions'!$B$8)^(B84-'Calculation_Assumptions'!$B$2)</f>
      </c>
      <c r="U84" s="111" t="str">
        <f>Q84*T84</f>
      </c>
      <c r="V84" s="112" t="str">
        <f>R84*T84</f>
      </c>
      <c r="W84" s="113" t="str">
        <f>S84*T84</f>
      </c>
      <c r="X84" t="n">
        <v>0</v>
      </c>
      <c r="Y84" s="114" t="n">
        <v>2017</v>
      </c>
      <c r="Z84" t="s">
        <v>399</v>
      </c>
      <c r="AA84" s="115" t="str">
        <f>IF(G84="shared-count-once",COUNTIFS($A$2:$A$287,A84,$B$2:$B$287,B84,$D$2:$D$287,D84),1)</f>
      </c>
      <c r="AB84" s="116" t="n">
        <v>296414030.31143</v>
      </c>
      <c r="AC84" s="117" t="str">
        <f>IF(AB84=0,"",Q84/AB84)</f>
      </c>
      <c r="AD84" s="118" t="str">
        <f>IF(AB84=0,"",R84/AB84)</f>
      </c>
      <c r="AE84" s="119" t="str">
        <f>IF(AB84=0,"",S84/AB84)</f>
      </c>
      <c r="AF84" s="120" t="str">
        <f>IF(AB84=0,"",W84/AB84)</f>
      </c>
    </row>
    <row r="85">
      <c r="A85" t="s">
        <v>250</v>
      </c>
      <c r="B85" s="93" t="n">
        <v>2030</v>
      </c>
      <c r="C85" t="s">
        <v>250</v>
      </c>
      <c r="D85" s="94" t="s">
        <v>401</v>
      </c>
      <c r="E85" s="95" t="s">
        <v>402</v>
      </c>
      <c r="F85" s="96" t="s">
        <v>253</v>
      </c>
      <c r="G85" s="97" t="s">
        <v>403</v>
      </c>
      <c r="H85" s="98" t="s">
        <v>396</v>
      </c>
      <c r="I85" s="99" t="n">
        <v>1</v>
      </c>
      <c r="J85" s="100" t="n">
        <v>1</v>
      </c>
      <c r="K85" s="101" t="n">
        <v>0.0077</v>
      </c>
      <c r="L85" s="102" t="n">
        <v>301224138.438023</v>
      </c>
      <c r="M85" s="103" t="n">
        <v>300784244.146626</v>
      </c>
      <c r="N85" s="104" t="str">
        <f>MIN(MAX((B85-'Calculation_Assumptions'!$B$5+1)/'Calculation_Assumptions'!$B$7,0),1)</f>
      </c>
      <c r="O85" s="105" t="str">
        <f>L85*I85</f>
      </c>
      <c r="P85" s="106" t="str">
        <f>M85*I85</f>
      </c>
      <c r="Q85" s="107" t="str">
        <f>P85*'Calculation_Assumptions'!$B$14*J85*K85</f>
      </c>
      <c r="R85" s="108" t="str">
        <f>O85*N85*J85*K85</f>
      </c>
      <c r="S85" s="109" t="str">
        <f>R85-Q85</f>
      </c>
      <c r="T85" s="110" t="str">
        <f>1/(1+'Calculation_Assumptions'!$B$8)^(B85-'Calculation_Assumptions'!$B$2)</f>
      </c>
      <c r="U85" s="111" t="str">
        <f>Q85*T85</f>
      </c>
      <c r="V85" s="112" t="str">
        <f>R85*T85</f>
      </c>
      <c r="W85" s="113" t="str">
        <f>S85*T85</f>
      </c>
      <c r="X85" t="n">
        <v>0</v>
      </c>
      <c r="Y85" s="114" t="n">
        <v>2017</v>
      </c>
      <c r="Z85" t="s">
        <v>399</v>
      </c>
      <c r="AA85" s="115" t="str">
        <f>IF(G85="shared-count-once",COUNTIFS($A$2:$A$287,A85,$B$2:$B$287,B85,$D$2:$D$287,D85),1)</f>
      </c>
      <c r="AB85" s="116" t="n">
        <v>298289404.664994</v>
      </c>
      <c r="AC85" s="117" t="str">
        <f>IF(AB85=0,"",Q85/AB85)</f>
      </c>
      <c r="AD85" s="118" t="str">
        <f>IF(AB85=0,"",R85/AB85)</f>
      </c>
      <c r="AE85" s="119" t="str">
        <f>IF(AB85=0,"",S85/AB85)</f>
      </c>
      <c r="AF85" s="120" t="str">
        <f>IF(AB85=0,"",W85/AB85)</f>
      </c>
    </row>
    <row r="86">
      <c r="A86" t="s">
        <v>250</v>
      </c>
      <c r="B86" s="93" t="n">
        <v>2031</v>
      </c>
      <c r="C86" t="s">
        <v>250</v>
      </c>
      <c r="D86" s="94" t="s">
        <v>401</v>
      </c>
      <c r="E86" s="95" t="s">
        <v>402</v>
      </c>
      <c r="F86" s="96" t="s">
        <v>253</v>
      </c>
      <c r="G86" s="97" t="s">
        <v>403</v>
      </c>
      <c r="H86" s="98" t="s">
        <v>396</v>
      </c>
      <c r="I86" s="99" t="n">
        <v>1</v>
      </c>
      <c r="J86" s="100" t="n">
        <v>1</v>
      </c>
      <c r="K86" s="101" t="n">
        <v>0.0077</v>
      </c>
      <c r="L86" s="102" t="n">
        <v>302961088.640671</v>
      </c>
      <c r="M86" s="103" t="n">
        <v>302561623.795312</v>
      </c>
      <c r="N86" s="104" t="str">
        <f>MIN(MAX((B86-'Calculation_Assumptions'!$B$5+1)/'Calculation_Assumptions'!$B$7,0),1)</f>
      </c>
      <c r="O86" s="105" t="str">
        <f>L86*I86</f>
      </c>
      <c r="P86" s="106" t="str">
        <f>M86*I86</f>
      </c>
      <c r="Q86" s="107" t="str">
        <f>P86*'Calculation_Assumptions'!$B$14*J86*K86</f>
      </c>
      <c r="R86" s="108" t="str">
        <f>O86*N86*J86*K86</f>
      </c>
      <c r="S86" s="109" t="str">
        <f>R86-Q86</f>
      </c>
      <c r="T86" s="110" t="str">
        <f>1/(1+'Calculation_Assumptions'!$B$8)^(B86-'Calculation_Assumptions'!$B$2)</f>
      </c>
      <c r="U86" s="111" t="str">
        <f>Q86*T86</f>
      </c>
      <c r="V86" s="112" t="str">
        <f>R86*T86</f>
      </c>
      <c r="W86" s="113" t="str">
        <f>S86*T86</f>
      </c>
      <c r="X86" t="n">
        <v>0</v>
      </c>
      <c r="Y86" s="114" t="n">
        <v>2017</v>
      </c>
      <c r="Z86" t="s">
        <v>399</v>
      </c>
      <c r="AA86" s="115" t="str">
        <f>IF(G86="shared-count-once",COUNTIFS($A$2:$A$287,A86,$B$2:$B$287,B86,$D$2:$D$287,D86),1)</f>
      </c>
      <c r="AB86" s="116" t="n">
        <v>300119636.925519</v>
      </c>
      <c r="AC86" s="117" t="str">
        <f>IF(AB86=0,"",Q86/AB86)</f>
      </c>
      <c r="AD86" s="118" t="str">
        <f>IF(AB86=0,"",R86/AB86)</f>
      </c>
      <c r="AE86" s="119" t="str">
        <f>IF(AB86=0,"",S86/AB86)</f>
      </c>
      <c r="AF86" s="120" t="str">
        <f>IF(AB86=0,"",W86/AB86)</f>
      </c>
    </row>
    <row r="87">
      <c r="A87" t="s">
        <v>250</v>
      </c>
      <c r="B87" s="93" t="n">
        <v>2032</v>
      </c>
      <c r="C87" t="s">
        <v>250</v>
      </c>
      <c r="D87" s="94" t="s">
        <v>401</v>
      </c>
      <c r="E87" s="95" t="s">
        <v>402</v>
      </c>
      <c r="F87" s="96" t="s">
        <v>253</v>
      </c>
      <c r="G87" s="97" t="s">
        <v>403</v>
      </c>
      <c r="H87" s="98" t="s">
        <v>396</v>
      </c>
      <c r="I87" s="99" t="n">
        <v>1</v>
      </c>
      <c r="J87" s="100" t="n">
        <v>1</v>
      </c>
      <c r="K87" s="101" t="n">
        <v>0.0077</v>
      </c>
      <c r="L87" s="102" t="n">
        <v>304658204.946315</v>
      </c>
      <c r="M87" s="103" t="n">
        <v>304296909.955394</v>
      </c>
      <c r="N87" s="104" t="str">
        <f>MIN(MAX((B87-'Calculation_Assumptions'!$B$5+1)/'Calculation_Assumptions'!$B$7,0),1)</f>
      </c>
      <c r="O87" s="105" t="str">
        <f>L87*I87</f>
      </c>
      <c r="P87" s="106" t="str">
        <f>M87*I87</f>
      </c>
      <c r="Q87" s="107" t="str">
        <f>P87*'Calculation_Assumptions'!$B$14*J87*K87</f>
      </c>
      <c r="R87" s="108" t="str">
        <f>O87*N87*J87*K87</f>
      </c>
      <c r="S87" s="109" t="str">
        <f>R87-Q87</f>
      </c>
      <c r="T87" s="110" t="str">
        <f>1/(1+'Calculation_Assumptions'!$B$8)^(B87-'Calculation_Assumptions'!$B$2)</f>
      </c>
      <c r="U87" s="111" t="str">
        <f>Q87*T87</f>
      </c>
      <c r="V87" s="112" t="str">
        <f>R87*T87</f>
      </c>
      <c r="W87" s="113" t="str">
        <f>S87*T87</f>
      </c>
      <c r="X87" t="n">
        <v>0</v>
      </c>
      <c r="Y87" s="114" t="n">
        <v>2017</v>
      </c>
      <c r="Z87" t="s">
        <v>399</v>
      </c>
      <c r="AA87" s="115" t="str">
        <f>IF(G87="shared-count-once",COUNTIFS($A$2:$A$287,A87,$B$2:$B$287,B87,$D$2:$D$287,D87),1)</f>
      </c>
      <c r="AB87" s="116" t="n">
        <v>301904628.083541</v>
      </c>
      <c r="AC87" s="117" t="str">
        <f>IF(AB87=0,"",Q87/AB87)</f>
      </c>
      <c r="AD87" s="118" t="str">
        <f>IF(AB87=0,"",R87/AB87)</f>
      </c>
      <c r="AE87" s="119" t="str">
        <f>IF(AB87=0,"",S87/AB87)</f>
      </c>
      <c r="AF87" s="120" t="str">
        <f>IF(AB87=0,"",W87/AB87)</f>
      </c>
    </row>
    <row r="88">
      <c r="A88" t="s">
        <v>250</v>
      </c>
      <c r="B88" s="93" t="n">
        <v>2033</v>
      </c>
      <c r="C88" t="s">
        <v>250</v>
      </c>
      <c r="D88" s="94" t="s">
        <v>401</v>
      </c>
      <c r="E88" s="95" t="s">
        <v>402</v>
      </c>
      <c r="F88" s="96" t="s">
        <v>253</v>
      </c>
      <c r="G88" s="97" t="s">
        <v>403</v>
      </c>
      <c r="H88" s="98" t="s">
        <v>396</v>
      </c>
      <c r="I88" s="99" t="n">
        <v>1</v>
      </c>
      <c r="J88" s="100" t="n">
        <v>1</v>
      </c>
      <c r="K88" s="101" t="n">
        <v>0.0077</v>
      </c>
      <c r="L88" s="102" t="n">
        <v>306315775.06274</v>
      </c>
      <c r="M88" s="103" t="n">
        <v>305990042.260363</v>
      </c>
      <c r="N88" s="104" t="str">
        <f>MIN(MAX((B88-'Calculation_Assumptions'!$B$5+1)/'Calculation_Assumptions'!$B$7,0),1)</f>
      </c>
      <c r="O88" s="105" t="str">
        <f>L88*I88</f>
      </c>
      <c r="P88" s="106" t="str">
        <f>M88*I88</f>
      </c>
      <c r="Q88" s="107" t="str">
        <f>P88*'Calculation_Assumptions'!$B$14*J88*K88</f>
      </c>
      <c r="R88" s="108" t="str">
        <f>O88*N88*J88*K88</f>
      </c>
      <c r="S88" s="109" t="str">
        <f>R88-Q88</f>
      </c>
      <c r="T88" s="110" t="str">
        <f>1/(1+'Calculation_Assumptions'!$B$8)^(B88-'Calculation_Assumptions'!$B$2)</f>
      </c>
      <c r="U88" s="111" t="str">
        <f>Q88*T88</f>
      </c>
      <c r="V88" s="112" t="str">
        <f>R88*T88</f>
      </c>
      <c r="W88" s="113" t="str">
        <f>S88*T88</f>
      </c>
      <c r="X88" t="n">
        <v>0</v>
      </c>
      <c r="Y88" s="114" t="n">
        <v>2017</v>
      </c>
      <c r="Z88" t="s">
        <v>399</v>
      </c>
      <c r="AA88" s="115" t="str">
        <f>IF(G88="shared-count-once",COUNTIFS($A$2:$A$287,A88,$B$2:$B$287,B88,$D$2:$D$287,D88),1)</f>
      </c>
      <c r="AB88" s="116" t="n">
        <v>303644277.16916</v>
      </c>
      <c r="AC88" s="117" t="str">
        <f>IF(AB88=0,"",Q88/AB88)</f>
      </c>
      <c r="AD88" s="118" t="str">
        <f>IF(AB88=0,"",R88/AB88)</f>
      </c>
      <c r="AE88" s="119" t="str">
        <f>IF(AB88=0,"",S88/AB88)</f>
      </c>
      <c r="AF88" s="120" t="str">
        <f>IF(AB88=0,"",W88/AB88)</f>
      </c>
    </row>
    <row r="89">
      <c r="A89" t="s">
        <v>250</v>
      </c>
      <c r="B89" s="93" t="n">
        <v>2034</v>
      </c>
      <c r="C89" t="s">
        <v>250</v>
      </c>
      <c r="D89" s="94" t="s">
        <v>401</v>
      </c>
      <c r="E89" s="95" t="s">
        <v>402</v>
      </c>
      <c r="F89" s="96" t="s">
        <v>253</v>
      </c>
      <c r="G89" s="97" t="s">
        <v>403</v>
      </c>
      <c r="H89" s="98" t="s">
        <v>396</v>
      </c>
      <c r="I89" s="99" t="n">
        <v>1</v>
      </c>
      <c r="J89" s="100" t="n">
        <v>1</v>
      </c>
      <c r="K89" s="101" t="n">
        <v>0.0077</v>
      </c>
      <c r="L89" s="102" t="n">
        <v>307927026.337649</v>
      </c>
      <c r="M89" s="103" t="n">
        <v>307635526.02883</v>
      </c>
      <c r="N89" s="104" t="str">
        <f>MIN(MAX((B89-'Calculation_Assumptions'!$B$5+1)/'Calculation_Assumptions'!$B$7,0),1)</f>
      </c>
      <c r="O89" s="105" t="str">
        <f>L89*I89</f>
      </c>
      <c r="P89" s="106" t="str">
        <f>M89*I89</f>
      </c>
      <c r="Q89" s="107" t="str">
        <f>P89*'Calculation_Assumptions'!$B$14*J89*K89</f>
      </c>
      <c r="R89" s="108" t="str">
        <f>O89*N89*J89*K89</f>
      </c>
      <c r="S89" s="109" t="str">
        <f>R89-Q89</f>
      </c>
      <c r="T89" s="110" t="str">
        <f>1/(1+'Calculation_Assumptions'!$B$8)^(B89-'Calculation_Assumptions'!$B$2)</f>
      </c>
      <c r="U89" s="111" t="str">
        <f>Q89*T89</f>
      </c>
      <c r="V89" s="112" t="str">
        <f>R89*T89</f>
      </c>
      <c r="W89" s="113" t="str">
        <f>S89*T89</f>
      </c>
      <c r="X89" t="n">
        <v>0</v>
      </c>
      <c r="Y89" s="114" t="n">
        <v>2017</v>
      </c>
      <c r="Z89" t="s">
        <v>399</v>
      </c>
      <c r="AA89" s="115" t="str">
        <f>IF(G89="shared-count-once",COUNTIFS($A$2:$A$287,A89,$B$2:$B$287,B89,$D$2:$D$287,D89),1)</f>
      </c>
      <c r="AB89" s="116" t="n">
        <v>305332541.184984</v>
      </c>
      <c r="AC89" s="117" t="str">
        <f>IF(AB89=0,"",Q89/AB89)</f>
      </c>
      <c r="AD89" s="118" t="str">
        <f>IF(AB89=0,"",R89/AB89)</f>
      </c>
      <c r="AE89" s="119" t="str">
        <f>IF(AB89=0,"",S89/AB89)</f>
      </c>
      <c r="AF89" s="120" t="str">
        <f>IF(AB89=0,"",W89/AB89)</f>
      </c>
    </row>
    <row r="90">
      <c r="A90" t="s">
        <v>250</v>
      </c>
      <c r="B90" s="93" t="n">
        <v>2035</v>
      </c>
      <c r="C90" t="s">
        <v>250</v>
      </c>
      <c r="D90" s="94" t="s">
        <v>401</v>
      </c>
      <c r="E90" s="95" t="s">
        <v>402</v>
      </c>
      <c r="F90" s="96" t="s">
        <v>253</v>
      </c>
      <c r="G90" s="97" t="s">
        <v>403</v>
      </c>
      <c r="H90" s="98" t="s">
        <v>396</v>
      </c>
      <c r="I90" s="99" t="n">
        <v>1</v>
      </c>
      <c r="J90" s="100" t="n">
        <v>1</v>
      </c>
      <c r="K90" s="101" t="n">
        <v>0.0077</v>
      </c>
      <c r="L90" s="102" t="n">
        <v>309488122.067261</v>
      </c>
      <c r="M90" s="103" t="n">
        <v>309228183.19713</v>
      </c>
      <c r="N90" s="104" t="str">
        <f>MIN(MAX((B90-'Calculation_Assumptions'!$B$5+1)/'Calculation_Assumptions'!$B$7,0),1)</f>
      </c>
      <c r="O90" s="105" t="str">
        <f>L90*I90</f>
      </c>
      <c r="P90" s="106" t="str">
        <f>M90*I90</f>
      </c>
      <c r="Q90" s="107" t="str">
        <f>P90*'Calculation_Assumptions'!$B$14*J90*K90</f>
      </c>
      <c r="R90" s="108" t="str">
        <f>O90*N90*J90*K90</f>
      </c>
      <c r="S90" s="109" t="str">
        <f>R90-Q90</f>
      </c>
      <c r="T90" s="110" t="str">
        <f>1/(1+'Calculation_Assumptions'!$B$8)^(B90-'Calculation_Assumptions'!$B$2)</f>
      </c>
      <c r="U90" s="111" t="str">
        <f>Q90*T90</f>
      </c>
      <c r="V90" s="112" t="str">
        <f>R90*T90</f>
      </c>
      <c r="W90" s="113" t="str">
        <f>S90*T90</f>
      </c>
      <c r="X90" t="n">
        <v>0</v>
      </c>
      <c r="Y90" s="114" t="n">
        <v>2017</v>
      </c>
      <c r="Z90" t="s">
        <v>399</v>
      </c>
      <c r="AA90" s="115" t="str">
        <f>IF(G90="shared-count-once",COUNTIFS($A$2:$A$287,A90,$B$2:$B$287,B90,$D$2:$D$287,D90),1)</f>
      </c>
      <c r="AB90" s="116" t="n">
        <v>306964650.16712</v>
      </c>
      <c r="AC90" s="117" t="str">
        <f>IF(AB90=0,"",Q90/AB90)</f>
      </c>
      <c r="AD90" s="118" t="str">
        <f>IF(AB90=0,"",R90/AB90)</f>
      </c>
      <c r="AE90" s="119" t="str">
        <f>IF(AB90=0,"",S90/AB90)</f>
      </c>
      <c r="AF90" s="120" t="str">
        <f>IF(AB90=0,"",W90/AB90)</f>
      </c>
    </row>
    <row r="91">
      <c r="A91" t="s">
        <v>250</v>
      </c>
      <c r="B91" s="93" t="n">
        <v>2036</v>
      </c>
      <c r="C91" t="s">
        <v>250</v>
      </c>
      <c r="D91" s="94" t="s">
        <v>401</v>
      </c>
      <c r="E91" s="95" t="s">
        <v>402</v>
      </c>
      <c r="F91" s="96" t="s">
        <v>253</v>
      </c>
      <c r="G91" s="97" t="s">
        <v>403</v>
      </c>
      <c r="H91" s="98" t="s">
        <v>396</v>
      </c>
      <c r="I91" s="99" t="n">
        <v>1</v>
      </c>
      <c r="J91" s="100" t="n">
        <v>1</v>
      </c>
      <c r="K91" s="101" t="n">
        <v>0.0077</v>
      </c>
      <c r="L91" s="102" t="n">
        <v>311000575.180327</v>
      </c>
      <c r="M91" s="103" t="n">
        <v>310769483.46493</v>
      </c>
      <c r="N91" s="104" t="str">
        <f>MIN(MAX((B91-'Calculation_Assumptions'!$B$5+1)/'Calculation_Assumptions'!$B$7,0),1)</f>
      </c>
      <c r="O91" s="105" t="str">
        <f>L91*I91</f>
      </c>
      <c r="P91" s="106" t="str">
        <f>M91*I91</f>
      </c>
      <c r="Q91" s="107" t="str">
        <f>P91*'Calculation_Assumptions'!$B$14*J91*K91</f>
      </c>
      <c r="R91" s="108" t="str">
        <f>O91*N91*J91*K91</f>
      </c>
      <c r="S91" s="109" t="str">
        <f>R91-Q91</f>
      </c>
      <c r="T91" s="110" t="str">
        <f>1/(1+'Calculation_Assumptions'!$B$8)^(B91-'Calculation_Assumptions'!$B$2)</f>
      </c>
      <c r="U91" s="111" t="str">
        <f>Q91*T91</f>
      </c>
      <c r="V91" s="112" t="str">
        <f>R91*T91</f>
      </c>
      <c r="W91" s="113" t="str">
        <f>S91*T91</f>
      </c>
      <c r="X91" t="n">
        <v>0</v>
      </c>
      <c r="Y91" s="114" t="n">
        <v>2017</v>
      </c>
      <c r="Z91" t="s">
        <v>399</v>
      </c>
      <c r="AA91" s="115" t="str">
        <f>IF(G91="shared-count-once",COUNTIFS($A$2:$A$287,A91,$B$2:$B$287,B91,$D$2:$D$287,D91),1)</f>
      </c>
      <c r="AB91" s="116" t="n">
        <v>308542769.756622</v>
      </c>
      <c r="AC91" s="117" t="str">
        <f>IF(AB91=0,"",Q91/AB91)</f>
      </c>
      <c r="AD91" s="118" t="str">
        <f>IF(AB91=0,"",R91/AB91)</f>
      </c>
      <c r="AE91" s="119" t="str">
        <f>IF(AB91=0,"",S91/AB91)</f>
      </c>
      <c r="AF91" s="120" t="str">
        <f>IF(AB91=0,"",W91/AB91)</f>
      </c>
    </row>
    <row r="92">
      <c r="A92" t="s">
        <v>250</v>
      </c>
      <c r="B92" s="93" t="n">
        <v>2037</v>
      </c>
      <c r="C92" t="s">
        <v>250</v>
      </c>
      <c r="D92" s="94" t="s">
        <v>401</v>
      </c>
      <c r="E92" s="95" t="s">
        <v>402</v>
      </c>
      <c r="F92" s="96" t="s">
        <v>253</v>
      </c>
      <c r="G92" s="97" t="s">
        <v>403</v>
      </c>
      <c r="H92" s="98" t="s">
        <v>396</v>
      </c>
      <c r="I92" s="99" t="n">
        <v>1</v>
      </c>
      <c r="J92" s="100" t="n">
        <v>1</v>
      </c>
      <c r="K92" s="101" t="n">
        <v>0.0077</v>
      </c>
      <c r="L92" s="102" t="n">
        <v>312478350.481983</v>
      </c>
      <c r="M92" s="103" t="n">
        <v>312262197.186949</v>
      </c>
      <c r="N92" s="104" t="str">
        <f>MIN(MAX((B92-'Calculation_Assumptions'!$B$5+1)/'Calculation_Assumptions'!$B$7,0),1)</f>
      </c>
      <c r="O92" s="105" t="str">
        <f>L92*I92</f>
      </c>
      <c r="P92" s="106" t="str">
        <f>M92*I92</f>
      </c>
      <c r="Q92" s="107" t="str">
        <f>P92*'Calculation_Assumptions'!$B$14*J92*K92</f>
      </c>
      <c r="R92" s="108" t="str">
        <f>O92*N92*J92*K92</f>
      </c>
      <c r="S92" s="109" t="str">
        <f>R92-Q92</f>
      </c>
      <c r="T92" s="110" t="str">
        <f>1/(1+'Calculation_Assumptions'!$B$8)^(B92-'Calculation_Assumptions'!$B$2)</f>
      </c>
      <c r="U92" s="111" t="str">
        <f>Q92*T92</f>
      </c>
      <c r="V92" s="112" t="str">
        <f>R92*T92</f>
      </c>
      <c r="W92" s="113" t="str">
        <f>S92*T92</f>
      </c>
      <c r="X92" t="n">
        <v>0</v>
      </c>
      <c r="Y92" s="114" t="n">
        <v>2017</v>
      </c>
      <c r="Z92" t="s">
        <v>399</v>
      </c>
      <c r="AA92" s="115" t="str">
        <f>IF(G92="shared-count-once",COUNTIFS($A$2:$A$287,A92,$B$2:$B$287,B92,$D$2:$D$287,D92),1)</f>
      </c>
      <c r="AB92" s="116" t="n">
        <v>310068287.63643</v>
      </c>
      <c r="AC92" s="117" t="str">
        <f>IF(AB92=0,"",Q92/AB92)</f>
      </c>
      <c r="AD92" s="118" t="str">
        <f>IF(AB92=0,"",R92/AB92)</f>
      </c>
      <c r="AE92" s="119" t="str">
        <f>IF(AB92=0,"",S92/AB92)</f>
      </c>
      <c r="AF92" s="120" t="str">
        <f>IF(AB92=0,"",W92/AB92)</f>
      </c>
    </row>
    <row r="93">
      <c r="A93" t="s">
        <v>250</v>
      </c>
      <c r="B93" s="93" t="n">
        <v>2038</v>
      </c>
      <c r="C93" t="s">
        <v>250</v>
      </c>
      <c r="D93" s="94" t="s">
        <v>401</v>
      </c>
      <c r="E93" s="95" t="s">
        <v>402</v>
      </c>
      <c r="F93" s="96" t="s">
        <v>253</v>
      </c>
      <c r="G93" s="97" t="s">
        <v>403</v>
      </c>
      <c r="H93" s="98" t="s">
        <v>396</v>
      </c>
      <c r="I93" s="99" t="n">
        <v>1</v>
      </c>
      <c r="J93" s="100" t="n">
        <v>1</v>
      </c>
      <c r="K93" s="101" t="n">
        <v>0.0077</v>
      </c>
      <c r="L93" s="102" t="n">
        <v>313911214.45273</v>
      </c>
      <c r="M93" s="103" t="n">
        <v>313730463.490198</v>
      </c>
      <c r="N93" s="104" t="str">
        <f>MIN(MAX((B93-'Calculation_Assumptions'!$B$5+1)/'Calculation_Assumptions'!$B$7,0),1)</f>
      </c>
      <c r="O93" s="105" t="str">
        <f>L93*I93</f>
      </c>
      <c r="P93" s="106" t="str">
        <f>M93*I93</f>
      </c>
      <c r="Q93" s="107" t="str">
        <f>P93*'Calculation_Assumptions'!$B$14*J93*K93</f>
      </c>
      <c r="R93" s="108" t="str">
        <f>O93*N93*J93*K93</f>
      </c>
      <c r="S93" s="109" t="str">
        <f>R93-Q93</f>
      </c>
      <c r="T93" s="110" t="str">
        <f>1/(1+'Calculation_Assumptions'!$B$8)^(B93-'Calculation_Assumptions'!$B$2)</f>
      </c>
      <c r="U93" s="111" t="str">
        <f>Q93*T93</f>
      </c>
      <c r="V93" s="112" t="str">
        <f>R93*T93</f>
      </c>
      <c r="W93" s="113" t="str">
        <f>S93*T93</f>
      </c>
      <c r="X93" t="n">
        <v>0</v>
      </c>
      <c r="Y93" s="114" t="n">
        <v>2017</v>
      </c>
      <c r="Z93" t="s">
        <v>399</v>
      </c>
      <c r="AA93" s="115" t="str">
        <f>IF(G93="shared-count-once",COUNTIFS($A$2:$A$287,A93,$B$2:$B$287,B93,$D$2:$D$287,D93),1)</f>
      </c>
      <c r="AB93" s="116" t="n">
        <v>311532999.13163</v>
      </c>
      <c r="AC93" s="117" t="str">
        <f>IF(AB93=0,"",Q93/AB93)</f>
      </c>
      <c r="AD93" s="118" t="str">
        <f>IF(AB93=0,"",R93/AB93)</f>
      </c>
      <c r="AE93" s="119" t="str">
        <f>IF(AB93=0,"",S93/AB93)</f>
      </c>
      <c r="AF93" s="120" t="str">
        <f>IF(AB93=0,"",W93/AB93)</f>
      </c>
    </row>
    <row r="94">
      <c r="A94" t="s">
        <v>250</v>
      </c>
      <c r="B94" s="93" t="n">
        <v>2039</v>
      </c>
      <c r="C94" t="s">
        <v>250</v>
      </c>
      <c r="D94" s="94" t="s">
        <v>401</v>
      </c>
      <c r="E94" s="95" t="s">
        <v>402</v>
      </c>
      <c r="F94" s="96" t="s">
        <v>253</v>
      </c>
      <c r="G94" s="97" t="s">
        <v>403</v>
      </c>
      <c r="H94" s="98" t="s">
        <v>396</v>
      </c>
      <c r="I94" s="99" t="n">
        <v>1</v>
      </c>
      <c r="J94" s="100" t="n">
        <v>1</v>
      </c>
      <c r="K94" s="101" t="n">
        <v>0.0077</v>
      </c>
      <c r="L94" s="102" t="n">
        <v>315279091.943784</v>
      </c>
      <c r="M94" s="103" t="n">
        <v>315115398.935154</v>
      </c>
      <c r="N94" s="104" t="str">
        <f>MIN(MAX((B94-'Calculation_Assumptions'!$B$5+1)/'Calculation_Assumptions'!$B$7,0),1)</f>
      </c>
      <c r="O94" s="105" t="str">
        <f>L94*I94</f>
      </c>
      <c r="P94" s="106" t="str">
        <f>M94*I94</f>
      </c>
      <c r="Q94" s="107" t="str">
        <f>P94*'Calculation_Assumptions'!$B$14*J94*K94</f>
      </c>
      <c r="R94" s="108" t="str">
        <f>O94*N94*J94*K94</f>
      </c>
      <c r="S94" s="109" t="str">
        <f>R94-Q94</f>
      </c>
      <c r="T94" s="110" t="str">
        <f>1/(1+'Calculation_Assumptions'!$B$8)^(B94-'Calculation_Assumptions'!$B$2)</f>
      </c>
      <c r="U94" s="111" t="str">
        <f>Q94*T94</f>
      </c>
      <c r="V94" s="112" t="str">
        <f>R94*T94</f>
      </c>
      <c r="W94" s="113" t="str">
        <f>S94*T94</f>
      </c>
      <c r="X94" t="n">
        <v>0</v>
      </c>
      <c r="Y94" s="114" t="n">
        <v>2017</v>
      </c>
      <c r="Z94" t="s">
        <v>399</v>
      </c>
      <c r="AA94" s="115" t="str">
        <f>IF(G94="shared-count-once",COUNTIFS($A$2:$A$287,A94,$B$2:$B$287,B94,$D$2:$D$287,D94),1)</f>
      </c>
      <c r="AB94" s="116" t="n">
        <v>312936391.858479</v>
      </c>
      <c r="AC94" s="117" t="str">
        <f>IF(AB94=0,"",Q94/AB94)</f>
      </c>
      <c r="AD94" s="118" t="str">
        <f>IF(AB94=0,"",R94/AB94)</f>
      </c>
      <c r="AE94" s="119" t="str">
        <f>IF(AB94=0,"",S94/AB94)</f>
      </c>
      <c r="AF94" s="120" t="str">
        <f>IF(AB94=0,"",W94/AB94)</f>
      </c>
    </row>
    <row r="95">
      <c r="A95" t="s">
        <v>250</v>
      </c>
      <c r="B95" s="93" t="n">
        <v>2040</v>
      </c>
      <c r="C95" t="s">
        <v>250</v>
      </c>
      <c r="D95" s="94" t="s">
        <v>401</v>
      </c>
      <c r="E95" s="95" t="s">
        <v>402</v>
      </c>
      <c r="F95" s="96" t="s">
        <v>253</v>
      </c>
      <c r="G95" s="97" t="s">
        <v>403</v>
      </c>
      <c r="H95" s="98" t="s">
        <v>396</v>
      </c>
      <c r="I95" s="99" t="n">
        <v>1</v>
      </c>
      <c r="J95" s="100" t="n">
        <v>1</v>
      </c>
      <c r="K95" s="101" t="n">
        <v>0.0077</v>
      </c>
      <c r="L95" s="102" t="n">
        <v>316577187.338098</v>
      </c>
      <c r="M95" s="103" t="n">
        <v>316427530.0167</v>
      </c>
      <c r="N95" s="104" t="str">
        <f>MIN(MAX((B95-'Calculation_Assumptions'!$B$5+1)/'Calculation_Assumptions'!$B$7,0),1)</f>
      </c>
      <c r="O95" s="105" t="str">
        <f>L95*I95</f>
      </c>
      <c r="P95" s="106" t="str">
        <f>M95*I95</f>
      </c>
      <c r="Q95" s="107" t="str">
        <f>P95*'Calculation_Assumptions'!$B$14*J95*K95</f>
      </c>
      <c r="R95" s="108" t="str">
        <f>O95*N95*J95*K95</f>
      </c>
      <c r="S95" s="109" t="str">
        <f>R95-Q95</f>
      </c>
      <c r="T95" s="110" t="str">
        <f>1/(1+'Calculation_Assumptions'!$B$8)^(B95-'Calculation_Assumptions'!$B$2)</f>
      </c>
      <c r="U95" s="111" t="str">
        <f>Q95*T95</f>
      </c>
      <c r="V95" s="112" t="str">
        <f>R95*T95</f>
      </c>
      <c r="W95" s="113" t="str">
        <f>S95*T95</f>
      </c>
      <c r="X95" t="n">
        <v>0</v>
      </c>
      <c r="Y95" s="114" t="n">
        <v>2017</v>
      </c>
      <c r="Z95" t="s">
        <v>399</v>
      </c>
      <c r="AA95" s="115" t="str">
        <f>IF(G95="shared-count-once",COUNTIFS($A$2:$A$287,A95,$B$2:$B$287,B95,$D$2:$D$287,D95),1)</f>
      </c>
      <c r="AB95" s="116" t="n">
        <v>314265537.410829</v>
      </c>
      <c r="AC95" s="117" t="str">
        <f>IF(AB95=0,"",Q95/AB95)</f>
      </c>
      <c r="AD95" s="118" t="str">
        <f>IF(AB95=0,"",R95/AB95)</f>
      </c>
      <c r="AE95" s="119" t="str">
        <f>IF(AB95=0,"",S95/AB95)</f>
      </c>
      <c r="AF95" s="120" t="str">
        <f>IF(AB95=0,"",W95/AB95)</f>
      </c>
    </row>
    <row r="96">
      <c r="A96" t="s">
        <v>250</v>
      </c>
      <c r="B96" s="93" t="n">
        <v>2041</v>
      </c>
      <c r="C96" t="s">
        <v>250</v>
      </c>
      <c r="D96" s="94" t="s">
        <v>401</v>
      </c>
      <c r="E96" s="95" t="s">
        <v>402</v>
      </c>
      <c r="F96" s="96" t="s">
        <v>253</v>
      </c>
      <c r="G96" s="97" t="s">
        <v>403</v>
      </c>
      <c r="H96" s="98" t="s">
        <v>396</v>
      </c>
      <c r="I96" s="99" t="n">
        <v>1</v>
      </c>
      <c r="J96" s="100" t="n">
        <v>1</v>
      </c>
      <c r="K96" s="101" t="n">
        <v>0.0077</v>
      </c>
      <c r="L96" s="102" t="n">
        <v>317753266.294142</v>
      </c>
      <c r="M96" s="103" t="n">
        <v>317614843.247219</v>
      </c>
      <c r="N96" s="104" t="str">
        <f>MIN(MAX((B96-'Calculation_Assumptions'!$B$5+1)/'Calculation_Assumptions'!$B$7,0),1)</f>
      </c>
      <c r="O96" s="105" t="str">
        <f>L96*I96</f>
      </c>
      <c r="P96" s="106" t="str">
        <f>M96*I96</f>
      </c>
      <c r="Q96" s="107" t="str">
        <f>P96*'Calculation_Assumptions'!$B$14*J96*K96</f>
      </c>
      <c r="R96" s="108" t="str">
        <f>O96*N96*J96*K96</f>
      </c>
      <c r="S96" s="109" t="str">
        <f>R96-Q96</f>
      </c>
      <c r="T96" s="110" t="str">
        <f>1/(1+'Calculation_Assumptions'!$B$8)^(B96-'Calculation_Assumptions'!$B$2)</f>
      </c>
      <c r="U96" s="111" t="str">
        <f>Q96*T96</f>
      </c>
      <c r="V96" s="112" t="str">
        <f>R96*T96</f>
      </c>
      <c r="W96" s="113" t="str">
        <f>S96*T96</f>
      </c>
      <c r="X96" t="n">
        <v>0</v>
      </c>
      <c r="Y96" s="114" t="n">
        <v>2017</v>
      </c>
      <c r="Z96" t="s">
        <v>399</v>
      </c>
      <c r="AA96" s="115" t="str">
        <f>IF(G96="shared-count-once",COUNTIFS($A$2:$A$287,A96,$B$2:$B$287,B96,$D$2:$D$287,D96),1)</f>
      </c>
      <c r="AB96" s="116" t="n">
        <v>315525215.312548</v>
      </c>
      <c r="AC96" s="117" t="str">
        <f>IF(AB96=0,"",Q96/AB96)</f>
      </c>
      <c r="AD96" s="118" t="str">
        <f>IF(AB96=0,"",R96/AB96)</f>
      </c>
      <c r="AE96" s="119" t="str">
        <f>IF(AB96=0,"",S96/AB96)</f>
      </c>
      <c r="AF96" s="120" t="str">
        <f>IF(AB96=0,"",W96/AB96)</f>
      </c>
    </row>
    <row r="97">
      <c r="A97" t="s">
        <v>250</v>
      </c>
      <c r="B97" s="93" t="n">
        <v>2042</v>
      </c>
      <c r="C97" t="s">
        <v>250</v>
      </c>
      <c r="D97" s="94" t="s">
        <v>401</v>
      </c>
      <c r="E97" s="95" t="s">
        <v>402</v>
      </c>
      <c r="F97" s="96" t="s">
        <v>253</v>
      </c>
      <c r="G97" s="97" t="s">
        <v>403</v>
      </c>
      <c r="H97" s="98" t="s">
        <v>396</v>
      </c>
      <c r="I97" s="99" t="n">
        <v>1</v>
      </c>
      <c r="J97" s="100" t="n">
        <v>1</v>
      </c>
      <c r="K97" s="101" t="n">
        <v>0.0077</v>
      </c>
      <c r="L97" s="102" t="n">
        <v>318910651.18461</v>
      </c>
      <c r="M97" s="103" t="n">
        <v>318781045.920738</v>
      </c>
      <c r="N97" s="104" t="str">
        <f>MIN(MAX((B97-'Calculation_Assumptions'!$B$5+1)/'Calculation_Assumptions'!$B$7,0),1)</f>
      </c>
      <c r="O97" s="105" t="str">
        <f>L97*I97</f>
      </c>
      <c r="P97" s="106" t="str">
        <f>M97*I97</f>
      </c>
      <c r="Q97" s="107" t="str">
        <f>P97*'Calculation_Assumptions'!$B$14*J97*K97</f>
      </c>
      <c r="R97" s="108" t="str">
        <f>O97*N97*J97*K97</f>
      </c>
      <c r="S97" s="109" t="str">
        <f>R97-Q97</f>
      </c>
      <c r="T97" s="110" t="str">
        <f>1/(1+'Calculation_Assumptions'!$B$8)^(B97-'Calculation_Assumptions'!$B$2)</f>
      </c>
      <c r="U97" s="111" t="str">
        <f>Q97*T97</f>
      </c>
      <c r="V97" s="112" t="str">
        <f>R97*T97</f>
      </c>
      <c r="W97" s="113" t="str">
        <f>S97*T97</f>
      </c>
      <c r="X97" t="n">
        <v>0</v>
      </c>
      <c r="Y97" s="114" t="n">
        <v>2017</v>
      </c>
      <c r="Z97" t="s">
        <v>399</v>
      </c>
      <c r="AA97" s="115" t="str">
        <f>IF(G97="shared-count-once",COUNTIFS($A$2:$A$287,A97,$B$2:$B$287,B97,$D$2:$D$287,D97),1)</f>
      </c>
      <c r="AB97" s="116" t="n">
        <v>316707694.211882</v>
      </c>
      <c r="AC97" s="117" t="str">
        <f>IF(AB97=0,"",Q97/AB97)</f>
      </c>
      <c r="AD97" s="118" t="str">
        <f>IF(AB97=0,"",R97/AB97)</f>
      </c>
      <c r="AE97" s="119" t="str">
        <f>IF(AB97=0,"",S97/AB97)</f>
      </c>
      <c r="AF97" s="120" t="str">
        <f>IF(AB97=0,"",W97/AB97)</f>
      </c>
    </row>
    <row r="98">
      <c r="A98" t="s">
        <v>250</v>
      </c>
      <c r="B98" s="93" t="n">
        <v>2043</v>
      </c>
      <c r="C98" t="s">
        <v>250</v>
      </c>
      <c r="D98" s="94" t="s">
        <v>401</v>
      </c>
      <c r="E98" s="95" t="s">
        <v>402</v>
      </c>
      <c r="F98" s="96" t="s">
        <v>253</v>
      </c>
      <c r="G98" s="97" t="s">
        <v>403</v>
      </c>
      <c r="H98" s="98" t="s">
        <v>396</v>
      </c>
      <c r="I98" s="99" t="n">
        <v>1</v>
      </c>
      <c r="J98" s="100" t="n">
        <v>1</v>
      </c>
      <c r="K98" s="101" t="n">
        <v>0.0077</v>
      </c>
      <c r="L98" s="102" t="n">
        <v>319995453.02155</v>
      </c>
      <c r="M98" s="103" t="n">
        <v>319872275.594712</v>
      </c>
      <c r="N98" s="104" t="str">
        <f>MIN(MAX((B98-'Calculation_Assumptions'!$B$5+1)/'Calculation_Assumptions'!$B$7,0),1)</f>
      </c>
      <c r="O98" s="105" t="str">
        <f>L98*I98</f>
      </c>
      <c r="P98" s="106" t="str">
        <f>M98*I98</f>
      </c>
      <c r="Q98" s="107" t="str">
        <f>P98*'Calculation_Assumptions'!$B$14*J98*K98</f>
      </c>
      <c r="R98" s="108" t="str">
        <f>O98*N98*J98*K98</f>
      </c>
      <c r="S98" s="109" t="str">
        <f>R98-Q98</f>
      </c>
      <c r="T98" s="110" t="str">
        <f>1/(1+'Calculation_Assumptions'!$B$8)^(B98-'Calculation_Assumptions'!$B$2)</f>
      </c>
      <c r="U98" s="111" t="str">
        <f>Q98*T98</f>
      </c>
      <c r="V98" s="112" t="str">
        <f>R98*T98</f>
      </c>
      <c r="W98" s="113" t="str">
        <f>S98*T98</f>
      </c>
      <c r="X98" t="n">
        <v>0</v>
      </c>
      <c r="Y98" s="114" t="n">
        <v>2017</v>
      </c>
      <c r="Z98" t="s">
        <v>399</v>
      </c>
      <c r="AA98" s="115" t="str">
        <f>IF(G98="shared-count-once",COUNTIFS($A$2:$A$287,A98,$B$2:$B$287,B98,$D$2:$D$287,D98),1)</f>
      </c>
      <c r="AB98" s="116" t="n">
        <v>317814114.067152</v>
      </c>
      <c r="AC98" s="117" t="str">
        <f>IF(AB98=0,"",Q98/AB98)</f>
      </c>
      <c r="AD98" s="118" t="str">
        <f>IF(AB98=0,"",R98/AB98)</f>
      </c>
      <c r="AE98" s="119" t="str">
        <f>IF(AB98=0,"",S98/AB98)</f>
      </c>
      <c r="AF98" s="120" t="str">
        <f>IF(AB98=0,"",W98/AB98)</f>
      </c>
    </row>
    <row r="99">
      <c r="A99" t="s">
        <v>250</v>
      </c>
      <c r="B99" s="93" t="n">
        <v>2044</v>
      </c>
      <c r="C99" t="s">
        <v>250</v>
      </c>
      <c r="D99" s="94" t="s">
        <v>401</v>
      </c>
      <c r="E99" s="95" t="s">
        <v>402</v>
      </c>
      <c r="F99" s="96" t="s">
        <v>253</v>
      </c>
      <c r="G99" s="97" t="s">
        <v>403</v>
      </c>
      <c r="H99" s="98" t="s">
        <v>396</v>
      </c>
      <c r="I99" s="99" t="n">
        <v>1</v>
      </c>
      <c r="J99" s="100" t="n">
        <v>1</v>
      </c>
      <c r="K99" s="101" t="n">
        <v>0.0077</v>
      </c>
      <c r="L99" s="102" t="n">
        <v>321016253.032669</v>
      </c>
      <c r="M99" s="103" t="n">
        <v>320897722.542069</v>
      </c>
      <c r="N99" s="104" t="str">
        <f>MIN(MAX((B99-'Calculation_Assumptions'!$B$5+1)/'Calculation_Assumptions'!$B$7,0),1)</f>
      </c>
      <c r="O99" s="105" t="str">
        <f>L99*I99</f>
      </c>
      <c r="P99" s="106" t="str">
        <f>M99*I99</f>
      </c>
      <c r="Q99" s="107" t="str">
        <f>P99*'Calculation_Assumptions'!$B$14*J99*K99</f>
      </c>
      <c r="R99" s="108" t="str">
        <f>O99*N99*J99*K99</f>
      </c>
      <c r="S99" s="109" t="str">
        <f>R99-Q99</f>
      </c>
      <c r="T99" s="110" t="str">
        <f>1/(1+'Calculation_Assumptions'!$B$8)^(B99-'Calculation_Assumptions'!$B$2)</f>
      </c>
      <c r="U99" s="111" t="str">
        <f>Q99*T99</f>
      </c>
      <c r="V99" s="112" t="str">
        <f>R99*T99</f>
      </c>
      <c r="W99" s="113" t="str">
        <f>S99*T99</f>
      </c>
      <c r="X99" t="n">
        <v>0</v>
      </c>
      <c r="Y99" s="114" t="n">
        <v>2017</v>
      </c>
      <c r="Z99" t="s">
        <v>399</v>
      </c>
      <c r="AA99" s="115" t="str">
        <f>IF(G99="shared-count-once",COUNTIFS($A$2:$A$287,A99,$B$2:$B$287,B99,$D$2:$D$287,D99),1)</f>
      </c>
      <c r="AB99" s="116" t="n">
        <v>318840890.732156</v>
      </c>
      <c r="AC99" s="117" t="str">
        <f>IF(AB99=0,"",Q99/AB99)</f>
      </c>
      <c r="AD99" s="118" t="str">
        <f>IF(AB99=0,"",R99/AB99)</f>
      </c>
      <c r="AE99" s="119" t="str">
        <f>IF(AB99=0,"",S99/AB99)</f>
      </c>
      <c r="AF99" s="120" t="str">
        <f>IF(AB99=0,"",W99/AB99)</f>
      </c>
    </row>
    <row r="100">
      <c r="A100" t="s">
        <v>250</v>
      </c>
      <c r="B100" s="93" t="n">
        <v>2045</v>
      </c>
      <c r="C100" t="s">
        <v>250</v>
      </c>
      <c r="D100" s="94" t="s">
        <v>401</v>
      </c>
      <c r="E100" s="95" t="s">
        <v>402</v>
      </c>
      <c r="F100" s="96" t="s">
        <v>253</v>
      </c>
      <c r="G100" s="97" t="s">
        <v>403</v>
      </c>
      <c r="H100" s="98" t="s">
        <v>396</v>
      </c>
      <c r="I100" s="99" t="n">
        <v>1</v>
      </c>
      <c r="J100" s="100" t="n">
        <v>1</v>
      </c>
      <c r="K100" s="101" t="n">
        <v>0.0077</v>
      </c>
      <c r="L100" s="102" t="n">
        <v>321948137.750597</v>
      </c>
      <c r="M100" s="103" t="n">
        <v>321832323.778944</v>
      </c>
      <c r="N100" s="104" t="str">
        <f>MIN(MAX((B100-'Calculation_Assumptions'!$B$5+1)/'Calculation_Assumptions'!$B$7,0),1)</f>
      </c>
      <c r="O100" s="105" t="str">
        <f>L100*I100</f>
      </c>
      <c r="P100" s="106" t="str">
        <f>M100*I100</f>
      </c>
      <c r="Q100" s="107" t="str">
        <f>P100*'Calculation_Assumptions'!$B$14*J100*K100</f>
      </c>
      <c r="R100" s="108" t="str">
        <f>O100*N100*J100*K100</f>
      </c>
      <c r="S100" s="109" t="str">
        <f>R100-Q100</f>
      </c>
      <c r="T100" s="110" t="str">
        <f>1/(1+'Calculation_Assumptions'!$B$8)^(B100-'Calculation_Assumptions'!$B$2)</f>
      </c>
      <c r="U100" s="111" t="str">
        <f>Q100*T100</f>
      </c>
      <c r="V100" s="112" t="str">
        <f>R100*T100</f>
      </c>
      <c r="W100" s="113" t="str">
        <f>S100*T100</f>
      </c>
      <c r="X100" t="n">
        <v>0</v>
      </c>
      <c r="Y100" s="114" t="n">
        <v>2017</v>
      </c>
      <c r="Z100" t="s">
        <v>399</v>
      </c>
      <c r="AA100" s="115" t="str">
        <f>IF(G100="shared-count-once",COUNTIFS($A$2:$A$287,A100,$B$2:$B$287,B100,$D$2:$D$287,D100),1)</f>
      </c>
      <c r="AB100" s="116" t="n">
        <v>319784682.33108</v>
      </c>
      <c r="AC100" s="117" t="str">
        <f>IF(AB100=0,"",Q100/AB100)</f>
      </c>
      <c r="AD100" s="118" t="str">
        <f>IF(AB100=0,"",R100/AB100)</f>
      </c>
      <c r="AE100" s="119" t="str">
        <f>IF(AB100=0,"",S100/AB100)</f>
      </c>
      <c r="AF100" s="120" t="str">
        <f>IF(AB100=0,"",W100/AB100)</f>
      </c>
    </row>
    <row r="101">
      <c r="A101" t="s">
        <v>250</v>
      </c>
      <c r="B101" s="93" t="n">
        <v>2046</v>
      </c>
      <c r="C101" t="s">
        <v>250</v>
      </c>
      <c r="D101" s="94" t="s">
        <v>401</v>
      </c>
      <c r="E101" s="95" t="s">
        <v>402</v>
      </c>
      <c r="F101" s="96" t="s">
        <v>253</v>
      </c>
      <c r="G101" s="97" t="s">
        <v>403</v>
      </c>
      <c r="H101" s="98" t="s">
        <v>396</v>
      </c>
      <c r="I101" s="99" t="n">
        <v>1</v>
      </c>
      <c r="J101" s="100" t="n">
        <v>1</v>
      </c>
      <c r="K101" s="101" t="n">
        <v>0.0077</v>
      </c>
      <c r="L101" s="102" t="n">
        <v>322798259.239253</v>
      </c>
      <c r="M101" s="103" t="n">
        <v>322683379.427444</v>
      </c>
      <c r="N101" s="104" t="str">
        <f>MIN(MAX((B101-'Calculation_Assumptions'!$B$5+1)/'Calculation_Assumptions'!$B$7,0),1)</f>
      </c>
      <c r="O101" s="105" t="str">
        <f>L101*I101</f>
      </c>
      <c r="P101" s="106" t="str">
        <f>M101*I101</f>
      </c>
      <c r="Q101" s="107" t="str">
        <f>P101*'Calculation_Assumptions'!$B$14*J101*K101</f>
      </c>
      <c r="R101" s="108" t="str">
        <f>O101*N101*J101*K101</f>
      </c>
      <c r="S101" s="109" t="str">
        <f>R101-Q101</f>
      </c>
      <c r="T101" s="110" t="str">
        <f>1/(1+'Calculation_Assumptions'!$B$8)^(B101-'Calculation_Assumptions'!$B$2)</f>
      </c>
      <c r="U101" s="111" t="str">
        <f>Q101*T101</f>
      </c>
      <c r="V101" s="112" t="str">
        <f>R101*T101</f>
      </c>
      <c r="W101" s="113" t="str">
        <f>S101*T101</f>
      </c>
      <c r="X101" t="n">
        <v>0</v>
      </c>
      <c r="Y101" s="114" t="n">
        <v>2017</v>
      </c>
      <c r="Z101" t="s">
        <v>399</v>
      </c>
      <c r="AA101" s="115" t="str">
        <f>IF(G101="shared-count-once",COUNTIFS($A$2:$A$287,A101,$B$2:$B$287,B101,$D$2:$D$287,D101),1)</f>
      </c>
      <c r="AB101" s="116" t="n">
        <v>320645615.981408</v>
      </c>
      <c r="AC101" s="117" t="str">
        <f>IF(AB101=0,"",Q101/AB101)</f>
      </c>
      <c r="AD101" s="118" t="str">
        <f>IF(AB101=0,"",R101/AB101)</f>
      </c>
      <c r="AE101" s="119" t="str">
        <f>IF(AB101=0,"",S101/AB101)</f>
      </c>
      <c r="AF101" s="120" t="str">
        <f>IF(AB101=0,"",W101/AB101)</f>
      </c>
    </row>
    <row r="102">
      <c r="A102" t="s">
        <v>250</v>
      </c>
      <c r="B102" s="93" t="n">
        <v>2047</v>
      </c>
      <c r="C102" t="s">
        <v>250</v>
      </c>
      <c r="D102" s="94" t="s">
        <v>401</v>
      </c>
      <c r="E102" s="95" t="s">
        <v>402</v>
      </c>
      <c r="F102" s="96" t="s">
        <v>253</v>
      </c>
      <c r="G102" s="97" t="s">
        <v>403</v>
      </c>
      <c r="H102" s="98" t="s">
        <v>396</v>
      </c>
      <c r="I102" s="99" t="n">
        <v>1</v>
      </c>
      <c r="J102" s="100" t="n">
        <v>1</v>
      </c>
      <c r="K102" s="101" t="n">
        <v>0.0077</v>
      </c>
      <c r="L102" s="102" t="n">
        <v>323588948.592096</v>
      </c>
      <c r="M102" s="103" t="n">
        <v>323457177.765372</v>
      </c>
      <c r="N102" s="104" t="str">
        <f>MIN(MAX((B102-'Calculation_Assumptions'!$B$5+1)/'Calculation_Assumptions'!$B$7,0),1)</f>
      </c>
      <c r="O102" s="105" t="str">
        <f>L102*I102</f>
      </c>
      <c r="P102" s="106" t="str">
        <f>M102*I102</f>
      </c>
      <c r="Q102" s="107" t="str">
        <f>P102*'Calculation_Assumptions'!$B$14*J102*K102</f>
      </c>
      <c r="R102" s="108" t="str">
        <f>O102*N102*J102*K102</f>
      </c>
      <c r="S102" s="109" t="str">
        <f>R102-Q102</f>
      </c>
      <c r="T102" s="110" t="str">
        <f>1/(1+'Calculation_Assumptions'!$B$8)^(B102-'Calculation_Assumptions'!$B$2)</f>
      </c>
      <c r="U102" s="111" t="str">
        <f>Q102*T102</f>
      </c>
      <c r="V102" s="112" t="str">
        <f>R102*T102</f>
      </c>
      <c r="W102" s="113" t="str">
        <f>S102*T102</f>
      </c>
      <c r="X102" t="n">
        <v>0</v>
      </c>
      <c r="Y102" s="114" t="n">
        <v>2017</v>
      </c>
      <c r="Z102" t="s">
        <v>399</v>
      </c>
      <c r="AA102" s="115" t="str">
        <f>IF(G102="shared-count-once",COUNTIFS($A$2:$A$287,A102,$B$2:$B$287,B102,$D$2:$D$287,D102),1)</f>
      </c>
      <c r="AB102" s="116" t="n">
        <v>321429520.522875</v>
      </c>
      <c r="AC102" s="117" t="str">
        <f>IF(AB102=0,"",Q102/AB102)</f>
      </c>
      <c r="AD102" s="118" t="str">
        <f>IF(AB102=0,"",R102/AB102)</f>
      </c>
      <c r="AE102" s="119" t="str">
        <f>IF(AB102=0,"",S102/AB102)</f>
      </c>
      <c r="AF102" s="120" t="str">
        <f>IF(AB102=0,"",W102/AB102)</f>
      </c>
    </row>
    <row r="103">
      <c r="A103" t="s">
        <v>250</v>
      </c>
      <c r="B103" s="93" t="n">
        <v>2048</v>
      </c>
      <c r="C103" t="s">
        <v>250</v>
      </c>
      <c r="D103" s="94" t="s">
        <v>401</v>
      </c>
      <c r="E103" s="95" t="s">
        <v>402</v>
      </c>
      <c r="F103" s="96" t="s">
        <v>253</v>
      </c>
      <c r="G103" s="97" t="s">
        <v>403</v>
      </c>
      <c r="H103" s="98" t="s">
        <v>396</v>
      </c>
      <c r="I103" s="99" t="n">
        <v>1</v>
      </c>
      <c r="J103" s="100" t="n">
        <v>1</v>
      </c>
      <c r="K103" s="101" t="n">
        <v>0.0077</v>
      </c>
      <c r="L103" s="102" t="n">
        <v>324292355.497575</v>
      </c>
      <c r="M103" s="103" t="n">
        <v>324153264.068833</v>
      </c>
      <c r="N103" s="104" t="str">
        <f>MIN(MAX((B103-'Calculation_Assumptions'!$B$5+1)/'Calculation_Assumptions'!$B$7,0),1)</f>
      </c>
      <c r="O103" s="105" t="str">
        <f>L103*I103</f>
      </c>
      <c r="P103" s="106" t="str">
        <f>M103*I103</f>
      </c>
      <c r="Q103" s="107" t="str">
        <f>P103*'Calculation_Assumptions'!$B$14*J103*K103</f>
      </c>
      <c r="R103" s="108" t="str">
        <f>O103*N103*J103*K103</f>
      </c>
      <c r="S103" s="109" t="str">
        <f>R103-Q103</f>
      </c>
      <c r="T103" s="110" t="str">
        <f>1/(1+'Calculation_Assumptions'!$B$8)^(B103-'Calculation_Assumptions'!$B$2)</f>
      </c>
      <c r="U103" s="111" t="str">
        <f>Q103*T103</f>
      </c>
      <c r="V103" s="112" t="str">
        <f>R103*T103</f>
      </c>
      <c r="W103" s="113" t="str">
        <f>S103*T103</f>
      </c>
      <c r="X103" t="n">
        <v>0</v>
      </c>
      <c r="Y103" s="114" t="n">
        <v>2017</v>
      </c>
      <c r="Z103" t="s">
        <v>399</v>
      </c>
      <c r="AA103" s="115" t="str">
        <f>IF(G103="shared-count-once",COUNTIFS($A$2:$A$287,A103,$B$2:$B$287,B103,$D$2:$D$287,D103),1)</f>
      </c>
      <c r="AB103" s="116" t="n">
        <v>322136832.260161</v>
      </c>
      <c r="AC103" s="117" t="str">
        <f>IF(AB103=0,"",Q103/AB103)</f>
      </c>
      <c r="AD103" s="118" t="str">
        <f>IF(AB103=0,"",R103/AB103)</f>
      </c>
      <c r="AE103" s="119" t="str">
        <f>IF(AB103=0,"",S103/AB103)</f>
      </c>
      <c r="AF103" s="120" t="str">
        <f>IF(AB103=0,"",W103/AB103)</f>
      </c>
    </row>
    <row r="104">
      <c r="A104" t="s">
        <v>250</v>
      </c>
      <c r="B104" s="93" t="n">
        <v>2049</v>
      </c>
      <c r="C104" t="s">
        <v>250</v>
      </c>
      <c r="D104" s="94" t="s">
        <v>401</v>
      </c>
      <c r="E104" s="95" t="s">
        <v>402</v>
      </c>
      <c r="F104" s="96" t="s">
        <v>253</v>
      </c>
      <c r="G104" s="97" t="s">
        <v>403</v>
      </c>
      <c r="H104" s="98" t="s">
        <v>396</v>
      </c>
      <c r="I104" s="99" t="n">
        <v>1</v>
      </c>
      <c r="J104" s="100" t="n">
        <v>1</v>
      </c>
      <c r="K104" s="101" t="n">
        <v>0.0077</v>
      </c>
      <c r="L104" s="102" t="n">
        <v>324917157.787014</v>
      </c>
      <c r="M104" s="103" t="n">
        <v>324770595.66435</v>
      </c>
      <c r="N104" s="104" t="str">
        <f>MIN(MAX((B104-'Calculation_Assumptions'!$B$5+1)/'Calculation_Assumptions'!$B$7,0),1)</f>
      </c>
      <c r="O104" s="105" t="str">
        <f>L104*I104</f>
      </c>
      <c r="P104" s="106" t="str">
        <f>M104*I104</f>
      </c>
      <c r="Q104" s="107" t="str">
        <f>P104*'Calculation_Assumptions'!$B$14*J104*K104</f>
      </c>
      <c r="R104" s="108" t="str">
        <f>O104*N104*J104*K104</f>
      </c>
      <c r="S104" s="109" t="str">
        <f>R104-Q104</f>
      </c>
      <c r="T104" s="110" t="str">
        <f>1/(1+'Calculation_Assumptions'!$B$8)^(B104-'Calculation_Assumptions'!$B$2)</f>
      </c>
      <c r="U104" s="111" t="str">
        <f>Q104*T104</f>
      </c>
      <c r="V104" s="112" t="str">
        <f>R104*T104</f>
      </c>
      <c r="W104" s="113" t="str">
        <f>S104*T104</f>
      </c>
      <c r="X104" t="n">
        <v>0</v>
      </c>
      <c r="Y104" s="114" t="n">
        <v>2017</v>
      </c>
      <c r="Z104" t="s">
        <v>399</v>
      </c>
      <c r="AA104" s="115" t="str">
        <f>IF(G104="shared-count-once",COUNTIFS($A$2:$A$287,A104,$B$2:$B$287,B104,$D$2:$D$287,D104),1)</f>
      </c>
      <c r="AB104" s="116" t="n">
        <v>322765819.752681</v>
      </c>
      <c r="AC104" s="117" t="str">
        <f>IF(AB104=0,"",Q104/AB104)</f>
      </c>
      <c r="AD104" s="118" t="str">
        <f>IF(AB104=0,"",R104/AB104)</f>
      </c>
      <c r="AE104" s="119" t="str">
        <f>IF(AB104=0,"",S104/AB104)</f>
      </c>
      <c r="AF104" s="120" t="str">
        <f>IF(AB104=0,"",W104/AB104)</f>
      </c>
    </row>
    <row r="105">
      <c r="A105" t="s">
        <v>250</v>
      </c>
      <c r="B105" s="93" t="n">
        <v>2050</v>
      </c>
      <c r="C105" t="s">
        <v>250</v>
      </c>
      <c r="D105" s="94" t="s">
        <v>401</v>
      </c>
      <c r="E105" s="95" t="s">
        <v>402</v>
      </c>
      <c r="F105" s="96" t="s">
        <v>253</v>
      </c>
      <c r="G105" s="97" t="s">
        <v>403</v>
      </c>
      <c r="H105" s="98" t="s">
        <v>396</v>
      </c>
      <c r="I105" s="99" t="n">
        <v>1</v>
      </c>
      <c r="J105" s="100" t="n">
        <v>1</v>
      </c>
      <c r="K105" s="101" t="n">
        <v>0.0077</v>
      </c>
      <c r="L105" s="102" t="n">
        <v>325458721.365789</v>
      </c>
      <c r="M105" s="103" t="n">
        <v>325271287.464889</v>
      </c>
      <c r="N105" s="104" t="str">
        <f>MIN(MAX((B105-'Calculation_Assumptions'!$B$5+1)/'Calculation_Assumptions'!$B$7,0),1)</f>
      </c>
      <c r="O105" s="105" t="str">
        <f>L105*I105</f>
      </c>
      <c r="P105" s="106" t="str">
        <f>M105*I105</f>
      </c>
      <c r="Q105" s="107" t="str">
        <f>P105*'Calculation_Assumptions'!$B$14*J105*K105</f>
      </c>
      <c r="R105" s="108" t="str">
        <f>O105*N105*J105*K105</f>
      </c>
      <c r="S105" s="109" t="str">
        <f>R105-Q105</f>
      </c>
      <c r="T105" s="110" t="str">
        <f>1/(1+'Calculation_Assumptions'!$B$8)^(B105-'Calculation_Assumptions'!$B$2)</f>
      </c>
      <c r="U105" s="111" t="str">
        <f>Q105*T105</f>
      </c>
      <c r="V105" s="112" t="str">
        <f>R105*T105</f>
      </c>
      <c r="W105" s="113" t="str">
        <f>S105*T105</f>
      </c>
      <c r="X105" t="n">
        <v>0</v>
      </c>
      <c r="Y105" s="114" t="n">
        <v>2017</v>
      </c>
      <c r="Z105" t="s">
        <v>399</v>
      </c>
      <c r="AA105" s="115" t="str">
        <f>IF(G105="shared-count-once",COUNTIFS($A$2:$A$287,A105,$B$2:$B$287,B105,$D$2:$D$287,D105),1)</f>
      </c>
      <c r="AB105" s="116" t="n">
        <v>323312042.563285</v>
      </c>
      <c r="AC105" s="117" t="str">
        <f>IF(AB105=0,"",Q105/AB105)</f>
      </c>
      <c r="AD105" s="118" t="str">
        <f>IF(AB105=0,"",R105/AB105)</f>
      </c>
      <c r="AE105" s="119" t="str">
        <f>IF(AB105=0,"",S105/AB105)</f>
      </c>
      <c r="AF105" s="120" t="str">
        <f>IF(AB105=0,"",W105/AB105)</f>
      </c>
    </row>
    <row r="106">
      <c r="A106" t="s">
        <v>254</v>
      </c>
      <c r="B106" s="93" t="n">
        <v>2025</v>
      </c>
      <c r="C106" t="s">
        <v>250</v>
      </c>
      <c r="D106" s="94" t="s">
        <v>401</v>
      </c>
      <c r="E106" s="95" t="s">
        <v>402</v>
      </c>
      <c r="F106" s="96" t="s">
        <v>253</v>
      </c>
      <c r="G106" s="97" t="s">
        <v>403</v>
      </c>
      <c r="H106" s="98" t="s">
        <v>396</v>
      </c>
      <c r="I106" s="99" t="n">
        <v>1</v>
      </c>
      <c r="J106" s="100" t="n">
        <v>1</v>
      </c>
      <c r="K106" s="101" t="n">
        <v>0.0077</v>
      </c>
      <c r="L106" s="102" t="n">
        <v>291886571.325912</v>
      </c>
      <c r="M106" s="103" t="n">
        <v>291223951.413062</v>
      </c>
      <c r="N106" s="104" t="str">
        <f>MIN(MAX((B106-'Calculation_Assumptions'!$B$5+1)/'Calculation_Assumptions'!$B$7,0),1)</f>
      </c>
      <c r="O106" s="105" t="str">
        <f>L106*I106</f>
      </c>
      <c r="P106" s="106" t="str">
        <f>M106*I106</f>
      </c>
      <c r="Q106" s="107" t="str">
        <f>P106*'Calculation_Assumptions'!$B$14*J106*K106</f>
      </c>
      <c r="R106" s="108" t="str">
        <f>O106*N106*J106*K106</f>
      </c>
      <c r="S106" s="109" t="str">
        <f>R106-Q106</f>
      </c>
      <c r="T106" s="110" t="str">
        <f>1/(1+'Calculation_Assumptions'!$B$8)^(B106-'Calculation_Assumptions'!$B$2)</f>
      </c>
      <c r="U106" s="111" t="str">
        <f>Q106*T106</f>
      </c>
      <c r="V106" s="112" t="str">
        <f>R106*T106</f>
      </c>
      <c r="W106" s="113" t="str">
        <f>S106*T106</f>
      </c>
      <c r="X106" t="n">
        <v>0</v>
      </c>
      <c r="Y106" s="114" t="n">
        <v>2017</v>
      </c>
      <c r="Z106" t="s">
        <v>399</v>
      </c>
      <c r="AA106" s="115" t="str">
        <f>IF(G106="shared-count-once",COUNTIFS($A$2:$A$287,A106,$B$2:$B$287,B106,$D$2:$D$287,D106),1)</f>
      </c>
      <c r="AB106" s="116" t="n">
        <v>288391907.644456</v>
      </c>
      <c r="AC106" s="117" t="str">
        <f>IF(AB106=0,"",Q106/AB106)</f>
      </c>
      <c r="AD106" s="118" t="str">
        <f>IF(AB106=0,"",R106/AB106)</f>
      </c>
      <c r="AE106" s="119" t="str">
        <f>IF(AB106=0,"",S106/AB106)</f>
      </c>
      <c r="AF106" s="120" t="str">
        <f>IF(AB106=0,"",W106/AB106)</f>
      </c>
    </row>
    <row r="107">
      <c r="A107" t="s">
        <v>254</v>
      </c>
      <c r="B107" s="93" t="n">
        <v>2026</v>
      </c>
      <c r="C107" t="s">
        <v>250</v>
      </c>
      <c r="D107" s="94" t="s">
        <v>401</v>
      </c>
      <c r="E107" s="95" t="s">
        <v>402</v>
      </c>
      <c r="F107" s="96" t="s">
        <v>253</v>
      </c>
      <c r="G107" s="97" t="s">
        <v>403</v>
      </c>
      <c r="H107" s="98" t="s">
        <v>396</v>
      </c>
      <c r="I107" s="99" t="n">
        <v>1</v>
      </c>
      <c r="J107" s="100" t="n">
        <v>1</v>
      </c>
      <c r="K107" s="101" t="n">
        <v>0.0077</v>
      </c>
      <c r="L107" s="102" t="n">
        <v>293828806.709757</v>
      </c>
      <c r="M107" s="103" t="n">
        <v>293212473.334583</v>
      </c>
      <c r="N107" s="104" t="str">
        <f>MIN(MAX((B107-'Calculation_Assumptions'!$B$5+1)/'Calculation_Assumptions'!$B$7,0),1)</f>
      </c>
      <c r="O107" s="105" t="str">
        <f>L107*I107</f>
      </c>
      <c r="P107" s="106" t="str">
        <f>M107*I107</f>
      </c>
      <c r="Q107" s="107" t="str">
        <f>P107*'Calculation_Assumptions'!$B$14*J107*K107</f>
      </c>
      <c r="R107" s="108" t="str">
        <f>O107*N107*J107*K107</f>
      </c>
      <c r="S107" s="109" t="str">
        <f>R107-Q107</f>
      </c>
      <c r="T107" s="110" t="str">
        <f>1/(1+'Calculation_Assumptions'!$B$8)^(B107-'Calculation_Assumptions'!$B$2)</f>
      </c>
      <c r="U107" s="111" t="str">
        <f>Q107*T107</f>
      </c>
      <c r="V107" s="112" t="str">
        <f>R107*T107</f>
      </c>
      <c r="W107" s="113" t="str">
        <f>S107*T107</f>
      </c>
      <c r="X107" t="n">
        <v>0</v>
      </c>
      <c r="Y107" s="114" t="n">
        <v>2017</v>
      </c>
      <c r="Z107" t="s">
        <v>399</v>
      </c>
      <c r="AA107" s="115" t="str">
        <f>IF(G107="shared-count-once",COUNTIFS($A$2:$A$287,A107,$B$2:$B$287,B107,$D$2:$D$287,D107),1)</f>
      </c>
      <c r="AB107" s="116" t="n">
        <v>290472130.233437</v>
      </c>
      <c r="AC107" s="117" t="str">
        <f>IF(AB107=0,"",Q107/AB107)</f>
      </c>
      <c r="AD107" s="118" t="str">
        <f>IF(AB107=0,"",R107/AB107)</f>
      </c>
      <c r="AE107" s="119" t="str">
        <f>IF(AB107=0,"",S107/AB107)</f>
      </c>
      <c r="AF107" s="120" t="str">
        <f>IF(AB107=0,"",W107/AB107)</f>
      </c>
    </row>
    <row r="108">
      <c r="A108" t="s">
        <v>254</v>
      </c>
      <c r="B108" s="93" t="n">
        <v>2027</v>
      </c>
      <c r="C108" t="s">
        <v>250</v>
      </c>
      <c r="D108" s="94" t="s">
        <v>401</v>
      </c>
      <c r="E108" s="95" t="s">
        <v>402</v>
      </c>
      <c r="F108" s="96" t="s">
        <v>253</v>
      </c>
      <c r="G108" s="97" t="s">
        <v>403</v>
      </c>
      <c r="H108" s="98" t="s">
        <v>396</v>
      </c>
      <c r="I108" s="99" t="n">
        <v>1</v>
      </c>
      <c r="J108" s="100" t="n">
        <v>1</v>
      </c>
      <c r="K108" s="101" t="n">
        <v>0.0077</v>
      </c>
      <c r="L108" s="102" t="n">
        <v>295753308.05397</v>
      </c>
      <c r="M108" s="103" t="n">
        <v>295196117.964647</v>
      </c>
      <c r="N108" s="104" t="str">
        <f>MIN(MAX((B108-'Calculation_Assumptions'!$B$5+1)/'Calculation_Assumptions'!$B$7,0),1)</f>
      </c>
      <c r="O108" s="105" t="str">
        <f>L108*I108</f>
      </c>
      <c r="P108" s="106" t="str">
        <f>M108*I108</f>
      </c>
      <c r="Q108" s="107" t="str">
        <f>P108*'Calculation_Assumptions'!$B$14*J108*K108</f>
      </c>
      <c r="R108" s="108" t="str">
        <f>O108*N108*J108*K108</f>
      </c>
      <c r="S108" s="109" t="str">
        <f>R108-Q108</f>
      </c>
      <c r="T108" s="110" t="str">
        <f>1/(1+'Calculation_Assumptions'!$B$8)^(B108-'Calculation_Assumptions'!$B$2)</f>
      </c>
      <c r="U108" s="111" t="str">
        <f>Q108*T108</f>
      </c>
      <c r="V108" s="112" t="str">
        <f>R108*T108</f>
      </c>
      <c r="W108" s="113" t="str">
        <f>S108*T108</f>
      </c>
      <c r="X108" t="n">
        <v>0</v>
      </c>
      <c r="Y108" s="114" t="n">
        <v>2017</v>
      </c>
      <c r="Z108" t="s">
        <v>399</v>
      </c>
      <c r="AA108" s="115" t="str">
        <f>IF(G108="shared-count-once",COUNTIFS($A$2:$A$287,A108,$B$2:$B$287,B108,$D$2:$D$287,D108),1)</f>
      </c>
      <c r="AB108" s="116" t="n">
        <v>292505080.826208</v>
      </c>
      <c r="AC108" s="117" t="str">
        <f>IF(AB108=0,"",Q108/AB108)</f>
      </c>
      <c r="AD108" s="118" t="str">
        <f>IF(AB108=0,"",R108/AB108)</f>
      </c>
      <c r="AE108" s="119" t="str">
        <f>IF(AB108=0,"",S108/AB108)</f>
      </c>
      <c r="AF108" s="120" t="str">
        <f>IF(AB108=0,"",W108/AB108)</f>
      </c>
    </row>
    <row r="109">
      <c r="A109" t="s">
        <v>254</v>
      </c>
      <c r="B109" s="93" t="n">
        <v>2028</v>
      </c>
      <c r="C109" t="s">
        <v>250</v>
      </c>
      <c r="D109" s="94" t="s">
        <v>401</v>
      </c>
      <c r="E109" s="95" t="s">
        <v>402</v>
      </c>
      <c r="F109" s="96" t="s">
        <v>253</v>
      </c>
      <c r="G109" s="97" t="s">
        <v>403</v>
      </c>
      <c r="H109" s="98" t="s">
        <v>396</v>
      </c>
      <c r="I109" s="99" t="n">
        <v>1</v>
      </c>
      <c r="J109" s="100" t="n">
        <v>1</v>
      </c>
      <c r="K109" s="101" t="n">
        <v>0.0077</v>
      </c>
      <c r="L109" s="102" t="n">
        <v>297645640.911667</v>
      </c>
      <c r="M109" s="103" t="n">
        <v>297107934.99345</v>
      </c>
      <c r="N109" s="104" t="str">
        <f>MIN(MAX((B109-'Calculation_Assumptions'!$B$5+1)/'Calculation_Assumptions'!$B$7,0),1)</f>
      </c>
      <c r="O109" s="105" t="str">
        <f>L109*I109</f>
      </c>
      <c r="P109" s="106" t="str">
        <f>M109*I109</f>
      </c>
      <c r="Q109" s="107" t="str">
        <f>P109*'Calculation_Assumptions'!$B$14*J109*K109</f>
      </c>
      <c r="R109" s="108" t="str">
        <f>O109*N109*J109*K109</f>
      </c>
      <c r="S109" s="109" t="str">
        <f>R109-Q109</f>
      </c>
      <c r="T109" s="110" t="str">
        <f>1/(1+'Calculation_Assumptions'!$B$8)^(B109-'Calculation_Assumptions'!$B$2)</f>
      </c>
      <c r="U109" s="111" t="str">
        <f>Q109*T109</f>
      </c>
      <c r="V109" s="112" t="str">
        <f>R109*T109</f>
      </c>
      <c r="W109" s="113" t="str">
        <f>S109*T109</f>
      </c>
      <c r="X109" t="n">
        <v>0</v>
      </c>
      <c r="Y109" s="114" t="n">
        <v>2017</v>
      </c>
      <c r="Z109" t="s">
        <v>399</v>
      </c>
      <c r="AA109" s="115" t="str">
        <f>IF(G109="shared-count-once",COUNTIFS($A$2:$A$287,A109,$B$2:$B$287,B109,$D$2:$D$287,D109),1)</f>
      </c>
      <c r="AB109" s="116" t="n">
        <v>294484707.921554</v>
      </c>
      <c r="AC109" s="117" t="str">
        <f>IF(AB109=0,"",Q109/AB109)</f>
      </c>
      <c r="AD109" s="118" t="str">
        <f>IF(AB109=0,"",R109/AB109)</f>
      </c>
      <c r="AE109" s="119" t="str">
        <f>IF(AB109=0,"",S109/AB109)</f>
      </c>
      <c r="AF109" s="120" t="str">
        <f>IF(AB109=0,"",W109/AB109)</f>
      </c>
    </row>
    <row r="110">
      <c r="A110" t="s">
        <v>254</v>
      </c>
      <c r="B110" s="93" t="n">
        <v>2029</v>
      </c>
      <c r="C110" t="s">
        <v>250</v>
      </c>
      <c r="D110" s="94" t="s">
        <v>401</v>
      </c>
      <c r="E110" s="95" t="s">
        <v>402</v>
      </c>
      <c r="F110" s="96" t="s">
        <v>253</v>
      </c>
      <c r="G110" s="97" t="s">
        <v>403</v>
      </c>
      <c r="H110" s="98" t="s">
        <v>396</v>
      </c>
      <c r="I110" s="99" t="n">
        <v>1</v>
      </c>
      <c r="J110" s="100" t="n">
        <v>1</v>
      </c>
      <c r="K110" s="101" t="n">
        <v>0.0077</v>
      </c>
      <c r="L110" s="102" t="n">
        <v>299480247.297346</v>
      </c>
      <c r="M110" s="103" t="n">
        <v>298981169.683309</v>
      </c>
      <c r="N110" s="104" t="str">
        <f>MIN(MAX((B110-'Calculation_Assumptions'!$B$5+1)/'Calculation_Assumptions'!$B$7,0),1)</f>
      </c>
      <c r="O110" s="105" t="str">
        <f>L110*I110</f>
      </c>
      <c r="P110" s="106" t="str">
        <f>M110*I110</f>
      </c>
      <c r="Q110" s="107" t="str">
        <f>P110*'Calculation_Assumptions'!$B$14*J110*K110</f>
      </c>
      <c r="R110" s="108" t="str">
        <f>O110*N110*J110*K110</f>
      </c>
      <c r="S110" s="109" t="str">
        <f>R110-Q110</f>
      </c>
      <c r="T110" s="110" t="str">
        <f>1/(1+'Calculation_Assumptions'!$B$8)^(B110-'Calculation_Assumptions'!$B$2)</f>
      </c>
      <c r="U110" s="111" t="str">
        <f>Q110*T110</f>
      </c>
      <c r="V110" s="112" t="str">
        <f>R110*T110</f>
      </c>
      <c r="W110" s="113" t="str">
        <f>S110*T110</f>
      </c>
      <c r="X110" t="n">
        <v>0</v>
      </c>
      <c r="Y110" s="114" t="n">
        <v>2017</v>
      </c>
      <c r="Z110" t="s">
        <v>399</v>
      </c>
      <c r="AA110" s="115" t="str">
        <f>IF(G110="shared-count-once",COUNTIFS($A$2:$A$287,A110,$B$2:$B$287,B110,$D$2:$D$287,D110),1)</f>
      </c>
      <c r="AB110" s="116" t="n">
        <v>296414030.31143</v>
      </c>
      <c r="AC110" s="117" t="str">
        <f>IF(AB110=0,"",Q110/AB110)</f>
      </c>
      <c r="AD110" s="118" t="str">
        <f>IF(AB110=0,"",R110/AB110)</f>
      </c>
      <c r="AE110" s="119" t="str">
        <f>IF(AB110=0,"",S110/AB110)</f>
      </c>
      <c r="AF110" s="120" t="str">
        <f>IF(AB110=0,"",W110/AB110)</f>
      </c>
    </row>
    <row r="111">
      <c r="A111" t="s">
        <v>254</v>
      </c>
      <c r="B111" s="93" t="n">
        <v>2030</v>
      </c>
      <c r="C111" t="s">
        <v>250</v>
      </c>
      <c r="D111" s="94" t="s">
        <v>401</v>
      </c>
      <c r="E111" s="95" t="s">
        <v>402</v>
      </c>
      <c r="F111" s="96" t="s">
        <v>253</v>
      </c>
      <c r="G111" s="97" t="s">
        <v>403</v>
      </c>
      <c r="H111" s="98" t="s">
        <v>396</v>
      </c>
      <c r="I111" s="99" t="n">
        <v>1</v>
      </c>
      <c r="J111" s="100" t="n">
        <v>1</v>
      </c>
      <c r="K111" s="101" t="n">
        <v>0.0077</v>
      </c>
      <c r="L111" s="102" t="n">
        <v>301267618.531234</v>
      </c>
      <c r="M111" s="103" t="n">
        <v>300784244.146626</v>
      </c>
      <c r="N111" s="104" t="str">
        <f>MIN(MAX((B111-'Calculation_Assumptions'!$B$5+1)/'Calculation_Assumptions'!$B$7,0),1)</f>
      </c>
      <c r="O111" s="105" t="str">
        <f>L111*I111</f>
      </c>
      <c r="P111" s="106" t="str">
        <f>M111*I111</f>
      </c>
      <c r="Q111" s="107" t="str">
        <f>P111*'Calculation_Assumptions'!$B$14*J111*K111</f>
      </c>
      <c r="R111" s="108" t="str">
        <f>O111*N111*J111*K111</f>
      </c>
      <c r="S111" s="109" t="str">
        <f>R111-Q111</f>
      </c>
      <c r="T111" s="110" t="str">
        <f>1/(1+'Calculation_Assumptions'!$B$8)^(B111-'Calculation_Assumptions'!$B$2)</f>
      </c>
      <c r="U111" s="111" t="str">
        <f>Q111*T111</f>
      </c>
      <c r="V111" s="112" t="str">
        <f>R111*T111</f>
      </c>
      <c r="W111" s="113" t="str">
        <f>S111*T111</f>
      </c>
      <c r="X111" t="n">
        <v>0</v>
      </c>
      <c r="Y111" s="114" t="n">
        <v>2017</v>
      </c>
      <c r="Z111" t="s">
        <v>399</v>
      </c>
      <c r="AA111" s="115" t="str">
        <f>IF(G111="shared-count-once",COUNTIFS($A$2:$A$287,A111,$B$2:$B$287,B111,$D$2:$D$287,D111),1)</f>
      </c>
      <c r="AB111" s="116" t="n">
        <v>298289404.664994</v>
      </c>
      <c r="AC111" s="117" t="str">
        <f>IF(AB111=0,"",Q111/AB111)</f>
      </c>
      <c r="AD111" s="118" t="str">
        <f>IF(AB111=0,"",R111/AB111)</f>
      </c>
      <c r="AE111" s="119" t="str">
        <f>IF(AB111=0,"",S111/AB111)</f>
      </c>
      <c r="AF111" s="120" t="str">
        <f>IF(AB111=0,"",W111/AB111)</f>
      </c>
    </row>
    <row r="112">
      <c r="A112" t="s">
        <v>254</v>
      </c>
      <c r="B112" s="93" t="n">
        <v>2031</v>
      </c>
      <c r="C112" t="s">
        <v>250</v>
      </c>
      <c r="D112" s="94" t="s">
        <v>401</v>
      </c>
      <c r="E112" s="95" t="s">
        <v>402</v>
      </c>
      <c r="F112" s="96" t="s">
        <v>253</v>
      </c>
      <c r="G112" s="97" t="s">
        <v>403</v>
      </c>
      <c r="H112" s="98" t="s">
        <v>396</v>
      </c>
      <c r="I112" s="99" t="n">
        <v>1</v>
      </c>
      <c r="J112" s="100" t="n">
        <v>1</v>
      </c>
      <c r="K112" s="101" t="n">
        <v>0.0077</v>
      </c>
      <c r="L112" s="102" t="n">
        <v>303017263.489646</v>
      </c>
      <c r="M112" s="103" t="n">
        <v>302561623.795312</v>
      </c>
      <c r="N112" s="104" t="str">
        <f>MIN(MAX((B112-'Calculation_Assumptions'!$B$5+1)/'Calculation_Assumptions'!$B$7,0),1)</f>
      </c>
      <c r="O112" s="105" t="str">
        <f>L112*I112</f>
      </c>
      <c r="P112" s="106" t="str">
        <f>M112*I112</f>
      </c>
      <c r="Q112" s="107" t="str">
        <f>P112*'Calculation_Assumptions'!$B$14*J112*K112</f>
      </c>
      <c r="R112" s="108" t="str">
        <f>O112*N112*J112*K112</f>
      </c>
      <c r="S112" s="109" t="str">
        <f>R112-Q112</f>
      </c>
      <c r="T112" s="110" t="str">
        <f>1/(1+'Calculation_Assumptions'!$B$8)^(B112-'Calculation_Assumptions'!$B$2)</f>
      </c>
      <c r="U112" s="111" t="str">
        <f>Q112*T112</f>
      </c>
      <c r="V112" s="112" t="str">
        <f>R112*T112</f>
      </c>
      <c r="W112" s="113" t="str">
        <f>S112*T112</f>
      </c>
      <c r="X112" t="n">
        <v>0</v>
      </c>
      <c r="Y112" s="114" t="n">
        <v>2017</v>
      </c>
      <c r="Z112" t="s">
        <v>399</v>
      </c>
      <c r="AA112" s="115" t="str">
        <f>IF(G112="shared-count-once",COUNTIFS($A$2:$A$287,A112,$B$2:$B$287,B112,$D$2:$D$287,D112),1)</f>
      </c>
      <c r="AB112" s="116" t="n">
        <v>300119636.925519</v>
      </c>
      <c r="AC112" s="117" t="str">
        <f>IF(AB112=0,"",Q112/AB112)</f>
      </c>
      <c r="AD112" s="118" t="str">
        <f>IF(AB112=0,"",R112/AB112)</f>
      </c>
      <c r="AE112" s="119" t="str">
        <f>IF(AB112=0,"",S112/AB112)</f>
      </c>
      <c r="AF112" s="120" t="str">
        <f>IF(AB112=0,"",W112/AB112)</f>
      </c>
    </row>
    <row r="113">
      <c r="A113" t="s">
        <v>254</v>
      </c>
      <c r="B113" s="93" t="n">
        <v>2032</v>
      </c>
      <c r="C113" t="s">
        <v>250</v>
      </c>
      <c r="D113" s="94" t="s">
        <v>401</v>
      </c>
      <c r="E113" s="95" t="s">
        <v>402</v>
      </c>
      <c r="F113" s="96" t="s">
        <v>253</v>
      </c>
      <c r="G113" s="97" t="s">
        <v>403</v>
      </c>
      <c r="H113" s="98" t="s">
        <v>396</v>
      </c>
      <c r="I113" s="99" t="n">
        <v>1</v>
      </c>
      <c r="J113" s="100" t="n">
        <v>1</v>
      </c>
      <c r="K113" s="101" t="n">
        <v>0.0077</v>
      </c>
      <c r="L113" s="102" t="n">
        <v>304727120.20394</v>
      </c>
      <c r="M113" s="103" t="n">
        <v>304296909.955394</v>
      </c>
      <c r="N113" s="104" t="str">
        <f>MIN(MAX((B113-'Calculation_Assumptions'!$B$5+1)/'Calculation_Assumptions'!$B$7,0),1)</f>
      </c>
      <c r="O113" s="105" t="str">
        <f>L113*I113</f>
      </c>
      <c r="P113" s="106" t="str">
        <f>M113*I113</f>
      </c>
      <c r="Q113" s="107" t="str">
        <f>P113*'Calculation_Assumptions'!$B$14*J113*K113</f>
      </c>
      <c r="R113" s="108" t="str">
        <f>O113*N113*J113*K113</f>
      </c>
      <c r="S113" s="109" t="str">
        <f>R113-Q113</f>
      </c>
      <c r="T113" s="110" t="str">
        <f>1/(1+'Calculation_Assumptions'!$B$8)^(B113-'Calculation_Assumptions'!$B$2)</f>
      </c>
      <c r="U113" s="111" t="str">
        <f>Q113*T113</f>
      </c>
      <c r="V113" s="112" t="str">
        <f>R113*T113</f>
      </c>
      <c r="W113" s="113" t="str">
        <f>S113*T113</f>
      </c>
      <c r="X113" t="n">
        <v>0</v>
      </c>
      <c r="Y113" s="114" t="n">
        <v>2017</v>
      </c>
      <c r="Z113" t="s">
        <v>399</v>
      </c>
      <c r="AA113" s="115" t="str">
        <f>IF(G113="shared-count-once",COUNTIFS($A$2:$A$287,A113,$B$2:$B$287,B113,$D$2:$D$287,D113),1)</f>
      </c>
      <c r="AB113" s="116" t="n">
        <v>301904628.083541</v>
      </c>
      <c r="AC113" s="117" t="str">
        <f>IF(AB113=0,"",Q113/AB113)</f>
      </c>
      <c r="AD113" s="118" t="str">
        <f>IF(AB113=0,"",R113/AB113)</f>
      </c>
      <c r="AE113" s="119" t="str">
        <f>IF(AB113=0,"",S113/AB113)</f>
      </c>
      <c r="AF113" s="120" t="str">
        <f>IF(AB113=0,"",W113/AB113)</f>
      </c>
    </row>
    <row r="114">
      <c r="A114" t="s">
        <v>254</v>
      </c>
      <c r="B114" s="93" t="n">
        <v>2033</v>
      </c>
      <c r="C114" t="s">
        <v>250</v>
      </c>
      <c r="D114" s="94" t="s">
        <v>401</v>
      </c>
      <c r="E114" s="95" t="s">
        <v>402</v>
      </c>
      <c r="F114" s="96" t="s">
        <v>253</v>
      </c>
      <c r="G114" s="97" t="s">
        <v>403</v>
      </c>
      <c r="H114" s="98" t="s">
        <v>396</v>
      </c>
      <c r="I114" s="99" t="n">
        <v>1</v>
      </c>
      <c r="J114" s="100" t="n">
        <v>1</v>
      </c>
      <c r="K114" s="101" t="n">
        <v>0.0077</v>
      </c>
      <c r="L114" s="102" t="n">
        <v>306398187.625961</v>
      </c>
      <c r="M114" s="103" t="n">
        <v>305990042.260363</v>
      </c>
      <c r="N114" s="104" t="str">
        <f>MIN(MAX((B114-'Calculation_Assumptions'!$B$5+1)/'Calculation_Assumptions'!$B$7,0),1)</f>
      </c>
      <c r="O114" s="105" t="str">
        <f>L114*I114</f>
      </c>
      <c r="P114" s="106" t="str">
        <f>M114*I114</f>
      </c>
      <c r="Q114" s="107" t="str">
        <f>P114*'Calculation_Assumptions'!$B$14*J114*K114</f>
      </c>
      <c r="R114" s="108" t="str">
        <f>O114*N114*J114*K114</f>
      </c>
      <c r="S114" s="109" t="str">
        <f>R114-Q114</f>
      </c>
      <c r="T114" s="110" t="str">
        <f>1/(1+'Calculation_Assumptions'!$B$8)^(B114-'Calculation_Assumptions'!$B$2)</f>
      </c>
      <c r="U114" s="111" t="str">
        <f>Q114*T114</f>
      </c>
      <c r="V114" s="112" t="str">
        <f>R114*T114</f>
      </c>
      <c r="W114" s="113" t="str">
        <f>S114*T114</f>
      </c>
      <c r="X114" t="n">
        <v>0</v>
      </c>
      <c r="Y114" s="114" t="n">
        <v>2017</v>
      </c>
      <c r="Z114" t="s">
        <v>399</v>
      </c>
      <c r="AA114" s="115" t="str">
        <f>IF(G114="shared-count-once",COUNTIFS($A$2:$A$287,A114,$B$2:$B$287,B114,$D$2:$D$287,D114),1)</f>
      </c>
      <c r="AB114" s="116" t="n">
        <v>303644277.16916</v>
      </c>
      <c r="AC114" s="117" t="str">
        <f>IF(AB114=0,"",Q114/AB114)</f>
      </c>
      <c r="AD114" s="118" t="str">
        <f>IF(AB114=0,"",R114/AB114)</f>
      </c>
      <c r="AE114" s="119" t="str">
        <f>IF(AB114=0,"",S114/AB114)</f>
      </c>
      <c r="AF114" s="120" t="str">
        <f>IF(AB114=0,"",W114/AB114)</f>
      </c>
    </row>
    <row r="115">
      <c r="A115" t="s">
        <v>254</v>
      </c>
      <c r="B115" s="93" t="n">
        <v>2034</v>
      </c>
      <c r="C115" t="s">
        <v>250</v>
      </c>
      <c r="D115" s="94" t="s">
        <v>401</v>
      </c>
      <c r="E115" s="95" t="s">
        <v>402</v>
      </c>
      <c r="F115" s="96" t="s">
        <v>253</v>
      </c>
      <c r="G115" s="97" t="s">
        <v>403</v>
      </c>
      <c r="H115" s="98" t="s">
        <v>396</v>
      </c>
      <c r="I115" s="99" t="n">
        <v>1</v>
      </c>
      <c r="J115" s="100" t="n">
        <v>1</v>
      </c>
      <c r="K115" s="101" t="n">
        <v>0.0077</v>
      </c>
      <c r="L115" s="102" t="n">
        <v>308022949.697907</v>
      </c>
      <c r="M115" s="103" t="n">
        <v>307635526.02883</v>
      </c>
      <c r="N115" s="104" t="str">
        <f>MIN(MAX((B115-'Calculation_Assumptions'!$B$5+1)/'Calculation_Assumptions'!$B$7,0),1)</f>
      </c>
      <c r="O115" s="105" t="str">
        <f>L115*I115</f>
      </c>
      <c r="P115" s="106" t="str">
        <f>M115*I115</f>
      </c>
      <c r="Q115" s="107" t="str">
        <f>P115*'Calculation_Assumptions'!$B$14*J115*K115</f>
      </c>
      <c r="R115" s="108" t="str">
        <f>O115*N115*J115*K115</f>
      </c>
      <c r="S115" s="109" t="str">
        <f>R115-Q115</f>
      </c>
      <c r="T115" s="110" t="str">
        <f>1/(1+'Calculation_Assumptions'!$B$8)^(B115-'Calculation_Assumptions'!$B$2)</f>
      </c>
      <c r="U115" s="111" t="str">
        <f>Q115*T115</f>
      </c>
      <c r="V115" s="112" t="str">
        <f>R115*T115</f>
      </c>
      <c r="W115" s="113" t="str">
        <f>S115*T115</f>
      </c>
      <c r="X115" t="n">
        <v>0</v>
      </c>
      <c r="Y115" s="114" t="n">
        <v>2017</v>
      </c>
      <c r="Z115" t="s">
        <v>399</v>
      </c>
      <c r="AA115" s="115" t="str">
        <f>IF(G115="shared-count-once",COUNTIFS($A$2:$A$287,A115,$B$2:$B$287,B115,$D$2:$D$287,D115),1)</f>
      </c>
      <c r="AB115" s="116" t="n">
        <v>305332541.184984</v>
      </c>
      <c r="AC115" s="117" t="str">
        <f>IF(AB115=0,"",Q115/AB115)</f>
      </c>
      <c r="AD115" s="118" t="str">
        <f>IF(AB115=0,"",R115/AB115)</f>
      </c>
      <c r="AE115" s="119" t="str">
        <f>IF(AB115=0,"",S115/AB115)</f>
      </c>
      <c r="AF115" s="120" t="str">
        <f>IF(AB115=0,"",W115/AB115)</f>
      </c>
    </row>
    <row r="116">
      <c r="A116" t="s">
        <v>254</v>
      </c>
      <c r="B116" s="93" t="n">
        <v>2035</v>
      </c>
      <c r="C116" t="s">
        <v>250</v>
      </c>
      <c r="D116" s="94" t="s">
        <v>401</v>
      </c>
      <c r="E116" s="95" t="s">
        <v>402</v>
      </c>
      <c r="F116" s="96" t="s">
        <v>253</v>
      </c>
      <c r="G116" s="97" t="s">
        <v>403</v>
      </c>
      <c r="H116" s="98" t="s">
        <v>396</v>
      </c>
      <c r="I116" s="99" t="n">
        <v>1</v>
      </c>
      <c r="J116" s="100" t="n">
        <v>1</v>
      </c>
      <c r="K116" s="101" t="n">
        <v>0.0077</v>
      </c>
      <c r="L116" s="102" t="n">
        <v>309596915.037711</v>
      </c>
      <c r="M116" s="103" t="n">
        <v>309228183.19713</v>
      </c>
      <c r="N116" s="104" t="str">
        <f>MIN(MAX((B116-'Calculation_Assumptions'!$B$5+1)/'Calculation_Assumptions'!$B$7,0),1)</f>
      </c>
      <c r="O116" s="105" t="str">
        <f>L116*I116</f>
      </c>
      <c r="P116" s="106" t="str">
        <f>M116*I116</f>
      </c>
      <c r="Q116" s="107" t="str">
        <f>P116*'Calculation_Assumptions'!$B$14*J116*K116</f>
      </c>
      <c r="R116" s="108" t="str">
        <f>O116*N116*J116*K116</f>
      </c>
      <c r="S116" s="109" t="str">
        <f>R116-Q116</f>
      </c>
      <c r="T116" s="110" t="str">
        <f>1/(1+'Calculation_Assumptions'!$B$8)^(B116-'Calculation_Assumptions'!$B$2)</f>
      </c>
      <c r="U116" s="111" t="str">
        <f>Q116*T116</f>
      </c>
      <c r="V116" s="112" t="str">
        <f>R116*T116</f>
      </c>
      <c r="W116" s="113" t="str">
        <f>S116*T116</f>
      </c>
      <c r="X116" t="n">
        <v>0</v>
      </c>
      <c r="Y116" s="114" t="n">
        <v>2017</v>
      </c>
      <c r="Z116" t="s">
        <v>399</v>
      </c>
      <c r="AA116" s="115" t="str">
        <f>IF(G116="shared-count-once",COUNTIFS($A$2:$A$287,A116,$B$2:$B$287,B116,$D$2:$D$287,D116),1)</f>
      </c>
      <c r="AB116" s="116" t="n">
        <v>306964650.16712</v>
      </c>
      <c r="AC116" s="117" t="str">
        <f>IF(AB116=0,"",Q116/AB116)</f>
      </c>
      <c r="AD116" s="118" t="str">
        <f>IF(AB116=0,"",R116/AB116)</f>
      </c>
      <c r="AE116" s="119" t="str">
        <f>IF(AB116=0,"",S116/AB116)</f>
      </c>
      <c r="AF116" s="120" t="str">
        <f>IF(AB116=0,"",W116/AB116)</f>
      </c>
    </row>
    <row r="117">
      <c r="A117" t="s">
        <v>254</v>
      </c>
      <c r="B117" s="93" t="n">
        <v>2036</v>
      </c>
      <c r="C117" t="s">
        <v>250</v>
      </c>
      <c r="D117" s="94" t="s">
        <v>401</v>
      </c>
      <c r="E117" s="95" t="s">
        <v>402</v>
      </c>
      <c r="F117" s="96" t="s">
        <v>253</v>
      </c>
      <c r="G117" s="97" t="s">
        <v>403</v>
      </c>
      <c r="H117" s="98" t="s">
        <v>396</v>
      </c>
      <c r="I117" s="99" t="n">
        <v>1</v>
      </c>
      <c r="J117" s="100" t="n">
        <v>1</v>
      </c>
      <c r="K117" s="101" t="n">
        <v>0.0077</v>
      </c>
      <c r="L117" s="102" t="n">
        <v>311105220.504365</v>
      </c>
      <c r="M117" s="103" t="n">
        <v>310769483.46493</v>
      </c>
      <c r="N117" s="104" t="str">
        <f>MIN(MAX((B117-'Calculation_Assumptions'!$B$5+1)/'Calculation_Assumptions'!$B$7,0),1)</f>
      </c>
      <c r="O117" s="105" t="str">
        <f>L117*I117</f>
      </c>
      <c r="P117" s="106" t="str">
        <f>M117*I117</f>
      </c>
      <c r="Q117" s="107" t="str">
        <f>P117*'Calculation_Assumptions'!$B$14*J117*K117</f>
      </c>
      <c r="R117" s="108" t="str">
        <f>O117*N117*J117*K117</f>
      </c>
      <c r="S117" s="109" t="str">
        <f>R117-Q117</f>
      </c>
      <c r="T117" s="110" t="str">
        <f>1/(1+'Calculation_Assumptions'!$B$8)^(B117-'Calculation_Assumptions'!$B$2)</f>
      </c>
      <c r="U117" s="111" t="str">
        <f>Q117*T117</f>
      </c>
      <c r="V117" s="112" t="str">
        <f>R117*T117</f>
      </c>
      <c r="W117" s="113" t="str">
        <f>S117*T117</f>
      </c>
      <c r="X117" t="n">
        <v>0</v>
      </c>
      <c r="Y117" s="114" t="n">
        <v>2017</v>
      </c>
      <c r="Z117" t="s">
        <v>399</v>
      </c>
      <c r="AA117" s="115" t="str">
        <f>IF(G117="shared-count-once",COUNTIFS($A$2:$A$287,A117,$B$2:$B$287,B117,$D$2:$D$287,D117),1)</f>
      </c>
      <c r="AB117" s="116" t="n">
        <v>308542769.756622</v>
      </c>
      <c r="AC117" s="117" t="str">
        <f>IF(AB117=0,"",Q117/AB117)</f>
      </c>
      <c r="AD117" s="118" t="str">
        <f>IF(AB117=0,"",R117/AB117)</f>
      </c>
      <c r="AE117" s="119" t="str">
        <f>IF(AB117=0,"",S117/AB117)</f>
      </c>
      <c r="AF117" s="120" t="str">
        <f>IF(AB117=0,"",W117/AB117)</f>
      </c>
    </row>
    <row r="118">
      <c r="A118" t="s">
        <v>254</v>
      </c>
      <c r="B118" s="93" t="n">
        <v>2037</v>
      </c>
      <c r="C118" t="s">
        <v>250</v>
      </c>
      <c r="D118" s="94" t="s">
        <v>401</v>
      </c>
      <c r="E118" s="95" t="s">
        <v>402</v>
      </c>
      <c r="F118" s="96" t="s">
        <v>253</v>
      </c>
      <c r="G118" s="97" t="s">
        <v>403</v>
      </c>
      <c r="H118" s="98" t="s">
        <v>396</v>
      </c>
      <c r="I118" s="99" t="n">
        <v>1</v>
      </c>
      <c r="J118" s="100" t="n">
        <v>1</v>
      </c>
      <c r="K118" s="101" t="n">
        <v>0.0077</v>
      </c>
      <c r="L118" s="102" t="n">
        <v>312597642.817992</v>
      </c>
      <c r="M118" s="103" t="n">
        <v>312262197.186949</v>
      </c>
      <c r="N118" s="104" t="str">
        <f>MIN(MAX((B118-'Calculation_Assumptions'!$B$5+1)/'Calculation_Assumptions'!$B$7,0),1)</f>
      </c>
      <c r="O118" s="105" t="str">
        <f>L118*I118</f>
      </c>
      <c r="P118" s="106" t="str">
        <f>M118*I118</f>
      </c>
      <c r="Q118" s="107" t="str">
        <f>P118*'Calculation_Assumptions'!$B$14*J118*K118</f>
      </c>
      <c r="R118" s="108" t="str">
        <f>O118*N118*J118*K118</f>
      </c>
      <c r="S118" s="109" t="str">
        <f>R118-Q118</f>
      </c>
      <c r="T118" s="110" t="str">
        <f>1/(1+'Calculation_Assumptions'!$B$8)^(B118-'Calculation_Assumptions'!$B$2)</f>
      </c>
      <c r="U118" s="111" t="str">
        <f>Q118*T118</f>
      </c>
      <c r="V118" s="112" t="str">
        <f>R118*T118</f>
      </c>
      <c r="W118" s="113" t="str">
        <f>S118*T118</f>
      </c>
      <c r="X118" t="n">
        <v>0</v>
      </c>
      <c r="Y118" s="114" t="n">
        <v>2017</v>
      </c>
      <c r="Z118" t="s">
        <v>399</v>
      </c>
      <c r="AA118" s="115" t="str">
        <f>IF(G118="shared-count-once",COUNTIFS($A$2:$A$287,A118,$B$2:$B$287,B118,$D$2:$D$287,D118),1)</f>
      </c>
      <c r="AB118" s="116" t="n">
        <v>310068287.63643</v>
      </c>
      <c r="AC118" s="117" t="str">
        <f>IF(AB118=0,"",Q118/AB118)</f>
      </c>
      <c r="AD118" s="118" t="str">
        <f>IF(AB118=0,"",R118/AB118)</f>
      </c>
      <c r="AE118" s="119" t="str">
        <f>IF(AB118=0,"",S118/AB118)</f>
      </c>
      <c r="AF118" s="120" t="str">
        <f>IF(AB118=0,"",W118/AB118)</f>
      </c>
    </row>
    <row r="119">
      <c r="A119" t="s">
        <v>254</v>
      </c>
      <c r="B119" s="93" t="n">
        <v>2038</v>
      </c>
      <c r="C119" t="s">
        <v>250</v>
      </c>
      <c r="D119" s="94" t="s">
        <v>401</v>
      </c>
      <c r="E119" s="95" t="s">
        <v>402</v>
      </c>
      <c r="F119" s="96" t="s">
        <v>253</v>
      </c>
      <c r="G119" s="97" t="s">
        <v>403</v>
      </c>
      <c r="H119" s="98" t="s">
        <v>396</v>
      </c>
      <c r="I119" s="99" t="n">
        <v>1</v>
      </c>
      <c r="J119" s="100" t="n">
        <v>1</v>
      </c>
      <c r="K119" s="101" t="n">
        <v>0.0077</v>
      </c>
      <c r="L119" s="102" t="n">
        <v>314064614.616445</v>
      </c>
      <c r="M119" s="103" t="n">
        <v>313730463.490198</v>
      </c>
      <c r="N119" s="104" t="str">
        <f>MIN(MAX((B119-'Calculation_Assumptions'!$B$5+1)/'Calculation_Assumptions'!$B$7,0),1)</f>
      </c>
      <c r="O119" s="105" t="str">
        <f>L119*I119</f>
      </c>
      <c r="P119" s="106" t="str">
        <f>M119*I119</f>
      </c>
      <c r="Q119" s="107" t="str">
        <f>P119*'Calculation_Assumptions'!$B$14*J119*K119</f>
      </c>
      <c r="R119" s="108" t="str">
        <f>O119*N119*J119*K119</f>
      </c>
      <c r="S119" s="109" t="str">
        <f>R119-Q119</f>
      </c>
      <c r="T119" s="110" t="str">
        <f>1/(1+'Calculation_Assumptions'!$B$8)^(B119-'Calculation_Assumptions'!$B$2)</f>
      </c>
      <c r="U119" s="111" t="str">
        <f>Q119*T119</f>
      </c>
      <c r="V119" s="112" t="str">
        <f>R119*T119</f>
      </c>
      <c r="W119" s="113" t="str">
        <f>S119*T119</f>
      </c>
      <c r="X119" t="n">
        <v>0</v>
      </c>
      <c r="Y119" s="114" t="n">
        <v>2017</v>
      </c>
      <c r="Z119" t="s">
        <v>399</v>
      </c>
      <c r="AA119" s="115" t="str">
        <f>IF(G119="shared-count-once",COUNTIFS($A$2:$A$287,A119,$B$2:$B$287,B119,$D$2:$D$287,D119),1)</f>
      </c>
      <c r="AB119" s="116" t="n">
        <v>311532999.13163</v>
      </c>
      <c r="AC119" s="117" t="str">
        <f>IF(AB119=0,"",Q119/AB119)</f>
      </c>
      <c r="AD119" s="118" t="str">
        <f>IF(AB119=0,"",R119/AB119)</f>
      </c>
      <c r="AE119" s="119" t="str">
        <f>IF(AB119=0,"",S119/AB119)</f>
      </c>
      <c r="AF119" s="120" t="str">
        <f>IF(AB119=0,"",W119/AB119)</f>
      </c>
    </row>
    <row r="120">
      <c r="A120" t="s">
        <v>254</v>
      </c>
      <c r="B120" s="93" t="n">
        <v>2039</v>
      </c>
      <c r="C120" t="s">
        <v>250</v>
      </c>
      <c r="D120" s="94" t="s">
        <v>401</v>
      </c>
      <c r="E120" s="95" t="s">
        <v>402</v>
      </c>
      <c r="F120" s="96" t="s">
        <v>253</v>
      </c>
      <c r="G120" s="97" t="s">
        <v>403</v>
      </c>
      <c r="H120" s="98" t="s">
        <v>396</v>
      </c>
      <c r="I120" s="99" t="n">
        <v>1</v>
      </c>
      <c r="J120" s="100" t="n">
        <v>1</v>
      </c>
      <c r="K120" s="101" t="n">
        <v>0.0077</v>
      </c>
      <c r="L120" s="102" t="n">
        <v>315451608.170524</v>
      </c>
      <c r="M120" s="103" t="n">
        <v>315115398.935154</v>
      </c>
      <c r="N120" s="104" t="str">
        <f>MIN(MAX((B120-'Calculation_Assumptions'!$B$5+1)/'Calculation_Assumptions'!$B$7,0),1)</f>
      </c>
      <c r="O120" s="105" t="str">
        <f>L120*I120</f>
      </c>
      <c r="P120" s="106" t="str">
        <f>M120*I120</f>
      </c>
      <c r="Q120" s="107" t="str">
        <f>P120*'Calculation_Assumptions'!$B$14*J120*K120</f>
      </c>
      <c r="R120" s="108" t="str">
        <f>O120*N120*J120*K120</f>
      </c>
      <c r="S120" s="109" t="str">
        <f>R120-Q120</f>
      </c>
      <c r="T120" s="110" t="str">
        <f>1/(1+'Calculation_Assumptions'!$B$8)^(B120-'Calculation_Assumptions'!$B$2)</f>
      </c>
      <c r="U120" s="111" t="str">
        <f>Q120*T120</f>
      </c>
      <c r="V120" s="112" t="str">
        <f>R120*T120</f>
      </c>
      <c r="W120" s="113" t="str">
        <f>S120*T120</f>
      </c>
      <c r="X120" t="n">
        <v>0</v>
      </c>
      <c r="Y120" s="114" t="n">
        <v>2017</v>
      </c>
      <c r="Z120" t="s">
        <v>399</v>
      </c>
      <c r="AA120" s="115" t="str">
        <f>IF(G120="shared-count-once",COUNTIFS($A$2:$A$287,A120,$B$2:$B$287,B120,$D$2:$D$287,D120),1)</f>
      </c>
      <c r="AB120" s="116" t="n">
        <v>312936391.858479</v>
      </c>
      <c r="AC120" s="117" t="str">
        <f>IF(AB120=0,"",Q120/AB120)</f>
      </c>
      <c r="AD120" s="118" t="str">
        <f>IF(AB120=0,"",R120/AB120)</f>
      </c>
      <c r="AE120" s="119" t="str">
        <f>IF(AB120=0,"",S120/AB120)</f>
      </c>
      <c r="AF120" s="120" t="str">
        <f>IF(AB120=0,"",W120/AB120)</f>
      </c>
    </row>
    <row r="121">
      <c r="A121" t="s">
        <v>254</v>
      </c>
      <c r="B121" s="93" t="n">
        <v>2040</v>
      </c>
      <c r="C121" t="s">
        <v>250</v>
      </c>
      <c r="D121" s="94" t="s">
        <v>401</v>
      </c>
      <c r="E121" s="95" t="s">
        <v>402</v>
      </c>
      <c r="F121" s="96" t="s">
        <v>253</v>
      </c>
      <c r="G121" s="97" t="s">
        <v>403</v>
      </c>
      <c r="H121" s="98" t="s">
        <v>396</v>
      </c>
      <c r="I121" s="99" t="n">
        <v>1</v>
      </c>
      <c r="J121" s="100" t="n">
        <v>1</v>
      </c>
      <c r="K121" s="101" t="n">
        <v>0.0077</v>
      </c>
      <c r="L121" s="102" t="n">
        <v>316770504.248567</v>
      </c>
      <c r="M121" s="103" t="n">
        <v>316427530.0167</v>
      </c>
      <c r="N121" s="104" t="str">
        <f>MIN(MAX((B121-'Calculation_Assumptions'!$B$5+1)/'Calculation_Assumptions'!$B$7,0),1)</f>
      </c>
      <c r="O121" s="105" t="str">
        <f>L121*I121</f>
      </c>
      <c r="P121" s="106" t="str">
        <f>M121*I121</f>
      </c>
      <c r="Q121" s="107" t="str">
        <f>P121*'Calculation_Assumptions'!$B$14*J121*K121</f>
      </c>
      <c r="R121" s="108" t="str">
        <f>O121*N121*J121*K121</f>
      </c>
      <c r="S121" s="109" t="str">
        <f>R121-Q121</f>
      </c>
      <c r="T121" s="110" t="str">
        <f>1/(1+'Calculation_Assumptions'!$B$8)^(B121-'Calculation_Assumptions'!$B$2)</f>
      </c>
      <c r="U121" s="111" t="str">
        <f>Q121*T121</f>
      </c>
      <c r="V121" s="112" t="str">
        <f>R121*T121</f>
      </c>
      <c r="W121" s="113" t="str">
        <f>S121*T121</f>
      </c>
      <c r="X121" t="n">
        <v>0</v>
      </c>
      <c r="Y121" s="114" t="n">
        <v>2017</v>
      </c>
      <c r="Z121" t="s">
        <v>399</v>
      </c>
      <c r="AA121" s="115" t="str">
        <f>IF(G121="shared-count-once",COUNTIFS($A$2:$A$287,A121,$B$2:$B$287,B121,$D$2:$D$287,D121),1)</f>
      </c>
      <c r="AB121" s="116" t="n">
        <v>314265537.410829</v>
      </c>
      <c r="AC121" s="117" t="str">
        <f>IF(AB121=0,"",Q121/AB121)</f>
      </c>
      <c r="AD121" s="118" t="str">
        <f>IF(AB121=0,"",R121/AB121)</f>
      </c>
      <c r="AE121" s="119" t="str">
        <f>IF(AB121=0,"",S121/AB121)</f>
      </c>
      <c r="AF121" s="120" t="str">
        <f>IF(AB121=0,"",W121/AB121)</f>
      </c>
    </row>
    <row r="122">
      <c r="A122" t="s">
        <v>254</v>
      </c>
      <c r="B122" s="93" t="n">
        <v>2041</v>
      </c>
      <c r="C122" t="s">
        <v>250</v>
      </c>
      <c r="D122" s="94" t="s">
        <v>401</v>
      </c>
      <c r="E122" s="95" t="s">
        <v>402</v>
      </c>
      <c r="F122" s="96" t="s">
        <v>253</v>
      </c>
      <c r="G122" s="97" t="s">
        <v>403</v>
      </c>
      <c r="H122" s="98" t="s">
        <v>396</v>
      </c>
      <c r="I122" s="99" t="n">
        <v>1</v>
      </c>
      <c r="J122" s="100" t="n">
        <v>1</v>
      </c>
      <c r="K122" s="101" t="n">
        <v>0.0077</v>
      </c>
      <c r="L122" s="102" t="n">
        <v>318025623.614346</v>
      </c>
      <c r="M122" s="103" t="n">
        <v>317614843.247219</v>
      </c>
      <c r="N122" s="104" t="str">
        <f>MIN(MAX((B122-'Calculation_Assumptions'!$B$5+1)/'Calculation_Assumptions'!$B$7,0),1)</f>
      </c>
      <c r="O122" s="105" t="str">
        <f>L122*I122</f>
      </c>
      <c r="P122" s="106" t="str">
        <f>M122*I122</f>
      </c>
      <c r="Q122" s="107" t="str">
        <f>P122*'Calculation_Assumptions'!$B$14*J122*K122</f>
      </c>
      <c r="R122" s="108" t="str">
        <f>O122*N122*J122*K122</f>
      </c>
      <c r="S122" s="109" t="str">
        <f>R122-Q122</f>
      </c>
      <c r="T122" s="110" t="str">
        <f>1/(1+'Calculation_Assumptions'!$B$8)^(B122-'Calculation_Assumptions'!$B$2)</f>
      </c>
      <c r="U122" s="111" t="str">
        <f>Q122*T122</f>
      </c>
      <c r="V122" s="112" t="str">
        <f>R122*T122</f>
      </c>
      <c r="W122" s="113" t="str">
        <f>S122*T122</f>
      </c>
      <c r="X122" t="n">
        <v>0</v>
      </c>
      <c r="Y122" s="114" t="n">
        <v>2017</v>
      </c>
      <c r="Z122" t="s">
        <v>399</v>
      </c>
      <c r="AA122" s="115" t="str">
        <f>IF(G122="shared-count-once",COUNTIFS($A$2:$A$287,A122,$B$2:$B$287,B122,$D$2:$D$287,D122),1)</f>
      </c>
      <c r="AB122" s="116" t="n">
        <v>315525215.312548</v>
      </c>
      <c r="AC122" s="117" t="str">
        <f>IF(AB122=0,"",Q122/AB122)</f>
      </c>
      <c r="AD122" s="118" t="str">
        <f>IF(AB122=0,"",R122/AB122)</f>
      </c>
      <c r="AE122" s="119" t="str">
        <f>IF(AB122=0,"",S122/AB122)</f>
      </c>
      <c r="AF122" s="120" t="str">
        <f>IF(AB122=0,"",W122/AB122)</f>
      </c>
    </row>
    <row r="123">
      <c r="A123" t="s">
        <v>254</v>
      </c>
      <c r="B123" s="93" t="n">
        <v>2042</v>
      </c>
      <c r="C123" t="s">
        <v>250</v>
      </c>
      <c r="D123" s="94" t="s">
        <v>401</v>
      </c>
      <c r="E123" s="95" t="s">
        <v>402</v>
      </c>
      <c r="F123" s="96" t="s">
        <v>253</v>
      </c>
      <c r="G123" s="97" t="s">
        <v>403</v>
      </c>
      <c r="H123" s="98" t="s">
        <v>396</v>
      </c>
      <c r="I123" s="99" t="n">
        <v>1</v>
      </c>
      <c r="J123" s="100" t="n">
        <v>1</v>
      </c>
      <c r="K123" s="101" t="n">
        <v>0.0077</v>
      </c>
      <c r="L123" s="102" t="n">
        <v>319205758.507508</v>
      </c>
      <c r="M123" s="103" t="n">
        <v>318781045.920738</v>
      </c>
      <c r="N123" s="104" t="str">
        <f>MIN(MAX((B123-'Calculation_Assumptions'!$B$5+1)/'Calculation_Assumptions'!$B$7,0),1)</f>
      </c>
      <c r="O123" s="105" t="str">
        <f>L123*I123</f>
      </c>
      <c r="P123" s="106" t="str">
        <f>M123*I123</f>
      </c>
      <c r="Q123" s="107" t="str">
        <f>P123*'Calculation_Assumptions'!$B$14*J123*K123</f>
      </c>
      <c r="R123" s="108" t="str">
        <f>O123*N123*J123*K123</f>
      </c>
      <c r="S123" s="109" t="str">
        <f>R123-Q123</f>
      </c>
      <c r="T123" s="110" t="str">
        <f>1/(1+'Calculation_Assumptions'!$B$8)^(B123-'Calculation_Assumptions'!$B$2)</f>
      </c>
      <c r="U123" s="111" t="str">
        <f>Q123*T123</f>
      </c>
      <c r="V123" s="112" t="str">
        <f>R123*T123</f>
      </c>
      <c r="W123" s="113" t="str">
        <f>S123*T123</f>
      </c>
      <c r="X123" t="n">
        <v>0</v>
      </c>
      <c r="Y123" s="114" t="n">
        <v>2017</v>
      </c>
      <c r="Z123" t="s">
        <v>399</v>
      </c>
      <c r="AA123" s="115" t="str">
        <f>IF(G123="shared-count-once",COUNTIFS($A$2:$A$287,A123,$B$2:$B$287,B123,$D$2:$D$287,D123),1)</f>
      </c>
      <c r="AB123" s="116" t="n">
        <v>316707694.211882</v>
      </c>
      <c r="AC123" s="117" t="str">
        <f>IF(AB123=0,"",Q123/AB123)</f>
      </c>
      <c r="AD123" s="118" t="str">
        <f>IF(AB123=0,"",R123/AB123)</f>
      </c>
      <c r="AE123" s="119" t="str">
        <f>IF(AB123=0,"",S123/AB123)</f>
      </c>
      <c r="AF123" s="120" t="str">
        <f>IF(AB123=0,"",W123/AB123)</f>
      </c>
    </row>
    <row r="124">
      <c r="A124" t="s">
        <v>254</v>
      </c>
      <c r="B124" s="93" t="n">
        <v>2043</v>
      </c>
      <c r="C124" t="s">
        <v>250</v>
      </c>
      <c r="D124" s="94" t="s">
        <v>401</v>
      </c>
      <c r="E124" s="95" t="s">
        <v>402</v>
      </c>
      <c r="F124" s="96" t="s">
        <v>253</v>
      </c>
      <c r="G124" s="97" t="s">
        <v>403</v>
      </c>
      <c r="H124" s="98" t="s">
        <v>396</v>
      </c>
      <c r="I124" s="99" t="n">
        <v>1</v>
      </c>
      <c r="J124" s="100" t="n">
        <v>1</v>
      </c>
      <c r="K124" s="101" t="n">
        <v>0.0077</v>
      </c>
      <c r="L124" s="102" t="n">
        <v>320317851.188967</v>
      </c>
      <c r="M124" s="103" t="n">
        <v>319872275.594712</v>
      </c>
      <c r="N124" s="104" t="str">
        <f>MIN(MAX((B124-'Calculation_Assumptions'!$B$5+1)/'Calculation_Assumptions'!$B$7,0),1)</f>
      </c>
      <c r="O124" s="105" t="str">
        <f>L124*I124</f>
      </c>
      <c r="P124" s="106" t="str">
        <f>M124*I124</f>
      </c>
      <c r="Q124" s="107" t="str">
        <f>P124*'Calculation_Assumptions'!$B$14*J124*K124</f>
      </c>
      <c r="R124" s="108" t="str">
        <f>O124*N124*J124*K124</f>
      </c>
      <c r="S124" s="109" t="str">
        <f>R124-Q124</f>
      </c>
      <c r="T124" s="110" t="str">
        <f>1/(1+'Calculation_Assumptions'!$B$8)^(B124-'Calculation_Assumptions'!$B$2)</f>
      </c>
      <c r="U124" s="111" t="str">
        <f>Q124*T124</f>
      </c>
      <c r="V124" s="112" t="str">
        <f>R124*T124</f>
      </c>
      <c r="W124" s="113" t="str">
        <f>S124*T124</f>
      </c>
      <c r="X124" t="n">
        <v>0</v>
      </c>
      <c r="Y124" s="114" t="n">
        <v>2017</v>
      </c>
      <c r="Z124" t="s">
        <v>399</v>
      </c>
      <c r="AA124" s="115" t="str">
        <f>IF(G124="shared-count-once",COUNTIFS($A$2:$A$287,A124,$B$2:$B$287,B124,$D$2:$D$287,D124),1)</f>
      </c>
      <c r="AB124" s="116" t="n">
        <v>317814114.067152</v>
      </c>
      <c r="AC124" s="117" t="str">
        <f>IF(AB124=0,"",Q124/AB124)</f>
      </c>
      <c r="AD124" s="118" t="str">
        <f>IF(AB124=0,"",R124/AB124)</f>
      </c>
      <c r="AE124" s="119" t="str">
        <f>IF(AB124=0,"",S124/AB124)</f>
      </c>
      <c r="AF124" s="120" t="str">
        <f>IF(AB124=0,"",W124/AB124)</f>
      </c>
    </row>
    <row r="125">
      <c r="A125" t="s">
        <v>254</v>
      </c>
      <c r="B125" s="93" t="n">
        <v>2044</v>
      </c>
      <c r="C125" t="s">
        <v>250</v>
      </c>
      <c r="D125" s="94" t="s">
        <v>401</v>
      </c>
      <c r="E125" s="95" t="s">
        <v>402</v>
      </c>
      <c r="F125" s="96" t="s">
        <v>253</v>
      </c>
      <c r="G125" s="97" t="s">
        <v>403</v>
      </c>
      <c r="H125" s="98" t="s">
        <v>396</v>
      </c>
      <c r="I125" s="99" t="n">
        <v>1</v>
      </c>
      <c r="J125" s="100" t="n">
        <v>1</v>
      </c>
      <c r="K125" s="101" t="n">
        <v>0.0077</v>
      </c>
      <c r="L125" s="102" t="n">
        <v>321272254.924434</v>
      </c>
      <c r="M125" s="103" t="n">
        <v>320897722.542069</v>
      </c>
      <c r="N125" s="104" t="str">
        <f>MIN(MAX((B125-'Calculation_Assumptions'!$B$5+1)/'Calculation_Assumptions'!$B$7,0),1)</f>
      </c>
      <c r="O125" s="105" t="str">
        <f>L125*I125</f>
      </c>
      <c r="P125" s="106" t="str">
        <f>M125*I125</f>
      </c>
      <c r="Q125" s="107" t="str">
        <f>P125*'Calculation_Assumptions'!$B$14*J125*K125</f>
      </c>
      <c r="R125" s="108" t="str">
        <f>O125*N125*J125*K125</f>
      </c>
      <c r="S125" s="109" t="str">
        <f>R125-Q125</f>
      </c>
      <c r="T125" s="110" t="str">
        <f>1/(1+'Calculation_Assumptions'!$B$8)^(B125-'Calculation_Assumptions'!$B$2)</f>
      </c>
      <c r="U125" s="111" t="str">
        <f>Q125*T125</f>
      </c>
      <c r="V125" s="112" t="str">
        <f>R125*T125</f>
      </c>
      <c r="W125" s="113" t="str">
        <f>S125*T125</f>
      </c>
      <c r="X125" t="n">
        <v>0</v>
      </c>
      <c r="Y125" s="114" t="n">
        <v>2017</v>
      </c>
      <c r="Z125" t="s">
        <v>399</v>
      </c>
      <c r="AA125" s="115" t="str">
        <f>IF(G125="shared-count-once",COUNTIFS($A$2:$A$287,A125,$B$2:$B$287,B125,$D$2:$D$287,D125),1)</f>
      </c>
      <c r="AB125" s="116" t="n">
        <v>318840890.732156</v>
      </c>
      <c r="AC125" s="117" t="str">
        <f>IF(AB125=0,"",Q125/AB125)</f>
      </c>
      <c r="AD125" s="118" t="str">
        <f>IF(AB125=0,"",R125/AB125)</f>
      </c>
      <c r="AE125" s="119" t="str">
        <f>IF(AB125=0,"",S125/AB125)</f>
      </c>
      <c r="AF125" s="120" t="str">
        <f>IF(AB125=0,"",W125/AB125)</f>
      </c>
    </row>
    <row r="126">
      <c r="A126" t="s">
        <v>254</v>
      </c>
      <c r="B126" s="93" t="n">
        <v>2045</v>
      </c>
      <c r="C126" t="s">
        <v>250</v>
      </c>
      <c r="D126" s="94" t="s">
        <v>401</v>
      </c>
      <c r="E126" s="95" t="s">
        <v>402</v>
      </c>
      <c r="F126" s="96" t="s">
        <v>253</v>
      </c>
      <c r="G126" s="97" t="s">
        <v>403</v>
      </c>
      <c r="H126" s="98" t="s">
        <v>396</v>
      </c>
      <c r="I126" s="99" t="n">
        <v>1</v>
      </c>
      <c r="J126" s="100" t="n">
        <v>1</v>
      </c>
      <c r="K126" s="101" t="n">
        <v>0.0077</v>
      </c>
      <c r="L126" s="102" t="n">
        <v>322247023.509598</v>
      </c>
      <c r="M126" s="103" t="n">
        <v>321832323.778944</v>
      </c>
      <c r="N126" s="104" t="str">
        <f>MIN(MAX((B126-'Calculation_Assumptions'!$B$5+1)/'Calculation_Assumptions'!$B$7,0),1)</f>
      </c>
      <c r="O126" s="105" t="str">
        <f>L126*I126</f>
      </c>
      <c r="P126" s="106" t="str">
        <f>M126*I126</f>
      </c>
      <c r="Q126" s="107" t="str">
        <f>P126*'Calculation_Assumptions'!$B$14*J126*K126</f>
      </c>
      <c r="R126" s="108" t="str">
        <f>O126*N126*J126*K126</f>
      </c>
      <c r="S126" s="109" t="str">
        <f>R126-Q126</f>
      </c>
      <c r="T126" s="110" t="str">
        <f>1/(1+'Calculation_Assumptions'!$B$8)^(B126-'Calculation_Assumptions'!$B$2)</f>
      </c>
      <c r="U126" s="111" t="str">
        <f>Q126*T126</f>
      </c>
      <c r="V126" s="112" t="str">
        <f>R126*T126</f>
      </c>
      <c r="W126" s="113" t="str">
        <f>S126*T126</f>
      </c>
      <c r="X126" t="n">
        <v>0</v>
      </c>
      <c r="Y126" s="114" t="n">
        <v>2017</v>
      </c>
      <c r="Z126" t="s">
        <v>399</v>
      </c>
      <c r="AA126" s="115" t="str">
        <f>IF(G126="shared-count-once",COUNTIFS($A$2:$A$287,A126,$B$2:$B$287,B126,$D$2:$D$287,D126),1)</f>
      </c>
      <c r="AB126" s="116" t="n">
        <v>319784682.33108</v>
      </c>
      <c r="AC126" s="117" t="str">
        <f>IF(AB126=0,"",Q126/AB126)</f>
      </c>
      <c r="AD126" s="118" t="str">
        <f>IF(AB126=0,"",R126/AB126)</f>
      </c>
      <c r="AE126" s="119" t="str">
        <f>IF(AB126=0,"",S126/AB126)</f>
      </c>
      <c r="AF126" s="120" t="str">
        <f>IF(AB126=0,"",W126/AB126)</f>
      </c>
    </row>
    <row r="127">
      <c r="A127" t="s">
        <v>254</v>
      </c>
      <c r="B127" s="93" t="n">
        <v>2046</v>
      </c>
      <c r="C127" t="s">
        <v>250</v>
      </c>
      <c r="D127" s="94" t="s">
        <v>401</v>
      </c>
      <c r="E127" s="95" t="s">
        <v>402</v>
      </c>
      <c r="F127" s="96" t="s">
        <v>253</v>
      </c>
      <c r="G127" s="97" t="s">
        <v>403</v>
      </c>
      <c r="H127" s="98" t="s">
        <v>396</v>
      </c>
      <c r="I127" s="99" t="n">
        <v>1</v>
      </c>
      <c r="J127" s="100" t="n">
        <v>1</v>
      </c>
      <c r="K127" s="101" t="n">
        <v>0.0077</v>
      </c>
      <c r="L127" s="102" t="n">
        <v>323090552.011921</v>
      </c>
      <c r="M127" s="103" t="n">
        <v>322683379.427444</v>
      </c>
      <c r="N127" s="104" t="str">
        <f>MIN(MAX((B127-'Calculation_Assumptions'!$B$5+1)/'Calculation_Assumptions'!$B$7,0),1)</f>
      </c>
      <c r="O127" s="105" t="str">
        <f>L127*I127</f>
      </c>
      <c r="P127" s="106" t="str">
        <f>M127*I127</f>
      </c>
      <c r="Q127" s="107" t="str">
        <f>P127*'Calculation_Assumptions'!$B$14*J127*K127</f>
      </c>
      <c r="R127" s="108" t="str">
        <f>O127*N127*J127*K127</f>
      </c>
      <c r="S127" s="109" t="str">
        <f>R127-Q127</f>
      </c>
      <c r="T127" s="110" t="str">
        <f>1/(1+'Calculation_Assumptions'!$B$8)^(B127-'Calculation_Assumptions'!$B$2)</f>
      </c>
      <c r="U127" s="111" t="str">
        <f>Q127*T127</f>
      </c>
      <c r="V127" s="112" t="str">
        <f>R127*T127</f>
      </c>
      <c r="W127" s="113" t="str">
        <f>S127*T127</f>
      </c>
      <c r="X127" t="n">
        <v>0</v>
      </c>
      <c r="Y127" s="114" t="n">
        <v>2017</v>
      </c>
      <c r="Z127" t="s">
        <v>399</v>
      </c>
      <c r="AA127" s="115" t="str">
        <f>IF(G127="shared-count-once",COUNTIFS($A$2:$A$287,A127,$B$2:$B$287,B127,$D$2:$D$287,D127),1)</f>
      </c>
      <c r="AB127" s="116" t="n">
        <v>320645615.981408</v>
      </c>
      <c r="AC127" s="117" t="str">
        <f>IF(AB127=0,"",Q127/AB127)</f>
      </c>
      <c r="AD127" s="118" t="str">
        <f>IF(AB127=0,"",R127/AB127)</f>
      </c>
      <c r="AE127" s="119" t="str">
        <f>IF(AB127=0,"",S127/AB127)</f>
      </c>
      <c r="AF127" s="120" t="str">
        <f>IF(AB127=0,"",W127/AB127)</f>
      </c>
    </row>
    <row r="128">
      <c r="A128" t="s">
        <v>254</v>
      </c>
      <c r="B128" s="93" t="n">
        <v>2047</v>
      </c>
      <c r="C128" t="s">
        <v>250</v>
      </c>
      <c r="D128" s="94" t="s">
        <v>401</v>
      </c>
      <c r="E128" s="95" t="s">
        <v>402</v>
      </c>
      <c r="F128" s="96" t="s">
        <v>253</v>
      </c>
      <c r="G128" s="97" t="s">
        <v>403</v>
      </c>
      <c r="H128" s="98" t="s">
        <v>396</v>
      </c>
      <c r="I128" s="99" t="n">
        <v>1</v>
      </c>
      <c r="J128" s="100" t="n">
        <v>1</v>
      </c>
      <c r="K128" s="101" t="n">
        <v>0.0077</v>
      </c>
      <c r="L128" s="102" t="n">
        <v>323899073.855135</v>
      </c>
      <c r="M128" s="103" t="n">
        <v>323457177.765372</v>
      </c>
      <c r="N128" s="104" t="str">
        <f>MIN(MAX((B128-'Calculation_Assumptions'!$B$5+1)/'Calculation_Assumptions'!$B$7,0),1)</f>
      </c>
      <c r="O128" s="105" t="str">
        <f>L128*I128</f>
      </c>
      <c r="P128" s="106" t="str">
        <f>M128*I128</f>
      </c>
      <c r="Q128" s="107" t="str">
        <f>P128*'Calculation_Assumptions'!$B$14*J128*K128</f>
      </c>
      <c r="R128" s="108" t="str">
        <f>O128*N128*J128*K128</f>
      </c>
      <c r="S128" s="109" t="str">
        <f>R128-Q128</f>
      </c>
      <c r="T128" s="110" t="str">
        <f>1/(1+'Calculation_Assumptions'!$B$8)^(B128-'Calculation_Assumptions'!$B$2)</f>
      </c>
      <c r="U128" s="111" t="str">
        <f>Q128*T128</f>
      </c>
      <c r="V128" s="112" t="str">
        <f>R128*T128</f>
      </c>
      <c r="W128" s="113" t="str">
        <f>S128*T128</f>
      </c>
      <c r="X128" t="n">
        <v>0</v>
      </c>
      <c r="Y128" s="114" t="n">
        <v>2017</v>
      </c>
      <c r="Z128" t="s">
        <v>399</v>
      </c>
      <c r="AA128" s="115" t="str">
        <f>IF(G128="shared-count-once",COUNTIFS($A$2:$A$287,A128,$B$2:$B$287,B128,$D$2:$D$287,D128),1)</f>
      </c>
      <c r="AB128" s="116" t="n">
        <v>321429520.522875</v>
      </c>
      <c r="AC128" s="117" t="str">
        <f>IF(AB128=0,"",Q128/AB128)</f>
      </c>
      <c r="AD128" s="118" t="str">
        <f>IF(AB128=0,"",R128/AB128)</f>
      </c>
      <c r="AE128" s="119" t="str">
        <f>IF(AB128=0,"",S128/AB128)</f>
      </c>
      <c r="AF128" s="120" t="str">
        <f>IF(AB128=0,"",W128/AB128)</f>
      </c>
    </row>
    <row r="129">
      <c r="A129" t="s">
        <v>254</v>
      </c>
      <c r="B129" s="93" t="n">
        <v>2048</v>
      </c>
      <c r="C129" t="s">
        <v>250</v>
      </c>
      <c r="D129" s="94" t="s">
        <v>401</v>
      </c>
      <c r="E129" s="95" t="s">
        <v>402</v>
      </c>
      <c r="F129" s="96" t="s">
        <v>253</v>
      </c>
      <c r="G129" s="97" t="s">
        <v>403</v>
      </c>
      <c r="H129" s="98" t="s">
        <v>396</v>
      </c>
      <c r="I129" s="99" t="n">
        <v>1</v>
      </c>
      <c r="J129" s="100" t="n">
        <v>1</v>
      </c>
      <c r="K129" s="101" t="n">
        <v>0.0077</v>
      </c>
      <c r="L129" s="102" t="n">
        <v>324619303.132713</v>
      </c>
      <c r="M129" s="103" t="n">
        <v>324153264.068833</v>
      </c>
      <c r="N129" s="104" t="str">
        <f>MIN(MAX((B129-'Calculation_Assumptions'!$B$5+1)/'Calculation_Assumptions'!$B$7,0),1)</f>
      </c>
      <c r="O129" s="105" t="str">
        <f>L129*I129</f>
      </c>
      <c r="P129" s="106" t="str">
        <f>M129*I129</f>
      </c>
      <c r="Q129" s="107" t="str">
        <f>P129*'Calculation_Assumptions'!$B$14*J129*K129</f>
      </c>
      <c r="R129" s="108" t="str">
        <f>O129*N129*J129*K129</f>
      </c>
      <c r="S129" s="109" t="str">
        <f>R129-Q129</f>
      </c>
      <c r="T129" s="110" t="str">
        <f>1/(1+'Calculation_Assumptions'!$B$8)^(B129-'Calculation_Assumptions'!$B$2)</f>
      </c>
      <c r="U129" s="111" t="str">
        <f>Q129*T129</f>
      </c>
      <c r="V129" s="112" t="str">
        <f>R129*T129</f>
      </c>
      <c r="W129" s="113" t="str">
        <f>S129*T129</f>
      </c>
      <c r="X129" t="n">
        <v>0</v>
      </c>
      <c r="Y129" s="114" t="n">
        <v>2017</v>
      </c>
      <c r="Z129" t="s">
        <v>399</v>
      </c>
      <c r="AA129" s="115" t="str">
        <f>IF(G129="shared-count-once",COUNTIFS($A$2:$A$287,A129,$B$2:$B$287,B129,$D$2:$D$287,D129),1)</f>
      </c>
      <c r="AB129" s="116" t="n">
        <v>322136832.260161</v>
      </c>
      <c r="AC129" s="117" t="str">
        <f>IF(AB129=0,"",Q129/AB129)</f>
      </c>
      <c r="AD129" s="118" t="str">
        <f>IF(AB129=0,"",R129/AB129)</f>
      </c>
      <c r="AE129" s="119" t="str">
        <f>IF(AB129=0,"",S129/AB129)</f>
      </c>
      <c r="AF129" s="120" t="str">
        <f>IF(AB129=0,"",W129/AB129)</f>
      </c>
    </row>
    <row r="130">
      <c r="A130" t="s">
        <v>254</v>
      </c>
      <c r="B130" s="93" t="n">
        <v>2049</v>
      </c>
      <c r="C130" t="s">
        <v>250</v>
      </c>
      <c r="D130" s="94" t="s">
        <v>401</v>
      </c>
      <c r="E130" s="95" t="s">
        <v>402</v>
      </c>
      <c r="F130" s="96" t="s">
        <v>253</v>
      </c>
      <c r="G130" s="97" t="s">
        <v>403</v>
      </c>
      <c r="H130" s="98" t="s">
        <v>396</v>
      </c>
      <c r="I130" s="99" t="n">
        <v>1</v>
      </c>
      <c r="J130" s="100" t="n">
        <v>1</v>
      </c>
      <c r="K130" s="101" t="n">
        <v>0.0077</v>
      </c>
      <c r="L130" s="102" t="n">
        <v>325260359.575058</v>
      </c>
      <c r="M130" s="103" t="n">
        <v>324770595.66435</v>
      </c>
      <c r="N130" s="104" t="str">
        <f>MIN(MAX((B130-'Calculation_Assumptions'!$B$5+1)/'Calculation_Assumptions'!$B$7,0),1)</f>
      </c>
      <c r="O130" s="105" t="str">
        <f>L130*I130</f>
      </c>
      <c r="P130" s="106" t="str">
        <f>M130*I130</f>
      </c>
      <c r="Q130" s="107" t="str">
        <f>P130*'Calculation_Assumptions'!$B$14*J130*K130</f>
      </c>
      <c r="R130" s="108" t="str">
        <f>O130*N130*J130*K130</f>
      </c>
      <c r="S130" s="109" t="str">
        <f>R130-Q130</f>
      </c>
      <c r="T130" s="110" t="str">
        <f>1/(1+'Calculation_Assumptions'!$B$8)^(B130-'Calculation_Assumptions'!$B$2)</f>
      </c>
      <c r="U130" s="111" t="str">
        <f>Q130*T130</f>
      </c>
      <c r="V130" s="112" t="str">
        <f>R130*T130</f>
      </c>
      <c r="W130" s="113" t="str">
        <f>S130*T130</f>
      </c>
      <c r="X130" t="n">
        <v>0</v>
      </c>
      <c r="Y130" s="114" t="n">
        <v>2017</v>
      </c>
      <c r="Z130" t="s">
        <v>399</v>
      </c>
      <c r="AA130" s="115" t="str">
        <f>IF(G130="shared-count-once",COUNTIFS($A$2:$A$287,A130,$B$2:$B$287,B130,$D$2:$D$287,D130),1)</f>
      </c>
      <c r="AB130" s="116" t="n">
        <v>322765819.752681</v>
      </c>
      <c r="AC130" s="117" t="str">
        <f>IF(AB130=0,"",Q130/AB130)</f>
      </c>
      <c r="AD130" s="118" t="str">
        <f>IF(AB130=0,"",R130/AB130)</f>
      </c>
      <c r="AE130" s="119" t="str">
        <f>IF(AB130=0,"",S130/AB130)</f>
      </c>
      <c r="AF130" s="120" t="str">
        <f>IF(AB130=0,"",W130/AB130)</f>
      </c>
    </row>
    <row r="131">
      <c r="A131" t="s">
        <v>254</v>
      </c>
      <c r="B131" s="93" t="n">
        <v>2050</v>
      </c>
      <c r="C131" t="s">
        <v>250</v>
      </c>
      <c r="D131" s="94" t="s">
        <v>401</v>
      </c>
      <c r="E131" s="95" t="s">
        <v>402</v>
      </c>
      <c r="F131" s="96" t="s">
        <v>253</v>
      </c>
      <c r="G131" s="97" t="s">
        <v>403</v>
      </c>
      <c r="H131" s="98" t="s">
        <v>396</v>
      </c>
      <c r="I131" s="99" t="n">
        <v>1</v>
      </c>
      <c r="J131" s="100" t="n">
        <v>1</v>
      </c>
      <c r="K131" s="101" t="n">
        <v>0.0077</v>
      </c>
      <c r="L131" s="102" t="n">
        <v>325782629.964295</v>
      </c>
      <c r="M131" s="103" t="n">
        <v>325271287.464889</v>
      </c>
      <c r="N131" s="104" t="str">
        <f>MIN(MAX((B131-'Calculation_Assumptions'!$B$5+1)/'Calculation_Assumptions'!$B$7,0),1)</f>
      </c>
      <c r="O131" s="105" t="str">
        <f>L131*I131</f>
      </c>
      <c r="P131" s="106" t="str">
        <f>M131*I131</f>
      </c>
      <c r="Q131" s="107" t="str">
        <f>P131*'Calculation_Assumptions'!$B$14*J131*K131</f>
      </c>
      <c r="R131" s="108" t="str">
        <f>O131*N131*J131*K131</f>
      </c>
      <c r="S131" s="109" t="str">
        <f>R131-Q131</f>
      </c>
      <c r="T131" s="110" t="str">
        <f>1/(1+'Calculation_Assumptions'!$B$8)^(B131-'Calculation_Assumptions'!$B$2)</f>
      </c>
      <c r="U131" s="111" t="str">
        <f>Q131*T131</f>
      </c>
      <c r="V131" s="112" t="str">
        <f>R131*T131</f>
      </c>
      <c r="W131" s="113" t="str">
        <f>S131*T131</f>
      </c>
      <c r="X131" t="n">
        <v>0</v>
      </c>
      <c r="Y131" s="114" t="n">
        <v>2017</v>
      </c>
      <c r="Z131" t="s">
        <v>399</v>
      </c>
      <c r="AA131" s="115" t="str">
        <f>IF(G131="shared-count-once",COUNTIFS($A$2:$A$287,A131,$B$2:$B$287,B131,$D$2:$D$287,D131),1)</f>
      </c>
      <c r="AB131" s="116" t="n">
        <v>323312042.563285</v>
      </c>
      <c r="AC131" s="117" t="str">
        <f>IF(AB131=0,"",Q131/AB131)</f>
      </c>
      <c r="AD131" s="118" t="str">
        <f>IF(AB131=0,"",R131/AB131)</f>
      </c>
      <c r="AE131" s="119" t="str">
        <f>IF(AB131=0,"",S131/AB131)</f>
      </c>
      <c r="AF131" s="120" t="str">
        <f>IF(AB131=0,"",W131/AB131)</f>
      </c>
    </row>
    <row r="132">
      <c r="A132" t="s">
        <v>254</v>
      </c>
      <c r="B132" s="93" t="n">
        <v>2025</v>
      </c>
      <c r="C132" t="s">
        <v>262</v>
      </c>
      <c r="D132" s="94" t="s">
        <v>405</v>
      </c>
      <c r="E132" s="95" t="s">
        <v>406</v>
      </c>
      <c r="F132" s="96" t="s">
        <v>265</v>
      </c>
      <c r="G132" s="97" t="s">
        <v>403</v>
      </c>
      <c r="H132" s="98" t="s">
        <v>396</v>
      </c>
      <c r="I132" s="99" t="n">
        <v>1</v>
      </c>
      <c r="J132" s="100" t="n">
        <v>1</v>
      </c>
      <c r="K132" s="101" t="n">
        <v>0.0077</v>
      </c>
      <c r="L132" s="102" t="n">
        <v>291886571.325912</v>
      </c>
      <c r="M132" s="103" t="n">
        <v>291223951.413062</v>
      </c>
      <c r="N132" s="104" t="str">
        <f>MIN(MAX((B132-'Calculation_Assumptions'!$B$5+1)/'Calculation_Assumptions'!$B$7,0),1)</f>
      </c>
      <c r="O132" s="105" t="str">
        <f>L132*I132</f>
      </c>
      <c r="P132" s="106" t="str">
        <f>M132*I132</f>
      </c>
      <c r="Q132" s="107" t="str">
        <f>P132*'Calculation_Assumptions'!$B$14*J132*K132</f>
      </c>
      <c r="R132" s="108" t="str">
        <f>O132*N132*J132*K132</f>
      </c>
      <c r="S132" s="109" t="str">
        <f>R132-Q132</f>
      </c>
      <c r="T132" s="110" t="str">
        <f>1/(1+'Calculation_Assumptions'!$B$8)^(B132-'Calculation_Assumptions'!$B$2)</f>
      </c>
      <c r="U132" s="111" t="str">
        <f>Q132*T132</f>
      </c>
      <c r="V132" s="112" t="str">
        <f>R132*T132</f>
      </c>
      <c r="W132" s="113" t="str">
        <f>S132*T132</f>
      </c>
      <c r="X132" t="n">
        <v>0</v>
      </c>
      <c r="Y132" s="114" t="n">
        <v>2017</v>
      </c>
      <c r="Z132" t="s">
        <v>399</v>
      </c>
      <c r="AA132" s="115" t="str">
        <f>IF(G132="shared-count-once",COUNTIFS($A$2:$A$287,A132,$B$2:$B$287,B132,$D$2:$D$287,D132),1)</f>
      </c>
      <c r="AB132" s="116" t="n">
        <v>288391907.644456</v>
      </c>
      <c r="AC132" s="117" t="str">
        <f>IF(AB132=0,"",Q132/AB132)</f>
      </c>
      <c r="AD132" s="118" t="str">
        <f>IF(AB132=0,"",R132/AB132)</f>
      </c>
      <c r="AE132" s="119" t="str">
        <f>IF(AB132=0,"",S132/AB132)</f>
      </c>
      <c r="AF132" s="120" t="str">
        <f>IF(AB132=0,"",W132/AB132)</f>
      </c>
    </row>
    <row r="133">
      <c r="A133" t="s">
        <v>254</v>
      </c>
      <c r="B133" s="93" t="n">
        <v>2026</v>
      </c>
      <c r="C133" t="s">
        <v>262</v>
      </c>
      <c r="D133" s="94" t="s">
        <v>405</v>
      </c>
      <c r="E133" s="95" t="s">
        <v>406</v>
      </c>
      <c r="F133" s="96" t="s">
        <v>265</v>
      </c>
      <c r="G133" s="97" t="s">
        <v>403</v>
      </c>
      <c r="H133" s="98" t="s">
        <v>396</v>
      </c>
      <c r="I133" s="99" t="n">
        <v>1</v>
      </c>
      <c r="J133" s="100" t="n">
        <v>1</v>
      </c>
      <c r="K133" s="101" t="n">
        <v>0.0077</v>
      </c>
      <c r="L133" s="102" t="n">
        <v>293828806.709757</v>
      </c>
      <c r="M133" s="103" t="n">
        <v>293212473.334583</v>
      </c>
      <c r="N133" s="104" t="str">
        <f>MIN(MAX((B133-'Calculation_Assumptions'!$B$5+1)/'Calculation_Assumptions'!$B$7,0),1)</f>
      </c>
      <c r="O133" s="105" t="str">
        <f>L133*I133</f>
      </c>
      <c r="P133" s="106" t="str">
        <f>M133*I133</f>
      </c>
      <c r="Q133" s="107" t="str">
        <f>P133*'Calculation_Assumptions'!$B$14*J133*K133</f>
      </c>
      <c r="R133" s="108" t="str">
        <f>O133*N133*J133*K133</f>
      </c>
      <c r="S133" s="109" t="str">
        <f>R133-Q133</f>
      </c>
      <c r="T133" s="110" t="str">
        <f>1/(1+'Calculation_Assumptions'!$B$8)^(B133-'Calculation_Assumptions'!$B$2)</f>
      </c>
      <c r="U133" s="111" t="str">
        <f>Q133*T133</f>
      </c>
      <c r="V133" s="112" t="str">
        <f>R133*T133</f>
      </c>
      <c r="W133" s="113" t="str">
        <f>S133*T133</f>
      </c>
      <c r="X133" t="n">
        <v>0</v>
      </c>
      <c r="Y133" s="114" t="n">
        <v>2017</v>
      </c>
      <c r="Z133" t="s">
        <v>399</v>
      </c>
      <c r="AA133" s="115" t="str">
        <f>IF(G133="shared-count-once",COUNTIFS($A$2:$A$287,A133,$B$2:$B$287,B133,$D$2:$D$287,D133),1)</f>
      </c>
      <c r="AB133" s="116" t="n">
        <v>290472130.233437</v>
      </c>
      <c r="AC133" s="117" t="str">
        <f>IF(AB133=0,"",Q133/AB133)</f>
      </c>
      <c r="AD133" s="118" t="str">
        <f>IF(AB133=0,"",R133/AB133)</f>
      </c>
      <c r="AE133" s="119" t="str">
        <f>IF(AB133=0,"",S133/AB133)</f>
      </c>
      <c r="AF133" s="120" t="str">
        <f>IF(AB133=0,"",W133/AB133)</f>
      </c>
    </row>
    <row r="134">
      <c r="A134" t="s">
        <v>254</v>
      </c>
      <c r="B134" s="93" t="n">
        <v>2027</v>
      </c>
      <c r="C134" t="s">
        <v>262</v>
      </c>
      <c r="D134" s="94" t="s">
        <v>405</v>
      </c>
      <c r="E134" s="95" t="s">
        <v>406</v>
      </c>
      <c r="F134" s="96" t="s">
        <v>265</v>
      </c>
      <c r="G134" s="97" t="s">
        <v>403</v>
      </c>
      <c r="H134" s="98" t="s">
        <v>396</v>
      </c>
      <c r="I134" s="99" t="n">
        <v>1</v>
      </c>
      <c r="J134" s="100" t="n">
        <v>1</v>
      </c>
      <c r="K134" s="101" t="n">
        <v>0.0077</v>
      </c>
      <c r="L134" s="102" t="n">
        <v>295753308.05397</v>
      </c>
      <c r="M134" s="103" t="n">
        <v>295196117.964647</v>
      </c>
      <c r="N134" s="104" t="str">
        <f>MIN(MAX((B134-'Calculation_Assumptions'!$B$5+1)/'Calculation_Assumptions'!$B$7,0),1)</f>
      </c>
      <c r="O134" s="105" t="str">
        <f>L134*I134</f>
      </c>
      <c r="P134" s="106" t="str">
        <f>M134*I134</f>
      </c>
      <c r="Q134" s="107" t="str">
        <f>P134*'Calculation_Assumptions'!$B$14*J134*K134</f>
      </c>
      <c r="R134" s="108" t="str">
        <f>O134*N134*J134*K134</f>
      </c>
      <c r="S134" s="109" t="str">
        <f>R134-Q134</f>
      </c>
      <c r="T134" s="110" t="str">
        <f>1/(1+'Calculation_Assumptions'!$B$8)^(B134-'Calculation_Assumptions'!$B$2)</f>
      </c>
      <c r="U134" s="111" t="str">
        <f>Q134*T134</f>
      </c>
      <c r="V134" s="112" t="str">
        <f>R134*T134</f>
      </c>
      <c r="W134" s="113" t="str">
        <f>S134*T134</f>
      </c>
      <c r="X134" t="n">
        <v>0</v>
      </c>
      <c r="Y134" s="114" t="n">
        <v>2017</v>
      </c>
      <c r="Z134" t="s">
        <v>399</v>
      </c>
      <c r="AA134" s="115" t="str">
        <f>IF(G134="shared-count-once",COUNTIFS($A$2:$A$287,A134,$B$2:$B$287,B134,$D$2:$D$287,D134),1)</f>
      </c>
      <c r="AB134" s="116" t="n">
        <v>292505080.826208</v>
      </c>
      <c r="AC134" s="117" t="str">
        <f>IF(AB134=0,"",Q134/AB134)</f>
      </c>
      <c r="AD134" s="118" t="str">
        <f>IF(AB134=0,"",R134/AB134)</f>
      </c>
      <c r="AE134" s="119" t="str">
        <f>IF(AB134=0,"",S134/AB134)</f>
      </c>
      <c r="AF134" s="120" t="str">
        <f>IF(AB134=0,"",W134/AB134)</f>
      </c>
    </row>
    <row r="135">
      <c r="A135" t="s">
        <v>254</v>
      </c>
      <c r="B135" s="93" t="n">
        <v>2028</v>
      </c>
      <c r="C135" t="s">
        <v>262</v>
      </c>
      <c r="D135" s="94" t="s">
        <v>405</v>
      </c>
      <c r="E135" s="95" t="s">
        <v>406</v>
      </c>
      <c r="F135" s="96" t="s">
        <v>265</v>
      </c>
      <c r="G135" s="97" t="s">
        <v>403</v>
      </c>
      <c r="H135" s="98" t="s">
        <v>396</v>
      </c>
      <c r="I135" s="99" t="n">
        <v>1</v>
      </c>
      <c r="J135" s="100" t="n">
        <v>1</v>
      </c>
      <c r="K135" s="101" t="n">
        <v>0.0077</v>
      </c>
      <c r="L135" s="102" t="n">
        <v>297645640.911667</v>
      </c>
      <c r="M135" s="103" t="n">
        <v>297107934.99345</v>
      </c>
      <c r="N135" s="104" t="str">
        <f>MIN(MAX((B135-'Calculation_Assumptions'!$B$5+1)/'Calculation_Assumptions'!$B$7,0),1)</f>
      </c>
      <c r="O135" s="105" t="str">
        <f>L135*I135</f>
      </c>
      <c r="P135" s="106" t="str">
        <f>M135*I135</f>
      </c>
      <c r="Q135" s="107" t="str">
        <f>P135*'Calculation_Assumptions'!$B$14*J135*K135</f>
      </c>
      <c r="R135" s="108" t="str">
        <f>O135*N135*J135*K135</f>
      </c>
      <c r="S135" s="109" t="str">
        <f>R135-Q135</f>
      </c>
      <c r="T135" s="110" t="str">
        <f>1/(1+'Calculation_Assumptions'!$B$8)^(B135-'Calculation_Assumptions'!$B$2)</f>
      </c>
      <c r="U135" s="111" t="str">
        <f>Q135*T135</f>
      </c>
      <c r="V135" s="112" t="str">
        <f>R135*T135</f>
      </c>
      <c r="W135" s="113" t="str">
        <f>S135*T135</f>
      </c>
      <c r="X135" t="n">
        <v>0</v>
      </c>
      <c r="Y135" s="114" t="n">
        <v>2017</v>
      </c>
      <c r="Z135" t="s">
        <v>399</v>
      </c>
      <c r="AA135" s="115" t="str">
        <f>IF(G135="shared-count-once",COUNTIFS($A$2:$A$287,A135,$B$2:$B$287,B135,$D$2:$D$287,D135),1)</f>
      </c>
      <c r="AB135" s="116" t="n">
        <v>294484707.921554</v>
      </c>
      <c r="AC135" s="117" t="str">
        <f>IF(AB135=0,"",Q135/AB135)</f>
      </c>
      <c r="AD135" s="118" t="str">
        <f>IF(AB135=0,"",R135/AB135)</f>
      </c>
      <c r="AE135" s="119" t="str">
        <f>IF(AB135=0,"",S135/AB135)</f>
      </c>
      <c r="AF135" s="120" t="str">
        <f>IF(AB135=0,"",W135/AB135)</f>
      </c>
    </row>
    <row r="136">
      <c r="A136" t="s">
        <v>254</v>
      </c>
      <c r="B136" s="93" t="n">
        <v>2029</v>
      </c>
      <c r="C136" t="s">
        <v>262</v>
      </c>
      <c r="D136" s="94" t="s">
        <v>405</v>
      </c>
      <c r="E136" s="95" t="s">
        <v>406</v>
      </c>
      <c r="F136" s="96" t="s">
        <v>265</v>
      </c>
      <c r="G136" s="97" t="s">
        <v>403</v>
      </c>
      <c r="H136" s="98" t="s">
        <v>396</v>
      </c>
      <c r="I136" s="99" t="n">
        <v>1</v>
      </c>
      <c r="J136" s="100" t="n">
        <v>1</v>
      </c>
      <c r="K136" s="101" t="n">
        <v>0.0077</v>
      </c>
      <c r="L136" s="102" t="n">
        <v>299480247.297346</v>
      </c>
      <c r="M136" s="103" t="n">
        <v>298981169.683309</v>
      </c>
      <c r="N136" s="104" t="str">
        <f>MIN(MAX((B136-'Calculation_Assumptions'!$B$5+1)/'Calculation_Assumptions'!$B$7,0),1)</f>
      </c>
      <c r="O136" s="105" t="str">
        <f>L136*I136</f>
      </c>
      <c r="P136" s="106" t="str">
        <f>M136*I136</f>
      </c>
      <c r="Q136" s="107" t="str">
        <f>P136*'Calculation_Assumptions'!$B$14*J136*K136</f>
      </c>
      <c r="R136" s="108" t="str">
        <f>O136*N136*J136*K136</f>
      </c>
      <c r="S136" s="109" t="str">
        <f>R136-Q136</f>
      </c>
      <c r="T136" s="110" t="str">
        <f>1/(1+'Calculation_Assumptions'!$B$8)^(B136-'Calculation_Assumptions'!$B$2)</f>
      </c>
      <c r="U136" s="111" t="str">
        <f>Q136*T136</f>
      </c>
      <c r="V136" s="112" t="str">
        <f>R136*T136</f>
      </c>
      <c r="W136" s="113" t="str">
        <f>S136*T136</f>
      </c>
      <c r="X136" t="n">
        <v>0</v>
      </c>
      <c r="Y136" s="114" t="n">
        <v>2017</v>
      </c>
      <c r="Z136" t="s">
        <v>399</v>
      </c>
      <c r="AA136" s="115" t="str">
        <f>IF(G136="shared-count-once",COUNTIFS($A$2:$A$287,A136,$B$2:$B$287,B136,$D$2:$D$287,D136),1)</f>
      </c>
      <c r="AB136" s="116" t="n">
        <v>296414030.31143</v>
      </c>
      <c r="AC136" s="117" t="str">
        <f>IF(AB136=0,"",Q136/AB136)</f>
      </c>
      <c r="AD136" s="118" t="str">
        <f>IF(AB136=0,"",R136/AB136)</f>
      </c>
      <c r="AE136" s="119" t="str">
        <f>IF(AB136=0,"",S136/AB136)</f>
      </c>
      <c r="AF136" s="120" t="str">
        <f>IF(AB136=0,"",W136/AB136)</f>
      </c>
    </row>
    <row r="137">
      <c r="A137" t="s">
        <v>254</v>
      </c>
      <c r="B137" s="93" t="n">
        <v>2030</v>
      </c>
      <c r="C137" t="s">
        <v>262</v>
      </c>
      <c r="D137" s="94" t="s">
        <v>405</v>
      </c>
      <c r="E137" s="95" t="s">
        <v>406</v>
      </c>
      <c r="F137" s="96" t="s">
        <v>265</v>
      </c>
      <c r="G137" s="97" t="s">
        <v>403</v>
      </c>
      <c r="H137" s="98" t="s">
        <v>396</v>
      </c>
      <c r="I137" s="99" t="n">
        <v>1</v>
      </c>
      <c r="J137" s="100" t="n">
        <v>1</v>
      </c>
      <c r="K137" s="101" t="n">
        <v>0.0077</v>
      </c>
      <c r="L137" s="102" t="n">
        <v>301267618.531234</v>
      </c>
      <c r="M137" s="103" t="n">
        <v>300784244.146626</v>
      </c>
      <c r="N137" s="104" t="str">
        <f>MIN(MAX((B137-'Calculation_Assumptions'!$B$5+1)/'Calculation_Assumptions'!$B$7,0),1)</f>
      </c>
      <c r="O137" s="105" t="str">
        <f>L137*I137</f>
      </c>
      <c r="P137" s="106" t="str">
        <f>M137*I137</f>
      </c>
      <c r="Q137" s="107" t="str">
        <f>P137*'Calculation_Assumptions'!$B$14*J137*K137</f>
      </c>
      <c r="R137" s="108" t="str">
        <f>O137*N137*J137*K137</f>
      </c>
      <c r="S137" s="109" t="str">
        <f>R137-Q137</f>
      </c>
      <c r="T137" s="110" t="str">
        <f>1/(1+'Calculation_Assumptions'!$B$8)^(B137-'Calculation_Assumptions'!$B$2)</f>
      </c>
      <c r="U137" s="111" t="str">
        <f>Q137*T137</f>
      </c>
      <c r="V137" s="112" t="str">
        <f>R137*T137</f>
      </c>
      <c r="W137" s="113" t="str">
        <f>S137*T137</f>
      </c>
      <c r="X137" t="n">
        <v>0</v>
      </c>
      <c r="Y137" s="114" t="n">
        <v>2017</v>
      </c>
      <c r="Z137" t="s">
        <v>399</v>
      </c>
      <c r="AA137" s="115" t="str">
        <f>IF(G137="shared-count-once",COUNTIFS($A$2:$A$287,A137,$B$2:$B$287,B137,$D$2:$D$287,D137),1)</f>
      </c>
      <c r="AB137" s="116" t="n">
        <v>298289404.664994</v>
      </c>
      <c r="AC137" s="117" t="str">
        <f>IF(AB137=0,"",Q137/AB137)</f>
      </c>
      <c r="AD137" s="118" t="str">
        <f>IF(AB137=0,"",R137/AB137)</f>
      </c>
      <c r="AE137" s="119" t="str">
        <f>IF(AB137=0,"",S137/AB137)</f>
      </c>
      <c r="AF137" s="120" t="str">
        <f>IF(AB137=0,"",W137/AB137)</f>
      </c>
    </row>
    <row r="138">
      <c r="A138" t="s">
        <v>254</v>
      </c>
      <c r="B138" s="93" t="n">
        <v>2031</v>
      </c>
      <c r="C138" t="s">
        <v>262</v>
      </c>
      <c r="D138" s="94" t="s">
        <v>405</v>
      </c>
      <c r="E138" s="95" t="s">
        <v>406</v>
      </c>
      <c r="F138" s="96" t="s">
        <v>265</v>
      </c>
      <c r="G138" s="97" t="s">
        <v>403</v>
      </c>
      <c r="H138" s="98" t="s">
        <v>396</v>
      </c>
      <c r="I138" s="99" t="n">
        <v>1</v>
      </c>
      <c r="J138" s="100" t="n">
        <v>1</v>
      </c>
      <c r="K138" s="101" t="n">
        <v>0.0077</v>
      </c>
      <c r="L138" s="102" t="n">
        <v>303017263.489646</v>
      </c>
      <c r="M138" s="103" t="n">
        <v>302561623.795312</v>
      </c>
      <c r="N138" s="104" t="str">
        <f>MIN(MAX((B138-'Calculation_Assumptions'!$B$5+1)/'Calculation_Assumptions'!$B$7,0),1)</f>
      </c>
      <c r="O138" s="105" t="str">
        <f>L138*I138</f>
      </c>
      <c r="P138" s="106" t="str">
        <f>M138*I138</f>
      </c>
      <c r="Q138" s="107" t="str">
        <f>P138*'Calculation_Assumptions'!$B$14*J138*K138</f>
      </c>
      <c r="R138" s="108" t="str">
        <f>O138*N138*J138*K138</f>
      </c>
      <c r="S138" s="109" t="str">
        <f>R138-Q138</f>
      </c>
      <c r="T138" s="110" t="str">
        <f>1/(1+'Calculation_Assumptions'!$B$8)^(B138-'Calculation_Assumptions'!$B$2)</f>
      </c>
      <c r="U138" s="111" t="str">
        <f>Q138*T138</f>
      </c>
      <c r="V138" s="112" t="str">
        <f>R138*T138</f>
      </c>
      <c r="W138" s="113" t="str">
        <f>S138*T138</f>
      </c>
      <c r="X138" t="n">
        <v>0</v>
      </c>
      <c r="Y138" s="114" t="n">
        <v>2017</v>
      </c>
      <c r="Z138" t="s">
        <v>399</v>
      </c>
      <c r="AA138" s="115" t="str">
        <f>IF(G138="shared-count-once",COUNTIFS($A$2:$A$287,A138,$B$2:$B$287,B138,$D$2:$D$287,D138),1)</f>
      </c>
      <c r="AB138" s="116" t="n">
        <v>300119636.925519</v>
      </c>
      <c r="AC138" s="117" t="str">
        <f>IF(AB138=0,"",Q138/AB138)</f>
      </c>
      <c r="AD138" s="118" t="str">
        <f>IF(AB138=0,"",R138/AB138)</f>
      </c>
      <c r="AE138" s="119" t="str">
        <f>IF(AB138=0,"",S138/AB138)</f>
      </c>
      <c r="AF138" s="120" t="str">
        <f>IF(AB138=0,"",W138/AB138)</f>
      </c>
    </row>
    <row r="139">
      <c r="A139" t="s">
        <v>254</v>
      </c>
      <c r="B139" s="93" t="n">
        <v>2032</v>
      </c>
      <c r="C139" t="s">
        <v>262</v>
      </c>
      <c r="D139" s="94" t="s">
        <v>405</v>
      </c>
      <c r="E139" s="95" t="s">
        <v>406</v>
      </c>
      <c r="F139" s="96" t="s">
        <v>265</v>
      </c>
      <c r="G139" s="97" t="s">
        <v>403</v>
      </c>
      <c r="H139" s="98" t="s">
        <v>396</v>
      </c>
      <c r="I139" s="99" t="n">
        <v>1</v>
      </c>
      <c r="J139" s="100" t="n">
        <v>1</v>
      </c>
      <c r="K139" s="101" t="n">
        <v>0.0077</v>
      </c>
      <c r="L139" s="102" t="n">
        <v>304727120.20394</v>
      </c>
      <c r="M139" s="103" t="n">
        <v>304296909.955394</v>
      </c>
      <c r="N139" s="104" t="str">
        <f>MIN(MAX((B139-'Calculation_Assumptions'!$B$5+1)/'Calculation_Assumptions'!$B$7,0),1)</f>
      </c>
      <c r="O139" s="105" t="str">
        <f>L139*I139</f>
      </c>
      <c r="P139" s="106" t="str">
        <f>M139*I139</f>
      </c>
      <c r="Q139" s="107" t="str">
        <f>P139*'Calculation_Assumptions'!$B$14*J139*K139</f>
      </c>
      <c r="R139" s="108" t="str">
        <f>O139*N139*J139*K139</f>
      </c>
      <c r="S139" s="109" t="str">
        <f>R139-Q139</f>
      </c>
      <c r="T139" s="110" t="str">
        <f>1/(1+'Calculation_Assumptions'!$B$8)^(B139-'Calculation_Assumptions'!$B$2)</f>
      </c>
      <c r="U139" s="111" t="str">
        <f>Q139*T139</f>
      </c>
      <c r="V139" s="112" t="str">
        <f>R139*T139</f>
      </c>
      <c r="W139" s="113" t="str">
        <f>S139*T139</f>
      </c>
      <c r="X139" t="n">
        <v>0</v>
      </c>
      <c r="Y139" s="114" t="n">
        <v>2017</v>
      </c>
      <c r="Z139" t="s">
        <v>399</v>
      </c>
      <c r="AA139" s="115" t="str">
        <f>IF(G139="shared-count-once",COUNTIFS($A$2:$A$287,A139,$B$2:$B$287,B139,$D$2:$D$287,D139),1)</f>
      </c>
      <c r="AB139" s="116" t="n">
        <v>301904628.083541</v>
      </c>
      <c r="AC139" s="117" t="str">
        <f>IF(AB139=0,"",Q139/AB139)</f>
      </c>
      <c r="AD139" s="118" t="str">
        <f>IF(AB139=0,"",R139/AB139)</f>
      </c>
      <c r="AE139" s="119" t="str">
        <f>IF(AB139=0,"",S139/AB139)</f>
      </c>
      <c r="AF139" s="120" t="str">
        <f>IF(AB139=0,"",W139/AB139)</f>
      </c>
    </row>
    <row r="140">
      <c r="A140" t="s">
        <v>254</v>
      </c>
      <c r="B140" s="93" t="n">
        <v>2033</v>
      </c>
      <c r="C140" t="s">
        <v>262</v>
      </c>
      <c r="D140" s="94" t="s">
        <v>405</v>
      </c>
      <c r="E140" s="95" t="s">
        <v>406</v>
      </c>
      <c r="F140" s="96" t="s">
        <v>265</v>
      </c>
      <c r="G140" s="97" t="s">
        <v>403</v>
      </c>
      <c r="H140" s="98" t="s">
        <v>396</v>
      </c>
      <c r="I140" s="99" t="n">
        <v>1</v>
      </c>
      <c r="J140" s="100" t="n">
        <v>1</v>
      </c>
      <c r="K140" s="101" t="n">
        <v>0.0077</v>
      </c>
      <c r="L140" s="102" t="n">
        <v>306398187.625961</v>
      </c>
      <c r="M140" s="103" t="n">
        <v>305990042.260363</v>
      </c>
      <c r="N140" s="104" t="str">
        <f>MIN(MAX((B140-'Calculation_Assumptions'!$B$5+1)/'Calculation_Assumptions'!$B$7,0),1)</f>
      </c>
      <c r="O140" s="105" t="str">
        <f>L140*I140</f>
      </c>
      <c r="P140" s="106" t="str">
        <f>M140*I140</f>
      </c>
      <c r="Q140" s="107" t="str">
        <f>P140*'Calculation_Assumptions'!$B$14*J140*K140</f>
      </c>
      <c r="R140" s="108" t="str">
        <f>O140*N140*J140*K140</f>
      </c>
      <c r="S140" s="109" t="str">
        <f>R140-Q140</f>
      </c>
      <c r="T140" s="110" t="str">
        <f>1/(1+'Calculation_Assumptions'!$B$8)^(B140-'Calculation_Assumptions'!$B$2)</f>
      </c>
      <c r="U140" s="111" t="str">
        <f>Q140*T140</f>
      </c>
      <c r="V140" s="112" t="str">
        <f>R140*T140</f>
      </c>
      <c r="W140" s="113" t="str">
        <f>S140*T140</f>
      </c>
      <c r="X140" t="n">
        <v>0</v>
      </c>
      <c r="Y140" s="114" t="n">
        <v>2017</v>
      </c>
      <c r="Z140" t="s">
        <v>399</v>
      </c>
      <c r="AA140" s="115" t="str">
        <f>IF(G140="shared-count-once",COUNTIFS($A$2:$A$287,A140,$B$2:$B$287,B140,$D$2:$D$287,D140),1)</f>
      </c>
      <c r="AB140" s="116" t="n">
        <v>303644277.16916</v>
      </c>
      <c r="AC140" s="117" t="str">
        <f>IF(AB140=0,"",Q140/AB140)</f>
      </c>
      <c r="AD140" s="118" t="str">
        <f>IF(AB140=0,"",R140/AB140)</f>
      </c>
      <c r="AE140" s="119" t="str">
        <f>IF(AB140=0,"",S140/AB140)</f>
      </c>
      <c r="AF140" s="120" t="str">
        <f>IF(AB140=0,"",W140/AB140)</f>
      </c>
    </row>
    <row r="141">
      <c r="A141" t="s">
        <v>254</v>
      </c>
      <c r="B141" s="93" t="n">
        <v>2034</v>
      </c>
      <c r="C141" t="s">
        <v>262</v>
      </c>
      <c r="D141" s="94" t="s">
        <v>405</v>
      </c>
      <c r="E141" s="95" t="s">
        <v>406</v>
      </c>
      <c r="F141" s="96" t="s">
        <v>265</v>
      </c>
      <c r="G141" s="97" t="s">
        <v>403</v>
      </c>
      <c r="H141" s="98" t="s">
        <v>396</v>
      </c>
      <c r="I141" s="99" t="n">
        <v>1</v>
      </c>
      <c r="J141" s="100" t="n">
        <v>1</v>
      </c>
      <c r="K141" s="101" t="n">
        <v>0.0077</v>
      </c>
      <c r="L141" s="102" t="n">
        <v>308022949.697907</v>
      </c>
      <c r="M141" s="103" t="n">
        <v>307635526.02883</v>
      </c>
      <c r="N141" s="104" t="str">
        <f>MIN(MAX((B141-'Calculation_Assumptions'!$B$5+1)/'Calculation_Assumptions'!$B$7,0),1)</f>
      </c>
      <c r="O141" s="105" t="str">
        <f>L141*I141</f>
      </c>
      <c r="P141" s="106" t="str">
        <f>M141*I141</f>
      </c>
      <c r="Q141" s="107" t="str">
        <f>P141*'Calculation_Assumptions'!$B$14*J141*K141</f>
      </c>
      <c r="R141" s="108" t="str">
        <f>O141*N141*J141*K141</f>
      </c>
      <c r="S141" s="109" t="str">
        <f>R141-Q141</f>
      </c>
      <c r="T141" s="110" t="str">
        <f>1/(1+'Calculation_Assumptions'!$B$8)^(B141-'Calculation_Assumptions'!$B$2)</f>
      </c>
      <c r="U141" s="111" t="str">
        <f>Q141*T141</f>
      </c>
      <c r="V141" s="112" t="str">
        <f>R141*T141</f>
      </c>
      <c r="W141" s="113" t="str">
        <f>S141*T141</f>
      </c>
      <c r="X141" t="n">
        <v>0</v>
      </c>
      <c r="Y141" s="114" t="n">
        <v>2017</v>
      </c>
      <c r="Z141" t="s">
        <v>399</v>
      </c>
      <c r="AA141" s="115" t="str">
        <f>IF(G141="shared-count-once",COUNTIFS($A$2:$A$287,A141,$B$2:$B$287,B141,$D$2:$D$287,D141),1)</f>
      </c>
      <c r="AB141" s="116" t="n">
        <v>305332541.184984</v>
      </c>
      <c r="AC141" s="117" t="str">
        <f>IF(AB141=0,"",Q141/AB141)</f>
      </c>
      <c r="AD141" s="118" t="str">
        <f>IF(AB141=0,"",R141/AB141)</f>
      </c>
      <c r="AE141" s="119" t="str">
        <f>IF(AB141=0,"",S141/AB141)</f>
      </c>
      <c r="AF141" s="120" t="str">
        <f>IF(AB141=0,"",W141/AB141)</f>
      </c>
    </row>
    <row r="142">
      <c r="A142" t="s">
        <v>254</v>
      </c>
      <c r="B142" s="93" t="n">
        <v>2035</v>
      </c>
      <c r="C142" t="s">
        <v>262</v>
      </c>
      <c r="D142" s="94" t="s">
        <v>405</v>
      </c>
      <c r="E142" s="95" t="s">
        <v>406</v>
      </c>
      <c r="F142" s="96" t="s">
        <v>265</v>
      </c>
      <c r="G142" s="97" t="s">
        <v>403</v>
      </c>
      <c r="H142" s="98" t="s">
        <v>396</v>
      </c>
      <c r="I142" s="99" t="n">
        <v>1</v>
      </c>
      <c r="J142" s="100" t="n">
        <v>1</v>
      </c>
      <c r="K142" s="101" t="n">
        <v>0.0077</v>
      </c>
      <c r="L142" s="102" t="n">
        <v>309596915.037711</v>
      </c>
      <c r="M142" s="103" t="n">
        <v>309228183.19713</v>
      </c>
      <c r="N142" s="104" t="str">
        <f>MIN(MAX((B142-'Calculation_Assumptions'!$B$5+1)/'Calculation_Assumptions'!$B$7,0),1)</f>
      </c>
      <c r="O142" s="105" t="str">
        <f>L142*I142</f>
      </c>
      <c r="P142" s="106" t="str">
        <f>M142*I142</f>
      </c>
      <c r="Q142" s="107" t="str">
        <f>P142*'Calculation_Assumptions'!$B$14*J142*K142</f>
      </c>
      <c r="R142" s="108" t="str">
        <f>O142*N142*J142*K142</f>
      </c>
      <c r="S142" s="109" t="str">
        <f>R142-Q142</f>
      </c>
      <c r="T142" s="110" t="str">
        <f>1/(1+'Calculation_Assumptions'!$B$8)^(B142-'Calculation_Assumptions'!$B$2)</f>
      </c>
      <c r="U142" s="111" t="str">
        <f>Q142*T142</f>
      </c>
      <c r="V142" s="112" t="str">
        <f>R142*T142</f>
      </c>
      <c r="W142" s="113" t="str">
        <f>S142*T142</f>
      </c>
      <c r="X142" t="n">
        <v>0</v>
      </c>
      <c r="Y142" s="114" t="n">
        <v>2017</v>
      </c>
      <c r="Z142" t="s">
        <v>399</v>
      </c>
      <c r="AA142" s="115" t="str">
        <f>IF(G142="shared-count-once",COUNTIFS($A$2:$A$287,A142,$B$2:$B$287,B142,$D$2:$D$287,D142),1)</f>
      </c>
      <c r="AB142" s="116" t="n">
        <v>306964650.16712</v>
      </c>
      <c r="AC142" s="117" t="str">
        <f>IF(AB142=0,"",Q142/AB142)</f>
      </c>
      <c r="AD142" s="118" t="str">
        <f>IF(AB142=0,"",R142/AB142)</f>
      </c>
      <c r="AE142" s="119" t="str">
        <f>IF(AB142=0,"",S142/AB142)</f>
      </c>
      <c r="AF142" s="120" t="str">
        <f>IF(AB142=0,"",W142/AB142)</f>
      </c>
    </row>
    <row r="143">
      <c r="A143" t="s">
        <v>254</v>
      </c>
      <c r="B143" s="93" t="n">
        <v>2036</v>
      </c>
      <c r="C143" t="s">
        <v>262</v>
      </c>
      <c r="D143" s="94" t="s">
        <v>405</v>
      </c>
      <c r="E143" s="95" t="s">
        <v>406</v>
      </c>
      <c r="F143" s="96" t="s">
        <v>265</v>
      </c>
      <c r="G143" s="97" t="s">
        <v>403</v>
      </c>
      <c r="H143" s="98" t="s">
        <v>396</v>
      </c>
      <c r="I143" s="99" t="n">
        <v>1</v>
      </c>
      <c r="J143" s="100" t="n">
        <v>1</v>
      </c>
      <c r="K143" s="101" t="n">
        <v>0.0077</v>
      </c>
      <c r="L143" s="102" t="n">
        <v>311105220.504365</v>
      </c>
      <c r="M143" s="103" t="n">
        <v>310769483.46493</v>
      </c>
      <c r="N143" s="104" t="str">
        <f>MIN(MAX((B143-'Calculation_Assumptions'!$B$5+1)/'Calculation_Assumptions'!$B$7,0),1)</f>
      </c>
      <c r="O143" s="105" t="str">
        <f>L143*I143</f>
      </c>
      <c r="P143" s="106" t="str">
        <f>M143*I143</f>
      </c>
      <c r="Q143" s="107" t="str">
        <f>P143*'Calculation_Assumptions'!$B$14*J143*K143</f>
      </c>
      <c r="R143" s="108" t="str">
        <f>O143*N143*J143*K143</f>
      </c>
      <c r="S143" s="109" t="str">
        <f>R143-Q143</f>
      </c>
      <c r="T143" s="110" t="str">
        <f>1/(1+'Calculation_Assumptions'!$B$8)^(B143-'Calculation_Assumptions'!$B$2)</f>
      </c>
      <c r="U143" s="111" t="str">
        <f>Q143*T143</f>
      </c>
      <c r="V143" s="112" t="str">
        <f>R143*T143</f>
      </c>
      <c r="W143" s="113" t="str">
        <f>S143*T143</f>
      </c>
      <c r="X143" t="n">
        <v>0</v>
      </c>
      <c r="Y143" s="114" t="n">
        <v>2017</v>
      </c>
      <c r="Z143" t="s">
        <v>399</v>
      </c>
      <c r="AA143" s="115" t="str">
        <f>IF(G143="shared-count-once",COUNTIFS($A$2:$A$287,A143,$B$2:$B$287,B143,$D$2:$D$287,D143),1)</f>
      </c>
      <c r="AB143" s="116" t="n">
        <v>308542769.756622</v>
      </c>
      <c r="AC143" s="117" t="str">
        <f>IF(AB143=0,"",Q143/AB143)</f>
      </c>
      <c r="AD143" s="118" t="str">
        <f>IF(AB143=0,"",R143/AB143)</f>
      </c>
      <c r="AE143" s="119" t="str">
        <f>IF(AB143=0,"",S143/AB143)</f>
      </c>
      <c r="AF143" s="120" t="str">
        <f>IF(AB143=0,"",W143/AB143)</f>
      </c>
    </row>
    <row r="144">
      <c r="A144" t="s">
        <v>254</v>
      </c>
      <c r="B144" s="93" t="n">
        <v>2037</v>
      </c>
      <c r="C144" t="s">
        <v>262</v>
      </c>
      <c r="D144" s="94" t="s">
        <v>405</v>
      </c>
      <c r="E144" s="95" t="s">
        <v>406</v>
      </c>
      <c r="F144" s="96" t="s">
        <v>265</v>
      </c>
      <c r="G144" s="97" t="s">
        <v>403</v>
      </c>
      <c r="H144" s="98" t="s">
        <v>396</v>
      </c>
      <c r="I144" s="99" t="n">
        <v>1</v>
      </c>
      <c r="J144" s="100" t="n">
        <v>1</v>
      </c>
      <c r="K144" s="101" t="n">
        <v>0.0077</v>
      </c>
      <c r="L144" s="102" t="n">
        <v>312597642.817992</v>
      </c>
      <c r="M144" s="103" t="n">
        <v>312262197.186949</v>
      </c>
      <c r="N144" s="104" t="str">
        <f>MIN(MAX((B144-'Calculation_Assumptions'!$B$5+1)/'Calculation_Assumptions'!$B$7,0),1)</f>
      </c>
      <c r="O144" s="105" t="str">
        <f>L144*I144</f>
      </c>
      <c r="P144" s="106" t="str">
        <f>M144*I144</f>
      </c>
      <c r="Q144" s="107" t="str">
        <f>P144*'Calculation_Assumptions'!$B$14*J144*K144</f>
      </c>
      <c r="R144" s="108" t="str">
        <f>O144*N144*J144*K144</f>
      </c>
      <c r="S144" s="109" t="str">
        <f>R144-Q144</f>
      </c>
      <c r="T144" s="110" t="str">
        <f>1/(1+'Calculation_Assumptions'!$B$8)^(B144-'Calculation_Assumptions'!$B$2)</f>
      </c>
      <c r="U144" s="111" t="str">
        <f>Q144*T144</f>
      </c>
      <c r="V144" s="112" t="str">
        <f>R144*T144</f>
      </c>
      <c r="W144" s="113" t="str">
        <f>S144*T144</f>
      </c>
      <c r="X144" t="n">
        <v>0</v>
      </c>
      <c r="Y144" s="114" t="n">
        <v>2017</v>
      </c>
      <c r="Z144" t="s">
        <v>399</v>
      </c>
      <c r="AA144" s="115" t="str">
        <f>IF(G144="shared-count-once",COUNTIFS($A$2:$A$287,A144,$B$2:$B$287,B144,$D$2:$D$287,D144),1)</f>
      </c>
      <c r="AB144" s="116" t="n">
        <v>310068287.63643</v>
      </c>
      <c r="AC144" s="117" t="str">
        <f>IF(AB144=0,"",Q144/AB144)</f>
      </c>
      <c r="AD144" s="118" t="str">
        <f>IF(AB144=0,"",R144/AB144)</f>
      </c>
      <c r="AE144" s="119" t="str">
        <f>IF(AB144=0,"",S144/AB144)</f>
      </c>
      <c r="AF144" s="120" t="str">
        <f>IF(AB144=0,"",W144/AB144)</f>
      </c>
    </row>
    <row r="145">
      <c r="A145" t="s">
        <v>254</v>
      </c>
      <c r="B145" s="93" t="n">
        <v>2038</v>
      </c>
      <c r="C145" t="s">
        <v>262</v>
      </c>
      <c r="D145" s="94" t="s">
        <v>405</v>
      </c>
      <c r="E145" s="95" t="s">
        <v>406</v>
      </c>
      <c r="F145" s="96" t="s">
        <v>265</v>
      </c>
      <c r="G145" s="97" t="s">
        <v>403</v>
      </c>
      <c r="H145" s="98" t="s">
        <v>396</v>
      </c>
      <c r="I145" s="99" t="n">
        <v>1</v>
      </c>
      <c r="J145" s="100" t="n">
        <v>1</v>
      </c>
      <c r="K145" s="101" t="n">
        <v>0.0077</v>
      </c>
      <c r="L145" s="102" t="n">
        <v>314064614.616445</v>
      </c>
      <c r="M145" s="103" t="n">
        <v>313730463.490198</v>
      </c>
      <c r="N145" s="104" t="str">
        <f>MIN(MAX((B145-'Calculation_Assumptions'!$B$5+1)/'Calculation_Assumptions'!$B$7,0),1)</f>
      </c>
      <c r="O145" s="105" t="str">
        <f>L145*I145</f>
      </c>
      <c r="P145" s="106" t="str">
        <f>M145*I145</f>
      </c>
      <c r="Q145" s="107" t="str">
        <f>P145*'Calculation_Assumptions'!$B$14*J145*K145</f>
      </c>
      <c r="R145" s="108" t="str">
        <f>O145*N145*J145*K145</f>
      </c>
      <c r="S145" s="109" t="str">
        <f>R145-Q145</f>
      </c>
      <c r="T145" s="110" t="str">
        <f>1/(1+'Calculation_Assumptions'!$B$8)^(B145-'Calculation_Assumptions'!$B$2)</f>
      </c>
      <c r="U145" s="111" t="str">
        <f>Q145*T145</f>
      </c>
      <c r="V145" s="112" t="str">
        <f>R145*T145</f>
      </c>
      <c r="W145" s="113" t="str">
        <f>S145*T145</f>
      </c>
      <c r="X145" t="n">
        <v>0</v>
      </c>
      <c r="Y145" s="114" t="n">
        <v>2017</v>
      </c>
      <c r="Z145" t="s">
        <v>399</v>
      </c>
      <c r="AA145" s="115" t="str">
        <f>IF(G145="shared-count-once",COUNTIFS($A$2:$A$287,A145,$B$2:$B$287,B145,$D$2:$D$287,D145),1)</f>
      </c>
      <c r="AB145" s="116" t="n">
        <v>311532999.13163</v>
      </c>
      <c r="AC145" s="117" t="str">
        <f>IF(AB145=0,"",Q145/AB145)</f>
      </c>
      <c r="AD145" s="118" t="str">
        <f>IF(AB145=0,"",R145/AB145)</f>
      </c>
      <c r="AE145" s="119" t="str">
        <f>IF(AB145=0,"",S145/AB145)</f>
      </c>
      <c r="AF145" s="120" t="str">
        <f>IF(AB145=0,"",W145/AB145)</f>
      </c>
    </row>
    <row r="146">
      <c r="A146" t="s">
        <v>254</v>
      </c>
      <c r="B146" s="93" t="n">
        <v>2039</v>
      </c>
      <c r="C146" t="s">
        <v>262</v>
      </c>
      <c r="D146" s="94" t="s">
        <v>405</v>
      </c>
      <c r="E146" s="95" t="s">
        <v>406</v>
      </c>
      <c r="F146" s="96" t="s">
        <v>265</v>
      </c>
      <c r="G146" s="97" t="s">
        <v>403</v>
      </c>
      <c r="H146" s="98" t="s">
        <v>396</v>
      </c>
      <c r="I146" s="99" t="n">
        <v>1</v>
      </c>
      <c r="J146" s="100" t="n">
        <v>1</v>
      </c>
      <c r="K146" s="101" t="n">
        <v>0.0077</v>
      </c>
      <c r="L146" s="102" t="n">
        <v>315451608.170524</v>
      </c>
      <c r="M146" s="103" t="n">
        <v>315115398.935154</v>
      </c>
      <c r="N146" s="104" t="str">
        <f>MIN(MAX((B146-'Calculation_Assumptions'!$B$5+1)/'Calculation_Assumptions'!$B$7,0),1)</f>
      </c>
      <c r="O146" s="105" t="str">
        <f>L146*I146</f>
      </c>
      <c r="P146" s="106" t="str">
        <f>M146*I146</f>
      </c>
      <c r="Q146" s="107" t="str">
        <f>P146*'Calculation_Assumptions'!$B$14*J146*K146</f>
      </c>
      <c r="R146" s="108" t="str">
        <f>O146*N146*J146*K146</f>
      </c>
      <c r="S146" s="109" t="str">
        <f>R146-Q146</f>
      </c>
      <c r="T146" s="110" t="str">
        <f>1/(1+'Calculation_Assumptions'!$B$8)^(B146-'Calculation_Assumptions'!$B$2)</f>
      </c>
      <c r="U146" s="111" t="str">
        <f>Q146*T146</f>
      </c>
      <c r="V146" s="112" t="str">
        <f>R146*T146</f>
      </c>
      <c r="W146" s="113" t="str">
        <f>S146*T146</f>
      </c>
      <c r="X146" t="n">
        <v>0</v>
      </c>
      <c r="Y146" s="114" t="n">
        <v>2017</v>
      </c>
      <c r="Z146" t="s">
        <v>399</v>
      </c>
      <c r="AA146" s="115" t="str">
        <f>IF(G146="shared-count-once",COUNTIFS($A$2:$A$287,A146,$B$2:$B$287,B146,$D$2:$D$287,D146),1)</f>
      </c>
      <c r="AB146" s="116" t="n">
        <v>312936391.858479</v>
      </c>
      <c r="AC146" s="117" t="str">
        <f>IF(AB146=0,"",Q146/AB146)</f>
      </c>
      <c r="AD146" s="118" t="str">
        <f>IF(AB146=0,"",R146/AB146)</f>
      </c>
      <c r="AE146" s="119" t="str">
        <f>IF(AB146=0,"",S146/AB146)</f>
      </c>
      <c r="AF146" s="120" t="str">
        <f>IF(AB146=0,"",W146/AB146)</f>
      </c>
    </row>
    <row r="147">
      <c r="A147" t="s">
        <v>254</v>
      </c>
      <c r="B147" s="93" t="n">
        <v>2040</v>
      </c>
      <c r="C147" t="s">
        <v>262</v>
      </c>
      <c r="D147" s="94" t="s">
        <v>405</v>
      </c>
      <c r="E147" s="95" t="s">
        <v>406</v>
      </c>
      <c r="F147" s="96" t="s">
        <v>265</v>
      </c>
      <c r="G147" s="97" t="s">
        <v>403</v>
      </c>
      <c r="H147" s="98" t="s">
        <v>396</v>
      </c>
      <c r="I147" s="99" t="n">
        <v>1</v>
      </c>
      <c r="J147" s="100" t="n">
        <v>1</v>
      </c>
      <c r="K147" s="101" t="n">
        <v>0.0077</v>
      </c>
      <c r="L147" s="102" t="n">
        <v>316770504.248567</v>
      </c>
      <c r="M147" s="103" t="n">
        <v>316427530.0167</v>
      </c>
      <c r="N147" s="104" t="str">
        <f>MIN(MAX((B147-'Calculation_Assumptions'!$B$5+1)/'Calculation_Assumptions'!$B$7,0),1)</f>
      </c>
      <c r="O147" s="105" t="str">
        <f>L147*I147</f>
      </c>
      <c r="P147" s="106" t="str">
        <f>M147*I147</f>
      </c>
      <c r="Q147" s="107" t="str">
        <f>P147*'Calculation_Assumptions'!$B$14*J147*K147</f>
      </c>
      <c r="R147" s="108" t="str">
        <f>O147*N147*J147*K147</f>
      </c>
      <c r="S147" s="109" t="str">
        <f>R147-Q147</f>
      </c>
      <c r="T147" s="110" t="str">
        <f>1/(1+'Calculation_Assumptions'!$B$8)^(B147-'Calculation_Assumptions'!$B$2)</f>
      </c>
      <c r="U147" s="111" t="str">
        <f>Q147*T147</f>
      </c>
      <c r="V147" s="112" t="str">
        <f>R147*T147</f>
      </c>
      <c r="W147" s="113" t="str">
        <f>S147*T147</f>
      </c>
      <c r="X147" t="n">
        <v>0</v>
      </c>
      <c r="Y147" s="114" t="n">
        <v>2017</v>
      </c>
      <c r="Z147" t="s">
        <v>399</v>
      </c>
      <c r="AA147" s="115" t="str">
        <f>IF(G147="shared-count-once",COUNTIFS($A$2:$A$287,A147,$B$2:$B$287,B147,$D$2:$D$287,D147),1)</f>
      </c>
      <c r="AB147" s="116" t="n">
        <v>314265537.410829</v>
      </c>
      <c r="AC147" s="117" t="str">
        <f>IF(AB147=0,"",Q147/AB147)</f>
      </c>
      <c r="AD147" s="118" t="str">
        <f>IF(AB147=0,"",R147/AB147)</f>
      </c>
      <c r="AE147" s="119" t="str">
        <f>IF(AB147=0,"",S147/AB147)</f>
      </c>
      <c r="AF147" s="120" t="str">
        <f>IF(AB147=0,"",W147/AB147)</f>
      </c>
    </row>
    <row r="148">
      <c r="A148" t="s">
        <v>254</v>
      </c>
      <c r="B148" s="93" t="n">
        <v>2041</v>
      </c>
      <c r="C148" t="s">
        <v>262</v>
      </c>
      <c r="D148" s="94" t="s">
        <v>405</v>
      </c>
      <c r="E148" s="95" t="s">
        <v>406</v>
      </c>
      <c r="F148" s="96" t="s">
        <v>265</v>
      </c>
      <c r="G148" s="97" t="s">
        <v>403</v>
      </c>
      <c r="H148" s="98" t="s">
        <v>396</v>
      </c>
      <c r="I148" s="99" t="n">
        <v>1</v>
      </c>
      <c r="J148" s="100" t="n">
        <v>1</v>
      </c>
      <c r="K148" s="101" t="n">
        <v>0.0077</v>
      </c>
      <c r="L148" s="102" t="n">
        <v>318025623.614346</v>
      </c>
      <c r="M148" s="103" t="n">
        <v>317614843.247219</v>
      </c>
      <c r="N148" s="104" t="str">
        <f>MIN(MAX((B148-'Calculation_Assumptions'!$B$5+1)/'Calculation_Assumptions'!$B$7,0),1)</f>
      </c>
      <c r="O148" s="105" t="str">
        <f>L148*I148</f>
      </c>
      <c r="P148" s="106" t="str">
        <f>M148*I148</f>
      </c>
      <c r="Q148" s="107" t="str">
        <f>P148*'Calculation_Assumptions'!$B$14*J148*K148</f>
      </c>
      <c r="R148" s="108" t="str">
        <f>O148*N148*J148*K148</f>
      </c>
      <c r="S148" s="109" t="str">
        <f>R148-Q148</f>
      </c>
      <c r="T148" s="110" t="str">
        <f>1/(1+'Calculation_Assumptions'!$B$8)^(B148-'Calculation_Assumptions'!$B$2)</f>
      </c>
      <c r="U148" s="111" t="str">
        <f>Q148*T148</f>
      </c>
      <c r="V148" s="112" t="str">
        <f>R148*T148</f>
      </c>
      <c r="W148" s="113" t="str">
        <f>S148*T148</f>
      </c>
      <c r="X148" t="n">
        <v>0</v>
      </c>
      <c r="Y148" s="114" t="n">
        <v>2017</v>
      </c>
      <c r="Z148" t="s">
        <v>399</v>
      </c>
      <c r="AA148" s="115" t="str">
        <f>IF(G148="shared-count-once",COUNTIFS($A$2:$A$287,A148,$B$2:$B$287,B148,$D$2:$D$287,D148),1)</f>
      </c>
      <c r="AB148" s="116" t="n">
        <v>315525215.312548</v>
      </c>
      <c r="AC148" s="117" t="str">
        <f>IF(AB148=0,"",Q148/AB148)</f>
      </c>
      <c r="AD148" s="118" t="str">
        <f>IF(AB148=0,"",R148/AB148)</f>
      </c>
      <c r="AE148" s="119" t="str">
        <f>IF(AB148=0,"",S148/AB148)</f>
      </c>
      <c r="AF148" s="120" t="str">
        <f>IF(AB148=0,"",W148/AB148)</f>
      </c>
    </row>
    <row r="149">
      <c r="A149" t="s">
        <v>254</v>
      </c>
      <c r="B149" s="93" t="n">
        <v>2042</v>
      </c>
      <c r="C149" t="s">
        <v>262</v>
      </c>
      <c r="D149" s="94" t="s">
        <v>405</v>
      </c>
      <c r="E149" s="95" t="s">
        <v>406</v>
      </c>
      <c r="F149" s="96" t="s">
        <v>265</v>
      </c>
      <c r="G149" s="97" t="s">
        <v>403</v>
      </c>
      <c r="H149" s="98" t="s">
        <v>396</v>
      </c>
      <c r="I149" s="99" t="n">
        <v>1</v>
      </c>
      <c r="J149" s="100" t="n">
        <v>1</v>
      </c>
      <c r="K149" s="101" t="n">
        <v>0.0077</v>
      </c>
      <c r="L149" s="102" t="n">
        <v>319205758.507508</v>
      </c>
      <c r="M149" s="103" t="n">
        <v>318781045.920738</v>
      </c>
      <c r="N149" s="104" t="str">
        <f>MIN(MAX((B149-'Calculation_Assumptions'!$B$5+1)/'Calculation_Assumptions'!$B$7,0),1)</f>
      </c>
      <c r="O149" s="105" t="str">
        <f>L149*I149</f>
      </c>
      <c r="P149" s="106" t="str">
        <f>M149*I149</f>
      </c>
      <c r="Q149" s="107" t="str">
        <f>P149*'Calculation_Assumptions'!$B$14*J149*K149</f>
      </c>
      <c r="R149" s="108" t="str">
        <f>O149*N149*J149*K149</f>
      </c>
      <c r="S149" s="109" t="str">
        <f>R149-Q149</f>
      </c>
      <c r="T149" s="110" t="str">
        <f>1/(1+'Calculation_Assumptions'!$B$8)^(B149-'Calculation_Assumptions'!$B$2)</f>
      </c>
      <c r="U149" s="111" t="str">
        <f>Q149*T149</f>
      </c>
      <c r="V149" s="112" t="str">
        <f>R149*T149</f>
      </c>
      <c r="W149" s="113" t="str">
        <f>S149*T149</f>
      </c>
      <c r="X149" t="n">
        <v>0</v>
      </c>
      <c r="Y149" s="114" t="n">
        <v>2017</v>
      </c>
      <c r="Z149" t="s">
        <v>399</v>
      </c>
      <c r="AA149" s="115" t="str">
        <f>IF(G149="shared-count-once",COUNTIFS($A$2:$A$287,A149,$B$2:$B$287,B149,$D$2:$D$287,D149),1)</f>
      </c>
      <c r="AB149" s="116" t="n">
        <v>316707694.211882</v>
      </c>
      <c r="AC149" s="117" t="str">
        <f>IF(AB149=0,"",Q149/AB149)</f>
      </c>
      <c r="AD149" s="118" t="str">
        <f>IF(AB149=0,"",R149/AB149)</f>
      </c>
      <c r="AE149" s="119" t="str">
        <f>IF(AB149=0,"",S149/AB149)</f>
      </c>
      <c r="AF149" s="120" t="str">
        <f>IF(AB149=0,"",W149/AB149)</f>
      </c>
    </row>
    <row r="150">
      <c r="A150" t="s">
        <v>254</v>
      </c>
      <c r="B150" s="93" t="n">
        <v>2043</v>
      </c>
      <c r="C150" t="s">
        <v>262</v>
      </c>
      <c r="D150" s="94" t="s">
        <v>405</v>
      </c>
      <c r="E150" s="95" t="s">
        <v>406</v>
      </c>
      <c r="F150" s="96" t="s">
        <v>265</v>
      </c>
      <c r="G150" s="97" t="s">
        <v>403</v>
      </c>
      <c r="H150" s="98" t="s">
        <v>396</v>
      </c>
      <c r="I150" s="99" t="n">
        <v>1</v>
      </c>
      <c r="J150" s="100" t="n">
        <v>1</v>
      </c>
      <c r="K150" s="101" t="n">
        <v>0.0077</v>
      </c>
      <c r="L150" s="102" t="n">
        <v>320317851.188967</v>
      </c>
      <c r="M150" s="103" t="n">
        <v>319872275.594712</v>
      </c>
      <c r="N150" s="104" t="str">
        <f>MIN(MAX((B150-'Calculation_Assumptions'!$B$5+1)/'Calculation_Assumptions'!$B$7,0),1)</f>
      </c>
      <c r="O150" s="105" t="str">
        <f>L150*I150</f>
      </c>
      <c r="P150" s="106" t="str">
        <f>M150*I150</f>
      </c>
      <c r="Q150" s="107" t="str">
        <f>P150*'Calculation_Assumptions'!$B$14*J150*K150</f>
      </c>
      <c r="R150" s="108" t="str">
        <f>O150*N150*J150*K150</f>
      </c>
      <c r="S150" s="109" t="str">
        <f>R150-Q150</f>
      </c>
      <c r="T150" s="110" t="str">
        <f>1/(1+'Calculation_Assumptions'!$B$8)^(B150-'Calculation_Assumptions'!$B$2)</f>
      </c>
      <c r="U150" s="111" t="str">
        <f>Q150*T150</f>
      </c>
      <c r="V150" s="112" t="str">
        <f>R150*T150</f>
      </c>
      <c r="W150" s="113" t="str">
        <f>S150*T150</f>
      </c>
      <c r="X150" t="n">
        <v>0</v>
      </c>
      <c r="Y150" s="114" t="n">
        <v>2017</v>
      </c>
      <c r="Z150" t="s">
        <v>399</v>
      </c>
      <c r="AA150" s="115" t="str">
        <f>IF(G150="shared-count-once",COUNTIFS($A$2:$A$287,A150,$B$2:$B$287,B150,$D$2:$D$287,D150),1)</f>
      </c>
      <c r="AB150" s="116" t="n">
        <v>317814114.067152</v>
      </c>
      <c r="AC150" s="117" t="str">
        <f>IF(AB150=0,"",Q150/AB150)</f>
      </c>
      <c r="AD150" s="118" t="str">
        <f>IF(AB150=0,"",R150/AB150)</f>
      </c>
      <c r="AE150" s="119" t="str">
        <f>IF(AB150=0,"",S150/AB150)</f>
      </c>
      <c r="AF150" s="120" t="str">
        <f>IF(AB150=0,"",W150/AB150)</f>
      </c>
    </row>
    <row r="151">
      <c r="A151" t="s">
        <v>254</v>
      </c>
      <c r="B151" s="93" t="n">
        <v>2044</v>
      </c>
      <c r="C151" t="s">
        <v>262</v>
      </c>
      <c r="D151" s="94" t="s">
        <v>405</v>
      </c>
      <c r="E151" s="95" t="s">
        <v>406</v>
      </c>
      <c r="F151" s="96" t="s">
        <v>265</v>
      </c>
      <c r="G151" s="97" t="s">
        <v>403</v>
      </c>
      <c r="H151" s="98" t="s">
        <v>396</v>
      </c>
      <c r="I151" s="99" t="n">
        <v>1</v>
      </c>
      <c r="J151" s="100" t="n">
        <v>1</v>
      </c>
      <c r="K151" s="101" t="n">
        <v>0.0077</v>
      </c>
      <c r="L151" s="102" t="n">
        <v>321272254.924434</v>
      </c>
      <c r="M151" s="103" t="n">
        <v>320897722.542069</v>
      </c>
      <c r="N151" s="104" t="str">
        <f>MIN(MAX((B151-'Calculation_Assumptions'!$B$5+1)/'Calculation_Assumptions'!$B$7,0),1)</f>
      </c>
      <c r="O151" s="105" t="str">
        <f>L151*I151</f>
      </c>
      <c r="P151" s="106" t="str">
        <f>M151*I151</f>
      </c>
      <c r="Q151" s="107" t="str">
        <f>P151*'Calculation_Assumptions'!$B$14*J151*K151</f>
      </c>
      <c r="R151" s="108" t="str">
        <f>O151*N151*J151*K151</f>
      </c>
      <c r="S151" s="109" t="str">
        <f>R151-Q151</f>
      </c>
      <c r="T151" s="110" t="str">
        <f>1/(1+'Calculation_Assumptions'!$B$8)^(B151-'Calculation_Assumptions'!$B$2)</f>
      </c>
      <c r="U151" s="111" t="str">
        <f>Q151*T151</f>
      </c>
      <c r="V151" s="112" t="str">
        <f>R151*T151</f>
      </c>
      <c r="W151" s="113" t="str">
        <f>S151*T151</f>
      </c>
      <c r="X151" t="n">
        <v>0</v>
      </c>
      <c r="Y151" s="114" t="n">
        <v>2017</v>
      </c>
      <c r="Z151" t="s">
        <v>399</v>
      </c>
      <c r="AA151" s="115" t="str">
        <f>IF(G151="shared-count-once",COUNTIFS($A$2:$A$287,A151,$B$2:$B$287,B151,$D$2:$D$287,D151),1)</f>
      </c>
      <c r="AB151" s="116" t="n">
        <v>318840890.732156</v>
      </c>
      <c r="AC151" s="117" t="str">
        <f>IF(AB151=0,"",Q151/AB151)</f>
      </c>
      <c r="AD151" s="118" t="str">
        <f>IF(AB151=0,"",R151/AB151)</f>
      </c>
      <c r="AE151" s="119" t="str">
        <f>IF(AB151=0,"",S151/AB151)</f>
      </c>
      <c r="AF151" s="120" t="str">
        <f>IF(AB151=0,"",W151/AB151)</f>
      </c>
    </row>
    <row r="152">
      <c r="A152" t="s">
        <v>254</v>
      </c>
      <c r="B152" s="93" t="n">
        <v>2045</v>
      </c>
      <c r="C152" t="s">
        <v>262</v>
      </c>
      <c r="D152" s="94" t="s">
        <v>405</v>
      </c>
      <c r="E152" s="95" t="s">
        <v>406</v>
      </c>
      <c r="F152" s="96" t="s">
        <v>265</v>
      </c>
      <c r="G152" s="97" t="s">
        <v>403</v>
      </c>
      <c r="H152" s="98" t="s">
        <v>396</v>
      </c>
      <c r="I152" s="99" t="n">
        <v>1</v>
      </c>
      <c r="J152" s="100" t="n">
        <v>1</v>
      </c>
      <c r="K152" s="101" t="n">
        <v>0.0077</v>
      </c>
      <c r="L152" s="102" t="n">
        <v>322247023.509598</v>
      </c>
      <c r="M152" s="103" t="n">
        <v>321832323.778944</v>
      </c>
      <c r="N152" s="104" t="str">
        <f>MIN(MAX((B152-'Calculation_Assumptions'!$B$5+1)/'Calculation_Assumptions'!$B$7,0),1)</f>
      </c>
      <c r="O152" s="105" t="str">
        <f>L152*I152</f>
      </c>
      <c r="P152" s="106" t="str">
        <f>M152*I152</f>
      </c>
      <c r="Q152" s="107" t="str">
        <f>P152*'Calculation_Assumptions'!$B$14*J152*K152</f>
      </c>
      <c r="R152" s="108" t="str">
        <f>O152*N152*J152*K152</f>
      </c>
      <c r="S152" s="109" t="str">
        <f>R152-Q152</f>
      </c>
      <c r="T152" s="110" t="str">
        <f>1/(1+'Calculation_Assumptions'!$B$8)^(B152-'Calculation_Assumptions'!$B$2)</f>
      </c>
      <c r="U152" s="111" t="str">
        <f>Q152*T152</f>
      </c>
      <c r="V152" s="112" t="str">
        <f>R152*T152</f>
      </c>
      <c r="W152" s="113" t="str">
        <f>S152*T152</f>
      </c>
      <c r="X152" t="n">
        <v>0</v>
      </c>
      <c r="Y152" s="114" t="n">
        <v>2017</v>
      </c>
      <c r="Z152" t="s">
        <v>399</v>
      </c>
      <c r="AA152" s="115" t="str">
        <f>IF(G152="shared-count-once",COUNTIFS($A$2:$A$287,A152,$B$2:$B$287,B152,$D$2:$D$287,D152),1)</f>
      </c>
      <c r="AB152" s="116" t="n">
        <v>319784682.33108</v>
      </c>
      <c r="AC152" s="117" t="str">
        <f>IF(AB152=0,"",Q152/AB152)</f>
      </c>
      <c r="AD152" s="118" t="str">
        <f>IF(AB152=0,"",R152/AB152)</f>
      </c>
      <c r="AE152" s="119" t="str">
        <f>IF(AB152=0,"",S152/AB152)</f>
      </c>
      <c r="AF152" s="120" t="str">
        <f>IF(AB152=0,"",W152/AB152)</f>
      </c>
    </row>
    <row r="153">
      <c r="A153" t="s">
        <v>254</v>
      </c>
      <c r="B153" s="93" t="n">
        <v>2046</v>
      </c>
      <c r="C153" t="s">
        <v>262</v>
      </c>
      <c r="D153" s="94" t="s">
        <v>405</v>
      </c>
      <c r="E153" s="95" t="s">
        <v>406</v>
      </c>
      <c r="F153" s="96" t="s">
        <v>265</v>
      </c>
      <c r="G153" s="97" t="s">
        <v>403</v>
      </c>
      <c r="H153" s="98" t="s">
        <v>396</v>
      </c>
      <c r="I153" s="99" t="n">
        <v>1</v>
      </c>
      <c r="J153" s="100" t="n">
        <v>1</v>
      </c>
      <c r="K153" s="101" t="n">
        <v>0.0077</v>
      </c>
      <c r="L153" s="102" t="n">
        <v>323090552.011921</v>
      </c>
      <c r="M153" s="103" t="n">
        <v>322683379.427444</v>
      </c>
      <c r="N153" s="104" t="str">
        <f>MIN(MAX((B153-'Calculation_Assumptions'!$B$5+1)/'Calculation_Assumptions'!$B$7,0),1)</f>
      </c>
      <c r="O153" s="105" t="str">
        <f>L153*I153</f>
      </c>
      <c r="P153" s="106" t="str">
        <f>M153*I153</f>
      </c>
      <c r="Q153" s="107" t="str">
        <f>P153*'Calculation_Assumptions'!$B$14*J153*K153</f>
      </c>
      <c r="R153" s="108" t="str">
        <f>O153*N153*J153*K153</f>
      </c>
      <c r="S153" s="109" t="str">
        <f>R153-Q153</f>
      </c>
      <c r="T153" s="110" t="str">
        <f>1/(1+'Calculation_Assumptions'!$B$8)^(B153-'Calculation_Assumptions'!$B$2)</f>
      </c>
      <c r="U153" s="111" t="str">
        <f>Q153*T153</f>
      </c>
      <c r="V153" s="112" t="str">
        <f>R153*T153</f>
      </c>
      <c r="W153" s="113" t="str">
        <f>S153*T153</f>
      </c>
      <c r="X153" t="n">
        <v>0</v>
      </c>
      <c r="Y153" s="114" t="n">
        <v>2017</v>
      </c>
      <c r="Z153" t="s">
        <v>399</v>
      </c>
      <c r="AA153" s="115" t="str">
        <f>IF(G153="shared-count-once",COUNTIFS($A$2:$A$287,A153,$B$2:$B$287,B153,$D$2:$D$287,D153),1)</f>
      </c>
      <c r="AB153" s="116" t="n">
        <v>320645615.981408</v>
      </c>
      <c r="AC153" s="117" t="str">
        <f>IF(AB153=0,"",Q153/AB153)</f>
      </c>
      <c r="AD153" s="118" t="str">
        <f>IF(AB153=0,"",R153/AB153)</f>
      </c>
      <c r="AE153" s="119" t="str">
        <f>IF(AB153=0,"",S153/AB153)</f>
      </c>
      <c r="AF153" s="120" t="str">
        <f>IF(AB153=0,"",W153/AB153)</f>
      </c>
    </row>
    <row r="154">
      <c r="A154" t="s">
        <v>254</v>
      </c>
      <c r="B154" s="93" t="n">
        <v>2047</v>
      </c>
      <c r="C154" t="s">
        <v>262</v>
      </c>
      <c r="D154" s="94" t="s">
        <v>405</v>
      </c>
      <c r="E154" s="95" t="s">
        <v>406</v>
      </c>
      <c r="F154" s="96" t="s">
        <v>265</v>
      </c>
      <c r="G154" s="97" t="s">
        <v>403</v>
      </c>
      <c r="H154" s="98" t="s">
        <v>396</v>
      </c>
      <c r="I154" s="99" t="n">
        <v>1</v>
      </c>
      <c r="J154" s="100" t="n">
        <v>1</v>
      </c>
      <c r="K154" s="101" t="n">
        <v>0.0077</v>
      </c>
      <c r="L154" s="102" t="n">
        <v>323899073.855135</v>
      </c>
      <c r="M154" s="103" t="n">
        <v>323457177.765372</v>
      </c>
      <c r="N154" s="104" t="str">
        <f>MIN(MAX((B154-'Calculation_Assumptions'!$B$5+1)/'Calculation_Assumptions'!$B$7,0),1)</f>
      </c>
      <c r="O154" s="105" t="str">
        <f>L154*I154</f>
      </c>
      <c r="P154" s="106" t="str">
        <f>M154*I154</f>
      </c>
      <c r="Q154" s="107" t="str">
        <f>P154*'Calculation_Assumptions'!$B$14*J154*K154</f>
      </c>
      <c r="R154" s="108" t="str">
        <f>O154*N154*J154*K154</f>
      </c>
      <c r="S154" s="109" t="str">
        <f>R154-Q154</f>
      </c>
      <c r="T154" s="110" t="str">
        <f>1/(1+'Calculation_Assumptions'!$B$8)^(B154-'Calculation_Assumptions'!$B$2)</f>
      </c>
      <c r="U154" s="111" t="str">
        <f>Q154*T154</f>
      </c>
      <c r="V154" s="112" t="str">
        <f>R154*T154</f>
      </c>
      <c r="W154" s="113" t="str">
        <f>S154*T154</f>
      </c>
      <c r="X154" t="n">
        <v>0</v>
      </c>
      <c r="Y154" s="114" t="n">
        <v>2017</v>
      </c>
      <c r="Z154" t="s">
        <v>399</v>
      </c>
      <c r="AA154" s="115" t="str">
        <f>IF(G154="shared-count-once",COUNTIFS($A$2:$A$287,A154,$B$2:$B$287,B154,$D$2:$D$287,D154),1)</f>
      </c>
      <c r="AB154" s="116" t="n">
        <v>321429520.522875</v>
      </c>
      <c r="AC154" s="117" t="str">
        <f>IF(AB154=0,"",Q154/AB154)</f>
      </c>
      <c r="AD154" s="118" t="str">
        <f>IF(AB154=0,"",R154/AB154)</f>
      </c>
      <c r="AE154" s="119" t="str">
        <f>IF(AB154=0,"",S154/AB154)</f>
      </c>
      <c r="AF154" s="120" t="str">
        <f>IF(AB154=0,"",W154/AB154)</f>
      </c>
    </row>
    <row r="155">
      <c r="A155" t="s">
        <v>254</v>
      </c>
      <c r="B155" s="93" t="n">
        <v>2048</v>
      </c>
      <c r="C155" t="s">
        <v>262</v>
      </c>
      <c r="D155" s="94" t="s">
        <v>405</v>
      </c>
      <c r="E155" s="95" t="s">
        <v>406</v>
      </c>
      <c r="F155" s="96" t="s">
        <v>265</v>
      </c>
      <c r="G155" s="97" t="s">
        <v>403</v>
      </c>
      <c r="H155" s="98" t="s">
        <v>396</v>
      </c>
      <c r="I155" s="99" t="n">
        <v>1</v>
      </c>
      <c r="J155" s="100" t="n">
        <v>1</v>
      </c>
      <c r="K155" s="101" t="n">
        <v>0.0077</v>
      </c>
      <c r="L155" s="102" t="n">
        <v>324619303.132713</v>
      </c>
      <c r="M155" s="103" t="n">
        <v>324153264.068833</v>
      </c>
      <c r="N155" s="104" t="str">
        <f>MIN(MAX((B155-'Calculation_Assumptions'!$B$5+1)/'Calculation_Assumptions'!$B$7,0),1)</f>
      </c>
      <c r="O155" s="105" t="str">
        <f>L155*I155</f>
      </c>
      <c r="P155" s="106" t="str">
        <f>M155*I155</f>
      </c>
      <c r="Q155" s="107" t="str">
        <f>P155*'Calculation_Assumptions'!$B$14*J155*K155</f>
      </c>
      <c r="R155" s="108" t="str">
        <f>O155*N155*J155*K155</f>
      </c>
      <c r="S155" s="109" t="str">
        <f>R155-Q155</f>
      </c>
      <c r="T155" s="110" t="str">
        <f>1/(1+'Calculation_Assumptions'!$B$8)^(B155-'Calculation_Assumptions'!$B$2)</f>
      </c>
      <c r="U155" s="111" t="str">
        <f>Q155*T155</f>
      </c>
      <c r="V155" s="112" t="str">
        <f>R155*T155</f>
      </c>
      <c r="W155" s="113" t="str">
        <f>S155*T155</f>
      </c>
      <c r="X155" t="n">
        <v>0</v>
      </c>
      <c r="Y155" s="114" t="n">
        <v>2017</v>
      </c>
      <c r="Z155" t="s">
        <v>399</v>
      </c>
      <c r="AA155" s="115" t="str">
        <f>IF(G155="shared-count-once",COUNTIFS($A$2:$A$287,A155,$B$2:$B$287,B155,$D$2:$D$287,D155),1)</f>
      </c>
      <c r="AB155" s="116" t="n">
        <v>322136832.260161</v>
      </c>
      <c r="AC155" s="117" t="str">
        <f>IF(AB155=0,"",Q155/AB155)</f>
      </c>
      <c r="AD155" s="118" t="str">
        <f>IF(AB155=0,"",R155/AB155)</f>
      </c>
      <c r="AE155" s="119" t="str">
        <f>IF(AB155=0,"",S155/AB155)</f>
      </c>
      <c r="AF155" s="120" t="str">
        <f>IF(AB155=0,"",W155/AB155)</f>
      </c>
    </row>
    <row r="156">
      <c r="A156" t="s">
        <v>254</v>
      </c>
      <c r="B156" s="93" t="n">
        <v>2049</v>
      </c>
      <c r="C156" t="s">
        <v>262</v>
      </c>
      <c r="D156" s="94" t="s">
        <v>405</v>
      </c>
      <c r="E156" s="95" t="s">
        <v>406</v>
      </c>
      <c r="F156" s="96" t="s">
        <v>265</v>
      </c>
      <c r="G156" s="97" t="s">
        <v>403</v>
      </c>
      <c r="H156" s="98" t="s">
        <v>396</v>
      </c>
      <c r="I156" s="99" t="n">
        <v>1</v>
      </c>
      <c r="J156" s="100" t="n">
        <v>1</v>
      </c>
      <c r="K156" s="101" t="n">
        <v>0.0077</v>
      </c>
      <c r="L156" s="102" t="n">
        <v>325260359.575058</v>
      </c>
      <c r="M156" s="103" t="n">
        <v>324770595.66435</v>
      </c>
      <c r="N156" s="104" t="str">
        <f>MIN(MAX((B156-'Calculation_Assumptions'!$B$5+1)/'Calculation_Assumptions'!$B$7,0),1)</f>
      </c>
      <c r="O156" s="105" t="str">
        <f>L156*I156</f>
      </c>
      <c r="P156" s="106" t="str">
        <f>M156*I156</f>
      </c>
      <c r="Q156" s="107" t="str">
        <f>P156*'Calculation_Assumptions'!$B$14*J156*K156</f>
      </c>
      <c r="R156" s="108" t="str">
        <f>O156*N156*J156*K156</f>
      </c>
      <c r="S156" s="109" t="str">
        <f>R156-Q156</f>
      </c>
      <c r="T156" s="110" t="str">
        <f>1/(1+'Calculation_Assumptions'!$B$8)^(B156-'Calculation_Assumptions'!$B$2)</f>
      </c>
      <c r="U156" s="111" t="str">
        <f>Q156*T156</f>
      </c>
      <c r="V156" s="112" t="str">
        <f>R156*T156</f>
      </c>
      <c r="W156" s="113" t="str">
        <f>S156*T156</f>
      </c>
      <c r="X156" t="n">
        <v>0</v>
      </c>
      <c r="Y156" s="114" t="n">
        <v>2017</v>
      </c>
      <c r="Z156" t="s">
        <v>399</v>
      </c>
      <c r="AA156" s="115" t="str">
        <f>IF(G156="shared-count-once",COUNTIFS($A$2:$A$287,A156,$B$2:$B$287,B156,$D$2:$D$287,D156),1)</f>
      </c>
      <c r="AB156" s="116" t="n">
        <v>322765819.752681</v>
      </c>
      <c r="AC156" s="117" t="str">
        <f>IF(AB156=0,"",Q156/AB156)</f>
      </c>
      <c r="AD156" s="118" t="str">
        <f>IF(AB156=0,"",R156/AB156)</f>
      </c>
      <c r="AE156" s="119" t="str">
        <f>IF(AB156=0,"",S156/AB156)</f>
      </c>
      <c r="AF156" s="120" t="str">
        <f>IF(AB156=0,"",W156/AB156)</f>
      </c>
    </row>
    <row r="157">
      <c r="A157" t="s">
        <v>254</v>
      </c>
      <c r="B157" s="93" t="n">
        <v>2050</v>
      </c>
      <c r="C157" t="s">
        <v>262</v>
      </c>
      <c r="D157" s="94" t="s">
        <v>405</v>
      </c>
      <c r="E157" s="95" t="s">
        <v>406</v>
      </c>
      <c r="F157" s="96" t="s">
        <v>265</v>
      </c>
      <c r="G157" s="97" t="s">
        <v>403</v>
      </c>
      <c r="H157" s="98" t="s">
        <v>396</v>
      </c>
      <c r="I157" s="99" t="n">
        <v>1</v>
      </c>
      <c r="J157" s="100" t="n">
        <v>1</v>
      </c>
      <c r="K157" s="101" t="n">
        <v>0.0077</v>
      </c>
      <c r="L157" s="102" t="n">
        <v>325782629.964295</v>
      </c>
      <c r="M157" s="103" t="n">
        <v>325271287.464889</v>
      </c>
      <c r="N157" s="104" t="str">
        <f>MIN(MAX((B157-'Calculation_Assumptions'!$B$5+1)/'Calculation_Assumptions'!$B$7,0),1)</f>
      </c>
      <c r="O157" s="105" t="str">
        <f>L157*I157</f>
      </c>
      <c r="P157" s="106" t="str">
        <f>M157*I157</f>
      </c>
      <c r="Q157" s="107" t="str">
        <f>P157*'Calculation_Assumptions'!$B$14*J157*K157</f>
      </c>
      <c r="R157" s="108" t="str">
        <f>O157*N157*J157*K157</f>
      </c>
      <c r="S157" s="109" t="str">
        <f>R157-Q157</f>
      </c>
      <c r="T157" s="110" t="str">
        <f>1/(1+'Calculation_Assumptions'!$B$8)^(B157-'Calculation_Assumptions'!$B$2)</f>
      </c>
      <c r="U157" s="111" t="str">
        <f>Q157*T157</f>
      </c>
      <c r="V157" s="112" t="str">
        <f>R157*T157</f>
      </c>
      <c r="W157" s="113" t="str">
        <f>S157*T157</f>
      </c>
      <c r="X157" t="n">
        <v>0</v>
      </c>
      <c r="Y157" s="114" t="n">
        <v>2017</v>
      </c>
      <c r="Z157" t="s">
        <v>399</v>
      </c>
      <c r="AA157" s="115" t="str">
        <f>IF(G157="shared-count-once",COUNTIFS($A$2:$A$287,A157,$B$2:$B$287,B157,$D$2:$D$287,D157),1)</f>
      </c>
      <c r="AB157" s="116" t="n">
        <v>323312042.563285</v>
      </c>
      <c r="AC157" s="117" t="str">
        <f>IF(AB157=0,"",Q157/AB157)</f>
      </c>
      <c r="AD157" s="118" t="str">
        <f>IF(AB157=0,"",R157/AB157)</f>
      </c>
      <c r="AE157" s="119" t="str">
        <f>IF(AB157=0,"",S157/AB157)</f>
      </c>
      <c r="AF157" s="120" t="str">
        <f>IF(AB157=0,"",W157/AB157)</f>
      </c>
    </row>
    <row r="158">
      <c r="A158" t="s">
        <v>254</v>
      </c>
      <c r="B158" s="93" t="n">
        <v>2025</v>
      </c>
      <c r="C158" t="s">
        <v>272</v>
      </c>
      <c r="D158" s="94" t="s">
        <v>407</v>
      </c>
      <c r="E158" s="95" t="s">
        <v>408</v>
      </c>
      <c r="F158" s="96" t="s">
        <v>275</v>
      </c>
      <c r="G158" s="97" t="s">
        <v>403</v>
      </c>
      <c r="H158" s="98" t="s">
        <v>396</v>
      </c>
      <c r="I158" s="99" t="n">
        <v>1</v>
      </c>
      <c r="J158" s="100" t="n">
        <v>1</v>
      </c>
      <c r="K158" s="101" t="n">
        <v>0.0077</v>
      </c>
      <c r="L158" s="102" t="n">
        <v>291886571.325912</v>
      </c>
      <c r="M158" s="103" t="n">
        <v>291223951.413062</v>
      </c>
      <c r="N158" s="104" t="str">
        <f>MIN(MAX((B158-'Calculation_Assumptions'!$B$5+1)/'Calculation_Assumptions'!$B$7,0),1)</f>
      </c>
      <c r="O158" s="105" t="str">
        <f>L158*I158</f>
      </c>
      <c r="P158" s="106" t="str">
        <f>M158*I158</f>
      </c>
      <c r="Q158" s="107" t="str">
        <f>P158*'Calculation_Assumptions'!$B$14*J158*K158</f>
      </c>
      <c r="R158" s="108" t="str">
        <f>O158*N158*J158*K158</f>
      </c>
      <c r="S158" s="109" t="str">
        <f>R158-Q158</f>
      </c>
      <c r="T158" s="110" t="str">
        <f>1/(1+'Calculation_Assumptions'!$B$8)^(B158-'Calculation_Assumptions'!$B$2)</f>
      </c>
      <c r="U158" s="111" t="str">
        <f>Q158*T158</f>
      </c>
      <c r="V158" s="112" t="str">
        <f>R158*T158</f>
      </c>
      <c r="W158" s="113" t="str">
        <f>S158*T158</f>
      </c>
      <c r="X158" t="n">
        <v>0</v>
      </c>
      <c r="Y158" s="114" t="n">
        <v>2017</v>
      </c>
      <c r="Z158" t="s">
        <v>399</v>
      </c>
      <c r="AA158" s="115" t="str">
        <f>IF(G158="shared-count-once",COUNTIFS($A$2:$A$287,A158,$B$2:$B$287,B158,$D$2:$D$287,D158),1)</f>
      </c>
      <c r="AB158" s="116" t="n">
        <v>288391907.644456</v>
      </c>
      <c r="AC158" s="117" t="str">
        <f>IF(AB158=0,"",Q158/AB158)</f>
      </c>
      <c r="AD158" s="118" t="str">
        <f>IF(AB158=0,"",R158/AB158)</f>
      </c>
      <c r="AE158" s="119" t="str">
        <f>IF(AB158=0,"",S158/AB158)</f>
      </c>
      <c r="AF158" s="120" t="str">
        <f>IF(AB158=0,"",W158/AB158)</f>
      </c>
    </row>
    <row r="159">
      <c r="A159" t="s">
        <v>254</v>
      </c>
      <c r="B159" s="93" t="n">
        <v>2026</v>
      </c>
      <c r="C159" t="s">
        <v>272</v>
      </c>
      <c r="D159" s="94" t="s">
        <v>407</v>
      </c>
      <c r="E159" s="95" t="s">
        <v>408</v>
      </c>
      <c r="F159" s="96" t="s">
        <v>275</v>
      </c>
      <c r="G159" s="97" t="s">
        <v>403</v>
      </c>
      <c r="H159" s="98" t="s">
        <v>396</v>
      </c>
      <c r="I159" s="99" t="n">
        <v>1</v>
      </c>
      <c r="J159" s="100" t="n">
        <v>1</v>
      </c>
      <c r="K159" s="101" t="n">
        <v>0.0077</v>
      </c>
      <c r="L159" s="102" t="n">
        <v>293828806.709757</v>
      </c>
      <c r="M159" s="103" t="n">
        <v>293212473.334583</v>
      </c>
      <c r="N159" s="104" t="str">
        <f>MIN(MAX((B159-'Calculation_Assumptions'!$B$5+1)/'Calculation_Assumptions'!$B$7,0),1)</f>
      </c>
      <c r="O159" s="105" t="str">
        <f>L159*I159</f>
      </c>
      <c r="P159" s="106" t="str">
        <f>M159*I159</f>
      </c>
      <c r="Q159" s="107" t="str">
        <f>P159*'Calculation_Assumptions'!$B$14*J159*K159</f>
      </c>
      <c r="R159" s="108" t="str">
        <f>O159*N159*J159*K159</f>
      </c>
      <c r="S159" s="109" t="str">
        <f>R159-Q159</f>
      </c>
      <c r="T159" s="110" t="str">
        <f>1/(1+'Calculation_Assumptions'!$B$8)^(B159-'Calculation_Assumptions'!$B$2)</f>
      </c>
      <c r="U159" s="111" t="str">
        <f>Q159*T159</f>
      </c>
      <c r="V159" s="112" t="str">
        <f>R159*T159</f>
      </c>
      <c r="W159" s="113" t="str">
        <f>S159*T159</f>
      </c>
      <c r="X159" t="n">
        <v>0</v>
      </c>
      <c r="Y159" s="114" t="n">
        <v>2017</v>
      </c>
      <c r="Z159" t="s">
        <v>399</v>
      </c>
      <c r="AA159" s="115" t="str">
        <f>IF(G159="shared-count-once",COUNTIFS($A$2:$A$287,A159,$B$2:$B$287,B159,$D$2:$D$287,D159),1)</f>
      </c>
      <c r="AB159" s="116" t="n">
        <v>290472130.233437</v>
      </c>
      <c r="AC159" s="117" t="str">
        <f>IF(AB159=0,"",Q159/AB159)</f>
      </c>
      <c r="AD159" s="118" t="str">
        <f>IF(AB159=0,"",R159/AB159)</f>
      </c>
      <c r="AE159" s="119" t="str">
        <f>IF(AB159=0,"",S159/AB159)</f>
      </c>
      <c r="AF159" s="120" t="str">
        <f>IF(AB159=0,"",W159/AB159)</f>
      </c>
    </row>
    <row r="160">
      <c r="A160" t="s">
        <v>254</v>
      </c>
      <c r="B160" s="93" t="n">
        <v>2027</v>
      </c>
      <c r="C160" t="s">
        <v>272</v>
      </c>
      <c r="D160" s="94" t="s">
        <v>407</v>
      </c>
      <c r="E160" s="95" t="s">
        <v>408</v>
      </c>
      <c r="F160" s="96" t="s">
        <v>275</v>
      </c>
      <c r="G160" s="97" t="s">
        <v>403</v>
      </c>
      <c r="H160" s="98" t="s">
        <v>396</v>
      </c>
      <c r="I160" s="99" t="n">
        <v>1</v>
      </c>
      <c r="J160" s="100" t="n">
        <v>1</v>
      </c>
      <c r="K160" s="101" t="n">
        <v>0.0077</v>
      </c>
      <c r="L160" s="102" t="n">
        <v>295753308.05397</v>
      </c>
      <c r="M160" s="103" t="n">
        <v>295196117.964647</v>
      </c>
      <c r="N160" s="104" t="str">
        <f>MIN(MAX((B160-'Calculation_Assumptions'!$B$5+1)/'Calculation_Assumptions'!$B$7,0),1)</f>
      </c>
      <c r="O160" s="105" t="str">
        <f>L160*I160</f>
      </c>
      <c r="P160" s="106" t="str">
        <f>M160*I160</f>
      </c>
      <c r="Q160" s="107" t="str">
        <f>P160*'Calculation_Assumptions'!$B$14*J160*K160</f>
      </c>
      <c r="R160" s="108" t="str">
        <f>O160*N160*J160*K160</f>
      </c>
      <c r="S160" s="109" t="str">
        <f>R160-Q160</f>
      </c>
      <c r="T160" s="110" t="str">
        <f>1/(1+'Calculation_Assumptions'!$B$8)^(B160-'Calculation_Assumptions'!$B$2)</f>
      </c>
      <c r="U160" s="111" t="str">
        <f>Q160*T160</f>
      </c>
      <c r="V160" s="112" t="str">
        <f>R160*T160</f>
      </c>
      <c r="W160" s="113" t="str">
        <f>S160*T160</f>
      </c>
      <c r="X160" t="n">
        <v>0</v>
      </c>
      <c r="Y160" s="114" t="n">
        <v>2017</v>
      </c>
      <c r="Z160" t="s">
        <v>399</v>
      </c>
      <c r="AA160" s="115" t="str">
        <f>IF(G160="shared-count-once",COUNTIFS($A$2:$A$287,A160,$B$2:$B$287,B160,$D$2:$D$287,D160),1)</f>
      </c>
      <c r="AB160" s="116" t="n">
        <v>292505080.826208</v>
      </c>
      <c r="AC160" s="117" t="str">
        <f>IF(AB160=0,"",Q160/AB160)</f>
      </c>
      <c r="AD160" s="118" t="str">
        <f>IF(AB160=0,"",R160/AB160)</f>
      </c>
      <c r="AE160" s="119" t="str">
        <f>IF(AB160=0,"",S160/AB160)</f>
      </c>
      <c r="AF160" s="120" t="str">
        <f>IF(AB160=0,"",W160/AB160)</f>
      </c>
    </row>
    <row r="161">
      <c r="A161" t="s">
        <v>254</v>
      </c>
      <c r="B161" s="93" t="n">
        <v>2028</v>
      </c>
      <c r="C161" t="s">
        <v>272</v>
      </c>
      <c r="D161" s="94" t="s">
        <v>407</v>
      </c>
      <c r="E161" s="95" t="s">
        <v>408</v>
      </c>
      <c r="F161" s="96" t="s">
        <v>275</v>
      </c>
      <c r="G161" s="97" t="s">
        <v>403</v>
      </c>
      <c r="H161" s="98" t="s">
        <v>396</v>
      </c>
      <c r="I161" s="99" t="n">
        <v>1</v>
      </c>
      <c r="J161" s="100" t="n">
        <v>1</v>
      </c>
      <c r="K161" s="101" t="n">
        <v>0.0077</v>
      </c>
      <c r="L161" s="102" t="n">
        <v>297645640.911667</v>
      </c>
      <c r="M161" s="103" t="n">
        <v>297107934.99345</v>
      </c>
      <c r="N161" s="104" t="str">
        <f>MIN(MAX((B161-'Calculation_Assumptions'!$B$5+1)/'Calculation_Assumptions'!$B$7,0),1)</f>
      </c>
      <c r="O161" s="105" t="str">
        <f>L161*I161</f>
      </c>
      <c r="P161" s="106" t="str">
        <f>M161*I161</f>
      </c>
      <c r="Q161" s="107" t="str">
        <f>P161*'Calculation_Assumptions'!$B$14*J161*K161</f>
      </c>
      <c r="R161" s="108" t="str">
        <f>O161*N161*J161*K161</f>
      </c>
      <c r="S161" s="109" t="str">
        <f>R161-Q161</f>
      </c>
      <c r="T161" s="110" t="str">
        <f>1/(1+'Calculation_Assumptions'!$B$8)^(B161-'Calculation_Assumptions'!$B$2)</f>
      </c>
      <c r="U161" s="111" t="str">
        <f>Q161*T161</f>
      </c>
      <c r="V161" s="112" t="str">
        <f>R161*T161</f>
      </c>
      <c r="W161" s="113" t="str">
        <f>S161*T161</f>
      </c>
      <c r="X161" t="n">
        <v>0</v>
      </c>
      <c r="Y161" s="114" t="n">
        <v>2017</v>
      </c>
      <c r="Z161" t="s">
        <v>399</v>
      </c>
      <c r="AA161" s="115" t="str">
        <f>IF(G161="shared-count-once",COUNTIFS($A$2:$A$287,A161,$B$2:$B$287,B161,$D$2:$D$287,D161),1)</f>
      </c>
      <c r="AB161" s="116" t="n">
        <v>294484707.921554</v>
      </c>
      <c r="AC161" s="117" t="str">
        <f>IF(AB161=0,"",Q161/AB161)</f>
      </c>
      <c r="AD161" s="118" t="str">
        <f>IF(AB161=0,"",R161/AB161)</f>
      </c>
      <c r="AE161" s="119" t="str">
        <f>IF(AB161=0,"",S161/AB161)</f>
      </c>
      <c r="AF161" s="120" t="str">
        <f>IF(AB161=0,"",W161/AB161)</f>
      </c>
    </row>
    <row r="162">
      <c r="A162" t="s">
        <v>254</v>
      </c>
      <c r="B162" s="93" t="n">
        <v>2029</v>
      </c>
      <c r="C162" t="s">
        <v>272</v>
      </c>
      <c r="D162" s="94" t="s">
        <v>407</v>
      </c>
      <c r="E162" s="95" t="s">
        <v>408</v>
      </c>
      <c r="F162" s="96" t="s">
        <v>275</v>
      </c>
      <c r="G162" s="97" t="s">
        <v>403</v>
      </c>
      <c r="H162" s="98" t="s">
        <v>396</v>
      </c>
      <c r="I162" s="99" t="n">
        <v>1</v>
      </c>
      <c r="J162" s="100" t="n">
        <v>1</v>
      </c>
      <c r="K162" s="101" t="n">
        <v>0.0077</v>
      </c>
      <c r="L162" s="102" t="n">
        <v>299480247.297346</v>
      </c>
      <c r="M162" s="103" t="n">
        <v>298981169.683309</v>
      </c>
      <c r="N162" s="104" t="str">
        <f>MIN(MAX((B162-'Calculation_Assumptions'!$B$5+1)/'Calculation_Assumptions'!$B$7,0),1)</f>
      </c>
      <c r="O162" s="105" t="str">
        <f>L162*I162</f>
      </c>
      <c r="P162" s="106" t="str">
        <f>M162*I162</f>
      </c>
      <c r="Q162" s="107" t="str">
        <f>P162*'Calculation_Assumptions'!$B$14*J162*K162</f>
      </c>
      <c r="R162" s="108" t="str">
        <f>O162*N162*J162*K162</f>
      </c>
      <c r="S162" s="109" t="str">
        <f>R162-Q162</f>
      </c>
      <c r="T162" s="110" t="str">
        <f>1/(1+'Calculation_Assumptions'!$B$8)^(B162-'Calculation_Assumptions'!$B$2)</f>
      </c>
      <c r="U162" s="111" t="str">
        <f>Q162*T162</f>
      </c>
      <c r="V162" s="112" t="str">
        <f>R162*T162</f>
      </c>
      <c r="W162" s="113" t="str">
        <f>S162*T162</f>
      </c>
      <c r="X162" t="n">
        <v>0</v>
      </c>
      <c r="Y162" s="114" t="n">
        <v>2017</v>
      </c>
      <c r="Z162" t="s">
        <v>399</v>
      </c>
      <c r="AA162" s="115" t="str">
        <f>IF(G162="shared-count-once",COUNTIFS($A$2:$A$287,A162,$B$2:$B$287,B162,$D$2:$D$287,D162),1)</f>
      </c>
      <c r="AB162" s="116" t="n">
        <v>296414030.31143</v>
      </c>
      <c r="AC162" s="117" t="str">
        <f>IF(AB162=0,"",Q162/AB162)</f>
      </c>
      <c r="AD162" s="118" t="str">
        <f>IF(AB162=0,"",R162/AB162)</f>
      </c>
      <c r="AE162" s="119" t="str">
        <f>IF(AB162=0,"",S162/AB162)</f>
      </c>
      <c r="AF162" s="120" t="str">
        <f>IF(AB162=0,"",W162/AB162)</f>
      </c>
    </row>
    <row r="163">
      <c r="A163" t="s">
        <v>254</v>
      </c>
      <c r="B163" s="93" t="n">
        <v>2030</v>
      </c>
      <c r="C163" t="s">
        <v>272</v>
      </c>
      <c r="D163" s="94" t="s">
        <v>407</v>
      </c>
      <c r="E163" s="95" t="s">
        <v>408</v>
      </c>
      <c r="F163" s="96" t="s">
        <v>275</v>
      </c>
      <c r="G163" s="97" t="s">
        <v>403</v>
      </c>
      <c r="H163" s="98" t="s">
        <v>396</v>
      </c>
      <c r="I163" s="99" t="n">
        <v>1</v>
      </c>
      <c r="J163" s="100" t="n">
        <v>1</v>
      </c>
      <c r="K163" s="101" t="n">
        <v>0.0077</v>
      </c>
      <c r="L163" s="102" t="n">
        <v>301267618.531234</v>
      </c>
      <c r="M163" s="103" t="n">
        <v>300784244.146626</v>
      </c>
      <c r="N163" s="104" t="str">
        <f>MIN(MAX((B163-'Calculation_Assumptions'!$B$5+1)/'Calculation_Assumptions'!$B$7,0),1)</f>
      </c>
      <c r="O163" s="105" t="str">
        <f>L163*I163</f>
      </c>
      <c r="P163" s="106" t="str">
        <f>M163*I163</f>
      </c>
      <c r="Q163" s="107" t="str">
        <f>P163*'Calculation_Assumptions'!$B$14*J163*K163</f>
      </c>
      <c r="R163" s="108" t="str">
        <f>O163*N163*J163*K163</f>
      </c>
      <c r="S163" s="109" t="str">
        <f>R163-Q163</f>
      </c>
      <c r="T163" s="110" t="str">
        <f>1/(1+'Calculation_Assumptions'!$B$8)^(B163-'Calculation_Assumptions'!$B$2)</f>
      </c>
      <c r="U163" s="111" t="str">
        <f>Q163*T163</f>
      </c>
      <c r="V163" s="112" t="str">
        <f>R163*T163</f>
      </c>
      <c r="W163" s="113" t="str">
        <f>S163*T163</f>
      </c>
      <c r="X163" t="n">
        <v>0</v>
      </c>
      <c r="Y163" s="114" t="n">
        <v>2017</v>
      </c>
      <c r="Z163" t="s">
        <v>399</v>
      </c>
      <c r="AA163" s="115" t="str">
        <f>IF(G163="shared-count-once",COUNTIFS($A$2:$A$287,A163,$B$2:$B$287,B163,$D$2:$D$287,D163),1)</f>
      </c>
      <c r="AB163" s="116" t="n">
        <v>298289404.664994</v>
      </c>
      <c r="AC163" s="117" t="str">
        <f>IF(AB163=0,"",Q163/AB163)</f>
      </c>
      <c r="AD163" s="118" t="str">
        <f>IF(AB163=0,"",R163/AB163)</f>
      </c>
      <c r="AE163" s="119" t="str">
        <f>IF(AB163=0,"",S163/AB163)</f>
      </c>
      <c r="AF163" s="120" t="str">
        <f>IF(AB163=0,"",W163/AB163)</f>
      </c>
    </row>
    <row r="164">
      <c r="A164" t="s">
        <v>254</v>
      </c>
      <c r="B164" s="93" t="n">
        <v>2031</v>
      </c>
      <c r="C164" t="s">
        <v>272</v>
      </c>
      <c r="D164" s="94" t="s">
        <v>407</v>
      </c>
      <c r="E164" s="95" t="s">
        <v>408</v>
      </c>
      <c r="F164" s="96" t="s">
        <v>275</v>
      </c>
      <c r="G164" s="97" t="s">
        <v>403</v>
      </c>
      <c r="H164" s="98" t="s">
        <v>396</v>
      </c>
      <c r="I164" s="99" t="n">
        <v>1</v>
      </c>
      <c r="J164" s="100" t="n">
        <v>1</v>
      </c>
      <c r="K164" s="101" t="n">
        <v>0.0077</v>
      </c>
      <c r="L164" s="102" t="n">
        <v>303017263.489646</v>
      </c>
      <c r="M164" s="103" t="n">
        <v>302561623.795312</v>
      </c>
      <c r="N164" s="104" t="str">
        <f>MIN(MAX((B164-'Calculation_Assumptions'!$B$5+1)/'Calculation_Assumptions'!$B$7,0),1)</f>
      </c>
      <c r="O164" s="105" t="str">
        <f>L164*I164</f>
      </c>
      <c r="P164" s="106" t="str">
        <f>M164*I164</f>
      </c>
      <c r="Q164" s="107" t="str">
        <f>P164*'Calculation_Assumptions'!$B$14*J164*K164</f>
      </c>
      <c r="R164" s="108" t="str">
        <f>O164*N164*J164*K164</f>
      </c>
      <c r="S164" s="109" t="str">
        <f>R164-Q164</f>
      </c>
      <c r="T164" s="110" t="str">
        <f>1/(1+'Calculation_Assumptions'!$B$8)^(B164-'Calculation_Assumptions'!$B$2)</f>
      </c>
      <c r="U164" s="111" t="str">
        <f>Q164*T164</f>
      </c>
      <c r="V164" s="112" t="str">
        <f>R164*T164</f>
      </c>
      <c r="W164" s="113" t="str">
        <f>S164*T164</f>
      </c>
      <c r="X164" t="n">
        <v>0</v>
      </c>
      <c r="Y164" s="114" t="n">
        <v>2017</v>
      </c>
      <c r="Z164" t="s">
        <v>399</v>
      </c>
      <c r="AA164" s="115" t="str">
        <f>IF(G164="shared-count-once",COUNTIFS($A$2:$A$287,A164,$B$2:$B$287,B164,$D$2:$D$287,D164),1)</f>
      </c>
      <c r="AB164" s="116" t="n">
        <v>300119636.925519</v>
      </c>
      <c r="AC164" s="117" t="str">
        <f>IF(AB164=0,"",Q164/AB164)</f>
      </c>
      <c r="AD164" s="118" t="str">
        <f>IF(AB164=0,"",R164/AB164)</f>
      </c>
      <c r="AE164" s="119" t="str">
        <f>IF(AB164=0,"",S164/AB164)</f>
      </c>
      <c r="AF164" s="120" t="str">
        <f>IF(AB164=0,"",W164/AB164)</f>
      </c>
    </row>
    <row r="165">
      <c r="A165" t="s">
        <v>254</v>
      </c>
      <c r="B165" s="93" t="n">
        <v>2032</v>
      </c>
      <c r="C165" t="s">
        <v>272</v>
      </c>
      <c r="D165" s="94" t="s">
        <v>407</v>
      </c>
      <c r="E165" s="95" t="s">
        <v>408</v>
      </c>
      <c r="F165" s="96" t="s">
        <v>275</v>
      </c>
      <c r="G165" s="97" t="s">
        <v>403</v>
      </c>
      <c r="H165" s="98" t="s">
        <v>396</v>
      </c>
      <c r="I165" s="99" t="n">
        <v>1</v>
      </c>
      <c r="J165" s="100" t="n">
        <v>1</v>
      </c>
      <c r="K165" s="101" t="n">
        <v>0.0077</v>
      </c>
      <c r="L165" s="102" t="n">
        <v>304727120.20394</v>
      </c>
      <c r="M165" s="103" t="n">
        <v>304296909.955394</v>
      </c>
      <c r="N165" s="104" t="str">
        <f>MIN(MAX((B165-'Calculation_Assumptions'!$B$5+1)/'Calculation_Assumptions'!$B$7,0),1)</f>
      </c>
      <c r="O165" s="105" t="str">
        <f>L165*I165</f>
      </c>
      <c r="P165" s="106" t="str">
        <f>M165*I165</f>
      </c>
      <c r="Q165" s="107" t="str">
        <f>P165*'Calculation_Assumptions'!$B$14*J165*K165</f>
      </c>
      <c r="R165" s="108" t="str">
        <f>O165*N165*J165*K165</f>
      </c>
      <c r="S165" s="109" t="str">
        <f>R165-Q165</f>
      </c>
      <c r="T165" s="110" t="str">
        <f>1/(1+'Calculation_Assumptions'!$B$8)^(B165-'Calculation_Assumptions'!$B$2)</f>
      </c>
      <c r="U165" s="111" t="str">
        <f>Q165*T165</f>
      </c>
      <c r="V165" s="112" t="str">
        <f>R165*T165</f>
      </c>
      <c r="W165" s="113" t="str">
        <f>S165*T165</f>
      </c>
      <c r="X165" t="n">
        <v>0</v>
      </c>
      <c r="Y165" s="114" t="n">
        <v>2017</v>
      </c>
      <c r="Z165" t="s">
        <v>399</v>
      </c>
      <c r="AA165" s="115" t="str">
        <f>IF(G165="shared-count-once",COUNTIFS($A$2:$A$287,A165,$B$2:$B$287,B165,$D$2:$D$287,D165),1)</f>
      </c>
      <c r="AB165" s="116" t="n">
        <v>301904628.083541</v>
      </c>
      <c r="AC165" s="117" t="str">
        <f>IF(AB165=0,"",Q165/AB165)</f>
      </c>
      <c r="AD165" s="118" t="str">
        <f>IF(AB165=0,"",R165/AB165)</f>
      </c>
      <c r="AE165" s="119" t="str">
        <f>IF(AB165=0,"",S165/AB165)</f>
      </c>
      <c r="AF165" s="120" t="str">
        <f>IF(AB165=0,"",W165/AB165)</f>
      </c>
    </row>
    <row r="166">
      <c r="A166" t="s">
        <v>254</v>
      </c>
      <c r="B166" s="93" t="n">
        <v>2033</v>
      </c>
      <c r="C166" t="s">
        <v>272</v>
      </c>
      <c r="D166" s="94" t="s">
        <v>407</v>
      </c>
      <c r="E166" s="95" t="s">
        <v>408</v>
      </c>
      <c r="F166" s="96" t="s">
        <v>275</v>
      </c>
      <c r="G166" s="97" t="s">
        <v>403</v>
      </c>
      <c r="H166" s="98" t="s">
        <v>396</v>
      </c>
      <c r="I166" s="99" t="n">
        <v>1</v>
      </c>
      <c r="J166" s="100" t="n">
        <v>1</v>
      </c>
      <c r="K166" s="101" t="n">
        <v>0.0077</v>
      </c>
      <c r="L166" s="102" t="n">
        <v>306398187.625961</v>
      </c>
      <c r="M166" s="103" t="n">
        <v>305990042.260363</v>
      </c>
      <c r="N166" s="104" t="str">
        <f>MIN(MAX((B166-'Calculation_Assumptions'!$B$5+1)/'Calculation_Assumptions'!$B$7,0),1)</f>
      </c>
      <c r="O166" s="105" t="str">
        <f>L166*I166</f>
      </c>
      <c r="P166" s="106" t="str">
        <f>M166*I166</f>
      </c>
      <c r="Q166" s="107" t="str">
        <f>P166*'Calculation_Assumptions'!$B$14*J166*K166</f>
      </c>
      <c r="R166" s="108" t="str">
        <f>O166*N166*J166*K166</f>
      </c>
      <c r="S166" s="109" t="str">
        <f>R166-Q166</f>
      </c>
      <c r="T166" s="110" t="str">
        <f>1/(1+'Calculation_Assumptions'!$B$8)^(B166-'Calculation_Assumptions'!$B$2)</f>
      </c>
      <c r="U166" s="111" t="str">
        <f>Q166*T166</f>
      </c>
      <c r="V166" s="112" t="str">
        <f>R166*T166</f>
      </c>
      <c r="W166" s="113" t="str">
        <f>S166*T166</f>
      </c>
      <c r="X166" t="n">
        <v>0</v>
      </c>
      <c r="Y166" s="114" t="n">
        <v>2017</v>
      </c>
      <c r="Z166" t="s">
        <v>399</v>
      </c>
      <c r="AA166" s="115" t="str">
        <f>IF(G166="shared-count-once",COUNTIFS($A$2:$A$287,A166,$B$2:$B$287,B166,$D$2:$D$287,D166),1)</f>
      </c>
      <c r="AB166" s="116" t="n">
        <v>303644277.16916</v>
      </c>
      <c r="AC166" s="117" t="str">
        <f>IF(AB166=0,"",Q166/AB166)</f>
      </c>
      <c r="AD166" s="118" t="str">
        <f>IF(AB166=0,"",R166/AB166)</f>
      </c>
      <c r="AE166" s="119" t="str">
        <f>IF(AB166=0,"",S166/AB166)</f>
      </c>
      <c r="AF166" s="120" t="str">
        <f>IF(AB166=0,"",W166/AB166)</f>
      </c>
    </row>
    <row r="167">
      <c r="A167" t="s">
        <v>254</v>
      </c>
      <c r="B167" s="93" t="n">
        <v>2034</v>
      </c>
      <c r="C167" t="s">
        <v>272</v>
      </c>
      <c r="D167" s="94" t="s">
        <v>407</v>
      </c>
      <c r="E167" s="95" t="s">
        <v>408</v>
      </c>
      <c r="F167" s="96" t="s">
        <v>275</v>
      </c>
      <c r="G167" s="97" t="s">
        <v>403</v>
      </c>
      <c r="H167" s="98" t="s">
        <v>396</v>
      </c>
      <c r="I167" s="99" t="n">
        <v>1</v>
      </c>
      <c r="J167" s="100" t="n">
        <v>1</v>
      </c>
      <c r="K167" s="101" t="n">
        <v>0.0077</v>
      </c>
      <c r="L167" s="102" t="n">
        <v>308022949.697907</v>
      </c>
      <c r="M167" s="103" t="n">
        <v>307635526.02883</v>
      </c>
      <c r="N167" s="104" t="str">
        <f>MIN(MAX((B167-'Calculation_Assumptions'!$B$5+1)/'Calculation_Assumptions'!$B$7,0),1)</f>
      </c>
      <c r="O167" s="105" t="str">
        <f>L167*I167</f>
      </c>
      <c r="P167" s="106" t="str">
        <f>M167*I167</f>
      </c>
      <c r="Q167" s="107" t="str">
        <f>P167*'Calculation_Assumptions'!$B$14*J167*K167</f>
      </c>
      <c r="R167" s="108" t="str">
        <f>O167*N167*J167*K167</f>
      </c>
      <c r="S167" s="109" t="str">
        <f>R167-Q167</f>
      </c>
      <c r="T167" s="110" t="str">
        <f>1/(1+'Calculation_Assumptions'!$B$8)^(B167-'Calculation_Assumptions'!$B$2)</f>
      </c>
      <c r="U167" s="111" t="str">
        <f>Q167*T167</f>
      </c>
      <c r="V167" s="112" t="str">
        <f>R167*T167</f>
      </c>
      <c r="W167" s="113" t="str">
        <f>S167*T167</f>
      </c>
      <c r="X167" t="n">
        <v>0</v>
      </c>
      <c r="Y167" s="114" t="n">
        <v>2017</v>
      </c>
      <c r="Z167" t="s">
        <v>399</v>
      </c>
      <c r="AA167" s="115" t="str">
        <f>IF(G167="shared-count-once",COUNTIFS($A$2:$A$287,A167,$B$2:$B$287,B167,$D$2:$D$287,D167),1)</f>
      </c>
      <c r="AB167" s="116" t="n">
        <v>305332541.184984</v>
      </c>
      <c r="AC167" s="117" t="str">
        <f>IF(AB167=0,"",Q167/AB167)</f>
      </c>
      <c r="AD167" s="118" t="str">
        <f>IF(AB167=0,"",R167/AB167)</f>
      </c>
      <c r="AE167" s="119" t="str">
        <f>IF(AB167=0,"",S167/AB167)</f>
      </c>
      <c r="AF167" s="120" t="str">
        <f>IF(AB167=0,"",W167/AB167)</f>
      </c>
    </row>
    <row r="168">
      <c r="A168" t="s">
        <v>254</v>
      </c>
      <c r="B168" s="93" t="n">
        <v>2035</v>
      </c>
      <c r="C168" t="s">
        <v>272</v>
      </c>
      <c r="D168" s="94" t="s">
        <v>407</v>
      </c>
      <c r="E168" s="95" t="s">
        <v>408</v>
      </c>
      <c r="F168" s="96" t="s">
        <v>275</v>
      </c>
      <c r="G168" s="97" t="s">
        <v>403</v>
      </c>
      <c r="H168" s="98" t="s">
        <v>396</v>
      </c>
      <c r="I168" s="99" t="n">
        <v>1</v>
      </c>
      <c r="J168" s="100" t="n">
        <v>1</v>
      </c>
      <c r="K168" s="101" t="n">
        <v>0.0077</v>
      </c>
      <c r="L168" s="102" t="n">
        <v>309596915.037711</v>
      </c>
      <c r="M168" s="103" t="n">
        <v>309228183.19713</v>
      </c>
      <c r="N168" s="104" t="str">
        <f>MIN(MAX((B168-'Calculation_Assumptions'!$B$5+1)/'Calculation_Assumptions'!$B$7,0),1)</f>
      </c>
      <c r="O168" s="105" t="str">
        <f>L168*I168</f>
      </c>
      <c r="P168" s="106" t="str">
        <f>M168*I168</f>
      </c>
      <c r="Q168" s="107" t="str">
        <f>P168*'Calculation_Assumptions'!$B$14*J168*K168</f>
      </c>
      <c r="R168" s="108" t="str">
        <f>O168*N168*J168*K168</f>
      </c>
      <c r="S168" s="109" t="str">
        <f>R168-Q168</f>
      </c>
      <c r="T168" s="110" t="str">
        <f>1/(1+'Calculation_Assumptions'!$B$8)^(B168-'Calculation_Assumptions'!$B$2)</f>
      </c>
      <c r="U168" s="111" t="str">
        <f>Q168*T168</f>
      </c>
      <c r="V168" s="112" t="str">
        <f>R168*T168</f>
      </c>
      <c r="W168" s="113" t="str">
        <f>S168*T168</f>
      </c>
      <c r="X168" t="n">
        <v>0</v>
      </c>
      <c r="Y168" s="114" t="n">
        <v>2017</v>
      </c>
      <c r="Z168" t="s">
        <v>399</v>
      </c>
      <c r="AA168" s="115" t="str">
        <f>IF(G168="shared-count-once",COUNTIFS($A$2:$A$287,A168,$B$2:$B$287,B168,$D$2:$D$287,D168),1)</f>
      </c>
      <c r="AB168" s="116" t="n">
        <v>306964650.16712</v>
      </c>
      <c r="AC168" s="117" t="str">
        <f>IF(AB168=0,"",Q168/AB168)</f>
      </c>
      <c r="AD168" s="118" t="str">
        <f>IF(AB168=0,"",R168/AB168)</f>
      </c>
      <c r="AE168" s="119" t="str">
        <f>IF(AB168=0,"",S168/AB168)</f>
      </c>
      <c r="AF168" s="120" t="str">
        <f>IF(AB168=0,"",W168/AB168)</f>
      </c>
    </row>
    <row r="169">
      <c r="A169" t="s">
        <v>254</v>
      </c>
      <c r="B169" s="93" t="n">
        <v>2036</v>
      </c>
      <c r="C169" t="s">
        <v>272</v>
      </c>
      <c r="D169" s="94" t="s">
        <v>407</v>
      </c>
      <c r="E169" s="95" t="s">
        <v>408</v>
      </c>
      <c r="F169" s="96" t="s">
        <v>275</v>
      </c>
      <c r="G169" s="97" t="s">
        <v>403</v>
      </c>
      <c r="H169" s="98" t="s">
        <v>396</v>
      </c>
      <c r="I169" s="99" t="n">
        <v>1</v>
      </c>
      <c r="J169" s="100" t="n">
        <v>1</v>
      </c>
      <c r="K169" s="101" t="n">
        <v>0.0077</v>
      </c>
      <c r="L169" s="102" t="n">
        <v>311105220.504365</v>
      </c>
      <c r="M169" s="103" t="n">
        <v>310769483.46493</v>
      </c>
      <c r="N169" s="104" t="str">
        <f>MIN(MAX((B169-'Calculation_Assumptions'!$B$5+1)/'Calculation_Assumptions'!$B$7,0),1)</f>
      </c>
      <c r="O169" s="105" t="str">
        <f>L169*I169</f>
      </c>
      <c r="P169" s="106" t="str">
        <f>M169*I169</f>
      </c>
      <c r="Q169" s="107" t="str">
        <f>P169*'Calculation_Assumptions'!$B$14*J169*K169</f>
      </c>
      <c r="R169" s="108" t="str">
        <f>O169*N169*J169*K169</f>
      </c>
      <c r="S169" s="109" t="str">
        <f>R169-Q169</f>
      </c>
      <c r="T169" s="110" t="str">
        <f>1/(1+'Calculation_Assumptions'!$B$8)^(B169-'Calculation_Assumptions'!$B$2)</f>
      </c>
      <c r="U169" s="111" t="str">
        <f>Q169*T169</f>
      </c>
      <c r="V169" s="112" t="str">
        <f>R169*T169</f>
      </c>
      <c r="W169" s="113" t="str">
        <f>S169*T169</f>
      </c>
      <c r="X169" t="n">
        <v>0</v>
      </c>
      <c r="Y169" s="114" t="n">
        <v>2017</v>
      </c>
      <c r="Z169" t="s">
        <v>399</v>
      </c>
      <c r="AA169" s="115" t="str">
        <f>IF(G169="shared-count-once",COUNTIFS($A$2:$A$287,A169,$B$2:$B$287,B169,$D$2:$D$287,D169),1)</f>
      </c>
      <c r="AB169" s="116" t="n">
        <v>308542769.756622</v>
      </c>
      <c r="AC169" s="117" t="str">
        <f>IF(AB169=0,"",Q169/AB169)</f>
      </c>
      <c r="AD169" s="118" t="str">
        <f>IF(AB169=0,"",R169/AB169)</f>
      </c>
      <c r="AE169" s="119" t="str">
        <f>IF(AB169=0,"",S169/AB169)</f>
      </c>
      <c r="AF169" s="120" t="str">
        <f>IF(AB169=0,"",W169/AB169)</f>
      </c>
    </row>
    <row r="170">
      <c r="A170" t="s">
        <v>254</v>
      </c>
      <c r="B170" s="93" t="n">
        <v>2037</v>
      </c>
      <c r="C170" t="s">
        <v>272</v>
      </c>
      <c r="D170" s="94" t="s">
        <v>407</v>
      </c>
      <c r="E170" s="95" t="s">
        <v>408</v>
      </c>
      <c r="F170" s="96" t="s">
        <v>275</v>
      </c>
      <c r="G170" s="97" t="s">
        <v>403</v>
      </c>
      <c r="H170" s="98" t="s">
        <v>396</v>
      </c>
      <c r="I170" s="99" t="n">
        <v>1</v>
      </c>
      <c r="J170" s="100" t="n">
        <v>1</v>
      </c>
      <c r="K170" s="101" t="n">
        <v>0.0077</v>
      </c>
      <c r="L170" s="102" t="n">
        <v>312597642.817992</v>
      </c>
      <c r="M170" s="103" t="n">
        <v>312262197.186949</v>
      </c>
      <c r="N170" s="104" t="str">
        <f>MIN(MAX((B170-'Calculation_Assumptions'!$B$5+1)/'Calculation_Assumptions'!$B$7,0),1)</f>
      </c>
      <c r="O170" s="105" t="str">
        <f>L170*I170</f>
      </c>
      <c r="P170" s="106" t="str">
        <f>M170*I170</f>
      </c>
      <c r="Q170" s="107" t="str">
        <f>P170*'Calculation_Assumptions'!$B$14*J170*K170</f>
      </c>
      <c r="R170" s="108" t="str">
        <f>O170*N170*J170*K170</f>
      </c>
      <c r="S170" s="109" t="str">
        <f>R170-Q170</f>
      </c>
      <c r="T170" s="110" t="str">
        <f>1/(1+'Calculation_Assumptions'!$B$8)^(B170-'Calculation_Assumptions'!$B$2)</f>
      </c>
      <c r="U170" s="111" t="str">
        <f>Q170*T170</f>
      </c>
      <c r="V170" s="112" t="str">
        <f>R170*T170</f>
      </c>
      <c r="W170" s="113" t="str">
        <f>S170*T170</f>
      </c>
      <c r="X170" t="n">
        <v>0</v>
      </c>
      <c r="Y170" s="114" t="n">
        <v>2017</v>
      </c>
      <c r="Z170" t="s">
        <v>399</v>
      </c>
      <c r="AA170" s="115" t="str">
        <f>IF(G170="shared-count-once",COUNTIFS($A$2:$A$287,A170,$B$2:$B$287,B170,$D$2:$D$287,D170),1)</f>
      </c>
      <c r="AB170" s="116" t="n">
        <v>310068287.63643</v>
      </c>
      <c r="AC170" s="117" t="str">
        <f>IF(AB170=0,"",Q170/AB170)</f>
      </c>
      <c r="AD170" s="118" t="str">
        <f>IF(AB170=0,"",R170/AB170)</f>
      </c>
      <c r="AE170" s="119" t="str">
        <f>IF(AB170=0,"",S170/AB170)</f>
      </c>
      <c r="AF170" s="120" t="str">
        <f>IF(AB170=0,"",W170/AB170)</f>
      </c>
    </row>
    <row r="171">
      <c r="A171" t="s">
        <v>254</v>
      </c>
      <c r="B171" s="93" t="n">
        <v>2038</v>
      </c>
      <c r="C171" t="s">
        <v>272</v>
      </c>
      <c r="D171" s="94" t="s">
        <v>407</v>
      </c>
      <c r="E171" s="95" t="s">
        <v>408</v>
      </c>
      <c r="F171" s="96" t="s">
        <v>275</v>
      </c>
      <c r="G171" s="97" t="s">
        <v>403</v>
      </c>
      <c r="H171" s="98" t="s">
        <v>396</v>
      </c>
      <c r="I171" s="99" t="n">
        <v>1</v>
      </c>
      <c r="J171" s="100" t="n">
        <v>1</v>
      </c>
      <c r="K171" s="101" t="n">
        <v>0.0077</v>
      </c>
      <c r="L171" s="102" t="n">
        <v>314064614.616445</v>
      </c>
      <c r="M171" s="103" t="n">
        <v>313730463.490198</v>
      </c>
      <c r="N171" s="104" t="str">
        <f>MIN(MAX((B171-'Calculation_Assumptions'!$B$5+1)/'Calculation_Assumptions'!$B$7,0),1)</f>
      </c>
      <c r="O171" s="105" t="str">
        <f>L171*I171</f>
      </c>
      <c r="P171" s="106" t="str">
        <f>M171*I171</f>
      </c>
      <c r="Q171" s="107" t="str">
        <f>P171*'Calculation_Assumptions'!$B$14*J171*K171</f>
      </c>
      <c r="R171" s="108" t="str">
        <f>O171*N171*J171*K171</f>
      </c>
      <c r="S171" s="109" t="str">
        <f>R171-Q171</f>
      </c>
      <c r="T171" s="110" t="str">
        <f>1/(1+'Calculation_Assumptions'!$B$8)^(B171-'Calculation_Assumptions'!$B$2)</f>
      </c>
      <c r="U171" s="111" t="str">
        <f>Q171*T171</f>
      </c>
      <c r="V171" s="112" t="str">
        <f>R171*T171</f>
      </c>
      <c r="W171" s="113" t="str">
        <f>S171*T171</f>
      </c>
      <c r="X171" t="n">
        <v>0</v>
      </c>
      <c r="Y171" s="114" t="n">
        <v>2017</v>
      </c>
      <c r="Z171" t="s">
        <v>399</v>
      </c>
      <c r="AA171" s="115" t="str">
        <f>IF(G171="shared-count-once",COUNTIFS($A$2:$A$287,A171,$B$2:$B$287,B171,$D$2:$D$287,D171),1)</f>
      </c>
      <c r="AB171" s="116" t="n">
        <v>311532999.13163</v>
      </c>
      <c r="AC171" s="117" t="str">
        <f>IF(AB171=0,"",Q171/AB171)</f>
      </c>
      <c r="AD171" s="118" t="str">
        <f>IF(AB171=0,"",R171/AB171)</f>
      </c>
      <c r="AE171" s="119" t="str">
        <f>IF(AB171=0,"",S171/AB171)</f>
      </c>
      <c r="AF171" s="120" t="str">
        <f>IF(AB171=0,"",W171/AB171)</f>
      </c>
    </row>
    <row r="172">
      <c r="A172" t="s">
        <v>254</v>
      </c>
      <c r="B172" s="93" t="n">
        <v>2039</v>
      </c>
      <c r="C172" t="s">
        <v>272</v>
      </c>
      <c r="D172" s="94" t="s">
        <v>407</v>
      </c>
      <c r="E172" s="95" t="s">
        <v>408</v>
      </c>
      <c r="F172" s="96" t="s">
        <v>275</v>
      </c>
      <c r="G172" s="97" t="s">
        <v>403</v>
      </c>
      <c r="H172" s="98" t="s">
        <v>396</v>
      </c>
      <c r="I172" s="99" t="n">
        <v>1</v>
      </c>
      <c r="J172" s="100" t="n">
        <v>1</v>
      </c>
      <c r="K172" s="101" t="n">
        <v>0.0077</v>
      </c>
      <c r="L172" s="102" t="n">
        <v>315451608.170524</v>
      </c>
      <c r="M172" s="103" t="n">
        <v>315115398.935154</v>
      </c>
      <c r="N172" s="104" t="str">
        <f>MIN(MAX((B172-'Calculation_Assumptions'!$B$5+1)/'Calculation_Assumptions'!$B$7,0),1)</f>
      </c>
      <c r="O172" s="105" t="str">
        <f>L172*I172</f>
      </c>
      <c r="P172" s="106" t="str">
        <f>M172*I172</f>
      </c>
      <c r="Q172" s="107" t="str">
        <f>P172*'Calculation_Assumptions'!$B$14*J172*K172</f>
      </c>
      <c r="R172" s="108" t="str">
        <f>O172*N172*J172*K172</f>
      </c>
      <c r="S172" s="109" t="str">
        <f>R172-Q172</f>
      </c>
      <c r="T172" s="110" t="str">
        <f>1/(1+'Calculation_Assumptions'!$B$8)^(B172-'Calculation_Assumptions'!$B$2)</f>
      </c>
      <c r="U172" s="111" t="str">
        <f>Q172*T172</f>
      </c>
      <c r="V172" s="112" t="str">
        <f>R172*T172</f>
      </c>
      <c r="W172" s="113" t="str">
        <f>S172*T172</f>
      </c>
      <c r="X172" t="n">
        <v>0</v>
      </c>
      <c r="Y172" s="114" t="n">
        <v>2017</v>
      </c>
      <c r="Z172" t="s">
        <v>399</v>
      </c>
      <c r="AA172" s="115" t="str">
        <f>IF(G172="shared-count-once",COUNTIFS($A$2:$A$287,A172,$B$2:$B$287,B172,$D$2:$D$287,D172),1)</f>
      </c>
      <c r="AB172" s="116" t="n">
        <v>312936391.858479</v>
      </c>
      <c r="AC172" s="117" t="str">
        <f>IF(AB172=0,"",Q172/AB172)</f>
      </c>
      <c r="AD172" s="118" t="str">
        <f>IF(AB172=0,"",R172/AB172)</f>
      </c>
      <c r="AE172" s="119" t="str">
        <f>IF(AB172=0,"",S172/AB172)</f>
      </c>
      <c r="AF172" s="120" t="str">
        <f>IF(AB172=0,"",W172/AB172)</f>
      </c>
    </row>
    <row r="173">
      <c r="A173" t="s">
        <v>254</v>
      </c>
      <c r="B173" s="93" t="n">
        <v>2040</v>
      </c>
      <c r="C173" t="s">
        <v>272</v>
      </c>
      <c r="D173" s="94" t="s">
        <v>407</v>
      </c>
      <c r="E173" s="95" t="s">
        <v>408</v>
      </c>
      <c r="F173" s="96" t="s">
        <v>275</v>
      </c>
      <c r="G173" s="97" t="s">
        <v>403</v>
      </c>
      <c r="H173" s="98" t="s">
        <v>396</v>
      </c>
      <c r="I173" s="99" t="n">
        <v>1</v>
      </c>
      <c r="J173" s="100" t="n">
        <v>1</v>
      </c>
      <c r="K173" s="101" t="n">
        <v>0.0077</v>
      </c>
      <c r="L173" s="102" t="n">
        <v>316770504.248567</v>
      </c>
      <c r="M173" s="103" t="n">
        <v>316427530.0167</v>
      </c>
      <c r="N173" s="104" t="str">
        <f>MIN(MAX((B173-'Calculation_Assumptions'!$B$5+1)/'Calculation_Assumptions'!$B$7,0),1)</f>
      </c>
      <c r="O173" s="105" t="str">
        <f>L173*I173</f>
      </c>
      <c r="P173" s="106" t="str">
        <f>M173*I173</f>
      </c>
      <c r="Q173" s="107" t="str">
        <f>P173*'Calculation_Assumptions'!$B$14*J173*K173</f>
      </c>
      <c r="R173" s="108" t="str">
        <f>O173*N173*J173*K173</f>
      </c>
      <c r="S173" s="109" t="str">
        <f>R173-Q173</f>
      </c>
      <c r="T173" s="110" t="str">
        <f>1/(1+'Calculation_Assumptions'!$B$8)^(B173-'Calculation_Assumptions'!$B$2)</f>
      </c>
      <c r="U173" s="111" t="str">
        <f>Q173*T173</f>
      </c>
      <c r="V173" s="112" t="str">
        <f>R173*T173</f>
      </c>
      <c r="W173" s="113" t="str">
        <f>S173*T173</f>
      </c>
      <c r="X173" t="n">
        <v>0</v>
      </c>
      <c r="Y173" s="114" t="n">
        <v>2017</v>
      </c>
      <c r="Z173" t="s">
        <v>399</v>
      </c>
      <c r="AA173" s="115" t="str">
        <f>IF(G173="shared-count-once",COUNTIFS($A$2:$A$287,A173,$B$2:$B$287,B173,$D$2:$D$287,D173),1)</f>
      </c>
      <c r="AB173" s="116" t="n">
        <v>314265537.410829</v>
      </c>
      <c r="AC173" s="117" t="str">
        <f>IF(AB173=0,"",Q173/AB173)</f>
      </c>
      <c r="AD173" s="118" t="str">
        <f>IF(AB173=0,"",R173/AB173)</f>
      </c>
      <c r="AE173" s="119" t="str">
        <f>IF(AB173=0,"",S173/AB173)</f>
      </c>
      <c r="AF173" s="120" t="str">
        <f>IF(AB173=0,"",W173/AB173)</f>
      </c>
    </row>
    <row r="174">
      <c r="A174" t="s">
        <v>254</v>
      </c>
      <c r="B174" s="93" t="n">
        <v>2041</v>
      </c>
      <c r="C174" t="s">
        <v>272</v>
      </c>
      <c r="D174" s="94" t="s">
        <v>407</v>
      </c>
      <c r="E174" s="95" t="s">
        <v>408</v>
      </c>
      <c r="F174" s="96" t="s">
        <v>275</v>
      </c>
      <c r="G174" s="97" t="s">
        <v>403</v>
      </c>
      <c r="H174" s="98" t="s">
        <v>396</v>
      </c>
      <c r="I174" s="99" t="n">
        <v>1</v>
      </c>
      <c r="J174" s="100" t="n">
        <v>1</v>
      </c>
      <c r="K174" s="101" t="n">
        <v>0.0077</v>
      </c>
      <c r="L174" s="102" t="n">
        <v>318025623.614346</v>
      </c>
      <c r="M174" s="103" t="n">
        <v>317614843.247219</v>
      </c>
      <c r="N174" s="104" t="str">
        <f>MIN(MAX((B174-'Calculation_Assumptions'!$B$5+1)/'Calculation_Assumptions'!$B$7,0),1)</f>
      </c>
      <c r="O174" s="105" t="str">
        <f>L174*I174</f>
      </c>
      <c r="P174" s="106" t="str">
        <f>M174*I174</f>
      </c>
      <c r="Q174" s="107" t="str">
        <f>P174*'Calculation_Assumptions'!$B$14*J174*K174</f>
      </c>
      <c r="R174" s="108" t="str">
        <f>O174*N174*J174*K174</f>
      </c>
      <c r="S174" s="109" t="str">
        <f>R174-Q174</f>
      </c>
      <c r="T174" s="110" t="str">
        <f>1/(1+'Calculation_Assumptions'!$B$8)^(B174-'Calculation_Assumptions'!$B$2)</f>
      </c>
      <c r="U174" s="111" t="str">
        <f>Q174*T174</f>
      </c>
      <c r="V174" s="112" t="str">
        <f>R174*T174</f>
      </c>
      <c r="W174" s="113" t="str">
        <f>S174*T174</f>
      </c>
      <c r="X174" t="n">
        <v>0</v>
      </c>
      <c r="Y174" s="114" t="n">
        <v>2017</v>
      </c>
      <c r="Z174" t="s">
        <v>399</v>
      </c>
      <c r="AA174" s="115" t="str">
        <f>IF(G174="shared-count-once",COUNTIFS($A$2:$A$287,A174,$B$2:$B$287,B174,$D$2:$D$287,D174),1)</f>
      </c>
      <c r="AB174" s="116" t="n">
        <v>315525215.312548</v>
      </c>
      <c r="AC174" s="117" t="str">
        <f>IF(AB174=0,"",Q174/AB174)</f>
      </c>
      <c r="AD174" s="118" t="str">
        <f>IF(AB174=0,"",R174/AB174)</f>
      </c>
      <c r="AE174" s="119" t="str">
        <f>IF(AB174=0,"",S174/AB174)</f>
      </c>
      <c r="AF174" s="120" t="str">
        <f>IF(AB174=0,"",W174/AB174)</f>
      </c>
    </row>
    <row r="175">
      <c r="A175" t="s">
        <v>254</v>
      </c>
      <c r="B175" s="93" t="n">
        <v>2042</v>
      </c>
      <c r="C175" t="s">
        <v>272</v>
      </c>
      <c r="D175" s="94" t="s">
        <v>407</v>
      </c>
      <c r="E175" s="95" t="s">
        <v>408</v>
      </c>
      <c r="F175" s="96" t="s">
        <v>275</v>
      </c>
      <c r="G175" s="97" t="s">
        <v>403</v>
      </c>
      <c r="H175" s="98" t="s">
        <v>396</v>
      </c>
      <c r="I175" s="99" t="n">
        <v>1</v>
      </c>
      <c r="J175" s="100" t="n">
        <v>1</v>
      </c>
      <c r="K175" s="101" t="n">
        <v>0.0077</v>
      </c>
      <c r="L175" s="102" t="n">
        <v>319205758.507508</v>
      </c>
      <c r="M175" s="103" t="n">
        <v>318781045.920738</v>
      </c>
      <c r="N175" s="104" t="str">
        <f>MIN(MAX((B175-'Calculation_Assumptions'!$B$5+1)/'Calculation_Assumptions'!$B$7,0),1)</f>
      </c>
      <c r="O175" s="105" t="str">
        <f>L175*I175</f>
      </c>
      <c r="P175" s="106" t="str">
        <f>M175*I175</f>
      </c>
      <c r="Q175" s="107" t="str">
        <f>P175*'Calculation_Assumptions'!$B$14*J175*K175</f>
      </c>
      <c r="R175" s="108" t="str">
        <f>O175*N175*J175*K175</f>
      </c>
      <c r="S175" s="109" t="str">
        <f>R175-Q175</f>
      </c>
      <c r="T175" s="110" t="str">
        <f>1/(1+'Calculation_Assumptions'!$B$8)^(B175-'Calculation_Assumptions'!$B$2)</f>
      </c>
      <c r="U175" s="111" t="str">
        <f>Q175*T175</f>
      </c>
      <c r="V175" s="112" t="str">
        <f>R175*T175</f>
      </c>
      <c r="W175" s="113" t="str">
        <f>S175*T175</f>
      </c>
      <c r="X175" t="n">
        <v>0</v>
      </c>
      <c r="Y175" s="114" t="n">
        <v>2017</v>
      </c>
      <c r="Z175" t="s">
        <v>399</v>
      </c>
      <c r="AA175" s="115" t="str">
        <f>IF(G175="shared-count-once",COUNTIFS($A$2:$A$287,A175,$B$2:$B$287,B175,$D$2:$D$287,D175),1)</f>
      </c>
      <c r="AB175" s="116" t="n">
        <v>316707694.211882</v>
      </c>
      <c r="AC175" s="117" t="str">
        <f>IF(AB175=0,"",Q175/AB175)</f>
      </c>
      <c r="AD175" s="118" t="str">
        <f>IF(AB175=0,"",R175/AB175)</f>
      </c>
      <c r="AE175" s="119" t="str">
        <f>IF(AB175=0,"",S175/AB175)</f>
      </c>
      <c r="AF175" s="120" t="str">
        <f>IF(AB175=0,"",W175/AB175)</f>
      </c>
    </row>
    <row r="176">
      <c r="A176" t="s">
        <v>254</v>
      </c>
      <c r="B176" s="93" t="n">
        <v>2043</v>
      </c>
      <c r="C176" t="s">
        <v>272</v>
      </c>
      <c r="D176" s="94" t="s">
        <v>407</v>
      </c>
      <c r="E176" s="95" t="s">
        <v>408</v>
      </c>
      <c r="F176" s="96" t="s">
        <v>275</v>
      </c>
      <c r="G176" s="97" t="s">
        <v>403</v>
      </c>
      <c r="H176" s="98" t="s">
        <v>396</v>
      </c>
      <c r="I176" s="99" t="n">
        <v>1</v>
      </c>
      <c r="J176" s="100" t="n">
        <v>1</v>
      </c>
      <c r="K176" s="101" t="n">
        <v>0.0077</v>
      </c>
      <c r="L176" s="102" t="n">
        <v>320317851.188967</v>
      </c>
      <c r="M176" s="103" t="n">
        <v>319872275.594712</v>
      </c>
      <c r="N176" s="104" t="str">
        <f>MIN(MAX((B176-'Calculation_Assumptions'!$B$5+1)/'Calculation_Assumptions'!$B$7,0),1)</f>
      </c>
      <c r="O176" s="105" t="str">
        <f>L176*I176</f>
      </c>
      <c r="P176" s="106" t="str">
        <f>M176*I176</f>
      </c>
      <c r="Q176" s="107" t="str">
        <f>P176*'Calculation_Assumptions'!$B$14*J176*K176</f>
      </c>
      <c r="R176" s="108" t="str">
        <f>O176*N176*J176*K176</f>
      </c>
      <c r="S176" s="109" t="str">
        <f>R176-Q176</f>
      </c>
      <c r="T176" s="110" t="str">
        <f>1/(1+'Calculation_Assumptions'!$B$8)^(B176-'Calculation_Assumptions'!$B$2)</f>
      </c>
      <c r="U176" s="111" t="str">
        <f>Q176*T176</f>
      </c>
      <c r="V176" s="112" t="str">
        <f>R176*T176</f>
      </c>
      <c r="W176" s="113" t="str">
        <f>S176*T176</f>
      </c>
      <c r="X176" t="n">
        <v>0</v>
      </c>
      <c r="Y176" s="114" t="n">
        <v>2017</v>
      </c>
      <c r="Z176" t="s">
        <v>399</v>
      </c>
      <c r="AA176" s="115" t="str">
        <f>IF(G176="shared-count-once",COUNTIFS($A$2:$A$287,A176,$B$2:$B$287,B176,$D$2:$D$287,D176),1)</f>
      </c>
      <c r="AB176" s="116" t="n">
        <v>317814114.067152</v>
      </c>
      <c r="AC176" s="117" t="str">
        <f>IF(AB176=0,"",Q176/AB176)</f>
      </c>
      <c r="AD176" s="118" t="str">
        <f>IF(AB176=0,"",R176/AB176)</f>
      </c>
      <c r="AE176" s="119" t="str">
        <f>IF(AB176=0,"",S176/AB176)</f>
      </c>
      <c r="AF176" s="120" t="str">
        <f>IF(AB176=0,"",W176/AB176)</f>
      </c>
    </row>
    <row r="177">
      <c r="A177" t="s">
        <v>254</v>
      </c>
      <c r="B177" s="93" t="n">
        <v>2044</v>
      </c>
      <c r="C177" t="s">
        <v>272</v>
      </c>
      <c r="D177" s="94" t="s">
        <v>407</v>
      </c>
      <c r="E177" s="95" t="s">
        <v>408</v>
      </c>
      <c r="F177" s="96" t="s">
        <v>275</v>
      </c>
      <c r="G177" s="97" t="s">
        <v>403</v>
      </c>
      <c r="H177" s="98" t="s">
        <v>396</v>
      </c>
      <c r="I177" s="99" t="n">
        <v>1</v>
      </c>
      <c r="J177" s="100" t="n">
        <v>1</v>
      </c>
      <c r="K177" s="101" t="n">
        <v>0.0077</v>
      </c>
      <c r="L177" s="102" t="n">
        <v>321272254.924434</v>
      </c>
      <c r="M177" s="103" t="n">
        <v>320897722.542069</v>
      </c>
      <c r="N177" s="104" t="str">
        <f>MIN(MAX((B177-'Calculation_Assumptions'!$B$5+1)/'Calculation_Assumptions'!$B$7,0),1)</f>
      </c>
      <c r="O177" s="105" t="str">
        <f>L177*I177</f>
      </c>
      <c r="P177" s="106" t="str">
        <f>M177*I177</f>
      </c>
      <c r="Q177" s="107" t="str">
        <f>P177*'Calculation_Assumptions'!$B$14*J177*K177</f>
      </c>
      <c r="R177" s="108" t="str">
        <f>O177*N177*J177*K177</f>
      </c>
      <c r="S177" s="109" t="str">
        <f>R177-Q177</f>
      </c>
      <c r="T177" s="110" t="str">
        <f>1/(1+'Calculation_Assumptions'!$B$8)^(B177-'Calculation_Assumptions'!$B$2)</f>
      </c>
      <c r="U177" s="111" t="str">
        <f>Q177*T177</f>
      </c>
      <c r="V177" s="112" t="str">
        <f>R177*T177</f>
      </c>
      <c r="W177" s="113" t="str">
        <f>S177*T177</f>
      </c>
      <c r="X177" t="n">
        <v>0</v>
      </c>
      <c r="Y177" s="114" t="n">
        <v>2017</v>
      </c>
      <c r="Z177" t="s">
        <v>399</v>
      </c>
      <c r="AA177" s="115" t="str">
        <f>IF(G177="shared-count-once",COUNTIFS($A$2:$A$287,A177,$B$2:$B$287,B177,$D$2:$D$287,D177),1)</f>
      </c>
      <c r="AB177" s="116" t="n">
        <v>318840890.732156</v>
      </c>
      <c r="AC177" s="117" t="str">
        <f>IF(AB177=0,"",Q177/AB177)</f>
      </c>
      <c r="AD177" s="118" t="str">
        <f>IF(AB177=0,"",R177/AB177)</f>
      </c>
      <c r="AE177" s="119" t="str">
        <f>IF(AB177=0,"",S177/AB177)</f>
      </c>
      <c r="AF177" s="120" t="str">
        <f>IF(AB177=0,"",W177/AB177)</f>
      </c>
    </row>
    <row r="178">
      <c r="A178" t="s">
        <v>254</v>
      </c>
      <c r="B178" s="93" t="n">
        <v>2045</v>
      </c>
      <c r="C178" t="s">
        <v>272</v>
      </c>
      <c r="D178" s="94" t="s">
        <v>407</v>
      </c>
      <c r="E178" s="95" t="s">
        <v>408</v>
      </c>
      <c r="F178" s="96" t="s">
        <v>275</v>
      </c>
      <c r="G178" s="97" t="s">
        <v>403</v>
      </c>
      <c r="H178" s="98" t="s">
        <v>396</v>
      </c>
      <c r="I178" s="99" t="n">
        <v>1</v>
      </c>
      <c r="J178" s="100" t="n">
        <v>1</v>
      </c>
      <c r="K178" s="101" t="n">
        <v>0.0077</v>
      </c>
      <c r="L178" s="102" t="n">
        <v>322247023.509598</v>
      </c>
      <c r="M178" s="103" t="n">
        <v>321832323.778944</v>
      </c>
      <c r="N178" s="104" t="str">
        <f>MIN(MAX((B178-'Calculation_Assumptions'!$B$5+1)/'Calculation_Assumptions'!$B$7,0),1)</f>
      </c>
      <c r="O178" s="105" t="str">
        <f>L178*I178</f>
      </c>
      <c r="P178" s="106" t="str">
        <f>M178*I178</f>
      </c>
      <c r="Q178" s="107" t="str">
        <f>P178*'Calculation_Assumptions'!$B$14*J178*K178</f>
      </c>
      <c r="R178" s="108" t="str">
        <f>O178*N178*J178*K178</f>
      </c>
      <c r="S178" s="109" t="str">
        <f>R178-Q178</f>
      </c>
      <c r="T178" s="110" t="str">
        <f>1/(1+'Calculation_Assumptions'!$B$8)^(B178-'Calculation_Assumptions'!$B$2)</f>
      </c>
      <c r="U178" s="111" t="str">
        <f>Q178*T178</f>
      </c>
      <c r="V178" s="112" t="str">
        <f>R178*T178</f>
      </c>
      <c r="W178" s="113" t="str">
        <f>S178*T178</f>
      </c>
      <c r="X178" t="n">
        <v>0</v>
      </c>
      <c r="Y178" s="114" t="n">
        <v>2017</v>
      </c>
      <c r="Z178" t="s">
        <v>399</v>
      </c>
      <c r="AA178" s="115" t="str">
        <f>IF(G178="shared-count-once",COUNTIFS($A$2:$A$287,A178,$B$2:$B$287,B178,$D$2:$D$287,D178),1)</f>
      </c>
      <c r="AB178" s="116" t="n">
        <v>319784682.33108</v>
      </c>
      <c r="AC178" s="117" t="str">
        <f>IF(AB178=0,"",Q178/AB178)</f>
      </c>
      <c r="AD178" s="118" t="str">
        <f>IF(AB178=0,"",R178/AB178)</f>
      </c>
      <c r="AE178" s="119" t="str">
        <f>IF(AB178=0,"",S178/AB178)</f>
      </c>
      <c r="AF178" s="120" t="str">
        <f>IF(AB178=0,"",W178/AB178)</f>
      </c>
    </row>
    <row r="179">
      <c r="A179" t="s">
        <v>254</v>
      </c>
      <c r="B179" s="93" t="n">
        <v>2046</v>
      </c>
      <c r="C179" t="s">
        <v>272</v>
      </c>
      <c r="D179" s="94" t="s">
        <v>407</v>
      </c>
      <c r="E179" s="95" t="s">
        <v>408</v>
      </c>
      <c r="F179" s="96" t="s">
        <v>275</v>
      </c>
      <c r="G179" s="97" t="s">
        <v>403</v>
      </c>
      <c r="H179" s="98" t="s">
        <v>396</v>
      </c>
      <c r="I179" s="99" t="n">
        <v>1</v>
      </c>
      <c r="J179" s="100" t="n">
        <v>1</v>
      </c>
      <c r="K179" s="101" t="n">
        <v>0.0077</v>
      </c>
      <c r="L179" s="102" t="n">
        <v>323090552.011921</v>
      </c>
      <c r="M179" s="103" t="n">
        <v>322683379.427444</v>
      </c>
      <c r="N179" s="104" t="str">
        <f>MIN(MAX((B179-'Calculation_Assumptions'!$B$5+1)/'Calculation_Assumptions'!$B$7,0),1)</f>
      </c>
      <c r="O179" s="105" t="str">
        <f>L179*I179</f>
      </c>
      <c r="P179" s="106" t="str">
        <f>M179*I179</f>
      </c>
      <c r="Q179" s="107" t="str">
        <f>P179*'Calculation_Assumptions'!$B$14*J179*K179</f>
      </c>
      <c r="R179" s="108" t="str">
        <f>O179*N179*J179*K179</f>
      </c>
      <c r="S179" s="109" t="str">
        <f>R179-Q179</f>
      </c>
      <c r="T179" s="110" t="str">
        <f>1/(1+'Calculation_Assumptions'!$B$8)^(B179-'Calculation_Assumptions'!$B$2)</f>
      </c>
      <c r="U179" s="111" t="str">
        <f>Q179*T179</f>
      </c>
      <c r="V179" s="112" t="str">
        <f>R179*T179</f>
      </c>
      <c r="W179" s="113" t="str">
        <f>S179*T179</f>
      </c>
      <c r="X179" t="n">
        <v>0</v>
      </c>
      <c r="Y179" s="114" t="n">
        <v>2017</v>
      </c>
      <c r="Z179" t="s">
        <v>399</v>
      </c>
      <c r="AA179" s="115" t="str">
        <f>IF(G179="shared-count-once",COUNTIFS($A$2:$A$287,A179,$B$2:$B$287,B179,$D$2:$D$287,D179),1)</f>
      </c>
      <c r="AB179" s="116" t="n">
        <v>320645615.981408</v>
      </c>
      <c r="AC179" s="117" t="str">
        <f>IF(AB179=0,"",Q179/AB179)</f>
      </c>
      <c r="AD179" s="118" t="str">
        <f>IF(AB179=0,"",R179/AB179)</f>
      </c>
      <c r="AE179" s="119" t="str">
        <f>IF(AB179=0,"",S179/AB179)</f>
      </c>
      <c r="AF179" s="120" t="str">
        <f>IF(AB179=0,"",W179/AB179)</f>
      </c>
    </row>
    <row r="180">
      <c r="A180" t="s">
        <v>254</v>
      </c>
      <c r="B180" s="93" t="n">
        <v>2047</v>
      </c>
      <c r="C180" t="s">
        <v>272</v>
      </c>
      <c r="D180" s="94" t="s">
        <v>407</v>
      </c>
      <c r="E180" s="95" t="s">
        <v>408</v>
      </c>
      <c r="F180" s="96" t="s">
        <v>275</v>
      </c>
      <c r="G180" s="97" t="s">
        <v>403</v>
      </c>
      <c r="H180" s="98" t="s">
        <v>396</v>
      </c>
      <c r="I180" s="99" t="n">
        <v>1</v>
      </c>
      <c r="J180" s="100" t="n">
        <v>1</v>
      </c>
      <c r="K180" s="101" t="n">
        <v>0.0077</v>
      </c>
      <c r="L180" s="102" t="n">
        <v>323899073.855135</v>
      </c>
      <c r="M180" s="103" t="n">
        <v>323457177.765372</v>
      </c>
      <c r="N180" s="104" t="str">
        <f>MIN(MAX((B180-'Calculation_Assumptions'!$B$5+1)/'Calculation_Assumptions'!$B$7,0),1)</f>
      </c>
      <c r="O180" s="105" t="str">
        <f>L180*I180</f>
      </c>
      <c r="P180" s="106" t="str">
        <f>M180*I180</f>
      </c>
      <c r="Q180" s="107" t="str">
        <f>P180*'Calculation_Assumptions'!$B$14*J180*K180</f>
      </c>
      <c r="R180" s="108" t="str">
        <f>O180*N180*J180*K180</f>
      </c>
      <c r="S180" s="109" t="str">
        <f>R180-Q180</f>
      </c>
      <c r="T180" s="110" t="str">
        <f>1/(1+'Calculation_Assumptions'!$B$8)^(B180-'Calculation_Assumptions'!$B$2)</f>
      </c>
      <c r="U180" s="111" t="str">
        <f>Q180*T180</f>
      </c>
      <c r="V180" s="112" t="str">
        <f>R180*T180</f>
      </c>
      <c r="W180" s="113" t="str">
        <f>S180*T180</f>
      </c>
      <c r="X180" t="n">
        <v>0</v>
      </c>
      <c r="Y180" s="114" t="n">
        <v>2017</v>
      </c>
      <c r="Z180" t="s">
        <v>399</v>
      </c>
      <c r="AA180" s="115" t="str">
        <f>IF(G180="shared-count-once",COUNTIFS($A$2:$A$287,A180,$B$2:$B$287,B180,$D$2:$D$287,D180),1)</f>
      </c>
      <c r="AB180" s="116" t="n">
        <v>321429520.522875</v>
      </c>
      <c r="AC180" s="117" t="str">
        <f>IF(AB180=0,"",Q180/AB180)</f>
      </c>
      <c r="AD180" s="118" t="str">
        <f>IF(AB180=0,"",R180/AB180)</f>
      </c>
      <c r="AE180" s="119" t="str">
        <f>IF(AB180=0,"",S180/AB180)</f>
      </c>
      <c r="AF180" s="120" t="str">
        <f>IF(AB180=0,"",W180/AB180)</f>
      </c>
    </row>
    <row r="181">
      <c r="A181" t="s">
        <v>254</v>
      </c>
      <c r="B181" s="93" t="n">
        <v>2048</v>
      </c>
      <c r="C181" t="s">
        <v>272</v>
      </c>
      <c r="D181" s="94" t="s">
        <v>407</v>
      </c>
      <c r="E181" s="95" t="s">
        <v>408</v>
      </c>
      <c r="F181" s="96" t="s">
        <v>275</v>
      </c>
      <c r="G181" s="97" t="s">
        <v>403</v>
      </c>
      <c r="H181" s="98" t="s">
        <v>396</v>
      </c>
      <c r="I181" s="99" t="n">
        <v>1</v>
      </c>
      <c r="J181" s="100" t="n">
        <v>1</v>
      </c>
      <c r="K181" s="101" t="n">
        <v>0.0077</v>
      </c>
      <c r="L181" s="102" t="n">
        <v>324619303.132713</v>
      </c>
      <c r="M181" s="103" t="n">
        <v>324153264.068833</v>
      </c>
      <c r="N181" s="104" t="str">
        <f>MIN(MAX((B181-'Calculation_Assumptions'!$B$5+1)/'Calculation_Assumptions'!$B$7,0),1)</f>
      </c>
      <c r="O181" s="105" t="str">
        <f>L181*I181</f>
      </c>
      <c r="P181" s="106" t="str">
        <f>M181*I181</f>
      </c>
      <c r="Q181" s="107" t="str">
        <f>P181*'Calculation_Assumptions'!$B$14*J181*K181</f>
      </c>
      <c r="R181" s="108" t="str">
        <f>O181*N181*J181*K181</f>
      </c>
      <c r="S181" s="109" t="str">
        <f>R181-Q181</f>
      </c>
      <c r="T181" s="110" t="str">
        <f>1/(1+'Calculation_Assumptions'!$B$8)^(B181-'Calculation_Assumptions'!$B$2)</f>
      </c>
      <c r="U181" s="111" t="str">
        <f>Q181*T181</f>
      </c>
      <c r="V181" s="112" t="str">
        <f>R181*T181</f>
      </c>
      <c r="W181" s="113" t="str">
        <f>S181*T181</f>
      </c>
      <c r="X181" t="n">
        <v>0</v>
      </c>
      <c r="Y181" s="114" t="n">
        <v>2017</v>
      </c>
      <c r="Z181" t="s">
        <v>399</v>
      </c>
      <c r="AA181" s="115" t="str">
        <f>IF(G181="shared-count-once",COUNTIFS($A$2:$A$287,A181,$B$2:$B$287,B181,$D$2:$D$287,D181),1)</f>
      </c>
      <c r="AB181" s="116" t="n">
        <v>322136832.260161</v>
      </c>
      <c r="AC181" s="117" t="str">
        <f>IF(AB181=0,"",Q181/AB181)</f>
      </c>
      <c r="AD181" s="118" t="str">
        <f>IF(AB181=0,"",R181/AB181)</f>
      </c>
      <c r="AE181" s="119" t="str">
        <f>IF(AB181=0,"",S181/AB181)</f>
      </c>
      <c r="AF181" s="120" t="str">
        <f>IF(AB181=0,"",W181/AB181)</f>
      </c>
    </row>
    <row r="182">
      <c r="A182" t="s">
        <v>254</v>
      </c>
      <c r="B182" s="93" t="n">
        <v>2049</v>
      </c>
      <c r="C182" t="s">
        <v>272</v>
      </c>
      <c r="D182" s="94" t="s">
        <v>407</v>
      </c>
      <c r="E182" s="95" t="s">
        <v>408</v>
      </c>
      <c r="F182" s="96" t="s">
        <v>275</v>
      </c>
      <c r="G182" s="97" t="s">
        <v>403</v>
      </c>
      <c r="H182" s="98" t="s">
        <v>396</v>
      </c>
      <c r="I182" s="99" t="n">
        <v>1</v>
      </c>
      <c r="J182" s="100" t="n">
        <v>1</v>
      </c>
      <c r="K182" s="101" t="n">
        <v>0.0077</v>
      </c>
      <c r="L182" s="102" t="n">
        <v>325260359.575058</v>
      </c>
      <c r="M182" s="103" t="n">
        <v>324770595.66435</v>
      </c>
      <c r="N182" s="104" t="str">
        <f>MIN(MAX((B182-'Calculation_Assumptions'!$B$5+1)/'Calculation_Assumptions'!$B$7,0),1)</f>
      </c>
      <c r="O182" s="105" t="str">
        <f>L182*I182</f>
      </c>
      <c r="P182" s="106" t="str">
        <f>M182*I182</f>
      </c>
      <c r="Q182" s="107" t="str">
        <f>P182*'Calculation_Assumptions'!$B$14*J182*K182</f>
      </c>
      <c r="R182" s="108" t="str">
        <f>O182*N182*J182*K182</f>
      </c>
      <c r="S182" s="109" t="str">
        <f>R182-Q182</f>
      </c>
      <c r="T182" s="110" t="str">
        <f>1/(1+'Calculation_Assumptions'!$B$8)^(B182-'Calculation_Assumptions'!$B$2)</f>
      </c>
      <c r="U182" s="111" t="str">
        <f>Q182*T182</f>
      </c>
      <c r="V182" s="112" t="str">
        <f>R182*T182</f>
      </c>
      <c r="W182" s="113" t="str">
        <f>S182*T182</f>
      </c>
      <c r="X182" t="n">
        <v>0</v>
      </c>
      <c r="Y182" s="114" t="n">
        <v>2017</v>
      </c>
      <c r="Z182" t="s">
        <v>399</v>
      </c>
      <c r="AA182" s="115" t="str">
        <f>IF(G182="shared-count-once",COUNTIFS($A$2:$A$287,A182,$B$2:$B$287,B182,$D$2:$D$287,D182),1)</f>
      </c>
      <c r="AB182" s="116" t="n">
        <v>322765819.752681</v>
      </c>
      <c r="AC182" s="117" t="str">
        <f>IF(AB182=0,"",Q182/AB182)</f>
      </c>
      <c r="AD182" s="118" t="str">
        <f>IF(AB182=0,"",R182/AB182)</f>
      </c>
      <c r="AE182" s="119" t="str">
        <f>IF(AB182=0,"",S182/AB182)</f>
      </c>
      <c r="AF182" s="120" t="str">
        <f>IF(AB182=0,"",W182/AB182)</f>
      </c>
    </row>
    <row r="183">
      <c r="A183" t="s">
        <v>254</v>
      </c>
      <c r="B183" s="93" t="n">
        <v>2050</v>
      </c>
      <c r="C183" t="s">
        <v>272</v>
      </c>
      <c r="D183" s="94" t="s">
        <v>407</v>
      </c>
      <c r="E183" s="95" t="s">
        <v>408</v>
      </c>
      <c r="F183" s="96" t="s">
        <v>275</v>
      </c>
      <c r="G183" s="97" t="s">
        <v>403</v>
      </c>
      <c r="H183" s="98" t="s">
        <v>396</v>
      </c>
      <c r="I183" s="99" t="n">
        <v>1</v>
      </c>
      <c r="J183" s="100" t="n">
        <v>1</v>
      </c>
      <c r="K183" s="101" t="n">
        <v>0.0077</v>
      </c>
      <c r="L183" s="102" t="n">
        <v>325782629.964295</v>
      </c>
      <c r="M183" s="103" t="n">
        <v>325271287.464889</v>
      </c>
      <c r="N183" s="104" t="str">
        <f>MIN(MAX((B183-'Calculation_Assumptions'!$B$5+1)/'Calculation_Assumptions'!$B$7,0),1)</f>
      </c>
      <c r="O183" s="105" t="str">
        <f>L183*I183</f>
      </c>
      <c r="P183" s="106" t="str">
        <f>M183*I183</f>
      </c>
      <c r="Q183" s="107" t="str">
        <f>P183*'Calculation_Assumptions'!$B$14*J183*K183</f>
      </c>
      <c r="R183" s="108" t="str">
        <f>O183*N183*J183*K183</f>
      </c>
      <c r="S183" s="109" t="str">
        <f>R183-Q183</f>
      </c>
      <c r="T183" s="110" t="str">
        <f>1/(1+'Calculation_Assumptions'!$B$8)^(B183-'Calculation_Assumptions'!$B$2)</f>
      </c>
      <c r="U183" s="111" t="str">
        <f>Q183*T183</f>
      </c>
      <c r="V183" s="112" t="str">
        <f>R183*T183</f>
      </c>
      <c r="W183" s="113" t="str">
        <f>S183*T183</f>
      </c>
      <c r="X183" t="n">
        <v>0</v>
      </c>
      <c r="Y183" s="114" t="n">
        <v>2017</v>
      </c>
      <c r="Z183" t="s">
        <v>399</v>
      </c>
      <c r="AA183" s="115" t="str">
        <f>IF(G183="shared-count-once",COUNTIFS($A$2:$A$287,A183,$B$2:$B$287,B183,$D$2:$D$287,D183),1)</f>
      </c>
      <c r="AB183" s="116" t="n">
        <v>323312042.563285</v>
      </c>
      <c r="AC183" s="117" t="str">
        <f>IF(AB183=0,"",Q183/AB183)</f>
      </c>
      <c r="AD183" s="118" t="str">
        <f>IF(AB183=0,"",R183/AB183)</f>
      </c>
      <c r="AE183" s="119" t="str">
        <f>IF(AB183=0,"",S183/AB183)</f>
      </c>
      <c r="AF183" s="120" t="str">
        <f>IF(AB183=0,"",W183/AB183)</f>
      </c>
    </row>
    <row r="184">
      <c r="A184" t="s">
        <v>116</v>
      </c>
      <c r="B184" s="93" t="n">
        <v>2025</v>
      </c>
      <c r="C184" t="s">
        <v>219</v>
      </c>
      <c r="D184" s="94" t="s">
        <v>392</v>
      </c>
      <c r="E184" s="95" t="s">
        <v>393</v>
      </c>
      <c r="F184" s="96" t="s">
        <v>230</v>
      </c>
      <c r="G184" s="97" t="s">
        <v>394</v>
      </c>
      <c r="H184" s="98" t="s">
        <v>396</v>
      </c>
      <c r="I184" s="99" t="n">
        <v>1</v>
      </c>
      <c r="J184" s="100" t="n">
        <v>1</v>
      </c>
      <c r="K184" s="101" t="n">
        <v>0.04</v>
      </c>
      <c r="L184" s="102" t="n">
        <v>291886571.325912</v>
      </c>
      <c r="M184" s="103" t="n">
        <v>291223951.413062</v>
      </c>
      <c r="N184" s="104" t="str">
        <f>MIN(MAX((B184-'Calculation_Assumptions'!$B$5+1)/'Calculation_Assumptions'!$B$7,0),1)</f>
      </c>
      <c r="O184" s="105" t="str">
        <f>L184*I184</f>
      </c>
      <c r="P184" s="106" t="str">
        <f>M184*I184</f>
      </c>
      <c r="Q184" s="107" t="str">
        <f>P184*'Calculation_Assumptions'!$B$14*J184*K184</f>
      </c>
      <c r="R184" s="108" t="str">
        <f>O184*N184*J184*K184</f>
      </c>
      <c r="S184" s="109" t="str">
        <f>R184-Q184</f>
      </c>
      <c r="T184" s="110" t="str">
        <f>1/(1+'Calculation_Assumptions'!$B$8)^(B184-'Calculation_Assumptions'!$B$2)</f>
      </c>
      <c r="U184" s="111" t="str">
        <f>Q184*T184</f>
      </c>
      <c r="V184" s="112" t="str">
        <f>R184*T184</f>
      </c>
      <c r="W184" s="113" t="str">
        <f>S184*T184</f>
      </c>
      <c r="X184" t="n">
        <v>0</v>
      </c>
      <c r="Y184" s="114" t="n">
        <v>2017</v>
      </c>
      <c r="Z184" t="s">
        <v>399</v>
      </c>
      <c r="AA184" s="115" t="str">
        <f>IF(G184="shared-count-once",COUNTIFS($A$2:$A$287,A184,$B$2:$B$287,B184,$D$2:$D$287,D184),1)</f>
      </c>
      <c r="AB184" s="116" t="n">
        <v>288391907.644456</v>
      </c>
      <c r="AC184" s="117" t="str">
        <f>IF(AB184=0,"",Q184/AB184)</f>
      </c>
      <c r="AD184" s="118" t="str">
        <f>IF(AB184=0,"",R184/AB184)</f>
      </c>
      <c r="AE184" s="119" t="str">
        <f>IF(AB184=0,"",S184/AB184)</f>
      </c>
      <c r="AF184" s="120" t="str">
        <f>IF(AB184=0,"",W184/AB184)</f>
      </c>
    </row>
    <row r="185">
      <c r="A185" t="s">
        <v>116</v>
      </c>
      <c r="B185" s="93" t="n">
        <v>2026</v>
      </c>
      <c r="C185" t="s">
        <v>219</v>
      </c>
      <c r="D185" s="94" t="s">
        <v>392</v>
      </c>
      <c r="E185" s="95" t="s">
        <v>393</v>
      </c>
      <c r="F185" s="96" t="s">
        <v>230</v>
      </c>
      <c r="G185" s="97" t="s">
        <v>394</v>
      </c>
      <c r="H185" s="98" t="s">
        <v>396</v>
      </c>
      <c r="I185" s="99" t="n">
        <v>1</v>
      </c>
      <c r="J185" s="100" t="n">
        <v>1</v>
      </c>
      <c r="K185" s="101" t="n">
        <v>0.04</v>
      </c>
      <c r="L185" s="102" t="n">
        <v>293828806.709757</v>
      </c>
      <c r="M185" s="103" t="n">
        <v>293212473.334583</v>
      </c>
      <c r="N185" s="104" t="str">
        <f>MIN(MAX((B185-'Calculation_Assumptions'!$B$5+1)/'Calculation_Assumptions'!$B$7,0),1)</f>
      </c>
      <c r="O185" s="105" t="str">
        <f>L185*I185</f>
      </c>
      <c r="P185" s="106" t="str">
        <f>M185*I185</f>
      </c>
      <c r="Q185" s="107" t="str">
        <f>P185*'Calculation_Assumptions'!$B$14*J185*K185</f>
      </c>
      <c r="R185" s="108" t="str">
        <f>O185*N185*J185*K185</f>
      </c>
      <c r="S185" s="109" t="str">
        <f>R185-Q185</f>
      </c>
      <c r="T185" s="110" t="str">
        <f>1/(1+'Calculation_Assumptions'!$B$8)^(B185-'Calculation_Assumptions'!$B$2)</f>
      </c>
      <c r="U185" s="111" t="str">
        <f>Q185*T185</f>
      </c>
      <c r="V185" s="112" t="str">
        <f>R185*T185</f>
      </c>
      <c r="W185" s="113" t="str">
        <f>S185*T185</f>
      </c>
      <c r="X185" t="n">
        <v>0</v>
      </c>
      <c r="Y185" s="114" t="n">
        <v>2017</v>
      </c>
      <c r="Z185" t="s">
        <v>399</v>
      </c>
      <c r="AA185" s="115" t="str">
        <f>IF(G185="shared-count-once",COUNTIFS($A$2:$A$287,A185,$B$2:$B$287,B185,$D$2:$D$287,D185),1)</f>
      </c>
      <c r="AB185" s="116" t="n">
        <v>290472130.233437</v>
      </c>
      <c r="AC185" s="117" t="str">
        <f>IF(AB185=0,"",Q185/AB185)</f>
      </c>
      <c r="AD185" s="118" t="str">
        <f>IF(AB185=0,"",R185/AB185)</f>
      </c>
      <c r="AE185" s="119" t="str">
        <f>IF(AB185=0,"",S185/AB185)</f>
      </c>
      <c r="AF185" s="120" t="str">
        <f>IF(AB185=0,"",W185/AB185)</f>
      </c>
    </row>
    <row r="186">
      <c r="A186" t="s">
        <v>116</v>
      </c>
      <c r="B186" s="93" t="n">
        <v>2027</v>
      </c>
      <c r="C186" t="s">
        <v>219</v>
      </c>
      <c r="D186" s="94" t="s">
        <v>392</v>
      </c>
      <c r="E186" s="95" t="s">
        <v>393</v>
      </c>
      <c r="F186" s="96" t="s">
        <v>230</v>
      </c>
      <c r="G186" s="97" t="s">
        <v>394</v>
      </c>
      <c r="H186" s="98" t="s">
        <v>396</v>
      </c>
      <c r="I186" s="99" t="n">
        <v>1</v>
      </c>
      <c r="J186" s="100" t="n">
        <v>1</v>
      </c>
      <c r="K186" s="101" t="n">
        <v>0.04</v>
      </c>
      <c r="L186" s="102" t="n">
        <v>295755486.037123</v>
      </c>
      <c r="M186" s="103" t="n">
        <v>295196117.964647</v>
      </c>
      <c r="N186" s="104" t="str">
        <f>MIN(MAX((B186-'Calculation_Assumptions'!$B$5+1)/'Calculation_Assumptions'!$B$7,0),1)</f>
      </c>
      <c r="O186" s="105" t="str">
        <f>L186*I186</f>
      </c>
      <c r="P186" s="106" t="str">
        <f>M186*I186</f>
      </c>
      <c r="Q186" s="107" t="str">
        <f>P186*'Calculation_Assumptions'!$B$14*J186*K186</f>
      </c>
      <c r="R186" s="108" t="str">
        <f>O186*N186*J186*K186</f>
      </c>
      <c r="S186" s="109" t="str">
        <f>R186-Q186</f>
      </c>
      <c r="T186" s="110" t="str">
        <f>1/(1+'Calculation_Assumptions'!$B$8)^(B186-'Calculation_Assumptions'!$B$2)</f>
      </c>
      <c r="U186" s="111" t="str">
        <f>Q186*T186</f>
      </c>
      <c r="V186" s="112" t="str">
        <f>R186*T186</f>
      </c>
      <c r="W186" s="113" t="str">
        <f>S186*T186</f>
      </c>
      <c r="X186" t="n">
        <v>0</v>
      </c>
      <c r="Y186" s="114" t="n">
        <v>2017</v>
      </c>
      <c r="Z186" t="s">
        <v>399</v>
      </c>
      <c r="AA186" s="115" t="str">
        <f>IF(G186="shared-count-once",COUNTIFS($A$2:$A$287,A186,$B$2:$B$287,B186,$D$2:$D$287,D186),1)</f>
      </c>
      <c r="AB186" s="116" t="n">
        <v>292505080.826208</v>
      </c>
      <c r="AC186" s="117" t="str">
        <f>IF(AB186=0,"",Q186/AB186)</f>
      </c>
      <c r="AD186" s="118" t="str">
        <f>IF(AB186=0,"",R186/AB186)</f>
      </c>
      <c r="AE186" s="119" t="str">
        <f>IF(AB186=0,"",S186/AB186)</f>
      </c>
      <c r="AF186" s="120" t="str">
        <f>IF(AB186=0,"",W186/AB186)</f>
      </c>
    </row>
    <row r="187">
      <c r="A187" t="s">
        <v>116</v>
      </c>
      <c r="B187" s="93" t="n">
        <v>2028</v>
      </c>
      <c r="C187" t="s">
        <v>219</v>
      </c>
      <c r="D187" s="94" t="s">
        <v>392</v>
      </c>
      <c r="E187" s="95" t="s">
        <v>393</v>
      </c>
      <c r="F187" s="96" t="s">
        <v>230</v>
      </c>
      <c r="G187" s="97" t="s">
        <v>394</v>
      </c>
      <c r="H187" s="98" t="s">
        <v>396</v>
      </c>
      <c r="I187" s="99" t="n">
        <v>1</v>
      </c>
      <c r="J187" s="100" t="n">
        <v>1</v>
      </c>
      <c r="K187" s="101" t="n">
        <v>0.04</v>
      </c>
      <c r="L187" s="102" t="n">
        <v>297631771.376997</v>
      </c>
      <c r="M187" s="103" t="n">
        <v>297107934.99345</v>
      </c>
      <c r="N187" s="104" t="str">
        <f>MIN(MAX((B187-'Calculation_Assumptions'!$B$5+1)/'Calculation_Assumptions'!$B$7,0),1)</f>
      </c>
      <c r="O187" s="105" t="str">
        <f>L187*I187</f>
      </c>
      <c r="P187" s="106" t="str">
        <f>M187*I187</f>
      </c>
      <c r="Q187" s="107" t="str">
        <f>P187*'Calculation_Assumptions'!$B$14*J187*K187</f>
      </c>
      <c r="R187" s="108" t="str">
        <f>O187*N187*J187*K187</f>
      </c>
      <c r="S187" s="109" t="str">
        <f>R187-Q187</f>
      </c>
      <c r="T187" s="110" t="str">
        <f>1/(1+'Calculation_Assumptions'!$B$8)^(B187-'Calculation_Assumptions'!$B$2)</f>
      </c>
      <c r="U187" s="111" t="str">
        <f>Q187*T187</f>
      </c>
      <c r="V187" s="112" t="str">
        <f>R187*T187</f>
      </c>
      <c r="W187" s="113" t="str">
        <f>S187*T187</f>
      </c>
      <c r="X187" t="n">
        <v>0</v>
      </c>
      <c r="Y187" s="114" t="n">
        <v>2017</v>
      </c>
      <c r="Z187" t="s">
        <v>399</v>
      </c>
      <c r="AA187" s="115" t="str">
        <f>IF(G187="shared-count-once",COUNTIFS($A$2:$A$287,A187,$B$2:$B$287,B187,$D$2:$D$287,D187),1)</f>
      </c>
      <c r="AB187" s="116" t="n">
        <v>294484707.921554</v>
      </c>
      <c r="AC187" s="117" t="str">
        <f>IF(AB187=0,"",Q187/AB187)</f>
      </c>
      <c r="AD187" s="118" t="str">
        <f>IF(AB187=0,"",R187/AB187)</f>
      </c>
      <c r="AE187" s="119" t="str">
        <f>IF(AB187=0,"",S187/AB187)</f>
      </c>
      <c r="AF187" s="120" t="str">
        <f>IF(AB187=0,"",W187/AB187)</f>
      </c>
    </row>
    <row r="188">
      <c r="A188" t="s">
        <v>116</v>
      </c>
      <c r="B188" s="93" t="n">
        <v>2029</v>
      </c>
      <c r="C188" t="s">
        <v>219</v>
      </c>
      <c r="D188" s="94" t="s">
        <v>392</v>
      </c>
      <c r="E188" s="95" t="s">
        <v>393</v>
      </c>
      <c r="F188" s="96" t="s">
        <v>230</v>
      </c>
      <c r="G188" s="97" t="s">
        <v>394</v>
      </c>
      <c r="H188" s="98" t="s">
        <v>396</v>
      </c>
      <c r="I188" s="99" t="n">
        <v>1</v>
      </c>
      <c r="J188" s="100" t="n">
        <v>1</v>
      </c>
      <c r="K188" s="101" t="n">
        <v>0.04</v>
      </c>
      <c r="L188" s="102" t="n">
        <v>299474175.007124</v>
      </c>
      <c r="M188" s="103" t="n">
        <v>298981169.683309</v>
      </c>
      <c r="N188" s="104" t="str">
        <f>MIN(MAX((B188-'Calculation_Assumptions'!$B$5+1)/'Calculation_Assumptions'!$B$7,0),1)</f>
      </c>
      <c r="O188" s="105" t="str">
        <f>L188*I188</f>
      </c>
      <c r="P188" s="106" t="str">
        <f>M188*I188</f>
      </c>
      <c r="Q188" s="107" t="str">
        <f>P188*'Calculation_Assumptions'!$B$14*J188*K188</f>
      </c>
      <c r="R188" s="108" t="str">
        <f>O188*N188*J188*K188</f>
      </c>
      <c r="S188" s="109" t="str">
        <f>R188-Q188</f>
      </c>
      <c r="T188" s="110" t="str">
        <f>1/(1+'Calculation_Assumptions'!$B$8)^(B188-'Calculation_Assumptions'!$B$2)</f>
      </c>
      <c r="U188" s="111" t="str">
        <f>Q188*T188</f>
      </c>
      <c r="V188" s="112" t="str">
        <f>R188*T188</f>
      </c>
      <c r="W188" s="113" t="str">
        <f>S188*T188</f>
      </c>
      <c r="X188" t="n">
        <v>0</v>
      </c>
      <c r="Y188" s="114" t="n">
        <v>2017</v>
      </c>
      <c r="Z188" t="s">
        <v>399</v>
      </c>
      <c r="AA188" s="115" t="str">
        <f>IF(G188="shared-count-once",COUNTIFS($A$2:$A$287,A188,$B$2:$B$287,B188,$D$2:$D$287,D188),1)</f>
      </c>
      <c r="AB188" s="116" t="n">
        <v>296414030.31143</v>
      </c>
      <c r="AC188" s="117" t="str">
        <f>IF(AB188=0,"",Q188/AB188)</f>
      </c>
      <c r="AD188" s="118" t="str">
        <f>IF(AB188=0,"",R188/AB188)</f>
      </c>
      <c r="AE188" s="119" t="str">
        <f>IF(AB188=0,"",S188/AB188)</f>
      </c>
      <c r="AF188" s="120" t="str">
        <f>IF(AB188=0,"",W188/AB188)</f>
      </c>
    </row>
    <row r="189">
      <c r="A189" t="s">
        <v>116</v>
      </c>
      <c r="B189" s="93" t="n">
        <v>2030</v>
      </c>
      <c r="C189" t="s">
        <v>219</v>
      </c>
      <c r="D189" s="94" t="s">
        <v>392</v>
      </c>
      <c r="E189" s="95" t="s">
        <v>393</v>
      </c>
      <c r="F189" s="96" t="s">
        <v>230</v>
      </c>
      <c r="G189" s="97" t="s">
        <v>394</v>
      </c>
      <c r="H189" s="98" t="s">
        <v>396</v>
      </c>
      <c r="I189" s="99" t="n">
        <v>1</v>
      </c>
      <c r="J189" s="100" t="n">
        <v>1</v>
      </c>
      <c r="K189" s="101" t="n">
        <v>0.04</v>
      </c>
      <c r="L189" s="102" t="n">
        <v>301271049.071289</v>
      </c>
      <c r="M189" s="103" t="n">
        <v>300784244.146626</v>
      </c>
      <c r="N189" s="104" t="str">
        <f>MIN(MAX((B189-'Calculation_Assumptions'!$B$5+1)/'Calculation_Assumptions'!$B$7,0),1)</f>
      </c>
      <c r="O189" s="105" t="str">
        <f>L189*I189</f>
      </c>
      <c r="P189" s="106" t="str">
        <f>M189*I189</f>
      </c>
      <c r="Q189" s="107" t="str">
        <f>P189*'Calculation_Assumptions'!$B$14*J189*K189</f>
      </c>
      <c r="R189" s="108" t="str">
        <f>O189*N189*J189*K189</f>
      </c>
      <c r="S189" s="109" t="str">
        <f>R189-Q189</f>
      </c>
      <c r="T189" s="110" t="str">
        <f>1/(1+'Calculation_Assumptions'!$B$8)^(B189-'Calculation_Assumptions'!$B$2)</f>
      </c>
      <c r="U189" s="111" t="str">
        <f>Q189*T189</f>
      </c>
      <c r="V189" s="112" t="str">
        <f>R189*T189</f>
      </c>
      <c r="W189" s="113" t="str">
        <f>S189*T189</f>
      </c>
      <c r="X189" t="n">
        <v>0</v>
      </c>
      <c r="Y189" s="114" t="n">
        <v>2017</v>
      </c>
      <c r="Z189" t="s">
        <v>399</v>
      </c>
      <c r="AA189" s="115" t="str">
        <f>IF(G189="shared-count-once",COUNTIFS($A$2:$A$287,A189,$B$2:$B$287,B189,$D$2:$D$287,D189),1)</f>
      </c>
      <c r="AB189" s="116" t="n">
        <v>298289404.664994</v>
      </c>
      <c r="AC189" s="117" t="str">
        <f>IF(AB189=0,"",Q189/AB189)</f>
      </c>
      <c r="AD189" s="118" t="str">
        <f>IF(AB189=0,"",R189/AB189)</f>
      </c>
      <c r="AE189" s="119" t="str">
        <f>IF(AB189=0,"",S189/AB189)</f>
      </c>
      <c r="AF189" s="120" t="str">
        <f>IF(AB189=0,"",W189/AB189)</f>
      </c>
    </row>
    <row r="190">
      <c r="A190" t="s">
        <v>116</v>
      </c>
      <c r="B190" s="93" t="n">
        <v>2031</v>
      </c>
      <c r="C190" t="s">
        <v>219</v>
      </c>
      <c r="D190" s="94" t="s">
        <v>392</v>
      </c>
      <c r="E190" s="95" t="s">
        <v>393</v>
      </c>
      <c r="F190" s="96" t="s">
        <v>230</v>
      </c>
      <c r="G190" s="97" t="s">
        <v>394</v>
      </c>
      <c r="H190" s="98" t="s">
        <v>396</v>
      </c>
      <c r="I190" s="99" t="n">
        <v>1</v>
      </c>
      <c r="J190" s="100" t="n">
        <v>1</v>
      </c>
      <c r="K190" s="101" t="n">
        <v>0.04</v>
      </c>
      <c r="L190" s="102" t="n">
        <v>303032023.778079</v>
      </c>
      <c r="M190" s="103" t="n">
        <v>302561623.795312</v>
      </c>
      <c r="N190" s="104" t="str">
        <f>MIN(MAX((B190-'Calculation_Assumptions'!$B$5+1)/'Calculation_Assumptions'!$B$7,0),1)</f>
      </c>
      <c r="O190" s="105" t="str">
        <f>L190*I190</f>
      </c>
      <c r="P190" s="106" t="str">
        <f>M190*I190</f>
      </c>
      <c r="Q190" s="107" t="str">
        <f>P190*'Calculation_Assumptions'!$B$14*J190*K190</f>
      </c>
      <c r="R190" s="108" t="str">
        <f>O190*N190*J190*K190</f>
      </c>
      <c r="S190" s="109" t="str">
        <f>R190-Q190</f>
      </c>
      <c r="T190" s="110" t="str">
        <f>1/(1+'Calculation_Assumptions'!$B$8)^(B190-'Calculation_Assumptions'!$B$2)</f>
      </c>
      <c r="U190" s="111" t="str">
        <f>Q190*T190</f>
      </c>
      <c r="V190" s="112" t="str">
        <f>R190*T190</f>
      </c>
      <c r="W190" s="113" t="str">
        <f>S190*T190</f>
      </c>
      <c r="X190" t="n">
        <v>0</v>
      </c>
      <c r="Y190" s="114" t="n">
        <v>2017</v>
      </c>
      <c r="Z190" t="s">
        <v>399</v>
      </c>
      <c r="AA190" s="115" t="str">
        <f>IF(G190="shared-count-once",COUNTIFS($A$2:$A$287,A190,$B$2:$B$287,B190,$D$2:$D$287,D190),1)</f>
      </c>
      <c r="AB190" s="116" t="n">
        <v>300119636.925519</v>
      </c>
      <c r="AC190" s="117" t="str">
        <f>IF(AB190=0,"",Q190/AB190)</f>
      </c>
      <c r="AD190" s="118" t="str">
        <f>IF(AB190=0,"",R190/AB190)</f>
      </c>
      <c r="AE190" s="119" t="str">
        <f>IF(AB190=0,"",S190/AB190)</f>
      </c>
      <c r="AF190" s="120" t="str">
        <f>IF(AB190=0,"",W190/AB190)</f>
      </c>
    </row>
    <row r="191">
      <c r="A191" t="s">
        <v>116</v>
      </c>
      <c r="B191" s="93" t="n">
        <v>2032</v>
      </c>
      <c r="C191" t="s">
        <v>219</v>
      </c>
      <c r="D191" s="94" t="s">
        <v>392</v>
      </c>
      <c r="E191" s="95" t="s">
        <v>393</v>
      </c>
      <c r="F191" s="96" t="s">
        <v>230</v>
      </c>
      <c r="G191" s="97" t="s">
        <v>394</v>
      </c>
      <c r="H191" s="98" t="s">
        <v>396</v>
      </c>
      <c r="I191" s="99" t="n">
        <v>1</v>
      </c>
      <c r="J191" s="100" t="n">
        <v>1</v>
      </c>
      <c r="K191" s="101" t="n">
        <v>0.04</v>
      </c>
      <c r="L191" s="102" t="n">
        <v>304752806.869548</v>
      </c>
      <c r="M191" s="103" t="n">
        <v>304296909.955394</v>
      </c>
      <c r="N191" s="104" t="str">
        <f>MIN(MAX((B191-'Calculation_Assumptions'!$B$5+1)/'Calculation_Assumptions'!$B$7,0),1)</f>
      </c>
      <c r="O191" s="105" t="str">
        <f>L191*I191</f>
      </c>
      <c r="P191" s="106" t="str">
        <f>M191*I191</f>
      </c>
      <c r="Q191" s="107" t="str">
        <f>P191*'Calculation_Assumptions'!$B$14*J191*K191</f>
      </c>
      <c r="R191" s="108" t="str">
        <f>O191*N191*J191*K191</f>
      </c>
      <c r="S191" s="109" t="str">
        <f>R191-Q191</f>
      </c>
      <c r="T191" s="110" t="str">
        <f>1/(1+'Calculation_Assumptions'!$B$8)^(B191-'Calculation_Assumptions'!$B$2)</f>
      </c>
      <c r="U191" s="111" t="str">
        <f>Q191*T191</f>
      </c>
      <c r="V191" s="112" t="str">
        <f>R191*T191</f>
      </c>
      <c r="W191" s="113" t="str">
        <f>S191*T191</f>
      </c>
      <c r="X191" t="n">
        <v>0</v>
      </c>
      <c r="Y191" s="114" t="n">
        <v>2017</v>
      </c>
      <c r="Z191" t="s">
        <v>399</v>
      </c>
      <c r="AA191" s="115" t="str">
        <f>IF(G191="shared-count-once",COUNTIFS($A$2:$A$287,A191,$B$2:$B$287,B191,$D$2:$D$287,D191),1)</f>
      </c>
      <c r="AB191" s="116" t="n">
        <v>301904628.083541</v>
      </c>
      <c r="AC191" s="117" t="str">
        <f>IF(AB191=0,"",Q191/AB191)</f>
      </c>
      <c r="AD191" s="118" t="str">
        <f>IF(AB191=0,"",R191/AB191)</f>
      </c>
      <c r="AE191" s="119" t="str">
        <f>IF(AB191=0,"",S191/AB191)</f>
      </c>
      <c r="AF191" s="120" t="str">
        <f>IF(AB191=0,"",W191/AB191)</f>
      </c>
    </row>
    <row r="192">
      <c r="A192" t="s">
        <v>116</v>
      </c>
      <c r="B192" s="93" t="n">
        <v>2033</v>
      </c>
      <c r="C192" t="s">
        <v>219</v>
      </c>
      <c r="D192" s="94" t="s">
        <v>392</v>
      </c>
      <c r="E192" s="95" t="s">
        <v>393</v>
      </c>
      <c r="F192" s="96" t="s">
        <v>230</v>
      </c>
      <c r="G192" s="97" t="s">
        <v>394</v>
      </c>
      <c r="H192" s="98" t="s">
        <v>396</v>
      </c>
      <c r="I192" s="99" t="n">
        <v>1</v>
      </c>
      <c r="J192" s="100" t="n">
        <v>1</v>
      </c>
      <c r="K192" s="101" t="n">
        <v>0.04</v>
      </c>
      <c r="L192" s="102" t="n">
        <v>306434037.461259</v>
      </c>
      <c r="M192" s="103" t="n">
        <v>305990042.260363</v>
      </c>
      <c r="N192" s="104" t="str">
        <f>MIN(MAX((B192-'Calculation_Assumptions'!$B$5+1)/'Calculation_Assumptions'!$B$7,0),1)</f>
      </c>
      <c r="O192" s="105" t="str">
        <f>L192*I192</f>
      </c>
      <c r="P192" s="106" t="str">
        <f>M192*I192</f>
      </c>
      <c r="Q192" s="107" t="str">
        <f>P192*'Calculation_Assumptions'!$B$14*J192*K192</f>
      </c>
      <c r="R192" s="108" t="str">
        <f>O192*N192*J192*K192</f>
      </c>
      <c r="S192" s="109" t="str">
        <f>R192-Q192</f>
      </c>
      <c r="T192" s="110" t="str">
        <f>1/(1+'Calculation_Assumptions'!$B$8)^(B192-'Calculation_Assumptions'!$B$2)</f>
      </c>
      <c r="U192" s="111" t="str">
        <f>Q192*T192</f>
      </c>
      <c r="V192" s="112" t="str">
        <f>R192*T192</f>
      </c>
      <c r="W192" s="113" t="str">
        <f>S192*T192</f>
      </c>
      <c r="X192" t="n">
        <v>0</v>
      </c>
      <c r="Y192" s="114" t="n">
        <v>2017</v>
      </c>
      <c r="Z192" t="s">
        <v>399</v>
      </c>
      <c r="AA192" s="115" t="str">
        <f>IF(G192="shared-count-once",COUNTIFS($A$2:$A$287,A192,$B$2:$B$287,B192,$D$2:$D$287,D192),1)</f>
      </c>
      <c r="AB192" s="116" t="n">
        <v>303644277.16916</v>
      </c>
      <c r="AC192" s="117" t="str">
        <f>IF(AB192=0,"",Q192/AB192)</f>
      </c>
      <c r="AD192" s="118" t="str">
        <f>IF(AB192=0,"",R192/AB192)</f>
      </c>
      <c r="AE192" s="119" t="str">
        <f>IF(AB192=0,"",S192/AB192)</f>
      </c>
      <c r="AF192" s="120" t="str">
        <f>IF(AB192=0,"",W192/AB192)</f>
      </c>
    </row>
    <row r="193">
      <c r="A193" t="s">
        <v>116</v>
      </c>
      <c r="B193" s="93" t="n">
        <v>2034</v>
      </c>
      <c r="C193" t="s">
        <v>219</v>
      </c>
      <c r="D193" s="94" t="s">
        <v>392</v>
      </c>
      <c r="E193" s="95" t="s">
        <v>393</v>
      </c>
      <c r="F193" s="96" t="s">
        <v>230</v>
      </c>
      <c r="G193" s="97" t="s">
        <v>394</v>
      </c>
      <c r="H193" s="98" t="s">
        <v>396</v>
      </c>
      <c r="I193" s="99" t="n">
        <v>1</v>
      </c>
      <c r="J193" s="100" t="n">
        <v>1</v>
      </c>
      <c r="K193" s="101" t="n">
        <v>0.04</v>
      </c>
      <c r="L193" s="102" t="n">
        <v>308069077.242938</v>
      </c>
      <c r="M193" s="103" t="n">
        <v>307635526.02883</v>
      </c>
      <c r="N193" s="104" t="str">
        <f>MIN(MAX((B193-'Calculation_Assumptions'!$B$5+1)/'Calculation_Assumptions'!$B$7,0),1)</f>
      </c>
      <c r="O193" s="105" t="str">
        <f>L193*I193</f>
      </c>
      <c r="P193" s="106" t="str">
        <f>M193*I193</f>
      </c>
      <c r="Q193" s="107" t="str">
        <f>P193*'Calculation_Assumptions'!$B$14*J193*K193</f>
      </c>
      <c r="R193" s="108" t="str">
        <f>O193*N193*J193*K193</f>
      </c>
      <c r="S193" s="109" t="str">
        <f>R193-Q193</f>
      </c>
      <c r="T193" s="110" t="str">
        <f>1/(1+'Calculation_Assumptions'!$B$8)^(B193-'Calculation_Assumptions'!$B$2)</f>
      </c>
      <c r="U193" s="111" t="str">
        <f>Q193*T193</f>
      </c>
      <c r="V193" s="112" t="str">
        <f>R193*T193</f>
      </c>
      <c r="W193" s="113" t="str">
        <f>S193*T193</f>
      </c>
      <c r="X193" t="n">
        <v>0</v>
      </c>
      <c r="Y193" s="114" t="n">
        <v>2017</v>
      </c>
      <c r="Z193" t="s">
        <v>399</v>
      </c>
      <c r="AA193" s="115" t="str">
        <f>IF(G193="shared-count-once",COUNTIFS($A$2:$A$287,A193,$B$2:$B$287,B193,$D$2:$D$287,D193),1)</f>
      </c>
      <c r="AB193" s="116" t="n">
        <v>305332541.184984</v>
      </c>
      <c r="AC193" s="117" t="str">
        <f>IF(AB193=0,"",Q193/AB193)</f>
      </c>
      <c r="AD193" s="118" t="str">
        <f>IF(AB193=0,"",R193/AB193)</f>
      </c>
      <c r="AE193" s="119" t="str">
        <f>IF(AB193=0,"",S193/AB193)</f>
      </c>
      <c r="AF193" s="120" t="str">
        <f>IF(AB193=0,"",W193/AB193)</f>
      </c>
    </row>
    <row r="194">
      <c r="A194" t="s">
        <v>116</v>
      </c>
      <c r="B194" s="93" t="n">
        <v>2035</v>
      </c>
      <c r="C194" t="s">
        <v>219</v>
      </c>
      <c r="D194" s="94" t="s">
        <v>392</v>
      </c>
      <c r="E194" s="95" t="s">
        <v>393</v>
      </c>
      <c r="F194" s="96" t="s">
        <v>230</v>
      </c>
      <c r="G194" s="97" t="s">
        <v>394</v>
      </c>
      <c r="H194" s="98" t="s">
        <v>396</v>
      </c>
      <c r="I194" s="99" t="n">
        <v>1</v>
      </c>
      <c r="J194" s="100" t="n">
        <v>1</v>
      </c>
      <c r="K194" s="101" t="n">
        <v>0.04</v>
      </c>
      <c r="L194" s="102" t="n">
        <v>309652887.953845</v>
      </c>
      <c r="M194" s="103" t="n">
        <v>309228183.19713</v>
      </c>
      <c r="N194" s="104" t="str">
        <f>MIN(MAX((B194-'Calculation_Assumptions'!$B$5+1)/'Calculation_Assumptions'!$B$7,0),1)</f>
      </c>
      <c r="O194" s="105" t="str">
        <f>L194*I194</f>
      </c>
      <c r="P194" s="106" t="str">
        <f>M194*I194</f>
      </c>
      <c r="Q194" s="107" t="str">
        <f>P194*'Calculation_Assumptions'!$B$14*J194*K194</f>
      </c>
      <c r="R194" s="108" t="str">
        <f>O194*N194*J194*K194</f>
      </c>
      <c r="S194" s="109" t="str">
        <f>R194-Q194</f>
      </c>
      <c r="T194" s="110" t="str">
        <f>1/(1+'Calculation_Assumptions'!$B$8)^(B194-'Calculation_Assumptions'!$B$2)</f>
      </c>
      <c r="U194" s="111" t="str">
        <f>Q194*T194</f>
      </c>
      <c r="V194" s="112" t="str">
        <f>R194*T194</f>
      </c>
      <c r="W194" s="113" t="str">
        <f>S194*T194</f>
      </c>
      <c r="X194" t="n">
        <v>0</v>
      </c>
      <c r="Y194" s="114" t="n">
        <v>2017</v>
      </c>
      <c r="Z194" t="s">
        <v>399</v>
      </c>
      <c r="AA194" s="115" t="str">
        <f>IF(G194="shared-count-once",COUNTIFS($A$2:$A$287,A194,$B$2:$B$287,B194,$D$2:$D$287,D194),1)</f>
      </c>
      <c r="AB194" s="116" t="n">
        <v>306964650.16712</v>
      </c>
      <c r="AC194" s="117" t="str">
        <f>IF(AB194=0,"",Q194/AB194)</f>
      </c>
      <c r="AD194" s="118" t="str">
        <f>IF(AB194=0,"",R194/AB194)</f>
      </c>
      <c r="AE194" s="119" t="str">
        <f>IF(AB194=0,"",S194/AB194)</f>
      </c>
      <c r="AF194" s="120" t="str">
        <f>IF(AB194=0,"",W194/AB194)</f>
      </c>
    </row>
    <row r="195">
      <c r="A195" t="s">
        <v>116</v>
      </c>
      <c r="B195" s="93" t="n">
        <v>2036</v>
      </c>
      <c r="C195" t="s">
        <v>219</v>
      </c>
      <c r="D195" s="94" t="s">
        <v>392</v>
      </c>
      <c r="E195" s="95" t="s">
        <v>393</v>
      </c>
      <c r="F195" s="96" t="s">
        <v>230</v>
      </c>
      <c r="G195" s="97" t="s">
        <v>394</v>
      </c>
      <c r="H195" s="98" t="s">
        <v>396</v>
      </c>
      <c r="I195" s="99" t="n">
        <v>1</v>
      </c>
      <c r="J195" s="100" t="n">
        <v>1</v>
      </c>
      <c r="K195" s="101" t="n">
        <v>0.04</v>
      </c>
      <c r="L195" s="102" t="n">
        <v>311187213.367099</v>
      </c>
      <c r="M195" s="103" t="n">
        <v>310769483.46493</v>
      </c>
      <c r="N195" s="104" t="str">
        <f>MIN(MAX((B195-'Calculation_Assumptions'!$B$5+1)/'Calculation_Assumptions'!$B$7,0),1)</f>
      </c>
      <c r="O195" s="105" t="str">
        <f>L195*I195</f>
      </c>
      <c r="P195" s="106" t="str">
        <f>M195*I195</f>
      </c>
      <c r="Q195" s="107" t="str">
        <f>P195*'Calculation_Assumptions'!$B$14*J195*K195</f>
      </c>
      <c r="R195" s="108" t="str">
        <f>O195*N195*J195*K195</f>
      </c>
      <c r="S195" s="109" t="str">
        <f>R195-Q195</f>
      </c>
      <c r="T195" s="110" t="str">
        <f>1/(1+'Calculation_Assumptions'!$B$8)^(B195-'Calculation_Assumptions'!$B$2)</f>
      </c>
      <c r="U195" s="111" t="str">
        <f>Q195*T195</f>
      </c>
      <c r="V195" s="112" t="str">
        <f>R195*T195</f>
      </c>
      <c r="W195" s="113" t="str">
        <f>S195*T195</f>
      </c>
      <c r="X195" t="n">
        <v>0</v>
      </c>
      <c r="Y195" s="114" t="n">
        <v>2017</v>
      </c>
      <c r="Z195" t="s">
        <v>399</v>
      </c>
      <c r="AA195" s="115" t="str">
        <f>IF(G195="shared-count-once",COUNTIFS($A$2:$A$287,A195,$B$2:$B$287,B195,$D$2:$D$287,D195),1)</f>
      </c>
      <c r="AB195" s="116" t="n">
        <v>308542769.756622</v>
      </c>
      <c r="AC195" s="117" t="str">
        <f>IF(AB195=0,"",Q195/AB195)</f>
      </c>
      <c r="AD195" s="118" t="str">
        <f>IF(AB195=0,"",R195/AB195)</f>
      </c>
      <c r="AE195" s="119" t="str">
        <f>IF(AB195=0,"",S195/AB195)</f>
      </c>
      <c r="AF195" s="120" t="str">
        <f>IF(AB195=0,"",W195/AB195)</f>
      </c>
    </row>
    <row r="196">
      <c r="A196" t="s">
        <v>116</v>
      </c>
      <c r="B196" s="93" t="n">
        <v>2037</v>
      </c>
      <c r="C196" t="s">
        <v>219</v>
      </c>
      <c r="D196" s="94" t="s">
        <v>392</v>
      </c>
      <c r="E196" s="95" t="s">
        <v>393</v>
      </c>
      <c r="F196" s="96" t="s">
        <v>230</v>
      </c>
      <c r="G196" s="97" t="s">
        <v>394</v>
      </c>
      <c r="H196" s="98" t="s">
        <v>396</v>
      </c>
      <c r="I196" s="99" t="n">
        <v>1</v>
      </c>
      <c r="J196" s="100" t="n">
        <v>1</v>
      </c>
      <c r="K196" s="101" t="n">
        <v>0.04</v>
      </c>
      <c r="L196" s="102" t="n">
        <v>312691098.463481</v>
      </c>
      <c r="M196" s="103" t="n">
        <v>312262197.186949</v>
      </c>
      <c r="N196" s="104" t="str">
        <f>MIN(MAX((B196-'Calculation_Assumptions'!$B$5+1)/'Calculation_Assumptions'!$B$7,0),1)</f>
      </c>
      <c r="O196" s="105" t="str">
        <f>L196*I196</f>
      </c>
      <c r="P196" s="106" t="str">
        <f>M196*I196</f>
      </c>
      <c r="Q196" s="107" t="str">
        <f>P196*'Calculation_Assumptions'!$B$14*J196*K196</f>
      </c>
      <c r="R196" s="108" t="str">
        <f>O196*N196*J196*K196</f>
      </c>
      <c r="S196" s="109" t="str">
        <f>R196-Q196</f>
      </c>
      <c r="T196" s="110" t="str">
        <f>1/(1+'Calculation_Assumptions'!$B$8)^(B196-'Calculation_Assumptions'!$B$2)</f>
      </c>
      <c r="U196" s="111" t="str">
        <f>Q196*T196</f>
      </c>
      <c r="V196" s="112" t="str">
        <f>R196*T196</f>
      </c>
      <c r="W196" s="113" t="str">
        <f>S196*T196</f>
      </c>
      <c r="X196" t="n">
        <v>0</v>
      </c>
      <c r="Y196" s="114" t="n">
        <v>2017</v>
      </c>
      <c r="Z196" t="s">
        <v>399</v>
      </c>
      <c r="AA196" s="115" t="str">
        <f>IF(G196="shared-count-once",COUNTIFS($A$2:$A$287,A196,$B$2:$B$287,B196,$D$2:$D$287,D196),1)</f>
      </c>
      <c r="AB196" s="116" t="n">
        <v>310068287.63643</v>
      </c>
      <c r="AC196" s="117" t="str">
        <f>IF(AB196=0,"",Q196/AB196)</f>
      </c>
      <c r="AD196" s="118" t="str">
        <f>IF(AB196=0,"",R196/AB196)</f>
      </c>
      <c r="AE196" s="119" t="str">
        <f>IF(AB196=0,"",S196/AB196)</f>
      </c>
      <c r="AF196" s="120" t="str">
        <f>IF(AB196=0,"",W196/AB196)</f>
      </c>
    </row>
    <row r="197">
      <c r="A197" t="s">
        <v>116</v>
      </c>
      <c r="B197" s="93" t="n">
        <v>2038</v>
      </c>
      <c r="C197" t="s">
        <v>219</v>
      </c>
      <c r="D197" s="94" t="s">
        <v>392</v>
      </c>
      <c r="E197" s="95" t="s">
        <v>393</v>
      </c>
      <c r="F197" s="96" t="s">
        <v>230</v>
      </c>
      <c r="G197" s="97" t="s">
        <v>394</v>
      </c>
      <c r="H197" s="98" t="s">
        <v>396</v>
      </c>
      <c r="I197" s="99" t="n">
        <v>1</v>
      </c>
      <c r="J197" s="100" t="n">
        <v>1</v>
      </c>
      <c r="K197" s="101" t="n">
        <v>0.04</v>
      </c>
      <c r="L197" s="102" t="n">
        <v>314171327.455626</v>
      </c>
      <c r="M197" s="103" t="n">
        <v>313730463.490198</v>
      </c>
      <c r="N197" s="104" t="str">
        <f>MIN(MAX((B197-'Calculation_Assumptions'!$B$5+1)/'Calculation_Assumptions'!$B$7,0),1)</f>
      </c>
      <c r="O197" s="105" t="str">
        <f>L197*I197</f>
      </c>
      <c r="P197" s="106" t="str">
        <f>M197*I197</f>
      </c>
      <c r="Q197" s="107" t="str">
        <f>P197*'Calculation_Assumptions'!$B$14*J197*K197</f>
      </c>
      <c r="R197" s="108" t="str">
        <f>O197*N197*J197*K197</f>
      </c>
      <c r="S197" s="109" t="str">
        <f>R197-Q197</f>
      </c>
      <c r="T197" s="110" t="str">
        <f>1/(1+'Calculation_Assumptions'!$B$8)^(B197-'Calculation_Assumptions'!$B$2)</f>
      </c>
      <c r="U197" s="111" t="str">
        <f>Q197*T197</f>
      </c>
      <c r="V197" s="112" t="str">
        <f>R197*T197</f>
      </c>
      <c r="W197" s="113" t="str">
        <f>S197*T197</f>
      </c>
      <c r="X197" t="n">
        <v>0</v>
      </c>
      <c r="Y197" s="114" t="n">
        <v>2017</v>
      </c>
      <c r="Z197" t="s">
        <v>399</v>
      </c>
      <c r="AA197" s="115" t="str">
        <f>IF(G197="shared-count-once",COUNTIFS($A$2:$A$287,A197,$B$2:$B$287,B197,$D$2:$D$287,D197),1)</f>
      </c>
      <c r="AB197" s="116" t="n">
        <v>311532999.13163</v>
      </c>
      <c r="AC197" s="117" t="str">
        <f>IF(AB197=0,"",Q197/AB197)</f>
      </c>
      <c r="AD197" s="118" t="str">
        <f>IF(AB197=0,"",R197/AB197)</f>
      </c>
      <c r="AE197" s="119" t="str">
        <f>IF(AB197=0,"",S197/AB197)</f>
      </c>
      <c r="AF197" s="120" t="str">
        <f>IF(AB197=0,"",W197/AB197)</f>
      </c>
    </row>
    <row r="198">
      <c r="A198" t="s">
        <v>116</v>
      </c>
      <c r="B198" s="93" t="n">
        <v>2039</v>
      </c>
      <c r="C198" t="s">
        <v>219</v>
      </c>
      <c r="D198" s="94" t="s">
        <v>392</v>
      </c>
      <c r="E198" s="95" t="s">
        <v>393</v>
      </c>
      <c r="F198" s="96" t="s">
        <v>230</v>
      </c>
      <c r="G198" s="97" t="s">
        <v>394</v>
      </c>
      <c r="H198" s="98" t="s">
        <v>396</v>
      </c>
      <c r="I198" s="99" t="n">
        <v>1</v>
      </c>
      <c r="J198" s="100" t="n">
        <v>1</v>
      </c>
      <c r="K198" s="101" t="n">
        <v>0.04</v>
      </c>
      <c r="L198" s="102" t="n">
        <v>315572814.49585</v>
      </c>
      <c r="M198" s="103" t="n">
        <v>315115398.935154</v>
      </c>
      <c r="N198" s="104" t="str">
        <f>MIN(MAX((B198-'Calculation_Assumptions'!$B$5+1)/'Calculation_Assumptions'!$B$7,0),1)</f>
      </c>
      <c r="O198" s="105" t="str">
        <f>L198*I198</f>
      </c>
      <c r="P198" s="106" t="str">
        <f>M198*I198</f>
      </c>
      <c r="Q198" s="107" t="str">
        <f>P198*'Calculation_Assumptions'!$B$14*J198*K198</f>
      </c>
      <c r="R198" s="108" t="str">
        <f>O198*N198*J198*K198</f>
      </c>
      <c r="S198" s="109" t="str">
        <f>R198-Q198</f>
      </c>
      <c r="T198" s="110" t="str">
        <f>1/(1+'Calculation_Assumptions'!$B$8)^(B198-'Calculation_Assumptions'!$B$2)</f>
      </c>
      <c r="U198" s="111" t="str">
        <f>Q198*T198</f>
      </c>
      <c r="V198" s="112" t="str">
        <f>R198*T198</f>
      </c>
      <c r="W198" s="113" t="str">
        <f>S198*T198</f>
      </c>
      <c r="X198" t="n">
        <v>0</v>
      </c>
      <c r="Y198" s="114" t="n">
        <v>2017</v>
      </c>
      <c r="Z198" t="s">
        <v>399</v>
      </c>
      <c r="AA198" s="115" t="str">
        <f>IF(G198="shared-count-once",COUNTIFS($A$2:$A$287,A198,$B$2:$B$287,B198,$D$2:$D$287,D198),1)</f>
      </c>
      <c r="AB198" s="116" t="n">
        <v>312936391.858479</v>
      </c>
      <c r="AC198" s="117" t="str">
        <f>IF(AB198=0,"",Q198/AB198)</f>
      </c>
      <c r="AD198" s="118" t="str">
        <f>IF(AB198=0,"",R198/AB198)</f>
      </c>
      <c r="AE198" s="119" t="str">
        <f>IF(AB198=0,"",S198/AB198)</f>
      </c>
      <c r="AF198" s="120" t="str">
        <f>IF(AB198=0,"",W198/AB198)</f>
      </c>
    </row>
    <row r="199">
      <c r="A199" t="s">
        <v>116</v>
      </c>
      <c r="B199" s="93" t="n">
        <v>2040</v>
      </c>
      <c r="C199" t="s">
        <v>219</v>
      </c>
      <c r="D199" s="94" t="s">
        <v>392</v>
      </c>
      <c r="E199" s="95" t="s">
        <v>393</v>
      </c>
      <c r="F199" s="96" t="s">
        <v>230</v>
      </c>
      <c r="G199" s="97" t="s">
        <v>394</v>
      </c>
      <c r="H199" s="98" t="s">
        <v>396</v>
      </c>
      <c r="I199" s="99" t="n">
        <v>1</v>
      </c>
      <c r="J199" s="100" t="n">
        <v>1</v>
      </c>
      <c r="K199" s="101" t="n">
        <v>0.04</v>
      </c>
      <c r="L199" s="102" t="n">
        <v>316907611.255135</v>
      </c>
      <c r="M199" s="103" t="n">
        <v>316427530.0167</v>
      </c>
      <c r="N199" s="104" t="str">
        <f>MIN(MAX((B199-'Calculation_Assumptions'!$B$5+1)/'Calculation_Assumptions'!$B$7,0),1)</f>
      </c>
      <c r="O199" s="105" t="str">
        <f>L199*I199</f>
      </c>
      <c r="P199" s="106" t="str">
        <f>M199*I199</f>
      </c>
      <c r="Q199" s="107" t="str">
        <f>P199*'Calculation_Assumptions'!$B$14*J199*K199</f>
      </c>
      <c r="R199" s="108" t="str">
        <f>O199*N199*J199*K199</f>
      </c>
      <c r="S199" s="109" t="str">
        <f>R199-Q199</f>
      </c>
      <c r="T199" s="110" t="str">
        <f>1/(1+'Calculation_Assumptions'!$B$8)^(B199-'Calculation_Assumptions'!$B$2)</f>
      </c>
      <c r="U199" s="111" t="str">
        <f>Q199*T199</f>
      </c>
      <c r="V199" s="112" t="str">
        <f>R199*T199</f>
      </c>
      <c r="W199" s="113" t="str">
        <f>S199*T199</f>
      </c>
      <c r="X199" t="n">
        <v>0</v>
      </c>
      <c r="Y199" s="114" t="n">
        <v>2017</v>
      </c>
      <c r="Z199" t="s">
        <v>399</v>
      </c>
      <c r="AA199" s="115" t="str">
        <f>IF(G199="shared-count-once",COUNTIFS($A$2:$A$287,A199,$B$2:$B$287,B199,$D$2:$D$287,D199),1)</f>
      </c>
      <c r="AB199" s="116" t="n">
        <v>314265537.410829</v>
      </c>
      <c r="AC199" s="117" t="str">
        <f>IF(AB199=0,"",Q199/AB199)</f>
      </c>
      <c r="AD199" s="118" t="str">
        <f>IF(AB199=0,"",R199/AB199)</f>
      </c>
      <c r="AE199" s="119" t="str">
        <f>IF(AB199=0,"",S199/AB199)</f>
      </c>
      <c r="AF199" s="120" t="str">
        <f>IF(AB199=0,"",W199/AB199)</f>
      </c>
    </row>
    <row r="200">
      <c r="A200" t="s">
        <v>116</v>
      </c>
      <c r="B200" s="93" t="n">
        <v>2041</v>
      </c>
      <c r="C200" t="s">
        <v>219</v>
      </c>
      <c r="D200" s="94" t="s">
        <v>392</v>
      </c>
      <c r="E200" s="95" t="s">
        <v>393</v>
      </c>
      <c r="F200" s="96" t="s">
        <v>230</v>
      </c>
      <c r="G200" s="97" t="s">
        <v>394</v>
      </c>
      <c r="H200" s="98" t="s">
        <v>396</v>
      </c>
      <c r="I200" s="99" t="n">
        <v>1</v>
      </c>
      <c r="J200" s="100" t="n">
        <v>1</v>
      </c>
      <c r="K200" s="101" t="n">
        <v>0.04</v>
      </c>
      <c r="L200" s="102" t="n">
        <v>318179990.818572</v>
      </c>
      <c r="M200" s="103" t="n">
        <v>317614843.247219</v>
      </c>
      <c r="N200" s="104" t="str">
        <f>MIN(MAX((B200-'Calculation_Assumptions'!$B$5+1)/'Calculation_Assumptions'!$B$7,0),1)</f>
      </c>
      <c r="O200" s="105" t="str">
        <f>L200*I200</f>
      </c>
      <c r="P200" s="106" t="str">
        <f>M200*I200</f>
      </c>
      <c r="Q200" s="107" t="str">
        <f>P200*'Calculation_Assumptions'!$B$14*J200*K200</f>
      </c>
      <c r="R200" s="108" t="str">
        <f>O200*N200*J200*K200</f>
      </c>
      <c r="S200" s="109" t="str">
        <f>R200-Q200</f>
      </c>
      <c r="T200" s="110" t="str">
        <f>1/(1+'Calculation_Assumptions'!$B$8)^(B200-'Calculation_Assumptions'!$B$2)</f>
      </c>
      <c r="U200" s="111" t="str">
        <f>Q200*T200</f>
      </c>
      <c r="V200" s="112" t="str">
        <f>R200*T200</f>
      </c>
      <c r="W200" s="113" t="str">
        <f>S200*T200</f>
      </c>
      <c r="X200" t="n">
        <v>0</v>
      </c>
      <c r="Y200" s="114" t="n">
        <v>2017</v>
      </c>
      <c r="Z200" t="s">
        <v>399</v>
      </c>
      <c r="AA200" s="115" t="str">
        <f>IF(G200="shared-count-once",COUNTIFS($A$2:$A$287,A200,$B$2:$B$287,B200,$D$2:$D$287,D200),1)</f>
      </c>
      <c r="AB200" s="116" t="n">
        <v>315525215.312548</v>
      </c>
      <c r="AC200" s="117" t="str">
        <f>IF(AB200=0,"",Q200/AB200)</f>
      </c>
      <c r="AD200" s="118" t="str">
        <f>IF(AB200=0,"",R200/AB200)</f>
      </c>
      <c r="AE200" s="119" t="str">
        <f>IF(AB200=0,"",S200/AB200)</f>
      </c>
      <c r="AF200" s="120" t="str">
        <f>IF(AB200=0,"",W200/AB200)</f>
      </c>
    </row>
    <row r="201">
      <c r="A201" t="s">
        <v>116</v>
      </c>
      <c r="B201" s="93" t="n">
        <v>2042</v>
      </c>
      <c r="C201" t="s">
        <v>219</v>
      </c>
      <c r="D201" s="94" t="s">
        <v>392</v>
      </c>
      <c r="E201" s="95" t="s">
        <v>393</v>
      </c>
      <c r="F201" s="96" t="s">
        <v>230</v>
      </c>
      <c r="G201" s="97" t="s">
        <v>394</v>
      </c>
      <c r="H201" s="98" t="s">
        <v>396</v>
      </c>
      <c r="I201" s="99" t="n">
        <v>1</v>
      </c>
      <c r="J201" s="100" t="n">
        <v>1</v>
      </c>
      <c r="K201" s="101" t="n">
        <v>0.04</v>
      </c>
      <c r="L201" s="102" t="n">
        <v>319316687.234113</v>
      </c>
      <c r="M201" s="103" t="n">
        <v>318781045.920738</v>
      </c>
      <c r="N201" s="104" t="str">
        <f>MIN(MAX((B201-'Calculation_Assumptions'!$B$5+1)/'Calculation_Assumptions'!$B$7,0),1)</f>
      </c>
      <c r="O201" s="105" t="str">
        <f>L201*I201</f>
      </c>
      <c r="P201" s="106" t="str">
        <f>M201*I201</f>
      </c>
      <c r="Q201" s="107" t="str">
        <f>P201*'Calculation_Assumptions'!$B$14*J201*K201</f>
      </c>
      <c r="R201" s="108" t="str">
        <f>O201*N201*J201*K201</f>
      </c>
      <c r="S201" s="109" t="str">
        <f>R201-Q201</f>
      </c>
      <c r="T201" s="110" t="str">
        <f>1/(1+'Calculation_Assumptions'!$B$8)^(B201-'Calculation_Assumptions'!$B$2)</f>
      </c>
      <c r="U201" s="111" t="str">
        <f>Q201*T201</f>
      </c>
      <c r="V201" s="112" t="str">
        <f>R201*T201</f>
      </c>
      <c r="W201" s="113" t="str">
        <f>S201*T201</f>
      </c>
      <c r="X201" t="n">
        <v>0</v>
      </c>
      <c r="Y201" s="114" t="n">
        <v>2017</v>
      </c>
      <c r="Z201" t="s">
        <v>399</v>
      </c>
      <c r="AA201" s="115" t="str">
        <f>IF(G201="shared-count-once",COUNTIFS($A$2:$A$287,A201,$B$2:$B$287,B201,$D$2:$D$287,D201),1)</f>
      </c>
      <c r="AB201" s="116" t="n">
        <v>316707694.211882</v>
      </c>
      <c r="AC201" s="117" t="str">
        <f>IF(AB201=0,"",Q201/AB201)</f>
      </c>
      <c r="AD201" s="118" t="str">
        <f>IF(AB201=0,"",R201/AB201)</f>
      </c>
      <c r="AE201" s="119" t="str">
        <f>IF(AB201=0,"",S201/AB201)</f>
      </c>
      <c r="AF201" s="120" t="str">
        <f>IF(AB201=0,"",W201/AB201)</f>
      </c>
    </row>
    <row r="202">
      <c r="A202" t="s">
        <v>116</v>
      </c>
      <c r="B202" s="93" t="n">
        <v>2043</v>
      </c>
      <c r="C202" t="s">
        <v>219</v>
      </c>
      <c r="D202" s="94" t="s">
        <v>392</v>
      </c>
      <c r="E202" s="95" t="s">
        <v>393</v>
      </c>
      <c r="F202" s="96" t="s">
        <v>230</v>
      </c>
      <c r="G202" s="97" t="s">
        <v>394</v>
      </c>
      <c r="H202" s="98" t="s">
        <v>396</v>
      </c>
      <c r="I202" s="99" t="n">
        <v>1</v>
      </c>
      <c r="J202" s="100" t="n">
        <v>1</v>
      </c>
      <c r="K202" s="101" t="n">
        <v>0.04</v>
      </c>
      <c r="L202" s="102" t="n">
        <v>320438699.530746</v>
      </c>
      <c r="M202" s="103" t="n">
        <v>319872275.594712</v>
      </c>
      <c r="N202" s="104" t="str">
        <f>MIN(MAX((B202-'Calculation_Assumptions'!$B$5+1)/'Calculation_Assumptions'!$B$7,0),1)</f>
      </c>
      <c r="O202" s="105" t="str">
        <f>L202*I202</f>
      </c>
      <c r="P202" s="106" t="str">
        <f>M202*I202</f>
      </c>
      <c r="Q202" s="107" t="str">
        <f>P202*'Calculation_Assumptions'!$B$14*J202*K202</f>
      </c>
      <c r="R202" s="108" t="str">
        <f>O202*N202*J202*K202</f>
      </c>
      <c r="S202" s="109" t="str">
        <f>R202-Q202</f>
      </c>
      <c r="T202" s="110" t="str">
        <f>1/(1+'Calculation_Assumptions'!$B$8)^(B202-'Calculation_Assumptions'!$B$2)</f>
      </c>
      <c r="U202" s="111" t="str">
        <f>Q202*T202</f>
      </c>
      <c r="V202" s="112" t="str">
        <f>R202*T202</f>
      </c>
      <c r="W202" s="113" t="str">
        <f>S202*T202</f>
      </c>
      <c r="X202" t="n">
        <v>0</v>
      </c>
      <c r="Y202" s="114" t="n">
        <v>2017</v>
      </c>
      <c r="Z202" t="s">
        <v>399</v>
      </c>
      <c r="AA202" s="115" t="str">
        <f>IF(G202="shared-count-once",COUNTIFS($A$2:$A$287,A202,$B$2:$B$287,B202,$D$2:$D$287,D202),1)</f>
      </c>
      <c r="AB202" s="116" t="n">
        <v>317814114.067152</v>
      </c>
      <c r="AC202" s="117" t="str">
        <f>IF(AB202=0,"",Q202/AB202)</f>
      </c>
      <c r="AD202" s="118" t="str">
        <f>IF(AB202=0,"",R202/AB202)</f>
      </c>
      <c r="AE202" s="119" t="str">
        <f>IF(AB202=0,"",S202/AB202)</f>
      </c>
      <c r="AF202" s="120" t="str">
        <f>IF(AB202=0,"",W202/AB202)</f>
      </c>
    </row>
    <row r="203">
      <c r="A203" t="s">
        <v>116</v>
      </c>
      <c r="B203" s="93" t="n">
        <v>2044</v>
      </c>
      <c r="C203" t="s">
        <v>219</v>
      </c>
      <c r="D203" s="94" t="s">
        <v>392</v>
      </c>
      <c r="E203" s="95" t="s">
        <v>393</v>
      </c>
      <c r="F203" s="96" t="s">
        <v>230</v>
      </c>
      <c r="G203" s="97" t="s">
        <v>394</v>
      </c>
      <c r="H203" s="98" t="s">
        <v>396</v>
      </c>
      <c r="I203" s="99" t="n">
        <v>1</v>
      </c>
      <c r="J203" s="100" t="n">
        <v>1</v>
      </c>
      <c r="K203" s="101" t="n">
        <v>0.04</v>
      </c>
      <c r="L203" s="102" t="n">
        <v>321495564.591722</v>
      </c>
      <c r="M203" s="103" t="n">
        <v>320897722.542069</v>
      </c>
      <c r="N203" s="104" t="str">
        <f>MIN(MAX((B203-'Calculation_Assumptions'!$B$5+1)/'Calculation_Assumptions'!$B$7,0),1)</f>
      </c>
      <c r="O203" s="105" t="str">
        <f>L203*I203</f>
      </c>
      <c r="P203" s="106" t="str">
        <f>M203*I203</f>
      </c>
      <c r="Q203" s="107" t="str">
        <f>P203*'Calculation_Assumptions'!$B$14*J203*K203</f>
      </c>
      <c r="R203" s="108" t="str">
        <f>O203*N203*J203*K203</f>
      </c>
      <c r="S203" s="109" t="str">
        <f>R203-Q203</f>
      </c>
      <c r="T203" s="110" t="str">
        <f>1/(1+'Calculation_Assumptions'!$B$8)^(B203-'Calculation_Assumptions'!$B$2)</f>
      </c>
      <c r="U203" s="111" t="str">
        <f>Q203*T203</f>
      </c>
      <c r="V203" s="112" t="str">
        <f>R203*T203</f>
      </c>
      <c r="W203" s="113" t="str">
        <f>S203*T203</f>
      </c>
      <c r="X203" t="n">
        <v>0</v>
      </c>
      <c r="Y203" s="114" t="n">
        <v>2017</v>
      </c>
      <c r="Z203" t="s">
        <v>399</v>
      </c>
      <c r="AA203" s="115" t="str">
        <f>IF(G203="shared-count-once",COUNTIFS($A$2:$A$287,A203,$B$2:$B$287,B203,$D$2:$D$287,D203),1)</f>
      </c>
      <c r="AB203" s="116" t="n">
        <v>318840890.732156</v>
      </c>
      <c r="AC203" s="117" t="str">
        <f>IF(AB203=0,"",Q203/AB203)</f>
      </c>
      <c r="AD203" s="118" t="str">
        <f>IF(AB203=0,"",R203/AB203)</f>
      </c>
      <c r="AE203" s="119" t="str">
        <f>IF(AB203=0,"",S203/AB203)</f>
      </c>
      <c r="AF203" s="120" t="str">
        <f>IF(AB203=0,"",W203/AB203)</f>
      </c>
    </row>
    <row r="204">
      <c r="A204" t="s">
        <v>116</v>
      </c>
      <c r="B204" s="93" t="n">
        <v>2045</v>
      </c>
      <c r="C204" t="s">
        <v>219</v>
      </c>
      <c r="D204" s="94" t="s">
        <v>392</v>
      </c>
      <c r="E204" s="95" t="s">
        <v>393</v>
      </c>
      <c r="F204" s="96" t="s">
        <v>230</v>
      </c>
      <c r="G204" s="97" t="s">
        <v>394</v>
      </c>
      <c r="H204" s="98" t="s">
        <v>396</v>
      </c>
      <c r="I204" s="99" t="n">
        <v>1</v>
      </c>
      <c r="J204" s="100" t="n">
        <v>1</v>
      </c>
      <c r="K204" s="101" t="n">
        <v>0.04</v>
      </c>
      <c r="L204" s="102" t="n">
        <v>322462168.543824</v>
      </c>
      <c r="M204" s="103" t="n">
        <v>321832323.778944</v>
      </c>
      <c r="N204" s="104" t="str">
        <f>MIN(MAX((B204-'Calculation_Assumptions'!$B$5+1)/'Calculation_Assumptions'!$B$7,0),1)</f>
      </c>
      <c r="O204" s="105" t="str">
        <f>L204*I204</f>
      </c>
      <c r="P204" s="106" t="str">
        <f>M204*I204</f>
      </c>
      <c r="Q204" s="107" t="str">
        <f>P204*'Calculation_Assumptions'!$B$14*J204*K204</f>
      </c>
      <c r="R204" s="108" t="str">
        <f>O204*N204*J204*K204</f>
      </c>
      <c r="S204" s="109" t="str">
        <f>R204-Q204</f>
      </c>
      <c r="T204" s="110" t="str">
        <f>1/(1+'Calculation_Assumptions'!$B$8)^(B204-'Calculation_Assumptions'!$B$2)</f>
      </c>
      <c r="U204" s="111" t="str">
        <f>Q204*T204</f>
      </c>
      <c r="V204" s="112" t="str">
        <f>R204*T204</f>
      </c>
      <c r="W204" s="113" t="str">
        <f>S204*T204</f>
      </c>
      <c r="X204" t="n">
        <v>0</v>
      </c>
      <c r="Y204" s="114" t="n">
        <v>2017</v>
      </c>
      <c r="Z204" t="s">
        <v>399</v>
      </c>
      <c r="AA204" s="115" t="str">
        <f>IF(G204="shared-count-once",COUNTIFS($A$2:$A$287,A204,$B$2:$B$287,B204,$D$2:$D$287,D204),1)</f>
      </c>
      <c r="AB204" s="116" t="n">
        <v>319784682.33108</v>
      </c>
      <c r="AC204" s="117" t="str">
        <f>IF(AB204=0,"",Q204/AB204)</f>
      </c>
      <c r="AD204" s="118" t="str">
        <f>IF(AB204=0,"",R204/AB204)</f>
      </c>
      <c r="AE204" s="119" t="str">
        <f>IF(AB204=0,"",S204/AB204)</f>
      </c>
      <c r="AF204" s="120" t="str">
        <f>IF(AB204=0,"",W204/AB204)</f>
      </c>
    </row>
    <row r="205">
      <c r="A205" t="s">
        <v>116</v>
      </c>
      <c r="B205" s="93" t="n">
        <v>2046</v>
      </c>
      <c r="C205" t="s">
        <v>219</v>
      </c>
      <c r="D205" s="94" t="s">
        <v>392</v>
      </c>
      <c r="E205" s="95" t="s">
        <v>393</v>
      </c>
      <c r="F205" s="96" t="s">
        <v>230</v>
      </c>
      <c r="G205" s="97" t="s">
        <v>394</v>
      </c>
      <c r="H205" s="98" t="s">
        <v>396</v>
      </c>
      <c r="I205" s="99" t="n">
        <v>1</v>
      </c>
      <c r="J205" s="100" t="n">
        <v>1</v>
      </c>
      <c r="K205" s="101" t="n">
        <v>0.04</v>
      </c>
      <c r="L205" s="102" t="n">
        <v>323319024.980535</v>
      </c>
      <c r="M205" s="103" t="n">
        <v>322683379.427444</v>
      </c>
      <c r="N205" s="104" t="str">
        <f>MIN(MAX((B205-'Calculation_Assumptions'!$B$5+1)/'Calculation_Assumptions'!$B$7,0),1)</f>
      </c>
      <c r="O205" s="105" t="str">
        <f>L205*I205</f>
      </c>
      <c r="P205" s="106" t="str">
        <f>M205*I205</f>
      </c>
      <c r="Q205" s="107" t="str">
        <f>P205*'Calculation_Assumptions'!$B$14*J205*K205</f>
      </c>
      <c r="R205" s="108" t="str">
        <f>O205*N205*J205*K205</f>
      </c>
      <c r="S205" s="109" t="str">
        <f>R205-Q205</f>
      </c>
      <c r="T205" s="110" t="str">
        <f>1/(1+'Calculation_Assumptions'!$B$8)^(B205-'Calculation_Assumptions'!$B$2)</f>
      </c>
      <c r="U205" s="111" t="str">
        <f>Q205*T205</f>
      </c>
      <c r="V205" s="112" t="str">
        <f>R205*T205</f>
      </c>
      <c r="W205" s="113" t="str">
        <f>S205*T205</f>
      </c>
      <c r="X205" t="n">
        <v>0</v>
      </c>
      <c r="Y205" s="114" t="n">
        <v>2017</v>
      </c>
      <c r="Z205" t="s">
        <v>399</v>
      </c>
      <c r="AA205" s="115" t="str">
        <f>IF(G205="shared-count-once",COUNTIFS($A$2:$A$287,A205,$B$2:$B$287,B205,$D$2:$D$287,D205),1)</f>
      </c>
      <c r="AB205" s="116" t="n">
        <v>320645615.981408</v>
      </c>
      <c r="AC205" s="117" t="str">
        <f>IF(AB205=0,"",Q205/AB205)</f>
      </c>
      <c r="AD205" s="118" t="str">
        <f>IF(AB205=0,"",R205/AB205)</f>
      </c>
      <c r="AE205" s="119" t="str">
        <f>IF(AB205=0,"",S205/AB205)</f>
      </c>
      <c r="AF205" s="120" t="str">
        <f>IF(AB205=0,"",W205/AB205)</f>
      </c>
    </row>
    <row r="206">
      <c r="A206" t="s">
        <v>116</v>
      </c>
      <c r="B206" s="93" t="n">
        <v>2047</v>
      </c>
      <c r="C206" t="s">
        <v>219</v>
      </c>
      <c r="D206" s="94" t="s">
        <v>392</v>
      </c>
      <c r="E206" s="95" t="s">
        <v>393</v>
      </c>
      <c r="F206" s="96" t="s">
        <v>230</v>
      </c>
      <c r="G206" s="97" t="s">
        <v>394</v>
      </c>
      <c r="H206" s="98" t="s">
        <v>396</v>
      </c>
      <c r="I206" s="99" t="n">
        <v>1</v>
      </c>
      <c r="J206" s="100" t="n">
        <v>1</v>
      </c>
      <c r="K206" s="101" t="n">
        <v>0.04</v>
      </c>
      <c r="L206" s="102" t="n">
        <v>324141500.683217</v>
      </c>
      <c r="M206" s="103" t="n">
        <v>323457177.765372</v>
      </c>
      <c r="N206" s="104" t="str">
        <f>MIN(MAX((B206-'Calculation_Assumptions'!$B$5+1)/'Calculation_Assumptions'!$B$7,0),1)</f>
      </c>
      <c r="O206" s="105" t="str">
        <f>L206*I206</f>
      </c>
      <c r="P206" s="106" t="str">
        <f>M206*I206</f>
      </c>
      <c r="Q206" s="107" t="str">
        <f>P206*'Calculation_Assumptions'!$B$14*J206*K206</f>
      </c>
      <c r="R206" s="108" t="str">
        <f>O206*N206*J206*K206</f>
      </c>
      <c r="S206" s="109" t="str">
        <f>R206-Q206</f>
      </c>
      <c r="T206" s="110" t="str">
        <f>1/(1+'Calculation_Assumptions'!$B$8)^(B206-'Calculation_Assumptions'!$B$2)</f>
      </c>
      <c r="U206" s="111" t="str">
        <f>Q206*T206</f>
      </c>
      <c r="V206" s="112" t="str">
        <f>R206*T206</f>
      </c>
      <c r="W206" s="113" t="str">
        <f>S206*T206</f>
      </c>
      <c r="X206" t="n">
        <v>0</v>
      </c>
      <c r="Y206" s="114" t="n">
        <v>2017</v>
      </c>
      <c r="Z206" t="s">
        <v>399</v>
      </c>
      <c r="AA206" s="115" t="str">
        <f>IF(G206="shared-count-once",COUNTIFS($A$2:$A$287,A206,$B$2:$B$287,B206,$D$2:$D$287,D206),1)</f>
      </c>
      <c r="AB206" s="116" t="n">
        <v>321429520.522875</v>
      </c>
      <c r="AC206" s="117" t="str">
        <f>IF(AB206=0,"",Q206/AB206)</f>
      </c>
      <c r="AD206" s="118" t="str">
        <f>IF(AB206=0,"",R206/AB206)</f>
      </c>
      <c r="AE206" s="119" t="str">
        <f>IF(AB206=0,"",S206/AB206)</f>
      </c>
      <c r="AF206" s="120" t="str">
        <f>IF(AB206=0,"",W206/AB206)</f>
      </c>
    </row>
    <row r="207">
      <c r="A207" t="s">
        <v>116</v>
      </c>
      <c r="B207" s="93" t="n">
        <v>2048</v>
      </c>
      <c r="C207" t="s">
        <v>219</v>
      </c>
      <c r="D207" s="94" t="s">
        <v>392</v>
      </c>
      <c r="E207" s="95" t="s">
        <v>393</v>
      </c>
      <c r="F207" s="96" t="s">
        <v>230</v>
      </c>
      <c r="G207" s="97" t="s">
        <v>394</v>
      </c>
      <c r="H207" s="98" t="s">
        <v>396</v>
      </c>
      <c r="I207" s="99" t="n">
        <v>1</v>
      </c>
      <c r="J207" s="100" t="n">
        <v>1</v>
      </c>
      <c r="K207" s="101" t="n">
        <v>0.04</v>
      </c>
      <c r="L207" s="102" t="n">
        <v>324874886.08358</v>
      </c>
      <c r="M207" s="103" t="n">
        <v>324153264.068833</v>
      </c>
      <c r="N207" s="104" t="str">
        <f>MIN(MAX((B207-'Calculation_Assumptions'!$B$5+1)/'Calculation_Assumptions'!$B$7,0),1)</f>
      </c>
      <c r="O207" s="105" t="str">
        <f>L207*I207</f>
      </c>
      <c r="P207" s="106" t="str">
        <f>M207*I207</f>
      </c>
      <c r="Q207" s="107" t="str">
        <f>P207*'Calculation_Assumptions'!$B$14*J207*K207</f>
      </c>
      <c r="R207" s="108" t="str">
        <f>O207*N207*J207*K207</f>
      </c>
      <c r="S207" s="109" t="str">
        <f>R207-Q207</f>
      </c>
      <c r="T207" s="110" t="str">
        <f>1/(1+'Calculation_Assumptions'!$B$8)^(B207-'Calculation_Assumptions'!$B$2)</f>
      </c>
      <c r="U207" s="111" t="str">
        <f>Q207*T207</f>
      </c>
      <c r="V207" s="112" t="str">
        <f>R207*T207</f>
      </c>
      <c r="W207" s="113" t="str">
        <f>S207*T207</f>
      </c>
      <c r="X207" t="n">
        <v>0</v>
      </c>
      <c r="Y207" s="114" t="n">
        <v>2017</v>
      </c>
      <c r="Z207" t="s">
        <v>399</v>
      </c>
      <c r="AA207" s="115" t="str">
        <f>IF(G207="shared-count-once",COUNTIFS($A$2:$A$287,A207,$B$2:$B$287,B207,$D$2:$D$287,D207),1)</f>
      </c>
      <c r="AB207" s="116" t="n">
        <v>322136832.260161</v>
      </c>
      <c r="AC207" s="117" t="str">
        <f>IF(AB207=0,"",Q207/AB207)</f>
      </c>
      <c r="AD207" s="118" t="str">
        <f>IF(AB207=0,"",R207/AB207)</f>
      </c>
      <c r="AE207" s="119" t="str">
        <f>IF(AB207=0,"",S207/AB207)</f>
      </c>
      <c r="AF207" s="120" t="str">
        <f>IF(AB207=0,"",W207/AB207)</f>
      </c>
    </row>
    <row r="208">
      <c r="A208" t="s">
        <v>116</v>
      </c>
      <c r="B208" s="93" t="n">
        <v>2049</v>
      </c>
      <c r="C208" t="s">
        <v>219</v>
      </c>
      <c r="D208" s="94" t="s">
        <v>392</v>
      </c>
      <c r="E208" s="95" t="s">
        <v>393</v>
      </c>
      <c r="F208" s="96" t="s">
        <v>230</v>
      </c>
      <c r="G208" s="97" t="s">
        <v>394</v>
      </c>
      <c r="H208" s="98" t="s">
        <v>396</v>
      </c>
      <c r="I208" s="99" t="n">
        <v>1</v>
      </c>
      <c r="J208" s="100" t="n">
        <v>1</v>
      </c>
      <c r="K208" s="101" t="n">
        <v>0.04</v>
      </c>
      <c r="L208" s="102" t="n">
        <v>325495166.312431</v>
      </c>
      <c r="M208" s="103" t="n">
        <v>324770595.66435</v>
      </c>
      <c r="N208" s="104" t="str">
        <f>MIN(MAX((B208-'Calculation_Assumptions'!$B$5+1)/'Calculation_Assumptions'!$B$7,0),1)</f>
      </c>
      <c r="O208" s="105" t="str">
        <f>L208*I208</f>
      </c>
      <c r="P208" s="106" t="str">
        <f>M208*I208</f>
      </c>
      <c r="Q208" s="107" t="str">
        <f>P208*'Calculation_Assumptions'!$B$14*J208*K208</f>
      </c>
      <c r="R208" s="108" t="str">
        <f>O208*N208*J208*K208</f>
      </c>
      <c r="S208" s="109" t="str">
        <f>R208-Q208</f>
      </c>
      <c r="T208" s="110" t="str">
        <f>1/(1+'Calculation_Assumptions'!$B$8)^(B208-'Calculation_Assumptions'!$B$2)</f>
      </c>
      <c r="U208" s="111" t="str">
        <f>Q208*T208</f>
      </c>
      <c r="V208" s="112" t="str">
        <f>R208*T208</f>
      </c>
      <c r="W208" s="113" t="str">
        <f>S208*T208</f>
      </c>
      <c r="X208" t="n">
        <v>0</v>
      </c>
      <c r="Y208" s="114" t="n">
        <v>2017</v>
      </c>
      <c r="Z208" t="s">
        <v>399</v>
      </c>
      <c r="AA208" s="115" t="str">
        <f>IF(G208="shared-count-once",COUNTIFS($A$2:$A$287,A208,$B$2:$B$287,B208,$D$2:$D$287,D208),1)</f>
      </c>
      <c r="AB208" s="116" t="n">
        <v>322765819.752681</v>
      </c>
      <c r="AC208" s="117" t="str">
        <f>IF(AB208=0,"",Q208/AB208)</f>
      </c>
      <c r="AD208" s="118" t="str">
        <f>IF(AB208=0,"",R208/AB208)</f>
      </c>
      <c r="AE208" s="119" t="str">
        <f>IF(AB208=0,"",S208/AB208)</f>
      </c>
      <c r="AF208" s="120" t="str">
        <f>IF(AB208=0,"",W208/AB208)</f>
      </c>
    </row>
    <row r="209">
      <c r="A209" t="s">
        <v>116</v>
      </c>
      <c r="B209" s="93" t="n">
        <v>2050</v>
      </c>
      <c r="C209" t="s">
        <v>219</v>
      </c>
      <c r="D209" s="94" t="s">
        <v>392</v>
      </c>
      <c r="E209" s="95" t="s">
        <v>393</v>
      </c>
      <c r="F209" s="96" t="s">
        <v>230</v>
      </c>
      <c r="G209" s="97" t="s">
        <v>394</v>
      </c>
      <c r="H209" s="98" t="s">
        <v>396</v>
      </c>
      <c r="I209" s="99" t="n">
        <v>1</v>
      </c>
      <c r="J209" s="100" t="n">
        <v>1</v>
      </c>
      <c r="K209" s="101" t="n">
        <v>0.04</v>
      </c>
      <c r="L209" s="102" t="n">
        <v>326062187.594106</v>
      </c>
      <c r="M209" s="103" t="n">
        <v>325271287.464889</v>
      </c>
      <c r="N209" s="104" t="str">
        <f>MIN(MAX((B209-'Calculation_Assumptions'!$B$5+1)/'Calculation_Assumptions'!$B$7,0),1)</f>
      </c>
      <c r="O209" s="105" t="str">
        <f>L209*I209</f>
      </c>
      <c r="P209" s="106" t="str">
        <f>M209*I209</f>
      </c>
      <c r="Q209" s="107" t="str">
        <f>P209*'Calculation_Assumptions'!$B$14*J209*K209</f>
      </c>
      <c r="R209" s="108" t="str">
        <f>O209*N209*J209*K209</f>
      </c>
      <c r="S209" s="109" t="str">
        <f>R209-Q209</f>
      </c>
      <c r="T209" s="110" t="str">
        <f>1/(1+'Calculation_Assumptions'!$B$8)^(B209-'Calculation_Assumptions'!$B$2)</f>
      </c>
      <c r="U209" s="111" t="str">
        <f>Q209*T209</f>
      </c>
      <c r="V209" s="112" t="str">
        <f>R209*T209</f>
      </c>
      <c r="W209" s="113" t="str">
        <f>S209*T209</f>
      </c>
      <c r="X209" t="n">
        <v>0</v>
      </c>
      <c r="Y209" s="114" t="n">
        <v>2017</v>
      </c>
      <c r="Z209" t="s">
        <v>399</v>
      </c>
      <c r="AA209" s="115" t="str">
        <f>IF(G209="shared-count-once",COUNTIFS($A$2:$A$287,A209,$B$2:$B$287,B209,$D$2:$D$287,D209),1)</f>
      </c>
      <c r="AB209" s="116" t="n">
        <v>323312042.563285</v>
      </c>
      <c r="AC209" s="117" t="str">
        <f>IF(AB209=0,"",Q209/AB209)</f>
      </c>
      <c r="AD209" s="118" t="str">
        <f>IF(AB209=0,"",R209/AB209)</f>
      </c>
      <c r="AE209" s="119" t="str">
        <f>IF(AB209=0,"",S209/AB209)</f>
      </c>
      <c r="AF209" s="120" t="str">
        <f>IF(AB209=0,"",W209/AB209)</f>
      </c>
    </row>
    <row r="210">
      <c r="A210" t="s">
        <v>116</v>
      </c>
      <c r="B210" s="93" t="n">
        <v>2025</v>
      </c>
      <c r="C210" t="s">
        <v>250</v>
      </c>
      <c r="D210" s="94" t="s">
        <v>401</v>
      </c>
      <c r="E210" s="95" t="s">
        <v>402</v>
      </c>
      <c r="F210" s="96" t="s">
        <v>253</v>
      </c>
      <c r="G210" s="97" t="s">
        <v>403</v>
      </c>
      <c r="H210" s="98" t="s">
        <v>396</v>
      </c>
      <c r="I210" s="99" t="n">
        <v>1</v>
      </c>
      <c r="J210" s="100" t="n">
        <v>1</v>
      </c>
      <c r="K210" s="101" t="n">
        <v>0.0077</v>
      </c>
      <c r="L210" s="102" t="n">
        <v>291886571.325912</v>
      </c>
      <c r="M210" s="103" t="n">
        <v>291223951.413062</v>
      </c>
      <c r="N210" s="104" t="str">
        <f>MIN(MAX((B210-'Calculation_Assumptions'!$B$5+1)/'Calculation_Assumptions'!$B$7,0),1)</f>
      </c>
      <c r="O210" s="105" t="str">
        <f>L210*I210</f>
      </c>
      <c r="P210" s="106" t="str">
        <f>M210*I210</f>
      </c>
      <c r="Q210" s="107" t="str">
        <f>P210*'Calculation_Assumptions'!$B$14*J210*K210</f>
      </c>
      <c r="R210" s="108" t="str">
        <f>O210*N210*J210*K210</f>
      </c>
      <c r="S210" s="109" t="str">
        <f>R210-Q210</f>
      </c>
      <c r="T210" s="110" t="str">
        <f>1/(1+'Calculation_Assumptions'!$B$8)^(B210-'Calculation_Assumptions'!$B$2)</f>
      </c>
      <c r="U210" s="111" t="str">
        <f>Q210*T210</f>
      </c>
      <c r="V210" s="112" t="str">
        <f>R210*T210</f>
      </c>
      <c r="W210" s="113" t="str">
        <f>S210*T210</f>
      </c>
      <c r="X210" t="n">
        <v>0</v>
      </c>
      <c r="Y210" s="114" t="n">
        <v>2017</v>
      </c>
      <c r="Z210" t="s">
        <v>399</v>
      </c>
      <c r="AA210" s="115" t="str">
        <f>IF(G210="shared-count-once",COUNTIFS($A$2:$A$287,A210,$B$2:$B$287,B210,$D$2:$D$287,D210),1)</f>
      </c>
      <c r="AB210" s="116" t="n">
        <v>288391907.644456</v>
      </c>
      <c r="AC210" s="117" t="str">
        <f>IF(AB210=0,"",Q210/AB210)</f>
      </c>
      <c r="AD210" s="118" t="str">
        <f>IF(AB210=0,"",R210/AB210)</f>
      </c>
      <c r="AE210" s="119" t="str">
        <f>IF(AB210=0,"",S210/AB210)</f>
      </c>
      <c r="AF210" s="120" t="str">
        <f>IF(AB210=0,"",W210/AB210)</f>
      </c>
    </row>
    <row r="211">
      <c r="A211" t="s">
        <v>116</v>
      </c>
      <c r="B211" s="93" t="n">
        <v>2026</v>
      </c>
      <c r="C211" t="s">
        <v>250</v>
      </c>
      <c r="D211" s="94" t="s">
        <v>401</v>
      </c>
      <c r="E211" s="95" t="s">
        <v>402</v>
      </c>
      <c r="F211" s="96" t="s">
        <v>253</v>
      </c>
      <c r="G211" s="97" t="s">
        <v>403</v>
      </c>
      <c r="H211" s="98" t="s">
        <v>396</v>
      </c>
      <c r="I211" s="99" t="n">
        <v>1</v>
      </c>
      <c r="J211" s="100" t="n">
        <v>1</v>
      </c>
      <c r="K211" s="101" t="n">
        <v>0.0077</v>
      </c>
      <c r="L211" s="102" t="n">
        <v>293828806.709757</v>
      </c>
      <c r="M211" s="103" t="n">
        <v>293212473.334583</v>
      </c>
      <c r="N211" s="104" t="str">
        <f>MIN(MAX((B211-'Calculation_Assumptions'!$B$5+1)/'Calculation_Assumptions'!$B$7,0),1)</f>
      </c>
      <c r="O211" s="105" t="str">
        <f>L211*I211</f>
      </c>
      <c r="P211" s="106" t="str">
        <f>M211*I211</f>
      </c>
      <c r="Q211" s="107" t="str">
        <f>P211*'Calculation_Assumptions'!$B$14*J211*K211</f>
      </c>
      <c r="R211" s="108" t="str">
        <f>O211*N211*J211*K211</f>
      </c>
      <c r="S211" s="109" t="str">
        <f>R211-Q211</f>
      </c>
      <c r="T211" s="110" t="str">
        <f>1/(1+'Calculation_Assumptions'!$B$8)^(B211-'Calculation_Assumptions'!$B$2)</f>
      </c>
      <c r="U211" s="111" t="str">
        <f>Q211*T211</f>
      </c>
      <c r="V211" s="112" t="str">
        <f>R211*T211</f>
      </c>
      <c r="W211" s="113" t="str">
        <f>S211*T211</f>
      </c>
      <c r="X211" t="n">
        <v>0</v>
      </c>
      <c r="Y211" s="114" t="n">
        <v>2017</v>
      </c>
      <c r="Z211" t="s">
        <v>399</v>
      </c>
      <c r="AA211" s="115" t="str">
        <f>IF(G211="shared-count-once",COUNTIFS($A$2:$A$287,A211,$B$2:$B$287,B211,$D$2:$D$287,D211),1)</f>
      </c>
      <c r="AB211" s="116" t="n">
        <v>290472130.233437</v>
      </c>
      <c r="AC211" s="117" t="str">
        <f>IF(AB211=0,"",Q211/AB211)</f>
      </c>
      <c r="AD211" s="118" t="str">
        <f>IF(AB211=0,"",R211/AB211)</f>
      </c>
      <c r="AE211" s="119" t="str">
        <f>IF(AB211=0,"",S211/AB211)</f>
      </c>
      <c r="AF211" s="120" t="str">
        <f>IF(AB211=0,"",W211/AB211)</f>
      </c>
    </row>
    <row r="212">
      <c r="A212" t="s">
        <v>116</v>
      </c>
      <c r="B212" s="93" t="n">
        <v>2027</v>
      </c>
      <c r="C212" t="s">
        <v>250</v>
      </c>
      <c r="D212" s="94" t="s">
        <v>401</v>
      </c>
      <c r="E212" s="95" t="s">
        <v>402</v>
      </c>
      <c r="F212" s="96" t="s">
        <v>253</v>
      </c>
      <c r="G212" s="97" t="s">
        <v>403</v>
      </c>
      <c r="H212" s="98" t="s">
        <v>396</v>
      </c>
      <c r="I212" s="99" t="n">
        <v>1</v>
      </c>
      <c r="J212" s="100" t="n">
        <v>1</v>
      </c>
      <c r="K212" s="101" t="n">
        <v>0.0077</v>
      </c>
      <c r="L212" s="102" t="n">
        <v>295755486.037123</v>
      </c>
      <c r="M212" s="103" t="n">
        <v>295196117.964647</v>
      </c>
      <c r="N212" s="104" t="str">
        <f>MIN(MAX((B212-'Calculation_Assumptions'!$B$5+1)/'Calculation_Assumptions'!$B$7,0),1)</f>
      </c>
      <c r="O212" s="105" t="str">
        <f>L212*I212</f>
      </c>
      <c r="P212" s="106" t="str">
        <f>M212*I212</f>
      </c>
      <c r="Q212" s="107" t="str">
        <f>P212*'Calculation_Assumptions'!$B$14*J212*K212</f>
      </c>
      <c r="R212" s="108" t="str">
        <f>O212*N212*J212*K212</f>
      </c>
      <c r="S212" s="109" t="str">
        <f>R212-Q212</f>
      </c>
      <c r="T212" s="110" t="str">
        <f>1/(1+'Calculation_Assumptions'!$B$8)^(B212-'Calculation_Assumptions'!$B$2)</f>
      </c>
      <c r="U212" s="111" t="str">
        <f>Q212*T212</f>
      </c>
      <c r="V212" s="112" t="str">
        <f>R212*T212</f>
      </c>
      <c r="W212" s="113" t="str">
        <f>S212*T212</f>
      </c>
      <c r="X212" t="n">
        <v>0</v>
      </c>
      <c r="Y212" s="114" t="n">
        <v>2017</v>
      </c>
      <c r="Z212" t="s">
        <v>399</v>
      </c>
      <c r="AA212" s="115" t="str">
        <f>IF(G212="shared-count-once",COUNTIFS($A$2:$A$287,A212,$B$2:$B$287,B212,$D$2:$D$287,D212),1)</f>
      </c>
      <c r="AB212" s="116" t="n">
        <v>292505080.826208</v>
      </c>
      <c r="AC212" s="117" t="str">
        <f>IF(AB212=0,"",Q212/AB212)</f>
      </c>
      <c r="AD212" s="118" t="str">
        <f>IF(AB212=0,"",R212/AB212)</f>
      </c>
      <c r="AE212" s="119" t="str">
        <f>IF(AB212=0,"",S212/AB212)</f>
      </c>
      <c r="AF212" s="120" t="str">
        <f>IF(AB212=0,"",W212/AB212)</f>
      </c>
    </row>
    <row r="213">
      <c r="A213" t="s">
        <v>116</v>
      </c>
      <c r="B213" s="93" t="n">
        <v>2028</v>
      </c>
      <c r="C213" t="s">
        <v>250</v>
      </c>
      <c r="D213" s="94" t="s">
        <v>401</v>
      </c>
      <c r="E213" s="95" t="s">
        <v>402</v>
      </c>
      <c r="F213" s="96" t="s">
        <v>253</v>
      </c>
      <c r="G213" s="97" t="s">
        <v>403</v>
      </c>
      <c r="H213" s="98" t="s">
        <v>396</v>
      </c>
      <c r="I213" s="99" t="n">
        <v>1</v>
      </c>
      <c r="J213" s="100" t="n">
        <v>1</v>
      </c>
      <c r="K213" s="101" t="n">
        <v>0.0077</v>
      </c>
      <c r="L213" s="102" t="n">
        <v>297631771.376997</v>
      </c>
      <c r="M213" s="103" t="n">
        <v>297107934.99345</v>
      </c>
      <c r="N213" s="104" t="str">
        <f>MIN(MAX((B213-'Calculation_Assumptions'!$B$5+1)/'Calculation_Assumptions'!$B$7,0),1)</f>
      </c>
      <c r="O213" s="105" t="str">
        <f>L213*I213</f>
      </c>
      <c r="P213" s="106" t="str">
        <f>M213*I213</f>
      </c>
      <c r="Q213" s="107" t="str">
        <f>P213*'Calculation_Assumptions'!$B$14*J213*K213</f>
      </c>
      <c r="R213" s="108" t="str">
        <f>O213*N213*J213*K213</f>
      </c>
      <c r="S213" s="109" t="str">
        <f>R213-Q213</f>
      </c>
      <c r="T213" s="110" t="str">
        <f>1/(1+'Calculation_Assumptions'!$B$8)^(B213-'Calculation_Assumptions'!$B$2)</f>
      </c>
      <c r="U213" s="111" t="str">
        <f>Q213*T213</f>
      </c>
      <c r="V213" s="112" t="str">
        <f>R213*T213</f>
      </c>
      <c r="W213" s="113" t="str">
        <f>S213*T213</f>
      </c>
      <c r="X213" t="n">
        <v>0</v>
      </c>
      <c r="Y213" s="114" t="n">
        <v>2017</v>
      </c>
      <c r="Z213" t="s">
        <v>399</v>
      </c>
      <c r="AA213" s="115" t="str">
        <f>IF(G213="shared-count-once",COUNTIFS($A$2:$A$287,A213,$B$2:$B$287,B213,$D$2:$D$287,D213),1)</f>
      </c>
      <c r="AB213" s="116" t="n">
        <v>294484707.921554</v>
      </c>
      <c r="AC213" s="117" t="str">
        <f>IF(AB213=0,"",Q213/AB213)</f>
      </c>
      <c r="AD213" s="118" t="str">
        <f>IF(AB213=0,"",R213/AB213)</f>
      </c>
      <c r="AE213" s="119" t="str">
        <f>IF(AB213=0,"",S213/AB213)</f>
      </c>
      <c r="AF213" s="120" t="str">
        <f>IF(AB213=0,"",W213/AB213)</f>
      </c>
    </row>
    <row r="214">
      <c r="A214" t="s">
        <v>116</v>
      </c>
      <c r="B214" s="93" t="n">
        <v>2029</v>
      </c>
      <c r="C214" t="s">
        <v>250</v>
      </c>
      <c r="D214" s="94" t="s">
        <v>401</v>
      </c>
      <c r="E214" s="95" t="s">
        <v>402</v>
      </c>
      <c r="F214" s="96" t="s">
        <v>253</v>
      </c>
      <c r="G214" s="97" t="s">
        <v>403</v>
      </c>
      <c r="H214" s="98" t="s">
        <v>396</v>
      </c>
      <c r="I214" s="99" t="n">
        <v>1</v>
      </c>
      <c r="J214" s="100" t="n">
        <v>1</v>
      </c>
      <c r="K214" s="101" t="n">
        <v>0.0077</v>
      </c>
      <c r="L214" s="102" t="n">
        <v>299474175.007124</v>
      </c>
      <c r="M214" s="103" t="n">
        <v>298981169.683309</v>
      </c>
      <c r="N214" s="104" t="str">
        <f>MIN(MAX((B214-'Calculation_Assumptions'!$B$5+1)/'Calculation_Assumptions'!$B$7,0),1)</f>
      </c>
      <c r="O214" s="105" t="str">
        <f>L214*I214</f>
      </c>
      <c r="P214" s="106" t="str">
        <f>M214*I214</f>
      </c>
      <c r="Q214" s="107" t="str">
        <f>P214*'Calculation_Assumptions'!$B$14*J214*K214</f>
      </c>
      <c r="R214" s="108" t="str">
        <f>O214*N214*J214*K214</f>
      </c>
      <c r="S214" s="109" t="str">
        <f>R214-Q214</f>
      </c>
      <c r="T214" s="110" t="str">
        <f>1/(1+'Calculation_Assumptions'!$B$8)^(B214-'Calculation_Assumptions'!$B$2)</f>
      </c>
      <c r="U214" s="111" t="str">
        <f>Q214*T214</f>
      </c>
      <c r="V214" s="112" t="str">
        <f>R214*T214</f>
      </c>
      <c r="W214" s="113" t="str">
        <f>S214*T214</f>
      </c>
      <c r="X214" t="n">
        <v>0</v>
      </c>
      <c r="Y214" s="114" t="n">
        <v>2017</v>
      </c>
      <c r="Z214" t="s">
        <v>399</v>
      </c>
      <c r="AA214" s="115" t="str">
        <f>IF(G214="shared-count-once",COUNTIFS($A$2:$A$287,A214,$B$2:$B$287,B214,$D$2:$D$287,D214),1)</f>
      </c>
      <c r="AB214" s="116" t="n">
        <v>296414030.31143</v>
      </c>
      <c r="AC214" s="117" t="str">
        <f>IF(AB214=0,"",Q214/AB214)</f>
      </c>
      <c r="AD214" s="118" t="str">
        <f>IF(AB214=0,"",R214/AB214)</f>
      </c>
      <c r="AE214" s="119" t="str">
        <f>IF(AB214=0,"",S214/AB214)</f>
      </c>
      <c r="AF214" s="120" t="str">
        <f>IF(AB214=0,"",W214/AB214)</f>
      </c>
    </row>
    <row r="215">
      <c r="A215" t="s">
        <v>116</v>
      </c>
      <c r="B215" s="93" t="n">
        <v>2030</v>
      </c>
      <c r="C215" t="s">
        <v>250</v>
      </c>
      <c r="D215" s="94" t="s">
        <v>401</v>
      </c>
      <c r="E215" s="95" t="s">
        <v>402</v>
      </c>
      <c r="F215" s="96" t="s">
        <v>253</v>
      </c>
      <c r="G215" s="97" t="s">
        <v>403</v>
      </c>
      <c r="H215" s="98" t="s">
        <v>396</v>
      </c>
      <c r="I215" s="99" t="n">
        <v>1</v>
      </c>
      <c r="J215" s="100" t="n">
        <v>1</v>
      </c>
      <c r="K215" s="101" t="n">
        <v>0.0077</v>
      </c>
      <c r="L215" s="102" t="n">
        <v>301271049.071289</v>
      </c>
      <c r="M215" s="103" t="n">
        <v>300784244.146626</v>
      </c>
      <c r="N215" s="104" t="str">
        <f>MIN(MAX((B215-'Calculation_Assumptions'!$B$5+1)/'Calculation_Assumptions'!$B$7,0),1)</f>
      </c>
      <c r="O215" s="105" t="str">
        <f>L215*I215</f>
      </c>
      <c r="P215" s="106" t="str">
        <f>M215*I215</f>
      </c>
      <c r="Q215" s="107" t="str">
        <f>P215*'Calculation_Assumptions'!$B$14*J215*K215</f>
      </c>
      <c r="R215" s="108" t="str">
        <f>O215*N215*J215*K215</f>
      </c>
      <c r="S215" s="109" t="str">
        <f>R215-Q215</f>
      </c>
      <c r="T215" s="110" t="str">
        <f>1/(1+'Calculation_Assumptions'!$B$8)^(B215-'Calculation_Assumptions'!$B$2)</f>
      </c>
      <c r="U215" s="111" t="str">
        <f>Q215*T215</f>
      </c>
      <c r="V215" s="112" t="str">
        <f>R215*T215</f>
      </c>
      <c r="W215" s="113" t="str">
        <f>S215*T215</f>
      </c>
      <c r="X215" t="n">
        <v>0</v>
      </c>
      <c r="Y215" s="114" t="n">
        <v>2017</v>
      </c>
      <c r="Z215" t="s">
        <v>399</v>
      </c>
      <c r="AA215" s="115" t="str">
        <f>IF(G215="shared-count-once",COUNTIFS($A$2:$A$287,A215,$B$2:$B$287,B215,$D$2:$D$287,D215),1)</f>
      </c>
      <c r="AB215" s="116" t="n">
        <v>298289404.664994</v>
      </c>
      <c r="AC215" s="117" t="str">
        <f>IF(AB215=0,"",Q215/AB215)</f>
      </c>
      <c r="AD215" s="118" t="str">
        <f>IF(AB215=0,"",R215/AB215)</f>
      </c>
      <c r="AE215" s="119" t="str">
        <f>IF(AB215=0,"",S215/AB215)</f>
      </c>
      <c r="AF215" s="120" t="str">
        <f>IF(AB215=0,"",W215/AB215)</f>
      </c>
    </row>
    <row r="216">
      <c r="A216" t="s">
        <v>116</v>
      </c>
      <c r="B216" s="93" t="n">
        <v>2031</v>
      </c>
      <c r="C216" t="s">
        <v>250</v>
      </c>
      <c r="D216" s="94" t="s">
        <v>401</v>
      </c>
      <c r="E216" s="95" t="s">
        <v>402</v>
      </c>
      <c r="F216" s="96" t="s">
        <v>253</v>
      </c>
      <c r="G216" s="97" t="s">
        <v>403</v>
      </c>
      <c r="H216" s="98" t="s">
        <v>396</v>
      </c>
      <c r="I216" s="99" t="n">
        <v>1</v>
      </c>
      <c r="J216" s="100" t="n">
        <v>1</v>
      </c>
      <c r="K216" s="101" t="n">
        <v>0.0077</v>
      </c>
      <c r="L216" s="102" t="n">
        <v>303032023.778079</v>
      </c>
      <c r="M216" s="103" t="n">
        <v>302561623.795312</v>
      </c>
      <c r="N216" s="104" t="str">
        <f>MIN(MAX((B216-'Calculation_Assumptions'!$B$5+1)/'Calculation_Assumptions'!$B$7,0),1)</f>
      </c>
      <c r="O216" s="105" t="str">
        <f>L216*I216</f>
      </c>
      <c r="P216" s="106" t="str">
        <f>M216*I216</f>
      </c>
      <c r="Q216" s="107" t="str">
        <f>P216*'Calculation_Assumptions'!$B$14*J216*K216</f>
      </c>
      <c r="R216" s="108" t="str">
        <f>O216*N216*J216*K216</f>
      </c>
      <c r="S216" s="109" t="str">
        <f>R216-Q216</f>
      </c>
      <c r="T216" s="110" t="str">
        <f>1/(1+'Calculation_Assumptions'!$B$8)^(B216-'Calculation_Assumptions'!$B$2)</f>
      </c>
      <c r="U216" s="111" t="str">
        <f>Q216*T216</f>
      </c>
      <c r="V216" s="112" t="str">
        <f>R216*T216</f>
      </c>
      <c r="W216" s="113" t="str">
        <f>S216*T216</f>
      </c>
      <c r="X216" t="n">
        <v>0</v>
      </c>
      <c r="Y216" s="114" t="n">
        <v>2017</v>
      </c>
      <c r="Z216" t="s">
        <v>399</v>
      </c>
      <c r="AA216" s="115" t="str">
        <f>IF(G216="shared-count-once",COUNTIFS($A$2:$A$287,A216,$B$2:$B$287,B216,$D$2:$D$287,D216),1)</f>
      </c>
      <c r="AB216" s="116" t="n">
        <v>300119636.925519</v>
      </c>
      <c r="AC216" s="117" t="str">
        <f>IF(AB216=0,"",Q216/AB216)</f>
      </c>
      <c r="AD216" s="118" t="str">
        <f>IF(AB216=0,"",R216/AB216)</f>
      </c>
      <c r="AE216" s="119" t="str">
        <f>IF(AB216=0,"",S216/AB216)</f>
      </c>
      <c r="AF216" s="120" t="str">
        <f>IF(AB216=0,"",W216/AB216)</f>
      </c>
    </row>
    <row r="217">
      <c r="A217" t="s">
        <v>116</v>
      </c>
      <c r="B217" s="93" t="n">
        <v>2032</v>
      </c>
      <c r="C217" t="s">
        <v>250</v>
      </c>
      <c r="D217" s="94" t="s">
        <v>401</v>
      </c>
      <c r="E217" s="95" t="s">
        <v>402</v>
      </c>
      <c r="F217" s="96" t="s">
        <v>253</v>
      </c>
      <c r="G217" s="97" t="s">
        <v>403</v>
      </c>
      <c r="H217" s="98" t="s">
        <v>396</v>
      </c>
      <c r="I217" s="99" t="n">
        <v>1</v>
      </c>
      <c r="J217" s="100" t="n">
        <v>1</v>
      </c>
      <c r="K217" s="101" t="n">
        <v>0.0077</v>
      </c>
      <c r="L217" s="102" t="n">
        <v>304752806.869548</v>
      </c>
      <c r="M217" s="103" t="n">
        <v>304296909.955394</v>
      </c>
      <c r="N217" s="104" t="str">
        <f>MIN(MAX((B217-'Calculation_Assumptions'!$B$5+1)/'Calculation_Assumptions'!$B$7,0),1)</f>
      </c>
      <c r="O217" s="105" t="str">
        <f>L217*I217</f>
      </c>
      <c r="P217" s="106" t="str">
        <f>M217*I217</f>
      </c>
      <c r="Q217" s="107" t="str">
        <f>P217*'Calculation_Assumptions'!$B$14*J217*K217</f>
      </c>
      <c r="R217" s="108" t="str">
        <f>O217*N217*J217*K217</f>
      </c>
      <c r="S217" s="109" t="str">
        <f>R217-Q217</f>
      </c>
      <c r="T217" s="110" t="str">
        <f>1/(1+'Calculation_Assumptions'!$B$8)^(B217-'Calculation_Assumptions'!$B$2)</f>
      </c>
      <c r="U217" s="111" t="str">
        <f>Q217*T217</f>
      </c>
      <c r="V217" s="112" t="str">
        <f>R217*T217</f>
      </c>
      <c r="W217" s="113" t="str">
        <f>S217*T217</f>
      </c>
      <c r="X217" t="n">
        <v>0</v>
      </c>
      <c r="Y217" s="114" t="n">
        <v>2017</v>
      </c>
      <c r="Z217" t="s">
        <v>399</v>
      </c>
      <c r="AA217" s="115" t="str">
        <f>IF(G217="shared-count-once",COUNTIFS($A$2:$A$287,A217,$B$2:$B$287,B217,$D$2:$D$287,D217),1)</f>
      </c>
      <c r="AB217" s="116" t="n">
        <v>301904628.083541</v>
      </c>
      <c r="AC217" s="117" t="str">
        <f>IF(AB217=0,"",Q217/AB217)</f>
      </c>
      <c r="AD217" s="118" t="str">
        <f>IF(AB217=0,"",R217/AB217)</f>
      </c>
      <c r="AE217" s="119" t="str">
        <f>IF(AB217=0,"",S217/AB217)</f>
      </c>
      <c r="AF217" s="120" t="str">
        <f>IF(AB217=0,"",W217/AB217)</f>
      </c>
    </row>
    <row r="218">
      <c r="A218" t="s">
        <v>116</v>
      </c>
      <c r="B218" s="93" t="n">
        <v>2033</v>
      </c>
      <c r="C218" t="s">
        <v>250</v>
      </c>
      <c r="D218" s="94" t="s">
        <v>401</v>
      </c>
      <c r="E218" s="95" t="s">
        <v>402</v>
      </c>
      <c r="F218" s="96" t="s">
        <v>253</v>
      </c>
      <c r="G218" s="97" t="s">
        <v>403</v>
      </c>
      <c r="H218" s="98" t="s">
        <v>396</v>
      </c>
      <c r="I218" s="99" t="n">
        <v>1</v>
      </c>
      <c r="J218" s="100" t="n">
        <v>1</v>
      </c>
      <c r="K218" s="101" t="n">
        <v>0.0077</v>
      </c>
      <c r="L218" s="102" t="n">
        <v>306434037.461259</v>
      </c>
      <c r="M218" s="103" t="n">
        <v>305990042.260363</v>
      </c>
      <c r="N218" s="104" t="str">
        <f>MIN(MAX((B218-'Calculation_Assumptions'!$B$5+1)/'Calculation_Assumptions'!$B$7,0),1)</f>
      </c>
      <c r="O218" s="105" t="str">
        <f>L218*I218</f>
      </c>
      <c r="P218" s="106" t="str">
        <f>M218*I218</f>
      </c>
      <c r="Q218" s="107" t="str">
        <f>P218*'Calculation_Assumptions'!$B$14*J218*K218</f>
      </c>
      <c r="R218" s="108" t="str">
        <f>O218*N218*J218*K218</f>
      </c>
      <c r="S218" s="109" t="str">
        <f>R218-Q218</f>
      </c>
      <c r="T218" s="110" t="str">
        <f>1/(1+'Calculation_Assumptions'!$B$8)^(B218-'Calculation_Assumptions'!$B$2)</f>
      </c>
      <c r="U218" s="111" t="str">
        <f>Q218*T218</f>
      </c>
      <c r="V218" s="112" t="str">
        <f>R218*T218</f>
      </c>
      <c r="W218" s="113" t="str">
        <f>S218*T218</f>
      </c>
      <c r="X218" t="n">
        <v>0</v>
      </c>
      <c r="Y218" s="114" t="n">
        <v>2017</v>
      </c>
      <c r="Z218" t="s">
        <v>399</v>
      </c>
      <c r="AA218" s="115" t="str">
        <f>IF(G218="shared-count-once",COUNTIFS($A$2:$A$287,A218,$B$2:$B$287,B218,$D$2:$D$287,D218),1)</f>
      </c>
      <c r="AB218" s="116" t="n">
        <v>303644277.16916</v>
      </c>
      <c r="AC218" s="117" t="str">
        <f>IF(AB218=0,"",Q218/AB218)</f>
      </c>
      <c r="AD218" s="118" t="str">
        <f>IF(AB218=0,"",R218/AB218)</f>
      </c>
      <c r="AE218" s="119" t="str">
        <f>IF(AB218=0,"",S218/AB218)</f>
      </c>
      <c r="AF218" s="120" t="str">
        <f>IF(AB218=0,"",W218/AB218)</f>
      </c>
    </row>
    <row r="219">
      <c r="A219" t="s">
        <v>116</v>
      </c>
      <c r="B219" s="93" t="n">
        <v>2034</v>
      </c>
      <c r="C219" t="s">
        <v>250</v>
      </c>
      <c r="D219" s="94" t="s">
        <v>401</v>
      </c>
      <c r="E219" s="95" t="s">
        <v>402</v>
      </c>
      <c r="F219" s="96" t="s">
        <v>253</v>
      </c>
      <c r="G219" s="97" t="s">
        <v>403</v>
      </c>
      <c r="H219" s="98" t="s">
        <v>396</v>
      </c>
      <c r="I219" s="99" t="n">
        <v>1</v>
      </c>
      <c r="J219" s="100" t="n">
        <v>1</v>
      </c>
      <c r="K219" s="101" t="n">
        <v>0.0077</v>
      </c>
      <c r="L219" s="102" t="n">
        <v>308069077.242938</v>
      </c>
      <c r="M219" s="103" t="n">
        <v>307635526.02883</v>
      </c>
      <c r="N219" s="104" t="str">
        <f>MIN(MAX((B219-'Calculation_Assumptions'!$B$5+1)/'Calculation_Assumptions'!$B$7,0),1)</f>
      </c>
      <c r="O219" s="105" t="str">
        <f>L219*I219</f>
      </c>
      <c r="P219" s="106" t="str">
        <f>M219*I219</f>
      </c>
      <c r="Q219" s="107" t="str">
        <f>P219*'Calculation_Assumptions'!$B$14*J219*K219</f>
      </c>
      <c r="R219" s="108" t="str">
        <f>O219*N219*J219*K219</f>
      </c>
      <c r="S219" s="109" t="str">
        <f>R219-Q219</f>
      </c>
      <c r="T219" s="110" t="str">
        <f>1/(1+'Calculation_Assumptions'!$B$8)^(B219-'Calculation_Assumptions'!$B$2)</f>
      </c>
      <c r="U219" s="111" t="str">
        <f>Q219*T219</f>
      </c>
      <c r="V219" s="112" t="str">
        <f>R219*T219</f>
      </c>
      <c r="W219" s="113" t="str">
        <f>S219*T219</f>
      </c>
      <c r="X219" t="n">
        <v>0</v>
      </c>
      <c r="Y219" s="114" t="n">
        <v>2017</v>
      </c>
      <c r="Z219" t="s">
        <v>399</v>
      </c>
      <c r="AA219" s="115" t="str">
        <f>IF(G219="shared-count-once",COUNTIFS($A$2:$A$287,A219,$B$2:$B$287,B219,$D$2:$D$287,D219),1)</f>
      </c>
      <c r="AB219" s="116" t="n">
        <v>305332541.184984</v>
      </c>
      <c r="AC219" s="117" t="str">
        <f>IF(AB219=0,"",Q219/AB219)</f>
      </c>
      <c r="AD219" s="118" t="str">
        <f>IF(AB219=0,"",R219/AB219)</f>
      </c>
      <c r="AE219" s="119" t="str">
        <f>IF(AB219=0,"",S219/AB219)</f>
      </c>
      <c r="AF219" s="120" t="str">
        <f>IF(AB219=0,"",W219/AB219)</f>
      </c>
    </row>
    <row r="220">
      <c r="A220" t="s">
        <v>116</v>
      </c>
      <c r="B220" s="93" t="n">
        <v>2035</v>
      </c>
      <c r="C220" t="s">
        <v>250</v>
      </c>
      <c r="D220" s="94" t="s">
        <v>401</v>
      </c>
      <c r="E220" s="95" t="s">
        <v>402</v>
      </c>
      <c r="F220" s="96" t="s">
        <v>253</v>
      </c>
      <c r="G220" s="97" t="s">
        <v>403</v>
      </c>
      <c r="H220" s="98" t="s">
        <v>396</v>
      </c>
      <c r="I220" s="99" t="n">
        <v>1</v>
      </c>
      <c r="J220" s="100" t="n">
        <v>1</v>
      </c>
      <c r="K220" s="101" t="n">
        <v>0.0077</v>
      </c>
      <c r="L220" s="102" t="n">
        <v>309652887.953845</v>
      </c>
      <c r="M220" s="103" t="n">
        <v>309228183.19713</v>
      </c>
      <c r="N220" s="104" t="str">
        <f>MIN(MAX((B220-'Calculation_Assumptions'!$B$5+1)/'Calculation_Assumptions'!$B$7,0),1)</f>
      </c>
      <c r="O220" s="105" t="str">
        <f>L220*I220</f>
      </c>
      <c r="P220" s="106" t="str">
        <f>M220*I220</f>
      </c>
      <c r="Q220" s="107" t="str">
        <f>P220*'Calculation_Assumptions'!$B$14*J220*K220</f>
      </c>
      <c r="R220" s="108" t="str">
        <f>O220*N220*J220*K220</f>
      </c>
      <c r="S220" s="109" t="str">
        <f>R220-Q220</f>
      </c>
      <c r="T220" s="110" t="str">
        <f>1/(1+'Calculation_Assumptions'!$B$8)^(B220-'Calculation_Assumptions'!$B$2)</f>
      </c>
      <c r="U220" s="111" t="str">
        <f>Q220*T220</f>
      </c>
      <c r="V220" s="112" t="str">
        <f>R220*T220</f>
      </c>
      <c r="W220" s="113" t="str">
        <f>S220*T220</f>
      </c>
      <c r="X220" t="n">
        <v>0</v>
      </c>
      <c r="Y220" s="114" t="n">
        <v>2017</v>
      </c>
      <c r="Z220" t="s">
        <v>399</v>
      </c>
      <c r="AA220" s="115" t="str">
        <f>IF(G220="shared-count-once",COUNTIFS($A$2:$A$287,A220,$B$2:$B$287,B220,$D$2:$D$287,D220),1)</f>
      </c>
      <c r="AB220" s="116" t="n">
        <v>306964650.16712</v>
      </c>
      <c r="AC220" s="117" t="str">
        <f>IF(AB220=0,"",Q220/AB220)</f>
      </c>
      <c r="AD220" s="118" t="str">
        <f>IF(AB220=0,"",R220/AB220)</f>
      </c>
      <c r="AE220" s="119" t="str">
        <f>IF(AB220=0,"",S220/AB220)</f>
      </c>
      <c r="AF220" s="120" t="str">
        <f>IF(AB220=0,"",W220/AB220)</f>
      </c>
    </row>
    <row r="221">
      <c r="A221" t="s">
        <v>116</v>
      </c>
      <c r="B221" s="93" t="n">
        <v>2036</v>
      </c>
      <c r="C221" t="s">
        <v>250</v>
      </c>
      <c r="D221" s="94" t="s">
        <v>401</v>
      </c>
      <c r="E221" s="95" t="s">
        <v>402</v>
      </c>
      <c r="F221" s="96" t="s">
        <v>253</v>
      </c>
      <c r="G221" s="97" t="s">
        <v>403</v>
      </c>
      <c r="H221" s="98" t="s">
        <v>396</v>
      </c>
      <c r="I221" s="99" t="n">
        <v>1</v>
      </c>
      <c r="J221" s="100" t="n">
        <v>1</v>
      </c>
      <c r="K221" s="101" t="n">
        <v>0.0077</v>
      </c>
      <c r="L221" s="102" t="n">
        <v>311187213.367099</v>
      </c>
      <c r="M221" s="103" t="n">
        <v>310769483.46493</v>
      </c>
      <c r="N221" s="104" t="str">
        <f>MIN(MAX((B221-'Calculation_Assumptions'!$B$5+1)/'Calculation_Assumptions'!$B$7,0),1)</f>
      </c>
      <c r="O221" s="105" t="str">
        <f>L221*I221</f>
      </c>
      <c r="P221" s="106" t="str">
        <f>M221*I221</f>
      </c>
      <c r="Q221" s="107" t="str">
        <f>P221*'Calculation_Assumptions'!$B$14*J221*K221</f>
      </c>
      <c r="R221" s="108" t="str">
        <f>O221*N221*J221*K221</f>
      </c>
      <c r="S221" s="109" t="str">
        <f>R221-Q221</f>
      </c>
      <c r="T221" s="110" t="str">
        <f>1/(1+'Calculation_Assumptions'!$B$8)^(B221-'Calculation_Assumptions'!$B$2)</f>
      </c>
      <c r="U221" s="111" t="str">
        <f>Q221*T221</f>
      </c>
      <c r="V221" s="112" t="str">
        <f>R221*T221</f>
      </c>
      <c r="W221" s="113" t="str">
        <f>S221*T221</f>
      </c>
      <c r="X221" t="n">
        <v>0</v>
      </c>
      <c r="Y221" s="114" t="n">
        <v>2017</v>
      </c>
      <c r="Z221" t="s">
        <v>399</v>
      </c>
      <c r="AA221" s="115" t="str">
        <f>IF(G221="shared-count-once",COUNTIFS($A$2:$A$287,A221,$B$2:$B$287,B221,$D$2:$D$287,D221),1)</f>
      </c>
      <c r="AB221" s="116" t="n">
        <v>308542769.756622</v>
      </c>
      <c r="AC221" s="117" t="str">
        <f>IF(AB221=0,"",Q221/AB221)</f>
      </c>
      <c r="AD221" s="118" t="str">
        <f>IF(AB221=0,"",R221/AB221)</f>
      </c>
      <c r="AE221" s="119" t="str">
        <f>IF(AB221=0,"",S221/AB221)</f>
      </c>
      <c r="AF221" s="120" t="str">
        <f>IF(AB221=0,"",W221/AB221)</f>
      </c>
    </row>
    <row r="222">
      <c r="A222" t="s">
        <v>116</v>
      </c>
      <c r="B222" s="93" t="n">
        <v>2037</v>
      </c>
      <c r="C222" t="s">
        <v>250</v>
      </c>
      <c r="D222" s="94" t="s">
        <v>401</v>
      </c>
      <c r="E222" s="95" t="s">
        <v>402</v>
      </c>
      <c r="F222" s="96" t="s">
        <v>253</v>
      </c>
      <c r="G222" s="97" t="s">
        <v>403</v>
      </c>
      <c r="H222" s="98" t="s">
        <v>396</v>
      </c>
      <c r="I222" s="99" t="n">
        <v>1</v>
      </c>
      <c r="J222" s="100" t="n">
        <v>1</v>
      </c>
      <c r="K222" s="101" t="n">
        <v>0.0077</v>
      </c>
      <c r="L222" s="102" t="n">
        <v>312691098.463481</v>
      </c>
      <c r="M222" s="103" t="n">
        <v>312262197.186949</v>
      </c>
      <c r="N222" s="104" t="str">
        <f>MIN(MAX((B222-'Calculation_Assumptions'!$B$5+1)/'Calculation_Assumptions'!$B$7,0),1)</f>
      </c>
      <c r="O222" s="105" t="str">
        <f>L222*I222</f>
      </c>
      <c r="P222" s="106" t="str">
        <f>M222*I222</f>
      </c>
      <c r="Q222" s="107" t="str">
        <f>P222*'Calculation_Assumptions'!$B$14*J222*K222</f>
      </c>
      <c r="R222" s="108" t="str">
        <f>O222*N222*J222*K222</f>
      </c>
      <c r="S222" s="109" t="str">
        <f>R222-Q222</f>
      </c>
      <c r="T222" s="110" t="str">
        <f>1/(1+'Calculation_Assumptions'!$B$8)^(B222-'Calculation_Assumptions'!$B$2)</f>
      </c>
      <c r="U222" s="111" t="str">
        <f>Q222*T222</f>
      </c>
      <c r="V222" s="112" t="str">
        <f>R222*T222</f>
      </c>
      <c r="W222" s="113" t="str">
        <f>S222*T222</f>
      </c>
      <c r="X222" t="n">
        <v>0</v>
      </c>
      <c r="Y222" s="114" t="n">
        <v>2017</v>
      </c>
      <c r="Z222" t="s">
        <v>399</v>
      </c>
      <c r="AA222" s="115" t="str">
        <f>IF(G222="shared-count-once",COUNTIFS($A$2:$A$287,A222,$B$2:$B$287,B222,$D$2:$D$287,D222),1)</f>
      </c>
      <c r="AB222" s="116" t="n">
        <v>310068287.63643</v>
      </c>
      <c r="AC222" s="117" t="str">
        <f>IF(AB222=0,"",Q222/AB222)</f>
      </c>
      <c r="AD222" s="118" t="str">
        <f>IF(AB222=0,"",R222/AB222)</f>
      </c>
      <c r="AE222" s="119" t="str">
        <f>IF(AB222=0,"",S222/AB222)</f>
      </c>
      <c r="AF222" s="120" t="str">
        <f>IF(AB222=0,"",W222/AB222)</f>
      </c>
    </row>
    <row r="223">
      <c r="A223" t="s">
        <v>116</v>
      </c>
      <c r="B223" s="93" t="n">
        <v>2038</v>
      </c>
      <c r="C223" t="s">
        <v>250</v>
      </c>
      <c r="D223" s="94" t="s">
        <v>401</v>
      </c>
      <c r="E223" s="95" t="s">
        <v>402</v>
      </c>
      <c r="F223" s="96" t="s">
        <v>253</v>
      </c>
      <c r="G223" s="97" t="s">
        <v>403</v>
      </c>
      <c r="H223" s="98" t="s">
        <v>396</v>
      </c>
      <c r="I223" s="99" t="n">
        <v>1</v>
      </c>
      <c r="J223" s="100" t="n">
        <v>1</v>
      </c>
      <c r="K223" s="101" t="n">
        <v>0.0077</v>
      </c>
      <c r="L223" s="102" t="n">
        <v>314171327.455626</v>
      </c>
      <c r="M223" s="103" t="n">
        <v>313730463.490198</v>
      </c>
      <c r="N223" s="104" t="str">
        <f>MIN(MAX((B223-'Calculation_Assumptions'!$B$5+1)/'Calculation_Assumptions'!$B$7,0),1)</f>
      </c>
      <c r="O223" s="105" t="str">
        <f>L223*I223</f>
      </c>
      <c r="P223" s="106" t="str">
        <f>M223*I223</f>
      </c>
      <c r="Q223" s="107" t="str">
        <f>P223*'Calculation_Assumptions'!$B$14*J223*K223</f>
      </c>
      <c r="R223" s="108" t="str">
        <f>O223*N223*J223*K223</f>
      </c>
      <c r="S223" s="109" t="str">
        <f>R223-Q223</f>
      </c>
      <c r="T223" s="110" t="str">
        <f>1/(1+'Calculation_Assumptions'!$B$8)^(B223-'Calculation_Assumptions'!$B$2)</f>
      </c>
      <c r="U223" s="111" t="str">
        <f>Q223*T223</f>
      </c>
      <c r="V223" s="112" t="str">
        <f>R223*T223</f>
      </c>
      <c r="W223" s="113" t="str">
        <f>S223*T223</f>
      </c>
      <c r="X223" t="n">
        <v>0</v>
      </c>
      <c r="Y223" s="114" t="n">
        <v>2017</v>
      </c>
      <c r="Z223" t="s">
        <v>399</v>
      </c>
      <c r="AA223" s="115" t="str">
        <f>IF(G223="shared-count-once",COUNTIFS($A$2:$A$287,A223,$B$2:$B$287,B223,$D$2:$D$287,D223),1)</f>
      </c>
      <c r="AB223" s="116" t="n">
        <v>311532999.13163</v>
      </c>
      <c r="AC223" s="117" t="str">
        <f>IF(AB223=0,"",Q223/AB223)</f>
      </c>
      <c r="AD223" s="118" t="str">
        <f>IF(AB223=0,"",R223/AB223)</f>
      </c>
      <c r="AE223" s="119" t="str">
        <f>IF(AB223=0,"",S223/AB223)</f>
      </c>
      <c r="AF223" s="120" t="str">
        <f>IF(AB223=0,"",W223/AB223)</f>
      </c>
    </row>
    <row r="224">
      <c r="A224" t="s">
        <v>116</v>
      </c>
      <c r="B224" s="93" t="n">
        <v>2039</v>
      </c>
      <c r="C224" t="s">
        <v>250</v>
      </c>
      <c r="D224" s="94" t="s">
        <v>401</v>
      </c>
      <c r="E224" s="95" t="s">
        <v>402</v>
      </c>
      <c r="F224" s="96" t="s">
        <v>253</v>
      </c>
      <c r="G224" s="97" t="s">
        <v>403</v>
      </c>
      <c r="H224" s="98" t="s">
        <v>396</v>
      </c>
      <c r="I224" s="99" t="n">
        <v>1</v>
      </c>
      <c r="J224" s="100" t="n">
        <v>1</v>
      </c>
      <c r="K224" s="101" t="n">
        <v>0.0077</v>
      </c>
      <c r="L224" s="102" t="n">
        <v>315572814.49585</v>
      </c>
      <c r="M224" s="103" t="n">
        <v>315115398.935154</v>
      </c>
      <c r="N224" s="104" t="str">
        <f>MIN(MAX((B224-'Calculation_Assumptions'!$B$5+1)/'Calculation_Assumptions'!$B$7,0),1)</f>
      </c>
      <c r="O224" s="105" t="str">
        <f>L224*I224</f>
      </c>
      <c r="P224" s="106" t="str">
        <f>M224*I224</f>
      </c>
      <c r="Q224" s="107" t="str">
        <f>P224*'Calculation_Assumptions'!$B$14*J224*K224</f>
      </c>
      <c r="R224" s="108" t="str">
        <f>O224*N224*J224*K224</f>
      </c>
      <c r="S224" s="109" t="str">
        <f>R224-Q224</f>
      </c>
      <c r="T224" s="110" t="str">
        <f>1/(1+'Calculation_Assumptions'!$B$8)^(B224-'Calculation_Assumptions'!$B$2)</f>
      </c>
      <c r="U224" s="111" t="str">
        <f>Q224*T224</f>
      </c>
      <c r="V224" s="112" t="str">
        <f>R224*T224</f>
      </c>
      <c r="W224" s="113" t="str">
        <f>S224*T224</f>
      </c>
      <c r="X224" t="n">
        <v>0</v>
      </c>
      <c r="Y224" s="114" t="n">
        <v>2017</v>
      </c>
      <c r="Z224" t="s">
        <v>399</v>
      </c>
      <c r="AA224" s="115" t="str">
        <f>IF(G224="shared-count-once",COUNTIFS($A$2:$A$287,A224,$B$2:$B$287,B224,$D$2:$D$287,D224),1)</f>
      </c>
      <c r="AB224" s="116" t="n">
        <v>312936391.858479</v>
      </c>
      <c r="AC224" s="117" t="str">
        <f>IF(AB224=0,"",Q224/AB224)</f>
      </c>
      <c r="AD224" s="118" t="str">
        <f>IF(AB224=0,"",R224/AB224)</f>
      </c>
      <c r="AE224" s="119" t="str">
        <f>IF(AB224=0,"",S224/AB224)</f>
      </c>
      <c r="AF224" s="120" t="str">
        <f>IF(AB224=0,"",W224/AB224)</f>
      </c>
    </row>
    <row r="225">
      <c r="A225" t="s">
        <v>116</v>
      </c>
      <c r="B225" s="93" t="n">
        <v>2040</v>
      </c>
      <c r="C225" t="s">
        <v>250</v>
      </c>
      <c r="D225" s="94" t="s">
        <v>401</v>
      </c>
      <c r="E225" s="95" t="s">
        <v>402</v>
      </c>
      <c r="F225" s="96" t="s">
        <v>253</v>
      </c>
      <c r="G225" s="97" t="s">
        <v>403</v>
      </c>
      <c r="H225" s="98" t="s">
        <v>396</v>
      </c>
      <c r="I225" s="99" t="n">
        <v>1</v>
      </c>
      <c r="J225" s="100" t="n">
        <v>1</v>
      </c>
      <c r="K225" s="101" t="n">
        <v>0.0077</v>
      </c>
      <c r="L225" s="102" t="n">
        <v>316907611.255135</v>
      </c>
      <c r="M225" s="103" t="n">
        <v>316427530.0167</v>
      </c>
      <c r="N225" s="104" t="str">
        <f>MIN(MAX((B225-'Calculation_Assumptions'!$B$5+1)/'Calculation_Assumptions'!$B$7,0),1)</f>
      </c>
      <c r="O225" s="105" t="str">
        <f>L225*I225</f>
      </c>
      <c r="P225" s="106" t="str">
        <f>M225*I225</f>
      </c>
      <c r="Q225" s="107" t="str">
        <f>P225*'Calculation_Assumptions'!$B$14*J225*K225</f>
      </c>
      <c r="R225" s="108" t="str">
        <f>O225*N225*J225*K225</f>
      </c>
      <c r="S225" s="109" t="str">
        <f>R225-Q225</f>
      </c>
      <c r="T225" s="110" t="str">
        <f>1/(1+'Calculation_Assumptions'!$B$8)^(B225-'Calculation_Assumptions'!$B$2)</f>
      </c>
      <c r="U225" s="111" t="str">
        <f>Q225*T225</f>
      </c>
      <c r="V225" s="112" t="str">
        <f>R225*T225</f>
      </c>
      <c r="W225" s="113" t="str">
        <f>S225*T225</f>
      </c>
      <c r="X225" t="n">
        <v>0</v>
      </c>
      <c r="Y225" s="114" t="n">
        <v>2017</v>
      </c>
      <c r="Z225" t="s">
        <v>399</v>
      </c>
      <c r="AA225" s="115" t="str">
        <f>IF(G225="shared-count-once",COUNTIFS($A$2:$A$287,A225,$B$2:$B$287,B225,$D$2:$D$287,D225),1)</f>
      </c>
      <c r="AB225" s="116" t="n">
        <v>314265537.410829</v>
      </c>
      <c r="AC225" s="117" t="str">
        <f>IF(AB225=0,"",Q225/AB225)</f>
      </c>
      <c r="AD225" s="118" t="str">
        <f>IF(AB225=0,"",R225/AB225)</f>
      </c>
      <c r="AE225" s="119" t="str">
        <f>IF(AB225=0,"",S225/AB225)</f>
      </c>
      <c r="AF225" s="120" t="str">
        <f>IF(AB225=0,"",W225/AB225)</f>
      </c>
    </row>
    <row r="226">
      <c r="A226" t="s">
        <v>116</v>
      </c>
      <c r="B226" s="93" t="n">
        <v>2041</v>
      </c>
      <c r="C226" t="s">
        <v>250</v>
      </c>
      <c r="D226" s="94" t="s">
        <v>401</v>
      </c>
      <c r="E226" s="95" t="s">
        <v>402</v>
      </c>
      <c r="F226" s="96" t="s">
        <v>253</v>
      </c>
      <c r="G226" s="97" t="s">
        <v>403</v>
      </c>
      <c r="H226" s="98" t="s">
        <v>396</v>
      </c>
      <c r="I226" s="99" t="n">
        <v>1</v>
      </c>
      <c r="J226" s="100" t="n">
        <v>1</v>
      </c>
      <c r="K226" s="101" t="n">
        <v>0.0077</v>
      </c>
      <c r="L226" s="102" t="n">
        <v>318179990.818572</v>
      </c>
      <c r="M226" s="103" t="n">
        <v>317614843.247219</v>
      </c>
      <c r="N226" s="104" t="str">
        <f>MIN(MAX((B226-'Calculation_Assumptions'!$B$5+1)/'Calculation_Assumptions'!$B$7,0),1)</f>
      </c>
      <c r="O226" s="105" t="str">
        <f>L226*I226</f>
      </c>
      <c r="P226" s="106" t="str">
        <f>M226*I226</f>
      </c>
      <c r="Q226" s="107" t="str">
        <f>P226*'Calculation_Assumptions'!$B$14*J226*K226</f>
      </c>
      <c r="R226" s="108" t="str">
        <f>O226*N226*J226*K226</f>
      </c>
      <c r="S226" s="109" t="str">
        <f>R226-Q226</f>
      </c>
      <c r="T226" s="110" t="str">
        <f>1/(1+'Calculation_Assumptions'!$B$8)^(B226-'Calculation_Assumptions'!$B$2)</f>
      </c>
      <c r="U226" s="111" t="str">
        <f>Q226*T226</f>
      </c>
      <c r="V226" s="112" t="str">
        <f>R226*T226</f>
      </c>
      <c r="W226" s="113" t="str">
        <f>S226*T226</f>
      </c>
      <c r="X226" t="n">
        <v>0</v>
      </c>
      <c r="Y226" s="114" t="n">
        <v>2017</v>
      </c>
      <c r="Z226" t="s">
        <v>399</v>
      </c>
      <c r="AA226" s="115" t="str">
        <f>IF(G226="shared-count-once",COUNTIFS($A$2:$A$287,A226,$B$2:$B$287,B226,$D$2:$D$287,D226),1)</f>
      </c>
      <c r="AB226" s="116" t="n">
        <v>315525215.312548</v>
      </c>
      <c r="AC226" s="117" t="str">
        <f>IF(AB226=0,"",Q226/AB226)</f>
      </c>
      <c r="AD226" s="118" t="str">
        <f>IF(AB226=0,"",R226/AB226)</f>
      </c>
      <c r="AE226" s="119" t="str">
        <f>IF(AB226=0,"",S226/AB226)</f>
      </c>
      <c r="AF226" s="120" t="str">
        <f>IF(AB226=0,"",W226/AB226)</f>
      </c>
    </row>
    <row r="227">
      <c r="A227" t="s">
        <v>116</v>
      </c>
      <c r="B227" s="93" t="n">
        <v>2042</v>
      </c>
      <c r="C227" t="s">
        <v>250</v>
      </c>
      <c r="D227" s="94" t="s">
        <v>401</v>
      </c>
      <c r="E227" s="95" t="s">
        <v>402</v>
      </c>
      <c r="F227" s="96" t="s">
        <v>253</v>
      </c>
      <c r="G227" s="97" t="s">
        <v>403</v>
      </c>
      <c r="H227" s="98" t="s">
        <v>396</v>
      </c>
      <c r="I227" s="99" t="n">
        <v>1</v>
      </c>
      <c r="J227" s="100" t="n">
        <v>1</v>
      </c>
      <c r="K227" s="101" t="n">
        <v>0.0077</v>
      </c>
      <c r="L227" s="102" t="n">
        <v>319316687.234113</v>
      </c>
      <c r="M227" s="103" t="n">
        <v>318781045.920738</v>
      </c>
      <c r="N227" s="104" t="str">
        <f>MIN(MAX((B227-'Calculation_Assumptions'!$B$5+1)/'Calculation_Assumptions'!$B$7,0),1)</f>
      </c>
      <c r="O227" s="105" t="str">
        <f>L227*I227</f>
      </c>
      <c r="P227" s="106" t="str">
        <f>M227*I227</f>
      </c>
      <c r="Q227" s="107" t="str">
        <f>P227*'Calculation_Assumptions'!$B$14*J227*K227</f>
      </c>
      <c r="R227" s="108" t="str">
        <f>O227*N227*J227*K227</f>
      </c>
      <c r="S227" s="109" t="str">
        <f>R227-Q227</f>
      </c>
      <c r="T227" s="110" t="str">
        <f>1/(1+'Calculation_Assumptions'!$B$8)^(B227-'Calculation_Assumptions'!$B$2)</f>
      </c>
      <c r="U227" s="111" t="str">
        <f>Q227*T227</f>
      </c>
      <c r="V227" s="112" t="str">
        <f>R227*T227</f>
      </c>
      <c r="W227" s="113" t="str">
        <f>S227*T227</f>
      </c>
      <c r="X227" t="n">
        <v>0</v>
      </c>
      <c r="Y227" s="114" t="n">
        <v>2017</v>
      </c>
      <c r="Z227" t="s">
        <v>399</v>
      </c>
      <c r="AA227" s="115" t="str">
        <f>IF(G227="shared-count-once",COUNTIFS($A$2:$A$287,A227,$B$2:$B$287,B227,$D$2:$D$287,D227),1)</f>
      </c>
      <c r="AB227" s="116" t="n">
        <v>316707694.211882</v>
      </c>
      <c r="AC227" s="117" t="str">
        <f>IF(AB227=0,"",Q227/AB227)</f>
      </c>
      <c r="AD227" s="118" t="str">
        <f>IF(AB227=0,"",R227/AB227)</f>
      </c>
      <c r="AE227" s="119" t="str">
        <f>IF(AB227=0,"",S227/AB227)</f>
      </c>
      <c r="AF227" s="120" t="str">
        <f>IF(AB227=0,"",W227/AB227)</f>
      </c>
    </row>
    <row r="228">
      <c r="A228" t="s">
        <v>116</v>
      </c>
      <c r="B228" s="93" t="n">
        <v>2043</v>
      </c>
      <c r="C228" t="s">
        <v>250</v>
      </c>
      <c r="D228" s="94" t="s">
        <v>401</v>
      </c>
      <c r="E228" s="95" t="s">
        <v>402</v>
      </c>
      <c r="F228" s="96" t="s">
        <v>253</v>
      </c>
      <c r="G228" s="97" t="s">
        <v>403</v>
      </c>
      <c r="H228" s="98" t="s">
        <v>396</v>
      </c>
      <c r="I228" s="99" t="n">
        <v>1</v>
      </c>
      <c r="J228" s="100" t="n">
        <v>1</v>
      </c>
      <c r="K228" s="101" t="n">
        <v>0.0077</v>
      </c>
      <c r="L228" s="102" t="n">
        <v>320438699.530746</v>
      </c>
      <c r="M228" s="103" t="n">
        <v>319872275.594712</v>
      </c>
      <c r="N228" s="104" t="str">
        <f>MIN(MAX((B228-'Calculation_Assumptions'!$B$5+1)/'Calculation_Assumptions'!$B$7,0),1)</f>
      </c>
      <c r="O228" s="105" t="str">
        <f>L228*I228</f>
      </c>
      <c r="P228" s="106" t="str">
        <f>M228*I228</f>
      </c>
      <c r="Q228" s="107" t="str">
        <f>P228*'Calculation_Assumptions'!$B$14*J228*K228</f>
      </c>
      <c r="R228" s="108" t="str">
        <f>O228*N228*J228*K228</f>
      </c>
      <c r="S228" s="109" t="str">
        <f>R228-Q228</f>
      </c>
      <c r="T228" s="110" t="str">
        <f>1/(1+'Calculation_Assumptions'!$B$8)^(B228-'Calculation_Assumptions'!$B$2)</f>
      </c>
      <c r="U228" s="111" t="str">
        <f>Q228*T228</f>
      </c>
      <c r="V228" s="112" t="str">
        <f>R228*T228</f>
      </c>
      <c r="W228" s="113" t="str">
        <f>S228*T228</f>
      </c>
      <c r="X228" t="n">
        <v>0</v>
      </c>
      <c r="Y228" s="114" t="n">
        <v>2017</v>
      </c>
      <c r="Z228" t="s">
        <v>399</v>
      </c>
      <c r="AA228" s="115" t="str">
        <f>IF(G228="shared-count-once",COUNTIFS($A$2:$A$287,A228,$B$2:$B$287,B228,$D$2:$D$287,D228),1)</f>
      </c>
      <c r="AB228" s="116" t="n">
        <v>317814114.067152</v>
      </c>
      <c r="AC228" s="117" t="str">
        <f>IF(AB228=0,"",Q228/AB228)</f>
      </c>
      <c r="AD228" s="118" t="str">
        <f>IF(AB228=0,"",R228/AB228)</f>
      </c>
      <c r="AE228" s="119" t="str">
        <f>IF(AB228=0,"",S228/AB228)</f>
      </c>
      <c r="AF228" s="120" t="str">
        <f>IF(AB228=0,"",W228/AB228)</f>
      </c>
    </row>
    <row r="229">
      <c r="A229" t="s">
        <v>116</v>
      </c>
      <c r="B229" s="93" t="n">
        <v>2044</v>
      </c>
      <c r="C229" t="s">
        <v>250</v>
      </c>
      <c r="D229" s="94" t="s">
        <v>401</v>
      </c>
      <c r="E229" s="95" t="s">
        <v>402</v>
      </c>
      <c r="F229" s="96" t="s">
        <v>253</v>
      </c>
      <c r="G229" s="97" t="s">
        <v>403</v>
      </c>
      <c r="H229" s="98" t="s">
        <v>396</v>
      </c>
      <c r="I229" s="99" t="n">
        <v>1</v>
      </c>
      <c r="J229" s="100" t="n">
        <v>1</v>
      </c>
      <c r="K229" s="101" t="n">
        <v>0.0077</v>
      </c>
      <c r="L229" s="102" t="n">
        <v>321495564.591722</v>
      </c>
      <c r="M229" s="103" t="n">
        <v>320897722.542069</v>
      </c>
      <c r="N229" s="104" t="str">
        <f>MIN(MAX((B229-'Calculation_Assumptions'!$B$5+1)/'Calculation_Assumptions'!$B$7,0),1)</f>
      </c>
      <c r="O229" s="105" t="str">
        <f>L229*I229</f>
      </c>
      <c r="P229" s="106" t="str">
        <f>M229*I229</f>
      </c>
      <c r="Q229" s="107" t="str">
        <f>P229*'Calculation_Assumptions'!$B$14*J229*K229</f>
      </c>
      <c r="R229" s="108" t="str">
        <f>O229*N229*J229*K229</f>
      </c>
      <c r="S229" s="109" t="str">
        <f>R229-Q229</f>
      </c>
      <c r="T229" s="110" t="str">
        <f>1/(1+'Calculation_Assumptions'!$B$8)^(B229-'Calculation_Assumptions'!$B$2)</f>
      </c>
      <c r="U229" s="111" t="str">
        <f>Q229*T229</f>
      </c>
      <c r="V229" s="112" t="str">
        <f>R229*T229</f>
      </c>
      <c r="W229" s="113" t="str">
        <f>S229*T229</f>
      </c>
      <c r="X229" t="n">
        <v>0</v>
      </c>
      <c r="Y229" s="114" t="n">
        <v>2017</v>
      </c>
      <c r="Z229" t="s">
        <v>399</v>
      </c>
      <c r="AA229" s="115" t="str">
        <f>IF(G229="shared-count-once",COUNTIFS($A$2:$A$287,A229,$B$2:$B$287,B229,$D$2:$D$287,D229),1)</f>
      </c>
      <c r="AB229" s="116" t="n">
        <v>318840890.732156</v>
      </c>
      <c r="AC229" s="117" t="str">
        <f>IF(AB229=0,"",Q229/AB229)</f>
      </c>
      <c r="AD229" s="118" t="str">
        <f>IF(AB229=0,"",R229/AB229)</f>
      </c>
      <c r="AE229" s="119" t="str">
        <f>IF(AB229=0,"",S229/AB229)</f>
      </c>
      <c r="AF229" s="120" t="str">
        <f>IF(AB229=0,"",W229/AB229)</f>
      </c>
    </row>
    <row r="230">
      <c r="A230" t="s">
        <v>116</v>
      </c>
      <c r="B230" s="93" t="n">
        <v>2045</v>
      </c>
      <c r="C230" t="s">
        <v>250</v>
      </c>
      <c r="D230" s="94" t="s">
        <v>401</v>
      </c>
      <c r="E230" s="95" t="s">
        <v>402</v>
      </c>
      <c r="F230" s="96" t="s">
        <v>253</v>
      </c>
      <c r="G230" s="97" t="s">
        <v>403</v>
      </c>
      <c r="H230" s="98" t="s">
        <v>396</v>
      </c>
      <c r="I230" s="99" t="n">
        <v>1</v>
      </c>
      <c r="J230" s="100" t="n">
        <v>1</v>
      </c>
      <c r="K230" s="101" t="n">
        <v>0.0077</v>
      </c>
      <c r="L230" s="102" t="n">
        <v>322462168.543824</v>
      </c>
      <c r="M230" s="103" t="n">
        <v>321832323.778944</v>
      </c>
      <c r="N230" s="104" t="str">
        <f>MIN(MAX((B230-'Calculation_Assumptions'!$B$5+1)/'Calculation_Assumptions'!$B$7,0),1)</f>
      </c>
      <c r="O230" s="105" t="str">
        <f>L230*I230</f>
      </c>
      <c r="P230" s="106" t="str">
        <f>M230*I230</f>
      </c>
      <c r="Q230" s="107" t="str">
        <f>P230*'Calculation_Assumptions'!$B$14*J230*K230</f>
      </c>
      <c r="R230" s="108" t="str">
        <f>O230*N230*J230*K230</f>
      </c>
      <c r="S230" s="109" t="str">
        <f>R230-Q230</f>
      </c>
      <c r="T230" s="110" t="str">
        <f>1/(1+'Calculation_Assumptions'!$B$8)^(B230-'Calculation_Assumptions'!$B$2)</f>
      </c>
      <c r="U230" s="111" t="str">
        <f>Q230*T230</f>
      </c>
      <c r="V230" s="112" t="str">
        <f>R230*T230</f>
      </c>
      <c r="W230" s="113" t="str">
        <f>S230*T230</f>
      </c>
      <c r="X230" t="n">
        <v>0</v>
      </c>
      <c r="Y230" s="114" t="n">
        <v>2017</v>
      </c>
      <c r="Z230" t="s">
        <v>399</v>
      </c>
      <c r="AA230" s="115" t="str">
        <f>IF(G230="shared-count-once",COUNTIFS($A$2:$A$287,A230,$B$2:$B$287,B230,$D$2:$D$287,D230),1)</f>
      </c>
      <c r="AB230" s="116" t="n">
        <v>319784682.33108</v>
      </c>
      <c r="AC230" s="117" t="str">
        <f>IF(AB230=0,"",Q230/AB230)</f>
      </c>
      <c r="AD230" s="118" t="str">
        <f>IF(AB230=0,"",R230/AB230)</f>
      </c>
      <c r="AE230" s="119" t="str">
        <f>IF(AB230=0,"",S230/AB230)</f>
      </c>
      <c r="AF230" s="120" t="str">
        <f>IF(AB230=0,"",W230/AB230)</f>
      </c>
    </row>
    <row r="231">
      <c r="A231" t="s">
        <v>116</v>
      </c>
      <c r="B231" s="93" t="n">
        <v>2046</v>
      </c>
      <c r="C231" t="s">
        <v>250</v>
      </c>
      <c r="D231" s="94" t="s">
        <v>401</v>
      </c>
      <c r="E231" s="95" t="s">
        <v>402</v>
      </c>
      <c r="F231" s="96" t="s">
        <v>253</v>
      </c>
      <c r="G231" s="97" t="s">
        <v>403</v>
      </c>
      <c r="H231" s="98" t="s">
        <v>396</v>
      </c>
      <c r="I231" s="99" t="n">
        <v>1</v>
      </c>
      <c r="J231" s="100" t="n">
        <v>1</v>
      </c>
      <c r="K231" s="101" t="n">
        <v>0.0077</v>
      </c>
      <c r="L231" s="102" t="n">
        <v>323319024.980535</v>
      </c>
      <c r="M231" s="103" t="n">
        <v>322683379.427444</v>
      </c>
      <c r="N231" s="104" t="str">
        <f>MIN(MAX((B231-'Calculation_Assumptions'!$B$5+1)/'Calculation_Assumptions'!$B$7,0),1)</f>
      </c>
      <c r="O231" s="105" t="str">
        <f>L231*I231</f>
      </c>
      <c r="P231" s="106" t="str">
        <f>M231*I231</f>
      </c>
      <c r="Q231" s="107" t="str">
        <f>P231*'Calculation_Assumptions'!$B$14*J231*K231</f>
      </c>
      <c r="R231" s="108" t="str">
        <f>O231*N231*J231*K231</f>
      </c>
      <c r="S231" s="109" t="str">
        <f>R231-Q231</f>
      </c>
      <c r="T231" s="110" t="str">
        <f>1/(1+'Calculation_Assumptions'!$B$8)^(B231-'Calculation_Assumptions'!$B$2)</f>
      </c>
      <c r="U231" s="111" t="str">
        <f>Q231*T231</f>
      </c>
      <c r="V231" s="112" t="str">
        <f>R231*T231</f>
      </c>
      <c r="W231" s="113" t="str">
        <f>S231*T231</f>
      </c>
      <c r="X231" t="n">
        <v>0</v>
      </c>
      <c r="Y231" s="114" t="n">
        <v>2017</v>
      </c>
      <c r="Z231" t="s">
        <v>399</v>
      </c>
      <c r="AA231" s="115" t="str">
        <f>IF(G231="shared-count-once",COUNTIFS($A$2:$A$287,A231,$B$2:$B$287,B231,$D$2:$D$287,D231),1)</f>
      </c>
      <c r="AB231" s="116" t="n">
        <v>320645615.981408</v>
      </c>
      <c r="AC231" s="117" t="str">
        <f>IF(AB231=0,"",Q231/AB231)</f>
      </c>
      <c r="AD231" s="118" t="str">
        <f>IF(AB231=0,"",R231/AB231)</f>
      </c>
      <c r="AE231" s="119" t="str">
        <f>IF(AB231=0,"",S231/AB231)</f>
      </c>
      <c r="AF231" s="120" t="str">
        <f>IF(AB231=0,"",W231/AB231)</f>
      </c>
    </row>
    <row r="232">
      <c r="A232" t="s">
        <v>116</v>
      </c>
      <c r="B232" s="93" t="n">
        <v>2047</v>
      </c>
      <c r="C232" t="s">
        <v>250</v>
      </c>
      <c r="D232" s="94" t="s">
        <v>401</v>
      </c>
      <c r="E232" s="95" t="s">
        <v>402</v>
      </c>
      <c r="F232" s="96" t="s">
        <v>253</v>
      </c>
      <c r="G232" s="97" t="s">
        <v>403</v>
      </c>
      <c r="H232" s="98" t="s">
        <v>396</v>
      </c>
      <c r="I232" s="99" t="n">
        <v>1</v>
      </c>
      <c r="J232" s="100" t="n">
        <v>1</v>
      </c>
      <c r="K232" s="101" t="n">
        <v>0.0077</v>
      </c>
      <c r="L232" s="102" t="n">
        <v>324141500.683217</v>
      </c>
      <c r="M232" s="103" t="n">
        <v>323457177.765372</v>
      </c>
      <c r="N232" s="104" t="str">
        <f>MIN(MAX((B232-'Calculation_Assumptions'!$B$5+1)/'Calculation_Assumptions'!$B$7,0),1)</f>
      </c>
      <c r="O232" s="105" t="str">
        <f>L232*I232</f>
      </c>
      <c r="P232" s="106" t="str">
        <f>M232*I232</f>
      </c>
      <c r="Q232" s="107" t="str">
        <f>P232*'Calculation_Assumptions'!$B$14*J232*K232</f>
      </c>
      <c r="R232" s="108" t="str">
        <f>O232*N232*J232*K232</f>
      </c>
      <c r="S232" s="109" t="str">
        <f>R232-Q232</f>
      </c>
      <c r="T232" s="110" t="str">
        <f>1/(1+'Calculation_Assumptions'!$B$8)^(B232-'Calculation_Assumptions'!$B$2)</f>
      </c>
      <c r="U232" s="111" t="str">
        <f>Q232*T232</f>
      </c>
      <c r="V232" s="112" t="str">
        <f>R232*T232</f>
      </c>
      <c r="W232" s="113" t="str">
        <f>S232*T232</f>
      </c>
      <c r="X232" t="n">
        <v>0</v>
      </c>
      <c r="Y232" s="114" t="n">
        <v>2017</v>
      </c>
      <c r="Z232" t="s">
        <v>399</v>
      </c>
      <c r="AA232" s="115" t="str">
        <f>IF(G232="shared-count-once",COUNTIFS($A$2:$A$287,A232,$B$2:$B$287,B232,$D$2:$D$287,D232),1)</f>
      </c>
      <c r="AB232" s="116" t="n">
        <v>321429520.522875</v>
      </c>
      <c r="AC232" s="117" t="str">
        <f>IF(AB232=0,"",Q232/AB232)</f>
      </c>
      <c r="AD232" s="118" t="str">
        <f>IF(AB232=0,"",R232/AB232)</f>
      </c>
      <c r="AE232" s="119" t="str">
        <f>IF(AB232=0,"",S232/AB232)</f>
      </c>
      <c r="AF232" s="120" t="str">
        <f>IF(AB232=0,"",W232/AB232)</f>
      </c>
    </row>
    <row r="233">
      <c r="A233" t="s">
        <v>116</v>
      </c>
      <c r="B233" s="93" t="n">
        <v>2048</v>
      </c>
      <c r="C233" t="s">
        <v>250</v>
      </c>
      <c r="D233" s="94" t="s">
        <v>401</v>
      </c>
      <c r="E233" s="95" t="s">
        <v>402</v>
      </c>
      <c r="F233" s="96" t="s">
        <v>253</v>
      </c>
      <c r="G233" s="97" t="s">
        <v>403</v>
      </c>
      <c r="H233" s="98" t="s">
        <v>396</v>
      </c>
      <c r="I233" s="99" t="n">
        <v>1</v>
      </c>
      <c r="J233" s="100" t="n">
        <v>1</v>
      </c>
      <c r="K233" s="101" t="n">
        <v>0.0077</v>
      </c>
      <c r="L233" s="102" t="n">
        <v>324874886.08358</v>
      </c>
      <c r="M233" s="103" t="n">
        <v>324153264.068833</v>
      </c>
      <c r="N233" s="104" t="str">
        <f>MIN(MAX((B233-'Calculation_Assumptions'!$B$5+1)/'Calculation_Assumptions'!$B$7,0),1)</f>
      </c>
      <c r="O233" s="105" t="str">
        <f>L233*I233</f>
      </c>
      <c r="P233" s="106" t="str">
        <f>M233*I233</f>
      </c>
      <c r="Q233" s="107" t="str">
        <f>P233*'Calculation_Assumptions'!$B$14*J233*K233</f>
      </c>
      <c r="R233" s="108" t="str">
        <f>O233*N233*J233*K233</f>
      </c>
      <c r="S233" s="109" t="str">
        <f>R233-Q233</f>
      </c>
      <c r="T233" s="110" t="str">
        <f>1/(1+'Calculation_Assumptions'!$B$8)^(B233-'Calculation_Assumptions'!$B$2)</f>
      </c>
      <c r="U233" s="111" t="str">
        <f>Q233*T233</f>
      </c>
      <c r="V233" s="112" t="str">
        <f>R233*T233</f>
      </c>
      <c r="W233" s="113" t="str">
        <f>S233*T233</f>
      </c>
      <c r="X233" t="n">
        <v>0</v>
      </c>
      <c r="Y233" s="114" t="n">
        <v>2017</v>
      </c>
      <c r="Z233" t="s">
        <v>399</v>
      </c>
      <c r="AA233" s="115" t="str">
        <f>IF(G233="shared-count-once",COUNTIFS($A$2:$A$287,A233,$B$2:$B$287,B233,$D$2:$D$287,D233),1)</f>
      </c>
      <c r="AB233" s="116" t="n">
        <v>322136832.260161</v>
      </c>
      <c r="AC233" s="117" t="str">
        <f>IF(AB233=0,"",Q233/AB233)</f>
      </c>
      <c r="AD233" s="118" t="str">
        <f>IF(AB233=0,"",R233/AB233)</f>
      </c>
      <c r="AE233" s="119" t="str">
        <f>IF(AB233=0,"",S233/AB233)</f>
      </c>
      <c r="AF233" s="120" t="str">
        <f>IF(AB233=0,"",W233/AB233)</f>
      </c>
    </row>
    <row r="234">
      <c r="A234" t="s">
        <v>116</v>
      </c>
      <c r="B234" s="93" t="n">
        <v>2049</v>
      </c>
      <c r="C234" t="s">
        <v>250</v>
      </c>
      <c r="D234" s="94" t="s">
        <v>401</v>
      </c>
      <c r="E234" s="95" t="s">
        <v>402</v>
      </c>
      <c r="F234" s="96" t="s">
        <v>253</v>
      </c>
      <c r="G234" s="97" t="s">
        <v>403</v>
      </c>
      <c r="H234" s="98" t="s">
        <v>396</v>
      </c>
      <c r="I234" s="99" t="n">
        <v>1</v>
      </c>
      <c r="J234" s="100" t="n">
        <v>1</v>
      </c>
      <c r="K234" s="101" t="n">
        <v>0.0077</v>
      </c>
      <c r="L234" s="102" t="n">
        <v>325495166.312431</v>
      </c>
      <c r="M234" s="103" t="n">
        <v>324770595.66435</v>
      </c>
      <c r="N234" s="104" t="str">
        <f>MIN(MAX((B234-'Calculation_Assumptions'!$B$5+1)/'Calculation_Assumptions'!$B$7,0),1)</f>
      </c>
      <c r="O234" s="105" t="str">
        <f>L234*I234</f>
      </c>
      <c r="P234" s="106" t="str">
        <f>M234*I234</f>
      </c>
      <c r="Q234" s="107" t="str">
        <f>P234*'Calculation_Assumptions'!$B$14*J234*K234</f>
      </c>
      <c r="R234" s="108" t="str">
        <f>O234*N234*J234*K234</f>
      </c>
      <c r="S234" s="109" t="str">
        <f>R234-Q234</f>
      </c>
      <c r="T234" s="110" t="str">
        <f>1/(1+'Calculation_Assumptions'!$B$8)^(B234-'Calculation_Assumptions'!$B$2)</f>
      </c>
      <c r="U234" s="111" t="str">
        <f>Q234*T234</f>
      </c>
      <c r="V234" s="112" t="str">
        <f>R234*T234</f>
      </c>
      <c r="W234" s="113" t="str">
        <f>S234*T234</f>
      </c>
      <c r="X234" t="n">
        <v>0</v>
      </c>
      <c r="Y234" s="114" t="n">
        <v>2017</v>
      </c>
      <c r="Z234" t="s">
        <v>399</v>
      </c>
      <c r="AA234" s="115" t="str">
        <f>IF(G234="shared-count-once",COUNTIFS($A$2:$A$287,A234,$B$2:$B$287,B234,$D$2:$D$287,D234),1)</f>
      </c>
      <c r="AB234" s="116" t="n">
        <v>322765819.752681</v>
      </c>
      <c r="AC234" s="117" t="str">
        <f>IF(AB234=0,"",Q234/AB234)</f>
      </c>
      <c r="AD234" s="118" t="str">
        <f>IF(AB234=0,"",R234/AB234)</f>
      </c>
      <c r="AE234" s="119" t="str">
        <f>IF(AB234=0,"",S234/AB234)</f>
      </c>
      <c r="AF234" s="120" t="str">
        <f>IF(AB234=0,"",W234/AB234)</f>
      </c>
    </row>
    <row r="235">
      <c r="A235" t="s">
        <v>116</v>
      </c>
      <c r="B235" s="93" t="n">
        <v>2050</v>
      </c>
      <c r="C235" t="s">
        <v>250</v>
      </c>
      <c r="D235" s="94" t="s">
        <v>401</v>
      </c>
      <c r="E235" s="95" t="s">
        <v>402</v>
      </c>
      <c r="F235" s="96" t="s">
        <v>253</v>
      </c>
      <c r="G235" s="97" t="s">
        <v>403</v>
      </c>
      <c r="H235" s="98" t="s">
        <v>396</v>
      </c>
      <c r="I235" s="99" t="n">
        <v>1</v>
      </c>
      <c r="J235" s="100" t="n">
        <v>1</v>
      </c>
      <c r="K235" s="101" t="n">
        <v>0.0077</v>
      </c>
      <c r="L235" s="102" t="n">
        <v>326062187.594106</v>
      </c>
      <c r="M235" s="103" t="n">
        <v>325271287.464889</v>
      </c>
      <c r="N235" s="104" t="str">
        <f>MIN(MAX((B235-'Calculation_Assumptions'!$B$5+1)/'Calculation_Assumptions'!$B$7,0),1)</f>
      </c>
      <c r="O235" s="105" t="str">
        <f>L235*I235</f>
      </c>
      <c r="P235" s="106" t="str">
        <f>M235*I235</f>
      </c>
      <c r="Q235" s="107" t="str">
        <f>P235*'Calculation_Assumptions'!$B$14*J235*K235</f>
      </c>
      <c r="R235" s="108" t="str">
        <f>O235*N235*J235*K235</f>
      </c>
      <c r="S235" s="109" t="str">
        <f>R235-Q235</f>
      </c>
      <c r="T235" s="110" t="str">
        <f>1/(1+'Calculation_Assumptions'!$B$8)^(B235-'Calculation_Assumptions'!$B$2)</f>
      </c>
      <c r="U235" s="111" t="str">
        <f>Q235*T235</f>
      </c>
      <c r="V235" s="112" t="str">
        <f>R235*T235</f>
      </c>
      <c r="W235" s="113" t="str">
        <f>S235*T235</f>
      </c>
      <c r="X235" t="n">
        <v>0</v>
      </c>
      <c r="Y235" s="114" t="n">
        <v>2017</v>
      </c>
      <c r="Z235" t="s">
        <v>399</v>
      </c>
      <c r="AA235" s="115" t="str">
        <f>IF(G235="shared-count-once",COUNTIFS($A$2:$A$287,A235,$B$2:$B$287,B235,$D$2:$D$287,D235),1)</f>
      </c>
      <c r="AB235" s="116" t="n">
        <v>323312042.563285</v>
      </c>
      <c r="AC235" s="117" t="str">
        <f>IF(AB235=0,"",Q235/AB235)</f>
      </c>
      <c r="AD235" s="118" t="str">
        <f>IF(AB235=0,"",R235/AB235)</f>
      </c>
      <c r="AE235" s="119" t="str">
        <f>IF(AB235=0,"",S235/AB235)</f>
      </c>
      <c r="AF235" s="120" t="str">
        <f>IF(AB235=0,"",W235/AB235)</f>
      </c>
    </row>
    <row r="236">
      <c r="A236" t="s">
        <v>116</v>
      </c>
      <c r="B236" s="93" t="n">
        <v>2025</v>
      </c>
      <c r="C236" t="s">
        <v>262</v>
      </c>
      <c r="D236" s="94" t="s">
        <v>405</v>
      </c>
      <c r="E236" s="95" t="s">
        <v>406</v>
      </c>
      <c r="F236" s="96" t="s">
        <v>265</v>
      </c>
      <c r="G236" s="97" t="s">
        <v>403</v>
      </c>
      <c r="H236" s="98" t="s">
        <v>396</v>
      </c>
      <c r="I236" s="99" t="n">
        <v>1</v>
      </c>
      <c r="J236" s="100" t="n">
        <v>1</v>
      </c>
      <c r="K236" s="101" t="n">
        <v>0.0077</v>
      </c>
      <c r="L236" s="102" t="n">
        <v>291886571.325912</v>
      </c>
      <c r="M236" s="103" t="n">
        <v>291223951.413062</v>
      </c>
      <c r="N236" s="104" t="str">
        <f>MIN(MAX((B236-'Calculation_Assumptions'!$B$5+1)/'Calculation_Assumptions'!$B$7,0),1)</f>
      </c>
      <c r="O236" s="105" t="str">
        <f>L236*I236</f>
      </c>
      <c r="P236" s="106" t="str">
        <f>M236*I236</f>
      </c>
      <c r="Q236" s="107" t="str">
        <f>P236*'Calculation_Assumptions'!$B$14*J236*K236</f>
      </c>
      <c r="R236" s="108" t="str">
        <f>O236*N236*J236*K236</f>
      </c>
      <c r="S236" s="109" t="str">
        <f>R236-Q236</f>
      </c>
      <c r="T236" s="110" t="str">
        <f>1/(1+'Calculation_Assumptions'!$B$8)^(B236-'Calculation_Assumptions'!$B$2)</f>
      </c>
      <c r="U236" s="111" t="str">
        <f>Q236*T236</f>
      </c>
      <c r="V236" s="112" t="str">
        <f>R236*T236</f>
      </c>
      <c r="W236" s="113" t="str">
        <f>S236*T236</f>
      </c>
      <c r="X236" t="n">
        <v>0</v>
      </c>
      <c r="Y236" s="114" t="n">
        <v>2017</v>
      </c>
      <c r="Z236" t="s">
        <v>399</v>
      </c>
      <c r="AA236" s="115" t="str">
        <f>IF(G236="shared-count-once",COUNTIFS($A$2:$A$287,A236,$B$2:$B$287,B236,$D$2:$D$287,D236),1)</f>
      </c>
      <c r="AB236" s="116" t="n">
        <v>288391907.644456</v>
      </c>
      <c r="AC236" s="117" t="str">
        <f>IF(AB236=0,"",Q236/AB236)</f>
      </c>
      <c r="AD236" s="118" t="str">
        <f>IF(AB236=0,"",R236/AB236)</f>
      </c>
      <c r="AE236" s="119" t="str">
        <f>IF(AB236=0,"",S236/AB236)</f>
      </c>
      <c r="AF236" s="120" t="str">
        <f>IF(AB236=0,"",W236/AB236)</f>
      </c>
    </row>
    <row r="237">
      <c r="A237" t="s">
        <v>116</v>
      </c>
      <c r="B237" s="93" t="n">
        <v>2026</v>
      </c>
      <c r="C237" t="s">
        <v>262</v>
      </c>
      <c r="D237" s="94" t="s">
        <v>405</v>
      </c>
      <c r="E237" s="95" t="s">
        <v>406</v>
      </c>
      <c r="F237" s="96" t="s">
        <v>265</v>
      </c>
      <c r="G237" s="97" t="s">
        <v>403</v>
      </c>
      <c r="H237" s="98" t="s">
        <v>396</v>
      </c>
      <c r="I237" s="99" t="n">
        <v>1</v>
      </c>
      <c r="J237" s="100" t="n">
        <v>1</v>
      </c>
      <c r="K237" s="101" t="n">
        <v>0.0077</v>
      </c>
      <c r="L237" s="102" t="n">
        <v>293828806.709757</v>
      </c>
      <c r="M237" s="103" t="n">
        <v>293212473.334583</v>
      </c>
      <c r="N237" s="104" t="str">
        <f>MIN(MAX((B237-'Calculation_Assumptions'!$B$5+1)/'Calculation_Assumptions'!$B$7,0),1)</f>
      </c>
      <c r="O237" s="105" t="str">
        <f>L237*I237</f>
      </c>
      <c r="P237" s="106" t="str">
        <f>M237*I237</f>
      </c>
      <c r="Q237" s="107" t="str">
        <f>P237*'Calculation_Assumptions'!$B$14*J237*K237</f>
      </c>
      <c r="R237" s="108" t="str">
        <f>O237*N237*J237*K237</f>
      </c>
      <c r="S237" s="109" t="str">
        <f>R237-Q237</f>
      </c>
      <c r="T237" s="110" t="str">
        <f>1/(1+'Calculation_Assumptions'!$B$8)^(B237-'Calculation_Assumptions'!$B$2)</f>
      </c>
      <c r="U237" s="111" t="str">
        <f>Q237*T237</f>
      </c>
      <c r="V237" s="112" t="str">
        <f>R237*T237</f>
      </c>
      <c r="W237" s="113" t="str">
        <f>S237*T237</f>
      </c>
      <c r="X237" t="n">
        <v>0</v>
      </c>
      <c r="Y237" s="114" t="n">
        <v>2017</v>
      </c>
      <c r="Z237" t="s">
        <v>399</v>
      </c>
      <c r="AA237" s="115" t="str">
        <f>IF(G237="shared-count-once",COUNTIFS($A$2:$A$287,A237,$B$2:$B$287,B237,$D$2:$D$287,D237),1)</f>
      </c>
      <c r="AB237" s="116" t="n">
        <v>290472130.233437</v>
      </c>
      <c r="AC237" s="117" t="str">
        <f>IF(AB237=0,"",Q237/AB237)</f>
      </c>
      <c r="AD237" s="118" t="str">
        <f>IF(AB237=0,"",R237/AB237)</f>
      </c>
      <c r="AE237" s="119" t="str">
        <f>IF(AB237=0,"",S237/AB237)</f>
      </c>
      <c r="AF237" s="120" t="str">
        <f>IF(AB237=0,"",W237/AB237)</f>
      </c>
    </row>
    <row r="238">
      <c r="A238" t="s">
        <v>116</v>
      </c>
      <c r="B238" s="93" t="n">
        <v>2027</v>
      </c>
      <c r="C238" t="s">
        <v>262</v>
      </c>
      <c r="D238" s="94" t="s">
        <v>405</v>
      </c>
      <c r="E238" s="95" t="s">
        <v>406</v>
      </c>
      <c r="F238" s="96" t="s">
        <v>265</v>
      </c>
      <c r="G238" s="97" t="s">
        <v>403</v>
      </c>
      <c r="H238" s="98" t="s">
        <v>396</v>
      </c>
      <c r="I238" s="99" t="n">
        <v>1</v>
      </c>
      <c r="J238" s="100" t="n">
        <v>1</v>
      </c>
      <c r="K238" s="101" t="n">
        <v>0.0077</v>
      </c>
      <c r="L238" s="102" t="n">
        <v>295755486.037123</v>
      </c>
      <c r="M238" s="103" t="n">
        <v>295196117.964647</v>
      </c>
      <c r="N238" s="104" t="str">
        <f>MIN(MAX((B238-'Calculation_Assumptions'!$B$5+1)/'Calculation_Assumptions'!$B$7,0),1)</f>
      </c>
      <c r="O238" s="105" t="str">
        <f>L238*I238</f>
      </c>
      <c r="P238" s="106" t="str">
        <f>M238*I238</f>
      </c>
      <c r="Q238" s="107" t="str">
        <f>P238*'Calculation_Assumptions'!$B$14*J238*K238</f>
      </c>
      <c r="R238" s="108" t="str">
        <f>O238*N238*J238*K238</f>
      </c>
      <c r="S238" s="109" t="str">
        <f>R238-Q238</f>
      </c>
      <c r="T238" s="110" t="str">
        <f>1/(1+'Calculation_Assumptions'!$B$8)^(B238-'Calculation_Assumptions'!$B$2)</f>
      </c>
      <c r="U238" s="111" t="str">
        <f>Q238*T238</f>
      </c>
      <c r="V238" s="112" t="str">
        <f>R238*T238</f>
      </c>
      <c r="W238" s="113" t="str">
        <f>S238*T238</f>
      </c>
      <c r="X238" t="n">
        <v>0</v>
      </c>
      <c r="Y238" s="114" t="n">
        <v>2017</v>
      </c>
      <c r="Z238" t="s">
        <v>399</v>
      </c>
      <c r="AA238" s="115" t="str">
        <f>IF(G238="shared-count-once",COUNTIFS($A$2:$A$287,A238,$B$2:$B$287,B238,$D$2:$D$287,D238),1)</f>
      </c>
      <c r="AB238" s="116" t="n">
        <v>292505080.826208</v>
      </c>
      <c r="AC238" s="117" t="str">
        <f>IF(AB238=0,"",Q238/AB238)</f>
      </c>
      <c r="AD238" s="118" t="str">
        <f>IF(AB238=0,"",R238/AB238)</f>
      </c>
      <c r="AE238" s="119" t="str">
        <f>IF(AB238=0,"",S238/AB238)</f>
      </c>
      <c r="AF238" s="120" t="str">
        <f>IF(AB238=0,"",W238/AB238)</f>
      </c>
    </row>
    <row r="239">
      <c r="A239" t="s">
        <v>116</v>
      </c>
      <c r="B239" s="93" t="n">
        <v>2028</v>
      </c>
      <c r="C239" t="s">
        <v>262</v>
      </c>
      <c r="D239" s="94" t="s">
        <v>405</v>
      </c>
      <c r="E239" s="95" t="s">
        <v>406</v>
      </c>
      <c r="F239" s="96" t="s">
        <v>265</v>
      </c>
      <c r="G239" s="97" t="s">
        <v>403</v>
      </c>
      <c r="H239" s="98" t="s">
        <v>396</v>
      </c>
      <c r="I239" s="99" t="n">
        <v>1</v>
      </c>
      <c r="J239" s="100" t="n">
        <v>1</v>
      </c>
      <c r="K239" s="101" t="n">
        <v>0.0077</v>
      </c>
      <c r="L239" s="102" t="n">
        <v>297631771.376997</v>
      </c>
      <c r="M239" s="103" t="n">
        <v>297107934.99345</v>
      </c>
      <c r="N239" s="104" t="str">
        <f>MIN(MAX((B239-'Calculation_Assumptions'!$B$5+1)/'Calculation_Assumptions'!$B$7,0),1)</f>
      </c>
      <c r="O239" s="105" t="str">
        <f>L239*I239</f>
      </c>
      <c r="P239" s="106" t="str">
        <f>M239*I239</f>
      </c>
      <c r="Q239" s="107" t="str">
        <f>P239*'Calculation_Assumptions'!$B$14*J239*K239</f>
      </c>
      <c r="R239" s="108" t="str">
        <f>O239*N239*J239*K239</f>
      </c>
      <c r="S239" s="109" t="str">
        <f>R239-Q239</f>
      </c>
      <c r="T239" s="110" t="str">
        <f>1/(1+'Calculation_Assumptions'!$B$8)^(B239-'Calculation_Assumptions'!$B$2)</f>
      </c>
      <c r="U239" s="111" t="str">
        <f>Q239*T239</f>
      </c>
      <c r="V239" s="112" t="str">
        <f>R239*T239</f>
      </c>
      <c r="W239" s="113" t="str">
        <f>S239*T239</f>
      </c>
      <c r="X239" t="n">
        <v>0</v>
      </c>
      <c r="Y239" s="114" t="n">
        <v>2017</v>
      </c>
      <c r="Z239" t="s">
        <v>399</v>
      </c>
      <c r="AA239" s="115" t="str">
        <f>IF(G239="shared-count-once",COUNTIFS($A$2:$A$287,A239,$B$2:$B$287,B239,$D$2:$D$287,D239),1)</f>
      </c>
      <c r="AB239" s="116" t="n">
        <v>294484707.921554</v>
      </c>
      <c r="AC239" s="117" t="str">
        <f>IF(AB239=0,"",Q239/AB239)</f>
      </c>
      <c r="AD239" s="118" t="str">
        <f>IF(AB239=0,"",R239/AB239)</f>
      </c>
      <c r="AE239" s="119" t="str">
        <f>IF(AB239=0,"",S239/AB239)</f>
      </c>
      <c r="AF239" s="120" t="str">
        <f>IF(AB239=0,"",W239/AB239)</f>
      </c>
    </row>
    <row r="240">
      <c r="A240" t="s">
        <v>116</v>
      </c>
      <c r="B240" s="93" t="n">
        <v>2029</v>
      </c>
      <c r="C240" t="s">
        <v>262</v>
      </c>
      <c r="D240" s="94" t="s">
        <v>405</v>
      </c>
      <c r="E240" s="95" t="s">
        <v>406</v>
      </c>
      <c r="F240" s="96" t="s">
        <v>265</v>
      </c>
      <c r="G240" s="97" t="s">
        <v>403</v>
      </c>
      <c r="H240" s="98" t="s">
        <v>396</v>
      </c>
      <c r="I240" s="99" t="n">
        <v>1</v>
      </c>
      <c r="J240" s="100" t="n">
        <v>1</v>
      </c>
      <c r="K240" s="101" t="n">
        <v>0.0077</v>
      </c>
      <c r="L240" s="102" t="n">
        <v>299474175.007124</v>
      </c>
      <c r="M240" s="103" t="n">
        <v>298981169.683309</v>
      </c>
      <c r="N240" s="104" t="str">
        <f>MIN(MAX((B240-'Calculation_Assumptions'!$B$5+1)/'Calculation_Assumptions'!$B$7,0),1)</f>
      </c>
      <c r="O240" s="105" t="str">
        <f>L240*I240</f>
      </c>
      <c r="P240" s="106" t="str">
        <f>M240*I240</f>
      </c>
      <c r="Q240" s="107" t="str">
        <f>P240*'Calculation_Assumptions'!$B$14*J240*K240</f>
      </c>
      <c r="R240" s="108" t="str">
        <f>O240*N240*J240*K240</f>
      </c>
      <c r="S240" s="109" t="str">
        <f>R240-Q240</f>
      </c>
      <c r="T240" s="110" t="str">
        <f>1/(1+'Calculation_Assumptions'!$B$8)^(B240-'Calculation_Assumptions'!$B$2)</f>
      </c>
      <c r="U240" s="111" t="str">
        <f>Q240*T240</f>
      </c>
      <c r="V240" s="112" t="str">
        <f>R240*T240</f>
      </c>
      <c r="W240" s="113" t="str">
        <f>S240*T240</f>
      </c>
      <c r="X240" t="n">
        <v>0</v>
      </c>
      <c r="Y240" s="114" t="n">
        <v>2017</v>
      </c>
      <c r="Z240" t="s">
        <v>399</v>
      </c>
      <c r="AA240" s="115" t="str">
        <f>IF(G240="shared-count-once",COUNTIFS($A$2:$A$287,A240,$B$2:$B$287,B240,$D$2:$D$287,D240),1)</f>
      </c>
      <c r="AB240" s="116" t="n">
        <v>296414030.31143</v>
      </c>
      <c r="AC240" s="117" t="str">
        <f>IF(AB240=0,"",Q240/AB240)</f>
      </c>
      <c r="AD240" s="118" t="str">
        <f>IF(AB240=0,"",R240/AB240)</f>
      </c>
      <c r="AE240" s="119" t="str">
        <f>IF(AB240=0,"",S240/AB240)</f>
      </c>
      <c r="AF240" s="120" t="str">
        <f>IF(AB240=0,"",W240/AB240)</f>
      </c>
    </row>
    <row r="241">
      <c r="A241" t="s">
        <v>116</v>
      </c>
      <c r="B241" s="93" t="n">
        <v>2030</v>
      </c>
      <c r="C241" t="s">
        <v>262</v>
      </c>
      <c r="D241" s="94" t="s">
        <v>405</v>
      </c>
      <c r="E241" s="95" t="s">
        <v>406</v>
      </c>
      <c r="F241" s="96" t="s">
        <v>265</v>
      </c>
      <c r="G241" s="97" t="s">
        <v>403</v>
      </c>
      <c r="H241" s="98" t="s">
        <v>396</v>
      </c>
      <c r="I241" s="99" t="n">
        <v>1</v>
      </c>
      <c r="J241" s="100" t="n">
        <v>1</v>
      </c>
      <c r="K241" s="101" t="n">
        <v>0.0077</v>
      </c>
      <c r="L241" s="102" t="n">
        <v>301271049.071289</v>
      </c>
      <c r="M241" s="103" t="n">
        <v>300784244.146626</v>
      </c>
      <c r="N241" s="104" t="str">
        <f>MIN(MAX((B241-'Calculation_Assumptions'!$B$5+1)/'Calculation_Assumptions'!$B$7,0),1)</f>
      </c>
      <c r="O241" s="105" t="str">
        <f>L241*I241</f>
      </c>
      <c r="P241" s="106" t="str">
        <f>M241*I241</f>
      </c>
      <c r="Q241" s="107" t="str">
        <f>P241*'Calculation_Assumptions'!$B$14*J241*K241</f>
      </c>
      <c r="R241" s="108" t="str">
        <f>O241*N241*J241*K241</f>
      </c>
      <c r="S241" s="109" t="str">
        <f>R241-Q241</f>
      </c>
      <c r="T241" s="110" t="str">
        <f>1/(1+'Calculation_Assumptions'!$B$8)^(B241-'Calculation_Assumptions'!$B$2)</f>
      </c>
      <c r="U241" s="111" t="str">
        <f>Q241*T241</f>
      </c>
      <c r="V241" s="112" t="str">
        <f>R241*T241</f>
      </c>
      <c r="W241" s="113" t="str">
        <f>S241*T241</f>
      </c>
      <c r="X241" t="n">
        <v>0</v>
      </c>
      <c r="Y241" s="114" t="n">
        <v>2017</v>
      </c>
      <c r="Z241" t="s">
        <v>399</v>
      </c>
      <c r="AA241" s="115" t="str">
        <f>IF(G241="shared-count-once",COUNTIFS($A$2:$A$287,A241,$B$2:$B$287,B241,$D$2:$D$287,D241),1)</f>
      </c>
      <c r="AB241" s="116" t="n">
        <v>298289404.664994</v>
      </c>
      <c r="AC241" s="117" t="str">
        <f>IF(AB241=0,"",Q241/AB241)</f>
      </c>
      <c r="AD241" s="118" t="str">
        <f>IF(AB241=0,"",R241/AB241)</f>
      </c>
      <c r="AE241" s="119" t="str">
        <f>IF(AB241=0,"",S241/AB241)</f>
      </c>
      <c r="AF241" s="120" t="str">
        <f>IF(AB241=0,"",W241/AB241)</f>
      </c>
    </row>
    <row r="242">
      <c r="A242" t="s">
        <v>116</v>
      </c>
      <c r="B242" s="93" t="n">
        <v>2031</v>
      </c>
      <c r="C242" t="s">
        <v>262</v>
      </c>
      <c r="D242" s="94" t="s">
        <v>405</v>
      </c>
      <c r="E242" s="95" t="s">
        <v>406</v>
      </c>
      <c r="F242" s="96" t="s">
        <v>265</v>
      </c>
      <c r="G242" s="97" t="s">
        <v>403</v>
      </c>
      <c r="H242" s="98" t="s">
        <v>396</v>
      </c>
      <c r="I242" s="99" t="n">
        <v>1</v>
      </c>
      <c r="J242" s="100" t="n">
        <v>1</v>
      </c>
      <c r="K242" s="101" t="n">
        <v>0.0077</v>
      </c>
      <c r="L242" s="102" t="n">
        <v>303032023.778079</v>
      </c>
      <c r="M242" s="103" t="n">
        <v>302561623.795312</v>
      </c>
      <c r="N242" s="104" t="str">
        <f>MIN(MAX((B242-'Calculation_Assumptions'!$B$5+1)/'Calculation_Assumptions'!$B$7,0),1)</f>
      </c>
      <c r="O242" s="105" t="str">
        <f>L242*I242</f>
      </c>
      <c r="P242" s="106" t="str">
        <f>M242*I242</f>
      </c>
      <c r="Q242" s="107" t="str">
        <f>P242*'Calculation_Assumptions'!$B$14*J242*K242</f>
      </c>
      <c r="R242" s="108" t="str">
        <f>O242*N242*J242*K242</f>
      </c>
      <c r="S242" s="109" t="str">
        <f>R242-Q242</f>
      </c>
      <c r="T242" s="110" t="str">
        <f>1/(1+'Calculation_Assumptions'!$B$8)^(B242-'Calculation_Assumptions'!$B$2)</f>
      </c>
      <c r="U242" s="111" t="str">
        <f>Q242*T242</f>
      </c>
      <c r="V242" s="112" t="str">
        <f>R242*T242</f>
      </c>
      <c r="W242" s="113" t="str">
        <f>S242*T242</f>
      </c>
      <c r="X242" t="n">
        <v>0</v>
      </c>
      <c r="Y242" s="114" t="n">
        <v>2017</v>
      </c>
      <c r="Z242" t="s">
        <v>399</v>
      </c>
      <c r="AA242" s="115" t="str">
        <f>IF(G242="shared-count-once",COUNTIFS($A$2:$A$287,A242,$B$2:$B$287,B242,$D$2:$D$287,D242),1)</f>
      </c>
      <c r="AB242" s="116" t="n">
        <v>300119636.925519</v>
      </c>
      <c r="AC242" s="117" t="str">
        <f>IF(AB242=0,"",Q242/AB242)</f>
      </c>
      <c r="AD242" s="118" t="str">
        <f>IF(AB242=0,"",R242/AB242)</f>
      </c>
      <c r="AE242" s="119" t="str">
        <f>IF(AB242=0,"",S242/AB242)</f>
      </c>
      <c r="AF242" s="120" t="str">
        <f>IF(AB242=0,"",W242/AB242)</f>
      </c>
    </row>
    <row r="243">
      <c r="A243" t="s">
        <v>116</v>
      </c>
      <c r="B243" s="93" t="n">
        <v>2032</v>
      </c>
      <c r="C243" t="s">
        <v>262</v>
      </c>
      <c r="D243" s="94" t="s">
        <v>405</v>
      </c>
      <c r="E243" s="95" t="s">
        <v>406</v>
      </c>
      <c r="F243" s="96" t="s">
        <v>265</v>
      </c>
      <c r="G243" s="97" t="s">
        <v>403</v>
      </c>
      <c r="H243" s="98" t="s">
        <v>396</v>
      </c>
      <c r="I243" s="99" t="n">
        <v>1</v>
      </c>
      <c r="J243" s="100" t="n">
        <v>1</v>
      </c>
      <c r="K243" s="101" t="n">
        <v>0.0077</v>
      </c>
      <c r="L243" s="102" t="n">
        <v>304752806.869548</v>
      </c>
      <c r="M243" s="103" t="n">
        <v>304296909.955394</v>
      </c>
      <c r="N243" s="104" t="str">
        <f>MIN(MAX((B243-'Calculation_Assumptions'!$B$5+1)/'Calculation_Assumptions'!$B$7,0),1)</f>
      </c>
      <c r="O243" s="105" t="str">
        <f>L243*I243</f>
      </c>
      <c r="P243" s="106" t="str">
        <f>M243*I243</f>
      </c>
      <c r="Q243" s="107" t="str">
        <f>P243*'Calculation_Assumptions'!$B$14*J243*K243</f>
      </c>
      <c r="R243" s="108" t="str">
        <f>O243*N243*J243*K243</f>
      </c>
      <c r="S243" s="109" t="str">
        <f>R243-Q243</f>
      </c>
      <c r="T243" s="110" t="str">
        <f>1/(1+'Calculation_Assumptions'!$B$8)^(B243-'Calculation_Assumptions'!$B$2)</f>
      </c>
      <c r="U243" s="111" t="str">
        <f>Q243*T243</f>
      </c>
      <c r="V243" s="112" t="str">
        <f>R243*T243</f>
      </c>
      <c r="W243" s="113" t="str">
        <f>S243*T243</f>
      </c>
      <c r="X243" t="n">
        <v>0</v>
      </c>
      <c r="Y243" s="114" t="n">
        <v>2017</v>
      </c>
      <c r="Z243" t="s">
        <v>399</v>
      </c>
      <c r="AA243" s="115" t="str">
        <f>IF(G243="shared-count-once",COUNTIFS($A$2:$A$287,A243,$B$2:$B$287,B243,$D$2:$D$287,D243),1)</f>
      </c>
      <c r="AB243" s="116" t="n">
        <v>301904628.083541</v>
      </c>
      <c r="AC243" s="117" t="str">
        <f>IF(AB243=0,"",Q243/AB243)</f>
      </c>
      <c r="AD243" s="118" t="str">
        <f>IF(AB243=0,"",R243/AB243)</f>
      </c>
      <c r="AE243" s="119" t="str">
        <f>IF(AB243=0,"",S243/AB243)</f>
      </c>
      <c r="AF243" s="120" t="str">
        <f>IF(AB243=0,"",W243/AB243)</f>
      </c>
    </row>
    <row r="244">
      <c r="A244" t="s">
        <v>116</v>
      </c>
      <c r="B244" s="93" t="n">
        <v>2033</v>
      </c>
      <c r="C244" t="s">
        <v>262</v>
      </c>
      <c r="D244" s="94" t="s">
        <v>405</v>
      </c>
      <c r="E244" s="95" t="s">
        <v>406</v>
      </c>
      <c r="F244" s="96" t="s">
        <v>265</v>
      </c>
      <c r="G244" s="97" t="s">
        <v>403</v>
      </c>
      <c r="H244" s="98" t="s">
        <v>396</v>
      </c>
      <c r="I244" s="99" t="n">
        <v>1</v>
      </c>
      <c r="J244" s="100" t="n">
        <v>1</v>
      </c>
      <c r="K244" s="101" t="n">
        <v>0.0077</v>
      </c>
      <c r="L244" s="102" t="n">
        <v>306434037.461259</v>
      </c>
      <c r="M244" s="103" t="n">
        <v>305990042.260363</v>
      </c>
      <c r="N244" s="104" t="str">
        <f>MIN(MAX((B244-'Calculation_Assumptions'!$B$5+1)/'Calculation_Assumptions'!$B$7,0),1)</f>
      </c>
      <c r="O244" s="105" t="str">
        <f>L244*I244</f>
      </c>
      <c r="P244" s="106" t="str">
        <f>M244*I244</f>
      </c>
      <c r="Q244" s="107" t="str">
        <f>P244*'Calculation_Assumptions'!$B$14*J244*K244</f>
      </c>
      <c r="R244" s="108" t="str">
        <f>O244*N244*J244*K244</f>
      </c>
      <c r="S244" s="109" t="str">
        <f>R244-Q244</f>
      </c>
      <c r="T244" s="110" t="str">
        <f>1/(1+'Calculation_Assumptions'!$B$8)^(B244-'Calculation_Assumptions'!$B$2)</f>
      </c>
      <c r="U244" s="111" t="str">
        <f>Q244*T244</f>
      </c>
      <c r="V244" s="112" t="str">
        <f>R244*T244</f>
      </c>
      <c r="W244" s="113" t="str">
        <f>S244*T244</f>
      </c>
      <c r="X244" t="n">
        <v>0</v>
      </c>
      <c r="Y244" s="114" t="n">
        <v>2017</v>
      </c>
      <c r="Z244" t="s">
        <v>399</v>
      </c>
      <c r="AA244" s="115" t="str">
        <f>IF(G244="shared-count-once",COUNTIFS($A$2:$A$287,A244,$B$2:$B$287,B244,$D$2:$D$287,D244),1)</f>
      </c>
      <c r="AB244" s="116" t="n">
        <v>303644277.16916</v>
      </c>
      <c r="AC244" s="117" t="str">
        <f>IF(AB244=0,"",Q244/AB244)</f>
      </c>
      <c r="AD244" s="118" t="str">
        <f>IF(AB244=0,"",R244/AB244)</f>
      </c>
      <c r="AE244" s="119" t="str">
        <f>IF(AB244=0,"",S244/AB244)</f>
      </c>
      <c r="AF244" s="120" t="str">
        <f>IF(AB244=0,"",W244/AB244)</f>
      </c>
    </row>
    <row r="245">
      <c r="A245" t="s">
        <v>116</v>
      </c>
      <c r="B245" s="93" t="n">
        <v>2034</v>
      </c>
      <c r="C245" t="s">
        <v>262</v>
      </c>
      <c r="D245" s="94" t="s">
        <v>405</v>
      </c>
      <c r="E245" s="95" t="s">
        <v>406</v>
      </c>
      <c r="F245" s="96" t="s">
        <v>265</v>
      </c>
      <c r="G245" s="97" t="s">
        <v>403</v>
      </c>
      <c r="H245" s="98" t="s">
        <v>396</v>
      </c>
      <c r="I245" s="99" t="n">
        <v>1</v>
      </c>
      <c r="J245" s="100" t="n">
        <v>1</v>
      </c>
      <c r="K245" s="101" t="n">
        <v>0.0077</v>
      </c>
      <c r="L245" s="102" t="n">
        <v>308069077.242938</v>
      </c>
      <c r="M245" s="103" t="n">
        <v>307635526.02883</v>
      </c>
      <c r="N245" s="104" t="str">
        <f>MIN(MAX((B245-'Calculation_Assumptions'!$B$5+1)/'Calculation_Assumptions'!$B$7,0),1)</f>
      </c>
      <c r="O245" s="105" t="str">
        <f>L245*I245</f>
      </c>
      <c r="P245" s="106" t="str">
        <f>M245*I245</f>
      </c>
      <c r="Q245" s="107" t="str">
        <f>P245*'Calculation_Assumptions'!$B$14*J245*K245</f>
      </c>
      <c r="R245" s="108" t="str">
        <f>O245*N245*J245*K245</f>
      </c>
      <c r="S245" s="109" t="str">
        <f>R245-Q245</f>
      </c>
      <c r="T245" s="110" t="str">
        <f>1/(1+'Calculation_Assumptions'!$B$8)^(B245-'Calculation_Assumptions'!$B$2)</f>
      </c>
      <c r="U245" s="111" t="str">
        <f>Q245*T245</f>
      </c>
      <c r="V245" s="112" t="str">
        <f>R245*T245</f>
      </c>
      <c r="W245" s="113" t="str">
        <f>S245*T245</f>
      </c>
      <c r="X245" t="n">
        <v>0</v>
      </c>
      <c r="Y245" s="114" t="n">
        <v>2017</v>
      </c>
      <c r="Z245" t="s">
        <v>399</v>
      </c>
      <c r="AA245" s="115" t="str">
        <f>IF(G245="shared-count-once",COUNTIFS($A$2:$A$287,A245,$B$2:$B$287,B245,$D$2:$D$287,D245),1)</f>
      </c>
      <c r="AB245" s="116" t="n">
        <v>305332541.184984</v>
      </c>
      <c r="AC245" s="117" t="str">
        <f>IF(AB245=0,"",Q245/AB245)</f>
      </c>
      <c r="AD245" s="118" t="str">
        <f>IF(AB245=0,"",R245/AB245)</f>
      </c>
      <c r="AE245" s="119" t="str">
        <f>IF(AB245=0,"",S245/AB245)</f>
      </c>
      <c r="AF245" s="120" t="str">
        <f>IF(AB245=0,"",W245/AB245)</f>
      </c>
    </row>
    <row r="246">
      <c r="A246" t="s">
        <v>116</v>
      </c>
      <c r="B246" s="93" t="n">
        <v>2035</v>
      </c>
      <c r="C246" t="s">
        <v>262</v>
      </c>
      <c r="D246" s="94" t="s">
        <v>405</v>
      </c>
      <c r="E246" s="95" t="s">
        <v>406</v>
      </c>
      <c r="F246" s="96" t="s">
        <v>265</v>
      </c>
      <c r="G246" s="97" t="s">
        <v>403</v>
      </c>
      <c r="H246" s="98" t="s">
        <v>396</v>
      </c>
      <c r="I246" s="99" t="n">
        <v>1</v>
      </c>
      <c r="J246" s="100" t="n">
        <v>1</v>
      </c>
      <c r="K246" s="101" t="n">
        <v>0.0077</v>
      </c>
      <c r="L246" s="102" t="n">
        <v>309652887.953845</v>
      </c>
      <c r="M246" s="103" t="n">
        <v>309228183.19713</v>
      </c>
      <c r="N246" s="104" t="str">
        <f>MIN(MAX((B246-'Calculation_Assumptions'!$B$5+1)/'Calculation_Assumptions'!$B$7,0),1)</f>
      </c>
      <c r="O246" s="105" t="str">
        <f>L246*I246</f>
      </c>
      <c r="P246" s="106" t="str">
        <f>M246*I246</f>
      </c>
      <c r="Q246" s="107" t="str">
        <f>P246*'Calculation_Assumptions'!$B$14*J246*K246</f>
      </c>
      <c r="R246" s="108" t="str">
        <f>O246*N246*J246*K246</f>
      </c>
      <c r="S246" s="109" t="str">
        <f>R246-Q246</f>
      </c>
      <c r="T246" s="110" t="str">
        <f>1/(1+'Calculation_Assumptions'!$B$8)^(B246-'Calculation_Assumptions'!$B$2)</f>
      </c>
      <c r="U246" s="111" t="str">
        <f>Q246*T246</f>
      </c>
      <c r="V246" s="112" t="str">
        <f>R246*T246</f>
      </c>
      <c r="W246" s="113" t="str">
        <f>S246*T246</f>
      </c>
      <c r="X246" t="n">
        <v>0</v>
      </c>
      <c r="Y246" s="114" t="n">
        <v>2017</v>
      </c>
      <c r="Z246" t="s">
        <v>399</v>
      </c>
      <c r="AA246" s="115" t="str">
        <f>IF(G246="shared-count-once",COUNTIFS($A$2:$A$287,A246,$B$2:$B$287,B246,$D$2:$D$287,D246),1)</f>
      </c>
      <c r="AB246" s="116" t="n">
        <v>306964650.16712</v>
      </c>
      <c r="AC246" s="117" t="str">
        <f>IF(AB246=0,"",Q246/AB246)</f>
      </c>
      <c r="AD246" s="118" t="str">
        <f>IF(AB246=0,"",R246/AB246)</f>
      </c>
      <c r="AE246" s="119" t="str">
        <f>IF(AB246=0,"",S246/AB246)</f>
      </c>
      <c r="AF246" s="120" t="str">
        <f>IF(AB246=0,"",W246/AB246)</f>
      </c>
    </row>
    <row r="247">
      <c r="A247" t="s">
        <v>116</v>
      </c>
      <c r="B247" s="93" t="n">
        <v>2036</v>
      </c>
      <c r="C247" t="s">
        <v>262</v>
      </c>
      <c r="D247" s="94" t="s">
        <v>405</v>
      </c>
      <c r="E247" s="95" t="s">
        <v>406</v>
      </c>
      <c r="F247" s="96" t="s">
        <v>265</v>
      </c>
      <c r="G247" s="97" t="s">
        <v>403</v>
      </c>
      <c r="H247" s="98" t="s">
        <v>396</v>
      </c>
      <c r="I247" s="99" t="n">
        <v>1</v>
      </c>
      <c r="J247" s="100" t="n">
        <v>1</v>
      </c>
      <c r="K247" s="101" t="n">
        <v>0.0077</v>
      </c>
      <c r="L247" s="102" t="n">
        <v>311187213.367099</v>
      </c>
      <c r="M247" s="103" t="n">
        <v>310769483.46493</v>
      </c>
      <c r="N247" s="104" t="str">
        <f>MIN(MAX((B247-'Calculation_Assumptions'!$B$5+1)/'Calculation_Assumptions'!$B$7,0),1)</f>
      </c>
      <c r="O247" s="105" t="str">
        <f>L247*I247</f>
      </c>
      <c r="P247" s="106" t="str">
        <f>M247*I247</f>
      </c>
      <c r="Q247" s="107" t="str">
        <f>P247*'Calculation_Assumptions'!$B$14*J247*K247</f>
      </c>
      <c r="R247" s="108" t="str">
        <f>O247*N247*J247*K247</f>
      </c>
      <c r="S247" s="109" t="str">
        <f>R247-Q247</f>
      </c>
      <c r="T247" s="110" t="str">
        <f>1/(1+'Calculation_Assumptions'!$B$8)^(B247-'Calculation_Assumptions'!$B$2)</f>
      </c>
      <c r="U247" s="111" t="str">
        <f>Q247*T247</f>
      </c>
      <c r="V247" s="112" t="str">
        <f>R247*T247</f>
      </c>
      <c r="W247" s="113" t="str">
        <f>S247*T247</f>
      </c>
      <c r="X247" t="n">
        <v>0</v>
      </c>
      <c r="Y247" s="114" t="n">
        <v>2017</v>
      </c>
      <c r="Z247" t="s">
        <v>399</v>
      </c>
      <c r="AA247" s="115" t="str">
        <f>IF(G247="shared-count-once",COUNTIFS($A$2:$A$287,A247,$B$2:$B$287,B247,$D$2:$D$287,D247),1)</f>
      </c>
      <c r="AB247" s="116" t="n">
        <v>308542769.756622</v>
      </c>
      <c r="AC247" s="117" t="str">
        <f>IF(AB247=0,"",Q247/AB247)</f>
      </c>
      <c r="AD247" s="118" t="str">
        <f>IF(AB247=0,"",R247/AB247)</f>
      </c>
      <c r="AE247" s="119" t="str">
        <f>IF(AB247=0,"",S247/AB247)</f>
      </c>
      <c r="AF247" s="120" t="str">
        <f>IF(AB247=0,"",W247/AB247)</f>
      </c>
    </row>
    <row r="248">
      <c r="A248" t="s">
        <v>116</v>
      </c>
      <c r="B248" s="93" t="n">
        <v>2037</v>
      </c>
      <c r="C248" t="s">
        <v>262</v>
      </c>
      <c r="D248" s="94" t="s">
        <v>405</v>
      </c>
      <c r="E248" s="95" t="s">
        <v>406</v>
      </c>
      <c r="F248" s="96" t="s">
        <v>265</v>
      </c>
      <c r="G248" s="97" t="s">
        <v>403</v>
      </c>
      <c r="H248" s="98" t="s">
        <v>396</v>
      </c>
      <c r="I248" s="99" t="n">
        <v>1</v>
      </c>
      <c r="J248" s="100" t="n">
        <v>1</v>
      </c>
      <c r="K248" s="101" t="n">
        <v>0.0077</v>
      </c>
      <c r="L248" s="102" t="n">
        <v>312691098.463481</v>
      </c>
      <c r="M248" s="103" t="n">
        <v>312262197.186949</v>
      </c>
      <c r="N248" s="104" t="str">
        <f>MIN(MAX((B248-'Calculation_Assumptions'!$B$5+1)/'Calculation_Assumptions'!$B$7,0),1)</f>
      </c>
      <c r="O248" s="105" t="str">
        <f>L248*I248</f>
      </c>
      <c r="P248" s="106" t="str">
        <f>M248*I248</f>
      </c>
      <c r="Q248" s="107" t="str">
        <f>P248*'Calculation_Assumptions'!$B$14*J248*K248</f>
      </c>
      <c r="R248" s="108" t="str">
        <f>O248*N248*J248*K248</f>
      </c>
      <c r="S248" s="109" t="str">
        <f>R248-Q248</f>
      </c>
      <c r="T248" s="110" t="str">
        <f>1/(1+'Calculation_Assumptions'!$B$8)^(B248-'Calculation_Assumptions'!$B$2)</f>
      </c>
      <c r="U248" s="111" t="str">
        <f>Q248*T248</f>
      </c>
      <c r="V248" s="112" t="str">
        <f>R248*T248</f>
      </c>
      <c r="W248" s="113" t="str">
        <f>S248*T248</f>
      </c>
      <c r="X248" t="n">
        <v>0</v>
      </c>
      <c r="Y248" s="114" t="n">
        <v>2017</v>
      </c>
      <c r="Z248" t="s">
        <v>399</v>
      </c>
      <c r="AA248" s="115" t="str">
        <f>IF(G248="shared-count-once",COUNTIFS($A$2:$A$287,A248,$B$2:$B$287,B248,$D$2:$D$287,D248),1)</f>
      </c>
      <c r="AB248" s="116" t="n">
        <v>310068287.63643</v>
      </c>
      <c r="AC248" s="117" t="str">
        <f>IF(AB248=0,"",Q248/AB248)</f>
      </c>
      <c r="AD248" s="118" t="str">
        <f>IF(AB248=0,"",R248/AB248)</f>
      </c>
      <c r="AE248" s="119" t="str">
        <f>IF(AB248=0,"",S248/AB248)</f>
      </c>
      <c r="AF248" s="120" t="str">
        <f>IF(AB248=0,"",W248/AB248)</f>
      </c>
    </row>
    <row r="249">
      <c r="A249" t="s">
        <v>116</v>
      </c>
      <c r="B249" s="93" t="n">
        <v>2038</v>
      </c>
      <c r="C249" t="s">
        <v>262</v>
      </c>
      <c r="D249" s="94" t="s">
        <v>405</v>
      </c>
      <c r="E249" s="95" t="s">
        <v>406</v>
      </c>
      <c r="F249" s="96" t="s">
        <v>265</v>
      </c>
      <c r="G249" s="97" t="s">
        <v>403</v>
      </c>
      <c r="H249" s="98" t="s">
        <v>396</v>
      </c>
      <c r="I249" s="99" t="n">
        <v>1</v>
      </c>
      <c r="J249" s="100" t="n">
        <v>1</v>
      </c>
      <c r="K249" s="101" t="n">
        <v>0.0077</v>
      </c>
      <c r="L249" s="102" t="n">
        <v>314171327.455626</v>
      </c>
      <c r="M249" s="103" t="n">
        <v>313730463.490198</v>
      </c>
      <c r="N249" s="104" t="str">
        <f>MIN(MAX((B249-'Calculation_Assumptions'!$B$5+1)/'Calculation_Assumptions'!$B$7,0),1)</f>
      </c>
      <c r="O249" s="105" t="str">
        <f>L249*I249</f>
      </c>
      <c r="P249" s="106" t="str">
        <f>M249*I249</f>
      </c>
      <c r="Q249" s="107" t="str">
        <f>P249*'Calculation_Assumptions'!$B$14*J249*K249</f>
      </c>
      <c r="R249" s="108" t="str">
        <f>O249*N249*J249*K249</f>
      </c>
      <c r="S249" s="109" t="str">
        <f>R249-Q249</f>
      </c>
      <c r="T249" s="110" t="str">
        <f>1/(1+'Calculation_Assumptions'!$B$8)^(B249-'Calculation_Assumptions'!$B$2)</f>
      </c>
      <c r="U249" s="111" t="str">
        <f>Q249*T249</f>
      </c>
      <c r="V249" s="112" t="str">
        <f>R249*T249</f>
      </c>
      <c r="W249" s="113" t="str">
        <f>S249*T249</f>
      </c>
      <c r="X249" t="n">
        <v>0</v>
      </c>
      <c r="Y249" s="114" t="n">
        <v>2017</v>
      </c>
      <c r="Z249" t="s">
        <v>399</v>
      </c>
      <c r="AA249" s="115" t="str">
        <f>IF(G249="shared-count-once",COUNTIFS($A$2:$A$287,A249,$B$2:$B$287,B249,$D$2:$D$287,D249),1)</f>
      </c>
      <c r="AB249" s="116" t="n">
        <v>311532999.13163</v>
      </c>
      <c r="AC249" s="117" t="str">
        <f>IF(AB249=0,"",Q249/AB249)</f>
      </c>
      <c r="AD249" s="118" t="str">
        <f>IF(AB249=0,"",R249/AB249)</f>
      </c>
      <c r="AE249" s="119" t="str">
        <f>IF(AB249=0,"",S249/AB249)</f>
      </c>
      <c r="AF249" s="120" t="str">
        <f>IF(AB249=0,"",W249/AB249)</f>
      </c>
    </row>
    <row r="250">
      <c r="A250" t="s">
        <v>116</v>
      </c>
      <c r="B250" s="93" t="n">
        <v>2039</v>
      </c>
      <c r="C250" t="s">
        <v>262</v>
      </c>
      <c r="D250" s="94" t="s">
        <v>405</v>
      </c>
      <c r="E250" s="95" t="s">
        <v>406</v>
      </c>
      <c r="F250" s="96" t="s">
        <v>265</v>
      </c>
      <c r="G250" s="97" t="s">
        <v>403</v>
      </c>
      <c r="H250" s="98" t="s">
        <v>396</v>
      </c>
      <c r="I250" s="99" t="n">
        <v>1</v>
      </c>
      <c r="J250" s="100" t="n">
        <v>1</v>
      </c>
      <c r="K250" s="101" t="n">
        <v>0.0077</v>
      </c>
      <c r="L250" s="102" t="n">
        <v>315572814.49585</v>
      </c>
      <c r="M250" s="103" t="n">
        <v>315115398.935154</v>
      </c>
      <c r="N250" s="104" t="str">
        <f>MIN(MAX((B250-'Calculation_Assumptions'!$B$5+1)/'Calculation_Assumptions'!$B$7,0),1)</f>
      </c>
      <c r="O250" s="105" t="str">
        <f>L250*I250</f>
      </c>
      <c r="P250" s="106" t="str">
        <f>M250*I250</f>
      </c>
      <c r="Q250" s="107" t="str">
        <f>P250*'Calculation_Assumptions'!$B$14*J250*K250</f>
      </c>
      <c r="R250" s="108" t="str">
        <f>O250*N250*J250*K250</f>
      </c>
      <c r="S250" s="109" t="str">
        <f>R250-Q250</f>
      </c>
      <c r="T250" s="110" t="str">
        <f>1/(1+'Calculation_Assumptions'!$B$8)^(B250-'Calculation_Assumptions'!$B$2)</f>
      </c>
      <c r="U250" s="111" t="str">
        <f>Q250*T250</f>
      </c>
      <c r="V250" s="112" t="str">
        <f>R250*T250</f>
      </c>
      <c r="W250" s="113" t="str">
        <f>S250*T250</f>
      </c>
      <c r="X250" t="n">
        <v>0</v>
      </c>
      <c r="Y250" s="114" t="n">
        <v>2017</v>
      </c>
      <c r="Z250" t="s">
        <v>399</v>
      </c>
      <c r="AA250" s="115" t="str">
        <f>IF(G250="shared-count-once",COUNTIFS($A$2:$A$287,A250,$B$2:$B$287,B250,$D$2:$D$287,D250),1)</f>
      </c>
      <c r="AB250" s="116" t="n">
        <v>312936391.858479</v>
      </c>
      <c r="AC250" s="117" t="str">
        <f>IF(AB250=0,"",Q250/AB250)</f>
      </c>
      <c r="AD250" s="118" t="str">
        <f>IF(AB250=0,"",R250/AB250)</f>
      </c>
      <c r="AE250" s="119" t="str">
        <f>IF(AB250=0,"",S250/AB250)</f>
      </c>
      <c r="AF250" s="120" t="str">
        <f>IF(AB250=0,"",W250/AB250)</f>
      </c>
    </row>
    <row r="251">
      <c r="A251" t="s">
        <v>116</v>
      </c>
      <c r="B251" s="93" t="n">
        <v>2040</v>
      </c>
      <c r="C251" t="s">
        <v>262</v>
      </c>
      <c r="D251" s="94" t="s">
        <v>405</v>
      </c>
      <c r="E251" s="95" t="s">
        <v>406</v>
      </c>
      <c r="F251" s="96" t="s">
        <v>265</v>
      </c>
      <c r="G251" s="97" t="s">
        <v>403</v>
      </c>
      <c r="H251" s="98" t="s">
        <v>396</v>
      </c>
      <c r="I251" s="99" t="n">
        <v>1</v>
      </c>
      <c r="J251" s="100" t="n">
        <v>1</v>
      </c>
      <c r="K251" s="101" t="n">
        <v>0.0077</v>
      </c>
      <c r="L251" s="102" t="n">
        <v>316907611.255135</v>
      </c>
      <c r="M251" s="103" t="n">
        <v>316427530.0167</v>
      </c>
      <c r="N251" s="104" t="str">
        <f>MIN(MAX((B251-'Calculation_Assumptions'!$B$5+1)/'Calculation_Assumptions'!$B$7,0),1)</f>
      </c>
      <c r="O251" s="105" t="str">
        <f>L251*I251</f>
      </c>
      <c r="P251" s="106" t="str">
        <f>M251*I251</f>
      </c>
      <c r="Q251" s="107" t="str">
        <f>P251*'Calculation_Assumptions'!$B$14*J251*K251</f>
      </c>
      <c r="R251" s="108" t="str">
        <f>O251*N251*J251*K251</f>
      </c>
      <c r="S251" s="109" t="str">
        <f>R251-Q251</f>
      </c>
      <c r="T251" s="110" t="str">
        <f>1/(1+'Calculation_Assumptions'!$B$8)^(B251-'Calculation_Assumptions'!$B$2)</f>
      </c>
      <c r="U251" s="111" t="str">
        <f>Q251*T251</f>
      </c>
      <c r="V251" s="112" t="str">
        <f>R251*T251</f>
      </c>
      <c r="W251" s="113" t="str">
        <f>S251*T251</f>
      </c>
      <c r="X251" t="n">
        <v>0</v>
      </c>
      <c r="Y251" s="114" t="n">
        <v>2017</v>
      </c>
      <c r="Z251" t="s">
        <v>399</v>
      </c>
      <c r="AA251" s="115" t="str">
        <f>IF(G251="shared-count-once",COUNTIFS($A$2:$A$287,A251,$B$2:$B$287,B251,$D$2:$D$287,D251),1)</f>
      </c>
      <c r="AB251" s="116" t="n">
        <v>314265537.410829</v>
      </c>
      <c r="AC251" s="117" t="str">
        <f>IF(AB251=0,"",Q251/AB251)</f>
      </c>
      <c r="AD251" s="118" t="str">
        <f>IF(AB251=0,"",R251/AB251)</f>
      </c>
      <c r="AE251" s="119" t="str">
        <f>IF(AB251=0,"",S251/AB251)</f>
      </c>
      <c r="AF251" s="120" t="str">
        <f>IF(AB251=0,"",W251/AB251)</f>
      </c>
    </row>
    <row r="252">
      <c r="A252" t="s">
        <v>116</v>
      </c>
      <c r="B252" s="93" t="n">
        <v>2041</v>
      </c>
      <c r="C252" t="s">
        <v>262</v>
      </c>
      <c r="D252" s="94" t="s">
        <v>405</v>
      </c>
      <c r="E252" s="95" t="s">
        <v>406</v>
      </c>
      <c r="F252" s="96" t="s">
        <v>265</v>
      </c>
      <c r="G252" s="97" t="s">
        <v>403</v>
      </c>
      <c r="H252" s="98" t="s">
        <v>396</v>
      </c>
      <c r="I252" s="99" t="n">
        <v>1</v>
      </c>
      <c r="J252" s="100" t="n">
        <v>1</v>
      </c>
      <c r="K252" s="101" t="n">
        <v>0.0077</v>
      </c>
      <c r="L252" s="102" t="n">
        <v>318179990.818572</v>
      </c>
      <c r="M252" s="103" t="n">
        <v>317614843.247219</v>
      </c>
      <c r="N252" s="104" t="str">
        <f>MIN(MAX((B252-'Calculation_Assumptions'!$B$5+1)/'Calculation_Assumptions'!$B$7,0),1)</f>
      </c>
      <c r="O252" s="105" t="str">
        <f>L252*I252</f>
      </c>
      <c r="P252" s="106" t="str">
        <f>M252*I252</f>
      </c>
      <c r="Q252" s="107" t="str">
        <f>P252*'Calculation_Assumptions'!$B$14*J252*K252</f>
      </c>
      <c r="R252" s="108" t="str">
        <f>O252*N252*J252*K252</f>
      </c>
      <c r="S252" s="109" t="str">
        <f>R252-Q252</f>
      </c>
      <c r="T252" s="110" t="str">
        <f>1/(1+'Calculation_Assumptions'!$B$8)^(B252-'Calculation_Assumptions'!$B$2)</f>
      </c>
      <c r="U252" s="111" t="str">
        <f>Q252*T252</f>
      </c>
      <c r="V252" s="112" t="str">
        <f>R252*T252</f>
      </c>
      <c r="W252" s="113" t="str">
        <f>S252*T252</f>
      </c>
      <c r="X252" t="n">
        <v>0</v>
      </c>
      <c r="Y252" s="114" t="n">
        <v>2017</v>
      </c>
      <c r="Z252" t="s">
        <v>399</v>
      </c>
      <c r="AA252" s="115" t="str">
        <f>IF(G252="shared-count-once",COUNTIFS($A$2:$A$287,A252,$B$2:$B$287,B252,$D$2:$D$287,D252),1)</f>
      </c>
      <c r="AB252" s="116" t="n">
        <v>315525215.312548</v>
      </c>
      <c r="AC252" s="117" t="str">
        <f>IF(AB252=0,"",Q252/AB252)</f>
      </c>
      <c r="AD252" s="118" t="str">
        <f>IF(AB252=0,"",R252/AB252)</f>
      </c>
      <c r="AE252" s="119" t="str">
        <f>IF(AB252=0,"",S252/AB252)</f>
      </c>
      <c r="AF252" s="120" t="str">
        <f>IF(AB252=0,"",W252/AB252)</f>
      </c>
    </row>
    <row r="253">
      <c r="A253" t="s">
        <v>116</v>
      </c>
      <c r="B253" s="93" t="n">
        <v>2042</v>
      </c>
      <c r="C253" t="s">
        <v>262</v>
      </c>
      <c r="D253" s="94" t="s">
        <v>405</v>
      </c>
      <c r="E253" s="95" t="s">
        <v>406</v>
      </c>
      <c r="F253" s="96" t="s">
        <v>265</v>
      </c>
      <c r="G253" s="97" t="s">
        <v>403</v>
      </c>
      <c r="H253" s="98" t="s">
        <v>396</v>
      </c>
      <c r="I253" s="99" t="n">
        <v>1</v>
      </c>
      <c r="J253" s="100" t="n">
        <v>1</v>
      </c>
      <c r="K253" s="101" t="n">
        <v>0.0077</v>
      </c>
      <c r="L253" s="102" t="n">
        <v>319316687.234113</v>
      </c>
      <c r="M253" s="103" t="n">
        <v>318781045.920738</v>
      </c>
      <c r="N253" s="104" t="str">
        <f>MIN(MAX((B253-'Calculation_Assumptions'!$B$5+1)/'Calculation_Assumptions'!$B$7,0),1)</f>
      </c>
      <c r="O253" s="105" t="str">
        <f>L253*I253</f>
      </c>
      <c r="P253" s="106" t="str">
        <f>M253*I253</f>
      </c>
      <c r="Q253" s="107" t="str">
        <f>P253*'Calculation_Assumptions'!$B$14*J253*K253</f>
      </c>
      <c r="R253" s="108" t="str">
        <f>O253*N253*J253*K253</f>
      </c>
      <c r="S253" s="109" t="str">
        <f>R253-Q253</f>
      </c>
      <c r="T253" s="110" t="str">
        <f>1/(1+'Calculation_Assumptions'!$B$8)^(B253-'Calculation_Assumptions'!$B$2)</f>
      </c>
      <c r="U253" s="111" t="str">
        <f>Q253*T253</f>
      </c>
      <c r="V253" s="112" t="str">
        <f>R253*T253</f>
      </c>
      <c r="W253" s="113" t="str">
        <f>S253*T253</f>
      </c>
      <c r="X253" t="n">
        <v>0</v>
      </c>
      <c r="Y253" s="114" t="n">
        <v>2017</v>
      </c>
      <c r="Z253" t="s">
        <v>399</v>
      </c>
      <c r="AA253" s="115" t="str">
        <f>IF(G253="shared-count-once",COUNTIFS($A$2:$A$287,A253,$B$2:$B$287,B253,$D$2:$D$287,D253),1)</f>
      </c>
      <c r="AB253" s="116" t="n">
        <v>316707694.211882</v>
      </c>
      <c r="AC253" s="117" t="str">
        <f>IF(AB253=0,"",Q253/AB253)</f>
      </c>
      <c r="AD253" s="118" t="str">
        <f>IF(AB253=0,"",R253/AB253)</f>
      </c>
      <c r="AE253" s="119" t="str">
        <f>IF(AB253=0,"",S253/AB253)</f>
      </c>
      <c r="AF253" s="120" t="str">
        <f>IF(AB253=0,"",W253/AB253)</f>
      </c>
    </row>
    <row r="254">
      <c r="A254" t="s">
        <v>116</v>
      </c>
      <c r="B254" s="93" t="n">
        <v>2043</v>
      </c>
      <c r="C254" t="s">
        <v>262</v>
      </c>
      <c r="D254" s="94" t="s">
        <v>405</v>
      </c>
      <c r="E254" s="95" t="s">
        <v>406</v>
      </c>
      <c r="F254" s="96" t="s">
        <v>265</v>
      </c>
      <c r="G254" s="97" t="s">
        <v>403</v>
      </c>
      <c r="H254" s="98" t="s">
        <v>396</v>
      </c>
      <c r="I254" s="99" t="n">
        <v>1</v>
      </c>
      <c r="J254" s="100" t="n">
        <v>1</v>
      </c>
      <c r="K254" s="101" t="n">
        <v>0.0077</v>
      </c>
      <c r="L254" s="102" t="n">
        <v>320438699.530746</v>
      </c>
      <c r="M254" s="103" t="n">
        <v>319872275.594712</v>
      </c>
      <c r="N254" s="104" t="str">
        <f>MIN(MAX((B254-'Calculation_Assumptions'!$B$5+1)/'Calculation_Assumptions'!$B$7,0),1)</f>
      </c>
      <c r="O254" s="105" t="str">
        <f>L254*I254</f>
      </c>
      <c r="P254" s="106" t="str">
        <f>M254*I254</f>
      </c>
      <c r="Q254" s="107" t="str">
        <f>P254*'Calculation_Assumptions'!$B$14*J254*K254</f>
      </c>
      <c r="R254" s="108" t="str">
        <f>O254*N254*J254*K254</f>
      </c>
      <c r="S254" s="109" t="str">
        <f>R254-Q254</f>
      </c>
      <c r="T254" s="110" t="str">
        <f>1/(1+'Calculation_Assumptions'!$B$8)^(B254-'Calculation_Assumptions'!$B$2)</f>
      </c>
      <c r="U254" s="111" t="str">
        <f>Q254*T254</f>
      </c>
      <c r="V254" s="112" t="str">
        <f>R254*T254</f>
      </c>
      <c r="W254" s="113" t="str">
        <f>S254*T254</f>
      </c>
      <c r="X254" t="n">
        <v>0</v>
      </c>
      <c r="Y254" s="114" t="n">
        <v>2017</v>
      </c>
      <c r="Z254" t="s">
        <v>399</v>
      </c>
      <c r="AA254" s="115" t="str">
        <f>IF(G254="shared-count-once",COUNTIFS($A$2:$A$287,A254,$B$2:$B$287,B254,$D$2:$D$287,D254),1)</f>
      </c>
      <c r="AB254" s="116" t="n">
        <v>317814114.067152</v>
      </c>
      <c r="AC254" s="117" t="str">
        <f>IF(AB254=0,"",Q254/AB254)</f>
      </c>
      <c r="AD254" s="118" t="str">
        <f>IF(AB254=0,"",R254/AB254)</f>
      </c>
      <c r="AE254" s="119" t="str">
        <f>IF(AB254=0,"",S254/AB254)</f>
      </c>
      <c r="AF254" s="120" t="str">
        <f>IF(AB254=0,"",W254/AB254)</f>
      </c>
    </row>
    <row r="255">
      <c r="A255" t="s">
        <v>116</v>
      </c>
      <c r="B255" s="93" t="n">
        <v>2044</v>
      </c>
      <c r="C255" t="s">
        <v>262</v>
      </c>
      <c r="D255" s="94" t="s">
        <v>405</v>
      </c>
      <c r="E255" s="95" t="s">
        <v>406</v>
      </c>
      <c r="F255" s="96" t="s">
        <v>265</v>
      </c>
      <c r="G255" s="97" t="s">
        <v>403</v>
      </c>
      <c r="H255" s="98" t="s">
        <v>396</v>
      </c>
      <c r="I255" s="99" t="n">
        <v>1</v>
      </c>
      <c r="J255" s="100" t="n">
        <v>1</v>
      </c>
      <c r="K255" s="101" t="n">
        <v>0.0077</v>
      </c>
      <c r="L255" s="102" t="n">
        <v>321495564.591722</v>
      </c>
      <c r="M255" s="103" t="n">
        <v>320897722.542069</v>
      </c>
      <c r="N255" s="104" t="str">
        <f>MIN(MAX((B255-'Calculation_Assumptions'!$B$5+1)/'Calculation_Assumptions'!$B$7,0),1)</f>
      </c>
      <c r="O255" s="105" t="str">
        <f>L255*I255</f>
      </c>
      <c r="P255" s="106" t="str">
        <f>M255*I255</f>
      </c>
      <c r="Q255" s="107" t="str">
        <f>P255*'Calculation_Assumptions'!$B$14*J255*K255</f>
      </c>
      <c r="R255" s="108" t="str">
        <f>O255*N255*J255*K255</f>
      </c>
      <c r="S255" s="109" t="str">
        <f>R255-Q255</f>
      </c>
      <c r="T255" s="110" t="str">
        <f>1/(1+'Calculation_Assumptions'!$B$8)^(B255-'Calculation_Assumptions'!$B$2)</f>
      </c>
      <c r="U255" s="111" t="str">
        <f>Q255*T255</f>
      </c>
      <c r="V255" s="112" t="str">
        <f>R255*T255</f>
      </c>
      <c r="W255" s="113" t="str">
        <f>S255*T255</f>
      </c>
      <c r="X255" t="n">
        <v>0</v>
      </c>
      <c r="Y255" s="114" t="n">
        <v>2017</v>
      </c>
      <c r="Z255" t="s">
        <v>399</v>
      </c>
      <c r="AA255" s="115" t="str">
        <f>IF(G255="shared-count-once",COUNTIFS($A$2:$A$287,A255,$B$2:$B$287,B255,$D$2:$D$287,D255),1)</f>
      </c>
      <c r="AB255" s="116" t="n">
        <v>318840890.732156</v>
      </c>
      <c r="AC255" s="117" t="str">
        <f>IF(AB255=0,"",Q255/AB255)</f>
      </c>
      <c r="AD255" s="118" t="str">
        <f>IF(AB255=0,"",R255/AB255)</f>
      </c>
      <c r="AE255" s="119" t="str">
        <f>IF(AB255=0,"",S255/AB255)</f>
      </c>
      <c r="AF255" s="120" t="str">
        <f>IF(AB255=0,"",W255/AB255)</f>
      </c>
    </row>
    <row r="256">
      <c r="A256" t="s">
        <v>116</v>
      </c>
      <c r="B256" s="93" t="n">
        <v>2045</v>
      </c>
      <c r="C256" t="s">
        <v>262</v>
      </c>
      <c r="D256" s="94" t="s">
        <v>405</v>
      </c>
      <c r="E256" s="95" t="s">
        <v>406</v>
      </c>
      <c r="F256" s="96" t="s">
        <v>265</v>
      </c>
      <c r="G256" s="97" t="s">
        <v>403</v>
      </c>
      <c r="H256" s="98" t="s">
        <v>396</v>
      </c>
      <c r="I256" s="99" t="n">
        <v>1</v>
      </c>
      <c r="J256" s="100" t="n">
        <v>1</v>
      </c>
      <c r="K256" s="101" t="n">
        <v>0.0077</v>
      </c>
      <c r="L256" s="102" t="n">
        <v>322462168.543824</v>
      </c>
      <c r="M256" s="103" t="n">
        <v>321832323.778944</v>
      </c>
      <c r="N256" s="104" t="str">
        <f>MIN(MAX((B256-'Calculation_Assumptions'!$B$5+1)/'Calculation_Assumptions'!$B$7,0),1)</f>
      </c>
      <c r="O256" s="105" t="str">
        <f>L256*I256</f>
      </c>
      <c r="P256" s="106" t="str">
        <f>M256*I256</f>
      </c>
      <c r="Q256" s="107" t="str">
        <f>P256*'Calculation_Assumptions'!$B$14*J256*K256</f>
      </c>
      <c r="R256" s="108" t="str">
        <f>O256*N256*J256*K256</f>
      </c>
      <c r="S256" s="109" t="str">
        <f>R256-Q256</f>
      </c>
      <c r="T256" s="110" t="str">
        <f>1/(1+'Calculation_Assumptions'!$B$8)^(B256-'Calculation_Assumptions'!$B$2)</f>
      </c>
      <c r="U256" s="111" t="str">
        <f>Q256*T256</f>
      </c>
      <c r="V256" s="112" t="str">
        <f>R256*T256</f>
      </c>
      <c r="W256" s="113" t="str">
        <f>S256*T256</f>
      </c>
      <c r="X256" t="n">
        <v>0</v>
      </c>
      <c r="Y256" s="114" t="n">
        <v>2017</v>
      </c>
      <c r="Z256" t="s">
        <v>399</v>
      </c>
      <c r="AA256" s="115" t="str">
        <f>IF(G256="shared-count-once",COUNTIFS($A$2:$A$287,A256,$B$2:$B$287,B256,$D$2:$D$287,D256),1)</f>
      </c>
      <c r="AB256" s="116" t="n">
        <v>319784682.33108</v>
      </c>
      <c r="AC256" s="117" t="str">
        <f>IF(AB256=0,"",Q256/AB256)</f>
      </c>
      <c r="AD256" s="118" t="str">
        <f>IF(AB256=0,"",R256/AB256)</f>
      </c>
      <c r="AE256" s="119" t="str">
        <f>IF(AB256=0,"",S256/AB256)</f>
      </c>
      <c r="AF256" s="120" t="str">
        <f>IF(AB256=0,"",W256/AB256)</f>
      </c>
    </row>
    <row r="257">
      <c r="A257" t="s">
        <v>116</v>
      </c>
      <c r="B257" s="93" t="n">
        <v>2046</v>
      </c>
      <c r="C257" t="s">
        <v>262</v>
      </c>
      <c r="D257" s="94" t="s">
        <v>405</v>
      </c>
      <c r="E257" s="95" t="s">
        <v>406</v>
      </c>
      <c r="F257" s="96" t="s">
        <v>265</v>
      </c>
      <c r="G257" s="97" t="s">
        <v>403</v>
      </c>
      <c r="H257" s="98" t="s">
        <v>396</v>
      </c>
      <c r="I257" s="99" t="n">
        <v>1</v>
      </c>
      <c r="J257" s="100" t="n">
        <v>1</v>
      </c>
      <c r="K257" s="101" t="n">
        <v>0.0077</v>
      </c>
      <c r="L257" s="102" t="n">
        <v>323319024.980535</v>
      </c>
      <c r="M257" s="103" t="n">
        <v>322683379.427444</v>
      </c>
      <c r="N257" s="104" t="str">
        <f>MIN(MAX((B257-'Calculation_Assumptions'!$B$5+1)/'Calculation_Assumptions'!$B$7,0),1)</f>
      </c>
      <c r="O257" s="105" t="str">
        <f>L257*I257</f>
      </c>
      <c r="P257" s="106" t="str">
        <f>M257*I257</f>
      </c>
      <c r="Q257" s="107" t="str">
        <f>P257*'Calculation_Assumptions'!$B$14*J257*K257</f>
      </c>
      <c r="R257" s="108" t="str">
        <f>O257*N257*J257*K257</f>
      </c>
      <c r="S257" s="109" t="str">
        <f>R257-Q257</f>
      </c>
      <c r="T257" s="110" t="str">
        <f>1/(1+'Calculation_Assumptions'!$B$8)^(B257-'Calculation_Assumptions'!$B$2)</f>
      </c>
      <c r="U257" s="111" t="str">
        <f>Q257*T257</f>
      </c>
      <c r="V257" s="112" t="str">
        <f>R257*T257</f>
      </c>
      <c r="W257" s="113" t="str">
        <f>S257*T257</f>
      </c>
      <c r="X257" t="n">
        <v>0</v>
      </c>
      <c r="Y257" s="114" t="n">
        <v>2017</v>
      </c>
      <c r="Z257" t="s">
        <v>399</v>
      </c>
      <c r="AA257" s="115" t="str">
        <f>IF(G257="shared-count-once",COUNTIFS($A$2:$A$287,A257,$B$2:$B$287,B257,$D$2:$D$287,D257),1)</f>
      </c>
      <c r="AB257" s="116" t="n">
        <v>320645615.981408</v>
      </c>
      <c r="AC257" s="117" t="str">
        <f>IF(AB257=0,"",Q257/AB257)</f>
      </c>
      <c r="AD257" s="118" t="str">
        <f>IF(AB257=0,"",R257/AB257)</f>
      </c>
      <c r="AE257" s="119" t="str">
        <f>IF(AB257=0,"",S257/AB257)</f>
      </c>
      <c r="AF257" s="120" t="str">
        <f>IF(AB257=0,"",W257/AB257)</f>
      </c>
    </row>
    <row r="258">
      <c r="A258" t="s">
        <v>116</v>
      </c>
      <c r="B258" s="93" t="n">
        <v>2047</v>
      </c>
      <c r="C258" t="s">
        <v>262</v>
      </c>
      <c r="D258" s="94" t="s">
        <v>405</v>
      </c>
      <c r="E258" s="95" t="s">
        <v>406</v>
      </c>
      <c r="F258" s="96" t="s">
        <v>265</v>
      </c>
      <c r="G258" s="97" t="s">
        <v>403</v>
      </c>
      <c r="H258" s="98" t="s">
        <v>396</v>
      </c>
      <c r="I258" s="99" t="n">
        <v>1</v>
      </c>
      <c r="J258" s="100" t="n">
        <v>1</v>
      </c>
      <c r="K258" s="101" t="n">
        <v>0.0077</v>
      </c>
      <c r="L258" s="102" t="n">
        <v>324141500.683217</v>
      </c>
      <c r="M258" s="103" t="n">
        <v>323457177.765372</v>
      </c>
      <c r="N258" s="104" t="str">
        <f>MIN(MAX((B258-'Calculation_Assumptions'!$B$5+1)/'Calculation_Assumptions'!$B$7,0),1)</f>
      </c>
      <c r="O258" s="105" t="str">
        <f>L258*I258</f>
      </c>
      <c r="P258" s="106" t="str">
        <f>M258*I258</f>
      </c>
      <c r="Q258" s="107" t="str">
        <f>P258*'Calculation_Assumptions'!$B$14*J258*K258</f>
      </c>
      <c r="R258" s="108" t="str">
        <f>O258*N258*J258*K258</f>
      </c>
      <c r="S258" s="109" t="str">
        <f>R258-Q258</f>
      </c>
      <c r="T258" s="110" t="str">
        <f>1/(1+'Calculation_Assumptions'!$B$8)^(B258-'Calculation_Assumptions'!$B$2)</f>
      </c>
      <c r="U258" s="111" t="str">
        <f>Q258*T258</f>
      </c>
      <c r="V258" s="112" t="str">
        <f>R258*T258</f>
      </c>
      <c r="W258" s="113" t="str">
        <f>S258*T258</f>
      </c>
      <c r="X258" t="n">
        <v>0</v>
      </c>
      <c r="Y258" s="114" t="n">
        <v>2017</v>
      </c>
      <c r="Z258" t="s">
        <v>399</v>
      </c>
      <c r="AA258" s="115" t="str">
        <f>IF(G258="shared-count-once",COUNTIFS($A$2:$A$287,A258,$B$2:$B$287,B258,$D$2:$D$287,D258),1)</f>
      </c>
      <c r="AB258" s="116" t="n">
        <v>321429520.522875</v>
      </c>
      <c r="AC258" s="117" t="str">
        <f>IF(AB258=0,"",Q258/AB258)</f>
      </c>
      <c r="AD258" s="118" t="str">
        <f>IF(AB258=0,"",R258/AB258)</f>
      </c>
      <c r="AE258" s="119" t="str">
        <f>IF(AB258=0,"",S258/AB258)</f>
      </c>
      <c r="AF258" s="120" t="str">
        <f>IF(AB258=0,"",W258/AB258)</f>
      </c>
    </row>
    <row r="259">
      <c r="A259" t="s">
        <v>116</v>
      </c>
      <c r="B259" s="93" t="n">
        <v>2048</v>
      </c>
      <c r="C259" t="s">
        <v>262</v>
      </c>
      <c r="D259" s="94" t="s">
        <v>405</v>
      </c>
      <c r="E259" s="95" t="s">
        <v>406</v>
      </c>
      <c r="F259" s="96" t="s">
        <v>265</v>
      </c>
      <c r="G259" s="97" t="s">
        <v>403</v>
      </c>
      <c r="H259" s="98" t="s">
        <v>396</v>
      </c>
      <c r="I259" s="99" t="n">
        <v>1</v>
      </c>
      <c r="J259" s="100" t="n">
        <v>1</v>
      </c>
      <c r="K259" s="101" t="n">
        <v>0.0077</v>
      </c>
      <c r="L259" s="102" t="n">
        <v>324874886.08358</v>
      </c>
      <c r="M259" s="103" t="n">
        <v>324153264.068833</v>
      </c>
      <c r="N259" s="104" t="str">
        <f>MIN(MAX((B259-'Calculation_Assumptions'!$B$5+1)/'Calculation_Assumptions'!$B$7,0),1)</f>
      </c>
      <c r="O259" s="105" t="str">
        <f>L259*I259</f>
      </c>
      <c r="P259" s="106" t="str">
        <f>M259*I259</f>
      </c>
      <c r="Q259" s="107" t="str">
        <f>P259*'Calculation_Assumptions'!$B$14*J259*K259</f>
      </c>
      <c r="R259" s="108" t="str">
        <f>O259*N259*J259*K259</f>
      </c>
      <c r="S259" s="109" t="str">
        <f>R259-Q259</f>
      </c>
      <c r="T259" s="110" t="str">
        <f>1/(1+'Calculation_Assumptions'!$B$8)^(B259-'Calculation_Assumptions'!$B$2)</f>
      </c>
      <c r="U259" s="111" t="str">
        <f>Q259*T259</f>
      </c>
      <c r="V259" s="112" t="str">
        <f>R259*T259</f>
      </c>
      <c r="W259" s="113" t="str">
        <f>S259*T259</f>
      </c>
      <c r="X259" t="n">
        <v>0</v>
      </c>
      <c r="Y259" s="114" t="n">
        <v>2017</v>
      </c>
      <c r="Z259" t="s">
        <v>399</v>
      </c>
      <c r="AA259" s="115" t="str">
        <f>IF(G259="shared-count-once",COUNTIFS($A$2:$A$287,A259,$B$2:$B$287,B259,$D$2:$D$287,D259),1)</f>
      </c>
      <c r="AB259" s="116" t="n">
        <v>322136832.260161</v>
      </c>
      <c r="AC259" s="117" t="str">
        <f>IF(AB259=0,"",Q259/AB259)</f>
      </c>
      <c r="AD259" s="118" t="str">
        <f>IF(AB259=0,"",R259/AB259)</f>
      </c>
      <c r="AE259" s="119" t="str">
        <f>IF(AB259=0,"",S259/AB259)</f>
      </c>
      <c r="AF259" s="120" t="str">
        <f>IF(AB259=0,"",W259/AB259)</f>
      </c>
    </row>
    <row r="260">
      <c r="A260" t="s">
        <v>116</v>
      </c>
      <c r="B260" s="93" t="n">
        <v>2049</v>
      </c>
      <c r="C260" t="s">
        <v>262</v>
      </c>
      <c r="D260" s="94" t="s">
        <v>405</v>
      </c>
      <c r="E260" s="95" t="s">
        <v>406</v>
      </c>
      <c r="F260" s="96" t="s">
        <v>265</v>
      </c>
      <c r="G260" s="97" t="s">
        <v>403</v>
      </c>
      <c r="H260" s="98" t="s">
        <v>396</v>
      </c>
      <c r="I260" s="99" t="n">
        <v>1</v>
      </c>
      <c r="J260" s="100" t="n">
        <v>1</v>
      </c>
      <c r="K260" s="101" t="n">
        <v>0.0077</v>
      </c>
      <c r="L260" s="102" t="n">
        <v>325495166.312431</v>
      </c>
      <c r="M260" s="103" t="n">
        <v>324770595.66435</v>
      </c>
      <c r="N260" s="104" t="str">
        <f>MIN(MAX((B260-'Calculation_Assumptions'!$B$5+1)/'Calculation_Assumptions'!$B$7,0),1)</f>
      </c>
      <c r="O260" s="105" t="str">
        <f>L260*I260</f>
      </c>
      <c r="P260" s="106" t="str">
        <f>M260*I260</f>
      </c>
      <c r="Q260" s="107" t="str">
        <f>P260*'Calculation_Assumptions'!$B$14*J260*K260</f>
      </c>
      <c r="R260" s="108" t="str">
        <f>O260*N260*J260*K260</f>
      </c>
      <c r="S260" s="109" t="str">
        <f>R260-Q260</f>
      </c>
      <c r="T260" s="110" t="str">
        <f>1/(1+'Calculation_Assumptions'!$B$8)^(B260-'Calculation_Assumptions'!$B$2)</f>
      </c>
      <c r="U260" s="111" t="str">
        <f>Q260*T260</f>
      </c>
      <c r="V260" s="112" t="str">
        <f>R260*T260</f>
      </c>
      <c r="W260" s="113" t="str">
        <f>S260*T260</f>
      </c>
      <c r="X260" t="n">
        <v>0</v>
      </c>
      <c r="Y260" s="114" t="n">
        <v>2017</v>
      </c>
      <c r="Z260" t="s">
        <v>399</v>
      </c>
      <c r="AA260" s="115" t="str">
        <f>IF(G260="shared-count-once",COUNTIFS($A$2:$A$287,A260,$B$2:$B$287,B260,$D$2:$D$287,D260),1)</f>
      </c>
      <c r="AB260" s="116" t="n">
        <v>322765819.752681</v>
      </c>
      <c r="AC260" s="117" t="str">
        <f>IF(AB260=0,"",Q260/AB260)</f>
      </c>
      <c r="AD260" s="118" t="str">
        <f>IF(AB260=0,"",R260/AB260)</f>
      </c>
      <c r="AE260" s="119" t="str">
        <f>IF(AB260=0,"",S260/AB260)</f>
      </c>
      <c r="AF260" s="120" t="str">
        <f>IF(AB260=0,"",W260/AB260)</f>
      </c>
    </row>
    <row r="261">
      <c r="A261" t="s">
        <v>116</v>
      </c>
      <c r="B261" s="93" t="n">
        <v>2050</v>
      </c>
      <c r="C261" t="s">
        <v>262</v>
      </c>
      <c r="D261" s="94" t="s">
        <v>405</v>
      </c>
      <c r="E261" s="95" t="s">
        <v>406</v>
      </c>
      <c r="F261" s="96" t="s">
        <v>265</v>
      </c>
      <c r="G261" s="97" t="s">
        <v>403</v>
      </c>
      <c r="H261" s="98" t="s">
        <v>396</v>
      </c>
      <c r="I261" s="99" t="n">
        <v>1</v>
      </c>
      <c r="J261" s="100" t="n">
        <v>1</v>
      </c>
      <c r="K261" s="101" t="n">
        <v>0.0077</v>
      </c>
      <c r="L261" s="102" t="n">
        <v>326062187.594106</v>
      </c>
      <c r="M261" s="103" t="n">
        <v>325271287.464889</v>
      </c>
      <c r="N261" s="104" t="str">
        <f>MIN(MAX((B261-'Calculation_Assumptions'!$B$5+1)/'Calculation_Assumptions'!$B$7,0),1)</f>
      </c>
      <c r="O261" s="105" t="str">
        <f>L261*I261</f>
      </c>
      <c r="P261" s="106" t="str">
        <f>M261*I261</f>
      </c>
      <c r="Q261" s="107" t="str">
        <f>P261*'Calculation_Assumptions'!$B$14*J261*K261</f>
      </c>
      <c r="R261" s="108" t="str">
        <f>O261*N261*J261*K261</f>
      </c>
      <c r="S261" s="109" t="str">
        <f>R261-Q261</f>
      </c>
      <c r="T261" s="110" t="str">
        <f>1/(1+'Calculation_Assumptions'!$B$8)^(B261-'Calculation_Assumptions'!$B$2)</f>
      </c>
      <c r="U261" s="111" t="str">
        <f>Q261*T261</f>
      </c>
      <c r="V261" s="112" t="str">
        <f>R261*T261</f>
      </c>
      <c r="W261" s="113" t="str">
        <f>S261*T261</f>
      </c>
      <c r="X261" t="n">
        <v>0</v>
      </c>
      <c r="Y261" s="114" t="n">
        <v>2017</v>
      </c>
      <c r="Z261" t="s">
        <v>399</v>
      </c>
      <c r="AA261" s="115" t="str">
        <f>IF(G261="shared-count-once",COUNTIFS($A$2:$A$287,A261,$B$2:$B$287,B261,$D$2:$D$287,D261),1)</f>
      </c>
      <c r="AB261" s="116" t="n">
        <v>323312042.563285</v>
      </c>
      <c r="AC261" s="117" t="str">
        <f>IF(AB261=0,"",Q261/AB261)</f>
      </c>
      <c r="AD261" s="118" t="str">
        <f>IF(AB261=0,"",R261/AB261)</f>
      </c>
      <c r="AE261" s="119" t="str">
        <f>IF(AB261=0,"",S261/AB261)</f>
      </c>
      <c r="AF261" s="120" t="str">
        <f>IF(AB261=0,"",W261/AB261)</f>
      </c>
    </row>
    <row r="262">
      <c r="A262" t="s">
        <v>116</v>
      </c>
      <c r="B262" s="93" t="n">
        <v>2025</v>
      </c>
      <c r="C262" t="s">
        <v>272</v>
      </c>
      <c r="D262" s="94" t="s">
        <v>407</v>
      </c>
      <c r="E262" s="95" t="s">
        <v>408</v>
      </c>
      <c r="F262" s="96" t="s">
        <v>275</v>
      </c>
      <c r="G262" s="97" t="s">
        <v>403</v>
      </c>
      <c r="H262" s="98" t="s">
        <v>396</v>
      </c>
      <c r="I262" s="99" t="n">
        <v>1</v>
      </c>
      <c r="J262" s="100" t="n">
        <v>1</v>
      </c>
      <c r="K262" s="101" t="n">
        <v>0.0077</v>
      </c>
      <c r="L262" s="102" t="n">
        <v>291886571.325912</v>
      </c>
      <c r="M262" s="103" t="n">
        <v>291223951.413062</v>
      </c>
      <c r="N262" s="104" t="str">
        <f>MIN(MAX((B262-'Calculation_Assumptions'!$B$5+1)/'Calculation_Assumptions'!$B$7,0),1)</f>
      </c>
      <c r="O262" s="105" t="str">
        <f>L262*I262</f>
      </c>
      <c r="P262" s="106" t="str">
        <f>M262*I262</f>
      </c>
      <c r="Q262" s="107" t="str">
        <f>P262*'Calculation_Assumptions'!$B$14*J262*K262</f>
      </c>
      <c r="R262" s="108" t="str">
        <f>O262*N262*J262*K262</f>
      </c>
      <c r="S262" s="109" t="str">
        <f>R262-Q262</f>
      </c>
      <c r="T262" s="110" t="str">
        <f>1/(1+'Calculation_Assumptions'!$B$8)^(B262-'Calculation_Assumptions'!$B$2)</f>
      </c>
      <c r="U262" s="111" t="str">
        <f>Q262*T262</f>
      </c>
      <c r="V262" s="112" t="str">
        <f>R262*T262</f>
      </c>
      <c r="W262" s="113" t="str">
        <f>S262*T262</f>
      </c>
      <c r="X262" t="n">
        <v>0</v>
      </c>
      <c r="Y262" s="114" t="n">
        <v>2017</v>
      </c>
      <c r="Z262" t="s">
        <v>399</v>
      </c>
      <c r="AA262" s="115" t="str">
        <f>IF(G262="shared-count-once",COUNTIFS($A$2:$A$287,A262,$B$2:$B$287,B262,$D$2:$D$287,D262),1)</f>
      </c>
      <c r="AB262" s="116" t="n">
        <v>288391907.644456</v>
      </c>
      <c r="AC262" s="117" t="str">
        <f>IF(AB262=0,"",Q262/AB262)</f>
      </c>
      <c r="AD262" s="118" t="str">
        <f>IF(AB262=0,"",R262/AB262)</f>
      </c>
      <c r="AE262" s="119" t="str">
        <f>IF(AB262=0,"",S262/AB262)</f>
      </c>
      <c r="AF262" s="120" t="str">
        <f>IF(AB262=0,"",W262/AB262)</f>
      </c>
    </row>
    <row r="263">
      <c r="A263" t="s">
        <v>116</v>
      </c>
      <c r="B263" s="93" t="n">
        <v>2026</v>
      </c>
      <c r="C263" t="s">
        <v>272</v>
      </c>
      <c r="D263" s="94" t="s">
        <v>407</v>
      </c>
      <c r="E263" s="95" t="s">
        <v>408</v>
      </c>
      <c r="F263" s="96" t="s">
        <v>275</v>
      </c>
      <c r="G263" s="97" t="s">
        <v>403</v>
      </c>
      <c r="H263" s="98" t="s">
        <v>396</v>
      </c>
      <c r="I263" s="99" t="n">
        <v>1</v>
      </c>
      <c r="J263" s="100" t="n">
        <v>1</v>
      </c>
      <c r="K263" s="101" t="n">
        <v>0.0077</v>
      </c>
      <c r="L263" s="102" t="n">
        <v>293828806.709757</v>
      </c>
      <c r="M263" s="103" t="n">
        <v>293212473.334583</v>
      </c>
      <c r="N263" s="104" t="str">
        <f>MIN(MAX((B263-'Calculation_Assumptions'!$B$5+1)/'Calculation_Assumptions'!$B$7,0),1)</f>
      </c>
      <c r="O263" s="105" t="str">
        <f>L263*I263</f>
      </c>
      <c r="P263" s="106" t="str">
        <f>M263*I263</f>
      </c>
      <c r="Q263" s="107" t="str">
        <f>P263*'Calculation_Assumptions'!$B$14*J263*K263</f>
      </c>
      <c r="R263" s="108" t="str">
        <f>O263*N263*J263*K263</f>
      </c>
      <c r="S263" s="109" t="str">
        <f>R263-Q263</f>
      </c>
      <c r="T263" s="110" t="str">
        <f>1/(1+'Calculation_Assumptions'!$B$8)^(B263-'Calculation_Assumptions'!$B$2)</f>
      </c>
      <c r="U263" s="111" t="str">
        <f>Q263*T263</f>
      </c>
      <c r="V263" s="112" t="str">
        <f>R263*T263</f>
      </c>
      <c r="W263" s="113" t="str">
        <f>S263*T263</f>
      </c>
      <c r="X263" t="n">
        <v>0</v>
      </c>
      <c r="Y263" s="114" t="n">
        <v>2017</v>
      </c>
      <c r="Z263" t="s">
        <v>399</v>
      </c>
      <c r="AA263" s="115" t="str">
        <f>IF(G263="shared-count-once",COUNTIFS($A$2:$A$287,A263,$B$2:$B$287,B263,$D$2:$D$287,D263),1)</f>
      </c>
      <c r="AB263" s="116" t="n">
        <v>290472130.233437</v>
      </c>
      <c r="AC263" s="117" t="str">
        <f>IF(AB263=0,"",Q263/AB263)</f>
      </c>
      <c r="AD263" s="118" t="str">
        <f>IF(AB263=0,"",R263/AB263)</f>
      </c>
      <c r="AE263" s="119" t="str">
        <f>IF(AB263=0,"",S263/AB263)</f>
      </c>
      <c r="AF263" s="120" t="str">
        <f>IF(AB263=0,"",W263/AB263)</f>
      </c>
    </row>
    <row r="264">
      <c r="A264" t="s">
        <v>116</v>
      </c>
      <c r="B264" s="93" t="n">
        <v>2027</v>
      </c>
      <c r="C264" t="s">
        <v>272</v>
      </c>
      <c r="D264" s="94" t="s">
        <v>407</v>
      </c>
      <c r="E264" s="95" t="s">
        <v>408</v>
      </c>
      <c r="F264" s="96" t="s">
        <v>275</v>
      </c>
      <c r="G264" s="97" t="s">
        <v>403</v>
      </c>
      <c r="H264" s="98" t="s">
        <v>396</v>
      </c>
      <c r="I264" s="99" t="n">
        <v>1</v>
      </c>
      <c r="J264" s="100" t="n">
        <v>1</v>
      </c>
      <c r="K264" s="101" t="n">
        <v>0.0077</v>
      </c>
      <c r="L264" s="102" t="n">
        <v>295755486.037123</v>
      </c>
      <c r="M264" s="103" t="n">
        <v>295196117.964647</v>
      </c>
      <c r="N264" s="104" t="str">
        <f>MIN(MAX((B264-'Calculation_Assumptions'!$B$5+1)/'Calculation_Assumptions'!$B$7,0),1)</f>
      </c>
      <c r="O264" s="105" t="str">
        <f>L264*I264</f>
      </c>
      <c r="P264" s="106" t="str">
        <f>M264*I264</f>
      </c>
      <c r="Q264" s="107" t="str">
        <f>P264*'Calculation_Assumptions'!$B$14*J264*K264</f>
      </c>
      <c r="R264" s="108" t="str">
        <f>O264*N264*J264*K264</f>
      </c>
      <c r="S264" s="109" t="str">
        <f>R264-Q264</f>
      </c>
      <c r="T264" s="110" t="str">
        <f>1/(1+'Calculation_Assumptions'!$B$8)^(B264-'Calculation_Assumptions'!$B$2)</f>
      </c>
      <c r="U264" s="111" t="str">
        <f>Q264*T264</f>
      </c>
      <c r="V264" s="112" t="str">
        <f>R264*T264</f>
      </c>
      <c r="W264" s="113" t="str">
        <f>S264*T264</f>
      </c>
      <c r="X264" t="n">
        <v>0</v>
      </c>
      <c r="Y264" s="114" t="n">
        <v>2017</v>
      </c>
      <c r="Z264" t="s">
        <v>399</v>
      </c>
      <c r="AA264" s="115" t="str">
        <f>IF(G264="shared-count-once",COUNTIFS($A$2:$A$287,A264,$B$2:$B$287,B264,$D$2:$D$287,D264),1)</f>
      </c>
      <c r="AB264" s="116" t="n">
        <v>292505080.826208</v>
      </c>
      <c r="AC264" s="117" t="str">
        <f>IF(AB264=0,"",Q264/AB264)</f>
      </c>
      <c r="AD264" s="118" t="str">
        <f>IF(AB264=0,"",R264/AB264)</f>
      </c>
      <c r="AE264" s="119" t="str">
        <f>IF(AB264=0,"",S264/AB264)</f>
      </c>
      <c r="AF264" s="120" t="str">
        <f>IF(AB264=0,"",W264/AB264)</f>
      </c>
    </row>
    <row r="265">
      <c r="A265" t="s">
        <v>116</v>
      </c>
      <c r="B265" s="93" t="n">
        <v>2028</v>
      </c>
      <c r="C265" t="s">
        <v>272</v>
      </c>
      <c r="D265" s="94" t="s">
        <v>407</v>
      </c>
      <c r="E265" s="95" t="s">
        <v>408</v>
      </c>
      <c r="F265" s="96" t="s">
        <v>275</v>
      </c>
      <c r="G265" s="97" t="s">
        <v>403</v>
      </c>
      <c r="H265" s="98" t="s">
        <v>396</v>
      </c>
      <c r="I265" s="99" t="n">
        <v>1</v>
      </c>
      <c r="J265" s="100" t="n">
        <v>1</v>
      </c>
      <c r="K265" s="101" t="n">
        <v>0.0077</v>
      </c>
      <c r="L265" s="102" t="n">
        <v>297631771.376997</v>
      </c>
      <c r="M265" s="103" t="n">
        <v>297107934.99345</v>
      </c>
      <c r="N265" s="104" t="str">
        <f>MIN(MAX((B265-'Calculation_Assumptions'!$B$5+1)/'Calculation_Assumptions'!$B$7,0),1)</f>
      </c>
      <c r="O265" s="105" t="str">
        <f>L265*I265</f>
      </c>
      <c r="P265" s="106" t="str">
        <f>M265*I265</f>
      </c>
      <c r="Q265" s="107" t="str">
        <f>P265*'Calculation_Assumptions'!$B$14*J265*K265</f>
      </c>
      <c r="R265" s="108" t="str">
        <f>O265*N265*J265*K265</f>
      </c>
      <c r="S265" s="109" t="str">
        <f>R265-Q265</f>
      </c>
      <c r="T265" s="110" t="str">
        <f>1/(1+'Calculation_Assumptions'!$B$8)^(B265-'Calculation_Assumptions'!$B$2)</f>
      </c>
      <c r="U265" s="111" t="str">
        <f>Q265*T265</f>
      </c>
      <c r="V265" s="112" t="str">
        <f>R265*T265</f>
      </c>
      <c r="W265" s="113" t="str">
        <f>S265*T265</f>
      </c>
      <c r="X265" t="n">
        <v>0</v>
      </c>
      <c r="Y265" s="114" t="n">
        <v>2017</v>
      </c>
      <c r="Z265" t="s">
        <v>399</v>
      </c>
      <c r="AA265" s="115" t="str">
        <f>IF(G265="shared-count-once",COUNTIFS($A$2:$A$287,A265,$B$2:$B$287,B265,$D$2:$D$287,D265),1)</f>
      </c>
      <c r="AB265" s="116" t="n">
        <v>294484707.921554</v>
      </c>
      <c r="AC265" s="117" t="str">
        <f>IF(AB265=0,"",Q265/AB265)</f>
      </c>
      <c r="AD265" s="118" t="str">
        <f>IF(AB265=0,"",R265/AB265)</f>
      </c>
      <c r="AE265" s="119" t="str">
        <f>IF(AB265=0,"",S265/AB265)</f>
      </c>
      <c r="AF265" s="120" t="str">
        <f>IF(AB265=0,"",W265/AB265)</f>
      </c>
    </row>
    <row r="266">
      <c r="A266" t="s">
        <v>116</v>
      </c>
      <c r="B266" s="93" t="n">
        <v>2029</v>
      </c>
      <c r="C266" t="s">
        <v>272</v>
      </c>
      <c r="D266" s="94" t="s">
        <v>407</v>
      </c>
      <c r="E266" s="95" t="s">
        <v>408</v>
      </c>
      <c r="F266" s="96" t="s">
        <v>275</v>
      </c>
      <c r="G266" s="97" t="s">
        <v>403</v>
      </c>
      <c r="H266" s="98" t="s">
        <v>396</v>
      </c>
      <c r="I266" s="99" t="n">
        <v>1</v>
      </c>
      <c r="J266" s="100" t="n">
        <v>1</v>
      </c>
      <c r="K266" s="101" t="n">
        <v>0.0077</v>
      </c>
      <c r="L266" s="102" t="n">
        <v>299474175.007124</v>
      </c>
      <c r="M266" s="103" t="n">
        <v>298981169.683309</v>
      </c>
      <c r="N266" s="104" t="str">
        <f>MIN(MAX((B266-'Calculation_Assumptions'!$B$5+1)/'Calculation_Assumptions'!$B$7,0),1)</f>
      </c>
      <c r="O266" s="105" t="str">
        <f>L266*I266</f>
      </c>
      <c r="P266" s="106" t="str">
        <f>M266*I266</f>
      </c>
      <c r="Q266" s="107" t="str">
        <f>P266*'Calculation_Assumptions'!$B$14*J266*K266</f>
      </c>
      <c r="R266" s="108" t="str">
        <f>O266*N266*J266*K266</f>
      </c>
      <c r="S266" s="109" t="str">
        <f>R266-Q266</f>
      </c>
      <c r="T266" s="110" t="str">
        <f>1/(1+'Calculation_Assumptions'!$B$8)^(B266-'Calculation_Assumptions'!$B$2)</f>
      </c>
      <c r="U266" s="111" t="str">
        <f>Q266*T266</f>
      </c>
      <c r="V266" s="112" t="str">
        <f>R266*T266</f>
      </c>
      <c r="W266" s="113" t="str">
        <f>S266*T266</f>
      </c>
      <c r="X266" t="n">
        <v>0</v>
      </c>
      <c r="Y266" s="114" t="n">
        <v>2017</v>
      </c>
      <c r="Z266" t="s">
        <v>399</v>
      </c>
      <c r="AA266" s="115" t="str">
        <f>IF(G266="shared-count-once",COUNTIFS($A$2:$A$287,A266,$B$2:$B$287,B266,$D$2:$D$287,D266),1)</f>
      </c>
      <c r="AB266" s="116" t="n">
        <v>296414030.31143</v>
      </c>
      <c r="AC266" s="117" t="str">
        <f>IF(AB266=0,"",Q266/AB266)</f>
      </c>
      <c r="AD266" s="118" t="str">
        <f>IF(AB266=0,"",R266/AB266)</f>
      </c>
      <c r="AE266" s="119" t="str">
        <f>IF(AB266=0,"",S266/AB266)</f>
      </c>
      <c r="AF266" s="120" t="str">
        <f>IF(AB266=0,"",W266/AB266)</f>
      </c>
    </row>
    <row r="267">
      <c r="A267" t="s">
        <v>116</v>
      </c>
      <c r="B267" s="93" t="n">
        <v>2030</v>
      </c>
      <c r="C267" t="s">
        <v>272</v>
      </c>
      <c r="D267" s="94" t="s">
        <v>407</v>
      </c>
      <c r="E267" s="95" t="s">
        <v>408</v>
      </c>
      <c r="F267" s="96" t="s">
        <v>275</v>
      </c>
      <c r="G267" s="97" t="s">
        <v>403</v>
      </c>
      <c r="H267" s="98" t="s">
        <v>396</v>
      </c>
      <c r="I267" s="99" t="n">
        <v>1</v>
      </c>
      <c r="J267" s="100" t="n">
        <v>1</v>
      </c>
      <c r="K267" s="101" t="n">
        <v>0.0077</v>
      </c>
      <c r="L267" s="102" t="n">
        <v>301271049.071289</v>
      </c>
      <c r="M267" s="103" t="n">
        <v>300784244.146626</v>
      </c>
      <c r="N267" s="104" t="str">
        <f>MIN(MAX((B267-'Calculation_Assumptions'!$B$5+1)/'Calculation_Assumptions'!$B$7,0),1)</f>
      </c>
      <c r="O267" s="105" t="str">
        <f>L267*I267</f>
      </c>
      <c r="P267" s="106" t="str">
        <f>M267*I267</f>
      </c>
      <c r="Q267" s="107" t="str">
        <f>P267*'Calculation_Assumptions'!$B$14*J267*K267</f>
      </c>
      <c r="R267" s="108" t="str">
        <f>O267*N267*J267*K267</f>
      </c>
      <c r="S267" s="109" t="str">
        <f>R267-Q267</f>
      </c>
      <c r="T267" s="110" t="str">
        <f>1/(1+'Calculation_Assumptions'!$B$8)^(B267-'Calculation_Assumptions'!$B$2)</f>
      </c>
      <c r="U267" s="111" t="str">
        <f>Q267*T267</f>
      </c>
      <c r="V267" s="112" t="str">
        <f>R267*T267</f>
      </c>
      <c r="W267" s="113" t="str">
        <f>S267*T267</f>
      </c>
      <c r="X267" t="n">
        <v>0</v>
      </c>
      <c r="Y267" s="114" t="n">
        <v>2017</v>
      </c>
      <c r="Z267" t="s">
        <v>399</v>
      </c>
      <c r="AA267" s="115" t="str">
        <f>IF(G267="shared-count-once",COUNTIFS($A$2:$A$287,A267,$B$2:$B$287,B267,$D$2:$D$287,D267),1)</f>
      </c>
      <c r="AB267" s="116" t="n">
        <v>298289404.664994</v>
      </c>
      <c r="AC267" s="117" t="str">
        <f>IF(AB267=0,"",Q267/AB267)</f>
      </c>
      <c r="AD267" s="118" t="str">
        <f>IF(AB267=0,"",R267/AB267)</f>
      </c>
      <c r="AE267" s="119" t="str">
        <f>IF(AB267=0,"",S267/AB267)</f>
      </c>
      <c r="AF267" s="120" t="str">
        <f>IF(AB267=0,"",W267/AB267)</f>
      </c>
    </row>
    <row r="268">
      <c r="A268" t="s">
        <v>116</v>
      </c>
      <c r="B268" s="93" t="n">
        <v>2031</v>
      </c>
      <c r="C268" t="s">
        <v>272</v>
      </c>
      <c r="D268" s="94" t="s">
        <v>407</v>
      </c>
      <c r="E268" s="95" t="s">
        <v>408</v>
      </c>
      <c r="F268" s="96" t="s">
        <v>275</v>
      </c>
      <c r="G268" s="97" t="s">
        <v>403</v>
      </c>
      <c r="H268" s="98" t="s">
        <v>396</v>
      </c>
      <c r="I268" s="99" t="n">
        <v>1</v>
      </c>
      <c r="J268" s="100" t="n">
        <v>1</v>
      </c>
      <c r="K268" s="101" t="n">
        <v>0.0077</v>
      </c>
      <c r="L268" s="102" t="n">
        <v>303032023.778079</v>
      </c>
      <c r="M268" s="103" t="n">
        <v>302561623.795312</v>
      </c>
      <c r="N268" s="104" t="str">
        <f>MIN(MAX((B268-'Calculation_Assumptions'!$B$5+1)/'Calculation_Assumptions'!$B$7,0),1)</f>
      </c>
      <c r="O268" s="105" t="str">
        <f>L268*I268</f>
      </c>
      <c r="P268" s="106" t="str">
        <f>M268*I268</f>
      </c>
      <c r="Q268" s="107" t="str">
        <f>P268*'Calculation_Assumptions'!$B$14*J268*K268</f>
      </c>
      <c r="R268" s="108" t="str">
        <f>O268*N268*J268*K268</f>
      </c>
      <c r="S268" s="109" t="str">
        <f>R268-Q268</f>
      </c>
      <c r="T268" s="110" t="str">
        <f>1/(1+'Calculation_Assumptions'!$B$8)^(B268-'Calculation_Assumptions'!$B$2)</f>
      </c>
      <c r="U268" s="111" t="str">
        <f>Q268*T268</f>
      </c>
      <c r="V268" s="112" t="str">
        <f>R268*T268</f>
      </c>
      <c r="W268" s="113" t="str">
        <f>S268*T268</f>
      </c>
      <c r="X268" t="n">
        <v>0</v>
      </c>
      <c r="Y268" s="114" t="n">
        <v>2017</v>
      </c>
      <c r="Z268" t="s">
        <v>399</v>
      </c>
      <c r="AA268" s="115" t="str">
        <f>IF(G268="shared-count-once",COUNTIFS($A$2:$A$287,A268,$B$2:$B$287,B268,$D$2:$D$287,D268),1)</f>
      </c>
      <c r="AB268" s="116" t="n">
        <v>300119636.925519</v>
      </c>
      <c r="AC268" s="117" t="str">
        <f>IF(AB268=0,"",Q268/AB268)</f>
      </c>
      <c r="AD268" s="118" t="str">
        <f>IF(AB268=0,"",R268/AB268)</f>
      </c>
      <c r="AE268" s="119" t="str">
        <f>IF(AB268=0,"",S268/AB268)</f>
      </c>
      <c r="AF268" s="120" t="str">
        <f>IF(AB268=0,"",W268/AB268)</f>
      </c>
    </row>
    <row r="269">
      <c r="A269" t="s">
        <v>116</v>
      </c>
      <c r="B269" s="93" t="n">
        <v>2032</v>
      </c>
      <c r="C269" t="s">
        <v>272</v>
      </c>
      <c r="D269" s="94" t="s">
        <v>407</v>
      </c>
      <c r="E269" s="95" t="s">
        <v>408</v>
      </c>
      <c r="F269" s="96" t="s">
        <v>275</v>
      </c>
      <c r="G269" s="97" t="s">
        <v>403</v>
      </c>
      <c r="H269" s="98" t="s">
        <v>396</v>
      </c>
      <c r="I269" s="99" t="n">
        <v>1</v>
      </c>
      <c r="J269" s="100" t="n">
        <v>1</v>
      </c>
      <c r="K269" s="101" t="n">
        <v>0.0077</v>
      </c>
      <c r="L269" s="102" t="n">
        <v>304752806.869548</v>
      </c>
      <c r="M269" s="103" t="n">
        <v>304296909.955394</v>
      </c>
      <c r="N269" s="104" t="str">
        <f>MIN(MAX((B269-'Calculation_Assumptions'!$B$5+1)/'Calculation_Assumptions'!$B$7,0),1)</f>
      </c>
      <c r="O269" s="105" t="str">
        <f>L269*I269</f>
      </c>
      <c r="P269" s="106" t="str">
        <f>M269*I269</f>
      </c>
      <c r="Q269" s="107" t="str">
        <f>P269*'Calculation_Assumptions'!$B$14*J269*K269</f>
      </c>
      <c r="R269" s="108" t="str">
        <f>O269*N269*J269*K269</f>
      </c>
      <c r="S269" s="109" t="str">
        <f>R269-Q269</f>
      </c>
      <c r="T269" s="110" t="str">
        <f>1/(1+'Calculation_Assumptions'!$B$8)^(B269-'Calculation_Assumptions'!$B$2)</f>
      </c>
      <c r="U269" s="111" t="str">
        <f>Q269*T269</f>
      </c>
      <c r="V269" s="112" t="str">
        <f>R269*T269</f>
      </c>
      <c r="W269" s="113" t="str">
        <f>S269*T269</f>
      </c>
      <c r="X269" t="n">
        <v>0</v>
      </c>
      <c r="Y269" s="114" t="n">
        <v>2017</v>
      </c>
      <c r="Z269" t="s">
        <v>399</v>
      </c>
      <c r="AA269" s="115" t="str">
        <f>IF(G269="shared-count-once",COUNTIFS($A$2:$A$287,A269,$B$2:$B$287,B269,$D$2:$D$287,D269),1)</f>
      </c>
      <c r="AB269" s="116" t="n">
        <v>301904628.083541</v>
      </c>
      <c r="AC269" s="117" t="str">
        <f>IF(AB269=0,"",Q269/AB269)</f>
      </c>
      <c r="AD269" s="118" t="str">
        <f>IF(AB269=0,"",R269/AB269)</f>
      </c>
      <c r="AE269" s="119" t="str">
        <f>IF(AB269=0,"",S269/AB269)</f>
      </c>
      <c r="AF269" s="120" t="str">
        <f>IF(AB269=0,"",W269/AB269)</f>
      </c>
    </row>
    <row r="270">
      <c r="A270" t="s">
        <v>116</v>
      </c>
      <c r="B270" s="93" t="n">
        <v>2033</v>
      </c>
      <c r="C270" t="s">
        <v>272</v>
      </c>
      <c r="D270" s="94" t="s">
        <v>407</v>
      </c>
      <c r="E270" s="95" t="s">
        <v>408</v>
      </c>
      <c r="F270" s="96" t="s">
        <v>275</v>
      </c>
      <c r="G270" s="97" t="s">
        <v>403</v>
      </c>
      <c r="H270" s="98" t="s">
        <v>396</v>
      </c>
      <c r="I270" s="99" t="n">
        <v>1</v>
      </c>
      <c r="J270" s="100" t="n">
        <v>1</v>
      </c>
      <c r="K270" s="101" t="n">
        <v>0.0077</v>
      </c>
      <c r="L270" s="102" t="n">
        <v>306434037.461259</v>
      </c>
      <c r="M270" s="103" t="n">
        <v>305990042.260363</v>
      </c>
      <c r="N270" s="104" t="str">
        <f>MIN(MAX((B270-'Calculation_Assumptions'!$B$5+1)/'Calculation_Assumptions'!$B$7,0),1)</f>
      </c>
      <c r="O270" s="105" t="str">
        <f>L270*I270</f>
      </c>
      <c r="P270" s="106" t="str">
        <f>M270*I270</f>
      </c>
      <c r="Q270" s="107" t="str">
        <f>P270*'Calculation_Assumptions'!$B$14*J270*K270</f>
      </c>
      <c r="R270" s="108" t="str">
        <f>O270*N270*J270*K270</f>
      </c>
      <c r="S270" s="109" t="str">
        <f>R270-Q270</f>
      </c>
      <c r="T270" s="110" t="str">
        <f>1/(1+'Calculation_Assumptions'!$B$8)^(B270-'Calculation_Assumptions'!$B$2)</f>
      </c>
      <c r="U270" s="111" t="str">
        <f>Q270*T270</f>
      </c>
      <c r="V270" s="112" t="str">
        <f>R270*T270</f>
      </c>
      <c r="W270" s="113" t="str">
        <f>S270*T270</f>
      </c>
      <c r="X270" t="n">
        <v>0</v>
      </c>
      <c r="Y270" s="114" t="n">
        <v>2017</v>
      </c>
      <c r="Z270" t="s">
        <v>399</v>
      </c>
      <c r="AA270" s="115" t="str">
        <f>IF(G270="shared-count-once",COUNTIFS($A$2:$A$287,A270,$B$2:$B$287,B270,$D$2:$D$287,D270),1)</f>
      </c>
      <c r="AB270" s="116" t="n">
        <v>303644277.16916</v>
      </c>
      <c r="AC270" s="117" t="str">
        <f>IF(AB270=0,"",Q270/AB270)</f>
      </c>
      <c r="AD270" s="118" t="str">
        <f>IF(AB270=0,"",R270/AB270)</f>
      </c>
      <c r="AE270" s="119" t="str">
        <f>IF(AB270=0,"",S270/AB270)</f>
      </c>
      <c r="AF270" s="120" t="str">
        <f>IF(AB270=0,"",W270/AB270)</f>
      </c>
    </row>
    <row r="271">
      <c r="A271" t="s">
        <v>116</v>
      </c>
      <c r="B271" s="93" t="n">
        <v>2034</v>
      </c>
      <c r="C271" t="s">
        <v>272</v>
      </c>
      <c r="D271" s="94" t="s">
        <v>407</v>
      </c>
      <c r="E271" s="95" t="s">
        <v>408</v>
      </c>
      <c r="F271" s="96" t="s">
        <v>275</v>
      </c>
      <c r="G271" s="97" t="s">
        <v>403</v>
      </c>
      <c r="H271" s="98" t="s">
        <v>396</v>
      </c>
      <c r="I271" s="99" t="n">
        <v>1</v>
      </c>
      <c r="J271" s="100" t="n">
        <v>1</v>
      </c>
      <c r="K271" s="101" t="n">
        <v>0.0077</v>
      </c>
      <c r="L271" s="102" t="n">
        <v>308069077.242938</v>
      </c>
      <c r="M271" s="103" t="n">
        <v>307635526.02883</v>
      </c>
      <c r="N271" s="104" t="str">
        <f>MIN(MAX((B271-'Calculation_Assumptions'!$B$5+1)/'Calculation_Assumptions'!$B$7,0),1)</f>
      </c>
      <c r="O271" s="105" t="str">
        <f>L271*I271</f>
      </c>
      <c r="P271" s="106" t="str">
        <f>M271*I271</f>
      </c>
      <c r="Q271" s="107" t="str">
        <f>P271*'Calculation_Assumptions'!$B$14*J271*K271</f>
      </c>
      <c r="R271" s="108" t="str">
        <f>O271*N271*J271*K271</f>
      </c>
      <c r="S271" s="109" t="str">
        <f>R271-Q271</f>
      </c>
      <c r="T271" s="110" t="str">
        <f>1/(1+'Calculation_Assumptions'!$B$8)^(B271-'Calculation_Assumptions'!$B$2)</f>
      </c>
      <c r="U271" s="111" t="str">
        <f>Q271*T271</f>
      </c>
      <c r="V271" s="112" t="str">
        <f>R271*T271</f>
      </c>
      <c r="W271" s="113" t="str">
        <f>S271*T271</f>
      </c>
      <c r="X271" t="n">
        <v>0</v>
      </c>
      <c r="Y271" s="114" t="n">
        <v>2017</v>
      </c>
      <c r="Z271" t="s">
        <v>399</v>
      </c>
      <c r="AA271" s="115" t="str">
        <f>IF(G271="shared-count-once",COUNTIFS($A$2:$A$287,A271,$B$2:$B$287,B271,$D$2:$D$287,D271),1)</f>
      </c>
      <c r="AB271" s="116" t="n">
        <v>305332541.184984</v>
      </c>
      <c r="AC271" s="117" t="str">
        <f>IF(AB271=0,"",Q271/AB271)</f>
      </c>
      <c r="AD271" s="118" t="str">
        <f>IF(AB271=0,"",R271/AB271)</f>
      </c>
      <c r="AE271" s="119" t="str">
        <f>IF(AB271=0,"",S271/AB271)</f>
      </c>
      <c r="AF271" s="120" t="str">
        <f>IF(AB271=0,"",W271/AB271)</f>
      </c>
    </row>
    <row r="272">
      <c r="A272" t="s">
        <v>116</v>
      </c>
      <c r="B272" s="93" t="n">
        <v>2035</v>
      </c>
      <c r="C272" t="s">
        <v>272</v>
      </c>
      <c r="D272" s="94" t="s">
        <v>407</v>
      </c>
      <c r="E272" s="95" t="s">
        <v>408</v>
      </c>
      <c r="F272" s="96" t="s">
        <v>275</v>
      </c>
      <c r="G272" s="97" t="s">
        <v>403</v>
      </c>
      <c r="H272" s="98" t="s">
        <v>396</v>
      </c>
      <c r="I272" s="99" t="n">
        <v>1</v>
      </c>
      <c r="J272" s="100" t="n">
        <v>1</v>
      </c>
      <c r="K272" s="101" t="n">
        <v>0.0077</v>
      </c>
      <c r="L272" s="102" t="n">
        <v>309652887.953845</v>
      </c>
      <c r="M272" s="103" t="n">
        <v>309228183.19713</v>
      </c>
      <c r="N272" s="104" t="str">
        <f>MIN(MAX((B272-'Calculation_Assumptions'!$B$5+1)/'Calculation_Assumptions'!$B$7,0),1)</f>
      </c>
      <c r="O272" s="105" t="str">
        <f>L272*I272</f>
      </c>
      <c r="P272" s="106" t="str">
        <f>M272*I272</f>
      </c>
      <c r="Q272" s="107" t="str">
        <f>P272*'Calculation_Assumptions'!$B$14*J272*K272</f>
      </c>
      <c r="R272" s="108" t="str">
        <f>O272*N272*J272*K272</f>
      </c>
      <c r="S272" s="109" t="str">
        <f>R272-Q272</f>
      </c>
      <c r="T272" s="110" t="str">
        <f>1/(1+'Calculation_Assumptions'!$B$8)^(B272-'Calculation_Assumptions'!$B$2)</f>
      </c>
      <c r="U272" s="111" t="str">
        <f>Q272*T272</f>
      </c>
      <c r="V272" s="112" t="str">
        <f>R272*T272</f>
      </c>
      <c r="W272" s="113" t="str">
        <f>S272*T272</f>
      </c>
      <c r="X272" t="n">
        <v>0</v>
      </c>
      <c r="Y272" s="114" t="n">
        <v>2017</v>
      </c>
      <c r="Z272" t="s">
        <v>399</v>
      </c>
      <c r="AA272" s="115" t="str">
        <f>IF(G272="shared-count-once",COUNTIFS($A$2:$A$287,A272,$B$2:$B$287,B272,$D$2:$D$287,D272),1)</f>
      </c>
      <c r="AB272" s="116" t="n">
        <v>306964650.16712</v>
      </c>
      <c r="AC272" s="117" t="str">
        <f>IF(AB272=0,"",Q272/AB272)</f>
      </c>
      <c r="AD272" s="118" t="str">
        <f>IF(AB272=0,"",R272/AB272)</f>
      </c>
      <c r="AE272" s="119" t="str">
        <f>IF(AB272=0,"",S272/AB272)</f>
      </c>
      <c r="AF272" s="120" t="str">
        <f>IF(AB272=0,"",W272/AB272)</f>
      </c>
    </row>
    <row r="273">
      <c r="A273" t="s">
        <v>116</v>
      </c>
      <c r="B273" s="93" t="n">
        <v>2036</v>
      </c>
      <c r="C273" t="s">
        <v>272</v>
      </c>
      <c r="D273" s="94" t="s">
        <v>407</v>
      </c>
      <c r="E273" s="95" t="s">
        <v>408</v>
      </c>
      <c r="F273" s="96" t="s">
        <v>275</v>
      </c>
      <c r="G273" s="97" t="s">
        <v>403</v>
      </c>
      <c r="H273" s="98" t="s">
        <v>396</v>
      </c>
      <c r="I273" s="99" t="n">
        <v>1</v>
      </c>
      <c r="J273" s="100" t="n">
        <v>1</v>
      </c>
      <c r="K273" s="101" t="n">
        <v>0.0077</v>
      </c>
      <c r="L273" s="102" t="n">
        <v>311187213.367099</v>
      </c>
      <c r="M273" s="103" t="n">
        <v>310769483.46493</v>
      </c>
      <c r="N273" s="104" t="str">
        <f>MIN(MAX((B273-'Calculation_Assumptions'!$B$5+1)/'Calculation_Assumptions'!$B$7,0),1)</f>
      </c>
      <c r="O273" s="105" t="str">
        <f>L273*I273</f>
      </c>
      <c r="P273" s="106" t="str">
        <f>M273*I273</f>
      </c>
      <c r="Q273" s="107" t="str">
        <f>P273*'Calculation_Assumptions'!$B$14*J273*K273</f>
      </c>
      <c r="R273" s="108" t="str">
        <f>O273*N273*J273*K273</f>
      </c>
      <c r="S273" s="109" t="str">
        <f>R273-Q273</f>
      </c>
      <c r="T273" s="110" t="str">
        <f>1/(1+'Calculation_Assumptions'!$B$8)^(B273-'Calculation_Assumptions'!$B$2)</f>
      </c>
      <c r="U273" s="111" t="str">
        <f>Q273*T273</f>
      </c>
      <c r="V273" s="112" t="str">
        <f>R273*T273</f>
      </c>
      <c r="W273" s="113" t="str">
        <f>S273*T273</f>
      </c>
      <c r="X273" t="n">
        <v>0</v>
      </c>
      <c r="Y273" s="114" t="n">
        <v>2017</v>
      </c>
      <c r="Z273" t="s">
        <v>399</v>
      </c>
      <c r="AA273" s="115" t="str">
        <f>IF(G273="shared-count-once",COUNTIFS($A$2:$A$287,A273,$B$2:$B$287,B273,$D$2:$D$287,D273),1)</f>
      </c>
      <c r="AB273" s="116" t="n">
        <v>308542769.756622</v>
      </c>
      <c r="AC273" s="117" t="str">
        <f>IF(AB273=0,"",Q273/AB273)</f>
      </c>
      <c r="AD273" s="118" t="str">
        <f>IF(AB273=0,"",R273/AB273)</f>
      </c>
      <c r="AE273" s="119" t="str">
        <f>IF(AB273=0,"",S273/AB273)</f>
      </c>
      <c r="AF273" s="120" t="str">
        <f>IF(AB273=0,"",W273/AB273)</f>
      </c>
    </row>
    <row r="274">
      <c r="A274" t="s">
        <v>116</v>
      </c>
      <c r="B274" s="93" t="n">
        <v>2037</v>
      </c>
      <c r="C274" t="s">
        <v>272</v>
      </c>
      <c r="D274" s="94" t="s">
        <v>407</v>
      </c>
      <c r="E274" s="95" t="s">
        <v>408</v>
      </c>
      <c r="F274" s="96" t="s">
        <v>275</v>
      </c>
      <c r="G274" s="97" t="s">
        <v>403</v>
      </c>
      <c r="H274" s="98" t="s">
        <v>396</v>
      </c>
      <c r="I274" s="99" t="n">
        <v>1</v>
      </c>
      <c r="J274" s="100" t="n">
        <v>1</v>
      </c>
      <c r="K274" s="101" t="n">
        <v>0.0077</v>
      </c>
      <c r="L274" s="102" t="n">
        <v>312691098.463481</v>
      </c>
      <c r="M274" s="103" t="n">
        <v>312262197.186949</v>
      </c>
      <c r="N274" s="104" t="str">
        <f>MIN(MAX((B274-'Calculation_Assumptions'!$B$5+1)/'Calculation_Assumptions'!$B$7,0),1)</f>
      </c>
      <c r="O274" s="105" t="str">
        <f>L274*I274</f>
      </c>
      <c r="P274" s="106" t="str">
        <f>M274*I274</f>
      </c>
      <c r="Q274" s="107" t="str">
        <f>P274*'Calculation_Assumptions'!$B$14*J274*K274</f>
      </c>
      <c r="R274" s="108" t="str">
        <f>O274*N274*J274*K274</f>
      </c>
      <c r="S274" s="109" t="str">
        <f>R274-Q274</f>
      </c>
      <c r="T274" s="110" t="str">
        <f>1/(1+'Calculation_Assumptions'!$B$8)^(B274-'Calculation_Assumptions'!$B$2)</f>
      </c>
      <c r="U274" s="111" t="str">
        <f>Q274*T274</f>
      </c>
      <c r="V274" s="112" t="str">
        <f>R274*T274</f>
      </c>
      <c r="W274" s="113" t="str">
        <f>S274*T274</f>
      </c>
      <c r="X274" t="n">
        <v>0</v>
      </c>
      <c r="Y274" s="114" t="n">
        <v>2017</v>
      </c>
      <c r="Z274" t="s">
        <v>399</v>
      </c>
      <c r="AA274" s="115" t="str">
        <f>IF(G274="shared-count-once",COUNTIFS($A$2:$A$287,A274,$B$2:$B$287,B274,$D$2:$D$287,D274),1)</f>
      </c>
      <c r="AB274" s="116" t="n">
        <v>310068287.63643</v>
      </c>
      <c r="AC274" s="117" t="str">
        <f>IF(AB274=0,"",Q274/AB274)</f>
      </c>
      <c r="AD274" s="118" t="str">
        <f>IF(AB274=0,"",R274/AB274)</f>
      </c>
      <c r="AE274" s="119" t="str">
        <f>IF(AB274=0,"",S274/AB274)</f>
      </c>
      <c r="AF274" s="120" t="str">
        <f>IF(AB274=0,"",W274/AB274)</f>
      </c>
    </row>
    <row r="275">
      <c r="A275" t="s">
        <v>116</v>
      </c>
      <c r="B275" s="93" t="n">
        <v>2038</v>
      </c>
      <c r="C275" t="s">
        <v>272</v>
      </c>
      <c r="D275" s="94" t="s">
        <v>407</v>
      </c>
      <c r="E275" s="95" t="s">
        <v>408</v>
      </c>
      <c r="F275" s="96" t="s">
        <v>275</v>
      </c>
      <c r="G275" s="97" t="s">
        <v>403</v>
      </c>
      <c r="H275" s="98" t="s">
        <v>396</v>
      </c>
      <c r="I275" s="99" t="n">
        <v>1</v>
      </c>
      <c r="J275" s="100" t="n">
        <v>1</v>
      </c>
      <c r="K275" s="101" t="n">
        <v>0.0077</v>
      </c>
      <c r="L275" s="102" t="n">
        <v>314171327.455626</v>
      </c>
      <c r="M275" s="103" t="n">
        <v>313730463.490198</v>
      </c>
      <c r="N275" s="104" t="str">
        <f>MIN(MAX((B275-'Calculation_Assumptions'!$B$5+1)/'Calculation_Assumptions'!$B$7,0),1)</f>
      </c>
      <c r="O275" s="105" t="str">
        <f>L275*I275</f>
      </c>
      <c r="P275" s="106" t="str">
        <f>M275*I275</f>
      </c>
      <c r="Q275" s="107" t="str">
        <f>P275*'Calculation_Assumptions'!$B$14*J275*K275</f>
      </c>
      <c r="R275" s="108" t="str">
        <f>O275*N275*J275*K275</f>
      </c>
      <c r="S275" s="109" t="str">
        <f>R275-Q275</f>
      </c>
      <c r="T275" s="110" t="str">
        <f>1/(1+'Calculation_Assumptions'!$B$8)^(B275-'Calculation_Assumptions'!$B$2)</f>
      </c>
      <c r="U275" s="111" t="str">
        <f>Q275*T275</f>
      </c>
      <c r="V275" s="112" t="str">
        <f>R275*T275</f>
      </c>
      <c r="W275" s="113" t="str">
        <f>S275*T275</f>
      </c>
      <c r="X275" t="n">
        <v>0</v>
      </c>
      <c r="Y275" s="114" t="n">
        <v>2017</v>
      </c>
      <c r="Z275" t="s">
        <v>399</v>
      </c>
      <c r="AA275" s="115" t="str">
        <f>IF(G275="shared-count-once",COUNTIFS($A$2:$A$287,A275,$B$2:$B$287,B275,$D$2:$D$287,D275),1)</f>
      </c>
      <c r="AB275" s="116" t="n">
        <v>311532999.13163</v>
      </c>
      <c r="AC275" s="117" t="str">
        <f>IF(AB275=0,"",Q275/AB275)</f>
      </c>
      <c r="AD275" s="118" t="str">
        <f>IF(AB275=0,"",R275/AB275)</f>
      </c>
      <c r="AE275" s="119" t="str">
        <f>IF(AB275=0,"",S275/AB275)</f>
      </c>
      <c r="AF275" s="120" t="str">
        <f>IF(AB275=0,"",W275/AB275)</f>
      </c>
    </row>
    <row r="276">
      <c r="A276" t="s">
        <v>116</v>
      </c>
      <c r="B276" s="93" t="n">
        <v>2039</v>
      </c>
      <c r="C276" t="s">
        <v>272</v>
      </c>
      <c r="D276" s="94" t="s">
        <v>407</v>
      </c>
      <c r="E276" s="95" t="s">
        <v>408</v>
      </c>
      <c r="F276" s="96" t="s">
        <v>275</v>
      </c>
      <c r="G276" s="97" t="s">
        <v>403</v>
      </c>
      <c r="H276" s="98" t="s">
        <v>396</v>
      </c>
      <c r="I276" s="99" t="n">
        <v>1</v>
      </c>
      <c r="J276" s="100" t="n">
        <v>1</v>
      </c>
      <c r="K276" s="101" t="n">
        <v>0.0077</v>
      </c>
      <c r="L276" s="102" t="n">
        <v>315572814.49585</v>
      </c>
      <c r="M276" s="103" t="n">
        <v>315115398.935154</v>
      </c>
      <c r="N276" s="104" t="str">
        <f>MIN(MAX((B276-'Calculation_Assumptions'!$B$5+1)/'Calculation_Assumptions'!$B$7,0),1)</f>
      </c>
      <c r="O276" s="105" t="str">
        <f>L276*I276</f>
      </c>
      <c r="P276" s="106" t="str">
        <f>M276*I276</f>
      </c>
      <c r="Q276" s="107" t="str">
        <f>P276*'Calculation_Assumptions'!$B$14*J276*K276</f>
      </c>
      <c r="R276" s="108" t="str">
        <f>O276*N276*J276*K276</f>
      </c>
      <c r="S276" s="109" t="str">
        <f>R276-Q276</f>
      </c>
      <c r="T276" s="110" t="str">
        <f>1/(1+'Calculation_Assumptions'!$B$8)^(B276-'Calculation_Assumptions'!$B$2)</f>
      </c>
      <c r="U276" s="111" t="str">
        <f>Q276*T276</f>
      </c>
      <c r="V276" s="112" t="str">
        <f>R276*T276</f>
      </c>
      <c r="W276" s="113" t="str">
        <f>S276*T276</f>
      </c>
      <c r="X276" t="n">
        <v>0</v>
      </c>
      <c r="Y276" s="114" t="n">
        <v>2017</v>
      </c>
      <c r="Z276" t="s">
        <v>399</v>
      </c>
      <c r="AA276" s="115" t="str">
        <f>IF(G276="shared-count-once",COUNTIFS($A$2:$A$287,A276,$B$2:$B$287,B276,$D$2:$D$287,D276),1)</f>
      </c>
      <c r="AB276" s="116" t="n">
        <v>312936391.858479</v>
      </c>
      <c r="AC276" s="117" t="str">
        <f>IF(AB276=0,"",Q276/AB276)</f>
      </c>
      <c r="AD276" s="118" t="str">
        <f>IF(AB276=0,"",R276/AB276)</f>
      </c>
      <c r="AE276" s="119" t="str">
        <f>IF(AB276=0,"",S276/AB276)</f>
      </c>
      <c r="AF276" s="120" t="str">
        <f>IF(AB276=0,"",W276/AB276)</f>
      </c>
    </row>
    <row r="277">
      <c r="A277" t="s">
        <v>116</v>
      </c>
      <c r="B277" s="93" t="n">
        <v>2040</v>
      </c>
      <c r="C277" t="s">
        <v>272</v>
      </c>
      <c r="D277" s="94" t="s">
        <v>407</v>
      </c>
      <c r="E277" s="95" t="s">
        <v>408</v>
      </c>
      <c r="F277" s="96" t="s">
        <v>275</v>
      </c>
      <c r="G277" s="97" t="s">
        <v>403</v>
      </c>
      <c r="H277" s="98" t="s">
        <v>396</v>
      </c>
      <c r="I277" s="99" t="n">
        <v>1</v>
      </c>
      <c r="J277" s="100" t="n">
        <v>1</v>
      </c>
      <c r="K277" s="101" t="n">
        <v>0.0077</v>
      </c>
      <c r="L277" s="102" t="n">
        <v>316907611.255135</v>
      </c>
      <c r="M277" s="103" t="n">
        <v>316427530.0167</v>
      </c>
      <c r="N277" s="104" t="str">
        <f>MIN(MAX((B277-'Calculation_Assumptions'!$B$5+1)/'Calculation_Assumptions'!$B$7,0),1)</f>
      </c>
      <c r="O277" s="105" t="str">
        <f>L277*I277</f>
      </c>
      <c r="P277" s="106" t="str">
        <f>M277*I277</f>
      </c>
      <c r="Q277" s="107" t="str">
        <f>P277*'Calculation_Assumptions'!$B$14*J277*K277</f>
      </c>
      <c r="R277" s="108" t="str">
        <f>O277*N277*J277*K277</f>
      </c>
      <c r="S277" s="109" t="str">
        <f>R277-Q277</f>
      </c>
      <c r="T277" s="110" t="str">
        <f>1/(1+'Calculation_Assumptions'!$B$8)^(B277-'Calculation_Assumptions'!$B$2)</f>
      </c>
      <c r="U277" s="111" t="str">
        <f>Q277*T277</f>
      </c>
      <c r="V277" s="112" t="str">
        <f>R277*T277</f>
      </c>
      <c r="W277" s="113" t="str">
        <f>S277*T277</f>
      </c>
      <c r="X277" t="n">
        <v>0</v>
      </c>
      <c r="Y277" s="114" t="n">
        <v>2017</v>
      </c>
      <c r="Z277" t="s">
        <v>399</v>
      </c>
      <c r="AA277" s="115" t="str">
        <f>IF(G277="shared-count-once",COUNTIFS($A$2:$A$287,A277,$B$2:$B$287,B277,$D$2:$D$287,D277),1)</f>
      </c>
      <c r="AB277" s="116" t="n">
        <v>314265537.410829</v>
      </c>
      <c r="AC277" s="117" t="str">
        <f>IF(AB277=0,"",Q277/AB277)</f>
      </c>
      <c r="AD277" s="118" t="str">
        <f>IF(AB277=0,"",R277/AB277)</f>
      </c>
      <c r="AE277" s="119" t="str">
        <f>IF(AB277=0,"",S277/AB277)</f>
      </c>
      <c r="AF277" s="120" t="str">
        <f>IF(AB277=0,"",W277/AB277)</f>
      </c>
    </row>
    <row r="278">
      <c r="A278" t="s">
        <v>116</v>
      </c>
      <c r="B278" s="93" t="n">
        <v>2041</v>
      </c>
      <c r="C278" t="s">
        <v>272</v>
      </c>
      <c r="D278" s="94" t="s">
        <v>407</v>
      </c>
      <c r="E278" s="95" t="s">
        <v>408</v>
      </c>
      <c r="F278" s="96" t="s">
        <v>275</v>
      </c>
      <c r="G278" s="97" t="s">
        <v>403</v>
      </c>
      <c r="H278" s="98" t="s">
        <v>396</v>
      </c>
      <c r="I278" s="99" t="n">
        <v>1</v>
      </c>
      <c r="J278" s="100" t="n">
        <v>1</v>
      </c>
      <c r="K278" s="101" t="n">
        <v>0.0077</v>
      </c>
      <c r="L278" s="102" t="n">
        <v>318179990.818572</v>
      </c>
      <c r="M278" s="103" t="n">
        <v>317614843.247219</v>
      </c>
      <c r="N278" s="104" t="str">
        <f>MIN(MAX((B278-'Calculation_Assumptions'!$B$5+1)/'Calculation_Assumptions'!$B$7,0),1)</f>
      </c>
      <c r="O278" s="105" t="str">
        <f>L278*I278</f>
      </c>
      <c r="P278" s="106" t="str">
        <f>M278*I278</f>
      </c>
      <c r="Q278" s="107" t="str">
        <f>P278*'Calculation_Assumptions'!$B$14*J278*K278</f>
      </c>
      <c r="R278" s="108" t="str">
        <f>O278*N278*J278*K278</f>
      </c>
      <c r="S278" s="109" t="str">
        <f>R278-Q278</f>
      </c>
      <c r="T278" s="110" t="str">
        <f>1/(1+'Calculation_Assumptions'!$B$8)^(B278-'Calculation_Assumptions'!$B$2)</f>
      </c>
      <c r="U278" s="111" t="str">
        <f>Q278*T278</f>
      </c>
      <c r="V278" s="112" t="str">
        <f>R278*T278</f>
      </c>
      <c r="W278" s="113" t="str">
        <f>S278*T278</f>
      </c>
      <c r="X278" t="n">
        <v>0</v>
      </c>
      <c r="Y278" s="114" t="n">
        <v>2017</v>
      </c>
      <c r="Z278" t="s">
        <v>399</v>
      </c>
      <c r="AA278" s="115" t="str">
        <f>IF(G278="shared-count-once",COUNTIFS($A$2:$A$287,A278,$B$2:$B$287,B278,$D$2:$D$287,D278),1)</f>
      </c>
      <c r="AB278" s="116" t="n">
        <v>315525215.312548</v>
      </c>
      <c r="AC278" s="117" t="str">
        <f>IF(AB278=0,"",Q278/AB278)</f>
      </c>
      <c r="AD278" s="118" t="str">
        <f>IF(AB278=0,"",R278/AB278)</f>
      </c>
      <c r="AE278" s="119" t="str">
        <f>IF(AB278=0,"",S278/AB278)</f>
      </c>
      <c r="AF278" s="120" t="str">
        <f>IF(AB278=0,"",W278/AB278)</f>
      </c>
    </row>
    <row r="279">
      <c r="A279" t="s">
        <v>116</v>
      </c>
      <c r="B279" s="93" t="n">
        <v>2042</v>
      </c>
      <c r="C279" t="s">
        <v>272</v>
      </c>
      <c r="D279" s="94" t="s">
        <v>407</v>
      </c>
      <c r="E279" s="95" t="s">
        <v>408</v>
      </c>
      <c r="F279" s="96" t="s">
        <v>275</v>
      </c>
      <c r="G279" s="97" t="s">
        <v>403</v>
      </c>
      <c r="H279" s="98" t="s">
        <v>396</v>
      </c>
      <c r="I279" s="99" t="n">
        <v>1</v>
      </c>
      <c r="J279" s="100" t="n">
        <v>1</v>
      </c>
      <c r="K279" s="101" t="n">
        <v>0.0077</v>
      </c>
      <c r="L279" s="102" t="n">
        <v>319316687.234113</v>
      </c>
      <c r="M279" s="103" t="n">
        <v>318781045.920738</v>
      </c>
      <c r="N279" s="104" t="str">
        <f>MIN(MAX((B279-'Calculation_Assumptions'!$B$5+1)/'Calculation_Assumptions'!$B$7,0),1)</f>
      </c>
      <c r="O279" s="105" t="str">
        <f>L279*I279</f>
      </c>
      <c r="P279" s="106" t="str">
        <f>M279*I279</f>
      </c>
      <c r="Q279" s="107" t="str">
        <f>P279*'Calculation_Assumptions'!$B$14*J279*K279</f>
      </c>
      <c r="R279" s="108" t="str">
        <f>O279*N279*J279*K279</f>
      </c>
      <c r="S279" s="109" t="str">
        <f>R279-Q279</f>
      </c>
      <c r="T279" s="110" t="str">
        <f>1/(1+'Calculation_Assumptions'!$B$8)^(B279-'Calculation_Assumptions'!$B$2)</f>
      </c>
      <c r="U279" s="111" t="str">
        <f>Q279*T279</f>
      </c>
      <c r="V279" s="112" t="str">
        <f>R279*T279</f>
      </c>
      <c r="W279" s="113" t="str">
        <f>S279*T279</f>
      </c>
      <c r="X279" t="n">
        <v>0</v>
      </c>
      <c r="Y279" s="114" t="n">
        <v>2017</v>
      </c>
      <c r="Z279" t="s">
        <v>399</v>
      </c>
      <c r="AA279" s="115" t="str">
        <f>IF(G279="shared-count-once",COUNTIFS($A$2:$A$287,A279,$B$2:$B$287,B279,$D$2:$D$287,D279),1)</f>
      </c>
      <c r="AB279" s="116" t="n">
        <v>316707694.211882</v>
      </c>
      <c r="AC279" s="117" t="str">
        <f>IF(AB279=0,"",Q279/AB279)</f>
      </c>
      <c r="AD279" s="118" t="str">
        <f>IF(AB279=0,"",R279/AB279)</f>
      </c>
      <c r="AE279" s="119" t="str">
        <f>IF(AB279=0,"",S279/AB279)</f>
      </c>
      <c r="AF279" s="120" t="str">
        <f>IF(AB279=0,"",W279/AB279)</f>
      </c>
    </row>
    <row r="280">
      <c r="A280" t="s">
        <v>116</v>
      </c>
      <c r="B280" s="93" t="n">
        <v>2043</v>
      </c>
      <c r="C280" t="s">
        <v>272</v>
      </c>
      <c r="D280" s="94" t="s">
        <v>407</v>
      </c>
      <c r="E280" s="95" t="s">
        <v>408</v>
      </c>
      <c r="F280" s="96" t="s">
        <v>275</v>
      </c>
      <c r="G280" s="97" t="s">
        <v>403</v>
      </c>
      <c r="H280" s="98" t="s">
        <v>396</v>
      </c>
      <c r="I280" s="99" t="n">
        <v>1</v>
      </c>
      <c r="J280" s="100" t="n">
        <v>1</v>
      </c>
      <c r="K280" s="101" t="n">
        <v>0.0077</v>
      </c>
      <c r="L280" s="102" t="n">
        <v>320438699.530746</v>
      </c>
      <c r="M280" s="103" t="n">
        <v>319872275.594712</v>
      </c>
      <c r="N280" s="104" t="str">
        <f>MIN(MAX((B280-'Calculation_Assumptions'!$B$5+1)/'Calculation_Assumptions'!$B$7,0),1)</f>
      </c>
      <c r="O280" s="105" t="str">
        <f>L280*I280</f>
      </c>
      <c r="P280" s="106" t="str">
        <f>M280*I280</f>
      </c>
      <c r="Q280" s="107" t="str">
        <f>P280*'Calculation_Assumptions'!$B$14*J280*K280</f>
      </c>
      <c r="R280" s="108" t="str">
        <f>O280*N280*J280*K280</f>
      </c>
      <c r="S280" s="109" t="str">
        <f>R280-Q280</f>
      </c>
      <c r="T280" s="110" t="str">
        <f>1/(1+'Calculation_Assumptions'!$B$8)^(B280-'Calculation_Assumptions'!$B$2)</f>
      </c>
      <c r="U280" s="111" t="str">
        <f>Q280*T280</f>
      </c>
      <c r="V280" s="112" t="str">
        <f>R280*T280</f>
      </c>
      <c r="W280" s="113" t="str">
        <f>S280*T280</f>
      </c>
      <c r="X280" t="n">
        <v>0</v>
      </c>
      <c r="Y280" s="114" t="n">
        <v>2017</v>
      </c>
      <c r="Z280" t="s">
        <v>399</v>
      </c>
      <c r="AA280" s="115" t="str">
        <f>IF(G280="shared-count-once",COUNTIFS($A$2:$A$287,A280,$B$2:$B$287,B280,$D$2:$D$287,D280),1)</f>
      </c>
      <c r="AB280" s="116" t="n">
        <v>317814114.067152</v>
      </c>
      <c r="AC280" s="117" t="str">
        <f>IF(AB280=0,"",Q280/AB280)</f>
      </c>
      <c r="AD280" s="118" t="str">
        <f>IF(AB280=0,"",R280/AB280)</f>
      </c>
      <c r="AE280" s="119" t="str">
        <f>IF(AB280=0,"",S280/AB280)</f>
      </c>
      <c r="AF280" s="120" t="str">
        <f>IF(AB280=0,"",W280/AB280)</f>
      </c>
    </row>
    <row r="281">
      <c r="A281" t="s">
        <v>116</v>
      </c>
      <c r="B281" s="93" t="n">
        <v>2044</v>
      </c>
      <c r="C281" t="s">
        <v>272</v>
      </c>
      <c r="D281" s="94" t="s">
        <v>407</v>
      </c>
      <c r="E281" s="95" t="s">
        <v>408</v>
      </c>
      <c r="F281" s="96" t="s">
        <v>275</v>
      </c>
      <c r="G281" s="97" t="s">
        <v>403</v>
      </c>
      <c r="H281" s="98" t="s">
        <v>396</v>
      </c>
      <c r="I281" s="99" t="n">
        <v>1</v>
      </c>
      <c r="J281" s="100" t="n">
        <v>1</v>
      </c>
      <c r="K281" s="101" t="n">
        <v>0.0077</v>
      </c>
      <c r="L281" s="102" t="n">
        <v>321495564.591722</v>
      </c>
      <c r="M281" s="103" t="n">
        <v>320897722.542069</v>
      </c>
      <c r="N281" s="104" t="str">
        <f>MIN(MAX((B281-'Calculation_Assumptions'!$B$5+1)/'Calculation_Assumptions'!$B$7,0),1)</f>
      </c>
      <c r="O281" s="105" t="str">
        <f>L281*I281</f>
      </c>
      <c r="P281" s="106" t="str">
        <f>M281*I281</f>
      </c>
      <c r="Q281" s="107" t="str">
        <f>P281*'Calculation_Assumptions'!$B$14*J281*K281</f>
      </c>
      <c r="R281" s="108" t="str">
        <f>O281*N281*J281*K281</f>
      </c>
      <c r="S281" s="109" t="str">
        <f>R281-Q281</f>
      </c>
      <c r="T281" s="110" t="str">
        <f>1/(1+'Calculation_Assumptions'!$B$8)^(B281-'Calculation_Assumptions'!$B$2)</f>
      </c>
      <c r="U281" s="111" t="str">
        <f>Q281*T281</f>
      </c>
      <c r="V281" s="112" t="str">
        <f>R281*T281</f>
      </c>
      <c r="W281" s="113" t="str">
        <f>S281*T281</f>
      </c>
      <c r="X281" t="n">
        <v>0</v>
      </c>
      <c r="Y281" s="114" t="n">
        <v>2017</v>
      </c>
      <c r="Z281" t="s">
        <v>399</v>
      </c>
      <c r="AA281" s="115" t="str">
        <f>IF(G281="shared-count-once",COUNTIFS($A$2:$A$287,A281,$B$2:$B$287,B281,$D$2:$D$287,D281),1)</f>
      </c>
      <c r="AB281" s="116" t="n">
        <v>318840890.732156</v>
      </c>
      <c r="AC281" s="117" t="str">
        <f>IF(AB281=0,"",Q281/AB281)</f>
      </c>
      <c r="AD281" s="118" t="str">
        <f>IF(AB281=0,"",R281/AB281)</f>
      </c>
      <c r="AE281" s="119" t="str">
        <f>IF(AB281=0,"",S281/AB281)</f>
      </c>
      <c r="AF281" s="120" t="str">
        <f>IF(AB281=0,"",W281/AB281)</f>
      </c>
    </row>
    <row r="282">
      <c r="A282" t="s">
        <v>116</v>
      </c>
      <c r="B282" s="93" t="n">
        <v>2045</v>
      </c>
      <c r="C282" t="s">
        <v>272</v>
      </c>
      <c r="D282" s="94" t="s">
        <v>407</v>
      </c>
      <c r="E282" s="95" t="s">
        <v>408</v>
      </c>
      <c r="F282" s="96" t="s">
        <v>275</v>
      </c>
      <c r="G282" s="97" t="s">
        <v>403</v>
      </c>
      <c r="H282" s="98" t="s">
        <v>396</v>
      </c>
      <c r="I282" s="99" t="n">
        <v>1</v>
      </c>
      <c r="J282" s="100" t="n">
        <v>1</v>
      </c>
      <c r="K282" s="101" t="n">
        <v>0.0077</v>
      </c>
      <c r="L282" s="102" t="n">
        <v>322462168.543824</v>
      </c>
      <c r="M282" s="103" t="n">
        <v>321832323.778944</v>
      </c>
      <c r="N282" s="104" t="str">
        <f>MIN(MAX((B282-'Calculation_Assumptions'!$B$5+1)/'Calculation_Assumptions'!$B$7,0),1)</f>
      </c>
      <c r="O282" s="105" t="str">
        <f>L282*I282</f>
      </c>
      <c r="P282" s="106" t="str">
        <f>M282*I282</f>
      </c>
      <c r="Q282" s="107" t="str">
        <f>P282*'Calculation_Assumptions'!$B$14*J282*K282</f>
      </c>
      <c r="R282" s="108" t="str">
        <f>O282*N282*J282*K282</f>
      </c>
      <c r="S282" s="109" t="str">
        <f>R282-Q282</f>
      </c>
      <c r="T282" s="110" t="str">
        <f>1/(1+'Calculation_Assumptions'!$B$8)^(B282-'Calculation_Assumptions'!$B$2)</f>
      </c>
      <c r="U282" s="111" t="str">
        <f>Q282*T282</f>
      </c>
      <c r="V282" s="112" t="str">
        <f>R282*T282</f>
      </c>
      <c r="W282" s="113" t="str">
        <f>S282*T282</f>
      </c>
      <c r="X282" t="n">
        <v>0</v>
      </c>
      <c r="Y282" s="114" t="n">
        <v>2017</v>
      </c>
      <c r="Z282" t="s">
        <v>399</v>
      </c>
      <c r="AA282" s="115" t="str">
        <f>IF(G282="shared-count-once",COUNTIFS($A$2:$A$287,A282,$B$2:$B$287,B282,$D$2:$D$287,D282),1)</f>
      </c>
      <c r="AB282" s="116" t="n">
        <v>319784682.33108</v>
      </c>
      <c r="AC282" s="117" t="str">
        <f>IF(AB282=0,"",Q282/AB282)</f>
      </c>
      <c r="AD282" s="118" t="str">
        <f>IF(AB282=0,"",R282/AB282)</f>
      </c>
      <c r="AE282" s="119" t="str">
        <f>IF(AB282=0,"",S282/AB282)</f>
      </c>
      <c r="AF282" s="120" t="str">
        <f>IF(AB282=0,"",W282/AB282)</f>
      </c>
    </row>
    <row r="283">
      <c r="A283" t="s">
        <v>116</v>
      </c>
      <c r="B283" s="93" t="n">
        <v>2046</v>
      </c>
      <c r="C283" t="s">
        <v>272</v>
      </c>
      <c r="D283" s="94" t="s">
        <v>407</v>
      </c>
      <c r="E283" s="95" t="s">
        <v>408</v>
      </c>
      <c r="F283" s="96" t="s">
        <v>275</v>
      </c>
      <c r="G283" s="97" t="s">
        <v>403</v>
      </c>
      <c r="H283" s="98" t="s">
        <v>396</v>
      </c>
      <c r="I283" s="99" t="n">
        <v>1</v>
      </c>
      <c r="J283" s="100" t="n">
        <v>1</v>
      </c>
      <c r="K283" s="101" t="n">
        <v>0.0077</v>
      </c>
      <c r="L283" s="102" t="n">
        <v>323319024.980535</v>
      </c>
      <c r="M283" s="103" t="n">
        <v>322683379.427444</v>
      </c>
      <c r="N283" s="104" t="str">
        <f>MIN(MAX((B283-'Calculation_Assumptions'!$B$5+1)/'Calculation_Assumptions'!$B$7,0),1)</f>
      </c>
      <c r="O283" s="105" t="str">
        <f>L283*I283</f>
      </c>
      <c r="P283" s="106" t="str">
        <f>M283*I283</f>
      </c>
      <c r="Q283" s="107" t="str">
        <f>P283*'Calculation_Assumptions'!$B$14*J283*K283</f>
      </c>
      <c r="R283" s="108" t="str">
        <f>O283*N283*J283*K283</f>
      </c>
      <c r="S283" s="109" t="str">
        <f>R283-Q283</f>
      </c>
      <c r="T283" s="110" t="str">
        <f>1/(1+'Calculation_Assumptions'!$B$8)^(B283-'Calculation_Assumptions'!$B$2)</f>
      </c>
      <c r="U283" s="111" t="str">
        <f>Q283*T283</f>
      </c>
      <c r="V283" s="112" t="str">
        <f>R283*T283</f>
      </c>
      <c r="W283" s="113" t="str">
        <f>S283*T283</f>
      </c>
      <c r="X283" t="n">
        <v>0</v>
      </c>
      <c r="Y283" s="114" t="n">
        <v>2017</v>
      </c>
      <c r="Z283" t="s">
        <v>399</v>
      </c>
      <c r="AA283" s="115" t="str">
        <f>IF(G283="shared-count-once",COUNTIFS($A$2:$A$287,A283,$B$2:$B$287,B283,$D$2:$D$287,D283),1)</f>
      </c>
      <c r="AB283" s="116" t="n">
        <v>320645615.981408</v>
      </c>
      <c r="AC283" s="117" t="str">
        <f>IF(AB283=0,"",Q283/AB283)</f>
      </c>
      <c r="AD283" s="118" t="str">
        <f>IF(AB283=0,"",R283/AB283)</f>
      </c>
      <c r="AE283" s="119" t="str">
        <f>IF(AB283=0,"",S283/AB283)</f>
      </c>
      <c r="AF283" s="120" t="str">
        <f>IF(AB283=0,"",W283/AB283)</f>
      </c>
    </row>
    <row r="284">
      <c r="A284" t="s">
        <v>116</v>
      </c>
      <c r="B284" s="93" t="n">
        <v>2047</v>
      </c>
      <c r="C284" t="s">
        <v>272</v>
      </c>
      <c r="D284" s="94" t="s">
        <v>407</v>
      </c>
      <c r="E284" s="95" t="s">
        <v>408</v>
      </c>
      <c r="F284" s="96" t="s">
        <v>275</v>
      </c>
      <c r="G284" s="97" t="s">
        <v>403</v>
      </c>
      <c r="H284" s="98" t="s">
        <v>396</v>
      </c>
      <c r="I284" s="99" t="n">
        <v>1</v>
      </c>
      <c r="J284" s="100" t="n">
        <v>1</v>
      </c>
      <c r="K284" s="101" t="n">
        <v>0.0077</v>
      </c>
      <c r="L284" s="102" t="n">
        <v>324141500.683217</v>
      </c>
      <c r="M284" s="103" t="n">
        <v>323457177.765372</v>
      </c>
      <c r="N284" s="104" t="str">
        <f>MIN(MAX((B284-'Calculation_Assumptions'!$B$5+1)/'Calculation_Assumptions'!$B$7,0),1)</f>
      </c>
      <c r="O284" s="105" t="str">
        <f>L284*I284</f>
      </c>
      <c r="P284" s="106" t="str">
        <f>M284*I284</f>
      </c>
      <c r="Q284" s="107" t="str">
        <f>P284*'Calculation_Assumptions'!$B$14*J284*K284</f>
      </c>
      <c r="R284" s="108" t="str">
        <f>O284*N284*J284*K284</f>
      </c>
      <c r="S284" s="109" t="str">
        <f>R284-Q284</f>
      </c>
      <c r="T284" s="110" t="str">
        <f>1/(1+'Calculation_Assumptions'!$B$8)^(B284-'Calculation_Assumptions'!$B$2)</f>
      </c>
      <c r="U284" s="111" t="str">
        <f>Q284*T284</f>
      </c>
      <c r="V284" s="112" t="str">
        <f>R284*T284</f>
      </c>
      <c r="W284" s="113" t="str">
        <f>S284*T284</f>
      </c>
      <c r="X284" t="n">
        <v>0</v>
      </c>
      <c r="Y284" s="114" t="n">
        <v>2017</v>
      </c>
      <c r="Z284" t="s">
        <v>399</v>
      </c>
      <c r="AA284" s="115" t="str">
        <f>IF(G284="shared-count-once",COUNTIFS($A$2:$A$287,A284,$B$2:$B$287,B284,$D$2:$D$287,D284),1)</f>
      </c>
      <c r="AB284" s="116" t="n">
        <v>321429520.522875</v>
      </c>
      <c r="AC284" s="117" t="str">
        <f>IF(AB284=0,"",Q284/AB284)</f>
      </c>
      <c r="AD284" s="118" t="str">
        <f>IF(AB284=0,"",R284/AB284)</f>
      </c>
      <c r="AE284" s="119" t="str">
        <f>IF(AB284=0,"",S284/AB284)</f>
      </c>
      <c r="AF284" s="120" t="str">
        <f>IF(AB284=0,"",W284/AB284)</f>
      </c>
    </row>
    <row r="285">
      <c r="A285" t="s">
        <v>116</v>
      </c>
      <c r="B285" s="93" t="n">
        <v>2048</v>
      </c>
      <c r="C285" t="s">
        <v>272</v>
      </c>
      <c r="D285" s="94" t="s">
        <v>407</v>
      </c>
      <c r="E285" s="95" t="s">
        <v>408</v>
      </c>
      <c r="F285" s="96" t="s">
        <v>275</v>
      </c>
      <c r="G285" s="97" t="s">
        <v>403</v>
      </c>
      <c r="H285" s="98" t="s">
        <v>396</v>
      </c>
      <c r="I285" s="99" t="n">
        <v>1</v>
      </c>
      <c r="J285" s="100" t="n">
        <v>1</v>
      </c>
      <c r="K285" s="101" t="n">
        <v>0.0077</v>
      </c>
      <c r="L285" s="102" t="n">
        <v>324874886.08358</v>
      </c>
      <c r="M285" s="103" t="n">
        <v>324153264.068833</v>
      </c>
      <c r="N285" s="104" t="str">
        <f>MIN(MAX((B285-'Calculation_Assumptions'!$B$5+1)/'Calculation_Assumptions'!$B$7,0),1)</f>
      </c>
      <c r="O285" s="105" t="str">
        <f>L285*I285</f>
      </c>
      <c r="P285" s="106" t="str">
        <f>M285*I285</f>
      </c>
      <c r="Q285" s="107" t="str">
        <f>P285*'Calculation_Assumptions'!$B$14*J285*K285</f>
      </c>
      <c r="R285" s="108" t="str">
        <f>O285*N285*J285*K285</f>
      </c>
      <c r="S285" s="109" t="str">
        <f>R285-Q285</f>
      </c>
      <c r="T285" s="110" t="str">
        <f>1/(1+'Calculation_Assumptions'!$B$8)^(B285-'Calculation_Assumptions'!$B$2)</f>
      </c>
      <c r="U285" s="111" t="str">
        <f>Q285*T285</f>
      </c>
      <c r="V285" s="112" t="str">
        <f>R285*T285</f>
      </c>
      <c r="W285" s="113" t="str">
        <f>S285*T285</f>
      </c>
      <c r="X285" t="n">
        <v>0</v>
      </c>
      <c r="Y285" s="114" t="n">
        <v>2017</v>
      </c>
      <c r="Z285" t="s">
        <v>399</v>
      </c>
      <c r="AA285" s="115" t="str">
        <f>IF(G285="shared-count-once",COUNTIFS($A$2:$A$287,A285,$B$2:$B$287,B285,$D$2:$D$287,D285),1)</f>
      </c>
      <c r="AB285" s="116" t="n">
        <v>322136832.260161</v>
      </c>
      <c r="AC285" s="117" t="str">
        <f>IF(AB285=0,"",Q285/AB285)</f>
      </c>
      <c r="AD285" s="118" t="str">
        <f>IF(AB285=0,"",R285/AB285)</f>
      </c>
      <c r="AE285" s="119" t="str">
        <f>IF(AB285=0,"",S285/AB285)</f>
      </c>
      <c r="AF285" s="120" t="str">
        <f>IF(AB285=0,"",W285/AB285)</f>
      </c>
    </row>
    <row r="286">
      <c r="A286" t="s">
        <v>116</v>
      </c>
      <c r="B286" s="93" t="n">
        <v>2049</v>
      </c>
      <c r="C286" t="s">
        <v>272</v>
      </c>
      <c r="D286" s="94" t="s">
        <v>407</v>
      </c>
      <c r="E286" s="95" t="s">
        <v>408</v>
      </c>
      <c r="F286" s="96" t="s">
        <v>275</v>
      </c>
      <c r="G286" s="97" t="s">
        <v>403</v>
      </c>
      <c r="H286" s="98" t="s">
        <v>396</v>
      </c>
      <c r="I286" s="99" t="n">
        <v>1</v>
      </c>
      <c r="J286" s="100" t="n">
        <v>1</v>
      </c>
      <c r="K286" s="101" t="n">
        <v>0.0077</v>
      </c>
      <c r="L286" s="102" t="n">
        <v>325495166.312431</v>
      </c>
      <c r="M286" s="103" t="n">
        <v>324770595.66435</v>
      </c>
      <c r="N286" s="104" t="str">
        <f>MIN(MAX((B286-'Calculation_Assumptions'!$B$5+1)/'Calculation_Assumptions'!$B$7,0),1)</f>
      </c>
      <c r="O286" s="105" t="str">
        <f>L286*I286</f>
      </c>
      <c r="P286" s="106" t="str">
        <f>M286*I286</f>
      </c>
      <c r="Q286" s="107" t="str">
        <f>P286*'Calculation_Assumptions'!$B$14*J286*K286</f>
      </c>
      <c r="R286" s="108" t="str">
        <f>O286*N286*J286*K286</f>
      </c>
      <c r="S286" s="109" t="str">
        <f>R286-Q286</f>
      </c>
      <c r="T286" s="110" t="str">
        <f>1/(1+'Calculation_Assumptions'!$B$8)^(B286-'Calculation_Assumptions'!$B$2)</f>
      </c>
      <c r="U286" s="111" t="str">
        <f>Q286*T286</f>
      </c>
      <c r="V286" s="112" t="str">
        <f>R286*T286</f>
      </c>
      <c r="W286" s="113" t="str">
        <f>S286*T286</f>
      </c>
      <c r="X286" t="n">
        <v>0</v>
      </c>
      <c r="Y286" s="114" t="n">
        <v>2017</v>
      </c>
      <c r="Z286" t="s">
        <v>399</v>
      </c>
      <c r="AA286" s="115" t="str">
        <f>IF(G286="shared-count-once",COUNTIFS($A$2:$A$287,A286,$B$2:$B$287,B286,$D$2:$D$287,D286),1)</f>
      </c>
      <c r="AB286" s="116" t="n">
        <v>322765819.752681</v>
      </c>
      <c r="AC286" s="117" t="str">
        <f>IF(AB286=0,"",Q286/AB286)</f>
      </c>
      <c r="AD286" s="118" t="str">
        <f>IF(AB286=0,"",R286/AB286)</f>
      </c>
      <c r="AE286" s="119" t="str">
        <f>IF(AB286=0,"",S286/AB286)</f>
      </c>
      <c r="AF286" s="120" t="str">
        <f>IF(AB286=0,"",W286/AB286)</f>
      </c>
    </row>
    <row r="287">
      <c r="A287" t="s">
        <v>116</v>
      </c>
      <c r="B287" s="93" t="n">
        <v>2050</v>
      </c>
      <c r="C287" t="s">
        <v>272</v>
      </c>
      <c r="D287" s="94" t="s">
        <v>407</v>
      </c>
      <c r="E287" s="95" t="s">
        <v>408</v>
      </c>
      <c r="F287" s="96" t="s">
        <v>275</v>
      </c>
      <c r="G287" s="97" t="s">
        <v>403</v>
      </c>
      <c r="H287" s="98" t="s">
        <v>396</v>
      </c>
      <c r="I287" s="99" t="n">
        <v>1</v>
      </c>
      <c r="J287" s="100" t="n">
        <v>1</v>
      </c>
      <c r="K287" s="101" t="n">
        <v>0.0077</v>
      </c>
      <c r="L287" s="102" t="n">
        <v>326062187.594106</v>
      </c>
      <c r="M287" s="103" t="n">
        <v>325271287.464889</v>
      </c>
      <c r="N287" s="104" t="str">
        <f>MIN(MAX((B287-'Calculation_Assumptions'!$B$5+1)/'Calculation_Assumptions'!$B$7,0),1)</f>
      </c>
      <c r="O287" s="105" t="str">
        <f>L287*I287</f>
      </c>
      <c r="P287" s="106" t="str">
        <f>M287*I287</f>
      </c>
      <c r="Q287" s="107" t="str">
        <f>P287*'Calculation_Assumptions'!$B$14*J287*K287</f>
      </c>
      <c r="R287" s="108" t="str">
        <f>O287*N287*J287*K287</f>
      </c>
      <c r="S287" s="109" t="str">
        <f>R287-Q287</f>
      </c>
      <c r="T287" s="110" t="str">
        <f>1/(1+'Calculation_Assumptions'!$B$8)^(B287-'Calculation_Assumptions'!$B$2)</f>
      </c>
      <c r="U287" s="111" t="str">
        <f>Q287*T287</f>
      </c>
      <c r="V287" s="112" t="str">
        <f>R287*T287</f>
      </c>
      <c r="W287" s="113" t="str">
        <f>S287*T287</f>
      </c>
      <c r="X287" t="n">
        <v>0</v>
      </c>
      <c r="Y287" s="114" t="n">
        <v>2017</v>
      </c>
      <c r="Z287" t="s">
        <v>399</v>
      </c>
      <c r="AA287" s="115" t="str">
        <f>IF(G287="shared-count-once",COUNTIFS($A$2:$A$287,A287,$B$2:$B$287,B287,$D$2:$D$287,D287),1)</f>
      </c>
      <c r="AB287" s="116" t="n">
        <v>323312042.563285</v>
      </c>
      <c r="AC287" s="117" t="str">
        <f>IF(AB287=0,"",Q287/AB287)</f>
      </c>
      <c r="AD287" s="118" t="str">
        <f>IF(AB287=0,"",R287/AB287)</f>
      </c>
      <c r="AE287" s="119" t="str">
        <f>IF(AB287=0,"",S287/AB287)</f>
      </c>
      <c r="AF287" s="120" t="str">
        <f>IF(AB287=0,"",W287/AB287)</f>
      </c>
    </row>
  </sheetData>
  <autoFilter ref="A1:AF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  <col min="9" max="9" width="21.71" hidden="0" customWidth="1"/>
    <col min="10" max="10" width="26.71" hidden="0" customWidth="1"/>
    <col min="11" max="11" width="26.71" hidden="0" customWidth="1"/>
    <col min="12" max="12" width="29.71" hidden="0" customWidth="1"/>
    <col min="13" max="13" width="34.71" hidden="0" customWidth="1"/>
  </cols>
  <sheetData>
    <row r="1" ht="28" customHeight="1">
      <c r="A1" s="1" t="s">
        <v>409</v>
      </c>
      <c r="B1" s="1" t="s">
        <v>45</v>
      </c>
      <c r="C1" s="1" t="s">
        <v>441</v>
      </c>
      <c r="D1" s="1" t="s">
        <v>442</v>
      </c>
      <c r="E1" s="1" t="s">
        <v>443</v>
      </c>
      <c r="F1" s="1" t="s">
        <v>444</v>
      </c>
      <c r="G1" s="1" t="s">
        <v>445</v>
      </c>
      <c r="H1" s="1" t="s">
        <v>446</v>
      </c>
      <c r="I1" s="1" t="s">
        <v>436</v>
      </c>
      <c r="J1" s="1" t="s">
        <v>447</v>
      </c>
      <c r="K1" s="1" t="s">
        <v>448</v>
      </c>
      <c r="L1" s="1" t="s">
        <v>449</v>
      </c>
      <c r="M1" s="1" t="s">
        <v>450</v>
      </c>
    </row>
    <row r="2">
      <c r="A2" t="s">
        <v>254</v>
      </c>
      <c r="B2" s="121" t="n">
        <v>2025</v>
      </c>
      <c r="C2" s="122" t="str">
        <f>SUMIFS('Annual_Cost'!$Q$2:$Q$287,'Annual_Cost'!$A$2:$A$287,A2,'Annual_Cost'!$B$2:$B$287,B2)</f>
      </c>
      <c r="D2" s="123" t="str">
        <f>SUMIFS('Annual_Cost'!$R$2:$R$287,'Annual_Cost'!$A$2:$A$287,A2,'Annual_Cost'!$B$2:$B$287,B2)</f>
      </c>
      <c r="E2" s="124" t="str">
        <f>SUMIFS('Annual_Cost'!$S$2:$S$287,'Annual_Cost'!$A$2:$A$287,A2,'Annual_Cost'!$B$2:$B$287,B2)</f>
      </c>
      <c r="F2" s="125" t="str">
        <f>SUMIFS('Annual_Cost'!$W$2:$W$287,'Annual_Cost'!$A$2:$A$287,A2,'Annual_Cost'!$B$2:$B$287,B2)</f>
      </c>
      <c r="G2" s="126" t="str">
        <f>SUMIFS($E$2:E2,$A$2:A2,A2)</f>
      </c>
      <c r="H2" s="127" t="str">
        <f>SUMIFS($F$2:F2,$A$2:A2,A2)</f>
      </c>
      <c r="I2" s="128" t="n">
        <v>288391907.644456</v>
      </c>
      <c r="J2" s="129" t="str">
        <f>IF(I2=0,"",C2/I2)</f>
      </c>
      <c r="K2" s="130" t="str">
        <f>IF(I2=0,"",D2/I2)</f>
      </c>
      <c r="L2" s="131" t="str">
        <f>IF(I2=0,"",E2/I2)</f>
      </c>
      <c r="M2" s="132" t="str">
        <f>IF(I2=0,"",F2/I2)</f>
      </c>
    </row>
    <row r="3">
      <c r="A3" t="s">
        <v>254</v>
      </c>
      <c r="B3" s="121" t="n">
        <v>2026</v>
      </c>
      <c r="C3" s="122" t="str">
        <f>SUMIFS('Annual_Cost'!$Q$2:$Q$287,'Annual_Cost'!$A$2:$A$287,A3,'Annual_Cost'!$B$2:$B$287,B3)</f>
      </c>
      <c r="D3" s="123" t="str">
        <f>SUMIFS('Annual_Cost'!$R$2:$R$287,'Annual_Cost'!$A$2:$A$287,A3,'Annual_Cost'!$B$2:$B$287,B3)</f>
      </c>
      <c r="E3" s="124" t="str">
        <f>SUMIFS('Annual_Cost'!$S$2:$S$287,'Annual_Cost'!$A$2:$A$287,A3,'Annual_Cost'!$B$2:$B$287,B3)</f>
      </c>
      <c r="F3" s="125" t="str">
        <f>SUMIFS('Annual_Cost'!$W$2:$W$287,'Annual_Cost'!$A$2:$A$287,A3,'Annual_Cost'!$B$2:$B$287,B3)</f>
      </c>
      <c r="G3" s="126" t="str">
        <f>SUMIFS($E$2:E3,$A$2:A3,A3)</f>
      </c>
      <c r="H3" s="127" t="str">
        <f>SUMIFS($F$2:F3,$A$2:A3,A3)</f>
      </c>
      <c r="I3" s="128" t="n">
        <v>290472130.233437</v>
      </c>
      <c r="J3" s="129" t="str">
        <f>IF(I3=0,"",C3/I3)</f>
      </c>
      <c r="K3" s="130" t="str">
        <f>IF(I3=0,"",D3/I3)</f>
      </c>
      <c r="L3" s="131" t="str">
        <f>IF(I3=0,"",E3/I3)</f>
      </c>
      <c r="M3" s="132" t="str">
        <f>IF(I3=0,"",F3/I3)</f>
      </c>
    </row>
    <row r="4">
      <c r="A4" t="s">
        <v>254</v>
      </c>
      <c r="B4" s="121" t="n">
        <v>2027</v>
      </c>
      <c r="C4" s="122" t="str">
        <f>SUMIFS('Annual_Cost'!$Q$2:$Q$287,'Annual_Cost'!$A$2:$A$287,A4,'Annual_Cost'!$B$2:$B$287,B4)</f>
      </c>
      <c r="D4" s="123" t="str">
        <f>SUMIFS('Annual_Cost'!$R$2:$R$287,'Annual_Cost'!$A$2:$A$287,A4,'Annual_Cost'!$B$2:$B$287,B4)</f>
      </c>
      <c r="E4" s="124" t="str">
        <f>SUMIFS('Annual_Cost'!$S$2:$S$287,'Annual_Cost'!$A$2:$A$287,A4,'Annual_Cost'!$B$2:$B$287,B4)</f>
      </c>
      <c r="F4" s="125" t="str">
        <f>SUMIFS('Annual_Cost'!$W$2:$W$287,'Annual_Cost'!$A$2:$A$287,A4,'Annual_Cost'!$B$2:$B$287,B4)</f>
      </c>
      <c r="G4" s="126" t="str">
        <f>SUMIFS($E$2:E4,$A$2:A4,A4)</f>
      </c>
      <c r="H4" s="127" t="str">
        <f>SUMIFS($F$2:F4,$A$2:A4,A4)</f>
      </c>
      <c r="I4" s="128" t="n">
        <v>292505080.826208</v>
      </c>
      <c r="J4" s="129" t="str">
        <f>IF(I4=0,"",C4/I4)</f>
      </c>
      <c r="K4" s="130" t="str">
        <f>IF(I4=0,"",D4/I4)</f>
      </c>
      <c r="L4" s="131" t="str">
        <f>IF(I4=0,"",E4/I4)</f>
      </c>
      <c r="M4" s="132" t="str">
        <f>IF(I4=0,"",F4/I4)</f>
      </c>
    </row>
    <row r="5">
      <c r="A5" t="s">
        <v>254</v>
      </c>
      <c r="B5" s="121" t="n">
        <v>2028</v>
      </c>
      <c r="C5" s="122" t="str">
        <f>SUMIFS('Annual_Cost'!$Q$2:$Q$287,'Annual_Cost'!$A$2:$A$287,A5,'Annual_Cost'!$B$2:$B$287,B5)</f>
      </c>
      <c r="D5" s="123" t="str">
        <f>SUMIFS('Annual_Cost'!$R$2:$R$287,'Annual_Cost'!$A$2:$A$287,A5,'Annual_Cost'!$B$2:$B$287,B5)</f>
      </c>
      <c r="E5" s="124" t="str">
        <f>SUMIFS('Annual_Cost'!$S$2:$S$287,'Annual_Cost'!$A$2:$A$287,A5,'Annual_Cost'!$B$2:$B$287,B5)</f>
      </c>
      <c r="F5" s="125" t="str">
        <f>SUMIFS('Annual_Cost'!$W$2:$W$287,'Annual_Cost'!$A$2:$A$287,A5,'Annual_Cost'!$B$2:$B$287,B5)</f>
      </c>
      <c r="G5" s="126" t="str">
        <f>SUMIFS($E$2:E5,$A$2:A5,A5)</f>
      </c>
      <c r="H5" s="127" t="str">
        <f>SUMIFS($F$2:F5,$A$2:A5,A5)</f>
      </c>
      <c r="I5" s="128" t="n">
        <v>294484707.921554</v>
      </c>
      <c r="J5" s="129" t="str">
        <f>IF(I5=0,"",C5/I5)</f>
      </c>
      <c r="K5" s="130" t="str">
        <f>IF(I5=0,"",D5/I5)</f>
      </c>
      <c r="L5" s="131" t="str">
        <f>IF(I5=0,"",E5/I5)</f>
      </c>
      <c r="M5" s="132" t="str">
        <f>IF(I5=0,"",F5/I5)</f>
      </c>
    </row>
    <row r="6">
      <c r="A6" t="s">
        <v>254</v>
      </c>
      <c r="B6" s="121" t="n">
        <v>2029</v>
      </c>
      <c r="C6" s="122" t="str">
        <f>SUMIFS('Annual_Cost'!$Q$2:$Q$287,'Annual_Cost'!$A$2:$A$287,A6,'Annual_Cost'!$B$2:$B$287,B6)</f>
      </c>
      <c r="D6" s="123" t="str">
        <f>SUMIFS('Annual_Cost'!$R$2:$R$287,'Annual_Cost'!$A$2:$A$287,A6,'Annual_Cost'!$B$2:$B$287,B6)</f>
      </c>
      <c r="E6" s="124" t="str">
        <f>SUMIFS('Annual_Cost'!$S$2:$S$287,'Annual_Cost'!$A$2:$A$287,A6,'Annual_Cost'!$B$2:$B$287,B6)</f>
      </c>
      <c r="F6" s="125" t="str">
        <f>SUMIFS('Annual_Cost'!$W$2:$W$287,'Annual_Cost'!$A$2:$A$287,A6,'Annual_Cost'!$B$2:$B$287,B6)</f>
      </c>
      <c r="G6" s="126" t="str">
        <f>SUMIFS($E$2:E6,$A$2:A6,A6)</f>
      </c>
      <c r="H6" s="127" t="str">
        <f>SUMIFS($F$2:F6,$A$2:A6,A6)</f>
      </c>
      <c r="I6" s="128" t="n">
        <v>296414030.31143</v>
      </c>
      <c r="J6" s="129" t="str">
        <f>IF(I6=0,"",C6/I6)</f>
      </c>
      <c r="K6" s="130" t="str">
        <f>IF(I6=0,"",D6/I6)</f>
      </c>
      <c r="L6" s="131" t="str">
        <f>IF(I6=0,"",E6/I6)</f>
      </c>
      <c r="M6" s="132" t="str">
        <f>IF(I6=0,"",F6/I6)</f>
      </c>
    </row>
    <row r="7">
      <c r="A7" t="s">
        <v>254</v>
      </c>
      <c r="B7" s="121" t="n">
        <v>2030</v>
      </c>
      <c r="C7" s="122" t="str">
        <f>SUMIFS('Annual_Cost'!$Q$2:$Q$287,'Annual_Cost'!$A$2:$A$287,A7,'Annual_Cost'!$B$2:$B$287,B7)</f>
      </c>
      <c r="D7" s="123" t="str">
        <f>SUMIFS('Annual_Cost'!$R$2:$R$287,'Annual_Cost'!$A$2:$A$287,A7,'Annual_Cost'!$B$2:$B$287,B7)</f>
      </c>
      <c r="E7" s="124" t="str">
        <f>SUMIFS('Annual_Cost'!$S$2:$S$287,'Annual_Cost'!$A$2:$A$287,A7,'Annual_Cost'!$B$2:$B$287,B7)</f>
      </c>
      <c r="F7" s="125" t="str">
        <f>SUMIFS('Annual_Cost'!$W$2:$W$287,'Annual_Cost'!$A$2:$A$287,A7,'Annual_Cost'!$B$2:$B$287,B7)</f>
      </c>
      <c r="G7" s="126" t="str">
        <f>SUMIFS($E$2:E7,$A$2:A7,A7)</f>
      </c>
      <c r="H7" s="127" t="str">
        <f>SUMIFS($F$2:F7,$A$2:A7,A7)</f>
      </c>
      <c r="I7" s="128" t="n">
        <v>298289404.664994</v>
      </c>
      <c r="J7" s="129" t="str">
        <f>IF(I7=0,"",C7/I7)</f>
      </c>
      <c r="K7" s="130" t="str">
        <f>IF(I7=0,"",D7/I7)</f>
      </c>
      <c r="L7" s="131" t="str">
        <f>IF(I7=0,"",E7/I7)</f>
      </c>
      <c r="M7" s="132" t="str">
        <f>IF(I7=0,"",F7/I7)</f>
      </c>
    </row>
    <row r="8">
      <c r="A8" t="s">
        <v>254</v>
      </c>
      <c r="B8" s="121" t="n">
        <v>2031</v>
      </c>
      <c r="C8" s="122" t="str">
        <f>SUMIFS('Annual_Cost'!$Q$2:$Q$287,'Annual_Cost'!$A$2:$A$287,A8,'Annual_Cost'!$B$2:$B$287,B8)</f>
      </c>
      <c r="D8" s="123" t="str">
        <f>SUMIFS('Annual_Cost'!$R$2:$R$287,'Annual_Cost'!$A$2:$A$287,A8,'Annual_Cost'!$B$2:$B$287,B8)</f>
      </c>
      <c r="E8" s="124" t="str">
        <f>SUMIFS('Annual_Cost'!$S$2:$S$287,'Annual_Cost'!$A$2:$A$287,A8,'Annual_Cost'!$B$2:$B$287,B8)</f>
      </c>
      <c r="F8" s="125" t="str">
        <f>SUMIFS('Annual_Cost'!$W$2:$W$287,'Annual_Cost'!$A$2:$A$287,A8,'Annual_Cost'!$B$2:$B$287,B8)</f>
      </c>
      <c r="G8" s="126" t="str">
        <f>SUMIFS($E$2:E8,$A$2:A8,A8)</f>
      </c>
      <c r="H8" s="127" t="str">
        <f>SUMIFS($F$2:F8,$A$2:A8,A8)</f>
      </c>
      <c r="I8" s="128" t="n">
        <v>300119636.925519</v>
      </c>
      <c r="J8" s="129" t="str">
        <f>IF(I8=0,"",C8/I8)</f>
      </c>
      <c r="K8" s="130" t="str">
        <f>IF(I8=0,"",D8/I8)</f>
      </c>
      <c r="L8" s="131" t="str">
        <f>IF(I8=0,"",E8/I8)</f>
      </c>
      <c r="M8" s="132" t="str">
        <f>IF(I8=0,"",F8/I8)</f>
      </c>
    </row>
    <row r="9">
      <c r="A9" t="s">
        <v>254</v>
      </c>
      <c r="B9" s="121" t="n">
        <v>2032</v>
      </c>
      <c r="C9" s="122" t="str">
        <f>SUMIFS('Annual_Cost'!$Q$2:$Q$287,'Annual_Cost'!$A$2:$A$287,A9,'Annual_Cost'!$B$2:$B$287,B9)</f>
      </c>
      <c r="D9" s="123" t="str">
        <f>SUMIFS('Annual_Cost'!$R$2:$R$287,'Annual_Cost'!$A$2:$A$287,A9,'Annual_Cost'!$B$2:$B$287,B9)</f>
      </c>
      <c r="E9" s="124" t="str">
        <f>SUMIFS('Annual_Cost'!$S$2:$S$287,'Annual_Cost'!$A$2:$A$287,A9,'Annual_Cost'!$B$2:$B$287,B9)</f>
      </c>
      <c r="F9" s="125" t="str">
        <f>SUMIFS('Annual_Cost'!$W$2:$W$287,'Annual_Cost'!$A$2:$A$287,A9,'Annual_Cost'!$B$2:$B$287,B9)</f>
      </c>
      <c r="G9" s="126" t="str">
        <f>SUMIFS($E$2:E9,$A$2:A9,A9)</f>
      </c>
      <c r="H9" s="127" t="str">
        <f>SUMIFS($F$2:F9,$A$2:A9,A9)</f>
      </c>
      <c r="I9" s="128" t="n">
        <v>301904628.083541</v>
      </c>
      <c r="J9" s="129" t="str">
        <f>IF(I9=0,"",C9/I9)</f>
      </c>
      <c r="K9" s="130" t="str">
        <f>IF(I9=0,"",D9/I9)</f>
      </c>
      <c r="L9" s="131" t="str">
        <f>IF(I9=0,"",E9/I9)</f>
      </c>
      <c r="M9" s="132" t="str">
        <f>IF(I9=0,"",F9/I9)</f>
      </c>
    </row>
    <row r="10">
      <c r="A10" t="s">
        <v>254</v>
      </c>
      <c r="B10" s="121" t="n">
        <v>2033</v>
      </c>
      <c r="C10" s="122" t="str">
        <f>SUMIFS('Annual_Cost'!$Q$2:$Q$287,'Annual_Cost'!$A$2:$A$287,A10,'Annual_Cost'!$B$2:$B$287,B10)</f>
      </c>
      <c r="D10" s="123" t="str">
        <f>SUMIFS('Annual_Cost'!$R$2:$R$287,'Annual_Cost'!$A$2:$A$287,A10,'Annual_Cost'!$B$2:$B$287,B10)</f>
      </c>
      <c r="E10" s="124" t="str">
        <f>SUMIFS('Annual_Cost'!$S$2:$S$287,'Annual_Cost'!$A$2:$A$287,A10,'Annual_Cost'!$B$2:$B$287,B10)</f>
      </c>
      <c r="F10" s="125" t="str">
        <f>SUMIFS('Annual_Cost'!$W$2:$W$287,'Annual_Cost'!$A$2:$A$287,A10,'Annual_Cost'!$B$2:$B$287,B10)</f>
      </c>
      <c r="G10" s="126" t="str">
        <f>SUMIFS($E$2:E10,$A$2:A10,A10)</f>
      </c>
      <c r="H10" s="127" t="str">
        <f>SUMIFS($F$2:F10,$A$2:A10,A10)</f>
      </c>
      <c r="I10" s="128" t="n">
        <v>303644277.16916</v>
      </c>
      <c r="J10" s="129" t="str">
        <f>IF(I10=0,"",C10/I10)</f>
      </c>
      <c r="K10" s="130" t="str">
        <f>IF(I10=0,"",D10/I10)</f>
      </c>
      <c r="L10" s="131" t="str">
        <f>IF(I10=0,"",E10/I10)</f>
      </c>
      <c r="M10" s="132" t="str">
        <f>IF(I10=0,"",F10/I10)</f>
      </c>
    </row>
    <row r="11">
      <c r="A11" t="s">
        <v>254</v>
      </c>
      <c r="B11" s="121" t="n">
        <v>2034</v>
      </c>
      <c r="C11" s="122" t="str">
        <f>SUMIFS('Annual_Cost'!$Q$2:$Q$287,'Annual_Cost'!$A$2:$A$287,A11,'Annual_Cost'!$B$2:$B$287,B11)</f>
      </c>
      <c r="D11" s="123" t="str">
        <f>SUMIFS('Annual_Cost'!$R$2:$R$287,'Annual_Cost'!$A$2:$A$287,A11,'Annual_Cost'!$B$2:$B$287,B11)</f>
      </c>
      <c r="E11" s="124" t="str">
        <f>SUMIFS('Annual_Cost'!$S$2:$S$287,'Annual_Cost'!$A$2:$A$287,A11,'Annual_Cost'!$B$2:$B$287,B11)</f>
      </c>
      <c r="F11" s="125" t="str">
        <f>SUMIFS('Annual_Cost'!$W$2:$W$287,'Annual_Cost'!$A$2:$A$287,A11,'Annual_Cost'!$B$2:$B$287,B11)</f>
      </c>
      <c r="G11" s="126" t="str">
        <f>SUMIFS($E$2:E11,$A$2:A11,A11)</f>
      </c>
      <c r="H11" s="127" t="str">
        <f>SUMIFS($F$2:F11,$A$2:A11,A11)</f>
      </c>
      <c r="I11" s="128" t="n">
        <v>305332541.184984</v>
      </c>
      <c r="J11" s="129" t="str">
        <f>IF(I11=0,"",C11/I11)</f>
      </c>
      <c r="K11" s="130" t="str">
        <f>IF(I11=0,"",D11/I11)</f>
      </c>
      <c r="L11" s="131" t="str">
        <f>IF(I11=0,"",E11/I11)</f>
      </c>
      <c r="M11" s="132" t="str">
        <f>IF(I11=0,"",F11/I11)</f>
      </c>
    </row>
    <row r="12">
      <c r="A12" t="s">
        <v>254</v>
      </c>
      <c r="B12" s="121" t="n">
        <v>2035</v>
      </c>
      <c r="C12" s="122" t="str">
        <f>SUMIFS('Annual_Cost'!$Q$2:$Q$287,'Annual_Cost'!$A$2:$A$287,A12,'Annual_Cost'!$B$2:$B$287,B12)</f>
      </c>
      <c r="D12" s="123" t="str">
        <f>SUMIFS('Annual_Cost'!$R$2:$R$287,'Annual_Cost'!$A$2:$A$287,A12,'Annual_Cost'!$B$2:$B$287,B12)</f>
      </c>
      <c r="E12" s="124" t="str">
        <f>SUMIFS('Annual_Cost'!$S$2:$S$287,'Annual_Cost'!$A$2:$A$287,A12,'Annual_Cost'!$B$2:$B$287,B12)</f>
      </c>
      <c r="F12" s="125" t="str">
        <f>SUMIFS('Annual_Cost'!$W$2:$W$287,'Annual_Cost'!$A$2:$A$287,A12,'Annual_Cost'!$B$2:$B$287,B12)</f>
      </c>
      <c r="G12" s="126" t="str">
        <f>SUMIFS($E$2:E12,$A$2:A12,A12)</f>
      </c>
      <c r="H12" s="127" t="str">
        <f>SUMIFS($F$2:F12,$A$2:A12,A12)</f>
      </c>
      <c r="I12" s="128" t="n">
        <v>306964650.16712</v>
      </c>
      <c r="J12" s="129" t="str">
        <f>IF(I12=0,"",C12/I12)</f>
      </c>
      <c r="K12" s="130" t="str">
        <f>IF(I12=0,"",D12/I12)</f>
      </c>
      <c r="L12" s="131" t="str">
        <f>IF(I12=0,"",E12/I12)</f>
      </c>
      <c r="M12" s="132" t="str">
        <f>IF(I12=0,"",F12/I12)</f>
      </c>
    </row>
    <row r="13">
      <c r="A13" t="s">
        <v>254</v>
      </c>
      <c r="B13" s="121" t="n">
        <v>2036</v>
      </c>
      <c r="C13" s="122" t="str">
        <f>SUMIFS('Annual_Cost'!$Q$2:$Q$287,'Annual_Cost'!$A$2:$A$287,A13,'Annual_Cost'!$B$2:$B$287,B13)</f>
      </c>
      <c r="D13" s="123" t="str">
        <f>SUMIFS('Annual_Cost'!$R$2:$R$287,'Annual_Cost'!$A$2:$A$287,A13,'Annual_Cost'!$B$2:$B$287,B13)</f>
      </c>
      <c r="E13" s="124" t="str">
        <f>SUMIFS('Annual_Cost'!$S$2:$S$287,'Annual_Cost'!$A$2:$A$287,A13,'Annual_Cost'!$B$2:$B$287,B13)</f>
      </c>
      <c r="F13" s="125" t="str">
        <f>SUMIFS('Annual_Cost'!$W$2:$W$287,'Annual_Cost'!$A$2:$A$287,A13,'Annual_Cost'!$B$2:$B$287,B13)</f>
      </c>
      <c r="G13" s="126" t="str">
        <f>SUMIFS($E$2:E13,$A$2:A13,A13)</f>
      </c>
      <c r="H13" s="127" t="str">
        <f>SUMIFS($F$2:F13,$A$2:A13,A13)</f>
      </c>
      <c r="I13" s="128" t="n">
        <v>308542769.756622</v>
      </c>
      <c r="J13" s="129" t="str">
        <f>IF(I13=0,"",C13/I13)</f>
      </c>
      <c r="K13" s="130" t="str">
        <f>IF(I13=0,"",D13/I13)</f>
      </c>
      <c r="L13" s="131" t="str">
        <f>IF(I13=0,"",E13/I13)</f>
      </c>
      <c r="M13" s="132" t="str">
        <f>IF(I13=0,"",F13/I13)</f>
      </c>
    </row>
    <row r="14">
      <c r="A14" t="s">
        <v>254</v>
      </c>
      <c r="B14" s="121" t="n">
        <v>2037</v>
      </c>
      <c r="C14" s="122" t="str">
        <f>SUMIFS('Annual_Cost'!$Q$2:$Q$287,'Annual_Cost'!$A$2:$A$287,A14,'Annual_Cost'!$B$2:$B$287,B14)</f>
      </c>
      <c r="D14" s="123" t="str">
        <f>SUMIFS('Annual_Cost'!$R$2:$R$287,'Annual_Cost'!$A$2:$A$287,A14,'Annual_Cost'!$B$2:$B$287,B14)</f>
      </c>
      <c r="E14" s="124" t="str">
        <f>SUMIFS('Annual_Cost'!$S$2:$S$287,'Annual_Cost'!$A$2:$A$287,A14,'Annual_Cost'!$B$2:$B$287,B14)</f>
      </c>
      <c r="F14" s="125" t="str">
        <f>SUMIFS('Annual_Cost'!$W$2:$W$287,'Annual_Cost'!$A$2:$A$287,A14,'Annual_Cost'!$B$2:$B$287,B14)</f>
      </c>
      <c r="G14" s="126" t="str">
        <f>SUMIFS($E$2:E14,$A$2:A14,A14)</f>
      </c>
      <c r="H14" s="127" t="str">
        <f>SUMIFS($F$2:F14,$A$2:A14,A14)</f>
      </c>
      <c r="I14" s="128" t="n">
        <v>310068287.63643</v>
      </c>
      <c r="J14" s="129" t="str">
        <f>IF(I14=0,"",C14/I14)</f>
      </c>
      <c r="K14" s="130" t="str">
        <f>IF(I14=0,"",D14/I14)</f>
      </c>
      <c r="L14" s="131" t="str">
        <f>IF(I14=0,"",E14/I14)</f>
      </c>
      <c r="M14" s="132" t="str">
        <f>IF(I14=0,"",F14/I14)</f>
      </c>
    </row>
    <row r="15">
      <c r="A15" t="s">
        <v>254</v>
      </c>
      <c r="B15" s="121" t="n">
        <v>2038</v>
      </c>
      <c r="C15" s="122" t="str">
        <f>SUMIFS('Annual_Cost'!$Q$2:$Q$287,'Annual_Cost'!$A$2:$A$287,A15,'Annual_Cost'!$B$2:$B$287,B15)</f>
      </c>
      <c r="D15" s="123" t="str">
        <f>SUMIFS('Annual_Cost'!$R$2:$R$287,'Annual_Cost'!$A$2:$A$287,A15,'Annual_Cost'!$B$2:$B$287,B15)</f>
      </c>
      <c r="E15" s="124" t="str">
        <f>SUMIFS('Annual_Cost'!$S$2:$S$287,'Annual_Cost'!$A$2:$A$287,A15,'Annual_Cost'!$B$2:$B$287,B15)</f>
      </c>
      <c r="F15" s="125" t="str">
        <f>SUMIFS('Annual_Cost'!$W$2:$W$287,'Annual_Cost'!$A$2:$A$287,A15,'Annual_Cost'!$B$2:$B$287,B15)</f>
      </c>
      <c r="G15" s="126" t="str">
        <f>SUMIFS($E$2:E15,$A$2:A15,A15)</f>
      </c>
      <c r="H15" s="127" t="str">
        <f>SUMIFS($F$2:F15,$A$2:A15,A15)</f>
      </c>
      <c r="I15" s="128" t="n">
        <v>311532999.13163</v>
      </c>
      <c r="J15" s="129" t="str">
        <f>IF(I15=0,"",C15/I15)</f>
      </c>
      <c r="K15" s="130" t="str">
        <f>IF(I15=0,"",D15/I15)</f>
      </c>
      <c r="L15" s="131" t="str">
        <f>IF(I15=0,"",E15/I15)</f>
      </c>
      <c r="M15" s="132" t="str">
        <f>IF(I15=0,"",F15/I15)</f>
      </c>
    </row>
    <row r="16">
      <c r="A16" t="s">
        <v>254</v>
      </c>
      <c r="B16" s="121" t="n">
        <v>2039</v>
      </c>
      <c r="C16" s="122" t="str">
        <f>SUMIFS('Annual_Cost'!$Q$2:$Q$287,'Annual_Cost'!$A$2:$A$287,A16,'Annual_Cost'!$B$2:$B$287,B16)</f>
      </c>
      <c r="D16" s="123" t="str">
        <f>SUMIFS('Annual_Cost'!$R$2:$R$287,'Annual_Cost'!$A$2:$A$287,A16,'Annual_Cost'!$B$2:$B$287,B16)</f>
      </c>
      <c r="E16" s="124" t="str">
        <f>SUMIFS('Annual_Cost'!$S$2:$S$287,'Annual_Cost'!$A$2:$A$287,A16,'Annual_Cost'!$B$2:$B$287,B16)</f>
      </c>
      <c r="F16" s="125" t="str">
        <f>SUMIFS('Annual_Cost'!$W$2:$W$287,'Annual_Cost'!$A$2:$A$287,A16,'Annual_Cost'!$B$2:$B$287,B16)</f>
      </c>
      <c r="G16" s="126" t="str">
        <f>SUMIFS($E$2:E16,$A$2:A16,A16)</f>
      </c>
      <c r="H16" s="127" t="str">
        <f>SUMIFS($F$2:F16,$A$2:A16,A16)</f>
      </c>
      <c r="I16" s="128" t="n">
        <v>312936391.858479</v>
      </c>
      <c r="J16" s="129" t="str">
        <f>IF(I16=0,"",C16/I16)</f>
      </c>
      <c r="K16" s="130" t="str">
        <f>IF(I16=0,"",D16/I16)</f>
      </c>
      <c r="L16" s="131" t="str">
        <f>IF(I16=0,"",E16/I16)</f>
      </c>
      <c r="M16" s="132" t="str">
        <f>IF(I16=0,"",F16/I16)</f>
      </c>
    </row>
    <row r="17">
      <c r="A17" t="s">
        <v>254</v>
      </c>
      <c r="B17" s="121" t="n">
        <v>2040</v>
      </c>
      <c r="C17" s="122" t="str">
        <f>SUMIFS('Annual_Cost'!$Q$2:$Q$287,'Annual_Cost'!$A$2:$A$287,A17,'Annual_Cost'!$B$2:$B$287,B17)</f>
      </c>
      <c r="D17" s="123" t="str">
        <f>SUMIFS('Annual_Cost'!$R$2:$R$287,'Annual_Cost'!$A$2:$A$287,A17,'Annual_Cost'!$B$2:$B$287,B17)</f>
      </c>
      <c r="E17" s="124" t="str">
        <f>SUMIFS('Annual_Cost'!$S$2:$S$287,'Annual_Cost'!$A$2:$A$287,A17,'Annual_Cost'!$B$2:$B$287,B17)</f>
      </c>
      <c r="F17" s="125" t="str">
        <f>SUMIFS('Annual_Cost'!$W$2:$W$287,'Annual_Cost'!$A$2:$A$287,A17,'Annual_Cost'!$B$2:$B$287,B17)</f>
      </c>
      <c r="G17" s="126" t="str">
        <f>SUMIFS($E$2:E17,$A$2:A17,A17)</f>
      </c>
      <c r="H17" s="127" t="str">
        <f>SUMIFS($F$2:F17,$A$2:A17,A17)</f>
      </c>
      <c r="I17" s="128" t="n">
        <v>314265537.410829</v>
      </c>
      <c r="J17" s="129" t="str">
        <f>IF(I17=0,"",C17/I17)</f>
      </c>
      <c r="K17" s="130" t="str">
        <f>IF(I17=0,"",D17/I17)</f>
      </c>
      <c r="L17" s="131" t="str">
        <f>IF(I17=0,"",E17/I17)</f>
      </c>
      <c r="M17" s="132" t="str">
        <f>IF(I17=0,"",F17/I17)</f>
      </c>
    </row>
    <row r="18">
      <c r="A18" t="s">
        <v>254</v>
      </c>
      <c r="B18" s="121" t="n">
        <v>2041</v>
      </c>
      <c r="C18" s="122" t="str">
        <f>SUMIFS('Annual_Cost'!$Q$2:$Q$287,'Annual_Cost'!$A$2:$A$287,A18,'Annual_Cost'!$B$2:$B$287,B18)</f>
      </c>
      <c r="D18" s="123" t="str">
        <f>SUMIFS('Annual_Cost'!$R$2:$R$287,'Annual_Cost'!$A$2:$A$287,A18,'Annual_Cost'!$B$2:$B$287,B18)</f>
      </c>
      <c r="E18" s="124" t="str">
        <f>SUMIFS('Annual_Cost'!$S$2:$S$287,'Annual_Cost'!$A$2:$A$287,A18,'Annual_Cost'!$B$2:$B$287,B18)</f>
      </c>
      <c r="F18" s="125" t="str">
        <f>SUMIFS('Annual_Cost'!$W$2:$W$287,'Annual_Cost'!$A$2:$A$287,A18,'Annual_Cost'!$B$2:$B$287,B18)</f>
      </c>
      <c r="G18" s="126" t="str">
        <f>SUMIFS($E$2:E18,$A$2:A18,A18)</f>
      </c>
      <c r="H18" s="127" t="str">
        <f>SUMIFS($F$2:F18,$A$2:A18,A18)</f>
      </c>
      <c r="I18" s="128" t="n">
        <v>315525215.312548</v>
      </c>
      <c r="J18" s="129" t="str">
        <f>IF(I18=0,"",C18/I18)</f>
      </c>
      <c r="K18" s="130" t="str">
        <f>IF(I18=0,"",D18/I18)</f>
      </c>
      <c r="L18" s="131" t="str">
        <f>IF(I18=0,"",E18/I18)</f>
      </c>
      <c r="M18" s="132" t="str">
        <f>IF(I18=0,"",F18/I18)</f>
      </c>
    </row>
    <row r="19">
      <c r="A19" t="s">
        <v>254</v>
      </c>
      <c r="B19" s="121" t="n">
        <v>2042</v>
      </c>
      <c r="C19" s="122" t="str">
        <f>SUMIFS('Annual_Cost'!$Q$2:$Q$287,'Annual_Cost'!$A$2:$A$287,A19,'Annual_Cost'!$B$2:$B$287,B19)</f>
      </c>
      <c r="D19" s="123" t="str">
        <f>SUMIFS('Annual_Cost'!$R$2:$R$287,'Annual_Cost'!$A$2:$A$287,A19,'Annual_Cost'!$B$2:$B$287,B19)</f>
      </c>
      <c r="E19" s="124" t="str">
        <f>SUMIFS('Annual_Cost'!$S$2:$S$287,'Annual_Cost'!$A$2:$A$287,A19,'Annual_Cost'!$B$2:$B$287,B19)</f>
      </c>
      <c r="F19" s="125" t="str">
        <f>SUMIFS('Annual_Cost'!$W$2:$W$287,'Annual_Cost'!$A$2:$A$287,A19,'Annual_Cost'!$B$2:$B$287,B19)</f>
      </c>
      <c r="G19" s="126" t="str">
        <f>SUMIFS($E$2:E19,$A$2:A19,A19)</f>
      </c>
      <c r="H19" s="127" t="str">
        <f>SUMIFS($F$2:F19,$A$2:A19,A19)</f>
      </c>
      <c r="I19" s="128" t="n">
        <v>316707694.211882</v>
      </c>
      <c r="J19" s="129" t="str">
        <f>IF(I19=0,"",C19/I19)</f>
      </c>
      <c r="K19" s="130" t="str">
        <f>IF(I19=0,"",D19/I19)</f>
      </c>
      <c r="L19" s="131" t="str">
        <f>IF(I19=0,"",E19/I19)</f>
      </c>
      <c r="M19" s="132" t="str">
        <f>IF(I19=0,"",F19/I19)</f>
      </c>
    </row>
    <row r="20">
      <c r="A20" t="s">
        <v>254</v>
      </c>
      <c r="B20" s="121" t="n">
        <v>2043</v>
      </c>
      <c r="C20" s="122" t="str">
        <f>SUMIFS('Annual_Cost'!$Q$2:$Q$287,'Annual_Cost'!$A$2:$A$287,A20,'Annual_Cost'!$B$2:$B$287,B20)</f>
      </c>
      <c r="D20" s="123" t="str">
        <f>SUMIFS('Annual_Cost'!$R$2:$R$287,'Annual_Cost'!$A$2:$A$287,A20,'Annual_Cost'!$B$2:$B$287,B20)</f>
      </c>
      <c r="E20" s="124" t="str">
        <f>SUMIFS('Annual_Cost'!$S$2:$S$287,'Annual_Cost'!$A$2:$A$287,A20,'Annual_Cost'!$B$2:$B$287,B20)</f>
      </c>
      <c r="F20" s="125" t="str">
        <f>SUMIFS('Annual_Cost'!$W$2:$W$287,'Annual_Cost'!$A$2:$A$287,A20,'Annual_Cost'!$B$2:$B$287,B20)</f>
      </c>
      <c r="G20" s="126" t="str">
        <f>SUMIFS($E$2:E20,$A$2:A20,A20)</f>
      </c>
      <c r="H20" s="127" t="str">
        <f>SUMIFS($F$2:F20,$A$2:A20,A20)</f>
      </c>
      <c r="I20" s="128" t="n">
        <v>317814114.067152</v>
      </c>
      <c r="J20" s="129" t="str">
        <f>IF(I20=0,"",C20/I20)</f>
      </c>
      <c r="K20" s="130" t="str">
        <f>IF(I20=0,"",D20/I20)</f>
      </c>
      <c r="L20" s="131" t="str">
        <f>IF(I20=0,"",E20/I20)</f>
      </c>
      <c r="M20" s="132" t="str">
        <f>IF(I20=0,"",F20/I20)</f>
      </c>
    </row>
    <row r="21">
      <c r="A21" t="s">
        <v>254</v>
      </c>
      <c r="B21" s="121" t="n">
        <v>2044</v>
      </c>
      <c r="C21" s="122" t="str">
        <f>SUMIFS('Annual_Cost'!$Q$2:$Q$287,'Annual_Cost'!$A$2:$A$287,A21,'Annual_Cost'!$B$2:$B$287,B21)</f>
      </c>
      <c r="D21" s="123" t="str">
        <f>SUMIFS('Annual_Cost'!$R$2:$R$287,'Annual_Cost'!$A$2:$A$287,A21,'Annual_Cost'!$B$2:$B$287,B21)</f>
      </c>
      <c r="E21" s="124" t="str">
        <f>SUMIFS('Annual_Cost'!$S$2:$S$287,'Annual_Cost'!$A$2:$A$287,A21,'Annual_Cost'!$B$2:$B$287,B21)</f>
      </c>
      <c r="F21" s="125" t="str">
        <f>SUMIFS('Annual_Cost'!$W$2:$W$287,'Annual_Cost'!$A$2:$A$287,A21,'Annual_Cost'!$B$2:$B$287,B21)</f>
      </c>
      <c r="G21" s="126" t="str">
        <f>SUMIFS($E$2:E21,$A$2:A21,A21)</f>
      </c>
      <c r="H21" s="127" t="str">
        <f>SUMIFS($F$2:F21,$A$2:A21,A21)</f>
      </c>
      <c r="I21" s="128" t="n">
        <v>318840890.732156</v>
      </c>
      <c r="J21" s="129" t="str">
        <f>IF(I21=0,"",C21/I21)</f>
      </c>
      <c r="K21" s="130" t="str">
        <f>IF(I21=0,"",D21/I21)</f>
      </c>
      <c r="L21" s="131" t="str">
        <f>IF(I21=0,"",E21/I21)</f>
      </c>
      <c r="M21" s="132" t="str">
        <f>IF(I21=0,"",F21/I21)</f>
      </c>
    </row>
    <row r="22">
      <c r="A22" t="s">
        <v>254</v>
      </c>
      <c r="B22" s="121" t="n">
        <v>2045</v>
      </c>
      <c r="C22" s="122" t="str">
        <f>SUMIFS('Annual_Cost'!$Q$2:$Q$287,'Annual_Cost'!$A$2:$A$287,A22,'Annual_Cost'!$B$2:$B$287,B22)</f>
      </c>
      <c r="D22" s="123" t="str">
        <f>SUMIFS('Annual_Cost'!$R$2:$R$287,'Annual_Cost'!$A$2:$A$287,A22,'Annual_Cost'!$B$2:$B$287,B22)</f>
      </c>
      <c r="E22" s="124" t="str">
        <f>SUMIFS('Annual_Cost'!$S$2:$S$287,'Annual_Cost'!$A$2:$A$287,A22,'Annual_Cost'!$B$2:$B$287,B22)</f>
      </c>
      <c r="F22" s="125" t="str">
        <f>SUMIFS('Annual_Cost'!$W$2:$W$287,'Annual_Cost'!$A$2:$A$287,A22,'Annual_Cost'!$B$2:$B$287,B22)</f>
      </c>
      <c r="G22" s="126" t="str">
        <f>SUMIFS($E$2:E22,$A$2:A22,A22)</f>
      </c>
      <c r="H22" s="127" t="str">
        <f>SUMIFS($F$2:F22,$A$2:A22,A22)</f>
      </c>
      <c r="I22" s="128" t="n">
        <v>319784682.33108</v>
      </c>
      <c r="J22" s="129" t="str">
        <f>IF(I22=0,"",C22/I22)</f>
      </c>
      <c r="K22" s="130" t="str">
        <f>IF(I22=0,"",D22/I22)</f>
      </c>
      <c r="L22" s="131" t="str">
        <f>IF(I22=0,"",E22/I22)</f>
      </c>
      <c r="M22" s="132" t="str">
        <f>IF(I22=0,"",F22/I22)</f>
      </c>
    </row>
    <row r="23">
      <c r="A23" t="s">
        <v>254</v>
      </c>
      <c r="B23" s="121" t="n">
        <v>2046</v>
      </c>
      <c r="C23" s="122" t="str">
        <f>SUMIFS('Annual_Cost'!$Q$2:$Q$287,'Annual_Cost'!$A$2:$A$287,A23,'Annual_Cost'!$B$2:$B$287,B23)</f>
      </c>
      <c r="D23" s="123" t="str">
        <f>SUMIFS('Annual_Cost'!$R$2:$R$287,'Annual_Cost'!$A$2:$A$287,A23,'Annual_Cost'!$B$2:$B$287,B23)</f>
      </c>
      <c r="E23" s="124" t="str">
        <f>SUMIFS('Annual_Cost'!$S$2:$S$287,'Annual_Cost'!$A$2:$A$287,A23,'Annual_Cost'!$B$2:$B$287,B23)</f>
      </c>
      <c r="F23" s="125" t="str">
        <f>SUMIFS('Annual_Cost'!$W$2:$W$287,'Annual_Cost'!$A$2:$A$287,A23,'Annual_Cost'!$B$2:$B$287,B23)</f>
      </c>
      <c r="G23" s="126" t="str">
        <f>SUMIFS($E$2:E23,$A$2:A23,A23)</f>
      </c>
      <c r="H23" s="127" t="str">
        <f>SUMIFS($F$2:F23,$A$2:A23,A23)</f>
      </c>
      <c r="I23" s="128" t="n">
        <v>320645615.981408</v>
      </c>
      <c r="J23" s="129" t="str">
        <f>IF(I23=0,"",C23/I23)</f>
      </c>
      <c r="K23" s="130" t="str">
        <f>IF(I23=0,"",D23/I23)</f>
      </c>
      <c r="L23" s="131" t="str">
        <f>IF(I23=0,"",E23/I23)</f>
      </c>
      <c r="M23" s="132" t="str">
        <f>IF(I23=0,"",F23/I23)</f>
      </c>
    </row>
    <row r="24">
      <c r="A24" t="s">
        <v>254</v>
      </c>
      <c r="B24" s="121" t="n">
        <v>2047</v>
      </c>
      <c r="C24" s="122" t="str">
        <f>SUMIFS('Annual_Cost'!$Q$2:$Q$287,'Annual_Cost'!$A$2:$A$287,A24,'Annual_Cost'!$B$2:$B$287,B24)</f>
      </c>
      <c r="D24" s="123" t="str">
        <f>SUMIFS('Annual_Cost'!$R$2:$R$287,'Annual_Cost'!$A$2:$A$287,A24,'Annual_Cost'!$B$2:$B$287,B24)</f>
      </c>
      <c r="E24" s="124" t="str">
        <f>SUMIFS('Annual_Cost'!$S$2:$S$287,'Annual_Cost'!$A$2:$A$287,A24,'Annual_Cost'!$B$2:$B$287,B24)</f>
      </c>
      <c r="F24" s="125" t="str">
        <f>SUMIFS('Annual_Cost'!$W$2:$W$287,'Annual_Cost'!$A$2:$A$287,A24,'Annual_Cost'!$B$2:$B$287,B24)</f>
      </c>
      <c r="G24" s="126" t="str">
        <f>SUMIFS($E$2:E24,$A$2:A24,A24)</f>
      </c>
      <c r="H24" s="127" t="str">
        <f>SUMIFS($F$2:F24,$A$2:A24,A24)</f>
      </c>
      <c r="I24" s="128" t="n">
        <v>321429520.522875</v>
      </c>
      <c r="J24" s="129" t="str">
        <f>IF(I24=0,"",C24/I24)</f>
      </c>
      <c r="K24" s="130" t="str">
        <f>IF(I24=0,"",D24/I24)</f>
      </c>
      <c r="L24" s="131" t="str">
        <f>IF(I24=0,"",E24/I24)</f>
      </c>
      <c r="M24" s="132" t="str">
        <f>IF(I24=0,"",F24/I24)</f>
      </c>
    </row>
    <row r="25">
      <c r="A25" t="s">
        <v>254</v>
      </c>
      <c r="B25" s="121" t="n">
        <v>2048</v>
      </c>
      <c r="C25" s="122" t="str">
        <f>SUMIFS('Annual_Cost'!$Q$2:$Q$287,'Annual_Cost'!$A$2:$A$287,A25,'Annual_Cost'!$B$2:$B$287,B25)</f>
      </c>
      <c r="D25" s="123" t="str">
        <f>SUMIFS('Annual_Cost'!$R$2:$R$287,'Annual_Cost'!$A$2:$A$287,A25,'Annual_Cost'!$B$2:$B$287,B25)</f>
      </c>
      <c r="E25" s="124" t="str">
        <f>SUMIFS('Annual_Cost'!$S$2:$S$287,'Annual_Cost'!$A$2:$A$287,A25,'Annual_Cost'!$B$2:$B$287,B25)</f>
      </c>
      <c r="F25" s="125" t="str">
        <f>SUMIFS('Annual_Cost'!$W$2:$W$287,'Annual_Cost'!$A$2:$A$287,A25,'Annual_Cost'!$B$2:$B$287,B25)</f>
      </c>
      <c r="G25" s="126" t="str">
        <f>SUMIFS($E$2:E25,$A$2:A25,A25)</f>
      </c>
      <c r="H25" s="127" t="str">
        <f>SUMIFS($F$2:F25,$A$2:A25,A25)</f>
      </c>
      <c r="I25" s="128" t="n">
        <v>322136832.260161</v>
      </c>
      <c r="J25" s="129" t="str">
        <f>IF(I25=0,"",C25/I25)</f>
      </c>
      <c r="K25" s="130" t="str">
        <f>IF(I25=0,"",D25/I25)</f>
      </c>
      <c r="L25" s="131" t="str">
        <f>IF(I25=0,"",E25/I25)</f>
      </c>
      <c r="M25" s="132" t="str">
        <f>IF(I25=0,"",F25/I25)</f>
      </c>
    </row>
    <row r="26">
      <c r="A26" t="s">
        <v>254</v>
      </c>
      <c r="B26" s="121" t="n">
        <v>2049</v>
      </c>
      <c r="C26" s="122" t="str">
        <f>SUMIFS('Annual_Cost'!$Q$2:$Q$287,'Annual_Cost'!$A$2:$A$287,A26,'Annual_Cost'!$B$2:$B$287,B26)</f>
      </c>
      <c r="D26" s="123" t="str">
        <f>SUMIFS('Annual_Cost'!$R$2:$R$287,'Annual_Cost'!$A$2:$A$287,A26,'Annual_Cost'!$B$2:$B$287,B26)</f>
      </c>
      <c r="E26" s="124" t="str">
        <f>SUMIFS('Annual_Cost'!$S$2:$S$287,'Annual_Cost'!$A$2:$A$287,A26,'Annual_Cost'!$B$2:$B$287,B26)</f>
      </c>
      <c r="F26" s="125" t="str">
        <f>SUMIFS('Annual_Cost'!$W$2:$W$287,'Annual_Cost'!$A$2:$A$287,A26,'Annual_Cost'!$B$2:$B$287,B26)</f>
      </c>
      <c r="G26" s="126" t="str">
        <f>SUMIFS($E$2:E26,$A$2:A26,A26)</f>
      </c>
      <c r="H26" s="127" t="str">
        <f>SUMIFS($F$2:F26,$A$2:A26,A26)</f>
      </c>
      <c r="I26" s="128" t="n">
        <v>322765819.752681</v>
      </c>
      <c r="J26" s="129" t="str">
        <f>IF(I26=0,"",C26/I26)</f>
      </c>
      <c r="K26" s="130" t="str">
        <f>IF(I26=0,"",D26/I26)</f>
      </c>
      <c r="L26" s="131" t="str">
        <f>IF(I26=0,"",E26/I26)</f>
      </c>
      <c r="M26" s="132" t="str">
        <f>IF(I26=0,"",F26/I26)</f>
      </c>
    </row>
    <row r="27">
      <c r="A27" t="s">
        <v>254</v>
      </c>
      <c r="B27" s="121" t="n">
        <v>2050</v>
      </c>
      <c r="C27" s="122" t="str">
        <f>SUMIFS('Annual_Cost'!$Q$2:$Q$287,'Annual_Cost'!$A$2:$A$287,A27,'Annual_Cost'!$B$2:$B$287,B27)</f>
      </c>
      <c r="D27" s="123" t="str">
        <f>SUMIFS('Annual_Cost'!$R$2:$R$287,'Annual_Cost'!$A$2:$A$287,A27,'Annual_Cost'!$B$2:$B$287,B27)</f>
      </c>
      <c r="E27" s="124" t="str">
        <f>SUMIFS('Annual_Cost'!$S$2:$S$287,'Annual_Cost'!$A$2:$A$287,A27,'Annual_Cost'!$B$2:$B$287,B27)</f>
      </c>
      <c r="F27" s="125" t="str">
        <f>SUMIFS('Annual_Cost'!$W$2:$W$287,'Annual_Cost'!$A$2:$A$287,A27,'Annual_Cost'!$B$2:$B$287,B27)</f>
      </c>
      <c r="G27" s="126" t="str">
        <f>SUMIFS($E$2:E27,$A$2:A27,A27)</f>
      </c>
      <c r="H27" s="127" t="str">
        <f>SUMIFS($F$2:F27,$A$2:A27,A27)</f>
      </c>
      <c r="I27" s="128" t="n">
        <v>323312042.563285</v>
      </c>
      <c r="J27" s="129" t="str">
        <f>IF(I27=0,"",C27/I27)</f>
      </c>
      <c r="K27" s="130" t="str">
        <f>IF(I27=0,"",D27/I27)</f>
      </c>
      <c r="L27" s="131" t="str">
        <f>IF(I27=0,"",E27/I27)</f>
      </c>
      <c r="M27" s="132" t="str">
        <f>IF(I27=0,"",F27/I27)</f>
      </c>
    </row>
    <row r="28">
      <c r="A28" t="s">
        <v>219</v>
      </c>
      <c r="B28" s="121" t="n">
        <v>2025</v>
      </c>
      <c r="C28" s="122" t="str">
        <f>SUMIFS('Annual_Cost'!$Q$2:$Q$287,'Annual_Cost'!$A$2:$A$287,A28,'Annual_Cost'!$B$2:$B$287,B28)</f>
      </c>
      <c r="D28" s="123" t="str">
        <f>SUMIFS('Annual_Cost'!$R$2:$R$287,'Annual_Cost'!$A$2:$A$287,A28,'Annual_Cost'!$B$2:$B$287,B28)</f>
      </c>
      <c r="E28" s="124" t="str">
        <f>SUMIFS('Annual_Cost'!$S$2:$S$287,'Annual_Cost'!$A$2:$A$287,A28,'Annual_Cost'!$B$2:$B$287,B28)</f>
      </c>
      <c r="F28" s="125" t="str">
        <f>SUMIFS('Annual_Cost'!$W$2:$W$287,'Annual_Cost'!$A$2:$A$287,A28,'Annual_Cost'!$B$2:$B$287,B28)</f>
      </c>
      <c r="G28" s="126" t="str">
        <f>SUMIFS($E$2:E28,$A$2:A28,A28)</f>
      </c>
      <c r="H28" s="127" t="str">
        <f>SUMIFS($F$2:F28,$A$2:A28,A28)</f>
      </c>
      <c r="I28" s="128" t="n">
        <v>288391907.644456</v>
      </c>
      <c r="J28" s="129" t="str">
        <f>IF(I28=0,"",C28/I28)</f>
      </c>
      <c r="K28" s="130" t="str">
        <f>IF(I28=0,"",D28/I28)</f>
      </c>
      <c r="L28" s="131" t="str">
        <f>IF(I28=0,"",E28/I28)</f>
      </c>
      <c r="M28" s="132" t="str">
        <f>IF(I28=0,"",F28/I28)</f>
      </c>
    </row>
    <row r="29">
      <c r="A29" t="s">
        <v>219</v>
      </c>
      <c r="B29" s="121" t="n">
        <v>2026</v>
      </c>
      <c r="C29" s="122" t="str">
        <f>SUMIFS('Annual_Cost'!$Q$2:$Q$287,'Annual_Cost'!$A$2:$A$287,A29,'Annual_Cost'!$B$2:$B$287,B29)</f>
      </c>
      <c r="D29" s="123" t="str">
        <f>SUMIFS('Annual_Cost'!$R$2:$R$287,'Annual_Cost'!$A$2:$A$287,A29,'Annual_Cost'!$B$2:$B$287,B29)</f>
      </c>
      <c r="E29" s="124" t="str">
        <f>SUMIFS('Annual_Cost'!$S$2:$S$287,'Annual_Cost'!$A$2:$A$287,A29,'Annual_Cost'!$B$2:$B$287,B29)</f>
      </c>
      <c r="F29" s="125" t="str">
        <f>SUMIFS('Annual_Cost'!$W$2:$W$287,'Annual_Cost'!$A$2:$A$287,A29,'Annual_Cost'!$B$2:$B$287,B29)</f>
      </c>
      <c r="G29" s="126" t="str">
        <f>SUMIFS($E$2:E29,$A$2:A29,A29)</f>
      </c>
      <c r="H29" s="127" t="str">
        <f>SUMIFS($F$2:F29,$A$2:A29,A29)</f>
      </c>
      <c r="I29" s="128" t="n">
        <v>290472130.233437</v>
      </c>
      <c r="J29" s="129" t="str">
        <f>IF(I29=0,"",C29/I29)</f>
      </c>
      <c r="K29" s="130" t="str">
        <f>IF(I29=0,"",D29/I29)</f>
      </c>
      <c r="L29" s="131" t="str">
        <f>IF(I29=0,"",E29/I29)</f>
      </c>
      <c r="M29" s="132" t="str">
        <f>IF(I29=0,"",F29/I29)</f>
      </c>
    </row>
    <row r="30">
      <c r="A30" t="s">
        <v>219</v>
      </c>
      <c r="B30" s="121" t="n">
        <v>2027</v>
      </c>
      <c r="C30" s="122" t="str">
        <f>SUMIFS('Annual_Cost'!$Q$2:$Q$287,'Annual_Cost'!$A$2:$A$287,A30,'Annual_Cost'!$B$2:$B$287,B30)</f>
      </c>
      <c r="D30" s="123" t="str">
        <f>SUMIFS('Annual_Cost'!$R$2:$R$287,'Annual_Cost'!$A$2:$A$287,A30,'Annual_Cost'!$B$2:$B$287,B30)</f>
      </c>
      <c r="E30" s="124" t="str">
        <f>SUMIFS('Annual_Cost'!$S$2:$S$287,'Annual_Cost'!$A$2:$A$287,A30,'Annual_Cost'!$B$2:$B$287,B30)</f>
      </c>
      <c r="F30" s="125" t="str">
        <f>SUMIFS('Annual_Cost'!$W$2:$W$287,'Annual_Cost'!$A$2:$A$287,A30,'Annual_Cost'!$B$2:$B$287,B30)</f>
      </c>
      <c r="G30" s="126" t="str">
        <f>SUMIFS($E$2:E30,$A$2:A30,A30)</f>
      </c>
      <c r="H30" s="127" t="str">
        <f>SUMIFS($F$2:F30,$A$2:A30,A30)</f>
      </c>
      <c r="I30" s="128" t="n">
        <v>292505080.826208</v>
      </c>
      <c r="J30" s="129" t="str">
        <f>IF(I30=0,"",C30/I30)</f>
      </c>
      <c r="K30" s="130" t="str">
        <f>IF(I30=0,"",D30/I30)</f>
      </c>
      <c r="L30" s="131" t="str">
        <f>IF(I30=0,"",E30/I30)</f>
      </c>
      <c r="M30" s="132" t="str">
        <f>IF(I30=0,"",F30/I30)</f>
      </c>
    </row>
    <row r="31">
      <c r="A31" t="s">
        <v>219</v>
      </c>
      <c r="B31" s="121" t="n">
        <v>2028</v>
      </c>
      <c r="C31" s="122" t="str">
        <f>SUMIFS('Annual_Cost'!$Q$2:$Q$287,'Annual_Cost'!$A$2:$A$287,A31,'Annual_Cost'!$B$2:$B$287,B31)</f>
      </c>
      <c r="D31" s="123" t="str">
        <f>SUMIFS('Annual_Cost'!$R$2:$R$287,'Annual_Cost'!$A$2:$A$287,A31,'Annual_Cost'!$B$2:$B$287,B31)</f>
      </c>
      <c r="E31" s="124" t="str">
        <f>SUMIFS('Annual_Cost'!$S$2:$S$287,'Annual_Cost'!$A$2:$A$287,A31,'Annual_Cost'!$B$2:$B$287,B31)</f>
      </c>
      <c r="F31" s="125" t="str">
        <f>SUMIFS('Annual_Cost'!$W$2:$W$287,'Annual_Cost'!$A$2:$A$287,A31,'Annual_Cost'!$B$2:$B$287,B31)</f>
      </c>
      <c r="G31" s="126" t="str">
        <f>SUMIFS($E$2:E31,$A$2:A31,A31)</f>
      </c>
      <c r="H31" s="127" t="str">
        <f>SUMIFS($F$2:F31,$A$2:A31,A31)</f>
      </c>
      <c r="I31" s="128" t="n">
        <v>294484707.921554</v>
      </c>
      <c r="J31" s="129" t="str">
        <f>IF(I31=0,"",C31/I31)</f>
      </c>
      <c r="K31" s="130" t="str">
        <f>IF(I31=0,"",D31/I31)</f>
      </c>
      <c r="L31" s="131" t="str">
        <f>IF(I31=0,"",E31/I31)</f>
      </c>
      <c r="M31" s="132" t="str">
        <f>IF(I31=0,"",F31/I31)</f>
      </c>
    </row>
    <row r="32">
      <c r="A32" t="s">
        <v>219</v>
      </c>
      <c r="B32" s="121" t="n">
        <v>2029</v>
      </c>
      <c r="C32" s="122" t="str">
        <f>SUMIFS('Annual_Cost'!$Q$2:$Q$287,'Annual_Cost'!$A$2:$A$287,A32,'Annual_Cost'!$B$2:$B$287,B32)</f>
      </c>
      <c r="D32" s="123" t="str">
        <f>SUMIFS('Annual_Cost'!$R$2:$R$287,'Annual_Cost'!$A$2:$A$287,A32,'Annual_Cost'!$B$2:$B$287,B32)</f>
      </c>
      <c r="E32" s="124" t="str">
        <f>SUMIFS('Annual_Cost'!$S$2:$S$287,'Annual_Cost'!$A$2:$A$287,A32,'Annual_Cost'!$B$2:$B$287,B32)</f>
      </c>
      <c r="F32" s="125" t="str">
        <f>SUMIFS('Annual_Cost'!$W$2:$W$287,'Annual_Cost'!$A$2:$A$287,A32,'Annual_Cost'!$B$2:$B$287,B32)</f>
      </c>
      <c r="G32" s="126" t="str">
        <f>SUMIFS($E$2:E32,$A$2:A32,A32)</f>
      </c>
      <c r="H32" s="127" t="str">
        <f>SUMIFS($F$2:F32,$A$2:A32,A32)</f>
      </c>
      <c r="I32" s="128" t="n">
        <v>296414030.31143</v>
      </c>
      <c r="J32" s="129" t="str">
        <f>IF(I32=0,"",C32/I32)</f>
      </c>
      <c r="K32" s="130" t="str">
        <f>IF(I32=0,"",D32/I32)</f>
      </c>
      <c r="L32" s="131" t="str">
        <f>IF(I32=0,"",E32/I32)</f>
      </c>
      <c r="M32" s="132" t="str">
        <f>IF(I32=0,"",F32/I32)</f>
      </c>
    </row>
    <row r="33">
      <c r="A33" t="s">
        <v>219</v>
      </c>
      <c r="B33" s="121" t="n">
        <v>2030</v>
      </c>
      <c r="C33" s="122" t="str">
        <f>SUMIFS('Annual_Cost'!$Q$2:$Q$287,'Annual_Cost'!$A$2:$A$287,A33,'Annual_Cost'!$B$2:$B$287,B33)</f>
      </c>
      <c r="D33" s="123" t="str">
        <f>SUMIFS('Annual_Cost'!$R$2:$R$287,'Annual_Cost'!$A$2:$A$287,A33,'Annual_Cost'!$B$2:$B$287,B33)</f>
      </c>
      <c r="E33" s="124" t="str">
        <f>SUMIFS('Annual_Cost'!$S$2:$S$287,'Annual_Cost'!$A$2:$A$287,A33,'Annual_Cost'!$B$2:$B$287,B33)</f>
      </c>
      <c r="F33" s="125" t="str">
        <f>SUMIFS('Annual_Cost'!$W$2:$W$287,'Annual_Cost'!$A$2:$A$287,A33,'Annual_Cost'!$B$2:$B$287,B33)</f>
      </c>
      <c r="G33" s="126" t="str">
        <f>SUMIFS($E$2:E33,$A$2:A33,A33)</f>
      </c>
      <c r="H33" s="127" t="str">
        <f>SUMIFS($F$2:F33,$A$2:A33,A33)</f>
      </c>
      <c r="I33" s="128" t="n">
        <v>298289404.664994</v>
      </c>
      <c r="J33" s="129" t="str">
        <f>IF(I33=0,"",C33/I33)</f>
      </c>
      <c r="K33" s="130" t="str">
        <f>IF(I33=0,"",D33/I33)</f>
      </c>
      <c r="L33" s="131" t="str">
        <f>IF(I33=0,"",E33/I33)</f>
      </c>
      <c r="M33" s="132" t="str">
        <f>IF(I33=0,"",F33/I33)</f>
      </c>
    </row>
    <row r="34">
      <c r="A34" t="s">
        <v>219</v>
      </c>
      <c r="B34" s="121" t="n">
        <v>2031</v>
      </c>
      <c r="C34" s="122" t="str">
        <f>SUMIFS('Annual_Cost'!$Q$2:$Q$287,'Annual_Cost'!$A$2:$A$287,A34,'Annual_Cost'!$B$2:$B$287,B34)</f>
      </c>
      <c r="D34" s="123" t="str">
        <f>SUMIFS('Annual_Cost'!$R$2:$R$287,'Annual_Cost'!$A$2:$A$287,A34,'Annual_Cost'!$B$2:$B$287,B34)</f>
      </c>
      <c r="E34" s="124" t="str">
        <f>SUMIFS('Annual_Cost'!$S$2:$S$287,'Annual_Cost'!$A$2:$A$287,A34,'Annual_Cost'!$B$2:$B$287,B34)</f>
      </c>
      <c r="F34" s="125" t="str">
        <f>SUMIFS('Annual_Cost'!$W$2:$W$287,'Annual_Cost'!$A$2:$A$287,A34,'Annual_Cost'!$B$2:$B$287,B34)</f>
      </c>
      <c r="G34" s="126" t="str">
        <f>SUMIFS($E$2:E34,$A$2:A34,A34)</f>
      </c>
      <c r="H34" s="127" t="str">
        <f>SUMIFS($F$2:F34,$A$2:A34,A34)</f>
      </c>
      <c r="I34" s="128" t="n">
        <v>300119636.925519</v>
      </c>
      <c r="J34" s="129" t="str">
        <f>IF(I34=0,"",C34/I34)</f>
      </c>
      <c r="K34" s="130" t="str">
        <f>IF(I34=0,"",D34/I34)</f>
      </c>
      <c r="L34" s="131" t="str">
        <f>IF(I34=0,"",E34/I34)</f>
      </c>
      <c r="M34" s="132" t="str">
        <f>IF(I34=0,"",F34/I34)</f>
      </c>
    </row>
    <row r="35">
      <c r="A35" t="s">
        <v>219</v>
      </c>
      <c r="B35" s="121" t="n">
        <v>2032</v>
      </c>
      <c r="C35" s="122" t="str">
        <f>SUMIFS('Annual_Cost'!$Q$2:$Q$287,'Annual_Cost'!$A$2:$A$287,A35,'Annual_Cost'!$B$2:$B$287,B35)</f>
      </c>
      <c r="D35" s="123" t="str">
        <f>SUMIFS('Annual_Cost'!$R$2:$R$287,'Annual_Cost'!$A$2:$A$287,A35,'Annual_Cost'!$B$2:$B$287,B35)</f>
      </c>
      <c r="E35" s="124" t="str">
        <f>SUMIFS('Annual_Cost'!$S$2:$S$287,'Annual_Cost'!$A$2:$A$287,A35,'Annual_Cost'!$B$2:$B$287,B35)</f>
      </c>
      <c r="F35" s="125" t="str">
        <f>SUMIFS('Annual_Cost'!$W$2:$W$287,'Annual_Cost'!$A$2:$A$287,A35,'Annual_Cost'!$B$2:$B$287,B35)</f>
      </c>
      <c r="G35" s="126" t="str">
        <f>SUMIFS($E$2:E35,$A$2:A35,A35)</f>
      </c>
      <c r="H35" s="127" t="str">
        <f>SUMIFS($F$2:F35,$A$2:A35,A35)</f>
      </c>
      <c r="I35" s="128" t="n">
        <v>301904628.083541</v>
      </c>
      <c r="J35" s="129" t="str">
        <f>IF(I35=0,"",C35/I35)</f>
      </c>
      <c r="K35" s="130" t="str">
        <f>IF(I35=0,"",D35/I35)</f>
      </c>
      <c r="L35" s="131" t="str">
        <f>IF(I35=0,"",E35/I35)</f>
      </c>
      <c r="M35" s="132" t="str">
        <f>IF(I35=0,"",F35/I35)</f>
      </c>
    </row>
    <row r="36">
      <c r="A36" t="s">
        <v>219</v>
      </c>
      <c r="B36" s="121" t="n">
        <v>2033</v>
      </c>
      <c r="C36" s="122" t="str">
        <f>SUMIFS('Annual_Cost'!$Q$2:$Q$287,'Annual_Cost'!$A$2:$A$287,A36,'Annual_Cost'!$B$2:$B$287,B36)</f>
      </c>
      <c r="D36" s="123" t="str">
        <f>SUMIFS('Annual_Cost'!$R$2:$R$287,'Annual_Cost'!$A$2:$A$287,A36,'Annual_Cost'!$B$2:$B$287,B36)</f>
      </c>
      <c r="E36" s="124" t="str">
        <f>SUMIFS('Annual_Cost'!$S$2:$S$287,'Annual_Cost'!$A$2:$A$287,A36,'Annual_Cost'!$B$2:$B$287,B36)</f>
      </c>
      <c r="F36" s="125" t="str">
        <f>SUMIFS('Annual_Cost'!$W$2:$W$287,'Annual_Cost'!$A$2:$A$287,A36,'Annual_Cost'!$B$2:$B$287,B36)</f>
      </c>
      <c r="G36" s="126" t="str">
        <f>SUMIFS($E$2:E36,$A$2:A36,A36)</f>
      </c>
      <c r="H36" s="127" t="str">
        <f>SUMIFS($F$2:F36,$A$2:A36,A36)</f>
      </c>
      <c r="I36" s="128" t="n">
        <v>303644277.16916</v>
      </c>
      <c r="J36" s="129" t="str">
        <f>IF(I36=0,"",C36/I36)</f>
      </c>
      <c r="K36" s="130" t="str">
        <f>IF(I36=0,"",D36/I36)</f>
      </c>
      <c r="L36" s="131" t="str">
        <f>IF(I36=0,"",E36/I36)</f>
      </c>
      <c r="M36" s="132" t="str">
        <f>IF(I36=0,"",F36/I36)</f>
      </c>
    </row>
    <row r="37">
      <c r="A37" t="s">
        <v>219</v>
      </c>
      <c r="B37" s="121" t="n">
        <v>2034</v>
      </c>
      <c r="C37" s="122" t="str">
        <f>SUMIFS('Annual_Cost'!$Q$2:$Q$287,'Annual_Cost'!$A$2:$A$287,A37,'Annual_Cost'!$B$2:$B$287,B37)</f>
      </c>
      <c r="D37" s="123" t="str">
        <f>SUMIFS('Annual_Cost'!$R$2:$R$287,'Annual_Cost'!$A$2:$A$287,A37,'Annual_Cost'!$B$2:$B$287,B37)</f>
      </c>
      <c r="E37" s="124" t="str">
        <f>SUMIFS('Annual_Cost'!$S$2:$S$287,'Annual_Cost'!$A$2:$A$287,A37,'Annual_Cost'!$B$2:$B$287,B37)</f>
      </c>
      <c r="F37" s="125" t="str">
        <f>SUMIFS('Annual_Cost'!$W$2:$W$287,'Annual_Cost'!$A$2:$A$287,A37,'Annual_Cost'!$B$2:$B$287,B37)</f>
      </c>
      <c r="G37" s="126" t="str">
        <f>SUMIFS($E$2:E37,$A$2:A37,A37)</f>
      </c>
      <c r="H37" s="127" t="str">
        <f>SUMIFS($F$2:F37,$A$2:A37,A37)</f>
      </c>
      <c r="I37" s="128" t="n">
        <v>305332541.184984</v>
      </c>
      <c r="J37" s="129" t="str">
        <f>IF(I37=0,"",C37/I37)</f>
      </c>
      <c r="K37" s="130" t="str">
        <f>IF(I37=0,"",D37/I37)</f>
      </c>
      <c r="L37" s="131" t="str">
        <f>IF(I37=0,"",E37/I37)</f>
      </c>
      <c r="M37" s="132" t="str">
        <f>IF(I37=0,"",F37/I37)</f>
      </c>
    </row>
    <row r="38">
      <c r="A38" t="s">
        <v>219</v>
      </c>
      <c r="B38" s="121" t="n">
        <v>2035</v>
      </c>
      <c r="C38" s="122" t="str">
        <f>SUMIFS('Annual_Cost'!$Q$2:$Q$287,'Annual_Cost'!$A$2:$A$287,A38,'Annual_Cost'!$B$2:$B$287,B38)</f>
      </c>
      <c r="D38" s="123" t="str">
        <f>SUMIFS('Annual_Cost'!$R$2:$R$287,'Annual_Cost'!$A$2:$A$287,A38,'Annual_Cost'!$B$2:$B$287,B38)</f>
      </c>
      <c r="E38" s="124" t="str">
        <f>SUMIFS('Annual_Cost'!$S$2:$S$287,'Annual_Cost'!$A$2:$A$287,A38,'Annual_Cost'!$B$2:$B$287,B38)</f>
      </c>
      <c r="F38" s="125" t="str">
        <f>SUMIFS('Annual_Cost'!$W$2:$W$287,'Annual_Cost'!$A$2:$A$287,A38,'Annual_Cost'!$B$2:$B$287,B38)</f>
      </c>
      <c r="G38" s="126" t="str">
        <f>SUMIFS($E$2:E38,$A$2:A38,A38)</f>
      </c>
      <c r="H38" s="127" t="str">
        <f>SUMIFS($F$2:F38,$A$2:A38,A38)</f>
      </c>
      <c r="I38" s="128" t="n">
        <v>306964650.16712</v>
      </c>
      <c r="J38" s="129" t="str">
        <f>IF(I38=0,"",C38/I38)</f>
      </c>
      <c r="K38" s="130" t="str">
        <f>IF(I38=0,"",D38/I38)</f>
      </c>
      <c r="L38" s="131" t="str">
        <f>IF(I38=0,"",E38/I38)</f>
      </c>
      <c r="M38" s="132" t="str">
        <f>IF(I38=0,"",F38/I38)</f>
      </c>
    </row>
    <row r="39">
      <c r="A39" t="s">
        <v>219</v>
      </c>
      <c r="B39" s="121" t="n">
        <v>2036</v>
      </c>
      <c r="C39" s="122" t="str">
        <f>SUMIFS('Annual_Cost'!$Q$2:$Q$287,'Annual_Cost'!$A$2:$A$287,A39,'Annual_Cost'!$B$2:$B$287,B39)</f>
      </c>
      <c r="D39" s="123" t="str">
        <f>SUMIFS('Annual_Cost'!$R$2:$R$287,'Annual_Cost'!$A$2:$A$287,A39,'Annual_Cost'!$B$2:$B$287,B39)</f>
      </c>
      <c r="E39" s="124" t="str">
        <f>SUMIFS('Annual_Cost'!$S$2:$S$287,'Annual_Cost'!$A$2:$A$287,A39,'Annual_Cost'!$B$2:$B$287,B39)</f>
      </c>
      <c r="F39" s="125" t="str">
        <f>SUMIFS('Annual_Cost'!$W$2:$W$287,'Annual_Cost'!$A$2:$A$287,A39,'Annual_Cost'!$B$2:$B$287,B39)</f>
      </c>
      <c r="G39" s="126" t="str">
        <f>SUMIFS($E$2:E39,$A$2:A39,A39)</f>
      </c>
      <c r="H39" s="127" t="str">
        <f>SUMIFS($F$2:F39,$A$2:A39,A39)</f>
      </c>
      <c r="I39" s="128" t="n">
        <v>308542769.756622</v>
      </c>
      <c r="J39" s="129" t="str">
        <f>IF(I39=0,"",C39/I39)</f>
      </c>
      <c r="K39" s="130" t="str">
        <f>IF(I39=0,"",D39/I39)</f>
      </c>
      <c r="L39" s="131" t="str">
        <f>IF(I39=0,"",E39/I39)</f>
      </c>
      <c r="M39" s="132" t="str">
        <f>IF(I39=0,"",F39/I39)</f>
      </c>
    </row>
    <row r="40">
      <c r="A40" t="s">
        <v>219</v>
      </c>
      <c r="B40" s="121" t="n">
        <v>2037</v>
      </c>
      <c r="C40" s="122" t="str">
        <f>SUMIFS('Annual_Cost'!$Q$2:$Q$287,'Annual_Cost'!$A$2:$A$287,A40,'Annual_Cost'!$B$2:$B$287,B40)</f>
      </c>
      <c r="D40" s="123" t="str">
        <f>SUMIFS('Annual_Cost'!$R$2:$R$287,'Annual_Cost'!$A$2:$A$287,A40,'Annual_Cost'!$B$2:$B$287,B40)</f>
      </c>
      <c r="E40" s="124" t="str">
        <f>SUMIFS('Annual_Cost'!$S$2:$S$287,'Annual_Cost'!$A$2:$A$287,A40,'Annual_Cost'!$B$2:$B$287,B40)</f>
      </c>
      <c r="F40" s="125" t="str">
        <f>SUMIFS('Annual_Cost'!$W$2:$W$287,'Annual_Cost'!$A$2:$A$287,A40,'Annual_Cost'!$B$2:$B$287,B40)</f>
      </c>
      <c r="G40" s="126" t="str">
        <f>SUMIFS($E$2:E40,$A$2:A40,A40)</f>
      </c>
      <c r="H40" s="127" t="str">
        <f>SUMIFS($F$2:F40,$A$2:A40,A40)</f>
      </c>
      <c r="I40" s="128" t="n">
        <v>310068287.63643</v>
      </c>
      <c r="J40" s="129" t="str">
        <f>IF(I40=0,"",C40/I40)</f>
      </c>
      <c r="K40" s="130" t="str">
        <f>IF(I40=0,"",D40/I40)</f>
      </c>
      <c r="L40" s="131" t="str">
        <f>IF(I40=0,"",E40/I40)</f>
      </c>
      <c r="M40" s="132" t="str">
        <f>IF(I40=0,"",F40/I40)</f>
      </c>
    </row>
    <row r="41">
      <c r="A41" t="s">
        <v>219</v>
      </c>
      <c r="B41" s="121" t="n">
        <v>2038</v>
      </c>
      <c r="C41" s="122" t="str">
        <f>SUMIFS('Annual_Cost'!$Q$2:$Q$287,'Annual_Cost'!$A$2:$A$287,A41,'Annual_Cost'!$B$2:$B$287,B41)</f>
      </c>
      <c r="D41" s="123" t="str">
        <f>SUMIFS('Annual_Cost'!$R$2:$R$287,'Annual_Cost'!$A$2:$A$287,A41,'Annual_Cost'!$B$2:$B$287,B41)</f>
      </c>
      <c r="E41" s="124" t="str">
        <f>SUMIFS('Annual_Cost'!$S$2:$S$287,'Annual_Cost'!$A$2:$A$287,A41,'Annual_Cost'!$B$2:$B$287,B41)</f>
      </c>
      <c r="F41" s="125" t="str">
        <f>SUMIFS('Annual_Cost'!$W$2:$W$287,'Annual_Cost'!$A$2:$A$287,A41,'Annual_Cost'!$B$2:$B$287,B41)</f>
      </c>
      <c r="G41" s="126" t="str">
        <f>SUMIFS($E$2:E41,$A$2:A41,A41)</f>
      </c>
      <c r="H41" s="127" t="str">
        <f>SUMIFS($F$2:F41,$A$2:A41,A41)</f>
      </c>
      <c r="I41" s="128" t="n">
        <v>311532999.13163</v>
      </c>
      <c r="J41" s="129" t="str">
        <f>IF(I41=0,"",C41/I41)</f>
      </c>
      <c r="K41" s="130" t="str">
        <f>IF(I41=0,"",D41/I41)</f>
      </c>
      <c r="L41" s="131" t="str">
        <f>IF(I41=0,"",E41/I41)</f>
      </c>
      <c r="M41" s="132" t="str">
        <f>IF(I41=0,"",F41/I41)</f>
      </c>
    </row>
    <row r="42">
      <c r="A42" t="s">
        <v>219</v>
      </c>
      <c r="B42" s="121" t="n">
        <v>2039</v>
      </c>
      <c r="C42" s="122" t="str">
        <f>SUMIFS('Annual_Cost'!$Q$2:$Q$287,'Annual_Cost'!$A$2:$A$287,A42,'Annual_Cost'!$B$2:$B$287,B42)</f>
      </c>
      <c r="D42" s="123" t="str">
        <f>SUMIFS('Annual_Cost'!$R$2:$R$287,'Annual_Cost'!$A$2:$A$287,A42,'Annual_Cost'!$B$2:$B$287,B42)</f>
      </c>
      <c r="E42" s="124" t="str">
        <f>SUMIFS('Annual_Cost'!$S$2:$S$287,'Annual_Cost'!$A$2:$A$287,A42,'Annual_Cost'!$B$2:$B$287,B42)</f>
      </c>
      <c r="F42" s="125" t="str">
        <f>SUMIFS('Annual_Cost'!$W$2:$W$287,'Annual_Cost'!$A$2:$A$287,A42,'Annual_Cost'!$B$2:$B$287,B42)</f>
      </c>
      <c r="G42" s="126" t="str">
        <f>SUMIFS($E$2:E42,$A$2:A42,A42)</f>
      </c>
      <c r="H42" s="127" t="str">
        <f>SUMIFS($F$2:F42,$A$2:A42,A42)</f>
      </c>
      <c r="I42" s="128" t="n">
        <v>312936391.858479</v>
      </c>
      <c r="J42" s="129" t="str">
        <f>IF(I42=0,"",C42/I42)</f>
      </c>
      <c r="K42" s="130" t="str">
        <f>IF(I42=0,"",D42/I42)</f>
      </c>
      <c r="L42" s="131" t="str">
        <f>IF(I42=0,"",E42/I42)</f>
      </c>
      <c r="M42" s="132" t="str">
        <f>IF(I42=0,"",F42/I42)</f>
      </c>
    </row>
    <row r="43">
      <c r="A43" t="s">
        <v>219</v>
      </c>
      <c r="B43" s="121" t="n">
        <v>2040</v>
      </c>
      <c r="C43" s="122" t="str">
        <f>SUMIFS('Annual_Cost'!$Q$2:$Q$287,'Annual_Cost'!$A$2:$A$287,A43,'Annual_Cost'!$B$2:$B$287,B43)</f>
      </c>
      <c r="D43" s="123" t="str">
        <f>SUMIFS('Annual_Cost'!$R$2:$R$287,'Annual_Cost'!$A$2:$A$287,A43,'Annual_Cost'!$B$2:$B$287,B43)</f>
      </c>
      <c r="E43" s="124" t="str">
        <f>SUMIFS('Annual_Cost'!$S$2:$S$287,'Annual_Cost'!$A$2:$A$287,A43,'Annual_Cost'!$B$2:$B$287,B43)</f>
      </c>
      <c r="F43" s="125" t="str">
        <f>SUMIFS('Annual_Cost'!$W$2:$W$287,'Annual_Cost'!$A$2:$A$287,A43,'Annual_Cost'!$B$2:$B$287,B43)</f>
      </c>
      <c r="G43" s="126" t="str">
        <f>SUMIFS($E$2:E43,$A$2:A43,A43)</f>
      </c>
      <c r="H43" s="127" t="str">
        <f>SUMIFS($F$2:F43,$A$2:A43,A43)</f>
      </c>
      <c r="I43" s="128" t="n">
        <v>314265537.410829</v>
      </c>
      <c r="J43" s="129" t="str">
        <f>IF(I43=0,"",C43/I43)</f>
      </c>
      <c r="K43" s="130" t="str">
        <f>IF(I43=0,"",D43/I43)</f>
      </c>
      <c r="L43" s="131" t="str">
        <f>IF(I43=0,"",E43/I43)</f>
      </c>
      <c r="M43" s="132" t="str">
        <f>IF(I43=0,"",F43/I43)</f>
      </c>
    </row>
    <row r="44">
      <c r="A44" t="s">
        <v>219</v>
      </c>
      <c r="B44" s="121" t="n">
        <v>2041</v>
      </c>
      <c r="C44" s="122" t="str">
        <f>SUMIFS('Annual_Cost'!$Q$2:$Q$287,'Annual_Cost'!$A$2:$A$287,A44,'Annual_Cost'!$B$2:$B$287,B44)</f>
      </c>
      <c r="D44" s="123" t="str">
        <f>SUMIFS('Annual_Cost'!$R$2:$R$287,'Annual_Cost'!$A$2:$A$287,A44,'Annual_Cost'!$B$2:$B$287,B44)</f>
      </c>
      <c r="E44" s="124" t="str">
        <f>SUMIFS('Annual_Cost'!$S$2:$S$287,'Annual_Cost'!$A$2:$A$287,A44,'Annual_Cost'!$B$2:$B$287,B44)</f>
      </c>
      <c r="F44" s="125" t="str">
        <f>SUMIFS('Annual_Cost'!$W$2:$W$287,'Annual_Cost'!$A$2:$A$287,A44,'Annual_Cost'!$B$2:$B$287,B44)</f>
      </c>
      <c r="G44" s="126" t="str">
        <f>SUMIFS($E$2:E44,$A$2:A44,A44)</f>
      </c>
      <c r="H44" s="127" t="str">
        <f>SUMIFS($F$2:F44,$A$2:A44,A44)</f>
      </c>
      <c r="I44" s="128" t="n">
        <v>315525215.312548</v>
      </c>
      <c r="J44" s="129" t="str">
        <f>IF(I44=0,"",C44/I44)</f>
      </c>
      <c r="K44" s="130" t="str">
        <f>IF(I44=0,"",D44/I44)</f>
      </c>
      <c r="L44" s="131" t="str">
        <f>IF(I44=0,"",E44/I44)</f>
      </c>
      <c r="M44" s="132" t="str">
        <f>IF(I44=0,"",F44/I44)</f>
      </c>
    </row>
    <row r="45">
      <c r="A45" t="s">
        <v>219</v>
      </c>
      <c r="B45" s="121" t="n">
        <v>2042</v>
      </c>
      <c r="C45" s="122" t="str">
        <f>SUMIFS('Annual_Cost'!$Q$2:$Q$287,'Annual_Cost'!$A$2:$A$287,A45,'Annual_Cost'!$B$2:$B$287,B45)</f>
      </c>
      <c r="D45" s="123" t="str">
        <f>SUMIFS('Annual_Cost'!$R$2:$R$287,'Annual_Cost'!$A$2:$A$287,A45,'Annual_Cost'!$B$2:$B$287,B45)</f>
      </c>
      <c r="E45" s="124" t="str">
        <f>SUMIFS('Annual_Cost'!$S$2:$S$287,'Annual_Cost'!$A$2:$A$287,A45,'Annual_Cost'!$B$2:$B$287,B45)</f>
      </c>
      <c r="F45" s="125" t="str">
        <f>SUMIFS('Annual_Cost'!$W$2:$W$287,'Annual_Cost'!$A$2:$A$287,A45,'Annual_Cost'!$B$2:$B$287,B45)</f>
      </c>
      <c r="G45" s="126" t="str">
        <f>SUMIFS($E$2:E45,$A$2:A45,A45)</f>
      </c>
      <c r="H45" s="127" t="str">
        <f>SUMIFS($F$2:F45,$A$2:A45,A45)</f>
      </c>
      <c r="I45" s="128" t="n">
        <v>316707694.211882</v>
      </c>
      <c r="J45" s="129" t="str">
        <f>IF(I45=0,"",C45/I45)</f>
      </c>
      <c r="K45" s="130" t="str">
        <f>IF(I45=0,"",D45/I45)</f>
      </c>
      <c r="L45" s="131" t="str">
        <f>IF(I45=0,"",E45/I45)</f>
      </c>
      <c r="M45" s="132" t="str">
        <f>IF(I45=0,"",F45/I45)</f>
      </c>
    </row>
    <row r="46">
      <c r="A46" t="s">
        <v>219</v>
      </c>
      <c r="B46" s="121" t="n">
        <v>2043</v>
      </c>
      <c r="C46" s="122" t="str">
        <f>SUMIFS('Annual_Cost'!$Q$2:$Q$287,'Annual_Cost'!$A$2:$A$287,A46,'Annual_Cost'!$B$2:$B$287,B46)</f>
      </c>
      <c r="D46" s="123" t="str">
        <f>SUMIFS('Annual_Cost'!$R$2:$R$287,'Annual_Cost'!$A$2:$A$287,A46,'Annual_Cost'!$B$2:$B$287,B46)</f>
      </c>
      <c r="E46" s="124" t="str">
        <f>SUMIFS('Annual_Cost'!$S$2:$S$287,'Annual_Cost'!$A$2:$A$287,A46,'Annual_Cost'!$B$2:$B$287,B46)</f>
      </c>
      <c r="F46" s="125" t="str">
        <f>SUMIFS('Annual_Cost'!$W$2:$W$287,'Annual_Cost'!$A$2:$A$287,A46,'Annual_Cost'!$B$2:$B$287,B46)</f>
      </c>
      <c r="G46" s="126" t="str">
        <f>SUMIFS($E$2:E46,$A$2:A46,A46)</f>
      </c>
      <c r="H46" s="127" t="str">
        <f>SUMIFS($F$2:F46,$A$2:A46,A46)</f>
      </c>
      <c r="I46" s="128" t="n">
        <v>317814114.067152</v>
      </c>
      <c r="J46" s="129" t="str">
        <f>IF(I46=0,"",C46/I46)</f>
      </c>
      <c r="K46" s="130" t="str">
        <f>IF(I46=0,"",D46/I46)</f>
      </c>
      <c r="L46" s="131" t="str">
        <f>IF(I46=0,"",E46/I46)</f>
      </c>
      <c r="M46" s="132" t="str">
        <f>IF(I46=0,"",F46/I46)</f>
      </c>
    </row>
    <row r="47">
      <c r="A47" t="s">
        <v>219</v>
      </c>
      <c r="B47" s="121" t="n">
        <v>2044</v>
      </c>
      <c r="C47" s="122" t="str">
        <f>SUMIFS('Annual_Cost'!$Q$2:$Q$287,'Annual_Cost'!$A$2:$A$287,A47,'Annual_Cost'!$B$2:$B$287,B47)</f>
      </c>
      <c r="D47" s="123" t="str">
        <f>SUMIFS('Annual_Cost'!$R$2:$R$287,'Annual_Cost'!$A$2:$A$287,A47,'Annual_Cost'!$B$2:$B$287,B47)</f>
      </c>
      <c r="E47" s="124" t="str">
        <f>SUMIFS('Annual_Cost'!$S$2:$S$287,'Annual_Cost'!$A$2:$A$287,A47,'Annual_Cost'!$B$2:$B$287,B47)</f>
      </c>
      <c r="F47" s="125" t="str">
        <f>SUMIFS('Annual_Cost'!$W$2:$W$287,'Annual_Cost'!$A$2:$A$287,A47,'Annual_Cost'!$B$2:$B$287,B47)</f>
      </c>
      <c r="G47" s="126" t="str">
        <f>SUMIFS($E$2:E47,$A$2:A47,A47)</f>
      </c>
      <c r="H47" s="127" t="str">
        <f>SUMIFS($F$2:F47,$A$2:A47,A47)</f>
      </c>
      <c r="I47" s="128" t="n">
        <v>318840890.732156</v>
      </c>
      <c r="J47" s="129" t="str">
        <f>IF(I47=0,"",C47/I47)</f>
      </c>
      <c r="K47" s="130" t="str">
        <f>IF(I47=0,"",D47/I47)</f>
      </c>
      <c r="L47" s="131" t="str">
        <f>IF(I47=0,"",E47/I47)</f>
      </c>
      <c r="M47" s="132" t="str">
        <f>IF(I47=0,"",F47/I47)</f>
      </c>
    </row>
    <row r="48">
      <c r="A48" t="s">
        <v>219</v>
      </c>
      <c r="B48" s="121" t="n">
        <v>2045</v>
      </c>
      <c r="C48" s="122" t="str">
        <f>SUMIFS('Annual_Cost'!$Q$2:$Q$287,'Annual_Cost'!$A$2:$A$287,A48,'Annual_Cost'!$B$2:$B$287,B48)</f>
      </c>
      <c r="D48" s="123" t="str">
        <f>SUMIFS('Annual_Cost'!$R$2:$R$287,'Annual_Cost'!$A$2:$A$287,A48,'Annual_Cost'!$B$2:$B$287,B48)</f>
      </c>
      <c r="E48" s="124" t="str">
        <f>SUMIFS('Annual_Cost'!$S$2:$S$287,'Annual_Cost'!$A$2:$A$287,A48,'Annual_Cost'!$B$2:$B$287,B48)</f>
      </c>
      <c r="F48" s="125" t="str">
        <f>SUMIFS('Annual_Cost'!$W$2:$W$287,'Annual_Cost'!$A$2:$A$287,A48,'Annual_Cost'!$B$2:$B$287,B48)</f>
      </c>
      <c r="G48" s="126" t="str">
        <f>SUMIFS($E$2:E48,$A$2:A48,A48)</f>
      </c>
      <c r="H48" s="127" t="str">
        <f>SUMIFS($F$2:F48,$A$2:A48,A48)</f>
      </c>
      <c r="I48" s="128" t="n">
        <v>319784682.33108</v>
      </c>
      <c r="J48" s="129" t="str">
        <f>IF(I48=0,"",C48/I48)</f>
      </c>
      <c r="K48" s="130" t="str">
        <f>IF(I48=0,"",D48/I48)</f>
      </c>
      <c r="L48" s="131" t="str">
        <f>IF(I48=0,"",E48/I48)</f>
      </c>
      <c r="M48" s="132" t="str">
        <f>IF(I48=0,"",F48/I48)</f>
      </c>
    </row>
    <row r="49">
      <c r="A49" t="s">
        <v>219</v>
      </c>
      <c r="B49" s="121" t="n">
        <v>2046</v>
      </c>
      <c r="C49" s="122" t="str">
        <f>SUMIFS('Annual_Cost'!$Q$2:$Q$287,'Annual_Cost'!$A$2:$A$287,A49,'Annual_Cost'!$B$2:$B$287,B49)</f>
      </c>
      <c r="D49" s="123" t="str">
        <f>SUMIFS('Annual_Cost'!$R$2:$R$287,'Annual_Cost'!$A$2:$A$287,A49,'Annual_Cost'!$B$2:$B$287,B49)</f>
      </c>
      <c r="E49" s="124" t="str">
        <f>SUMIFS('Annual_Cost'!$S$2:$S$287,'Annual_Cost'!$A$2:$A$287,A49,'Annual_Cost'!$B$2:$B$287,B49)</f>
      </c>
      <c r="F49" s="125" t="str">
        <f>SUMIFS('Annual_Cost'!$W$2:$W$287,'Annual_Cost'!$A$2:$A$287,A49,'Annual_Cost'!$B$2:$B$287,B49)</f>
      </c>
      <c r="G49" s="126" t="str">
        <f>SUMIFS($E$2:E49,$A$2:A49,A49)</f>
      </c>
      <c r="H49" s="127" t="str">
        <f>SUMIFS($F$2:F49,$A$2:A49,A49)</f>
      </c>
      <c r="I49" s="128" t="n">
        <v>320645615.981408</v>
      </c>
      <c r="J49" s="129" t="str">
        <f>IF(I49=0,"",C49/I49)</f>
      </c>
      <c r="K49" s="130" t="str">
        <f>IF(I49=0,"",D49/I49)</f>
      </c>
      <c r="L49" s="131" t="str">
        <f>IF(I49=0,"",E49/I49)</f>
      </c>
      <c r="M49" s="132" t="str">
        <f>IF(I49=0,"",F49/I49)</f>
      </c>
    </row>
    <row r="50">
      <c r="A50" t="s">
        <v>219</v>
      </c>
      <c r="B50" s="121" t="n">
        <v>2047</v>
      </c>
      <c r="C50" s="122" t="str">
        <f>SUMIFS('Annual_Cost'!$Q$2:$Q$287,'Annual_Cost'!$A$2:$A$287,A50,'Annual_Cost'!$B$2:$B$287,B50)</f>
      </c>
      <c r="D50" s="123" t="str">
        <f>SUMIFS('Annual_Cost'!$R$2:$R$287,'Annual_Cost'!$A$2:$A$287,A50,'Annual_Cost'!$B$2:$B$287,B50)</f>
      </c>
      <c r="E50" s="124" t="str">
        <f>SUMIFS('Annual_Cost'!$S$2:$S$287,'Annual_Cost'!$A$2:$A$287,A50,'Annual_Cost'!$B$2:$B$287,B50)</f>
      </c>
      <c r="F50" s="125" t="str">
        <f>SUMIFS('Annual_Cost'!$W$2:$W$287,'Annual_Cost'!$A$2:$A$287,A50,'Annual_Cost'!$B$2:$B$287,B50)</f>
      </c>
      <c r="G50" s="126" t="str">
        <f>SUMIFS($E$2:E50,$A$2:A50,A50)</f>
      </c>
      <c r="H50" s="127" t="str">
        <f>SUMIFS($F$2:F50,$A$2:A50,A50)</f>
      </c>
      <c r="I50" s="128" t="n">
        <v>321429520.522875</v>
      </c>
      <c r="J50" s="129" t="str">
        <f>IF(I50=0,"",C50/I50)</f>
      </c>
      <c r="K50" s="130" t="str">
        <f>IF(I50=0,"",D50/I50)</f>
      </c>
      <c r="L50" s="131" t="str">
        <f>IF(I50=0,"",E50/I50)</f>
      </c>
      <c r="M50" s="132" t="str">
        <f>IF(I50=0,"",F50/I50)</f>
      </c>
    </row>
    <row r="51">
      <c r="A51" t="s">
        <v>219</v>
      </c>
      <c r="B51" s="121" t="n">
        <v>2048</v>
      </c>
      <c r="C51" s="122" t="str">
        <f>SUMIFS('Annual_Cost'!$Q$2:$Q$287,'Annual_Cost'!$A$2:$A$287,A51,'Annual_Cost'!$B$2:$B$287,B51)</f>
      </c>
      <c r="D51" s="123" t="str">
        <f>SUMIFS('Annual_Cost'!$R$2:$R$287,'Annual_Cost'!$A$2:$A$287,A51,'Annual_Cost'!$B$2:$B$287,B51)</f>
      </c>
      <c r="E51" s="124" t="str">
        <f>SUMIFS('Annual_Cost'!$S$2:$S$287,'Annual_Cost'!$A$2:$A$287,A51,'Annual_Cost'!$B$2:$B$287,B51)</f>
      </c>
      <c r="F51" s="125" t="str">
        <f>SUMIFS('Annual_Cost'!$W$2:$W$287,'Annual_Cost'!$A$2:$A$287,A51,'Annual_Cost'!$B$2:$B$287,B51)</f>
      </c>
      <c r="G51" s="126" t="str">
        <f>SUMIFS($E$2:E51,$A$2:A51,A51)</f>
      </c>
      <c r="H51" s="127" t="str">
        <f>SUMIFS($F$2:F51,$A$2:A51,A51)</f>
      </c>
      <c r="I51" s="128" t="n">
        <v>322136832.260161</v>
      </c>
      <c r="J51" s="129" t="str">
        <f>IF(I51=0,"",C51/I51)</f>
      </c>
      <c r="K51" s="130" t="str">
        <f>IF(I51=0,"",D51/I51)</f>
      </c>
      <c r="L51" s="131" t="str">
        <f>IF(I51=0,"",E51/I51)</f>
      </c>
      <c r="M51" s="132" t="str">
        <f>IF(I51=0,"",F51/I51)</f>
      </c>
    </row>
    <row r="52">
      <c r="A52" t="s">
        <v>219</v>
      </c>
      <c r="B52" s="121" t="n">
        <v>2049</v>
      </c>
      <c r="C52" s="122" t="str">
        <f>SUMIFS('Annual_Cost'!$Q$2:$Q$287,'Annual_Cost'!$A$2:$A$287,A52,'Annual_Cost'!$B$2:$B$287,B52)</f>
      </c>
      <c r="D52" s="123" t="str">
        <f>SUMIFS('Annual_Cost'!$R$2:$R$287,'Annual_Cost'!$A$2:$A$287,A52,'Annual_Cost'!$B$2:$B$287,B52)</f>
      </c>
      <c r="E52" s="124" t="str">
        <f>SUMIFS('Annual_Cost'!$S$2:$S$287,'Annual_Cost'!$A$2:$A$287,A52,'Annual_Cost'!$B$2:$B$287,B52)</f>
      </c>
      <c r="F52" s="125" t="str">
        <f>SUMIFS('Annual_Cost'!$W$2:$W$287,'Annual_Cost'!$A$2:$A$287,A52,'Annual_Cost'!$B$2:$B$287,B52)</f>
      </c>
      <c r="G52" s="126" t="str">
        <f>SUMIFS($E$2:E52,$A$2:A52,A52)</f>
      </c>
      <c r="H52" s="127" t="str">
        <f>SUMIFS($F$2:F52,$A$2:A52,A52)</f>
      </c>
      <c r="I52" s="128" t="n">
        <v>322765819.752681</v>
      </c>
      <c r="J52" s="129" t="str">
        <f>IF(I52=0,"",C52/I52)</f>
      </c>
      <c r="K52" s="130" t="str">
        <f>IF(I52=0,"",D52/I52)</f>
      </c>
      <c r="L52" s="131" t="str">
        <f>IF(I52=0,"",E52/I52)</f>
      </c>
      <c r="M52" s="132" t="str">
        <f>IF(I52=0,"",F52/I52)</f>
      </c>
    </row>
    <row r="53">
      <c r="A53" t="s">
        <v>219</v>
      </c>
      <c r="B53" s="121" t="n">
        <v>2050</v>
      </c>
      <c r="C53" s="122" t="str">
        <f>SUMIFS('Annual_Cost'!$Q$2:$Q$287,'Annual_Cost'!$A$2:$A$287,A53,'Annual_Cost'!$B$2:$B$287,B53)</f>
      </c>
      <c r="D53" s="123" t="str">
        <f>SUMIFS('Annual_Cost'!$R$2:$R$287,'Annual_Cost'!$A$2:$A$287,A53,'Annual_Cost'!$B$2:$B$287,B53)</f>
      </c>
      <c r="E53" s="124" t="str">
        <f>SUMIFS('Annual_Cost'!$S$2:$S$287,'Annual_Cost'!$A$2:$A$287,A53,'Annual_Cost'!$B$2:$B$287,B53)</f>
      </c>
      <c r="F53" s="125" t="str">
        <f>SUMIFS('Annual_Cost'!$W$2:$W$287,'Annual_Cost'!$A$2:$A$287,A53,'Annual_Cost'!$B$2:$B$287,B53)</f>
      </c>
      <c r="G53" s="126" t="str">
        <f>SUMIFS($E$2:E53,$A$2:A53,A53)</f>
      </c>
      <c r="H53" s="127" t="str">
        <f>SUMIFS($F$2:F53,$A$2:A53,A53)</f>
      </c>
      <c r="I53" s="128" t="n">
        <v>323312042.563285</v>
      </c>
      <c r="J53" s="129" t="str">
        <f>IF(I53=0,"",C53/I53)</f>
      </c>
      <c r="K53" s="130" t="str">
        <f>IF(I53=0,"",D53/I53)</f>
      </c>
      <c r="L53" s="131" t="str">
        <f>IF(I53=0,"",E53/I53)</f>
      </c>
      <c r="M53" s="132" t="str">
        <f>IF(I53=0,"",F53/I53)</f>
      </c>
    </row>
    <row r="54">
      <c r="A54" t="s">
        <v>250</v>
      </c>
      <c r="B54" s="121" t="n">
        <v>2025</v>
      </c>
      <c r="C54" s="122" t="str">
        <f>SUMIFS('Annual_Cost'!$Q$2:$Q$287,'Annual_Cost'!$A$2:$A$287,A54,'Annual_Cost'!$B$2:$B$287,B54)</f>
      </c>
      <c r="D54" s="123" t="str">
        <f>SUMIFS('Annual_Cost'!$R$2:$R$287,'Annual_Cost'!$A$2:$A$287,A54,'Annual_Cost'!$B$2:$B$287,B54)</f>
      </c>
      <c r="E54" s="124" t="str">
        <f>SUMIFS('Annual_Cost'!$S$2:$S$287,'Annual_Cost'!$A$2:$A$287,A54,'Annual_Cost'!$B$2:$B$287,B54)</f>
      </c>
      <c r="F54" s="125" t="str">
        <f>SUMIFS('Annual_Cost'!$W$2:$W$287,'Annual_Cost'!$A$2:$A$287,A54,'Annual_Cost'!$B$2:$B$287,B54)</f>
      </c>
      <c r="G54" s="126" t="str">
        <f>SUMIFS($E$2:E54,$A$2:A54,A54)</f>
      </c>
      <c r="H54" s="127" t="str">
        <f>SUMIFS($F$2:F54,$A$2:A54,A54)</f>
      </c>
      <c r="I54" s="128" t="n">
        <v>288391907.644456</v>
      </c>
      <c r="J54" s="129" t="str">
        <f>IF(I54=0,"",C54/I54)</f>
      </c>
      <c r="K54" s="130" t="str">
        <f>IF(I54=0,"",D54/I54)</f>
      </c>
      <c r="L54" s="131" t="str">
        <f>IF(I54=0,"",E54/I54)</f>
      </c>
      <c r="M54" s="132" t="str">
        <f>IF(I54=0,"",F54/I54)</f>
      </c>
    </row>
    <row r="55">
      <c r="A55" t="s">
        <v>250</v>
      </c>
      <c r="B55" s="121" t="n">
        <v>2026</v>
      </c>
      <c r="C55" s="122" t="str">
        <f>SUMIFS('Annual_Cost'!$Q$2:$Q$287,'Annual_Cost'!$A$2:$A$287,A55,'Annual_Cost'!$B$2:$B$287,B55)</f>
      </c>
      <c r="D55" s="123" t="str">
        <f>SUMIFS('Annual_Cost'!$R$2:$R$287,'Annual_Cost'!$A$2:$A$287,A55,'Annual_Cost'!$B$2:$B$287,B55)</f>
      </c>
      <c r="E55" s="124" t="str">
        <f>SUMIFS('Annual_Cost'!$S$2:$S$287,'Annual_Cost'!$A$2:$A$287,A55,'Annual_Cost'!$B$2:$B$287,B55)</f>
      </c>
      <c r="F55" s="125" t="str">
        <f>SUMIFS('Annual_Cost'!$W$2:$W$287,'Annual_Cost'!$A$2:$A$287,A55,'Annual_Cost'!$B$2:$B$287,B55)</f>
      </c>
      <c r="G55" s="126" t="str">
        <f>SUMIFS($E$2:E55,$A$2:A55,A55)</f>
      </c>
      <c r="H55" s="127" t="str">
        <f>SUMIFS($F$2:F55,$A$2:A55,A55)</f>
      </c>
      <c r="I55" s="128" t="n">
        <v>290472130.233437</v>
      </c>
      <c r="J55" s="129" t="str">
        <f>IF(I55=0,"",C55/I55)</f>
      </c>
      <c r="K55" s="130" t="str">
        <f>IF(I55=0,"",D55/I55)</f>
      </c>
      <c r="L55" s="131" t="str">
        <f>IF(I55=0,"",E55/I55)</f>
      </c>
      <c r="M55" s="132" t="str">
        <f>IF(I55=0,"",F55/I55)</f>
      </c>
    </row>
    <row r="56">
      <c r="A56" t="s">
        <v>250</v>
      </c>
      <c r="B56" s="121" t="n">
        <v>2027</v>
      </c>
      <c r="C56" s="122" t="str">
        <f>SUMIFS('Annual_Cost'!$Q$2:$Q$287,'Annual_Cost'!$A$2:$A$287,A56,'Annual_Cost'!$B$2:$B$287,B56)</f>
      </c>
      <c r="D56" s="123" t="str">
        <f>SUMIFS('Annual_Cost'!$R$2:$R$287,'Annual_Cost'!$A$2:$A$287,A56,'Annual_Cost'!$B$2:$B$287,B56)</f>
      </c>
      <c r="E56" s="124" t="str">
        <f>SUMIFS('Annual_Cost'!$S$2:$S$287,'Annual_Cost'!$A$2:$A$287,A56,'Annual_Cost'!$B$2:$B$287,B56)</f>
      </c>
      <c r="F56" s="125" t="str">
        <f>SUMIFS('Annual_Cost'!$W$2:$W$287,'Annual_Cost'!$A$2:$A$287,A56,'Annual_Cost'!$B$2:$B$287,B56)</f>
      </c>
      <c r="G56" s="126" t="str">
        <f>SUMIFS($E$2:E56,$A$2:A56,A56)</f>
      </c>
      <c r="H56" s="127" t="str">
        <f>SUMIFS($F$2:F56,$A$2:A56,A56)</f>
      </c>
      <c r="I56" s="128" t="n">
        <v>292505080.826208</v>
      </c>
      <c r="J56" s="129" t="str">
        <f>IF(I56=0,"",C56/I56)</f>
      </c>
      <c r="K56" s="130" t="str">
        <f>IF(I56=0,"",D56/I56)</f>
      </c>
      <c r="L56" s="131" t="str">
        <f>IF(I56=0,"",E56/I56)</f>
      </c>
      <c r="M56" s="132" t="str">
        <f>IF(I56=0,"",F56/I56)</f>
      </c>
    </row>
    <row r="57">
      <c r="A57" t="s">
        <v>250</v>
      </c>
      <c r="B57" s="121" t="n">
        <v>2028</v>
      </c>
      <c r="C57" s="122" t="str">
        <f>SUMIFS('Annual_Cost'!$Q$2:$Q$287,'Annual_Cost'!$A$2:$A$287,A57,'Annual_Cost'!$B$2:$B$287,B57)</f>
      </c>
      <c r="D57" s="123" t="str">
        <f>SUMIFS('Annual_Cost'!$R$2:$R$287,'Annual_Cost'!$A$2:$A$287,A57,'Annual_Cost'!$B$2:$B$287,B57)</f>
      </c>
      <c r="E57" s="124" t="str">
        <f>SUMIFS('Annual_Cost'!$S$2:$S$287,'Annual_Cost'!$A$2:$A$287,A57,'Annual_Cost'!$B$2:$B$287,B57)</f>
      </c>
      <c r="F57" s="125" t="str">
        <f>SUMIFS('Annual_Cost'!$W$2:$W$287,'Annual_Cost'!$A$2:$A$287,A57,'Annual_Cost'!$B$2:$B$287,B57)</f>
      </c>
      <c r="G57" s="126" t="str">
        <f>SUMIFS($E$2:E57,$A$2:A57,A57)</f>
      </c>
      <c r="H57" s="127" t="str">
        <f>SUMIFS($F$2:F57,$A$2:A57,A57)</f>
      </c>
      <c r="I57" s="128" t="n">
        <v>294484707.921554</v>
      </c>
      <c r="J57" s="129" t="str">
        <f>IF(I57=0,"",C57/I57)</f>
      </c>
      <c r="K57" s="130" t="str">
        <f>IF(I57=0,"",D57/I57)</f>
      </c>
      <c r="L57" s="131" t="str">
        <f>IF(I57=0,"",E57/I57)</f>
      </c>
      <c r="M57" s="132" t="str">
        <f>IF(I57=0,"",F57/I57)</f>
      </c>
    </row>
    <row r="58">
      <c r="A58" t="s">
        <v>250</v>
      </c>
      <c r="B58" s="121" t="n">
        <v>2029</v>
      </c>
      <c r="C58" s="122" t="str">
        <f>SUMIFS('Annual_Cost'!$Q$2:$Q$287,'Annual_Cost'!$A$2:$A$287,A58,'Annual_Cost'!$B$2:$B$287,B58)</f>
      </c>
      <c r="D58" s="123" t="str">
        <f>SUMIFS('Annual_Cost'!$R$2:$R$287,'Annual_Cost'!$A$2:$A$287,A58,'Annual_Cost'!$B$2:$B$287,B58)</f>
      </c>
      <c r="E58" s="124" t="str">
        <f>SUMIFS('Annual_Cost'!$S$2:$S$287,'Annual_Cost'!$A$2:$A$287,A58,'Annual_Cost'!$B$2:$B$287,B58)</f>
      </c>
      <c r="F58" s="125" t="str">
        <f>SUMIFS('Annual_Cost'!$W$2:$W$287,'Annual_Cost'!$A$2:$A$287,A58,'Annual_Cost'!$B$2:$B$287,B58)</f>
      </c>
      <c r="G58" s="126" t="str">
        <f>SUMIFS($E$2:E58,$A$2:A58,A58)</f>
      </c>
      <c r="H58" s="127" t="str">
        <f>SUMIFS($F$2:F58,$A$2:A58,A58)</f>
      </c>
      <c r="I58" s="128" t="n">
        <v>296414030.31143</v>
      </c>
      <c r="J58" s="129" t="str">
        <f>IF(I58=0,"",C58/I58)</f>
      </c>
      <c r="K58" s="130" t="str">
        <f>IF(I58=0,"",D58/I58)</f>
      </c>
      <c r="L58" s="131" t="str">
        <f>IF(I58=0,"",E58/I58)</f>
      </c>
      <c r="M58" s="132" t="str">
        <f>IF(I58=0,"",F58/I58)</f>
      </c>
    </row>
    <row r="59">
      <c r="A59" t="s">
        <v>250</v>
      </c>
      <c r="B59" s="121" t="n">
        <v>2030</v>
      </c>
      <c r="C59" s="122" t="str">
        <f>SUMIFS('Annual_Cost'!$Q$2:$Q$287,'Annual_Cost'!$A$2:$A$287,A59,'Annual_Cost'!$B$2:$B$287,B59)</f>
      </c>
      <c r="D59" s="123" t="str">
        <f>SUMIFS('Annual_Cost'!$R$2:$R$287,'Annual_Cost'!$A$2:$A$287,A59,'Annual_Cost'!$B$2:$B$287,B59)</f>
      </c>
      <c r="E59" s="124" t="str">
        <f>SUMIFS('Annual_Cost'!$S$2:$S$287,'Annual_Cost'!$A$2:$A$287,A59,'Annual_Cost'!$B$2:$B$287,B59)</f>
      </c>
      <c r="F59" s="125" t="str">
        <f>SUMIFS('Annual_Cost'!$W$2:$W$287,'Annual_Cost'!$A$2:$A$287,A59,'Annual_Cost'!$B$2:$B$287,B59)</f>
      </c>
      <c r="G59" s="126" t="str">
        <f>SUMIFS($E$2:E59,$A$2:A59,A59)</f>
      </c>
      <c r="H59" s="127" t="str">
        <f>SUMIFS($F$2:F59,$A$2:A59,A59)</f>
      </c>
      <c r="I59" s="128" t="n">
        <v>298289404.664994</v>
      </c>
      <c r="J59" s="129" t="str">
        <f>IF(I59=0,"",C59/I59)</f>
      </c>
      <c r="K59" s="130" t="str">
        <f>IF(I59=0,"",D59/I59)</f>
      </c>
      <c r="L59" s="131" t="str">
        <f>IF(I59=0,"",E59/I59)</f>
      </c>
      <c r="M59" s="132" t="str">
        <f>IF(I59=0,"",F59/I59)</f>
      </c>
    </row>
    <row r="60">
      <c r="A60" t="s">
        <v>250</v>
      </c>
      <c r="B60" s="121" t="n">
        <v>2031</v>
      </c>
      <c r="C60" s="122" t="str">
        <f>SUMIFS('Annual_Cost'!$Q$2:$Q$287,'Annual_Cost'!$A$2:$A$287,A60,'Annual_Cost'!$B$2:$B$287,B60)</f>
      </c>
      <c r="D60" s="123" t="str">
        <f>SUMIFS('Annual_Cost'!$R$2:$R$287,'Annual_Cost'!$A$2:$A$287,A60,'Annual_Cost'!$B$2:$B$287,B60)</f>
      </c>
      <c r="E60" s="124" t="str">
        <f>SUMIFS('Annual_Cost'!$S$2:$S$287,'Annual_Cost'!$A$2:$A$287,A60,'Annual_Cost'!$B$2:$B$287,B60)</f>
      </c>
      <c r="F60" s="125" t="str">
        <f>SUMIFS('Annual_Cost'!$W$2:$W$287,'Annual_Cost'!$A$2:$A$287,A60,'Annual_Cost'!$B$2:$B$287,B60)</f>
      </c>
      <c r="G60" s="126" t="str">
        <f>SUMIFS($E$2:E60,$A$2:A60,A60)</f>
      </c>
      <c r="H60" s="127" t="str">
        <f>SUMIFS($F$2:F60,$A$2:A60,A60)</f>
      </c>
      <c r="I60" s="128" t="n">
        <v>300119636.925519</v>
      </c>
      <c r="J60" s="129" t="str">
        <f>IF(I60=0,"",C60/I60)</f>
      </c>
      <c r="K60" s="130" t="str">
        <f>IF(I60=0,"",D60/I60)</f>
      </c>
      <c r="L60" s="131" t="str">
        <f>IF(I60=0,"",E60/I60)</f>
      </c>
      <c r="M60" s="132" t="str">
        <f>IF(I60=0,"",F60/I60)</f>
      </c>
    </row>
    <row r="61">
      <c r="A61" t="s">
        <v>250</v>
      </c>
      <c r="B61" s="121" t="n">
        <v>2032</v>
      </c>
      <c r="C61" s="122" t="str">
        <f>SUMIFS('Annual_Cost'!$Q$2:$Q$287,'Annual_Cost'!$A$2:$A$287,A61,'Annual_Cost'!$B$2:$B$287,B61)</f>
      </c>
      <c r="D61" s="123" t="str">
        <f>SUMIFS('Annual_Cost'!$R$2:$R$287,'Annual_Cost'!$A$2:$A$287,A61,'Annual_Cost'!$B$2:$B$287,B61)</f>
      </c>
      <c r="E61" s="124" t="str">
        <f>SUMIFS('Annual_Cost'!$S$2:$S$287,'Annual_Cost'!$A$2:$A$287,A61,'Annual_Cost'!$B$2:$B$287,B61)</f>
      </c>
      <c r="F61" s="125" t="str">
        <f>SUMIFS('Annual_Cost'!$W$2:$W$287,'Annual_Cost'!$A$2:$A$287,A61,'Annual_Cost'!$B$2:$B$287,B61)</f>
      </c>
      <c r="G61" s="126" t="str">
        <f>SUMIFS($E$2:E61,$A$2:A61,A61)</f>
      </c>
      <c r="H61" s="127" t="str">
        <f>SUMIFS($F$2:F61,$A$2:A61,A61)</f>
      </c>
      <c r="I61" s="128" t="n">
        <v>301904628.083541</v>
      </c>
      <c r="J61" s="129" t="str">
        <f>IF(I61=0,"",C61/I61)</f>
      </c>
      <c r="K61" s="130" t="str">
        <f>IF(I61=0,"",D61/I61)</f>
      </c>
      <c r="L61" s="131" t="str">
        <f>IF(I61=0,"",E61/I61)</f>
      </c>
      <c r="M61" s="132" t="str">
        <f>IF(I61=0,"",F61/I61)</f>
      </c>
    </row>
    <row r="62">
      <c r="A62" t="s">
        <v>250</v>
      </c>
      <c r="B62" s="121" t="n">
        <v>2033</v>
      </c>
      <c r="C62" s="122" t="str">
        <f>SUMIFS('Annual_Cost'!$Q$2:$Q$287,'Annual_Cost'!$A$2:$A$287,A62,'Annual_Cost'!$B$2:$B$287,B62)</f>
      </c>
      <c r="D62" s="123" t="str">
        <f>SUMIFS('Annual_Cost'!$R$2:$R$287,'Annual_Cost'!$A$2:$A$287,A62,'Annual_Cost'!$B$2:$B$287,B62)</f>
      </c>
      <c r="E62" s="124" t="str">
        <f>SUMIFS('Annual_Cost'!$S$2:$S$287,'Annual_Cost'!$A$2:$A$287,A62,'Annual_Cost'!$B$2:$B$287,B62)</f>
      </c>
      <c r="F62" s="125" t="str">
        <f>SUMIFS('Annual_Cost'!$W$2:$W$287,'Annual_Cost'!$A$2:$A$287,A62,'Annual_Cost'!$B$2:$B$287,B62)</f>
      </c>
      <c r="G62" s="126" t="str">
        <f>SUMIFS($E$2:E62,$A$2:A62,A62)</f>
      </c>
      <c r="H62" s="127" t="str">
        <f>SUMIFS($F$2:F62,$A$2:A62,A62)</f>
      </c>
      <c r="I62" s="128" t="n">
        <v>303644277.16916</v>
      </c>
      <c r="J62" s="129" t="str">
        <f>IF(I62=0,"",C62/I62)</f>
      </c>
      <c r="K62" s="130" t="str">
        <f>IF(I62=0,"",D62/I62)</f>
      </c>
      <c r="L62" s="131" t="str">
        <f>IF(I62=0,"",E62/I62)</f>
      </c>
      <c r="M62" s="132" t="str">
        <f>IF(I62=0,"",F62/I62)</f>
      </c>
    </row>
    <row r="63">
      <c r="A63" t="s">
        <v>250</v>
      </c>
      <c r="B63" s="121" t="n">
        <v>2034</v>
      </c>
      <c r="C63" s="122" t="str">
        <f>SUMIFS('Annual_Cost'!$Q$2:$Q$287,'Annual_Cost'!$A$2:$A$287,A63,'Annual_Cost'!$B$2:$B$287,B63)</f>
      </c>
      <c r="D63" s="123" t="str">
        <f>SUMIFS('Annual_Cost'!$R$2:$R$287,'Annual_Cost'!$A$2:$A$287,A63,'Annual_Cost'!$B$2:$B$287,B63)</f>
      </c>
      <c r="E63" s="124" t="str">
        <f>SUMIFS('Annual_Cost'!$S$2:$S$287,'Annual_Cost'!$A$2:$A$287,A63,'Annual_Cost'!$B$2:$B$287,B63)</f>
      </c>
      <c r="F63" s="125" t="str">
        <f>SUMIFS('Annual_Cost'!$W$2:$W$287,'Annual_Cost'!$A$2:$A$287,A63,'Annual_Cost'!$B$2:$B$287,B63)</f>
      </c>
      <c r="G63" s="126" t="str">
        <f>SUMIFS($E$2:E63,$A$2:A63,A63)</f>
      </c>
      <c r="H63" s="127" t="str">
        <f>SUMIFS($F$2:F63,$A$2:A63,A63)</f>
      </c>
      <c r="I63" s="128" t="n">
        <v>305332541.184984</v>
      </c>
      <c r="J63" s="129" t="str">
        <f>IF(I63=0,"",C63/I63)</f>
      </c>
      <c r="K63" s="130" t="str">
        <f>IF(I63=0,"",D63/I63)</f>
      </c>
      <c r="L63" s="131" t="str">
        <f>IF(I63=0,"",E63/I63)</f>
      </c>
      <c r="M63" s="132" t="str">
        <f>IF(I63=0,"",F63/I63)</f>
      </c>
    </row>
    <row r="64">
      <c r="A64" t="s">
        <v>250</v>
      </c>
      <c r="B64" s="121" t="n">
        <v>2035</v>
      </c>
      <c r="C64" s="122" t="str">
        <f>SUMIFS('Annual_Cost'!$Q$2:$Q$287,'Annual_Cost'!$A$2:$A$287,A64,'Annual_Cost'!$B$2:$B$287,B64)</f>
      </c>
      <c r="D64" s="123" t="str">
        <f>SUMIFS('Annual_Cost'!$R$2:$R$287,'Annual_Cost'!$A$2:$A$287,A64,'Annual_Cost'!$B$2:$B$287,B64)</f>
      </c>
      <c r="E64" s="124" t="str">
        <f>SUMIFS('Annual_Cost'!$S$2:$S$287,'Annual_Cost'!$A$2:$A$287,A64,'Annual_Cost'!$B$2:$B$287,B64)</f>
      </c>
      <c r="F64" s="125" t="str">
        <f>SUMIFS('Annual_Cost'!$W$2:$W$287,'Annual_Cost'!$A$2:$A$287,A64,'Annual_Cost'!$B$2:$B$287,B64)</f>
      </c>
      <c r="G64" s="126" t="str">
        <f>SUMIFS($E$2:E64,$A$2:A64,A64)</f>
      </c>
      <c r="H64" s="127" t="str">
        <f>SUMIFS($F$2:F64,$A$2:A64,A64)</f>
      </c>
      <c r="I64" s="128" t="n">
        <v>306964650.16712</v>
      </c>
      <c r="J64" s="129" t="str">
        <f>IF(I64=0,"",C64/I64)</f>
      </c>
      <c r="K64" s="130" t="str">
        <f>IF(I64=0,"",D64/I64)</f>
      </c>
      <c r="L64" s="131" t="str">
        <f>IF(I64=0,"",E64/I64)</f>
      </c>
      <c r="M64" s="132" t="str">
        <f>IF(I64=0,"",F64/I64)</f>
      </c>
    </row>
    <row r="65">
      <c r="A65" t="s">
        <v>250</v>
      </c>
      <c r="B65" s="121" t="n">
        <v>2036</v>
      </c>
      <c r="C65" s="122" t="str">
        <f>SUMIFS('Annual_Cost'!$Q$2:$Q$287,'Annual_Cost'!$A$2:$A$287,A65,'Annual_Cost'!$B$2:$B$287,B65)</f>
      </c>
      <c r="D65" s="123" t="str">
        <f>SUMIFS('Annual_Cost'!$R$2:$R$287,'Annual_Cost'!$A$2:$A$287,A65,'Annual_Cost'!$B$2:$B$287,B65)</f>
      </c>
      <c r="E65" s="124" t="str">
        <f>SUMIFS('Annual_Cost'!$S$2:$S$287,'Annual_Cost'!$A$2:$A$287,A65,'Annual_Cost'!$B$2:$B$287,B65)</f>
      </c>
      <c r="F65" s="125" t="str">
        <f>SUMIFS('Annual_Cost'!$W$2:$W$287,'Annual_Cost'!$A$2:$A$287,A65,'Annual_Cost'!$B$2:$B$287,B65)</f>
      </c>
      <c r="G65" s="126" t="str">
        <f>SUMIFS($E$2:E65,$A$2:A65,A65)</f>
      </c>
      <c r="H65" s="127" t="str">
        <f>SUMIFS($F$2:F65,$A$2:A65,A65)</f>
      </c>
      <c r="I65" s="128" t="n">
        <v>308542769.756622</v>
      </c>
      <c r="J65" s="129" t="str">
        <f>IF(I65=0,"",C65/I65)</f>
      </c>
      <c r="K65" s="130" t="str">
        <f>IF(I65=0,"",D65/I65)</f>
      </c>
      <c r="L65" s="131" t="str">
        <f>IF(I65=0,"",E65/I65)</f>
      </c>
      <c r="M65" s="132" t="str">
        <f>IF(I65=0,"",F65/I65)</f>
      </c>
    </row>
    <row r="66">
      <c r="A66" t="s">
        <v>250</v>
      </c>
      <c r="B66" s="121" t="n">
        <v>2037</v>
      </c>
      <c r="C66" s="122" t="str">
        <f>SUMIFS('Annual_Cost'!$Q$2:$Q$287,'Annual_Cost'!$A$2:$A$287,A66,'Annual_Cost'!$B$2:$B$287,B66)</f>
      </c>
      <c r="D66" s="123" t="str">
        <f>SUMIFS('Annual_Cost'!$R$2:$R$287,'Annual_Cost'!$A$2:$A$287,A66,'Annual_Cost'!$B$2:$B$287,B66)</f>
      </c>
      <c r="E66" s="124" t="str">
        <f>SUMIFS('Annual_Cost'!$S$2:$S$287,'Annual_Cost'!$A$2:$A$287,A66,'Annual_Cost'!$B$2:$B$287,B66)</f>
      </c>
      <c r="F66" s="125" t="str">
        <f>SUMIFS('Annual_Cost'!$W$2:$W$287,'Annual_Cost'!$A$2:$A$287,A66,'Annual_Cost'!$B$2:$B$287,B66)</f>
      </c>
      <c r="G66" s="126" t="str">
        <f>SUMIFS($E$2:E66,$A$2:A66,A66)</f>
      </c>
      <c r="H66" s="127" t="str">
        <f>SUMIFS($F$2:F66,$A$2:A66,A66)</f>
      </c>
      <c r="I66" s="128" t="n">
        <v>310068287.63643</v>
      </c>
      <c r="J66" s="129" t="str">
        <f>IF(I66=0,"",C66/I66)</f>
      </c>
      <c r="K66" s="130" t="str">
        <f>IF(I66=0,"",D66/I66)</f>
      </c>
      <c r="L66" s="131" t="str">
        <f>IF(I66=0,"",E66/I66)</f>
      </c>
      <c r="M66" s="132" t="str">
        <f>IF(I66=0,"",F66/I66)</f>
      </c>
    </row>
    <row r="67">
      <c r="A67" t="s">
        <v>250</v>
      </c>
      <c r="B67" s="121" t="n">
        <v>2038</v>
      </c>
      <c r="C67" s="122" t="str">
        <f>SUMIFS('Annual_Cost'!$Q$2:$Q$287,'Annual_Cost'!$A$2:$A$287,A67,'Annual_Cost'!$B$2:$B$287,B67)</f>
      </c>
      <c r="D67" s="123" t="str">
        <f>SUMIFS('Annual_Cost'!$R$2:$R$287,'Annual_Cost'!$A$2:$A$287,A67,'Annual_Cost'!$B$2:$B$287,B67)</f>
      </c>
      <c r="E67" s="124" t="str">
        <f>SUMIFS('Annual_Cost'!$S$2:$S$287,'Annual_Cost'!$A$2:$A$287,A67,'Annual_Cost'!$B$2:$B$287,B67)</f>
      </c>
      <c r="F67" s="125" t="str">
        <f>SUMIFS('Annual_Cost'!$W$2:$W$287,'Annual_Cost'!$A$2:$A$287,A67,'Annual_Cost'!$B$2:$B$287,B67)</f>
      </c>
      <c r="G67" s="126" t="str">
        <f>SUMIFS($E$2:E67,$A$2:A67,A67)</f>
      </c>
      <c r="H67" s="127" t="str">
        <f>SUMIFS($F$2:F67,$A$2:A67,A67)</f>
      </c>
      <c r="I67" s="128" t="n">
        <v>311532999.13163</v>
      </c>
      <c r="J67" s="129" t="str">
        <f>IF(I67=0,"",C67/I67)</f>
      </c>
      <c r="K67" s="130" t="str">
        <f>IF(I67=0,"",D67/I67)</f>
      </c>
      <c r="L67" s="131" t="str">
        <f>IF(I67=0,"",E67/I67)</f>
      </c>
      <c r="M67" s="132" t="str">
        <f>IF(I67=0,"",F67/I67)</f>
      </c>
    </row>
    <row r="68">
      <c r="A68" t="s">
        <v>250</v>
      </c>
      <c r="B68" s="121" t="n">
        <v>2039</v>
      </c>
      <c r="C68" s="122" t="str">
        <f>SUMIFS('Annual_Cost'!$Q$2:$Q$287,'Annual_Cost'!$A$2:$A$287,A68,'Annual_Cost'!$B$2:$B$287,B68)</f>
      </c>
      <c r="D68" s="123" t="str">
        <f>SUMIFS('Annual_Cost'!$R$2:$R$287,'Annual_Cost'!$A$2:$A$287,A68,'Annual_Cost'!$B$2:$B$287,B68)</f>
      </c>
      <c r="E68" s="124" t="str">
        <f>SUMIFS('Annual_Cost'!$S$2:$S$287,'Annual_Cost'!$A$2:$A$287,A68,'Annual_Cost'!$B$2:$B$287,B68)</f>
      </c>
      <c r="F68" s="125" t="str">
        <f>SUMIFS('Annual_Cost'!$W$2:$W$287,'Annual_Cost'!$A$2:$A$287,A68,'Annual_Cost'!$B$2:$B$287,B68)</f>
      </c>
      <c r="G68" s="126" t="str">
        <f>SUMIFS($E$2:E68,$A$2:A68,A68)</f>
      </c>
      <c r="H68" s="127" t="str">
        <f>SUMIFS($F$2:F68,$A$2:A68,A68)</f>
      </c>
      <c r="I68" s="128" t="n">
        <v>312936391.858479</v>
      </c>
      <c r="J68" s="129" t="str">
        <f>IF(I68=0,"",C68/I68)</f>
      </c>
      <c r="K68" s="130" t="str">
        <f>IF(I68=0,"",D68/I68)</f>
      </c>
      <c r="L68" s="131" t="str">
        <f>IF(I68=0,"",E68/I68)</f>
      </c>
      <c r="M68" s="132" t="str">
        <f>IF(I68=0,"",F68/I68)</f>
      </c>
    </row>
    <row r="69">
      <c r="A69" t="s">
        <v>250</v>
      </c>
      <c r="B69" s="121" t="n">
        <v>2040</v>
      </c>
      <c r="C69" s="122" t="str">
        <f>SUMIFS('Annual_Cost'!$Q$2:$Q$287,'Annual_Cost'!$A$2:$A$287,A69,'Annual_Cost'!$B$2:$B$287,B69)</f>
      </c>
      <c r="D69" s="123" t="str">
        <f>SUMIFS('Annual_Cost'!$R$2:$R$287,'Annual_Cost'!$A$2:$A$287,A69,'Annual_Cost'!$B$2:$B$287,B69)</f>
      </c>
      <c r="E69" s="124" t="str">
        <f>SUMIFS('Annual_Cost'!$S$2:$S$287,'Annual_Cost'!$A$2:$A$287,A69,'Annual_Cost'!$B$2:$B$287,B69)</f>
      </c>
      <c r="F69" s="125" t="str">
        <f>SUMIFS('Annual_Cost'!$W$2:$W$287,'Annual_Cost'!$A$2:$A$287,A69,'Annual_Cost'!$B$2:$B$287,B69)</f>
      </c>
      <c r="G69" s="126" t="str">
        <f>SUMIFS($E$2:E69,$A$2:A69,A69)</f>
      </c>
      <c r="H69" s="127" t="str">
        <f>SUMIFS($F$2:F69,$A$2:A69,A69)</f>
      </c>
      <c r="I69" s="128" t="n">
        <v>314265537.410829</v>
      </c>
      <c r="J69" s="129" t="str">
        <f>IF(I69=0,"",C69/I69)</f>
      </c>
      <c r="K69" s="130" t="str">
        <f>IF(I69=0,"",D69/I69)</f>
      </c>
      <c r="L69" s="131" t="str">
        <f>IF(I69=0,"",E69/I69)</f>
      </c>
      <c r="M69" s="132" t="str">
        <f>IF(I69=0,"",F69/I69)</f>
      </c>
    </row>
    <row r="70">
      <c r="A70" t="s">
        <v>250</v>
      </c>
      <c r="B70" s="121" t="n">
        <v>2041</v>
      </c>
      <c r="C70" s="122" t="str">
        <f>SUMIFS('Annual_Cost'!$Q$2:$Q$287,'Annual_Cost'!$A$2:$A$287,A70,'Annual_Cost'!$B$2:$B$287,B70)</f>
      </c>
      <c r="D70" s="123" t="str">
        <f>SUMIFS('Annual_Cost'!$R$2:$R$287,'Annual_Cost'!$A$2:$A$287,A70,'Annual_Cost'!$B$2:$B$287,B70)</f>
      </c>
      <c r="E70" s="124" t="str">
        <f>SUMIFS('Annual_Cost'!$S$2:$S$287,'Annual_Cost'!$A$2:$A$287,A70,'Annual_Cost'!$B$2:$B$287,B70)</f>
      </c>
      <c r="F70" s="125" t="str">
        <f>SUMIFS('Annual_Cost'!$W$2:$W$287,'Annual_Cost'!$A$2:$A$287,A70,'Annual_Cost'!$B$2:$B$287,B70)</f>
      </c>
      <c r="G70" s="126" t="str">
        <f>SUMIFS($E$2:E70,$A$2:A70,A70)</f>
      </c>
      <c r="H70" s="127" t="str">
        <f>SUMIFS($F$2:F70,$A$2:A70,A70)</f>
      </c>
      <c r="I70" s="128" t="n">
        <v>315525215.312548</v>
      </c>
      <c r="J70" s="129" t="str">
        <f>IF(I70=0,"",C70/I70)</f>
      </c>
      <c r="K70" s="130" t="str">
        <f>IF(I70=0,"",D70/I70)</f>
      </c>
      <c r="L70" s="131" t="str">
        <f>IF(I70=0,"",E70/I70)</f>
      </c>
      <c r="M70" s="132" t="str">
        <f>IF(I70=0,"",F70/I70)</f>
      </c>
    </row>
    <row r="71">
      <c r="A71" t="s">
        <v>250</v>
      </c>
      <c r="B71" s="121" t="n">
        <v>2042</v>
      </c>
      <c r="C71" s="122" t="str">
        <f>SUMIFS('Annual_Cost'!$Q$2:$Q$287,'Annual_Cost'!$A$2:$A$287,A71,'Annual_Cost'!$B$2:$B$287,B71)</f>
      </c>
      <c r="D71" s="123" t="str">
        <f>SUMIFS('Annual_Cost'!$R$2:$R$287,'Annual_Cost'!$A$2:$A$287,A71,'Annual_Cost'!$B$2:$B$287,B71)</f>
      </c>
      <c r="E71" s="124" t="str">
        <f>SUMIFS('Annual_Cost'!$S$2:$S$287,'Annual_Cost'!$A$2:$A$287,A71,'Annual_Cost'!$B$2:$B$287,B71)</f>
      </c>
      <c r="F71" s="125" t="str">
        <f>SUMIFS('Annual_Cost'!$W$2:$W$287,'Annual_Cost'!$A$2:$A$287,A71,'Annual_Cost'!$B$2:$B$287,B71)</f>
      </c>
      <c r="G71" s="126" t="str">
        <f>SUMIFS($E$2:E71,$A$2:A71,A71)</f>
      </c>
      <c r="H71" s="127" t="str">
        <f>SUMIFS($F$2:F71,$A$2:A71,A71)</f>
      </c>
      <c r="I71" s="128" t="n">
        <v>316707694.211882</v>
      </c>
      <c r="J71" s="129" t="str">
        <f>IF(I71=0,"",C71/I71)</f>
      </c>
      <c r="K71" s="130" t="str">
        <f>IF(I71=0,"",D71/I71)</f>
      </c>
      <c r="L71" s="131" t="str">
        <f>IF(I71=0,"",E71/I71)</f>
      </c>
      <c r="M71" s="132" t="str">
        <f>IF(I71=0,"",F71/I71)</f>
      </c>
    </row>
    <row r="72">
      <c r="A72" t="s">
        <v>250</v>
      </c>
      <c r="B72" s="121" t="n">
        <v>2043</v>
      </c>
      <c r="C72" s="122" t="str">
        <f>SUMIFS('Annual_Cost'!$Q$2:$Q$287,'Annual_Cost'!$A$2:$A$287,A72,'Annual_Cost'!$B$2:$B$287,B72)</f>
      </c>
      <c r="D72" s="123" t="str">
        <f>SUMIFS('Annual_Cost'!$R$2:$R$287,'Annual_Cost'!$A$2:$A$287,A72,'Annual_Cost'!$B$2:$B$287,B72)</f>
      </c>
      <c r="E72" s="124" t="str">
        <f>SUMIFS('Annual_Cost'!$S$2:$S$287,'Annual_Cost'!$A$2:$A$287,A72,'Annual_Cost'!$B$2:$B$287,B72)</f>
      </c>
      <c r="F72" s="125" t="str">
        <f>SUMIFS('Annual_Cost'!$W$2:$W$287,'Annual_Cost'!$A$2:$A$287,A72,'Annual_Cost'!$B$2:$B$287,B72)</f>
      </c>
      <c r="G72" s="126" t="str">
        <f>SUMIFS($E$2:E72,$A$2:A72,A72)</f>
      </c>
      <c r="H72" s="127" t="str">
        <f>SUMIFS($F$2:F72,$A$2:A72,A72)</f>
      </c>
      <c r="I72" s="128" t="n">
        <v>317814114.067152</v>
      </c>
      <c r="J72" s="129" t="str">
        <f>IF(I72=0,"",C72/I72)</f>
      </c>
      <c r="K72" s="130" t="str">
        <f>IF(I72=0,"",D72/I72)</f>
      </c>
      <c r="L72" s="131" t="str">
        <f>IF(I72=0,"",E72/I72)</f>
      </c>
      <c r="M72" s="132" t="str">
        <f>IF(I72=0,"",F72/I72)</f>
      </c>
    </row>
    <row r="73">
      <c r="A73" t="s">
        <v>250</v>
      </c>
      <c r="B73" s="121" t="n">
        <v>2044</v>
      </c>
      <c r="C73" s="122" t="str">
        <f>SUMIFS('Annual_Cost'!$Q$2:$Q$287,'Annual_Cost'!$A$2:$A$287,A73,'Annual_Cost'!$B$2:$B$287,B73)</f>
      </c>
      <c r="D73" s="123" t="str">
        <f>SUMIFS('Annual_Cost'!$R$2:$R$287,'Annual_Cost'!$A$2:$A$287,A73,'Annual_Cost'!$B$2:$B$287,B73)</f>
      </c>
      <c r="E73" s="124" t="str">
        <f>SUMIFS('Annual_Cost'!$S$2:$S$287,'Annual_Cost'!$A$2:$A$287,A73,'Annual_Cost'!$B$2:$B$287,B73)</f>
      </c>
      <c r="F73" s="125" t="str">
        <f>SUMIFS('Annual_Cost'!$W$2:$W$287,'Annual_Cost'!$A$2:$A$287,A73,'Annual_Cost'!$B$2:$B$287,B73)</f>
      </c>
      <c r="G73" s="126" t="str">
        <f>SUMIFS($E$2:E73,$A$2:A73,A73)</f>
      </c>
      <c r="H73" s="127" t="str">
        <f>SUMIFS($F$2:F73,$A$2:A73,A73)</f>
      </c>
      <c r="I73" s="128" t="n">
        <v>318840890.732156</v>
      </c>
      <c r="J73" s="129" t="str">
        <f>IF(I73=0,"",C73/I73)</f>
      </c>
      <c r="K73" s="130" t="str">
        <f>IF(I73=0,"",D73/I73)</f>
      </c>
      <c r="L73" s="131" t="str">
        <f>IF(I73=0,"",E73/I73)</f>
      </c>
      <c r="M73" s="132" t="str">
        <f>IF(I73=0,"",F73/I73)</f>
      </c>
    </row>
    <row r="74">
      <c r="A74" t="s">
        <v>250</v>
      </c>
      <c r="B74" s="121" t="n">
        <v>2045</v>
      </c>
      <c r="C74" s="122" t="str">
        <f>SUMIFS('Annual_Cost'!$Q$2:$Q$287,'Annual_Cost'!$A$2:$A$287,A74,'Annual_Cost'!$B$2:$B$287,B74)</f>
      </c>
      <c r="D74" s="123" t="str">
        <f>SUMIFS('Annual_Cost'!$R$2:$R$287,'Annual_Cost'!$A$2:$A$287,A74,'Annual_Cost'!$B$2:$B$287,B74)</f>
      </c>
      <c r="E74" s="124" t="str">
        <f>SUMIFS('Annual_Cost'!$S$2:$S$287,'Annual_Cost'!$A$2:$A$287,A74,'Annual_Cost'!$B$2:$B$287,B74)</f>
      </c>
      <c r="F74" s="125" t="str">
        <f>SUMIFS('Annual_Cost'!$W$2:$W$287,'Annual_Cost'!$A$2:$A$287,A74,'Annual_Cost'!$B$2:$B$287,B74)</f>
      </c>
      <c r="G74" s="126" t="str">
        <f>SUMIFS($E$2:E74,$A$2:A74,A74)</f>
      </c>
      <c r="H74" s="127" t="str">
        <f>SUMIFS($F$2:F74,$A$2:A74,A74)</f>
      </c>
      <c r="I74" s="128" t="n">
        <v>319784682.33108</v>
      </c>
      <c r="J74" s="129" t="str">
        <f>IF(I74=0,"",C74/I74)</f>
      </c>
      <c r="K74" s="130" t="str">
        <f>IF(I74=0,"",D74/I74)</f>
      </c>
      <c r="L74" s="131" t="str">
        <f>IF(I74=0,"",E74/I74)</f>
      </c>
      <c r="M74" s="132" t="str">
        <f>IF(I74=0,"",F74/I74)</f>
      </c>
    </row>
    <row r="75">
      <c r="A75" t="s">
        <v>250</v>
      </c>
      <c r="B75" s="121" t="n">
        <v>2046</v>
      </c>
      <c r="C75" s="122" t="str">
        <f>SUMIFS('Annual_Cost'!$Q$2:$Q$287,'Annual_Cost'!$A$2:$A$287,A75,'Annual_Cost'!$B$2:$B$287,B75)</f>
      </c>
      <c r="D75" s="123" t="str">
        <f>SUMIFS('Annual_Cost'!$R$2:$R$287,'Annual_Cost'!$A$2:$A$287,A75,'Annual_Cost'!$B$2:$B$287,B75)</f>
      </c>
      <c r="E75" s="124" t="str">
        <f>SUMIFS('Annual_Cost'!$S$2:$S$287,'Annual_Cost'!$A$2:$A$287,A75,'Annual_Cost'!$B$2:$B$287,B75)</f>
      </c>
      <c r="F75" s="125" t="str">
        <f>SUMIFS('Annual_Cost'!$W$2:$W$287,'Annual_Cost'!$A$2:$A$287,A75,'Annual_Cost'!$B$2:$B$287,B75)</f>
      </c>
      <c r="G75" s="126" t="str">
        <f>SUMIFS($E$2:E75,$A$2:A75,A75)</f>
      </c>
      <c r="H75" s="127" t="str">
        <f>SUMIFS($F$2:F75,$A$2:A75,A75)</f>
      </c>
      <c r="I75" s="128" t="n">
        <v>320645615.981408</v>
      </c>
      <c r="J75" s="129" t="str">
        <f>IF(I75=0,"",C75/I75)</f>
      </c>
      <c r="K75" s="130" t="str">
        <f>IF(I75=0,"",D75/I75)</f>
      </c>
      <c r="L75" s="131" t="str">
        <f>IF(I75=0,"",E75/I75)</f>
      </c>
      <c r="M75" s="132" t="str">
        <f>IF(I75=0,"",F75/I75)</f>
      </c>
    </row>
    <row r="76">
      <c r="A76" t="s">
        <v>250</v>
      </c>
      <c r="B76" s="121" t="n">
        <v>2047</v>
      </c>
      <c r="C76" s="122" t="str">
        <f>SUMIFS('Annual_Cost'!$Q$2:$Q$287,'Annual_Cost'!$A$2:$A$287,A76,'Annual_Cost'!$B$2:$B$287,B76)</f>
      </c>
      <c r="D76" s="123" t="str">
        <f>SUMIFS('Annual_Cost'!$R$2:$R$287,'Annual_Cost'!$A$2:$A$287,A76,'Annual_Cost'!$B$2:$B$287,B76)</f>
      </c>
      <c r="E76" s="124" t="str">
        <f>SUMIFS('Annual_Cost'!$S$2:$S$287,'Annual_Cost'!$A$2:$A$287,A76,'Annual_Cost'!$B$2:$B$287,B76)</f>
      </c>
      <c r="F76" s="125" t="str">
        <f>SUMIFS('Annual_Cost'!$W$2:$W$287,'Annual_Cost'!$A$2:$A$287,A76,'Annual_Cost'!$B$2:$B$287,B76)</f>
      </c>
      <c r="G76" s="126" t="str">
        <f>SUMIFS($E$2:E76,$A$2:A76,A76)</f>
      </c>
      <c r="H76" s="127" t="str">
        <f>SUMIFS($F$2:F76,$A$2:A76,A76)</f>
      </c>
      <c r="I76" s="128" t="n">
        <v>321429520.522875</v>
      </c>
      <c r="J76" s="129" t="str">
        <f>IF(I76=0,"",C76/I76)</f>
      </c>
      <c r="K76" s="130" t="str">
        <f>IF(I76=0,"",D76/I76)</f>
      </c>
      <c r="L76" s="131" t="str">
        <f>IF(I76=0,"",E76/I76)</f>
      </c>
      <c r="M76" s="132" t="str">
        <f>IF(I76=0,"",F76/I76)</f>
      </c>
    </row>
    <row r="77">
      <c r="A77" t="s">
        <v>250</v>
      </c>
      <c r="B77" s="121" t="n">
        <v>2048</v>
      </c>
      <c r="C77" s="122" t="str">
        <f>SUMIFS('Annual_Cost'!$Q$2:$Q$287,'Annual_Cost'!$A$2:$A$287,A77,'Annual_Cost'!$B$2:$B$287,B77)</f>
      </c>
      <c r="D77" s="123" t="str">
        <f>SUMIFS('Annual_Cost'!$R$2:$R$287,'Annual_Cost'!$A$2:$A$287,A77,'Annual_Cost'!$B$2:$B$287,B77)</f>
      </c>
      <c r="E77" s="124" t="str">
        <f>SUMIFS('Annual_Cost'!$S$2:$S$287,'Annual_Cost'!$A$2:$A$287,A77,'Annual_Cost'!$B$2:$B$287,B77)</f>
      </c>
      <c r="F77" s="125" t="str">
        <f>SUMIFS('Annual_Cost'!$W$2:$W$287,'Annual_Cost'!$A$2:$A$287,A77,'Annual_Cost'!$B$2:$B$287,B77)</f>
      </c>
      <c r="G77" s="126" t="str">
        <f>SUMIFS($E$2:E77,$A$2:A77,A77)</f>
      </c>
      <c r="H77" s="127" t="str">
        <f>SUMIFS($F$2:F77,$A$2:A77,A77)</f>
      </c>
      <c r="I77" s="128" t="n">
        <v>322136832.260161</v>
      </c>
      <c r="J77" s="129" t="str">
        <f>IF(I77=0,"",C77/I77)</f>
      </c>
      <c r="K77" s="130" t="str">
        <f>IF(I77=0,"",D77/I77)</f>
      </c>
      <c r="L77" s="131" t="str">
        <f>IF(I77=0,"",E77/I77)</f>
      </c>
      <c r="M77" s="132" t="str">
        <f>IF(I77=0,"",F77/I77)</f>
      </c>
    </row>
    <row r="78">
      <c r="A78" t="s">
        <v>250</v>
      </c>
      <c r="B78" s="121" t="n">
        <v>2049</v>
      </c>
      <c r="C78" s="122" t="str">
        <f>SUMIFS('Annual_Cost'!$Q$2:$Q$287,'Annual_Cost'!$A$2:$A$287,A78,'Annual_Cost'!$B$2:$B$287,B78)</f>
      </c>
      <c r="D78" s="123" t="str">
        <f>SUMIFS('Annual_Cost'!$R$2:$R$287,'Annual_Cost'!$A$2:$A$287,A78,'Annual_Cost'!$B$2:$B$287,B78)</f>
      </c>
      <c r="E78" s="124" t="str">
        <f>SUMIFS('Annual_Cost'!$S$2:$S$287,'Annual_Cost'!$A$2:$A$287,A78,'Annual_Cost'!$B$2:$B$287,B78)</f>
      </c>
      <c r="F78" s="125" t="str">
        <f>SUMIFS('Annual_Cost'!$W$2:$W$287,'Annual_Cost'!$A$2:$A$287,A78,'Annual_Cost'!$B$2:$B$287,B78)</f>
      </c>
      <c r="G78" s="126" t="str">
        <f>SUMIFS($E$2:E78,$A$2:A78,A78)</f>
      </c>
      <c r="H78" s="127" t="str">
        <f>SUMIFS($F$2:F78,$A$2:A78,A78)</f>
      </c>
      <c r="I78" s="128" t="n">
        <v>322765819.752681</v>
      </c>
      <c r="J78" s="129" t="str">
        <f>IF(I78=0,"",C78/I78)</f>
      </c>
      <c r="K78" s="130" t="str">
        <f>IF(I78=0,"",D78/I78)</f>
      </c>
      <c r="L78" s="131" t="str">
        <f>IF(I78=0,"",E78/I78)</f>
      </c>
      <c r="M78" s="132" t="str">
        <f>IF(I78=0,"",F78/I78)</f>
      </c>
    </row>
    <row r="79">
      <c r="A79" t="s">
        <v>250</v>
      </c>
      <c r="B79" s="121" t="n">
        <v>2050</v>
      </c>
      <c r="C79" s="122" t="str">
        <f>SUMIFS('Annual_Cost'!$Q$2:$Q$287,'Annual_Cost'!$A$2:$A$287,A79,'Annual_Cost'!$B$2:$B$287,B79)</f>
      </c>
      <c r="D79" s="123" t="str">
        <f>SUMIFS('Annual_Cost'!$R$2:$R$287,'Annual_Cost'!$A$2:$A$287,A79,'Annual_Cost'!$B$2:$B$287,B79)</f>
      </c>
      <c r="E79" s="124" t="str">
        <f>SUMIFS('Annual_Cost'!$S$2:$S$287,'Annual_Cost'!$A$2:$A$287,A79,'Annual_Cost'!$B$2:$B$287,B79)</f>
      </c>
      <c r="F79" s="125" t="str">
        <f>SUMIFS('Annual_Cost'!$W$2:$W$287,'Annual_Cost'!$A$2:$A$287,A79,'Annual_Cost'!$B$2:$B$287,B79)</f>
      </c>
      <c r="G79" s="126" t="str">
        <f>SUMIFS($E$2:E79,$A$2:A79,A79)</f>
      </c>
      <c r="H79" s="127" t="str">
        <f>SUMIFS($F$2:F79,$A$2:A79,A79)</f>
      </c>
      <c r="I79" s="128" t="n">
        <v>323312042.563285</v>
      </c>
      <c r="J79" s="129" t="str">
        <f>IF(I79=0,"",C79/I79)</f>
      </c>
      <c r="K79" s="130" t="str">
        <f>IF(I79=0,"",D79/I79)</f>
      </c>
      <c r="L79" s="131" t="str">
        <f>IF(I79=0,"",E79/I79)</f>
      </c>
      <c r="M79" s="132" t="str">
        <f>IF(I79=0,"",F79/I79)</f>
      </c>
    </row>
    <row r="80">
      <c r="A80" t="s">
        <v>262</v>
      </c>
      <c r="B80" s="121" t="n">
        <v>2025</v>
      </c>
      <c r="C80" s="122" t="str">
        <f>SUMIFS('Annual_Cost'!$Q$2:$Q$287,'Annual_Cost'!$A$2:$A$287,A80,'Annual_Cost'!$B$2:$B$287,B80)</f>
      </c>
      <c r="D80" s="123" t="str">
        <f>SUMIFS('Annual_Cost'!$R$2:$R$287,'Annual_Cost'!$A$2:$A$287,A80,'Annual_Cost'!$B$2:$B$287,B80)</f>
      </c>
      <c r="E80" s="124" t="str">
        <f>SUMIFS('Annual_Cost'!$S$2:$S$287,'Annual_Cost'!$A$2:$A$287,A80,'Annual_Cost'!$B$2:$B$287,B80)</f>
      </c>
      <c r="F80" s="125" t="str">
        <f>SUMIFS('Annual_Cost'!$W$2:$W$287,'Annual_Cost'!$A$2:$A$287,A80,'Annual_Cost'!$B$2:$B$287,B80)</f>
      </c>
      <c r="G80" s="126" t="str">
        <f>SUMIFS($E$2:E80,$A$2:A80,A80)</f>
      </c>
      <c r="H80" s="127" t="str">
        <f>SUMIFS($F$2:F80,$A$2:A80,A80)</f>
      </c>
      <c r="I80" s="128" t="n">
        <v>288391907.644456</v>
      </c>
      <c r="J80" s="129" t="str">
        <f>IF(I80=0,"",C80/I80)</f>
      </c>
      <c r="K80" s="130" t="str">
        <f>IF(I80=0,"",D80/I80)</f>
      </c>
      <c r="L80" s="131" t="str">
        <f>IF(I80=0,"",E80/I80)</f>
      </c>
      <c r="M80" s="132" t="str">
        <f>IF(I80=0,"",F80/I80)</f>
      </c>
    </row>
    <row r="81">
      <c r="A81" t="s">
        <v>262</v>
      </c>
      <c r="B81" s="121" t="n">
        <v>2026</v>
      </c>
      <c r="C81" s="122" t="str">
        <f>SUMIFS('Annual_Cost'!$Q$2:$Q$287,'Annual_Cost'!$A$2:$A$287,A81,'Annual_Cost'!$B$2:$B$287,B81)</f>
      </c>
      <c r="D81" s="123" t="str">
        <f>SUMIFS('Annual_Cost'!$R$2:$R$287,'Annual_Cost'!$A$2:$A$287,A81,'Annual_Cost'!$B$2:$B$287,B81)</f>
      </c>
      <c r="E81" s="124" t="str">
        <f>SUMIFS('Annual_Cost'!$S$2:$S$287,'Annual_Cost'!$A$2:$A$287,A81,'Annual_Cost'!$B$2:$B$287,B81)</f>
      </c>
      <c r="F81" s="125" t="str">
        <f>SUMIFS('Annual_Cost'!$W$2:$W$287,'Annual_Cost'!$A$2:$A$287,A81,'Annual_Cost'!$B$2:$B$287,B81)</f>
      </c>
      <c r="G81" s="126" t="str">
        <f>SUMIFS($E$2:E81,$A$2:A81,A81)</f>
      </c>
      <c r="H81" s="127" t="str">
        <f>SUMIFS($F$2:F81,$A$2:A81,A81)</f>
      </c>
      <c r="I81" s="128" t="n">
        <v>290472130.233437</v>
      </c>
      <c r="J81" s="129" t="str">
        <f>IF(I81=0,"",C81/I81)</f>
      </c>
      <c r="K81" s="130" t="str">
        <f>IF(I81=0,"",D81/I81)</f>
      </c>
      <c r="L81" s="131" t="str">
        <f>IF(I81=0,"",E81/I81)</f>
      </c>
      <c r="M81" s="132" t="str">
        <f>IF(I81=0,"",F81/I81)</f>
      </c>
    </row>
    <row r="82">
      <c r="A82" t="s">
        <v>262</v>
      </c>
      <c r="B82" s="121" t="n">
        <v>2027</v>
      </c>
      <c r="C82" s="122" t="str">
        <f>SUMIFS('Annual_Cost'!$Q$2:$Q$287,'Annual_Cost'!$A$2:$A$287,A82,'Annual_Cost'!$B$2:$B$287,B82)</f>
      </c>
      <c r="D82" s="123" t="str">
        <f>SUMIFS('Annual_Cost'!$R$2:$R$287,'Annual_Cost'!$A$2:$A$287,A82,'Annual_Cost'!$B$2:$B$287,B82)</f>
      </c>
      <c r="E82" s="124" t="str">
        <f>SUMIFS('Annual_Cost'!$S$2:$S$287,'Annual_Cost'!$A$2:$A$287,A82,'Annual_Cost'!$B$2:$B$287,B82)</f>
      </c>
      <c r="F82" s="125" t="str">
        <f>SUMIFS('Annual_Cost'!$W$2:$W$287,'Annual_Cost'!$A$2:$A$287,A82,'Annual_Cost'!$B$2:$B$287,B82)</f>
      </c>
      <c r="G82" s="126" t="str">
        <f>SUMIFS($E$2:E82,$A$2:A82,A82)</f>
      </c>
      <c r="H82" s="127" t="str">
        <f>SUMIFS($F$2:F82,$A$2:A82,A82)</f>
      </c>
      <c r="I82" s="128" t="n">
        <v>292505080.826208</v>
      </c>
      <c r="J82" s="129" t="str">
        <f>IF(I82=0,"",C82/I82)</f>
      </c>
      <c r="K82" s="130" t="str">
        <f>IF(I82=0,"",D82/I82)</f>
      </c>
      <c r="L82" s="131" t="str">
        <f>IF(I82=0,"",E82/I82)</f>
      </c>
      <c r="M82" s="132" t="str">
        <f>IF(I82=0,"",F82/I82)</f>
      </c>
    </row>
    <row r="83">
      <c r="A83" t="s">
        <v>262</v>
      </c>
      <c r="B83" s="121" t="n">
        <v>2028</v>
      </c>
      <c r="C83" s="122" t="str">
        <f>SUMIFS('Annual_Cost'!$Q$2:$Q$287,'Annual_Cost'!$A$2:$A$287,A83,'Annual_Cost'!$B$2:$B$287,B83)</f>
      </c>
      <c r="D83" s="123" t="str">
        <f>SUMIFS('Annual_Cost'!$R$2:$R$287,'Annual_Cost'!$A$2:$A$287,A83,'Annual_Cost'!$B$2:$B$287,B83)</f>
      </c>
      <c r="E83" s="124" t="str">
        <f>SUMIFS('Annual_Cost'!$S$2:$S$287,'Annual_Cost'!$A$2:$A$287,A83,'Annual_Cost'!$B$2:$B$287,B83)</f>
      </c>
      <c r="F83" s="125" t="str">
        <f>SUMIFS('Annual_Cost'!$W$2:$W$287,'Annual_Cost'!$A$2:$A$287,A83,'Annual_Cost'!$B$2:$B$287,B83)</f>
      </c>
      <c r="G83" s="126" t="str">
        <f>SUMIFS($E$2:E83,$A$2:A83,A83)</f>
      </c>
      <c r="H83" s="127" t="str">
        <f>SUMIFS($F$2:F83,$A$2:A83,A83)</f>
      </c>
      <c r="I83" s="128" t="n">
        <v>294484707.921554</v>
      </c>
      <c r="J83" s="129" t="str">
        <f>IF(I83=0,"",C83/I83)</f>
      </c>
      <c r="K83" s="130" t="str">
        <f>IF(I83=0,"",D83/I83)</f>
      </c>
      <c r="L83" s="131" t="str">
        <f>IF(I83=0,"",E83/I83)</f>
      </c>
      <c r="M83" s="132" t="str">
        <f>IF(I83=0,"",F83/I83)</f>
      </c>
    </row>
    <row r="84">
      <c r="A84" t="s">
        <v>262</v>
      </c>
      <c r="B84" s="121" t="n">
        <v>2029</v>
      </c>
      <c r="C84" s="122" t="str">
        <f>SUMIFS('Annual_Cost'!$Q$2:$Q$287,'Annual_Cost'!$A$2:$A$287,A84,'Annual_Cost'!$B$2:$B$287,B84)</f>
      </c>
      <c r="D84" s="123" t="str">
        <f>SUMIFS('Annual_Cost'!$R$2:$R$287,'Annual_Cost'!$A$2:$A$287,A84,'Annual_Cost'!$B$2:$B$287,B84)</f>
      </c>
      <c r="E84" s="124" t="str">
        <f>SUMIFS('Annual_Cost'!$S$2:$S$287,'Annual_Cost'!$A$2:$A$287,A84,'Annual_Cost'!$B$2:$B$287,B84)</f>
      </c>
      <c r="F84" s="125" t="str">
        <f>SUMIFS('Annual_Cost'!$W$2:$W$287,'Annual_Cost'!$A$2:$A$287,A84,'Annual_Cost'!$B$2:$B$287,B84)</f>
      </c>
      <c r="G84" s="126" t="str">
        <f>SUMIFS($E$2:E84,$A$2:A84,A84)</f>
      </c>
      <c r="H84" s="127" t="str">
        <f>SUMIFS($F$2:F84,$A$2:A84,A84)</f>
      </c>
      <c r="I84" s="128" t="n">
        <v>296414030.31143</v>
      </c>
      <c r="J84" s="129" t="str">
        <f>IF(I84=0,"",C84/I84)</f>
      </c>
      <c r="K84" s="130" t="str">
        <f>IF(I84=0,"",D84/I84)</f>
      </c>
      <c r="L84" s="131" t="str">
        <f>IF(I84=0,"",E84/I84)</f>
      </c>
      <c r="M84" s="132" t="str">
        <f>IF(I84=0,"",F84/I84)</f>
      </c>
    </row>
    <row r="85">
      <c r="A85" t="s">
        <v>262</v>
      </c>
      <c r="B85" s="121" t="n">
        <v>2030</v>
      </c>
      <c r="C85" s="122" t="str">
        <f>SUMIFS('Annual_Cost'!$Q$2:$Q$287,'Annual_Cost'!$A$2:$A$287,A85,'Annual_Cost'!$B$2:$B$287,B85)</f>
      </c>
      <c r="D85" s="123" t="str">
        <f>SUMIFS('Annual_Cost'!$R$2:$R$287,'Annual_Cost'!$A$2:$A$287,A85,'Annual_Cost'!$B$2:$B$287,B85)</f>
      </c>
      <c r="E85" s="124" t="str">
        <f>SUMIFS('Annual_Cost'!$S$2:$S$287,'Annual_Cost'!$A$2:$A$287,A85,'Annual_Cost'!$B$2:$B$287,B85)</f>
      </c>
      <c r="F85" s="125" t="str">
        <f>SUMIFS('Annual_Cost'!$W$2:$W$287,'Annual_Cost'!$A$2:$A$287,A85,'Annual_Cost'!$B$2:$B$287,B85)</f>
      </c>
      <c r="G85" s="126" t="str">
        <f>SUMIFS($E$2:E85,$A$2:A85,A85)</f>
      </c>
      <c r="H85" s="127" t="str">
        <f>SUMIFS($F$2:F85,$A$2:A85,A85)</f>
      </c>
      <c r="I85" s="128" t="n">
        <v>298289404.664994</v>
      </c>
      <c r="J85" s="129" t="str">
        <f>IF(I85=0,"",C85/I85)</f>
      </c>
      <c r="K85" s="130" t="str">
        <f>IF(I85=0,"",D85/I85)</f>
      </c>
      <c r="L85" s="131" t="str">
        <f>IF(I85=0,"",E85/I85)</f>
      </c>
      <c r="M85" s="132" t="str">
        <f>IF(I85=0,"",F85/I85)</f>
      </c>
    </row>
    <row r="86">
      <c r="A86" t="s">
        <v>262</v>
      </c>
      <c r="B86" s="121" t="n">
        <v>2031</v>
      </c>
      <c r="C86" s="122" t="str">
        <f>SUMIFS('Annual_Cost'!$Q$2:$Q$287,'Annual_Cost'!$A$2:$A$287,A86,'Annual_Cost'!$B$2:$B$287,B86)</f>
      </c>
      <c r="D86" s="123" t="str">
        <f>SUMIFS('Annual_Cost'!$R$2:$R$287,'Annual_Cost'!$A$2:$A$287,A86,'Annual_Cost'!$B$2:$B$287,B86)</f>
      </c>
      <c r="E86" s="124" t="str">
        <f>SUMIFS('Annual_Cost'!$S$2:$S$287,'Annual_Cost'!$A$2:$A$287,A86,'Annual_Cost'!$B$2:$B$287,B86)</f>
      </c>
      <c r="F86" s="125" t="str">
        <f>SUMIFS('Annual_Cost'!$W$2:$W$287,'Annual_Cost'!$A$2:$A$287,A86,'Annual_Cost'!$B$2:$B$287,B86)</f>
      </c>
      <c r="G86" s="126" t="str">
        <f>SUMIFS($E$2:E86,$A$2:A86,A86)</f>
      </c>
      <c r="H86" s="127" t="str">
        <f>SUMIFS($F$2:F86,$A$2:A86,A86)</f>
      </c>
      <c r="I86" s="128" t="n">
        <v>300119636.925519</v>
      </c>
      <c r="J86" s="129" t="str">
        <f>IF(I86=0,"",C86/I86)</f>
      </c>
      <c r="K86" s="130" t="str">
        <f>IF(I86=0,"",D86/I86)</f>
      </c>
      <c r="L86" s="131" t="str">
        <f>IF(I86=0,"",E86/I86)</f>
      </c>
      <c r="M86" s="132" t="str">
        <f>IF(I86=0,"",F86/I86)</f>
      </c>
    </row>
    <row r="87">
      <c r="A87" t="s">
        <v>262</v>
      </c>
      <c r="B87" s="121" t="n">
        <v>2032</v>
      </c>
      <c r="C87" s="122" t="str">
        <f>SUMIFS('Annual_Cost'!$Q$2:$Q$287,'Annual_Cost'!$A$2:$A$287,A87,'Annual_Cost'!$B$2:$B$287,B87)</f>
      </c>
      <c r="D87" s="123" t="str">
        <f>SUMIFS('Annual_Cost'!$R$2:$R$287,'Annual_Cost'!$A$2:$A$287,A87,'Annual_Cost'!$B$2:$B$287,B87)</f>
      </c>
      <c r="E87" s="124" t="str">
        <f>SUMIFS('Annual_Cost'!$S$2:$S$287,'Annual_Cost'!$A$2:$A$287,A87,'Annual_Cost'!$B$2:$B$287,B87)</f>
      </c>
      <c r="F87" s="125" t="str">
        <f>SUMIFS('Annual_Cost'!$W$2:$W$287,'Annual_Cost'!$A$2:$A$287,A87,'Annual_Cost'!$B$2:$B$287,B87)</f>
      </c>
      <c r="G87" s="126" t="str">
        <f>SUMIFS($E$2:E87,$A$2:A87,A87)</f>
      </c>
      <c r="H87" s="127" t="str">
        <f>SUMIFS($F$2:F87,$A$2:A87,A87)</f>
      </c>
      <c r="I87" s="128" t="n">
        <v>301904628.083541</v>
      </c>
      <c r="J87" s="129" t="str">
        <f>IF(I87=0,"",C87/I87)</f>
      </c>
      <c r="K87" s="130" t="str">
        <f>IF(I87=0,"",D87/I87)</f>
      </c>
      <c r="L87" s="131" t="str">
        <f>IF(I87=0,"",E87/I87)</f>
      </c>
      <c r="M87" s="132" t="str">
        <f>IF(I87=0,"",F87/I87)</f>
      </c>
    </row>
    <row r="88">
      <c r="A88" t="s">
        <v>262</v>
      </c>
      <c r="B88" s="121" t="n">
        <v>2033</v>
      </c>
      <c r="C88" s="122" t="str">
        <f>SUMIFS('Annual_Cost'!$Q$2:$Q$287,'Annual_Cost'!$A$2:$A$287,A88,'Annual_Cost'!$B$2:$B$287,B88)</f>
      </c>
      <c r="D88" s="123" t="str">
        <f>SUMIFS('Annual_Cost'!$R$2:$R$287,'Annual_Cost'!$A$2:$A$287,A88,'Annual_Cost'!$B$2:$B$287,B88)</f>
      </c>
      <c r="E88" s="124" t="str">
        <f>SUMIFS('Annual_Cost'!$S$2:$S$287,'Annual_Cost'!$A$2:$A$287,A88,'Annual_Cost'!$B$2:$B$287,B88)</f>
      </c>
      <c r="F88" s="125" t="str">
        <f>SUMIFS('Annual_Cost'!$W$2:$W$287,'Annual_Cost'!$A$2:$A$287,A88,'Annual_Cost'!$B$2:$B$287,B88)</f>
      </c>
      <c r="G88" s="126" t="str">
        <f>SUMIFS($E$2:E88,$A$2:A88,A88)</f>
      </c>
      <c r="H88" s="127" t="str">
        <f>SUMIFS($F$2:F88,$A$2:A88,A88)</f>
      </c>
      <c r="I88" s="128" t="n">
        <v>303644277.16916</v>
      </c>
      <c r="J88" s="129" t="str">
        <f>IF(I88=0,"",C88/I88)</f>
      </c>
      <c r="K88" s="130" t="str">
        <f>IF(I88=0,"",D88/I88)</f>
      </c>
      <c r="L88" s="131" t="str">
        <f>IF(I88=0,"",E88/I88)</f>
      </c>
      <c r="M88" s="132" t="str">
        <f>IF(I88=0,"",F88/I88)</f>
      </c>
    </row>
    <row r="89">
      <c r="A89" t="s">
        <v>262</v>
      </c>
      <c r="B89" s="121" t="n">
        <v>2034</v>
      </c>
      <c r="C89" s="122" t="str">
        <f>SUMIFS('Annual_Cost'!$Q$2:$Q$287,'Annual_Cost'!$A$2:$A$287,A89,'Annual_Cost'!$B$2:$B$287,B89)</f>
      </c>
      <c r="D89" s="123" t="str">
        <f>SUMIFS('Annual_Cost'!$R$2:$R$287,'Annual_Cost'!$A$2:$A$287,A89,'Annual_Cost'!$B$2:$B$287,B89)</f>
      </c>
      <c r="E89" s="124" t="str">
        <f>SUMIFS('Annual_Cost'!$S$2:$S$287,'Annual_Cost'!$A$2:$A$287,A89,'Annual_Cost'!$B$2:$B$287,B89)</f>
      </c>
      <c r="F89" s="125" t="str">
        <f>SUMIFS('Annual_Cost'!$W$2:$W$287,'Annual_Cost'!$A$2:$A$287,A89,'Annual_Cost'!$B$2:$B$287,B89)</f>
      </c>
      <c r="G89" s="126" t="str">
        <f>SUMIFS($E$2:E89,$A$2:A89,A89)</f>
      </c>
      <c r="H89" s="127" t="str">
        <f>SUMIFS($F$2:F89,$A$2:A89,A89)</f>
      </c>
      <c r="I89" s="128" t="n">
        <v>305332541.184984</v>
      </c>
      <c r="J89" s="129" t="str">
        <f>IF(I89=0,"",C89/I89)</f>
      </c>
      <c r="K89" s="130" t="str">
        <f>IF(I89=0,"",D89/I89)</f>
      </c>
      <c r="L89" s="131" t="str">
        <f>IF(I89=0,"",E89/I89)</f>
      </c>
      <c r="M89" s="132" t="str">
        <f>IF(I89=0,"",F89/I89)</f>
      </c>
    </row>
    <row r="90">
      <c r="A90" t="s">
        <v>262</v>
      </c>
      <c r="B90" s="121" t="n">
        <v>2035</v>
      </c>
      <c r="C90" s="122" t="str">
        <f>SUMIFS('Annual_Cost'!$Q$2:$Q$287,'Annual_Cost'!$A$2:$A$287,A90,'Annual_Cost'!$B$2:$B$287,B90)</f>
      </c>
      <c r="D90" s="123" t="str">
        <f>SUMIFS('Annual_Cost'!$R$2:$R$287,'Annual_Cost'!$A$2:$A$287,A90,'Annual_Cost'!$B$2:$B$287,B90)</f>
      </c>
      <c r="E90" s="124" t="str">
        <f>SUMIFS('Annual_Cost'!$S$2:$S$287,'Annual_Cost'!$A$2:$A$287,A90,'Annual_Cost'!$B$2:$B$287,B90)</f>
      </c>
      <c r="F90" s="125" t="str">
        <f>SUMIFS('Annual_Cost'!$W$2:$W$287,'Annual_Cost'!$A$2:$A$287,A90,'Annual_Cost'!$B$2:$B$287,B90)</f>
      </c>
      <c r="G90" s="126" t="str">
        <f>SUMIFS($E$2:E90,$A$2:A90,A90)</f>
      </c>
      <c r="H90" s="127" t="str">
        <f>SUMIFS($F$2:F90,$A$2:A90,A90)</f>
      </c>
      <c r="I90" s="128" t="n">
        <v>306964650.16712</v>
      </c>
      <c r="J90" s="129" t="str">
        <f>IF(I90=0,"",C90/I90)</f>
      </c>
      <c r="K90" s="130" t="str">
        <f>IF(I90=0,"",D90/I90)</f>
      </c>
      <c r="L90" s="131" t="str">
        <f>IF(I90=0,"",E90/I90)</f>
      </c>
      <c r="M90" s="132" t="str">
        <f>IF(I90=0,"",F90/I90)</f>
      </c>
    </row>
    <row r="91">
      <c r="A91" t="s">
        <v>262</v>
      </c>
      <c r="B91" s="121" t="n">
        <v>2036</v>
      </c>
      <c r="C91" s="122" t="str">
        <f>SUMIFS('Annual_Cost'!$Q$2:$Q$287,'Annual_Cost'!$A$2:$A$287,A91,'Annual_Cost'!$B$2:$B$287,B91)</f>
      </c>
      <c r="D91" s="123" t="str">
        <f>SUMIFS('Annual_Cost'!$R$2:$R$287,'Annual_Cost'!$A$2:$A$287,A91,'Annual_Cost'!$B$2:$B$287,B91)</f>
      </c>
      <c r="E91" s="124" t="str">
        <f>SUMIFS('Annual_Cost'!$S$2:$S$287,'Annual_Cost'!$A$2:$A$287,A91,'Annual_Cost'!$B$2:$B$287,B91)</f>
      </c>
      <c r="F91" s="125" t="str">
        <f>SUMIFS('Annual_Cost'!$W$2:$W$287,'Annual_Cost'!$A$2:$A$287,A91,'Annual_Cost'!$B$2:$B$287,B91)</f>
      </c>
      <c r="G91" s="126" t="str">
        <f>SUMIFS($E$2:E91,$A$2:A91,A91)</f>
      </c>
      <c r="H91" s="127" t="str">
        <f>SUMIFS($F$2:F91,$A$2:A91,A91)</f>
      </c>
      <c r="I91" s="128" t="n">
        <v>308542769.756622</v>
      </c>
      <c r="J91" s="129" t="str">
        <f>IF(I91=0,"",C91/I91)</f>
      </c>
      <c r="K91" s="130" t="str">
        <f>IF(I91=0,"",D91/I91)</f>
      </c>
      <c r="L91" s="131" t="str">
        <f>IF(I91=0,"",E91/I91)</f>
      </c>
      <c r="M91" s="132" t="str">
        <f>IF(I91=0,"",F91/I91)</f>
      </c>
    </row>
    <row r="92">
      <c r="A92" t="s">
        <v>262</v>
      </c>
      <c r="B92" s="121" t="n">
        <v>2037</v>
      </c>
      <c r="C92" s="122" t="str">
        <f>SUMIFS('Annual_Cost'!$Q$2:$Q$287,'Annual_Cost'!$A$2:$A$287,A92,'Annual_Cost'!$B$2:$B$287,B92)</f>
      </c>
      <c r="D92" s="123" t="str">
        <f>SUMIFS('Annual_Cost'!$R$2:$R$287,'Annual_Cost'!$A$2:$A$287,A92,'Annual_Cost'!$B$2:$B$287,B92)</f>
      </c>
      <c r="E92" s="124" t="str">
        <f>SUMIFS('Annual_Cost'!$S$2:$S$287,'Annual_Cost'!$A$2:$A$287,A92,'Annual_Cost'!$B$2:$B$287,B92)</f>
      </c>
      <c r="F92" s="125" t="str">
        <f>SUMIFS('Annual_Cost'!$W$2:$W$287,'Annual_Cost'!$A$2:$A$287,A92,'Annual_Cost'!$B$2:$B$287,B92)</f>
      </c>
      <c r="G92" s="126" t="str">
        <f>SUMIFS($E$2:E92,$A$2:A92,A92)</f>
      </c>
      <c r="H92" s="127" t="str">
        <f>SUMIFS($F$2:F92,$A$2:A92,A92)</f>
      </c>
      <c r="I92" s="128" t="n">
        <v>310068287.63643</v>
      </c>
      <c r="J92" s="129" t="str">
        <f>IF(I92=0,"",C92/I92)</f>
      </c>
      <c r="K92" s="130" t="str">
        <f>IF(I92=0,"",D92/I92)</f>
      </c>
      <c r="L92" s="131" t="str">
        <f>IF(I92=0,"",E92/I92)</f>
      </c>
      <c r="M92" s="132" t="str">
        <f>IF(I92=0,"",F92/I92)</f>
      </c>
    </row>
    <row r="93">
      <c r="A93" t="s">
        <v>262</v>
      </c>
      <c r="B93" s="121" t="n">
        <v>2038</v>
      </c>
      <c r="C93" s="122" t="str">
        <f>SUMIFS('Annual_Cost'!$Q$2:$Q$287,'Annual_Cost'!$A$2:$A$287,A93,'Annual_Cost'!$B$2:$B$287,B93)</f>
      </c>
      <c r="D93" s="123" t="str">
        <f>SUMIFS('Annual_Cost'!$R$2:$R$287,'Annual_Cost'!$A$2:$A$287,A93,'Annual_Cost'!$B$2:$B$287,B93)</f>
      </c>
      <c r="E93" s="124" t="str">
        <f>SUMIFS('Annual_Cost'!$S$2:$S$287,'Annual_Cost'!$A$2:$A$287,A93,'Annual_Cost'!$B$2:$B$287,B93)</f>
      </c>
      <c r="F93" s="125" t="str">
        <f>SUMIFS('Annual_Cost'!$W$2:$W$287,'Annual_Cost'!$A$2:$A$287,A93,'Annual_Cost'!$B$2:$B$287,B93)</f>
      </c>
      <c r="G93" s="126" t="str">
        <f>SUMIFS($E$2:E93,$A$2:A93,A93)</f>
      </c>
      <c r="H93" s="127" t="str">
        <f>SUMIFS($F$2:F93,$A$2:A93,A93)</f>
      </c>
      <c r="I93" s="128" t="n">
        <v>311532999.13163</v>
      </c>
      <c r="J93" s="129" t="str">
        <f>IF(I93=0,"",C93/I93)</f>
      </c>
      <c r="K93" s="130" t="str">
        <f>IF(I93=0,"",D93/I93)</f>
      </c>
      <c r="L93" s="131" t="str">
        <f>IF(I93=0,"",E93/I93)</f>
      </c>
      <c r="M93" s="132" t="str">
        <f>IF(I93=0,"",F93/I93)</f>
      </c>
    </row>
    <row r="94">
      <c r="A94" t="s">
        <v>262</v>
      </c>
      <c r="B94" s="121" t="n">
        <v>2039</v>
      </c>
      <c r="C94" s="122" t="str">
        <f>SUMIFS('Annual_Cost'!$Q$2:$Q$287,'Annual_Cost'!$A$2:$A$287,A94,'Annual_Cost'!$B$2:$B$287,B94)</f>
      </c>
      <c r="D94" s="123" t="str">
        <f>SUMIFS('Annual_Cost'!$R$2:$R$287,'Annual_Cost'!$A$2:$A$287,A94,'Annual_Cost'!$B$2:$B$287,B94)</f>
      </c>
      <c r="E94" s="124" t="str">
        <f>SUMIFS('Annual_Cost'!$S$2:$S$287,'Annual_Cost'!$A$2:$A$287,A94,'Annual_Cost'!$B$2:$B$287,B94)</f>
      </c>
      <c r="F94" s="125" t="str">
        <f>SUMIFS('Annual_Cost'!$W$2:$W$287,'Annual_Cost'!$A$2:$A$287,A94,'Annual_Cost'!$B$2:$B$287,B94)</f>
      </c>
      <c r="G94" s="126" t="str">
        <f>SUMIFS($E$2:E94,$A$2:A94,A94)</f>
      </c>
      <c r="H94" s="127" t="str">
        <f>SUMIFS($F$2:F94,$A$2:A94,A94)</f>
      </c>
      <c r="I94" s="128" t="n">
        <v>312936391.858479</v>
      </c>
      <c r="J94" s="129" t="str">
        <f>IF(I94=0,"",C94/I94)</f>
      </c>
      <c r="K94" s="130" t="str">
        <f>IF(I94=0,"",D94/I94)</f>
      </c>
      <c r="L94" s="131" t="str">
        <f>IF(I94=0,"",E94/I94)</f>
      </c>
      <c r="M94" s="132" t="str">
        <f>IF(I94=0,"",F94/I94)</f>
      </c>
    </row>
    <row r="95">
      <c r="A95" t="s">
        <v>262</v>
      </c>
      <c r="B95" s="121" t="n">
        <v>2040</v>
      </c>
      <c r="C95" s="122" t="str">
        <f>SUMIFS('Annual_Cost'!$Q$2:$Q$287,'Annual_Cost'!$A$2:$A$287,A95,'Annual_Cost'!$B$2:$B$287,B95)</f>
      </c>
      <c r="D95" s="123" t="str">
        <f>SUMIFS('Annual_Cost'!$R$2:$R$287,'Annual_Cost'!$A$2:$A$287,A95,'Annual_Cost'!$B$2:$B$287,B95)</f>
      </c>
      <c r="E95" s="124" t="str">
        <f>SUMIFS('Annual_Cost'!$S$2:$S$287,'Annual_Cost'!$A$2:$A$287,A95,'Annual_Cost'!$B$2:$B$287,B95)</f>
      </c>
      <c r="F95" s="125" t="str">
        <f>SUMIFS('Annual_Cost'!$W$2:$W$287,'Annual_Cost'!$A$2:$A$287,A95,'Annual_Cost'!$B$2:$B$287,B95)</f>
      </c>
      <c r="G95" s="126" t="str">
        <f>SUMIFS($E$2:E95,$A$2:A95,A95)</f>
      </c>
      <c r="H95" s="127" t="str">
        <f>SUMIFS($F$2:F95,$A$2:A95,A95)</f>
      </c>
      <c r="I95" s="128" t="n">
        <v>314265537.410829</v>
      </c>
      <c r="J95" s="129" t="str">
        <f>IF(I95=0,"",C95/I95)</f>
      </c>
      <c r="K95" s="130" t="str">
        <f>IF(I95=0,"",D95/I95)</f>
      </c>
      <c r="L95" s="131" t="str">
        <f>IF(I95=0,"",E95/I95)</f>
      </c>
      <c r="M95" s="132" t="str">
        <f>IF(I95=0,"",F95/I95)</f>
      </c>
    </row>
    <row r="96">
      <c r="A96" t="s">
        <v>262</v>
      </c>
      <c r="B96" s="121" t="n">
        <v>2041</v>
      </c>
      <c r="C96" s="122" t="str">
        <f>SUMIFS('Annual_Cost'!$Q$2:$Q$287,'Annual_Cost'!$A$2:$A$287,A96,'Annual_Cost'!$B$2:$B$287,B96)</f>
      </c>
      <c r="D96" s="123" t="str">
        <f>SUMIFS('Annual_Cost'!$R$2:$R$287,'Annual_Cost'!$A$2:$A$287,A96,'Annual_Cost'!$B$2:$B$287,B96)</f>
      </c>
      <c r="E96" s="124" t="str">
        <f>SUMIFS('Annual_Cost'!$S$2:$S$287,'Annual_Cost'!$A$2:$A$287,A96,'Annual_Cost'!$B$2:$B$287,B96)</f>
      </c>
      <c r="F96" s="125" t="str">
        <f>SUMIFS('Annual_Cost'!$W$2:$W$287,'Annual_Cost'!$A$2:$A$287,A96,'Annual_Cost'!$B$2:$B$287,B96)</f>
      </c>
      <c r="G96" s="126" t="str">
        <f>SUMIFS($E$2:E96,$A$2:A96,A96)</f>
      </c>
      <c r="H96" s="127" t="str">
        <f>SUMIFS($F$2:F96,$A$2:A96,A96)</f>
      </c>
      <c r="I96" s="128" t="n">
        <v>315525215.312548</v>
      </c>
      <c r="J96" s="129" t="str">
        <f>IF(I96=0,"",C96/I96)</f>
      </c>
      <c r="K96" s="130" t="str">
        <f>IF(I96=0,"",D96/I96)</f>
      </c>
      <c r="L96" s="131" t="str">
        <f>IF(I96=0,"",E96/I96)</f>
      </c>
      <c r="M96" s="132" t="str">
        <f>IF(I96=0,"",F96/I96)</f>
      </c>
    </row>
    <row r="97">
      <c r="A97" t="s">
        <v>262</v>
      </c>
      <c r="B97" s="121" t="n">
        <v>2042</v>
      </c>
      <c r="C97" s="122" t="str">
        <f>SUMIFS('Annual_Cost'!$Q$2:$Q$287,'Annual_Cost'!$A$2:$A$287,A97,'Annual_Cost'!$B$2:$B$287,B97)</f>
      </c>
      <c r="D97" s="123" t="str">
        <f>SUMIFS('Annual_Cost'!$R$2:$R$287,'Annual_Cost'!$A$2:$A$287,A97,'Annual_Cost'!$B$2:$B$287,B97)</f>
      </c>
      <c r="E97" s="124" t="str">
        <f>SUMIFS('Annual_Cost'!$S$2:$S$287,'Annual_Cost'!$A$2:$A$287,A97,'Annual_Cost'!$B$2:$B$287,B97)</f>
      </c>
      <c r="F97" s="125" t="str">
        <f>SUMIFS('Annual_Cost'!$W$2:$W$287,'Annual_Cost'!$A$2:$A$287,A97,'Annual_Cost'!$B$2:$B$287,B97)</f>
      </c>
      <c r="G97" s="126" t="str">
        <f>SUMIFS($E$2:E97,$A$2:A97,A97)</f>
      </c>
      <c r="H97" s="127" t="str">
        <f>SUMIFS($F$2:F97,$A$2:A97,A97)</f>
      </c>
      <c r="I97" s="128" t="n">
        <v>316707694.211882</v>
      </c>
      <c r="J97" s="129" t="str">
        <f>IF(I97=0,"",C97/I97)</f>
      </c>
      <c r="K97" s="130" t="str">
        <f>IF(I97=0,"",D97/I97)</f>
      </c>
      <c r="L97" s="131" t="str">
        <f>IF(I97=0,"",E97/I97)</f>
      </c>
      <c r="M97" s="132" t="str">
        <f>IF(I97=0,"",F97/I97)</f>
      </c>
    </row>
    <row r="98">
      <c r="A98" t="s">
        <v>262</v>
      </c>
      <c r="B98" s="121" t="n">
        <v>2043</v>
      </c>
      <c r="C98" s="122" t="str">
        <f>SUMIFS('Annual_Cost'!$Q$2:$Q$287,'Annual_Cost'!$A$2:$A$287,A98,'Annual_Cost'!$B$2:$B$287,B98)</f>
      </c>
      <c r="D98" s="123" t="str">
        <f>SUMIFS('Annual_Cost'!$R$2:$R$287,'Annual_Cost'!$A$2:$A$287,A98,'Annual_Cost'!$B$2:$B$287,B98)</f>
      </c>
      <c r="E98" s="124" t="str">
        <f>SUMIFS('Annual_Cost'!$S$2:$S$287,'Annual_Cost'!$A$2:$A$287,A98,'Annual_Cost'!$B$2:$B$287,B98)</f>
      </c>
      <c r="F98" s="125" t="str">
        <f>SUMIFS('Annual_Cost'!$W$2:$W$287,'Annual_Cost'!$A$2:$A$287,A98,'Annual_Cost'!$B$2:$B$287,B98)</f>
      </c>
      <c r="G98" s="126" t="str">
        <f>SUMIFS($E$2:E98,$A$2:A98,A98)</f>
      </c>
      <c r="H98" s="127" t="str">
        <f>SUMIFS($F$2:F98,$A$2:A98,A98)</f>
      </c>
      <c r="I98" s="128" t="n">
        <v>317814114.067152</v>
      </c>
      <c r="J98" s="129" t="str">
        <f>IF(I98=0,"",C98/I98)</f>
      </c>
      <c r="K98" s="130" t="str">
        <f>IF(I98=0,"",D98/I98)</f>
      </c>
      <c r="L98" s="131" t="str">
        <f>IF(I98=0,"",E98/I98)</f>
      </c>
      <c r="M98" s="132" t="str">
        <f>IF(I98=0,"",F98/I98)</f>
      </c>
    </row>
    <row r="99">
      <c r="A99" t="s">
        <v>262</v>
      </c>
      <c r="B99" s="121" t="n">
        <v>2044</v>
      </c>
      <c r="C99" s="122" t="str">
        <f>SUMIFS('Annual_Cost'!$Q$2:$Q$287,'Annual_Cost'!$A$2:$A$287,A99,'Annual_Cost'!$B$2:$B$287,B99)</f>
      </c>
      <c r="D99" s="123" t="str">
        <f>SUMIFS('Annual_Cost'!$R$2:$R$287,'Annual_Cost'!$A$2:$A$287,A99,'Annual_Cost'!$B$2:$B$287,B99)</f>
      </c>
      <c r="E99" s="124" t="str">
        <f>SUMIFS('Annual_Cost'!$S$2:$S$287,'Annual_Cost'!$A$2:$A$287,A99,'Annual_Cost'!$B$2:$B$287,B99)</f>
      </c>
      <c r="F99" s="125" t="str">
        <f>SUMIFS('Annual_Cost'!$W$2:$W$287,'Annual_Cost'!$A$2:$A$287,A99,'Annual_Cost'!$B$2:$B$287,B99)</f>
      </c>
      <c r="G99" s="126" t="str">
        <f>SUMIFS($E$2:E99,$A$2:A99,A99)</f>
      </c>
      <c r="H99" s="127" t="str">
        <f>SUMIFS($F$2:F99,$A$2:A99,A99)</f>
      </c>
      <c r="I99" s="128" t="n">
        <v>318840890.732156</v>
      </c>
      <c r="J99" s="129" t="str">
        <f>IF(I99=0,"",C99/I99)</f>
      </c>
      <c r="K99" s="130" t="str">
        <f>IF(I99=0,"",D99/I99)</f>
      </c>
      <c r="L99" s="131" t="str">
        <f>IF(I99=0,"",E99/I99)</f>
      </c>
      <c r="M99" s="132" t="str">
        <f>IF(I99=0,"",F99/I99)</f>
      </c>
    </row>
    <row r="100">
      <c r="A100" t="s">
        <v>262</v>
      </c>
      <c r="B100" s="121" t="n">
        <v>2045</v>
      </c>
      <c r="C100" s="122" t="str">
        <f>SUMIFS('Annual_Cost'!$Q$2:$Q$287,'Annual_Cost'!$A$2:$A$287,A100,'Annual_Cost'!$B$2:$B$287,B100)</f>
      </c>
      <c r="D100" s="123" t="str">
        <f>SUMIFS('Annual_Cost'!$R$2:$R$287,'Annual_Cost'!$A$2:$A$287,A100,'Annual_Cost'!$B$2:$B$287,B100)</f>
      </c>
      <c r="E100" s="124" t="str">
        <f>SUMIFS('Annual_Cost'!$S$2:$S$287,'Annual_Cost'!$A$2:$A$287,A100,'Annual_Cost'!$B$2:$B$287,B100)</f>
      </c>
      <c r="F100" s="125" t="str">
        <f>SUMIFS('Annual_Cost'!$W$2:$W$287,'Annual_Cost'!$A$2:$A$287,A100,'Annual_Cost'!$B$2:$B$287,B100)</f>
      </c>
      <c r="G100" s="126" t="str">
        <f>SUMIFS($E$2:E100,$A$2:A100,A100)</f>
      </c>
      <c r="H100" s="127" t="str">
        <f>SUMIFS($F$2:F100,$A$2:A100,A100)</f>
      </c>
      <c r="I100" s="128" t="n">
        <v>319784682.33108</v>
      </c>
      <c r="J100" s="129" t="str">
        <f>IF(I100=0,"",C100/I100)</f>
      </c>
      <c r="K100" s="130" t="str">
        <f>IF(I100=0,"",D100/I100)</f>
      </c>
      <c r="L100" s="131" t="str">
        <f>IF(I100=0,"",E100/I100)</f>
      </c>
      <c r="M100" s="132" t="str">
        <f>IF(I100=0,"",F100/I100)</f>
      </c>
    </row>
    <row r="101">
      <c r="A101" t="s">
        <v>262</v>
      </c>
      <c r="B101" s="121" t="n">
        <v>2046</v>
      </c>
      <c r="C101" s="122" t="str">
        <f>SUMIFS('Annual_Cost'!$Q$2:$Q$287,'Annual_Cost'!$A$2:$A$287,A101,'Annual_Cost'!$B$2:$B$287,B101)</f>
      </c>
      <c r="D101" s="123" t="str">
        <f>SUMIFS('Annual_Cost'!$R$2:$R$287,'Annual_Cost'!$A$2:$A$287,A101,'Annual_Cost'!$B$2:$B$287,B101)</f>
      </c>
      <c r="E101" s="124" t="str">
        <f>SUMIFS('Annual_Cost'!$S$2:$S$287,'Annual_Cost'!$A$2:$A$287,A101,'Annual_Cost'!$B$2:$B$287,B101)</f>
      </c>
      <c r="F101" s="125" t="str">
        <f>SUMIFS('Annual_Cost'!$W$2:$W$287,'Annual_Cost'!$A$2:$A$287,A101,'Annual_Cost'!$B$2:$B$287,B101)</f>
      </c>
      <c r="G101" s="126" t="str">
        <f>SUMIFS($E$2:E101,$A$2:A101,A101)</f>
      </c>
      <c r="H101" s="127" t="str">
        <f>SUMIFS($F$2:F101,$A$2:A101,A101)</f>
      </c>
      <c r="I101" s="128" t="n">
        <v>320645615.981408</v>
      </c>
      <c r="J101" s="129" t="str">
        <f>IF(I101=0,"",C101/I101)</f>
      </c>
      <c r="K101" s="130" t="str">
        <f>IF(I101=0,"",D101/I101)</f>
      </c>
      <c r="L101" s="131" t="str">
        <f>IF(I101=0,"",E101/I101)</f>
      </c>
      <c r="M101" s="132" t="str">
        <f>IF(I101=0,"",F101/I101)</f>
      </c>
    </row>
    <row r="102">
      <c r="A102" t="s">
        <v>262</v>
      </c>
      <c r="B102" s="121" t="n">
        <v>2047</v>
      </c>
      <c r="C102" s="122" t="str">
        <f>SUMIFS('Annual_Cost'!$Q$2:$Q$287,'Annual_Cost'!$A$2:$A$287,A102,'Annual_Cost'!$B$2:$B$287,B102)</f>
      </c>
      <c r="D102" s="123" t="str">
        <f>SUMIFS('Annual_Cost'!$R$2:$R$287,'Annual_Cost'!$A$2:$A$287,A102,'Annual_Cost'!$B$2:$B$287,B102)</f>
      </c>
      <c r="E102" s="124" t="str">
        <f>SUMIFS('Annual_Cost'!$S$2:$S$287,'Annual_Cost'!$A$2:$A$287,A102,'Annual_Cost'!$B$2:$B$287,B102)</f>
      </c>
      <c r="F102" s="125" t="str">
        <f>SUMIFS('Annual_Cost'!$W$2:$W$287,'Annual_Cost'!$A$2:$A$287,A102,'Annual_Cost'!$B$2:$B$287,B102)</f>
      </c>
      <c r="G102" s="126" t="str">
        <f>SUMIFS($E$2:E102,$A$2:A102,A102)</f>
      </c>
      <c r="H102" s="127" t="str">
        <f>SUMIFS($F$2:F102,$A$2:A102,A102)</f>
      </c>
      <c r="I102" s="128" t="n">
        <v>321429520.522875</v>
      </c>
      <c r="J102" s="129" t="str">
        <f>IF(I102=0,"",C102/I102)</f>
      </c>
      <c r="K102" s="130" t="str">
        <f>IF(I102=0,"",D102/I102)</f>
      </c>
      <c r="L102" s="131" t="str">
        <f>IF(I102=0,"",E102/I102)</f>
      </c>
      <c r="M102" s="132" t="str">
        <f>IF(I102=0,"",F102/I102)</f>
      </c>
    </row>
    <row r="103">
      <c r="A103" t="s">
        <v>262</v>
      </c>
      <c r="B103" s="121" t="n">
        <v>2048</v>
      </c>
      <c r="C103" s="122" t="str">
        <f>SUMIFS('Annual_Cost'!$Q$2:$Q$287,'Annual_Cost'!$A$2:$A$287,A103,'Annual_Cost'!$B$2:$B$287,B103)</f>
      </c>
      <c r="D103" s="123" t="str">
        <f>SUMIFS('Annual_Cost'!$R$2:$R$287,'Annual_Cost'!$A$2:$A$287,A103,'Annual_Cost'!$B$2:$B$287,B103)</f>
      </c>
      <c r="E103" s="124" t="str">
        <f>SUMIFS('Annual_Cost'!$S$2:$S$287,'Annual_Cost'!$A$2:$A$287,A103,'Annual_Cost'!$B$2:$B$287,B103)</f>
      </c>
      <c r="F103" s="125" t="str">
        <f>SUMIFS('Annual_Cost'!$W$2:$W$287,'Annual_Cost'!$A$2:$A$287,A103,'Annual_Cost'!$B$2:$B$287,B103)</f>
      </c>
      <c r="G103" s="126" t="str">
        <f>SUMIFS($E$2:E103,$A$2:A103,A103)</f>
      </c>
      <c r="H103" s="127" t="str">
        <f>SUMIFS($F$2:F103,$A$2:A103,A103)</f>
      </c>
      <c r="I103" s="128" t="n">
        <v>322136832.260161</v>
      </c>
      <c r="J103" s="129" t="str">
        <f>IF(I103=0,"",C103/I103)</f>
      </c>
      <c r="K103" s="130" t="str">
        <f>IF(I103=0,"",D103/I103)</f>
      </c>
      <c r="L103" s="131" t="str">
        <f>IF(I103=0,"",E103/I103)</f>
      </c>
      <c r="M103" s="132" t="str">
        <f>IF(I103=0,"",F103/I103)</f>
      </c>
    </row>
    <row r="104">
      <c r="A104" t="s">
        <v>262</v>
      </c>
      <c r="B104" s="121" t="n">
        <v>2049</v>
      </c>
      <c r="C104" s="122" t="str">
        <f>SUMIFS('Annual_Cost'!$Q$2:$Q$287,'Annual_Cost'!$A$2:$A$287,A104,'Annual_Cost'!$B$2:$B$287,B104)</f>
      </c>
      <c r="D104" s="123" t="str">
        <f>SUMIFS('Annual_Cost'!$R$2:$R$287,'Annual_Cost'!$A$2:$A$287,A104,'Annual_Cost'!$B$2:$B$287,B104)</f>
      </c>
      <c r="E104" s="124" t="str">
        <f>SUMIFS('Annual_Cost'!$S$2:$S$287,'Annual_Cost'!$A$2:$A$287,A104,'Annual_Cost'!$B$2:$B$287,B104)</f>
      </c>
      <c r="F104" s="125" t="str">
        <f>SUMIFS('Annual_Cost'!$W$2:$W$287,'Annual_Cost'!$A$2:$A$287,A104,'Annual_Cost'!$B$2:$B$287,B104)</f>
      </c>
      <c r="G104" s="126" t="str">
        <f>SUMIFS($E$2:E104,$A$2:A104,A104)</f>
      </c>
      <c r="H104" s="127" t="str">
        <f>SUMIFS($F$2:F104,$A$2:A104,A104)</f>
      </c>
      <c r="I104" s="128" t="n">
        <v>322765819.752681</v>
      </c>
      <c r="J104" s="129" t="str">
        <f>IF(I104=0,"",C104/I104)</f>
      </c>
      <c r="K104" s="130" t="str">
        <f>IF(I104=0,"",D104/I104)</f>
      </c>
      <c r="L104" s="131" t="str">
        <f>IF(I104=0,"",E104/I104)</f>
      </c>
      <c r="M104" s="132" t="str">
        <f>IF(I104=0,"",F104/I104)</f>
      </c>
    </row>
    <row r="105">
      <c r="A105" t="s">
        <v>262</v>
      </c>
      <c r="B105" s="121" t="n">
        <v>2050</v>
      </c>
      <c r="C105" s="122" t="str">
        <f>SUMIFS('Annual_Cost'!$Q$2:$Q$287,'Annual_Cost'!$A$2:$A$287,A105,'Annual_Cost'!$B$2:$B$287,B105)</f>
      </c>
      <c r="D105" s="123" t="str">
        <f>SUMIFS('Annual_Cost'!$R$2:$R$287,'Annual_Cost'!$A$2:$A$287,A105,'Annual_Cost'!$B$2:$B$287,B105)</f>
      </c>
      <c r="E105" s="124" t="str">
        <f>SUMIFS('Annual_Cost'!$S$2:$S$287,'Annual_Cost'!$A$2:$A$287,A105,'Annual_Cost'!$B$2:$B$287,B105)</f>
      </c>
      <c r="F105" s="125" t="str">
        <f>SUMIFS('Annual_Cost'!$W$2:$W$287,'Annual_Cost'!$A$2:$A$287,A105,'Annual_Cost'!$B$2:$B$287,B105)</f>
      </c>
      <c r="G105" s="126" t="str">
        <f>SUMIFS($E$2:E105,$A$2:A105,A105)</f>
      </c>
      <c r="H105" s="127" t="str">
        <f>SUMIFS($F$2:F105,$A$2:A105,A105)</f>
      </c>
      <c r="I105" s="128" t="n">
        <v>323312042.563285</v>
      </c>
      <c r="J105" s="129" t="str">
        <f>IF(I105=0,"",C105/I105)</f>
      </c>
      <c r="K105" s="130" t="str">
        <f>IF(I105=0,"",D105/I105)</f>
      </c>
      <c r="L105" s="131" t="str">
        <f>IF(I105=0,"",E105/I105)</f>
      </c>
      <c r="M105" s="132" t="str">
        <f>IF(I105=0,"",F105/I105)</f>
      </c>
    </row>
    <row r="106">
      <c r="A106" t="s">
        <v>272</v>
      </c>
      <c r="B106" s="121" t="n">
        <v>2025</v>
      </c>
      <c r="C106" s="122" t="str">
        <f>SUMIFS('Annual_Cost'!$Q$2:$Q$287,'Annual_Cost'!$A$2:$A$287,A106,'Annual_Cost'!$B$2:$B$287,B106)</f>
      </c>
      <c r="D106" s="123" t="str">
        <f>SUMIFS('Annual_Cost'!$R$2:$R$287,'Annual_Cost'!$A$2:$A$287,A106,'Annual_Cost'!$B$2:$B$287,B106)</f>
      </c>
      <c r="E106" s="124" t="str">
        <f>SUMIFS('Annual_Cost'!$S$2:$S$287,'Annual_Cost'!$A$2:$A$287,A106,'Annual_Cost'!$B$2:$B$287,B106)</f>
      </c>
      <c r="F106" s="125" t="str">
        <f>SUMIFS('Annual_Cost'!$W$2:$W$287,'Annual_Cost'!$A$2:$A$287,A106,'Annual_Cost'!$B$2:$B$287,B106)</f>
      </c>
      <c r="G106" s="126" t="str">
        <f>SUMIFS($E$2:E106,$A$2:A106,A106)</f>
      </c>
      <c r="H106" s="127" t="str">
        <f>SUMIFS($F$2:F106,$A$2:A106,A106)</f>
      </c>
      <c r="I106" s="128" t="n">
        <v>288391907.644456</v>
      </c>
      <c r="J106" s="129" t="str">
        <f>IF(I106=0,"",C106/I106)</f>
      </c>
      <c r="K106" s="130" t="str">
        <f>IF(I106=0,"",D106/I106)</f>
      </c>
      <c r="L106" s="131" t="str">
        <f>IF(I106=0,"",E106/I106)</f>
      </c>
      <c r="M106" s="132" t="str">
        <f>IF(I106=0,"",F106/I106)</f>
      </c>
    </row>
    <row r="107">
      <c r="A107" t="s">
        <v>272</v>
      </c>
      <c r="B107" s="121" t="n">
        <v>2026</v>
      </c>
      <c r="C107" s="122" t="str">
        <f>SUMIFS('Annual_Cost'!$Q$2:$Q$287,'Annual_Cost'!$A$2:$A$287,A107,'Annual_Cost'!$B$2:$B$287,B107)</f>
      </c>
      <c r="D107" s="123" t="str">
        <f>SUMIFS('Annual_Cost'!$R$2:$R$287,'Annual_Cost'!$A$2:$A$287,A107,'Annual_Cost'!$B$2:$B$287,B107)</f>
      </c>
      <c r="E107" s="124" t="str">
        <f>SUMIFS('Annual_Cost'!$S$2:$S$287,'Annual_Cost'!$A$2:$A$287,A107,'Annual_Cost'!$B$2:$B$287,B107)</f>
      </c>
      <c r="F107" s="125" t="str">
        <f>SUMIFS('Annual_Cost'!$W$2:$W$287,'Annual_Cost'!$A$2:$A$287,A107,'Annual_Cost'!$B$2:$B$287,B107)</f>
      </c>
      <c r="G107" s="126" t="str">
        <f>SUMIFS($E$2:E107,$A$2:A107,A107)</f>
      </c>
      <c r="H107" s="127" t="str">
        <f>SUMIFS($F$2:F107,$A$2:A107,A107)</f>
      </c>
      <c r="I107" s="128" t="n">
        <v>290472130.233437</v>
      </c>
      <c r="J107" s="129" t="str">
        <f>IF(I107=0,"",C107/I107)</f>
      </c>
      <c r="K107" s="130" t="str">
        <f>IF(I107=0,"",D107/I107)</f>
      </c>
      <c r="L107" s="131" t="str">
        <f>IF(I107=0,"",E107/I107)</f>
      </c>
      <c r="M107" s="132" t="str">
        <f>IF(I107=0,"",F107/I107)</f>
      </c>
    </row>
    <row r="108">
      <c r="A108" t="s">
        <v>272</v>
      </c>
      <c r="B108" s="121" t="n">
        <v>2027</v>
      </c>
      <c r="C108" s="122" t="str">
        <f>SUMIFS('Annual_Cost'!$Q$2:$Q$287,'Annual_Cost'!$A$2:$A$287,A108,'Annual_Cost'!$B$2:$B$287,B108)</f>
      </c>
      <c r="D108" s="123" t="str">
        <f>SUMIFS('Annual_Cost'!$R$2:$R$287,'Annual_Cost'!$A$2:$A$287,A108,'Annual_Cost'!$B$2:$B$287,B108)</f>
      </c>
      <c r="E108" s="124" t="str">
        <f>SUMIFS('Annual_Cost'!$S$2:$S$287,'Annual_Cost'!$A$2:$A$287,A108,'Annual_Cost'!$B$2:$B$287,B108)</f>
      </c>
      <c r="F108" s="125" t="str">
        <f>SUMIFS('Annual_Cost'!$W$2:$W$287,'Annual_Cost'!$A$2:$A$287,A108,'Annual_Cost'!$B$2:$B$287,B108)</f>
      </c>
      <c r="G108" s="126" t="str">
        <f>SUMIFS($E$2:E108,$A$2:A108,A108)</f>
      </c>
      <c r="H108" s="127" t="str">
        <f>SUMIFS($F$2:F108,$A$2:A108,A108)</f>
      </c>
      <c r="I108" s="128" t="n">
        <v>292505080.826208</v>
      </c>
      <c r="J108" s="129" t="str">
        <f>IF(I108=0,"",C108/I108)</f>
      </c>
      <c r="K108" s="130" t="str">
        <f>IF(I108=0,"",D108/I108)</f>
      </c>
      <c r="L108" s="131" t="str">
        <f>IF(I108=0,"",E108/I108)</f>
      </c>
      <c r="M108" s="132" t="str">
        <f>IF(I108=0,"",F108/I108)</f>
      </c>
    </row>
    <row r="109">
      <c r="A109" t="s">
        <v>272</v>
      </c>
      <c r="B109" s="121" t="n">
        <v>2028</v>
      </c>
      <c r="C109" s="122" t="str">
        <f>SUMIFS('Annual_Cost'!$Q$2:$Q$287,'Annual_Cost'!$A$2:$A$287,A109,'Annual_Cost'!$B$2:$B$287,B109)</f>
      </c>
      <c r="D109" s="123" t="str">
        <f>SUMIFS('Annual_Cost'!$R$2:$R$287,'Annual_Cost'!$A$2:$A$287,A109,'Annual_Cost'!$B$2:$B$287,B109)</f>
      </c>
      <c r="E109" s="124" t="str">
        <f>SUMIFS('Annual_Cost'!$S$2:$S$287,'Annual_Cost'!$A$2:$A$287,A109,'Annual_Cost'!$B$2:$B$287,B109)</f>
      </c>
      <c r="F109" s="125" t="str">
        <f>SUMIFS('Annual_Cost'!$W$2:$W$287,'Annual_Cost'!$A$2:$A$287,A109,'Annual_Cost'!$B$2:$B$287,B109)</f>
      </c>
      <c r="G109" s="126" t="str">
        <f>SUMIFS($E$2:E109,$A$2:A109,A109)</f>
      </c>
      <c r="H109" s="127" t="str">
        <f>SUMIFS($F$2:F109,$A$2:A109,A109)</f>
      </c>
      <c r="I109" s="128" t="n">
        <v>294484707.921554</v>
      </c>
      <c r="J109" s="129" t="str">
        <f>IF(I109=0,"",C109/I109)</f>
      </c>
      <c r="K109" s="130" t="str">
        <f>IF(I109=0,"",D109/I109)</f>
      </c>
      <c r="L109" s="131" t="str">
        <f>IF(I109=0,"",E109/I109)</f>
      </c>
      <c r="M109" s="132" t="str">
        <f>IF(I109=0,"",F109/I109)</f>
      </c>
    </row>
    <row r="110">
      <c r="A110" t="s">
        <v>272</v>
      </c>
      <c r="B110" s="121" t="n">
        <v>2029</v>
      </c>
      <c r="C110" s="122" t="str">
        <f>SUMIFS('Annual_Cost'!$Q$2:$Q$287,'Annual_Cost'!$A$2:$A$287,A110,'Annual_Cost'!$B$2:$B$287,B110)</f>
      </c>
      <c r="D110" s="123" t="str">
        <f>SUMIFS('Annual_Cost'!$R$2:$R$287,'Annual_Cost'!$A$2:$A$287,A110,'Annual_Cost'!$B$2:$B$287,B110)</f>
      </c>
      <c r="E110" s="124" t="str">
        <f>SUMIFS('Annual_Cost'!$S$2:$S$287,'Annual_Cost'!$A$2:$A$287,A110,'Annual_Cost'!$B$2:$B$287,B110)</f>
      </c>
      <c r="F110" s="125" t="str">
        <f>SUMIFS('Annual_Cost'!$W$2:$W$287,'Annual_Cost'!$A$2:$A$287,A110,'Annual_Cost'!$B$2:$B$287,B110)</f>
      </c>
      <c r="G110" s="126" t="str">
        <f>SUMIFS($E$2:E110,$A$2:A110,A110)</f>
      </c>
      <c r="H110" s="127" t="str">
        <f>SUMIFS($F$2:F110,$A$2:A110,A110)</f>
      </c>
      <c r="I110" s="128" t="n">
        <v>296414030.31143</v>
      </c>
      <c r="J110" s="129" t="str">
        <f>IF(I110=0,"",C110/I110)</f>
      </c>
      <c r="K110" s="130" t="str">
        <f>IF(I110=0,"",D110/I110)</f>
      </c>
      <c r="L110" s="131" t="str">
        <f>IF(I110=0,"",E110/I110)</f>
      </c>
      <c r="M110" s="132" t="str">
        <f>IF(I110=0,"",F110/I110)</f>
      </c>
    </row>
    <row r="111">
      <c r="A111" t="s">
        <v>272</v>
      </c>
      <c r="B111" s="121" t="n">
        <v>2030</v>
      </c>
      <c r="C111" s="122" t="str">
        <f>SUMIFS('Annual_Cost'!$Q$2:$Q$287,'Annual_Cost'!$A$2:$A$287,A111,'Annual_Cost'!$B$2:$B$287,B111)</f>
      </c>
      <c r="D111" s="123" t="str">
        <f>SUMIFS('Annual_Cost'!$R$2:$R$287,'Annual_Cost'!$A$2:$A$287,A111,'Annual_Cost'!$B$2:$B$287,B111)</f>
      </c>
      <c r="E111" s="124" t="str">
        <f>SUMIFS('Annual_Cost'!$S$2:$S$287,'Annual_Cost'!$A$2:$A$287,A111,'Annual_Cost'!$B$2:$B$287,B111)</f>
      </c>
      <c r="F111" s="125" t="str">
        <f>SUMIFS('Annual_Cost'!$W$2:$W$287,'Annual_Cost'!$A$2:$A$287,A111,'Annual_Cost'!$B$2:$B$287,B111)</f>
      </c>
      <c r="G111" s="126" t="str">
        <f>SUMIFS($E$2:E111,$A$2:A111,A111)</f>
      </c>
      <c r="H111" s="127" t="str">
        <f>SUMIFS($F$2:F111,$A$2:A111,A111)</f>
      </c>
      <c r="I111" s="128" t="n">
        <v>298289404.664994</v>
      </c>
      <c r="J111" s="129" t="str">
        <f>IF(I111=0,"",C111/I111)</f>
      </c>
      <c r="K111" s="130" t="str">
        <f>IF(I111=0,"",D111/I111)</f>
      </c>
      <c r="L111" s="131" t="str">
        <f>IF(I111=0,"",E111/I111)</f>
      </c>
      <c r="M111" s="132" t="str">
        <f>IF(I111=0,"",F111/I111)</f>
      </c>
    </row>
    <row r="112">
      <c r="A112" t="s">
        <v>272</v>
      </c>
      <c r="B112" s="121" t="n">
        <v>2031</v>
      </c>
      <c r="C112" s="122" t="str">
        <f>SUMIFS('Annual_Cost'!$Q$2:$Q$287,'Annual_Cost'!$A$2:$A$287,A112,'Annual_Cost'!$B$2:$B$287,B112)</f>
      </c>
      <c r="D112" s="123" t="str">
        <f>SUMIFS('Annual_Cost'!$R$2:$R$287,'Annual_Cost'!$A$2:$A$287,A112,'Annual_Cost'!$B$2:$B$287,B112)</f>
      </c>
      <c r="E112" s="124" t="str">
        <f>SUMIFS('Annual_Cost'!$S$2:$S$287,'Annual_Cost'!$A$2:$A$287,A112,'Annual_Cost'!$B$2:$B$287,B112)</f>
      </c>
      <c r="F112" s="125" t="str">
        <f>SUMIFS('Annual_Cost'!$W$2:$W$287,'Annual_Cost'!$A$2:$A$287,A112,'Annual_Cost'!$B$2:$B$287,B112)</f>
      </c>
      <c r="G112" s="126" t="str">
        <f>SUMIFS($E$2:E112,$A$2:A112,A112)</f>
      </c>
      <c r="H112" s="127" t="str">
        <f>SUMIFS($F$2:F112,$A$2:A112,A112)</f>
      </c>
      <c r="I112" s="128" t="n">
        <v>300119636.925519</v>
      </c>
      <c r="J112" s="129" t="str">
        <f>IF(I112=0,"",C112/I112)</f>
      </c>
      <c r="K112" s="130" t="str">
        <f>IF(I112=0,"",D112/I112)</f>
      </c>
      <c r="L112" s="131" t="str">
        <f>IF(I112=0,"",E112/I112)</f>
      </c>
      <c r="M112" s="132" t="str">
        <f>IF(I112=0,"",F112/I112)</f>
      </c>
    </row>
    <row r="113">
      <c r="A113" t="s">
        <v>272</v>
      </c>
      <c r="B113" s="121" t="n">
        <v>2032</v>
      </c>
      <c r="C113" s="122" t="str">
        <f>SUMIFS('Annual_Cost'!$Q$2:$Q$287,'Annual_Cost'!$A$2:$A$287,A113,'Annual_Cost'!$B$2:$B$287,B113)</f>
      </c>
      <c r="D113" s="123" t="str">
        <f>SUMIFS('Annual_Cost'!$R$2:$R$287,'Annual_Cost'!$A$2:$A$287,A113,'Annual_Cost'!$B$2:$B$287,B113)</f>
      </c>
      <c r="E113" s="124" t="str">
        <f>SUMIFS('Annual_Cost'!$S$2:$S$287,'Annual_Cost'!$A$2:$A$287,A113,'Annual_Cost'!$B$2:$B$287,B113)</f>
      </c>
      <c r="F113" s="125" t="str">
        <f>SUMIFS('Annual_Cost'!$W$2:$W$287,'Annual_Cost'!$A$2:$A$287,A113,'Annual_Cost'!$B$2:$B$287,B113)</f>
      </c>
      <c r="G113" s="126" t="str">
        <f>SUMIFS($E$2:E113,$A$2:A113,A113)</f>
      </c>
      <c r="H113" s="127" t="str">
        <f>SUMIFS($F$2:F113,$A$2:A113,A113)</f>
      </c>
      <c r="I113" s="128" t="n">
        <v>301904628.083541</v>
      </c>
      <c r="J113" s="129" t="str">
        <f>IF(I113=0,"",C113/I113)</f>
      </c>
      <c r="K113" s="130" t="str">
        <f>IF(I113=0,"",D113/I113)</f>
      </c>
      <c r="L113" s="131" t="str">
        <f>IF(I113=0,"",E113/I113)</f>
      </c>
      <c r="M113" s="132" t="str">
        <f>IF(I113=0,"",F113/I113)</f>
      </c>
    </row>
    <row r="114">
      <c r="A114" t="s">
        <v>272</v>
      </c>
      <c r="B114" s="121" t="n">
        <v>2033</v>
      </c>
      <c r="C114" s="122" t="str">
        <f>SUMIFS('Annual_Cost'!$Q$2:$Q$287,'Annual_Cost'!$A$2:$A$287,A114,'Annual_Cost'!$B$2:$B$287,B114)</f>
      </c>
      <c r="D114" s="123" t="str">
        <f>SUMIFS('Annual_Cost'!$R$2:$R$287,'Annual_Cost'!$A$2:$A$287,A114,'Annual_Cost'!$B$2:$B$287,B114)</f>
      </c>
      <c r="E114" s="124" t="str">
        <f>SUMIFS('Annual_Cost'!$S$2:$S$287,'Annual_Cost'!$A$2:$A$287,A114,'Annual_Cost'!$B$2:$B$287,B114)</f>
      </c>
      <c r="F114" s="125" t="str">
        <f>SUMIFS('Annual_Cost'!$W$2:$W$287,'Annual_Cost'!$A$2:$A$287,A114,'Annual_Cost'!$B$2:$B$287,B114)</f>
      </c>
      <c r="G114" s="126" t="str">
        <f>SUMIFS($E$2:E114,$A$2:A114,A114)</f>
      </c>
      <c r="H114" s="127" t="str">
        <f>SUMIFS($F$2:F114,$A$2:A114,A114)</f>
      </c>
      <c r="I114" s="128" t="n">
        <v>303644277.16916</v>
      </c>
      <c r="J114" s="129" t="str">
        <f>IF(I114=0,"",C114/I114)</f>
      </c>
      <c r="K114" s="130" t="str">
        <f>IF(I114=0,"",D114/I114)</f>
      </c>
      <c r="L114" s="131" t="str">
        <f>IF(I114=0,"",E114/I114)</f>
      </c>
      <c r="M114" s="132" t="str">
        <f>IF(I114=0,"",F114/I114)</f>
      </c>
    </row>
    <row r="115">
      <c r="A115" t="s">
        <v>272</v>
      </c>
      <c r="B115" s="121" t="n">
        <v>2034</v>
      </c>
      <c r="C115" s="122" t="str">
        <f>SUMIFS('Annual_Cost'!$Q$2:$Q$287,'Annual_Cost'!$A$2:$A$287,A115,'Annual_Cost'!$B$2:$B$287,B115)</f>
      </c>
      <c r="D115" s="123" t="str">
        <f>SUMIFS('Annual_Cost'!$R$2:$R$287,'Annual_Cost'!$A$2:$A$287,A115,'Annual_Cost'!$B$2:$B$287,B115)</f>
      </c>
      <c r="E115" s="124" t="str">
        <f>SUMIFS('Annual_Cost'!$S$2:$S$287,'Annual_Cost'!$A$2:$A$287,A115,'Annual_Cost'!$B$2:$B$287,B115)</f>
      </c>
      <c r="F115" s="125" t="str">
        <f>SUMIFS('Annual_Cost'!$W$2:$W$287,'Annual_Cost'!$A$2:$A$287,A115,'Annual_Cost'!$B$2:$B$287,B115)</f>
      </c>
      <c r="G115" s="126" t="str">
        <f>SUMIFS($E$2:E115,$A$2:A115,A115)</f>
      </c>
      <c r="H115" s="127" t="str">
        <f>SUMIFS($F$2:F115,$A$2:A115,A115)</f>
      </c>
      <c r="I115" s="128" t="n">
        <v>305332541.184984</v>
      </c>
      <c r="J115" s="129" t="str">
        <f>IF(I115=0,"",C115/I115)</f>
      </c>
      <c r="K115" s="130" t="str">
        <f>IF(I115=0,"",D115/I115)</f>
      </c>
      <c r="L115" s="131" t="str">
        <f>IF(I115=0,"",E115/I115)</f>
      </c>
      <c r="M115" s="132" t="str">
        <f>IF(I115=0,"",F115/I115)</f>
      </c>
    </row>
    <row r="116">
      <c r="A116" t="s">
        <v>272</v>
      </c>
      <c r="B116" s="121" t="n">
        <v>2035</v>
      </c>
      <c r="C116" s="122" t="str">
        <f>SUMIFS('Annual_Cost'!$Q$2:$Q$287,'Annual_Cost'!$A$2:$A$287,A116,'Annual_Cost'!$B$2:$B$287,B116)</f>
      </c>
      <c r="D116" s="123" t="str">
        <f>SUMIFS('Annual_Cost'!$R$2:$R$287,'Annual_Cost'!$A$2:$A$287,A116,'Annual_Cost'!$B$2:$B$287,B116)</f>
      </c>
      <c r="E116" s="124" t="str">
        <f>SUMIFS('Annual_Cost'!$S$2:$S$287,'Annual_Cost'!$A$2:$A$287,A116,'Annual_Cost'!$B$2:$B$287,B116)</f>
      </c>
      <c r="F116" s="125" t="str">
        <f>SUMIFS('Annual_Cost'!$W$2:$W$287,'Annual_Cost'!$A$2:$A$287,A116,'Annual_Cost'!$B$2:$B$287,B116)</f>
      </c>
      <c r="G116" s="126" t="str">
        <f>SUMIFS($E$2:E116,$A$2:A116,A116)</f>
      </c>
      <c r="H116" s="127" t="str">
        <f>SUMIFS($F$2:F116,$A$2:A116,A116)</f>
      </c>
      <c r="I116" s="128" t="n">
        <v>306964650.16712</v>
      </c>
      <c r="J116" s="129" t="str">
        <f>IF(I116=0,"",C116/I116)</f>
      </c>
      <c r="K116" s="130" t="str">
        <f>IF(I116=0,"",D116/I116)</f>
      </c>
      <c r="L116" s="131" t="str">
        <f>IF(I116=0,"",E116/I116)</f>
      </c>
      <c r="M116" s="132" t="str">
        <f>IF(I116=0,"",F116/I116)</f>
      </c>
    </row>
    <row r="117">
      <c r="A117" t="s">
        <v>272</v>
      </c>
      <c r="B117" s="121" t="n">
        <v>2036</v>
      </c>
      <c r="C117" s="122" t="str">
        <f>SUMIFS('Annual_Cost'!$Q$2:$Q$287,'Annual_Cost'!$A$2:$A$287,A117,'Annual_Cost'!$B$2:$B$287,B117)</f>
      </c>
      <c r="D117" s="123" t="str">
        <f>SUMIFS('Annual_Cost'!$R$2:$R$287,'Annual_Cost'!$A$2:$A$287,A117,'Annual_Cost'!$B$2:$B$287,B117)</f>
      </c>
      <c r="E117" s="124" t="str">
        <f>SUMIFS('Annual_Cost'!$S$2:$S$287,'Annual_Cost'!$A$2:$A$287,A117,'Annual_Cost'!$B$2:$B$287,B117)</f>
      </c>
      <c r="F117" s="125" t="str">
        <f>SUMIFS('Annual_Cost'!$W$2:$W$287,'Annual_Cost'!$A$2:$A$287,A117,'Annual_Cost'!$B$2:$B$287,B117)</f>
      </c>
      <c r="G117" s="126" t="str">
        <f>SUMIFS($E$2:E117,$A$2:A117,A117)</f>
      </c>
      <c r="H117" s="127" t="str">
        <f>SUMIFS($F$2:F117,$A$2:A117,A117)</f>
      </c>
      <c r="I117" s="128" t="n">
        <v>308542769.756622</v>
      </c>
      <c r="J117" s="129" t="str">
        <f>IF(I117=0,"",C117/I117)</f>
      </c>
      <c r="K117" s="130" t="str">
        <f>IF(I117=0,"",D117/I117)</f>
      </c>
      <c r="L117" s="131" t="str">
        <f>IF(I117=0,"",E117/I117)</f>
      </c>
      <c r="M117" s="132" t="str">
        <f>IF(I117=0,"",F117/I117)</f>
      </c>
    </row>
    <row r="118">
      <c r="A118" t="s">
        <v>272</v>
      </c>
      <c r="B118" s="121" t="n">
        <v>2037</v>
      </c>
      <c r="C118" s="122" t="str">
        <f>SUMIFS('Annual_Cost'!$Q$2:$Q$287,'Annual_Cost'!$A$2:$A$287,A118,'Annual_Cost'!$B$2:$B$287,B118)</f>
      </c>
      <c r="D118" s="123" t="str">
        <f>SUMIFS('Annual_Cost'!$R$2:$R$287,'Annual_Cost'!$A$2:$A$287,A118,'Annual_Cost'!$B$2:$B$287,B118)</f>
      </c>
      <c r="E118" s="124" t="str">
        <f>SUMIFS('Annual_Cost'!$S$2:$S$287,'Annual_Cost'!$A$2:$A$287,A118,'Annual_Cost'!$B$2:$B$287,B118)</f>
      </c>
      <c r="F118" s="125" t="str">
        <f>SUMIFS('Annual_Cost'!$W$2:$W$287,'Annual_Cost'!$A$2:$A$287,A118,'Annual_Cost'!$B$2:$B$287,B118)</f>
      </c>
      <c r="G118" s="126" t="str">
        <f>SUMIFS($E$2:E118,$A$2:A118,A118)</f>
      </c>
      <c r="H118" s="127" t="str">
        <f>SUMIFS($F$2:F118,$A$2:A118,A118)</f>
      </c>
      <c r="I118" s="128" t="n">
        <v>310068287.63643</v>
      </c>
      <c r="J118" s="129" t="str">
        <f>IF(I118=0,"",C118/I118)</f>
      </c>
      <c r="K118" s="130" t="str">
        <f>IF(I118=0,"",D118/I118)</f>
      </c>
      <c r="L118" s="131" t="str">
        <f>IF(I118=0,"",E118/I118)</f>
      </c>
      <c r="M118" s="132" t="str">
        <f>IF(I118=0,"",F118/I118)</f>
      </c>
    </row>
    <row r="119">
      <c r="A119" t="s">
        <v>272</v>
      </c>
      <c r="B119" s="121" t="n">
        <v>2038</v>
      </c>
      <c r="C119" s="122" t="str">
        <f>SUMIFS('Annual_Cost'!$Q$2:$Q$287,'Annual_Cost'!$A$2:$A$287,A119,'Annual_Cost'!$B$2:$B$287,B119)</f>
      </c>
      <c r="D119" s="123" t="str">
        <f>SUMIFS('Annual_Cost'!$R$2:$R$287,'Annual_Cost'!$A$2:$A$287,A119,'Annual_Cost'!$B$2:$B$287,B119)</f>
      </c>
      <c r="E119" s="124" t="str">
        <f>SUMIFS('Annual_Cost'!$S$2:$S$287,'Annual_Cost'!$A$2:$A$287,A119,'Annual_Cost'!$B$2:$B$287,B119)</f>
      </c>
      <c r="F119" s="125" t="str">
        <f>SUMIFS('Annual_Cost'!$W$2:$W$287,'Annual_Cost'!$A$2:$A$287,A119,'Annual_Cost'!$B$2:$B$287,B119)</f>
      </c>
      <c r="G119" s="126" t="str">
        <f>SUMIFS($E$2:E119,$A$2:A119,A119)</f>
      </c>
      <c r="H119" s="127" t="str">
        <f>SUMIFS($F$2:F119,$A$2:A119,A119)</f>
      </c>
      <c r="I119" s="128" t="n">
        <v>311532999.13163</v>
      </c>
      <c r="J119" s="129" t="str">
        <f>IF(I119=0,"",C119/I119)</f>
      </c>
      <c r="K119" s="130" t="str">
        <f>IF(I119=0,"",D119/I119)</f>
      </c>
      <c r="L119" s="131" t="str">
        <f>IF(I119=0,"",E119/I119)</f>
      </c>
      <c r="M119" s="132" t="str">
        <f>IF(I119=0,"",F119/I119)</f>
      </c>
    </row>
    <row r="120">
      <c r="A120" t="s">
        <v>272</v>
      </c>
      <c r="B120" s="121" t="n">
        <v>2039</v>
      </c>
      <c r="C120" s="122" t="str">
        <f>SUMIFS('Annual_Cost'!$Q$2:$Q$287,'Annual_Cost'!$A$2:$A$287,A120,'Annual_Cost'!$B$2:$B$287,B120)</f>
      </c>
      <c r="D120" s="123" t="str">
        <f>SUMIFS('Annual_Cost'!$R$2:$R$287,'Annual_Cost'!$A$2:$A$287,A120,'Annual_Cost'!$B$2:$B$287,B120)</f>
      </c>
      <c r="E120" s="124" t="str">
        <f>SUMIFS('Annual_Cost'!$S$2:$S$287,'Annual_Cost'!$A$2:$A$287,A120,'Annual_Cost'!$B$2:$B$287,B120)</f>
      </c>
      <c r="F120" s="125" t="str">
        <f>SUMIFS('Annual_Cost'!$W$2:$W$287,'Annual_Cost'!$A$2:$A$287,A120,'Annual_Cost'!$B$2:$B$287,B120)</f>
      </c>
      <c r="G120" s="126" t="str">
        <f>SUMIFS($E$2:E120,$A$2:A120,A120)</f>
      </c>
      <c r="H120" s="127" t="str">
        <f>SUMIFS($F$2:F120,$A$2:A120,A120)</f>
      </c>
      <c r="I120" s="128" t="n">
        <v>312936391.858479</v>
      </c>
      <c r="J120" s="129" t="str">
        <f>IF(I120=0,"",C120/I120)</f>
      </c>
      <c r="K120" s="130" t="str">
        <f>IF(I120=0,"",D120/I120)</f>
      </c>
      <c r="L120" s="131" t="str">
        <f>IF(I120=0,"",E120/I120)</f>
      </c>
      <c r="M120" s="132" t="str">
        <f>IF(I120=0,"",F120/I120)</f>
      </c>
    </row>
    <row r="121">
      <c r="A121" t="s">
        <v>272</v>
      </c>
      <c r="B121" s="121" t="n">
        <v>2040</v>
      </c>
      <c r="C121" s="122" t="str">
        <f>SUMIFS('Annual_Cost'!$Q$2:$Q$287,'Annual_Cost'!$A$2:$A$287,A121,'Annual_Cost'!$B$2:$B$287,B121)</f>
      </c>
      <c r="D121" s="123" t="str">
        <f>SUMIFS('Annual_Cost'!$R$2:$R$287,'Annual_Cost'!$A$2:$A$287,A121,'Annual_Cost'!$B$2:$B$287,B121)</f>
      </c>
      <c r="E121" s="124" t="str">
        <f>SUMIFS('Annual_Cost'!$S$2:$S$287,'Annual_Cost'!$A$2:$A$287,A121,'Annual_Cost'!$B$2:$B$287,B121)</f>
      </c>
      <c r="F121" s="125" t="str">
        <f>SUMIFS('Annual_Cost'!$W$2:$W$287,'Annual_Cost'!$A$2:$A$287,A121,'Annual_Cost'!$B$2:$B$287,B121)</f>
      </c>
      <c r="G121" s="126" t="str">
        <f>SUMIFS($E$2:E121,$A$2:A121,A121)</f>
      </c>
      <c r="H121" s="127" t="str">
        <f>SUMIFS($F$2:F121,$A$2:A121,A121)</f>
      </c>
      <c r="I121" s="128" t="n">
        <v>314265537.410829</v>
      </c>
      <c r="J121" s="129" t="str">
        <f>IF(I121=0,"",C121/I121)</f>
      </c>
      <c r="K121" s="130" t="str">
        <f>IF(I121=0,"",D121/I121)</f>
      </c>
      <c r="L121" s="131" t="str">
        <f>IF(I121=0,"",E121/I121)</f>
      </c>
      <c r="M121" s="132" t="str">
        <f>IF(I121=0,"",F121/I121)</f>
      </c>
    </row>
    <row r="122">
      <c r="A122" t="s">
        <v>272</v>
      </c>
      <c r="B122" s="121" t="n">
        <v>2041</v>
      </c>
      <c r="C122" s="122" t="str">
        <f>SUMIFS('Annual_Cost'!$Q$2:$Q$287,'Annual_Cost'!$A$2:$A$287,A122,'Annual_Cost'!$B$2:$B$287,B122)</f>
      </c>
      <c r="D122" s="123" t="str">
        <f>SUMIFS('Annual_Cost'!$R$2:$R$287,'Annual_Cost'!$A$2:$A$287,A122,'Annual_Cost'!$B$2:$B$287,B122)</f>
      </c>
      <c r="E122" s="124" t="str">
        <f>SUMIFS('Annual_Cost'!$S$2:$S$287,'Annual_Cost'!$A$2:$A$287,A122,'Annual_Cost'!$B$2:$B$287,B122)</f>
      </c>
      <c r="F122" s="125" t="str">
        <f>SUMIFS('Annual_Cost'!$W$2:$W$287,'Annual_Cost'!$A$2:$A$287,A122,'Annual_Cost'!$B$2:$B$287,B122)</f>
      </c>
      <c r="G122" s="126" t="str">
        <f>SUMIFS($E$2:E122,$A$2:A122,A122)</f>
      </c>
      <c r="H122" s="127" t="str">
        <f>SUMIFS($F$2:F122,$A$2:A122,A122)</f>
      </c>
      <c r="I122" s="128" t="n">
        <v>315525215.312548</v>
      </c>
      <c r="J122" s="129" t="str">
        <f>IF(I122=0,"",C122/I122)</f>
      </c>
      <c r="K122" s="130" t="str">
        <f>IF(I122=0,"",D122/I122)</f>
      </c>
      <c r="L122" s="131" t="str">
        <f>IF(I122=0,"",E122/I122)</f>
      </c>
      <c r="M122" s="132" t="str">
        <f>IF(I122=0,"",F122/I122)</f>
      </c>
    </row>
    <row r="123">
      <c r="A123" t="s">
        <v>272</v>
      </c>
      <c r="B123" s="121" t="n">
        <v>2042</v>
      </c>
      <c r="C123" s="122" t="str">
        <f>SUMIFS('Annual_Cost'!$Q$2:$Q$287,'Annual_Cost'!$A$2:$A$287,A123,'Annual_Cost'!$B$2:$B$287,B123)</f>
      </c>
      <c r="D123" s="123" t="str">
        <f>SUMIFS('Annual_Cost'!$R$2:$R$287,'Annual_Cost'!$A$2:$A$287,A123,'Annual_Cost'!$B$2:$B$287,B123)</f>
      </c>
      <c r="E123" s="124" t="str">
        <f>SUMIFS('Annual_Cost'!$S$2:$S$287,'Annual_Cost'!$A$2:$A$287,A123,'Annual_Cost'!$B$2:$B$287,B123)</f>
      </c>
      <c r="F123" s="125" t="str">
        <f>SUMIFS('Annual_Cost'!$W$2:$W$287,'Annual_Cost'!$A$2:$A$287,A123,'Annual_Cost'!$B$2:$B$287,B123)</f>
      </c>
      <c r="G123" s="126" t="str">
        <f>SUMIFS($E$2:E123,$A$2:A123,A123)</f>
      </c>
      <c r="H123" s="127" t="str">
        <f>SUMIFS($F$2:F123,$A$2:A123,A123)</f>
      </c>
      <c r="I123" s="128" t="n">
        <v>316707694.211882</v>
      </c>
      <c r="J123" s="129" t="str">
        <f>IF(I123=0,"",C123/I123)</f>
      </c>
      <c r="K123" s="130" t="str">
        <f>IF(I123=0,"",D123/I123)</f>
      </c>
      <c r="L123" s="131" t="str">
        <f>IF(I123=0,"",E123/I123)</f>
      </c>
      <c r="M123" s="132" t="str">
        <f>IF(I123=0,"",F123/I123)</f>
      </c>
    </row>
    <row r="124">
      <c r="A124" t="s">
        <v>272</v>
      </c>
      <c r="B124" s="121" t="n">
        <v>2043</v>
      </c>
      <c r="C124" s="122" t="str">
        <f>SUMIFS('Annual_Cost'!$Q$2:$Q$287,'Annual_Cost'!$A$2:$A$287,A124,'Annual_Cost'!$B$2:$B$287,B124)</f>
      </c>
      <c r="D124" s="123" t="str">
        <f>SUMIFS('Annual_Cost'!$R$2:$R$287,'Annual_Cost'!$A$2:$A$287,A124,'Annual_Cost'!$B$2:$B$287,B124)</f>
      </c>
      <c r="E124" s="124" t="str">
        <f>SUMIFS('Annual_Cost'!$S$2:$S$287,'Annual_Cost'!$A$2:$A$287,A124,'Annual_Cost'!$B$2:$B$287,B124)</f>
      </c>
      <c r="F124" s="125" t="str">
        <f>SUMIFS('Annual_Cost'!$W$2:$W$287,'Annual_Cost'!$A$2:$A$287,A124,'Annual_Cost'!$B$2:$B$287,B124)</f>
      </c>
      <c r="G124" s="126" t="str">
        <f>SUMIFS($E$2:E124,$A$2:A124,A124)</f>
      </c>
      <c r="H124" s="127" t="str">
        <f>SUMIFS($F$2:F124,$A$2:A124,A124)</f>
      </c>
      <c r="I124" s="128" t="n">
        <v>317814114.067152</v>
      </c>
      <c r="J124" s="129" t="str">
        <f>IF(I124=0,"",C124/I124)</f>
      </c>
      <c r="K124" s="130" t="str">
        <f>IF(I124=0,"",D124/I124)</f>
      </c>
      <c r="L124" s="131" t="str">
        <f>IF(I124=0,"",E124/I124)</f>
      </c>
      <c r="M124" s="132" t="str">
        <f>IF(I124=0,"",F124/I124)</f>
      </c>
    </row>
    <row r="125">
      <c r="A125" t="s">
        <v>272</v>
      </c>
      <c r="B125" s="121" t="n">
        <v>2044</v>
      </c>
      <c r="C125" s="122" t="str">
        <f>SUMIFS('Annual_Cost'!$Q$2:$Q$287,'Annual_Cost'!$A$2:$A$287,A125,'Annual_Cost'!$B$2:$B$287,B125)</f>
      </c>
      <c r="D125" s="123" t="str">
        <f>SUMIFS('Annual_Cost'!$R$2:$R$287,'Annual_Cost'!$A$2:$A$287,A125,'Annual_Cost'!$B$2:$B$287,B125)</f>
      </c>
      <c r="E125" s="124" t="str">
        <f>SUMIFS('Annual_Cost'!$S$2:$S$287,'Annual_Cost'!$A$2:$A$287,A125,'Annual_Cost'!$B$2:$B$287,B125)</f>
      </c>
      <c r="F125" s="125" t="str">
        <f>SUMIFS('Annual_Cost'!$W$2:$W$287,'Annual_Cost'!$A$2:$A$287,A125,'Annual_Cost'!$B$2:$B$287,B125)</f>
      </c>
      <c r="G125" s="126" t="str">
        <f>SUMIFS($E$2:E125,$A$2:A125,A125)</f>
      </c>
      <c r="H125" s="127" t="str">
        <f>SUMIFS($F$2:F125,$A$2:A125,A125)</f>
      </c>
      <c r="I125" s="128" t="n">
        <v>318840890.732156</v>
      </c>
      <c r="J125" s="129" t="str">
        <f>IF(I125=0,"",C125/I125)</f>
      </c>
      <c r="K125" s="130" t="str">
        <f>IF(I125=0,"",D125/I125)</f>
      </c>
      <c r="L125" s="131" t="str">
        <f>IF(I125=0,"",E125/I125)</f>
      </c>
      <c r="M125" s="132" t="str">
        <f>IF(I125=0,"",F125/I125)</f>
      </c>
    </row>
    <row r="126">
      <c r="A126" t="s">
        <v>272</v>
      </c>
      <c r="B126" s="121" t="n">
        <v>2045</v>
      </c>
      <c r="C126" s="122" t="str">
        <f>SUMIFS('Annual_Cost'!$Q$2:$Q$287,'Annual_Cost'!$A$2:$A$287,A126,'Annual_Cost'!$B$2:$B$287,B126)</f>
      </c>
      <c r="D126" s="123" t="str">
        <f>SUMIFS('Annual_Cost'!$R$2:$R$287,'Annual_Cost'!$A$2:$A$287,A126,'Annual_Cost'!$B$2:$B$287,B126)</f>
      </c>
      <c r="E126" s="124" t="str">
        <f>SUMIFS('Annual_Cost'!$S$2:$S$287,'Annual_Cost'!$A$2:$A$287,A126,'Annual_Cost'!$B$2:$B$287,B126)</f>
      </c>
      <c r="F126" s="125" t="str">
        <f>SUMIFS('Annual_Cost'!$W$2:$W$287,'Annual_Cost'!$A$2:$A$287,A126,'Annual_Cost'!$B$2:$B$287,B126)</f>
      </c>
      <c r="G126" s="126" t="str">
        <f>SUMIFS($E$2:E126,$A$2:A126,A126)</f>
      </c>
      <c r="H126" s="127" t="str">
        <f>SUMIFS($F$2:F126,$A$2:A126,A126)</f>
      </c>
      <c r="I126" s="128" t="n">
        <v>319784682.33108</v>
      </c>
      <c r="J126" s="129" t="str">
        <f>IF(I126=0,"",C126/I126)</f>
      </c>
      <c r="K126" s="130" t="str">
        <f>IF(I126=0,"",D126/I126)</f>
      </c>
      <c r="L126" s="131" t="str">
        <f>IF(I126=0,"",E126/I126)</f>
      </c>
      <c r="M126" s="132" t="str">
        <f>IF(I126=0,"",F126/I126)</f>
      </c>
    </row>
    <row r="127">
      <c r="A127" t="s">
        <v>272</v>
      </c>
      <c r="B127" s="121" t="n">
        <v>2046</v>
      </c>
      <c r="C127" s="122" t="str">
        <f>SUMIFS('Annual_Cost'!$Q$2:$Q$287,'Annual_Cost'!$A$2:$A$287,A127,'Annual_Cost'!$B$2:$B$287,B127)</f>
      </c>
      <c r="D127" s="123" t="str">
        <f>SUMIFS('Annual_Cost'!$R$2:$R$287,'Annual_Cost'!$A$2:$A$287,A127,'Annual_Cost'!$B$2:$B$287,B127)</f>
      </c>
      <c r="E127" s="124" t="str">
        <f>SUMIFS('Annual_Cost'!$S$2:$S$287,'Annual_Cost'!$A$2:$A$287,A127,'Annual_Cost'!$B$2:$B$287,B127)</f>
      </c>
      <c r="F127" s="125" t="str">
        <f>SUMIFS('Annual_Cost'!$W$2:$W$287,'Annual_Cost'!$A$2:$A$287,A127,'Annual_Cost'!$B$2:$B$287,B127)</f>
      </c>
      <c r="G127" s="126" t="str">
        <f>SUMIFS($E$2:E127,$A$2:A127,A127)</f>
      </c>
      <c r="H127" s="127" t="str">
        <f>SUMIFS($F$2:F127,$A$2:A127,A127)</f>
      </c>
      <c r="I127" s="128" t="n">
        <v>320645615.981408</v>
      </c>
      <c r="J127" s="129" t="str">
        <f>IF(I127=0,"",C127/I127)</f>
      </c>
      <c r="K127" s="130" t="str">
        <f>IF(I127=0,"",D127/I127)</f>
      </c>
      <c r="L127" s="131" t="str">
        <f>IF(I127=0,"",E127/I127)</f>
      </c>
      <c r="M127" s="132" t="str">
        <f>IF(I127=0,"",F127/I127)</f>
      </c>
    </row>
    <row r="128">
      <c r="A128" t="s">
        <v>272</v>
      </c>
      <c r="B128" s="121" t="n">
        <v>2047</v>
      </c>
      <c r="C128" s="122" t="str">
        <f>SUMIFS('Annual_Cost'!$Q$2:$Q$287,'Annual_Cost'!$A$2:$A$287,A128,'Annual_Cost'!$B$2:$B$287,B128)</f>
      </c>
      <c r="D128" s="123" t="str">
        <f>SUMIFS('Annual_Cost'!$R$2:$R$287,'Annual_Cost'!$A$2:$A$287,A128,'Annual_Cost'!$B$2:$B$287,B128)</f>
      </c>
      <c r="E128" s="124" t="str">
        <f>SUMIFS('Annual_Cost'!$S$2:$S$287,'Annual_Cost'!$A$2:$A$287,A128,'Annual_Cost'!$B$2:$B$287,B128)</f>
      </c>
      <c r="F128" s="125" t="str">
        <f>SUMIFS('Annual_Cost'!$W$2:$W$287,'Annual_Cost'!$A$2:$A$287,A128,'Annual_Cost'!$B$2:$B$287,B128)</f>
      </c>
      <c r="G128" s="126" t="str">
        <f>SUMIFS($E$2:E128,$A$2:A128,A128)</f>
      </c>
      <c r="H128" s="127" t="str">
        <f>SUMIFS($F$2:F128,$A$2:A128,A128)</f>
      </c>
      <c r="I128" s="128" t="n">
        <v>321429520.522875</v>
      </c>
      <c r="J128" s="129" t="str">
        <f>IF(I128=0,"",C128/I128)</f>
      </c>
      <c r="K128" s="130" t="str">
        <f>IF(I128=0,"",D128/I128)</f>
      </c>
      <c r="L128" s="131" t="str">
        <f>IF(I128=0,"",E128/I128)</f>
      </c>
      <c r="M128" s="132" t="str">
        <f>IF(I128=0,"",F128/I128)</f>
      </c>
    </row>
    <row r="129">
      <c r="A129" t="s">
        <v>272</v>
      </c>
      <c r="B129" s="121" t="n">
        <v>2048</v>
      </c>
      <c r="C129" s="122" t="str">
        <f>SUMIFS('Annual_Cost'!$Q$2:$Q$287,'Annual_Cost'!$A$2:$A$287,A129,'Annual_Cost'!$B$2:$B$287,B129)</f>
      </c>
      <c r="D129" s="123" t="str">
        <f>SUMIFS('Annual_Cost'!$R$2:$R$287,'Annual_Cost'!$A$2:$A$287,A129,'Annual_Cost'!$B$2:$B$287,B129)</f>
      </c>
      <c r="E129" s="124" t="str">
        <f>SUMIFS('Annual_Cost'!$S$2:$S$287,'Annual_Cost'!$A$2:$A$287,A129,'Annual_Cost'!$B$2:$B$287,B129)</f>
      </c>
      <c r="F129" s="125" t="str">
        <f>SUMIFS('Annual_Cost'!$W$2:$W$287,'Annual_Cost'!$A$2:$A$287,A129,'Annual_Cost'!$B$2:$B$287,B129)</f>
      </c>
      <c r="G129" s="126" t="str">
        <f>SUMIFS($E$2:E129,$A$2:A129,A129)</f>
      </c>
      <c r="H129" s="127" t="str">
        <f>SUMIFS($F$2:F129,$A$2:A129,A129)</f>
      </c>
      <c r="I129" s="128" t="n">
        <v>322136832.260161</v>
      </c>
      <c r="J129" s="129" t="str">
        <f>IF(I129=0,"",C129/I129)</f>
      </c>
      <c r="K129" s="130" t="str">
        <f>IF(I129=0,"",D129/I129)</f>
      </c>
      <c r="L129" s="131" t="str">
        <f>IF(I129=0,"",E129/I129)</f>
      </c>
      <c r="M129" s="132" t="str">
        <f>IF(I129=0,"",F129/I129)</f>
      </c>
    </row>
    <row r="130">
      <c r="A130" t="s">
        <v>272</v>
      </c>
      <c r="B130" s="121" t="n">
        <v>2049</v>
      </c>
      <c r="C130" s="122" t="str">
        <f>SUMIFS('Annual_Cost'!$Q$2:$Q$287,'Annual_Cost'!$A$2:$A$287,A130,'Annual_Cost'!$B$2:$B$287,B130)</f>
      </c>
      <c r="D130" s="123" t="str">
        <f>SUMIFS('Annual_Cost'!$R$2:$R$287,'Annual_Cost'!$A$2:$A$287,A130,'Annual_Cost'!$B$2:$B$287,B130)</f>
      </c>
      <c r="E130" s="124" t="str">
        <f>SUMIFS('Annual_Cost'!$S$2:$S$287,'Annual_Cost'!$A$2:$A$287,A130,'Annual_Cost'!$B$2:$B$287,B130)</f>
      </c>
      <c r="F130" s="125" t="str">
        <f>SUMIFS('Annual_Cost'!$W$2:$W$287,'Annual_Cost'!$A$2:$A$287,A130,'Annual_Cost'!$B$2:$B$287,B130)</f>
      </c>
      <c r="G130" s="126" t="str">
        <f>SUMIFS($E$2:E130,$A$2:A130,A130)</f>
      </c>
      <c r="H130" s="127" t="str">
        <f>SUMIFS($F$2:F130,$A$2:A130,A130)</f>
      </c>
      <c r="I130" s="128" t="n">
        <v>322765819.752681</v>
      </c>
      <c r="J130" s="129" t="str">
        <f>IF(I130=0,"",C130/I130)</f>
      </c>
      <c r="K130" s="130" t="str">
        <f>IF(I130=0,"",D130/I130)</f>
      </c>
      <c r="L130" s="131" t="str">
        <f>IF(I130=0,"",E130/I130)</f>
      </c>
      <c r="M130" s="132" t="str">
        <f>IF(I130=0,"",F130/I130)</f>
      </c>
    </row>
    <row r="131">
      <c r="A131" t="s">
        <v>272</v>
      </c>
      <c r="B131" s="121" t="n">
        <v>2050</v>
      </c>
      <c r="C131" s="122" t="str">
        <f>SUMIFS('Annual_Cost'!$Q$2:$Q$287,'Annual_Cost'!$A$2:$A$287,A131,'Annual_Cost'!$B$2:$B$287,B131)</f>
      </c>
      <c r="D131" s="123" t="str">
        <f>SUMIFS('Annual_Cost'!$R$2:$R$287,'Annual_Cost'!$A$2:$A$287,A131,'Annual_Cost'!$B$2:$B$287,B131)</f>
      </c>
      <c r="E131" s="124" t="str">
        <f>SUMIFS('Annual_Cost'!$S$2:$S$287,'Annual_Cost'!$A$2:$A$287,A131,'Annual_Cost'!$B$2:$B$287,B131)</f>
      </c>
      <c r="F131" s="125" t="str">
        <f>SUMIFS('Annual_Cost'!$W$2:$W$287,'Annual_Cost'!$A$2:$A$287,A131,'Annual_Cost'!$B$2:$B$287,B131)</f>
      </c>
      <c r="G131" s="126" t="str">
        <f>SUMIFS($E$2:E131,$A$2:A131,A131)</f>
      </c>
      <c r="H131" s="127" t="str">
        <f>SUMIFS($F$2:F131,$A$2:A131,A131)</f>
      </c>
      <c r="I131" s="128" t="n">
        <v>323312042.563285</v>
      </c>
      <c r="J131" s="129" t="str">
        <f>IF(I131=0,"",C131/I131)</f>
      </c>
      <c r="K131" s="130" t="str">
        <f>IF(I131=0,"",D131/I131)</f>
      </c>
      <c r="L131" s="131" t="str">
        <f>IF(I131=0,"",E131/I131)</f>
      </c>
      <c r="M131" s="132" t="str">
        <f>IF(I131=0,"",F131/I131)</f>
      </c>
    </row>
    <row r="132">
      <c r="A132" t="s">
        <v>116</v>
      </c>
      <c r="B132" s="121" t="n">
        <v>2025</v>
      </c>
      <c r="C132" s="122" t="str">
        <f>SUMIFS('Annual_Cost'!$Q$2:$Q$287,'Annual_Cost'!$A$2:$A$287,A132,'Annual_Cost'!$B$2:$B$287,B132)</f>
      </c>
      <c r="D132" s="123" t="str">
        <f>SUMIFS('Annual_Cost'!$R$2:$R$287,'Annual_Cost'!$A$2:$A$287,A132,'Annual_Cost'!$B$2:$B$287,B132)</f>
      </c>
      <c r="E132" s="124" t="str">
        <f>SUMIFS('Annual_Cost'!$S$2:$S$287,'Annual_Cost'!$A$2:$A$287,A132,'Annual_Cost'!$B$2:$B$287,B132)</f>
      </c>
      <c r="F132" s="125" t="str">
        <f>SUMIFS('Annual_Cost'!$W$2:$W$287,'Annual_Cost'!$A$2:$A$287,A132,'Annual_Cost'!$B$2:$B$287,B132)</f>
      </c>
      <c r="G132" s="126" t="str">
        <f>SUMIFS($E$2:E132,$A$2:A132,A132)</f>
      </c>
      <c r="H132" s="127" t="str">
        <f>SUMIFS($F$2:F132,$A$2:A132,A132)</f>
      </c>
      <c r="I132" s="128" t="n">
        <v>288391907.644456</v>
      </c>
      <c r="J132" s="129" t="str">
        <f>IF(I132=0,"",C132/I132)</f>
      </c>
      <c r="K132" s="130" t="str">
        <f>IF(I132=0,"",D132/I132)</f>
      </c>
      <c r="L132" s="131" t="str">
        <f>IF(I132=0,"",E132/I132)</f>
      </c>
      <c r="M132" s="132" t="str">
        <f>IF(I132=0,"",F132/I132)</f>
      </c>
    </row>
    <row r="133">
      <c r="A133" t="s">
        <v>116</v>
      </c>
      <c r="B133" s="121" t="n">
        <v>2026</v>
      </c>
      <c r="C133" s="122" t="str">
        <f>SUMIFS('Annual_Cost'!$Q$2:$Q$287,'Annual_Cost'!$A$2:$A$287,A133,'Annual_Cost'!$B$2:$B$287,B133)</f>
      </c>
      <c r="D133" s="123" t="str">
        <f>SUMIFS('Annual_Cost'!$R$2:$R$287,'Annual_Cost'!$A$2:$A$287,A133,'Annual_Cost'!$B$2:$B$287,B133)</f>
      </c>
      <c r="E133" s="124" t="str">
        <f>SUMIFS('Annual_Cost'!$S$2:$S$287,'Annual_Cost'!$A$2:$A$287,A133,'Annual_Cost'!$B$2:$B$287,B133)</f>
      </c>
      <c r="F133" s="125" t="str">
        <f>SUMIFS('Annual_Cost'!$W$2:$W$287,'Annual_Cost'!$A$2:$A$287,A133,'Annual_Cost'!$B$2:$B$287,B133)</f>
      </c>
      <c r="G133" s="126" t="str">
        <f>SUMIFS($E$2:E133,$A$2:A133,A133)</f>
      </c>
      <c r="H133" s="127" t="str">
        <f>SUMIFS($F$2:F133,$A$2:A133,A133)</f>
      </c>
      <c r="I133" s="128" t="n">
        <v>290472130.233437</v>
      </c>
      <c r="J133" s="129" t="str">
        <f>IF(I133=0,"",C133/I133)</f>
      </c>
      <c r="K133" s="130" t="str">
        <f>IF(I133=0,"",D133/I133)</f>
      </c>
      <c r="L133" s="131" t="str">
        <f>IF(I133=0,"",E133/I133)</f>
      </c>
      <c r="M133" s="132" t="str">
        <f>IF(I133=0,"",F133/I133)</f>
      </c>
    </row>
    <row r="134">
      <c r="A134" t="s">
        <v>116</v>
      </c>
      <c r="B134" s="121" t="n">
        <v>2027</v>
      </c>
      <c r="C134" s="122" t="str">
        <f>SUMIFS('Annual_Cost'!$Q$2:$Q$287,'Annual_Cost'!$A$2:$A$287,A134,'Annual_Cost'!$B$2:$B$287,B134)</f>
      </c>
      <c r="D134" s="123" t="str">
        <f>SUMIFS('Annual_Cost'!$R$2:$R$287,'Annual_Cost'!$A$2:$A$287,A134,'Annual_Cost'!$B$2:$B$287,B134)</f>
      </c>
      <c r="E134" s="124" t="str">
        <f>SUMIFS('Annual_Cost'!$S$2:$S$287,'Annual_Cost'!$A$2:$A$287,A134,'Annual_Cost'!$B$2:$B$287,B134)</f>
      </c>
      <c r="F134" s="125" t="str">
        <f>SUMIFS('Annual_Cost'!$W$2:$W$287,'Annual_Cost'!$A$2:$A$287,A134,'Annual_Cost'!$B$2:$B$287,B134)</f>
      </c>
      <c r="G134" s="126" t="str">
        <f>SUMIFS($E$2:E134,$A$2:A134,A134)</f>
      </c>
      <c r="H134" s="127" t="str">
        <f>SUMIFS($F$2:F134,$A$2:A134,A134)</f>
      </c>
      <c r="I134" s="128" t="n">
        <v>292505080.826208</v>
      </c>
      <c r="J134" s="129" t="str">
        <f>IF(I134=0,"",C134/I134)</f>
      </c>
      <c r="K134" s="130" t="str">
        <f>IF(I134=0,"",D134/I134)</f>
      </c>
      <c r="L134" s="131" t="str">
        <f>IF(I134=0,"",E134/I134)</f>
      </c>
      <c r="M134" s="132" t="str">
        <f>IF(I134=0,"",F134/I134)</f>
      </c>
    </row>
    <row r="135">
      <c r="A135" t="s">
        <v>116</v>
      </c>
      <c r="B135" s="121" t="n">
        <v>2028</v>
      </c>
      <c r="C135" s="122" t="str">
        <f>SUMIFS('Annual_Cost'!$Q$2:$Q$287,'Annual_Cost'!$A$2:$A$287,A135,'Annual_Cost'!$B$2:$B$287,B135)</f>
      </c>
      <c r="D135" s="123" t="str">
        <f>SUMIFS('Annual_Cost'!$R$2:$R$287,'Annual_Cost'!$A$2:$A$287,A135,'Annual_Cost'!$B$2:$B$287,B135)</f>
      </c>
      <c r="E135" s="124" t="str">
        <f>SUMIFS('Annual_Cost'!$S$2:$S$287,'Annual_Cost'!$A$2:$A$287,A135,'Annual_Cost'!$B$2:$B$287,B135)</f>
      </c>
      <c r="F135" s="125" t="str">
        <f>SUMIFS('Annual_Cost'!$W$2:$W$287,'Annual_Cost'!$A$2:$A$287,A135,'Annual_Cost'!$B$2:$B$287,B135)</f>
      </c>
      <c r="G135" s="126" t="str">
        <f>SUMIFS($E$2:E135,$A$2:A135,A135)</f>
      </c>
      <c r="H135" s="127" t="str">
        <f>SUMIFS($F$2:F135,$A$2:A135,A135)</f>
      </c>
      <c r="I135" s="128" t="n">
        <v>294484707.921554</v>
      </c>
      <c r="J135" s="129" t="str">
        <f>IF(I135=0,"",C135/I135)</f>
      </c>
      <c r="K135" s="130" t="str">
        <f>IF(I135=0,"",D135/I135)</f>
      </c>
      <c r="L135" s="131" t="str">
        <f>IF(I135=0,"",E135/I135)</f>
      </c>
      <c r="M135" s="132" t="str">
        <f>IF(I135=0,"",F135/I135)</f>
      </c>
    </row>
    <row r="136">
      <c r="A136" t="s">
        <v>116</v>
      </c>
      <c r="B136" s="121" t="n">
        <v>2029</v>
      </c>
      <c r="C136" s="122" t="str">
        <f>SUMIFS('Annual_Cost'!$Q$2:$Q$287,'Annual_Cost'!$A$2:$A$287,A136,'Annual_Cost'!$B$2:$B$287,B136)</f>
      </c>
      <c r="D136" s="123" t="str">
        <f>SUMIFS('Annual_Cost'!$R$2:$R$287,'Annual_Cost'!$A$2:$A$287,A136,'Annual_Cost'!$B$2:$B$287,B136)</f>
      </c>
      <c r="E136" s="124" t="str">
        <f>SUMIFS('Annual_Cost'!$S$2:$S$287,'Annual_Cost'!$A$2:$A$287,A136,'Annual_Cost'!$B$2:$B$287,B136)</f>
      </c>
      <c r="F136" s="125" t="str">
        <f>SUMIFS('Annual_Cost'!$W$2:$W$287,'Annual_Cost'!$A$2:$A$287,A136,'Annual_Cost'!$B$2:$B$287,B136)</f>
      </c>
      <c r="G136" s="126" t="str">
        <f>SUMIFS($E$2:E136,$A$2:A136,A136)</f>
      </c>
      <c r="H136" s="127" t="str">
        <f>SUMIFS($F$2:F136,$A$2:A136,A136)</f>
      </c>
      <c r="I136" s="128" t="n">
        <v>296414030.31143</v>
      </c>
      <c r="J136" s="129" t="str">
        <f>IF(I136=0,"",C136/I136)</f>
      </c>
      <c r="K136" s="130" t="str">
        <f>IF(I136=0,"",D136/I136)</f>
      </c>
      <c r="L136" s="131" t="str">
        <f>IF(I136=0,"",E136/I136)</f>
      </c>
      <c r="M136" s="132" t="str">
        <f>IF(I136=0,"",F136/I136)</f>
      </c>
    </row>
    <row r="137">
      <c r="A137" t="s">
        <v>116</v>
      </c>
      <c r="B137" s="121" t="n">
        <v>2030</v>
      </c>
      <c r="C137" s="122" t="str">
        <f>SUMIFS('Annual_Cost'!$Q$2:$Q$287,'Annual_Cost'!$A$2:$A$287,A137,'Annual_Cost'!$B$2:$B$287,B137)</f>
      </c>
      <c r="D137" s="123" t="str">
        <f>SUMIFS('Annual_Cost'!$R$2:$R$287,'Annual_Cost'!$A$2:$A$287,A137,'Annual_Cost'!$B$2:$B$287,B137)</f>
      </c>
      <c r="E137" s="124" t="str">
        <f>SUMIFS('Annual_Cost'!$S$2:$S$287,'Annual_Cost'!$A$2:$A$287,A137,'Annual_Cost'!$B$2:$B$287,B137)</f>
      </c>
      <c r="F137" s="125" t="str">
        <f>SUMIFS('Annual_Cost'!$W$2:$W$287,'Annual_Cost'!$A$2:$A$287,A137,'Annual_Cost'!$B$2:$B$287,B137)</f>
      </c>
      <c r="G137" s="126" t="str">
        <f>SUMIFS($E$2:E137,$A$2:A137,A137)</f>
      </c>
      <c r="H137" s="127" t="str">
        <f>SUMIFS($F$2:F137,$A$2:A137,A137)</f>
      </c>
      <c r="I137" s="128" t="n">
        <v>298289404.664994</v>
      </c>
      <c r="J137" s="129" t="str">
        <f>IF(I137=0,"",C137/I137)</f>
      </c>
      <c r="K137" s="130" t="str">
        <f>IF(I137=0,"",D137/I137)</f>
      </c>
      <c r="L137" s="131" t="str">
        <f>IF(I137=0,"",E137/I137)</f>
      </c>
      <c r="M137" s="132" t="str">
        <f>IF(I137=0,"",F137/I137)</f>
      </c>
    </row>
    <row r="138">
      <c r="A138" t="s">
        <v>116</v>
      </c>
      <c r="B138" s="121" t="n">
        <v>2031</v>
      </c>
      <c r="C138" s="122" t="str">
        <f>SUMIFS('Annual_Cost'!$Q$2:$Q$287,'Annual_Cost'!$A$2:$A$287,A138,'Annual_Cost'!$B$2:$B$287,B138)</f>
      </c>
      <c r="D138" s="123" t="str">
        <f>SUMIFS('Annual_Cost'!$R$2:$R$287,'Annual_Cost'!$A$2:$A$287,A138,'Annual_Cost'!$B$2:$B$287,B138)</f>
      </c>
      <c r="E138" s="124" t="str">
        <f>SUMIFS('Annual_Cost'!$S$2:$S$287,'Annual_Cost'!$A$2:$A$287,A138,'Annual_Cost'!$B$2:$B$287,B138)</f>
      </c>
      <c r="F138" s="125" t="str">
        <f>SUMIFS('Annual_Cost'!$W$2:$W$287,'Annual_Cost'!$A$2:$A$287,A138,'Annual_Cost'!$B$2:$B$287,B138)</f>
      </c>
      <c r="G138" s="126" t="str">
        <f>SUMIFS($E$2:E138,$A$2:A138,A138)</f>
      </c>
      <c r="H138" s="127" t="str">
        <f>SUMIFS($F$2:F138,$A$2:A138,A138)</f>
      </c>
      <c r="I138" s="128" t="n">
        <v>300119636.925519</v>
      </c>
      <c r="J138" s="129" t="str">
        <f>IF(I138=0,"",C138/I138)</f>
      </c>
      <c r="K138" s="130" t="str">
        <f>IF(I138=0,"",D138/I138)</f>
      </c>
      <c r="L138" s="131" t="str">
        <f>IF(I138=0,"",E138/I138)</f>
      </c>
      <c r="M138" s="132" t="str">
        <f>IF(I138=0,"",F138/I138)</f>
      </c>
    </row>
    <row r="139">
      <c r="A139" t="s">
        <v>116</v>
      </c>
      <c r="B139" s="121" t="n">
        <v>2032</v>
      </c>
      <c r="C139" s="122" t="str">
        <f>SUMIFS('Annual_Cost'!$Q$2:$Q$287,'Annual_Cost'!$A$2:$A$287,A139,'Annual_Cost'!$B$2:$B$287,B139)</f>
      </c>
      <c r="D139" s="123" t="str">
        <f>SUMIFS('Annual_Cost'!$R$2:$R$287,'Annual_Cost'!$A$2:$A$287,A139,'Annual_Cost'!$B$2:$B$287,B139)</f>
      </c>
      <c r="E139" s="124" t="str">
        <f>SUMIFS('Annual_Cost'!$S$2:$S$287,'Annual_Cost'!$A$2:$A$287,A139,'Annual_Cost'!$B$2:$B$287,B139)</f>
      </c>
      <c r="F139" s="125" t="str">
        <f>SUMIFS('Annual_Cost'!$W$2:$W$287,'Annual_Cost'!$A$2:$A$287,A139,'Annual_Cost'!$B$2:$B$287,B139)</f>
      </c>
      <c r="G139" s="126" t="str">
        <f>SUMIFS($E$2:E139,$A$2:A139,A139)</f>
      </c>
      <c r="H139" s="127" t="str">
        <f>SUMIFS($F$2:F139,$A$2:A139,A139)</f>
      </c>
      <c r="I139" s="128" t="n">
        <v>301904628.083541</v>
      </c>
      <c r="J139" s="129" t="str">
        <f>IF(I139=0,"",C139/I139)</f>
      </c>
      <c r="K139" s="130" t="str">
        <f>IF(I139=0,"",D139/I139)</f>
      </c>
      <c r="L139" s="131" t="str">
        <f>IF(I139=0,"",E139/I139)</f>
      </c>
      <c r="M139" s="132" t="str">
        <f>IF(I139=0,"",F139/I139)</f>
      </c>
    </row>
    <row r="140">
      <c r="A140" t="s">
        <v>116</v>
      </c>
      <c r="B140" s="121" t="n">
        <v>2033</v>
      </c>
      <c r="C140" s="122" t="str">
        <f>SUMIFS('Annual_Cost'!$Q$2:$Q$287,'Annual_Cost'!$A$2:$A$287,A140,'Annual_Cost'!$B$2:$B$287,B140)</f>
      </c>
      <c r="D140" s="123" t="str">
        <f>SUMIFS('Annual_Cost'!$R$2:$R$287,'Annual_Cost'!$A$2:$A$287,A140,'Annual_Cost'!$B$2:$B$287,B140)</f>
      </c>
      <c r="E140" s="124" t="str">
        <f>SUMIFS('Annual_Cost'!$S$2:$S$287,'Annual_Cost'!$A$2:$A$287,A140,'Annual_Cost'!$B$2:$B$287,B140)</f>
      </c>
      <c r="F140" s="125" t="str">
        <f>SUMIFS('Annual_Cost'!$W$2:$W$287,'Annual_Cost'!$A$2:$A$287,A140,'Annual_Cost'!$B$2:$B$287,B140)</f>
      </c>
      <c r="G140" s="126" t="str">
        <f>SUMIFS($E$2:E140,$A$2:A140,A140)</f>
      </c>
      <c r="H140" s="127" t="str">
        <f>SUMIFS($F$2:F140,$A$2:A140,A140)</f>
      </c>
      <c r="I140" s="128" t="n">
        <v>303644277.16916</v>
      </c>
      <c r="J140" s="129" t="str">
        <f>IF(I140=0,"",C140/I140)</f>
      </c>
      <c r="K140" s="130" t="str">
        <f>IF(I140=0,"",D140/I140)</f>
      </c>
      <c r="L140" s="131" t="str">
        <f>IF(I140=0,"",E140/I140)</f>
      </c>
      <c r="M140" s="132" t="str">
        <f>IF(I140=0,"",F140/I140)</f>
      </c>
    </row>
    <row r="141">
      <c r="A141" t="s">
        <v>116</v>
      </c>
      <c r="B141" s="121" t="n">
        <v>2034</v>
      </c>
      <c r="C141" s="122" t="str">
        <f>SUMIFS('Annual_Cost'!$Q$2:$Q$287,'Annual_Cost'!$A$2:$A$287,A141,'Annual_Cost'!$B$2:$B$287,B141)</f>
      </c>
      <c r="D141" s="123" t="str">
        <f>SUMIFS('Annual_Cost'!$R$2:$R$287,'Annual_Cost'!$A$2:$A$287,A141,'Annual_Cost'!$B$2:$B$287,B141)</f>
      </c>
      <c r="E141" s="124" t="str">
        <f>SUMIFS('Annual_Cost'!$S$2:$S$287,'Annual_Cost'!$A$2:$A$287,A141,'Annual_Cost'!$B$2:$B$287,B141)</f>
      </c>
      <c r="F141" s="125" t="str">
        <f>SUMIFS('Annual_Cost'!$W$2:$W$287,'Annual_Cost'!$A$2:$A$287,A141,'Annual_Cost'!$B$2:$B$287,B141)</f>
      </c>
      <c r="G141" s="126" t="str">
        <f>SUMIFS($E$2:E141,$A$2:A141,A141)</f>
      </c>
      <c r="H141" s="127" t="str">
        <f>SUMIFS($F$2:F141,$A$2:A141,A141)</f>
      </c>
      <c r="I141" s="128" t="n">
        <v>305332541.184984</v>
      </c>
      <c r="J141" s="129" t="str">
        <f>IF(I141=0,"",C141/I141)</f>
      </c>
      <c r="K141" s="130" t="str">
        <f>IF(I141=0,"",D141/I141)</f>
      </c>
      <c r="L141" s="131" t="str">
        <f>IF(I141=0,"",E141/I141)</f>
      </c>
      <c r="M141" s="132" t="str">
        <f>IF(I141=0,"",F141/I141)</f>
      </c>
    </row>
    <row r="142">
      <c r="A142" t="s">
        <v>116</v>
      </c>
      <c r="B142" s="121" t="n">
        <v>2035</v>
      </c>
      <c r="C142" s="122" t="str">
        <f>SUMIFS('Annual_Cost'!$Q$2:$Q$287,'Annual_Cost'!$A$2:$A$287,A142,'Annual_Cost'!$B$2:$B$287,B142)</f>
      </c>
      <c r="D142" s="123" t="str">
        <f>SUMIFS('Annual_Cost'!$R$2:$R$287,'Annual_Cost'!$A$2:$A$287,A142,'Annual_Cost'!$B$2:$B$287,B142)</f>
      </c>
      <c r="E142" s="124" t="str">
        <f>SUMIFS('Annual_Cost'!$S$2:$S$287,'Annual_Cost'!$A$2:$A$287,A142,'Annual_Cost'!$B$2:$B$287,B142)</f>
      </c>
      <c r="F142" s="125" t="str">
        <f>SUMIFS('Annual_Cost'!$W$2:$W$287,'Annual_Cost'!$A$2:$A$287,A142,'Annual_Cost'!$B$2:$B$287,B142)</f>
      </c>
      <c r="G142" s="126" t="str">
        <f>SUMIFS($E$2:E142,$A$2:A142,A142)</f>
      </c>
      <c r="H142" s="127" t="str">
        <f>SUMIFS($F$2:F142,$A$2:A142,A142)</f>
      </c>
      <c r="I142" s="128" t="n">
        <v>306964650.16712</v>
      </c>
      <c r="J142" s="129" t="str">
        <f>IF(I142=0,"",C142/I142)</f>
      </c>
      <c r="K142" s="130" t="str">
        <f>IF(I142=0,"",D142/I142)</f>
      </c>
      <c r="L142" s="131" t="str">
        <f>IF(I142=0,"",E142/I142)</f>
      </c>
      <c r="M142" s="132" t="str">
        <f>IF(I142=0,"",F142/I142)</f>
      </c>
    </row>
    <row r="143">
      <c r="A143" t="s">
        <v>116</v>
      </c>
      <c r="B143" s="121" t="n">
        <v>2036</v>
      </c>
      <c r="C143" s="122" t="str">
        <f>SUMIFS('Annual_Cost'!$Q$2:$Q$287,'Annual_Cost'!$A$2:$A$287,A143,'Annual_Cost'!$B$2:$B$287,B143)</f>
      </c>
      <c r="D143" s="123" t="str">
        <f>SUMIFS('Annual_Cost'!$R$2:$R$287,'Annual_Cost'!$A$2:$A$287,A143,'Annual_Cost'!$B$2:$B$287,B143)</f>
      </c>
      <c r="E143" s="124" t="str">
        <f>SUMIFS('Annual_Cost'!$S$2:$S$287,'Annual_Cost'!$A$2:$A$287,A143,'Annual_Cost'!$B$2:$B$287,B143)</f>
      </c>
      <c r="F143" s="125" t="str">
        <f>SUMIFS('Annual_Cost'!$W$2:$W$287,'Annual_Cost'!$A$2:$A$287,A143,'Annual_Cost'!$B$2:$B$287,B143)</f>
      </c>
      <c r="G143" s="126" t="str">
        <f>SUMIFS($E$2:E143,$A$2:A143,A143)</f>
      </c>
      <c r="H143" s="127" t="str">
        <f>SUMIFS($F$2:F143,$A$2:A143,A143)</f>
      </c>
      <c r="I143" s="128" t="n">
        <v>308542769.756622</v>
      </c>
      <c r="J143" s="129" t="str">
        <f>IF(I143=0,"",C143/I143)</f>
      </c>
      <c r="K143" s="130" t="str">
        <f>IF(I143=0,"",D143/I143)</f>
      </c>
      <c r="L143" s="131" t="str">
        <f>IF(I143=0,"",E143/I143)</f>
      </c>
      <c r="M143" s="132" t="str">
        <f>IF(I143=0,"",F143/I143)</f>
      </c>
    </row>
    <row r="144">
      <c r="A144" t="s">
        <v>116</v>
      </c>
      <c r="B144" s="121" t="n">
        <v>2037</v>
      </c>
      <c r="C144" s="122" t="str">
        <f>SUMIFS('Annual_Cost'!$Q$2:$Q$287,'Annual_Cost'!$A$2:$A$287,A144,'Annual_Cost'!$B$2:$B$287,B144)</f>
      </c>
      <c r="D144" s="123" t="str">
        <f>SUMIFS('Annual_Cost'!$R$2:$R$287,'Annual_Cost'!$A$2:$A$287,A144,'Annual_Cost'!$B$2:$B$287,B144)</f>
      </c>
      <c r="E144" s="124" t="str">
        <f>SUMIFS('Annual_Cost'!$S$2:$S$287,'Annual_Cost'!$A$2:$A$287,A144,'Annual_Cost'!$B$2:$B$287,B144)</f>
      </c>
      <c r="F144" s="125" t="str">
        <f>SUMIFS('Annual_Cost'!$W$2:$W$287,'Annual_Cost'!$A$2:$A$287,A144,'Annual_Cost'!$B$2:$B$287,B144)</f>
      </c>
      <c r="G144" s="126" t="str">
        <f>SUMIFS($E$2:E144,$A$2:A144,A144)</f>
      </c>
      <c r="H144" s="127" t="str">
        <f>SUMIFS($F$2:F144,$A$2:A144,A144)</f>
      </c>
      <c r="I144" s="128" t="n">
        <v>310068287.63643</v>
      </c>
      <c r="J144" s="129" t="str">
        <f>IF(I144=0,"",C144/I144)</f>
      </c>
      <c r="K144" s="130" t="str">
        <f>IF(I144=0,"",D144/I144)</f>
      </c>
      <c r="L144" s="131" t="str">
        <f>IF(I144=0,"",E144/I144)</f>
      </c>
      <c r="M144" s="132" t="str">
        <f>IF(I144=0,"",F144/I144)</f>
      </c>
    </row>
    <row r="145">
      <c r="A145" t="s">
        <v>116</v>
      </c>
      <c r="B145" s="121" t="n">
        <v>2038</v>
      </c>
      <c r="C145" s="122" t="str">
        <f>SUMIFS('Annual_Cost'!$Q$2:$Q$287,'Annual_Cost'!$A$2:$A$287,A145,'Annual_Cost'!$B$2:$B$287,B145)</f>
      </c>
      <c r="D145" s="123" t="str">
        <f>SUMIFS('Annual_Cost'!$R$2:$R$287,'Annual_Cost'!$A$2:$A$287,A145,'Annual_Cost'!$B$2:$B$287,B145)</f>
      </c>
      <c r="E145" s="124" t="str">
        <f>SUMIFS('Annual_Cost'!$S$2:$S$287,'Annual_Cost'!$A$2:$A$287,A145,'Annual_Cost'!$B$2:$B$287,B145)</f>
      </c>
      <c r="F145" s="125" t="str">
        <f>SUMIFS('Annual_Cost'!$W$2:$W$287,'Annual_Cost'!$A$2:$A$287,A145,'Annual_Cost'!$B$2:$B$287,B145)</f>
      </c>
      <c r="G145" s="126" t="str">
        <f>SUMIFS($E$2:E145,$A$2:A145,A145)</f>
      </c>
      <c r="H145" s="127" t="str">
        <f>SUMIFS($F$2:F145,$A$2:A145,A145)</f>
      </c>
      <c r="I145" s="128" t="n">
        <v>311532999.13163</v>
      </c>
      <c r="J145" s="129" t="str">
        <f>IF(I145=0,"",C145/I145)</f>
      </c>
      <c r="K145" s="130" t="str">
        <f>IF(I145=0,"",D145/I145)</f>
      </c>
      <c r="L145" s="131" t="str">
        <f>IF(I145=0,"",E145/I145)</f>
      </c>
      <c r="M145" s="132" t="str">
        <f>IF(I145=0,"",F145/I145)</f>
      </c>
    </row>
    <row r="146">
      <c r="A146" t="s">
        <v>116</v>
      </c>
      <c r="B146" s="121" t="n">
        <v>2039</v>
      </c>
      <c r="C146" s="122" t="str">
        <f>SUMIFS('Annual_Cost'!$Q$2:$Q$287,'Annual_Cost'!$A$2:$A$287,A146,'Annual_Cost'!$B$2:$B$287,B146)</f>
      </c>
      <c r="D146" s="123" t="str">
        <f>SUMIFS('Annual_Cost'!$R$2:$R$287,'Annual_Cost'!$A$2:$A$287,A146,'Annual_Cost'!$B$2:$B$287,B146)</f>
      </c>
      <c r="E146" s="124" t="str">
        <f>SUMIFS('Annual_Cost'!$S$2:$S$287,'Annual_Cost'!$A$2:$A$287,A146,'Annual_Cost'!$B$2:$B$287,B146)</f>
      </c>
      <c r="F146" s="125" t="str">
        <f>SUMIFS('Annual_Cost'!$W$2:$W$287,'Annual_Cost'!$A$2:$A$287,A146,'Annual_Cost'!$B$2:$B$287,B146)</f>
      </c>
      <c r="G146" s="126" t="str">
        <f>SUMIFS($E$2:E146,$A$2:A146,A146)</f>
      </c>
      <c r="H146" s="127" t="str">
        <f>SUMIFS($F$2:F146,$A$2:A146,A146)</f>
      </c>
      <c r="I146" s="128" t="n">
        <v>312936391.858479</v>
      </c>
      <c r="J146" s="129" t="str">
        <f>IF(I146=0,"",C146/I146)</f>
      </c>
      <c r="K146" s="130" t="str">
        <f>IF(I146=0,"",D146/I146)</f>
      </c>
      <c r="L146" s="131" t="str">
        <f>IF(I146=0,"",E146/I146)</f>
      </c>
      <c r="M146" s="132" t="str">
        <f>IF(I146=0,"",F146/I146)</f>
      </c>
    </row>
    <row r="147">
      <c r="A147" t="s">
        <v>116</v>
      </c>
      <c r="B147" s="121" t="n">
        <v>2040</v>
      </c>
      <c r="C147" s="122" t="str">
        <f>SUMIFS('Annual_Cost'!$Q$2:$Q$287,'Annual_Cost'!$A$2:$A$287,A147,'Annual_Cost'!$B$2:$B$287,B147)</f>
      </c>
      <c r="D147" s="123" t="str">
        <f>SUMIFS('Annual_Cost'!$R$2:$R$287,'Annual_Cost'!$A$2:$A$287,A147,'Annual_Cost'!$B$2:$B$287,B147)</f>
      </c>
      <c r="E147" s="124" t="str">
        <f>SUMIFS('Annual_Cost'!$S$2:$S$287,'Annual_Cost'!$A$2:$A$287,A147,'Annual_Cost'!$B$2:$B$287,B147)</f>
      </c>
      <c r="F147" s="125" t="str">
        <f>SUMIFS('Annual_Cost'!$W$2:$W$287,'Annual_Cost'!$A$2:$A$287,A147,'Annual_Cost'!$B$2:$B$287,B147)</f>
      </c>
      <c r="G147" s="126" t="str">
        <f>SUMIFS($E$2:E147,$A$2:A147,A147)</f>
      </c>
      <c r="H147" s="127" t="str">
        <f>SUMIFS($F$2:F147,$A$2:A147,A147)</f>
      </c>
      <c r="I147" s="128" t="n">
        <v>314265537.410829</v>
      </c>
      <c r="J147" s="129" t="str">
        <f>IF(I147=0,"",C147/I147)</f>
      </c>
      <c r="K147" s="130" t="str">
        <f>IF(I147=0,"",D147/I147)</f>
      </c>
      <c r="L147" s="131" t="str">
        <f>IF(I147=0,"",E147/I147)</f>
      </c>
      <c r="M147" s="132" t="str">
        <f>IF(I147=0,"",F147/I147)</f>
      </c>
    </row>
    <row r="148">
      <c r="A148" t="s">
        <v>116</v>
      </c>
      <c r="B148" s="121" t="n">
        <v>2041</v>
      </c>
      <c r="C148" s="122" t="str">
        <f>SUMIFS('Annual_Cost'!$Q$2:$Q$287,'Annual_Cost'!$A$2:$A$287,A148,'Annual_Cost'!$B$2:$B$287,B148)</f>
      </c>
      <c r="D148" s="123" t="str">
        <f>SUMIFS('Annual_Cost'!$R$2:$R$287,'Annual_Cost'!$A$2:$A$287,A148,'Annual_Cost'!$B$2:$B$287,B148)</f>
      </c>
      <c r="E148" s="124" t="str">
        <f>SUMIFS('Annual_Cost'!$S$2:$S$287,'Annual_Cost'!$A$2:$A$287,A148,'Annual_Cost'!$B$2:$B$287,B148)</f>
      </c>
      <c r="F148" s="125" t="str">
        <f>SUMIFS('Annual_Cost'!$W$2:$W$287,'Annual_Cost'!$A$2:$A$287,A148,'Annual_Cost'!$B$2:$B$287,B148)</f>
      </c>
      <c r="G148" s="126" t="str">
        <f>SUMIFS($E$2:E148,$A$2:A148,A148)</f>
      </c>
      <c r="H148" s="127" t="str">
        <f>SUMIFS($F$2:F148,$A$2:A148,A148)</f>
      </c>
      <c r="I148" s="128" t="n">
        <v>315525215.312548</v>
      </c>
      <c r="J148" s="129" t="str">
        <f>IF(I148=0,"",C148/I148)</f>
      </c>
      <c r="K148" s="130" t="str">
        <f>IF(I148=0,"",D148/I148)</f>
      </c>
      <c r="L148" s="131" t="str">
        <f>IF(I148=0,"",E148/I148)</f>
      </c>
      <c r="M148" s="132" t="str">
        <f>IF(I148=0,"",F148/I148)</f>
      </c>
    </row>
    <row r="149">
      <c r="A149" t="s">
        <v>116</v>
      </c>
      <c r="B149" s="121" t="n">
        <v>2042</v>
      </c>
      <c r="C149" s="122" t="str">
        <f>SUMIFS('Annual_Cost'!$Q$2:$Q$287,'Annual_Cost'!$A$2:$A$287,A149,'Annual_Cost'!$B$2:$B$287,B149)</f>
      </c>
      <c r="D149" s="123" t="str">
        <f>SUMIFS('Annual_Cost'!$R$2:$R$287,'Annual_Cost'!$A$2:$A$287,A149,'Annual_Cost'!$B$2:$B$287,B149)</f>
      </c>
      <c r="E149" s="124" t="str">
        <f>SUMIFS('Annual_Cost'!$S$2:$S$287,'Annual_Cost'!$A$2:$A$287,A149,'Annual_Cost'!$B$2:$B$287,B149)</f>
      </c>
      <c r="F149" s="125" t="str">
        <f>SUMIFS('Annual_Cost'!$W$2:$W$287,'Annual_Cost'!$A$2:$A$287,A149,'Annual_Cost'!$B$2:$B$287,B149)</f>
      </c>
      <c r="G149" s="126" t="str">
        <f>SUMIFS($E$2:E149,$A$2:A149,A149)</f>
      </c>
      <c r="H149" s="127" t="str">
        <f>SUMIFS($F$2:F149,$A$2:A149,A149)</f>
      </c>
      <c r="I149" s="128" t="n">
        <v>316707694.211882</v>
      </c>
      <c r="J149" s="129" t="str">
        <f>IF(I149=0,"",C149/I149)</f>
      </c>
      <c r="K149" s="130" t="str">
        <f>IF(I149=0,"",D149/I149)</f>
      </c>
      <c r="L149" s="131" t="str">
        <f>IF(I149=0,"",E149/I149)</f>
      </c>
      <c r="M149" s="132" t="str">
        <f>IF(I149=0,"",F149/I149)</f>
      </c>
    </row>
    <row r="150">
      <c r="A150" t="s">
        <v>116</v>
      </c>
      <c r="B150" s="121" t="n">
        <v>2043</v>
      </c>
      <c r="C150" s="122" t="str">
        <f>SUMIFS('Annual_Cost'!$Q$2:$Q$287,'Annual_Cost'!$A$2:$A$287,A150,'Annual_Cost'!$B$2:$B$287,B150)</f>
      </c>
      <c r="D150" s="123" t="str">
        <f>SUMIFS('Annual_Cost'!$R$2:$R$287,'Annual_Cost'!$A$2:$A$287,A150,'Annual_Cost'!$B$2:$B$287,B150)</f>
      </c>
      <c r="E150" s="124" t="str">
        <f>SUMIFS('Annual_Cost'!$S$2:$S$287,'Annual_Cost'!$A$2:$A$287,A150,'Annual_Cost'!$B$2:$B$287,B150)</f>
      </c>
      <c r="F150" s="125" t="str">
        <f>SUMIFS('Annual_Cost'!$W$2:$W$287,'Annual_Cost'!$A$2:$A$287,A150,'Annual_Cost'!$B$2:$B$287,B150)</f>
      </c>
      <c r="G150" s="126" t="str">
        <f>SUMIFS($E$2:E150,$A$2:A150,A150)</f>
      </c>
      <c r="H150" s="127" t="str">
        <f>SUMIFS($F$2:F150,$A$2:A150,A150)</f>
      </c>
      <c r="I150" s="128" t="n">
        <v>317814114.067152</v>
      </c>
      <c r="J150" s="129" t="str">
        <f>IF(I150=0,"",C150/I150)</f>
      </c>
      <c r="K150" s="130" t="str">
        <f>IF(I150=0,"",D150/I150)</f>
      </c>
      <c r="L150" s="131" t="str">
        <f>IF(I150=0,"",E150/I150)</f>
      </c>
      <c r="M150" s="132" t="str">
        <f>IF(I150=0,"",F150/I150)</f>
      </c>
    </row>
    <row r="151">
      <c r="A151" t="s">
        <v>116</v>
      </c>
      <c r="B151" s="121" t="n">
        <v>2044</v>
      </c>
      <c r="C151" s="122" t="str">
        <f>SUMIFS('Annual_Cost'!$Q$2:$Q$287,'Annual_Cost'!$A$2:$A$287,A151,'Annual_Cost'!$B$2:$B$287,B151)</f>
      </c>
      <c r="D151" s="123" t="str">
        <f>SUMIFS('Annual_Cost'!$R$2:$R$287,'Annual_Cost'!$A$2:$A$287,A151,'Annual_Cost'!$B$2:$B$287,B151)</f>
      </c>
      <c r="E151" s="124" t="str">
        <f>SUMIFS('Annual_Cost'!$S$2:$S$287,'Annual_Cost'!$A$2:$A$287,A151,'Annual_Cost'!$B$2:$B$287,B151)</f>
      </c>
      <c r="F151" s="125" t="str">
        <f>SUMIFS('Annual_Cost'!$W$2:$W$287,'Annual_Cost'!$A$2:$A$287,A151,'Annual_Cost'!$B$2:$B$287,B151)</f>
      </c>
      <c r="G151" s="126" t="str">
        <f>SUMIFS($E$2:E151,$A$2:A151,A151)</f>
      </c>
      <c r="H151" s="127" t="str">
        <f>SUMIFS($F$2:F151,$A$2:A151,A151)</f>
      </c>
      <c r="I151" s="128" t="n">
        <v>318840890.732156</v>
      </c>
      <c r="J151" s="129" t="str">
        <f>IF(I151=0,"",C151/I151)</f>
      </c>
      <c r="K151" s="130" t="str">
        <f>IF(I151=0,"",D151/I151)</f>
      </c>
      <c r="L151" s="131" t="str">
        <f>IF(I151=0,"",E151/I151)</f>
      </c>
      <c r="M151" s="132" t="str">
        <f>IF(I151=0,"",F151/I151)</f>
      </c>
    </row>
    <row r="152">
      <c r="A152" t="s">
        <v>116</v>
      </c>
      <c r="B152" s="121" t="n">
        <v>2045</v>
      </c>
      <c r="C152" s="122" t="str">
        <f>SUMIFS('Annual_Cost'!$Q$2:$Q$287,'Annual_Cost'!$A$2:$A$287,A152,'Annual_Cost'!$B$2:$B$287,B152)</f>
      </c>
      <c r="D152" s="123" t="str">
        <f>SUMIFS('Annual_Cost'!$R$2:$R$287,'Annual_Cost'!$A$2:$A$287,A152,'Annual_Cost'!$B$2:$B$287,B152)</f>
      </c>
      <c r="E152" s="124" t="str">
        <f>SUMIFS('Annual_Cost'!$S$2:$S$287,'Annual_Cost'!$A$2:$A$287,A152,'Annual_Cost'!$B$2:$B$287,B152)</f>
      </c>
      <c r="F152" s="125" t="str">
        <f>SUMIFS('Annual_Cost'!$W$2:$W$287,'Annual_Cost'!$A$2:$A$287,A152,'Annual_Cost'!$B$2:$B$287,B152)</f>
      </c>
      <c r="G152" s="126" t="str">
        <f>SUMIFS($E$2:E152,$A$2:A152,A152)</f>
      </c>
      <c r="H152" s="127" t="str">
        <f>SUMIFS($F$2:F152,$A$2:A152,A152)</f>
      </c>
      <c r="I152" s="128" t="n">
        <v>319784682.33108</v>
      </c>
      <c r="J152" s="129" t="str">
        <f>IF(I152=0,"",C152/I152)</f>
      </c>
      <c r="K152" s="130" t="str">
        <f>IF(I152=0,"",D152/I152)</f>
      </c>
      <c r="L152" s="131" t="str">
        <f>IF(I152=0,"",E152/I152)</f>
      </c>
      <c r="M152" s="132" t="str">
        <f>IF(I152=0,"",F152/I152)</f>
      </c>
    </row>
    <row r="153">
      <c r="A153" t="s">
        <v>116</v>
      </c>
      <c r="B153" s="121" t="n">
        <v>2046</v>
      </c>
      <c r="C153" s="122" t="str">
        <f>SUMIFS('Annual_Cost'!$Q$2:$Q$287,'Annual_Cost'!$A$2:$A$287,A153,'Annual_Cost'!$B$2:$B$287,B153)</f>
      </c>
      <c r="D153" s="123" t="str">
        <f>SUMIFS('Annual_Cost'!$R$2:$R$287,'Annual_Cost'!$A$2:$A$287,A153,'Annual_Cost'!$B$2:$B$287,B153)</f>
      </c>
      <c r="E153" s="124" t="str">
        <f>SUMIFS('Annual_Cost'!$S$2:$S$287,'Annual_Cost'!$A$2:$A$287,A153,'Annual_Cost'!$B$2:$B$287,B153)</f>
      </c>
      <c r="F153" s="125" t="str">
        <f>SUMIFS('Annual_Cost'!$W$2:$W$287,'Annual_Cost'!$A$2:$A$287,A153,'Annual_Cost'!$B$2:$B$287,B153)</f>
      </c>
      <c r="G153" s="126" t="str">
        <f>SUMIFS($E$2:E153,$A$2:A153,A153)</f>
      </c>
      <c r="H153" s="127" t="str">
        <f>SUMIFS($F$2:F153,$A$2:A153,A153)</f>
      </c>
      <c r="I153" s="128" t="n">
        <v>320645615.981408</v>
      </c>
      <c r="J153" s="129" t="str">
        <f>IF(I153=0,"",C153/I153)</f>
      </c>
      <c r="K153" s="130" t="str">
        <f>IF(I153=0,"",D153/I153)</f>
      </c>
      <c r="L153" s="131" t="str">
        <f>IF(I153=0,"",E153/I153)</f>
      </c>
      <c r="M153" s="132" t="str">
        <f>IF(I153=0,"",F153/I153)</f>
      </c>
    </row>
    <row r="154">
      <c r="A154" t="s">
        <v>116</v>
      </c>
      <c r="B154" s="121" t="n">
        <v>2047</v>
      </c>
      <c r="C154" s="122" t="str">
        <f>SUMIFS('Annual_Cost'!$Q$2:$Q$287,'Annual_Cost'!$A$2:$A$287,A154,'Annual_Cost'!$B$2:$B$287,B154)</f>
      </c>
      <c r="D154" s="123" t="str">
        <f>SUMIFS('Annual_Cost'!$R$2:$R$287,'Annual_Cost'!$A$2:$A$287,A154,'Annual_Cost'!$B$2:$B$287,B154)</f>
      </c>
      <c r="E154" s="124" t="str">
        <f>SUMIFS('Annual_Cost'!$S$2:$S$287,'Annual_Cost'!$A$2:$A$287,A154,'Annual_Cost'!$B$2:$B$287,B154)</f>
      </c>
      <c r="F154" s="125" t="str">
        <f>SUMIFS('Annual_Cost'!$W$2:$W$287,'Annual_Cost'!$A$2:$A$287,A154,'Annual_Cost'!$B$2:$B$287,B154)</f>
      </c>
      <c r="G154" s="126" t="str">
        <f>SUMIFS($E$2:E154,$A$2:A154,A154)</f>
      </c>
      <c r="H154" s="127" t="str">
        <f>SUMIFS($F$2:F154,$A$2:A154,A154)</f>
      </c>
      <c r="I154" s="128" t="n">
        <v>321429520.522875</v>
      </c>
      <c r="J154" s="129" t="str">
        <f>IF(I154=0,"",C154/I154)</f>
      </c>
      <c r="K154" s="130" t="str">
        <f>IF(I154=0,"",D154/I154)</f>
      </c>
      <c r="L154" s="131" t="str">
        <f>IF(I154=0,"",E154/I154)</f>
      </c>
      <c r="M154" s="132" t="str">
        <f>IF(I154=0,"",F154/I154)</f>
      </c>
    </row>
    <row r="155">
      <c r="A155" t="s">
        <v>116</v>
      </c>
      <c r="B155" s="121" t="n">
        <v>2048</v>
      </c>
      <c r="C155" s="122" t="str">
        <f>SUMIFS('Annual_Cost'!$Q$2:$Q$287,'Annual_Cost'!$A$2:$A$287,A155,'Annual_Cost'!$B$2:$B$287,B155)</f>
      </c>
      <c r="D155" s="123" t="str">
        <f>SUMIFS('Annual_Cost'!$R$2:$R$287,'Annual_Cost'!$A$2:$A$287,A155,'Annual_Cost'!$B$2:$B$287,B155)</f>
      </c>
      <c r="E155" s="124" t="str">
        <f>SUMIFS('Annual_Cost'!$S$2:$S$287,'Annual_Cost'!$A$2:$A$287,A155,'Annual_Cost'!$B$2:$B$287,B155)</f>
      </c>
      <c r="F155" s="125" t="str">
        <f>SUMIFS('Annual_Cost'!$W$2:$W$287,'Annual_Cost'!$A$2:$A$287,A155,'Annual_Cost'!$B$2:$B$287,B155)</f>
      </c>
      <c r="G155" s="126" t="str">
        <f>SUMIFS($E$2:E155,$A$2:A155,A155)</f>
      </c>
      <c r="H155" s="127" t="str">
        <f>SUMIFS($F$2:F155,$A$2:A155,A155)</f>
      </c>
      <c r="I155" s="128" t="n">
        <v>322136832.260161</v>
      </c>
      <c r="J155" s="129" t="str">
        <f>IF(I155=0,"",C155/I155)</f>
      </c>
      <c r="K155" s="130" t="str">
        <f>IF(I155=0,"",D155/I155)</f>
      </c>
      <c r="L155" s="131" t="str">
        <f>IF(I155=0,"",E155/I155)</f>
      </c>
      <c r="M155" s="132" t="str">
        <f>IF(I155=0,"",F155/I155)</f>
      </c>
    </row>
    <row r="156">
      <c r="A156" t="s">
        <v>116</v>
      </c>
      <c r="B156" s="121" t="n">
        <v>2049</v>
      </c>
      <c r="C156" s="122" t="str">
        <f>SUMIFS('Annual_Cost'!$Q$2:$Q$287,'Annual_Cost'!$A$2:$A$287,A156,'Annual_Cost'!$B$2:$B$287,B156)</f>
      </c>
      <c r="D156" s="123" t="str">
        <f>SUMIFS('Annual_Cost'!$R$2:$R$287,'Annual_Cost'!$A$2:$A$287,A156,'Annual_Cost'!$B$2:$B$287,B156)</f>
      </c>
      <c r="E156" s="124" t="str">
        <f>SUMIFS('Annual_Cost'!$S$2:$S$287,'Annual_Cost'!$A$2:$A$287,A156,'Annual_Cost'!$B$2:$B$287,B156)</f>
      </c>
      <c r="F156" s="125" t="str">
        <f>SUMIFS('Annual_Cost'!$W$2:$W$287,'Annual_Cost'!$A$2:$A$287,A156,'Annual_Cost'!$B$2:$B$287,B156)</f>
      </c>
      <c r="G156" s="126" t="str">
        <f>SUMIFS($E$2:E156,$A$2:A156,A156)</f>
      </c>
      <c r="H156" s="127" t="str">
        <f>SUMIFS($F$2:F156,$A$2:A156,A156)</f>
      </c>
      <c r="I156" s="128" t="n">
        <v>322765819.752681</v>
      </c>
      <c r="J156" s="129" t="str">
        <f>IF(I156=0,"",C156/I156)</f>
      </c>
      <c r="K156" s="130" t="str">
        <f>IF(I156=0,"",D156/I156)</f>
      </c>
      <c r="L156" s="131" t="str">
        <f>IF(I156=0,"",E156/I156)</f>
      </c>
      <c r="M156" s="132" t="str">
        <f>IF(I156=0,"",F156/I156)</f>
      </c>
    </row>
    <row r="157">
      <c r="A157" t="s">
        <v>116</v>
      </c>
      <c r="B157" s="121" t="n">
        <v>2050</v>
      </c>
      <c r="C157" s="122" t="str">
        <f>SUMIFS('Annual_Cost'!$Q$2:$Q$287,'Annual_Cost'!$A$2:$A$287,A157,'Annual_Cost'!$B$2:$B$287,B157)</f>
      </c>
      <c r="D157" s="123" t="str">
        <f>SUMIFS('Annual_Cost'!$R$2:$R$287,'Annual_Cost'!$A$2:$A$287,A157,'Annual_Cost'!$B$2:$B$287,B157)</f>
      </c>
      <c r="E157" s="124" t="str">
        <f>SUMIFS('Annual_Cost'!$S$2:$S$287,'Annual_Cost'!$A$2:$A$287,A157,'Annual_Cost'!$B$2:$B$287,B157)</f>
      </c>
      <c r="F157" s="125" t="str">
        <f>SUMIFS('Annual_Cost'!$W$2:$W$287,'Annual_Cost'!$A$2:$A$287,A157,'Annual_Cost'!$B$2:$B$287,B157)</f>
      </c>
      <c r="G157" s="126" t="str">
        <f>SUMIFS($E$2:E157,$A$2:A157,A157)</f>
      </c>
      <c r="H157" s="127" t="str">
        <f>SUMIFS($F$2:F157,$A$2:A157,A157)</f>
      </c>
      <c r="I157" s="128" t="n">
        <v>323312042.563285</v>
      </c>
      <c r="J157" s="129" t="str">
        <f>IF(I157=0,"",C157/I157)</f>
      </c>
      <c r="K157" s="130" t="str">
        <f>IF(I157=0,"",D157/I157)</f>
      </c>
      <c r="L157" s="131" t="str">
        <f>IF(I157=0,"",E157/I157)</f>
      </c>
      <c r="M157" s="132" t="str">
        <f>IF(I157=0,"",F157/I157)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  <col min="10" max="10" width="36.71" hidden="0" customWidth="1"/>
    <col min="11" max="11" width="34.71" hidden="0" customWidth="1"/>
  </cols>
  <sheetData>
    <row r="1" ht="28" customHeight="1">
      <c r="A1" s="1" t="s">
        <v>409</v>
      </c>
      <c r="B1" s="1" t="s">
        <v>410</v>
      </c>
      <c r="C1" s="1" t="s">
        <v>416</v>
      </c>
      <c r="D1" s="1" t="s">
        <v>417</v>
      </c>
      <c r="E1" s="1" t="s">
        <v>443</v>
      </c>
      <c r="F1" s="1" t="s">
        <v>444</v>
      </c>
      <c r="G1" s="1" t="s">
        <v>451</v>
      </c>
      <c r="H1" s="1" t="s">
        <v>452</v>
      </c>
      <c r="I1" s="1" t="s">
        <v>453</v>
      </c>
      <c r="J1" s="1" t="s">
        <v>439</v>
      </c>
      <c r="K1" s="1" t="s">
        <v>440</v>
      </c>
    </row>
    <row r="2">
      <c r="A2" t="s">
        <v>116</v>
      </c>
      <c r="B2" s="35" t="s">
        <v>422</v>
      </c>
      <c r="C2" s="133" t="str">
        <f>SUMIFS('Annual_Mortality'!$I$2:$I$1093,'Annual_Mortality'!$A$2:$A$1093,A2)</f>
      </c>
      <c r="D2" s="134" t="str">
        <f>SUMIFS('Annual_Mortality'!$J$2:$J$1093,'Annual_Mortality'!$A$2:$A$1093,A2)</f>
      </c>
      <c r="E2" s="135" t="str">
        <f>SUMIFS('Budget_Impact'!$E$2:$E$157,'Budget_Impact'!$A$2:$A$157,A2)</f>
      </c>
      <c r="F2" s="136" t="str">
        <f>SUMIFS('Budget_Impact'!$F$2:$F$157,'Budget_Impact'!$A$2:$A$157,A2)</f>
      </c>
      <c r="G2" s="137" t="str">
        <f>IF(C2&gt;0,F2/C2,"")</f>
      </c>
      <c r="H2" s="140" t="str">
        <f>IF(AND(C2&gt;0,F2&lt;0),"Dominant (more health, lower cost)",IF(AND(C2&lt;=0,F2&gt;0),"Dominated (less/no health, higher cost)",IF(AND(C2&lt;=0,F2&lt;=0),"No deaths averted; ratio not defined","USD per death averted")))</f>
      </c>
      <c r="I2" s="37" t="str">
        <f>IF(AND(ABS(F2-SUMIFS('Budget_Impact'!$F$2:$F$157,'Budget_Impact'!$A$2:$A$157,A2))&lt;='Calculation_Assumptions'!$B$15,ABS(C2-SUMIFS('Annual_Mortality'!$I$2:$I$1093,'Annual_Mortality'!$A$2:$A$1093,A2))&lt;='Calculation_Assumptions'!$B$15),"consistent","mismatch")</f>
      </c>
      <c r="J2" s="138" t="str">
        <f>IFERROR(AVERAGEIFS('Budget_Impact'!$L$2:$L$157,'Budget_Impact'!$A$2:$A$157,A2,'Budget_Impact'!$B$2:$B$157,"&gt;="&amp;('Calculation_Assumptions'!$B$2+1)),"")</f>
      </c>
      <c r="K2" s="139" t="str">
        <f>IFERROR(AVERAGEIFS('Budget_Impact'!$M$2:$M$157,'Budget_Impact'!$A$2:$A$157,A2,'Budget_Impact'!$B$2:$B$157,"&gt;="&amp;('Calculation_Assumptions'!$B$2+1)),"")</f>
      </c>
    </row>
    <row r="3">
      <c r="A3" t="s">
        <v>254</v>
      </c>
      <c r="B3" s="35" t="s">
        <v>418</v>
      </c>
      <c r="C3" s="133" t="str">
        <f>SUMIFS('Annual_Mortality'!$I$2:$I$1093,'Annual_Mortality'!$A$2:$A$1093,A3)</f>
      </c>
      <c r="D3" s="134" t="str">
        <f>SUMIFS('Annual_Mortality'!$J$2:$J$1093,'Annual_Mortality'!$A$2:$A$1093,A3)</f>
      </c>
      <c r="E3" s="135" t="str">
        <f>SUMIFS('Budget_Impact'!$E$2:$E$157,'Budget_Impact'!$A$2:$A$157,A3)</f>
      </c>
      <c r="F3" s="136" t="str">
        <f>SUMIFS('Budget_Impact'!$F$2:$F$157,'Budget_Impact'!$A$2:$A$157,A3)</f>
      </c>
      <c r="G3" s="137" t="str">
        <f>IF(C3&gt;0,F3/C3,"")</f>
      </c>
      <c r="H3" s="140" t="str">
        <f>IF(AND(C3&gt;0,F3&lt;0),"Dominant (more health, lower cost)",IF(AND(C3&lt;=0,F3&gt;0),"Dominated (less/no health, higher cost)",IF(AND(C3&lt;=0,F3&lt;=0),"No deaths averted; ratio not defined","USD per death averted")))</f>
      </c>
      <c r="I3" s="37" t="str">
        <f>IF(AND(ABS(F3-SUMIFS('Budget_Impact'!$F$2:$F$157,'Budget_Impact'!$A$2:$A$157,A3))&lt;='Calculation_Assumptions'!$B$15,ABS(C3-SUMIFS('Annual_Mortality'!$I$2:$I$1093,'Annual_Mortality'!$A$2:$A$1093,A3))&lt;='Calculation_Assumptions'!$B$15),"consistent","mismatch")</f>
      </c>
      <c r="J3" s="138" t="str">
        <f>IFERROR(AVERAGEIFS('Budget_Impact'!$L$2:$L$157,'Budget_Impact'!$A$2:$A$157,A3,'Budget_Impact'!$B$2:$B$157,"&gt;="&amp;('Calculation_Assumptions'!$B$2+1)),"")</f>
      </c>
      <c r="K3" s="139" t="str">
        <f>IFERROR(AVERAGEIFS('Budget_Impact'!$M$2:$M$157,'Budget_Impact'!$A$2:$A$157,A3,'Budget_Impact'!$B$2:$B$157,"&gt;="&amp;('Calculation_Assumptions'!$B$2+1)),"")</f>
      </c>
    </row>
    <row r="4">
      <c r="A4" t="s">
        <v>219</v>
      </c>
      <c r="B4" s="35" t="s">
        <v>221</v>
      </c>
      <c r="C4" s="133" t="str">
        <f>SUMIFS('Annual_Mortality'!$I$2:$I$1093,'Annual_Mortality'!$A$2:$A$1093,A4)</f>
      </c>
      <c r="D4" s="134" t="str">
        <f>SUMIFS('Annual_Mortality'!$J$2:$J$1093,'Annual_Mortality'!$A$2:$A$1093,A4)</f>
      </c>
      <c r="E4" s="135" t="str">
        <f>SUMIFS('Budget_Impact'!$E$2:$E$157,'Budget_Impact'!$A$2:$A$157,A4)</f>
      </c>
      <c r="F4" s="136" t="str">
        <f>SUMIFS('Budget_Impact'!$F$2:$F$157,'Budget_Impact'!$A$2:$A$157,A4)</f>
      </c>
      <c r="G4" s="137" t="str">
        <f>IF(C4&gt;0,F4/C4,"")</f>
      </c>
      <c r="H4" s="140" t="str">
        <f>IF(AND(C4&gt;0,F4&lt;0),"Dominant (more health, lower cost)",IF(AND(C4&lt;=0,F4&gt;0),"Dominated (less/no health, higher cost)",IF(AND(C4&lt;=0,F4&lt;=0),"No deaths averted; ratio not defined","USD per death averted")))</f>
      </c>
      <c r="I4" s="37" t="str">
        <f>IF(AND(ABS(F4-SUMIFS('Budget_Impact'!$F$2:$F$157,'Budget_Impact'!$A$2:$A$157,A4))&lt;='Calculation_Assumptions'!$B$15,ABS(C4-SUMIFS('Annual_Mortality'!$I$2:$I$1093,'Annual_Mortality'!$A$2:$A$1093,A4))&lt;='Calculation_Assumptions'!$B$15),"consistent","mismatch")</f>
      </c>
      <c r="J4" s="138" t="str">
        <f>IFERROR(AVERAGEIFS('Budget_Impact'!$L$2:$L$157,'Budget_Impact'!$A$2:$A$157,A4,'Budget_Impact'!$B$2:$B$157,"&gt;="&amp;('Calculation_Assumptions'!$B$2+1)),"")</f>
      </c>
      <c r="K4" s="139" t="str">
        <f>IFERROR(AVERAGEIFS('Budget_Impact'!$M$2:$M$157,'Budget_Impact'!$A$2:$A$157,A4,'Budget_Impact'!$B$2:$B$157,"&gt;="&amp;('Calculation_Assumptions'!$B$2+1)),"")</f>
      </c>
    </row>
    <row r="5">
      <c r="A5" t="s">
        <v>272</v>
      </c>
      <c r="B5" s="35" t="s">
        <v>274</v>
      </c>
      <c r="C5" s="133" t="str">
        <f>SUMIFS('Annual_Mortality'!$I$2:$I$1093,'Annual_Mortality'!$A$2:$A$1093,A5)</f>
      </c>
      <c r="D5" s="134" t="str">
        <f>SUMIFS('Annual_Mortality'!$J$2:$J$1093,'Annual_Mortality'!$A$2:$A$1093,A5)</f>
      </c>
      <c r="E5" s="135" t="str">
        <f>SUMIFS('Budget_Impact'!$E$2:$E$157,'Budget_Impact'!$A$2:$A$157,A5)</f>
      </c>
      <c r="F5" s="136" t="str">
        <f>SUMIFS('Budget_Impact'!$F$2:$F$157,'Budget_Impact'!$A$2:$A$157,A5)</f>
      </c>
      <c r="G5" s="137" t="str">
        <f>IF(C5&gt;0,F5/C5,"")</f>
      </c>
      <c r="H5" s="140" t="str">
        <f>IF(AND(C5&gt;0,F5&lt;0),"Dominant (more health, lower cost)",IF(AND(C5&lt;=0,F5&gt;0),"Dominated (less/no health, higher cost)",IF(AND(C5&lt;=0,F5&lt;=0),"No deaths averted; ratio not defined","USD per death averted")))</f>
      </c>
      <c r="I5" s="37" t="str">
        <f>IF(AND(ABS(F5-SUMIFS('Budget_Impact'!$F$2:$F$157,'Budget_Impact'!$A$2:$A$157,A5))&lt;='Calculation_Assumptions'!$B$15,ABS(C5-SUMIFS('Annual_Mortality'!$I$2:$I$1093,'Annual_Mortality'!$A$2:$A$1093,A5))&lt;='Calculation_Assumptions'!$B$15),"consistent","mismatch")</f>
      </c>
      <c r="J5" s="138" t="str">
        <f>IFERROR(AVERAGEIFS('Budget_Impact'!$L$2:$L$157,'Budget_Impact'!$A$2:$A$157,A5,'Budget_Impact'!$B$2:$B$157,"&gt;="&amp;('Calculation_Assumptions'!$B$2+1)),"")</f>
      </c>
      <c r="K5" s="139" t="str">
        <f>IFERROR(AVERAGEIFS('Budget_Impact'!$M$2:$M$157,'Budget_Impact'!$A$2:$A$157,A5,'Budget_Impact'!$B$2:$B$157,"&gt;="&amp;('Calculation_Assumptions'!$B$2+1)),"")</f>
      </c>
    </row>
    <row r="6">
      <c r="A6" t="s">
        <v>262</v>
      </c>
      <c r="B6" s="35" t="s">
        <v>264</v>
      </c>
      <c r="C6" s="133" t="str">
        <f>SUMIFS('Annual_Mortality'!$I$2:$I$1093,'Annual_Mortality'!$A$2:$A$1093,A6)</f>
      </c>
      <c r="D6" s="134" t="str">
        <f>SUMIFS('Annual_Mortality'!$J$2:$J$1093,'Annual_Mortality'!$A$2:$A$1093,A6)</f>
      </c>
      <c r="E6" s="135" t="str">
        <f>SUMIFS('Budget_Impact'!$E$2:$E$157,'Budget_Impact'!$A$2:$A$157,A6)</f>
      </c>
      <c r="F6" s="136" t="str">
        <f>SUMIFS('Budget_Impact'!$F$2:$F$157,'Budget_Impact'!$A$2:$A$157,A6)</f>
      </c>
      <c r="G6" s="137" t="str">
        <f>IF(C6&gt;0,F6/C6,"")</f>
      </c>
      <c r="H6" s="140" t="str">
        <f>IF(AND(C6&gt;0,F6&lt;0),"Dominant (more health, lower cost)",IF(AND(C6&lt;=0,F6&gt;0),"Dominated (less/no health, higher cost)",IF(AND(C6&lt;=0,F6&lt;=0),"No deaths averted; ratio not defined","USD per death averted")))</f>
      </c>
      <c r="I6" s="37" t="str">
        <f>IF(AND(ABS(F6-SUMIFS('Budget_Impact'!$F$2:$F$157,'Budget_Impact'!$A$2:$A$157,A6))&lt;='Calculation_Assumptions'!$B$15,ABS(C6-SUMIFS('Annual_Mortality'!$I$2:$I$1093,'Annual_Mortality'!$A$2:$A$1093,A6))&lt;='Calculation_Assumptions'!$B$15),"consistent","mismatch")</f>
      </c>
      <c r="J6" s="138" t="str">
        <f>IFERROR(AVERAGEIFS('Budget_Impact'!$L$2:$L$157,'Budget_Impact'!$A$2:$A$157,A6,'Budget_Impact'!$B$2:$B$157,"&gt;="&amp;('Calculation_Assumptions'!$B$2+1)),"")</f>
      </c>
      <c r="K6" s="139" t="str">
        <f>IFERROR(AVERAGEIFS('Budget_Impact'!$M$2:$M$157,'Budget_Impact'!$A$2:$A$157,A6,'Budget_Impact'!$B$2:$B$157,"&gt;="&amp;('Calculation_Assumptions'!$B$2+1)),"")</f>
      </c>
    </row>
    <row r="7">
      <c r="A7" t="s">
        <v>250</v>
      </c>
      <c r="B7" s="35" t="s">
        <v>252</v>
      </c>
      <c r="C7" s="133" t="str">
        <f>SUMIFS('Annual_Mortality'!$I$2:$I$1093,'Annual_Mortality'!$A$2:$A$1093,A7)</f>
      </c>
      <c r="D7" s="134" t="str">
        <f>SUMIFS('Annual_Mortality'!$J$2:$J$1093,'Annual_Mortality'!$A$2:$A$1093,A7)</f>
      </c>
      <c r="E7" s="135" t="str">
        <f>SUMIFS('Budget_Impact'!$E$2:$E$157,'Budget_Impact'!$A$2:$A$157,A7)</f>
      </c>
      <c r="F7" s="136" t="str">
        <f>SUMIFS('Budget_Impact'!$F$2:$F$157,'Budget_Impact'!$A$2:$A$157,A7)</f>
      </c>
      <c r="G7" s="137" t="str">
        <f>IF(C7&gt;0,F7/C7,"")</f>
      </c>
      <c r="H7" s="140" t="str">
        <f>IF(AND(C7&gt;0,F7&lt;0),"Dominant (more health, lower cost)",IF(AND(C7&lt;=0,F7&gt;0),"Dominated (less/no health, higher cost)",IF(AND(C7&lt;=0,F7&lt;=0),"No deaths averted; ratio not defined","USD per death averted")))</f>
      </c>
      <c r="I7" s="37" t="str">
        <f>IF(AND(ABS(F7-SUMIFS('Budget_Impact'!$F$2:$F$157,'Budget_Impact'!$A$2:$A$157,A7))&lt;='Calculation_Assumptions'!$B$15,ABS(C7-SUMIFS('Annual_Mortality'!$I$2:$I$1093,'Annual_Mortality'!$A$2:$A$1093,A7))&lt;='Calculation_Assumptions'!$B$15),"consistent","mismatch")</f>
      </c>
      <c r="J7" s="138" t="str">
        <f>IFERROR(AVERAGEIFS('Budget_Impact'!$L$2:$L$157,'Budget_Impact'!$A$2:$A$157,A7,'Budget_Impact'!$B$2:$B$157,"&gt;="&amp;('Calculation_Assumptions'!$B$2+1)),"")</f>
      </c>
      <c r="K7" s="139" t="str">
        <f>IFERROR(AVERAGEIFS('Budget_Impact'!$M$2:$M$157,'Budget_Impact'!$A$2:$A$157,A7,'Budget_Impact'!$B$2:$B$157,"&gt;="&amp;('Calculation_Assumptions'!$B$2+1)),"")</f>
      </c>
    </row>
  </sheetData>
  <autoFilter ref="A1:K1"/>
  <conditionalFormatting sqref="I2:I7">
    <cfRule type="containsText" dxfId="0" priority="3" operator="containsText" text="consistent">
      <formula>NOT(ISERROR(SEARCH("consistent", I2)))</formula>
    </cfRule>
    <cfRule type="containsText" dxfId="2" priority="2" operator="containsText" text="mismatch">
      <formula>NOT(ISERROR(SEARCH("mismatch", I2)))</formula>
    </cfRule>
  </conditionalFormatting>
  <conditionalFormatting sqref="H2:H7">
    <cfRule type="containsText" dxfId="1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7.71" hidden="0" customWidth="1"/>
    <col min="6" max="6" width="16.71" hidden="0" customWidth="1"/>
    <col min="7" max="7" width="15.71" hidden="0" customWidth="1"/>
    <col min="8" max="8" width="16.71" hidden="0" customWidth="1"/>
    <col min="9" max="9" width="15.71" hidden="0" customWidth="1"/>
    <col min="10" max="10" width="12.71" hidden="0" customWidth="1"/>
    <col min="11" max="11" width="12.71" hidden="0" customWidth="1"/>
    <col min="12" max="12" width="13.71" hidden="0" customWidth="1"/>
    <col min="13" max="13" width="12.71" hidden="0" customWidth="1"/>
    <col min="14" max="14" width="12.71" hidden="0" customWidth="1"/>
    <col min="15" max="15" width="13.71" hidden="0" customWidth="1"/>
    <col min="16" max="16" width="12.71" hidden="0" customWidth="1"/>
    <col min="17" max="17" width="12.71" hidden="0" customWidth="1"/>
    <col min="18" max="18" width="15.71" hidden="0" customWidth="1"/>
    <col min="19" max="19" width="19.71" hidden="0" customWidth="1"/>
  </cols>
  <sheetData>
    <row r="1" ht="28" customHeight="1">
      <c r="A1" s="1" t="s">
        <v>409</v>
      </c>
      <c r="B1" s="1" t="s">
        <v>410</v>
      </c>
      <c r="C1" s="1" t="s">
        <v>45</v>
      </c>
      <c r="D1" s="1" t="s">
        <v>454</v>
      </c>
      <c r="E1" s="1" t="s">
        <v>455</v>
      </c>
      <c r="F1" s="1" t="s">
        <v>416</v>
      </c>
      <c r="G1" s="1" t="s">
        <v>456</v>
      </c>
      <c r="H1" s="1" t="s">
        <v>457</v>
      </c>
      <c r="I1" s="1" t="s">
        <v>417</v>
      </c>
      <c r="J1" s="1" t="s">
        <v>458</v>
      </c>
      <c r="K1" s="1" t="s">
        <v>459</v>
      </c>
      <c r="L1" s="1" t="s">
        <v>460</v>
      </c>
      <c r="M1" s="1" t="s">
        <v>461</v>
      </c>
      <c r="N1" s="1" t="s">
        <v>462</v>
      </c>
      <c r="O1" s="1" t="s">
        <v>463</v>
      </c>
      <c r="P1" s="1" t="s">
        <v>464</v>
      </c>
      <c r="Q1" s="1" t="s">
        <v>465</v>
      </c>
      <c r="R1" s="1" t="s">
        <v>466</v>
      </c>
      <c r="S1" s="1" t="s">
        <v>467</v>
      </c>
    </row>
    <row r="2">
      <c r="A2" t="s">
        <v>116</v>
      </c>
      <c r="B2" s="35" t="s">
        <v>422</v>
      </c>
      <c r="C2" t="n">
        <v>2025</v>
      </c>
      <c r="D2" s="141" t="n">
        <v>959793.497483951</v>
      </c>
      <c r="E2" s="142" t="n">
        <v>959793.497483952</v>
      </c>
      <c r="F2" s="143" t="str">
        <f>E2-D2</f>
      </c>
      <c r="G2" s="144" t="n">
        <v>2135199.67580268</v>
      </c>
      <c r="H2" s="145" t="n">
        <v>2135199.67580268</v>
      </c>
      <c r="I2" s="146" t="str">
        <f>H2-G2</f>
      </c>
      <c r="J2" s="147" t="n">
        <v>13078630.7318055</v>
      </c>
      <c r="K2" s="148" t="n">
        <v>13078630.7318055</v>
      </c>
      <c r="L2" s="149" t="str">
        <f>K2-J2</f>
      </c>
      <c r="M2" s="150" t="n">
        <v>2439867.79488052</v>
      </c>
      <c r="N2" s="151" t="n">
        <v>2439867.79488052</v>
      </c>
      <c r="O2" s="152" t="str">
        <f>N2-M2</f>
      </c>
      <c r="P2" s="153" t="n">
        <v>15518498.526686</v>
      </c>
      <c r="Q2" s="154" t="n">
        <v>15518498.526686</v>
      </c>
      <c r="R2" s="155" t="str">
        <f>Q2-P2</f>
      </c>
      <c r="S2" s="156" t="str">
        <f>L2</f>
      </c>
    </row>
    <row r="3">
      <c r="A3" t="s">
        <v>116</v>
      </c>
      <c r="B3" s="35" t="s">
        <v>422</v>
      </c>
      <c r="C3" t="n">
        <v>2026</v>
      </c>
      <c r="D3" s="141" t="n">
        <v>975142.831622048</v>
      </c>
      <c r="E3" s="142" t="n">
        <v>980780.305058052</v>
      </c>
      <c r="F3" s="143" t="str">
        <f>E3-D3</f>
      </c>
      <c r="G3" s="144" t="n">
        <v>2176883.04713887</v>
      </c>
      <c r="H3" s="145" t="n">
        <v>2181019.4587223</v>
      </c>
      <c r="I3" s="146" t="str">
        <f>H3-G3</f>
      </c>
      <c r="J3" s="147" t="n">
        <v>13281702.5749002</v>
      </c>
      <c r="K3" s="148" t="n">
        <v>13376482.4651958</v>
      </c>
      <c r="L3" s="149" t="str">
        <f>K3-J3</f>
      </c>
      <c r="M3" s="150" t="n">
        <v>2495376.47773321</v>
      </c>
      <c r="N3" s="151" t="n">
        <v>2495093.0586842</v>
      </c>
      <c r="O3" s="152" t="str">
        <f>N3-M3</f>
      </c>
      <c r="P3" s="153" t="n">
        <v>15777079.0526334</v>
      </c>
      <c r="Q3" s="154" t="n">
        <v>15871575.5238799</v>
      </c>
      <c r="R3" s="155" t="str">
        <f>Q3-P3</f>
      </c>
      <c r="S3" s="156" t="str">
        <f>L3</f>
      </c>
    </row>
    <row r="4">
      <c r="A4" t="s">
        <v>116</v>
      </c>
      <c r="B4" s="35" t="s">
        <v>422</v>
      </c>
      <c r="C4" t="n">
        <v>2027</v>
      </c>
      <c r="D4" s="141" t="n">
        <v>992378.623260403</v>
      </c>
      <c r="E4" s="142" t="n">
        <v>1003320.79077982</v>
      </c>
      <c r="F4" s="143" t="str">
        <f>E4-D4</f>
      </c>
      <c r="G4" s="144" t="n">
        <v>2218776.29662931</v>
      </c>
      <c r="H4" s="145" t="n">
        <v>2228341.81181597</v>
      </c>
      <c r="I4" s="146" t="str">
        <f>H4-G4</f>
      </c>
      <c r="J4" s="147" t="n">
        <v>13491073.452031</v>
      </c>
      <c r="K4" s="148" t="n">
        <v>13677394.9809697</v>
      </c>
      <c r="L4" s="149" t="str">
        <f>K4-J4</f>
      </c>
      <c r="M4" s="150" t="n">
        <v>2551894.69312099</v>
      </c>
      <c r="N4" s="151" t="n">
        <v>2551241.04250702</v>
      </c>
      <c r="O4" s="152" t="str">
        <f>N4-M4</f>
      </c>
      <c r="P4" s="153" t="n">
        <v>16042968.145152</v>
      </c>
      <c r="Q4" s="154" t="n">
        <v>16228636.0234767</v>
      </c>
      <c r="R4" s="155" t="str">
        <f>Q4-P4</f>
      </c>
      <c r="S4" s="156" t="str">
        <f>L4</f>
      </c>
    </row>
    <row r="5">
      <c r="A5" t="s">
        <v>116</v>
      </c>
      <c r="B5" s="35" t="s">
        <v>422</v>
      </c>
      <c r="C5" t="n">
        <v>2028</v>
      </c>
      <c r="D5" s="141" t="n">
        <v>1011365.37868628</v>
      </c>
      <c r="E5" s="142" t="n">
        <v>1027500.46902078</v>
      </c>
      <c r="F5" s="143" t="str">
        <f>E5-D5</f>
      </c>
      <c r="G5" s="144" t="n">
        <v>2273064.36357184</v>
      </c>
      <c r="H5" s="145" t="n">
        <v>2288120.69935235</v>
      </c>
      <c r="I5" s="146" t="str">
        <f>H5-G5</f>
      </c>
      <c r="J5" s="147" t="n">
        <v>13697449.5581404</v>
      </c>
      <c r="K5" s="148" t="n">
        <v>13973849.5476407</v>
      </c>
      <c r="L5" s="149" t="str">
        <f>K5-J5</f>
      </c>
      <c r="M5" s="150" t="n">
        <v>2610184.9779134</v>
      </c>
      <c r="N5" s="151" t="n">
        <v>2609119.51816056</v>
      </c>
      <c r="O5" s="152" t="str">
        <f>N5-M5</f>
      </c>
      <c r="P5" s="153" t="n">
        <v>16307634.5360538</v>
      </c>
      <c r="Q5" s="154" t="n">
        <v>16582969.0658013</v>
      </c>
      <c r="R5" s="155" t="str">
        <f>Q5-P5</f>
      </c>
      <c r="S5" s="156" t="str">
        <f>L5</f>
      </c>
    </row>
    <row r="6">
      <c r="A6" t="s">
        <v>116</v>
      </c>
      <c r="B6" s="35" t="s">
        <v>422</v>
      </c>
      <c r="C6" t="n">
        <v>2029</v>
      </c>
      <c r="D6" s="141" t="n">
        <v>1030915.69978592</v>
      </c>
      <c r="E6" s="142" t="n">
        <v>1053610.41066253</v>
      </c>
      <c r="F6" s="143" t="str">
        <f>E6-D6</f>
      </c>
      <c r="G6" s="144" t="n">
        <v>2315343.92989193</v>
      </c>
      <c r="H6" s="145" t="n">
        <v>2336688.0735738</v>
      </c>
      <c r="I6" s="146" t="str">
        <f>H6-G6</f>
      </c>
      <c r="J6" s="147" t="n">
        <v>13905166.4590338</v>
      </c>
      <c r="K6" s="148" t="n">
        <v>14290695.0468445</v>
      </c>
      <c r="L6" s="149" t="str">
        <f>K6-J6</f>
      </c>
      <c r="M6" s="150" t="n">
        <v>2668966.15759716</v>
      </c>
      <c r="N6" s="151" t="n">
        <v>2667387.14052593</v>
      </c>
      <c r="O6" s="152" t="str">
        <f>N6-M6</f>
      </c>
      <c r="P6" s="153" t="n">
        <v>16574132.616631</v>
      </c>
      <c r="Q6" s="154" t="n">
        <v>16958082.1873704</v>
      </c>
      <c r="R6" s="155" t="str">
        <f>Q6-P6</f>
      </c>
      <c r="S6" s="156" t="str">
        <f>L6</f>
      </c>
    </row>
    <row r="7">
      <c r="A7" t="s">
        <v>116</v>
      </c>
      <c r="B7" s="35" t="s">
        <v>422</v>
      </c>
      <c r="C7" t="n">
        <v>2030</v>
      </c>
      <c r="D7" s="141" t="n">
        <v>1051603.0972729</v>
      </c>
      <c r="E7" s="142" t="n">
        <v>1080810.21872946</v>
      </c>
      <c r="F7" s="143" t="str">
        <f>E7-D7</f>
      </c>
      <c r="G7" s="144" t="n">
        <v>2358832.62997739</v>
      </c>
      <c r="H7" s="145" t="n">
        <v>2386448.80046728</v>
      </c>
      <c r="I7" s="146" t="str">
        <f>H7-G7</f>
      </c>
      <c r="J7" s="147" t="n">
        <v>14107418.7928321</v>
      </c>
      <c r="K7" s="148" t="n">
        <v>14601429.0838702</v>
      </c>
      <c r="L7" s="149" t="str">
        <f>K7-J7</f>
      </c>
      <c r="M7" s="150" t="n">
        <v>2728094.9414011</v>
      </c>
      <c r="N7" s="151" t="n">
        <v>2725934.7625287</v>
      </c>
      <c r="O7" s="152" t="str">
        <f>N7-M7</f>
      </c>
      <c r="P7" s="153" t="n">
        <v>16835513.7342333</v>
      </c>
      <c r="Q7" s="154" t="n">
        <v>17327363.846399</v>
      </c>
      <c r="R7" s="155" t="str">
        <f>Q7-P7</f>
      </c>
      <c r="S7" s="156" t="str">
        <f>L7</f>
      </c>
    </row>
    <row r="8">
      <c r="A8" t="s">
        <v>116</v>
      </c>
      <c r="B8" s="35" t="s">
        <v>422</v>
      </c>
      <c r="C8" t="n">
        <v>2031</v>
      </c>
      <c r="D8" s="141" t="n">
        <v>1077527.98744465</v>
      </c>
      <c r="E8" s="142" t="n">
        <v>1107157.64124119</v>
      </c>
      <c r="F8" s="143" t="str">
        <f>E8-D8</f>
      </c>
      <c r="G8" s="144" t="n">
        <v>2405949.87326611</v>
      </c>
      <c r="H8" s="145" t="n">
        <v>2435295.40356542</v>
      </c>
      <c r="I8" s="146" t="str">
        <f>H8-G8</f>
      </c>
      <c r="J8" s="147" t="n">
        <v>14406343.0368237</v>
      </c>
      <c r="K8" s="148" t="n">
        <v>14910262.6671564</v>
      </c>
      <c r="L8" s="149" t="str">
        <f>K8-J8</f>
      </c>
      <c r="M8" s="150" t="n">
        <v>2787234.01813497</v>
      </c>
      <c r="N8" s="151" t="n">
        <v>2784742.81884404</v>
      </c>
      <c r="O8" s="152" t="str">
        <f>N8-M8</f>
      </c>
      <c r="P8" s="153" t="n">
        <v>17193577.0549586</v>
      </c>
      <c r="Q8" s="154" t="n">
        <v>17695005.4860005</v>
      </c>
      <c r="R8" s="155" t="str">
        <f>Q8-P8</f>
      </c>
      <c r="S8" s="156" t="str">
        <f>L8</f>
      </c>
    </row>
    <row r="9">
      <c r="A9" t="s">
        <v>116</v>
      </c>
      <c r="B9" s="35" t="s">
        <v>422</v>
      </c>
      <c r="C9" t="n">
        <v>2032</v>
      </c>
      <c r="D9" s="141" t="n">
        <v>1103530.85447546</v>
      </c>
      <c r="E9" s="142" t="n">
        <v>1133979.82552584</v>
      </c>
      <c r="F9" s="143" t="str">
        <f>E9-D9</f>
      </c>
      <c r="G9" s="144" t="n">
        <v>2455133.57694625</v>
      </c>
      <c r="H9" s="145" t="n">
        <v>2486226.86894442</v>
      </c>
      <c r="I9" s="146" t="str">
        <f>H9-G9</f>
      </c>
      <c r="J9" s="147" t="n">
        <v>14694553.7489428</v>
      </c>
      <c r="K9" s="148" t="n">
        <v>15212724.6096518</v>
      </c>
      <c r="L9" s="149" t="str">
        <f>K9-J9</f>
      </c>
      <c r="M9" s="150" t="n">
        <v>2846533.19369892</v>
      </c>
      <c r="N9" s="151" t="n">
        <v>2843886.54382644</v>
      </c>
      <c r="O9" s="152" t="str">
        <f>N9-M9</f>
      </c>
      <c r="P9" s="153" t="n">
        <v>17541086.9426418</v>
      </c>
      <c r="Q9" s="154" t="n">
        <v>18056611.1534782</v>
      </c>
      <c r="R9" s="155" t="str">
        <f>Q9-P9</f>
      </c>
      <c r="S9" s="156" t="str">
        <f>L9</f>
      </c>
    </row>
    <row r="10">
      <c r="A10" t="s">
        <v>116</v>
      </c>
      <c r="B10" s="35" t="s">
        <v>422</v>
      </c>
      <c r="C10" t="n">
        <v>2033</v>
      </c>
      <c r="D10" s="141" t="n">
        <v>1129047.20233839</v>
      </c>
      <c r="E10" s="142" t="n">
        <v>1160519.0384788</v>
      </c>
      <c r="F10" s="143" t="str">
        <f>E10-D10</f>
      </c>
      <c r="G10" s="144" t="n">
        <v>2511235.45063054</v>
      </c>
      <c r="H10" s="145" t="n">
        <v>2544179.91308165</v>
      </c>
      <c r="I10" s="146" t="str">
        <f>H10-G10</f>
      </c>
      <c r="J10" s="147" t="n">
        <v>14963541.3455153</v>
      </c>
      <c r="K10" s="148" t="n">
        <v>15498146.8141225</v>
      </c>
      <c r="L10" s="149" t="str">
        <f>K10-J10</f>
      </c>
      <c r="M10" s="150" t="n">
        <v>2906594.92330743</v>
      </c>
      <c r="N10" s="151" t="n">
        <v>2903939.00675972</v>
      </c>
      <c r="O10" s="152" t="str">
        <f>N10-M10</f>
      </c>
      <c r="P10" s="153" t="n">
        <v>17870136.2688227</v>
      </c>
      <c r="Q10" s="154" t="n">
        <v>18402085.8208823</v>
      </c>
      <c r="R10" s="155" t="str">
        <f>Q10-P10</f>
      </c>
      <c r="S10" s="156" t="str">
        <f>L10</f>
      </c>
    </row>
    <row r="11">
      <c r="A11" t="s">
        <v>116</v>
      </c>
      <c r="B11" s="35" t="s">
        <v>422</v>
      </c>
      <c r="C11" t="n">
        <v>2034</v>
      </c>
      <c r="D11" s="141" t="n">
        <v>1156267.31755968</v>
      </c>
      <c r="E11" s="142" t="n">
        <v>1187394.62078838</v>
      </c>
      <c r="F11" s="143" t="str">
        <f>E11-D11</f>
      </c>
      <c r="G11" s="144" t="n">
        <v>2557576.75963421</v>
      </c>
      <c r="H11" s="145" t="n">
        <v>2591241.82717547</v>
      </c>
      <c r="I11" s="146" t="str">
        <f>H11-G11</f>
      </c>
      <c r="J11" s="147" t="n">
        <v>15266360.2693887</v>
      </c>
      <c r="K11" s="148" t="n">
        <v>15799428.4193656</v>
      </c>
      <c r="L11" s="149" t="str">
        <f>K11-J11</f>
      </c>
      <c r="M11" s="150" t="n">
        <v>2966365.29771392</v>
      </c>
      <c r="N11" s="151" t="n">
        <v>2963891.11565708</v>
      </c>
      <c r="O11" s="152" t="str">
        <f>N11-M11</f>
      </c>
      <c r="P11" s="153" t="n">
        <v>18232725.5671026</v>
      </c>
      <c r="Q11" s="154" t="n">
        <v>18763319.5350226</v>
      </c>
      <c r="R11" s="155" t="str">
        <f>Q11-P11</f>
      </c>
      <c r="S11" s="156" t="str">
        <f>L11</f>
      </c>
    </row>
    <row r="12">
      <c r="A12" t="s">
        <v>116</v>
      </c>
      <c r="B12" s="35" t="s">
        <v>422</v>
      </c>
      <c r="C12" t="n">
        <v>2035</v>
      </c>
      <c r="D12" s="141" t="n">
        <v>1183346.96551818</v>
      </c>
      <c r="E12" s="142" t="n">
        <v>1214325.97179281</v>
      </c>
      <c r="F12" s="143" t="str">
        <f>E12-D12</f>
      </c>
      <c r="G12" s="144" t="n">
        <v>2602984.9266156</v>
      </c>
      <c r="H12" s="145" t="n">
        <v>2637338.55759301</v>
      </c>
      <c r="I12" s="146" t="str">
        <f>H12-G12</f>
      </c>
      <c r="J12" s="147" t="n">
        <v>15559605.212737</v>
      </c>
      <c r="K12" s="148" t="n">
        <v>16093445.8910369</v>
      </c>
      <c r="L12" s="149" t="str">
        <f>K12-J12</f>
      </c>
      <c r="M12" s="150" t="n">
        <v>3025710.91406205</v>
      </c>
      <c r="N12" s="151" t="n">
        <v>3023565.75015719</v>
      </c>
      <c r="O12" s="152" t="str">
        <f>N12-M12</f>
      </c>
      <c r="P12" s="153" t="n">
        <v>18585316.126799</v>
      </c>
      <c r="Q12" s="154" t="n">
        <v>19117011.6411941</v>
      </c>
      <c r="R12" s="155" t="str">
        <f>Q12-P12</f>
      </c>
      <c r="S12" s="156" t="str">
        <f>L12</f>
      </c>
    </row>
    <row r="13">
      <c r="A13" t="s">
        <v>116</v>
      </c>
      <c r="B13" s="35" t="s">
        <v>422</v>
      </c>
      <c r="C13" t="n">
        <v>2036</v>
      </c>
      <c r="D13" s="141" t="n">
        <v>1205618.05495172</v>
      </c>
      <c r="E13" s="142" t="n">
        <v>1242005.19631071</v>
      </c>
      <c r="F13" s="143" t="str">
        <f>E13-D13</f>
      </c>
      <c r="G13" s="144" t="n">
        <v>2649595.82199032</v>
      </c>
      <c r="H13" s="145" t="n">
        <v>2687815.41856241</v>
      </c>
      <c r="I13" s="146" t="str">
        <f>H13-G13</f>
      </c>
      <c r="J13" s="147" t="n">
        <v>15786480.6139935</v>
      </c>
      <c r="K13" s="148" t="n">
        <v>16387284.1170475</v>
      </c>
      <c r="L13" s="149" t="str">
        <f>K13-J13</f>
      </c>
      <c r="M13" s="150" t="n">
        <v>3085230.44124109</v>
      </c>
      <c r="N13" s="151" t="n">
        <v>3083207.24745521</v>
      </c>
      <c r="O13" s="152" t="str">
        <f>N13-M13</f>
      </c>
      <c r="P13" s="153" t="n">
        <v>18871711.0552346</v>
      </c>
      <c r="Q13" s="154" t="n">
        <v>19470491.3645027</v>
      </c>
      <c r="R13" s="155" t="str">
        <f>Q13-P13</f>
      </c>
      <c r="S13" s="156" t="str">
        <f>L13</f>
      </c>
    </row>
    <row r="14">
      <c r="A14" t="s">
        <v>116</v>
      </c>
      <c r="B14" s="35" t="s">
        <v>422</v>
      </c>
      <c r="C14" t="n">
        <v>2037</v>
      </c>
      <c r="D14" s="141" t="n">
        <v>1228262.91971091</v>
      </c>
      <c r="E14" s="142" t="n">
        <v>1269807.80909442</v>
      </c>
      <c r="F14" s="143" t="str">
        <f>E14-D14</f>
      </c>
      <c r="G14" s="144" t="n">
        <v>2695265.49360407</v>
      </c>
      <c r="H14" s="145" t="n">
        <v>2737274.790777</v>
      </c>
      <c r="I14" s="146" t="str">
        <f>H14-G14</f>
      </c>
      <c r="J14" s="147" t="n">
        <v>16006938.0918063</v>
      </c>
      <c r="K14" s="148" t="n">
        <v>16672497.8198669</v>
      </c>
      <c r="L14" s="149" t="str">
        <f>K14-J14</f>
      </c>
      <c r="M14" s="150" t="n">
        <v>3144708.93544314</v>
      </c>
      <c r="N14" s="151" t="n">
        <v>3142666.59064758</v>
      </c>
      <c r="O14" s="152" t="str">
        <f>N14-M14</f>
      </c>
      <c r="P14" s="153" t="n">
        <v>19151647.0272495</v>
      </c>
      <c r="Q14" s="154" t="n">
        <v>19815164.4105145</v>
      </c>
      <c r="R14" s="155" t="str">
        <f>Q14-P14</f>
      </c>
      <c r="S14" s="156" t="str">
        <f>L14</f>
      </c>
    </row>
    <row r="15">
      <c r="A15" t="s">
        <v>116</v>
      </c>
      <c r="B15" s="35" t="s">
        <v>422</v>
      </c>
      <c r="C15" t="n">
        <v>2038</v>
      </c>
      <c r="D15" s="141" t="n">
        <v>1250544.185931</v>
      </c>
      <c r="E15" s="142" t="n">
        <v>1297176.25542108</v>
      </c>
      <c r="F15" s="143" t="str">
        <f>E15-D15</f>
      </c>
      <c r="G15" s="144" t="n">
        <v>2744834.73138366</v>
      </c>
      <c r="H15" s="145" t="n">
        <v>2790687.02121721</v>
      </c>
      <c r="I15" s="146" t="str">
        <f>H15-G15</f>
      </c>
      <c r="J15" s="147" t="n">
        <v>16213567.8047417</v>
      </c>
      <c r="K15" s="148" t="n">
        <v>16943079.5437892</v>
      </c>
      <c r="L15" s="149" t="str">
        <f>K15-J15</f>
      </c>
      <c r="M15" s="150" t="n">
        <v>3204533.60106011</v>
      </c>
      <c r="N15" s="151" t="n">
        <v>3202368.92676633</v>
      </c>
      <c r="O15" s="152" t="str">
        <f>N15-M15</f>
      </c>
      <c r="P15" s="153" t="n">
        <v>19418101.4058018</v>
      </c>
      <c r="Q15" s="154" t="n">
        <v>20145448.4705555</v>
      </c>
      <c r="R15" s="155" t="str">
        <f>Q15-P15</f>
      </c>
      <c r="S15" s="156" t="str">
        <f>L15</f>
      </c>
    </row>
    <row r="16">
      <c r="A16" t="s">
        <v>116</v>
      </c>
      <c r="B16" s="35" t="s">
        <v>422</v>
      </c>
      <c r="C16" t="n">
        <v>2039</v>
      </c>
      <c r="D16" s="141" t="n">
        <v>1273587.77326424</v>
      </c>
      <c r="E16" s="142" t="n">
        <v>1325347.79629959</v>
      </c>
      <c r="F16" s="143" t="str">
        <f>E16-D16</f>
      </c>
      <c r="G16" s="144" t="n">
        <v>2785725.78842317</v>
      </c>
      <c r="H16" s="145" t="n">
        <v>2835232.8138728</v>
      </c>
      <c r="I16" s="146" t="str">
        <f>H16-G16</f>
      </c>
      <c r="J16" s="147" t="n">
        <v>16422805.4188714</v>
      </c>
      <c r="K16" s="148" t="n">
        <v>17216985.482207</v>
      </c>
      <c r="L16" s="149" t="str">
        <f>K16-J16</f>
      </c>
      <c r="M16" s="150" t="n">
        <v>3263699.53783215</v>
      </c>
      <c r="N16" s="151" t="n">
        <v>3261308.04483665</v>
      </c>
      <c r="O16" s="152" t="str">
        <f>N16-M16</f>
      </c>
      <c r="P16" s="153" t="n">
        <v>19686504.9567036</v>
      </c>
      <c r="Q16" s="154" t="n">
        <v>20478293.5270436</v>
      </c>
      <c r="R16" s="155" t="str">
        <f>Q16-P16</f>
      </c>
      <c r="S16" s="156" t="str">
        <f>L16</f>
      </c>
    </row>
    <row r="17">
      <c r="A17" t="s">
        <v>116</v>
      </c>
      <c r="B17" s="35" t="s">
        <v>422</v>
      </c>
      <c r="C17" t="n">
        <v>2040</v>
      </c>
      <c r="D17" s="141" t="n">
        <v>1295870.20829125</v>
      </c>
      <c r="E17" s="142" t="n">
        <v>1352787.67550619</v>
      </c>
      <c r="F17" s="143" t="str">
        <f>E17-D17</f>
      </c>
      <c r="G17" s="144" t="n">
        <v>2823330.31419777</v>
      </c>
      <c r="H17" s="145" t="n">
        <v>2876390.02123241</v>
      </c>
      <c r="I17" s="146" t="str">
        <f>H17-G17</f>
      </c>
      <c r="J17" s="147" t="n">
        <v>16617925.0178024</v>
      </c>
      <c r="K17" s="148" t="n">
        <v>17477129.0980303</v>
      </c>
      <c r="L17" s="149" t="str">
        <f>K17-J17</f>
      </c>
      <c r="M17" s="150" t="n">
        <v>3321947.12137876</v>
      </c>
      <c r="N17" s="151" t="n">
        <v>3319226.53845978</v>
      </c>
      <c r="O17" s="152" t="str">
        <f>N17-M17</f>
      </c>
      <c r="P17" s="153" t="n">
        <v>19939872.1391812</v>
      </c>
      <c r="Q17" s="154" t="n">
        <v>20796355.63649</v>
      </c>
      <c r="R17" s="155" t="str">
        <f>Q17-P17</f>
      </c>
      <c r="S17" s="156" t="str">
        <f>L17</f>
      </c>
    </row>
    <row r="18">
      <c r="A18" t="s">
        <v>116</v>
      </c>
      <c r="B18" s="35" t="s">
        <v>422</v>
      </c>
      <c r="C18" t="n">
        <v>2041</v>
      </c>
      <c r="D18" s="141" t="n">
        <v>1323983.63065572</v>
      </c>
      <c r="E18" s="142" t="n">
        <v>1380070.96412439</v>
      </c>
      <c r="F18" s="143" t="str">
        <f>E18-D18</f>
      </c>
      <c r="G18" s="144" t="n">
        <v>2869276.77660891</v>
      </c>
      <c r="H18" s="145" t="n">
        <v>2922451.7840816</v>
      </c>
      <c r="I18" s="146" t="str">
        <f>H18-G18</f>
      </c>
      <c r="J18" s="147" t="n">
        <v>16877088.1822458</v>
      </c>
      <c r="K18" s="148" t="n">
        <v>17731269.8507494</v>
      </c>
      <c r="L18" s="149" t="str">
        <f>K18-J18</f>
      </c>
      <c r="M18" s="150" t="n">
        <v>3379341.09105912</v>
      </c>
      <c r="N18" s="151" t="n">
        <v>3376570.77956911</v>
      </c>
      <c r="O18" s="152" t="str">
        <f>N18-M18</f>
      </c>
      <c r="P18" s="153" t="n">
        <v>20256429.2733049</v>
      </c>
      <c r="Q18" s="154" t="n">
        <v>21107840.6303185</v>
      </c>
      <c r="R18" s="155" t="str">
        <f>Q18-P18</f>
      </c>
      <c r="S18" s="156" t="str">
        <f>L18</f>
      </c>
    </row>
    <row r="19">
      <c r="A19" t="s">
        <v>116</v>
      </c>
      <c r="B19" s="35" t="s">
        <v>422</v>
      </c>
      <c r="C19" t="n">
        <v>2042</v>
      </c>
      <c r="D19" s="141" t="n">
        <v>1351156.92568178</v>
      </c>
      <c r="E19" s="142" t="n">
        <v>1406876.34005525</v>
      </c>
      <c r="F19" s="143" t="str">
        <f>E19-D19</f>
      </c>
      <c r="G19" s="144" t="n">
        <v>2909770.33591998</v>
      </c>
      <c r="H19" s="145" t="n">
        <v>2962983.46667384</v>
      </c>
      <c r="I19" s="146" t="str">
        <f>H19-G19</f>
      </c>
      <c r="J19" s="147" t="n">
        <v>17120306.9638829</v>
      </c>
      <c r="K19" s="148" t="n">
        <v>17974111.2649187</v>
      </c>
      <c r="L19" s="149" t="str">
        <f>K19-J19</f>
      </c>
      <c r="M19" s="150" t="n">
        <v>3435557.4352014</v>
      </c>
      <c r="N19" s="151" t="n">
        <v>3432912.59953705</v>
      </c>
      <c r="O19" s="152" t="str">
        <f>N19-M19</f>
      </c>
      <c r="P19" s="153" t="n">
        <v>20555864.3990843</v>
      </c>
      <c r="Q19" s="154" t="n">
        <v>21407023.8644558</v>
      </c>
      <c r="R19" s="155" t="str">
        <f>Q19-P19</f>
      </c>
      <c r="S19" s="156" t="str">
        <f>L19</f>
      </c>
    </row>
    <row r="20">
      <c r="A20" t="s">
        <v>116</v>
      </c>
      <c r="B20" s="35" t="s">
        <v>422</v>
      </c>
      <c r="C20" t="n">
        <v>2043</v>
      </c>
      <c r="D20" s="141" t="n">
        <v>1377240.13806246</v>
      </c>
      <c r="E20" s="142" t="n">
        <v>1432805.18241214</v>
      </c>
      <c r="F20" s="143" t="str">
        <f>E20-D20</f>
      </c>
      <c r="G20" s="144" t="n">
        <v>2955095.76950323</v>
      </c>
      <c r="H20" s="145" t="n">
        <v>3008470.65003363</v>
      </c>
      <c r="I20" s="146" t="str">
        <f>H20-G20</f>
      </c>
      <c r="J20" s="147" t="n">
        <v>17342867.7404561</v>
      </c>
      <c r="K20" s="148" t="n">
        <v>18198360.1018222</v>
      </c>
      <c r="L20" s="149" t="str">
        <f>K20-J20</f>
      </c>
      <c r="M20" s="150" t="n">
        <v>3491226.29032447</v>
      </c>
      <c r="N20" s="151" t="n">
        <v>3488845.13943546</v>
      </c>
      <c r="O20" s="152" t="str">
        <f>N20-M20</f>
      </c>
      <c r="P20" s="153" t="n">
        <v>20834094.0307806</v>
      </c>
      <c r="Q20" s="154" t="n">
        <v>21687205.2412577</v>
      </c>
      <c r="R20" s="155" t="str">
        <f>Q20-P20</f>
      </c>
      <c r="S20" s="156" t="str">
        <f>L20</f>
      </c>
    </row>
    <row r="21">
      <c r="A21" t="s">
        <v>116</v>
      </c>
      <c r="B21" s="35" t="s">
        <v>422</v>
      </c>
      <c r="C21" t="n">
        <v>2044</v>
      </c>
      <c r="D21" s="141" t="n">
        <v>1402784.59450549</v>
      </c>
      <c r="E21" s="142" t="n">
        <v>1458339.17974938</v>
      </c>
      <c r="F21" s="143" t="str">
        <f>E21-D21</f>
      </c>
      <c r="G21" s="144" t="n">
        <v>2992671.35569611</v>
      </c>
      <c r="H21" s="145" t="n">
        <v>3046056.68354666</v>
      </c>
      <c r="I21" s="146" t="str">
        <f>H21-G21</f>
      </c>
      <c r="J21" s="147" t="n">
        <v>17561043.790813</v>
      </c>
      <c r="K21" s="148" t="n">
        <v>18419903.9093603</v>
      </c>
      <c r="L21" s="149" t="str">
        <f>K21-J21</f>
      </c>
      <c r="M21" s="150" t="n">
        <v>3545605.58096774</v>
      </c>
      <c r="N21" s="151" t="n">
        <v>3543582.92973372</v>
      </c>
      <c r="O21" s="152" t="str">
        <f>N21-M21</f>
      </c>
      <c r="P21" s="153" t="n">
        <v>21106649.3717807</v>
      </c>
      <c r="Q21" s="154" t="n">
        <v>21963486.839094</v>
      </c>
      <c r="R21" s="155" t="str">
        <f>Q21-P21</f>
      </c>
      <c r="S21" s="156" t="str">
        <f>L21</f>
      </c>
    </row>
    <row r="22">
      <c r="A22" t="s">
        <v>116</v>
      </c>
      <c r="B22" s="35" t="s">
        <v>422</v>
      </c>
      <c r="C22" t="n">
        <v>2045</v>
      </c>
      <c r="D22" s="141" t="n">
        <v>1428266.98421692</v>
      </c>
      <c r="E22" s="142" t="n">
        <v>1483913.39991598</v>
      </c>
      <c r="F22" s="143" t="str">
        <f>E22-D22</f>
      </c>
      <c r="G22" s="144" t="n">
        <v>3028855.35256241</v>
      </c>
      <c r="H22" s="145" t="n">
        <v>3082224.00698585</v>
      </c>
      <c r="I22" s="146" t="str">
        <f>H22-G22</f>
      </c>
      <c r="J22" s="147" t="n">
        <v>17772496.4564879</v>
      </c>
      <c r="K22" s="148" t="n">
        <v>18635707.8486913</v>
      </c>
      <c r="L22" s="149" t="str">
        <f>K22-J22</f>
      </c>
      <c r="M22" s="150" t="n">
        <v>3598566.81761998</v>
      </c>
      <c r="N22" s="151" t="n">
        <v>3596974.60976764</v>
      </c>
      <c r="O22" s="152" t="str">
        <f>N22-M22</f>
      </c>
      <c r="P22" s="153" t="n">
        <v>21371063.2741079</v>
      </c>
      <c r="Q22" s="154" t="n">
        <v>22232682.4584589</v>
      </c>
      <c r="R22" s="155" t="str">
        <f>Q22-P22</f>
      </c>
      <c r="S22" s="156" t="str">
        <f>L22</f>
      </c>
    </row>
    <row r="23">
      <c r="A23" t="s">
        <v>116</v>
      </c>
      <c r="B23" s="35" t="s">
        <v>422</v>
      </c>
      <c r="C23" t="n">
        <v>2046</v>
      </c>
      <c r="D23" s="141" t="n">
        <v>1453674.66098133</v>
      </c>
      <c r="E23" s="142" t="n">
        <v>1509480.27542461</v>
      </c>
      <c r="F23" s="143" t="str">
        <f>E23-D23</f>
      </c>
      <c r="G23" s="144" t="n">
        <v>3070559.30368227</v>
      </c>
      <c r="H23" s="145" t="n">
        <v>3124046.1784475</v>
      </c>
      <c r="I23" s="146" t="str">
        <f>H23-G23</f>
      </c>
      <c r="J23" s="147" t="n">
        <v>17974856.5707211</v>
      </c>
      <c r="K23" s="148" t="n">
        <v>18842942.5524536</v>
      </c>
      <c r="L23" s="149" t="str">
        <f>K23-J23</f>
      </c>
      <c r="M23" s="150" t="n">
        <v>3650607.48470314</v>
      </c>
      <c r="N23" s="151" t="n">
        <v>3649516.08697985</v>
      </c>
      <c r="O23" s="152" t="str">
        <f>N23-M23</f>
      </c>
      <c r="P23" s="153" t="n">
        <v>21625464.0554243</v>
      </c>
      <c r="Q23" s="154" t="n">
        <v>22492458.6394335</v>
      </c>
      <c r="R23" s="155" t="str">
        <f>Q23-P23</f>
      </c>
      <c r="S23" s="156" t="str">
        <f>L23</f>
      </c>
    </row>
    <row r="24">
      <c r="A24" t="s">
        <v>116</v>
      </c>
      <c r="B24" s="35" t="s">
        <v>422</v>
      </c>
      <c r="C24" t="n">
        <v>2047</v>
      </c>
      <c r="D24" s="141" t="n">
        <v>1478231.27598702</v>
      </c>
      <c r="E24" s="142" t="n">
        <v>1534237.5744132</v>
      </c>
      <c r="F24" s="143" t="str">
        <f>E24-D24</f>
      </c>
      <c r="G24" s="144" t="n">
        <v>3105441.4222898</v>
      </c>
      <c r="H24" s="145" t="n">
        <v>3158904.2402998</v>
      </c>
      <c r="I24" s="146" t="str">
        <f>H24-G24</f>
      </c>
      <c r="J24" s="147" t="n">
        <v>18167965.8497499</v>
      </c>
      <c r="K24" s="148" t="n">
        <v>19041387.4378568</v>
      </c>
      <c r="L24" s="149" t="str">
        <f>K24-J24</f>
      </c>
      <c r="M24" s="150" t="n">
        <v>3701256.25683429</v>
      </c>
      <c r="N24" s="151" t="n">
        <v>3700713.68790926</v>
      </c>
      <c r="O24" s="152" t="str">
        <f>N24-M24</f>
      </c>
      <c r="P24" s="153" t="n">
        <v>21869222.1065841</v>
      </c>
      <c r="Q24" s="154" t="n">
        <v>22742101.1257661</v>
      </c>
      <c r="R24" s="155" t="str">
        <f>Q24-P24</f>
      </c>
      <c r="S24" s="156" t="str">
        <f>L24</f>
      </c>
    </row>
    <row r="25">
      <c r="A25" t="s">
        <v>116</v>
      </c>
      <c r="B25" s="35" t="s">
        <v>422</v>
      </c>
      <c r="C25" t="n">
        <v>2048</v>
      </c>
      <c r="D25" s="141" t="n">
        <v>1501377.51467269</v>
      </c>
      <c r="E25" s="142" t="n">
        <v>1557584.97398339</v>
      </c>
      <c r="F25" s="143" t="str">
        <f>E25-D25</f>
      </c>
      <c r="G25" s="144" t="n">
        <v>3140765.21679148</v>
      </c>
      <c r="H25" s="145" t="n">
        <v>3194212.2507101</v>
      </c>
      <c r="I25" s="146" t="str">
        <f>H25-G25</f>
      </c>
      <c r="J25" s="147" t="n">
        <v>18341797.0747108</v>
      </c>
      <c r="K25" s="148" t="n">
        <v>19220391.6480863</v>
      </c>
      <c r="L25" s="149" t="str">
        <f>K25-J25</f>
      </c>
      <c r="M25" s="150" t="n">
        <v>3750777.14661735</v>
      </c>
      <c r="N25" s="151" t="n">
        <v>3750826.45017893</v>
      </c>
      <c r="O25" s="152" t="str">
        <f>N25-M25</f>
      </c>
      <c r="P25" s="153" t="n">
        <v>22092574.2213281</v>
      </c>
      <c r="Q25" s="154" t="n">
        <v>22971218.0982652</v>
      </c>
      <c r="R25" s="155" t="str">
        <f>Q25-P25</f>
      </c>
      <c r="S25" s="156" t="str">
        <f>L25</f>
      </c>
    </row>
    <row r="26">
      <c r="A26" t="s">
        <v>116</v>
      </c>
      <c r="B26" s="35" t="s">
        <v>422</v>
      </c>
      <c r="C26" t="n">
        <v>2049</v>
      </c>
      <c r="D26" s="141" t="n">
        <v>1524695.33883413</v>
      </c>
      <c r="E26" s="142" t="n">
        <v>1581148.70872561</v>
      </c>
      <c r="F26" s="143" t="str">
        <f>E26-D26</f>
      </c>
      <c r="G26" s="144" t="n">
        <v>3173666.3410345</v>
      </c>
      <c r="H26" s="145" t="n">
        <v>3227056.88545618</v>
      </c>
      <c r="I26" s="146" t="str">
        <f>H26-G26</f>
      </c>
      <c r="J26" s="147" t="n">
        <v>18515534.450782</v>
      </c>
      <c r="K26" s="148" t="n">
        <v>19399647.7304913</v>
      </c>
      <c r="L26" s="149" t="str">
        <f>K26-J26</f>
      </c>
      <c r="M26" s="150" t="n">
        <v>3798830.36712336</v>
      </c>
      <c r="N26" s="151" t="n">
        <v>3799503.95708712</v>
      </c>
      <c r="O26" s="152" t="str">
        <f>N26-M26</f>
      </c>
      <c r="P26" s="153" t="n">
        <v>22314364.8179053</v>
      </c>
      <c r="Q26" s="154" t="n">
        <v>23199151.6875784</v>
      </c>
      <c r="R26" s="155" t="str">
        <f>Q26-P26</f>
      </c>
      <c r="S26" s="156" t="str">
        <f>L26</f>
      </c>
    </row>
    <row r="27">
      <c r="A27" t="s">
        <v>116</v>
      </c>
      <c r="B27" s="35" t="s">
        <v>422</v>
      </c>
      <c r="C27" t="n">
        <v>2050</v>
      </c>
      <c r="D27" s="141" t="n">
        <v>1547292.24428018</v>
      </c>
      <c r="E27" s="142" t="n">
        <v>1604008.46344375</v>
      </c>
      <c r="F27" s="143" t="str">
        <f>E27-D27</f>
      </c>
      <c r="G27" s="144" t="n">
        <v>3203889.50135833</v>
      </c>
      <c r="H27" s="145" t="n">
        <v>3257199.2980493</v>
      </c>
      <c r="I27" s="146" t="str">
        <f>H27-G27</f>
      </c>
      <c r="J27" s="147" t="n">
        <v>18680255.516957</v>
      </c>
      <c r="K27" s="148" t="n">
        <v>19570013.4156094</v>
      </c>
      <c r="L27" s="149" t="str">
        <f>K27-J27</f>
      </c>
      <c r="M27" s="150" t="n">
        <v>3845271.49967853</v>
      </c>
      <c r="N27" s="151" t="n">
        <v>3846594.37842674</v>
      </c>
      <c r="O27" s="152" t="str">
        <f>N27-M27</f>
      </c>
      <c r="P27" s="153" t="n">
        <v>22525527.0166356</v>
      </c>
      <c r="Q27" s="154" t="n">
        <v>23416607.7940361</v>
      </c>
      <c r="R27" s="155" t="str">
        <f>Q27-P27</f>
      </c>
      <c r="S27" s="156" t="str">
        <f>L27</f>
      </c>
    </row>
    <row r="28">
      <c r="A28" t="s">
        <v>250</v>
      </c>
      <c r="B28" s="35" t="s">
        <v>252</v>
      </c>
      <c r="C28" t="n">
        <v>2025</v>
      </c>
      <c r="D28" s="141" t="n">
        <v>959793.497483951</v>
      </c>
      <c r="E28" s="142" t="n">
        <v>959793.497483952</v>
      </c>
      <c r="F28" s="143" t="str">
        <f>E28-D28</f>
      </c>
      <c r="G28" s="144" t="n">
        <v>2135199.67580268</v>
      </c>
      <c r="H28" s="145" t="n">
        <v>2135199.67580268</v>
      </c>
      <c r="I28" s="146" t="str">
        <f>H28-G28</f>
      </c>
      <c r="J28" s="147" t="n">
        <v>13078630.7318055</v>
      </c>
      <c r="K28" s="148" t="n">
        <v>13078630.7318055</v>
      </c>
      <c r="L28" s="149" t="str">
        <f>K28-J28</f>
      </c>
      <c r="M28" s="150" t="n">
        <v>2439867.79488052</v>
      </c>
      <c r="N28" s="151" t="n">
        <v>2439867.79488052</v>
      </c>
      <c r="O28" s="152" t="str">
        <f>N28-M28</f>
      </c>
      <c r="P28" s="153" t="n">
        <v>15518498.526686</v>
      </c>
      <c r="Q28" s="154" t="n">
        <v>15518498.526686</v>
      </c>
      <c r="R28" s="155" t="str">
        <f>Q28-P28</f>
      </c>
      <c r="S28" s="156" t="str">
        <f>L28</f>
      </c>
    </row>
    <row r="29">
      <c r="A29" t="s">
        <v>250</v>
      </c>
      <c r="B29" s="35" t="s">
        <v>252</v>
      </c>
      <c r="C29" t="n">
        <v>2026</v>
      </c>
      <c r="D29" s="141" t="n">
        <v>979893.570852621</v>
      </c>
      <c r="E29" s="142" t="n">
        <v>980780.305058052</v>
      </c>
      <c r="F29" s="143" t="str">
        <f>E29-D29</f>
      </c>
      <c r="G29" s="144" t="n">
        <v>2180369.61614429</v>
      </c>
      <c r="H29" s="145" t="n">
        <v>2181019.4587223</v>
      </c>
      <c r="I29" s="146" t="str">
        <f>H29-G29</f>
      </c>
      <c r="J29" s="147" t="n">
        <v>13361562.8689828</v>
      </c>
      <c r="K29" s="148" t="n">
        <v>13376482.4651958</v>
      </c>
      <c r="L29" s="149" t="str">
        <f>K29-J29</f>
      </c>
      <c r="M29" s="150" t="n">
        <v>2495137.7000813</v>
      </c>
      <c r="N29" s="151" t="n">
        <v>2495093.0586842</v>
      </c>
      <c r="O29" s="152" t="str">
        <f>N29-M29</f>
      </c>
      <c r="P29" s="153" t="n">
        <v>15856700.5690641</v>
      </c>
      <c r="Q29" s="154" t="n">
        <v>15871575.5238799</v>
      </c>
      <c r="R29" s="155" t="str">
        <f>Q29-P29</f>
      </c>
      <c r="S29" s="156" t="str">
        <f>L29</f>
      </c>
    </row>
    <row r="30">
      <c r="A30" t="s">
        <v>250</v>
      </c>
      <c r="B30" s="35" t="s">
        <v>252</v>
      </c>
      <c r="C30" t="n">
        <v>2027</v>
      </c>
      <c r="D30" s="141" t="n">
        <v>1001595.49503907</v>
      </c>
      <c r="E30" s="142" t="n">
        <v>1003320.79077982</v>
      </c>
      <c r="F30" s="143" t="str">
        <f>E30-D30</f>
      </c>
      <c r="G30" s="144" t="n">
        <v>2226837.31399721</v>
      </c>
      <c r="H30" s="145" t="n">
        <v>2228341.81181597</v>
      </c>
      <c r="I30" s="146" t="str">
        <f>H30-G30</f>
      </c>
      <c r="J30" s="147" t="n">
        <v>13647970.7626789</v>
      </c>
      <c r="K30" s="148" t="n">
        <v>13677394.9809697</v>
      </c>
      <c r="L30" s="149" t="str">
        <f>K30-J30</f>
      </c>
      <c r="M30" s="150" t="n">
        <v>2551344.33576802</v>
      </c>
      <c r="N30" s="151" t="n">
        <v>2551241.04250702</v>
      </c>
      <c r="O30" s="152" t="str">
        <f>N30-M30</f>
      </c>
      <c r="P30" s="153" t="n">
        <v>16199315.0984469</v>
      </c>
      <c r="Q30" s="154" t="n">
        <v>16228636.0234767</v>
      </c>
      <c r="R30" s="155" t="str">
        <f>Q30-P30</f>
      </c>
      <c r="S30" s="156" t="str">
        <f>L30</f>
      </c>
    </row>
    <row r="31">
      <c r="A31" t="s">
        <v>250</v>
      </c>
      <c r="B31" s="35" t="s">
        <v>252</v>
      </c>
      <c r="C31" t="n">
        <v>2028</v>
      </c>
      <c r="D31" s="141" t="n">
        <v>1024950.76722935</v>
      </c>
      <c r="E31" s="142" t="n">
        <v>1027500.46902078</v>
      </c>
      <c r="F31" s="143" t="str">
        <f>E31-D31</f>
      </c>
      <c r="G31" s="144" t="n">
        <v>2285749.7746285</v>
      </c>
      <c r="H31" s="145" t="n">
        <v>2288120.69935235</v>
      </c>
      <c r="I31" s="146" t="str">
        <f>H31-G31</f>
      </c>
      <c r="J31" s="147" t="n">
        <v>13930068.3006773</v>
      </c>
      <c r="K31" s="148" t="n">
        <v>13973849.5476407</v>
      </c>
      <c r="L31" s="149" t="str">
        <f>K31-J31</f>
      </c>
      <c r="M31" s="150" t="n">
        <v>2609288.46478615</v>
      </c>
      <c r="N31" s="151" t="n">
        <v>2609119.51816056</v>
      </c>
      <c r="O31" s="152" t="str">
        <f>N31-M31</f>
      </c>
      <c r="P31" s="153" t="n">
        <v>16539356.7654634</v>
      </c>
      <c r="Q31" s="154" t="n">
        <v>16582969.0658013</v>
      </c>
      <c r="R31" s="155" t="str">
        <f>Q31-P31</f>
      </c>
      <c r="S31" s="156" t="str">
        <f>L31</f>
      </c>
    </row>
    <row r="32">
      <c r="A32" t="s">
        <v>250</v>
      </c>
      <c r="B32" s="35" t="s">
        <v>252</v>
      </c>
      <c r="C32" t="n">
        <v>2029</v>
      </c>
      <c r="D32" s="141" t="n">
        <v>1050015.29985778</v>
      </c>
      <c r="E32" s="142" t="n">
        <v>1053610.41066253</v>
      </c>
      <c r="F32" s="143" t="str">
        <f>E32-D32</f>
      </c>
      <c r="G32" s="144" t="n">
        <v>2333322.47588748</v>
      </c>
      <c r="H32" s="145" t="n">
        <v>2336688.0735738</v>
      </c>
      <c r="I32" s="146" t="str">
        <f>H32-G32</f>
      </c>
      <c r="J32" s="147" t="n">
        <v>14229429.3363074</v>
      </c>
      <c r="K32" s="148" t="n">
        <v>14290695.0468445</v>
      </c>
      <c r="L32" s="149" t="str">
        <f>K32-J32</f>
      </c>
      <c r="M32" s="150" t="n">
        <v>2667638.44442992</v>
      </c>
      <c r="N32" s="151" t="n">
        <v>2667387.14052593</v>
      </c>
      <c r="O32" s="152" t="str">
        <f>N32-M32</f>
      </c>
      <c r="P32" s="153" t="n">
        <v>16897067.7807374</v>
      </c>
      <c r="Q32" s="154" t="n">
        <v>16958082.1873704</v>
      </c>
      <c r="R32" s="155" t="str">
        <f>Q32-P32</f>
      </c>
      <c r="S32" s="156" t="str">
        <f>L32</f>
      </c>
    </row>
    <row r="33">
      <c r="A33" t="s">
        <v>250</v>
      </c>
      <c r="B33" s="35" t="s">
        <v>252</v>
      </c>
      <c r="C33" t="n">
        <v>2030</v>
      </c>
      <c r="D33" s="141" t="n">
        <v>1076172.81590059</v>
      </c>
      <c r="E33" s="142" t="n">
        <v>1080810.21872946</v>
      </c>
      <c r="F33" s="143" t="str">
        <f>E33-D33</f>
      </c>
      <c r="G33" s="144" t="n">
        <v>2382088.53528883</v>
      </c>
      <c r="H33" s="145" t="n">
        <v>2386448.80046728</v>
      </c>
      <c r="I33" s="146" t="str">
        <f>H33-G33</f>
      </c>
      <c r="J33" s="147" t="n">
        <v>14522679.5926504</v>
      </c>
      <c r="K33" s="148" t="n">
        <v>14601429.0838702</v>
      </c>
      <c r="L33" s="149" t="str">
        <f>K33-J33</f>
      </c>
      <c r="M33" s="150" t="n">
        <v>2726279.81388457</v>
      </c>
      <c r="N33" s="151" t="n">
        <v>2725934.7625287</v>
      </c>
      <c r="O33" s="152" t="str">
        <f>N33-M33</f>
      </c>
      <c r="P33" s="153" t="n">
        <v>17248959.406535</v>
      </c>
      <c r="Q33" s="154" t="n">
        <v>17327363.846399</v>
      </c>
      <c r="R33" s="155" t="str">
        <f>Q33-P33</f>
      </c>
      <c r="S33" s="156" t="str">
        <f>L33</f>
      </c>
    </row>
    <row r="34">
      <c r="A34" t="s">
        <v>250</v>
      </c>
      <c r="B34" s="35" t="s">
        <v>252</v>
      </c>
      <c r="C34" t="n">
        <v>2031</v>
      </c>
      <c r="D34" s="141" t="n">
        <v>1102456.00242497</v>
      </c>
      <c r="E34" s="142" t="n">
        <v>1107157.64124119</v>
      </c>
      <c r="F34" s="143" t="str">
        <f>E34-D34</f>
      </c>
      <c r="G34" s="144" t="n">
        <v>2430663.06903896</v>
      </c>
      <c r="H34" s="145" t="n">
        <v>2435295.40356542</v>
      </c>
      <c r="I34" s="146" t="str">
        <f>H34-G34</f>
      </c>
      <c r="J34" s="147" t="n">
        <v>14829975.9515512</v>
      </c>
      <c r="K34" s="148" t="n">
        <v>14910262.6671564</v>
      </c>
      <c r="L34" s="149" t="str">
        <f>K34-J34</f>
      </c>
      <c r="M34" s="150" t="n">
        <v>2785141.63678017</v>
      </c>
      <c r="N34" s="151" t="n">
        <v>2784742.81884404</v>
      </c>
      <c r="O34" s="152" t="str">
        <f>N34-M34</f>
      </c>
      <c r="P34" s="153" t="n">
        <v>17615117.5883313</v>
      </c>
      <c r="Q34" s="154" t="n">
        <v>17695005.4860005</v>
      </c>
      <c r="R34" s="155" t="str">
        <f>Q34-P34</f>
      </c>
      <c r="S34" s="156" t="str">
        <f>L34</f>
      </c>
    </row>
    <row r="35">
      <c r="A35" t="s">
        <v>250</v>
      </c>
      <c r="B35" s="35" t="s">
        <v>252</v>
      </c>
      <c r="C35" t="n">
        <v>2032</v>
      </c>
      <c r="D35" s="141" t="n">
        <v>1129149.89272251</v>
      </c>
      <c r="E35" s="142" t="n">
        <v>1133979.82552584</v>
      </c>
      <c r="F35" s="143" t="str">
        <f>E35-D35</f>
      </c>
      <c r="G35" s="144" t="n">
        <v>2481319.41075716</v>
      </c>
      <c r="H35" s="145" t="n">
        <v>2486226.86894442</v>
      </c>
      <c r="I35" s="146" t="str">
        <f>H35-G35</f>
      </c>
      <c r="J35" s="147" t="n">
        <v>15130187.1115442</v>
      </c>
      <c r="K35" s="148" t="n">
        <v>15212724.6096518</v>
      </c>
      <c r="L35" s="149" t="str">
        <f>K35-J35</f>
      </c>
      <c r="M35" s="150" t="n">
        <v>2844311.1438472</v>
      </c>
      <c r="N35" s="151" t="n">
        <v>2843886.54382644</v>
      </c>
      <c r="O35" s="152" t="str">
        <f>N35-M35</f>
      </c>
      <c r="P35" s="153" t="n">
        <v>17974498.2553915</v>
      </c>
      <c r="Q35" s="154" t="n">
        <v>18056611.1534782</v>
      </c>
      <c r="R35" s="155" t="str">
        <f>Q35-P35</f>
      </c>
      <c r="S35" s="156" t="str">
        <f>L35</f>
      </c>
    </row>
    <row r="36">
      <c r="A36" t="s">
        <v>250</v>
      </c>
      <c r="B36" s="35" t="s">
        <v>252</v>
      </c>
      <c r="C36" t="n">
        <v>2033</v>
      </c>
      <c r="D36" s="141" t="n">
        <v>1155527.75318012</v>
      </c>
      <c r="E36" s="142" t="n">
        <v>1160519.0384788</v>
      </c>
      <c r="F36" s="143" t="str">
        <f>E36-D36</f>
      </c>
      <c r="G36" s="144" t="n">
        <v>2538980.89967864</v>
      </c>
      <c r="H36" s="145" t="n">
        <v>2544179.91308165</v>
      </c>
      <c r="I36" s="146" t="str">
        <f>H36-G36</f>
      </c>
      <c r="J36" s="147" t="n">
        <v>15412995.5199362</v>
      </c>
      <c r="K36" s="148" t="n">
        <v>15498146.8141225</v>
      </c>
      <c r="L36" s="149" t="str">
        <f>K36-J36</f>
      </c>
      <c r="M36" s="150" t="n">
        <v>2904366.18888038</v>
      </c>
      <c r="N36" s="151" t="n">
        <v>2903939.00675972</v>
      </c>
      <c r="O36" s="152" t="str">
        <f>N36-M36</f>
      </c>
      <c r="P36" s="153" t="n">
        <v>18317361.7088166</v>
      </c>
      <c r="Q36" s="154" t="n">
        <v>18402085.8208823</v>
      </c>
      <c r="R36" s="155" t="str">
        <f>Q36-P36</f>
      </c>
      <c r="S36" s="156" t="str">
        <f>L36</f>
      </c>
    </row>
    <row r="37">
      <c r="A37" t="s">
        <v>250</v>
      </c>
      <c r="B37" s="35" t="s">
        <v>252</v>
      </c>
      <c r="C37" t="n">
        <v>2034</v>
      </c>
      <c r="D37" s="141" t="n">
        <v>1182460.62105877</v>
      </c>
      <c r="E37" s="142" t="n">
        <v>1187394.62078838</v>
      </c>
      <c r="F37" s="143" t="str">
        <f>E37-D37</f>
      </c>
      <c r="G37" s="144" t="n">
        <v>2585930.78597907</v>
      </c>
      <c r="H37" s="145" t="n">
        <v>2591241.82717547</v>
      </c>
      <c r="I37" s="146" t="str">
        <f>H37-G37</f>
      </c>
      <c r="J37" s="147" t="n">
        <v>15714552.7558143</v>
      </c>
      <c r="K37" s="148" t="n">
        <v>15799428.4193656</v>
      </c>
      <c r="L37" s="149" t="str">
        <f>K37-J37</f>
      </c>
      <c r="M37" s="150" t="n">
        <v>2964290.56966967</v>
      </c>
      <c r="N37" s="151" t="n">
        <v>2963891.11565708</v>
      </c>
      <c r="O37" s="152" t="str">
        <f>N37-M37</f>
      </c>
      <c r="P37" s="153" t="n">
        <v>18678843.325484</v>
      </c>
      <c r="Q37" s="154" t="n">
        <v>18763319.5350226</v>
      </c>
      <c r="R37" s="155" t="str">
        <f>Q37-P37</f>
      </c>
      <c r="S37" s="156" t="str">
        <f>L37</f>
      </c>
    </row>
    <row r="38">
      <c r="A38" t="s">
        <v>250</v>
      </c>
      <c r="B38" s="35" t="s">
        <v>252</v>
      </c>
      <c r="C38" t="n">
        <v>2035</v>
      </c>
      <c r="D38" s="141" t="n">
        <v>1209417.52971671</v>
      </c>
      <c r="E38" s="142" t="n">
        <v>1214325.97179281</v>
      </c>
      <c r="F38" s="143" t="str">
        <f>E38-D38</f>
      </c>
      <c r="G38" s="144" t="n">
        <v>2631920.40279481</v>
      </c>
      <c r="H38" s="145" t="n">
        <v>2637338.55759301</v>
      </c>
      <c r="I38" s="146" t="str">
        <f>H38-G38</f>
      </c>
      <c r="J38" s="147" t="n">
        <v>16008466.5390891</v>
      </c>
      <c r="K38" s="148" t="n">
        <v>16093445.8910369</v>
      </c>
      <c r="L38" s="149" t="str">
        <f>K38-J38</f>
      </c>
      <c r="M38" s="150" t="n">
        <v>3023914.17119128</v>
      </c>
      <c r="N38" s="151" t="n">
        <v>3023565.75015719</v>
      </c>
      <c r="O38" s="152" t="str">
        <f>N38-M38</f>
      </c>
      <c r="P38" s="153" t="n">
        <v>19032380.7102804</v>
      </c>
      <c r="Q38" s="154" t="n">
        <v>19117011.6411941</v>
      </c>
      <c r="R38" s="155" t="str">
        <f>Q38-P38</f>
      </c>
      <c r="S38" s="156" t="str">
        <f>L38</f>
      </c>
    </row>
    <row r="39">
      <c r="A39" t="s">
        <v>250</v>
      </c>
      <c r="B39" s="35" t="s">
        <v>252</v>
      </c>
      <c r="C39" t="n">
        <v>2036</v>
      </c>
      <c r="D39" s="141" t="n">
        <v>1236234.95229014</v>
      </c>
      <c r="E39" s="142" t="n">
        <v>1242005.19631071</v>
      </c>
      <c r="F39" s="143" t="str">
        <f>E39-D39</f>
      </c>
      <c r="G39" s="144" t="n">
        <v>2681785.46186054</v>
      </c>
      <c r="H39" s="145" t="n">
        <v>2687815.41856241</v>
      </c>
      <c r="I39" s="146" t="str">
        <f>H39-G39</f>
      </c>
      <c r="J39" s="147" t="n">
        <v>16291575.9490507</v>
      </c>
      <c r="K39" s="148" t="n">
        <v>16387284.1170475</v>
      </c>
      <c r="L39" s="149" t="str">
        <f>K39-J39</f>
      </c>
      <c r="M39" s="150" t="n">
        <v>3083537.54652708</v>
      </c>
      <c r="N39" s="151" t="n">
        <v>3083207.24745521</v>
      </c>
      <c r="O39" s="152" t="str">
        <f>N39-M39</f>
      </c>
      <c r="P39" s="153" t="n">
        <v>19375113.4955778</v>
      </c>
      <c r="Q39" s="154" t="n">
        <v>19470491.3645027</v>
      </c>
      <c r="R39" s="155" t="str">
        <f>Q39-P39</f>
      </c>
      <c r="S39" s="156" t="str">
        <f>L39</f>
      </c>
    </row>
    <row r="40">
      <c r="A40" t="s">
        <v>250</v>
      </c>
      <c r="B40" s="35" t="s">
        <v>252</v>
      </c>
      <c r="C40" t="n">
        <v>2037</v>
      </c>
      <c r="D40" s="141" t="n">
        <v>1263213.8175023</v>
      </c>
      <c r="E40" s="142" t="n">
        <v>1269807.80909442</v>
      </c>
      <c r="F40" s="143" t="str">
        <f>E40-D40</f>
      </c>
      <c r="G40" s="144" t="n">
        <v>2730644.7840772</v>
      </c>
      <c r="H40" s="145" t="n">
        <v>2737274.790777</v>
      </c>
      <c r="I40" s="146" t="str">
        <f>H40-G40</f>
      </c>
      <c r="J40" s="147" t="n">
        <v>16566389.83978</v>
      </c>
      <c r="K40" s="148" t="n">
        <v>16672497.8198669</v>
      </c>
      <c r="L40" s="149" t="str">
        <f>K40-J40</f>
      </c>
      <c r="M40" s="150" t="n">
        <v>3143001.40262661</v>
      </c>
      <c r="N40" s="151" t="n">
        <v>3142666.59064758</v>
      </c>
      <c r="O40" s="152" t="str">
        <f>N40-M40</f>
      </c>
      <c r="P40" s="153" t="n">
        <v>19709391.2424066</v>
      </c>
      <c r="Q40" s="154" t="n">
        <v>19815164.4105145</v>
      </c>
      <c r="R40" s="155" t="str">
        <f>Q40-P40</f>
      </c>
      <c r="S40" s="156" t="str">
        <f>L40</f>
      </c>
    </row>
    <row r="41">
      <c r="A41" t="s">
        <v>250</v>
      </c>
      <c r="B41" s="35" t="s">
        <v>252</v>
      </c>
      <c r="C41" t="n">
        <v>2038</v>
      </c>
      <c r="D41" s="141" t="n">
        <v>1289768.51194772</v>
      </c>
      <c r="E41" s="142" t="n">
        <v>1297176.25542108</v>
      </c>
      <c r="F41" s="143" t="str">
        <f>E41-D41</f>
      </c>
      <c r="G41" s="144" t="n">
        <v>2783448.31429025</v>
      </c>
      <c r="H41" s="145" t="n">
        <v>2790687.02121721</v>
      </c>
      <c r="I41" s="146" t="str">
        <f>H41-G41</f>
      </c>
      <c r="J41" s="147" t="n">
        <v>16826679.1451782</v>
      </c>
      <c r="K41" s="148" t="n">
        <v>16943079.5437892</v>
      </c>
      <c r="L41" s="149" t="str">
        <f>K41-J41</f>
      </c>
      <c r="M41" s="150" t="n">
        <v>3202724.96493587</v>
      </c>
      <c r="N41" s="151" t="n">
        <v>3202368.92676633</v>
      </c>
      <c r="O41" s="152" t="str">
        <f>N41-M41</f>
      </c>
      <c r="P41" s="153" t="n">
        <v>20029404.1101141</v>
      </c>
      <c r="Q41" s="154" t="n">
        <v>20145448.4705555</v>
      </c>
      <c r="R41" s="155" t="str">
        <f>Q41-P41</f>
      </c>
      <c r="S41" s="156" t="str">
        <f>L41</f>
      </c>
    </row>
    <row r="42">
      <c r="A42" t="s">
        <v>250</v>
      </c>
      <c r="B42" s="35" t="s">
        <v>252</v>
      </c>
      <c r="C42" t="n">
        <v>2039</v>
      </c>
      <c r="D42" s="141" t="n">
        <v>1317118.76773883</v>
      </c>
      <c r="E42" s="142" t="n">
        <v>1325347.79629959</v>
      </c>
      <c r="F42" s="143" t="str">
        <f>E42-D42</f>
      </c>
      <c r="G42" s="144" t="n">
        <v>2827414.97632887</v>
      </c>
      <c r="H42" s="145" t="n">
        <v>2835232.8138728</v>
      </c>
      <c r="I42" s="146" t="str">
        <f>H42-G42</f>
      </c>
      <c r="J42" s="147" t="n">
        <v>17090157.8441329</v>
      </c>
      <c r="K42" s="148" t="n">
        <v>17216985.482207</v>
      </c>
      <c r="L42" s="149" t="str">
        <f>K42-J42</f>
      </c>
      <c r="M42" s="150" t="n">
        <v>3261702.28419676</v>
      </c>
      <c r="N42" s="151" t="n">
        <v>3261308.04483665</v>
      </c>
      <c r="O42" s="152" t="str">
        <f>N42-M42</f>
      </c>
      <c r="P42" s="153" t="n">
        <v>20351860.1283296</v>
      </c>
      <c r="Q42" s="154" t="n">
        <v>20478293.5270436</v>
      </c>
      <c r="R42" s="155" t="str">
        <f>Q42-P42</f>
      </c>
      <c r="S42" s="156" t="str">
        <f>L42</f>
      </c>
    </row>
    <row r="43">
      <c r="A43" t="s">
        <v>250</v>
      </c>
      <c r="B43" s="35" t="s">
        <v>252</v>
      </c>
      <c r="C43" t="n">
        <v>2040</v>
      </c>
      <c r="D43" s="141" t="n">
        <v>1343731.66490914</v>
      </c>
      <c r="E43" s="142" t="n">
        <v>1352787.67550619</v>
      </c>
      <c r="F43" s="143" t="str">
        <f>E43-D43</f>
      </c>
      <c r="G43" s="144" t="n">
        <v>2868009.0562678</v>
      </c>
      <c r="H43" s="145" t="n">
        <v>2876390.02123241</v>
      </c>
      <c r="I43" s="146" t="str">
        <f>H43-G43</f>
      </c>
      <c r="J43" s="147" t="n">
        <v>17339796.3695103</v>
      </c>
      <c r="K43" s="148" t="n">
        <v>17477129.0980303</v>
      </c>
      <c r="L43" s="149" t="str">
        <f>K43-J43</f>
      </c>
      <c r="M43" s="150" t="n">
        <v>3319675.66881177</v>
      </c>
      <c r="N43" s="151" t="n">
        <v>3319226.53845978</v>
      </c>
      <c r="O43" s="152" t="str">
        <f>N43-M43</f>
      </c>
      <c r="P43" s="153" t="n">
        <v>20659472.0383221</v>
      </c>
      <c r="Q43" s="154" t="n">
        <v>20796355.63649</v>
      </c>
      <c r="R43" s="155" t="str">
        <f>Q43-P43</f>
      </c>
      <c r="S43" s="156" t="str">
        <f>L43</f>
      </c>
    </row>
    <row r="44">
      <c r="A44" t="s">
        <v>250</v>
      </c>
      <c r="B44" s="35" t="s">
        <v>252</v>
      </c>
      <c r="C44" t="n">
        <v>2041</v>
      </c>
      <c r="D44" s="141" t="n">
        <v>1371155.31656525</v>
      </c>
      <c r="E44" s="142" t="n">
        <v>1380070.96412439</v>
      </c>
      <c r="F44" s="143" t="str">
        <f>E44-D44</f>
      </c>
      <c r="G44" s="144" t="n">
        <v>2914057.59804476</v>
      </c>
      <c r="H44" s="145" t="n">
        <v>2922451.7840816</v>
      </c>
      <c r="I44" s="146" t="str">
        <f>H44-G44</f>
      </c>
      <c r="J44" s="147" t="n">
        <v>17594809.974494</v>
      </c>
      <c r="K44" s="148" t="n">
        <v>17731269.8507494</v>
      </c>
      <c r="L44" s="149" t="str">
        <f>K44-J44</f>
      </c>
      <c r="M44" s="150" t="n">
        <v>3377030.48712224</v>
      </c>
      <c r="N44" s="151" t="n">
        <v>3376570.77956911</v>
      </c>
      <c r="O44" s="152" t="str">
        <f>N44-M44</f>
      </c>
      <c r="P44" s="153" t="n">
        <v>20971840.4616162</v>
      </c>
      <c r="Q44" s="154" t="n">
        <v>21107840.6303185</v>
      </c>
      <c r="R44" s="155" t="str">
        <f>Q44-P44</f>
      </c>
      <c r="S44" s="156" t="str">
        <f>L44</f>
      </c>
    </row>
    <row r="45">
      <c r="A45" t="s">
        <v>250</v>
      </c>
      <c r="B45" s="35" t="s">
        <v>252</v>
      </c>
      <c r="C45" t="n">
        <v>2042</v>
      </c>
      <c r="D45" s="141" t="n">
        <v>1398026.09652786</v>
      </c>
      <c r="E45" s="142" t="n">
        <v>1406876.34005525</v>
      </c>
      <c r="F45" s="143" t="str">
        <f>E45-D45</f>
      </c>
      <c r="G45" s="144" t="n">
        <v>2954587.93099143</v>
      </c>
      <c r="H45" s="145" t="n">
        <v>2962983.46667384</v>
      </c>
      <c r="I45" s="146" t="str">
        <f>H45-G45</f>
      </c>
      <c r="J45" s="147" t="n">
        <v>17837759.1552181</v>
      </c>
      <c r="K45" s="148" t="n">
        <v>17974111.2649187</v>
      </c>
      <c r="L45" s="149" t="str">
        <f>K45-J45</f>
      </c>
      <c r="M45" s="150" t="n">
        <v>3433355.22603972</v>
      </c>
      <c r="N45" s="151" t="n">
        <v>3432912.59953705</v>
      </c>
      <c r="O45" s="152" t="str">
        <f>N45-M45</f>
      </c>
      <c r="P45" s="153" t="n">
        <v>21271114.3812578</v>
      </c>
      <c r="Q45" s="154" t="n">
        <v>21407023.8644558</v>
      </c>
      <c r="R45" s="155" t="str">
        <f>Q45-P45</f>
      </c>
      <c r="S45" s="156" t="str">
        <f>L45</f>
      </c>
    </row>
    <row r="46">
      <c r="A46" t="s">
        <v>250</v>
      </c>
      <c r="B46" s="35" t="s">
        <v>252</v>
      </c>
      <c r="C46" t="n">
        <v>2043</v>
      </c>
      <c r="D46" s="141" t="n">
        <v>1423985.64612254</v>
      </c>
      <c r="E46" s="142" t="n">
        <v>1432805.18241214</v>
      </c>
      <c r="F46" s="143" t="str">
        <f>E46-D46</f>
      </c>
      <c r="G46" s="144" t="n">
        <v>3000053.96270875</v>
      </c>
      <c r="H46" s="145" t="n">
        <v>3008470.65003363</v>
      </c>
      <c r="I46" s="146" t="str">
        <f>H46-G46</f>
      </c>
      <c r="J46" s="147" t="n">
        <v>18061775.3019071</v>
      </c>
      <c r="K46" s="148" t="n">
        <v>18198360.1018222</v>
      </c>
      <c r="L46" s="149" t="str">
        <f>K46-J46</f>
      </c>
      <c r="M46" s="150" t="n">
        <v>3489248.93973216</v>
      </c>
      <c r="N46" s="151" t="n">
        <v>3488845.13943546</v>
      </c>
      <c r="O46" s="152" t="str">
        <f>N46-M46</f>
      </c>
      <c r="P46" s="153" t="n">
        <v>21551024.2416393</v>
      </c>
      <c r="Q46" s="154" t="n">
        <v>21687205.2412577</v>
      </c>
      <c r="R46" s="155" t="str">
        <f>Q46-P46</f>
      </c>
      <c r="S46" s="156" t="str">
        <f>L46</f>
      </c>
    </row>
    <row r="47">
      <c r="A47" t="s">
        <v>250</v>
      </c>
      <c r="B47" s="35" t="s">
        <v>252</v>
      </c>
      <c r="C47" t="n">
        <v>2044</v>
      </c>
      <c r="D47" s="141" t="n">
        <v>1449526.93906488</v>
      </c>
      <c r="E47" s="142" t="n">
        <v>1458339.17974938</v>
      </c>
      <c r="F47" s="143" t="str">
        <f>E47-D47</f>
      </c>
      <c r="G47" s="144" t="n">
        <v>3037642.49762192</v>
      </c>
      <c r="H47" s="145" t="n">
        <v>3046056.68354666</v>
      </c>
      <c r="I47" s="146" t="str">
        <f>H47-G47</f>
      </c>
      <c r="J47" s="147" t="n">
        <v>18282813.9452174</v>
      </c>
      <c r="K47" s="148" t="n">
        <v>18419903.9093603</v>
      </c>
      <c r="L47" s="149" t="str">
        <f>K47-J47</f>
      </c>
      <c r="M47" s="150" t="n">
        <v>3543933.02659346</v>
      </c>
      <c r="N47" s="151" t="n">
        <v>3543582.92973372</v>
      </c>
      <c r="O47" s="152" t="str">
        <f>N47-M47</f>
      </c>
      <c r="P47" s="153" t="n">
        <v>21826746.9718109</v>
      </c>
      <c r="Q47" s="154" t="n">
        <v>21963486.839094</v>
      </c>
      <c r="R47" s="155" t="str">
        <f>Q47-P47</f>
      </c>
      <c r="S47" s="156" t="str">
        <f>L47</f>
      </c>
    </row>
    <row r="48">
      <c r="A48" t="s">
        <v>250</v>
      </c>
      <c r="B48" s="35" t="s">
        <v>252</v>
      </c>
      <c r="C48" t="n">
        <v>2045</v>
      </c>
      <c r="D48" s="141" t="n">
        <v>1475092.01386363</v>
      </c>
      <c r="E48" s="142" t="n">
        <v>1483913.39991598</v>
      </c>
      <c r="F48" s="143" t="str">
        <f>E48-D48</f>
      </c>
      <c r="G48" s="144" t="n">
        <v>3073816.41016101</v>
      </c>
      <c r="H48" s="145" t="n">
        <v>3082224.00698585</v>
      </c>
      <c r="I48" s="146" t="str">
        <f>H48-G48</f>
      </c>
      <c r="J48" s="147" t="n">
        <v>18497954.5072664</v>
      </c>
      <c r="K48" s="148" t="n">
        <v>18635707.8486913</v>
      </c>
      <c r="L48" s="149" t="str">
        <f>K48-J48</f>
      </c>
      <c r="M48" s="150" t="n">
        <v>3597259.71610724</v>
      </c>
      <c r="N48" s="151" t="n">
        <v>3596974.60976764</v>
      </c>
      <c r="O48" s="152" t="str">
        <f>N48-M48</f>
      </c>
      <c r="P48" s="153" t="n">
        <v>22095214.2233736</v>
      </c>
      <c r="Q48" s="154" t="n">
        <v>22232682.4584589</v>
      </c>
      <c r="R48" s="155" t="str">
        <f>Q48-P48</f>
      </c>
      <c r="S48" s="156" t="str">
        <f>L48</f>
      </c>
    </row>
    <row r="49">
      <c r="A49" t="s">
        <v>250</v>
      </c>
      <c r="B49" s="35" t="s">
        <v>252</v>
      </c>
      <c r="C49" t="n">
        <v>2046</v>
      </c>
      <c r="D49" s="141" t="n">
        <v>1500638.92106069</v>
      </c>
      <c r="E49" s="142" t="n">
        <v>1509480.27542461</v>
      </c>
      <c r="F49" s="143" t="str">
        <f>E49-D49</f>
      </c>
      <c r="G49" s="144" t="n">
        <v>3115623.48730656</v>
      </c>
      <c r="H49" s="145" t="n">
        <v>3124046.1784475</v>
      </c>
      <c r="I49" s="146" t="str">
        <f>H49-G49</f>
      </c>
      <c r="J49" s="147" t="n">
        <v>18704442.0410651</v>
      </c>
      <c r="K49" s="148" t="n">
        <v>18842942.5524536</v>
      </c>
      <c r="L49" s="149" t="str">
        <f>K49-J49</f>
      </c>
      <c r="M49" s="150" t="n">
        <v>3649725.12927996</v>
      </c>
      <c r="N49" s="151" t="n">
        <v>3649516.08697985</v>
      </c>
      <c r="O49" s="152" t="str">
        <f>N49-M49</f>
      </c>
      <c r="P49" s="153" t="n">
        <v>22354167.1703451</v>
      </c>
      <c r="Q49" s="154" t="n">
        <v>22492458.6394335</v>
      </c>
      <c r="R49" s="155" t="str">
        <f>Q49-P49</f>
      </c>
      <c r="S49" s="156" t="str">
        <f>L49</f>
      </c>
    </row>
    <row r="50">
      <c r="A50" t="s">
        <v>250</v>
      </c>
      <c r="B50" s="35" t="s">
        <v>252</v>
      </c>
      <c r="C50" t="n">
        <v>2047</v>
      </c>
      <c r="D50" s="141" t="n">
        <v>1525369.4199204</v>
      </c>
      <c r="E50" s="142" t="n">
        <v>1534237.5744132</v>
      </c>
      <c r="F50" s="143" t="str">
        <f>E50-D50</f>
      </c>
      <c r="G50" s="144" t="n">
        <v>3150488.86637078</v>
      </c>
      <c r="H50" s="145" t="n">
        <v>3158904.2402998</v>
      </c>
      <c r="I50" s="146" t="str">
        <f>H50-G50</f>
      </c>
      <c r="J50" s="147" t="n">
        <v>18902064.1414223</v>
      </c>
      <c r="K50" s="148" t="n">
        <v>19041387.4378568</v>
      </c>
      <c r="L50" s="149" t="str">
        <f>K50-J50</f>
      </c>
      <c r="M50" s="150" t="n">
        <v>3700839.11984223</v>
      </c>
      <c r="N50" s="151" t="n">
        <v>3700713.68790926</v>
      </c>
      <c r="O50" s="152" t="str">
        <f>N50-M50</f>
      </c>
      <c r="P50" s="153" t="n">
        <v>22602903.2612645</v>
      </c>
      <c r="Q50" s="154" t="n">
        <v>22742101.1257661</v>
      </c>
      <c r="R50" s="155" t="str">
        <f>Q50-P50</f>
      </c>
      <c r="S50" s="156" t="str">
        <f>L50</f>
      </c>
    </row>
    <row r="51">
      <c r="A51" t="s">
        <v>250</v>
      </c>
      <c r="B51" s="35" t="s">
        <v>252</v>
      </c>
      <c r="C51" t="n">
        <v>2048</v>
      </c>
      <c r="D51" s="141" t="n">
        <v>1548689.77368108</v>
      </c>
      <c r="E51" s="142" t="n">
        <v>1557584.97398339</v>
      </c>
      <c r="F51" s="143" t="str">
        <f>E51-D51</f>
      </c>
      <c r="G51" s="144" t="n">
        <v>3185802.81712121</v>
      </c>
      <c r="H51" s="145" t="n">
        <v>3194212.2507101</v>
      </c>
      <c r="I51" s="146" t="str">
        <f>H51-G51</f>
      </c>
      <c r="J51" s="147" t="n">
        <v>19080269.5109993</v>
      </c>
      <c r="K51" s="148" t="n">
        <v>19220391.6480863</v>
      </c>
      <c r="L51" s="149" t="str">
        <f>K51-J51</f>
      </c>
      <c r="M51" s="150" t="n">
        <v>3750861.5070018</v>
      </c>
      <c r="N51" s="151" t="n">
        <v>3750826.45017893</v>
      </c>
      <c r="O51" s="152" t="str">
        <f>N51-M51</f>
      </c>
      <c r="P51" s="153" t="n">
        <v>22831131.0180011</v>
      </c>
      <c r="Q51" s="154" t="n">
        <v>22971218.0982652</v>
      </c>
      <c r="R51" s="155" t="str">
        <f>Q51-P51</f>
      </c>
      <c r="S51" s="156" t="str">
        <f>L51</f>
      </c>
    </row>
    <row r="52">
      <c r="A52" t="s">
        <v>250</v>
      </c>
      <c r="B52" s="35" t="s">
        <v>252</v>
      </c>
      <c r="C52" t="n">
        <v>2049</v>
      </c>
      <c r="D52" s="141" t="n">
        <v>1572219.20743543</v>
      </c>
      <c r="E52" s="142" t="n">
        <v>1581148.70872561</v>
      </c>
      <c r="F52" s="143" t="str">
        <f>E52-D52</f>
      </c>
      <c r="G52" s="144" t="n">
        <v>3218659.66439097</v>
      </c>
      <c r="H52" s="145" t="n">
        <v>3227056.88545618</v>
      </c>
      <c r="I52" s="146" t="str">
        <f>H52-G52</f>
      </c>
      <c r="J52" s="147" t="n">
        <v>19258672.0915176</v>
      </c>
      <c r="K52" s="148" t="n">
        <v>19399647.7304913</v>
      </c>
      <c r="L52" s="149" t="str">
        <f>K52-J52</f>
      </c>
      <c r="M52" s="150" t="n">
        <v>3799443.52700259</v>
      </c>
      <c r="N52" s="151" t="n">
        <v>3799503.95708712</v>
      </c>
      <c r="O52" s="152" t="str">
        <f>N52-M52</f>
      </c>
      <c r="P52" s="153" t="n">
        <v>23058115.6185202</v>
      </c>
      <c r="Q52" s="154" t="n">
        <v>23199151.6875784</v>
      </c>
      <c r="R52" s="155" t="str">
        <f>Q52-P52</f>
      </c>
      <c r="S52" s="156" t="str">
        <f>L52</f>
      </c>
    </row>
    <row r="53">
      <c r="A53" t="s">
        <v>250</v>
      </c>
      <c r="B53" s="35" t="s">
        <v>252</v>
      </c>
      <c r="C53" t="n">
        <v>2050</v>
      </c>
      <c r="D53" s="141" t="n">
        <v>1595041.93802152</v>
      </c>
      <c r="E53" s="142" t="n">
        <v>1604008.46344375</v>
      </c>
      <c r="F53" s="143" t="str">
        <f>E53-D53</f>
      </c>
      <c r="G53" s="144" t="n">
        <v>3248817.96275416</v>
      </c>
      <c r="H53" s="145" t="n">
        <v>3257199.2980493</v>
      </c>
      <c r="I53" s="146" t="str">
        <f>H53-G53</f>
      </c>
      <c r="J53" s="147" t="n">
        <v>19428164.2136029</v>
      </c>
      <c r="K53" s="148" t="n">
        <v>19570013.4156094</v>
      </c>
      <c r="L53" s="149" t="str">
        <f>K53-J53</f>
      </c>
      <c r="M53" s="150" t="n">
        <v>3846434.49399816</v>
      </c>
      <c r="N53" s="151" t="n">
        <v>3846594.37842674</v>
      </c>
      <c r="O53" s="152" t="str">
        <f>N53-M53</f>
      </c>
      <c r="P53" s="153" t="n">
        <v>23274598.7076011</v>
      </c>
      <c r="Q53" s="154" t="n">
        <v>23416607.7940361</v>
      </c>
      <c r="R53" s="155" t="str">
        <f>Q53-P53</f>
      </c>
      <c r="S53" s="156" t="str">
        <f>L53</f>
      </c>
    </row>
    <row r="54">
      <c r="A54" t="s">
        <v>262</v>
      </c>
      <c r="B54" s="35" t="s">
        <v>264</v>
      </c>
      <c r="C54" t="n">
        <v>2025</v>
      </c>
      <c r="D54" s="141" t="n">
        <v>959793.497483951</v>
      </c>
      <c r="E54" s="142" t="n">
        <v>959793.497483952</v>
      </c>
      <c r="F54" s="143" t="str">
        <f>E54-D54</f>
      </c>
      <c r="G54" s="144" t="n">
        <v>2135199.67580268</v>
      </c>
      <c r="H54" s="145" t="n">
        <v>2135199.67580268</v>
      </c>
      <c r="I54" s="146" t="str">
        <f>H54-G54</f>
      </c>
      <c r="J54" s="147" t="n">
        <v>13078630.7318055</v>
      </c>
      <c r="K54" s="148" t="n">
        <v>13078630.7318055</v>
      </c>
      <c r="L54" s="149" t="str">
        <f>K54-J54</f>
      </c>
      <c r="M54" s="150" t="n">
        <v>2439867.79488052</v>
      </c>
      <c r="N54" s="151" t="n">
        <v>2439867.79488052</v>
      </c>
      <c r="O54" s="152" t="str">
        <f>N54-M54</f>
      </c>
      <c r="P54" s="153" t="n">
        <v>15518498.526686</v>
      </c>
      <c r="Q54" s="154" t="n">
        <v>15518498.526686</v>
      </c>
      <c r="R54" s="155" t="str">
        <f>Q54-P54</f>
      </c>
      <c r="S54" s="156" t="str">
        <f>L54</f>
      </c>
    </row>
    <row r="55">
      <c r="A55" t="s">
        <v>262</v>
      </c>
      <c r="B55" s="35" t="s">
        <v>264</v>
      </c>
      <c r="C55" t="n">
        <v>2026</v>
      </c>
      <c r="D55" s="141" t="n">
        <v>979560.98566825</v>
      </c>
      <c r="E55" s="142" t="n">
        <v>980780.305058052</v>
      </c>
      <c r="F55" s="143" t="str">
        <f>E55-D55</f>
      </c>
      <c r="G55" s="144" t="n">
        <v>2180125.924117</v>
      </c>
      <c r="H55" s="145" t="n">
        <v>2181019.4587223</v>
      </c>
      <c r="I55" s="146" t="str">
        <f>H55-G55</f>
      </c>
      <c r="J55" s="147" t="n">
        <v>13355967.2533055</v>
      </c>
      <c r="K55" s="148" t="n">
        <v>13376482.4651958</v>
      </c>
      <c r="L55" s="149" t="str">
        <f>K55-J55</f>
      </c>
      <c r="M55" s="150" t="n">
        <v>2495154.45017244</v>
      </c>
      <c r="N55" s="151" t="n">
        <v>2495093.0586842</v>
      </c>
      <c r="O55" s="152" t="str">
        <f>N55-M55</f>
      </c>
      <c r="P55" s="153" t="n">
        <v>15851121.7034779</v>
      </c>
      <c r="Q55" s="154" t="n">
        <v>15871575.5238799</v>
      </c>
      <c r="R55" s="155" t="str">
        <f>Q55-P55</f>
      </c>
      <c r="S55" s="156" t="str">
        <f>L55</f>
      </c>
    </row>
    <row r="56">
      <c r="A56" t="s">
        <v>262</v>
      </c>
      <c r="B56" s="35" t="s">
        <v>264</v>
      </c>
      <c r="C56" t="n">
        <v>2027</v>
      </c>
      <c r="D56" s="141" t="n">
        <v>1000948.20746131</v>
      </c>
      <c r="E56" s="142" t="n">
        <v>1003320.79077982</v>
      </c>
      <c r="F56" s="143" t="str">
        <f>E56-D56</f>
      </c>
      <c r="G56" s="144" t="n">
        <v>2226273.11695725</v>
      </c>
      <c r="H56" s="145" t="n">
        <v>2228341.81181597</v>
      </c>
      <c r="I56" s="146" t="str">
        <f>H56-G56</f>
      </c>
      <c r="J56" s="147" t="n">
        <v>13636932.7095954</v>
      </c>
      <c r="K56" s="148" t="n">
        <v>13677394.9809697</v>
      </c>
      <c r="L56" s="149" t="str">
        <f>K56-J56</f>
      </c>
      <c r="M56" s="150" t="n">
        <v>2551383.12806984</v>
      </c>
      <c r="N56" s="151" t="n">
        <v>2551241.04250702</v>
      </c>
      <c r="O56" s="152" t="str">
        <f>N56-M56</f>
      </c>
      <c r="P56" s="153" t="n">
        <v>16188315.8376652</v>
      </c>
      <c r="Q56" s="154" t="n">
        <v>16228636.0234767</v>
      </c>
      <c r="R56" s="155" t="str">
        <f>Q56-P56</f>
      </c>
      <c r="S56" s="156" t="str">
        <f>L56</f>
      </c>
    </row>
    <row r="57">
      <c r="A57" t="s">
        <v>262</v>
      </c>
      <c r="B57" s="35" t="s">
        <v>264</v>
      </c>
      <c r="C57" t="n">
        <v>2028</v>
      </c>
      <c r="D57" s="141" t="n">
        <v>1023993.87141635</v>
      </c>
      <c r="E57" s="142" t="n">
        <v>1027500.46902078</v>
      </c>
      <c r="F57" s="143" t="str">
        <f>E57-D57</f>
      </c>
      <c r="G57" s="144" t="n">
        <v>2284860.64352584</v>
      </c>
      <c r="H57" s="145" t="n">
        <v>2288120.69935235</v>
      </c>
      <c r="I57" s="146" t="str">
        <f>H57-G57</f>
      </c>
      <c r="J57" s="147" t="n">
        <v>13913640.1493932</v>
      </c>
      <c r="K57" s="148" t="n">
        <v>13973849.5476407</v>
      </c>
      <c r="L57" s="149" t="str">
        <f>K57-J57</f>
      </c>
      <c r="M57" s="150" t="n">
        <v>2609351.99471558</v>
      </c>
      <c r="N57" s="151" t="n">
        <v>2609119.51816056</v>
      </c>
      <c r="O57" s="152" t="str">
        <f>N57-M57</f>
      </c>
      <c r="P57" s="153" t="n">
        <v>16522992.1441088</v>
      </c>
      <c r="Q57" s="154" t="n">
        <v>16582969.0658013</v>
      </c>
      <c r="R57" s="155" t="str">
        <f>Q57-P57</f>
      </c>
      <c r="S57" s="156" t="str">
        <f>L57</f>
      </c>
    </row>
    <row r="58">
      <c r="A58" t="s">
        <v>262</v>
      </c>
      <c r="B58" s="35" t="s">
        <v>264</v>
      </c>
      <c r="C58" t="n">
        <v>2029</v>
      </c>
      <c r="D58" s="141" t="n">
        <v>1048665.52165485</v>
      </c>
      <c r="E58" s="142" t="n">
        <v>1053610.41066253</v>
      </c>
      <c r="F58" s="143" t="str">
        <f>E58-D58</f>
      </c>
      <c r="G58" s="144" t="n">
        <v>2332060.29182857</v>
      </c>
      <c r="H58" s="145" t="n">
        <v>2336688.0735738</v>
      </c>
      <c r="I58" s="146" t="str">
        <f>H58-G58</f>
      </c>
      <c r="J58" s="147" t="n">
        <v>14206433.1735648</v>
      </c>
      <c r="K58" s="148" t="n">
        <v>14290695.0468445</v>
      </c>
      <c r="L58" s="149" t="str">
        <f>K58-J58</f>
      </c>
      <c r="M58" s="150" t="n">
        <v>2667733.1051302</v>
      </c>
      <c r="N58" s="151" t="n">
        <v>2667387.14052593</v>
      </c>
      <c r="O58" s="152" t="str">
        <f>N58-M58</f>
      </c>
      <c r="P58" s="153" t="n">
        <v>16874166.278695</v>
      </c>
      <c r="Q58" s="154" t="n">
        <v>16958082.1873704</v>
      </c>
      <c r="R58" s="155" t="str">
        <f>Q58-P58</f>
      </c>
      <c r="S58" s="156" t="str">
        <f>L58</f>
      </c>
    </row>
    <row r="59">
      <c r="A59" t="s">
        <v>262</v>
      </c>
      <c r="B59" s="35" t="s">
        <v>264</v>
      </c>
      <c r="C59" t="n">
        <v>2030</v>
      </c>
      <c r="D59" s="141" t="n">
        <v>1074430.97910375</v>
      </c>
      <c r="E59" s="142" t="n">
        <v>1080810.21872946</v>
      </c>
      <c r="F59" s="143" t="str">
        <f>E59-D59</f>
      </c>
      <c r="G59" s="144" t="n">
        <v>2380453.26879225</v>
      </c>
      <c r="H59" s="145" t="n">
        <v>2386448.80046728</v>
      </c>
      <c r="I59" s="146" t="str">
        <f>H59-G59</f>
      </c>
      <c r="J59" s="147" t="n">
        <v>14493111.1299642</v>
      </c>
      <c r="K59" s="148" t="n">
        <v>14601429.0838702</v>
      </c>
      <c r="L59" s="149" t="str">
        <f>K59-J59</f>
      </c>
      <c r="M59" s="150" t="n">
        <v>2726410.05180283</v>
      </c>
      <c r="N59" s="151" t="n">
        <v>2725934.7625287</v>
      </c>
      <c r="O59" s="152" t="str">
        <f>N59-M59</f>
      </c>
      <c r="P59" s="153" t="n">
        <v>17219521.181767</v>
      </c>
      <c r="Q59" s="154" t="n">
        <v>17327363.846399</v>
      </c>
      <c r="R59" s="155" t="str">
        <f>Q59-P59</f>
      </c>
      <c r="S59" s="156" t="str">
        <f>L59</f>
      </c>
    </row>
    <row r="60">
      <c r="A60" t="s">
        <v>262</v>
      </c>
      <c r="B60" s="35" t="s">
        <v>264</v>
      </c>
      <c r="C60" t="n">
        <v>2031</v>
      </c>
      <c r="D60" s="141" t="n">
        <v>1100689.82053737</v>
      </c>
      <c r="E60" s="142" t="n">
        <v>1107157.64124119</v>
      </c>
      <c r="F60" s="143" t="str">
        <f>E60-D60</f>
      </c>
      <c r="G60" s="144" t="n">
        <v>2428925.71176843</v>
      </c>
      <c r="H60" s="145" t="n">
        <v>2435295.40356542</v>
      </c>
      <c r="I60" s="146" t="str">
        <f>H60-G60</f>
      </c>
      <c r="J60" s="147" t="n">
        <v>14799827.1198797</v>
      </c>
      <c r="K60" s="148" t="n">
        <v>14910262.6671564</v>
      </c>
      <c r="L60" s="149" t="str">
        <f>K60-J60</f>
      </c>
      <c r="M60" s="150" t="n">
        <v>2785292.46873983</v>
      </c>
      <c r="N60" s="151" t="n">
        <v>2784742.81884404</v>
      </c>
      <c r="O60" s="152" t="str">
        <f>N60-M60</f>
      </c>
      <c r="P60" s="153" t="n">
        <v>17585119.5886195</v>
      </c>
      <c r="Q60" s="154" t="n">
        <v>17695005.4860005</v>
      </c>
      <c r="R60" s="155" t="str">
        <f>Q60-P60</f>
      </c>
      <c r="S60" s="156" t="str">
        <f>L60</f>
      </c>
    </row>
    <row r="61">
      <c r="A61" t="s">
        <v>262</v>
      </c>
      <c r="B61" s="35" t="s">
        <v>264</v>
      </c>
      <c r="C61" t="n">
        <v>2032</v>
      </c>
      <c r="D61" s="141" t="n">
        <v>1127335.32783807</v>
      </c>
      <c r="E61" s="142" t="n">
        <v>1133979.82552584</v>
      </c>
      <c r="F61" s="143" t="str">
        <f>E61-D61</f>
      </c>
      <c r="G61" s="144" t="n">
        <v>2479478.80257217</v>
      </c>
      <c r="H61" s="145" t="n">
        <v>2486226.86894442</v>
      </c>
      <c r="I61" s="146" t="str">
        <f>H61-G61</f>
      </c>
      <c r="J61" s="147" t="n">
        <v>15099191.3033192</v>
      </c>
      <c r="K61" s="148" t="n">
        <v>15212724.6096518</v>
      </c>
      <c r="L61" s="149" t="str">
        <f>K61-J61</f>
      </c>
      <c r="M61" s="150" t="n">
        <v>2844472.0879781</v>
      </c>
      <c r="N61" s="151" t="n">
        <v>2843886.54382644</v>
      </c>
      <c r="O61" s="152" t="str">
        <f>N61-M61</f>
      </c>
      <c r="P61" s="153" t="n">
        <v>17943663.3912973</v>
      </c>
      <c r="Q61" s="154" t="n">
        <v>18056611.1534782</v>
      </c>
      <c r="R61" s="155" t="str">
        <f>Q61-P61</f>
      </c>
      <c r="S61" s="156" t="str">
        <f>L61</f>
      </c>
    </row>
    <row r="62">
      <c r="A62" t="s">
        <v>262</v>
      </c>
      <c r="B62" s="35" t="s">
        <v>264</v>
      </c>
      <c r="C62" t="n">
        <v>2033</v>
      </c>
      <c r="D62" s="141" t="n">
        <v>1153652.4177976</v>
      </c>
      <c r="E62" s="142" t="n">
        <v>1160519.0384788</v>
      </c>
      <c r="F62" s="143" t="str">
        <f>E62-D62</f>
      </c>
      <c r="G62" s="144" t="n">
        <v>2537030.8676676</v>
      </c>
      <c r="H62" s="145" t="n">
        <v>2544179.91308165</v>
      </c>
      <c r="I62" s="146" t="str">
        <f>H62-G62</f>
      </c>
      <c r="J62" s="147" t="n">
        <v>15381017.3566666</v>
      </c>
      <c r="K62" s="148" t="n">
        <v>15498146.8141225</v>
      </c>
      <c r="L62" s="149" t="str">
        <f>K62-J62</f>
      </c>
      <c r="M62" s="150" t="n">
        <v>2904528.55337626</v>
      </c>
      <c r="N62" s="151" t="n">
        <v>2903939.00675972</v>
      </c>
      <c r="O62" s="152" t="str">
        <f>N62-M62</f>
      </c>
      <c r="P62" s="153" t="n">
        <v>18285545.9100428</v>
      </c>
      <c r="Q62" s="154" t="n">
        <v>18402085.8208823</v>
      </c>
      <c r="R62" s="155" t="str">
        <f>Q62-P62</f>
      </c>
      <c r="S62" s="156" t="str">
        <f>L62</f>
      </c>
    </row>
    <row r="63">
      <c r="A63" t="s">
        <v>262</v>
      </c>
      <c r="B63" s="35" t="s">
        <v>264</v>
      </c>
      <c r="C63" t="n">
        <v>2034</v>
      </c>
      <c r="D63" s="141" t="n">
        <v>1180606.91254615</v>
      </c>
      <c r="E63" s="142" t="n">
        <v>1187394.62078838</v>
      </c>
      <c r="F63" s="143" t="str">
        <f>E63-D63</f>
      </c>
      <c r="G63" s="144" t="n">
        <v>2583938.6743266</v>
      </c>
      <c r="H63" s="145" t="n">
        <v>2591241.82717547</v>
      </c>
      <c r="I63" s="146" t="str">
        <f>H63-G63</f>
      </c>
      <c r="J63" s="147" t="n">
        <v>15682680.8715428</v>
      </c>
      <c r="K63" s="148" t="n">
        <v>15799428.4193656</v>
      </c>
      <c r="L63" s="149" t="str">
        <f>K63-J63</f>
      </c>
      <c r="M63" s="150" t="n">
        <v>2964442.93087041</v>
      </c>
      <c r="N63" s="151" t="n">
        <v>2963891.11565708</v>
      </c>
      <c r="O63" s="152" t="str">
        <f>N63-M63</f>
      </c>
      <c r="P63" s="153" t="n">
        <v>18647123.8024133</v>
      </c>
      <c r="Q63" s="154" t="n">
        <v>18763319.5350226</v>
      </c>
      <c r="R63" s="155" t="str">
        <f>Q63-P63</f>
      </c>
      <c r="S63" s="156" t="str">
        <f>L63</f>
      </c>
    </row>
    <row r="64">
      <c r="A64" t="s">
        <v>262</v>
      </c>
      <c r="B64" s="35" t="s">
        <v>264</v>
      </c>
      <c r="C64" t="n">
        <v>2035</v>
      </c>
      <c r="D64" s="141" t="n">
        <v>1207573.5226524</v>
      </c>
      <c r="E64" s="142" t="n">
        <v>1214325.97179281</v>
      </c>
      <c r="F64" s="143" t="str">
        <f>E64-D64</f>
      </c>
      <c r="G64" s="144" t="n">
        <v>2629888.05113075</v>
      </c>
      <c r="H64" s="145" t="n">
        <v>2637338.55759301</v>
      </c>
      <c r="I64" s="146" t="str">
        <f>H64-G64</f>
      </c>
      <c r="J64" s="147" t="n">
        <v>15976558.8429206</v>
      </c>
      <c r="K64" s="148" t="n">
        <v>16093445.8910369</v>
      </c>
      <c r="L64" s="149" t="str">
        <f>K64-J64</f>
      </c>
      <c r="M64" s="150" t="n">
        <v>3024047.74046967</v>
      </c>
      <c r="N64" s="151" t="n">
        <v>3023565.75015719</v>
      </c>
      <c r="O64" s="152" t="str">
        <f>N64-M64</f>
      </c>
      <c r="P64" s="153" t="n">
        <v>19000606.5833903</v>
      </c>
      <c r="Q64" s="154" t="n">
        <v>19117011.6411941</v>
      </c>
      <c r="R64" s="155" t="str">
        <f>Q64-P64</f>
      </c>
      <c r="S64" s="156" t="str">
        <f>L64</f>
      </c>
    </row>
    <row r="65">
      <c r="A65" t="s">
        <v>262</v>
      </c>
      <c r="B65" s="35" t="s">
        <v>264</v>
      </c>
      <c r="C65" t="n">
        <v>2036</v>
      </c>
      <c r="D65" s="141" t="n">
        <v>1234066.16771077</v>
      </c>
      <c r="E65" s="142" t="n">
        <v>1242005.19631071</v>
      </c>
      <c r="F65" s="143" t="str">
        <f>E65-D65</f>
      </c>
      <c r="G65" s="144" t="n">
        <v>2679523.45263878</v>
      </c>
      <c r="H65" s="145" t="n">
        <v>2687815.41856241</v>
      </c>
      <c r="I65" s="146" t="str">
        <f>H65-G65</f>
      </c>
      <c r="J65" s="147" t="n">
        <v>16255630.3529881</v>
      </c>
      <c r="K65" s="148" t="n">
        <v>16387284.1170475</v>
      </c>
      <c r="L65" s="149" t="str">
        <f>K65-J65</f>
      </c>
      <c r="M65" s="150" t="n">
        <v>3083664.87552714</v>
      </c>
      <c r="N65" s="151" t="n">
        <v>3083207.24745521</v>
      </c>
      <c r="O65" s="152" t="str">
        <f>N65-M65</f>
      </c>
      <c r="P65" s="153" t="n">
        <v>19339295.2285153</v>
      </c>
      <c r="Q65" s="154" t="n">
        <v>19470491.3645027</v>
      </c>
      <c r="R65" s="155" t="str">
        <f>Q65-P65</f>
      </c>
      <c r="S65" s="156" t="str">
        <f>L65</f>
      </c>
    </row>
    <row r="66">
      <c r="A66" t="s">
        <v>262</v>
      </c>
      <c r="B66" s="35" t="s">
        <v>264</v>
      </c>
      <c r="C66" t="n">
        <v>2037</v>
      </c>
      <c r="D66" s="141" t="n">
        <v>1260734.49280308</v>
      </c>
      <c r="E66" s="142" t="n">
        <v>1269807.80909442</v>
      </c>
      <c r="F66" s="143" t="str">
        <f>E66-D66</f>
      </c>
      <c r="G66" s="144" t="n">
        <v>2728157.49821791</v>
      </c>
      <c r="H66" s="145" t="n">
        <v>2737274.790777</v>
      </c>
      <c r="I66" s="146" t="str">
        <f>H66-G66</f>
      </c>
      <c r="J66" s="147" t="n">
        <v>16526529.0761358</v>
      </c>
      <c r="K66" s="148" t="n">
        <v>16672497.8198669</v>
      </c>
      <c r="L66" s="149" t="str">
        <f>K66-J66</f>
      </c>
      <c r="M66" s="150" t="n">
        <v>3143131.16224163</v>
      </c>
      <c r="N66" s="151" t="n">
        <v>3142666.59064758</v>
      </c>
      <c r="O66" s="152" t="str">
        <f>N66-M66</f>
      </c>
      <c r="P66" s="153" t="n">
        <v>19669660.2383774</v>
      </c>
      <c r="Q66" s="154" t="n">
        <v>19815164.4105145</v>
      </c>
      <c r="R66" s="155" t="str">
        <f>Q66-P66</f>
      </c>
      <c r="S66" s="156" t="str">
        <f>L66</f>
      </c>
    </row>
    <row r="67">
      <c r="A67" t="s">
        <v>262</v>
      </c>
      <c r="B67" s="35" t="s">
        <v>264</v>
      </c>
      <c r="C67" t="n">
        <v>2038</v>
      </c>
      <c r="D67" s="141" t="n">
        <v>1286982.22028007</v>
      </c>
      <c r="E67" s="142" t="n">
        <v>1297176.25542108</v>
      </c>
      <c r="F67" s="143" t="str">
        <f>E67-D67</f>
      </c>
      <c r="G67" s="144" t="n">
        <v>2780732.46972859</v>
      </c>
      <c r="H67" s="145" t="n">
        <v>2790687.02121721</v>
      </c>
      <c r="I67" s="146" t="str">
        <f>H67-G67</f>
      </c>
      <c r="J67" s="147" t="n">
        <v>16782941.99828</v>
      </c>
      <c r="K67" s="148" t="n">
        <v>16943079.5437892</v>
      </c>
      <c r="L67" s="149" t="str">
        <f>K67-J67</f>
      </c>
      <c r="M67" s="150" t="n">
        <v>3202863.6050559</v>
      </c>
      <c r="N67" s="151" t="n">
        <v>3202368.92676633</v>
      </c>
      <c r="O67" s="152" t="str">
        <f>N67-M67</f>
      </c>
      <c r="P67" s="153" t="n">
        <v>19985805.6033359</v>
      </c>
      <c r="Q67" s="154" t="n">
        <v>20145448.4705555</v>
      </c>
      <c r="R67" s="155" t="str">
        <f>Q67-P67</f>
      </c>
      <c r="S67" s="156" t="str">
        <f>L67</f>
      </c>
    </row>
    <row r="68">
      <c r="A68" t="s">
        <v>262</v>
      </c>
      <c r="B68" s="35" t="s">
        <v>264</v>
      </c>
      <c r="C68" t="n">
        <v>2039</v>
      </c>
      <c r="D68" s="141" t="n">
        <v>1314022.45193621</v>
      </c>
      <c r="E68" s="142" t="n">
        <v>1325347.79629959</v>
      </c>
      <c r="F68" s="143" t="str">
        <f>E68-D68</f>
      </c>
      <c r="G68" s="144" t="n">
        <v>2824481.62282782</v>
      </c>
      <c r="H68" s="145" t="n">
        <v>2835232.8138728</v>
      </c>
      <c r="I68" s="146" t="str">
        <f>H68-G68</f>
      </c>
      <c r="J68" s="147" t="n">
        <v>17042491.8343666</v>
      </c>
      <c r="K68" s="148" t="n">
        <v>17216985.482207</v>
      </c>
      <c r="L68" s="149" t="str">
        <f>K68-J68</f>
      </c>
      <c r="M68" s="150" t="n">
        <v>3261856.36080682</v>
      </c>
      <c r="N68" s="151" t="n">
        <v>3261308.04483665</v>
      </c>
      <c r="O68" s="152" t="str">
        <f>N68-M68</f>
      </c>
      <c r="P68" s="153" t="n">
        <v>20304348.1951734</v>
      </c>
      <c r="Q68" s="154" t="n">
        <v>20478293.5270436</v>
      </c>
      <c r="R68" s="155" t="str">
        <f>Q68-P68</f>
      </c>
      <c r="S68" s="156" t="str">
        <f>L68</f>
      </c>
    </row>
    <row r="69">
      <c r="A69" t="s">
        <v>262</v>
      </c>
      <c r="B69" s="35" t="s">
        <v>264</v>
      </c>
      <c r="C69" t="n">
        <v>2040</v>
      </c>
      <c r="D69" s="141" t="n">
        <v>1340322.93713491</v>
      </c>
      <c r="E69" s="142" t="n">
        <v>1352787.67550619</v>
      </c>
      <c r="F69" s="143" t="str">
        <f>E69-D69</f>
      </c>
      <c r="G69" s="144" t="n">
        <v>2864864.15421182</v>
      </c>
      <c r="H69" s="145" t="n">
        <v>2876390.02123241</v>
      </c>
      <c r="I69" s="146" t="str">
        <f>H69-G69</f>
      </c>
      <c r="J69" s="147" t="n">
        <v>17288170.2714558</v>
      </c>
      <c r="K69" s="148" t="n">
        <v>17477129.0980303</v>
      </c>
      <c r="L69" s="149" t="str">
        <f>K69-J69</f>
      </c>
      <c r="M69" s="150" t="n">
        <v>3319851.63985305</v>
      </c>
      <c r="N69" s="151" t="n">
        <v>3319226.53845978</v>
      </c>
      <c r="O69" s="152" t="str">
        <f>N69-M69</f>
      </c>
      <c r="P69" s="153" t="n">
        <v>20608021.9113089</v>
      </c>
      <c r="Q69" s="154" t="n">
        <v>20796355.63649</v>
      </c>
      <c r="R69" s="155" t="str">
        <f>Q69-P69</f>
      </c>
      <c r="S69" s="156" t="str">
        <f>L69</f>
      </c>
    </row>
    <row r="70">
      <c r="A70" t="s">
        <v>262</v>
      </c>
      <c r="B70" s="35" t="s">
        <v>264</v>
      </c>
      <c r="C70" t="n">
        <v>2041</v>
      </c>
      <c r="D70" s="141" t="n">
        <v>1367799.87393049</v>
      </c>
      <c r="E70" s="142" t="n">
        <v>1380070.96412439</v>
      </c>
      <c r="F70" s="143" t="str">
        <f>E70-D70</f>
      </c>
      <c r="G70" s="144" t="n">
        <v>2910907.61950024</v>
      </c>
      <c r="H70" s="145" t="n">
        <v>2922451.7840816</v>
      </c>
      <c r="I70" s="146" t="str">
        <f>H70-G70</f>
      </c>
      <c r="J70" s="147" t="n">
        <v>17543519.5808286</v>
      </c>
      <c r="K70" s="148" t="n">
        <v>17731269.8507494</v>
      </c>
      <c r="L70" s="149" t="str">
        <f>K70-J70</f>
      </c>
      <c r="M70" s="150" t="n">
        <v>3377211.46917105</v>
      </c>
      <c r="N70" s="151" t="n">
        <v>3376570.77956911</v>
      </c>
      <c r="O70" s="152" t="str">
        <f>N70-M70</f>
      </c>
      <c r="P70" s="153" t="n">
        <v>20920731.0499996</v>
      </c>
      <c r="Q70" s="154" t="n">
        <v>21107840.6303185</v>
      </c>
      <c r="R70" s="155" t="str">
        <f>Q70-P70</f>
      </c>
      <c r="S70" s="156" t="str">
        <f>L70</f>
      </c>
    </row>
    <row r="71">
      <c r="A71" t="s">
        <v>262</v>
      </c>
      <c r="B71" s="35" t="s">
        <v>264</v>
      </c>
      <c r="C71" t="n">
        <v>2042</v>
      </c>
      <c r="D71" s="141" t="n">
        <v>1394695.48577252</v>
      </c>
      <c r="E71" s="142" t="n">
        <v>1406876.34005525</v>
      </c>
      <c r="F71" s="143" t="str">
        <f>E71-D71</f>
      </c>
      <c r="G71" s="144" t="n">
        <v>2951437.30132737</v>
      </c>
      <c r="H71" s="145" t="n">
        <v>2962983.46667384</v>
      </c>
      <c r="I71" s="146" t="str">
        <f>H71-G71</f>
      </c>
      <c r="J71" s="147" t="n">
        <v>17786515.2609887</v>
      </c>
      <c r="K71" s="148" t="n">
        <v>17974111.2649187</v>
      </c>
      <c r="L71" s="149" t="str">
        <f>K71-J71</f>
      </c>
      <c r="M71" s="150" t="n">
        <v>3433530.66442957</v>
      </c>
      <c r="N71" s="151" t="n">
        <v>3432912.59953705</v>
      </c>
      <c r="O71" s="152" t="str">
        <f>N71-M71</f>
      </c>
      <c r="P71" s="153" t="n">
        <v>21220045.9254182</v>
      </c>
      <c r="Q71" s="154" t="n">
        <v>21407023.8644558</v>
      </c>
      <c r="R71" s="155" t="str">
        <f>Q71-P71</f>
      </c>
      <c r="S71" s="156" t="str">
        <f>L71</f>
      </c>
    </row>
    <row r="72">
      <c r="A72" t="s">
        <v>262</v>
      </c>
      <c r="B72" s="35" t="s">
        <v>264</v>
      </c>
      <c r="C72" t="n">
        <v>2043</v>
      </c>
      <c r="D72" s="141" t="n">
        <v>1420666.69557988</v>
      </c>
      <c r="E72" s="142" t="n">
        <v>1432805.18241214</v>
      </c>
      <c r="F72" s="143" t="str">
        <f>E72-D72</f>
      </c>
      <c r="G72" s="144" t="n">
        <v>2996895.23737328</v>
      </c>
      <c r="H72" s="145" t="n">
        <v>3008470.65003363</v>
      </c>
      <c r="I72" s="146" t="str">
        <f>H72-G72</f>
      </c>
      <c r="J72" s="147" t="n">
        <v>18010448.8199366</v>
      </c>
      <c r="K72" s="148" t="n">
        <v>18198360.1018222</v>
      </c>
      <c r="L72" s="149" t="str">
        <f>K72-J72</f>
      </c>
      <c r="M72" s="150" t="n">
        <v>3489410.53694556</v>
      </c>
      <c r="N72" s="151" t="n">
        <v>3488845.13943546</v>
      </c>
      <c r="O72" s="152" t="str">
        <f>N72-M72</f>
      </c>
      <c r="P72" s="153" t="n">
        <v>21499859.3568822</v>
      </c>
      <c r="Q72" s="154" t="n">
        <v>21687205.2412577</v>
      </c>
      <c r="R72" s="155" t="str">
        <f>Q72-P72</f>
      </c>
      <c r="S72" s="156" t="str">
        <f>L72</f>
      </c>
    </row>
    <row r="73">
      <c r="A73" t="s">
        <v>262</v>
      </c>
      <c r="B73" s="35" t="s">
        <v>264</v>
      </c>
      <c r="C73" t="n">
        <v>2044</v>
      </c>
      <c r="D73" s="141" t="n">
        <v>1446210.77151439</v>
      </c>
      <c r="E73" s="142" t="n">
        <v>1458339.17974938</v>
      </c>
      <c r="F73" s="143" t="str">
        <f>E73-D73</f>
      </c>
      <c r="G73" s="144" t="n">
        <v>3034484.55115545</v>
      </c>
      <c r="H73" s="145" t="n">
        <v>3046056.68354666</v>
      </c>
      <c r="I73" s="146" t="str">
        <f>H73-G73</f>
      </c>
      <c r="J73" s="147" t="n">
        <v>18231301.451196</v>
      </c>
      <c r="K73" s="148" t="n">
        <v>18419903.9093603</v>
      </c>
      <c r="L73" s="149" t="str">
        <f>K73-J73</f>
      </c>
      <c r="M73" s="150" t="n">
        <v>3544075.08752194</v>
      </c>
      <c r="N73" s="151" t="n">
        <v>3543582.92973372</v>
      </c>
      <c r="O73" s="152" t="str">
        <f>N73-M73</f>
      </c>
      <c r="P73" s="153" t="n">
        <v>21775376.538718</v>
      </c>
      <c r="Q73" s="154" t="n">
        <v>21963486.839094</v>
      </c>
      <c r="R73" s="155" t="str">
        <f>Q73-P73</f>
      </c>
      <c r="S73" s="156" t="str">
        <f>L73</f>
      </c>
    </row>
    <row r="74">
      <c r="A74" t="s">
        <v>262</v>
      </c>
      <c r="B74" s="35" t="s">
        <v>264</v>
      </c>
      <c r="C74" t="n">
        <v>2045</v>
      </c>
      <c r="D74" s="141" t="n">
        <v>1471772.37366532</v>
      </c>
      <c r="E74" s="142" t="n">
        <v>1483913.39991598</v>
      </c>
      <c r="F74" s="143" t="str">
        <f>E74-D74</f>
      </c>
      <c r="G74" s="144" t="n">
        <v>3070660.77265108</v>
      </c>
      <c r="H74" s="145" t="n">
        <v>3082224.00698585</v>
      </c>
      <c r="I74" s="146" t="str">
        <f>H74-G74</f>
      </c>
      <c r="J74" s="147" t="n">
        <v>18446195.5737616</v>
      </c>
      <c r="K74" s="148" t="n">
        <v>18635707.8486913</v>
      </c>
      <c r="L74" s="149" t="str">
        <f>K74-J74</f>
      </c>
      <c r="M74" s="150" t="n">
        <v>3597377.91321759</v>
      </c>
      <c r="N74" s="151" t="n">
        <v>3596974.60976764</v>
      </c>
      <c r="O74" s="152" t="str">
        <f>N74-M74</f>
      </c>
      <c r="P74" s="153" t="n">
        <v>22043573.4869791</v>
      </c>
      <c r="Q74" s="154" t="n">
        <v>22232682.4584589</v>
      </c>
      <c r="R74" s="155" t="str">
        <f>Q74-P74</f>
      </c>
      <c r="S74" s="156" t="str">
        <f>L74</f>
      </c>
    </row>
    <row r="75">
      <c r="A75" t="s">
        <v>262</v>
      </c>
      <c r="B75" s="35" t="s">
        <v>264</v>
      </c>
      <c r="C75" t="n">
        <v>2046</v>
      </c>
      <c r="D75" s="141" t="n">
        <v>1497311.67876807</v>
      </c>
      <c r="E75" s="142" t="n">
        <v>1509480.27542461</v>
      </c>
      <c r="F75" s="143" t="str">
        <f>E75-D75</f>
      </c>
      <c r="G75" s="144" t="n">
        <v>3112462.02690202</v>
      </c>
      <c r="H75" s="145" t="n">
        <v>3124046.1784475</v>
      </c>
      <c r="I75" s="146" t="str">
        <f>H75-G75</f>
      </c>
      <c r="J75" s="147" t="n">
        <v>18652404.3316938</v>
      </c>
      <c r="K75" s="148" t="n">
        <v>18842942.5524536</v>
      </c>
      <c r="L75" s="149" t="str">
        <f>K75-J75</f>
      </c>
      <c r="M75" s="150" t="n">
        <v>3649815.23071046</v>
      </c>
      <c r="N75" s="151" t="n">
        <v>3649516.08697985</v>
      </c>
      <c r="O75" s="152" t="str">
        <f>N75-M75</f>
      </c>
      <c r="P75" s="153" t="n">
        <v>22302219.5624042</v>
      </c>
      <c r="Q75" s="154" t="n">
        <v>22492458.6394335</v>
      </c>
      <c r="R75" s="155" t="str">
        <f>Q75-P75</f>
      </c>
      <c r="S75" s="156" t="str">
        <f>L75</f>
      </c>
    </row>
    <row r="76">
      <c r="A76" t="s">
        <v>262</v>
      </c>
      <c r="B76" s="35" t="s">
        <v>264</v>
      </c>
      <c r="C76" t="n">
        <v>2047</v>
      </c>
      <c r="D76" s="141" t="n">
        <v>1522031.97054478</v>
      </c>
      <c r="E76" s="142" t="n">
        <v>1534237.5744132</v>
      </c>
      <c r="F76" s="143" t="str">
        <f>E76-D76</f>
      </c>
      <c r="G76" s="144" t="n">
        <v>3147329.98023438</v>
      </c>
      <c r="H76" s="145" t="n">
        <v>3158904.2402998</v>
      </c>
      <c r="I76" s="146" t="str">
        <f>H76-G76</f>
      </c>
      <c r="J76" s="147" t="n">
        <v>18849718.7090164</v>
      </c>
      <c r="K76" s="148" t="n">
        <v>19041387.4378568</v>
      </c>
      <c r="L76" s="149" t="str">
        <f>K76-J76</f>
      </c>
      <c r="M76" s="150" t="n">
        <v>3700898.22773377</v>
      </c>
      <c r="N76" s="151" t="n">
        <v>3700713.68790926</v>
      </c>
      <c r="O76" s="152" t="str">
        <f>N76-M76</f>
      </c>
      <c r="P76" s="153" t="n">
        <v>22550616.9367502</v>
      </c>
      <c r="Q76" s="154" t="n">
        <v>22742101.1257661</v>
      </c>
      <c r="R76" s="155" t="str">
        <f>Q76-P76</f>
      </c>
      <c r="S76" s="156" t="str">
        <f>L76</f>
      </c>
    </row>
    <row r="77">
      <c r="A77" t="s">
        <v>262</v>
      </c>
      <c r="B77" s="35" t="s">
        <v>264</v>
      </c>
      <c r="C77" t="n">
        <v>2048</v>
      </c>
      <c r="D77" s="141" t="n">
        <v>1545341.99397292</v>
      </c>
      <c r="E77" s="142" t="n">
        <v>1557584.97398339</v>
      </c>
      <c r="F77" s="143" t="str">
        <f>E77-D77</f>
      </c>
      <c r="G77" s="144" t="n">
        <v>3182645.97777136</v>
      </c>
      <c r="H77" s="145" t="n">
        <v>3194212.2507101</v>
      </c>
      <c r="I77" s="146" t="str">
        <f>H77-G77</f>
      </c>
      <c r="J77" s="147" t="n">
        <v>19027624.9641902</v>
      </c>
      <c r="K77" s="148" t="n">
        <v>19220391.6480863</v>
      </c>
      <c r="L77" s="149" t="str">
        <f>K77-J77</f>
      </c>
      <c r="M77" s="150" t="n">
        <v>3750887.02485026</v>
      </c>
      <c r="N77" s="151" t="n">
        <v>3750826.45017893</v>
      </c>
      <c r="O77" s="152" t="str">
        <f>N77-M77</f>
      </c>
      <c r="P77" s="153" t="n">
        <v>22778511.9890405</v>
      </c>
      <c r="Q77" s="154" t="n">
        <v>22971218.0982652</v>
      </c>
      <c r="R77" s="155" t="str">
        <f>Q77-P77</f>
      </c>
      <c r="S77" s="156" t="str">
        <f>L77</f>
      </c>
    </row>
    <row r="78">
      <c r="A78" t="s">
        <v>262</v>
      </c>
      <c r="B78" s="35" t="s">
        <v>264</v>
      </c>
      <c r="C78" t="n">
        <v>2049</v>
      </c>
      <c r="D78" s="141" t="n">
        <v>1568858.34559358</v>
      </c>
      <c r="E78" s="142" t="n">
        <v>1581148.70872561</v>
      </c>
      <c r="F78" s="143" t="str">
        <f>E78-D78</f>
      </c>
      <c r="G78" s="144" t="n">
        <v>3215507.2357513</v>
      </c>
      <c r="H78" s="145" t="n">
        <v>3227056.88545618</v>
      </c>
      <c r="I78" s="146" t="str">
        <f>H78-G78</f>
      </c>
      <c r="J78" s="147" t="n">
        <v>19205707.3737708</v>
      </c>
      <c r="K78" s="148" t="n">
        <v>19399647.7304913</v>
      </c>
      <c r="L78" s="149" t="str">
        <f>K78-J78</f>
      </c>
      <c r="M78" s="150" t="n">
        <v>3799433.48720179</v>
      </c>
      <c r="N78" s="151" t="n">
        <v>3799503.95708712</v>
      </c>
      <c r="O78" s="152" t="str">
        <f>N78-M78</f>
      </c>
      <c r="P78" s="153" t="n">
        <v>23005140.8609726</v>
      </c>
      <c r="Q78" s="154" t="n">
        <v>23199151.6875784</v>
      </c>
      <c r="R78" s="155" t="str">
        <f>Q78-P78</f>
      </c>
      <c r="S78" s="156" t="str">
        <f>L78</f>
      </c>
    </row>
    <row r="79">
      <c r="A79" t="s">
        <v>262</v>
      </c>
      <c r="B79" s="35" t="s">
        <v>264</v>
      </c>
      <c r="C79" t="n">
        <v>2050</v>
      </c>
      <c r="D79" s="141" t="n">
        <v>1591666.93927755</v>
      </c>
      <c r="E79" s="142" t="n">
        <v>1604008.46344375</v>
      </c>
      <c r="F79" s="143" t="str">
        <f>E79-D79</f>
      </c>
      <c r="G79" s="144" t="n">
        <v>3245671.32653692</v>
      </c>
      <c r="H79" s="145" t="n">
        <v>3257199.2980493</v>
      </c>
      <c r="I79" s="146" t="str">
        <f>H79-G79</f>
      </c>
      <c r="J79" s="147" t="n">
        <v>19374871.3662337</v>
      </c>
      <c r="K79" s="148" t="n">
        <v>19570013.4156094</v>
      </c>
      <c r="L79" s="149" t="str">
        <f>K79-J79</f>
      </c>
      <c r="M79" s="150" t="n">
        <v>3846387.36612326</v>
      </c>
      <c r="N79" s="151" t="n">
        <v>3846594.37842674</v>
      </c>
      <c r="O79" s="152" t="str">
        <f>N79-M79</f>
      </c>
      <c r="P79" s="153" t="n">
        <v>23221258.732357</v>
      </c>
      <c r="Q79" s="154" t="n">
        <v>23416607.7940361</v>
      </c>
      <c r="R79" s="155" t="str">
        <f>Q79-P79</f>
      </c>
      <c r="S79" s="156" t="str">
        <f>L79</f>
      </c>
    </row>
    <row r="80">
      <c r="A80" t="s">
        <v>272</v>
      </c>
      <c r="B80" s="35" t="s">
        <v>274</v>
      </c>
      <c r="C80" t="n">
        <v>2025</v>
      </c>
      <c r="D80" s="141" t="n">
        <v>959793.497483951</v>
      </c>
      <c r="E80" s="142" t="n">
        <v>959793.497483952</v>
      </c>
      <c r="F80" s="143" t="str">
        <f>E80-D80</f>
      </c>
      <c r="G80" s="144" t="n">
        <v>2135199.67580268</v>
      </c>
      <c r="H80" s="145" t="n">
        <v>2135199.67580268</v>
      </c>
      <c r="I80" s="146" t="str">
        <f>H80-G80</f>
      </c>
      <c r="J80" s="147" t="n">
        <v>13078630.7318055</v>
      </c>
      <c r="K80" s="148" t="n">
        <v>13078630.7318055</v>
      </c>
      <c r="L80" s="149" t="str">
        <f>K80-J80</f>
      </c>
      <c r="M80" s="150" t="n">
        <v>2439867.79488052</v>
      </c>
      <c r="N80" s="151" t="n">
        <v>2439867.79488052</v>
      </c>
      <c r="O80" s="152" t="str">
        <f>N80-M80</f>
      </c>
      <c r="P80" s="153" t="n">
        <v>15518498.526686</v>
      </c>
      <c r="Q80" s="154" t="n">
        <v>15518498.526686</v>
      </c>
      <c r="R80" s="155" t="str">
        <f>Q80-P80</f>
      </c>
      <c r="S80" s="156" t="str">
        <f>L80</f>
      </c>
    </row>
    <row r="81">
      <c r="A81" t="s">
        <v>272</v>
      </c>
      <c r="B81" s="35" t="s">
        <v>274</v>
      </c>
      <c r="C81" t="n">
        <v>2026</v>
      </c>
      <c r="D81" s="141" t="n">
        <v>979339.244065563</v>
      </c>
      <c r="E81" s="142" t="n">
        <v>980780.305058052</v>
      </c>
      <c r="F81" s="143" t="str">
        <f>E81-D81</f>
      </c>
      <c r="G81" s="144" t="n">
        <v>2179963.4624441</v>
      </c>
      <c r="H81" s="145" t="n">
        <v>2181019.4587223</v>
      </c>
      <c r="I81" s="146" t="str">
        <f>H81-G81</f>
      </c>
      <c r="J81" s="147" t="n">
        <v>13352236.6103294</v>
      </c>
      <c r="K81" s="148" t="n">
        <v>13376482.4651958</v>
      </c>
      <c r="L81" s="149" t="str">
        <f>K81-J81</f>
      </c>
      <c r="M81" s="150" t="n">
        <v>2495165.61980048</v>
      </c>
      <c r="N81" s="151" t="n">
        <v>2495093.0586842</v>
      </c>
      <c r="O81" s="152" t="str">
        <f>N81-M81</f>
      </c>
      <c r="P81" s="153" t="n">
        <v>15847402.2301299</v>
      </c>
      <c r="Q81" s="154" t="n">
        <v>15871575.5238799</v>
      </c>
      <c r="R81" s="155" t="str">
        <f>Q81-P81</f>
      </c>
      <c r="S81" s="156" t="str">
        <f>L81</f>
      </c>
    </row>
    <row r="82">
      <c r="A82" t="s">
        <v>272</v>
      </c>
      <c r="B82" s="35" t="s">
        <v>274</v>
      </c>
      <c r="C82" t="n">
        <v>2027</v>
      </c>
      <c r="D82" s="141" t="n">
        <v>1000516.59089411</v>
      </c>
      <c r="E82" s="142" t="n">
        <v>1003320.79077982</v>
      </c>
      <c r="F82" s="143" t="str">
        <f>E82-D82</f>
      </c>
      <c r="G82" s="144" t="n">
        <v>2225896.98245819</v>
      </c>
      <c r="H82" s="145" t="n">
        <v>2228341.81181597</v>
      </c>
      <c r="I82" s="146" t="str">
        <f>H82-G82</f>
      </c>
      <c r="J82" s="147" t="n">
        <v>13629572.8031421</v>
      </c>
      <c r="K82" s="148" t="n">
        <v>13677394.9809697</v>
      </c>
      <c r="L82" s="149" t="str">
        <f>K82-J82</f>
      </c>
      <c r="M82" s="150" t="n">
        <v>2551409.00699628</v>
      </c>
      <c r="N82" s="151" t="n">
        <v>2551241.04250702</v>
      </c>
      <c r="O82" s="152" t="str">
        <f>N82-M82</f>
      </c>
      <c r="P82" s="153" t="n">
        <v>16180981.8101384</v>
      </c>
      <c r="Q82" s="154" t="n">
        <v>16228636.0234767</v>
      </c>
      <c r="R82" s="155" t="str">
        <f>Q82-P82</f>
      </c>
      <c r="S82" s="156" t="str">
        <f>L82</f>
      </c>
    </row>
    <row r="83">
      <c r="A83" t="s">
        <v>272</v>
      </c>
      <c r="B83" s="35" t="s">
        <v>274</v>
      </c>
      <c r="C83" t="n">
        <v>2028</v>
      </c>
      <c r="D83" s="141" t="n">
        <v>1023355.71084625</v>
      </c>
      <c r="E83" s="142" t="n">
        <v>1027500.46902078</v>
      </c>
      <c r="F83" s="143" t="str">
        <f>E83-D83</f>
      </c>
      <c r="G83" s="144" t="n">
        <v>2284267.87905252</v>
      </c>
      <c r="H83" s="145" t="n">
        <v>2288120.69935235</v>
      </c>
      <c r="I83" s="146" t="str">
        <f>H83-G83</f>
      </c>
      <c r="J83" s="147" t="n">
        <v>13902684.95771</v>
      </c>
      <c r="K83" s="148" t="n">
        <v>13973849.5476407</v>
      </c>
      <c r="L83" s="149" t="str">
        <f>K83-J83</f>
      </c>
      <c r="M83" s="150" t="n">
        <v>2609394.40111366</v>
      </c>
      <c r="N83" s="151" t="n">
        <v>2609119.51816056</v>
      </c>
      <c r="O83" s="152" t="str">
        <f>N83-M83</f>
      </c>
      <c r="P83" s="153" t="n">
        <v>16512079.3588237</v>
      </c>
      <c r="Q83" s="154" t="n">
        <v>16582969.0658013</v>
      </c>
      <c r="R83" s="155" t="str">
        <f>Q83-P83</f>
      </c>
      <c r="S83" s="156" t="str">
        <f>L83</f>
      </c>
    </row>
    <row r="84">
      <c r="A84" t="s">
        <v>272</v>
      </c>
      <c r="B84" s="35" t="s">
        <v>274</v>
      </c>
      <c r="C84" t="n">
        <v>2029</v>
      </c>
      <c r="D84" s="141" t="n">
        <v>1047765.17968558</v>
      </c>
      <c r="E84" s="142" t="n">
        <v>1053610.41066253</v>
      </c>
      <c r="F84" s="143" t="str">
        <f>E84-D84</f>
      </c>
      <c r="G84" s="144" t="n">
        <v>2331218.81004978</v>
      </c>
      <c r="H84" s="145" t="n">
        <v>2336688.0735738</v>
      </c>
      <c r="I84" s="146" t="str">
        <f>H84-G84</f>
      </c>
      <c r="J84" s="147" t="n">
        <v>14191095.8599351</v>
      </c>
      <c r="K84" s="148" t="n">
        <v>14290695.0468445</v>
      </c>
      <c r="L84" s="149" t="str">
        <f>K84-J84</f>
      </c>
      <c r="M84" s="150" t="n">
        <v>2667796.34041808</v>
      </c>
      <c r="N84" s="151" t="n">
        <v>2667387.14052593</v>
      </c>
      <c r="O84" s="152" t="str">
        <f>N84-M84</f>
      </c>
      <c r="P84" s="153" t="n">
        <v>16858892.2003532</v>
      </c>
      <c r="Q84" s="154" t="n">
        <v>16958082.1873704</v>
      </c>
      <c r="R84" s="155" t="str">
        <f>Q84-P84</f>
      </c>
      <c r="S84" s="156" t="str">
        <f>L84</f>
      </c>
    </row>
    <row r="85">
      <c r="A85" t="s">
        <v>272</v>
      </c>
      <c r="B85" s="35" t="s">
        <v>274</v>
      </c>
      <c r="C85" t="n">
        <v>2030</v>
      </c>
      <c r="D85" s="141" t="n">
        <v>1073268.89922126</v>
      </c>
      <c r="E85" s="142" t="n">
        <v>1080810.21872946</v>
      </c>
      <c r="F85" s="143" t="str">
        <f>E85-D85</f>
      </c>
      <c r="G85" s="144" t="n">
        <v>2379363.04049983</v>
      </c>
      <c r="H85" s="145" t="n">
        <v>2386448.80046728</v>
      </c>
      <c r="I85" s="146" t="str">
        <f>H85-G85</f>
      </c>
      <c r="J85" s="147" t="n">
        <v>14473387.4435811</v>
      </c>
      <c r="K85" s="148" t="n">
        <v>14601429.0838702</v>
      </c>
      <c r="L85" s="149" t="str">
        <f>K85-J85</f>
      </c>
      <c r="M85" s="150" t="n">
        <v>2726497.13372165</v>
      </c>
      <c r="N85" s="151" t="n">
        <v>2725934.7625287</v>
      </c>
      <c r="O85" s="152" t="str">
        <f>N85-M85</f>
      </c>
      <c r="P85" s="153" t="n">
        <v>17199884.5773028</v>
      </c>
      <c r="Q85" s="154" t="n">
        <v>17327363.846399</v>
      </c>
      <c r="R85" s="155" t="str">
        <f>Q85-P85</f>
      </c>
      <c r="S85" s="156" t="str">
        <f>L85</f>
      </c>
    </row>
    <row r="86">
      <c r="A86" t="s">
        <v>272</v>
      </c>
      <c r="B86" s="35" t="s">
        <v>274</v>
      </c>
      <c r="C86" t="n">
        <v>2031</v>
      </c>
      <c r="D86" s="141" t="n">
        <v>1099511.43149722</v>
      </c>
      <c r="E86" s="142" t="n">
        <v>1107157.64124119</v>
      </c>
      <c r="F86" s="143" t="str">
        <f>E86-D86</f>
      </c>
      <c r="G86" s="144" t="n">
        <v>2427767.40336895</v>
      </c>
      <c r="H86" s="145" t="n">
        <v>2435295.40356542</v>
      </c>
      <c r="I86" s="146" t="str">
        <f>H86-G86</f>
      </c>
      <c r="J86" s="147" t="n">
        <v>14779715.31461</v>
      </c>
      <c r="K86" s="148" t="n">
        <v>14910262.6671564</v>
      </c>
      <c r="L86" s="149" t="str">
        <f>K86-J86</f>
      </c>
      <c r="M86" s="150" t="n">
        <v>2785393.41162633</v>
      </c>
      <c r="N86" s="151" t="n">
        <v>2784742.81884404</v>
      </c>
      <c r="O86" s="152" t="str">
        <f>N86-M86</f>
      </c>
      <c r="P86" s="153" t="n">
        <v>17565108.7262363</v>
      </c>
      <c r="Q86" s="154" t="n">
        <v>17695005.4860005</v>
      </c>
      <c r="R86" s="155" t="str">
        <f>Q86-P86</f>
      </c>
      <c r="S86" s="156" t="str">
        <f>L86</f>
      </c>
    </row>
    <row r="87">
      <c r="A87" t="s">
        <v>272</v>
      </c>
      <c r="B87" s="35" t="s">
        <v>274</v>
      </c>
      <c r="C87" t="n">
        <v>2032</v>
      </c>
      <c r="D87" s="141" t="n">
        <v>1126124.59955876</v>
      </c>
      <c r="E87" s="142" t="n">
        <v>1133979.82552584</v>
      </c>
      <c r="F87" s="143" t="str">
        <f>E87-D87</f>
      </c>
      <c r="G87" s="144" t="n">
        <v>2478251.63617636</v>
      </c>
      <c r="H87" s="145" t="n">
        <v>2486226.86894442</v>
      </c>
      <c r="I87" s="146" t="str">
        <f>H87-G87</f>
      </c>
      <c r="J87" s="147" t="n">
        <v>15078513.9377154</v>
      </c>
      <c r="K87" s="148" t="n">
        <v>15212724.6096518</v>
      </c>
      <c r="L87" s="149" t="str">
        <f>K87-J87</f>
      </c>
      <c r="M87" s="150" t="n">
        <v>2844579.90782619</v>
      </c>
      <c r="N87" s="151" t="n">
        <v>2843886.54382644</v>
      </c>
      <c r="O87" s="152" t="str">
        <f>N87-M87</f>
      </c>
      <c r="P87" s="153" t="n">
        <v>17923093.8455416</v>
      </c>
      <c r="Q87" s="154" t="n">
        <v>18056611.1534782</v>
      </c>
      <c r="R87" s="155" t="str">
        <f>Q87-P87</f>
      </c>
      <c r="S87" s="156" t="str">
        <f>L87</f>
      </c>
    </row>
    <row r="88">
      <c r="A88" t="s">
        <v>272</v>
      </c>
      <c r="B88" s="35" t="s">
        <v>274</v>
      </c>
      <c r="C88" t="n">
        <v>2033</v>
      </c>
      <c r="D88" s="141" t="n">
        <v>1152401.09475579</v>
      </c>
      <c r="E88" s="142" t="n">
        <v>1160519.0384788</v>
      </c>
      <c r="F88" s="143" t="str">
        <f>E88-D88</f>
      </c>
      <c r="G88" s="144" t="n">
        <v>2535730.72465292</v>
      </c>
      <c r="H88" s="145" t="n">
        <v>2544179.91308165</v>
      </c>
      <c r="I88" s="146" t="str">
        <f>H88-G88</f>
      </c>
      <c r="J88" s="147" t="n">
        <v>15359684.4065508</v>
      </c>
      <c r="K88" s="148" t="n">
        <v>15498146.8141225</v>
      </c>
      <c r="L88" s="149" t="str">
        <f>K88-J88</f>
      </c>
      <c r="M88" s="150" t="n">
        <v>2904637.45830935</v>
      </c>
      <c r="N88" s="151" t="n">
        <v>2903939.00675972</v>
      </c>
      <c r="O88" s="152" t="str">
        <f>N88-M88</f>
      </c>
      <c r="P88" s="153" t="n">
        <v>18264321.8648602</v>
      </c>
      <c r="Q88" s="154" t="n">
        <v>18402085.8208823</v>
      </c>
      <c r="R88" s="155" t="str">
        <f>Q88-P88</f>
      </c>
      <c r="S88" s="156" t="str">
        <f>L88</f>
      </c>
    </row>
    <row r="89">
      <c r="A89" t="s">
        <v>272</v>
      </c>
      <c r="B89" s="35" t="s">
        <v>274</v>
      </c>
      <c r="C89" t="n">
        <v>2034</v>
      </c>
      <c r="D89" s="141" t="n">
        <v>1179370.05097492</v>
      </c>
      <c r="E89" s="142" t="n">
        <v>1187394.62078838</v>
      </c>
      <c r="F89" s="143" t="str">
        <f>E89-D89</f>
      </c>
      <c r="G89" s="144" t="n">
        <v>2582610.45732948</v>
      </c>
      <c r="H89" s="145" t="n">
        <v>2591241.82717547</v>
      </c>
      <c r="I89" s="146" t="str">
        <f>H89-G89</f>
      </c>
      <c r="J89" s="147" t="n">
        <v>15661419.6500297</v>
      </c>
      <c r="K89" s="148" t="n">
        <v>15799428.4193656</v>
      </c>
      <c r="L89" s="149" t="str">
        <f>K89-J89</f>
      </c>
      <c r="M89" s="150" t="n">
        <v>2964545.28773878</v>
      </c>
      <c r="N89" s="151" t="n">
        <v>2963891.11565708</v>
      </c>
      <c r="O89" s="152" t="str">
        <f>N89-M89</f>
      </c>
      <c r="P89" s="153" t="n">
        <v>18625964.9377685</v>
      </c>
      <c r="Q89" s="154" t="n">
        <v>18763319.5350226</v>
      </c>
      <c r="R89" s="155" t="str">
        <f>Q89-P89</f>
      </c>
      <c r="S89" s="156" t="str">
        <f>L89</f>
      </c>
    </row>
    <row r="90">
      <c r="A90" t="s">
        <v>272</v>
      </c>
      <c r="B90" s="35" t="s">
        <v>274</v>
      </c>
      <c r="C90" t="n">
        <v>2035</v>
      </c>
      <c r="D90" s="141" t="n">
        <v>1206343.16410957</v>
      </c>
      <c r="E90" s="142" t="n">
        <v>1214325.97179281</v>
      </c>
      <c r="F90" s="143" t="str">
        <f>E90-D90</f>
      </c>
      <c r="G90" s="144" t="n">
        <v>2628532.98560561</v>
      </c>
      <c r="H90" s="145" t="n">
        <v>2637338.55759301</v>
      </c>
      <c r="I90" s="146" t="str">
        <f>H90-G90</f>
      </c>
      <c r="J90" s="147" t="n">
        <v>15955274.6732287</v>
      </c>
      <c r="K90" s="148" t="n">
        <v>16093445.8910369</v>
      </c>
      <c r="L90" s="149" t="str">
        <f>K90-J90</f>
      </c>
      <c r="M90" s="150" t="n">
        <v>3024137.67522525</v>
      </c>
      <c r="N90" s="151" t="n">
        <v>3023565.75015719</v>
      </c>
      <c r="O90" s="152" t="str">
        <f>N90-M90</f>
      </c>
      <c r="P90" s="153" t="n">
        <v>18979412.3484539</v>
      </c>
      <c r="Q90" s="154" t="n">
        <v>19117011.6411941</v>
      </c>
      <c r="R90" s="155" t="str">
        <f>Q90-P90</f>
      </c>
      <c r="S90" s="156" t="str">
        <f>L90</f>
      </c>
    </row>
    <row r="91">
      <c r="A91" t="s">
        <v>272</v>
      </c>
      <c r="B91" s="35" t="s">
        <v>274</v>
      </c>
      <c r="C91" t="n">
        <v>2036</v>
      </c>
      <c r="D91" s="141" t="n">
        <v>1232618.80068662</v>
      </c>
      <c r="E91" s="142" t="n">
        <v>1242005.19631071</v>
      </c>
      <c r="F91" s="143" t="str">
        <f>E91-D91</f>
      </c>
      <c r="G91" s="144" t="n">
        <v>2678015.21181228</v>
      </c>
      <c r="H91" s="145" t="n">
        <v>2687815.41856241</v>
      </c>
      <c r="I91" s="146" t="str">
        <f>H91-G91</f>
      </c>
      <c r="J91" s="147" t="n">
        <v>16231649.777603</v>
      </c>
      <c r="K91" s="148" t="n">
        <v>16387284.1170475</v>
      </c>
      <c r="L91" s="149" t="str">
        <f>K91-J91</f>
      </c>
      <c r="M91" s="150" t="n">
        <v>3083750.82036211</v>
      </c>
      <c r="N91" s="151" t="n">
        <v>3083207.24745521</v>
      </c>
      <c r="O91" s="152" t="str">
        <f>N91-M91</f>
      </c>
      <c r="P91" s="153" t="n">
        <v>19315400.5979651</v>
      </c>
      <c r="Q91" s="154" t="n">
        <v>19470491.3645027</v>
      </c>
      <c r="R91" s="155" t="str">
        <f>Q91-P91</f>
      </c>
      <c r="S91" s="156" t="str">
        <f>L91</f>
      </c>
    </row>
    <row r="92">
      <c r="A92" t="s">
        <v>272</v>
      </c>
      <c r="B92" s="35" t="s">
        <v>274</v>
      </c>
      <c r="C92" t="n">
        <v>2037</v>
      </c>
      <c r="D92" s="141" t="n">
        <v>1259079.59773947</v>
      </c>
      <c r="E92" s="142" t="n">
        <v>1269807.80909442</v>
      </c>
      <c r="F92" s="143" t="str">
        <f>E92-D92</f>
      </c>
      <c r="G92" s="144" t="n">
        <v>2726498.99486779</v>
      </c>
      <c r="H92" s="145" t="n">
        <v>2737274.790777</v>
      </c>
      <c r="I92" s="146" t="str">
        <f>H92-G92</f>
      </c>
      <c r="J92" s="147" t="n">
        <v>16499933.7090322</v>
      </c>
      <c r="K92" s="148" t="n">
        <v>16672497.8198669</v>
      </c>
      <c r="L92" s="149" t="str">
        <f>K92-J92</f>
      </c>
      <c r="M92" s="150" t="n">
        <v>3143218.95407749</v>
      </c>
      <c r="N92" s="151" t="n">
        <v>3142666.59064758</v>
      </c>
      <c r="O92" s="152" t="str">
        <f>N92-M92</f>
      </c>
      <c r="P92" s="153" t="n">
        <v>19643152.6631097</v>
      </c>
      <c r="Q92" s="154" t="n">
        <v>19815164.4105145</v>
      </c>
      <c r="R92" s="155" t="str">
        <f>Q92-P92</f>
      </c>
      <c r="S92" s="156" t="str">
        <f>L92</f>
      </c>
    </row>
    <row r="93">
      <c r="A93" t="s">
        <v>272</v>
      </c>
      <c r="B93" s="35" t="s">
        <v>274</v>
      </c>
      <c r="C93" t="n">
        <v>2038</v>
      </c>
      <c r="D93" s="141" t="n">
        <v>1285122.12470753</v>
      </c>
      <c r="E93" s="142" t="n">
        <v>1297176.25542108</v>
      </c>
      <c r="F93" s="143" t="str">
        <f>E93-D93</f>
      </c>
      <c r="G93" s="144" t="n">
        <v>2778921.50429505</v>
      </c>
      <c r="H93" s="145" t="n">
        <v>2790687.02121721</v>
      </c>
      <c r="I93" s="146" t="str">
        <f>H93-G93</f>
      </c>
      <c r="J93" s="147" t="n">
        <v>16753757.2299283</v>
      </c>
      <c r="K93" s="148" t="n">
        <v>16943079.5437892</v>
      </c>
      <c r="L93" s="149" t="str">
        <f>K93-J93</f>
      </c>
      <c r="M93" s="150" t="n">
        <v>3202957.60020024</v>
      </c>
      <c r="N93" s="151" t="n">
        <v>3202368.92676633</v>
      </c>
      <c r="O93" s="152" t="str">
        <f>N93-M93</f>
      </c>
      <c r="P93" s="153" t="n">
        <v>19956714.8301286</v>
      </c>
      <c r="Q93" s="154" t="n">
        <v>20145448.4705555</v>
      </c>
      <c r="R93" s="155" t="str">
        <f>Q93-P93</f>
      </c>
      <c r="S93" s="156" t="str">
        <f>L93</f>
      </c>
    </row>
    <row r="94">
      <c r="A94" t="s">
        <v>272</v>
      </c>
      <c r="B94" s="35" t="s">
        <v>274</v>
      </c>
      <c r="C94" t="n">
        <v>2039</v>
      </c>
      <c r="D94" s="141" t="n">
        <v>1311955.04549077</v>
      </c>
      <c r="E94" s="142" t="n">
        <v>1325347.79629959</v>
      </c>
      <c r="F94" s="143" t="str">
        <f>E94-D94</f>
      </c>
      <c r="G94" s="144" t="n">
        <v>2822525.55012061</v>
      </c>
      <c r="H94" s="145" t="n">
        <v>2835232.8138728</v>
      </c>
      <c r="I94" s="146" t="str">
        <f>H94-G94</f>
      </c>
      <c r="J94" s="147" t="n">
        <v>17010682.0783787</v>
      </c>
      <c r="K94" s="148" t="n">
        <v>17216985.482207</v>
      </c>
      <c r="L94" s="149" t="str">
        <f>K94-J94</f>
      </c>
      <c r="M94" s="150" t="n">
        <v>3261960.98893814</v>
      </c>
      <c r="N94" s="151" t="n">
        <v>3261308.04483665</v>
      </c>
      <c r="O94" s="152" t="str">
        <f>N94-M94</f>
      </c>
      <c r="P94" s="153" t="n">
        <v>20272643.0673168</v>
      </c>
      <c r="Q94" s="154" t="n">
        <v>20478293.5270436</v>
      </c>
      <c r="R94" s="155" t="str">
        <f>Q94-P94</f>
      </c>
      <c r="S94" s="156" t="str">
        <f>L94</f>
      </c>
    </row>
    <row r="95">
      <c r="A95" t="s">
        <v>272</v>
      </c>
      <c r="B95" s="35" t="s">
        <v>274</v>
      </c>
      <c r="C95" t="n">
        <v>2040</v>
      </c>
      <c r="D95" s="141" t="n">
        <v>1338046.5495659</v>
      </c>
      <c r="E95" s="142" t="n">
        <v>1352787.67550619</v>
      </c>
      <c r="F95" s="143" t="str">
        <f>E95-D95</f>
      </c>
      <c r="G95" s="144" t="n">
        <v>2862766.935551</v>
      </c>
      <c r="H95" s="145" t="n">
        <v>2876390.02123241</v>
      </c>
      <c r="I95" s="146" t="str">
        <f>H95-G95</f>
      </c>
      <c r="J95" s="147" t="n">
        <v>17253714.0758929</v>
      </c>
      <c r="K95" s="148" t="n">
        <v>17477129.0980303</v>
      </c>
      <c r="L95" s="149" t="str">
        <f>K95-J95</f>
      </c>
      <c r="M95" s="150" t="n">
        <v>3319971.26823921</v>
      </c>
      <c r="N95" s="151" t="n">
        <v>3319226.53845978</v>
      </c>
      <c r="O95" s="152" t="str">
        <f>N95-M95</f>
      </c>
      <c r="P95" s="153" t="n">
        <v>20573685.3441321</v>
      </c>
      <c r="Q95" s="154" t="n">
        <v>20796355.63649</v>
      </c>
      <c r="R95" s="155" t="str">
        <f>Q95-P95</f>
      </c>
      <c r="S95" s="156" t="str">
        <f>L95</f>
      </c>
    </row>
    <row r="96">
      <c r="A96" t="s">
        <v>272</v>
      </c>
      <c r="B96" s="35" t="s">
        <v>274</v>
      </c>
      <c r="C96" t="n">
        <v>2041</v>
      </c>
      <c r="D96" s="141" t="n">
        <v>1365559.20732718</v>
      </c>
      <c r="E96" s="142" t="n">
        <v>1380070.96412439</v>
      </c>
      <c r="F96" s="143" t="str">
        <f>E96-D96</f>
      </c>
      <c r="G96" s="144" t="n">
        <v>2908806.98128484</v>
      </c>
      <c r="H96" s="145" t="n">
        <v>2922451.7840816</v>
      </c>
      <c r="I96" s="146" t="str">
        <f>H96-G96</f>
      </c>
      <c r="J96" s="147" t="n">
        <v>17509289.7344862</v>
      </c>
      <c r="K96" s="148" t="n">
        <v>17731269.8507494</v>
      </c>
      <c r="L96" s="149" t="str">
        <f>K96-J96</f>
      </c>
      <c r="M96" s="150" t="n">
        <v>3377334.76095115</v>
      </c>
      <c r="N96" s="151" t="n">
        <v>3376570.77956911</v>
      </c>
      <c r="O96" s="152" t="str">
        <f>N96-M96</f>
      </c>
      <c r="P96" s="153" t="n">
        <v>20886624.4954374</v>
      </c>
      <c r="Q96" s="154" t="n">
        <v>21107840.6303185</v>
      </c>
      <c r="R96" s="155" t="str">
        <f>Q96-P96</f>
      </c>
      <c r="S96" s="156" t="str">
        <f>L96</f>
      </c>
    </row>
    <row r="97">
      <c r="A97" t="s">
        <v>272</v>
      </c>
      <c r="B97" s="35" t="s">
        <v>274</v>
      </c>
      <c r="C97" t="n">
        <v>2042</v>
      </c>
      <c r="D97" s="141" t="n">
        <v>1392471.46775538</v>
      </c>
      <c r="E97" s="142" t="n">
        <v>1406876.34005525</v>
      </c>
      <c r="F97" s="143" t="str">
        <f>E97-D97</f>
      </c>
      <c r="G97" s="144" t="n">
        <v>2949336.18575569</v>
      </c>
      <c r="H97" s="145" t="n">
        <v>2962983.46667384</v>
      </c>
      <c r="I97" s="146" t="str">
        <f>H97-G97</f>
      </c>
      <c r="J97" s="147" t="n">
        <v>17752318.2771725</v>
      </c>
      <c r="K97" s="148" t="n">
        <v>17974111.2649187</v>
      </c>
      <c r="L97" s="149" t="str">
        <f>K97-J97</f>
      </c>
      <c r="M97" s="150" t="n">
        <v>3433650.527002</v>
      </c>
      <c r="N97" s="151" t="n">
        <v>3432912.59953705</v>
      </c>
      <c r="O97" s="152" t="str">
        <f>N97-M97</f>
      </c>
      <c r="P97" s="153" t="n">
        <v>21185968.8041745</v>
      </c>
      <c r="Q97" s="154" t="n">
        <v>21407023.8644558</v>
      </c>
      <c r="R97" s="155" t="str">
        <f>Q97-P97</f>
      </c>
      <c r="S97" s="156" t="str">
        <f>L97</f>
      </c>
    </row>
    <row r="98">
      <c r="A98" t="s">
        <v>272</v>
      </c>
      <c r="B98" s="35" t="s">
        <v>274</v>
      </c>
      <c r="C98" t="n">
        <v>2043</v>
      </c>
      <c r="D98" s="141" t="n">
        <v>1418450.49614523</v>
      </c>
      <c r="E98" s="142" t="n">
        <v>1432805.18241214</v>
      </c>
      <c r="F98" s="143" t="str">
        <f>E98-D98</f>
      </c>
      <c r="G98" s="144" t="n">
        <v>2994788.67565582</v>
      </c>
      <c r="H98" s="145" t="n">
        <v>3008470.65003363</v>
      </c>
      <c r="I98" s="146" t="str">
        <f>H98-G98</f>
      </c>
      <c r="J98" s="147" t="n">
        <v>17976198.2142246</v>
      </c>
      <c r="K98" s="148" t="n">
        <v>18198360.1018222</v>
      </c>
      <c r="L98" s="149" t="str">
        <f>K98-J98</f>
      </c>
      <c r="M98" s="150" t="n">
        <v>3489521.39462983</v>
      </c>
      <c r="N98" s="151" t="n">
        <v>3488845.13943546</v>
      </c>
      <c r="O98" s="152" t="str">
        <f>N98-M98</f>
      </c>
      <c r="P98" s="153" t="n">
        <v>21465719.6088545</v>
      </c>
      <c r="Q98" s="154" t="n">
        <v>21687205.2412577</v>
      </c>
      <c r="R98" s="155" t="str">
        <f>Q98-P98</f>
      </c>
      <c r="S98" s="156" t="str">
        <f>L98</f>
      </c>
    </row>
    <row r="99">
      <c r="A99" t="s">
        <v>272</v>
      </c>
      <c r="B99" s="35" t="s">
        <v>274</v>
      </c>
      <c r="C99" t="n">
        <v>2044</v>
      </c>
      <c r="D99" s="141" t="n">
        <v>1443996.44263164</v>
      </c>
      <c r="E99" s="142" t="n">
        <v>1458339.17974938</v>
      </c>
      <c r="F99" s="143" t="str">
        <f>E99-D99</f>
      </c>
      <c r="G99" s="144" t="n">
        <v>3032378.46098826</v>
      </c>
      <c r="H99" s="145" t="n">
        <v>3046056.68354666</v>
      </c>
      <c r="I99" s="146" t="str">
        <f>H99-G99</f>
      </c>
      <c r="J99" s="147" t="n">
        <v>18196927.8960692</v>
      </c>
      <c r="K99" s="148" t="n">
        <v>18419903.9093603</v>
      </c>
      <c r="L99" s="149" t="str">
        <f>K99-J99</f>
      </c>
      <c r="M99" s="150" t="n">
        <v>3544173.10781837</v>
      </c>
      <c r="N99" s="151" t="n">
        <v>3543582.92973372</v>
      </c>
      <c r="O99" s="152" t="str">
        <f>N99-M99</f>
      </c>
      <c r="P99" s="153" t="n">
        <v>21741101.0038876</v>
      </c>
      <c r="Q99" s="154" t="n">
        <v>21963486.839094</v>
      </c>
      <c r="R99" s="155" t="str">
        <f>Q99-P99</f>
      </c>
      <c r="S99" s="156" t="str">
        <f>L99</f>
      </c>
    </row>
    <row r="100">
      <c r="A100" t="s">
        <v>272</v>
      </c>
      <c r="B100" s="35" t="s">
        <v>274</v>
      </c>
      <c r="C100" t="n">
        <v>2045</v>
      </c>
      <c r="D100" s="141" t="n">
        <v>1469555.71731303</v>
      </c>
      <c r="E100" s="142" t="n">
        <v>1483913.39991598</v>
      </c>
      <c r="F100" s="143" t="str">
        <f>E100-D100</f>
      </c>
      <c r="G100" s="144" t="n">
        <v>3068556.17320018</v>
      </c>
      <c r="H100" s="145" t="n">
        <v>3082224.00698585</v>
      </c>
      <c r="I100" s="146" t="str">
        <f>H100-G100</f>
      </c>
      <c r="J100" s="147" t="n">
        <v>18411658.4502825</v>
      </c>
      <c r="K100" s="148" t="n">
        <v>18635707.8486913</v>
      </c>
      <c r="L100" s="149" t="str">
        <f>K100-J100</f>
      </c>
      <c r="M100" s="150" t="n">
        <v>3597460.18186402</v>
      </c>
      <c r="N100" s="151" t="n">
        <v>3596974.60976764</v>
      </c>
      <c r="O100" s="152" t="str">
        <f>N100-M100</f>
      </c>
      <c r="P100" s="153" t="n">
        <v>22009118.6321465</v>
      </c>
      <c r="Q100" s="154" t="n">
        <v>22232682.4584589</v>
      </c>
      <c r="R100" s="155" t="str">
        <f>Q100-P100</f>
      </c>
      <c r="S100" s="156" t="str">
        <f>L100</f>
      </c>
    </row>
    <row r="101">
      <c r="A101" t="s">
        <v>272</v>
      </c>
      <c r="B101" s="35" t="s">
        <v>274</v>
      </c>
      <c r="C101" t="n">
        <v>2046</v>
      </c>
      <c r="D101" s="141" t="n">
        <v>1495089.92031568</v>
      </c>
      <c r="E101" s="142" t="n">
        <v>1509480.27542461</v>
      </c>
      <c r="F101" s="143" t="str">
        <f>E101-D101</f>
      </c>
      <c r="G101" s="144" t="n">
        <v>3110353.49670852</v>
      </c>
      <c r="H101" s="145" t="n">
        <v>3124046.1784475</v>
      </c>
      <c r="I101" s="146" t="str">
        <f>H101-G101</f>
      </c>
      <c r="J101" s="147" t="n">
        <v>18617681.8035481</v>
      </c>
      <c r="K101" s="148" t="n">
        <v>18842942.5524536</v>
      </c>
      <c r="L101" s="149" t="str">
        <f>K101-J101</f>
      </c>
      <c r="M101" s="150" t="n">
        <v>3649878.90200504</v>
      </c>
      <c r="N101" s="151" t="n">
        <v>3649516.08697985</v>
      </c>
      <c r="O101" s="152" t="str">
        <f>N101-M101</f>
      </c>
      <c r="P101" s="153" t="n">
        <v>22267560.7055531</v>
      </c>
      <c r="Q101" s="154" t="n">
        <v>22492458.6394335</v>
      </c>
      <c r="R101" s="155" t="str">
        <f>Q101-P101</f>
      </c>
      <c r="S101" s="156" t="str">
        <f>L101</f>
      </c>
    </row>
    <row r="102">
      <c r="A102" t="s">
        <v>272</v>
      </c>
      <c r="B102" s="35" t="s">
        <v>274</v>
      </c>
      <c r="C102" t="n">
        <v>2047</v>
      </c>
      <c r="D102" s="141" t="n">
        <v>1519803.36015936</v>
      </c>
      <c r="E102" s="142" t="n">
        <v>1534237.5744132</v>
      </c>
      <c r="F102" s="143" t="str">
        <f>E102-D102</f>
      </c>
      <c r="G102" s="144" t="n">
        <v>3145223.11518915</v>
      </c>
      <c r="H102" s="145" t="n">
        <v>3158904.2402998</v>
      </c>
      <c r="I102" s="146" t="str">
        <f>H102-G102</f>
      </c>
      <c r="J102" s="147" t="n">
        <v>18814791.2973313</v>
      </c>
      <c r="K102" s="148" t="n">
        <v>19041387.4378568</v>
      </c>
      <c r="L102" s="149" t="str">
        <f>K102-J102</f>
      </c>
      <c r="M102" s="150" t="n">
        <v>3700941.34878119</v>
      </c>
      <c r="N102" s="151" t="n">
        <v>3700713.68790926</v>
      </c>
      <c r="O102" s="152" t="str">
        <f>N102-M102</f>
      </c>
      <c r="P102" s="153" t="n">
        <v>22515732.6461126</v>
      </c>
      <c r="Q102" s="154" t="n">
        <v>22742101.1257661</v>
      </c>
      <c r="R102" s="155" t="str">
        <f>Q102-P102</f>
      </c>
      <c r="S102" s="156" t="str">
        <f>L102</f>
      </c>
    </row>
    <row r="103">
      <c r="A103" t="s">
        <v>272</v>
      </c>
      <c r="B103" s="35" t="s">
        <v>274</v>
      </c>
      <c r="C103" t="n">
        <v>2048</v>
      </c>
      <c r="D103" s="141" t="n">
        <v>1543106.43994082</v>
      </c>
      <c r="E103" s="142" t="n">
        <v>1557584.97398339</v>
      </c>
      <c r="F103" s="143" t="str">
        <f>E103-D103</f>
      </c>
      <c r="G103" s="144" t="n">
        <v>3180540.42280737</v>
      </c>
      <c r="H103" s="145" t="n">
        <v>3194212.2507101</v>
      </c>
      <c r="I103" s="146" t="str">
        <f>H103-G103</f>
      </c>
      <c r="J103" s="147" t="n">
        <v>18992498.2946336</v>
      </c>
      <c r="K103" s="148" t="n">
        <v>19220391.6480863</v>
      </c>
      <c r="L103" s="149" t="str">
        <f>K103-J103</f>
      </c>
      <c r="M103" s="150" t="n">
        <v>3750907.8462027</v>
      </c>
      <c r="N103" s="151" t="n">
        <v>3750826.45017893</v>
      </c>
      <c r="O103" s="152" t="str">
        <f>N103-M103</f>
      </c>
      <c r="P103" s="153" t="n">
        <v>22743406.1408363</v>
      </c>
      <c r="Q103" s="154" t="n">
        <v>22971218.0982652</v>
      </c>
      <c r="R103" s="155" t="str">
        <f>Q103-P103</f>
      </c>
      <c r="S103" s="156" t="str">
        <f>L103</f>
      </c>
    </row>
    <row r="104">
      <c r="A104" t="s">
        <v>272</v>
      </c>
      <c r="B104" s="35" t="s">
        <v>274</v>
      </c>
      <c r="C104" t="n">
        <v>2049</v>
      </c>
      <c r="D104" s="141" t="n">
        <v>1566614.0037982</v>
      </c>
      <c r="E104" s="142" t="n">
        <v>1581148.70872561</v>
      </c>
      <c r="F104" s="143" t="str">
        <f>E104-D104</f>
      </c>
      <c r="G104" s="144" t="n">
        <v>3213404.57035466</v>
      </c>
      <c r="H104" s="145" t="n">
        <v>3227056.88545618</v>
      </c>
      <c r="I104" s="146" t="str">
        <f>H104-G104</f>
      </c>
      <c r="J104" s="147" t="n">
        <v>19170367.237342</v>
      </c>
      <c r="K104" s="148" t="n">
        <v>19399647.7304913</v>
      </c>
      <c r="L104" s="149" t="str">
        <f>K104-J104</f>
      </c>
      <c r="M104" s="150" t="n">
        <v>3799430.68145633</v>
      </c>
      <c r="N104" s="151" t="n">
        <v>3799503.95708712</v>
      </c>
      <c r="O104" s="152" t="str">
        <f>N104-M104</f>
      </c>
      <c r="P104" s="153" t="n">
        <v>22969797.9187983</v>
      </c>
      <c r="Q104" s="154" t="n">
        <v>23199151.6875784</v>
      </c>
      <c r="R104" s="155" t="str">
        <f>Q104-P104</f>
      </c>
      <c r="S104" s="156" t="str">
        <f>L104</f>
      </c>
    </row>
    <row r="105">
      <c r="A105" t="s">
        <v>272</v>
      </c>
      <c r="B105" s="35" t="s">
        <v>274</v>
      </c>
      <c r="C105" t="n">
        <v>2050</v>
      </c>
      <c r="D105" s="141" t="n">
        <v>1589413.09622892</v>
      </c>
      <c r="E105" s="142" t="n">
        <v>1604008.46344375</v>
      </c>
      <c r="F105" s="143" t="str">
        <f>E105-D105</f>
      </c>
      <c r="G105" s="144" t="n">
        <v>3243572.47308241</v>
      </c>
      <c r="H105" s="145" t="n">
        <v>3257199.2980493</v>
      </c>
      <c r="I105" s="146" t="str">
        <f>H105-G105</f>
      </c>
      <c r="J105" s="147" t="n">
        <v>19339312.323453</v>
      </c>
      <c r="K105" s="148" t="n">
        <v>19570013.4156094</v>
      </c>
      <c r="L105" s="149" t="str">
        <f>K105-J105</f>
      </c>
      <c r="M105" s="150" t="n">
        <v>3846359.89980313</v>
      </c>
      <c r="N105" s="151" t="n">
        <v>3846594.37842674</v>
      </c>
      <c r="O105" s="152" t="str">
        <f>N105-M105</f>
      </c>
      <c r="P105" s="153" t="n">
        <v>23185672.2232561</v>
      </c>
      <c r="Q105" s="154" t="n">
        <v>23416607.7940361</v>
      </c>
      <c r="R105" s="155" t="str">
        <f>Q105-P105</f>
      </c>
      <c r="S105" s="156" t="str">
        <f>L105</f>
      </c>
    </row>
    <row r="106">
      <c r="A106" t="s">
        <v>254</v>
      </c>
      <c r="B106" s="35" t="s">
        <v>418</v>
      </c>
      <c r="C106" t="n">
        <v>2025</v>
      </c>
      <c r="D106" s="141" t="n">
        <v>959793.497483951</v>
      </c>
      <c r="E106" s="142" t="n">
        <v>959793.497483952</v>
      </c>
      <c r="F106" s="143" t="str">
        <f>E106-D106</f>
      </c>
      <c r="G106" s="144" t="n">
        <v>2135199.67580268</v>
      </c>
      <c r="H106" s="145" t="n">
        <v>2135199.67580268</v>
      </c>
      <c r="I106" s="146" t="str">
        <f>H106-G106</f>
      </c>
      <c r="J106" s="147" t="n">
        <v>13078630.7318055</v>
      </c>
      <c r="K106" s="148" t="n">
        <v>13078630.7318055</v>
      </c>
      <c r="L106" s="149" t="str">
        <f>K106-J106</f>
      </c>
      <c r="M106" s="150" t="n">
        <v>2439867.79488052</v>
      </c>
      <c r="N106" s="151" t="n">
        <v>2439867.79488052</v>
      </c>
      <c r="O106" s="152" t="str">
        <f>N106-M106</f>
      </c>
      <c r="P106" s="153" t="n">
        <v>15518498.526686</v>
      </c>
      <c r="Q106" s="154" t="n">
        <v>15518498.526686</v>
      </c>
      <c r="R106" s="155" t="str">
        <f>Q106-P106</f>
      </c>
      <c r="S106" s="156" t="str">
        <f>L106</f>
      </c>
    </row>
    <row r="107">
      <c r="A107" t="s">
        <v>254</v>
      </c>
      <c r="B107" s="35" t="s">
        <v>418</v>
      </c>
      <c r="C107" t="n">
        <v>2026</v>
      </c>
      <c r="D107" s="141" t="n">
        <v>977238.882947913</v>
      </c>
      <c r="E107" s="142" t="n">
        <v>980780.305058052</v>
      </c>
      <c r="F107" s="143" t="str">
        <f>E107-D107</f>
      </c>
      <c r="G107" s="144" t="n">
        <v>2178422.34022079</v>
      </c>
      <c r="H107" s="145" t="n">
        <v>2181019.4587223</v>
      </c>
      <c r="I107" s="146" t="str">
        <f>H107-G107</f>
      </c>
      <c r="J107" s="147" t="n">
        <v>13316922.5696403</v>
      </c>
      <c r="K107" s="148" t="n">
        <v>13376482.4651958</v>
      </c>
      <c r="L107" s="149" t="str">
        <f>K107-J107</f>
      </c>
      <c r="M107" s="150" t="n">
        <v>2495271.20523214</v>
      </c>
      <c r="N107" s="151" t="n">
        <v>2495093.0586842</v>
      </c>
      <c r="O107" s="152" t="str">
        <f>N107-M107</f>
      </c>
      <c r="P107" s="153" t="n">
        <v>15812193.7748725</v>
      </c>
      <c r="Q107" s="154" t="n">
        <v>15871575.5238799</v>
      </c>
      <c r="R107" s="155" t="str">
        <f>Q107-P107</f>
      </c>
      <c r="S107" s="156" t="str">
        <f>L107</f>
      </c>
    </row>
    <row r="108">
      <c r="A108" t="s">
        <v>254</v>
      </c>
      <c r="B108" s="35" t="s">
        <v>418</v>
      </c>
      <c r="C108" t="n">
        <v>2027</v>
      </c>
      <c r="D108" s="141" t="n">
        <v>996439.836872339</v>
      </c>
      <c r="E108" s="142" t="n">
        <v>1003320.79077982</v>
      </c>
      <c r="F108" s="143" t="str">
        <f>E108-D108</f>
      </c>
      <c r="G108" s="144" t="n">
        <v>2222332.94697162</v>
      </c>
      <c r="H108" s="145" t="n">
        <v>2228341.81181597</v>
      </c>
      <c r="I108" s="146" t="str">
        <f>H108-G108</f>
      </c>
      <c r="J108" s="147" t="n">
        <v>13560146.99511</v>
      </c>
      <c r="K108" s="148" t="n">
        <v>13677394.9809697</v>
      </c>
      <c r="L108" s="149" t="str">
        <f>K108-J108</f>
      </c>
      <c r="M108" s="150" t="n">
        <v>2551652.47413089</v>
      </c>
      <c r="N108" s="151" t="n">
        <v>2551241.04250702</v>
      </c>
      <c r="O108" s="152" t="str">
        <f>N108-M108</f>
      </c>
      <c r="P108" s="153" t="n">
        <v>16111799.4692408</v>
      </c>
      <c r="Q108" s="154" t="n">
        <v>16228636.0234767</v>
      </c>
      <c r="R108" s="155" t="str">
        <f>Q108-P108</f>
      </c>
      <c r="S108" s="156" t="str">
        <f>L108</f>
      </c>
    </row>
    <row r="109">
      <c r="A109" t="s">
        <v>254</v>
      </c>
      <c r="B109" s="35" t="s">
        <v>418</v>
      </c>
      <c r="C109" t="n">
        <v>2028</v>
      </c>
      <c r="D109" s="141" t="n">
        <v>1017344.34911419</v>
      </c>
      <c r="E109" s="142" t="n">
        <v>1027500.46902078</v>
      </c>
      <c r="F109" s="143" t="str">
        <f>E109-D109</f>
      </c>
      <c r="G109" s="144" t="n">
        <v>2278657.75220971</v>
      </c>
      <c r="H109" s="145" t="n">
        <v>2288120.69935235</v>
      </c>
      <c r="I109" s="146" t="str">
        <f>H109-G109</f>
      </c>
      <c r="J109" s="147" t="n">
        <v>13799691.1998696</v>
      </c>
      <c r="K109" s="148" t="n">
        <v>13973849.5476407</v>
      </c>
      <c r="L109" s="149" t="str">
        <f>K109-J109</f>
      </c>
      <c r="M109" s="150" t="n">
        <v>2609791.13056431</v>
      </c>
      <c r="N109" s="151" t="n">
        <v>2609119.51816056</v>
      </c>
      <c r="O109" s="152" t="str">
        <f>N109-M109</f>
      </c>
      <c r="P109" s="153" t="n">
        <v>16409482.3304339</v>
      </c>
      <c r="Q109" s="154" t="n">
        <v>16582969.0658013</v>
      </c>
      <c r="R109" s="155" t="str">
        <f>Q109-P109</f>
      </c>
      <c r="S109" s="156" t="str">
        <f>L109</f>
      </c>
    </row>
    <row r="110">
      <c r="A110" t="s">
        <v>254</v>
      </c>
      <c r="B110" s="35" t="s">
        <v>418</v>
      </c>
      <c r="C110" t="n">
        <v>2029</v>
      </c>
      <c r="D110" s="141" t="n">
        <v>1039310.28136505</v>
      </c>
      <c r="E110" s="142" t="n">
        <v>1053610.41066253</v>
      </c>
      <c r="F110" s="143" t="str">
        <f>E110-D110</f>
      </c>
      <c r="G110" s="144" t="n">
        <v>2323265.4018471</v>
      </c>
      <c r="H110" s="145" t="n">
        <v>2336688.0735738</v>
      </c>
      <c r="I110" s="146" t="str">
        <f>H110-G110</f>
      </c>
      <c r="J110" s="147" t="n">
        <v>14047434.9945999</v>
      </c>
      <c r="K110" s="148" t="n">
        <v>14290695.0468445</v>
      </c>
      <c r="L110" s="149" t="str">
        <f>K110-J110</f>
      </c>
      <c r="M110" s="150" t="n">
        <v>2668384.02246023</v>
      </c>
      <c r="N110" s="151" t="n">
        <v>2667387.14052593</v>
      </c>
      <c r="O110" s="152" t="str">
        <f>N110-M110</f>
      </c>
      <c r="P110" s="153" t="n">
        <v>16715819.0170601</v>
      </c>
      <c r="Q110" s="154" t="n">
        <v>16958082.1873704</v>
      </c>
      <c r="R110" s="155" t="str">
        <f>Q110-P110</f>
      </c>
      <c r="S110" s="156" t="str">
        <f>L110</f>
      </c>
    </row>
    <row r="111">
      <c r="A111" t="s">
        <v>254</v>
      </c>
      <c r="B111" s="35" t="s">
        <v>418</v>
      </c>
      <c r="C111" t="n">
        <v>2030</v>
      </c>
      <c r="D111" s="141" t="n">
        <v>1062388.41846585</v>
      </c>
      <c r="E111" s="142" t="n">
        <v>1080810.21872946</v>
      </c>
      <c r="F111" s="143" t="str">
        <f>E111-D111</f>
      </c>
      <c r="G111" s="144" t="n">
        <v>2369072.05661393</v>
      </c>
      <c r="H111" s="145" t="n">
        <v>2386448.80046728</v>
      </c>
      <c r="I111" s="146" t="str">
        <f>H111-G111</f>
      </c>
      <c r="J111" s="147" t="n">
        <v>14289301.4724376</v>
      </c>
      <c r="K111" s="148" t="n">
        <v>14601429.0838702</v>
      </c>
      <c r="L111" s="149" t="str">
        <f>K111-J111</f>
      </c>
      <c r="M111" s="150" t="n">
        <v>2727300.63976087</v>
      </c>
      <c r="N111" s="151" t="n">
        <v>2725934.7625287</v>
      </c>
      <c r="O111" s="152" t="str">
        <f>N111-M111</f>
      </c>
      <c r="P111" s="153" t="n">
        <v>17016602.1121984</v>
      </c>
      <c r="Q111" s="154" t="n">
        <v>17327363.846399</v>
      </c>
      <c r="R111" s="155" t="str">
        <f>Q111-P111</f>
      </c>
      <c r="S111" s="156" t="str">
        <f>L111</f>
      </c>
    </row>
    <row r="112">
      <c r="A112" t="s">
        <v>254</v>
      </c>
      <c r="B112" s="35" t="s">
        <v>418</v>
      </c>
      <c r="C112" t="n">
        <v>2031</v>
      </c>
      <c r="D112" s="141" t="n">
        <v>1088474.27428112</v>
      </c>
      <c r="E112" s="142" t="n">
        <v>1107157.64124119</v>
      </c>
      <c r="F112" s="143" t="str">
        <f>E112-D112</f>
      </c>
      <c r="G112" s="144" t="n">
        <v>2416832.20528819</v>
      </c>
      <c r="H112" s="145" t="n">
        <v>2435295.40356542</v>
      </c>
      <c r="I112" s="146" t="str">
        <f>H112-G112</f>
      </c>
      <c r="J112" s="147" t="n">
        <v>14591946.9858603</v>
      </c>
      <c r="K112" s="148" t="n">
        <v>14910262.6671564</v>
      </c>
      <c r="L112" s="149" t="str">
        <f>K112-J112</f>
      </c>
      <c r="M112" s="150" t="n">
        <v>2786319.458427</v>
      </c>
      <c r="N112" s="151" t="n">
        <v>2784742.81884404</v>
      </c>
      <c r="O112" s="152" t="str">
        <f>N112-M112</f>
      </c>
      <c r="P112" s="153" t="n">
        <v>17378266.4442873</v>
      </c>
      <c r="Q112" s="154" t="n">
        <v>17695005.4860005</v>
      </c>
      <c r="R112" s="155" t="str">
        <f>Q112-P112</f>
      </c>
      <c r="S112" s="156" t="str">
        <f>L112</f>
      </c>
    </row>
    <row r="113">
      <c r="A113" t="s">
        <v>254</v>
      </c>
      <c r="B113" s="35" t="s">
        <v>418</v>
      </c>
      <c r="C113" t="n">
        <v>2032</v>
      </c>
      <c r="D113" s="141" t="n">
        <v>1114782.80833443</v>
      </c>
      <c r="E113" s="142" t="n">
        <v>1133979.82552584</v>
      </c>
      <c r="F113" s="143" t="str">
        <f>E113-D113</f>
      </c>
      <c r="G113" s="144" t="n">
        <v>2466665.38428523</v>
      </c>
      <c r="H113" s="145" t="n">
        <v>2486226.86894442</v>
      </c>
      <c r="I113" s="146" t="str">
        <f>H113-G113</f>
      </c>
      <c r="J113" s="147" t="n">
        <v>14885440.7146109</v>
      </c>
      <c r="K113" s="148" t="n">
        <v>15212724.6096518</v>
      </c>
      <c r="L113" s="149" t="str">
        <f>K113-J113</f>
      </c>
      <c r="M113" s="150" t="n">
        <v>2845563.01617739</v>
      </c>
      <c r="N113" s="151" t="n">
        <v>2843886.54382644</v>
      </c>
      <c r="O113" s="152" t="str">
        <f>N113-M113</f>
      </c>
      <c r="P113" s="153" t="n">
        <v>17731003.7307883</v>
      </c>
      <c r="Q113" s="154" t="n">
        <v>18056611.1534782</v>
      </c>
      <c r="R113" s="155" t="str">
        <f>Q113-P113</f>
      </c>
      <c r="S113" s="156" t="str">
        <f>L113</f>
      </c>
    </row>
    <row r="114">
      <c r="A114" t="s">
        <v>254</v>
      </c>
      <c r="B114" s="35" t="s">
        <v>418</v>
      </c>
      <c r="C114" t="n">
        <v>2033</v>
      </c>
      <c r="D114" s="141" t="n">
        <v>1140678.71796005</v>
      </c>
      <c r="E114" s="142" t="n">
        <v>1160519.0384788</v>
      </c>
      <c r="F114" s="143" t="str">
        <f>E114-D114</f>
      </c>
      <c r="G114" s="144" t="n">
        <v>2523454.89695596</v>
      </c>
      <c r="H114" s="145" t="n">
        <v>2544179.91308165</v>
      </c>
      <c r="I114" s="146" t="str">
        <f>H114-G114</f>
      </c>
      <c r="J114" s="147" t="n">
        <v>15160489.4713176</v>
      </c>
      <c r="K114" s="148" t="n">
        <v>15498146.8141225</v>
      </c>
      <c r="L114" s="149" t="str">
        <f>K114-J114</f>
      </c>
      <c r="M114" s="150" t="n">
        <v>2905623.12061965</v>
      </c>
      <c r="N114" s="151" t="n">
        <v>2903939.00675972</v>
      </c>
      <c r="O114" s="152" t="str">
        <f>N114-M114</f>
      </c>
      <c r="P114" s="153" t="n">
        <v>18066112.5919372</v>
      </c>
      <c r="Q114" s="154" t="n">
        <v>18402085.8208823</v>
      </c>
      <c r="R114" s="155" t="str">
        <f>Q114-P114</f>
      </c>
      <c r="S114" s="156" t="str">
        <f>L114</f>
      </c>
    </row>
    <row r="115">
      <c r="A115" t="s">
        <v>254</v>
      </c>
      <c r="B115" s="35" t="s">
        <v>418</v>
      </c>
      <c r="C115" t="n">
        <v>2034</v>
      </c>
      <c r="D115" s="141" t="n">
        <v>1167776.02142495</v>
      </c>
      <c r="E115" s="142" t="n">
        <v>1187394.62078838</v>
      </c>
      <c r="F115" s="143" t="str">
        <f>E115-D115</f>
      </c>
      <c r="G115" s="144" t="n">
        <v>2570066.42374164</v>
      </c>
      <c r="H115" s="145" t="n">
        <v>2591241.82717547</v>
      </c>
      <c r="I115" s="146" t="str">
        <f>H115-G115</f>
      </c>
      <c r="J115" s="147" t="n">
        <v>15462794.1479117</v>
      </c>
      <c r="K115" s="148" t="n">
        <v>15799428.4193656</v>
      </c>
      <c r="L115" s="149" t="str">
        <f>K115-J115</f>
      </c>
      <c r="M115" s="150" t="n">
        <v>2965462.43726565</v>
      </c>
      <c r="N115" s="151" t="n">
        <v>2963891.11565708</v>
      </c>
      <c r="O115" s="152" t="str">
        <f>N115-M115</f>
      </c>
      <c r="P115" s="153" t="n">
        <v>18428256.5851773</v>
      </c>
      <c r="Q115" s="154" t="n">
        <v>18763319.5350226</v>
      </c>
      <c r="R115" s="155" t="str">
        <f>Q115-P115</f>
      </c>
      <c r="S115" s="156" t="str">
        <f>L115</f>
      </c>
    </row>
    <row r="116">
      <c r="A116" t="s">
        <v>254</v>
      </c>
      <c r="B116" s="35" t="s">
        <v>418</v>
      </c>
      <c r="C116" t="n">
        <v>2035</v>
      </c>
      <c r="D116" s="141" t="n">
        <v>1194804.34494917</v>
      </c>
      <c r="E116" s="142" t="n">
        <v>1214325.97179281</v>
      </c>
      <c r="F116" s="143" t="str">
        <f>E116-D116</f>
      </c>
      <c r="G116" s="144" t="n">
        <v>2615732.67912296</v>
      </c>
      <c r="H116" s="145" t="n">
        <v>2637338.55759301</v>
      </c>
      <c r="I116" s="146" t="str">
        <f>H116-G116</f>
      </c>
      <c r="J116" s="147" t="n">
        <v>15756356.1641681</v>
      </c>
      <c r="K116" s="148" t="n">
        <v>16093445.8910369</v>
      </c>
      <c r="L116" s="149" t="str">
        <f>K116-J116</f>
      </c>
      <c r="M116" s="150" t="n">
        <v>3024931.5289374</v>
      </c>
      <c r="N116" s="151" t="n">
        <v>3023565.75015719</v>
      </c>
      <c r="O116" s="152" t="str">
        <f>N116-M116</f>
      </c>
      <c r="P116" s="153" t="n">
        <v>18781287.6931054</v>
      </c>
      <c r="Q116" s="154" t="n">
        <v>19117011.6411941</v>
      </c>
      <c r="R116" s="155" t="str">
        <f>Q116-P116</f>
      </c>
      <c r="S116" s="156" t="str">
        <f>L116</f>
      </c>
    </row>
    <row r="117">
      <c r="A117" t="s">
        <v>254</v>
      </c>
      <c r="B117" s="35" t="s">
        <v>418</v>
      </c>
      <c r="C117" t="n">
        <v>2036</v>
      </c>
      <c r="D117" s="141" t="n">
        <v>1219067.39281266</v>
      </c>
      <c r="E117" s="142" t="n">
        <v>1242005.19631071</v>
      </c>
      <c r="F117" s="143" t="str">
        <f>E117-D117</f>
      </c>
      <c r="G117" s="144" t="n">
        <v>2663774.59796434</v>
      </c>
      <c r="H117" s="145" t="n">
        <v>2687815.41856241</v>
      </c>
      <c r="I117" s="146" t="str">
        <f>H117-G117</f>
      </c>
      <c r="J117" s="147" t="n">
        <v>16007794.3291437</v>
      </c>
      <c r="K117" s="148" t="n">
        <v>16387284.1170475</v>
      </c>
      <c r="L117" s="149" t="str">
        <f>K117-J117</f>
      </c>
      <c r="M117" s="150" t="n">
        <v>3084498.08255013</v>
      </c>
      <c r="N117" s="151" t="n">
        <v>3083207.24745521</v>
      </c>
      <c r="O117" s="152" t="str">
        <f>N117-M117</f>
      </c>
      <c r="P117" s="153" t="n">
        <v>19092292.4116938</v>
      </c>
      <c r="Q117" s="154" t="n">
        <v>19470491.3645027</v>
      </c>
      <c r="R117" s="155" t="str">
        <f>Q117-P117</f>
      </c>
      <c r="S117" s="156" t="str">
        <f>L117</f>
      </c>
    </row>
    <row r="118">
      <c r="A118" t="s">
        <v>254</v>
      </c>
      <c r="B118" s="35" t="s">
        <v>418</v>
      </c>
      <c r="C118" t="n">
        <v>2037</v>
      </c>
      <c r="D118" s="141" t="n">
        <v>1243608.8332815</v>
      </c>
      <c r="E118" s="142" t="n">
        <v>1269807.80909442</v>
      </c>
      <c r="F118" s="143" t="str">
        <f>E118-D118</f>
      </c>
      <c r="G118" s="144" t="n">
        <v>2710846.52244441</v>
      </c>
      <c r="H118" s="145" t="n">
        <v>2737274.790777</v>
      </c>
      <c r="I118" s="146" t="str">
        <f>H118-G118</f>
      </c>
      <c r="J118" s="147" t="n">
        <v>16251963.1893326</v>
      </c>
      <c r="K118" s="148" t="n">
        <v>16672497.8198669</v>
      </c>
      <c r="L118" s="149" t="str">
        <f>K118-J118</f>
      </c>
      <c r="M118" s="150" t="n">
        <v>3143971.83281911</v>
      </c>
      <c r="N118" s="151" t="n">
        <v>3142666.59064758</v>
      </c>
      <c r="O118" s="152" t="str">
        <f>N118-M118</f>
      </c>
      <c r="P118" s="153" t="n">
        <v>19395935.0221517</v>
      </c>
      <c r="Q118" s="154" t="n">
        <v>19815164.4105145</v>
      </c>
      <c r="R118" s="155" t="str">
        <f>Q118-P118</f>
      </c>
      <c r="S118" s="156" t="str">
        <f>L118</f>
      </c>
    </row>
    <row r="119">
      <c r="A119" t="s">
        <v>254</v>
      </c>
      <c r="B119" s="35" t="s">
        <v>418</v>
      </c>
      <c r="C119" t="n">
        <v>2038</v>
      </c>
      <c r="D119" s="141" t="n">
        <v>1267758.5539269</v>
      </c>
      <c r="E119" s="142" t="n">
        <v>1297176.25542108</v>
      </c>
      <c r="F119" s="143" t="str">
        <f>E119-D119</f>
      </c>
      <c r="G119" s="144" t="n">
        <v>2761837.37242213</v>
      </c>
      <c r="H119" s="145" t="n">
        <v>2790687.02121721</v>
      </c>
      <c r="I119" s="146" t="str">
        <f>H119-G119</f>
      </c>
      <c r="J119" s="147" t="n">
        <v>16481972.6632168</v>
      </c>
      <c r="K119" s="148" t="n">
        <v>16943079.5437892</v>
      </c>
      <c r="L119" s="149" t="str">
        <f>K119-J119</f>
      </c>
      <c r="M119" s="150" t="n">
        <v>3203754.17268417</v>
      </c>
      <c r="N119" s="151" t="n">
        <v>3202368.92676633</v>
      </c>
      <c r="O119" s="152" t="str">
        <f>N119-M119</f>
      </c>
      <c r="P119" s="153" t="n">
        <v>19685726.8359009</v>
      </c>
      <c r="Q119" s="154" t="n">
        <v>20145448.4705555</v>
      </c>
      <c r="R119" s="155" t="str">
        <f>Q119-P119</f>
      </c>
      <c r="S119" s="156" t="str">
        <f>L119</f>
      </c>
    </row>
    <row r="120">
      <c r="A120" t="s">
        <v>254</v>
      </c>
      <c r="B120" s="35" t="s">
        <v>418</v>
      </c>
      <c r="C120" t="n">
        <v>2039</v>
      </c>
      <c r="D120" s="141" t="n">
        <v>1292683.85407947</v>
      </c>
      <c r="E120" s="142" t="n">
        <v>1325347.79629959</v>
      </c>
      <c r="F120" s="143" t="str">
        <f>E120-D120</f>
      </c>
      <c r="G120" s="144" t="n">
        <v>2804079.98351633</v>
      </c>
      <c r="H120" s="145" t="n">
        <v>2835232.8138728</v>
      </c>
      <c r="I120" s="146" t="str">
        <f>H120-G120</f>
      </c>
      <c r="J120" s="147" t="n">
        <v>16714818.5599762</v>
      </c>
      <c r="K120" s="148" t="n">
        <v>17216985.482207</v>
      </c>
      <c r="L120" s="149" t="str">
        <f>K120-J120</f>
      </c>
      <c r="M120" s="150" t="n">
        <v>3262839.80904031</v>
      </c>
      <c r="N120" s="151" t="n">
        <v>3261308.04483665</v>
      </c>
      <c r="O120" s="152" t="str">
        <f>N120-M120</f>
      </c>
      <c r="P120" s="153" t="n">
        <v>19977658.3690165</v>
      </c>
      <c r="Q120" s="154" t="n">
        <v>20478293.5270436</v>
      </c>
      <c r="R120" s="155" t="str">
        <f>Q120-P120</f>
      </c>
      <c r="S120" s="156" t="str">
        <f>L120</f>
      </c>
    </row>
    <row r="121">
      <c r="A121" t="s">
        <v>254</v>
      </c>
      <c r="B121" s="35" t="s">
        <v>418</v>
      </c>
      <c r="C121" t="n">
        <v>2040</v>
      </c>
      <c r="D121" s="141" t="n">
        <v>1316857.16550869</v>
      </c>
      <c r="E121" s="142" t="n">
        <v>1352787.67550619</v>
      </c>
      <c r="F121" s="143" t="str">
        <f>E121-D121</f>
      </c>
      <c r="G121" s="144" t="n">
        <v>2842998.04239975</v>
      </c>
      <c r="H121" s="145" t="n">
        <v>2876390.02123241</v>
      </c>
      <c r="I121" s="146" t="str">
        <f>H121-G121</f>
      </c>
      <c r="J121" s="147" t="n">
        <v>16933641.2720618</v>
      </c>
      <c r="K121" s="148" t="n">
        <v>17477129.0980303</v>
      </c>
      <c r="L121" s="149" t="str">
        <f>K121-J121</f>
      </c>
      <c r="M121" s="150" t="n">
        <v>3320970.05088605</v>
      </c>
      <c r="N121" s="151" t="n">
        <v>3319226.53845978</v>
      </c>
      <c r="O121" s="152" t="str">
        <f>N121-M121</f>
      </c>
      <c r="P121" s="153" t="n">
        <v>20254611.3229479</v>
      </c>
      <c r="Q121" s="154" t="n">
        <v>20796355.63649</v>
      </c>
      <c r="R121" s="155" t="str">
        <f>Q121-P121</f>
      </c>
      <c r="S121" s="156" t="str">
        <f>L121</f>
      </c>
    </row>
    <row r="122">
      <c r="A122" t="s">
        <v>254</v>
      </c>
      <c r="B122" s="35" t="s">
        <v>418</v>
      </c>
      <c r="C122" t="n">
        <v>2041</v>
      </c>
      <c r="D122" s="141" t="n">
        <v>1344678.51942514</v>
      </c>
      <c r="E122" s="142" t="n">
        <v>1380070.96412439</v>
      </c>
      <c r="F122" s="143" t="str">
        <f>E122-D122</f>
      </c>
      <c r="G122" s="144" t="n">
        <v>2888995.87980393</v>
      </c>
      <c r="H122" s="145" t="n">
        <v>2922451.7840816</v>
      </c>
      <c r="I122" s="146" t="str">
        <f>H122-G122</f>
      </c>
      <c r="J122" s="147" t="n">
        <v>17191076.2777761</v>
      </c>
      <c r="K122" s="148" t="n">
        <v>17731269.8507494</v>
      </c>
      <c r="L122" s="149" t="str">
        <f>K122-J122</f>
      </c>
      <c r="M122" s="150" t="n">
        <v>3378349.96570929</v>
      </c>
      <c r="N122" s="151" t="n">
        <v>3376570.77956911</v>
      </c>
      <c r="O122" s="152" t="str">
        <f>N122-M122</f>
      </c>
      <c r="P122" s="153" t="n">
        <v>20569426.2434854</v>
      </c>
      <c r="Q122" s="154" t="n">
        <v>21107840.6303185</v>
      </c>
      <c r="R122" s="155" t="str">
        <f>Q122-P122</f>
      </c>
      <c r="S122" s="156" t="str">
        <f>L122</f>
      </c>
    </row>
    <row r="123">
      <c r="A123" t="s">
        <v>254</v>
      </c>
      <c r="B123" s="35" t="s">
        <v>418</v>
      </c>
      <c r="C123" t="n">
        <v>2042</v>
      </c>
      <c r="D123" s="141" t="n">
        <v>1371727.73715814</v>
      </c>
      <c r="E123" s="142" t="n">
        <v>1406876.34005525</v>
      </c>
      <c r="F123" s="143" t="str">
        <f>E123-D123</f>
      </c>
      <c r="G123" s="144" t="n">
        <v>2929511.66909951</v>
      </c>
      <c r="H123" s="145" t="n">
        <v>2962983.46667384</v>
      </c>
      <c r="I123" s="146" t="str">
        <f>H123-G123</f>
      </c>
      <c r="J123" s="147" t="n">
        <v>17434234.6553272</v>
      </c>
      <c r="K123" s="148" t="n">
        <v>17974111.2649187</v>
      </c>
      <c r="L123" s="149" t="str">
        <f>K123-J123</f>
      </c>
      <c r="M123" s="150" t="n">
        <v>3434617.28473585</v>
      </c>
      <c r="N123" s="151" t="n">
        <v>3432912.59953705</v>
      </c>
      <c r="O123" s="152" t="str">
        <f>N123-M123</f>
      </c>
      <c r="P123" s="153" t="n">
        <v>20868851.940063</v>
      </c>
      <c r="Q123" s="154" t="n">
        <v>21407023.8644558</v>
      </c>
      <c r="R123" s="155" t="str">
        <f>Q123-P123</f>
      </c>
      <c r="S123" s="156" t="str">
        <f>L123</f>
      </c>
    </row>
    <row r="124">
      <c r="A124" t="s">
        <v>254</v>
      </c>
      <c r="B124" s="35" t="s">
        <v>418</v>
      </c>
      <c r="C124" t="n">
        <v>2043</v>
      </c>
      <c r="D124" s="141" t="n">
        <v>1397764.42848088</v>
      </c>
      <c r="E124" s="142" t="n">
        <v>1432805.18241214</v>
      </c>
      <c r="F124" s="143" t="str">
        <f>E124-D124</f>
      </c>
      <c r="G124" s="144" t="n">
        <v>2974904.6931314</v>
      </c>
      <c r="H124" s="145" t="n">
        <v>3008470.65003363</v>
      </c>
      <c r="I124" s="146" t="str">
        <f>H124-G124</f>
      </c>
      <c r="J124" s="147" t="n">
        <v>17657476.4441493</v>
      </c>
      <c r="K124" s="148" t="n">
        <v>18198360.1018222</v>
      </c>
      <c r="L124" s="149" t="str">
        <f>K124-J124</f>
      </c>
      <c r="M124" s="150" t="n">
        <v>3490388.54164235</v>
      </c>
      <c r="N124" s="151" t="n">
        <v>3488845.13943546</v>
      </c>
      <c r="O124" s="152" t="str">
        <f>N124-M124</f>
      </c>
      <c r="P124" s="153" t="n">
        <v>21147864.9857916</v>
      </c>
      <c r="Q124" s="154" t="n">
        <v>21687205.2412577</v>
      </c>
      <c r="R124" s="155" t="str">
        <f>Q124-P124</f>
      </c>
      <c r="S124" s="156" t="str">
        <f>L124</f>
      </c>
    </row>
    <row r="125">
      <c r="A125" t="s">
        <v>254</v>
      </c>
      <c r="B125" s="35" t="s">
        <v>418</v>
      </c>
      <c r="C125" t="n">
        <v>2044</v>
      </c>
      <c r="D125" s="141" t="n">
        <v>1423314.58682463</v>
      </c>
      <c r="E125" s="142" t="n">
        <v>1458339.17974938</v>
      </c>
      <c r="F125" s="143" t="str">
        <f>E125-D125</f>
      </c>
      <c r="G125" s="144" t="n">
        <v>3012491.36858359</v>
      </c>
      <c r="H125" s="145" t="n">
        <v>3046056.68354666</v>
      </c>
      <c r="I125" s="146" t="str">
        <f>H125-G125</f>
      </c>
      <c r="J125" s="147" t="n">
        <v>17876944.1567796</v>
      </c>
      <c r="K125" s="148" t="n">
        <v>18419903.9093603</v>
      </c>
      <c r="L125" s="149" t="str">
        <f>K125-J125</f>
      </c>
      <c r="M125" s="150" t="n">
        <v>3544905.59225811</v>
      </c>
      <c r="N125" s="151" t="n">
        <v>3543582.92973372</v>
      </c>
      <c r="O125" s="152" t="str">
        <f>N125-M125</f>
      </c>
      <c r="P125" s="153" t="n">
        <v>21421849.7490378</v>
      </c>
      <c r="Q125" s="154" t="n">
        <v>21963486.839094</v>
      </c>
      <c r="R125" s="155" t="str">
        <f>Q125-P125</f>
      </c>
      <c r="S125" s="156" t="str">
        <f>L125</f>
      </c>
    </row>
    <row r="126">
      <c r="A126" t="s">
        <v>254</v>
      </c>
      <c r="B126" s="35" t="s">
        <v>418</v>
      </c>
      <c r="C126" t="n">
        <v>2045</v>
      </c>
      <c r="D126" s="141" t="n">
        <v>1448840.14838219</v>
      </c>
      <c r="E126" s="142" t="n">
        <v>1483913.39991598</v>
      </c>
      <c r="F126" s="143" t="str">
        <f>E126-D126</f>
      </c>
      <c r="G126" s="144" t="n">
        <v>3048676.0672365</v>
      </c>
      <c r="H126" s="145" t="n">
        <v>3082224.00698585</v>
      </c>
      <c r="I126" s="146" t="str">
        <f>H126-G126</f>
      </c>
      <c r="J126" s="147" t="n">
        <v>18090048.4787028</v>
      </c>
      <c r="K126" s="148" t="n">
        <v>18635707.8486913</v>
      </c>
      <c r="L126" s="149" t="str">
        <f>K126-J126</f>
      </c>
      <c r="M126" s="150" t="n">
        <v>3598031.42403369</v>
      </c>
      <c r="N126" s="151" t="n">
        <v>3596974.60976764</v>
      </c>
      <c r="O126" s="152" t="str">
        <f>N126-M126</f>
      </c>
      <c r="P126" s="153" t="n">
        <v>21688079.9027365</v>
      </c>
      <c r="Q126" s="154" t="n">
        <v>22232682.4584589</v>
      </c>
      <c r="R126" s="155" t="str">
        <f>Q126-P126</f>
      </c>
      <c r="S126" s="156" t="str">
        <f>L126</f>
      </c>
    </row>
    <row r="127">
      <c r="A127" t="s">
        <v>254</v>
      </c>
      <c r="B127" s="35" t="s">
        <v>418</v>
      </c>
      <c r="C127" t="n">
        <v>2046</v>
      </c>
      <c r="D127" s="141" t="n">
        <v>1474315.6904887</v>
      </c>
      <c r="E127" s="142" t="n">
        <v>1509480.27542461</v>
      </c>
      <c r="F127" s="143" t="str">
        <f>E127-D127</f>
      </c>
      <c r="G127" s="144" t="n">
        <v>3090430.08128238</v>
      </c>
      <c r="H127" s="145" t="n">
        <v>3124046.1784475</v>
      </c>
      <c r="I127" s="146" t="str">
        <f>H127-G127</f>
      </c>
      <c r="J127" s="147" t="n">
        <v>18294252.6051788</v>
      </c>
      <c r="K127" s="148" t="n">
        <v>18842942.5524536</v>
      </c>
      <c r="L127" s="149" t="str">
        <f>K127-J127</f>
      </c>
      <c r="M127" s="150" t="n">
        <v>3650262.87102069</v>
      </c>
      <c r="N127" s="151" t="n">
        <v>3649516.08697985</v>
      </c>
      <c r="O127" s="152" t="str">
        <f>N127-M127</f>
      </c>
      <c r="P127" s="153" t="n">
        <v>21944515.4761995</v>
      </c>
      <c r="Q127" s="154" t="n">
        <v>22492458.6394335</v>
      </c>
      <c r="R127" s="155" t="str">
        <f>Q127-P127</f>
      </c>
      <c r="S127" s="156" t="str">
        <f>L127</f>
      </c>
    </row>
    <row r="128">
      <c r="A128" t="s">
        <v>254</v>
      </c>
      <c r="B128" s="35" t="s">
        <v>418</v>
      </c>
      <c r="C128" t="n">
        <v>2047</v>
      </c>
      <c r="D128" s="141" t="n">
        <v>1498955.09417504</v>
      </c>
      <c r="E128" s="142" t="n">
        <v>1534237.5744132</v>
      </c>
      <c r="F128" s="143" t="str">
        <f>E128-D128</f>
      </c>
      <c r="G128" s="144" t="n">
        <v>3125309.42267366</v>
      </c>
      <c r="H128" s="145" t="n">
        <v>3158904.2402998</v>
      </c>
      <c r="I128" s="146" t="str">
        <f>H128-G128</f>
      </c>
      <c r="J128" s="147" t="n">
        <v>18489372.2655565</v>
      </c>
      <c r="K128" s="148" t="n">
        <v>19041387.4378568</v>
      </c>
      <c r="L128" s="149" t="str">
        <f>K128-J128</f>
      </c>
      <c r="M128" s="150" t="n">
        <v>3701120.31534778</v>
      </c>
      <c r="N128" s="151" t="n">
        <v>3700713.68790926</v>
      </c>
      <c r="O128" s="152" t="str">
        <f>N128-M128</f>
      </c>
      <c r="P128" s="153" t="n">
        <v>22190492.5809043</v>
      </c>
      <c r="Q128" s="154" t="n">
        <v>22742101.1257661</v>
      </c>
      <c r="R128" s="155" t="str">
        <f>Q128-P128</f>
      </c>
      <c r="S128" s="156" t="str">
        <f>L128</f>
      </c>
    </row>
    <row r="129">
      <c r="A129" t="s">
        <v>254</v>
      </c>
      <c r="B129" s="35" t="s">
        <v>418</v>
      </c>
      <c r="C129" t="n">
        <v>2048</v>
      </c>
      <c r="D129" s="141" t="n">
        <v>1522184.02878018</v>
      </c>
      <c r="E129" s="142" t="n">
        <v>1557584.97398339</v>
      </c>
      <c r="F129" s="143" t="str">
        <f>E129-D129</f>
      </c>
      <c r="G129" s="144" t="n">
        <v>3160633.38754494</v>
      </c>
      <c r="H129" s="145" t="n">
        <v>3194212.2507101</v>
      </c>
      <c r="I129" s="146" t="str">
        <f>H129-G129</f>
      </c>
      <c r="J129" s="147" t="n">
        <v>18665150.8451147</v>
      </c>
      <c r="K129" s="148" t="n">
        <v>19220391.6480863</v>
      </c>
      <c r="L129" s="149" t="str">
        <f>K129-J129</f>
      </c>
      <c r="M129" s="150" t="n">
        <v>3750865.91466628</v>
      </c>
      <c r="N129" s="151" t="n">
        <v>3750826.45017893</v>
      </c>
      <c r="O129" s="152" t="str">
        <f>N129-M129</f>
      </c>
      <c r="P129" s="153" t="n">
        <v>22416016.759781</v>
      </c>
      <c r="Q129" s="154" t="n">
        <v>22971218.0982652</v>
      </c>
      <c r="R129" s="155" t="str">
        <f>Q129-P129</f>
      </c>
      <c r="S129" s="156" t="str">
        <f>L129</f>
      </c>
    </row>
    <row r="130">
      <c r="A130" t="s">
        <v>254</v>
      </c>
      <c r="B130" s="35" t="s">
        <v>418</v>
      </c>
      <c r="C130" t="n">
        <v>2049</v>
      </c>
      <c r="D130" s="141" t="n">
        <v>1545600.83769178</v>
      </c>
      <c r="E130" s="142" t="n">
        <v>1581148.70872561</v>
      </c>
      <c r="F130" s="143" t="str">
        <f>E130-D130</f>
      </c>
      <c r="G130" s="144" t="n">
        <v>3193519.32202722</v>
      </c>
      <c r="H130" s="145" t="n">
        <v>3227056.88545618</v>
      </c>
      <c r="I130" s="146" t="str">
        <f>H130-G130</f>
      </c>
      <c r="J130" s="147" t="n">
        <v>18840963.8951096</v>
      </c>
      <c r="K130" s="148" t="n">
        <v>19399647.7304913</v>
      </c>
      <c r="L130" s="149" t="str">
        <f>K130-J130</f>
      </c>
      <c r="M130" s="150" t="n">
        <v>3799155.89312079</v>
      </c>
      <c r="N130" s="151" t="n">
        <v>3799503.95708712</v>
      </c>
      <c r="O130" s="152" t="str">
        <f>N130-M130</f>
      </c>
      <c r="P130" s="153" t="n">
        <v>22640119.7882304</v>
      </c>
      <c r="Q130" s="154" t="n">
        <v>23199151.6875784</v>
      </c>
      <c r="R130" s="155" t="str">
        <f>Q130-P130</f>
      </c>
      <c r="S130" s="156" t="str">
        <f>L130</f>
      </c>
    </row>
    <row r="131">
      <c r="A131" t="s">
        <v>254</v>
      </c>
      <c r="B131" s="35" t="s">
        <v>418</v>
      </c>
      <c r="C131" t="n">
        <v>2050</v>
      </c>
      <c r="D131" s="141" t="n">
        <v>1568302.94358999</v>
      </c>
      <c r="E131" s="142" t="n">
        <v>1604008.46344375</v>
      </c>
      <c r="F131" s="143" t="str">
        <f>E131-D131</f>
      </c>
      <c r="G131" s="144" t="n">
        <v>3223718.02652943</v>
      </c>
      <c r="H131" s="145" t="n">
        <v>3257199.2980493</v>
      </c>
      <c r="I131" s="146" t="str">
        <f>H131-G131</f>
      </c>
      <c r="J131" s="147" t="n">
        <v>19007807.2265515</v>
      </c>
      <c r="K131" s="148" t="n">
        <v>19570013.4156094</v>
      </c>
      <c r="L131" s="149" t="str">
        <f>K131-J131</f>
      </c>
      <c r="M131" s="150" t="n">
        <v>3845843.03619141</v>
      </c>
      <c r="N131" s="151" t="n">
        <v>3846594.37842674</v>
      </c>
      <c r="O131" s="152" t="str">
        <f>N131-M131</f>
      </c>
      <c r="P131" s="153" t="n">
        <v>22853650.2627429</v>
      </c>
      <c r="Q131" s="154" t="n">
        <v>23416607.7940361</v>
      </c>
      <c r="R131" s="155" t="str">
        <f>Q131-P131</f>
      </c>
      <c r="S131" s="156" t="str">
        <f>L131</f>
      </c>
    </row>
    <row r="132">
      <c r="A132" t="s">
        <v>219</v>
      </c>
      <c r="B132" s="35" t="s">
        <v>221</v>
      </c>
      <c r="C132" t="n">
        <v>2025</v>
      </c>
      <c r="D132" s="141" t="n">
        <v>959793.497483951</v>
      </c>
      <c r="E132" s="142" t="n">
        <v>959793.497483952</v>
      </c>
      <c r="F132" s="143" t="str">
        <f>E132-D132</f>
      </c>
      <c r="G132" s="144" t="n">
        <v>2135199.67580268</v>
      </c>
      <c r="H132" s="145" t="n">
        <v>2135199.67580268</v>
      </c>
      <c r="I132" s="146" t="str">
        <f>H132-G132</f>
      </c>
      <c r="J132" s="147" t="n">
        <v>13078630.7318055</v>
      </c>
      <c r="K132" s="148" t="n">
        <v>13078630.7318055</v>
      </c>
      <c r="L132" s="149" t="str">
        <f>K132-J132</f>
      </c>
      <c r="M132" s="150" t="n">
        <v>2439867.79488052</v>
      </c>
      <c r="N132" s="151" t="n">
        <v>2439867.79488052</v>
      </c>
      <c r="O132" s="152" t="str">
        <f>N132-M132</f>
      </c>
      <c r="P132" s="153" t="n">
        <v>15518498.526686</v>
      </c>
      <c r="Q132" s="154" t="n">
        <v>15518498.526686</v>
      </c>
      <c r="R132" s="155" t="str">
        <f>Q132-P132</f>
      </c>
      <c r="S132" s="156" t="str">
        <f>L132</f>
      </c>
    </row>
    <row r="133">
      <c r="A133" t="s">
        <v>219</v>
      </c>
      <c r="B133" s="35" t="s">
        <v>221</v>
      </c>
      <c r="C133" t="n">
        <v>2026</v>
      </c>
      <c r="D133" s="141" t="n">
        <v>978673.932122676</v>
      </c>
      <c r="E133" s="142" t="n">
        <v>980780.305058052</v>
      </c>
      <c r="F133" s="143" t="str">
        <f>E133-D133</f>
      </c>
      <c r="G133" s="144" t="n">
        <v>2179476.0758828</v>
      </c>
      <c r="H133" s="145" t="n">
        <v>2181019.4587223</v>
      </c>
      <c r="I133" s="146" t="str">
        <f>H133-G133</f>
      </c>
      <c r="J133" s="147" t="n">
        <v>13341043.5649959</v>
      </c>
      <c r="K133" s="148" t="n">
        <v>13376482.4651958</v>
      </c>
      <c r="L133" s="149" t="str">
        <f>K133-J133</f>
      </c>
      <c r="M133" s="150" t="n">
        <v>2495199.14261351</v>
      </c>
      <c r="N133" s="151" t="n">
        <v>2495093.0586842</v>
      </c>
      <c r="O133" s="152" t="str">
        <f>N133-M133</f>
      </c>
      <c r="P133" s="153" t="n">
        <v>15836242.7076094</v>
      </c>
      <c r="Q133" s="154" t="n">
        <v>15871575.5238799</v>
      </c>
      <c r="R133" s="155" t="str">
        <f>Q133-P133</f>
      </c>
      <c r="S133" s="156" t="str">
        <f>L133</f>
      </c>
    </row>
    <row r="134">
      <c r="A134" t="s">
        <v>219</v>
      </c>
      <c r="B134" s="35" t="s">
        <v>221</v>
      </c>
      <c r="C134" t="n">
        <v>2027</v>
      </c>
      <c r="D134" s="141" t="n">
        <v>999221.301516957</v>
      </c>
      <c r="E134" s="142" t="n">
        <v>1003320.79077982</v>
      </c>
      <c r="F134" s="143" t="str">
        <f>E134-D134</f>
      </c>
      <c r="G134" s="144" t="n">
        <v>2224768.56389216</v>
      </c>
      <c r="H134" s="145" t="n">
        <v>2228341.81181597</v>
      </c>
      <c r="I134" s="146" t="str">
        <f>H134-G134</f>
      </c>
      <c r="J134" s="147" t="n">
        <v>13607487.2986222</v>
      </c>
      <c r="K134" s="148" t="n">
        <v>13677394.9809697</v>
      </c>
      <c r="L134" s="149" t="str">
        <f>K134-J134</f>
      </c>
      <c r="M134" s="150" t="n">
        <v>2551486.72733603</v>
      </c>
      <c r="N134" s="151" t="n">
        <v>2551241.04250702</v>
      </c>
      <c r="O134" s="152" t="str">
        <f>N134-M134</f>
      </c>
      <c r="P134" s="153" t="n">
        <v>16158974.0259582</v>
      </c>
      <c r="Q134" s="154" t="n">
        <v>16228636.0234767</v>
      </c>
      <c r="R134" s="155" t="str">
        <f>Q134-P134</f>
      </c>
      <c r="S134" s="156" t="str">
        <f>L134</f>
      </c>
    </row>
    <row r="135">
      <c r="A135" t="s">
        <v>219</v>
      </c>
      <c r="B135" s="35" t="s">
        <v>221</v>
      </c>
      <c r="C135" t="n">
        <v>2028</v>
      </c>
      <c r="D135" s="141" t="n">
        <v>1021440.12320843</v>
      </c>
      <c r="E135" s="142" t="n">
        <v>1027500.46902078</v>
      </c>
      <c r="F135" s="143" t="str">
        <f>E135-D135</f>
      </c>
      <c r="G135" s="144" t="n">
        <v>2282489.53568297</v>
      </c>
      <c r="H135" s="145" t="n">
        <v>2288120.69935235</v>
      </c>
      <c r="I135" s="146" t="str">
        <f>H135-G135</f>
      </c>
      <c r="J135" s="147" t="n">
        <v>13869804.5268752</v>
      </c>
      <c r="K135" s="148" t="n">
        <v>13973849.5476407</v>
      </c>
      <c r="L135" s="149" t="str">
        <f>K135-J135</f>
      </c>
      <c r="M135" s="150" t="n">
        <v>2609521.87564473</v>
      </c>
      <c r="N135" s="151" t="n">
        <v>2609119.51816056</v>
      </c>
      <c r="O135" s="152" t="str">
        <f>N135-M135</f>
      </c>
      <c r="P135" s="153" t="n">
        <v>16479326.4025199</v>
      </c>
      <c r="Q135" s="154" t="n">
        <v>16582969.0658013</v>
      </c>
      <c r="R135" s="155" t="str">
        <f>Q135-P135</f>
      </c>
      <c r="S135" s="156" t="str">
        <f>L135</f>
      </c>
    </row>
    <row r="136">
      <c r="A136" t="s">
        <v>219</v>
      </c>
      <c r="B136" s="35" t="s">
        <v>221</v>
      </c>
      <c r="C136" t="n">
        <v>2029</v>
      </c>
      <c r="D136" s="141" t="n">
        <v>1045061.79663628</v>
      </c>
      <c r="E136" s="142" t="n">
        <v>1053610.41066253</v>
      </c>
      <c r="F136" s="143" t="str">
        <f>E136-D136</f>
      </c>
      <c r="G136" s="144" t="n">
        <v>2328694.24114653</v>
      </c>
      <c r="H136" s="145" t="n">
        <v>2336688.0735738</v>
      </c>
      <c r="I136" s="146" t="str">
        <f>H136-G136</f>
      </c>
      <c r="J136" s="147" t="n">
        <v>14145052.4656312</v>
      </c>
      <c r="K136" s="148" t="n">
        <v>14290695.0468445</v>
      </c>
      <c r="L136" s="149" t="str">
        <f>K136-J136</f>
      </c>
      <c r="M136" s="150" t="n">
        <v>2667986.66287318</v>
      </c>
      <c r="N136" s="151" t="n">
        <v>2667387.14052593</v>
      </c>
      <c r="O136" s="152" t="str">
        <f>N136-M136</f>
      </c>
      <c r="P136" s="153" t="n">
        <v>16813039.1285044</v>
      </c>
      <c r="Q136" s="154" t="n">
        <v>16958082.1873704</v>
      </c>
      <c r="R136" s="155" t="str">
        <f>Q136-P136</f>
      </c>
      <c r="S136" s="156" t="str">
        <f>L136</f>
      </c>
    </row>
    <row r="137">
      <c r="A137" t="s">
        <v>219</v>
      </c>
      <c r="B137" s="35" t="s">
        <v>221</v>
      </c>
      <c r="C137" t="n">
        <v>2030</v>
      </c>
      <c r="D137" s="141" t="n">
        <v>1069778.53911197</v>
      </c>
      <c r="E137" s="142" t="n">
        <v>1080810.21872946</v>
      </c>
      <c r="F137" s="143" t="str">
        <f>E137-D137</f>
      </c>
      <c r="G137" s="144" t="n">
        <v>2376092.11258623</v>
      </c>
      <c r="H137" s="145" t="n">
        <v>2386448.80046728</v>
      </c>
      <c r="I137" s="146" t="str">
        <f>H137-G137</f>
      </c>
      <c r="J137" s="147" t="n">
        <v>14414161.5925619</v>
      </c>
      <c r="K137" s="148" t="n">
        <v>14601429.0838702</v>
      </c>
      <c r="L137" s="149" t="str">
        <f>K137-J137</f>
      </c>
      <c r="M137" s="150" t="n">
        <v>2726759.615378</v>
      </c>
      <c r="N137" s="151" t="n">
        <v>2725934.7625287</v>
      </c>
      <c r="O137" s="152" t="str">
        <f>N137-M137</f>
      </c>
      <c r="P137" s="153" t="n">
        <v>17140921.2079399</v>
      </c>
      <c r="Q137" s="154" t="n">
        <v>17327363.846399</v>
      </c>
      <c r="R137" s="155" t="str">
        <f>Q137-P137</f>
      </c>
      <c r="S137" s="156" t="str">
        <f>L137</f>
      </c>
    </row>
    <row r="138">
      <c r="A138" t="s">
        <v>219</v>
      </c>
      <c r="B138" s="35" t="s">
        <v>221</v>
      </c>
      <c r="C138" t="n">
        <v>2031</v>
      </c>
      <c r="D138" s="141" t="n">
        <v>1095971.75873558</v>
      </c>
      <c r="E138" s="142" t="n">
        <v>1107157.64124119</v>
      </c>
      <c r="F138" s="143" t="str">
        <f>E138-D138</f>
      </c>
      <c r="G138" s="144" t="n">
        <v>2424292.14124363</v>
      </c>
      <c r="H138" s="145" t="n">
        <v>2435295.40356542</v>
      </c>
      <c r="I138" s="146" t="str">
        <f>H138-G138</f>
      </c>
      <c r="J138" s="147" t="n">
        <v>14719319.2291382</v>
      </c>
      <c r="K138" s="148" t="n">
        <v>14910262.6671564</v>
      </c>
      <c r="L138" s="149" t="str">
        <f>K138-J138</f>
      </c>
      <c r="M138" s="150" t="n">
        <v>2785698.11128587</v>
      </c>
      <c r="N138" s="151" t="n">
        <v>2784742.81884404</v>
      </c>
      <c r="O138" s="152" t="str">
        <f>N138-M138</f>
      </c>
      <c r="P138" s="153" t="n">
        <v>17505017.3404241</v>
      </c>
      <c r="Q138" s="154" t="n">
        <v>17695005.4860005</v>
      </c>
      <c r="R138" s="155" t="str">
        <f>Q138-P138</f>
      </c>
      <c r="S138" s="156" t="str">
        <f>L138</f>
      </c>
    </row>
    <row r="139">
      <c r="A139" t="s">
        <v>219</v>
      </c>
      <c r="B139" s="35" t="s">
        <v>221</v>
      </c>
      <c r="C139" t="n">
        <v>2032</v>
      </c>
      <c r="D139" s="141" t="n">
        <v>1122487.50115535</v>
      </c>
      <c r="E139" s="142" t="n">
        <v>1133979.82552584</v>
      </c>
      <c r="F139" s="143" t="str">
        <f>E139-D139</f>
      </c>
      <c r="G139" s="144" t="n">
        <v>2474569.68481232</v>
      </c>
      <c r="H139" s="145" t="n">
        <v>2486226.86894442</v>
      </c>
      <c r="I139" s="146" t="str">
        <f>H139-G139</f>
      </c>
      <c r="J139" s="147" t="n">
        <v>15016416.7224699</v>
      </c>
      <c r="K139" s="148" t="n">
        <v>15212724.6096518</v>
      </c>
      <c r="L139" s="149" t="str">
        <f>K139-J139</f>
      </c>
      <c r="M139" s="150" t="n">
        <v>2844905.89294773</v>
      </c>
      <c r="N139" s="151" t="n">
        <v>2843886.54382644</v>
      </c>
      <c r="O139" s="152" t="str">
        <f>N139-M139</f>
      </c>
      <c r="P139" s="153" t="n">
        <v>17861322.6154177</v>
      </c>
      <c r="Q139" s="154" t="n">
        <v>18056611.1534782</v>
      </c>
      <c r="R139" s="155" t="str">
        <f>Q139-P139</f>
      </c>
      <c r="S139" s="156" t="str">
        <f>L139</f>
      </c>
    </row>
    <row r="140">
      <c r="A140" t="s">
        <v>219</v>
      </c>
      <c r="B140" s="35" t="s">
        <v>221</v>
      </c>
      <c r="C140" t="n">
        <v>2033</v>
      </c>
      <c r="D140" s="141" t="n">
        <v>1148641.81741877</v>
      </c>
      <c r="E140" s="142" t="n">
        <v>1160519.0384788</v>
      </c>
      <c r="F140" s="143" t="str">
        <f>E140-D140</f>
      </c>
      <c r="G140" s="144" t="n">
        <v>2531829.71214835</v>
      </c>
      <c r="H140" s="145" t="n">
        <v>2544179.91308165</v>
      </c>
      <c r="I140" s="146" t="str">
        <f>H140-G140</f>
      </c>
      <c r="J140" s="147" t="n">
        <v>15295617.0855206</v>
      </c>
      <c r="K140" s="148" t="n">
        <v>15498146.8141225</v>
      </c>
      <c r="L140" s="149" t="str">
        <f>K140-J140</f>
      </c>
      <c r="M140" s="150" t="n">
        <v>2904967.36677811</v>
      </c>
      <c r="N140" s="151" t="n">
        <v>2903939.00675972</v>
      </c>
      <c r="O140" s="152" t="str">
        <f>N140-M140</f>
      </c>
      <c r="P140" s="153" t="n">
        <v>18200584.4522987</v>
      </c>
      <c r="Q140" s="154" t="n">
        <v>18402085.8208823</v>
      </c>
      <c r="R140" s="155" t="str">
        <f>Q140-P140</f>
      </c>
      <c r="S140" s="156" t="str">
        <f>L140</f>
      </c>
    </row>
    <row r="141">
      <c r="A141" t="s">
        <v>219</v>
      </c>
      <c r="B141" s="35" t="s">
        <v>221</v>
      </c>
      <c r="C141" t="n">
        <v>2034</v>
      </c>
      <c r="D141" s="141" t="n">
        <v>1175654.36580346</v>
      </c>
      <c r="E141" s="142" t="n">
        <v>1187394.62078838</v>
      </c>
      <c r="F141" s="143" t="str">
        <f>E141-D141</f>
      </c>
      <c r="G141" s="144" t="n">
        <v>2578625.12297382</v>
      </c>
      <c r="H141" s="145" t="n">
        <v>2591241.82717547</v>
      </c>
      <c r="I141" s="146" t="str">
        <f>H141-G141</f>
      </c>
      <c r="J141" s="147" t="n">
        <v>15597571.685374</v>
      </c>
      <c r="K141" s="148" t="n">
        <v>15799428.4193656</v>
      </c>
      <c r="L141" s="149" t="str">
        <f>K141-J141</f>
      </c>
      <c r="M141" s="150" t="n">
        <v>2964856.1366914</v>
      </c>
      <c r="N141" s="151" t="n">
        <v>2963891.11565708</v>
      </c>
      <c r="O141" s="152" t="str">
        <f>N141-M141</f>
      </c>
      <c r="P141" s="153" t="n">
        <v>18562427.8220654</v>
      </c>
      <c r="Q141" s="154" t="n">
        <v>18763319.5350226</v>
      </c>
      <c r="R141" s="155" t="str">
        <f>Q141-P141</f>
      </c>
      <c r="S141" s="156" t="str">
        <f>L141</f>
      </c>
    </row>
    <row r="142">
      <c r="A142" t="s">
        <v>219</v>
      </c>
      <c r="B142" s="35" t="s">
        <v>221</v>
      </c>
      <c r="C142" t="n">
        <v>2035</v>
      </c>
      <c r="D142" s="141" t="n">
        <v>1202647.15725449</v>
      </c>
      <c r="E142" s="142" t="n">
        <v>1214325.97179281</v>
      </c>
      <c r="F142" s="143" t="str">
        <f>E142-D142</f>
      </c>
      <c r="G142" s="144" t="n">
        <v>2624467.00113491</v>
      </c>
      <c r="H142" s="145" t="n">
        <v>2637338.55759301</v>
      </c>
      <c r="I142" s="146" t="str">
        <f>H142-G142</f>
      </c>
      <c r="J142" s="147" t="n">
        <v>15891362.2928653</v>
      </c>
      <c r="K142" s="148" t="n">
        <v>16093445.8910369</v>
      </c>
      <c r="L142" s="149" t="str">
        <f>K142-J142</f>
      </c>
      <c r="M142" s="150" t="n">
        <v>3024411.7706005</v>
      </c>
      <c r="N142" s="151" t="n">
        <v>3023565.75015719</v>
      </c>
      <c r="O142" s="152" t="str">
        <f>N142-M142</f>
      </c>
      <c r="P142" s="153" t="n">
        <v>18915774.0634658</v>
      </c>
      <c r="Q142" s="154" t="n">
        <v>19117011.6411941</v>
      </c>
      <c r="R142" s="155" t="str">
        <f>Q142-P142</f>
      </c>
      <c r="S142" s="156" t="str">
        <f>L142</f>
      </c>
    </row>
    <row r="143">
      <c r="A143" t="s">
        <v>219</v>
      </c>
      <c r="B143" s="35" t="s">
        <v>221</v>
      </c>
      <c r="C143" t="n">
        <v>2036</v>
      </c>
      <c r="D143" s="141" t="n">
        <v>1228269.39614673</v>
      </c>
      <c r="E143" s="142" t="n">
        <v>1242005.19631071</v>
      </c>
      <c r="F143" s="143" t="str">
        <f>E143-D143</f>
      </c>
      <c r="G143" s="144" t="n">
        <v>2673489.36414824</v>
      </c>
      <c r="H143" s="145" t="n">
        <v>2687815.41856241</v>
      </c>
      <c r="I143" s="146" t="str">
        <f>H143-G143</f>
      </c>
      <c r="J143" s="147" t="n">
        <v>16159626.505993</v>
      </c>
      <c r="K143" s="148" t="n">
        <v>16387284.1170475</v>
      </c>
      <c r="L143" s="149" t="str">
        <f>K143-J143</f>
      </c>
      <c r="M143" s="150" t="n">
        <v>3084013.77125547</v>
      </c>
      <c r="N143" s="151" t="n">
        <v>3083207.24745521</v>
      </c>
      <c r="O143" s="152" t="str">
        <f>N143-M143</f>
      </c>
      <c r="P143" s="153" t="n">
        <v>19243640.2772485</v>
      </c>
      <c r="Q143" s="154" t="n">
        <v>19470491.3645027</v>
      </c>
      <c r="R143" s="155" t="str">
        <f>Q143-P143</f>
      </c>
      <c r="S143" s="156" t="str">
        <f>L143</f>
      </c>
    </row>
    <row r="144">
      <c r="A144" t="s">
        <v>219</v>
      </c>
      <c r="B144" s="35" t="s">
        <v>221</v>
      </c>
      <c r="C144" t="n">
        <v>2037</v>
      </c>
      <c r="D144" s="141" t="n">
        <v>1254105.17845158</v>
      </c>
      <c r="E144" s="142" t="n">
        <v>1269807.80909442</v>
      </c>
      <c r="F144" s="143" t="str">
        <f>E144-D144</f>
      </c>
      <c r="G144" s="144" t="n">
        <v>2721521.98496649</v>
      </c>
      <c r="H144" s="145" t="n">
        <v>2737274.790777</v>
      </c>
      <c r="I144" s="146" t="str">
        <f>H144-G144</f>
      </c>
      <c r="J144" s="147" t="n">
        <v>16420043.3400576</v>
      </c>
      <c r="K144" s="148" t="n">
        <v>16672497.8198669</v>
      </c>
      <c r="L144" s="149" t="str">
        <f>K144-J144</f>
      </c>
      <c r="M144" s="150" t="n">
        <v>3143488.5454575</v>
      </c>
      <c r="N144" s="151" t="n">
        <v>3142666.59064758</v>
      </c>
      <c r="O144" s="152" t="str">
        <f>N144-M144</f>
      </c>
      <c r="P144" s="153" t="n">
        <v>19563531.8855151</v>
      </c>
      <c r="Q144" s="154" t="n">
        <v>19815164.4105145</v>
      </c>
      <c r="R144" s="155" t="str">
        <f>Q144-P144</f>
      </c>
      <c r="S144" s="156" t="str">
        <f>L144</f>
      </c>
    </row>
    <row r="145">
      <c r="A145" t="s">
        <v>219</v>
      </c>
      <c r="B145" s="35" t="s">
        <v>221</v>
      </c>
      <c r="C145" t="n">
        <v>2038</v>
      </c>
      <c r="D145" s="141" t="n">
        <v>1279529.40516071</v>
      </c>
      <c r="E145" s="142" t="n">
        <v>1297176.25542108</v>
      </c>
      <c r="F145" s="143" t="str">
        <f>E145-D145</f>
      </c>
      <c r="G145" s="144" t="n">
        <v>2773486.67848013</v>
      </c>
      <c r="H145" s="145" t="n">
        <v>2790687.02121721</v>
      </c>
      <c r="I145" s="146" t="str">
        <f>H145-G145</f>
      </c>
      <c r="J145" s="147" t="n">
        <v>16666073.6374424</v>
      </c>
      <c r="K145" s="148" t="n">
        <v>16943079.5437892</v>
      </c>
      <c r="L145" s="149" t="str">
        <f>K145-J145</f>
      </c>
      <c r="M145" s="150" t="n">
        <v>3203247.1762138</v>
      </c>
      <c r="N145" s="151" t="n">
        <v>3202368.92676633</v>
      </c>
      <c r="O145" s="152" t="str">
        <f>N145-M145</f>
      </c>
      <c r="P145" s="153" t="n">
        <v>19869320.8136562</v>
      </c>
      <c r="Q145" s="154" t="n">
        <v>20145448.4705555</v>
      </c>
      <c r="R145" s="155" t="str">
        <f>Q145-P145</f>
      </c>
      <c r="S145" s="156" t="str">
        <f>L145</f>
      </c>
    </row>
    <row r="146">
      <c r="A146" t="s">
        <v>219</v>
      </c>
      <c r="B146" s="35" t="s">
        <v>221</v>
      </c>
      <c r="C146" t="n">
        <v>2039</v>
      </c>
      <c r="D146" s="141" t="n">
        <v>1305737.33985739</v>
      </c>
      <c r="E146" s="142" t="n">
        <v>1325347.79629959</v>
      </c>
      <c r="F146" s="143" t="str">
        <f>E146-D146</f>
      </c>
      <c r="G146" s="144" t="n">
        <v>2816654.91696527</v>
      </c>
      <c r="H146" s="145" t="n">
        <v>2835232.8138728</v>
      </c>
      <c r="I146" s="146" t="str">
        <f>H146-G146</f>
      </c>
      <c r="J146" s="147" t="n">
        <v>16915095.5490662</v>
      </c>
      <c r="K146" s="148" t="n">
        <v>17216985.482207</v>
      </c>
      <c r="L146" s="149" t="str">
        <f>K146-J146</f>
      </c>
      <c r="M146" s="150" t="n">
        <v>3262284.12750342</v>
      </c>
      <c r="N146" s="151" t="n">
        <v>3261308.04483665</v>
      </c>
      <c r="O146" s="152" t="str">
        <f>N146-M146</f>
      </c>
      <c r="P146" s="153" t="n">
        <v>20177379.6765696</v>
      </c>
      <c r="Q146" s="154" t="n">
        <v>20478293.5270436</v>
      </c>
      <c r="R146" s="155" t="str">
        <f>Q146-P146</f>
      </c>
      <c r="S146" s="156" t="str">
        <f>L146</f>
      </c>
    </row>
    <row r="147">
      <c r="A147" t="s">
        <v>219</v>
      </c>
      <c r="B147" s="35" t="s">
        <v>221</v>
      </c>
      <c r="C147" t="n">
        <v>2040</v>
      </c>
      <c r="D147" s="141" t="n">
        <v>1331198.46188299</v>
      </c>
      <c r="E147" s="142" t="n">
        <v>1352787.67550619</v>
      </c>
      <c r="F147" s="143" t="str">
        <f>E147-D147</f>
      </c>
      <c r="G147" s="144" t="n">
        <v>2856472.32053487</v>
      </c>
      <c r="H147" s="145" t="n">
        <v>2876390.02123241</v>
      </c>
      <c r="I147" s="146" t="str">
        <f>H147-G147</f>
      </c>
      <c r="J147" s="147" t="n">
        <v>17150157.1236667</v>
      </c>
      <c r="K147" s="148" t="n">
        <v>17477129.0980303</v>
      </c>
      <c r="L147" s="149" t="str">
        <f>K147-J147</f>
      </c>
      <c r="M147" s="150" t="n">
        <v>3320341.37529111</v>
      </c>
      <c r="N147" s="151" t="n">
        <v>3319226.53845978</v>
      </c>
      <c r="O147" s="152" t="str">
        <f>N147-M147</f>
      </c>
      <c r="P147" s="153" t="n">
        <v>20470498.4989578</v>
      </c>
      <c r="Q147" s="154" t="n">
        <v>20796355.63649</v>
      </c>
      <c r="R147" s="155" t="str">
        <f>Q147-P147</f>
      </c>
      <c r="S147" s="156" t="str">
        <f>L147</f>
      </c>
    </row>
    <row r="148">
      <c r="A148" t="s">
        <v>219</v>
      </c>
      <c r="B148" s="35" t="s">
        <v>221</v>
      </c>
      <c r="C148" t="n">
        <v>2041</v>
      </c>
      <c r="D148" s="141" t="n">
        <v>1358819.23404561</v>
      </c>
      <c r="E148" s="142" t="n">
        <v>1380070.96412439</v>
      </c>
      <c r="F148" s="143" t="str">
        <f>E148-D148</f>
      </c>
      <c r="G148" s="144" t="n">
        <v>2902501.94144802</v>
      </c>
      <c r="H148" s="145" t="n">
        <v>2922451.7840816</v>
      </c>
      <c r="I148" s="146" t="str">
        <f>H148-G148</f>
      </c>
      <c r="J148" s="147" t="n">
        <v>17406424.0707329</v>
      </c>
      <c r="K148" s="148" t="n">
        <v>17731269.8507494</v>
      </c>
      <c r="L148" s="149" t="str">
        <f>K148-J148</f>
      </c>
      <c r="M148" s="150" t="n">
        <v>3377717.43302681</v>
      </c>
      <c r="N148" s="151" t="n">
        <v>3376570.77956911</v>
      </c>
      <c r="O148" s="152" t="str">
        <f>N148-M148</f>
      </c>
      <c r="P148" s="153" t="n">
        <v>20784141.5037597</v>
      </c>
      <c r="Q148" s="154" t="n">
        <v>21107840.6303185</v>
      </c>
      <c r="R148" s="155" t="str">
        <f>Q148-P148</f>
      </c>
      <c r="S148" s="156" t="str">
        <f>L148</f>
      </c>
    </row>
    <row r="149">
      <c r="A149" t="s">
        <v>219</v>
      </c>
      <c r="B149" s="35" t="s">
        <v>221</v>
      </c>
      <c r="C149" t="n">
        <v>2042</v>
      </c>
      <c r="D149" s="141" t="n">
        <v>1385781.89739722</v>
      </c>
      <c r="E149" s="142" t="n">
        <v>1406876.34005525</v>
      </c>
      <c r="F149" s="143" t="str">
        <f>E149-D149</f>
      </c>
      <c r="G149" s="144" t="n">
        <v>2943029.5088935</v>
      </c>
      <c r="H149" s="145" t="n">
        <v>2962983.46667384</v>
      </c>
      <c r="I149" s="146" t="str">
        <f>H149-G149</f>
      </c>
      <c r="J149" s="147" t="n">
        <v>17649560.2166114</v>
      </c>
      <c r="K149" s="148" t="n">
        <v>17974111.2649187</v>
      </c>
      <c r="L149" s="149" t="str">
        <f>K149-J149</f>
      </c>
      <c r="M149" s="150" t="n">
        <v>3434024.21362069</v>
      </c>
      <c r="N149" s="151" t="n">
        <v>3432912.59953705</v>
      </c>
      <c r="O149" s="152" t="str">
        <f>N149-M149</f>
      </c>
      <c r="P149" s="153" t="n">
        <v>21083584.4302321</v>
      </c>
      <c r="Q149" s="154" t="n">
        <v>21407023.8644558</v>
      </c>
      <c r="R149" s="155" t="str">
        <f>Q149-P149</f>
      </c>
      <c r="S149" s="156" t="str">
        <f>L149</f>
      </c>
    </row>
    <row r="150">
      <c r="A150" t="s">
        <v>219</v>
      </c>
      <c r="B150" s="35" t="s">
        <v>221</v>
      </c>
      <c r="C150" t="n">
        <v>2043</v>
      </c>
      <c r="D150" s="141" t="n">
        <v>1411784.60285439</v>
      </c>
      <c r="E150" s="142" t="n">
        <v>1432805.18241214</v>
      </c>
      <c r="F150" s="143" t="str">
        <f>E150-D150</f>
      </c>
      <c r="G150" s="144" t="n">
        <v>2988465.42754166</v>
      </c>
      <c r="H150" s="145" t="n">
        <v>3008470.65003363</v>
      </c>
      <c r="I150" s="146" t="str">
        <f>H150-G150</f>
      </c>
      <c r="J150" s="147" t="n">
        <v>17873286.2696437</v>
      </c>
      <c r="K150" s="148" t="n">
        <v>18198360.1018222</v>
      </c>
      <c r="L150" s="149" t="str">
        <f>K150-J150</f>
      </c>
      <c r="M150" s="150" t="n">
        <v>3489869.15487453</v>
      </c>
      <c r="N150" s="151" t="n">
        <v>3488845.13943546</v>
      </c>
      <c r="O150" s="152" t="str">
        <f>N150-M150</f>
      </c>
      <c r="P150" s="153" t="n">
        <v>21363155.4245183</v>
      </c>
      <c r="Q150" s="154" t="n">
        <v>21687205.2412577</v>
      </c>
      <c r="R150" s="155" t="str">
        <f>Q150-P150</f>
      </c>
      <c r="S150" s="156" t="str">
        <f>L150</f>
      </c>
    </row>
    <row r="151">
      <c r="A151" t="s">
        <v>219</v>
      </c>
      <c r="B151" s="35" t="s">
        <v>221</v>
      </c>
      <c r="C151" t="n">
        <v>2044</v>
      </c>
      <c r="D151" s="141" t="n">
        <v>1437336.23794598</v>
      </c>
      <c r="E151" s="142" t="n">
        <v>1458339.17974938</v>
      </c>
      <c r="F151" s="143" t="str">
        <f>E151-D151</f>
      </c>
      <c r="G151" s="144" t="n">
        <v>3026056.40081826</v>
      </c>
      <c r="H151" s="145" t="n">
        <v>3046056.68354666</v>
      </c>
      <c r="I151" s="146" t="str">
        <f>H151-G151</f>
      </c>
      <c r="J151" s="147" t="n">
        <v>18093652.2702013</v>
      </c>
      <c r="K151" s="148" t="n">
        <v>18419903.9093603</v>
      </c>
      <c r="L151" s="149" t="str">
        <f>K151-J151</f>
      </c>
      <c r="M151" s="150" t="n">
        <v>3544483.27019527</v>
      </c>
      <c r="N151" s="151" t="n">
        <v>3543582.92973372</v>
      </c>
      <c r="O151" s="152" t="str">
        <f>N151-M151</f>
      </c>
      <c r="P151" s="153" t="n">
        <v>21638135.5403966</v>
      </c>
      <c r="Q151" s="154" t="n">
        <v>21963486.839094</v>
      </c>
      <c r="R151" s="155" t="str">
        <f>Q151-P151</f>
      </c>
      <c r="S151" s="156" t="str">
        <f>L151</f>
      </c>
    </row>
    <row r="152">
      <c r="A152" t="s">
        <v>219</v>
      </c>
      <c r="B152" s="35" t="s">
        <v>221</v>
      </c>
      <c r="C152" t="n">
        <v>2045</v>
      </c>
      <c r="D152" s="141" t="n">
        <v>1462888.47373725</v>
      </c>
      <c r="E152" s="142" t="n">
        <v>1483913.39991598</v>
      </c>
      <c r="F152" s="143" t="str">
        <f>E152-D152</f>
      </c>
      <c r="G152" s="144" t="n">
        <v>3062238.35400841</v>
      </c>
      <c r="H152" s="145" t="n">
        <v>3082224.00698585</v>
      </c>
      <c r="I152" s="146" t="str">
        <f>H152-G152</f>
      </c>
      <c r="J152" s="147" t="n">
        <v>18307895.6777902</v>
      </c>
      <c r="K152" s="148" t="n">
        <v>18635707.8486913</v>
      </c>
      <c r="L152" s="149" t="str">
        <f>K152-J152</f>
      </c>
      <c r="M152" s="150" t="n">
        <v>3597723.86120075</v>
      </c>
      <c r="N152" s="151" t="n">
        <v>3596974.60976764</v>
      </c>
      <c r="O152" s="152" t="str">
        <f>N152-M152</f>
      </c>
      <c r="P152" s="153" t="n">
        <v>21905619.5389909</v>
      </c>
      <c r="Q152" s="154" t="n">
        <v>22232682.4584589</v>
      </c>
      <c r="R152" s="155" t="str">
        <f>Q152-P152</f>
      </c>
      <c r="S152" s="156" t="str">
        <f>L152</f>
      </c>
    </row>
    <row r="153">
      <c r="A153" t="s">
        <v>219</v>
      </c>
      <c r="B153" s="35" t="s">
        <v>221</v>
      </c>
      <c r="C153" t="n">
        <v>2046</v>
      </c>
      <c r="D153" s="141" t="n">
        <v>1488407.20914309</v>
      </c>
      <c r="E153" s="142" t="n">
        <v>1509480.27542461</v>
      </c>
      <c r="F153" s="143" t="str">
        <f>E153-D153</f>
      </c>
      <c r="G153" s="144" t="n">
        <v>3104023.6528243</v>
      </c>
      <c r="H153" s="145" t="n">
        <v>3124046.1784475</v>
      </c>
      <c r="I153" s="146" t="str">
        <f>H153-G153</f>
      </c>
      <c r="J153" s="147" t="n">
        <v>18513365.0307366</v>
      </c>
      <c r="K153" s="148" t="n">
        <v>18842942.5524536</v>
      </c>
      <c r="L153" s="149" t="str">
        <f>K153-J153</f>
      </c>
      <c r="M153" s="150" t="n">
        <v>3650087.44198403</v>
      </c>
      <c r="N153" s="151" t="n">
        <v>3649516.08697985</v>
      </c>
      <c r="O153" s="152" t="str">
        <f>N153-M153</f>
      </c>
      <c r="P153" s="153" t="n">
        <v>22163452.4727207</v>
      </c>
      <c r="Q153" s="154" t="n">
        <v>22492458.6394335</v>
      </c>
      <c r="R153" s="155" t="str">
        <f>Q153-P153</f>
      </c>
      <c r="S153" s="156" t="str">
        <f>L153</f>
      </c>
    </row>
    <row r="154">
      <c r="A154" t="s">
        <v>219</v>
      </c>
      <c r="B154" s="35" t="s">
        <v>221</v>
      </c>
      <c r="C154" t="n">
        <v>2047</v>
      </c>
      <c r="D154" s="141" t="n">
        <v>1513099.86813961</v>
      </c>
      <c r="E154" s="142" t="n">
        <v>1534237.5744132</v>
      </c>
      <c r="F154" s="143" t="str">
        <f>E154-D154</f>
      </c>
      <c r="G154" s="144" t="n">
        <v>3138898.02344261</v>
      </c>
      <c r="H154" s="145" t="n">
        <v>3158904.2402998</v>
      </c>
      <c r="I154" s="146" t="str">
        <f>H154-G154</f>
      </c>
      <c r="J154" s="147" t="n">
        <v>18709861.2138236</v>
      </c>
      <c r="K154" s="148" t="n">
        <v>19041387.4378568</v>
      </c>
      <c r="L154" s="149" t="str">
        <f>K154-J154</f>
      </c>
      <c r="M154" s="150" t="n">
        <v>3701088.78835514</v>
      </c>
      <c r="N154" s="151" t="n">
        <v>3700713.68790926</v>
      </c>
      <c r="O154" s="152" t="str">
        <f>N154-M154</f>
      </c>
      <c r="P154" s="153" t="n">
        <v>22410950.0021787</v>
      </c>
      <c r="Q154" s="154" t="n">
        <v>22742101.1257661</v>
      </c>
      <c r="R154" s="155" t="str">
        <f>Q154-P154</f>
      </c>
      <c r="S154" s="156" t="str">
        <f>L154</f>
      </c>
    </row>
    <row r="155">
      <c r="A155" t="s">
        <v>219</v>
      </c>
      <c r="B155" s="35" t="s">
        <v>221</v>
      </c>
      <c r="C155" t="n">
        <v>2048</v>
      </c>
      <c r="D155" s="141" t="n">
        <v>1536381.84562455</v>
      </c>
      <c r="E155" s="142" t="n">
        <v>1557584.97398339</v>
      </c>
      <c r="F155" s="143" t="str">
        <f>E155-D155</f>
      </c>
      <c r="G155" s="144" t="n">
        <v>3174219.00148339</v>
      </c>
      <c r="H155" s="145" t="n">
        <v>3194212.2507101</v>
      </c>
      <c r="I155" s="146" t="str">
        <f>H155-G155</f>
      </c>
      <c r="J155" s="147" t="n">
        <v>18886971.2284046</v>
      </c>
      <c r="K155" s="148" t="n">
        <v>19220391.6480863</v>
      </c>
      <c r="L155" s="149" t="str">
        <f>K155-J155</f>
      </c>
      <c r="M155" s="150" t="n">
        <v>3750988.84704815</v>
      </c>
      <c r="N155" s="151" t="n">
        <v>3750826.45017893</v>
      </c>
      <c r="O155" s="152" t="str">
        <f>N155-M155</f>
      </c>
      <c r="P155" s="153" t="n">
        <v>22637960.0754527</v>
      </c>
      <c r="Q155" s="154" t="n">
        <v>22971218.0982652</v>
      </c>
      <c r="R155" s="155" t="str">
        <f>Q155-P155</f>
      </c>
      <c r="S155" s="156" t="str">
        <f>L155</f>
      </c>
    </row>
    <row r="156">
      <c r="A156" t="s">
        <v>219</v>
      </c>
      <c r="B156" s="35" t="s">
        <v>221</v>
      </c>
      <c r="C156" t="n">
        <v>2049</v>
      </c>
      <c r="D156" s="141" t="n">
        <v>1559862.72819751</v>
      </c>
      <c r="E156" s="142" t="n">
        <v>1581148.70872561</v>
      </c>
      <c r="F156" s="143" t="str">
        <f>E156-D156</f>
      </c>
      <c r="G156" s="144" t="n">
        <v>3207091.57465934</v>
      </c>
      <c r="H156" s="145" t="n">
        <v>3227056.88545618</v>
      </c>
      <c r="I156" s="146" t="str">
        <f>H156-G156</f>
      </c>
      <c r="J156" s="147" t="n">
        <v>19064199.730714</v>
      </c>
      <c r="K156" s="148" t="n">
        <v>19399647.7304913</v>
      </c>
      <c r="L156" s="149" t="str">
        <f>K156-J156</f>
      </c>
      <c r="M156" s="150" t="n">
        <v>3799441.18488872</v>
      </c>
      <c r="N156" s="151" t="n">
        <v>3799503.95708712</v>
      </c>
      <c r="O156" s="152" t="str">
        <f>N156-M156</f>
      </c>
      <c r="P156" s="153" t="n">
        <v>22863640.9156027</v>
      </c>
      <c r="Q156" s="154" t="n">
        <v>23199151.6875784</v>
      </c>
      <c r="R156" s="155" t="str">
        <f>Q156-P156</f>
      </c>
      <c r="S156" s="156" t="str">
        <f>L156</f>
      </c>
    </row>
    <row r="157">
      <c r="A157" t="s">
        <v>219</v>
      </c>
      <c r="B157" s="35" t="s">
        <v>221</v>
      </c>
      <c r="C157" t="n">
        <v>2050</v>
      </c>
      <c r="D157" s="141" t="n">
        <v>1582632.94883417</v>
      </c>
      <c r="E157" s="142" t="n">
        <v>1604008.46344375</v>
      </c>
      <c r="F157" s="143" t="str">
        <f>E157-D157</f>
      </c>
      <c r="G157" s="144" t="n">
        <v>3237270.67583994</v>
      </c>
      <c r="H157" s="145" t="n">
        <v>3257199.2980493</v>
      </c>
      <c r="I157" s="146" t="str">
        <f>H157-G157</f>
      </c>
      <c r="J157" s="147" t="n">
        <v>19232487.4095389</v>
      </c>
      <c r="K157" s="148" t="n">
        <v>19570013.4156094</v>
      </c>
      <c r="L157" s="149" t="str">
        <f>K157-J157</f>
      </c>
      <c r="M157" s="150" t="n">
        <v>3846296.74092175</v>
      </c>
      <c r="N157" s="151" t="n">
        <v>3846594.37842674</v>
      </c>
      <c r="O157" s="152" t="str">
        <f>N157-M157</f>
      </c>
      <c r="P157" s="153" t="n">
        <v>23078784.1504607</v>
      </c>
      <c r="Q157" s="154" t="n">
        <v>23416607.7940361</v>
      </c>
      <c r="R157" s="155" t="str">
        <f>Q157-P157</f>
      </c>
      <c r="S157" s="156" t="str">
        <f>L157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9.71" hidden="0" customWidth="1"/>
    <col min="6" max="6" width="12.71" hidden="0" customWidth="1"/>
    <col min="7" max="7" width="12.71" hidden="0" customWidth="1"/>
    <col min="8" max="8" width="12.71" hidden="0" customWidth="1"/>
    <col min="9" max="9" width="14.71" hidden="0" customWidth="1"/>
    <col min="10" max="10" width="22.71" hidden="0" customWidth="1"/>
    <col min="11" max="11" width="12.71" hidden="0" customWidth="1"/>
    <col min="12" max="12" width="15.71" hidden="0" customWidth="1"/>
    <col min="13" max="13" width="16.71" hidden="0" customWidth="1"/>
    <col min="14" max="14" width="12.71" hidden="0" customWidth="1"/>
    <col min="15" max="15" width="12.71" hidden="0" customWidth="1"/>
    <col min="16" max="16" width="16.71" hidden="0" customWidth="1"/>
    <col min="17" max="17" width="22.71" hidden="0" customWidth="1"/>
    <col min="18" max="18" width="22.71" hidden="0" customWidth="1"/>
    <col min="19" max="19" width="22.71" hidden="0" customWidth="1"/>
    <col min="20" max="20" width="22.71" hidden="0" customWidth="1"/>
    <col min="21" max="21" width="13.71" hidden="0" customWidth="1"/>
    <col min="22" max="22" width="13.71" hidden="0" customWidth="1"/>
    <col min="23" max="23" width="14.71" hidden="0" customWidth="1"/>
    <col min="24" max="24" width="12.71" hidden="0" customWidth="1"/>
    <col min="25" max="25" width="12.71" hidden="0" customWidth="1"/>
    <col min="26" max="26" width="20.71" hidden="0" customWidth="1"/>
    <col min="27" max="27" width="17.71" hidden="0" customWidth="1"/>
    <col min="28" max="28" width="22.71" hidden="0" customWidth="1"/>
  </cols>
  <sheetData>
    <row r="1" ht="28" customHeight="1">
      <c r="A1" s="1" t="s">
        <v>409</v>
      </c>
      <c r="B1" s="1" t="s">
        <v>410</v>
      </c>
      <c r="C1" s="1" t="s">
        <v>45</v>
      </c>
      <c r="D1" s="1" t="s">
        <v>416</v>
      </c>
      <c r="E1" s="1" t="s">
        <v>467</v>
      </c>
      <c r="F1" s="1" t="s">
        <v>468</v>
      </c>
      <c r="G1" s="1" t="s">
        <v>469</v>
      </c>
      <c r="H1" s="1" t="s">
        <v>470</v>
      </c>
      <c r="I1" s="1" t="s">
        <v>471</v>
      </c>
      <c r="J1" s="1" t="s">
        <v>472</v>
      </c>
      <c r="K1" s="1" t="s">
        <v>473</v>
      </c>
      <c r="L1" s="1" t="s">
        <v>474</v>
      </c>
      <c r="M1" s="1" t="s">
        <v>475</v>
      </c>
      <c r="N1" s="1" t="s">
        <v>476</v>
      </c>
      <c r="O1" s="1" t="s">
        <v>477</v>
      </c>
      <c r="P1" s="1" t="s">
        <v>478</v>
      </c>
      <c r="Q1" s="1" t="s">
        <v>479</v>
      </c>
      <c r="R1" s="1" t="s">
        <v>480</v>
      </c>
      <c r="S1" s="1" t="s">
        <v>481</v>
      </c>
      <c r="T1" s="1" t="s">
        <v>482</v>
      </c>
      <c r="U1" s="1" t="s">
        <v>483</v>
      </c>
      <c r="V1" s="1" t="s">
        <v>484</v>
      </c>
      <c r="W1" s="1" t="s">
        <v>485</v>
      </c>
      <c r="X1" s="1" t="s">
        <v>486</v>
      </c>
      <c r="Y1" s="1" t="s">
        <v>487</v>
      </c>
      <c r="Z1" s="1" t="s">
        <v>488</v>
      </c>
      <c r="AA1" s="1" t="s">
        <v>489</v>
      </c>
      <c r="AB1" s="1" t="s">
        <v>490</v>
      </c>
    </row>
    <row r="2">
      <c r="A2" t="s">
        <v>116</v>
      </c>
      <c r="B2" s="35" t="s">
        <v>422</v>
      </c>
      <c r="C2" t="n">
        <v>2025</v>
      </c>
      <c r="D2" s="157" t="n">
        <v>0.000000000243056658133511</v>
      </c>
      <c r="E2" s="158" t="n">
        <v>0.00000000719933224146985</v>
      </c>
      <c r="F2" s="159" t="n">
        <v>13851.4910785419</v>
      </c>
      <c r="G2" s="160" t="n">
        <v>74136.3707949527</v>
      </c>
      <c r="H2" s="161" t="n">
        <v>285721235.5</v>
      </c>
      <c r="I2" s="162" t="n">
        <v>37.51</v>
      </c>
      <c r="J2" s="163" t="str">
        <f>'Calculation_Assumptions'!$B$28*G2*(F2/G2)^'Calculation_Assumptions'!$B$29</f>
      </c>
      <c r="K2" s="164" t="str">
        <f>'Calculation_Assumptions'!$B$30*F2</f>
      </c>
      <c r="L2" s="165" t="str">
        <f>MAX(J2,K2)</f>
      </c>
      <c r="M2" s="166" t="str">
        <f>IF(F2=0,"",L2/F2)</f>
      </c>
      <c r="N2" s="167" t="str">
        <f>'Calculation_Assumptions'!$B$31*F2</f>
      </c>
      <c r="O2" s="168" t="str">
        <f>'Calculation_Assumptions'!$B$32*F2</f>
      </c>
      <c r="P2" s="169" t="str">
        <f>IF(I2=0,"",L2/I2)</f>
      </c>
      <c r="Q2" s="170" t="str">
        <f>L2*D2</f>
      </c>
      <c r="R2" s="171" t="str">
        <f>P2*E2</f>
      </c>
      <c r="S2" s="172" t="str">
        <f>N2*D2</f>
      </c>
      <c r="T2" s="173" t="str">
        <f>O2*D2</f>
      </c>
      <c r="U2" s="174" t="str">
        <f>1/(1+'Calculation_Assumptions'!$B$25)^(C2-'Calculation_Assumptions'!$B$24)</f>
      </c>
      <c r="V2" s="175" t="str">
        <f>Q2*U2</f>
      </c>
      <c r="W2" s="176" t="str">
        <f>R2*U2</f>
      </c>
      <c r="X2" s="177" t="str">
        <f>S2*U2</f>
      </c>
      <c r="Y2" s="178" t="str">
        <f>T2*U2</f>
      </c>
      <c r="Z2" s="179" t="str">
        <f>H2*F2</f>
      </c>
      <c r="AA2" s="180" t="str">
        <f>Z2*U2</f>
      </c>
      <c r="AB2" s="181" t="str">
        <f>IF(Z2=0,"",Q2/Z2)</f>
      </c>
    </row>
    <row r="3">
      <c r="A3" t="s">
        <v>116</v>
      </c>
      <c r="B3" s="35" t="s">
        <v>422</v>
      </c>
      <c r="C3" t="n">
        <v>2026</v>
      </c>
      <c r="D3" s="157" t="n">
        <v>5637.47343600257</v>
      </c>
      <c r="E3" s="158" t="n">
        <v>94779.8902955872</v>
      </c>
      <c r="F3" s="159" t="n">
        <v>14370.1004216288</v>
      </c>
      <c r="G3" s="160" t="n">
        <v>75186.4097436074</v>
      </c>
      <c r="H3" s="161" t="n">
        <v>287886782.5</v>
      </c>
      <c r="I3" s="162" t="n">
        <v>37.5883</v>
      </c>
      <c r="J3" s="163" t="str">
        <f>'Calculation_Assumptions'!$B$28*G3*(F3/G3)^'Calculation_Assumptions'!$B$29</f>
      </c>
      <c r="K3" s="164" t="str">
        <f>'Calculation_Assumptions'!$B$30*F3</f>
      </c>
      <c r="L3" s="165" t="str">
        <f>MAX(J3,K3)</f>
      </c>
      <c r="M3" s="166" t="str">
        <f>IF(F3=0,"",L3/F3)</f>
      </c>
      <c r="N3" s="167" t="str">
        <f>'Calculation_Assumptions'!$B$31*F3</f>
      </c>
      <c r="O3" s="168" t="str">
        <f>'Calculation_Assumptions'!$B$32*F3</f>
      </c>
      <c r="P3" s="169" t="str">
        <f>IF(I3=0,"",L3/I3)</f>
      </c>
      <c r="Q3" s="170" t="str">
        <f>L3*D3</f>
      </c>
      <c r="R3" s="171" t="str">
        <f>P3*E3</f>
      </c>
      <c r="S3" s="172" t="str">
        <f>N3*D3</f>
      </c>
      <c r="T3" s="173" t="str">
        <f>O3*D3</f>
      </c>
      <c r="U3" s="174" t="str">
        <f>1/(1+'Calculation_Assumptions'!$B$25)^(C3-'Calculation_Assumptions'!$B$24)</f>
      </c>
      <c r="V3" s="175" t="str">
        <f>Q3*U3</f>
      </c>
      <c r="W3" s="176" t="str">
        <f>R3*U3</f>
      </c>
      <c r="X3" s="177" t="str">
        <f>S3*U3</f>
      </c>
      <c r="Y3" s="178" t="str">
        <f>T3*U3</f>
      </c>
      <c r="Z3" s="179" t="str">
        <f>H3*F3</f>
      </c>
      <c r="AA3" s="180" t="str">
        <f>Z3*U3</f>
      </c>
      <c r="AB3" s="181" t="str">
        <f>IF(Z3=0,"",Q3/Z3)</f>
      </c>
    </row>
    <row r="4">
      <c r="A4" t="s">
        <v>116</v>
      </c>
      <c r="B4" s="35" t="s">
        <v>422</v>
      </c>
      <c r="C4" t="n">
        <v>2027</v>
      </c>
      <c r="D4" s="157" t="n">
        <v>10942.1675194156</v>
      </c>
      <c r="E4" s="158" t="n">
        <v>186321.528938705</v>
      </c>
      <c r="F4" s="159" t="n">
        <v>14908.1268548478</v>
      </c>
      <c r="G4" s="160" t="n">
        <v>76251.3210387483</v>
      </c>
      <c r="H4" s="161" t="n">
        <v>289986522</v>
      </c>
      <c r="I4" s="162" t="n">
        <v>37.6736</v>
      </c>
      <c r="J4" s="163" t="str">
        <f>'Calculation_Assumptions'!$B$28*G4*(F4/G4)^'Calculation_Assumptions'!$B$29</f>
      </c>
      <c r="K4" s="164" t="str">
        <f>'Calculation_Assumptions'!$B$30*F4</f>
      </c>
      <c r="L4" s="165" t="str">
        <f>MAX(J4,K4)</f>
      </c>
      <c r="M4" s="166" t="str">
        <f>IF(F4=0,"",L4/F4)</f>
      </c>
      <c r="N4" s="167" t="str">
        <f>'Calculation_Assumptions'!$B$31*F4</f>
      </c>
      <c r="O4" s="168" t="str">
        <f>'Calculation_Assumptions'!$B$32*F4</f>
      </c>
      <c r="P4" s="169" t="str">
        <f>IF(I4=0,"",L4/I4)</f>
      </c>
      <c r="Q4" s="170" t="str">
        <f>L4*D4</f>
      </c>
      <c r="R4" s="171" t="str">
        <f>P4*E4</f>
      </c>
      <c r="S4" s="172" t="str">
        <f>N4*D4</f>
      </c>
      <c r="T4" s="173" t="str">
        <f>O4*D4</f>
      </c>
      <c r="U4" s="174" t="str">
        <f>1/(1+'Calculation_Assumptions'!$B$25)^(C4-'Calculation_Assumptions'!$B$24)</f>
      </c>
      <c r="V4" s="175" t="str">
        <f>Q4*U4</f>
      </c>
      <c r="W4" s="176" t="str">
        <f>R4*U4</f>
      </c>
      <c r="X4" s="177" t="str">
        <f>S4*U4</f>
      </c>
      <c r="Y4" s="178" t="str">
        <f>T4*U4</f>
      </c>
      <c r="Z4" s="179" t="str">
        <f>H4*F4</f>
      </c>
      <c r="AA4" s="180" t="str">
        <f>Z4*U4</f>
      </c>
      <c r="AB4" s="181" t="str">
        <f>IF(Z4=0,"",Q4/Z4)</f>
      </c>
    </row>
    <row r="5">
      <c r="A5" t="s">
        <v>116</v>
      </c>
      <c r="B5" s="35" t="s">
        <v>422</v>
      </c>
      <c r="C5" t="n">
        <v>2028</v>
      </c>
      <c r="D5" s="157" t="n">
        <v>16135.0903344983</v>
      </c>
      <c r="E5" s="158" t="n">
        <v>276399.989500288</v>
      </c>
      <c r="F5" s="159" t="n">
        <v>15466.2973673947</v>
      </c>
      <c r="G5" s="160" t="n">
        <v>77331.3153265521</v>
      </c>
      <c r="H5" s="161" t="n">
        <v>292016778.5</v>
      </c>
      <c r="I5" s="162" t="n">
        <v>36.834</v>
      </c>
      <c r="J5" s="163" t="str">
        <f>'Calculation_Assumptions'!$B$28*G5*(F5/G5)^'Calculation_Assumptions'!$B$29</f>
      </c>
      <c r="K5" s="164" t="str">
        <f>'Calculation_Assumptions'!$B$30*F5</f>
      </c>
      <c r="L5" s="165" t="str">
        <f>MAX(J5,K5)</f>
      </c>
      <c r="M5" s="166" t="str">
        <f>IF(F5=0,"",L5/F5)</f>
      </c>
      <c r="N5" s="167" t="str">
        <f>'Calculation_Assumptions'!$B$31*F5</f>
      </c>
      <c r="O5" s="168" t="str">
        <f>'Calculation_Assumptions'!$B$32*F5</f>
      </c>
      <c r="P5" s="169" t="str">
        <f>IF(I5=0,"",L5/I5)</f>
      </c>
      <c r="Q5" s="170" t="str">
        <f>L5*D5</f>
      </c>
      <c r="R5" s="171" t="str">
        <f>P5*E5</f>
      </c>
      <c r="S5" s="172" t="str">
        <f>N5*D5</f>
      </c>
      <c r="T5" s="173" t="str">
        <f>O5*D5</f>
      </c>
      <c r="U5" s="174" t="str">
        <f>1/(1+'Calculation_Assumptions'!$B$25)^(C5-'Calculation_Assumptions'!$B$24)</f>
      </c>
      <c r="V5" s="175" t="str">
        <f>Q5*U5</f>
      </c>
      <c r="W5" s="176" t="str">
        <f>R5*U5</f>
      </c>
      <c r="X5" s="177" t="str">
        <f>S5*U5</f>
      </c>
      <c r="Y5" s="178" t="str">
        <f>T5*U5</f>
      </c>
      <c r="Z5" s="179" t="str">
        <f>H5*F5</f>
      </c>
      <c r="AA5" s="180" t="str">
        <f>Z5*U5</f>
      </c>
      <c r="AB5" s="181" t="str">
        <f>IF(Z5=0,"",Q5/Z5)</f>
      </c>
    </row>
    <row r="6">
      <c r="A6" t="s">
        <v>116</v>
      </c>
      <c r="B6" s="35" t="s">
        <v>422</v>
      </c>
      <c r="C6" t="n">
        <v>2029</v>
      </c>
      <c r="D6" s="157" t="n">
        <v>22694.7108766034</v>
      </c>
      <c r="E6" s="158" t="n">
        <v>385528.587810662</v>
      </c>
      <c r="F6" s="159" t="n">
        <v>16045.3661674401</v>
      </c>
      <c r="G6" s="160" t="n">
        <v>78426.6062367069</v>
      </c>
      <c r="H6" s="161" t="n">
        <v>293978109</v>
      </c>
      <c r="I6" s="162" t="n">
        <v>36.9118</v>
      </c>
      <c r="J6" s="163" t="str">
        <f>'Calculation_Assumptions'!$B$28*G6*(F6/G6)^'Calculation_Assumptions'!$B$29</f>
      </c>
      <c r="K6" s="164" t="str">
        <f>'Calculation_Assumptions'!$B$30*F6</f>
      </c>
      <c r="L6" s="165" t="str">
        <f>MAX(J6,K6)</f>
      </c>
      <c r="M6" s="166" t="str">
        <f>IF(F6=0,"",L6/F6)</f>
      </c>
      <c r="N6" s="167" t="str">
        <f>'Calculation_Assumptions'!$B$31*F6</f>
      </c>
      <c r="O6" s="168" t="str">
        <f>'Calculation_Assumptions'!$B$32*F6</f>
      </c>
      <c r="P6" s="169" t="str">
        <f>IF(I6=0,"",L6/I6)</f>
      </c>
      <c r="Q6" s="170" t="str">
        <f>L6*D6</f>
      </c>
      <c r="R6" s="171" t="str">
        <f>P6*E6</f>
      </c>
      <c r="S6" s="172" t="str">
        <f>N6*D6</f>
      </c>
      <c r="T6" s="173" t="str">
        <f>O6*D6</f>
      </c>
      <c r="U6" s="174" t="str">
        <f>1/(1+'Calculation_Assumptions'!$B$25)^(C6-'Calculation_Assumptions'!$B$24)</f>
      </c>
      <c r="V6" s="175" t="str">
        <f>Q6*U6</f>
      </c>
      <c r="W6" s="176" t="str">
        <f>R6*U6</f>
      </c>
      <c r="X6" s="177" t="str">
        <f>S6*U6</f>
      </c>
      <c r="Y6" s="178" t="str">
        <f>T6*U6</f>
      </c>
      <c r="Z6" s="179" t="str">
        <f>H6*F6</f>
      </c>
      <c r="AA6" s="180" t="str">
        <f>Z6*U6</f>
      </c>
      <c r="AB6" s="181" t="str">
        <f>IF(Z6=0,"",Q6/Z6)</f>
      </c>
    </row>
    <row r="7">
      <c r="A7" t="s">
        <v>116</v>
      </c>
      <c r="B7" s="35" t="s">
        <v>422</v>
      </c>
      <c r="C7" t="n">
        <v>2030</v>
      </c>
      <c r="D7" s="157" t="n">
        <v>29207.1214565639</v>
      </c>
      <c r="E7" s="158" t="n">
        <v>494010.291038092</v>
      </c>
      <c r="F7" s="159" t="n">
        <v>16646.1157012267</v>
      </c>
      <c r="G7" s="160" t="n">
        <v>79537.4104246691</v>
      </c>
      <c r="H7" s="161" t="n">
        <v>295876648</v>
      </c>
      <c r="I7" s="162" t="n">
        <v>36.9927</v>
      </c>
      <c r="J7" s="163" t="str">
        <f>'Calculation_Assumptions'!$B$28*G7*(F7/G7)^'Calculation_Assumptions'!$B$29</f>
      </c>
      <c r="K7" s="164" t="str">
        <f>'Calculation_Assumptions'!$B$30*F7</f>
      </c>
      <c r="L7" s="165" t="str">
        <f>MAX(J7,K7)</f>
      </c>
      <c r="M7" s="166" t="str">
        <f>IF(F7=0,"",L7/F7)</f>
      </c>
      <c r="N7" s="167" t="str">
        <f>'Calculation_Assumptions'!$B$31*F7</f>
      </c>
      <c r="O7" s="168" t="str">
        <f>'Calculation_Assumptions'!$B$32*F7</f>
      </c>
      <c r="P7" s="169" t="str">
        <f>IF(I7=0,"",L7/I7)</f>
      </c>
      <c r="Q7" s="170" t="str">
        <f>L7*D7</f>
      </c>
      <c r="R7" s="171" t="str">
        <f>P7*E7</f>
      </c>
      <c r="S7" s="172" t="str">
        <f>N7*D7</f>
      </c>
      <c r="T7" s="173" t="str">
        <f>O7*D7</f>
      </c>
      <c r="U7" s="174" t="str">
        <f>1/(1+'Calculation_Assumptions'!$B$25)^(C7-'Calculation_Assumptions'!$B$24)</f>
      </c>
      <c r="V7" s="175" t="str">
        <f>Q7*U7</f>
      </c>
      <c r="W7" s="176" t="str">
        <f>R7*U7</f>
      </c>
      <c r="X7" s="177" t="str">
        <f>S7*U7</f>
      </c>
      <c r="Y7" s="178" t="str">
        <f>T7*U7</f>
      </c>
      <c r="Z7" s="179" t="str">
        <f>H7*F7</f>
      </c>
      <c r="AA7" s="180" t="str">
        <f>Z7*U7</f>
      </c>
      <c r="AB7" s="181" t="str">
        <f>IF(Z7=0,"",Q7/Z7)</f>
      </c>
    </row>
    <row r="8">
      <c r="A8" t="s">
        <v>116</v>
      </c>
      <c r="B8" s="35" t="s">
        <v>422</v>
      </c>
      <c r="C8" t="n">
        <v>2031</v>
      </c>
      <c r="D8" s="157" t="n">
        <v>29629.6537965446</v>
      </c>
      <c r="E8" s="158" t="n">
        <v>503919.630332752</v>
      </c>
      <c r="F8" s="159" t="n">
        <v>17161.0734660986</v>
      </c>
      <c r="G8" s="160" t="n">
        <v>80420.1567986293</v>
      </c>
      <c r="H8" s="161" t="n">
        <v>297719748</v>
      </c>
      <c r="I8" s="162" t="n">
        <v>37.0895</v>
      </c>
      <c r="J8" s="163" t="str">
        <f>'Calculation_Assumptions'!$B$28*G8*(F8/G8)^'Calculation_Assumptions'!$B$29</f>
      </c>
      <c r="K8" s="164" t="str">
        <f>'Calculation_Assumptions'!$B$30*F8</f>
      </c>
      <c r="L8" s="165" t="str">
        <f>MAX(J8,K8)</f>
      </c>
      <c r="M8" s="166" t="str">
        <f>IF(F8=0,"",L8/F8)</f>
      </c>
      <c r="N8" s="167" t="str">
        <f>'Calculation_Assumptions'!$B$31*F8</f>
      </c>
      <c r="O8" s="168" t="str">
        <f>'Calculation_Assumptions'!$B$32*F8</f>
      </c>
      <c r="P8" s="169" t="str">
        <f>IF(I8=0,"",L8/I8)</f>
      </c>
      <c r="Q8" s="170" t="str">
        <f>L8*D8</f>
      </c>
      <c r="R8" s="171" t="str">
        <f>P8*E8</f>
      </c>
      <c r="S8" s="172" t="str">
        <f>N8*D8</f>
      </c>
      <c r="T8" s="173" t="str">
        <f>O8*D8</f>
      </c>
      <c r="U8" s="174" t="str">
        <f>1/(1+'Calculation_Assumptions'!$B$25)^(C8-'Calculation_Assumptions'!$B$24)</f>
      </c>
      <c r="V8" s="175" t="str">
        <f>Q8*U8</f>
      </c>
      <c r="W8" s="176" t="str">
        <f>R8*U8</f>
      </c>
      <c r="X8" s="177" t="str">
        <f>S8*U8</f>
      </c>
      <c r="Y8" s="178" t="str">
        <f>T8*U8</f>
      </c>
      <c r="Z8" s="179" t="str">
        <f>H8*F8</f>
      </c>
      <c r="AA8" s="180" t="str">
        <f>Z8*U8</f>
      </c>
      <c r="AB8" s="181" t="str">
        <f>IF(Z8=0,"",Q8/Z8)</f>
      </c>
    </row>
    <row r="9">
      <c r="A9" t="s">
        <v>116</v>
      </c>
      <c r="B9" s="35" t="s">
        <v>422</v>
      </c>
      <c r="C9" t="n">
        <v>2032</v>
      </c>
      <c r="D9" s="157" t="n">
        <v>30448.9710503844</v>
      </c>
      <c r="E9" s="158" t="n">
        <v>518170.860708955</v>
      </c>
      <c r="F9" s="159" t="n">
        <v>17691.9617642167</v>
      </c>
      <c r="G9" s="160" t="n">
        <v>81312.7003379309</v>
      </c>
      <c r="H9" s="161" t="n">
        <v>299510661.5</v>
      </c>
      <c r="I9" s="162" t="n">
        <v>37.1904</v>
      </c>
      <c r="J9" s="163" t="str">
        <f>'Calculation_Assumptions'!$B$28*G9*(F9/G9)^'Calculation_Assumptions'!$B$29</f>
      </c>
      <c r="K9" s="164" t="str">
        <f>'Calculation_Assumptions'!$B$30*F9</f>
      </c>
      <c r="L9" s="165" t="str">
        <f>MAX(J9,K9)</f>
      </c>
      <c r="M9" s="166" t="str">
        <f>IF(F9=0,"",L9/F9)</f>
      </c>
      <c r="N9" s="167" t="str">
        <f>'Calculation_Assumptions'!$B$31*F9</f>
      </c>
      <c r="O9" s="168" t="str">
        <f>'Calculation_Assumptions'!$B$32*F9</f>
      </c>
      <c r="P9" s="169" t="str">
        <f>IF(I9=0,"",L9/I9)</f>
      </c>
      <c r="Q9" s="170" t="str">
        <f>L9*D9</f>
      </c>
      <c r="R9" s="171" t="str">
        <f>P9*E9</f>
      </c>
      <c r="S9" s="172" t="str">
        <f>N9*D9</f>
      </c>
      <c r="T9" s="173" t="str">
        <f>O9*D9</f>
      </c>
      <c r="U9" s="174" t="str">
        <f>1/(1+'Calculation_Assumptions'!$B$25)^(C9-'Calculation_Assumptions'!$B$24)</f>
      </c>
      <c r="V9" s="175" t="str">
        <f>Q9*U9</f>
      </c>
      <c r="W9" s="176" t="str">
        <f>R9*U9</f>
      </c>
      <c r="X9" s="177" t="str">
        <f>S9*U9</f>
      </c>
      <c r="Y9" s="178" t="str">
        <f>T9*U9</f>
      </c>
      <c r="Z9" s="179" t="str">
        <f>H9*F9</f>
      </c>
      <c r="AA9" s="180" t="str">
        <f>Z9*U9</f>
      </c>
      <c r="AB9" s="181" t="str">
        <f>IF(Z9=0,"",Q9/Z9)</f>
      </c>
    </row>
    <row r="10">
      <c r="A10" t="s">
        <v>116</v>
      </c>
      <c r="B10" s="35" t="s">
        <v>422</v>
      </c>
      <c r="C10" t="n">
        <v>2033</v>
      </c>
      <c r="D10" s="157" t="n">
        <v>31471.8361404128</v>
      </c>
      <c r="E10" s="158" t="n">
        <v>534605.468607232</v>
      </c>
      <c r="F10" s="159" t="n">
        <v>18239.2734163655</v>
      </c>
      <c r="G10" s="160" t="n">
        <v>82215.1497764654</v>
      </c>
      <c r="H10" s="161" t="n">
        <v>301250984.5</v>
      </c>
      <c r="I10" s="162" t="n">
        <v>37.2975</v>
      </c>
      <c r="J10" s="163" t="str">
        <f>'Calculation_Assumptions'!$B$28*G10*(F10/G10)^'Calculation_Assumptions'!$B$29</f>
      </c>
      <c r="K10" s="164" t="str">
        <f>'Calculation_Assumptions'!$B$30*F10</f>
      </c>
      <c r="L10" s="165" t="str">
        <f>MAX(J10,K10)</f>
      </c>
      <c r="M10" s="166" t="str">
        <f>IF(F10=0,"",L10/F10)</f>
      </c>
      <c r="N10" s="167" t="str">
        <f>'Calculation_Assumptions'!$B$31*F10</f>
      </c>
      <c r="O10" s="168" t="str">
        <f>'Calculation_Assumptions'!$B$32*F10</f>
      </c>
      <c r="P10" s="169" t="str">
        <f>IF(I10=0,"",L10/I10)</f>
      </c>
      <c r="Q10" s="170" t="str">
        <f>L10*D10</f>
      </c>
      <c r="R10" s="171" t="str">
        <f>P10*E10</f>
      </c>
      <c r="S10" s="172" t="str">
        <f>N10*D10</f>
      </c>
      <c r="T10" s="173" t="str">
        <f>O10*D10</f>
      </c>
      <c r="U10" s="174" t="str">
        <f>1/(1+'Calculation_Assumptions'!$B$25)^(C10-'Calculation_Assumptions'!$B$24)</f>
      </c>
      <c r="V10" s="175" t="str">
        <f>Q10*U10</f>
      </c>
      <c r="W10" s="176" t="str">
        <f>R10*U10</f>
      </c>
      <c r="X10" s="177" t="str">
        <f>S10*U10</f>
      </c>
      <c r="Y10" s="178" t="str">
        <f>T10*U10</f>
      </c>
      <c r="Z10" s="179" t="str">
        <f>H10*F10</f>
      </c>
      <c r="AA10" s="180" t="str">
        <f>Z10*U10</f>
      </c>
      <c r="AB10" s="181" t="str">
        <f>IF(Z10=0,"",Q10/Z10)</f>
      </c>
    </row>
    <row r="11">
      <c r="A11" t="s">
        <v>116</v>
      </c>
      <c r="B11" s="35" t="s">
        <v>422</v>
      </c>
      <c r="C11" t="n">
        <v>2034</v>
      </c>
      <c r="D11" s="157" t="n">
        <v>31127.303228699</v>
      </c>
      <c r="E11" s="158" t="n">
        <v>533068.149976888</v>
      </c>
      <c r="F11" s="159" t="n">
        <v>18803.5164890413</v>
      </c>
      <c r="G11" s="160" t="n">
        <v>83127.6150549084</v>
      </c>
      <c r="H11" s="161" t="n">
        <v>302938573</v>
      </c>
      <c r="I11" s="162" t="n">
        <v>37.4064</v>
      </c>
      <c r="J11" s="163" t="str">
        <f>'Calculation_Assumptions'!$B$28*G11*(F11/G11)^'Calculation_Assumptions'!$B$29</f>
      </c>
      <c r="K11" s="164" t="str">
        <f>'Calculation_Assumptions'!$B$30*F11</f>
      </c>
      <c r="L11" s="165" t="str">
        <f>MAX(J11,K11)</f>
      </c>
      <c r="M11" s="166" t="str">
        <f>IF(F11=0,"",L11/F11)</f>
      </c>
      <c r="N11" s="167" t="str">
        <f>'Calculation_Assumptions'!$B$31*F11</f>
      </c>
      <c r="O11" s="168" t="str">
        <f>'Calculation_Assumptions'!$B$32*F11</f>
      </c>
      <c r="P11" s="169" t="str">
        <f>IF(I11=0,"",L11/I11)</f>
      </c>
      <c r="Q11" s="170" t="str">
        <f>L11*D11</f>
      </c>
      <c r="R11" s="171" t="str">
        <f>P11*E11</f>
      </c>
      <c r="S11" s="172" t="str">
        <f>N11*D11</f>
      </c>
      <c r="T11" s="173" t="str">
        <f>O11*D11</f>
      </c>
      <c r="U11" s="174" t="str">
        <f>1/(1+'Calculation_Assumptions'!$B$25)^(C11-'Calculation_Assumptions'!$B$24)</f>
      </c>
      <c r="V11" s="175" t="str">
        <f>Q11*U11</f>
      </c>
      <c r="W11" s="176" t="str">
        <f>R11*U11</f>
      </c>
      <c r="X11" s="177" t="str">
        <f>S11*U11</f>
      </c>
      <c r="Y11" s="178" t="str">
        <f>T11*U11</f>
      </c>
      <c r="Z11" s="179" t="str">
        <f>H11*F11</f>
      </c>
      <c r="AA11" s="180" t="str">
        <f>Z11*U11</f>
      </c>
      <c r="AB11" s="181" t="str">
        <f>IF(Z11=0,"",Q11/Z11)</f>
      </c>
    </row>
    <row r="12">
      <c r="A12" t="s">
        <v>116</v>
      </c>
      <c r="B12" s="35" t="s">
        <v>422</v>
      </c>
      <c r="C12" t="n">
        <v>2035</v>
      </c>
      <c r="D12" s="157" t="n">
        <v>30979.0062746336</v>
      </c>
      <c r="E12" s="158" t="n">
        <v>533840.678299981</v>
      </c>
      <c r="F12" s="159" t="n">
        <v>19385.2147660882</v>
      </c>
      <c r="G12" s="160" t="n">
        <v>84050.2073341125</v>
      </c>
      <c r="H12" s="161" t="n">
        <v>304566622</v>
      </c>
      <c r="I12" s="162" t="n">
        <v>37.5179</v>
      </c>
      <c r="J12" s="163" t="str">
        <f>'Calculation_Assumptions'!$B$28*G12*(F12/G12)^'Calculation_Assumptions'!$B$29</f>
      </c>
      <c r="K12" s="164" t="str">
        <f>'Calculation_Assumptions'!$B$30*F12</f>
      </c>
      <c r="L12" s="165" t="str">
        <f>MAX(J12,K12)</f>
      </c>
      <c r="M12" s="166" t="str">
        <f>IF(F12=0,"",L12/F12)</f>
      </c>
      <c r="N12" s="167" t="str">
        <f>'Calculation_Assumptions'!$B$31*F12</f>
      </c>
      <c r="O12" s="168" t="str">
        <f>'Calculation_Assumptions'!$B$32*F12</f>
      </c>
      <c r="P12" s="169" t="str">
        <f>IF(I12=0,"",L12/I12)</f>
      </c>
      <c r="Q12" s="170" t="str">
        <f>L12*D12</f>
      </c>
      <c r="R12" s="171" t="str">
        <f>P12*E12</f>
      </c>
      <c r="S12" s="172" t="str">
        <f>N12*D12</f>
      </c>
      <c r="T12" s="173" t="str">
        <f>O12*D12</f>
      </c>
      <c r="U12" s="174" t="str">
        <f>1/(1+'Calculation_Assumptions'!$B$25)^(C12-'Calculation_Assumptions'!$B$24)</f>
      </c>
      <c r="V12" s="175" t="str">
        <f>Q12*U12</f>
      </c>
      <c r="W12" s="176" t="str">
        <f>R12*U12</f>
      </c>
      <c r="X12" s="177" t="str">
        <f>S12*U12</f>
      </c>
      <c r="Y12" s="178" t="str">
        <f>T12*U12</f>
      </c>
      <c r="Z12" s="179" t="str">
        <f>H12*F12</f>
      </c>
      <c r="AA12" s="180" t="str">
        <f>Z12*U12</f>
      </c>
      <c r="AB12" s="181" t="str">
        <f>IF(Z12=0,"",Q12/Z12)</f>
      </c>
    </row>
    <row r="13">
      <c r="A13" t="s">
        <v>116</v>
      </c>
      <c r="B13" s="35" t="s">
        <v>422</v>
      </c>
      <c r="C13" t="n">
        <v>2036</v>
      </c>
      <c r="D13" s="157" t="n">
        <v>36387.1413589899</v>
      </c>
      <c r="E13" s="158" t="n">
        <v>600803.503054012</v>
      </c>
      <c r="F13" s="159" t="n">
        <v>19931.358148438</v>
      </c>
      <c r="G13" s="160" t="n">
        <v>84847.8568068913</v>
      </c>
      <c r="H13" s="161" t="n">
        <v>306135098</v>
      </c>
      <c r="I13" s="162" t="n">
        <v>37.6267</v>
      </c>
      <c r="J13" s="163" t="str">
        <f>'Calculation_Assumptions'!$B$28*G13*(F13/G13)^'Calculation_Assumptions'!$B$29</f>
      </c>
      <c r="K13" s="164" t="str">
        <f>'Calculation_Assumptions'!$B$30*F13</f>
      </c>
      <c r="L13" s="165" t="str">
        <f>MAX(J13,K13)</f>
      </c>
      <c r="M13" s="166" t="str">
        <f>IF(F13=0,"",L13/F13)</f>
      </c>
      <c r="N13" s="167" t="str">
        <f>'Calculation_Assumptions'!$B$31*F13</f>
      </c>
      <c r="O13" s="168" t="str">
        <f>'Calculation_Assumptions'!$B$32*F13</f>
      </c>
      <c r="P13" s="169" t="str">
        <f>IF(I13=0,"",L13/I13)</f>
      </c>
      <c r="Q13" s="170" t="str">
        <f>L13*D13</f>
      </c>
      <c r="R13" s="171" t="str">
        <f>P13*E13</f>
      </c>
      <c r="S13" s="172" t="str">
        <f>N13*D13</f>
      </c>
      <c r="T13" s="173" t="str">
        <f>O13*D13</f>
      </c>
      <c r="U13" s="174" t="str">
        <f>1/(1+'Calculation_Assumptions'!$B$25)^(C13-'Calculation_Assumptions'!$B$24)</f>
      </c>
      <c r="V13" s="175" t="str">
        <f>Q13*U13</f>
      </c>
      <c r="W13" s="176" t="str">
        <f>R13*U13</f>
      </c>
      <c r="X13" s="177" t="str">
        <f>S13*U13</f>
      </c>
      <c r="Y13" s="178" t="str">
        <f>T13*U13</f>
      </c>
      <c r="Z13" s="179" t="str">
        <f>H13*F13</f>
      </c>
      <c r="AA13" s="180" t="str">
        <f>Z13*U13</f>
      </c>
      <c r="AB13" s="181" t="str">
        <f>IF(Z13=0,"",Q13/Z13)</f>
      </c>
    </row>
    <row r="14">
      <c r="A14" t="s">
        <v>116</v>
      </c>
      <c r="B14" s="35" t="s">
        <v>422</v>
      </c>
      <c r="C14" t="n">
        <v>2037</v>
      </c>
      <c r="D14" s="157" t="n">
        <v>41544.8893835119</v>
      </c>
      <c r="E14" s="158" t="n">
        <v>665559.728060606</v>
      </c>
      <c r="F14" s="159" t="n">
        <v>20492.8881332929</v>
      </c>
      <c r="G14" s="160" t="n">
        <v>85653.076096588</v>
      </c>
      <c r="H14" s="161" t="n">
        <v>307646417.5</v>
      </c>
      <c r="I14" s="162" t="n">
        <v>37.7369</v>
      </c>
      <c r="J14" s="163" t="str">
        <f>'Calculation_Assumptions'!$B$28*G14*(F14/G14)^'Calculation_Assumptions'!$B$29</f>
      </c>
      <c r="K14" s="164" t="str">
        <f>'Calculation_Assumptions'!$B$30*F14</f>
      </c>
      <c r="L14" s="165" t="str">
        <f>MAX(J14,K14)</f>
      </c>
      <c r="M14" s="166" t="str">
        <f>IF(F14=0,"",L14/F14)</f>
      </c>
      <c r="N14" s="167" t="str">
        <f>'Calculation_Assumptions'!$B$31*F14</f>
      </c>
      <c r="O14" s="168" t="str">
        <f>'Calculation_Assumptions'!$B$32*F14</f>
      </c>
      <c r="P14" s="169" t="str">
        <f>IF(I14=0,"",L14/I14)</f>
      </c>
      <c r="Q14" s="170" t="str">
        <f>L14*D14</f>
      </c>
      <c r="R14" s="171" t="str">
        <f>P14*E14</f>
      </c>
      <c r="S14" s="172" t="str">
        <f>N14*D14</f>
      </c>
      <c r="T14" s="173" t="str">
        <f>O14*D14</f>
      </c>
      <c r="U14" s="174" t="str">
        <f>1/(1+'Calculation_Assumptions'!$B$25)^(C14-'Calculation_Assumptions'!$B$24)</f>
      </c>
      <c r="V14" s="175" t="str">
        <f>Q14*U14</f>
      </c>
      <c r="W14" s="176" t="str">
        <f>R14*U14</f>
      </c>
      <c r="X14" s="177" t="str">
        <f>S14*U14</f>
      </c>
      <c r="Y14" s="178" t="str">
        <f>T14*U14</f>
      </c>
      <c r="Z14" s="179" t="str">
        <f>H14*F14</f>
      </c>
      <c r="AA14" s="180" t="str">
        <f>Z14*U14</f>
      </c>
      <c r="AB14" s="181" t="str">
        <f>IF(Z14=0,"",Q14/Z14)</f>
      </c>
    </row>
    <row r="15">
      <c r="A15" t="s">
        <v>116</v>
      </c>
      <c r="B15" s="35" t="s">
        <v>422</v>
      </c>
      <c r="C15" t="n">
        <v>2038</v>
      </c>
      <c r="D15" s="157" t="n">
        <v>46632.0694900768</v>
      </c>
      <c r="E15" s="158" t="n">
        <v>729511.739047569</v>
      </c>
      <c r="F15" s="159" t="n">
        <v>21070.2382103635</v>
      </c>
      <c r="G15" s="160" t="n">
        <v>86465.9370419363</v>
      </c>
      <c r="H15" s="161" t="n">
        <v>309096448</v>
      </c>
      <c r="I15" s="162" t="n">
        <v>37.8496</v>
      </c>
      <c r="J15" s="163" t="str">
        <f>'Calculation_Assumptions'!$B$28*G15*(F15/G15)^'Calculation_Assumptions'!$B$29</f>
      </c>
      <c r="K15" s="164" t="str">
        <f>'Calculation_Assumptions'!$B$30*F15</f>
      </c>
      <c r="L15" s="165" t="str">
        <f>MAX(J15,K15)</f>
      </c>
      <c r="M15" s="166" t="str">
        <f>IF(F15=0,"",L15/F15)</f>
      </c>
      <c r="N15" s="167" t="str">
        <f>'Calculation_Assumptions'!$B$31*F15</f>
      </c>
      <c r="O15" s="168" t="str">
        <f>'Calculation_Assumptions'!$B$32*F15</f>
      </c>
      <c r="P15" s="169" t="str">
        <f>IF(I15=0,"",L15/I15)</f>
      </c>
      <c r="Q15" s="170" t="str">
        <f>L15*D15</f>
      </c>
      <c r="R15" s="171" t="str">
        <f>P15*E15</f>
      </c>
      <c r="S15" s="172" t="str">
        <f>N15*D15</f>
      </c>
      <c r="T15" s="173" t="str">
        <f>O15*D15</f>
      </c>
      <c r="U15" s="174" t="str">
        <f>1/(1+'Calculation_Assumptions'!$B$25)^(C15-'Calculation_Assumptions'!$B$24)</f>
      </c>
      <c r="V15" s="175" t="str">
        <f>Q15*U15</f>
      </c>
      <c r="W15" s="176" t="str">
        <f>R15*U15</f>
      </c>
      <c r="X15" s="177" t="str">
        <f>S15*U15</f>
      </c>
      <c r="Y15" s="178" t="str">
        <f>T15*U15</f>
      </c>
      <c r="Z15" s="179" t="str">
        <f>H15*F15</f>
      </c>
      <c r="AA15" s="180" t="str">
        <f>Z15*U15</f>
      </c>
      <c r="AB15" s="181" t="str">
        <f>IF(Z15=0,"",Q15/Z15)</f>
      </c>
    </row>
    <row r="16">
      <c r="A16" t="s">
        <v>116</v>
      </c>
      <c r="B16" s="35" t="s">
        <v>422</v>
      </c>
      <c r="C16" t="n">
        <v>2039</v>
      </c>
      <c r="D16" s="157" t="n">
        <v>51760.0230353557</v>
      </c>
      <c r="E16" s="158" t="n">
        <v>794180.063335569</v>
      </c>
      <c r="F16" s="159" t="n">
        <v>21663.8540821491</v>
      </c>
      <c r="G16" s="160" t="n">
        <v>87286.5121634309</v>
      </c>
      <c r="H16" s="161" t="n">
        <v>310481120</v>
      </c>
      <c r="I16" s="162" t="n">
        <v>37.9582</v>
      </c>
      <c r="J16" s="163" t="str">
        <f>'Calculation_Assumptions'!$B$28*G16*(F16/G16)^'Calculation_Assumptions'!$B$29</f>
      </c>
      <c r="K16" s="164" t="str">
        <f>'Calculation_Assumptions'!$B$30*F16</f>
      </c>
      <c r="L16" s="165" t="str">
        <f>MAX(J16,K16)</f>
      </c>
      <c r="M16" s="166" t="str">
        <f>IF(F16=0,"",L16/F16)</f>
      </c>
      <c r="N16" s="167" t="str">
        <f>'Calculation_Assumptions'!$B$31*F16</f>
      </c>
      <c r="O16" s="168" t="str">
        <f>'Calculation_Assumptions'!$B$32*F16</f>
      </c>
      <c r="P16" s="169" t="str">
        <f>IF(I16=0,"",L16/I16)</f>
      </c>
      <c r="Q16" s="170" t="str">
        <f>L16*D16</f>
      </c>
      <c r="R16" s="171" t="str">
        <f>P16*E16</f>
      </c>
      <c r="S16" s="172" t="str">
        <f>N16*D16</f>
      </c>
      <c r="T16" s="173" t="str">
        <f>O16*D16</f>
      </c>
      <c r="U16" s="174" t="str">
        <f>1/(1+'Calculation_Assumptions'!$B$25)^(C16-'Calculation_Assumptions'!$B$24)</f>
      </c>
      <c r="V16" s="175" t="str">
        <f>Q16*U16</f>
      </c>
      <c r="W16" s="176" t="str">
        <f>R16*U16</f>
      </c>
      <c r="X16" s="177" t="str">
        <f>S16*U16</f>
      </c>
      <c r="Y16" s="178" t="str">
        <f>T16*U16</f>
      </c>
      <c r="Z16" s="179" t="str">
        <f>H16*F16</f>
      </c>
      <c r="AA16" s="180" t="str">
        <f>Z16*U16</f>
      </c>
      <c r="AB16" s="181" t="str">
        <f>IF(Z16=0,"",Q16/Z16)</f>
      </c>
    </row>
    <row r="17">
      <c r="A17" t="s">
        <v>116</v>
      </c>
      <c r="B17" s="35" t="s">
        <v>422</v>
      </c>
      <c r="C17" t="n">
        <v>2040</v>
      </c>
      <c r="D17" s="157" t="n">
        <v>56917.4672149347</v>
      </c>
      <c r="E17" s="158" t="n">
        <v>859204.080227841</v>
      </c>
      <c r="F17" s="159" t="n">
        <v>22274.1940080113</v>
      </c>
      <c r="G17" s="160" t="n">
        <v>88114.8746697968</v>
      </c>
      <c r="H17" s="161" t="n">
        <v>311797395.5</v>
      </c>
      <c r="I17" s="162" t="n">
        <v>38.0715</v>
      </c>
      <c r="J17" s="163" t="str">
        <f>'Calculation_Assumptions'!$B$28*G17*(F17/G17)^'Calculation_Assumptions'!$B$29</f>
      </c>
      <c r="K17" s="164" t="str">
        <f>'Calculation_Assumptions'!$B$30*F17</f>
      </c>
      <c r="L17" s="165" t="str">
        <f>MAX(J17,K17)</f>
      </c>
      <c r="M17" s="166" t="str">
        <f>IF(F17=0,"",L17/F17)</f>
      </c>
      <c r="N17" s="167" t="str">
        <f>'Calculation_Assumptions'!$B$31*F17</f>
      </c>
      <c r="O17" s="168" t="str">
        <f>'Calculation_Assumptions'!$B$32*F17</f>
      </c>
      <c r="P17" s="169" t="str">
        <f>IF(I17=0,"",L17/I17)</f>
      </c>
      <c r="Q17" s="170" t="str">
        <f>L17*D17</f>
      </c>
      <c r="R17" s="171" t="str">
        <f>P17*E17</f>
      </c>
      <c r="S17" s="172" t="str">
        <f>N17*D17</f>
      </c>
      <c r="T17" s="173" t="str">
        <f>O17*D17</f>
      </c>
      <c r="U17" s="174" t="str">
        <f>1/(1+'Calculation_Assumptions'!$B$25)^(C17-'Calculation_Assumptions'!$B$24)</f>
      </c>
      <c r="V17" s="175" t="str">
        <f>Q17*U17</f>
      </c>
      <c r="W17" s="176" t="str">
        <f>R17*U17</f>
      </c>
      <c r="X17" s="177" t="str">
        <f>S17*U17</f>
      </c>
      <c r="Y17" s="178" t="str">
        <f>T17*U17</f>
      </c>
      <c r="Z17" s="179" t="str">
        <f>H17*F17</f>
      </c>
      <c r="AA17" s="180" t="str">
        <f>Z17*U17</f>
      </c>
      <c r="AB17" s="181" t="str">
        <f>IF(Z17=0,"",Q17/Z17)</f>
      </c>
    </row>
    <row r="18">
      <c r="A18" t="s">
        <v>116</v>
      </c>
      <c r="B18" s="35" t="s">
        <v>422</v>
      </c>
      <c r="C18" t="n">
        <v>2041</v>
      </c>
      <c r="D18" s="157" t="n">
        <v>56087.333468677</v>
      </c>
      <c r="E18" s="158" t="n">
        <v>854181.668503665</v>
      </c>
      <c r="F18" s="159" t="n">
        <v>22835.7817990268</v>
      </c>
      <c r="G18" s="160" t="n">
        <v>88881.5613597912</v>
      </c>
      <c r="H18" s="161" t="n">
        <v>313041661</v>
      </c>
      <c r="I18" s="162" t="n">
        <v>37.2583</v>
      </c>
      <c r="J18" s="163" t="str">
        <f>'Calculation_Assumptions'!$B$28*G18*(F18/G18)^'Calculation_Assumptions'!$B$29</f>
      </c>
      <c r="K18" s="164" t="str">
        <f>'Calculation_Assumptions'!$B$30*F18</f>
      </c>
      <c r="L18" s="165" t="str">
        <f>MAX(J18,K18)</f>
      </c>
      <c r="M18" s="166" t="str">
        <f>IF(F18=0,"",L18/F18)</f>
      </c>
      <c r="N18" s="167" t="str">
        <f>'Calculation_Assumptions'!$B$31*F18</f>
      </c>
      <c r="O18" s="168" t="str">
        <f>'Calculation_Assumptions'!$B$32*F18</f>
      </c>
      <c r="P18" s="169" t="str">
        <f>IF(I18=0,"",L18/I18)</f>
      </c>
      <c r="Q18" s="170" t="str">
        <f>L18*D18</f>
      </c>
      <c r="R18" s="171" t="str">
        <f>P18*E18</f>
      </c>
      <c r="S18" s="172" t="str">
        <f>N18*D18</f>
      </c>
      <c r="T18" s="173" t="str">
        <f>O18*D18</f>
      </c>
      <c r="U18" s="174" t="str">
        <f>1/(1+'Calculation_Assumptions'!$B$25)^(C18-'Calculation_Assumptions'!$B$24)</f>
      </c>
      <c r="V18" s="175" t="str">
        <f>Q18*U18</f>
      </c>
      <c r="W18" s="176" t="str">
        <f>R18*U18</f>
      </c>
      <c r="X18" s="177" t="str">
        <f>S18*U18</f>
      </c>
      <c r="Y18" s="178" t="str">
        <f>T18*U18</f>
      </c>
      <c r="Z18" s="179" t="str">
        <f>H18*F18</f>
      </c>
      <c r="AA18" s="180" t="str">
        <f>Z18*U18</f>
      </c>
      <c r="AB18" s="181" t="str">
        <f>IF(Z18=0,"",Q18/Z18)</f>
      </c>
    </row>
    <row r="19">
      <c r="A19" t="s">
        <v>116</v>
      </c>
      <c r="B19" s="35" t="s">
        <v>422</v>
      </c>
      <c r="C19" t="n">
        <v>2042</v>
      </c>
      <c r="D19" s="157" t="n">
        <v>55719.4143734703</v>
      </c>
      <c r="E19" s="158" t="n">
        <v>853804.301035862</v>
      </c>
      <c r="F19" s="159" t="n">
        <v>23411.5286140188</v>
      </c>
      <c r="G19" s="160" t="n">
        <v>89654.918983414</v>
      </c>
      <c r="H19" s="161" t="n">
        <v>314211282.5</v>
      </c>
      <c r="I19" s="162" t="n">
        <v>37.3732</v>
      </c>
      <c r="J19" s="163" t="str">
        <f>'Calculation_Assumptions'!$B$28*G19*(F19/G19)^'Calculation_Assumptions'!$B$29</f>
      </c>
      <c r="K19" s="164" t="str">
        <f>'Calculation_Assumptions'!$B$30*F19</f>
      </c>
      <c r="L19" s="165" t="str">
        <f>MAX(J19,K19)</f>
      </c>
      <c r="M19" s="166" t="str">
        <f>IF(F19=0,"",L19/F19)</f>
      </c>
      <c r="N19" s="167" t="str">
        <f>'Calculation_Assumptions'!$B$31*F19</f>
      </c>
      <c r="O19" s="168" t="str">
        <f>'Calculation_Assumptions'!$B$32*F19</f>
      </c>
      <c r="P19" s="169" t="str">
        <f>IF(I19=0,"",L19/I19)</f>
      </c>
      <c r="Q19" s="170" t="str">
        <f>L19*D19</f>
      </c>
      <c r="R19" s="171" t="str">
        <f>P19*E19</f>
      </c>
      <c r="S19" s="172" t="str">
        <f>N19*D19</f>
      </c>
      <c r="T19" s="173" t="str">
        <f>O19*D19</f>
      </c>
      <c r="U19" s="174" t="str">
        <f>1/(1+'Calculation_Assumptions'!$B$25)^(C19-'Calculation_Assumptions'!$B$24)</f>
      </c>
      <c r="V19" s="175" t="str">
        <f>Q19*U19</f>
      </c>
      <c r="W19" s="176" t="str">
        <f>R19*U19</f>
      </c>
      <c r="X19" s="177" t="str">
        <f>S19*U19</f>
      </c>
      <c r="Y19" s="178" t="str">
        <f>T19*U19</f>
      </c>
      <c r="Z19" s="179" t="str">
        <f>H19*F19</f>
      </c>
      <c r="AA19" s="180" t="str">
        <f>Z19*U19</f>
      </c>
      <c r="AB19" s="181" t="str">
        <f>IF(Z19=0,"",Q19/Z19)</f>
      </c>
    </row>
    <row r="20">
      <c r="A20" t="s">
        <v>116</v>
      </c>
      <c r="B20" s="35" t="s">
        <v>422</v>
      </c>
      <c r="C20" t="n">
        <v>2043</v>
      </c>
      <c r="D20" s="157" t="n">
        <v>55565.0443496772</v>
      </c>
      <c r="E20" s="158" t="n">
        <v>855492.361366132</v>
      </c>
      <c r="F20" s="159" t="n">
        <v>24001.7914371726</v>
      </c>
      <c r="G20" s="160" t="n">
        <v>90435.0055843959</v>
      </c>
      <c r="H20" s="161" t="n">
        <v>315304312</v>
      </c>
      <c r="I20" s="162" t="n">
        <v>37.4911</v>
      </c>
      <c r="J20" s="163" t="str">
        <f>'Calculation_Assumptions'!$B$28*G20*(F20/G20)^'Calculation_Assumptions'!$B$29</f>
      </c>
      <c r="K20" s="164" t="str">
        <f>'Calculation_Assumptions'!$B$30*F20</f>
      </c>
      <c r="L20" s="165" t="str">
        <f>MAX(J20,K20)</f>
      </c>
      <c r="M20" s="166" t="str">
        <f>IF(F20=0,"",L20/F20)</f>
      </c>
      <c r="N20" s="167" t="str">
        <f>'Calculation_Assumptions'!$B$31*F20</f>
      </c>
      <c r="O20" s="168" t="str">
        <f>'Calculation_Assumptions'!$B$32*F20</f>
      </c>
      <c r="P20" s="169" t="str">
        <f>IF(I20=0,"",L20/I20)</f>
      </c>
      <c r="Q20" s="170" t="str">
        <f>L20*D20</f>
      </c>
      <c r="R20" s="171" t="str">
        <f>P20*E20</f>
      </c>
      <c r="S20" s="172" t="str">
        <f>N20*D20</f>
      </c>
      <c r="T20" s="173" t="str">
        <f>O20*D20</f>
      </c>
      <c r="U20" s="174" t="str">
        <f>1/(1+'Calculation_Assumptions'!$B$25)^(C20-'Calculation_Assumptions'!$B$24)</f>
      </c>
      <c r="V20" s="175" t="str">
        <f>Q20*U20</f>
      </c>
      <c r="W20" s="176" t="str">
        <f>R20*U20</f>
      </c>
      <c r="X20" s="177" t="str">
        <f>S20*U20</f>
      </c>
      <c r="Y20" s="178" t="str">
        <f>T20*U20</f>
      </c>
      <c r="Z20" s="179" t="str">
        <f>H20*F20</f>
      </c>
      <c r="AA20" s="180" t="str">
        <f>Z20*U20</f>
      </c>
      <c r="AB20" s="181" t="str">
        <f>IF(Z20=0,"",Q20/Z20)</f>
      </c>
    </row>
    <row r="21">
      <c r="A21" t="s">
        <v>116</v>
      </c>
      <c r="B21" s="35" t="s">
        <v>422</v>
      </c>
      <c r="C21" t="n">
        <v>2044</v>
      </c>
      <c r="D21" s="157" t="n">
        <v>55554.5852438889</v>
      </c>
      <c r="E21" s="158" t="n">
        <v>858860.118547306</v>
      </c>
      <c r="F21" s="159" t="n">
        <v>24606.9362531317</v>
      </c>
      <c r="G21" s="160" t="n">
        <v>91221.8797115048</v>
      </c>
      <c r="H21" s="161" t="n">
        <v>316318415.5</v>
      </c>
      <c r="I21" s="162" t="n">
        <v>37.6099</v>
      </c>
      <c r="J21" s="163" t="str">
        <f>'Calculation_Assumptions'!$B$28*G21*(F21/G21)^'Calculation_Assumptions'!$B$29</f>
      </c>
      <c r="K21" s="164" t="str">
        <f>'Calculation_Assumptions'!$B$30*F21</f>
      </c>
      <c r="L21" s="165" t="str">
        <f>MAX(J21,K21)</f>
      </c>
      <c r="M21" s="166" t="str">
        <f>IF(F21=0,"",L21/F21)</f>
      </c>
      <c r="N21" s="167" t="str">
        <f>'Calculation_Assumptions'!$B$31*F21</f>
      </c>
      <c r="O21" s="168" t="str">
        <f>'Calculation_Assumptions'!$B$32*F21</f>
      </c>
      <c r="P21" s="169" t="str">
        <f>IF(I21=0,"",L21/I21)</f>
      </c>
      <c r="Q21" s="170" t="str">
        <f>L21*D21</f>
      </c>
      <c r="R21" s="171" t="str">
        <f>P21*E21</f>
      </c>
      <c r="S21" s="172" t="str">
        <f>N21*D21</f>
      </c>
      <c r="T21" s="173" t="str">
        <f>O21*D21</f>
      </c>
      <c r="U21" s="174" t="str">
        <f>1/(1+'Calculation_Assumptions'!$B$25)^(C21-'Calculation_Assumptions'!$B$24)</f>
      </c>
      <c r="V21" s="175" t="str">
        <f>Q21*U21</f>
      </c>
      <c r="W21" s="176" t="str">
        <f>R21*U21</f>
      </c>
      <c r="X21" s="177" t="str">
        <f>S21*U21</f>
      </c>
      <c r="Y21" s="178" t="str">
        <f>T21*U21</f>
      </c>
      <c r="Z21" s="179" t="str">
        <f>H21*F21</f>
      </c>
      <c r="AA21" s="180" t="str">
        <f>Z21*U21</f>
      </c>
      <c r="AB21" s="181" t="str">
        <f>IF(Z21=0,"",Q21/Z21)</f>
      </c>
    </row>
    <row r="22">
      <c r="A22" t="s">
        <v>116</v>
      </c>
      <c r="B22" s="35" t="s">
        <v>422</v>
      </c>
      <c r="C22" t="n">
        <v>2045</v>
      </c>
      <c r="D22" s="157" t="n">
        <v>55646.4156990614</v>
      </c>
      <c r="E22" s="158" t="n">
        <v>863211.392203342</v>
      </c>
      <c r="F22" s="159" t="n">
        <v>25227.3382739225</v>
      </c>
      <c r="G22" s="160" t="n">
        <v>92015.6004229417</v>
      </c>
      <c r="H22" s="161" t="n">
        <v>317249613</v>
      </c>
      <c r="I22" s="162" t="n">
        <v>37.7245</v>
      </c>
      <c r="J22" s="163" t="str">
        <f>'Calculation_Assumptions'!$B$28*G22*(F22/G22)^'Calculation_Assumptions'!$B$29</f>
      </c>
      <c r="K22" s="164" t="str">
        <f>'Calculation_Assumptions'!$B$30*F22</f>
      </c>
      <c r="L22" s="165" t="str">
        <f>MAX(J22,K22)</f>
      </c>
      <c r="M22" s="166" t="str">
        <f>IF(F22=0,"",L22/F22)</f>
      </c>
      <c r="N22" s="167" t="str">
        <f>'Calculation_Assumptions'!$B$31*F22</f>
      </c>
      <c r="O22" s="168" t="str">
        <f>'Calculation_Assumptions'!$B$32*F22</f>
      </c>
      <c r="P22" s="169" t="str">
        <f>IF(I22=0,"",L22/I22)</f>
      </c>
      <c r="Q22" s="170" t="str">
        <f>L22*D22</f>
      </c>
      <c r="R22" s="171" t="str">
        <f>P22*E22</f>
      </c>
      <c r="S22" s="172" t="str">
        <f>N22*D22</f>
      </c>
      <c r="T22" s="173" t="str">
        <f>O22*D22</f>
      </c>
      <c r="U22" s="174" t="str">
        <f>1/(1+'Calculation_Assumptions'!$B$25)^(C22-'Calculation_Assumptions'!$B$24)</f>
      </c>
      <c r="V22" s="175" t="str">
        <f>Q22*U22</f>
      </c>
      <c r="W22" s="176" t="str">
        <f>R22*U22</f>
      </c>
      <c r="X22" s="177" t="str">
        <f>S22*U22</f>
      </c>
      <c r="Y22" s="178" t="str">
        <f>T22*U22</f>
      </c>
      <c r="Z22" s="179" t="str">
        <f>H22*F22</f>
      </c>
      <c r="AA22" s="180" t="str">
        <f>Z22*U22</f>
      </c>
      <c r="AB22" s="181" t="str">
        <f>IF(Z22=0,"",Q22/Z22)</f>
      </c>
    </row>
    <row r="23">
      <c r="A23" t="s">
        <v>116</v>
      </c>
      <c r="B23" s="35" t="s">
        <v>422</v>
      </c>
      <c r="C23" t="n">
        <v>2046</v>
      </c>
      <c r="D23" s="157" t="n">
        <v>55805.6144432838</v>
      </c>
      <c r="E23" s="158" t="n">
        <v>868085.981732519</v>
      </c>
      <c r="F23" s="159" t="n">
        <v>25797.7023007031</v>
      </c>
      <c r="G23" s="160" t="n">
        <v>92766.6954417819</v>
      </c>
      <c r="H23" s="161" t="n">
        <v>318096573.5</v>
      </c>
      <c r="I23" s="162" t="n">
        <v>37.8362</v>
      </c>
      <c r="J23" s="163" t="str">
        <f>'Calculation_Assumptions'!$B$28*G23*(F23/G23)^'Calculation_Assumptions'!$B$29</f>
      </c>
      <c r="K23" s="164" t="str">
        <f>'Calculation_Assumptions'!$B$30*F23</f>
      </c>
      <c r="L23" s="165" t="str">
        <f>MAX(J23,K23)</f>
      </c>
      <c r="M23" s="166" t="str">
        <f>IF(F23=0,"",L23/F23)</f>
      </c>
      <c r="N23" s="167" t="str">
        <f>'Calculation_Assumptions'!$B$31*F23</f>
      </c>
      <c r="O23" s="168" t="str">
        <f>'Calculation_Assumptions'!$B$32*F23</f>
      </c>
      <c r="P23" s="169" t="str">
        <f>IF(I23=0,"",L23/I23)</f>
      </c>
      <c r="Q23" s="170" t="str">
        <f>L23*D23</f>
      </c>
      <c r="R23" s="171" t="str">
        <f>P23*E23</f>
      </c>
      <c r="S23" s="172" t="str">
        <f>N23*D23</f>
      </c>
      <c r="T23" s="173" t="str">
        <f>O23*D23</f>
      </c>
      <c r="U23" s="174" t="str">
        <f>1/(1+'Calculation_Assumptions'!$B$25)^(C23-'Calculation_Assumptions'!$B$24)</f>
      </c>
      <c r="V23" s="175" t="str">
        <f>Q23*U23</f>
      </c>
      <c r="W23" s="176" t="str">
        <f>R23*U23</f>
      </c>
      <c r="X23" s="177" t="str">
        <f>S23*U23</f>
      </c>
      <c r="Y23" s="178" t="str">
        <f>T23*U23</f>
      </c>
      <c r="Z23" s="179" t="str">
        <f>H23*F23</f>
      </c>
      <c r="AA23" s="180" t="str">
        <f>Z23*U23</f>
      </c>
      <c r="AB23" s="181" t="str">
        <f>IF(Z23=0,"",Q23/Z23)</f>
      </c>
    </row>
    <row r="24">
      <c r="A24" t="s">
        <v>116</v>
      </c>
      <c r="B24" s="35" t="s">
        <v>422</v>
      </c>
      <c r="C24" t="n">
        <v>2047</v>
      </c>
      <c r="D24" s="157" t="n">
        <v>56006.2984261782</v>
      </c>
      <c r="E24" s="158" t="n">
        <v>873421.588106957</v>
      </c>
      <c r="F24" s="159" t="n">
        <v>26380.9616682253</v>
      </c>
      <c r="G24" s="160" t="n">
        <v>93523.921418033</v>
      </c>
      <c r="H24" s="161" t="n">
        <v>318862019.5</v>
      </c>
      <c r="I24" s="162" t="n">
        <v>37.9489</v>
      </c>
      <c r="J24" s="163" t="str">
        <f>'Calculation_Assumptions'!$B$28*G24*(F24/G24)^'Calculation_Assumptions'!$B$29</f>
      </c>
      <c r="K24" s="164" t="str">
        <f>'Calculation_Assumptions'!$B$30*F24</f>
      </c>
      <c r="L24" s="165" t="str">
        <f>MAX(J24,K24)</f>
      </c>
      <c r="M24" s="166" t="str">
        <f>IF(F24=0,"",L24/F24)</f>
      </c>
      <c r="N24" s="167" t="str">
        <f>'Calculation_Assumptions'!$B$31*F24</f>
      </c>
      <c r="O24" s="168" t="str">
        <f>'Calculation_Assumptions'!$B$32*F24</f>
      </c>
      <c r="P24" s="169" t="str">
        <f>IF(I24=0,"",L24/I24)</f>
      </c>
      <c r="Q24" s="170" t="str">
        <f>L24*D24</f>
      </c>
      <c r="R24" s="171" t="str">
        <f>P24*E24</f>
      </c>
      <c r="S24" s="172" t="str">
        <f>N24*D24</f>
      </c>
      <c r="T24" s="173" t="str">
        <f>O24*D24</f>
      </c>
      <c r="U24" s="174" t="str">
        <f>1/(1+'Calculation_Assumptions'!$B$25)^(C24-'Calculation_Assumptions'!$B$24)</f>
      </c>
      <c r="V24" s="175" t="str">
        <f>Q24*U24</f>
      </c>
      <c r="W24" s="176" t="str">
        <f>R24*U24</f>
      </c>
      <c r="X24" s="177" t="str">
        <f>S24*U24</f>
      </c>
      <c r="Y24" s="178" t="str">
        <f>T24*U24</f>
      </c>
      <c r="Z24" s="179" t="str">
        <f>H24*F24</f>
      </c>
      <c r="AA24" s="180" t="str">
        <f>Z24*U24</f>
      </c>
      <c r="AB24" s="181" t="str">
        <f>IF(Z24=0,"",Q24/Z24)</f>
      </c>
    </row>
    <row r="25">
      <c r="A25" t="s">
        <v>116</v>
      </c>
      <c r="B25" s="35" t="s">
        <v>422</v>
      </c>
      <c r="C25" t="n">
        <v>2048</v>
      </c>
      <c r="D25" s="157" t="n">
        <v>56207.4593107087</v>
      </c>
      <c r="E25" s="158" t="n">
        <v>878594.573375488</v>
      </c>
      <c r="F25" s="159" t="n">
        <v>26977.4079268061</v>
      </c>
      <c r="G25" s="160" t="n">
        <v>94287.3283968127</v>
      </c>
      <c r="H25" s="161" t="n">
        <v>319554652.5</v>
      </c>
      <c r="I25" s="162" t="n">
        <v>38.0645</v>
      </c>
      <c r="J25" s="163" t="str">
        <f>'Calculation_Assumptions'!$B$28*G25*(F25/G25)^'Calculation_Assumptions'!$B$29</f>
      </c>
      <c r="K25" s="164" t="str">
        <f>'Calculation_Assumptions'!$B$30*F25</f>
      </c>
      <c r="L25" s="165" t="str">
        <f>MAX(J25,K25)</f>
      </c>
      <c r="M25" s="166" t="str">
        <f>IF(F25=0,"",L25/F25)</f>
      </c>
      <c r="N25" s="167" t="str">
        <f>'Calculation_Assumptions'!$B$31*F25</f>
      </c>
      <c r="O25" s="168" t="str">
        <f>'Calculation_Assumptions'!$B$32*F25</f>
      </c>
      <c r="P25" s="169" t="str">
        <f>IF(I25=0,"",L25/I25)</f>
      </c>
      <c r="Q25" s="170" t="str">
        <f>L25*D25</f>
      </c>
      <c r="R25" s="171" t="str">
        <f>P25*E25</f>
      </c>
      <c r="S25" s="172" t="str">
        <f>N25*D25</f>
      </c>
      <c r="T25" s="173" t="str">
        <f>O25*D25</f>
      </c>
      <c r="U25" s="174" t="str">
        <f>1/(1+'Calculation_Assumptions'!$B$25)^(C25-'Calculation_Assumptions'!$B$24)</f>
      </c>
      <c r="V25" s="175" t="str">
        <f>Q25*U25</f>
      </c>
      <c r="W25" s="176" t="str">
        <f>R25*U25</f>
      </c>
      <c r="X25" s="177" t="str">
        <f>S25*U25</f>
      </c>
      <c r="Y25" s="178" t="str">
        <f>T25*U25</f>
      </c>
      <c r="Z25" s="179" t="str">
        <f>H25*F25</f>
      </c>
      <c r="AA25" s="180" t="str">
        <f>Z25*U25</f>
      </c>
      <c r="AB25" s="181" t="str">
        <f>IF(Z25=0,"",Q25/Z25)</f>
      </c>
    </row>
    <row r="26">
      <c r="A26" t="s">
        <v>116</v>
      </c>
      <c r="B26" s="35" t="s">
        <v>422</v>
      </c>
      <c r="C26" t="n">
        <v>2049</v>
      </c>
      <c r="D26" s="157" t="n">
        <v>56453.3698914858</v>
      </c>
      <c r="E26" s="158" t="n">
        <v>884113.27970931</v>
      </c>
      <c r="F26" s="159" t="n">
        <v>27587.3392184138</v>
      </c>
      <c r="G26" s="160" t="n">
        <v>95056.9668317421</v>
      </c>
      <c r="H26" s="161" t="n">
        <v>320173250</v>
      </c>
      <c r="I26" s="162" t="n">
        <v>38.1755</v>
      </c>
      <c r="J26" s="163" t="str">
        <f>'Calculation_Assumptions'!$B$28*G26*(F26/G26)^'Calculation_Assumptions'!$B$29</f>
      </c>
      <c r="K26" s="164" t="str">
        <f>'Calculation_Assumptions'!$B$30*F26</f>
      </c>
      <c r="L26" s="165" t="str">
        <f>MAX(J26,K26)</f>
      </c>
      <c r="M26" s="166" t="str">
        <f>IF(F26=0,"",L26/F26)</f>
      </c>
      <c r="N26" s="167" t="str">
        <f>'Calculation_Assumptions'!$B$31*F26</f>
      </c>
      <c r="O26" s="168" t="str">
        <f>'Calculation_Assumptions'!$B$32*F26</f>
      </c>
      <c r="P26" s="169" t="str">
        <f>IF(I26=0,"",L26/I26)</f>
      </c>
      <c r="Q26" s="170" t="str">
        <f>L26*D26</f>
      </c>
      <c r="R26" s="171" t="str">
        <f>P26*E26</f>
      </c>
      <c r="S26" s="172" t="str">
        <f>N26*D26</f>
      </c>
      <c r="T26" s="173" t="str">
        <f>O26*D26</f>
      </c>
      <c r="U26" s="174" t="str">
        <f>1/(1+'Calculation_Assumptions'!$B$25)^(C26-'Calculation_Assumptions'!$B$24)</f>
      </c>
      <c r="V26" s="175" t="str">
        <f>Q26*U26</f>
      </c>
      <c r="W26" s="176" t="str">
        <f>R26*U26</f>
      </c>
      <c r="X26" s="177" t="str">
        <f>S26*U26</f>
      </c>
      <c r="Y26" s="178" t="str">
        <f>T26*U26</f>
      </c>
      <c r="Z26" s="179" t="str">
        <f>H26*F26</f>
      </c>
      <c r="AA26" s="180" t="str">
        <f>Z26*U26</f>
      </c>
      <c r="AB26" s="181" t="str">
        <f>IF(Z26=0,"",Q26/Z26)</f>
      </c>
    </row>
    <row r="27">
      <c r="A27" t="s">
        <v>116</v>
      </c>
      <c r="B27" s="35" t="s">
        <v>422</v>
      </c>
      <c r="C27" t="n">
        <v>2050</v>
      </c>
      <c r="D27" s="157" t="n">
        <v>56716.2191635689</v>
      </c>
      <c r="E27" s="158" t="n">
        <v>889757.898652408</v>
      </c>
      <c r="F27" s="159" t="n">
        <v>28211.0604256979</v>
      </c>
      <c r="G27" s="160" t="n">
        <v>95832.8875882792</v>
      </c>
      <c r="H27" s="161" t="n">
        <v>320712949.5</v>
      </c>
      <c r="I27" s="162" t="n">
        <v>38.286</v>
      </c>
      <c r="J27" s="163" t="str">
        <f>'Calculation_Assumptions'!$B$28*G27*(F27/G27)^'Calculation_Assumptions'!$B$29</f>
      </c>
      <c r="K27" s="164" t="str">
        <f>'Calculation_Assumptions'!$B$30*F27</f>
      </c>
      <c r="L27" s="165" t="str">
        <f>MAX(J27,K27)</f>
      </c>
      <c r="M27" s="166" t="str">
        <f>IF(F27=0,"",L27/F27)</f>
      </c>
      <c r="N27" s="167" t="str">
        <f>'Calculation_Assumptions'!$B$31*F27</f>
      </c>
      <c r="O27" s="168" t="str">
        <f>'Calculation_Assumptions'!$B$32*F27</f>
      </c>
      <c r="P27" s="169" t="str">
        <f>IF(I27=0,"",L27/I27)</f>
      </c>
      <c r="Q27" s="170" t="str">
        <f>L27*D27</f>
      </c>
      <c r="R27" s="171" t="str">
        <f>P27*E27</f>
      </c>
      <c r="S27" s="172" t="str">
        <f>N27*D27</f>
      </c>
      <c r="T27" s="173" t="str">
        <f>O27*D27</f>
      </c>
      <c r="U27" s="174" t="str">
        <f>1/(1+'Calculation_Assumptions'!$B$25)^(C27-'Calculation_Assumptions'!$B$24)</f>
      </c>
      <c r="V27" s="175" t="str">
        <f>Q27*U27</f>
      </c>
      <c r="W27" s="176" t="str">
        <f>R27*U27</f>
      </c>
      <c r="X27" s="177" t="str">
        <f>S27*U27</f>
      </c>
      <c r="Y27" s="178" t="str">
        <f>T27*U27</f>
      </c>
      <c r="Z27" s="179" t="str">
        <f>H27*F27</f>
      </c>
      <c r="AA27" s="180" t="str">
        <f>Z27*U27</f>
      </c>
      <c r="AB27" s="181" t="str">
        <f>IF(Z27=0,"",Q27/Z27)</f>
      </c>
    </row>
    <row r="28">
      <c r="A28" t="s">
        <v>250</v>
      </c>
      <c r="B28" s="35" t="s">
        <v>252</v>
      </c>
      <c r="C28" t="n">
        <v>2025</v>
      </c>
      <c r="D28" s="157" t="n">
        <v>0.000000000243056658133511</v>
      </c>
      <c r="E28" s="158" t="n">
        <v>0.00000000719933224146985</v>
      </c>
      <c r="F28" s="159" t="n">
        <v>13851.4910785419</v>
      </c>
      <c r="G28" s="160" t="n">
        <v>74136.3707949527</v>
      </c>
      <c r="H28" s="161" t="n">
        <v>285721235.5</v>
      </c>
      <c r="I28" s="162" t="n">
        <v>37.51</v>
      </c>
      <c r="J28" s="163" t="str">
        <f>'Calculation_Assumptions'!$B$28*G28*(F28/G28)^'Calculation_Assumptions'!$B$29</f>
      </c>
      <c r="K28" s="164" t="str">
        <f>'Calculation_Assumptions'!$B$30*F28</f>
      </c>
      <c r="L28" s="165" t="str">
        <f>MAX(J28,K28)</f>
      </c>
      <c r="M28" s="166" t="str">
        <f>IF(F28=0,"",L28/F28)</f>
      </c>
      <c r="N28" s="167" t="str">
        <f>'Calculation_Assumptions'!$B$31*F28</f>
      </c>
      <c r="O28" s="168" t="str">
        <f>'Calculation_Assumptions'!$B$32*F28</f>
      </c>
      <c r="P28" s="169" t="str">
        <f>IF(I28=0,"",L28/I28)</f>
      </c>
      <c r="Q28" s="170" t="str">
        <f>L28*D28</f>
      </c>
      <c r="R28" s="171" t="str">
        <f>P28*E28</f>
      </c>
      <c r="S28" s="172" t="str">
        <f>N28*D28</f>
      </c>
      <c r="T28" s="173" t="str">
        <f>O28*D28</f>
      </c>
      <c r="U28" s="174" t="str">
        <f>1/(1+'Calculation_Assumptions'!$B$25)^(C28-'Calculation_Assumptions'!$B$24)</f>
      </c>
      <c r="V28" s="175" t="str">
        <f>Q28*U28</f>
      </c>
      <c r="W28" s="176" t="str">
        <f>R28*U28</f>
      </c>
      <c r="X28" s="177" t="str">
        <f>S28*U28</f>
      </c>
      <c r="Y28" s="178" t="str">
        <f>T28*U28</f>
      </c>
      <c r="Z28" s="179" t="str">
        <f>H28*F28</f>
      </c>
      <c r="AA28" s="180" t="str">
        <f>Z28*U28</f>
      </c>
      <c r="AB28" s="181" t="str">
        <f>IF(Z28=0,"",Q28/Z28)</f>
      </c>
    </row>
    <row r="29">
      <c r="A29" t="s">
        <v>250</v>
      </c>
      <c r="B29" s="35" t="s">
        <v>252</v>
      </c>
      <c r="C29" t="n">
        <v>2026</v>
      </c>
      <c r="D29" s="157" t="n">
        <v>886.734205430073</v>
      </c>
      <c r="E29" s="158" t="n">
        <v>14919.5962129784</v>
      </c>
      <c r="F29" s="159" t="n">
        <v>14370.1004216288</v>
      </c>
      <c r="G29" s="160" t="n">
        <v>75186.4097436074</v>
      </c>
      <c r="H29" s="161" t="n">
        <v>287886782.5</v>
      </c>
      <c r="I29" s="162" t="n">
        <v>37.5883</v>
      </c>
      <c r="J29" s="163" t="str">
        <f>'Calculation_Assumptions'!$B$28*G29*(F29/G29)^'Calculation_Assumptions'!$B$29</f>
      </c>
      <c r="K29" s="164" t="str">
        <f>'Calculation_Assumptions'!$B$30*F29</f>
      </c>
      <c r="L29" s="165" t="str">
        <f>MAX(J29,K29)</f>
      </c>
      <c r="M29" s="166" t="str">
        <f>IF(F29=0,"",L29/F29)</f>
      </c>
      <c r="N29" s="167" t="str">
        <f>'Calculation_Assumptions'!$B$31*F29</f>
      </c>
      <c r="O29" s="168" t="str">
        <f>'Calculation_Assumptions'!$B$32*F29</f>
      </c>
      <c r="P29" s="169" t="str">
        <f>IF(I29=0,"",L29/I29)</f>
      </c>
      <c r="Q29" s="170" t="str">
        <f>L29*D29</f>
      </c>
      <c r="R29" s="171" t="str">
        <f>P29*E29</f>
      </c>
      <c r="S29" s="172" t="str">
        <f>N29*D29</f>
      </c>
      <c r="T29" s="173" t="str">
        <f>O29*D29</f>
      </c>
      <c r="U29" s="174" t="str">
        <f>1/(1+'Calculation_Assumptions'!$B$25)^(C29-'Calculation_Assumptions'!$B$24)</f>
      </c>
      <c r="V29" s="175" t="str">
        <f>Q29*U29</f>
      </c>
      <c r="W29" s="176" t="str">
        <f>R29*U29</f>
      </c>
      <c r="X29" s="177" t="str">
        <f>S29*U29</f>
      </c>
      <c r="Y29" s="178" t="str">
        <f>T29*U29</f>
      </c>
      <c r="Z29" s="179" t="str">
        <f>H29*F29</f>
      </c>
      <c r="AA29" s="180" t="str">
        <f>Z29*U29</f>
      </c>
      <c r="AB29" s="181" t="str">
        <f>IF(Z29=0,"",Q29/Z29)</f>
      </c>
    </row>
    <row r="30">
      <c r="A30" t="s">
        <v>250</v>
      </c>
      <c r="B30" s="35" t="s">
        <v>252</v>
      </c>
      <c r="C30" t="n">
        <v>2027</v>
      </c>
      <c r="D30" s="157" t="n">
        <v>1725.29574075047</v>
      </c>
      <c r="E30" s="158" t="n">
        <v>29424.2182908009</v>
      </c>
      <c r="F30" s="159" t="n">
        <v>14908.1268548478</v>
      </c>
      <c r="G30" s="160" t="n">
        <v>76251.3210387483</v>
      </c>
      <c r="H30" s="161" t="n">
        <v>289986522</v>
      </c>
      <c r="I30" s="162" t="n">
        <v>37.6736</v>
      </c>
      <c r="J30" s="163" t="str">
        <f>'Calculation_Assumptions'!$B$28*G30*(F30/G30)^'Calculation_Assumptions'!$B$29</f>
      </c>
      <c r="K30" s="164" t="str">
        <f>'Calculation_Assumptions'!$B$30*F30</f>
      </c>
      <c r="L30" s="165" t="str">
        <f>MAX(J30,K30)</f>
      </c>
      <c r="M30" s="166" t="str">
        <f>IF(F30=0,"",L30/F30)</f>
      </c>
      <c r="N30" s="167" t="str">
        <f>'Calculation_Assumptions'!$B$31*F30</f>
      </c>
      <c r="O30" s="168" t="str">
        <f>'Calculation_Assumptions'!$B$32*F30</f>
      </c>
      <c r="P30" s="169" t="str">
        <f>IF(I30=0,"",L30/I30)</f>
      </c>
      <c r="Q30" s="170" t="str">
        <f>L30*D30</f>
      </c>
      <c r="R30" s="171" t="str">
        <f>P30*E30</f>
      </c>
      <c r="S30" s="172" t="str">
        <f>N30*D30</f>
      </c>
      <c r="T30" s="173" t="str">
        <f>O30*D30</f>
      </c>
      <c r="U30" s="174" t="str">
        <f>1/(1+'Calculation_Assumptions'!$B$25)^(C30-'Calculation_Assumptions'!$B$24)</f>
      </c>
      <c r="V30" s="175" t="str">
        <f>Q30*U30</f>
      </c>
      <c r="W30" s="176" t="str">
        <f>R30*U30</f>
      </c>
      <c r="X30" s="177" t="str">
        <f>S30*U30</f>
      </c>
      <c r="Y30" s="178" t="str">
        <f>T30*U30</f>
      </c>
      <c r="Z30" s="179" t="str">
        <f>H30*F30</f>
      </c>
      <c r="AA30" s="180" t="str">
        <f>Z30*U30</f>
      </c>
      <c r="AB30" s="181" t="str">
        <f>IF(Z30=0,"",Q30/Z30)</f>
      </c>
    </row>
    <row r="31">
      <c r="A31" t="s">
        <v>250</v>
      </c>
      <c r="B31" s="35" t="s">
        <v>252</v>
      </c>
      <c r="C31" t="n">
        <v>2028</v>
      </c>
      <c r="D31" s="157" t="n">
        <v>2549.70179143187</v>
      </c>
      <c r="E31" s="158" t="n">
        <v>43781.2469634557</v>
      </c>
      <c r="F31" s="159" t="n">
        <v>15466.2973673947</v>
      </c>
      <c r="G31" s="160" t="n">
        <v>77331.3153265521</v>
      </c>
      <c r="H31" s="161" t="n">
        <v>292016778.5</v>
      </c>
      <c r="I31" s="162" t="n">
        <v>36.834</v>
      </c>
      <c r="J31" s="163" t="str">
        <f>'Calculation_Assumptions'!$B$28*G31*(F31/G31)^'Calculation_Assumptions'!$B$29</f>
      </c>
      <c r="K31" s="164" t="str">
        <f>'Calculation_Assumptions'!$B$30*F31</f>
      </c>
      <c r="L31" s="165" t="str">
        <f>MAX(J31,K31)</f>
      </c>
      <c r="M31" s="166" t="str">
        <f>IF(F31=0,"",L31/F31)</f>
      </c>
      <c r="N31" s="167" t="str">
        <f>'Calculation_Assumptions'!$B$31*F31</f>
      </c>
      <c r="O31" s="168" t="str">
        <f>'Calculation_Assumptions'!$B$32*F31</f>
      </c>
      <c r="P31" s="169" t="str">
        <f>IF(I31=0,"",L31/I31)</f>
      </c>
      <c r="Q31" s="170" t="str">
        <f>L31*D31</f>
      </c>
      <c r="R31" s="171" t="str">
        <f>P31*E31</f>
      </c>
      <c r="S31" s="172" t="str">
        <f>N31*D31</f>
      </c>
      <c r="T31" s="173" t="str">
        <f>O31*D31</f>
      </c>
      <c r="U31" s="174" t="str">
        <f>1/(1+'Calculation_Assumptions'!$B$25)^(C31-'Calculation_Assumptions'!$B$24)</f>
      </c>
      <c r="V31" s="175" t="str">
        <f>Q31*U31</f>
      </c>
      <c r="W31" s="176" t="str">
        <f>R31*U31</f>
      </c>
      <c r="X31" s="177" t="str">
        <f>S31*U31</f>
      </c>
      <c r="Y31" s="178" t="str">
        <f>T31*U31</f>
      </c>
      <c r="Z31" s="179" t="str">
        <f>H31*F31</f>
      </c>
      <c r="AA31" s="180" t="str">
        <f>Z31*U31</f>
      </c>
      <c r="AB31" s="181" t="str">
        <f>IF(Z31=0,"",Q31/Z31)</f>
      </c>
    </row>
    <row r="32">
      <c r="A32" t="s">
        <v>250</v>
      </c>
      <c r="B32" s="35" t="s">
        <v>252</v>
      </c>
      <c r="C32" t="n">
        <v>2029</v>
      </c>
      <c r="D32" s="157" t="n">
        <v>3595.11080474319</v>
      </c>
      <c r="E32" s="158" t="n">
        <v>61265.710537018</v>
      </c>
      <c r="F32" s="159" t="n">
        <v>16045.3661674401</v>
      </c>
      <c r="G32" s="160" t="n">
        <v>78426.6062367069</v>
      </c>
      <c r="H32" s="161" t="n">
        <v>293978109</v>
      </c>
      <c r="I32" s="162" t="n">
        <v>36.9118</v>
      </c>
      <c r="J32" s="163" t="str">
        <f>'Calculation_Assumptions'!$B$28*G32*(F32/G32)^'Calculation_Assumptions'!$B$29</f>
      </c>
      <c r="K32" s="164" t="str">
        <f>'Calculation_Assumptions'!$B$30*F32</f>
      </c>
      <c r="L32" s="165" t="str">
        <f>MAX(J32,K32)</f>
      </c>
      <c r="M32" s="166" t="str">
        <f>IF(F32=0,"",L32/F32)</f>
      </c>
      <c r="N32" s="167" t="str">
        <f>'Calculation_Assumptions'!$B$31*F32</f>
      </c>
      <c r="O32" s="168" t="str">
        <f>'Calculation_Assumptions'!$B$32*F32</f>
      </c>
      <c r="P32" s="169" t="str">
        <f>IF(I32=0,"",L32/I32)</f>
      </c>
      <c r="Q32" s="170" t="str">
        <f>L32*D32</f>
      </c>
      <c r="R32" s="171" t="str">
        <f>P32*E32</f>
      </c>
      <c r="S32" s="172" t="str">
        <f>N32*D32</f>
      </c>
      <c r="T32" s="173" t="str">
        <f>O32*D32</f>
      </c>
      <c r="U32" s="174" t="str">
        <f>1/(1+'Calculation_Assumptions'!$B$25)^(C32-'Calculation_Assumptions'!$B$24)</f>
      </c>
      <c r="V32" s="175" t="str">
        <f>Q32*U32</f>
      </c>
      <c r="W32" s="176" t="str">
        <f>R32*U32</f>
      </c>
      <c r="X32" s="177" t="str">
        <f>S32*U32</f>
      </c>
      <c r="Y32" s="178" t="str">
        <f>T32*U32</f>
      </c>
      <c r="Z32" s="179" t="str">
        <f>H32*F32</f>
      </c>
      <c r="AA32" s="180" t="str">
        <f>Z32*U32</f>
      </c>
      <c r="AB32" s="181" t="str">
        <f>IF(Z32=0,"",Q32/Z32)</f>
      </c>
    </row>
    <row r="33">
      <c r="A33" t="s">
        <v>250</v>
      </c>
      <c r="B33" s="35" t="s">
        <v>252</v>
      </c>
      <c r="C33" t="n">
        <v>2030</v>
      </c>
      <c r="D33" s="157" t="n">
        <v>4637.40282887954</v>
      </c>
      <c r="E33" s="158" t="n">
        <v>78749.491219799</v>
      </c>
      <c r="F33" s="159" t="n">
        <v>16646.1157012267</v>
      </c>
      <c r="G33" s="160" t="n">
        <v>79537.4104246691</v>
      </c>
      <c r="H33" s="161" t="n">
        <v>295876648</v>
      </c>
      <c r="I33" s="162" t="n">
        <v>36.9927</v>
      </c>
      <c r="J33" s="163" t="str">
        <f>'Calculation_Assumptions'!$B$28*G33*(F33/G33)^'Calculation_Assumptions'!$B$29</f>
      </c>
      <c r="K33" s="164" t="str">
        <f>'Calculation_Assumptions'!$B$30*F33</f>
      </c>
      <c r="L33" s="165" t="str">
        <f>MAX(J33,K33)</f>
      </c>
      <c r="M33" s="166" t="str">
        <f>IF(F33=0,"",L33/F33)</f>
      </c>
      <c r="N33" s="167" t="str">
        <f>'Calculation_Assumptions'!$B$31*F33</f>
      </c>
      <c r="O33" s="168" t="str">
        <f>'Calculation_Assumptions'!$B$32*F33</f>
      </c>
      <c r="P33" s="169" t="str">
        <f>IF(I33=0,"",L33/I33)</f>
      </c>
      <c r="Q33" s="170" t="str">
        <f>L33*D33</f>
      </c>
      <c r="R33" s="171" t="str">
        <f>P33*E33</f>
      </c>
      <c r="S33" s="172" t="str">
        <f>N33*D33</f>
      </c>
      <c r="T33" s="173" t="str">
        <f>O33*D33</f>
      </c>
      <c r="U33" s="174" t="str">
        <f>1/(1+'Calculation_Assumptions'!$B$25)^(C33-'Calculation_Assumptions'!$B$24)</f>
      </c>
      <c r="V33" s="175" t="str">
        <f>Q33*U33</f>
      </c>
      <c r="W33" s="176" t="str">
        <f>R33*U33</f>
      </c>
      <c r="X33" s="177" t="str">
        <f>S33*U33</f>
      </c>
      <c r="Y33" s="178" t="str">
        <f>T33*U33</f>
      </c>
      <c r="Z33" s="179" t="str">
        <f>H33*F33</f>
      </c>
      <c r="AA33" s="180" t="str">
        <f>Z33*U33</f>
      </c>
      <c r="AB33" s="181" t="str">
        <f>IF(Z33=0,"",Q33/Z33)</f>
      </c>
    </row>
    <row r="34">
      <c r="A34" t="s">
        <v>250</v>
      </c>
      <c r="B34" s="35" t="s">
        <v>252</v>
      </c>
      <c r="C34" t="n">
        <v>2031</v>
      </c>
      <c r="D34" s="157" t="n">
        <v>4701.63881621646</v>
      </c>
      <c r="E34" s="158" t="n">
        <v>80286.7156052594</v>
      </c>
      <c r="F34" s="159" t="n">
        <v>17161.0734660986</v>
      </c>
      <c r="G34" s="160" t="n">
        <v>80420.1567986293</v>
      </c>
      <c r="H34" s="161" t="n">
        <v>297719748</v>
      </c>
      <c r="I34" s="162" t="n">
        <v>37.0895</v>
      </c>
      <c r="J34" s="163" t="str">
        <f>'Calculation_Assumptions'!$B$28*G34*(F34/G34)^'Calculation_Assumptions'!$B$29</f>
      </c>
      <c r="K34" s="164" t="str">
        <f>'Calculation_Assumptions'!$B$30*F34</f>
      </c>
      <c r="L34" s="165" t="str">
        <f>MAX(J34,K34)</f>
      </c>
      <c r="M34" s="166" t="str">
        <f>IF(F34=0,"",L34/F34)</f>
      </c>
      <c r="N34" s="167" t="str">
        <f>'Calculation_Assumptions'!$B$31*F34</f>
      </c>
      <c r="O34" s="168" t="str">
        <f>'Calculation_Assumptions'!$B$32*F34</f>
      </c>
      <c r="P34" s="169" t="str">
        <f>IF(I34=0,"",L34/I34)</f>
      </c>
      <c r="Q34" s="170" t="str">
        <f>L34*D34</f>
      </c>
      <c r="R34" s="171" t="str">
        <f>P34*E34</f>
      </c>
      <c r="S34" s="172" t="str">
        <f>N34*D34</f>
      </c>
      <c r="T34" s="173" t="str">
        <f>O34*D34</f>
      </c>
      <c r="U34" s="174" t="str">
        <f>1/(1+'Calculation_Assumptions'!$B$25)^(C34-'Calculation_Assumptions'!$B$24)</f>
      </c>
      <c r="V34" s="175" t="str">
        <f>Q34*U34</f>
      </c>
      <c r="W34" s="176" t="str">
        <f>R34*U34</f>
      </c>
      <c r="X34" s="177" t="str">
        <f>S34*U34</f>
      </c>
      <c r="Y34" s="178" t="str">
        <f>T34*U34</f>
      </c>
      <c r="Z34" s="179" t="str">
        <f>H34*F34</f>
      </c>
      <c r="AA34" s="180" t="str">
        <f>Z34*U34</f>
      </c>
      <c r="AB34" s="181" t="str">
        <f>IF(Z34=0,"",Q34/Z34)</f>
      </c>
    </row>
    <row r="35">
      <c r="A35" t="s">
        <v>250</v>
      </c>
      <c r="B35" s="35" t="s">
        <v>252</v>
      </c>
      <c r="C35" t="n">
        <v>2032</v>
      </c>
      <c r="D35" s="157" t="n">
        <v>4829.93280332602</v>
      </c>
      <c r="E35" s="158" t="n">
        <v>82537.4981075464</v>
      </c>
      <c r="F35" s="159" t="n">
        <v>17691.9617642167</v>
      </c>
      <c r="G35" s="160" t="n">
        <v>81312.7003379309</v>
      </c>
      <c r="H35" s="161" t="n">
        <v>299510661.5</v>
      </c>
      <c r="I35" s="162" t="n">
        <v>37.1904</v>
      </c>
      <c r="J35" s="163" t="str">
        <f>'Calculation_Assumptions'!$B$28*G35*(F35/G35)^'Calculation_Assumptions'!$B$29</f>
      </c>
      <c r="K35" s="164" t="str">
        <f>'Calculation_Assumptions'!$B$30*F35</f>
      </c>
      <c r="L35" s="165" t="str">
        <f>MAX(J35,K35)</f>
      </c>
      <c r="M35" s="166" t="str">
        <f>IF(F35=0,"",L35/F35)</f>
      </c>
      <c r="N35" s="167" t="str">
        <f>'Calculation_Assumptions'!$B$31*F35</f>
      </c>
      <c r="O35" s="168" t="str">
        <f>'Calculation_Assumptions'!$B$32*F35</f>
      </c>
      <c r="P35" s="169" t="str">
        <f>IF(I35=0,"",L35/I35)</f>
      </c>
      <c r="Q35" s="170" t="str">
        <f>L35*D35</f>
      </c>
      <c r="R35" s="171" t="str">
        <f>P35*E35</f>
      </c>
      <c r="S35" s="172" t="str">
        <f>N35*D35</f>
      </c>
      <c r="T35" s="173" t="str">
        <f>O35*D35</f>
      </c>
      <c r="U35" s="174" t="str">
        <f>1/(1+'Calculation_Assumptions'!$B$25)^(C35-'Calculation_Assumptions'!$B$24)</f>
      </c>
      <c r="V35" s="175" t="str">
        <f>Q35*U35</f>
      </c>
      <c r="W35" s="176" t="str">
        <f>R35*U35</f>
      </c>
      <c r="X35" s="177" t="str">
        <f>S35*U35</f>
      </c>
      <c r="Y35" s="178" t="str">
        <f>T35*U35</f>
      </c>
      <c r="Z35" s="179" t="str">
        <f>H35*F35</f>
      </c>
      <c r="AA35" s="180" t="str">
        <f>Z35*U35</f>
      </c>
      <c r="AB35" s="181" t="str">
        <f>IF(Z35=0,"",Q35/Z35)</f>
      </c>
    </row>
    <row r="36">
      <c r="A36" t="s">
        <v>250</v>
      </c>
      <c r="B36" s="35" t="s">
        <v>252</v>
      </c>
      <c r="C36" t="n">
        <v>2033</v>
      </c>
      <c r="D36" s="157" t="n">
        <v>4991.28529867888</v>
      </c>
      <c r="E36" s="158" t="n">
        <v>85151.294186278</v>
      </c>
      <c r="F36" s="159" t="n">
        <v>18239.2734163655</v>
      </c>
      <c r="G36" s="160" t="n">
        <v>82215.1497764654</v>
      </c>
      <c r="H36" s="161" t="n">
        <v>301250984.5</v>
      </c>
      <c r="I36" s="162" t="n">
        <v>37.2975</v>
      </c>
      <c r="J36" s="163" t="str">
        <f>'Calculation_Assumptions'!$B$28*G36*(F36/G36)^'Calculation_Assumptions'!$B$29</f>
      </c>
      <c r="K36" s="164" t="str">
        <f>'Calculation_Assumptions'!$B$30*F36</f>
      </c>
      <c r="L36" s="165" t="str">
        <f>MAX(J36,K36)</f>
      </c>
      <c r="M36" s="166" t="str">
        <f>IF(F36=0,"",L36/F36)</f>
      </c>
      <c r="N36" s="167" t="str">
        <f>'Calculation_Assumptions'!$B$31*F36</f>
      </c>
      <c r="O36" s="168" t="str">
        <f>'Calculation_Assumptions'!$B$32*F36</f>
      </c>
      <c r="P36" s="169" t="str">
        <f>IF(I36=0,"",L36/I36)</f>
      </c>
      <c r="Q36" s="170" t="str">
        <f>L36*D36</f>
      </c>
      <c r="R36" s="171" t="str">
        <f>P36*E36</f>
      </c>
      <c r="S36" s="172" t="str">
        <f>N36*D36</f>
      </c>
      <c r="T36" s="173" t="str">
        <f>O36*D36</f>
      </c>
      <c r="U36" s="174" t="str">
        <f>1/(1+'Calculation_Assumptions'!$B$25)^(C36-'Calculation_Assumptions'!$B$24)</f>
      </c>
      <c r="V36" s="175" t="str">
        <f>Q36*U36</f>
      </c>
      <c r="W36" s="176" t="str">
        <f>R36*U36</f>
      </c>
      <c r="X36" s="177" t="str">
        <f>S36*U36</f>
      </c>
      <c r="Y36" s="178" t="str">
        <f>T36*U36</f>
      </c>
      <c r="Z36" s="179" t="str">
        <f>H36*F36</f>
      </c>
      <c r="AA36" s="180" t="str">
        <f>Z36*U36</f>
      </c>
      <c r="AB36" s="181" t="str">
        <f>IF(Z36=0,"",Q36/Z36)</f>
      </c>
    </row>
    <row r="37">
      <c r="A37" t="s">
        <v>250</v>
      </c>
      <c r="B37" s="35" t="s">
        <v>252</v>
      </c>
      <c r="C37" t="n">
        <v>2034</v>
      </c>
      <c r="D37" s="157" t="n">
        <v>4933.99972961233</v>
      </c>
      <c r="E37" s="158" t="n">
        <v>84875.6635512343</v>
      </c>
      <c r="F37" s="159" t="n">
        <v>18803.5164890413</v>
      </c>
      <c r="G37" s="160" t="n">
        <v>83127.6150549084</v>
      </c>
      <c r="H37" s="161" t="n">
        <v>302938573</v>
      </c>
      <c r="I37" s="162" t="n">
        <v>37.4064</v>
      </c>
      <c r="J37" s="163" t="str">
        <f>'Calculation_Assumptions'!$B$28*G37*(F37/G37)^'Calculation_Assumptions'!$B$29</f>
      </c>
      <c r="K37" s="164" t="str">
        <f>'Calculation_Assumptions'!$B$30*F37</f>
      </c>
      <c r="L37" s="165" t="str">
        <f>MAX(J37,K37)</f>
      </c>
      <c r="M37" s="166" t="str">
        <f>IF(F37=0,"",L37/F37)</f>
      </c>
      <c r="N37" s="167" t="str">
        <f>'Calculation_Assumptions'!$B$31*F37</f>
      </c>
      <c r="O37" s="168" t="str">
        <f>'Calculation_Assumptions'!$B$32*F37</f>
      </c>
      <c r="P37" s="169" t="str">
        <f>IF(I37=0,"",L37/I37)</f>
      </c>
      <c r="Q37" s="170" t="str">
        <f>L37*D37</f>
      </c>
      <c r="R37" s="171" t="str">
        <f>P37*E37</f>
      </c>
      <c r="S37" s="172" t="str">
        <f>N37*D37</f>
      </c>
      <c r="T37" s="173" t="str">
        <f>O37*D37</f>
      </c>
      <c r="U37" s="174" t="str">
        <f>1/(1+'Calculation_Assumptions'!$B$25)^(C37-'Calculation_Assumptions'!$B$24)</f>
      </c>
      <c r="V37" s="175" t="str">
        <f>Q37*U37</f>
      </c>
      <c r="W37" s="176" t="str">
        <f>R37*U37</f>
      </c>
      <c r="X37" s="177" t="str">
        <f>S37*U37</f>
      </c>
      <c r="Y37" s="178" t="str">
        <f>T37*U37</f>
      </c>
      <c r="Z37" s="179" t="str">
        <f>H37*F37</f>
      </c>
      <c r="AA37" s="180" t="str">
        <f>Z37*U37</f>
      </c>
      <c r="AB37" s="181" t="str">
        <f>IF(Z37=0,"",Q37/Z37)</f>
      </c>
    </row>
    <row r="38">
      <c r="A38" t="s">
        <v>250</v>
      </c>
      <c r="B38" s="35" t="s">
        <v>252</v>
      </c>
      <c r="C38" t="n">
        <v>2035</v>
      </c>
      <c r="D38" s="157" t="n">
        <v>4908.44207610139</v>
      </c>
      <c r="E38" s="158" t="n">
        <v>84979.3519478481</v>
      </c>
      <c r="F38" s="159" t="n">
        <v>19385.2147660882</v>
      </c>
      <c r="G38" s="160" t="n">
        <v>84050.2073341125</v>
      </c>
      <c r="H38" s="161" t="n">
        <v>304566622</v>
      </c>
      <c r="I38" s="162" t="n">
        <v>37.5179</v>
      </c>
      <c r="J38" s="163" t="str">
        <f>'Calculation_Assumptions'!$B$28*G38*(F38/G38)^'Calculation_Assumptions'!$B$29</f>
      </c>
      <c r="K38" s="164" t="str">
        <f>'Calculation_Assumptions'!$B$30*F38</f>
      </c>
      <c r="L38" s="165" t="str">
        <f>MAX(J38,K38)</f>
      </c>
      <c r="M38" s="166" t="str">
        <f>IF(F38=0,"",L38/F38)</f>
      </c>
      <c r="N38" s="167" t="str">
        <f>'Calculation_Assumptions'!$B$31*F38</f>
      </c>
      <c r="O38" s="168" t="str">
        <f>'Calculation_Assumptions'!$B$32*F38</f>
      </c>
      <c r="P38" s="169" t="str">
        <f>IF(I38=0,"",L38/I38)</f>
      </c>
      <c r="Q38" s="170" t="str">
        <f>L38*D38</f>
      </c>
      <c r="R38" s="171" t="str">
        <f>P38*E38</f>
      </c>
      <c r="S38" s="172" t="str">
        <f>N38*D38</f>
      </c>
      <c r="T38" s="173" t="str">
        <f>O38*D38</f>
      </c>
      <c r="U38" s="174" t="str">
        <f>1/(1+'Calculation_Assumptions'!$B$25)^(C38-'Calculation_Assumptions'!$B$24)</f>
      </c>
      <c r="V38" s="175" t="str">
        <f>Q38*U38</f>
      </c>
      <c r="W38" s="176" t="str">
        <f>R38*U38</f>
      </c>
      <c r="X38" s="177" t="str">
        <f>S38*U38</f>
      </c>
      <c r="Y38" s="178" t="str">
        <f>T38*U38</f>
      </c>
      <c r="Z38" s="179" t="str">
        <f>H38*F38</f>
      </c>
      <c r="AA38" s="180" t="str">
        <f>Z38*U38</f>
      </c>
      <c r="AB38" s="181" t="str">
        <f>IF(Z38=0,"",Q38/Z38)</f>
      </c>
    </row>
    <row r="39">
      <c r="A39" t="s">
        <v>250</v>
      </c>
      <c r="B39" s="35" t="s">
        <v>252</v>
      </c>
      <c r="C39" t="n">
        <v>2036</v>
      </c>
      <c r="D39" s="157" t="n">
        <v>5770.24402057613</v>
      </c>
      <c r="E39" s="158" t="n">
        <v>95708.1679967445</v>
      </c>
      <c r="F39" s="159" t="n">
        <v>19931.358148438</v>
      </c>
      <c r="G39" s="160" t="n">
        <v>84847.8568068913</v>
      </c>
      <c r="H39" s="161" t="n">
        <v>306135098</v>
      </c>
      <c r="I39" s="162" t="n">
        <v>37.6267</v>
      </c>
      <c r="J39" s="163" t="str">
        <f>'Calculation_Assumptions'!$B$28*G39*(F39/G39)^'Calculation_Assumptions'!$B$29</f>
      </c>
      <c r="K39" s="164" t="str">
        <f>'Calculation_Assumptions'!$B$30*F39</f>
      </c>
      <c r="L39" s="165" t="str">
        <f>MAX(J39,K39)</f>
      </c>
      <c r="M39" s="166" t="str">
        <f>IF(F39=0,"",L39/F39)</f>
      </c>
      <c r="N39" s="167" t="str">
        <f>'Calculation_Assumptions'!$B$31*F39</f>
      </c>
      <c r="O39" s="168" t="str">
        <f>'Calculation_Assumptions'!$B$32*F39</f>
      </c>
      <c r="P39" s="169" t="str">
        <f>IF(I39=0,"",L39/I39)</f>
      </c>
      <c r="Q39" s="170" t="str">
        <f>L39*D39</f>
      </c>
      <c r="R39" s="171" t="str">
        <f>P39*E39</f>
      </c>
      <c r="S39" s="172" t="str">
        <f>N39*D39</f>
      </c>
      <c r="T39" s="173" t="str">
        <f>O39*D39</f>
      </c>
      <c r="U39" s="174" t="str">
        <f>1/(1+'Calculation_Assumptions'!$B$25)^(C39-'Calculation_Assumptions'!$B$24)</f>
      </c>
      <c r="V39" s="175" t="str">
        <f>Q39*U39</f>
      </c>
      <c r="W39" s="176" t="str">
        <f>R39*U39</f>
      </c>
      <c r="X39" s="177" t="str">
        <f>S39*U39</f>
      </c>
      <c r="Y39" s="178" t="str">
        <f>T39*U39</f>
      </c>
      <c r="Z39" s="179" t="str">
        <f>H39*F39</f>
      </c>
      <c r="AA39" s="180" t="str">
        <f>Z39*U39</f>
      </c>
      <c r="AB39" s="181" t="str">
        <f>IF(Z39=0,"",Q39/Z39)</f>
      </c>
    </row>
    <row r="40">
      <c r="A40" t="s">
        <v>250</v>
      </c>
      <c r="B40" s="35" t="s">
        <v>252</v>
      </c>
      <c r="C40" t="n">
        <v>2037</v>
      </c>
      <c r="D40" s="157" t="n">
        <v>6593.99159211999</v>
      </c>
      <c r="E40" s="158" t="n">
        <v>106107.980086943</v>
      </c>
      <c r="F40" s="159" t="n">
        <v>20492.8881332929</v>
      </c>
      <c r="G40" s="160" t="n">
        <v>85653.076096588</v>
      </c>
      <c r="H40" s="161" t="n">
        <v>307646417.5</v>
      </c>
      <c r="I40" s="162" t="n">
        <v>37.7369</v>
      </c>
      <c r="J40" s="163" t="str">
        <f>'Calculation_Assumptions'!$B$28*G40*(F40/G40)^'Calculation_Assumptions'!$B$29</f>
      </c>
      <c r="K40" s="164" t="str">
        <f>'Calculation_Assumptions'!$B$30*F40</f>
      </c>
      <c r="L40" s="165" t="str">
        <f>MAX(J40,K40)</f>
      </c>
      <c r="M40" s="166" t="str">
        <f>IF(F40=0,"",L40/F40)</f>
      </c>
      <c r="N40" s="167" t="str">
        <f>'Calculation_Assumptions'!$B$31*F40</f>
      </c>
      <c r="O40" s="168" t="str">
        <f>'Calculation_Assumptions'!$B$32*F40</f>
      </c>
      <c r="P40" s="169" t="str">
        <f>IF(I40=0,"",L40/I40)</f>
      </c>
      <c r="Q40" s="170" t="str">
        <f>L40*D40</f>
      </c>
      <c r="R40" s="171" t="str">
        <f>P40*E40</f>
      </c>
      <c r="S40" s="172" t="str">
        <f>N40*D40</f>
      </c>
      <c r="T40" s="173" t="str">
        <f>O40*D40</f>
      </c>
      <c r="U40" s="174" t="str">
        <f>1/(1+'Calculation_Assumptions'!$B$25)^(C40-'Calculation_Assumptions'!$B$24)</f>
      </c>
      <c r="V40" s="175" t="str">
        <f>Q40*U40</f>
      </c>
      <c r="W40" s="176" t="str">
        <f>R40*U40</f>
      </c>
      <c r="X40" s="177" t="str">
        <f>S40*U40</f>
      </c>
      <c r="Y40" s="178" t="str">
        <f>T40*U40</f>
      </c>
      <c r="Z40" s="179" t="str">
        <f>H40*F40</f>
      </c>
      <c r="AA40" s="180" t="str">
        <f>Z40*U40</f>
      </c>
      <c r="AB40" s="181" t="str">
        <f>IF(Z40=0,"",Q40/Z40)</f>
      </c>
    </row>
    <row r="41">
      <c r="A41" t="s">
        <v>250</v>
      </c>
      <c r="B41" s="35" t="s">
        <v>252</v>
      </c>
      <c r="C41" t="n">
        <v>2038</v>
      </c>
      <c r="D41" s="157" t="n">
        <v>7407.74347335296</v>
      </c>
      <c r="E41" s="158" t="n">
        <v>116400.398611018</v>
      </c>
      <c r="F41" s="159" t="n">
        <v>21070.2382103635</v>
      </c>
      <c r="G41" s="160" t="n">
        <v>86465.9370419363</v>
      </c>
      <c r="H41" s="161" t="n">
        <v>309096448</v>
      </c>
      <c r="I41" s="162" t="n">
        <v>37.8496</v>
      </c>
      <c r="J41" s="163" t="str">
        <f>'Calculation_Assumptions'!$B$28*G41*(F41/G41)^'Calculation_Assumptions'!$B$29</f>
      </c>
      <c r="K41" s="164" t="str">
        <f>'Calculation_Assumptions'!$B$30*F41</f>
      </c>
      <c r="L41" s="165" t="str">
        <f>MAX(J41,K41)</f>
      </c>
      <c r="M41" s="166" t="str">
        <f>IF(F41=0,"",L41/F41)</f>
      </c>
      <c r="N41" s="167" t="str">
        <f>'Calculation_Assumptions'!$B$31*F41</f>
      </c>
      <c r="O41" s="168" t="str">
        <f>'Calculation_Assumptions'!$B$32*F41</f>
      </c>
      <c r="P41" s="169" t="str">
        <f>IF(I41=0,"",L41/I41)</f>
      </c>
      <c r="Q41" s="170" t="str">
        <f>L41*D41</f>
      </c>
      <c r="R41" s="171" t="str">
        <f>P41*E41</f>
      </c>
      <c r="S41" s="172" t="str">
        <f>N41*D41</f>
      </c>
      <c r="T41" s="173" t="str">
        <f>O41*D41</f>
      </c>
      <c r="U41" s="174" t="str">
        <f>1/(1+'Calculation_Assumptions'!$B$25)^(C41-'Calculation_Assumptions'!$B$24)</f>
      </c>
      <c r="V41" s="175" t="str">
        <f>Q41*U41</f>
      </c>
      <c r="W41" s="176" t="str">
        <f>R41*U41</f>
      </c>
      <c r="X41" s="177" t="str">
        <f>S41*U41</f>
      </c>
      <c r="Y41" s="178" t="str">
        <f>T41*U41</f>
      </c>
      <c r="Z41" s="179" t="str">
        <f>H41*F41</f>
      </c>
      <c r="AA41" s="180" t="str">
        <f>Z41*U41</f>
      </c>
      <c r="AB41" s="181" t="str">
        <f>IF(Z41=0,"",Q41/Z41)</f>
      </c>
    </row>
    <row r="42">
      <c r="A42" t="s">
        <v>250</v>
      </c>
      <c r="B42" s="35" t="s">
        <v>252</v>
      </c>
      <c r="C42" t="n">
        <v>2039</v>
      </c>
      <c r="D42" s="157" t="n">
        <v>8229.02856075799</v>
      </c>
      <c r="E42" s="158" t="n">
        <v>126827.638074109</v>
      </c>
      <c r="F42" s="159" t="n">
        <v>21663.8540821491</v>
      </c>
      <c r="G42" s="160" t="n">
        <v>87286.5121634309</v>
      </c>
      <c r="H42" s="161" t="n">
        <v>310481120</v>
      </c>
      <c r="I42" s="162" t="n">
        <v>37.9582</v>
      </c>
      <c r="J42" s="163" t="str">
        <f>'Calculation_Assumptions'!$B$28*G42*(F42/G42)^'Calculation_Assumptions'!$B$29</f>
      </c>
      <c r="K42" s="164" t="str">
        <f>'Calculation_Assumptions'!$B$30*F42</f>
      </c>
      <c r="L42" s="165" t="str">
        <f>MAX(J42,K42)</f>
      </c>
      <c r="M42" s="166" t="str">
        <f>IF(F42=0,"",L42/F42)</f>
      </c>
      <c r="N42" s="167" t="str">
        <f>'Calculation_Assumptions'!$B$31*F42</f>
      </c>
      <c r="O42" s="168" t="str">
        <f>'Calculation_Assumptions'!$B$32*F42</f>
      </c>
      <c r="P42" s="169" t="str">
        <f>IF(I42=0,"",L42/I42)</f>
      </c>
      <c r="Q42" s="170" t="str">
        <f>L42*D42</f>
      </c>
      <c r="R42" s="171" t="str">
        <f>P42*E42</f>
      </c>
      <c r="S42" s="172" t="str">
        <f>N42*D42</f>
      </c>
      <c r="T42" s="173" t="str">
        <f>O42*D42</f>
      </c>
      <c r="U42" s="174" t="str">
        <f>1/(1+'Calculation_Assumptions'!$B$25)^(C42-'Calculation_Assumptions'!$B$24)</f>
      </c>
      <c r="V42" s="175" t="str">
        <f>Q42*U42</f>
      </c>
      <c r="W42" s="176" t="str">
        <f>R42*U42</f>
      </c>
      <c r="X42" s="177" t="str">
        <f>S42*U42</f>
      </c>
      <c r="Y42" s="178" t="str">
        <f>T42*U42</f>
      </c>
      <c r="Z42" s="179" t="str">
        <f>H42*F42</f>
      </c>
      <c r="AA42" s="180" t="str">
        <f>Z42*U42</f>
      </c>
      <c r="AB42" s="181" t="str">
        <f>IF(Z42=0,"",Q42/Z42)</f>
      </c>
    </row>
    <row r="43">
      <c r="A43" t="s">
        <v>250</v>
      </c>
      <c r="B43" s="35" t="s">
        <v>252</v>
      </c>
      <c r="C43" t="n">
        <v>2040</v>
      </c>
      <c r="D43" s="157" t="n">
        <v>9056.01059705002</v>
      </c>
      <c r="E43" s="158" t="n">
        <v>137332.728519956</v>
      </c>
      <c r="F43" s="159" t="n">
        <v>22274.1940080113</v>
      </c>
      <c r="G43" s="160" t="n">
        <v>88114.8746697968</v>
      </c>
      <c r="H43" s="161" t="n">
        <v>311797395.5</v>
      </c>
      <c r="I43" s="162" t="n">
        <v>38.0715</v>
      </c>
      <c r="J43" s="163" t="str">
        <f>'Calculation_Assumptions'!$B$28*G43*(F43/G43)^'Calculation_Assumptions'!$B$29</f>
      </c>
      <c r="K43" s="164" t="str">
        <f>'Calculation_Assumptions'!$B$30*F43</f>
      </c>
      <c r="L43" s="165" t="str">
        <f>MAX(J43,K43)</f>
      </c>
      <c r="M43" s="166" t="str">
        <f>IF(F43=0,"",L43/F43)</f>
      </c>
      <c r="N43" s="167" t="str">
        <f>'Calculation_Assumptions'!$B$31*F43</f>
      </c>
      <c r="O43" s="168" t="str">
        <f>'Calculation_Assumptions'!$B$32*F43</f>
      </c>
      <c r="P43" s="169" t="str">
        <f>IF(I43=0,"",L43/I43)</f>
      </c>
      <c r="Q43" s="170" t="str">
        <f>L43*D43</f>
      </c>
      <c r="R43" s="171" t="str">
        <f>P43*E43</f>
      </c>
      <c r="S43" s="172" t="str">
        <f>N43*D43</f>
      </c>
      <c r="T43" s="173" t="str">
        <f>O43*D43</f>
      </c>
      <c r="U43" s="174" t="str">
        <f>1/(1+'Calculation_Assumptions'!$B$25)^(C43-'Calculation_Assumptions'!$B$24)</f>
      </c>
      <c r="V43" s="175" t="str">
        <f>Q43*U43</f>
      </c>
      <c r="W43" s="176" t="str">
        <f>R43*U43</f>
      </c>
      <c r="X43" s="177" t="str">
        <f>S43*U43</f>
      </c>
      <c r="Y43" s="178" t="str">
        <f>T43*U43</f>
      </c>
      <c r="Z43" s="179" t="str">
        <f>H43*F43</f>
      </c>
      <c r="AA43" s="180" t="str">
        <f>Z43*U43</f>
      </c>
      <c r="AB43" s="181" t="str">
        <f>IF(Z43=0,"",Q43/Z43)</f>
      </c>
    </row>
    <row r="44">
      <c r="A44" t="s">
        <v>250</v>
      </c>
      <c r="B44" s="35" t="s">
        <v>252</v>
      </c>
      <c r="C44" t="n">
        <v>2041</v>
      </c>
      <c r="D44" s="157" t="n">
        <v>8915.64755914793</v>
      </c>
      <c r="E44" s="158" t="n">
        <v>136459.876255495</v>
      </c>
      <c r="F44" s="159" t="n">
        <v>22835.7817990268</v>
      </c>
      <c r="G44" s="160" t="n">
        <v>88881.5613597912</v>
      </c>
      <c r="H44" s="161" t="n">
        <v>313041661</v>
      </c>
      <c r="I44" s="162" t="n">
        <v>37.2583</v>
      </c>
      <c r="J44" s="163" t="str">
        <f>'Calculation_Assumptions'!$B$28*G44*(F44/G44)^'Calculation_Assumptions'!$B$29</f>
      </c>
      <c r="K44" s="164" t="str">
        <f>'Calculation_Assumptions'!$B$30*F44</f>
      </c>
      <c r="L44" s="165" t="str">
        <f>MAX(J44,K44)</f>
      </c>
      <c r="M44" s="166" t="str">
        <f>IF(F44=0,"",L44/F44)</f>
      </c>
      <c r="N44" s="167" t="str">
        <f>'Calculation_Assumptions'!$B$31*F44</f>
      </c>
      <c r="O44" s="168" t="str">
        <f>'Calculation_Assumptions'!$B$32*F44</f>
      </c>
      <c r="P44" s="169" t="str">
        <f>IF(I44=0,"",L44/I44)</f>
      </c>
      <c r="Q44" s="170" t="str">
        <f>L44*D44</f>
      </c>
      <c r="R44" s="171" t="str">
        <f>P44*E44</f>
      </c>
      <c r="S44" s="172" t="str">
        <f>N44*D44</f>
      </c>
      <c r="T44" s="173" t="str">
        <f>O44*D44</f>
      </c>
      <c r="U44" s="174" t="str">
        <f>1/(1+'Calculation_Assumptions'!$B$25)^(C44-'Calculation_Assumptions'!$B$24)</f>
      </c>
      <c r="V44" s="175" t="str">
        <f>Q44*U44</f>
      </c>
      <c r="W44" s="176" t="str">
        <f>R44*U44</f>
      </c>
      <c r="X44" s="177" t="str">
        <f>S44*U44</f>
      </c>
      <c r="Y44" s="178" t="str">
        <f>T44*U44</f>
      </c>
      <c r="Z44" s="179" t="str">
        <f>H44*F44</f>
      </c>
      <c r="AA44" s="180" t="str">
        <f>Z44*U44</f>
      </c>
      <c r="AB44" s="181" t="str">
        <f>IF(Z44=0,"",Q44/Z44)</f>
      </c>
    </row>
    <row r="45">
      <c r="A45" t="s">
        <v>250</v>
      </c>
      <c r="B45" s="35" t="s">
        <v>252</v>
      </c>
      <c r="C45" t="n">
        <v>2042</v>
      </c>
      <c r="D45" s="157" t="n">
        <v>8850.24352739598</v>
      </c>
      <c r="E45" s="158" t="n">
        <v>136352.109700656</v>
      </c>
      <c r="F45" s="159" t="n">
        <v>23411.5286140188</v>
      </c>
      <c r="G45" s="160" t="n">
        <v>89654.918983414</v>
      </c>
      <c r="H45" s="161" t="n">
        <v>314211282.5</v>
      </c>
      <c r="I45" s="162" t="n">
        <v>37.3732</v>
      </c>
      <c r="J45" s="163" t="str">
        <f>'Calculation_Assumptions'!$B$28*G45*(F45/G45)^'Calculation_Assumptions'!$B$29</f>
      </c>
      <c r="K45" s="164" t="str">
        <f>'Calculation_Assumptions'!$B$30*F45</f>
      </c>
      <c r="L45" s="165" t="str">
        <f>MAX(J45,K45)</f>
      </c>
      <c r="M45" s="166" t="str">
        <f>IF(F45=0,"",L45/F45)</f>
      </c>
      <c r="N45" s="167" t="str">
        <f>'Calculation_Assumptions'!$B$31*F45</f>
      </c>
      <c r="O45" s="168" t="str">
        <f>'Calculation_Assumptions'!$B$32*F45</f>
      </c>
      <c r="P45" s="169" t="str">
        <f>IF(I45=0,"",L45/I45)</f>
      </c>
      <c r="Q45" s="170" t="str">
        <f>L45*D45</f>
      </c>
      <c r="R45" s="171" t="str">
        <f>P45*E45</f>
      </c>
      <c r="S45" s="172" t="str">
        <f>N45*D45</f>
      </c>
      <c r="T45" s="173" t="str">
        <f>O45*D45</f>
      </c>
      <c r="U45" s="174" t="str">
        <f>1/(1+'Calculation_Assumptions'!$B$25)^(C45-'Calculation_Assumptions'!$B$24)</f>
      </c>
      <c r="V45" s="175" t="str">
        <f>Q45*U45</f>
      </c>
      <c r="W45" s="176" t="str">
        <f>R45*U45</f>
      </c>
      <c r="X45" s="177" t="str">
        <f>S45*U45</f>
      </c>
      <c r="Y45" s="178" t="str">
        <f>T45*U45</f>
      </c>
      <c r="Z45" s="179" t="str">
        <f>H45*F45</f>
      </c>
      <c r="AA45" s="180" t="str">
        <f>Z45*U45</f>
      </c>
      <c r="AB45" s="181" t="str">
        <f>IF(Z45=0,"",Q45/Z45)</f>
      </c>
    </row>
    <row r="46">
      <c r="A46" t="s">
        <v>250</v>
      </c>
      <c r="B46" s="35" t="s">
        <v>252</v>
      </c>
      <c r="C46" t="n">
        <v>2043</v>
      </c>
      <c r="D46" s="157" t="n">
        <v>8819.53628960447</v>
      </c>
      <c r="E46" s="158" t="n">
        <v>136584.799915157</v>
      </c>
      <c r="F46" s="159" t="n">
        <v>24001.7914371726</v>
      </c>
      <c r="G46" s="160" t="n">
        <v>90435.0055843959</v>
      </c>
      <c r="H46" s="161" t="n">
        <v>315304312</v>
      </c>
      <c r="I46" s="162" t="n">
        <v>37.4911</v>
      </c>
      <c r="J46" s="163" t="str">
        <f>'Calculation_Assumptions'!$B$28*G46*(F46/G46)^'Calculation_Assumptions'!$B$29</f>
      </c>
      <c r="K46" s="164" t="str">
        <f>'Calculation_Assumptions'!$B$30*F46</f>
      </c>
      <c r="L46" s="165" t="str">
        <f>MAX(J46,K46)</f>
      </c>
      <c r="M46" s="166" t="str">
        <f>IF(F46=0,"",L46/F46)</f>
      </c>
      <c r="N46" s="167" t="str">
        <f>'Calculation_Assumptions'!$B$31*F46</f>
      </c>
      <c r="O46" s="168" t="str">
        <f>'Calculation_Assumptions'!$B$32*F46</f>
      </c>
      <c r="P46" s="169" t="str">
        <f>IF(I46=0,"",L46/I46)</f>
      </c>
      <c r="Q46" s="170" t="str">
        <f>L46*D46</f>
      </c>
      <c r="R46" s="171" t="str">
        <f>P46*E46</f>
      </c>
      <c r="S46" s="172" t="str">
        <f>N46*D46</f>
      </c>
      <c r="T46" s="173" t="str">
        <f>O46*D46</f>
      </c>
      <c r="U46" s="174" t="str">
        <f>1/(1+'Calculation_Assumptions'!$B$25)^(C46-'Calculation_Assumptions'!$B$24)</f>
      </c>
      <c r="V46" s="175" t="str">
        <f>Q46*U46</f>
      </c>
      <c r="W46" s="176" t="str">
        <f>R46*U46</f>
      </c>
      <c r="X46" s="177" t="str">
        <f>S46*U46</f>
      </c>
      <c r="Y46" s="178" t="str">
        <f>T46*U46</f>
      </c>
      <c r="Z46" s="179" t="str">
        <f>H46*F46</f>
      </c>
      <c r="AA46" s="180" t="str">
        <f>Z46*U46</f>
      </c>
      <c r="AB46" s="181" t="str">
        <f>IF(Z46=0,"",Q46/Z46)</f>
      </c>
    </row>
    <row r="47">
      <c r="A47" t="s">
        <v>250</v>
      </c>
      <c r="B47" s="35" t="s">
        <v>252</v>
      </c>
      <c r="C47" t="n">
        <v>2044</v>
      </c>
      <c r="D47" s="157" t="n">
        <v>8812.24068449836</v>
      </c>
      <c r="E47" s="158" t="n">
        <v>137089.964142837</v>
      </c>
      <c r="F47" s="159" t="n">
        <v>24606.9362531317</v>
      </c>
      <c r="G47" s="160" t="n">
        <v>91221.8797115048</v>
      </c>
      <c r="H47" s="161" t="n">
        <v>316318415.5</v>
      </c>
      <c r="I47" s="162" t="n">
        <v>37.6099</v>
      </c>
      <c r="J47" s="163" t="str">
        <f>'Calculation_Assumptions'!$B$28*G47*(F47/G47)^'Calculation_Assumptions'!$B$29</f>
      </c>
      <c r="K47" s="164" t="str">
        <f>'Calculation_Assumptions'!$B$30*F47</f>
      </c>
      <c r="L47" s="165" t="str">
        <f>MAX(J47,K47)</f>
      </c>
      <c r="M47" s="166" t="str">
        <f>IF(F47=0,"",L47/F47)</f>
      </c>
      <c r="N47" s="167" t="str">
        <f>'Calculation_Assumptions'!$B$31*F47</f>
      </c>
      <c r="O47" s="168" t="str">
        <f>'Calculation_Assumptions'!$B$32*F47</f>
      </c>
      <c r="P47" s="169" t="str">
        <f>IF(I47=0,"",L47/I47)</f>
      </c>
      <c r="Q47" s="170" t="str">
        <f>L47*D47</f>
      </c>
      <c r="R47" s="171" t="str">
        <f>P47*E47</f>
      </c>
      <c r="S47" s="172" t="str">
        <f>N47*D47</f>
      </c>
      <c r="T47" s="173" t="str">
        <f>O47*D47</f>
      </c>
      <c r="U47" s="174" t="str">
        <f>1/(1+'Calculation_Assumptions'!$B$25)^(C47-'Calculation_Assumptions'!$B$24)</f>
      </c>
      <c r="V47" s="175" t="str">
        <f>Q47*U47</f>
      </c>
      <c r="W47" s="176" t="str">
        <f>R47*U47</f>
      </c>
      <c r="X47" s="177" t="str">
        <f>S47*U47</f>
      </c>
      <c r="Y47" s="178" t="str">
        <f>T47*U47</f>
      </c>
      <c r="Z47" s="179" t="str">
        <f>H47*F47</f>
      </c>
      <c r="AA47" s="180" t="str">
        <f>Z47*U47</f>
      </c>
      <c r="AB47" s="181" t="str">
        <f>IF(Z47=0,"",Q47/Z47)</f>
      </c>
    </row>
    <row r="48">
      <c r="A48" t="s">
        <v>250</v>
      </c>
      <c r="B48" s="35" t="s">
        <v>252</v>
      </c>
      <c r="C48" t="n">
        <v>2045</v>
      </c>
      <c r="D48" s="157" t="n">
        <v>8821.38605234594</v>
      </c>
      <c r="E48" s="158" t="n">
        <v>137753.341424925</v>
      </c>
      <c r="F48" s="159" t="n">
        <v>25227.3382739225</v>
      </c>
      <c r="G48" s="160" t="n">
        <v>92015.6004229417</v>
      </c>
      <c r="H48" s="161" t="n">
        <v>317249613</v>
      </c>
      <c r="I48" s="162" t="n">
        <v>37.7245</v>
      </c>
      <c r="J48" s="163" t="str">
        <f>'Calculation_Assumptions'!$B$28*G48*(F48/G48)^'Calculation_Assumptions'!$B$29</f>
      </c>
      <c r="K48" s="164" t="str">
        <f>'Calculation_Assumptions'!$B$30*F48</f>
      </c>
      <c r="L48" s="165" t="str">
        <f>MAX(J48,K48)</f>
      </c>
      <c r="M48" s="166" t="str">
        <f>IF(F48=0,"",L48/F48)</f>
      </c>
      <c r="N48" s="167" t="str">
        <f>'Calculation_Assumptions'!$B$31*F48</f>
      </c>
      <c r="O48" s="168" t="str">
        <f>'Calculation_Assumptions'!$B$32*F48</f>
      </c>
      <c r="P48" s="169" t="str">
        <f>IF(I48=0,"",L48/I48)</f>
      </c>
      <c r="Q48" s="170" t="str">
        <f>L48*D48</f>
      </c>
      <c r="R48" s="171" t="str">
        <f>P48*E48</f>
      </c>
      <c r="S48" s="172" t="str">
        <f>N48*D48</f>
      </c>
      <c r="T48" s="173" t="str">
        <f>O48*D48</f>
      </c>
      <c r="U48" s="174" t="str">
        <f>1/(1+'Calculation_Assumptions'!$B$25)^(C48-'Calculation_Assumptions'!$B$24)</f>
      </c>
      <c r="V48" s="175" t="str">
        <f>Q48*U48</f>
      </c>
      <c r="W48" s="176" t="str">
        <f>R48*U48</f>
      </c>
      <c r="X48" s="177" t="str">
        <f>S48*U48</f>
      </c>
      <c r="Y48" s="178" t="str">
        <f>T48*U48</f>
      </c>
      <c r="Z48" s="179" t="str">
        <f>H48*F48</f>
      </c>
      <c r="AA48" s="180" t="str">
        <f>Z48*U48</f>
      </c>
      <c r="AB48" s="181" t="str">
        <f>IF(Z48=0,"",Q48/Z48)</f>
      </c>
    </row>
    <row r="49">
      <c r="A49" t="s">
        <v>250</v>
      </c>
      <c r="B49" s="35" t="s">
        <v>252</v>
      </c>
      <c r="C49" t="n">
        <v>2046</v>
      </c>
      <c r="D49" s="157" t="n">
        <v>8841.35436392413</v>
      </c>
      <c r="E49" s="158" t="n">
        <v>138500.511388524</v>
      </c>
      <c r="F49" s="159" t="n">
        <v>25797.7023007031</v>
      </c>
      <c r="G49" s="160" t="n">
        <v>92766.6954417819</v>
      </c>
      <c r="H49" s="161" t="n">
        <v>318096573.5</v>
      </c>
      <c r="I49" s="162" t="n">
        <v>37.8362</v>
      </c>
      <c r="J49" s="163" t="str">
        <f>'Calculation_Assumptions'!$B$28*G49*(F49/G49)^'Calculation_Assumptions'!$B$29</f>
      </c>
      <c r="K49" s="164" t="str">
        <f>'Calculation_Assumptions'!$B$30*F49</f>
      </c>
      <c r="L49" s="165" t="str">
        <f>MAX(J49,K49)</f>
      </c>
      <c r="M49" s="166" t="str">
        <f>IF(F49=0,"",L49/F49)</f>
      </c>
      <c r="N49" s="167" t="str">
        <f>'Calculation_Assumptions'!$B$31*F49</f>
      </c>
      <c r="O49" s="168" t="str">
        <f>'Calculation_Assumptions'!$B$32*F49</f>
      </c>
      <c r="P49" s="169" t="str">
        <f>IF(I49=0,"",L49/I49)</f>
      </c>
      <c r="Q49" s="170" t="str">
        <f>L49*D49</f>
      </c>
      <c r="R49" s="171" t="str">
        <f>P49*E49</f>
      </c>
      <c r="S49" s="172" t="str">
        <f>N49*D49</f>
      </c>
      <c r="T49" s="173" t="str">
        <f>O49*D49</f>
      </c>
      <c r="U49" s="174" t="str">
        <f>1/(1+'Calculation_Assumptions'!$B$25)^(C49-'Calculation_Assumptions'!$B$24)</f>
      </c>
      <c r="V49" s="175" t="str">
        <f>Q49*U49</f>
      </c>
      <c r="W49" s="176" t="str">
        <f>R49*U49</f>
      </c>
      <c r="X49" s="177" t="str">
        <f>S49*U49</f>
      </c>
      <c r="Y49" s="178" t="str">
        <f>T49*U49</f>
      </c>
      <c r="Z49" s="179" t="str">
        <f>H49*F49</f>
      </c>
      <c r="AA49" s="180" t="str">
        <f>Z49*U49</f>
      </c>
      <c r="AB49" s="181" t="str">
        <f>IF(Z49=0,"",Q49/Z49)</f>
      </c>
    </row>
    <row r="50">
      <c r="A50" t="s">
        <v>250</v>
      </c>
      <c r="B50" s="35" t="s">
        <v>252</v>
      </c>
      <c r="C50" t="n">
        <v>2047</v>
      </c>
      <c r="D50" s="157" t="n">
        <v>8868.15449279956</v>
      </c>
      <c r="E50" s="158" t="n">
        <v>139323.296434529</v>
      </c>
      <c r="F50" s="159" t="n">
        <v>26380.9616682253</v>
      </c>
      <c r="G50" s="160" t="n">
        <v>93523.921418033</v>
      </c>
      <c r="H50" s="161" t="n">
        <v>318862019.5</v>
      </c>
      <c r="I50" s="162" t="n">
        <v>37.9489</v>
      </c>
      <c r="J50" s="163" t="str">
        <f>'Calculation_Assumptions'!$B$28*G50*(F50/G50)^'Calculation_Assumptions'!$B$29</f>
      </c>
      <c r="K50" s="164" t="str">
        <f>'Calculation_Assumptions'!$B$30*F50</f>
      </c>
      <c r="L50" s="165" t="str">
        <f>MAX(J50,K50)</f>
      </c>
      <c r="M50" s="166" t="str">
        <f>IF(F50=0,"",L50/F50)</f>
      </c>
      <c r="N50" s="167" t="str">
        <f>'Calculation_Assumptions'!$B$31*F50</f>
      </c>
      <c r="O50" s="168" t="str">
        <f>'Calculation_Assumptions'!$B$32*F50</f>
      </c>
      <c r="P50" s="169" t="str">
        <f>IF(I50=0,"",L50/I50)</f>
      </c>
      <c r="Q50" s="170" t="str">
        <f>L50*D50</f>
      </c>
      <c r="R50" s="171" t="str">
        <f>P50*E50</f>
      </c>
      <c r="S50" s="172" t="str">
        <f>N50*D50</f>
      </c>
      <c r="T50" s="173" t="str">
        <f>O50*D50</f>
      </c>
      <c r="U50" s="174" t="str">
        <f>1/(1+'Calculation_Assumptions'!$B$25)^(C50-'Calculation_Assumptions'!$B$24)</f>
      </c>
      <c r="V50" s="175" t="str">
        <f>Q50*U50</f>
      </c>
      <c r="W50" s="176" t="str">
        <f>R50*U50</f>
      </c>
      <c r="X50" s="177" t="str">
        <f>S50*U50</f>
      </c>
      <c r="Y50" s="178" t="str">
        <f>T50*U50</f>
      </c>
      <c r="Z50" s="179" t="str">
        <f>H50*F50</f>
      </c>
      <c r="AA50" s="180" t="str">
        <f>Z50*U50</f>
      </c>
      <c r="AB50" s="181" t="str">
        <f>IF(Z50=0,"",Q50/Z50)</f>
      </c>
    </row>
    <row r="51">
      <c r="A51" t="s">
        <v>250</v>
      </c>
      <c r="B51" s="35" t="s">
        <v>252</v>
      </c>
      <c r="C51" t="n">
        <v>2048</v>
      </c>
      <c r="D51" s="157" t="n">
        <v>8895.20030231291</v>
      </c>
      <c r="E51" s="158" t="n">
        <v>140122.137087045</v>
      </c>
      <c r="F51" s="159" t="n">
        <v>26977.4079268061</v>
      </c>
      <c r="G51" s="160" t="n">
        <v>94287.3283968127</v>
      </c>
      <c r="H51" s="161" t="n">
        <v>319554652.5</v>
      </c>
      <c r="I51" s="162" t="n">
        <v>38.0645</v>
      </c>
      <c r="J51" s="163" t="str">
        <f>'Calculation_Assumptions'!$B$28*G51*(F51/G51)^'Calculation_Assumptions'!$B$29</f>
      </c>
      <c r="K51" s="164" t="str">
        <f>'Calculation_Assumptions'!$B$30*F51</f>
      </c>
      <c r="L51" s="165" t="str">
        <f>MAX(J51,K51)</f>
      </c>
      <c r="M51" s="166" t="str">
        <f>IF(F51=0,"",L51/F51)</f>
      </c>
      <c r="N51" s="167" t="str">
        <f>'Calculation_Assumptions'!$B$31*F51</f>
      </c>
      <c r="O51" s="168" t="str">
        <f>'Calculation_Assumptions'!$B$32*F51</f>
      </c>
      <c r="P51" s="169" t="str">
        <f>IF(I51=0,"",L51/I51)</f>
      </c>
      <c r="Q51" s="170" t="str">
        <f>L51*D51</f>
      </c>
      <c r="R51" s="171" t="str">
        <f>P51*E51</f>
      </c>
      <c r="S51" s="172" t="str">
        <f>N51*D51</f>
      </c>
      <c r="T51" s="173" t="str">
        <f>O51*D51</f>
      </c>
      <c r="U51" s="174" t="str">
        <f>1/(1+'Calculation_Assumptions'!$B$25)^(C51-'Calculation_Assumptions'!$B$24)</f>
      </c>
      <c r="V51" s="175" t="str">
        <f>Q51*U51</f>
      </c>
      <c r="W51" s="176" t="str">
        <f>R51*U51</f>
      </c>
      <c r="X51" s="177" t="str">
        <f>S51*U51</f>
      </c>
      <c r="Y51" s="178" t="str">
        <f>T51*U51</f>
      </c>
      <c r="Z51" s="179" t="str">
        <f>H51*F51</f>
      </c>
      <c r="AA51" s="180" t="str">
        <f>Z51*U51</f>
      </c>
      <c r="AB51" s="181" t="str">
        <f>IF(Z51=0,"",Q51/Z51)</f>
      </c>
    </row>
    <row r="52">
      <c r="A52" t="s">
        <v>250</v>
      </c>
      <c r="B52" s="35" t="s">
        <v>252</v>
      </c>
      <c r="C52" t="n">
        <v>2049</v>
      </c>
      <c r="D52" s="157" t="n">
        <v>8929.50129018086</v>
      </c>
      <c r="E52" s="158" t="n">
        <v>140975.638973714</v>
      </c>
      <c r="F52" s="159" t="n">
        <v>27587.3392184138</v>
      </c>
      <c r="G52" s="160" t="n">
        <v>95056.9668317421</v>
      </c>
      <c r="H52" s="161" t="n">
        <v>320173250</v>
      </c>
      <c r="I52" s="162" t="n">
        <v>38.1755</v>
      </c>
      <c r="J52" s="163" t="str">
        <f>'Calculation_Assumptions'!$B$28*G52*(F52/G52)^'Calculation_Assumptions'!$B$29</f>
      </c>
      <c r="K52" s="164" t="str">
        <f>'Calculation_Assumptions'!$B$30*F52</f>
      </c>
      <c r="L52" s="165" t="str">
        <f>MAX(J52,K52)</f>
      </c>
      <c r="M52" s="166" t="str">
        <f>IF(F52=0,"",L52/F52)</f>
      </c>
      <c r="N52" s="167" t="str">
        <f>'Calculation_Assumptions'!$B$31*F52</f>
      </c>
      <c r="O52" s="168" t="str">
        <f>'Calculation_Assumptions'!$B$32*F52</f>
      </c>
      <c r="P52" s="169" t="str">
        <f>IF(I52=0,"",L52/I52)</f>
      </c>
      <c r="Q52" s="170" t="str">
        <f>L52*D52</f>
      </c>
      <c r="R52" s="171" t="str">
        <f>P52*E52</f>
      </c>
      <c r="S52" s="172" t="str">
        <f>N52*D52</f>
      </c>
      <c r="T52" s="173" t="str">
        <f>O52*D52</f>
      </c>
      <c r="U52" s="174" t="str">
        <f>1/(1+'Calculation_Assumptions'!$B$25)^(C52-'Calculation_Assumptions'!$B$24)</f>
      </c>
      <c r="V52" s="175" t="str">
        <f>Q52*U52</f>
      </c>
      <c r="W52" s="176" t="str">
        <f>R52*U52</f>
      </c>
      <c r="X52" s="177" t="str">
        <f>S52*U52</f>
      </c>
      <c r="Y52" s="178" t="str">
        <f>T52*U52</f>
      </c>
      <c r="Z52" s="179" t="str">
        <f>H52*F52</f>
      </c>
      <c r="AA52" s="180" t="str">
        <f>Z52*U52</f>
      </c>
      <c r="AB52" s="181" t="str">
        <f>IF(Z52=0,"",Q52/Z52)</f>
      </c>
    </row>
    <row r="53">
      <c r="A53" t="s">
        <v>250</v>
      </c>
      <c r="B53" s="35" t="s">
        <v>252</v>
      </c>
      <c r="C53" t="n">
        <v>2050</v>
      </c>
      <c r="D53" s="157" t="n">
        <v>8966.52542222703</v>
      </c>
      <c r="E53" s="158" t="n">
        <v>141849.202006526</v>
      </c>
      <c r="F53" s="159" t="n">
        <v>28211.0604256979</v>
      </c>
      <c r="G53" s="160" t="n">
        <v>95832.8875882792</v>
      </c>
      <c r="H53" s="161" t="n">
        <v>320712949.5</v>
      </c>
      <c r="I53" s="162" t="n">
        <v>38.286</v>
      </c>
      <c r="J53" s="163" t="str">
        <f>'Calculation_Assumptions'!$B$28*G53*(F53/G53)^'Calculation_Assumptions'!$B$29</f>
      </c>
      <c r="K53" s="164" t="str">
        <f>'Calculation_Assumptions'!$B$30*F53</f>
      </c>
      <c r="L53" s="165" t="str">
        <f>MAX(J53,K53)</f>
      </c>
      <c r="M53" s="166" t="str">
        <f>IF(F53=0,"",L53/F53)</f>
      </c>
      <c r="N53" s="167" t="str">
        <f>'Calculation_Assumptions'!$B$31*F53</f>
      </c>
      <c r="O53" s="168" t="str">
        <f>'Calculation_Assumptions'!$B$32*F53</f>
      </c>
      <c r="P53" s="169" t="str">
        <f>IF(I53=0,"",L53/I53)</f>
      </c>
      <c r="Q53" s="170" t="str">
        <f>L53*D53</f>
      </c>
      <c r="R53" s="171" t="str">
        <f>P53*E53</f>
      </c>
      <c r="S53" s="172" t="str">
        <f>N53*D53</f>
      </c>
      <c r="T53" s="173" t="str">
        <f>O53*D53</f>
      </c>
      <c r="U53" s="174" t="str">
        <f>1/(1+'Calculation_Assumptions'!$B$25)^(C53-'Calculation_Assumptions'!$B$24)</f>
      </c>
      <c r="V53" s="175" t="str">
        <f>Q53*U53</f>
      </c>
      <c r="W53" s="176" t="str">
        <f>R53*U53</f>
      </c>
      <c r="X53" s="177" t="str">
        <f>S53*U53</f>
      </c>
      <c r="Y53" s="178" t="str">
        <f>T53*U53</f>
      </c>
      <c r="Z53" s="179" t="str">
        <f>H53*F53</f>
      </c>
      <c r="AA53" s="180" t="str">
        <f>Z53*U53</f>
      </c>
      <c r="AB53" s="181" t="str">
        <f>IF(Z53=0,"",Q53/Z53)</f>
      </c>
    </row>
    <row r="54">
      <c r="A54" t="s">
        <v>262</v>
      </c>
      <c r="B54" s="35" t="s">
        <v>264</v>
      </c>
      <c r="C54" t="n">
        <v>2025</v>
      </c>
      <c r="D54" s="157" t="n">
        <v>0.000000000243056658133511</v>
      </c>
      <c r="E54" s="158" t="n">
        <v>0.00000000719933224146985</v>
      </c>
      <c r="F54" s="159" t="n">
        <v>13851.4910785419</v>
      </c>
      <c r="G54" s="160" t="n">
        <v>74136.3707949527</v>
      </c>
      <c r="H54" s="161" t="n">
        <v>285721235.5</v>
      </c>
      <c r="I54" s="162" t="n">
        <v>37.51</v>
      </c>
      <c r="J54" s="163" t="str">
        <f>'Calculation_Assumptions'!$B$28*G54*(F54/G54)^'Calculation_Assumptions'!$B$29</f>
      </c>
      <c r="K54" s="164" t="str">
        <f>'Calculation_Assumptions'!$B$30*F54</f>
      </c>
      <c r="L54" s="165" t="str">
        <f>MAX(J54,K54)</f>
      </c>
      <c r="M54" s="166" t="str">
        <f>IF(F54=0,"",L54/F54)</f>
      </c>
      <c r="N54" s="167" t="str">
        <f>'Calculation_Assumptions'!$B$31*F54</f>
      </c>
      <c r="O54" s="168" t="str">
        <f>'Calculation_Assumptions'!$B$32*F54</f>
      </c>
      <c r="P54" s="169" t="str">
        <f>IF(I54=0,"",L54/I54)</f>
      </c>
      <c r="Q54" s="170" t="str">
        <f>L54*D54</f>
      </c>
      <c r="R54" s="171" t="str">
        <f>P54*E54</f>
      </c>
      <c r="S54" s="172" t="str">
        <f>N54*D54</f>
      </c>
      <c r="T54" s="173" t="str">
        <f>O54*D54</f>
      </c>
      <c r="U54" s="174" t="str">
        <f>1/(1+'Calculation_Assumptions'!$B$25)^(C54-'Calculation_Assumptions'!$B$24)</f>
      </c>
      <c r="V54" s="175" t="str">
        <f>Q54*U54</f>
      </c>
      <c r="W54" s="176" t="str">
        <f>R54*U54</f>
      </c>
      <c r="X54" s="177" t="str">
        <f>S54*U54</f>
      </c>
      <c r="Y54" s="178" t="str">
        <f>T54*U54</f>
      </c>
      <c r="Z54" s="179" t="str">
        <f>H54*F54</f>
      </c>
      <c r="AA54" s="180" t="str">
        <f>Z54*U54</f>
      </c>
      <c r="AB54" s="181" t="str">
        <f>IF(Z54=0,"",Q54/Z54)</f>
      </c>
    </row>
    <row r="55">
      <c r="A55" t="s">
        <v>262</v>
      </c>
      <c r="B55" s="35" t="s">
        <v>264</v>
      </c>
      <c r="C55" t="n">
        <v>2026</v>
      </c>
      <c r="D55" s="157" t="n">
        <v>1219.31938980125</v>
      </c>
      <c r="E55" s="158" t="n">
        <v>20515.2118902932</v>
      </c>
      <c r="F55" s="159" t="n">
        <v>14370.1004216288</v>
      </c>
      <c r="G55" s="160" t="n">
        <v>75186.4097436074</v>
      </c>
      <c r="H55" s="161" t="n">
        <v>287886782.5</v>
      </c>
      <c r="I55" s="162" t="n">
        <v>37.5883</v>
      </c>
      <c r="J55" s="163" t="str">
        <f>'Calculation_Assumptions'!$B$28*G55*(F55/G55)^'Calculation_Assumptions'!$B$29</f>
      </c>
      <c r="K55" s="164" t="str">
        <f>'Calculation_Assumptions'!$B$30*F55</f>
      </c>
      <c r="L55" s="165" t="str">
        <f>MAX(J55,K55)</f>
      </c>
      <c r="M55" s="166" t="str">
        <f>IF(F55=0,"",L55/F55)</f>
      </c>
      <c r="N55" s="167" t="str">
        <f>'Calculation_Assumptions'!$B$31*F55</f>
      </c>
      <c r="O55" s="168" t="str">
        <f>'Calculation_Assumptions'!$B$32*F55</f>
      </c>
      <c r="P55" s="169" t="str">
        <f>IF(I55=0,"",L55/I55)</f>
      </c>
      <c r="Q55" s="170" t="str">
        <f>L55*D55</f>
      </c>
      <c r="R55" s="171" t="str">
        <f>P55*E55</f>
      </c>
      <c r="S55" s="172" t="str">
        <f>N55*D55</f>
      </c>
      <c r="T55" s="173" t="str">
        <f>O55*D55</f>
      </c>
      <c r="U55" s="174" t="str">
        <f>1/(1+'Calculation_Assumptions'!$B$25)^(C55-'Calculation_Assumptions'!$B$24)</f>
      </c>
      <c r="V55" s="175" t="str">
        <f>Q55*U55</f>
      </c>
      <c r="W55" s="176" t="str">
        <f>R55*U55</f>
      </c>
      <c r="X55" s="177" t="str">
        <f>S55*U55</f>
      </c>
      <c r="Y55" s="178" t="str">
        <f>T55*U55</f>
      </c>
      <c r="Z55" s="179" t="str">
        <f>H55*F55</f>
      </c>
      <c r="AA55" s="180" t="str">
        <f>Z55*U55</f>
      </c>
      <c r="AB55" s="181" t="str">
        <f>IF(Z55=0,"",Q55/Z55)</f>
      </c>
    </row>
    <row r="56">
      <c r="A56" t="s">
        <v>262</v>
      </c>
      <c r="B56" s="35" t="s">
        <v>264</v>
      </c>
      <c r="C56" t="n">
        <v>2027</v>
      </c>
      <c r="D56" s="157" t="n">
        <v>2372.58331850535</v>
      </c>
      <c r="E56" s="158" t="n">
        <v>40462.2713743604</v>
      </c>
      <c r="F56" s="159" t="n">
        <v>14908.1268548478</v>
      </c>
      <c r="G56" s="160" t="n">
        <v>76251.3210387483</v>
      </c>
      <c r="H56" s="161" t="n">
        <v>289986522</v>
      </c>
      <c r="I56" s="162" t="n">
        <v>37.6736</v>
      </c>
      <c r="J56" s="163" t="str">
        <f>'Calculation_Assumptions'!$B$28*G56*(F56/G56)^'Calculation_Assumptions'!$B$29</f>
      </c>
      <c r="K56" s="164" t="str">
        <f>'Calculation_Assumptions'!$B$30*F56</f>
      </c>
      <c r="L56" s="165" t="str">
        <f>MAX(J56,K56)</f>
      </c>
      <c r="M56" s="166" t="str">
        <f>IF(F56=0,"",L56/F56)</f>
      </c>
      <c r="N56" s="167" t="str">
        <f>'Calculation_Assumptions'!$B$31*F56</f>
      </c>
      <c r="O56" s="168" t="str">
        <f>'Calculation_Assumptions'!$B$32*F56</f>
      </c>
      <c r="P56" s="169" t="str">
        <f>IF(I56=0,"",L56/I56)</f>
      </c>
      <c r="Q56" s="170" t="str">
        <f>L56*D56</f>
      </c>
      <c r="R56" s="171" t="str">
        <f>P56*E56</f>
      </c>
      <c r="S56" s="172" t="str">
        <f>N56*D56</f>
      </c>
      <c r="T56" s="173" t="str">
        <f>O56*D56</f>
      </c>
      <c r="U56" s="174" t="str">
        <f>1/(1+'Calculation_Assumptions'!$B$25)^(C56-'Calculation_Assumptions'!$B$24)</f>
      </c>
      <c r="V56" s="175" t="str">
        <f>Q56*U56</f>
      </c>
      <c r="W56" s="176" t="str">
        <f>R56*U56</f>
      </c>
      <c r="X56" s="177" t="str">
        <f>S56*U56</f>
      </c>
      <c r="Y56" s="178" t="str">
        <f>T56*U56</f>
      </c>
      <c r="Z56" s="179" t="str">
        <f>H56*F56</f>
      </c>
      <c r="AA56" s="180" t="str">
        <f>Z56*U56</f>
      </c>
      <c r="AB56" s="181" t="str">
        <f>IF(Z56=0,"",Q56/Z56)</f>
      </c>
    </row>
    <row r="57">
      <c r="A57" t="s">
        <v>262</v>
      </c>
      <c r="B57" s="35" t="s">
        <v>264</v>
      </c>
      <c r="C57" t="n">
        <v>2028</v>
      </c>
      <c r="D57" s="157" t="n">
        <v>3506.59760442217</v>
      </c>
      <c r="E57" s="158" t="n">
        <v>60209.398247499</v>
      </c>
      <c r="F57" s="159" t="n">
        <v>15466.2973673947</v>
      </c>
      <c r="G57" s="160" t="n">
        <v>77331.3153265521</v>
      </c>
      <c r="H57" s="161" t="n">
        <v>292016778.5</v>
      </c>
      <c r="I57" s="162" t="n">
        <v>36.834</v>
      </c>
      <c r="J57" s="163" t="str">
        <f>'Calculation_Assumptions'!$B$28*G57*(F57/G57)^'Calculation_Assumptions'!$B$29</f>
      </c>
      <c r="K57" s="164" t="str">
        <f>'Calculation_Assumptions'!$B$30*F57</f>
      </c>
      <c r="L57" s="165" t="str">
        <f>MAX(J57,K57)</f>
      </c>
      <c r="M57" s="166" t="str">
        <f>IF(F57=0,"",L57/F57)</f>
      </c>
      <c r="N57" s="167" t="str">
        <f>'Calculation_Assumptions'!$B$31*F57</f>
      </c>
      <c r="O57" s="168" t="str">
        <f>'Calculation_Assumptions'!$B$32*F57</f>
      </c>
      <c r="P57" s="169" t="str">
        <f>IF(I57=0,"",L57/I57)</f>
      </c>
      <c r="Q57" s="170" t="str">
        <f>L57*D57</f>
      </c>
      <c r="R57" s="171" t="str">
        <f>P57*E57</f>
      </c>
      <c r="S57" s="172" t="str">
        <f>N57*D57</f>
      </c>
      <c r="T57" s="173" t="str">
        <f>O57*D57</f>
      </c>
      <c r="U57" s="174" t="str">
        <f>1/(1+'Calculation_Assumptions'!$B$25)^(C57-'Calculation_Assumptions'!$B$24)</f>
      </c>
      <c r="V57" s="175" t="str">
        <f>Q57*U57</f>
      </c>
      <c r="W57" s="176" t="str">
        <f>R57*U57</f>
      </c>
      <c r="X57" s="177" t="str">
        <f>S57*U57</f>
      </c>
      <c r="Y57" s="178" t="str">
        <f>T57*U57</f>
      </c>
      <c r="Z57" s="179" t="str">
        <f>H57*F57</f>
      </c>
      <c r="AA57" s="180" t="str">
        <f>Z57*U57</f>
      </c>
      <c r="AB57" s="181" t="str">
        <f>IF(Z57=0,"",Q57/Z57)</f>
      </c>
    </row>
    <row r="58">
      <c r="A58" t="s">
        <v>262</v>
      </c>
      <c r="B58" s="35" t="s">
        <v>264</v>
      </c>
      <c r="C58" t="n">
        <v>2029</v>
      </c>
      <c r="D58" s="157" t="n">
        <v>4944.88900767678</v>
      </c>
      <c r="E58" s="158" t="n">
        <v>84261.8732796973</v>
      </c>
      <c r="F58" s="159" t="n">
        <v>16045.3661674401</v>
      </c>
      <c r="G58" s="160" t="n">
        <v>78426.6062367069</v>
      </c>
      <c r="H58" s="161" t="n">
        <v>293978109</v>
      </c>
      <c r="I58" s="162" t="n">
        <v>36.9118</v>
      </c>
      <c r="J58" s="163" t="str">
        <f>'Calculation_Assumptions'!$B$28*G58*(F58/G58)^'Calculation_Assumptions'!$B$29</f>
      </c>
      <c r="K58" s="164" t="str">
        <f>'Calculation_Assumptions'!$B$30*F58</f>
      </c>
      <c r="L58" s="165" t="str">
        <f>MAX(J58,K58)</f>
      </c>
      <c r="M58" s="166" t="str">
        <f>IF(F58=0,"",L58/F58)</f>
      </c>
      <c r="N58" s="167" t="str">
        <f>'Calculation_Assumptions'!$B$31*F58</f>
      </c>
      <c r="O58" s="168" t="str">
        <f>'Calculation_Assumptions'!$B$32*F58</f>
      </c>
      <c r="P58" s="169" t="str">
        <f>IF(I58=0,"",L58/I58)</f>
      </c>
      <c r="Q58" s="170" t="str">
        <f>L58*D58</f>
      </c>
      <c r="R58" s="171" t="str">
        <f>P58*E58</f>
      </c>
      <c r="S58" s="172" t="str">
        <f>N58*D58</f>
      </c>
      <c r="T58" s="173" t="str">
        <f>O58*D58</f>
      </c>
      <c r="U58" s="174" t="str">
        <f>1/(1+'Calculation_Assumptions'!$B$25)^(C58-'Calculation_Assumptions'!$B$24)</f>
      </c>
      <c r="V58" s="175" t="str">
        <f>Q58*U58</f>
      </c>
      <c r="W58" s="176" t="str">
        <f>R58*U58</f>
      </c>
      <c r="X58" s="177" t="str">
        <f>S58*U58</f>
      </c>
      <c r="Y58" s="178" t="str">
        <f>T58*U58</f>
      </c>
      <c r="Z58" s="179" t="str">
        <f>H58*F58</f>
      </c>
      <c r="AA58" s="180" t="str">
        <f>Z58*U58</f>
      </c>
      <c r="AB58" s="181" t="str">
        <f>IF(Z58=0,"",Q58/Z58)</f>
      </c>
    </row>
    <row r="59">
      <c r="A59" t="s">
        <v>262</v>
      </c>
      <c r="B59" s="35" t="s">
        <v>264</v>
      </c>
      <c r="C59" t="n">
        <v>2030</v>
      </c>
      <c r="D59" s="157" t="n">
        <v>6379.23962571801</v>
      </c>
      <c r="E59" s="158" t="n">
        <v>108317.953906034</v>
      </c>
      <c r="F59" s="159" t="n">
        <v>16646.1157012267</v>
      </c>
      <c r="G59" s="160" t="n">
        <v>79537.4104246691</v>
      </c>
      <c r="H59" s="161" t="n">
        <v>295876648</v>
      </c>
      <c r="I59" s="162" t="n">
        <v>36.9927</v>
      </c>
      <c r="J59" s="163" t="str">
        <f>'Calculation_Assumptions'!$B$28*G59*(F59/G59)^'Calculation_Assumptions'!$B$29</f>
      </c>
      <c r="K59" s="164" t="str">
        <f>'Calculation_Assumptions'!$B$30*F59</f>
      </c>
      <c r="L59" s="165" t="str">
        <f>MAX(J59,K59)</f>
      </c>
      <c r="M59" s="166" t="str">
        <f>IF(F59=0,"",L59/F59)</f>
      </c>
      <c r="N59" s="167" t="str">
        <f>'Calculation_Assumptions'!$B$31*F59</f>
      </c>
      <c r="O59" s="168" t="str">
        <f>'Calculation_Assumptions'!$B$32*F59</f>
      </c>
      <c r="P59" s="169" t="str">
        <f>IF(I59=0,"",L59/I59)</f>
      </c>
      <c r="Q59" s="170" t="str">
        <f>L59*D59</f>
      </c>
      <c r="R59" s="171" t="str">
        <f>P59*E59</f>
      </c>
      <c r="S59" s="172" t="str">
        <f>N59*D59</f>
      </c>
      <c r="T59" s="173" t="str">
        <f>O59*D59</f>
      </c>
      <c r="U59" s="174" t="str">
        <f>1/(1+'Calculation_Assumptions'!$B$25)^(C59-'Calculation_Assumptions'!$B$24)</f>
      </c>
      <c r="V59" s="175" t="str">
        <f>Q59*U59</f>
      </c>
      <c r="W59" s="176" t="str">
        <f>R59*U59</f>
      </c>
      <c r="X59" s="177" t="str">
        <f>S59*U59</f>
      </c>
      <c r="Y59" s="178" t="str">
        <f>T59*U59</f>
      </c>
      <c r="Z59" s="179" t="str">
        <f>H59*F59</f>
      </c>
      <c r="AA59" s="180" t="str">
        <f>Z59*U59</f>
      </c>
      <c r="AB59" s="181" t="str">
        <f>IF(Z59=0,"",Q59/Z59)</f>
      </c>
    </row>
    <row r="60">
      <c r="A60" t="s">
        <v>262</v>
      </c>
      <c r="B60" s="35" t="s">
        <v>264</v>
      </c>
      <c r="C60" t="n">
        <v>2031</v>
      </c>
      <c r="D60" s="157" t="n">
        <v>6467.82070382636</v>
      </c>
      <c r="E60" s="158" t="n">
        <v>110435.547276714</v>
      </c>
      <c r="F60" s="159" t="n">
        <v>17161.0734660986</v>
      </c>
      <c r="G60" s="160" t="n">
        <v>80420.1567986293</v>
      </c>
      <c r="H60" s="161" t="n">
        <v>297719748</v>
      </c>
      <c r="I60" s="162" t="n">
        <v>37.0895</v>
      </c>
      <c r="J60" s="163" t="str">
        <f>'Calculation_Assumptions'!$B$28*G60*(F60/G60)^'Calculation_Assumptions'!$B$29</f>
      </c>
      <c r="K60" s="164" t="str">
        <f>'Calculation_Assumptions'!$B$30*F60</f>
      </c>
      <c r="L60" s="165" t="str">
        <f>MAX(J60,K60)</f>
      </c>
      <c r="M60" s="166" t="str">
        <f>IF(F60=0,"",L60/F60)</f>
      </c>
      <c r="N60" s="167" t="str">
        <f>'Calculation_Assumptions'!$B$31*F60</f>
      </c>
      <c r="O60" s="168" t="str">
        <f>'Calculation_Assumptions'!$B$32*F60</f>
      </c>
      <c r="P60" s="169" t="str">
        <f>IF(I60=0,"",L60/I60)</f>
      </c>
      <c r="Q60" s="170" t="str">
        <f>L60*D60</f>
      </c>
      <c r="R60" s="171" t="str">
        <f>P60*E60</f>
      </c>
      <c r="S60" s="172" t="str">
        <f>N60*D60</f>
      </c>
      <c r="T60" s="173" t="str">
        <f>O60*D60</f>
      </c>
      <c r="U60" s="174" t="str">
        <f>1/(1+'Calculation_Assumptions'!$B$25)^(C60-'Calculation_Assumptions'!$B$24)</f>
      </c>
      <c r="V60" s="175" t="str">
        <f>Q60*U60</f>
      </c>
      <c r="W60" s="176" t="str">
        <f>R60*U60</f>
      </c>
      <c r="X60" s="177" t="str">
        <f>S60*U60</f>
      </c>
      <c r="Y60" s="178" t="str">
        <f>T60*U60</f>
      </c>
      <c r="Z60" s="179" t="str">
        <f>H60*F60</f>
      </c>
      <c r="AA60" s="180" t="str">
        <f>Z60*U60</f>
      </c>
      <c r="AB60" s="181" t="str">
        <f>IF(Z60=0,"",Q60/Z60)</f>
      </c>
    </row>
    <row r="61">
      <c r="A61" t="s">
        <v>262</v>
      </c>
      <c r="B61" s="35" t="s">
        <v>264</v>
      </c>
      <c r="C61" t="n">
        <v>2032</v>
      </c>
      <c r="D61" s="157" t="n">
        <v>6644.49768777469</v>
      </c>
      <c r="E61" s="158" t="n">
        <v>113533.306332613</v>
      </c>
      <c r="F61" s="159" t="n">
        <v>17691.9617642167</v>
      </c>
      <c r="G61" s="160" t="n">
        <v>81312.7003379309</v>
      </c>
      <c r="H61" s="161" t="n">
        <v>299510661.5</v>
      </c>
      <c r="I61" s="162" t="n">
        <v>37.1904</v>
      </c>
      <c r="J61" s="163" t="str">
        <f>'Calculation_Assumptions'!$B$28*G61*(F61/G61)^'Calculation_Assumptions'!$B$29</f>
      </c>
      <c r="K61" s="164" t="str">
        <f>'Calculation_Assumptions'!$B$30*F61</f>
      </c>
      <c r="L61" s="165" t="str">
        <f>MAX(J61,K61)</f>
      </c>
      <c r="M61" s="166" t="str">
        <f>IF(F61=0,"",L61/F61)</f>
      </c>
      <c r="N61" s="167" t="str">
        <f>'Calculation_Assumptions'!$B$31*F61</f>
      </c>
      <c r="O61" s="168" t="str">
        <f>'Calculation_Assumptions'!$B$32*F61</f>
      </c>
      <c r="P61" s="169" t="str">
        <f>IF(I61=0,"",L61/I61)</f>
      </c>
      <c r="Q61" s="170" t="str">
        <f>L61*D61</f>
      </c>
      <c r="R61" s="171" t="str">
        <f>P61*E61</f>
      </c>
      <c r="S61" s="172" t="str">
        <f>N61*D61</f>
      </c>
      <c r="T61" s="173" t="str">
        <f>O61*D61</f>
      </c>
      <c r="U61" s="174" t="str">
        <f>1/(1+'Calculation_Assumptions'!$B$25)^(C61-'Calculation_Assumptions'!$B$24)</f>
      </c>
      <c r="V61" s="175" t="str">
        <f>Q61*U61</f>
      </c>
      <c r="W61" s="176" t="str">
        <f>R61*U61</f>
      </c>
      <c r="X61" s="177" t="str">
        <f>S61*U61</f>
      </c>
      <c r="Y61" s="178" t="str">
        <f>T61*U61</f>
      </c>
      <c r="Z61" s="179" t="str">
        <f>H61*F61</f>
      </c>
      <c r="AA61" s="180" t="str">
        <f>Z61*U61</f>
      </c>
      <c r="AB61" s="181" t="str">
        <f>IF(Z61=0,"",Q61/Z61)</f>
      </c>
    </row>
    <row r="62">
      <c r="A62" t="s">
        <v>262</v>
      </c>
      <c r="B62" s="35" t="s">
        <v>264</v>
      </c>
      <c r="C62" t="n">
        <v>2033</v>
      </c>
      <c r="D62" s="157" t="n">
        <v>6866.62068120146</v>
      </c>
      <c r="E62" s="158" t="n">
        <v>117129.45745595</v>
      </c>
      <c r="F62" s="159" t="n">
        <v>18239.2734163655</v>
      </c>
      <c r="G62" s="160" t="n">
        <v>82215.1497764654</v>
      </c>
      <c r="H62" s="161" t="n">
        <v>301250984.5</v>
      </c>
      <c r="I62" s="162" t="n">
        <v>37.2975</v>
      </c>
      <c r="J62" s="163" t="str">
        <f>'Calculation_Assumptions'!$B$28*G62*(F62/G62)^'Calculation_Assumptions'!$B$29</f>
      </c>
      <c r="K62" s="164" t="str">
        <f>'Calculation_Assumptions'!$B$30*F62</f>
      </c>
      <c r="L62" s="165" t="str">
        <f>MAX(J62,K62)</f>
      </c>
      <c r="M62" s="166" t="str">
        <f>IF(F62=0,"",L62/F62)</f>
      </c>
      <c r="N62" s="167" t="str">
        <f>'Calculation_Assumptions'!$B$31*F62</f>
      </c>
      <c r="O62" s="168" t="str">
        <f>'Calculation_Assumptions'!$B$32*F62</f>
      </c>
      <c r="P62" s="169" t="str">
        <f>IF(I62=0,"",L62/I62)</f>
      </c>
      <c r="Q62" s="170" t="str">
        <f>L62*D62</f>
      </c>
      <c r="R62" s="171" t="str">
        <f>P62*E62</f>
      </c>
      <c r="S62" s="172" t="str">
        <f>N62*D62</f>
      </c>
      <c r="T62" s="173" t="str">
        <f>O62*D62</f>
      </c>
      <c r="U62" s="174" t="str">
        <f>1/(1+'Calculation_Assumptions'!$B$25)^(C62-'Calculation_Assumptions'!$B$24)</f>
      </c>
      <c r="V62" s="175" t="str">
        <f>Q62*U62</f>
      </c>
      <c r="W62" s="176" t="str">
        <f>R62*U62</f>
      </c>
      <c r="X62" s="177" t="str">
        <f>S62*U62</f>
      </c>
      <c r="Y62" s="178" t="str">
        <f>T62*U62</f>
      </c>
      <c r="Z62" s="179" t="str">
        <f>H62*F62</f>
      </c>
      <c r="AA62" s="180" t="str">
        <f>Z62*U62</f>
      </c>
      <c r="AB62" s="181" t="str">
        <f>IF(Z62=0,"",Q62/Z62)</f>
      </c>
    </row>
    <row r="63">
      <c r="A63" t="s">
        <v>262</v>
      </c>
      <c r="B63" s="35" t="s">
        <v>264</v>
      </c>
      <c r="C63" t="n">
        <v>2034</v>
      </c>
      <c r="D63" s="157" t="n">
        <v>6787.70824222888</v>
      </c>
      <c r="E63" s="158" t="n">
        <v>116747.547822732</v>
      </c>
      <c r="F63" s="159" t="n">
        <v>18803.5164890413</v>
      </c>
      <c r="G63" s="160" t="n">
        <v>83127.6150549084</v>
      </c>
      <c r="H63" s="161" t="n">
        <v>302938573</v>
      </c>
      <c r="I63" s="162" t="n">
        <v>37.4064</v>
      </c>
      <c r="J63" s="163" t="str">
        <f>'Calculation_Assumptions'!$B$28*G63*(F63/G63)^'Calculation_Assumptions'!$B$29</f>
      </c>
      <c r="K63" s="164" t="str">
        <f>'Calculation_Assumptions'!$B$30*F63</f>
      </c>
      <c r="L63" s="165" t="str">
        <f>MAX(J63,K63)</f>
      </c>
      <c r="M63" s="166" t="str">
        <f>IF(F63=0,"",L63/F63)</f>
      </c>
      <c r="N63" s="167" t="str">
        <f>'Calculation_Assumptions'!$B$31*F63</f>
      </c>
      <c r="O63" s="168" t="str">
        <f>'Calculation_Assumptions'!$B$32*F63</f>
      </c>
      <c r="P63" s="169" t="str">
        <f>IF(I63=0,"",L63/I63)</f>
      </c>
      <c r="Q63" s="170" t="str">
        <f>L63*D63</f>
      </c>
      <c r="R63" s="171" t="str">
        <f>P63*E63</f>
      </c>
      <c r="S63" s="172" t="str">
        <f>N63*D63</f>
      </c>
      <c r="T63" s="173" t="str">
        <f>O63*D63</f>
      </c>
      <c r="U63" s="174" t="str">
        <f>1/(1+'Calculation_Assumptions'!$B$25)^(C63-'Calculation_Assumptions'!$B$24)</f>
      </c>
      <c r="V63" s="175" t="str">
        <f>Q63*U63</f>
      </c>
      <c r="W63" s="176" t="str">
        <f>R63*U63</f>
      </c>
      <c r="X63" s="177" t="str">
        <f>S63*U63</f>
      </c>
      <c r="Y63" s="178" t="str">
        <f>T63*U63</f>
      </c>
      <c r="Z63" s="179" t="str">
        <f>H63*F63</f>
      </c>
      <c r="AA63" s="180" t="str">
        <f>Z63*U63</f>
      </c>
      <c r="AB63" s="181" t="str">
        <f>IF(Z63=0,"",Q63/Z63)</f>
      </c>
    </row>
    <row r="64">
      <c r="A64" t="s">
        <v>262</v>
      </c>
      <c r="B64" s="35" t="s">
        <v>264</v>
      </c>
      <c r="C64" t="n">
        <v>2035</v>
      </c>
      <c r="D64" s="157" t="n">
        <v>6752.44914040739</v>
      </c>
      <c r="E64" s="158" t="n">
        <v>116887.048116349</v>
      </c>
      <c r="F64" s="159" t="n">
        <v>19385.2147660882</v>
      </c>
      <c r="G64" s="160" t="n">
        <v>84050.2073341125</v>
      </c>
      <c r="H64" s="161" t="n">
        <v>304566622</v>
      </c>
      <c r="I64" s="162" t="n">
        <v>37.5179</v>
      </c>
      <c r="J64" s="163" t="str">
        <f>'Calculation_Assumptions'!$B$28*G64*(F64/G64)^'Calculation_Assumptions'!$B$29</f>
      </c>
      <c r="K64" s="164" t="str">
        <f>'Calculation_Assumptions'!$B$30*F64</f>
      </c>
      <c r="L64" s="165" t="str">
        <f>MAX(J64,K64)</f>
      </c>
      <c r="M64" s="166" t="str">
        <f>IF(F64=0,"",L64/F64)</f>
      </c>
      <c r="N64" s="167" t="str">
        <f>'Calculation_Assumptions'!$B$31*F64</f>
      </c>
      <c r="O64" s="168" t="str">
        <f>'Calculation_Assumptions'!$B$32*F64</f>
      </c>
      <c r="P64" s="169" t="str">
        <f>IF(I64=0,"",L64/I64)</f>
      </c>
      <c r="Q64" s="170" t="str">
        <f>L64*D64</f>
      </c>
      <c r="R64" s="171" t="str">
        <f>P64*E64</f>
      </c>
      <c r="S64" s="172" t="str">
        <f>N64*D64</f>
      </c>
      <c r="T64" s="173" t="str">
        <f>O64*D64</f>
      </c>
      <c r="U64" s="174" t="str">
        <f>1/(1+'Calculation_Assumptions'!$B$25)^(C64-'Calculation_Assumptions'!$B$24)</f>
      </c>
      <c r="V64" s="175" t="str">
        <f>Q64*U64</f>
      </c>
      <c r="W64" s="176" t="str">
        <f>R64*U64</f>
      </c>
      <c r="X64" s="177" t="str">
        <f>S64*U64</f>
      </c>
      <c r="Y64" s="178" t="str">
        <f>T64*U64</f>
      </c>
      <c r="Z64" s="179" t="str">
        <f>H64*F64</f>
      </c>
      <c r="AA64" s="180" t="str">
        <f>Z64*U64</f>
      </c>
      <c r="AB64" s="181" t="str">
        <f>IF(Z64=0,"",Q64/Z64)</f>
      </c>
    </row>
    <row r="65">
      <c r="A65" t="s">
        <v>262</v>
      </c>
      <c r="B65" s="35" t="s">
        <v>264</v>
      </c>
      <c r="C65" t="n">
        <v>2036</v>
      </c>
      <c r="D65" s="157" t="n">
        <v>7939.02859993701</v>
      </c>
      <c r="E65" s="158" t="n">
        <v>131653.764059325</v>
      </c>
      <c r="F65" s="159" t="n">
        <v>19931.358148438</v>
      </c>
      <c r="G65" s="160" t="n">
        <v>84847.8568068913</v>
      </c>
      <c r="H65" s="161" t="n">
        <v>306135098</v>
      </c>
      <c r="I65" s="162" t="n">
        <v>37.6267</v>
      </c>
      <c r="J65" s="163" t="str">
        <f>'Calculation_Assumptions'!$B$28*G65*(F65/G65)^'Calculation_Assumptions'!$B$29</f>
      </c>
      <c r="K65" s="164" t="str">
        <f>'Calculation_Assumptions'!$B$30*F65</f>
      </c>
      <c r="L65" s="165" t="str">
        <f>MAX(J65,K65)</f>
      </c>
      <c r="M65" s="166" t="str">
        <f>IF(F65=0,"",L65/F65)</f>
      </c>
      <c r="N65" s="167" t="str">
        <f>'Calculation_Assumptions'!$B$31*F65</f>
      </c>
      <c r="O65" s="168" t="str">
        <f>'Calculation_Assumptions'!$B$32*F65</f>
      </c>
      <c r="P65" s="169" t="str">
        <f>IF(I65=0,"",L65/I65)</f>
      </c>
      <c r="Q65" s="170" t="str">
        <f>L65*D65</f>
      </c>
      <c r="R65" s="171" t="str">
        <f>P65*E65</f>
      </c>
      <c r="S65" s="172" t="str">
        <f>N65*D65</f>
      </c>
      <c r="T65" s="173" t="str">
        <f>O65*D65</f>
      </c>
      <c r="U65" s="174" t="str">
        <f>1/(1+'Calculation_Assumptions'!$B$25)^(C65-'Calculation_Assumptions'!$B$24)</f>
      </c>
      <c r="V65" s="175" t="str">
        <f>Q65*U65</f>
      </c>
      <c r="W65" s="176" t="str">
        <f>R65*U65</f>
      </c>
      <c r="X65" s="177" t="str">
        <f>S65*U65</f>
      </c>
      <c r="Y65" s="178" t="str">
        <f>T65*U65</f>
      </c>
      <c r="Z65" s="179" t="str">
        <f>H65*F65</f>
      </c>
      <c r="AA65" s="180" t="str">
        <f>Z65*U65</f>
      </c>
      <c r="AB65" s="181" t="str">
        <f>IF(Z65=0,"",Q65/Z65)</f>
      </c>
    </row>
    <row r="66">
      <c r="A66" t="s">
        <v>262</v>
      </c>
      <c r="B66" s="35" t="s">
        <v>264</v>
      </c>
      <c r="C66" t="n">
        <v>2037</v>
      </c>
      <c r="D66" s="157" t="n">
        <v>9073.31629133501</v>
      </c>
      <c r="E66" s="158" t="n">
        <v>145968.74373113</v>
      </c>
      <c r="F66" s="159" t="n">
        <v>20492.8881332929</v>
      </c>
      <c r="G66" s="160" t="n">
        <v>85653.076096588</v>
      </c>
      <c r="H66" s="161" t="n">
        <v>307646417.5</v>
      </c>
      <c r="I66" s="162" t="n">
        <v>37.7369</v>
      </c>
      <c r="J66" s="163" t="str">
        <f>'Calculation_Assumptions'!$B$28*G66*(F66/G66)^'Calculation_Assumptions'!$B$29</f>
      </c>
      <c r="K66" s="164" t="str">
        <f>'Calculation_Assumptions'!$B$30*F66</f>
      </c>
      <c r="L66" s="165" t="str">
        <f>MAX(J66,K66)</f>
      </c>
      <c r="M66" s="166" t="str">
        <f>IF(F66=0,"",L66/F66)</f>
      </c>
      <c r="N66" s="167" t="str">
        <f>'Calculation_Assumptions'!$B$31*F66</f>
      </c>
      <c r="O66" s="168" t="str">
        <f>'Calculation_Assumptions'!$B$32*F66</f>
      </c>
      <c r="P66" s="169" t="str">
        <f>IF(I66=0,"",L66/I66)</f>
      </c>
      <c r="Q66" s="170" t="str">
        <f>L66*D66</f>
      </c>
      <c r="R66" s="171" t="str">
        <f>P66*E66</f>
      </c>
      <c r="S66" s="172" t="str">
        <f>N66*D66</f>
      </c>
      <c r="T66" s="173" t="str">
        <f>O66*D66</f>
      </c>
      <c r="U66" s="174" t="str">
        <f>1/(1+'Calculation_Assumptions'!$B$25)^(C66-'Calculation_Assumptions'!$B$24)</f>
      </c>
      <c r="V66" s="175" t="str">
        <f>Q66*U66</f>
      </c>
      <c r="W66" s="176" t="str">
        <f>R66*U66</f>
      </c>
      <c r="X66" s="177" t="str">
        <f>S66*U66</f>
      </c>
      <c r="Y66" s="178" t="str">
        <f>T66*U66</f>
      </c>
      <c r="Z66" s="179" t="str">
        <f>H66*F66</f>
      </c>
      <c r="AA66" s="180" t="str">
        <f>Z66*U66</f>
      </c>
      <c r="AB66" s="181" t="str">
        <f>IF(Z66=0,"",Q66/Z66)</f>
      </c>
    </row>
    <row r="67">
      <c r="A67" t="s">
        <v>262</v>
      </c>
      <c r="B67" s="35" t="s">
        <v>264</v>
      </c>
      <c r="C67" t="n">
        <v>2038</v>
      </c>
      <c r="D67" s="157" t="n">
        <v>10194.0351410047</v>
      </c>
      <c r="E67" s="158" t="n">
        <v>160137.545509264</v>
      </c>
      <c r="F67" s="159" t="n">
        <v>21070.2382103635</v>
      </c>
      <c r="G67" s="160" t="n">
        <v>86465.9370419363</v>
      </c>
      <c r="H67" s="161" t="n">
        <v>309096448</v>
      </c>
      <c r="I67" s="162" t="n">
        <v>37.8496</v>
      </c>
      <c r="J67" s="163" t="str">
        <f>'Calculation_Assumptions'!$B$28*G67*(F67/G67)^'Calculation_Assumptions'!$B$29</f>
      </c>
      <c r="K67" s="164" t="str">
        <f>'Calculation_Assumptions'!$B$30*F67</f>
      </c>
      <c r="L67" s="165" t="str">
        <f>MAX(J67,K67)</f>
      </c>
      <c r="M67" s="166" t="str">
        <f>IF(F67=0,"",L67/F67)</f>
      </c>
      <c r="N67" s="167" t="str">
        <f>'Calculation_Assumptions'!$B$31*F67</f>
      </c>
      <c r="O67" s="168" t="str">
        <f>'Calculation_Assumptions'!$B$32*F67</f>
      </c>
      <c r="P67" s="169" t="str">
        <f>IF(I67=0,"",L67/I67)</f>
      </c>
      <c r="Q67" s="170" t="str">
        <f>L67*D67</f>
      </c>
      <c r="R67" s="171" t="str">
        <f>P67*E67</f>
      </c>
      <c r="S67" s="172" t="str">
        <f>N67*D67</f>
      </c>
      <c r="T67" s="173" t="str">
        <f>O67*D67</f>
      </c>
      <c r="U67" s="174" t="str">
        <f>1/(1+'Calculation_Assumptions'!$B$25)^(C67-'Calculation_Assumptions'!$B$24)</f>
      </c>
      <c r="V67" s="175" t="str">
        <f>Q67*U67</f>
      </c>
      <c r="W67" s="176" t="str">
        <f>R67*U67</f>
      </c>
      <c r="X67" s="177" t="str">
        <f>S67*U67</f>
      </c>
      <c r="Y67" s="178" t="str">
        <f>T67*U67</f>
      </c>
      <c r="Z67" s="179" t="str">
        <f>H67*F67</f>
      </c>
      <c r="AA67" s="180" t="str">
        <f>Z67*U67</f>
      </c>
      <c r="AB67" s="181" t="str">
        <f>IF(Z67=0,"",Q67/Z67)</f>
      </c>
    </row>
    <row r="68">
      <c r="A68" t="s">
        <v>262</v>
      </c>
      <c r="B68" s="35" t="s">
        <v>264</v>
      </c>
      <c r="C68" t="n">
        <v>2039</v>
      </c>
      <c r="D68" s="157" t="n">
        <v>11325.3443633776</v>
      </c>
      <c r="E68" s="158" t="n">
        <v>174493.647840369</v>
      </c>
      <c r="F68" s="159" t="n">
        <v>21663.8540821491</v>
      </c>
      <c r="G68" s="160" t="n">
        <v>87286.5121634309</v>
      </c>
      <c r="H68" s="161" t="n">
        <v>310481120</v>
      </c>
      <c r="I68" s="162" t="n">
        <v>37.9582</v>
      </c>
      <c r="J68" s="163" t="str">
        <f>'Calculation_Assumptions'!$B$28*G68*(F68/G68)^'Calculation_Assumptions'!$B$29</f>
      </c>
      <c r="K68" s="164" t="str">
        <f>'Calculation_Assumptions'!$B$30*F68</f>
      </c>
      <c r="L68" s="165" t="str">
        <f>MAX(J68,K68)</f>
      </c>
      <c r="M68" s="166" t="str">
        <f>IF(F68=0,"",L68/F68)</f>
      </c>
      <c r="N68" s="167" t="str">
        <f>'Calculation_Assumptions'!$B$31*F68</f>
      </c>
      <c r="O68" s="168" t="str">
        <f>'Calculation_Assumptions'!$B$32*F68</f>
      </c>
      <c r="P68" s="169" t="str">
        <f>IF(I68=0,"",L68/I68)</f>
      </c>
      <c r="Q68" s="170" t="str">
        <f>L68*D68</f>
      </c>
      <c r="R68" s="171" t="str">
        <f>P68*E68</f>
      </c>
      <c r="S68" s="172" t="str">
        <f>N68*D68</f>
      </c>
      <c r="T68" s="173" t="str">
        <f>O68*D68</f>
      </c>
      <c r="U68" s="174" t="str">
        <f>1/(1+'Calculation_Assumptions'!$B$25)^(C68-'Calculation_Assumptions'!$B$24)</f>
      </c>
      <c r="V68" s="175" t="str">
        <f>Q68*U68</f>
      </c>
      <c r="W68" s="176" t="str">
        <f>R68*U68</f>
      </c>
      <c r="X68" s="177" t="str">
        <f>S68*U68</f>
      </c>
      <c r="Y68" s="178" t="str">
        <f>T68*U68</f>
      </c>
      <c r="Z68" s="179" t="str">
        <f>H68*F68</f>
      </c>
      <c r="AA68" s="180" t="str">
        <f>Z68*U68</f>
      </c>
      <c r="AB68" s="181" t="str">
        <f>IF(Z68=0,"",Q68/Z68)</f>
      </c>
    </row>
    <row r="69">
      <c r="A69" t="s">
        <v>262</v>
      </c>
      <c r="B69" s="35" t="s">
        <v>264</v>
      </c>
      <c r="C69" t="n">
        <v>2040</v>
      </c>
      <c r="D69" s="157" t="n">
        <v>12464.7383712755</v>
      </c>
      <c r="E69" s="158" t="n">
        <v>188958.826574438</v>
      </c>
      <c r="F69" s="159" t="n">
        <v>22274.1940080113</v>
      </c>
      <c r="G69" s="160" t="n">
        <v>88114.8746697968</v>
      </c>
      <c r="H69" s="161" t="n">
        <v>311797395.5</v>
      </c>
      <c r="I69" s="162" t="n">
        <v>38.0715</v>
      </c>
      <c r="J69" s="163" t="str">
        <f>'Calculation_Assumptions'!$B$28*G69*(F69/G69)^'Calculation_Assumptions'!$B$29</f>
      </c>
      <c r="K69" s="164" t="str">
        <f>'Calculation_Assumptions'!$B$30*F69</f>
      </c>
      <c r="L69" s="165" t="str">
        <f>MAX(J69,K69)</f>
      </c>
      <c r="M69" s="166" t="str">
        <f>IF(F69=0,"",L69/F69)</f>
      </c>
      <c r="N69" s="167" t="str">
        <f>'Calculation_Assumptions'!$B$31*F69</f>
      </c>
      <c r="O69" s="168" t="str">
        <f>'Calculation_Assumptions'!$B$32*F69</f>
      </c>
      <c r="P69" s="169" t="str">
        <f>IF(I69=0,"",L69/I69)</f>
      </c>
      <c r="Q69" s="170" t="str">
        <f>L69*D69</f>
      </c>
      <c r="R69" s="171" t="str">
        <f>P69*E69</f>
      </c>
      <c r="S69" s="172" t="str">
        <f>N69*D69</f>
      </c>
      <c r="T69" s="173" t="str">
        <f>O69*D69</f>
      </c>
      <c r="U69" s="174" t="str">
        <f>1/(1+'Calculation_Assumptions'!$B$25)^(C69-'Calculation_Assumptions'!$B$24)</f>
      </c>
      <c r="V69" s="175" t="str">
        <f>Q69*U69</f>
      </c>
      <c r="W69" s="176" t="str">
        <f>R69*U69</f>
      </c>
      <c r="X69" s="177" t="str">
        <f>S69*U69</f>
      </c>
      <c r="Y69" s="178" t="str">
        <f>T69*U69</f>
      </c>
      <c r="Z69" s="179" t="str">
        <f>H69*F69</f>
      </c>
      <c r="AA69" s="180" t="str">
        <f>Z69*U69</f>
      </c>
      <c r="AB69" s="181" t="str">
        <f>IF(Z69=0,"",Q69/Z69)</f>
      </c>
    </row>
    <row r="70">
      <c r="A70" t="s">
        <v>262</v>
      </c>
      <c r="B70" s="35" t="s">
        <v>264</v>
      </c>
      <c r="C70" t="n">
        <v>2041</v>
      </c>
      <c r="D70" s="157" t="n">
        <v>12271.0901938993</v>
      </c>
      <c r="E70" s="158" t="n">
        <v>187750.269920863</v>
      </c>
      <c r="F70" s="159" t="n">
        <v>22835.7817990268</v>
      </c>
      <c r="G70" s="160" t="n">
        <v>88881.5613597912</v>
      </c>
      <c r="H70" s="161" t="n">
        <v>313041661</v>
      </c>
      <c r="I70" s="162" t="n">
        <v>37.2583</v>
      </c>
      <c r="J70" s="163" t="str">
        <f>'Calculation_Assumptions'!$B$28*G70*(F70/G70)^'Calculation_Assumptions'!$B$29</f>
      </c>
      <c r="K70" s="164" t="str">
        <f>'Calculation_Assumptions'!$B$30*F70</f>
      </c>
      <c r="L70" s="165" t="str">
        <f>MAX(J70,K70)</f>
      </c>
      <c r="M70" s="166" t="str">
        <f>IF(F70=0,"",L70/F70)</f>
      </c>
      <c r="N70" s="167" t="str">
        <f>'Calculation_Assumptions'!$B$31*F70</f>
      </c>
      <c r="O70" s="168" t="str">
        <f>'Calculation_Assumptions'!$B$32*F70</f>
      </c>
      <c r="P70" s="169" t="str">
        <f>IF(I70=0,"",L70/I70)</f>
      </c>
      <c r="Q70" s="170" t="str">
        <f>L70*D70</f>
      </c>
      <c r="R70" s="171" t="str">
        <f>P70*E70</f>
      </c>
      <c r="S70" s="172" t="str">
        <f>N70*D70</f>
      </c>
      <c r="T70" s="173" t="str">
        <f>O70*D70</f>
      </c>
      <c r="U70" s="174" t="str">
        <f>1/(1+'Calculation_Assumptions'!$B$25)^(C70-'Calculation_Assumptions'!$B$24)</f>
      </c>
      <c r="V70" s="175" t="str">
        <f>Q70*U70</f>
      </c>
      <c r="W70" s="176" t="str">
        <f>R70*U70</f>
      </c>
      <c r="X70" s="177" t="str">
        <f>S70*U70</f>
      </c>
      <c r="Y70" s="178" t="str">
        <f>T70*U70</f>
      </c>
      <c r="Z70" s="179" t="str">
        <f>H70*F70</f>
      </c>
      <c r="AA70" s="180" t="str">
        <f>Z70*U70</f>
      </c>
      <c r="AB70" s="181" t="str">
        <f>IF(Z70=0,"",Q70/Z70)</f>
      </c>
    </row>
    <row r="71">
      <c r="A71" t="s">
        <v>262</v>
      </c>
      <c r="B71" s="35" t="s">
        <v>264</v>
      </c>
      <c r="C71" t="n">
        <v>2042</v>
      </c>
      <c r="D71" s="157" t="n">
        <v>12180.8542827319</v>
      </c>
      <c r="E71" s="158" t="n">
        <v>187596.003930046</v>
      </c>
      <c r="F71" s="159" t="n">
        <v>23411.5286140188</v>
      </c>
      <c r="G71" s="160" t="n">
        <v>89654.918983414</v>
      </c>
      <c r="H71" s="161" t="n">
        <v>314211282.5</v>
      </c>
      <c r="I71" s="162" t="n">
        <v>37.3732</v>
      </c>
      <c r="J71" s="163" t="str">
        <f>'Calculation_Assumptions'!$B$28*G71*(F71/G71)^'Calculation_Assumptions'!$B$29</f>
      </c>
      <c r="K71" s="164" t="str">
        <f>'Calculation_Assumptions'!$B$30*F71</f>
      </c>
      <c r="L71" s="165" t="str">
        <f>MAX(J71,K71)</f>
      </c>
      <c r="M71" s="166" t="str">
        <f>IF(F71=0,"",L71/F71)</f>
      </c>
      <c r="N71" s="167" t="str">
        <f>'Calculation_Assumptions'!$B$31*F71</f>
      </c>
      <c r="O71" s="168" t="str">
        <f>'Calculation_Assumptions'!$B$32*F71</f>
      </c>
      <c r="P71" s="169" t="str">
        <f>IF(I71=0,"",L71/I71)</f>
      </c>
      <c r="Q71" s="170" t="str">
        <f>L71*D71</f>
      </c>
      <c r="R71" s="171" t="str">
        <f>P71*E71</f>
      </c>
      <c r="S71" s="172" t="str">
        <f>N71*D71</f>
      </c>
      <c r="T71" s="173" t="str">
        <f>O71*D71</f>
      </c>
      <c r="U71" s="174" t="str">
        <f>1/(1+'Calculation_Assumptions'!$B$25)^(C71-'Calculation_Assumptions'!$B$24)</f>
      </c>
      <c r="V71" s="175" t="str">
        <f>Q71*U71</f>
      </c>
      <c r="W71" s="176" t="str">
        <f>R71*U71</f>
      </c>
      <c r="X71" s="177" t="str">
        <f>S71*U71</f>
      </c>
      <c r="Y71" s="178" t="str">
        <f>T71*U71</f>
      </c>
      <c r="Z71" s="179" t="str">
        <f>H71*F71</f>
      </c>
      <c r="AA71" s="180" t="str">
        <f>Z71*U71</f>
      </c>
      <c r="AB71" s="181" t="str">
        <f>IF(Z71=0,"",Q71/Z71)</f>
      </c>
    </row>
    <row r="72">
      <c r="A72" t="s">
        <v>262</v>
      </c>
      <c r="B72" s="35" t="s">
        <v>264</v>
      </c>
      <c r="C72" t="n">
        <v>2043</v>
      </c>
      <c r="D72" s="157" t="n">
        <v>12138.4868322608</v>
      </c>
      <c r="E72" s="158" t="n">
        <v>187911.281885627</v>
      </c>
      <c r="F72" s="159" t="n">
        <v>24001.7914371726</v>
      </c>
      <c r="G72" s="160" t="n">
        <v>90435.0055843959</v>
      </c>
      <c r="H72" s="161" t="n">
        <v>315304312</v>
      </c>
      <c r="I72" s="162" t="n">
        <v>37.4911</v>
      </c>
      <c r="J72" s="163" t="str">
        <f>'Calculation_Assumptions'!$B$28*G72*(F72/G72)^'Calculation_Assumptions'!$B$29</f>
      </c>
      <c r="K72" s="164" t="str">
        <f>'Calculation_Assumptions'!$B$30*F72</f>
      </c>
      <c r="L72" s="165" t="str">
        <f>MAX(J72,K72)</f>
      </c>
      <c r="M72" s="166" t="str">
        <f>IF(F72=0,"",L72/F72)</f>
      </c>
      <c r="N72" s="167" t="str">
        <f>'Calculation_Assumptions'!$B$31*F72</f>
      </c>
      <c r="O72" s="168" t="str">
        <f>'Calculation_Assumptions'!$B$32*F72</f>
      </c>
      <c r="P72" s="169" t="str">
        <f>IF(I72=0,"",L72/I72)</f>
      </c>
      <c r="Q72" s="170" t="str">
        <f>L72*D72</f>
      </c>
      <c r="R72" s="171" t="str">
        <f>P72*E72</f>
      </c>
      <c r="S72" s="172" t="str">
        <f>N72*D72</f>
      </c>
      <c r="T72" s="173" t="str">
        <f>O72*D72</f>
      </c>
      <c r="U72" s="174" t="str">
        <f>1/(1+'Calculation_Assumptions'!$B$25)^(C72-'Calculation_Assumptions'!$B$24)</f>
      </c>
      <c r="V72" s="175" t="str">
        <f>Q72*U72</f>
      </c>
      <c r="W72" s="176" t="str">
        <f>R72*U72</f>
      </c>
      <c r="X72" s="177" t="str">
        <f>S72*U72</f>
      </c>
      <c r="Y72" s="178" t="str">
        <f>T72*U72</f>
      </c>
      <c r="Z72" s="179" t="str">
        <f>H72*F72</f>
      </c>
      <c r="AA72" s="180" t="str">
        <f>Z72*U72</f>
      </c>
      <c r="AB72" s="181" t="str">
        <f>IF(Z72=0,"",Q72/Z72)</f>
      </c>
    </row>
    <row r="73">
      <c r="A73" t="s">
        <v>262</v>
      </c>
      <c r="B73" s="35" t="s">
        <v>264</v>
      </c>
      <c r="C73" t="n">
        <v>2044</v>
      </c>
      <c r="D73" s="157" t="n">
        <v>12128.4082349932</v>
      </c>
      <c r="E73" s="158" t="n">
        <v>188602.458164264</v>
      </c>
      <c r="F73" s="159" t="n">
        <v>24606.9362531317</v>
      </c>
      <c r="G73" s="160" t="n">
        <v>91221.8797115048</v>
      </c>
      <c r="H73" s="161" t="n">
        <v>316318415.5</v>
      </c>
      <c r="I73" s="162" t="n">
        <v>37.6099</v>
      </c>
      <c r="J73" s="163" t="str">
        <f>'Calculation_Assumptions'!$B$28*G73*(F73/G73)^'Calculation_Assumptions'!$B$29</f>
      </c>
      <c r="K73" s="164" t="str">
        <f>'Calculation_Assumptions'!$B$30*F73</f>
      </c>
      <c r="L73" s="165" t="str">
        <f>MAX(J73,K73)</f>
      </c>
      <c r="M73" s="166" t="str">
        <f>IF(F73=0,"",L73/F73)</f>
      </c>
      <c r="N73" s="167" t="str">
        <f>'Calculation_Assumptions'!$B$31*F73</f>
      </c>
      <c r="O73" s="168" t="str">
        <f>'Calculation_Assumptions'!$B$32*F73</f>
      </c>
      <c r="P73" s="169" t="str">
        <f>IF(I73=0,"",L73/I73)</f>
      </c>
      <c r="Q73" s="170" t="str">
        <f>L73*D73</f>
      </c>
      <c r="R73" s="171" t="str">
        <f>P73*E73</f>
      </c>
      <c r="S73" s="172" t="str">
        <f>N73*D73</f>
      </c>
      <c r="T73" s="173" t="str">
        <f>O73*D73</f>
      </c>
      <c r="U73" s="174" t="str">
        <f>1/(1+'Calculation_Assumptions'!$B$25)^(C73-'Calculation_Assumptions'!$B$24)</f>
      </c>
      <c r="V73" s="175" t="str">
        <f>Q73*U73</f>
      </c>
      <c r="W73" s="176" t="str">
        <f>R73*U73</f>
      </c>
      <c r="X73" s="177" t="str">
        <f>S73*U73</f>
      </c>
      <c r="Y73" s="178" t="str">
        <f>T73*U73</f>
      </c>
      <c r="Z73" s="179" t="str">
        <f>H73*F73</f>
      </c>
      <c r="AA73" s="180" t="str">
        <f>Z73*U73</f>
      </c>
      <c r="AB73" s="181" t="str">
        <f>IF(Z73=0,"",Q73/Z73)</f>
      </c>
    </row>
    <row r="74">
      <c r="A74" t="s">
        <v>262</v>
      </c>
      <c r="B74" s="35" t="s">
        <v>264</v>
      </c>
      <c r="C74" t="n">
        <v>2045</v>
      </c>
      <c r="D74" s="157" t="n">
        <v>12141.0262506552</v>
      </c>
      <c r="E74" s="158" t="n">
        <v>189512.274929759</v>
      </c>
      <c r="F74" s="159" t="n">
        <v>25227.3382739225</v>
      </c>
      <c r="G74" s="160" t="n">
        <v>92015.6004229417</v>
      </c>
      <c r="H74" s="161" t="n">
        <v>317249613</v>
      </c>
      <c r="I74" s="162" t="n">
        <v>37.7245</v>
      </c>
      <c r="J74" s="163" t="str">
        <f>'Calculation_Assumptions'!$B$28*G74*(F74/G74)^'Calculation_Assumptions'!$B$29</f>
      </c>
      <c r="K74" s="164" t="str">
        <f>'Calculation_Assumptions'!$B$30*F74</f>
      </c>
      <c r="L74" s="165" t="str">
        <f>MAX(J74,K74)</f>
      </c>
      <c r="M74" s="166" t="str">
        <f>IF(F74=0,"",L74/F74)</f>
      </c>
      <c r="N74" s="167" t="str">
        <f>'Calculation_Assumptions'!$B$31*F74</f>
      </c>
      <c r="O74" s="168" t="str">
        <f>'Calculation_Assumptions'!$B$32*F74</f>
      </c>
      <c r="P74" s="169" t="str">
        <f>IF(I74=0,"",L74/I74)</f>
      </c>
      <c r="Q74" s="170" t="str">
        <f>L74*D74</f>
      </c>
      <c r="R74" s="171" t="str">
        <f>P74*E74</f>
      </c>
      <c r="S74" s="172" t="str">
        <f>N74*D74</f>
      </c>
      <c r="T74" s="173" t="str">
        <f>O74*D74</f>
      </c>
      <c r="U74" s="174" t="str">
        <f>1/(1+'Calculation_Assumptions'!$B$25)^(C74-'Calculation_Assumptions'!$B$24)</f>
      </c>
      <c r="V74" s="175" t="str">
        <f>Q74*U74</f>
      </c>
      <c r="W74" s="176" t="str">
        <f>R74*U74</f>
      </c>
      <c r="X74" s="177" t="str">
        <f>S74*U74</f>
      </c>
      <c r="Y74" s="178" t="str">
        <f>T74*U74</f>
      </c>
      <c r="Z74" s="179" t="str">
        <f>H74*F74</f>
      </c>
      <c r="AA74" s="180" t="str">
        <f>Z74*U74</f>
      </c>
      <c r="AB74" s="181" t="str">
        <f>IF(Z74=0,"",Q74/Z74)</f>
      </c>
    </row>
    <row r="75">
      <c r="A75" t="s">
        <v>262</v>
      </c>
      <c r="B75" s="35" t="s">
        <v>264</v>
      </c>
      <c r="C75" t="n">
        <v>2046</v>
      </c>
      <c r="D75" s="157" t="n">
        <v>12168.5966565399</v>
      </c>
      <c r="E75" s="158" t="n">
        <v>190538.220759855</v>
      </c>
      <c r="F75" s="159" t="n">
        <v>25797.7023007031</v>
      </c>
      <c r="G75" s="160" t="n">
        <v>92766.6954417819</v>
      </c>
      <c r="H75" s="161" t="n">
        <v>318096573.5</v>
      </c>
      <c r="I75" s="162" t="n">
        <v>37.8362</v>
      </c>
      <c r="J75" s="163" t="str">
        <f>'Calculation_Assumptions'!$B$28*G75*(F75/G75)^'Calculation_Assumptions'!$B$29</f>
      </c>
      <c r="K75" s="164" t="str">
        <f>'Calculation_Assumptions'!$B$30*F75</f>
      </c>
      <c r="L75" s="165" t="str">
        <f>MAX(J75,K75)</f>
      </c>
      <c r="M75" s="166" t="str">
        <f>IF(F75=0,"",L75/F75)</f>
      </c>
      <c r="N75" s="167" t="str">
        <f>'Calculation_Assumptions'!$B$31*F75</f>
      </c>
      <c r="O75" s="168" t="str">
        <f>'Calculation_Assumptions'!$B$32*F75</f>
      </c>
      <c r="P75" s="169" t="str">
        <f>IF(I75=0,"",L75/I75)</f>
      </c>
      <c r="Q75" s="170" t="str">
        <f>L75*D75</f>
      </c>
      <c r="R75" s="171" t="str">
        <f>P75*E75</f>
      </c>
      <c r="S75" s="172" t="str">
        <f>N75*D75</f>
      </c>
      <c r="T75" s="173" t="str">
        <f>O75*D75</f>
      </c>
      <c r="U75" s="174" t="str">
        <f>1/(1+'Calculation_Assumptions'!$B$25)^(C75-'Calculation_Assumptions'!$B$24)</f>
      </c>
      <c r="V75" s="175" t="str">
        <f>Q75*U75</f>
      </c>
      <c r="W75" s="176" t="str">
        <f>R75*U75</f>
      </c>
      <c r="X75" s="177" t="str">
        <f>S75*U75</f>
      </c>
      <c r="Y75" s="178" t="str">
        <f>T75*U75</f>
      </c>
      <c r="Z75" s="179" t="str">
        <f>H75*F75</f>
      </c>
      <c r="AA75" s="180" t="str">
        <f>Z75*U75</f>
      </c>
      <c r="AB75" s="181" t="str">
        <f>IF(Z75=0,"",Q75/Z75)</f>
      </c>
    </row>
    <row r="76">
      <c r="A76" t="s">
        <v>262</v>
      </c>
      <c r="B76" s="35" t="s">
        <v>264</v>
      </c>
      <c r="C76" t="n">
        <v>2047</v>
      </c>
      <c r="D76" s="157" t="n">
        <v>12205.6038684175</v>
      </c>
      <c r="E76" s="158" t="n">
        <v>191668.728840358</v>
      </c>
      <c r="F76" s="159" t="n">
        <v>26380.9616682253</v>
      </c>
      <c r="G76" s="160" t="n">
        <v>93523.921418033</v>
      </c>
      <c r="H76" s="161" t="n">
        <v>318862019.5</v>
      </c>
      <c r="I76" s="162" t="n">
        <v>37.9489</v>
      </c>
      <c r="J76" s="163" t="str">
        <f>'Calculation_Assumptions'!$B$28*G76*(F76/G76)^'Calculation_Assumptions'!$B$29</f>
      </c>
      <c r="K76" s="164" t="str">
        <f>'Calculation_Assumptions'!$B$30*F76</f>
      </c>
      <c r="L76" s="165" t="str">
        <f>MAX(J76,K76)</f>
      </c>
      <c r="M76" s="166" t="str">
        <f>IF(F76=0,"",L76/F76)</f>
      </c>
      <c r="N76" s="167" t="str">
        <f>'Calculation_Assumptions'!$B$31*F76</f>
      </c>
      <c r="O76" s="168" t="str">
        <f>'Calculation_Assumptions'!$B$32*F76</f>
      </c>
      <c r="P76" s="169" t="str">
        <f>IF(I76=0,"",L76/I76)</f>
      </c>
      <c r="Q76" s="170" t="str">
        <f>L76*D76</f>
      </c>
      <c r="R76" s="171" t="str">
        <f>P76*E76</f>
      </c>
      <c r="S76" s="172" t="str">
        <f>N76*D76</f>
      </c>
      <c r="T76" s="173" t="str">
        <f>O76*D76</f>
      </c>
      <c r="U76" s="174" t="str">
        <f>1/(1+'Calculation_Assumptions'!$B$25)^(C76-'Calculation_Assumptions'!$B$24)</f>
      </c>
      <c r="V76" s="175" t="str">
        <f>Q76*U76</f>
      </c>
      <c r="W76" s="176" t="str">
        <f>R76*U76</f>
      </c>
      <c r="X76" s="177" t="str">
        <f>S76*U76</f>
      </c>
      <c r="Y76" s="178" t="str">
        <f>T76*U76</f>
      </c>
      <c r="Z76" s="179" t="str">
        <f>H76*F76</f>
      </c>
      <c r="AA76" s="180" t="str">
        <f>Z76*U76</f>
      </c>
      <c r="AB76" s="181" t="str">
        <f>IF(Z76=0,"",Q76/Z76)</f>
      </c>
    </row>
    <row r="77">
      <c r="A77" t="s">
        <v>262</v>
      </c>
      <c r="B77" s="35" t="s">
        <v>264</v>
      </c>
      <c r="C77" t="n">
        <v>2048</v>
      </c>
      <c r="D77" s="157" t="n">
        <v>12242.9800104679</v>
      </c>
      <c r="E77" s="158" t="n">
        <v>192766.683896082</v>
      </c>
      <c r="F77" s="159" t="n">
        <v>26977.4079268061</v>
      </c>
      <c r="G77" s="160" t="n">
        <v>94287.3283968127</v>
      </c>
      <c r="H77" s="161" t="n">
        <v>319554652.5</v>
      </c>
      <c r="I77" s="162" t="n">
        <v>38.0645</v>
      </c>
      <c r="J77" s="163" t="str">
        <f>'Calculation_Assumptions'!$B$28*G77*(F77/G77)^'Calculation_Assumptions'!$B$29</f>
      </c>
      <c r="K77" s="164" t="str">
        <f>'Calculation_Assumptions'!$B$30*F77</f>
      </c>
      <c r="L77" s="165" t="str">
        <f>MAX(J77,K77)</f>
      </c>
      <c r="M77" s="166" t="str">
        <f>IF(F77=0,"",L77/F77)</f>
      </c>
      <c r="N77" s="167" t="str">
        <f>'Calculation_Assumptions'!$B$31*F77</f>
      </c>
      <c r="O77" s="168" t="str">
        <f>'Calculation_Assumptions'!$B$32*F77</f>
      </c>
      <c r="P77" s="169" t="str">
        <f>IF(I77=0,"",L77/I77)</f>
      </c>
      <c r="Q77" s="170" t="str">
        <f>L77*D77</f>
      </c>
      <c r="R77" s="171" t="str">
        <f>P77*E77</f>
      </c>
      <c r="S77" s="172" t="str">
        <f>N77*D77</f>
      </c>
      <c r="T77" s="173" t="str">
        <f>O77*D77</f>
      </c>
      <c r="U77" s="174" t="str">
        <f>1/(1+'Calculation_Assumptions'!$B$25)^(C77-'Calculation_Assumptions'!$B$24)</f>
      </c>
      <c r="V77" s="175" t="str">
        <f>Q77*U77</f>
      </c>
      <c r="W77" s="176" t="str">
        <f>R77*U77</f>
      </c>
      <c r="X77" s="177" t="str">
        <f>S77*U77</f>
      </c>
      <c r="Y77" s="178" t="str">
        <f>T77*U77</f>
      </c>
      <c r="Z77" s="179" t="str">
        <f>H77*F77</f>
      </c>
      <c r="AA77" s="180" t="str">
        <f>Z77*U77</f>
      </c>
      <c r="AB77" s="181" t="str">
        <f>IF(Z77=0,"",Q77/Z77)</f>
      </c>
    </row>
    <row r="78">
      <c r="A78" t="s">
        <v>262</v>
      </c>
      <c r="B78" s="35" t="s">
        <v>264</v>
      </c>
      <c r="C78" t="n">
        <v>2049</v>
      </c>
      <c r="D78" s="157" t="n">
        <v>12290.3631320373</v>
      </c>
      <c r="E78" s="158" t="n">
        <v>193940.356720505</v>
      </c>
      <c r="F78" s="159" t="n">
        <v>27587.3392184138</v>
      </c>
      <c r="G78" s="160" t="n">
        <v>95056.9668317421</v>
      </c>
      <c r="H78" s="161" t="n">
        <v>320173250</v>
      </c>
      <c r="I78" s="162" t="n">
        <v>38.1755</v>
      </c>
      <c r="J78" s="163" t="str">
        <f>'Calculation_Assumptions'!$B$28*G78*(F78/G78)^'Calculation_Assumptions'!$B$29</f>
      </c>
      <c r="K78" s="164" t="str">
        <f>'Calculation_Assumptions'!$B$30*F78</f>
      </c>
      <c r="L78" s="165" t="str">
        <f>MAX(J78,K78)</f>
      </c>
      <c r="M78" s="166" t="str">
        <f>IF(F78=0,"",L78/F78)</f>
      </c>
      <c r="N78" s="167" t="str">
        <f>'Calculation_Assumptions'!$B$31*F78</f>
      </c>
      <c r="O78" s="168" t="str">
        <f>'Calculation_Assumptions'!$B$32*F78</f>
      </c>
      <c r="P78" s="169" t="str">
        <f>IF(I78=0,"",L78/I78)</f>
      </c>
      <c r="Q78" s="170" t="str">
        <f>L78*D78</f>
      </c>
      <c r="R78" s="171" t="str">
        <f>P78*E78</f>
      </c>
      <c r="S78" s="172" t="str">
        <f>N78*D78</f>
      </c>
      <c r="T78" s="173" t="str">
        <f>O78*D78</f>
      </c>
      <c r="U78" s="174" t="str">
        <f>1/(1+'Calculation_Assumptions'!$B$25)^(C78-'Calculation_Assumptions'!$B$24)</f>
      </c>
      <c r="V78" s="175" t="str">
        <f>Q78*U78</f>
      </c>
      <c r="W78" s="176" t="str">
        <f>R78*U78</f>
      </c>
      <c r="X78" s="177" t="str">
        <f>S78*U78</f>
      </c>
      <c r="Y78" s="178" t="str">
        <f>T78*U78</f>
      </c>
      <c r="Z78" s="179" t="str">
        <f>H78*F78</f>
      </c>
      <c r="AA78" s="180" t="str">
        <f>Z78*U78</f>
      </c>
      <c r="AB78" s="181" t="str">
        <f>IF(Z78=0,"",Q78/Z78)</f>
      </c>
    </row>
    <row r="79">
      <c r="A79" t="s">
        <v>262</v>
      </c>
      <c r="B79" s="35" t="s">
        <v>264</v>
      </c>
      <c r="C79" t="n">
        <v>2050</v>
      </c>
      <c r="D79" s="157" t="n">
        <v>12341.5241661941</v>
      </c>
      <c r="E79" s="158" t="n">
        <v>195142.049375664</v>
      </c>
      <c r="F79" s="159" t="n">
        <v>28211.0604256979</v>
      </c>
      <c r="G79" s="160" t="n">
        <v>95832.8875882792</v>
      </c>
      <c r="H79" s="161" t="n">
        <v>320712949.5</v>
      </c>
      <c r="I79" s="162" t="n">
        <v>38.286</v>
      </c>
      <c r="J79" s="163" t="str">
        <f>'Calculation_Assumptions'!$B$28*G79*(F79/G79)^'Calculation_Assumptions'!$B$29</f>
      </c>
      <c r="K79" s="164" t="str">
        <f>'Calculation_Assumptions'!$B$30*F79</f>
      </c>
      <c r="L79" s="165" t="str">
        <f>MAX(J79,K79)</f>
      </c>
      <c r="M79" s="166" t="str">
        <f>IF(F79=0,"",L79/F79)</f>
      </c>
      <c r="N79" s="167" t="str">
        <f>'Calculation_Assumptions'!$B$31*F79</f>
      </c>
      <c r="O79" s="168" t="str">
        <f>'Calculation_Assumptions'!$B$32*F79</f>
      </c>
      <c r="P79" s="169" t="str">
        <f>IF(I79=0,"",L79/I79)</f>
      </c>
      <c r="Q79" s="170" t="str">
        <f>L79*D79</f>
      </c>
      <c r="R79" s="171" t="str">
        <f>P79*E79</f>
      </c>
      <c r="S79" s="172" t="str">
        <f>N79*D79</f>
      </c>
      <c r="T79" s="173" t="str">
        <f>O79*D79</f>
      </c>
      <c r="U79" s="174" t="str">
        <f>1/(1+'Calculation_Assumptions'!$B$25)^(C79-'Calculation_Assumptions'!$B$24)</f>
      </c>
      <c r="V79" s="175" t="str">
        <f>Q79*U79</f>
      </c>
      <c r="W79" s="176" t="str">
        <f>R79*U79</f>
      </c>
      <c r="X79" s="177" t="str">
        <f>S79*U79</f>
      </c>
      <c r="Y79" s="178" t="str">
        <f>T79*U79</f>
      </c>
      <c r="Z79" s="179" t="str">
        <f>H79*F79</f>
      </c>
      <c r="AA79" s="180" t="str">
        <f>Z79*U79</f>
      </c>
      <c r="AB79" s="181" t="str">
        <f>IF(Z79=0,"",Q79/Z79)</f>
      </c>
    </row>
    <row r="80">
      <c r="A80" t="s">
        <v>272</v>
      </c>
      <c r="B80" s="35" t="s">
        <v>274</v>
      </c>
      <c r="C80" t="n">
        <v>2025</v>
      </c>
      <c r="D80" s="157" t="n">
        <v>0.000000000243056658133511</v>
      </c>
      <c r="E80" s="158" t="n">
        <v>0.00000000719933224146985</v>
      </c>
      <c r="F80" s="159" t="n">
        <v>13851.4910785419</v>
      </c>
      <c r="G80" s="160" t="n">
        <v>74136.3707949527</v>
      </c>
      <c r="H80" s="161" t="n">
        <v>285721235.5</v>
      </c>
      <c r="I80" s="162" t="n">
        <v>37.51</v>
      </c>
      <c r="J80" s="163" t="str">
        <f>'Calculation_Assumptions'!$B$28*G80*(F80/G80)^'Calculation_Assumptions'!$B$29</f>
      </c>
      <c r="K80" s="164" t="str">
        <f>'Calculation_Assumptions'!$B$30*F80</f>
      </c>
      <c r="L80" s="165" t="str">
        <f>MAX(J80,K80)</f>
      </c>
      <c r="M80" s="166" t="str">
        <f>IF(F80=0,"",L80/F80)</f>
      </c>
      <c r="N80" s="167" t="str">
        <f>'Calculation_Assumptions'!$B$31*F80</f>
      </c>
      <c r="O80" s="168" t="str">
        <f>'Calculation_Assumptions'!$B$32*F80</f>
      </c>
      <c r="P80" s="169" t="str">
        <f>IF(I80=0,"",L80/I80)</f>
      </c>
      <c r="Q80" s="170" t="str">
        <f>L80*D80</f>
      </c>
      <c r="R80" s="171" t="str">
        <f>P80*E80</f>
      </c>
      <c r="S80" s="172" t="str">
        <f>N80*D80</f>
      </c>
      <c r="T80" s="173" t="str">
        <f>O80*D80</f>
      </c>
      <c r="U80" s="174" t="str">
        <f>1/(1+'Calculation_Assumptions'!$B$25)^(C80-'Calculation_Assumptions'!$B$24)</f>
      </c>
      <c r="V80" s="175" t="str">
        <f>Q80*U80</f>
      </c>
      <c r="W80" s="176" t="str">
        <f>R80*U80</f>
      </c>
      <c r="X80" s="177" t="str">
        <f>S80*U80</f>
      </c>
      <c r="Y80" s="178" t="str">
        <f>T80*U80</f>
      </c>
      <c r="Z80" s="179" t="str">
        <f>H80*F80</f>
      </c>
      <c r="AA80" s="180" t="str">
        <f>Z80*U80</f>
      </c>
      <c r="AB80" s="181" t="str">
        <f>IF(Z80=0,"",Q80/Z80)</f>
      </c>
    </row>
    <row r="81">
      <c r="A81" t="s">
        <v>272</v>
      </c>
      <c r="B81" s="35" t="s">
        <v>274</v>
      </c>
      <c r="C81" t="n">
        <v>2026</v>
      </c>
      <c r="D81" s="157" t="n">
        <v>1441.06099248753</v>
      </c>
      <c r="E81" s="158" t="n">
        <v>24245.8548663642</v>
      </c>
      <c r="F81" s="159" t="n">
        <v>14370.1004216288</v>
      </c>
      <c r="G81" s="160" t="n">
        <v>75186.4097436074</v>
      </c>
      <c r="H81" s="161" t="n">
        <v>287886782.5</v>
      </c>
      <c r="I81" s="162" t="n">
        <v>37.5883</v>
      </c>
      <c r="J81" s="163" t="str">
        <f>'Calculation_Assumptions'!$B$28*G81*(F81/G81)^'Calculation_Assumptions'!$B$29</f>
      </c>
      <c r="K81" s="164" t="str">
        <f>'Calculation_Assumptions'!$B$30*F81</f>
      </c>
      <c r="L81" s="165" t="str">
        <f>MAX(J81,K81)</f>
      </c>
      <c r="M81" s="166" t="str">
        <f>IF(F81=0,"",L81/F81)</f>
      </c>
      <c r="N81" s="167" t="str">
        <f>'Calculation_Assumptions'!$B$31*F81</f>
      </c>
      <c r="O81" s="168" t="str">
        <f>'Calculation_Assumptions'!$B$32*F81</f>
      </c>
      <c r="P81" s="169" t="str">
        <f>IF(I81=0,"",L81/I81)</f>
      </c>
      <c r="Q81" s="170" t="str">
        <f>L81*D81</f>
      </c>
      <c r="R81" s="171" t="str">
        <f>P81*E81</f>
      </c>
      <c r="S81" s="172" t="str">
        <f>N81*D81</f>
      </c>
      <c r="T81" s="173" t="str">
        <f>O81*D81</f>
      </c>
      <c r="U81" s="174" t="str">
        <f>1/(1+'Calculation_Assumptions'!$B$25)^(C81-'Calculation_Assumptions'!$B$24)</f>
      </c>
      <c r="V81" s="175" t="str">
        <f>Q81*U81</f>
      </c>
      <c r="W81" s="176" t="str">
        <f>R81*U81</f>
      </c>
      <c r="X81" s="177" t="str">
        <f>S81*U81</f>
      </c>
      <c r="Y81" s="178" t="str">
        <f>T81*U81</f>
      </c>
      <c r="Z81" s="179" t="str">
        <f>H81*F81</f>
      </c>
      <c r="AA81" s="180" t="str">
        <f>Z81*U81</f>
      </c>
      <c r="AB81" s="181" t="str">
        <f>IF(Z81=0,"",Q81/Z81)</f>
      </c>
    </row>
    <row r="82">
      <c r="A82" t="s">
        <v>272</v>
      </c>
      <c r="B82" s="35" t="s">
        <v>274</v>
      </c>
      <c r="C82" t="n">
        <v>2027</v>
      </c>
      <c r="D82" s="157" t="n">
        <v>2804.19988571369</v>
      </c>
      <c r="E82" s="158" t="n">
        <v>47822.1778275789</v>
      </c>
      <c r="F82" s="159" t="n">
        <v>14908.1268548478</v>
      </c>
      <c r="G82" s="160" t="n">
        <v>76251.3210387483</v>
      </c>
      <c r="H82" s="161" t="n">
        <v>289986522</v>
      </c>
      <c r="I82" s="162" t="n">
        <v>37.6736</v>
      </c>
      <c r="J82" s="163" t="str">
        <f>'Calculation_Assumptions'!$B$28*G82*(F82/G82)^'Calculation_Assumptions'!$B$29</f>
      </c>
      <c r="K82" s="164" t="str">
        <f>'Calculation_Assumptions'!$B$30*F82</f>
      </c>
      <c r="L82" s="165" t="str">
        <f>MAX(J82,K82)</f>
      </c>
      <c r="M82" s="166" t="str">
        <f>IF(F82=0,"",L82/F82)</f>
      </c>
      <c r="N82" s="167" t="str">
        <f>'Calculation_Assumptions'!$B$31*F82</f>
      </c>
      <c r="O82" s="168" t="str">
        <f>'Calculation_Assumptions'!$B$32*F82</f>
      </c>
      <c r="P82" s="169" t="str">
        <f>IF(I82=0,"",L82/I82)</f>
      </c>
      <c r="Q82" s="170" t="str">
        <f>L82*D82</f>
      </c>
      <c r="R82" s="171" t="str">
        <f>P82*E82</f>
      </c>
      <c r="S82" s="172" t="str">
        <f>N82*D82</f>
      </c>
      <c r="T82" s="173" t="str">
        <f>O82*D82</f>
      </c>
      <c r="U82" s="174" t="str">
        <f>1/(1+'Calculation_Assumptions'!$B$25)^(C82-'Calculation_Assumptions'!$B$24)</f>
      </c>
      <c r="V82" s="175" t="str">
        <f>Q82*U82</f>
      </c>
      <c r="W82" s="176" t="str">
        <f>R82*U82</f>
      </c>
      <c r="X82" s="177" t="str">
        <f>S82*U82</f>
      </c>
      <c r="Y82" s="178" t="str">
        <f>T82*U82</f>
      </c>
      <c r="Z82" s="179" t="str">
        <f>H82*F82</f>
      </c>
      <c r="AA82" s="180" t="str">
        <f>Z82*U82</f>
      </c>
      <c r="AB82" s="181" t="str">
        <f>IF(Z82=0,"",Q82/Z82)</f>
      </c>
    </row>
    <row r="83">
      <c r="A83" t="s">
        <v>272</v>
      </c>
      <c r="B83" s="35" t="s">
        <v>274</v>
      </c>
      <c r="C83" t="n">
        <v>2028</v>
      </c>
      <c r="D83" s="157" t="n">
        <v>4144.75817452793</v>
      </c>
      <c r="E83" s="158" t="n">
        <v>71164.5899307224</v>
      </c>
      <c r="F83" s="159" t="n">
        <v>15466.2973673947</v>
      </c>
      <c r="G83" s="160" t="n">
        <v>77331.3153265521</v>
      </c>
      <c r="H83" s="161" t="n">
        <v>292016778.5</v>
      </c>
      <c r="I83" s="162" t="n">
        <v>36.834</v>
      </c>
      <c r="J83" s="163" t="str">
        <f>'Calculation_Assumptions'!$B$28*G83*(F83/G83)^'Calculation_Assumptions'!$B$29</f>
      </c>
      <c r="K83" s="164" t="str">
        <f>'Calculation_Assumptions'!$B$30*F83</f>
      </c>
      <c r="L83" s="165" t="str">
        <f>MAX(J83,K83)</f>
      </c>
      <c r="M83" s="166" t="str">
        <f>IF(F83=0,"",L83/F83)</f>
      </c>
      <c r="N83" s="167" t="str">
        <f>'Calculation_Assumptions'!$B$31*F83</f>
      </c>
      <c r="O83" s="168" t="str">
        <f>'Calculation_Assumptions'!$B$32*F83</f>
      </c>
      <c r="P83" s="169" t="str">
        <f>IF(I83=0,"",L83/I83)</f>
      </c>
      <c r="Q83" s="170" t="str">
        <f>L83*D83</f>
      </c>
      <c r="R83" s="171" t="str">
        <f>P83*E83</f>
      </c>
      <c r="S83" s="172" t="str">
        <f>N83*D83</f>
      </c>
      <c r="T83" s="173" t="str">
        <f>O83*D83</f>
      </c>
      <c r="U83" s="174" t="str">
        <f>1/(1+'Calculation_Assumptions'!$B$25)^(C83-'Calculation_Assumptions'!$B$24)</f>
      </c>
      <c r="V83" s="175" t="str">
        <f>Q83*U83</f>
      </c>
      <c r="W83" s="176" t="str">
        <f>R83*U83</f>
      </c>
      <c r="X83" s="177" t="str">
        <f>S83*U83</f>
      </c>
      <c r="Y83" s="178" t="str">
        <f>T83*U83</f>
      </c>
      <c r="Z83" s="179" t="str">
        <f>H83*F83</f>
      </c>
      <c r="AA83" s="180" t="str">
        <f>Z83*U83</f>
      </c>
      <c r="AB83" s="181" t="str">
        <f>IF(Z83=0,"",Q83/Z83)</f>
      </c>
    </row>
    <row r="84">
      <c r="A84" t="s">
        <v>272</v>
      </c>
      <c r="B84" s="35" t="s">
        <v>274</v>
      </c>
      <c r="C84" t="n">
        <v>2029</v>
      </c>
      <c r="D84" s="157" t="n">
        <v>5845.23097694365</v>
      </c>
      <c r="E84" s="158" t="n">
        <v>99599.1869093254</v>
      </c>
      <c r="F84" s="159" t="n">
        <v>16045.3661674401</v>
      </c>
      <c r="G84" s="160" t="n">
        <v>78426.6062367069</v>
      </c>
      <c r="H84" s="161" t="n">
        <v>293978109</v>
      </c>
      <c r="I84" s="162" t="n">
        <v>36.9118</v>
      </c>
      <c r="J84" s="163" t="str">
        <f>'Calculation_Assumptions'!$B$28*G84*(F84/G84)^'Calculation_Assumptions'!$B$29</f>
      </c>
      <c r="K84" s="164" t="str">
        <f>'Calculation_Assumptions'!$B$30*F84</f>
      </c>
      <c r="L84" s="165" t="str">
        <f>MAX(J84,K84)</f>
      </c>
      <c r="M84" s="166" t="str">
        <f>IF(F84=0,"",L84/F84)</f>
      </c>
      <c r="N84" s="167" t="str">
        <f>'Calculation_Assumptions'!$B$31*F84</f>
      </c>
      <c r="O84" s="168" t="str">
        <f>'Calculation_Assumptions'!$B$32*F84</f>
      </c>
      <c r="P84" s="169" t="str">
        <f>IF(I84=0,"",L84/I84)</f>
      </c>
      <c r="Q84" s="170" t="str">
        <f>L84*D84</f>
      </c>
      <c r="R84" s="171" t="str">
        <f>P84*E84</f>
      </c>
      <c r="S84" s="172" t="str">
        <f>N84*D84</f>
      </c>
      <c r="T84" s="173" t="str">
        <f>O84*D84</f>
      </c>
      <c r="U84" s="174" t="str">
        <f>1/(1+'Calculation_Assumptions'!$B$25)^(C84-'Calculation_Assumptions'!$B$24)</f>
      </c>
      <c r="V84" s="175" t="str">
        <f>Q84*U84</f>
      </c>
      <c r="W84" s="176" t="str">
        <f>R84*U84</f>
      </c>
      <c r="X84" s="177" t="str">
        <f>S84*U84</f>
      </c>
      <c r="Y84" s="178" t="str">
        <f>T84*U84</f>
      </c>
      <c r="Z84" s="179" t="str">
        <f>H84*F84</f>
      </c>
      <c r="AA84" s="180" t="str">
        <f>Z84*U84</f>
      </c>
      <c r="AB84" s="181" t="str">
        <f>IF(Z84=0,"",Q84/Z84)</f>
      </c>
    </row>
    <row r="85">
      <c r="A85" t="s">
        <v>272</v>
      </c>
      <c r="B85" s="35" t="s">
        <v>274</v>
      </c>
      <c r="C85" t="n">
        <v>2030</v>
      </c>
      <c r="D85" s="157" t="n">
        <v>7541.31950820124</v>
      </c>
      <c r="E85" s="158" t="n">
        <v>128041.640289125</v>
      </c>
      <c r="F85" s="159" t="n">
        <v>16646.1157012267</v>
      </c>
      <c r="G85" s="160" t="n">
        <v>79537.4104246691</v>
      </c>
      <c r="H85" s="161" t="n">
        <v>295876648</v>
      </c>
      <c r="I85" s="162" t="n">
        <v>36.9927</v>
      </c>
      <c r="J85" s="163" t="str">
        <f>'Calculation_Assumptions'!$B$28*G85*(F85/G85)^'Calculation_Assumptions'!$B$29</f>
      </c>
      <c r="K85" s="164" t="str">
        <f>'Calculation_Assumptions'!$B$30*F85</f>
      </c>
      <c r="L85" s="165" t="str">
        <f>MAX(J85,K85)</f>
      </c>
      <c r="M85" s="166" t="str">
        <f>IF(F85=0,"",L85/F85)</f>
      </c>
      <c r="N85" s="167" t="str">
        <f>'Calculation_Assumptions'!$B$31*F85</f>
      </c>
      <c r="O85" s="168" t="str">
        <f>'Calculation_Assumptions'!$B$32*F85</f>
      </c>
      <c r="P85" s="169" t="str">
        <f>IF(I85=0,"",L85/I85)</f>
      </c>
      <c r="Q85" s="170" t="str">
        <f>L85*D85</f>
      </c>
      <c r="R85" s="171" t="str">
        <f>P85*E85</f>
      </c>
      <c r="S85" s="172" t="str">
        <f>N85*D85</f>
      </c>
      <c r="T85" s="173" t="str">
        <f>O85*D85</f>
      </c>
      <c r="U85" s="174" t="str">
        <f>1/(1+'Calculation_Assumptions'!$B$25)^(C85-'Calculation_Assumptions'!$B$24)</f>
      </c>
      <c r="V85" s="175" t="str">
        <f>Q85*U85</f>
      </c>
      <c r="W85" s="176" t="str">
        <f>R85*U85</f>
      </c>
      <c r="X85" s="177" t="str">
        <f>S85*U85</f>
      </c>
      <c r="Y85" s="178" t="str">
        <f>T85*U85</f>
      </c>
      <c r="Z85" s="179" t="str">
        <f>H85*F85</f>
      </c>
      <c r="AA85" s="180" t="str">
        <f>Z85*U85</f>
      </c>
      <c r="AB85" s="181" t="str">
        <f>IF(Z85=0,"",Q85/Z85)</f>
      </c>
    </row>
    <row r="86">
      <c r="A86" t="s">
        <v>272</v>
      </c>
      <c r="B86" s="35" t="s">
        <v>274</v>
      </c>
      <c r="C86" t="n">
        <v>2031</v>
      </c>
      <c r="D86" s="157" t="n">
        <v>7646.20974397039</v>
      </c>
      <c r="E86" s="158" t="n">
        <v>130547.352546403</v>
      </c>
      <c r="F86" s="159" t="n">
        <v>17161.0734660986</v>
      </c>
      <c r="G86" s="160" t="n">
        <v>80420.1567986293</v>
      </c>
      <c r="H86" s="161" t="n">
        <v>297719748</v>
      </c>
      <c r="I86" s="162" t="n">
        <v>37.0895</v>
      </c>
      <c r="J86" s="163" t="str">
        <f>'Calculation_Assumptions'!$B$28*G86*(F86/G86)^'Calculation_Assumptions'!$B$29</f>
      </c>
      <c r="K86" s="164" t="str">
        <f>'Calculation_Assumptions'!$B$30*F86</f>
      </c>
      <c r="L86" s="165" t="str">
        <f>MAX(J86,K86)</f>
      </c>
      <c r="M86" s="166" t="str">
        <f>IF(F86=0,"",L86/F86)</f>
      </c>
      <c r="N86" s="167" t="str">
        <f>'Calculation_Assumptions'!$B$31*F86</f>
      </c>
      <c r="O86" s="168" t="str">
        <f>'Calculation_Assumptions'!$B$32*F86</f>
      </c>
      <c r="P86" s="169" t="str">
        <f>IF(I86=0,"",L86/I86)</f>
      </c>
      <c r="Q86" s="170" t="str">
        <f>L86*D86</f>
      </c>
      <c r="R86" s="171" t="str">
        <f>P86*E86</f>
      </c>
      <c r="S86" s="172" t="str">
        <f>N86*D86</f>
      </c>
      <c r="T86" s="173" t="str">
        <f>O86*D86</f>
      </c>
      <c r="U86" s="174" t="str">
        <f>1/(1+'Calculation_Assumptions'!$B$25)^(C86-'Calculation_Assumptions'!$B$24)</f>
      </c>
      <c r="V86" s="175" t="str">
        <f>Q86*U86</f>
      </c>
      <c r="W86" s="176" t="str">
        <f>R86*U86</f>
      </c>
      <c r="X86" s="177" t="str">
        <f>S86*U86</f>
      </c>
      <c r="Y86" s="178" t="str">
        <f>T86*U86</f>
      </c>
      <c r="Z86" s="179" t="str">
        <f>H86*F86</f>
      </c>
      <c r="AA86" s="180" t="str">
        <f>Z86*U86</f>
      </c>
      <c r="AB86" s="181" t="str">
        <f>IF(Z86=0,"",Q86/Z86)</f>
      </c>
    </row>
    <row r="87">
      <c r="A87" t="s">
        <v>272</v>
      </c>
      <c r="B87" s="35" t="s">
        <v>274</v>
      </c>
      <c r="C87" t="n">
        <v>2032</v>
      </c>
      <c r="D87" s="157" t="n">
        <v>7855.2259670809</v>
      </c>
      <c r="E87" s="158" t="n">
        <v>134210.671936358</v>
      </c>
      <c r="F87" s="159" t="n">
        <v>17691.9617642167</v>
      </c>
      <c r="G87" s="160" t="n">
        <v>81312.7003379309</v>
      </c>
      <c r="H87" s="161" t="n">
        <v>299510661.5</v>
      </c>
      <c r="I87" s="162" t="n">
        <v>37.1904</v>
      </c>
      <c r="J87" s="163" t="str">
        <f>'Calculation_Assumptions'!$B$28*G87*(F87/G87)^'Calculation_Assumptions'!$B$29</f>
      </c>
      <c r="K87" s="164" t="str">
        <f>'Calculation_Assumptions'!$B$30*F87</f>
      </c>
      <c r="L87" s="165" t="str">
        <f>MAX(J87,K87)</f>
      </c>
      <c r="M87" s="166" t="str">
        <f>IF(F87=0,"",L87/F87)</f>
      </c>
      <c r="N87" s="167" t="str">
        <f>'Calculation_Assumptions'!$B$31*F87</f>
      </c>
      <c r="O87" s="168" t="str">
        <f>'Calculation_Assumptions'!$B$32*F87</f>
      </c>
      <c r="P87" s="169" t="str">
        <f>IF(I87=0,"",L87/I87)</f>
      </c>
      <c r="Q87" s="170" t="str">
        <f>L87*D87</f>
      </c>
      <c r="R87" s="171" t="str">
        <f>P87*E87</f>
      </c>
      <c r="S87" s="172" t="str">
        <f>N87*D87</f>
      </c>
      <c r="T87" s="173" t="str">
        <f>O87*D87</f>
      </c>
      <c r="U87" s="174" t="str">
        <f>1/(1+'Calculation_Assumptions'!$B$25)^(C87-'Calculation_Assumptions'!$B$24)</f>
      </c>
      <c r="V87" s="175" t="str">
        <f>Q87*U87</f>
      </c>
      <c r="W87" s="176" t="str">
        <f>R87*U87</f>
      </c>
      <c r="X87" s="177" t="str">
        <f>S87*U87</f>
      </c>
      <c r="Y87" s="178" t="str">
        <f>T87*U87</f>
      </c>
      <c r="Z87" s="179" t="str">
        <f>H87*F87</f>
      </c>
      <c r="AA87" s="180" t="str">
        <f>Z87*U87</f>
      </c>
      <c r="AB87" s="181" t="str">
        <f>IF(Z87=0,"",Q87/Z87)</f>
      </c>
    </row>
    <row r="88">
      <c r="A88" t="s">
        <v>272</v>
      </c>
      <c r="B88" s="35" t="s">
        <v>274</v>
      </c>
      <c r="C88" t="n">
        <v>2033</v>
      </c>
      <c r="D88" s="157" t="n">
        <v>8117.94372301285</v>
      </c>
      <c r="E88" s="158" t="n">
        <v>138462.407571718</v>
      </c>
      <c r="F88" s="159" t="n">
        <v>18239.2734163655</v>
      </c>
      <c r="G88" s="160" t="n">
        <v>82215.1497764654</v>
      </c>
      <c r="H88" s="161" t="n">
        <v>301250984.5</v>
      </c>
      <c r="I88" s="162" t="n">
        <v>37.2975</v>
      </c>
      <c r="J88" s="163" t="str">
        <f>'Calculation_Assumptions'!$B$28*G88*(F88/G88)^'Calculation_Assumptions'!$B$29</f>
      </c>
      <c r="K88" s="164" t="str">
        <f>'Calculation_Assumptions'!$B$30*F88</f>
      </c>
      <c r="L88" s="165" t="str">
        <f>MAX(J88,K88)</f>
      </c>
      <c r="M88" s="166" t="str">
        <f>IF(F88=0,"",L88/F88)</f>
      </c>
      <c r="N88" s="167" t="str">
        <f>'Calculation_Assumptions'!$B$31*F88</f>
      </c>
      <c r="O88" s="168" t="str">
        <f>'Calculation_Assumptions'!$B$32*F88</f>
      </c>
      <c r="P88" s="169" t="str">
        <f>IF(I88=0,"",L88/I88)</f>
      </c>
      <c r="Q88" s="170" t="str">
        <f>L88*D88</f>
      </c>
      <c r="R88" s="171" t="str">
        <f>P88*E88</f>
      </c>
      <c r="S88" s="172" t="str">
        <f>N88*D88</f>
      </c>
      <c r="T88" s="173" t="str">
        <f>O88*D88</f>
      </c>
      <c r="U88" s="174" t="str">
        <f>1/(1+'Calculation_Assumptions'!$B$25)^(C88-'Calculation_Assumptions'!$B$24)</f>
      </c>
      <c r="V88" s="175" t="str">
        <f>Q88*U88</f>
      </c>
      <c r="W88" s="176" t="str">
        <f>R88*U88</f>
      </c>
      <c r="X88" s="177" t="str">
        <f>S88*U88</f>
      </c>
      <c r="Y88" s="178" t="str">
        <f>T88*U88</f>
      </c>
      <c r="Z88" s="179" t="str">
        <f>H88*F88</f>
      </c>
      <c r="AA88" s="180" t="str">
        <f>Z88*U88</f>
      </c>
      <c r="AB88" s="181" t="str">
        <f>IF(Z88=0,"",Q88/Z88)</f>
      </c>
    </row>
    <row r="89">
      <c r="A89" t="s">
        <v>272</v>
      </c>
      <c r="B89" s="35" t="s">
        <v>274</v>
      </c>
      <c r="C89" t="n">
        <v>2034</v>
      </c>
      <c r="D89" s="157" t="n">
        <v>8024.56981345056</v>
      </c>
      <c r="E89" s="158" t="n">
        <v>138008.769335831</v>
      </c>
      <c r="F89" s="159" t="n">
        <v>18803.5164890413</v>
      </c>
      <c r="G89" s="160" t="n">
        <v>83127.6150549084</v>
      </c>
      <c r="H89" s="161" t="n">
        <v>302938573</v>
      </c>
      <c r="I89" s="162" t="n">
        <v>37.4064</v>
      </c>
      <c r="J89" s="163" t="str">
        <f>'Calculation_Assumptions'!$B$28*G89*(F89/G89)^'Calculation_Assumptions'!$B$29</f>
      </c>
      <c r="K89" s="164" t="str">
        <f>'Calculation_Assumptions'!$B$30*F89</f>
      </c>
      <c r="L89" s="165" t="str">
        <f>MAX(J89,K89)</f>
      </c>
      <c r="M89" s="166" t="str">
        <f>IF(F89=0,"",L89/F89)</f>
      </c>
      <c r="N89" s="167" t="str">
        <f>'Calculation_Assumptions'!$B$31*F89</f>
      </c>
      <c r="O89" s="168" t="str">
        <f>'Calculation_Assumptions'!$B$32*F89</f>
      </c>
      <c r="P89" s="169" t="str">
        <f>IF(I89=0,"",L89/I89)</f>
      </c>
      <c r="Q89" s="170" t="str">
        <f>L89*D89</f>
      </c>
      <c r="R89" s="171" t="str">
        <f>P89*E89</f>
      </c>
      <c r="S89" s="172" t="str">
        <f>N89*D89</f>
      </c>
      <c r="T89" s="173" t="str">
        <f>O89*D89</f>
      </c>
      <c r="U89" s="174" t="str">
        <f>1/(1+'Calculation_Assumptions'!$B$25)^(C89-'Calculation_Assumptions'!$B$24)</f>
      </c>
      <c r="V89" s="175" t="str">
        <f>Q89*U89</f>
      </c>
      <c r="W89" s="176" t="str">
        <f>R89*U89</f>
      </c>
      <c r="X89" s="177" t="str">
        <f>S89*U89</f>
      </c>
      <c r="Y89" s="178" t="str">
        <f>T89*U89</f>
      </c>
      <c r="Z89" s="179" t="str">
        <f>H89*F89</f>
      </c>
      <c r="AA89" s="180" t="str">
        <f>Z89*U89</f>
      </c>
      <c r="AB89" s="181" t="str">
        <f>IF(Z89=0,"",Q89/Z89)</f>
      </c>
    </row>
    <row r="90">
      <c r="A90" t="s">
        <v>272</v>
      </c>
      <c r="B90" s="35" t="s">
        <v>274</v>
      </c>
      <c r="C90" t="n">
        <v>2035</v>
      </c>
      <c r="D90" s="157" t="n">
        <v>7982.80768324161</v>
      </c>
      <c r="E90" s="158" t="n">
        <v>138171.217808275</v>
      </c>
      <c r="F90" s="159" t="n">
        <v>19385.2147660882</v>
      </c>
      <c r="G90" s="160" t="n">
        <v>84050.2073341125</v>
      </c>
      <c r="H90" s="161" t="n">
        <v>304566622</v>
      </c>
      <c r="I90" s="162" t="n">
        <v>37.5179</v>
      </c>
      <c r="J90" s="163" t="str">
        <f>'Calculation_Assumptions'!$B$28*G90*(F90/G90)^'Calculation_Assumptions'!$B$29</f>
      </c>
      <c r="K90" s="164" t="str">
        <f>'Calculation_Assumptions'!$B$30*F90</f>
      </c>
      <c r="L90" s="165" t="str">
        <f>MAX(J90,K90)</f>
      </c>
      <c r="M90" s="166" t="str">
        <f>IF(F90=0,"",L90/F90)</f>
      </c>
      <c r="N90" s="167" t="str">
        <f>'Calculation_Assumptions'!$B$31*F90</f>
      </c>
      <c r="O90" s="168" t="str">
        <f>'Calculation_Assumptions'!$B$32*F90</f>
      </c>
      <c r="P90" s="169" t="str">
        <f>IF(I90=0,"",L90/I90)</f>
      </c>
      <c r="Q90" s="170" t="str">
        <f>L90*D90</f>
      </c>
      <c r="R90" s="171" t="str">
        <f>P90*E90</f>
      </c>
      <c r="S90" s="172" t="str">
        <f>N90*D90</f>
      </c>
      <c r="T90" s="173" t="str">
        <f>O90*D90</f>
      </c>
      <c r="U90" s="174" t="str">
        <f>1/(1+'Calculation_Assumptions'!$B$25)^(C90-'Calculation_Assumptions'!$B$24)</f>
      </c>
      <c r="V90" s="175" t="str">
        <f>Q90*U90</f>
      </c>
      <c r="W90" s="176" t="str">
        <f>R90*U90</f>
      </c>
      <c r="X90" s="177" t="str">
        <f>S90*U90</f>
      </c>
      <c r="Y90" s="178" t="str">
        <f>T90*U90</f>
      </c>
      <c r="Z90" s="179" t="str">
        <f>H90*F90</f>
      </c>
      <c r="AA90" s="180" t="str">
        <f>Z90*U90</f>
      </c>
      <c r="AB90" s="181" t="str">
        <f>IF(Z90=0,"",Q90/Z90)</f>
      </c>
    </row>
    <row r="91">
      <c r="A91" t="s">
        <v>272</v>
      </c>
      <c r="B91" s="35" t="s">
        <v>274</v>
      </c>
      <c r="C91" t="n">
        <v>2036</v>
      </c>
      <c r="D91" s="157" t="n">
        <v>9386.39562408827</v>
      </c>
      <c r="E91" s="158" t="n">
        <v>155634.339444504</v>
      </c>
      <c r="F91" s="159" t="n">
        <v>19931.358148438</v>
      </c>
      <c r="G91" s="160" t="n">
        <v>84847.8568068913</v>
      </c>
      <c r="H91" s="161" t="n">
        <v>306135098</v>
      </c>
      <c r="I91" s="162" t="n">
        <v>37.6267</v>
      </c>
      <c r="J91" s="163" t="str">
        <f>'Calculation_Assumptions'!$B$28*G91*(F91/G91)^'Calculation_Assumptions'!$B$29</f>
      </c>
      <c r="K91" s="164" t="str">
        <f>'Calculation_Assumptions'!$B$30*F91</f>
      </c>
      <c r="L91" s="165" t="str">
        <f>MAX(J91,K91)</f>
      </c>
      <c r="M91" s="166" t="str">
        <f>IF(F91=0,"",L91/F91)</f>
      </c>
      <c r="N91" s="167" t="str">
        <f>'Calculation_Assumptions'!$B$31*F91</f>
      </c>
      <c r="O91" s="168" t="str">
        <f>'Calculation_Assumptions'!$B$32*F91</f>
      </c>
      <c r="P91" s="169" t="str">
        <f>IF(I91=0,"",L91/I91)</f>
      </c>
      <c r="Q91" s="170" t="str">
        <f>L91*D91</f>
      </c>
      <c r="R91" s="171" t="str">
        <f>P91*E91</f>
      </c>
      <c r="S91" s="172" t="str">
        <f>N91*D91</f>
      </c>
      <c r="T91" s="173" t="str">
        <f>O91*D91</f>
      </c>
      <c r="U91" s="174" t="str">
        <f>1/(1+'Calculation_Assumptions'!$B$25)^(C91-'Calculation_Assumptions'!$B$24)</f>
      </c>
      <c r="V91" s="175" t="str">
        <f>Q91*U91</f>
      </c>
      <c r="W91" s="176" t="str">
        <f>R91*U91</f>
      </c>
      <c r="X91" s="177" t="str">
        <f>S91*U91</f>
      </c>
      <c r="Y91" s="178" t="str">
        <f>T91*U91</f>
      </c>
      <c r="Z91" s="179" t="str">
        <f>H91*F91</f>
      </c>
      <c r="AA91" s="180" t="str">
        <f>Z91*U91</f>
      </c>
      <c r="AB91" s="181" t="str">
        <f>IF(Z91=0,"",Q91/Z91)</f>
      </c>
    </row>
    <row r="92">
      <c r="A92" t="s">
        <v>272</v>
      </c>
      <c r="B92" s="35" t="s">
        <v>274</v>
      </c>
      <c r="C92" t="n">
        <v>2037</v>
      </c>
      <c r="D92" s="157" t="n">
        <v>10728.2113549489</v>
      </c>
      <c r="E92" s="158" t="n">
        <v>172564.110834721</v>
      </c>
      <c r="F92" s="159" t="n">
        <v>20492.8881332929</v>
      </c>
      <c r="G92" s="160" t="n">
        <v>85653.076096588</v>
      </c>
      <c r="H92" s="161" t="n">
        <v>307646417.5</v>
      </c>
      <c r="I92" s="162" t="n">
        <v>37.7369</v>
      </c>
      <c r="J92" s="163" t="str">
        <f>'Calculation_Assumptions'!$B$28*G92*(F92/G92)^'Calculation_Assumptions'!$B$29</f>
      </c>
      <c r="K92" s="164" t="str">
        <f>'Calculation_Assumptions'!$B$30*F92</f>
      </c>
      <c r="L92" s="165" t="str">
        <f>MAX(J92,K92)</f>
      </c>
      <c r="M92" s="166" t="str">
        <f>IF(F92=0,"",L92/F92)</f>
      </c>
      <c r="N92" s="167" t="str">
        <f>'Calculation_Assumptions'!$B$31*F92</f>
      </c>
      <c r="O92" s="168" t="str">
        <f>'Calculation_Assumptions'!$B$32*F92</f>
      </c>
      <c r="P92" s="169" t="str">
        <f>IF(I92=0,"",L92/I92)</f>
      </c>
      <c r="Q92" s="170" t="str">
        <f>L92*D92</f>
      </c>
      <c r="R92" s="171" t="str">
        <f>P92*E92</f>
      </c>
      <c r="S92" s="172" t="str">
        <f>N92*D92</f>
      </c>
      <c r="T92" s="173" t="str">
        <f>O92*D92</f>
      </c>
      <c r="U92" s="174" t="str">
        <f>1/(1+'Calculation_Assumptions'!$B$25)^(C92-'Calculation_Assumptions'!$B$24)</f>
      </c>
      <c r="V92" s="175" t="str">
        <f>Q92*U92</f>
      </c>
      <c r="W92" s="176" t="str">
        <f>R92*U92</f>
      </c>
      <c r="X92" s="177" t="str">
        <f>S92*U92</f>
      </c>
      <c r="Y92" s="178" t="str">
        <f>T92*U92</f>
      </c>
      <c r="Z92" s="179" t="str">
        <f>H92*F92</f>
      </c>
      <c r="AA92" s="180" t="str">
        <f>Z92*U92</f>
      </c>
      <c r="AB92" s="181" t="str">
        <f>IF(Z92=0,"",Q92/Z92)</f>
      </c>
    </row>
    <row r="93">
      <c r="A93" t="s">
        <v>272</v>
      </c>
      <c r="B93" s="35" t="s">
        <v>274</v>
      </c>
      <c r="C93" t="n">
        <v>2038</v>
      </c>
      <c r="D93" s="157" t="n">
        <v>12054.1307135481</v>
      </c>
      <c r="E93" s="158" t="n">
        <v>189322.313860888</v>
      </c>
      <c r="F93" s="159" t="n">
        <v>21070.2382103635</v>
      </c>
      <c r="G93" s="160" t="n">
        <v>86465.9370419363</v>
      </c>
      <c r="H93" s="161" t="n">
        <v>309096448</v>
      </c>
      <c r="I93" s="162" t="n">
        <v>37.8496</v>
      </c>
      <c r="J93" s="163" t="str">
        <f>'Calculation_Assumptions'!$B$28*G93*(F93/G93)^'Calculation_Assumptions'!$B$29</f>
      </c>
      <c r="K93" s="164" t="str">
        <f>'Calculation_Assumptions'!$B$30*F93</f>
      </c>
      <c r="L93" s="165" t="str">
        <f>MAX(J93,K93)</f>
      </c>
      <c r="M93" s="166" t="str">
        <f>IF(F93=0,"",L93/F93)</f>
      </c>
      <c r="N93" s="167" t="str">
        <f>'Calculation_Assumptions'!$B$31*F93</f>
      </c>
      <c r="O93" s="168" t="str">
        <f>'Calculation_Assumptions'!$B$32*F93</f>
      </c>
      <c r="P93" s="169" t="str">
        <f>IF(I93=0,"",L93/I93)</f>
      </c>
      <c r="Q93" s="170" t="str">
        <f>L93*D93</f>
      </c>
      <c r="R93" s="171" t="str">
        <f>P93*E93</f>
      </c>
      <c r="S93" s="172" t="str">
        <f>N93*D93</f>
      </c>
      <c r="T93" s="173" t="str">
        <f>O93*D93</f>
      </c>
      <c r="U93" s="174" t="str">
        <f>1/(1+'Calculation_Assumptions'!$B$25)^(C93-'Calculation_Assumptions'!$B$24)</f>
      </c>
      <c r="V93" s="175" t="str">
        <f>Q93*U93</f>
      </c>
      <c r="W93" s="176" t="str">
        <f>R93*U93</f>
      </c>
      <c r="X93" s="177" t="str">
        <f>S93*U93</f>
      </c>
      <c r="Y93" s="178" t="str">
        <f>T93*U93</f>
      </c>
      <c r="Z93" s="179" t="str">
        <f>H93*F93</f>
      </c>
      <c r="AA93" s="180" t="str">
        <f>Z93*U93</f>
      </c>
      <c r="AB93" s="181" t="str">
        <f>IF(Z93=0,"",Q93/Z93)</f>
      </c>
    </row>
    <row r="94">
      <c r="A94" t="s">
        <v>272</v>
      </c>
      <c r="B94" s="35" t="s">
        <v>274</v>
      </c>
      <c r="C94" t="n">
        <v>2039</v>
      </c>
      <c r="D94" s="157" t="n">
        <v>13392.7508088229</v>
      </c>
      <c r="E94" s="158" t="n">
        <v>206303.403828232</v>
      </c>
      <c r="F94" s="159" t="n">
        <v>21663.8540821491</v>
      </c>
      <c r="G94" s="160" t="n">
        <v>87286.5121634309</v>
      </c>
      <c r="H94" s="161" t="n">
        <v>310481120</v>
      </c>
      <c r="I94" s="162" t="n">
        <v>37.9582</v>
      </c>
      <c r="J94" s="163" t="str">
        <f>'Calculation_Assumptions'!$B$28*G94*(F94/G94)^'Calculation_Assumptions'!$B$29</f>
      </c>
      <c r="K94" s="164" t="str">
        <f>'Calculation_Assumptions'!$B$30*F94</f>
      </c>
      <c r="L94" s="165" t="str">
        <f>MAX(J94,K94)</f>
      </c>
      <c r="M94" s="166" t="str">
        <f>IF(F94=0,"",L94/F94)</f>
      </c>
      <c r="N94" s="167" t="str">
        <f>'Calculation_Assumptions'!$B$31*F94</f>
      </c>
      <c r="O94" s="168" t="str">
        <f>'Calculation_Assumptions'!$B$32*F94</f>
      </c>
      <c r="P94" s="169" t="str">
        <f>IF(I94=0,"",L94/I94)</f>
      </c>
      <c r="Q94" s="170" t="str">
        <f>L94*D94</f>
      </c>
      <c r="R94" s="171" t="str">
        <f>P94*E94</f>
      </c>
      <c r="S94" s="172" t="str">
        <f>N94*D94</f>
      </c>
      <c r="T94" s="173" t="str">
        <f>O94*D94</f>
      </c>
      <c r="U94" s="174" t="str">
        <f>1/(1+'Calculation_Assumptions'!$B$25)^(C94-'Calculation_Assumptions'!$B$24)</f>
      </c>
      <c r="V94" s="175" t="str">
        <f>Q94*U94</f>
      </c>
      <c r="W94" s="176" t="str">
        <f>R94*U94</f>
      </c>
      <c r="X94" s="177" t="str">
        <f>S94*U94</f>
      </c>
      <c r="Y94" s="178" t="str">
        <f>T94*U94</f>
      </c>
      <c r="Z94" s="179" t="str">
        <f>H94*F94</f>
      </c>
      <c r="AA94" s="180" t="str">
        <f>Z94*U94</f>
      </c>
      <c r="AB94" s="181" t="str">
        <f>IF(Z94=0,"",Q94/Z94)</f>
      </c>
    </row>
    <row r="95">
      <c r="A95" t="s">
        <v>272</v>
      </c>
      <c r="B95" s="35" t="s">
        <v>274</v>
      </c>
      <c r="C95" t="n">
        <v>2040</v>
      </c>
      <c r="D95" s="157" t="n">
        <v>14741.1259402903</v>
      </c>
      <c r="E95" s="158" t="n">
        <v>223415.022137339</v>
      </c>
      <c r="F95" s="159" t="n">
        <v>22274.1940080113</v>
      </c>
      <c r="G95" s="160" t="n">
        <v>88114.8746697968</v>
      </c>
      <c r="H95" s="161" t="n">
        <v>311797395.5</v>
      </c>
      <c r="I95" s="162" t="n">
        <v>38.0715</v>
      </c>
      <c r="J95" s="163" t="str">
        <f>'Calculation_Assumptions'!$B$28*G95*(F95/G95)^'Calculation_Assumptions'!$B$29</f>
      </c>
      <c r="K95" s="164" t="str">
        <f>'Calculation_Assumptions'!$B$30*F95</f>
      </c>
      <c r="L95" s="165" t="str">
        <f>MAX(J95,K95)</f>
      </c>
      <c r="M95" s="166" t="str">
        <f>IF(F95=0,"",L95/F95)</f>
      </c>
      <c r="N95" s="167" t="str">
        <f>'Calculation_Assumptions'!$B$31*F95</f>
      </c>
      <c r="O95" s="168" t="str">
        <f>'Calculation_Assumptions'!$B$32*F95</f>
      </c>
      <c r="P95" s="169" t="str">
        <f>IF(I95=0,"",L95/I95)</f>
      </c>
      <c r="Q95" s="170" t="str">
        <f>L95*D95</f>
      </c>
      <c r="R95" s="171" t="str">
        <f>P95*E95</f>
      </c>
      <c r="S95" s="172" t="str">
        <f>N95*D95</f>
      </c>
      <c r="T95" s="173" t="str">
        <f>O95*D95</f>
      </c>
      <c r="U95" s="174" t="str">
        <f>1/(1+'Calculation_Assumptions'!$B$25)^(C95-'Calculation_Assumptions'!$B$24)</f>
      </c>
      <c r="V95" s="175" t="str">
        <f>Q95*U95</f>
      </c>
      <c r="W95" s="176" t="str">
        <f>R95*U95</f>
      </c>
      <c r="X95" s="177" t="str">
        <f>S95*U95</f>
      </c>
      <c r="Y95" s="178" t="str">
        <f>T95*U95</f>
      </c>
      <c r="Z95" s="179" t="str">
        <f>H95*F95</f>
      </c>
      <c r="AA95" s="180" t="str">
        <f>Z95*U95</f>
      </c>
      <c r="AB95" s="181" t="str">
        <f>IF(Z95=0,"",Q95/Z95)</f>
      </c>
    </row>
    <row r="96">
      <c r="A96" t="s">
        <v>272</v>
      </c>
      <c r="B96" s="35" t="s">
        <v>274</v>
      </c>
      <c r="C96" t="n">
        <v>2041</v>
      </c>
      <c r="D96" s="157" t="n">
        <v>14511.7567972153</v>
      </c>
      <c r="E96" s="158" t="n">
        <v>221980.116263176</v>
      </c>
      <c r="F96" s="159" t="n">
        <v>22835.7817990268</v>
      </c>
      <c r="G96" s="160" t="n">
        <v>88881.5613597912</v>
      </c>
      <c r="H96" s="161" t="n">
        <v>313041661</v>
      </c>
      <c r="I96" s="162" t="n">
        <v>37.2583</v>
      </c>
      <c r="J96" s="163" t="str">
        <f>'Calculation_Assumptions'!$B$28*G96*(F96/G96)^'Calculation_Assumptions'!$B$29</f>
      </c>
      <c r="K96" s="164" t="str">
        <f>'Calculation_Assumptions'!$B$30*F96</f>
      </c>
      <c r="L96" s="165" t="str">
        <f>MAX(J96,K96)</f>
      </c>
      <c r="M96" s="166" t="str">
        <f>IF(F96=0,"",L96/F96)</f>
      </c>
      <c r="N96" s="167" t="str">
        <f>'Calculation_Assumptions'!$B$31*F96</f>
      </c>
      <c r="O96" s="168" t="str">
        <f>'Calculation_Assumptions'!$B$32*F96</f>
      </c>
      <c r="P96" s="169" t="str">
        <f>IF(I96=0,"",L96/I96)</f>
      </c>
      <c r="Q96" s="170" t="str">
        <f>L96*D96</f>
      </c>
      <c r="R96" s="171" t="str">
        <f>P96*E96</f>
      </c>
      <c r="S96" s="172" t="str">
        <f>N96*D96</f>
      </c>
      <c r="T96" s="173" t="str">
        <f>O96*D96</f>
      </c>
      <c r="U96" s="174" t="str">
        <f>1/(1+'Calculation_Assumptions'!$B$25)^(C96-'Calculation_Assumptions'!$B$24)</f>
      </c>
      <c r="V96" s="175" t="str">
        <f>Q96*U96</f>
      </c>
      <c r="W96" s="176" t="str">
        <f>R96*U96</f>
      </c>
      <c r="X96" s="177" t="str">
        <f>S96*U96</f>
      </c>
      <c r="Y96" s="178" t="str">
        <f>T96*U96</f>
      </c>
      <c r="Z96" s="179" t="str">
        <f>H96*F96</f>
      </c>
      <c r="AA96" s="180" t="str">
        <f>Z96*U96</f>
      </c>
      <c r="AB96" s="181" t="str">
        <f>IF(Z96=0,"",Q96/Z96)</f>
      </c>
    </row>
    <row r="97">
      <c r="A97" t="s">
        <v>272</v>
      </c>
      <c r="B97" s="35" t="s">
        <v>274</v>
      </c>
      <c r="C97" t="n">
        <v>2042</v>
      </c>
      <c r="D97" s="157" t="n">
        <v>14404.8722998741</v>
      </c>
      <c r="E97" s="158" t="n">
        <v>221792.987746203</v>
      </c>
      <c r="F97" s="159" t="n">
        <v>23411.5286140188</v>
      </c>
      <c r="G97" s="160" t="n">
        <v>89654.918983414</v>
      </c>
      <c r="H97" s="161" t="n">
        <v>314211282.5</v>
      </c>
      <c r="I97" s="162" t="n">
        <v>37.3732</v>
      </c>
      <c r="J97" s="163" t="str">
        <f>'Calculation_Assumptions'!$B$28*G97*(F97/G97)^'Calculation_Assumptions'!$B$29</f>
      </c>
      <c r="K97" s="164" t="str">
        <f>'Calculation_Assumptions'!$B$30*F97</f>
      </c>
      <c r="L97" s="165" t="str">
        <f>MAX(J97,K97)</f>
      </c>
      <c r="M97" s="166" t="str">
        <f>IF(F97=0,"",L97/F97)</f>
      </c>
      <c r="N97" s="167" t="str">
        <f>'Calculation_Assumptions'!$B$31*F97</f>
      </c>
      <c r="O97" s="168" t="str">
        <f>'Calculation_Assumptions'!$B$32*F97</f>
      </c>
      <c r="P97" s="169" t="str">
        <f>IF(I97=0,"",L97/I97)</f>
      </c>
      <c r="Q97" s="170" t="str">
        <f>L97*D97</f>
      </c>
      <c r="R97" s="171" t="str">
        <f>P97*E97</f>
      </c>
      <c r="S97" s="172" t="str">
        <f>N97*D97</f>
      </c>
      <c r="T97" s="173" t="str">
        <f>O97*D97</f>
      </c>
      <c r="U97" s="174" t="str">
        <f>1/(1+'Calculation_Assumptions'!$B$25)^(C97-'Calculation_Assumptions'!$B$24)</f>
      </c>
      <c r="V97" s="175" t="str">
        <f>Q97*U97</f>
      </c>
      <c r="W97" s="176" t="str">
        <f>R97*U97</f>
      </c>
      <c r="X97" s="177" t="str">
        <f>S97*U97</f>
      </c>
      <c r="Y97" s="178" t="str">
        <f>T97*U97</f>
      </c>
      <c r="Z97" s="179" t="str">
        <f>H97*F97</f>
      </c>
      <c r="AA97" s="180" t="str">
        <f>Z97*U97</f>
      </c>
      <c r="AB97" s="181" t="str">
        <f>IF(Z97=0,"",Q97/Z97)</f>
      </c>
    </row>
    <row r="98">
      <c r="A98" t="s">
        <v>272</v>
      </c>
      <c r="B98" s="35" t="s">
        <v>274</v>
      </c>
      <c r="C98" t="n">
        <v>2043</v>
      </c>
      <c r="D98" s="157" t="n">
        <v>14354.6862669102</v>
      </c>
      <c r="E98" s="158" t="n">
        <v>222161.887597588</v>
      </c>
      <c r="F98" s="159" t="n">
        <v>24001.7914371726</v>
      </c>
      <c r="G98" s="160" t="n">
        <v>90435.0055843959</v>
      </c>
      <c r="H98" s="161" t="n">
        <v>315304312</v>
      </c>
      <c r="I98" s="162" t="n">
        <v>37.4911</v>
      </c>
      <c r="J98" s="163" t="str">
        <f>'Calculation_Assumptions'!$B$28*G98*(F98/G98)^'Calculation_Assumptions'!$B$29</f>
      </c>
      <c r="K98" s="164" t="str">
        <f>'Calculation_Assumptions'!$B$30*F98</f>
      </c>
      <c r="L98" s="165" t="str">
        <f>MAX(J98,K98)</f>
      </c>
      <c r="M98" s="166" t="str">
        <f>IF(F98=0,"",L98/F98)</f>
      </c>
      <c r="N98" s="167" t="str">
        <f>'Calculation_Assumptions'!$B$31*F98</f>
      </c>
      <c r="O98" s="168" t="str">
        <f>'Calculation_Assumptions'!$B$32*F98</f>
      </c>
      <c r="P98" s="169" t="str">
        <f>IF(I98=0,"",L98/I98)</f>
      </c>
      <c r="Q98" s="170" t="str">
        <f>L98*D98</f>
      </c>
      <c r="R98" s="171" t="str">
        <f>P98*E98</f>
      </c>
      <c r="S98" s="172" t="str">
        <f>N98*D98</f>
      </c>
      <c r="T98" s="173" t="str">
        <f>O98*D98</f>
      </c>
      <c r="U98" s="174" t="str">
        <f>1/(1+'Calculation_Assumptions'!$B$25)^(C98-'Calculation_Assumptions'!$B$24)</f>
      </c>
      <c r="V98" s="175" t="str">
        <f>Q98*U98</f>
      </c>
      <c r="W98" s="176" t="str">
        <f>R98*U98</f>
      </c>
      <c r="X98" s="177" t="str">
        <f>S98*U98</f>
      </c>
      <c r="Y98" s="178" t="str">
        <f>T98*U98</f>
      </c>
      <c r="Z98" s="179" t="str">
        <f>H98*F98</f>
      </c>
      <c r="AA98" s="180" t="str">
        <f>Z98*U98</f>
      </c>
      <c r="AB98" s="181" t="str">
        <f>IF(Z98=0,"",Q98/Z98)</f>
      </c>
    </row>
    <row r="99">
      <c r="A99" t="s">
        <v>272</v>
      </c>
      <c r="B99" s="35" t="s">
        <v>274</v>
      </c>
      <c r="C99" t="n">
        <v>2044</v>
      </c>
      <c r="D99" s="157" t="n">
        <v>14342.7371177438</v>
      </c>
      <c r="E99" s="158" t="n">
        <v>222976.013291037</v>
      </c>
      <c r="F99" s="159" t="n">
        <v>24606.9362531317</v>
      </c>
      <c r="G99" s="160" t="n">
        <v>91221.8797115048</v>
      </c>
      <c r="H99" s="161" t="n">
        <v>316318415.5</v>
      </c>
      <c r="I99" s="162" t="n">
        <v>37.6099</v>
      </c>
      <c r="J99" s="163" t="str">
        <f>'Calculation_Assumptions'!$B$28*G99*(F99/G99)^'Calculation_Assumptions'!$B$29</f>
      </c>
      <c r="K99" s="164" t="str">
        <f>'Calculation_Assumptions'!$B$30*F99</f>
      </c>
      <c r="L99" s="165" t="str">
        <f>MAX(J99,K99)</f>
      </c>
      <c r="M99" s="166" t="str">
        <f>IF(F99=0,"",L99/F99)</f>
      </c>
      <c r="N99" s="167" t="str">
        <f>'Calculation_Assumptions'!$B$31*F99</f>
      </c>
      <c r="O99" s="168" t="str">
        <f>'Calculation_Assumptions'!$B$32*F99</f>
      </c>
      <c r="P99" s="169" t="str">
        <f>IF(I99=0,"",L99/I99)</f>
      </c>
      <c r="Q99" s="170" t="str">
        <f>L99*D99</f>
      </c>
      <c r="R99" s="171" t="str">
        <f>P99*E99</f>
      </c>
      <c r="S99" s="172" t="str">
        <f>N99*D99</f>
      </c>
      <c r="T99" s="173" t="str">
        <f>O99*D99</f>
      </c>
      <c r="U99" s="174" t="str">
        <f>1/(1+'Calculation_Assumptions'!$B$25)^(C99-'Calculation_Assumptions'!$B$24)</f>
      </c>
      <c r="V99" s="175" t="str">
        <f>Q99*U99</f>
      </c>
      <c r="W99" s="176" t="str">
        <f>R99*U99</f>
      </c>
      <c r="X99" s="177" t="str">
        <f>S99*U99</f>
      </c>
      <c r="Y99" s="178" t="str">
        <f>T99*U99</f>
      </c>
      <c r="Z99" s="179" t="str">
        <f>H99*F99</f>
      </c>
      <c r="AA99" s="180" t="str">
        <f>Z99*U99</f>
      </c>
      <c r="AB99" s="181" t="str">
        <f>IF(Z99=0,"",Q99/Z99)</f>
      </c>
    </row>
    <row r="100">
      <c r="A100" t="s">
        <v>272</v>
      </c>
      <c r="B100" s="35" t="s">
        <v>274</v>
      </c>
      <c r="C100" t="n">
        <v>2045</v>
      </c>
      <c r="D100" s="157" t="n">
        <v>14357.6826029423</v>
      </c>
      <c r="E100" s="158" t="n">
        <v>224049.398408811</v>
      </c>
      <c r="F100" s="159" t="n">
        <v>25227.3382739225</v>
      </c>
      <c r="G100" s="160" t="n">
        <v>92015.6004229417</v>
      </c>
      <c r="H100" s="161" t="n">
        <v>317249613</v>
      </c>
      <c r="I100" s="162" t="n">
        <v>37.7245</v>
      </c>
      <c r="J100" s="163" t="str">
        <f>'Calculation_Assumptions'!$B$28*G100*(F100/G100)^'Calculation_Assumptions'!$B$29</f>
      </c>
      <c r="K100" s="164" t="str">
        <f>'Calculation_Assumptions'!$B$30*F100</f>
      </c>
      <c r="L100" s="165" t="str">
        <f>MAX(J100,K100)</f>
      </c>
      <c r="M100" s="166" t="str">
        <f>IF(F100=0,"",L100/F100)</f>
      </c>
      <c r="N100" s="167" t="str">
        <f>'Calculation_Assumptions'!$B$31*F100</f>
      </c>
      <c r="O100" s="168" t="str">
        <f>'Calculation_Assumptions'!$B$32*F100</f>
      </c>
      <c r="P100" s="169" t="str">
        <f>IF(I100=0,"",L100/I100)</f>
      </c>
      <c r="Q100" s="170" t="str">
        <f>L100*D100</f>
      </c>
      <c r="R100" s="171" t="str">
        <f>P100*E100</f>
      </c>
      <c r="S100" s="172" t="str">
        <f>N100*D100</f>
      </c>
      <c r="T100" s="173" t="str">
        <f>O100*D100</f>
      </c>
      <c r="U100" s="174" t="str">
        <f>1/(1+'Calculation_Assumptions'!$B$25)^(C100-'Calculation_Assumptions'!$B$24)</f>
      </c>
      <c r="V100" s="175" t="str">
        <f>Q100*U100</f>
      </c>
      <c r="W100" s="176" t="str">
        <f>R100*U100</f>
      </c>
      <c r="X100" s="177" t="str">
        <f>S100*U100</f>
      </c>
      <c r="Y100" s="178" t="str">
        <f>T100*U100</f>
      </c>
      <c r="Z100" s="179" t="str">
        <f>H100*F100</f>
      </c>
      <c r="AA100" s="180" t="str">
        <f>Z100*U100</f>
      </c>
      <c r="AB100" s="181" t="str">
        <f>IF(Z100=0,"",Q100/Z100)</f>
      </c>
    </row>
    <row r="101">
      <c r="A101" t="s">
        <v>272</v>
      </c>
      <c r="B101" s="35" t="s">
        <v>274</v>
      </c>
      <c r="C101" t="n">
        <v>2046</v>
      </c>
      <c r="D101" s="157" t="n">
        <v>14390.3551089257</v>
      </c>
      <c r="E101" s="158" t="n">
        <v>225260.748905551</v>
      </c>
      <c r="F101" s="159" t="n">
        <v>25797.7023007031</v>
      </c>
      <c r="G101" s="160" t="n">
        <v>92766.6954417819</v>
      </c>
      <c r="H101" s="161" t="n">
        <v>318096573.5</v>
      </c>
      <c r="I101" s="162" t="n">
        <v>37.8362</v>
      </c>
      <c r="J101" s="163" t="str">
        <f>'Calculation_Assumptions'!$B$28*G101*(F101/G101)^'Calculation_Assumptions'!$B$29</f>
      </c>
      <c r="K101" s="164" t="str">
        <f>'Calculation_Assumptions'!$B$30*F101</f>
      </c>
      <c r="L101" s="165" t="str">
        <f>MAX(J101,K101)</f>
      </c>
      <c r="M101" s="166" t="str">
        <f>IF(F101=0,"",L101/F101)</f>
      </c>
      <c r="N101" s="167" t="str">
        <f>'Calculation_Assumptions'!$B$31*F101</f>
      </c>
      <c r="O101" s="168" t="str">
        <f>'Calculation_Assumptions'!$B$32*F101</f>
      </c>
      <c r="P101" s="169" t="str">
        <f>IF(I101=0,"",L101/I101)</f>
      </c>
      <c r="Q101" s="170" t="str">
        <f>L101*D101</f>
      </c>
      <c r="R101" s="171" t="str">
        <f>P101*E101</f>
      </c>
      <c r="S101" s="172" t="str">
        <f>N101*D101</f>
      </c>
      <c r="T101" s="173" t="str">
        <f>O101*D101</f>
      </c>
      <c r="U101" s="174" t="str">
        <f>1/(1+'Calculation_Assumptions'!$B$25)^(C101-'Calculation_Assumptions'!$B$24)</f>
      </c>
      <c r="V101" s="175" t="str">
        <f>Q101*U101</f>
      </c>
      <c r="W101" s="176" t="str">
        <f>R101*U101</f>
      </c>
      <c r="X101" s="177" t="str">
        <f>S101*U101</f>
      </c>
      <c r="Y101" s="178" t="str">
        <f>T101*U101</f>
      </c>
      <c r="Z101" s="179" t="str">
        <f>H101*F101</f>
      </c>
      <c r="AA101" s="180" t="str">
        <f>Z101*U101</f>
      </c>
      <c r="AB101" s="181" t="str">
        <f>IF(Z101=0,"",Q101/Z101)</f>
      </c>
    </row>
    <row r="102">
      <c r="A102" t="s">
        <v>272</v>
      </c>
      <c r="B102" s="35" t="s">
        <v>274</v>
      </c>
      <c r="C102" t="n">
        <v>2047</v>
      </c>
      <c r="D102" s="157" t="n">
        <v>14434.2142538389</v>
      </c>
      <c r="E102" s="158" t="n">
        <v>226596.140525414</v>
      </c>
      <c r="F102" s="159" t="n">
        <v>26380.9616682253</v>
      </c>
      <c r="G102" s="160" t="n">
        <v>93523.921418033</v>
      </c>
      <c r="H102" s="161" t="n">
        <v>318862019.5</v>
      </c>
      <c r="I102" s="162" t="n">
        <v>37.9489</v>
      </c>
      <c r="J102" s="163" t="str">
        <f>'Calculation_Assumptions'!$B$28*G102*(F102/G102)^'Calculation_Assumptions'!$B$29</f>
      </c>
      <c r="K102" s="164" t="str">
        <f>'Calculation_Assumptions'!$B$30*F102</f>
      </c>
      <c r="L102" s="165" t="str">
        <f>MAX(J102,K102)</f>
      </c>
      <c r="M102" s="166" t="str">
        <f>IF(F102=0,"",L102/F102)</f>
      </c>
      <c r="N102" s="167" t="str">
        <f>'Calculation_Assumptions'!$B$31*F102</f>
      </c>
      <c r="O102" s="168" t="str">
        <f>'Calculation_Assumptions'!$B$32*F102</f>
      </c>
      <c r="P102" s="169" t="str">
        <f>IF(I102=0,"",L102/I102)</f>
      </c>
      <c r="Q102" s="170" t="str">
        <f>L102*D102</f>
      </c>
      <c r="R102" s="171" t="str">
        <f>P102*E102</f>
      </c>
      <c r="S102" s="172" t="str">
        <f>N102*D102</f>
      </c>
      <c r="T102" s="173" t="str">
        <f>O102*D102</f>
      </c>
      <c r="U102" s="174" t="str">
        <f>1/(1+'Calculation_Assumptions'!$B$25)^(C102-'Calculation_Assumptions'!$B$24)</f>
      </c>
      <c r="V102" s="175" t="str">
        <f>Q102*U102</f>
      </c>
      <c r="W102" s="176" t="str">
        <f>R102*U102</f>
      </c>
      <c r="X102" s="177" t="str">
        <f>S102*U102</f>
      </c>
      <c r="Y102" s="178" t="str">
        <f>T102*U102</f>
      </c>
      <c r="Z102" s="179" t="str">
        <f>H102*F102</f>
      </c>
      <c r="AA102" s="180" t="str">
        <f>Z102*U102</f>
      </c>
      <c r="AB102" s="181" t="str">
        <f>IF(Z102=0,"",Q102/Z102)</f>
      </c>
    </row>
    <row r="103">
      <c r="A103" t="s">
        <v>272</v>
      </c>
      <c r="B103" s="35" t="s">
        <v>274</v>
      </c>
      <c r="C103" t="n">
        <v>2048</v>
      </c>
      <c r="D103" s="157" t="n">
        <v>14478.5340425693</v>
      </c>
      <c r="E103" s="158" t="n">
        <v>227893.353452696</v>
      </c>
      <c r="F103" s="159" t="n">
        <v>26977.4079268061</v>
      </c>
      <c r="G103" s="160" t="n">
        <v>94287.3283968127</v>
      </c>
      <c r="H103" s="161" t="n">
        <v>319554652.5</v>
      </c>
      <c r="I103" s="162" t="n">
        <v>38.0645</v>
      </c>
      <c r="J103" s="163" t="str">
        <f>'Calculation_Assumptions'!$B$28*G103*(F103/G103)^'Calculation_Assumptions'!$B$29</f>
      </c>
      <c r="K103" s="164" t="str">
        <f>'Calculation_Assumptions'!$B$30*F103</f>
      </c>
      <c r="L103" s="165" t="str">
        <f>MAX(J103,K103)</f>
      </c>
      <c r="M103" s="166" t="str">
        <f>IF(F103=0,"",L103/F103)</f>
      </c>
      <c r="N103" s="167" t="str">
        <f>'Calculation_Assumptions'!$B$31*F103</f>
      </c>
      <c r="O103" s="168" t="str">
        <f>'Calculation_Assumptions'!$B$32*F103</f>
      </c>
      <c r="P103" s="169" t="str">
        <f>IF(I103=0,"",L103/I103)</f>
      </c>
      <c r="Q103" s="170" t="str">
        <f>L103*D103</f>
      </c>
      <c r="R103" s="171" t="str">
        <f>P103*E103</f>
      </c>
      <c r="S103" s="172" t="str">
        <f>N103*D103</f>
      </c>
      <c r="T103" s="173" t="str">
        <f>O103*D103</f>
      </c>
      <c r="U103" s="174" t="str">
        <f>1/(1+'Calculation_Assumptions'!$B$25)^(C103-'Calculation_Assumptions'!$B$24)</f>
      </c>
      <c r="V103" s="175" t="str">
        <f>Q103*U103</f>
      </c>
      <c r="W103" s="176" t="str">
        <f>R103*U103</f>
      </c>
      <c r="X103" s="177" t="str">
        <f>S103*U103</f>
      </c>
      <c r="Y103" s="178" t="str">
        <f>T103*U103</f>
      </c>
      <c r="Z103" s="179" t="str">
        <f>H103*F103</f>
      </c>
      <c r="AA103" s="180" t="str">
        <f>Z103*U103</f>
      </c>
      <c r="AB103" s="181" t="str">
        <f>IF(Z103=0,"",Q103/Z103)</f>
      </c>
    </row>
    <row r="104">
      <c r="A104" t="s">
        <v>272</v>
      </c>
      <c r="B104" s="35" t="s">
        <v>274</v>
      </c>
      <c r="C104" t="n">
        <v>2049</v>
      </c>
      <c r="D104" s="157" t="n">
        <v>14534.7049274134</v>
      </c>
      <c r="E104" s="158" t="n">
        <v>229280.493149305</v>
      </c>
      <c r="F104" s="159" t="n">
        <v>27587.3392184138</v>
      </c>
      <c r="G104" s="160" t="n">
        <v>95056.9668317421</v>
      </c>
      <c r="H104" s="161" t="n">
        <v>320173250</v>
      </c>
      <c r="I104" s="162" t="n">
        <v>38.1755</v>
      </c>
      <c r="J104" s="163" t="str">
        <f>'Calculation_Assumptions'!$B$28*G104*(F104/G104)^'Calculation_Assumptions'!$B$29</f>
      </c>
      <c r="K104" s="164" t="str">
        <f>'Calculation_Assumptions'!$B$30*F104</f>
      </c>
      <c r="L104" s="165" t="str">
        <f>MAX(J104,K104)</f>
      </c>
      <c r="M104" s="166" t="str">
        <f>IF(F104=0,"",L104/F104)</f>
      </c>
      <c r="N104" s="167" t="str">
        <f>'Calculation_Assumptions'!$B$31*F104</f>
      </c>
      <c r="O104" s="168" t="str">
        <f>'Calculation_Assumptions'!$B$32*F104</f>
      </c>
      <c r="P104" s="169" t="str">
        <f>IF(I104=0,"",L104/I104)</f>
      </c>
      <c r="Q104" s="170" t="str">
        <f>L104*D104</f>
      </c>
      <c r="R104" s="171" t="str">
        <f>P104*E104</f>
      </c>
      <c r="S104" s="172" t="str">
        <f>N104*D104</f>
      </c>
      <c r="T104" s="173" t="str">
        <f>O104*D104</f>
      </c>
      <c r="U104" s="174" t="str">
        <f>1/(1+'Calculation_Assumptions'!$B$25)^(C104-'Calculation_Assumptions'!$B$24)</f>
      </c>
      <c r="V104" s="175" t="str">
        <f>Q104*U104</f>
      </c>
      <c r="W104" s="176" t="str">
        <f>R104*U104</f>
      </c>
      <c r="X104" s="177" t="str">
        <f>S104*U104</f>
      </c>
      <c r="Y104" s="178" t="str">
        <f>T104*U104</f>
      </c>
      <c r="Z104" s="179" t="str">
        <f>H104*F104</f>
      </c>
      <c r="AA104" s="180" t="str">
        <f>Z104*U104</f>
      </c>
      <c r="AB104" s="181" t="str">
        <f>IF(Z104=0,"",Q104/Z104)</f>
      </c>
    </row>
    <row r="105">
      <c r="A105" t="s">
        <v>272</v>
      </c>
      <c r="B105" s="35" t="s">
        <v>274</v>
      </c>
      <c r="C105" t="n">
        <v>2050</v>
      </c>
      <c r="D105" s="157" t="n">
        <v>14595.367214833</v>
      </c>
      <c r="E105" s="158" t="n">
        <v>230701.092156467</v>
      </c>
      <c r="F105" s="159" t="n">
        <v>28211.0604256979</v>
      </c>
      <c r="G105" s="160" t="n">
        <v>95832.8875882792</v>
      </c>
      <c r="H105" s="161" t="n">
        <v>320712949.5</v>
      </c>
      <c r="I105" s="162" t="n">
        <v>38.286</v>
      </c>
      <c r="J105" s="163" t="str">
        <f>'Calculation_Assumptions'!$B$28*G105*(F105/G105)^'Calculation_Assumptions'!$B$29</f>
      </c>
      <c r="K105" s="164" t="str">
        <f>'Calculation_Assumptions'!$B$30*F105</f>
      </c>
      <c r="L105" s="165" t="str">
        <f>MAX(J105,K105)</f>
      </c>
      <c r="M105" s="166" t="str">
        <f>IF(F105=0,"",L105/F105)</f>
      </c>
      <c r="N105" s="167" t="str">
        <f>'Calculation_Assumptions'!$B$31*F105</f>
      </c>
      <c r="O105" s="168" t="str">
        <f>'Calculation_Assumptions'!$B$32*F105</f>
      </c>
      <c r="P105" s="169" t="str">
        <f>IF(I105=0,"",L105/I105)</f>
      </c>
      <c r="Q105" s="170" t="str">
        <f>L105*D105</f>
      </c>
      <c r="R105" s="171" t="str">
        <f>P105*E105</f>
      </c>
      <c r="S105" s="172" t="str">
        <f>N105*D105</f>
      </c>
      <c r="T105" s="173" t="str">
        <f>O105*D105</f>
      </c>
      <c r="U105" s="174" t="str">
        <f>1/(1+'Calculation_Assumptions'!$B$25)^(C105-'Calculation_Assumptions'!$B$24)</f>
      </c>
      <c r="V105" s="175" t="str">
        <f>Q105*U105</f>
      </c>
      <c r="W105" s="176" t="str">
        <f>R105*U105</f>
      </c>
      <c r="X105" s="177" t="str">
        <f>S105*U105</f>
      </c>
      <c r="Y105" s="178" t="str">
        <f>T105*U105</f>
      </c>
      <c r="Z105" s="179" t="str">
        <f>H105*F105</f>
      </c>
      <c r="AA105" s="180" t="str">
        <f>Z105*U105</f>
      </c>
      <c r="AB105" s="181" t="str">
        <f>IF(Z105=0,"",Q105/Z105)</f>
      </c>
    </row>
    <row r="106">
      <c r="A106" t="s">
        <v>254</v>
      </c>
      <c r="B106" s="35" t="s">
        <v>418</v>
      </c>
      <c r="C106" t="n">
        <v>2025</v>
      </c>
      <c r="D106" s="157" t="n">
        <v>0.000000000243056658133511</v>
      </c>
      <c r="E106" s="158" t="n">
        <v>0.00000000719933224146985</v>
      </c>
      <c r="F106" s="159" t="n">
        <v>13851.4910785419</v>
      </c>
      <c r="G106" s="160" t="n">
        <v>74136.3707949527</v>
      </c>
      <c r="H106" s="161" t="n">
        <v>285721235.5</v>
      </c>
      <c r="I106" s="162" t="n">
        <v>37.51</v>
      </c>
      <c r="J106" s="163" t="str">
        <f>'Calculation_Assumptions'!$B$28*G106*(F106/G106)^'Calculation_Assumptions'!$B$29</f>
      </c>
      <c r="K106" s="164" t="str">
        <f>'Calculation_Assumptions'!$B$30*F106</f>
      </c>
      <c r="L106" s="165" t="str">
        <f>MAX(J106,K106)</f>
      </c>
      <c r="M106" s="166" t="str">
        <f>IF(F106=0,"",L106/F106)</f>
      </c>
      <c r="N106" s="167" t="str">
        <f>'Calculation_Assumptions'!$B$31*F106</f>
      </c>
      <c r="O106" s="168" t="str">
        <f>'Calculation_Assumptions'!$B$32*F106</f>
      </c>
      <c r="P106" s="169" t="str">
        <f>IF(I106=0,"",L106/I106)</f>
      </c>
      <c r="Q106" s="170" t="str">
        <f>L106*D106</f>
      </c>
      <c r="R106" s="171" t="str">
        <f>P106*E106</f>
      </c>
      <c r="S106" s="172" t="str">
        <f>N106*D106</f>
      </c>
      <c r="T106" s="173" t="str">
        <f>O106*D106</f>
      </c>
      <c r="U106" s="174" t="str">
        <f>1/(1+'Calculation_Assumptions'!$B$25)^(C106-'Calculation_Assumptions'!$B$24)</f>
      </c>
      <c r="V106" s="175" t="str">
        <f>Q106*U106</f>
      </c>
      <c r="W106" s="176" t="str">
        <f>R106*U106</f>
      </c>
      <c r="X106" s="177" t="str">
        <f>S106*U106</f>
      </c>
      <c r="Y106" s="178" t="str">
        <f>T106*U106</f>
      </c>
      <c r="Z106" s="179" t="str">
        <f>H106*F106</f>
      </c>
      <c r="AA106" s="180" t="str">
        <f>Z106*U106</f>
      </c>
      <c r="AB106" s="181" t="str">
        <f>IF(Z106=0,"",Q106/Z106)</f>
      </c>
    </row>
    <row r="107">
      <c r="A107" t="s">
        <v>254</v>
      </c>
      <c r="B107" s="35" t="s">
        <v>418</v>
      </c>
      <c r="C107" t="n">
        <v>2026</v>
      </c>
      <c r="D107" s="157" t="n">
        <v>3541.42211013835</v>
      </c>
      <c r="E107" s="158" t="n">
        <v>59559.8955554133</v>
      </c>
      <c r="F107" s="159" t="n">
        <v>14370.1004216288</v>
      </c>
      <c r="G107" s="160" t="n">
        <v>75186.4097436074</v>
      </c>
      <c r="H107" s="161" t="n">
        <v>287886782.5</v>
      </c>
      <c r="I107" s="162" t="n">
        <v>37.5883</v>
      </c>
      <c r="J107" s="163" t="str">
        <f>'Calculation_Assumptions'!$B$28*G107*(F107/G107)^'Calculation_Assumptions'!$B$29</f>
      </c>
      <c r="K107" s="164" t="str">
        <f>'Calculation_Assumptions'!$B$30*F107</f>
      </c>
      <c r="L107" s="165" t="str">
        <f>MAX(J107,K107)</f>
      </c>
      <c r="M107" s="166" t="str">
        <f>IF(F107=0,"",L107/F107)</f>
      </c>
      <c r="N107" s="167" t="str">
        <f>'Calculation_Assumptions'!$B$31*F107</f>
      </c>
      <c r="O107" s="168" t="str">
        <f>'Calculation_Assumptions'!$B$32*F107</f>
      </c>
      <c r="P107" s="169" t="str">
        <f>IF(I107=0,"",L107/I107)</f>
      </c>
      <c r="Q107" s="170" t="str">
        <f>L107*D107</f>
      </c>
      <c r="R107" s="171" t="str">
        <f>P107*E107</f>
      </c>
      <c r="S107" s="172" t="str">
        <f>N107*D107</f>
      </c>
      <c r="T107" s="173" t="str">
        <f>O107*D107</f>
      </c>
      <c r="U107" s="174" t="str">
        <f>1/(1+'Calculation_Assumptions'!$B$25)^(C107-'Calculation_Assumptions'!$B$24)</f>
      </c>
      <c r="V107" s="175" t="str">
        <f>Q107*U107</f>
      </c>
      <c r="W107" s="176" t="str">
        <f>R107*U107</f>
      </c>
      <c r="X107" s="177" t="str">
        <f>S107*U107</f>
      </c>
      <c r="Y107" s="178" t="str">
        <f>T107*U107</f>
      </c>
      <c r="Z107" s="179" t="str">
        <f>H107*F107</f>
      </c>
      <c r="AA107" s="180" t="str">
        <f>Z107*U107</f>
      </c>
      <c r="AB107" s="181" t="str">
        <f>IF(Z107=0,"",Q107/Z107)</f>
      </c>
    </row>
    <row r="108">
      <c r="A108" t="s">
        <v>254</v>
      </c>
      <c r="B108" s="35" t="s">
        <v>418</v>
      </c>
      <c r="C108" t="n">
        <v>2027</v>
      </c>
      <c r="D108" s="157" t="n">
        <v>6880.95390747995</v>
      </c>
      <c r="E108" s="158" t="n">
        <v>117247.985859754</v>
      </c>
      <c r="F108" s="159" t="n">
        <v>14908.1268548478</v>
      </c>
      <c r="G108" s="160" t="n">
        <v>76251.3210387483</v>
      </c>
      <c r="H108" s="161" t="n">
        <v>289986522</v>
      </c>
      <c r="I108" s="162" t="n">
        <v>37.6736</v>
      </c>
      <c r="J108" s="163" t="str">
        <f>'Calculation_Assumptions'!$B$28*G108*(F108/G108)^'Calculation_Assumptions'!$B$29</f>
      </c>
      <c r="K108" s="164" t="str">
        <f>'Calculation_Assumptions'!$B$30*F108</f>
      </c>
      <c r="L108" s="165" t="str">
        <f>MAX(J108,K108)</f>
      </c>
      <c r="M108" s="166" t="str">
        <f>IF(F108=0,"",L108/F108)</f>
      </c>
      <c r="N108" s="167" t="str">
        <f>'Calculation_Assumptions'!$B$31*F108</f>
      </c>
      <c r="O108" s="168" t="str">
        <f>'Calculation_Assumptions'!$B$32*F108</f>
      </c>
      <c r="P108" s="169" t="str">
        <f>IF(I108=0,"",L108/I108)</f>
      </c>
      <c r="Q108" s="170" t="str">
        <f>L108*D108</f>
      </c>
      <c r="R108" s="171" t="str">
        <f>P108*E108</f>
      </c>
      <c r="S108" s="172" t="str">
        <f>N108*D108</f>
      </c>
      <c r="T108" s="173" t="str">
        <f>O108*D108</f>
      </c>
      <c r="U108" s="174" t="str">
        <f>1/(1+'Calculation_Assumptions'!$B$25)^(C108-'Calculation_Assumptions'!$B$24)</f>
      </c>
      <c r="V108" s="175" t="str">
        <f>Q108*U108</f>
      </c>
      <c r="W108" s="176" t="str">
        <f>R108*U108</f>
      </c>
      <c r="X108" s="177" t="str">
        <f>S108*U108</f>
      </c>
      <c r="Y108" s="178" t="str">
        <f>T108*U108</f>
      </c>
      <c r="Z108" s="179" t="str">
        <f>H108*F108</f>
      </c>
      <c r="AA108" s="180" t="str">
        <f>Z108*U108</f>
      </c>
      <c r="AB108" s="181" t="str">
        <f>IF(Z108=0,"",Q108/Z108)</f>
      </c>
    </row>
    <row r="109">
      <c r="A109" t="s">
        <v>254</v>
      </c>
      <c r="B109" s="35" t="s">
        <v>418</v>
      </c>
      <c r="C109" t="n">
        <v>2028</v>
      </c>
      <c r="D109" s="157" t="n">
        <v>10156.1199065822</v>
      </c>
      <c r="E109" s="158" t="n">
        <v>174158.347771131</v>
      </c>
      <c r="F109" s="159" t="n">
        <v>15466.2973673947</v>
      </c>
      <c r="G109" s="160" t="n">
        <v>77331.3153265521</v>
      </c>
      <c r="H109" s="161" t="n">
        <v>292016778.5</v>
      </c>
      <c r="I109" s="162" t="n">
        <v>36.834</v>
      </c>
      <c r="J109" s="163" t="str">
        <f>'Calculation_Assumptions'!$B$28*G109*(F109/G109)^'Calculation_Assumptions'!$B$29</f>
      </c>
      <c r="K109" s="164" t="str">
        <f>'Calculation_Assumptions'!$B$30*F109</f>
      </c>
      <c r="L109" s="165" t="str">
        <f>MAX(J109,K109)</f>
      </c>
      <c r="M109" s="166" t="str">
        <f>IF(F109=0,"",L109/F109)</f>
      </c>
      <c r="N109" s="167" t="str">
        <f>'Calculation_Assumptions'!$B$31*F109</f>
      </c>
      <c r="O109" s="168" t="str">
        <f>'Calculation_Assumptions'!$B$32*F109</f>
      </c>
      <c r="P109" s="169" t="str">
        <f>IF(I109=0,"",L109/I109)</f>
      </c>
      <c r="Q109" s="170" t="str">
        <f>L109*D109</f>
      </c>
      <c r="R109" s="171" t="str">
        <f>P109*E109</f>
      </c>
      <c r="S109" s="172" t="str">
        <f>N109*D109</f>
      </c>
      <c r="T109" s="173" t="str">
        <f>O109*D109</f>
      </c>
      <c r="U109" s="174" t="str">
        <f>1/(1+'Calculation_Assumptions'!$B$25)^(C109-'Calculation_Assumptions'!$B$24)</f>
      </c>
      <c r="V109" s="175" t="str">
        <f>Q109*U109</f>
      </c>
      <c r="W109" s="176" t="str">
        <f>R109*U109</f>
      </c>
      <c r="X109" s="177" t="str">
        <f>S109*U109</f>
      </c>
      <c r="Y109" s="178" t="str">
        <f>T109*U109</f>
      </c>
      <c r="Z109" s="179" t="str">
        <f>H109*F109</f>
      </c>
      <c r="AA109" s="180" t="str">
        <f>Z109*U109</f>
      </c>
      <c r="AB109" s="181" t="str">
        <f>IF(Z109=0,"",Q109/Z109)</f>
      </c>
    </row>
    <row r="110">
      <c r="A110" t="s">
        <v>254</v>
      </c>
      <c r="B110" s="35" t="s">
        <v>418</v>
      </c>
      <c r="C110" t="n">
        <v>2029</v>
      </c>
      <c r="D110" s="157" t="n">
        <v>14300.1292974735</v>
      </c>
      <c r="E110" s="158" t="n">
        <v>243260.052244577</v>
      </c>
      <c r="F110" s="159" t="n">
        <v>16045.3661674401</v>
      </c>
      <c r="G110" s="160" t="n">
        <v>78426.6062367069</v>
      </c>
      <c r="H110" s="161" t="n">
        <v>293978109</v>
      </c>
      <c r="I110" s="162" t="n">
        <v>36.9118</v>
      </c>
      <c r="J110" s="163" t="str">
        <f>'Calculation_Assumptions'!$B$28*G110*(F110/G110)^'Calculation_Assumptions'!$B$29</f>
      </c>
      <c r="K110" s="164" t="str">
        <f>'Calculation_Assumptions'!$B$30*F110</f>
      </c>
      <c r="L110" s="165" t="str">
        <f>MAX(J110,K110)</f>
      </c>
      <c r="M110" s="166" t="str">
        <f>IF(F110=0,"",L110/F110)</f>
      </c>
      <c r="N110" s="167" t="str">
        <f>'Calculation_Assumptions'!$B$31*F110</f>
      </c>
      <c r="O110" s="168" t="str">
        <f>'Calculation_Assumptions'!$B$32*F110</f>
      </c>
      <c r="P110" s="169" t="str">
        <f>IF(I110=0,"",L110/I110)</f>
      </c>
      <c r="Q110" s="170" t="str">
        <f>L110*D110</f>
      </c>
      <c r="R110" s="171" t="str">
        <f>P110*E110</f>
      </c>
      <c r="S110" s="172" t="str">
        <f>N110*D110</f>
      </c>
      <c r="T110" s="173" t="str">
        <f>O110*D110</f>
      </c>
      <c r="U110" s="174" t="str">
        <f>1/(1+'Calculation_Assumptions'!$B$25)^(C110-'Calculation_Assumptions'!$B$24)</f>
      </c>
      <c r="V110" s="175" t="str">
        <f>Q110*U110</f>
      </c>
      <c r="W110" s="176" t="str">
        <f>R110*U110</f>
      </c>
      <c r="X110" s="177" t="str">
        <f>S110*U110</f>
      </c>
      <c r="Y110" s="178" t="str">
        <f>T110*U110</f>
      </c>
      <c r="Z110" s="179" t="str">
        <f>H110*F110</f>
      </c>
      <c r="AA110" s="180" t="str">
        <f>Z110*U110</f>
      </c>
      <c r="AB110" s="181" t="str">
        <f>IF(Z110=0,"",Q110/Z110)</f>
      </c>
    </row>
    <row r="111">
      <c r="A111" t="s">
        <v>254</v>
      </c>
      <c r="B111" s="35" t="s">
        <v>418</v>
      </c>
      <c r="C111" t="n">
        <v>2030</v>
      </c>
      <c r="D111" s="157" t="n">
        <v>18421.8002636168</v>
      </c>
      <c r="E111" s="158" t="n">
        <v>312127.611432672</v>
      </c>
      <c r="F111" s="159" t="n">
        <v>16646.1157012267</v>
      </c>
      <c r="G111" s="160" t="n">
        <v>79537.4104246691</v>
      </c>
      <c r="H111" s="161" t="n">
        <v>295876648</v>
      </c>
      <c r="I111" s="162" t="n">
        <v>36.9927</v>
      </c>
      <c r="J111" s="163" t="str">
        <f>'Calculation_Assumptions'!$B$28*G111*(F111/G111)^'Calculation_Assumptions'!$B$29</f>
      </c>
      <c r="K111" s="164" t="str">
        <f>'Calculation_Assumptions'!$B$30*F111</f>
      </c>
      <c r="L111" s="165" t="str">
        <f>MAX(J111,K111)</f>
      </c>
      <c r="M111" s="166" t="str">
        <f>IF(F111=0,"",L111/F111)</f>
      </c>
      <c r="N111" s="167" t="str">
        <f>'Calculation_Assumptions'!$B$31*F111</f>
      </c>
      <c r="O111" s="168" t="str">
        <f>'Calculation_Assumptions'!$B$32*F111</f>
      </c>
      <c r="P111" s="169" t="str">
        <f>IF(I111=0,"",L111/I111)</f>
      </c>
      <c r="Q111" s="170" t="str">
        <f>L111*D111</f>
      </c>
      <c r="R111" s="171" t="str">
        <f>P111*E111</f>
      </c>
      <c r="S111" s="172" t="str">
        <f>N111*D111</f>
      </c>
      <c r="T111" s="173" t="str">
        <f>O111*D111</f>
      </c>
      <c r="U111" s="174" t="str">
        <f>1/(1+'Calculation_Assumptions'!$B$25)^(C111-'Calculation_Assumptions'!$B$24)</f>
      </c>
      <c r="V111" s="175" t="str">
        <f>Q111*U111</f>
      </c>
      <c r="W111" s="176" t="str">
        <f>R111*U111</f>
      </c>
      <c r="X111" s="177" t="str">
        <f>S111*U111</f>
      </c>
      <c r="Y111" s="178" t="str">
        <f>T111*U111</f>
      </c>
      <c r="Z111" s="179" t="str">
        <f>H111*F111</f>
      </c>
      <c r="AA111" s="180" t="str">
        <f>Z111*U111</f>
      </c>
      <c r="AB111" s="181" t="str">
        <f>IF(Z111=0,"",Q111/Z111)</f>
      </c>
    </row>
    <row r="112">
      <c r="A112" t="s">
        <v>254</v>
      </c>
      <c r="B112" s="35" t="s">
        <v>418</v>
      </c>
      <c r="C112" t="n">
        <v>2031</v>
      </c>
      <c r="D112" s="157" t="n">
        <v>18683.3669600753</v>
      </c>
      <c r="E112" s="158" t="n">
        <v>318315.681296092</v>
      </c>
      <c r="F112" s="159" t="n">
        <v>17161.0734660986</v>
      </c>
      <c r="G112" s="160" t="n">
        <v>80420.1567986293</v>
      </c>
      <c r="H112" s="161" t="n">
        <v>297719748</v>
      </c>
      <c r="I112" s="162" t="n">
        <v>37.0895</v>
      </c>
      <c r="J112" s="163" t="str">
        <f>'Calculation_Assumptions'!$B$28*G112*(F112/G112)^'Calculation_Assumptions'!$B$29</f>
      </c>
      <c r="K112" s="164" t="str">
        <f>'Calculation_Assumptions'!$B$30*F112</f>
      </c>
      <c r="L112" s="165" t="str">
        <f>MAX(J112,K112)</f>
      </c>
      <c r="M112" s="166" t="str">
        <f>IF(F112=0,"",L112/F112)</f>
      </c>
      <c r="N112" s="167" t="str">
        <f>'Calculation_Assumptions'!$B$31*F112</f>
      </c>
      <c r="O112" s="168" t="str">
        <f>'Calculation_Assumptions'!$B$32*F112</f>
      </c>
      <c r="P112" s="169" t="str">
        <f>IF(I112=0,"",L112/I112)</f>
      </c>
      <c r="Q112" s="170" t="str">
        <f>L112*D112</f>
      </c>
      <c r="R112" s="171" t="str">
        <f>P112*E112</f>
      </c>
      <c r="S112" s="172" t="str">
        <f>N112*D112</f>
      </c>
      <c r="T112" s="173" t="str">
        <f>O112*D112</f>
      </c>
      <c r="U112" s="174" t="str">
        <f>1/(1+'Calculation_Assumptions'!$B$25)^(C112-'Calculation_Assumptions'!$B$24)</f>
      </c>
      <c r="V112" s="175" t="str">
        <f>Q112*U112</f>
      </c>
      <c r="W112" s="176" t="str">
        <f>R112*U112</f>
      </c>
      <c r="X112" s="177" t="str">
        <f>S112*U112</f>
      </c>
      <c r="Y112" s="178" t="str">
        <f>T112*U112</f>
      </c>
      <c r="Z112" s="179" t="str">
        <f>H112*F112</f>
      </c>
      <c r="AA112" s="180" t="str">
        <f>Z112*U112</f>
      </c>
      <c r="AB112" s="181" t="str">
        <f>IF(Z112=0,"",Q112/Z112)</f>
      </c>
    </row>
    <row r="113">
      <c r="A113" t="s">
        <v>254</v>
      </c>
      <c r="B113" s="35" t="s">
        <v>418</v>
      </c>
      <c r="C113" t="n">
        <v>2032</v>
      </c>
      <c r="D113" s="157" t="n">
        <v>19197.017191414</v>
      </c>
      <c r="E113" s="158" t="n">
        <v>327283.895040896</v>
      </c>
      <c r="F113" s="159" t="n">
        <v>17691.9617642167</v>
      </c>
      <c r="G113" s="160" t="n">
        <v>81312.7003379309</v>
      </c>
      <c r="H113" s="161" t="n">
        <v>299510661.5</v>
      </c>
      <c r="I113" s="162" t="n">
        <v>37.1904</v>
      </c>
      <c r="J113" s="163" t="str">
        <f>'Calculation_Assumptions'!$B$28*G113*(F113/G113)^'Calculation_Assumptions'!$B$29</f>
      </c>
      <c r="K113" s="164" t="str">
        <f>'Calculation_Assumptions'!$B$30*F113</f>
      </c>
      <c r="L113" s="165" t="str">
        <f>MAX(J113,K113)</f>
      </c>
      <c r="M113" s="166" t="str">
        <f>IF(F113=0,"",L113/F113)</f>
      </c>
      <c r="N113" s="167" t="str">
        <f>'Calculation_Assumptions'!$B$31*F113</f>
      </c>
      <c r="O113" s="168" t="str">
        <f>'Calculation_Assumptions'!$B$32*F113</f>
      </c>
      <c r="P113" s="169" t="str">
        <f>IF(I113=0,"",L113/I113)</f>
      </c>
      <c r="Q113" s="170" t="str">
        <f>L113*D113</f>
      </c>
      <c r="R113" s="171" t="str">
        <f>P113*E113</f>
      </c>
      <c r="S113" s="172" t="str">
        <f>N113*D113</f>
      </c>
      <c r="T113" s="173" t="str">
        <f>O113*D113</f>
      </c>
      <c r="U113" s="174" t="str">
        <f>1/(1+'Calculation_Assumptions'!$B$25)^(C113-'Calculation_Assumptions'!$B$24)</f>
      </c>
      <c r="V113" s="175" t="str">
        <f>Q113*U113</f>
      </c>
      <c r="W113" s="176" t="str">
        <f>R113*U113</f>
      </c>
      <c r="X113" s="177" t="str">
        <f>S113*U113</f>
      </c>
      <c r="Y113" s="178" t="str">
        <f>T113*U113</f>
      </c>
      <c r="Z113" s="179" t="str">
        <f>H113*F113</f>
      </c>
      <c r="AA113" s="180" t="str">
        <f>Z113*U113</f>
      </c>
      <c r="AB113" s="181" t="str">
        <f>IF(Z113=0,"",Q113/Z113)</f>
      </c>
    </row>
    <row r="114">
      <c r="A114" t="s">
        <v>254</v>
      </c>
      <c r="B114" s="35" t="s">
        <v>418</v>
      </c>
      <c r="C114" t="n">
        <v>2033</v>
      </c>
      <c r="D114" s="157" t="n">
        <v>19840.3205187489</v>
      </c>
      <c r="E114" s="158" t="n">
        <v>337657.342804964</v>
      </c>
      <c r="F114" s="159" t="n">
        <v>18239.2734163655</v>
      </c>
      <c r="G114" s="160" t="n">
        <v>82215.1497764654</v>
      </c>
      <c r="H114" s="161" t="n">
        <v>301250984.5</v>
      </c>
      <c r="I114" s="162" t="n">
        <v>37.2975</v>
      </c>
      <c r="J114" s="163" t="str">
        <f>'Calculation_Assumptions'!$B$28*G114*(F114/G114)^'Calculation_Assumptions'!$B$29</f>
      </c>
      <c r="K114" s="164" t="str">
        <f>'Calculation_Assumptions'!$B$30*F114</f>
      </c>
      <c r="L114" s="165" t="str">
        <f>MAX(J114,K114)</f>
      </c>
      <c r="M114" s="166" t="str">
        <f>IF(F114=0,"",L114/F114)</f>
      </c>
      <c r="N114" s="167" t="str">
        <f>'Calculation_Assumptions'!$B$31*F114</f>
      </c>
      <c r="O114" s="168" t="str">
        <f>'Calculation_Assumptions'!$B$32*F114</f>
      </c>
      <c r="P114" s="169" t="str">
        <f>IF(I114=0,"",L114/I114)</f>
      </c>
      <c r="Q114" s="170" t="str">
        <f>L114*D114</f>
      </c>
      <c r="R114" s="171" t="str">
        <f>P114*E114</f>
      </c>
      <c r="S114" s="172" t="str">
        <f>N114*D114</f>
      </c>
      <c r="T114" s="173" t="str">
        <f>O114*D114</f>
      </c>
      <c r="U114" s="174" t="str">
        <f>1/(1+'Calculation_Assumptions'!$B$25)^(C114-'Calculation_Assumptions'!$B$24)</f>
      </c>
      <c r="V114" s="175" t="str">
        <f>Q114*U114</f>
      </c>
      <c r="W114" s="176" t="str">
        <f>R114*U114</f>
      </c>
      <c r="X114" s="177" t="str">
        <f>S114*U114</f>
      </c>
      <c r="Y114" s="178" t="str">
        <f>T114*U114</f>
      </c>
      <c r="Z114" s="179" t="str">
        <f>H114*F114</f>
      </c>
      <c r="AA114" s="180" t="str">
        <f>Z114*U114</f>
      </c>
      <c r="AB114" s="181" t="str">
        <f>IF(Z114=0,"",Q114/Z114)</f>
      </c>
    </row>
    <row r="115">
      <c r="A115" t="s">
        <v>254</v>
      </c>
      <c r="B115" s="35" t="s">
        <v>418</v>
      </c>
      <c r="C115" t="n">
        <v>2034</v>
      </c>
      <c r="D115" s="157" t="n">
        <v>19618.5993634232</v>
      </c>
      <c r="E115" s="158" t="n">
        <v>336634.271453896</v>
      </c>
      <c r="F115" s="159" t="n">
        <v>18803.5164890413</v>
      </c>
      <c r="G115" s="160" t="n">
        <v>83127.6150549084</v>
      </c>
      <c r="H115" s="161" t="n">
        <v>302938573</v>
      </c>
      <c r="I115" s="162" t="n">
        <v>37.4064</v>
      </c>
      <c r="J115" s="163" t="str">
        <f>'Calculation_Assumptions'!$B$28*G115*(F115/G115)^'Calculation_Assumptions'!$B$29</f>
      </c>
      <c r="K115" s="164" t="str">
        <f>'Calculation_Assumptions'!$B$30*F115</f>
      </c>
      <c r="L115" s="165" t="str">
        <f>MAX(J115,K115)</f>
      </c>
      <c r="M115" s="166" t="str">
        <f>IF(F115=0,"",L115/F115)</f>
      </c>
      <c r="N115" s="167" t="str">
        <f>'Calculation_Assumptions'!$B$31*F115</f>
      </c>
      <c r="O115" s="168" t="str">
        <f>'Calculation_Assumptions'!$B$32*F115</f>
      </c>
      <c r="P115" s="169" t="str">
        <f>IF(I115=0,"",L115/I115)</f>
      </c>
      <c r="Q115" s="170" t="str">
        <f>L115*D115</f>
      </c>
      <c r="R115" s="171" t="str">
        <f>P115*E115</f>
      </c>
      <c r="S115" s="172" t="str">
        <f>N115*D115</f>
      </c>
      <c r="T115" s="173" t="str">
        <f>O115*D115</f>
      </c>
      <c r="U115" s="174" t="str">
        <f>1/(1+'Calculation_Assumptions'!$B$25)^(C115-'Calculation_Assumptions'!$B$24)</f>
      </c>
      <c r="V115" s="175" t="str">
        <f>Q115*U115</f>
      </c>
      <c r="W115" s="176" t="str">
        <f>R115*U115</f>
      </c>
      <c r="X115" s="177" t="str">
        <f>S115*U115</f>
      </c>
      <c r="Y115" s="178" t="str">
        <f>T115*U115</f>
      </c>
      <c r="Z115" s="179" t="str">
        <f>H115*F115</f>
      </c>
      <c r="AA115" s="180" t="str">
        <f>Z115*U115</f>
      </c>
      <c r="AB115" s="181" t="str">
        <f>IF(Z115=0,"",Q115/Z115)</f>
      </c>
    </row>
    <row r="116">
      <c r="A116" t="s">
        <v>254</v>
      </c>
      <c r="B116" s="35" t="s">
        <v>418</v>
      </c>
      <c r="C116" t="n">
        <v>2035</v>
      </c>
      <c r="D116" s="157" t="n">
        <v>19521.6268436419</v>
      </c>
      <c r="E116" s="158" t="n">
        <v>337089.726868894</v>
      </c>
      <c r="F116" s="159" t="n">
        <v>19385.2147660882</v>
      </c>
      <c r="G116" s="160" t="n">
        <v>84050.2073341125</v>
      </c>
      <c r="H116" s="161" t="n">
        <v>304566622</v>
      </c>
      <c r="I116" s="162" t="n">
        <v>37.5179</v>
      </c>
      <c r="J116" s="163" t="str">
        <f>'Calculation_Assumptions'!$B$28*G116*(F116/G116)^'Calculation_Assumptions'!$B$29</f>
      </c>
      <c r="K116" s="164" t="str">
        <f>'Calculation_Assumptions'!$B$30*F116</f>
      </c>
      <c r="L116" s="165" t="str">
        <f>MAX(J116,K116)</f>
      </c>
      <c r="M116" s="166" t="str">
        <f>IF(F116=0,"",L116/F116)</f>
      </c>
      <c r="N116" s="167" t="str">
        <f>'Calculation_Assumptions'!$B$31*F116</f>
      </c>
      <c r="O116" s="168" t="str">
        <f>'Calculation_Assumptions'!$B$32*F116</f>
      </c>
      <c r="P116" s="169" t="str">
        <f>IF(I116=0,"",L116/I116)</f>
      </c>
      <c r="Q116" s="170" t="str">
        <f>L116*D116</f>
      </c>
      <c r="R116" s="171" t="str">
        <f>P116*E116</f>
      </c>
      <c r="S116" s="172" t="str">
        <f>N116*D116</f>
      </c>
      <c r="T116" s="173" t="str">
        <f>O116*D116</f>
      </c>
      <c r="U116" s="174" t="str">
        <f>1/(1+'Calculation_Assumptions'!$B$25)^(C116-'Calculation_Assumptions'!$B$24)</f>
      </c>
      <c r="V116" s="175" t="str">
        <f>Q116*U116</f>
      </c>
      <c r="W116" s="176" t="str">
        <f>R116*U116</f>
      </c>
      <c r="X116" s="177" t="str">
        <f>S116*U116</f>
      </c>
      <c r="Y116" s="178" t="str">
        <f>T116*U116</f>
      </c>
      <c r="Z116" s="179" t="str">
        <f>H116*F116</f>
      </c>
      <c r="AA116" s="180" t="str">
        <f>Z116*U116</f>
      </c>
      <c r="AB116" s="181" t="str">
        <f>IF(Z116=0,"",Q116/Z116)</f>
      </c>
    </row>
    <row r="117">
      <c r="A117" t="s">
        <v>254</v>
      </c>
      <c r="B117" s="35" t="s">
        <v>418</v>
      </c>
      <c r="C117" t="n">
        <v>2036</v>
      </c>
      <c r="D117" s="157" t="n">
        <v>22937.8034980457</v>
      </c>
      <c r="E117" s="158" t="n">
        <v>379489.787903804</v>
      </c>
      <c r="F117" s="159" t="n">
        <v>19931.358148438</v>
      </c>
      <c r="G117" s="160" t="n">
        <v>84847.8568068913</v>
      </c>
      <c r="H117" s="161" t="n">
        <v>306135098</v>
      </c>
      <c r="I117" s="162" t="n">
        <v>37.6267</v>
      </c>
      <c r="J117" s="163" t="str">
        <f>'Calculation_Assumptions'!$B$28*G117*(F117/G117)^'Calculation_Assumptions'!$B$29</f>
      </c>
      <c r="K117" s="164" t="str">
        <f>'Calculation_Assumptions'!$B$30*F117</f>
      </c>
      <c r="L117" s="165" t="str">
        <f>MAX(J117,K117)</f>
      </c>
      <c r="M117" s="166" t="str">
        <f>IF(F117=0,"",L117/F117)</f>
      </c>
      <c r="N117" s="167" t="str">
        <f>'Calculation_Assumptions'!$B$31*F117</f>
      </c>
      <c r="O117" s="168" t="str">
        <f>'Calculation_Assumptions'!$B$32*F117</f>
      </c>
      <c r="P117" s="169" t="str">
        <f>IF(I117=0,"",L117/I117)</f>
      </c>
      <c r="Q117" s="170" t="str">
        <f>L117*D117</f>
      </c>
      <c r="R117" s="171" t="str">
        <f>P117*E117</f>
      </c>
      <c r="S117" s="172" t="str">
        <f>N117*D117</f>
      </c>
      <c r="T117" s="173" t="str">
        <f>O117*D117</f>
      </c>
      <c r="U117" s="174" t="str">
        <f>1/(1+'Calculation_Assumptions'!$B$25)^(C117-'Calculation_Assumptions'!$B$24)</f>
      </c>
      <c r="V117" s="175" t="str">
        <f>Q117*U117</f>
      </c>
      <c r="W117" s="176" t="str">
        <f>R117*U117</f>
      </c>
      <c r="X117" s="177" t="str">
        <f>S117*U117</f>
      </c>
      <c r="Y117" s="178" t="str">
        <f>T117*U117</f>
      </c>
      <c r="Z117" s="179" t="str">
        <f>H117*F117</f>
      </c>
      <c r="AA117" s="180" t="str">
        <f>Z117*U117</f>
      </c>
      <c r="AB117" s="181" t="str">
        <f>IF(Z117=0,"",Q117/Z117)</f>
      </c>
    </row>
    <row r="118">
      <c r="A118" t="s">
        <v>254</v>
      </c>
      <c r="B118" s="35" t="s">
        <v>418</v>
      </c>
      <c r="C118" t="n">
        <v>2037</v>
      </c>
      <c r="D118" s="157" t="n">
        <v>26198.9758129173</v>
      </c>
      <c r="E118" s="158" t="n">
        <v>420534.630534366</v>
      </c>
      <c r="F118" s="159" t="n">
        <v>20492.8881332929</v>
      </c>
      <c r="G118" s="160" t="n">
        <v>85653.076096588</v>
      </c>
      <c r="H118" s="161" t="n">
        <v>307646417.5</v>
      </c>
      <c r="I118" s="162" t="n">
        <v>37.7369</v>
      </c>
      <c r="J118" s="163" t="str">
        <f>'Calculation_Assumptions'!$B$28*G118*(F118/G118)^'Calculation_Assumptions'!$B$29</f>
      </c>
      <c r="K118" s="164" t="str">
        <f>'Calculation_Assumptions'!$B$30*F118</f>
      </c>
      <c r="L118" s="165" t="str">
        <f>MAX(J118,K118)</f>
      </c>
      <c r="M118" s="166" t="str">
        <f>IF(F118=0,"",L118/F118)</f>
      </c>
      <c r="N118" s="167" t="str">
        <f>'Calculation_Assumptions'!$B$31*F118</f>
      </c>
      <c r="O118" s="168" t="str">
        <f>'Calculation_Assumptions'!$B$32*F118</f>
      </c>
      <c r="P118" s="169" t="str">
        <f>IF(I118=0,"",L118/I118)</f>
      </c>
      <c r="Q118" s="170" t="str">
        <f>L118*D118</f>
      </c>
      <c r="R118" s="171" t="str">
        <f>P118*E118</f>
      </c>
      <c r="S118" s="172" t="str">
        <f>N118*D118</f>
      </c>
      <c r="T118" s="173" t="str">
        <f>O118*D118</f>
      </c>
      <c r="U118" s="174" t="str">
        <f>1/(1+'Calculation_Assumptions'!$B$25)^(C118-'Calculation_Assumptions'!$B$24)</f>
      </c>
      <c r="V118" s="175" t="str">
        <f>Q118*U118</f>
      </c>
      <c r="W118" s="176" t="str">
        <f>R118*U118</f>
      </c>
      <c r="X118" s="177" t="str">
        <f>S118*U118</f>
      </c>
      <c r="Y118" s="178" t="str">
        <f>T118*U118</f>
      </c>
      <c r="Z118" s="179" t="str">
        <f>H118*F118</f>
      </c>
      <c r="AA118" s="180" t="str">
        <f>Z118*U118</f>
      </c>
      <c r="AB118" s="181" t="str">
        <f>IF(Z118=0,"",Q118/Z118)</f>
      </c>
    </row>
    <row r="119">
      <c r="A119" t="s">
        <v>254</v>
      </c>
      <c r="B119" s="35" t="s">
        <v>418</v>
      </c>
      <c r="C119" t="n">
        <v>2038</v>
      </c>
      <c r="D119" s="157" t="n">
        <v>29417.7014941745</v>
      </c>
      <c r="E119" s="158" t="n">
        <v>461106.88057246</v>
      </c>
      <c r="F119" s="159" t="n">
        <v>21070.2382103635</v>
      </c>
      <c r="G119" s="160" t="n">
        <v>86465.9370419363</v>
      </c>
      <c r="H119" s="161" t="n">
        <v>309096448</v>
      </c>
      <c r="I119" s="162" t="n">
        <v>37.8496</v>
      </c>
      <c r="J119" s="163" t="str">
        <f>'Calculation_Assumptions'!$B$28*G119*(F119/G119)^'Calculation_Assumptions'!$B$29</f>
      </c>
      <c r="K119" s="164" t="str">
        <f>'Calculation_Assumptions'!$B$30*F119</f>
      </c>
      <c r="L119" s="165" t="str">
        <f>MAX(J119,K119)</f>
      </c>
      <c r="M119" s="166" t="str">
        <f>IF(F119=0,"",L119/F119)</f>
      </c>
      <c r="N119" s="167" t="str">
        <f>'Calculation_Assumptions'!$B$31*F119</f>
      </c>
      <c r="O119" s="168" t="str">
        <f>'Calculation_Assumptions'!$B$32*F119</f>
      </c>
      <c r="P119" s="169" t="str">
        <f>IF(I119=0,"",L119/I119)</f>
      </c>
      <c r="Q119" s="170" t="str">
        <f>L119*D119</f>
      </c>
      <c r="R119" s="171" t="str">
        <f>P119*E119</f>
      </c>
      <c r="S119" s="172" t="str">
        <f>N119*D119</f>
      </c>
      <c r="T119" s="173" t="str">
        <f>O119*D119</f>
      </c>
      <c r="U119" s="174" t="str">
        <f>1/(1+'Calculation_Assumptions'!$B$25)^(C119-'Calculation_Assumptions'!$B$24)</f>
      </c>
      <c r="V119" s="175" t="str">
        <f>Q119*U119</f>
      </c>
      <c r="W119" s="176" t="str">
        <f>R119*U119</f>
      </c>
      <c r="X119" s="177" t="str">
        <f>S119*U119</f>
      </c>
      <c r="Y119" s="178" t="str">
        <f>T119*U119</f>
      </c>
      <c r="Z119" s="179" t="str">
        <f>H119*F119</f>
      </c>
      <c r="AA119" s="180" t="str">
        <f>Z119*U119</f>
      </c>
      <c r="AB119" s="181" t="str">
        <f>IF(Z119=0,"",Q119/Z119)</f>
      </c>
    </row>
    <row r="120">
      <c r="A120" t="s">
        <v>254</v>
      </c>
      <c r="B120" s="35" t="s">
        <v>418</v>
      </c>
      <c r="C120" t="n">
        <v>2039</v>
      </c>
      <c r="D120" s="157" t="n">
        <v>32663.9422201218</v>
      </c>
      <c r="E120" s="158" t="n">
        <v>502166.922230809</v>
      </c>
      <c r="F120" s="159" t="n">
        <v>21663.8540821491</v>
      </c>
      <c r="G120" s="160" t="n">
        <v>87286.5121634309</v>
      </c>
      <c r="H120" s="161" t="n">
        <v>310481120</v>
      </c>
      <c r="I120" s="162" t="n">
        <v>37.9582</v>
      </c>
      <c r="J120" s="163" t="str">
        <f>'Calculation_Assumptions'!$B$28*G120*(F120/G120)^'Calculation_Assumptions'!$B$29</f>
      </c>
      <c r="K120" s="164" t="str">
        <f>'Calculation_Assumptions'!$B$30*F120</f>
      </c>
      <c r="L120" s="165" t="str">
        <f>MAX(J120,K120)</f>
      </c>
      <c r="M120" s="166" t="str">
        <f>IF(F120=0,"",L120/F120)</f>
      </c>
      <c r="N120" s="167" t="str">
        <f>'Calculation_Assumptions'!$B$31*F120</f>
      </c>
      <c r="O120" s="168" t="str">
        <f>'Calculation_Assumptions'!$B$32*F120</f>
      </c>
      <c r="P120" s="169" t="str">
        <f>IF(I120=0,"",L120/I120)</f>
      </c>
      <c r="Q120" s="170" t="str">
        <f>L120*D120</f>
      </c>
      <c r="R120" s="171" t="str">
        <f>P120*E120</f>
      </c>
      <c r="S120" s="172" t="str">
        <f>N120*D120</f>
      </c>
      <c r="T120" s="173" t="str">
        <f>O120*D120</f>
      </c>
      <c r="U120" s="174" t="str">
        <f>1/(1+'Calculation_Assumptions'!$B$25)^(C120-'Calculation_Assumptions'!$B$24)</f>
      </c>
      <c r="V120" s="175" t="str">
        <f>Q120*U120</f>
      </c>
      <c r="W120" s="176" t="str">
        <f>R120*U120</f>
      </c>
      <c r="X120" s="177" t="str">
        <f>S120*U120</f>
      </c>
      <c r="Y120" s="178" t="str">
        <f>T120*U120</f>
      </c>
      <c r="Z120" s="179" t="str">
        <f>H120*F120</f>
      </c>
      <c r="AA120" s="180" t="str">
        <f>Z120*U120</f>
      </c>
      <c r="AB120" s="181" t="str">
        <f>IF(Z120=0,"",Q120/Z120)</f>
      </c>
    </row>
    <row r="121">
      <c r="A121" t="s">
        <v>254</v>
      </c>
      <c r="B121" s="35" t="s">
        <v>418</v>
      </c>
      <c r="C121" t="n">
        <v>2040</v>
      </c>
      <c r="D121" s="157" t="n">
        <v>35930.5099974931</v>
      </c>
      <c r="E121" s="158" t="n">
        <v>543487.825968428</v>
      </c>
      <c r="F121" s="159" t="n">
        <v>22274.1940080113</v>
      </c>
      <c r="G121" s="160" t="n">
        <v>88114.8746697968</v>
      </c>
      <c r="H121" s="161" t="n">
        <v>311797395.5</v>
      </c>
      <c r="I121" s="162" t="n">
        <v>38.0715</v>
      </c>
      <c r="J121" s="163" t="str">
        <f>'Calculation_Assumptions'!$B$28*G121*(F121/G121)^'Calculation_Assumptions'!$B$29</f>
      </c>
      <c r="K121" s="164" t="str">
        <f>'Calculation_Assumptions'!$B$30*F121</f>
      </c>
      <c r="L121" s="165" t="str">
        <f>MAX(J121,K121)</f>
      </c>
      <c r="M121" s="166" t="str">
        <f>IF(F121=0,"",L121/F121)</f>
      </c>
      <c r="N121" s="167" t="str">
        <f>'Calculation_Assumptions'!$B$31*F121</f>
      </c>
      <c r="O121" s="168" t="str">
        <f>'Calculation_Assumptions'!$B$32*F121</f>
      </c>
      <c r="P121" s="169" t="str">
        <f>IF(I121=0,"",L121/I121)</f>
      </c>
      <c r="Q121" s="170" t="str">
        <f>L121*D121</f>
      </c>
      <c r="R121" s="171" t="str">
        <f>P121*E121</f>
      </c>
      <c r="S121" s="172" t="str">
        <f>N121*D121</f>
      </c>
      <c r="T121" s="173" t="str">
        <f>O121*D121</f>
      </c>
      <c r="U121" s="174" t="str">
        <f>1/(1+'Calculation_Assumptions'!$B$25)^(C121-'Calculation_Assumptions'!$B$24)</f>
      </c>
      <c r="V121" s="175" t="str">
        <f>Q121*U121</f>
      </c>
      <c r="W121" s="176" t="str">
        <f>R121*U121</f>
      </c>
      <c r="X121" s="177" t="str">
        <f>S121*U121</f>
      </c>
      <c r="Y121" s="178" t="str">
        <f>T121*U121</f>
      </c>
      <c r="Z121" s="179" t="str">
        <f>H121*F121</f>
      </c>
      <c r="AA121" s="180" t="str">
        <f>Z121*U121</f>
      </c>
      <c r="AB121" s="181" t="str">
        <f>IF(Z121=0,"",Q121/Z121)</f>
      </c>
    </row>
    <row r="122">
      <c r="A122" t="s">
        <v>254</v>
      </c>
      <c r="B122" s="35" t="s">
        <v>418</v>
      </c>
      <c r="C122" t="n">
        <v>2041</v>
      </c>
      <c r="D122" s="157" t="n">
        <v>35392.4446992498</v>
      </c>
      <c r="E122" s="158" t="n">
        <v>540193.572973297</v>
      </c>
      <c r="F122" s="159" t="n">
        <v>22835.7817990268</v>
      </c>
      <c r="G122" s="160" t="n">
        <v>88881.5613597912</v>
      </c>
      <c r="H122" s="161" t="n">
        <v>313041661</v>
      </c>
      <c r="I122" s="162" t="n">
        <v>37.2583</v>
      </c>
      <c r="J122" s="163" t="str">
        <f>'Calculation_Assumptions'!$B$28*G122*(F122/G122)^'Calculation_Assumptions'!$B$29</f>
      </c>
      <c r="K122" s="164" t="str">
        <f>'Calculation_Assumptions'!$B$30*F122</f>
      </c>
      <c r="L122" s="165" t="str">
        <f>MAX(J122,K122)</f>
      </c>
      <c r="M122" s="166" t="str">
        <f>IF(F122=0,"",L122/F122)</f>
      </c>
      <c r="N122" s="167" t="str">
        <f>'Calculation_Assumptions'!$B$31*F122</f>
      </c>
      <c r="O122" s="168" t="str">
        <f>'Calculation_Assumptions'!$B$32*F122</f>
      </c>
      <c r="P122" s="169" t="str">
        <f>IF(I122=0,"",L122/I122)</f>
      </c>
      <c r="Q122" s="170" t="str">
        <f>L122*D122</f>
      </c>
      <c r="R122" s="171" t="str">
        <f>P122*E122</f>
      </c>
      <c r="S122" s="172" t="str">
        <f>N122*D122</f>
      </c>
      <c r="T122" s="173" t="str">
        <f>O122*D122</f>
      </c>
      <c r="U122" s="174" t="str">
        <f>1/(1+'Calculation_Assumptions'!$B$25)^(C122-'Calculation_Assumptions'!$B$24)</f>
      </c>
      <c r="V122" s="175" t="str">
        <f>Q122*U122</f>
      </c>
      <c r="W122" s="176" t="str">
        <f>R122*U122</f>
      </c>
      <c r="X122" s="177" t="str">
        <f>S122*U122</f>
      </c>
      <c r="Y122" s="178" t="str">
        <f>T122*U122</f>
      </c>
      <c r="Z122" s="179" t="str">
        <f>H122*F122</f>
      </c>
      <c r="AA122" s="180" t="str">
        <f>Z122*U122</f>
      </c>
      <c r="AB122" s="181" t="str">
        <f>IF(Z122=0,"",Q122/Z122)</f>
      </c>
    </row>
    <row r="123">
      <c r="A123" t="s">
        <v>254</v>
      </c>
      <c r="B123" s="35" t="s">
        <v>418</v>
      </c>
      <c r="C123" t="n">
        <v>2042</v>
      </c>
      <c r="D123" s="157" t="n">
        <v>35148.6028971142</v>
      </c>
      <c r="E123" s="158" t="n">
        <v>539876.609591559</v>
      </c>
      <c r="F123" s="159" t="n">
        <v>23411.5286140188</v>
      </c>
      <c r="G123" s="160" t="n">
        <v>89654.918983414</v>
      </c>
      <c r="H123" s="161" t="n">
        <v>314211282.5</v>
      </c>
      <c r="I123" s="162" t="n">
        <v>37.3732</v>
      </c>
      <c r="J123" s="163" t="str">
        <f>'Calculation_Assumptions'!$B$28*G123*(F123/G123)^'Calculation_Assumptions'!$B$29</f>
      </c>
      <c r="K123" s="164" t="str">
        <f>'Calculation_Assumptions'!$B$30*F123</f>
      </c>
      <c r="L123" s="165" t="str">
        <f>MAX(J123,K123)</f>
      </c>
      <c r="M123" s="166" t="str">
        <f>IF(F123=0,"",L123/F123)</f>
      </c>
      <c r="N123" s="167" t="str">
        <f>'Calculation_Assumptions'!$B$31*F123</f>
      </c>
      <c r="O123" s="168" t="str">
        <f>'Calculation_Assumptions'!$B$32*F123</f>
      </c>
      <c r="P123" s="169" t="str">
        <f>IF(I123=0,"",L123/I123)</f>
      </c>
      <c r="Q123" s="170" t="str">
        <f>L123*D123</f>
      </c>
      <c r="R123" s="171" t="str">
        <f>P123*E123</f>
      </c>
      <c r="S123" s="172" t="str">
        <f>N123*D123</f>
      </c>
      <c r="T123" s="173" t="str">
        <f>O123*D123</f>
      </c>
      <c r="U123" s="174" t="str">
        <f>1/(1+'Calculation_Assumptions'!$B$25)^(C123-'Calculation_Assumptions'!$B$24)</f>
      </c>
      <c r="V123" s="175" t="str">
        <f>Q123*U123</f>
      </c>
      <c r="W123" s="176" t="str">
        <f>R123*U123</f>
      </c>
      <c r="X123" s="177" t="str">
        <f>S123*U123</f>
      </c>
      <c r="Y123" s="178" t="str">
        <f>T123*U123</f>
      </c>
      <c r="Z123" s="179" t="str">
        <f>H123*F123</f>
      </c>
      <c r="AA123" s="180" t="str">
        <f>Z123*U123</f>
      </c>
      <c r="AB123" s="181" t="str">
        <f>IF(Z123=0,"",Q123/Z123)</f>
      </c>
    </row>
    <row r="124">
      <c r="A124" t="s">
        <v>254</v>
      </c>
      <c r="B124" s="35" t="s">
        <v>418</v>
      </c>
      <c r="C124" t="n">
        <v>2043</v>
      </c>
      <c r="D124" s="157" t="n">
        <v>35040.7539312594</v>
      </c>
      <c r="E124" s="158" t="n">
        <v>540883.657672954</v>
      </c>
      <c r="F124" s="159" t="n">
        <v>24001.7914371726</v>
      </c>
      <c r="G124" s="160" t="n">
        <v>90435.0055843959</v>
      </c>
      <c r="H124" s="161" t="n">
        <v>315304312</v>
      </c>
      <c r="I124" s="162" t="n">
        <v>37.4911</v>
      </c>
      <c r="J124" s="163" t="str">
        <f>'Calculation_Assumptions'!$B$28*G124*(F124/G124)^'Calculation_Assumptions'!$B$29</f>
      </c>
      <c r="K124" s="164" t="str">
        <f>'Calculation_Assumptions'!$B$30*F124</f>
      </c>
      <c r="L124" s="165" t="str">
        <f>MAX(J124,K124)</f>
      </c>
      <c r="M124" s="166" t="str">
        <f>IF(F124=0,"",L124/F124)</f>
      </c>
      <c r="N124" s="167" t="str">
        <f>'Calculation_Assumptions'!$B$31*F124</f>
      </c>
      <c r="O124" s="168" t="str">
        <f>'Calculation_Assumptions'!$B$32*F124</f>
      </c>
      <c r="P124" s="169" t="str">
        <f>IF(I124=0,"",L124/I124)</f>
      </c>
      <c r="Q124" s="170" t="str">
        <f>L124*D124</f>
      </c>
      <c r="R124" s="171" t="str">
        <f>P124*E124</f>
      </c>
      <c r="S124" s="172" t="str">
        <f>N124*D124</f>
      </c>
      <c r="T124" s="173" t="str">
        <f>O124*D124</f>
      </c>
      <c r="U124" s="174" t="str">
        <f>1/(1+'Calculation_Assumptions'!$B$25)^(C124-'Calculation_Assumptions'!$B$24)</f>
      </c>
      <c r="V124" s="175" t="str">
        <f>Q124*U124</f>
      </c>
      <c r="W124" s="176" t="str">
        <f>R124*U124</f>
      </c>
      <c r="X124" s="177" t="str">
        <f>S124*U124</f>
      </c>
      <c r="Y124" s="178" t="str">
        <f>T124*U124</f>
      </c>
      <c r="Z124" s="179" t="str">
        <f>H124*F124</f>
      </c>
      <c r="AA124" s="180" t="str">
        <f>Z124*U124</f>
      </c>
      <c r="AB124" s="181" t="str">
        <f>IF(Z124=0,"",Q124/Z124)</f>
      </c>
    </row>
    <row r="125">
      <c r="A125" t="s">
        <v>254</v>
      </c>
      <c r="B125" s="35" t="s">
        <v>418</v>
      </c>
      <c r="C125" t="n">
        <v>2044</v>
      </c>
      <c r="D125" s="157" t="n">
        <v>35024.5929247465</v>
      </c>
      <c r="E125" s="158" t="n">
        <v>542959.752580644</v>
      </c>
      <c r="F125" s="159" t="n">
        <v>24606.9362531317</v>
      </c>
      <c r="G125" s="160" t="n">
        <v>91221.8797115048</v>
      </c>
      <c r="H125" s="161" t="n">
        <v>316318415.5</v>
      </c>
      <c r="I125" s="162" t="n">
        <v>37.6099</v>
      </c>
      <c r="J125" s="163" t="str">
        <f>'Calculation_Assumptions'!$B$28*G125*(F125/G125)^'Calculation_Assumptions'!$B$29</f>
      </c>
      <c r="K125" s="164" t="str">
        <f>'Calculation_Assumptions'!$B$30*F125</f>
      </c>
      <c r="L125" s="165" t="str">
        <f>MAX(J125,K125)</f>
      </c>
      <c r="M125" s="166" t="str">
        <f>IF(F125=0,"",L125/F125)</f>
      </c>
      <c r="N125" s="167" t="str">
        <f>'Calculation_Assumptions'!$B$31*F125</f>
      </c>
      <c r="O125" s="168" t="str">
        <f>'Calculation_Assumptions'!$B$32*F125</f>
      </c>
      <c r="P125" s="169" t="str">
        <f>IF(I125=0,"",L125/I125)</f>
      </c>
      <c r="Q125" s="170" t="str">
        <f>L125*D125</f>
      </c>
      <c r="R125" s="171" t="str">
        <f>P125*E125</f>
      </c>
      <c r="S125" s="172" t="str">
        <f>N125*D125</f>
      </c>
      <c r="T125" s="173" t="str">
        <f>O125*D125</f>
      </c>
      <c r="U125" s="174" t="str">
        <f>1/(1+'Calculation_Assumptions'!$B$25)^(C125-'Calculation_Assumptions'!$B$24)</f>
      </c>
      <c r="V125" s="175" t="str">
        <f>Q125*U125</f>
      </c>
      <c r="W125" s="176" t="str">
        <f>R125*U125</f>
      </c>
      <c r="X125" s="177" t="str">
        <f>S125*U125</f>
      </c>
      <c r="Y125" s="178" t="str">
        <f>T125*U125</f>
      </c>
      <c r="Z125" s="179" t="str">
        <f>H125*F125</f>
      </c>
      <c r="AA125" s="180" t="str">
        <f>Z125*U125</f>
      </c>
      <c r="AB125" s="181" t="str">
        <f>IF(Z125=0,"",Q125/Z125)</f>
      </c>
    </row>
    <row r="126">
      <c r="A126" t="s">
        <v>254</v>
      </c>
      <c r="B126" s="35" t="s">
        <v>418</v>
      </c>
      <c r="C126" t="n">
        <v>2045</v>
      </c>
      <c r="D126" s="157" t="n">
        <v>35073.251533789</v>
      </c>
      <c r="E126" s="158" t="n">
        <v>545659.369988531</v>
      </c>
      <c r="F126" s="159" t="n">
        <v>25227.3382739225</v>
      </c>
      <c r="G126" s="160" t="n">
        <v>92015.6004229417</v>
      </c>
      <c r="H126" s="161" t="n">
        <v>317249613</v>
      </c>
      <c r="I126" s="162" t="n">
        <v>37.7245</v>
      </c>
      <c r="J126" s="163" t="str">
        <f>'Calculation_Assumptions'!$B$28*G126*(F126/G126)^'Calculation_Assumptions'!$B$29</f>
      </c>
      <c r="K126" s="164" t="str">
        <f>'Calculation_Assumptions'!$B$30*F126</f>
      </c>
      <c r="L126" s="165" t="str">
        <f>MAX(J126,K126)</f>
      </c>
      <c r="M126" s="166" t="str">
        <f>IF(F126=0,"",L126/F126)</f>
      </c>
      <c r="N126" s="167" t="str">
        <f>'Calculation_Assumptions'!$B$31*F126</f>
      </c>
      <c r="O126" s="168" t="str">
        <f>'Calculation_Assumptions'!$B$32*F126</f>
      </c>
      <c r="P126" s="169" t="str">
        <f>IF(I126=0,"",L126/I126)</f>
      </c>
      <c r="Q126" s="170" t="str">
        <f>L126*D126</f>
      </c>
      <c r="R126" s="171" t="str">
        <f>P126*E126</f>
      </c>
      <c r="S126" s="172" t="str">
        <f>N126*D126</f>
      </c>
      <c r="T126" s="173" t="str">
        <f>O126*D126</f>
      </c>
      <c r="U126" s="174" t="str">
        <f>1/(1+'Calculation_Assumptions'!$B$25)^(C126-'Calculation_Assumptions'!$B$24)</f>
      </c>
      <c r="V126" s="175" t="str">
        <f>Q126*U126</f>
      </c>
      <c r="W126" s="176" t="str">
        <f>R126*U126</f>
      </c>
      <c r="X126" s="177" t="str">
        <f>S126*U126</f>
      </c>
      <c r="Y126" s="178" t="str">
        <f>T126*U126</f>
      </c>
      <c r="Z126" s="179" t="str">
        <f>H126*F126</f>
      </c>
      <c r="AA126" s="180" t="str">
        <f>Z126*U126</f>
      </c>
      <c r="AB126" s="181" t="str">
        <f>IF(Z126=0,"",Q126/Z126)</f>
      </c>
    </row>
    <row r="127">
      <c r="A127" t="s">
        <v>254</v>
      </c>
      <c r="B127" s="35" t="s">
        <v>418</v>
      </c>
      <c r="C127" t="n">
        <v>2046</v>
      </c>
      <c r="D127" s="157" t="n">
        <v>35164.5849359103</v>
      </c>
      <c r="E127" s="158" t="n">
        <v>548689.947274872</v>
      </c>
      <c r="F127" s="159" t="n">
        <v>25797.7023007031</v>
      </c>
      <c r="G127" s="160" t="n">
        <v>92766.6954417819</v>
      </c>
      <c r="H127" s="161" t="n">
        <v>318096573.5</v>
      </c>
      <c r="I127" s="162" t="n">
        <v>37.8362</v>
      </c>
      <c r="J127" s="163" t="str">
        <f>'Calculation_Assumptions'!$B$28*G127*(F127/G127)^'Calculation_Assumptions'!$B$29</f>
      </c>
      <c r="K127" s="164" t="str">
        <f>'Calculation_Assumptions'!$B$30*F127</f>
      </c>
      <c r="L127" s="165" t="str">
        <f>MAX(J127,K127)</f>
      </c>
      <c r="M127" s="166" t="str">
        <f>IF(F127=0,"",L127/F127)</f>
      </c>
      <c r="N127" s="167" t="str">
        <f>'Calculation_Assumptions'!$B$31*F127</f>
      </c>
      <c r="O127" s="168" t="str">
        <f>'Calculation_Assumptions'!$B$32*F127</f>
      </c>
      <c r="P127" s="169" t="str">
        <f>IF(I127=0,"",L127/I127)</f>
      </c>
      <c r="Q127" s="170" t="str">
        <f>L127*D127</f>
      </c>
      <c r="R127" s="171" t="str">
        <f>P127*E127</f>
      </c>
      <c r="S127" s="172" t="str">
        <f>N127*D127</f>
      </c>
      <c r="T127" s="173" t="str">
        <f>O127*D127</f>
      </c>
      <c r="U127" s="174" t="str">
        <f>1/(1+'Calculation_Assumptions'!$B$25)^(C127-'Calculation_Assumptions'!$B$24)</f>
      </c>
      <c r="V127" s="175" t="str">
        <f>Q127*U127</f>
      </c>
      <c r="W127" s="176" t="str">
        <f>R127*U127</f>
      </c>
      <c r="X127" s="177" t="str">
        <f>S127*U127</f>
      </c>
      <c r="Y127" s="178" t="str">
        <f>T127*U127</f>
      </c>
      <c r="Z127" s="179" t="str">
        <f>H127*F127</f>
      </c>
      <c r="AA127" s="180" t="str">
        <f>Z127*U127</f>
      </c>
      <c r="AB127" s="181" t="str">
        <f>IF(Z127=0,"",Q127/Z127)</f>
      </c>
    </row>
    <row r="128">
      <c r="A128" t="s">
        <v>254</v>
      </c>
      <c r="B128" s="35" t="s">
        <v>418</v>
      </c>
      <c r="C128" t="n">
        <v>2047</v>
      </c>
      <c r="D128" s="157" t="n">
        <v>35282.4802381619</v>
      </c>
      <c r="E128" s="158" t="n">
        <v>552015.17230028</v>
      </c>
      <c r="F128" s="159" t="n">
        <v>26380.9616682253</v>
      </c>
      <c r="G128" s="160" t="n">
        <v>93523.921418033</v>
      </c>
      <c r="H128" s="161" t="n">
        <v>318862019.5</v>
      </c>
      <c r="I128" s="162" t="n">
        <v>37.9489</v>
      </c>
      <c r="J128" s="163" t="str">
        <f>'Calculation_Assumptions'!$B$28*G128*(F128/G128)^'Calculation_Assumptions'!$B$29</f>
      </c>
      <c r="K128" s="164" t="str">
        <f>'Calculation_Assumptions'!$B$30*F128</f>
      </c>
      <c r="L128" s="165" t="str">
        <f>MAX(J128,K128)</f>
      </c>
      <c r="M128" s="166" t="str">
        <f>IF(F128=0,"",L128/F128)</f>
      </c>
      <c r="N128" s="167" t="str">
        <f>'Calculation_Assumptions'!$B$31*F128</f>
      </c>
      <c r="O128" s="168" t="str">
        <f>'Calculation_Assumptions'!$B$32*F128</f>
      </c>
      <c r="P128" s="169" t="str">
        <f>IF(I128=0,"",L128/I128)</f>
      </c>
      <c r="Q128" s="170" t="str">
        <f>L128*D128</f>
      </c>
      <c r="R128" s="171" t="str">
        <f>P128*E128</f>
      </c>
      <c r="S128" s="172" t="str">
        <f>N128*D128</f>
      </c>
      <c r="T128" s="173" t="str">
        <f>O128*D128</f>
      </c>
      <c r="U128" s="174" t="str">
        <f>1/(1+'Calculation_Assumptions'!$B$25)^(C128-'Calculation_Assumptions'!$B$24)</f>
      </c>
      <c r="V128" s="175" t="str">
        <f>Q128*U128</f>
      </c>
      <c r="W128" s="176" t="str">
        <f>R128*U128</f>
      </c>
      <c r="X128" s="177" t="str">
        <f>S128*U128</f>
      </c>
      <c r="Y128" s="178" t="str">
        <f>T128*U128</f>
      </c>
      <c r="Z128" s="179" t="str">
        <f>H128*F128</f>
      </c>
      <c r="AA128" s="180" t="str">
        <f>Z128*U128</f>
      </c>
      <c r="AB128" s="181" t="str">
        <f>IF(Z128=0,"",Q128/Z128)</f>
      </c>
    </row>
    <row r="129">
      <c r="A129" t="s">
        <v>254</v>
      </c>
      <c r="B129" s="35" t="s">
        <v>418</v>
      </c>
      <c r="C129" t="n">
        <v>2048</v>
      </c>
      <c r="D129" s="157" t="n">
        <v>35400.9452032162</v>
      </c>
      <c r="E129" s="158" t="n">
        <v>555240.802971597</v>
      </c>
      <c r="F129" s="159" t="n">
        <v>26977.4079268061</v>
      </c>
      <c r="G129" s="160" t="n">
        <v>94287.3283968127</v>
      </c>
      <c r="H129" s="161" t="n">
        <v>319554652.5</v>
      </c>
      <c r="I129" s="162" t="n">
        <v>38.0645</v>
      </c>
      <c r="J129" s="163" t="str">
        <f>'Calculation_Assumptions'!$B$28*G129*(F129/G129)^'Calculation_Assumptions'!$B$29</f>
      </c>
      <c r="K129" s="164" t="str">
        <f>'Calculation_Assumptions'!$B$30*F129</f>
      </c>
      <c r="L129" s="165" t="str">
        <f>MAX(J129,K129)</f>
      </c>
      <c r="M129" s="166" t="str">
        <f>IF(F129=0,"",L129/F129)</f>
      </c>
      <c r="N129" s="167" t="str">
        <f>'Calculation_Assumptions'!$B$31*F129</f>
      </c>
      <c r="O129" s="168" t="str">
        <f>'Calculation_Assumptions'!$B$32*F129</f>
      </c>
      <c r="P129" s="169" t="str">
        <f>IF(I129=0,"",L129/I129)</f>
      </c>
      <c r="Q129" s="170" t="str">
        <f>L129*D129</f>
      </c>
      <c r="R129" s="171" t="str">
        <f>P129*E129</f>
      </c>
      <c r="S129" s="172" t="str">
        <f>N129*D129</f>
      </c>
      <c r="T129" s="173" t="str">
        <f>O129*D129</f>
      </c>
      <c r="U129" s="174" t="str">
        <f>1/(1+'Calculation_Assumptions'!$B$25)^(C129-'Calculation_Assumptions'!$B$24)</f>
      </c>
      <c r="V129" s="175" t="str">
        <f>Q129*U129</f>
      </c>
      <c r="W129" s="176" t="str">
        <f>R129*U129</f>
      </c>
      <c r="X129" s="177" t="str">
        <f>S129*U129</f>
      </c>
      <c r="Y129" s="178" t="str">
        <f>T129*U129</f>
      </c>
      <c r="Z129" s="179" t="str">
        <f>H129*F129</f>
      </c>
      <c r="AA129" s="180" t="str">
        <f>Z129*U129</f>
      </c>
      <c r="AB129" s="181" t="str">
        <f>IF(Z129=0,"",Q129/Z129)</f>
      </c>
    </row>
    <row r="130">
      <c r="A130" t="s">
        <v>254</v>
      </c>
      <c r="B130" s="35" t="s">
        <v>418</v>
      </c>
      <c r="C130" t="n">
        <v>2049</v>
      </c>
      <c r="D130" s="157" t="n">
        <v>35547.8710338322</v>
      </c>
      <c r="E130" s="158" t="n">
        <v>558683.835381716</v>
      </c>
      <c r="F130" s="159" t="n">
        <v>27587.3392184138</v>
      </c>
      <c r="G130" s="160" t="n">
        <v>95056.9668317421</v>
      </c>
      <c r="H130" s="161" t="n">
        <v>320173250</v>
      </c>
      <c r="I130" s="162" t="n">
        <v>38.1755</v>
      </c>
      <c r="J130" s="163" t="str">
        <f>'Calculation_Assumptions'!$B$28*G130*(F130/G130)^'Calculation_Assumptions'!$B$29</f>
      </c>
      <c r="K130" s="164" t="str">
        <f>'Calculation_Assumptions'!$B$30*F130</f>
      </c>
      <c r="L130" s="165" t="str">
        <f>MAX(J130,K130)</f>
      </c>
      <c r="M130" s="166" t="str">
        <f>IF(F130=0,"",L130/F130)</f>
      </c>
      <c r="N130" s="167" t="str">
        <f>'Calculation_Assumptions'!$B$31*F130</f>
      </c>
      <c r="O130" s="168" t="str">
        <f>'Calculation_Assumptions'!$B$32*F130</f>
      </c>
      <c r="P130" s="169" t="str">
        <f>IF(I130=0,"",L130/I130)</f>
      </c>
      <c r="Q130" s="170" t="str">
        <f>L130*D130</f>
      </c>
      <c r="R130" s="171" t="str">
        <f>P130*E130</f>
      </c>
      <c r="S130" s="172" t="str">
        <f>N130*D130</f>
      </c>
      <c r="T130" s="173" t="str">
        <f>O130*D130</f>
      </c>
      <c r="U130" s="174" t="str">
        <f>1/(1+'Calculation_Assumptions'!$B$25)^(C130-'Calculation_Assumptions'!$B$24)</f>
      </c>
      <c r="V130" s="175" t="str">
        <f>Q130*U130</f>
      </c>
      <c r="W130" s="176" t="str">
        <f>R130*U130</f>
      </c>
      <c r="X130" s="177" t="str">
        <f>S130*U130</f>
      </c>
      <c r="Y130" s="178" t="str">
        <f>T130*U130</f>
      </c>
      <c r="Z130" s="179" t="str">
        <f>H130*F130</f>
      </c>
      <c r="AA130" s="180" t="str">
        <f>Z130*U130</f>
      </c>
      <c r="AB130" s="181" t="str">
        <f>IF(Z130=0,"",Q130/Z130)</f>
      </c>
    </row>
    <row r="131">
      <c r="A131" t="s">
        <v>254</v>
      </c>
      <c r="B131" s="35" t="s">
        <v>418</v>
      </c>
      <c r="C131" t="n">
        <v>2050</v>
      </c>
      <c r="D131" s="157" t="n">
        <v>35705.51985376</v>
      </c>
      <c r="E131" s="158" t="n">
        <v>562206.189057983</v>
      </c>
      <c r="F131" s="159" t="n">
        <v>28211.0604256979</v>
      </c>
      <c r="G131" s="160" t="n">
        <v>95832.8875882792</v>
      </c>
      <c r="H131" s="161" t="n">
        <v>320712949.5</v>
      </c>
      <c r="I131" s="162" t="n">
        <v>38.286</v>
      </c>
      <c r="J131" s="163" t="str">
        <f>'Calculation_Assumptions'!$B$28*G131*(F131/G131)^'Calculation_Assumptions'!$B$29</f>
      </c>
      <c r="K131" s="164" t="str">
        <f>'Calculation_Assumptions'!$B$30*F131</f>
      </c>
      <c r="L131" s="165" t="str">
        <f>MAX(J131,K131)</f>
      </c>
      <c r="M131" s="166" t="str">
        <f>IF(F131=0,"",L131/F131)</f>
      </c>
      <c r="N131" s="167" t="str">
        <f>'Calculation_Assumptions'!$B$31*F131</f>
      </c>
      <c r="O131" s="168" t="str">
        <f>'Calculation_Assumptions'!$B$32*F131</f>
      </c>
      <c r="P131" s="169" t="str">
        <f>IF(I131=0,"",L131/I131)</f>
      </c>
      <c r="Q131" s="170" t="str">
        <f>L131*D131</f>
      </c>
      <c r="R131" s="171" t="str">
        <f>P131*E131</f>
      </c>
      <c r="S131" s="172" t="str">
        <f>N131*D131</f>
      </c>
      <c r="T131" s="173" t="str">
        <f>O131*D131</f>
      </c>
      <c r="U131" s="174" t="str">
        <f>1/(1+'Calculation_Assumptions'!$B$25)^(C131-'Calculation_Assumptions'!$B$24)</f>
      </c>
      <c r="V131" s="175" t="str">
        <f>Q131*U131</f>
      </c>
      <c r="W131" s="176" t="str">
        <f>R131*U131</f>
      </c>
      <c r="X131" s="177" t="str">
        <f>S131*U131</f>
      </c>
      <c r="Y131" s="178" t="str">
        <f>T131*U131</f>
      </c>
      <c r="Z131" s="179" t="str">
        <f>H131*F131</f>
      </c>
      <c r="AA131" s="180" t="str">
        <f>Z131*U131</f>
      </c>
      <c r="AB131" s="181" t="str">
        <f>IF(Z131=0,"",Q131/Z131)</f>
      </c>
    </row>
    <row r="132">
      <c r="A132" t="s">
        <v>219</v>
      </c>
      <c r="B132" s="35" t="s">
        <v>221</v>
      </c>
      <c r="C132" t="n">
        <v>2025</v>
      </c>
      <c r="D132" s="157" t="n">
        <v>0.000000000243056658133511</v>
      </c>
      <c r="E132" s="158" t="n">
        <v>0.00000000719933224146985</v>
      </c>
      <c r="F132" s="159" t="n">
        <v>13851.4910785419</v>
      </c>
      <c r="G132" s="160" t="n">
        <v>74136.3707949527</v>
      </c>
      <c r="H132" s="161" t="n">
        <v>285721235.5</v>
      </c>
      <c r="I132" s="162" t="n">
        <v>37.51</v>
      </c>
      <c r="J132" s="163" t="str">
        <f>'Calculation_Assumptions'!$B$28*G132*(F132/G132)^'Calculation_Assumptions'!$B$29</f>
      </c>
      <c r="K132" s="164" t="str">
        <f>'Calculation_Assumptions'!$B$30*F132</f>
      </c>
      <c r="L132" s="165" t="str">
        <f>MAX(J132,K132)</f>
      </c>
      <c r="M132" s="166" t="str">
        <f>IF(F132=0,"",L132/F132)</f>
      </c>
      <c r="N132" s="167" t="str">
        <f>'Calculation_Assumptions'!$B$31*F132</f>
      </c>
      <c r="O132" s="168" t="str">
        <f>'Calculation_Assumptions'!$B$32*F132</f>
      </c>
      <c r="P132" s="169" t="str">
        <f>IF(I132=0,"",L132/I132)</f>
      </c>
      <c r="Q132" s="170" t="str">
        <f>L132*D132</f>
      </c>
      <c r="R132" s="171" t="str">
        <f>P132*E132</f>
      </c>
      <c r="S132" s="172" t="str">
        <f>N132*D132</f>
      </c>
      <c r="T132" s="173" t="str">
        <f>O132*D132</f>
      </c>
      <c r="U132" s="174" t="str">
        <f>1/(1+'Calculation_Assumptions'!$B$25)^(C132-'Calculation_Assumptions'!$B$24)</f>
      </c>
      <c r="V132" s="175" t="str">
        <f>Q132*U132</f>
      </c>
      <c r="W132" s="176" t="str">
        <f>R132*U132</f>
      </c>
      <c r="X132" s="177" t="str">
        <f>S132*U132</f>
      </c>
      <c r="Y132" s="178" t="str">
        <f>T132*U132</f>
      </c>
      <c r="Z132" s="179" t="str">
        <f>H132*F132</f>
      </c>
      <c r="AA132" s="180" t="str">
        <f>Z132*U132</f>
      </c>
      <c r="AB132" s="181" t="str">
        <f>IF(Z132=0,"",Q132/Z132)</f>
      </c>
    </row>
    <row r="133">
      <c r="A133" t="s">
        <v>219</v>
      </c>
      <c r="B133" s="35" t="s">
        <v>221</v>
      </c>
      <c r="C133" t="n">
        <v>2026</v>
      </c>
      <c r="D133" s="157" t="n">
        <v>2106.37293537502</v>
      </c>
      <c r="E133" s="158" t="n">
        <v>35438.900199896</v>
      </c>
      <c r="F133" s="159" t="n">
        <v>14370.1004216288</v>
      </c>
      <c r="G133" s="160" t="n">
        <v>75186.4097436074</v>
      </c>
      <c r="H133" s="161" t="n">
        <v>287886782.5</v>
      </c>
      <c r="I133" s="162" t="n">
        <v>37.5883</v>
      </c>
      <c r="J133" s="163" t="str">
        <f>'Calculation_Assumptions'!$B$28*G133*(F133/G133)^'Calculation_Assumptions'!$B$29</f>
      </c>
      <c r="K133" s="164" t="str">
        <f>'Calculation_Assumptions'!$B$30*F133</f>
      </c>
      <c r="L133" s="165" t="str">
        <f>MAX(J133,K133)</f>
      </c>
      <c r="M133" s="166" t="str">
        <f>IF(F133=0,"",L133/F133)</f>
      </c>
      <c r="N133" s="167" t="str">
        <f>'Calculation_Assumptions'!$B$31*F133</f>
      </c>
      <c r="O133" s="168" t="str">
        <f>'Calculation_Assumptions'!$B$32*F133</f>
      </c>
      <c r="P133" s="169" t="str">
        <f>IF(I133=0,"",L133/I133)</f>
      </c>
      <c r="Q133" s="170" t="str">
        <f>L133*D133</f>
      </c>
      <c r="R133" s="171" t="str">
        <f>P133*E133</f>
      </c>
      <c r="S133" s="172" t="str">
        <f>N133*D133</f>
      </c>
      <c r="T133" s="173" t="str">
        <f>O133*D133</f>
      </c>
      <c r="U133" s="174" t="str">
        <f>1/(1+'Calculation_Assumptions'!$B$25)^(C133-'Calculation_Assumptions'!$B$24)</f>
      </c>
      <c r="V133" s="175" t="str">
        <f>Q133*U133</f>
      </c>
      <c r="W133" s="176" t="str">
        <f>R133*U133</f>
      </c>
      <c r="X133" s="177" t="str">
        <f>S133*U133</f>
      </c>
      <c r="Y133" s="178" t="str">
        <f>T133*U133</f>
      </c>
      <c r="Z133" s="179" t="str">
        <f>H133*F133</f>
      </c>
      <c r="AA133" s="180" t="str">
        <f>Z133*U133</f>
      </c>
      <c r="AB133" s="181" t="str">
        <f>IF(Z133=0,"",Q133/Z133)</f>
      </c>
    </row>
    <row r="134">
      <c r="A134" t="s">
        <v>219</v>
      </c>
      <c r="B134" s="35" t="s">
        <v>221</v>
      </c>
      <c r="C134" t="n">
        <v>2027</v>
      </c>
      <c r="D134" s="157" t="n">
        <v>4099.48926286171</v>
      </c>
      <c r="E134" s="158" t="n">
        <v>69907.6823475698</v>
      </c>
      <c r="F134" s="159" t="n">
        <v>14908.1268548478</v>
      </c>
      <c r="G134" s="160" t="n">
        <v>76251.3210387483</v>
      </c>
      <c r="H134" s="161" t="n">
        <v>289986522</v>
      </c>
      <c r="I134" s="162" t="n">
        <v>37.6736</v>
      </c>
      <c r="J134" s="163" t="str">
        <f>'Calculation_Assumptions'!$B$28*G134*(F134/G134)^'Calculation_Assumptions'!$B$29</f>
      </c>
      <c r="K134" s="164" t="str">
        <f>'Calculation_Assumptions'!$B$30*F134</f>
      </c>
      <c r="L134" s="165" t="str">
        <f>MAX(J134,K134)</f>
      </c>
      <c r="M134" s="166" t="str">
        <f>IF(F134=0,"",L134/F134)</f>
      </c>
      <c r="N134" s="167" t="str">
        <f>'Calculation_Assumptions'!$B$31*F134</f>
      </c>
      <c r="O134" s="168" t="str">
        <f>'Calculation_Assumptions'!$B$32*F134</f>
      </c>
      <c r="P134" s="169" t="str">
        <f>IF(I134=0,"",L134/I134)</f>
      </c>
      <c r="Q134" s="170" t="str">
        <f>L134*D134</f>
      </c>
      <c r="R134" s="171" t="str">
        <f>P134*E134</f>
      </c>
      <c r="S134" s="172" t="str">
        <f>N134*D134</f>
      </c>
      <c r="T134" s="173" t="str">
        <f>O134*D134</f>
      </c>
      <c r="U134" s="174" t="str">
        <f>1/(1+'Calculation_Assumptions'!$B$25)^(C134-'Calculation_Assumptions'!$B$24)</f>
      </c>
      <c r="V134" s="175" t="str">
        <f>Q134*U134</f>
      </c>
      <c r="W134" s="176" t="str">
        <f>R134*U134</f>
      </c>
      <c r="X134" s="177" t="str">
        <f>S134*U134</f>
      </c>
      <c r="Y134" s="178" t="str">
        <f>T134*U134</f>
      </c>
      <c r="Z134" s="179" t="str">
        <f>H134*F134</f>
      </c>
      <c r="AA134" s="180" t="str">
        <f>Z134*U134</f>
      </c>
      <c r="AB134" s="181" t="str">
        <f>IF(Z134=0,"",Q134/Z134)</f>
      </c>
    </row>
    <row r="135">
      <c r="A135" t="s">
        <v>219</v>
      </c>
      <c r="B135" s="35" t="s">
        <v>221</v>
      </c>
      <c r="C135" t="n">
        <v>2028</v>
      </c>
      <c r="D135" s="157" t="n">
        <v>6060.34581234843</v>
      </c>
      <c r="E135" s="158" t="n">
        <v>104045.020765522</v>
      </c>
      <c r="F135" s="159" t="n">
        <v>15466.2973673947</v>
      </c>
      <c r="G135" s="160" t="n">
        <v>77331.3153265521</v>
      </c>
      <c r="H135" s="161" t="n">
        <v>292016778.5</v>
      </c>
      <c r="I135" s="162" t="n">
        <v>36.834</v>
      </c>
      <c r="J135" s="163" t="str">
        <f>'Calculation_Assumptions'!$B$28*G135*(F135/G135)^'Calculation_Assumptions'!$B$29</f>
      </c>
      <c r="K135" s="164" t="str">
        <f>'Calculation_Assumptions'!$B$30*F135</f>
      </c>
      <c r="L135" s="165" t="str">
        <f>MAX(J135,K135)</f>
      </c>
      <c r="M135" s="166" t="str">
        <f>IF(F135=0,"",L135/F135)</f>
      </c>
      <c r="N135" s="167" t="str">
        <f>'Calculation_Assumptions'!$B$31*F135</f>
      </c>
      <c r="O135" s="168" t="str">
        <f>'Calculation_Assumptions'!$B$32*F135</f>
      </c>
      <c r="P135" s="169" t="str">
        <f>IF(I135=0,"",L135/I135)</f>
      </c>
      <c r="Q135" s="170" t="str">
        <f>L135*D135</f>
      </c>
      <c r="R135" s="171" t="str">
        <f>P135*E135</f>
      </c>
      <c r="S135" s="172" t="str">
        <f>N135*D135</f>
      </c>
      <c r="T135" s="173" t="str">
        <f>O135*D135</f>
      </c>
      <c r="U135" s="174" t="str">
        <f>1/(1+'Calculation_Assumptions'!$B$25)^(C135-'Calculation_Assumptions'!$B$24)</f>
      </c>
      <c r="V135" s="175" t="str">
        <f>Q135*U135</f>
      </c>
      <c r="W135" s="176" t="str">
        <f>R135*U135</f>
      </c>
      <c r="X135" s="177" t="str">
        <f>S135*U135</f>
      </c>
      <c r="Y135" s="178" t="str">
        <f>T135*U135</f>
      </c>
      <c r="Z135" s="179" t="str">
        <f>H135*F135</f>
      </c>
      <c r="AA135" s="180" t="str">
        <f>Z135*U135</f>
      </c>
      <c r="AB135" s="181" t="str">
        <f>IF(Z135=0,"",Q135/Z135)</f>
      </c>
    </row>
    <row r="136">
      <c r="A136" t="s">
        <v>219</v>
      </c>
      <c r="B136" s="35" t="s">
        <v>221</v>
      </c>
      <c r="C136" t="n">
        <v>2029</v>
      </c>
      <c r="D136" s="157" t="n">
        <v>8548.61402624994</v>
      </c>
      <c r="E136" s="158" t="n">
        <v>145642.581213294</v>
      </c>
      <c r="F136" s="159" t="n">
        <v>16045.3661674401</v>
      </c>
      <c r="G136" s="160" t="n">
        <v>78426.6062367069</v>
      </c>
      <c r="H136" s="161" t="n">
        <v>293978109</v>
      </c>
      <c r="I136" s="162" t="n">
        <v>36.9118</v>
      </c>
      <c r="J136" s="163" t="str">
        <f>'Calculation_Assumptions'!$B$28*G136*(F136/G136)^'Calculation_Assumptions'!$B$29</f>
      </c>
      <c r="K136" s="164" t="str">
        <f>'Calculation_Assumptions'!$B$30*F136</f>
      </c>
      <c r="L136" s="165" t="str">
        <f>MAX(J136,K136)</f>
      </c>
      <c r="M136" s="166" t="str">
        <f>IF(F136=0,"",L136/F136)</f>
      </c>
      <c r="N136" s="167" t="str">
        <f>'Calculation_Assumptions'!$B$31*F136</f>
      </c>
      <c r="O136" s="168" t="str">
        <f>'Calculation_Assumptions'!$B$32*F136</f>
      </c>
      <c r="P136" s="169" t="str">
        <f>IF(I136=0,"",L136/I136)</f>
      </c>
      <c r="Q136" s="170" t="str">
        <f>L136*D136</f>
      </c>
      <c r="R136" s="171" t="str">
        <f>P136*E136</f>
      </c>
      <c r="S136" s="172" t="str">
        <f>N136*D136</f>
      </c>
      <c r="T136" s="173" t="str">
        <f>O136*D136</f>
      </c>
      <c r="U136" s="174" t="str">
        <f>1/(1+'Calculation_Assumptions'!$B$25)^(C136-'Calculation_Assumptions'!$B$24)</f>
      </c>
      <c r="V136" s="175" t="str">
        <f>Q136*U136</f>
      </c>
      <c r="W136" s="176" t="str">
        <f>R136*U136</f>
      </c>
      <c r="X136" s="177" t="str">
        <f>S136*U136</f>
      </c>
      <c r="Y136" s="178" t="str">
        <f>T136*U136</f>
      </c>
      <c r="Z136" s="179" t="str">
        <f>H136*F136</f>
      </c>
      <c r="AA136" s="180" t="str">
        <f>Z136*U136</f>
      </c>
      <c r="AB136" s="181" t="str">
        <f>IF(Z136=0,"",Q136/Z136)</f>
      </c>
    </row>
    <row r="137">
      <c r="A137" t="s">
        <v>219</v>
      </c>
      <c r="B137" s="35" t="s">
        <v>221</v>
      </c>
      <c r="C137" t="n">
        <v>2030</v>
      </c>
      <c r="D137" s="157" t="n">
        <v>11031.6796174953</v>
      </c>
      <c r="E137" s="158" t="n">
        <v>187267.491308348</v>
      </c>
      <c r="F137" s="159" t="n">
        <v>16646.1157012267</v>
      </c>
      <c r="G137" s="160" t="n">
        <v>79537.4104246691</v>
      </c>
      <c r="H137" s="161" t="n">
        <v>295876648</v>
      </c>
      <c r="I137" s="162" t="n">
        <v>36.9927</v>
      </c>
      <c r="J137" s="163" t="str">
        <f>'Calculation_Assumptions'!$B$28*G137*(F137/G137)^'Calculation_Assumptions'!$B$29</f>
      </c>
      <c r="K137" s="164" t="str">
        <f>'Calculation_Assumptions'!$B$30*F137</f>
      </c>
      <c r="L137" s="165" t="str">
        <f>MAX(J137,K137)</f>
      </c>
      <c r="M137" s="166" t="str">
        <f>IF(F137=0,"",L137/F137)</f>
      </c>
      <c r="N137" s="167" t="str">
        <f>'Calculation_Assumptions'!$B$31*F137</f>
      </c>
      <c r="O137" s="168" t="str">
        <f>'Calculation_Assumptions'!$B$32*F137</f>
      </c>
      <c r="P137" s="169" t="str">
        <f>IF(I137=0,"",L137/I137)</f>
      </c>
      <c r="Q137" s="170" t="str">
        <f>L137*D137</f>
      </c>
      <c r="R137" s="171" t="str">
        <f>P137*E137</f>
      </c>
      <c r="S137" s="172" t="str">
        <f>N137*D137</f>
      </c>
      <c r="T137" s="173" t="str">
        <f>O137*D137</f>
      </c>
      <c r="U137" s="174" t="str">
        <f>1/(1+'Calculation_Assumptions'!$B$25)^(C137-'Calculation_Assumptions'!$B$24)</f>
      </c>
      <c r="V137" s="175" t="str">
        <f>Q137*U137</f>
      </c>
      <c r="W137" s="176" t="str">
        <f>R137*U137</f>
      </c>
      <c r="X137" s="177" t="str">
        <f>S137*U137</f>
      </c>
      <c r="Y137" s="178" t="str">
        <f>T137*U137</f>
      </c>
      <c r="Z137" s="179" t="str">
        <f>H137*F137</f>
      </c>
      <c r="AA137" s="180" t="str">
        <f>Z137*U137</f>
      </c>
      <c r="AB137" s="181" t="str">
        <f>IF(Z137=0,"",Q137/Z137)</f>
      </c>
    </row>
    <row r="138">
      <c r="A138" t="s">
        <v>219</v>
      </c>
      <c r="B138" s="35" t="s">
        <v>221</v>
      </c>
      <c r="C138" t="n">
        <v>2031</v>
      </c>
      <c r="D138" s="157" t="n">
        <v>11185.8825056158</v>
      </c>
      <c r="E138" s="158" t="n">
        <v>190943.438018227</v>
      </c>
      <c r="F138" s="159" t="n">
        <v>17161.0734660986</v>
      </c>
      <c r="G138" s="160" t="n">
        <v>80420.1567986293</v>
      </c>
      <c r="H138" s="161" t="n">
        <v>297719748</v>
      </c>
      <c r="I138" s="162" t="n">
        <v>37.0895</v>
      </c>
      <c r="J138" s="163" t="str">
        <f>'Calculation_Assumptions'!$B$28*G138*(F138/G138)^'Calculation_Assumptions'!$B$29</f>
      </c>
      <c r="K138" s="164" t="str">
        <f>'Calculation_Assumptions'!$B$30*F138</f>
      </c>
      <c r="L138" s="165" t="str">
        <f>MAX(J138,K138)</f>
      </c>
      <c r="M138" s="166" t="str">
        <f>IF(F138=0,"",L138/F138)</f>
      </c>
      <c r="N138" s="167" t="str">
        <f>'Calculation_Assumptions'!$B$31*F138</f>
      </c>
      <c r="O138" s="168" t="str">
        <f>'Calculation_Assumptions'!$B$32*F138</f>
      </c>
      <c r="P138" s="169" t="str">
        <f>IF(I138=0,"",L138/I138)</f>
      </c>
      <c r="Q138" s="170" t="str">
        <f>L138*D138</f>
      </c>
      <c r="R138" s="171" t="str">
        <f>P138*E138</f>
      </c>
      <c r="S138" s="172" t="str">
        <f>N138*D138</f>
      </c>
      <c r="T138" s="173" t="str">
        <f>O138*D138</f>
      </c>
      <c r="U138" s="174" t="str">
        <f>1/(1+'Calculation_Assumptions'!$B$25)^(C138-'Calculation_Assumptions'!$B$24)</f>
      </c>
      <c r="V138" s="175" t="str">
        <f>Q138*U138</f>
      </c>
      <c r="W138" s="176" t="str">
        <f>R138*U138</f>
      </c>
      <c r="X138" s="177" t="str">
        <f>S138*U138</f>
      </c>
      <c r="Y138" s="178" t="str">
        <f>T138*U138</f>
      </c>
      <c r="Z138" s="179" t="str">
        <f>H138*F138</f>
      </c>
      <c r="AA138" s="180" t="str">
        <f>Z138*U138</f>
      </c>
      <c r="AB138" s="181" t="str">
        <f>IF(Z138=0,"",Q138/Z138)</f>
      </c>
    </row>
    <row r="139">
      <c r="A139" t="s">
        <v>219</v>
      </c>
      <c r="B139" s="35" t="s">
        <v>221</v>
      </c>
      <c r="C139" t="n">
        <v>2032</v>
      </c>
      <c r="D139" s="157" t="n">
        <v>11492.3243704865</v>
      </c>
      <c r="E139" s="158" t="n">
        <v>196307.887181859</v>
      </c>
      <c r="F139" s="159" t="n">
        <v>17691.9617642167</v>
      </c>
      <c r="G139" s="160" t="n">
        <v>81312.7003379309</v>
      </c>
      <c r="H139" s="161" t="n">
        <v>299510661.5</v>
      </c>
      <c r="I139" s="162" t="n">
        <v>37.1904</v>
      </c>
      <c r="J139" s="163" t="str">
        <f>'Calculation_Assumptions'!$B$28*G139*(F139/G139)^'Calculation_Assumptions'!$B$29</f>
      </c>
      <c r="K139" s="164" t="str">
        <f>'Calculation_Assumptions'!$B$30*F139</f>
      </c>
      <c r="L139" s="165" t="str">
        <f>MAX(J139,K139)</f>
      </c>
      <c r="M139" s="166" t="str">
        <f>IF(F139=0,"",L139/F139)</f>
      </c>
      <c r="N139" s="167" t="str">
        <f>'Calculation_Assumptions'!$B$31*F139</f>
      </c>
      <c r="O139" s="168" t="str">
        <f>'Calculation_Assumptions'!$B$32*F139</f>
      </c>
      <c r="P139" s="169" t="str">
        <f>IF(I139=0,"",L139/I139)</f>
      </c>
      <c r="Q139" s="170" t="str">
        <f>L139*D139</f>
      </c>
      <c r="R139" s="171" t="str">
        <f>P139*E139</f>
      </c>
      <c r="S139" s="172" t="str">
        <f>N139*D139</f>
      </c>
      <c r="T139" s="173" t="str">
        <f>O139*D139</f>
      </c>
      <c r="U139" s="174" t="str">
        <f>1/(1+'Calculation_Assumptions'!$B$25)^(C139-'Calculation_Assumptions'!$B$24)</f>
      </c>
      <c r="V139" s="175" t="str">
        <f>Q139*U139</f>
      </c>
      <c r="W139" s="176" t="str">
        <f>R139*U139</f>
      </c>
      <c r="X139" s="177" t="str">
        <f>S139*U139</f>
      </c>
      <c r="Y139" s="178" t="str">
        <f>T139*U139</f>
      </c>
      <c r="Z139" s="179" t="str">
        <f>H139*F139</f>
      </c>
      <c r="AA139" s="180" t="str">
        <f>Z139*U139</f>
      </c>
      <c r="AB139" s="181" t="str">
        <f>IF(Z139=0,"",Q139/Z139)</f>
      </c>
    </row>
    <row r="140">
      <c r="A140" t="s">
        <v>219</v>
      </c>
      <c r="B140" s="35" t="s">
        <v>221</v>
      </c>
      <c r="C140" t="n">
        <v>2033</v>
      </c>
      <c r="D140" s="157" t="n">
        <v>11877.2210600267</v>
      </c>
      <c r="E140" s="158" t="n">
        <v>202529.728601907</v>
      </c>
      <c r="F140" s="159" t="n">
        <v>18239.2734163655</v>
      </c>
      <c r="G140" s="160" t="n">
        <v>82215.1497764654</v>
      </c>
      <c r="H140" s="161" t="n">
        <v>301250984.5</v>
      </c>
      <c r="I140" s="162" t="n">
        <v>37.2975</v>
      </c>
      <c r="J140" s="163" t="str">
        <f>'Calculation_Assumptions'!$B$28*G140*(F140/G140)^'Calculation_Assumptions'!$B$29</f>
      </c>
      <c r="K140" s="164" t="str">
        <f>'Calculation_Assumptions'!$B$30*F140</f>
      </c>
      <c r="L140" s="165" t="str">
        <f>MAX(J140,K140)</f>
      </c>
      <c r="M140" s="166" t="str">
        <f>IF(F140=0,"",L140/F140)</f>
      </c>
      <c r="N140" s="167" t="str">
        <f>'Calculation_Assumptions'!$B$31*F140</f>
      </c>
      <c r="O140" s="168" t="str">
        <f>'Calculation_Assumptions'!$B$32*F140</f>
      </c>
      <c r="P140" s="169" t="str">
        <f>IF(I140=0,"",L140/I140)</f>
      </c>
      <c r="Q140" s="170" t="str">
        <f>L140*D140</f>
      </c>
      <c r="R140" s="171" t="str">
        <f>P140*E140</f>
      </c>
      <c r="S140" s="172" t="str">
        <f>N140*D140</f>
      </c>
      <c r="T140" s="173" t="str">
        <f>O140*D140</f>
      </c>
      <c r="U140" s="174" t="str">
        <f>1/(1+'Calculation_Assumptions'!$B$25)^(C140-'Calculation_Assumptions'!$B$24)</f>
      </c>
      <c r="V140" s="175" t="str">
        <f>Q140*U140</f>
      </c>
      <c r="W140" s="176" t="str">
        <f>R140*U140</f>
      </c>
      <c r="X140" s="177" t="str">
        <f>S140*U140</f>
      </c>
      <c r="Y140" s="178" t="str">
        <f>T140*U140</f>
      </c>
      <c r="Z140" s="179" t="str">
        <f>H140*F140</f>
      </c>
      <c r="AA140" s="180" t="str">
        <f>Z140*U140</f>
      </c>
      <c r="AB140" s="181" t="str">
        <f>IF(Z140=0,"",Q140/Z140)</f>
      </c>
    </row>
    <row r="141">
      <c r="A141" t="s">
        <v>219</v>
      </c>
      <c r="B141" s="35" t="s">
        <v>221</v>
      </c>
      <c r="C141" t="n">
        <v>2034</v>
      </c>
      <c r="D141" s="157" t="n">
        <v>11740.2549849165</v>
      </c>
      <c r="E141" s="158" t="n">
        <v>201856.733991543</v>
      </c>
      <c r="F141" s="159" t="n">
        <v>18803.5164890413</v>
      </c>
      <c r="G141" s="160" t="n">
        <v>83127.6150549084</v>
      </c>
      <c r="H141" s="161" t="n">
        <v>302938573</v>
      </c>
      <c r="I141" s="162" t="n">
        <v>37.4064</v>
      </c>
      <c r="J141" s="163" t="str">
        <f>'Calculation_Assumptions'!$B$28*G141*(F141/G141)^'Calculation_Assumptions'!$B$29</f>
      </c>
      <c r="K141" s="164" t="str">
        <f>'Calculation_Assumptions'!$B$30*F141</f>
      </c>
      <c r="L141" s="165" t="str">
        <f>MAX(J141,K141)</f>
      </c>
      <c r="M141" s="166" t="str">
        <f>IF(F141=0,"",L141/F141)</f>
      </c>
      <c r="N141" s="167" t="str">
        <f>'Calculation_Assumptions'!$B$31*F141</f>
      </c>
      <c r="O141" s="168" t="str">
        <f>'Calculation_Assumptions'!$B$32*F141</f>
      </c>
      <c r="P141" s="169" t="str">
        <f>IF(I141=0,"",L141/I141)</f>
      </c>
      <c r="Q141" s="170" t="str">
        <f>L141*D141</f>
      </c>
      <c r="R141" s="171" t="str">
        <f>P141*E141</f>
      </c>
      <c r="S141" s="172" t="str">
        <f>N141*D141</f>
      </c>
      <c r="T141" s="173" t="str">
        <f>O141*D141</f>
      </c>
      <c r="U141" s="174" t="str">
        <f>1/(1+'Calculation_Assumptions'!$B$25)^(C141-'Calculation_Assumptions'!$B$24)</f>
      </c>
      <c r="V141" s="175" t="str">
        <f>Q141*U141</f>
      </c>
      <c r="W141" s="176" t="str">
        <f>R141*U141</f>
      </c>
      <c r="X141" s="177" t="str">
        <f>S141*U141</f>
      </c>
      <c r="Y141" s="178" t="str">
        <f>T141*U141</f>
      </c>
      <c r="Z141" s="179" t="str">
        <f>H141*F141</f>
      </c>
      <c r="AA141" s="180" t="str">
        <f>Z141*U141</f>
      </c>
      <c r="AB141" s="181" t="str">
        <f>IF(Z141=0,"",Q141/Z141)</f>
      </c>
    </row>
    <row r="142">
      <c r="A142" t="s">
        <v>219</v>
      </c>
      <c r="B142" s="35" t="s">
        <v>221</v>
      </c>
      <c r="C142" t="n">
        <v>2035</v>
      </c>
      <c r="D142" s="157" t="n">
        <v>11678.8145383231</v>
      </c>
      <c r="E142" s="158" t="n">
        <v>202083.598171702</v>
      </c>
      <c r="F142" s="159" t="n">
        <v>19385.2147660882</v>
      </c>
      <c r="G142" s="160" t="n">
        <v>84050.2073341125</v>
      </c>
      <c r="H142" s="161" t="n">
        <v>304566622</v>
      </c>
      <c r="I142" s="162" t="n">
        <v>37.5179</v>
      </c>
      <c r="J142" s="163" t="str">
        <f>'Calculation_Assumptions'!$B$28*G142*(F142/G142)^'Calculation_Assumptions'!$B$29</f>
      </c>
      <c r="K142" s="164" t="str">
        <f>'Calculation_Assumptions'!$B$30*F142</f>
      </c>
      <c r="L142" s="165" t="str">
        <f>MAX(J142,K142)</f>
      </c>
      <c r="M142" s="166" t="str">
        <f>IF(F142=0,"",L142/F142)</f>
      </c>
      <c r="N142" s="167" t="str">
        <f>'Calculation_Assumptions'!$B$31*F142</f>
      </c>
      <c r="O142" s="168" t="str">
        <f>'Calculation_Assumptions'!$B$32*F142</f>
      </c>
      <c r="P142" s="169" t="str">
        <f>IF(I142=0,"",L142/I142)</f>
      </c>
      <c r="Q142" s="170" t="str">
        <f>L142*D142</f>
      </c>
      <c r="R142" s="171" t="str">
        <f>P142*E142</f>
      </c>
      <c r="S142" s="172" t="str">
        <f>N142*D142</f>
      </c>
      <c r="T142" s="173" t="str">
        <f>O142*D142</f>
      </c>
      <c r="U142" s="174" t="str">
        <f>1/(1+'Calculation_Assumptions'!$B$25)^(C142-'Calculation_Assumptions'!$B$24)</f>
      </c>
      <c r="V142" s="175" t="str">
        <f>Q142*U142</f>
      </c>
      <c r="W142" s="176" t="str">
        <f>R142*U142</f>
      </c>
      <c r="X142" s="177" t="str">
        <f>S142*U142</f>
      </c>
      <c r="Y142" s="178" t="str">
        <f>T142*U142</f>
      </c>
      <c r="Z142" s="179" t="str">
        <f>H142*F142</f>
      </c>
      <c r="AA142" s="180" t="str">
        <f>Z142*U142</f>
      </c>
      <c r="AB142" s="181" t="str">
        <f>IF(Z142=0,"",Q142/Z142)</f>
      </c>
    </row>
    <row r="143">
      <c r="A143" t="s">
        <v>219</v>
      </c>
      <c r="B143" s="35" t="s">
        <v>221</v>
      </c>
      <c r="C143" t="n">
        <v>2036</v>
      </c>
      <c r="D143" s="157" t="n">
        <v>13735.8001639815</v>
      </c>
      <c r="E143" s="158" t="n">
        <v>227657.611054482</v>
      </c>
      <c r="F143" s="159" t="n">
        <v>19931.358148438</v>
      </c>
      <c r="G143" s="160" t="n">
        <v>84847.8568068913</v>
      </c>
      <c r="H143" s="161" t="n">
        <v>306135098</v>
      </c>
      <c r="I143" s="162" t="n">
        <v>37.6267</v>
      </c>
      <c r="J143" s="163" t="str">
        <f>'Calculation_Assumptions'!$B$28*G143*(F143/G143)^'Calculation_Assumptions'!$B$29</f>
      </c>
      <c r="K143" s="164" t="str">
        <f>'Calculation_Assumptions'!$B$30*F143</f>
      </c>
      <c r="L143" s="165" t="str">
        <f>MAX(J143,K143)</f>
      </c>
      <c r="M143" s="166" t="str">
        <f>IF(F143=0,"",L143/F143)</f>
      </c>
      <c r="N143" s="167" t="str">
        <f>'Calculation_Assumptions'!$B$31*F143</f>
      </c>
      <c r="O143" s="168" t="str">
        <f>'Calculation_Assumptions'!$B$32*F143</f>
      </c>
      <c r="P143" s="169" t="str">
        <f>IF(I143=0,"",L143/I143)</f>
      </c>
      <c r="Q143" s="170" t="str">
        <f>L143*D143</f>
      </c>
      <c r="R143" s="171" t="str">
        <f>P143*E143</f>
      </c>
      <c r="S143" s="172" t="str">
        <f>N143*D143</f>
      </c>
      <c r="T143" s="173" t="str">
        <f>O143*D143</f>
      </c>
      <c r="U143" s="174" t="str">
        <f>1/(1+'Calculation_Assumptions'!$B$25)^(C143-'Calculation_Assumptions'!$B$24)</f>
      </c>
      <c r="V143" s="175" t="str">
        <f>Q143*U143</f>
      </c>
      <c r="W143" s="176" t="str">
        <f>R143*U143</f>
      </c>
      <c r="X143" s="177" t="str">
        <f>S143*U143</f>
      </c>
      <c r="Y143" s="178" t="str">
        <f>T143*U143</f>
      </c>
      <c r="Z143" s="179" t="str">
        <f>H143*F143</f>
      </c>
      <c r="AA143" s="180" t="str">
        <f>Z143*U143</f>
      </c>
      <c r="AB143" s="181" t="str">
        <f>IF(Z143=0,"",Q143/Z143)</f>
      </c>
    </row>
    <row r="144">
      <c r="A144" t="s">
        <v>219</v>
      </c>
      <c r="B144" s="35" t="s">
        <v>221</v>
      </c>
      <c r="C144" t="n">
        <v>2037</v>
      </c>
      <c r="D144" s="157" t="n">
        <v>15702.6306428403</v>
      </c>
      <c r="E144" s="158" t="n">
        <v>252454.479809367</v>
      </c>
      <c r="F144" s="159" t="n">
        <v>20492.8881332929</v>
      </c>
      <c r="G144" s="160" t="n">
        <v>85653.076096588</v>
      </c>
      <c r="H144" s="161" t="n">
        <v>307646417.5</v>
      </c>
      <c r="I144" s="162" t="n">
        <v>37.7369</v>
      </c>
      <c r="J144" s="163" t="str">
        <f>'Calculation_Assumptions'!$B$28*G144*(F144/G144)^'Calculation_Assumptions'!$B$29</f>
      </c>
      <c r="K144" s="164" t="str">
        <f>'Calculation_Assumptions'!$B$30*F144</f>
      </c>
      <c r="L144" s="165" t="str">
        <f>MAX(J144,K144)</f>
      </c>
      <c r="M144" s="166" t="str">
        <f>IF(F144=0,"",L144/F144)</f>
      </c>
      <c r="N144" s="167" t="str">
        <f>'Calculation_Assumptions'!$B$31*F144</f>
      </c>
      <c r="O144" s="168" t="str">
        <f>'Calculation_Assumptions'!$B$32*F144</f>
      </c>
      <c r="P144" s="169" t="str">
        <f>IF(I144=0,"",L144/I144)</f>
      </c>
      <c r="Q144" s="170" t="str">
        <f>L144*D144</f>
      </c>
      <c r="R144" s="171" t="str">
        <f>P144*E144</f>
      </c>
      <c r="S144" s="172" t="str">
        <f>N144*D144</f>
      </c>
      <c r="T144" s="173" t="str">
        <f>O144*D144</f>
      </c>
      <c r="U144" s="174" t="str">
        <f>1/(1+'Calculation_Assumptions'!$B$25)^(C144-'Calculation_Assumptions'!$B$24)</f>
      </c>
      <c r="V144" s="175" t="str">
        <f>Q144*U144</f>
      </c>
      <c r="W144" s="176" t="str">
        <f>R144*U144</f>
      </c>
      <c r="X144" s="177" t="str">
        <f>S144*U144</f>
      </c>
      <c r="Y144" s="178" t="str">
        <f>T144*U144</f>
      </c>
      <c r="Z144" s="179" t="str">
        <f>H144*F144</f>
      </c>
      <c r="AA144" s="180" t="str">
        <f>Z144*U144</f>
      </c>
      <c r="AB144" s="181" t="str">
        <f>IF(Z144=0,"",Q144/Z144)</f>
      </c>
    </row>
    <row r="145">
      <c r="A145" t="s">
        <v>219</v>
      </c>
      <c r="B145" s="35" t="s">
        <v>221</v>
      </c>
      <c r="C145" t="n">
        <v>2038</v>
      </c>
      <c r="D145" s="157" t="n">
        <v>17646.8502603687</v>
      </c>
      <c r="E145" s="158" t="n">
        <v>277005.906346831</v>
      </c>
      <c r="F145" s="159" t="n">
        <v>21070.2382103635</v>
      </c>
      <c r="G145" s="160" t="n">
        <v>86465.9370419363</v>
      </c>
      <c r="H145" s="161" t="n">
        <v>309096448</v>
      </c>
      <c r="I145" s="162" t="n">
        <v>37.8496</v>
      </c>
      <c r="J145" s="163" t="str">
        <f>'Calculation_Assumptions'!$B$28*G145*(F145/G145)^'Calculation_Assumptions'!$B$29</f>
      </c>
      <c r="K145" s="164" t="str">
        <f>'Calculation_Assumptions'!$B$30*F145</f>
      </c>
      <c r="L145" s="165" t="str">
        <f>MAX(J145,K145)</f>
      </c>
      <c r="M145" s="166" t="str">
        <f>IF(F145=0,"",L145/F145)</f>
      </c>
      <c r="N145" s="167" t="str">
        <f>'Calculation_Assumptions'!$B$31*F145</f>
      </c>
      <c r="O145" s="168" t="str">
        <f>'Calculation_Assumptions'!$B$32*F145</f>
      </c>
      <c r="P145" s="169" t="str">
        <f>IF(I145=0,"",L145/I145)</f>
      </c>
      <c r="Q145" s="170" t="str">
        <f>L145*D145</f>
      </c>
      <c r="R145" s="171" t="str">
        <f>P145*E145</f>
      </c>
      <c r="S145" s="172" t="str">
        <f>N145*D145</f>
      </c>
      <c r="T145" s="173" t="str">
        <f>O145*D145</f>
      </c>
      <c r="U145" s="174" t="str">
        <f>1/(1+'Calculation_Assumptions'!$B$25)^(C145-'Calculation_Assumptions'!$B$24)</f>
      </c>
      <c r="V145" s="175" t="str">
        <f>Q145*U145</f>
      </c>
      <c r="W145" s="176" t="str">
        <f>R145*U145</f>
      </c>
      <c r="X145" s="177" t="str">
        <f>S145*U145</f>
      </c>
      <c r="Y145" s="178" t="str">
        <f>T145*U145</f>
      </c>
      <c r="Z145" s="179" t="str">
        <f>H145*F145</f>
      </c>
      <c r="AA145" s="180" t="str">
        <f>Z145*U145</f>
      </c>
      <c r="AB145" s="181" t="str">
        <f>IF(Z145=0,"",Q145/Z145)</f>
      </c>
    </row>
    <row r="146">
      <c r="A146" t="s">
        <v>219</v>
      </c>
      <c r="B146" s="35" t="s">
        <v>221</v>
      </c>
      <c r="C146" t="n">
        <v>2039</v>
      </c>
      <c r="D146" s="157" t="n">
        <v>19610.4564421997</v>
      </c>
      <c r="E146" s="158" t="n">
        <v>301889.933140829</v>
      </c>
      <c r="F146" s="159" t="n">
        <v>21663.8540821491</v>
      </c>
      <c r="G146" s="160" t="n">
        <v>87286.5121634309</v>
      </c>
      <c r="H146" s="161" t="n">
        <v>310481120</v>
      </c>
      <c r="I146" s="162" t="n">
        <v>37.9582</v>
      </c>
      <c r="J146" s="163" t="str">
        <f>'Calculation_Assumptions'!$B$28*G146*(F146/G146)^'Calculation_Assumptions'!$B$29</f>
      </c>
      <c r="K146" s="164" t="str">
        <f>'Calculation_Assumptions'!$B$30*F146</f>
      </c>
      <c r="L146" s="165" t="str">
        <f>MAX(J146,K146)</f>
      </c>
      <c r="M146" s="166" t="str">
        <f>IF(F146=0,"",L146/F146)</f>
      </c>
      <c r="N146" s="167" t="str">
        <f>'Calculation_Assumptions'!$B$31*F146</f>
      </c>
      <c r="O146" s="168" t="str">
        <f>'Calculation_Assumptions'!$B$32*F146</f>
      </c>
      <c r="P146" s="169" t="str">
        <f>IF(I146=0,"",L146/I146)</f>
      </c>
      <c r="Q146" s="170" t="str">
        <f>L146*D146</f>
      </c>
      <c r="R146" s="171" t="str">
        <f>P146*E146</f>
      </c>
      <c r="S146" s="172" t="str">
        <f>N146*D146</f>
      </c>
      <c r="T146" s="173" t="str">
        <f>O146*D146</f>
      </c>
      <c r="U146" s="174" t="str">
        <f>1/(1+'Calculation_Assumptions'!$B$25)^(C146-'Calculation_Assumptions'!$B$24)</f>
      </c>
      <c r="V146" s="175" t="str">
        <f>Q146*U146</f>
      </c>
      <c r="W146" s="176" t="str">
        <f>R146*U146</f>
      </c>
      <c r="X146" s="177" t="str">
        <f>S146*U146</f>
      </c>
      <c r="Y146" s="178" t="str">
        <f>T146*U146</f>
      </c>
      <c r="Z146" s="179" t="str">
        <f>H146*F146</f>
      </c>
      <c r="AA146" s="180" t="str">
        <f>Z146*U146</f>
      </c>
      <c r="AB146" s="181" t="str">
        <f>IF(Z146=0,"",Q146/Z146)</f>
      </c>
    </row>
    <row r="147">
      <c r="A147" t="s">
        <v>219</v>
      </c>
      <c r="B147" s="35" t="s">
        <v>221</v>
      </c>
      <c r="C147" t="n">
        <v>2040</v>
      </c>
      <c r="D147" s="157" t="n">
        <v>21589.2136231959</v>
      </c>
      <c r="E147" s="158" t="n">
        <v>326971.974363554</v>
      </c>
      <c r="F147" s="159" t="n">
        <v>22274.1940080113</v>
      </c>
      <c r="G147" s="160" t="n">
        <v>88114.8746697968</v>
      </c>
      <c r="H147" s="161" t="n">
        <v>311797395.5</v>
      </c>
      <c r="I147" s="162" t="n">
        <v>38.0715</v>
      </c>
      <c r="J147" s="163" t="str">
        <f>'Calculation_Assumptions'!$B$28*G147*(F147/G147)^'Calculation_Assumptions'!$B$29</f>
      </c>
      <c r="K147" s="164" t="str">
        <f>'Calculation_Assumptions'!$B$30*F147</f>
      </c>
      <c r="L147" s="165" t="str">
        <f>MAX(J147,K147)</f>
      </c>
      <c r="M147" s="166" t="str">
        <f>IF(F147=0,"",L147/F147)</f>
      </c>
      <c r="N147" s="167" t="str">
        <f>'Calculation_Assumptions'!$B$31*F147</f>
      </c>
      <c r="O147" s="168" t="str">
        <f>'Calculation_Assumptions'!$B$32*F147</f>
      </c>
      <c r="P147" s="169" t="str">
        <f>IF(I147=0,"",L147/I147)</f>
      </c>
      <c r="Q147" s="170" t="str">
        <f>L147*D147</f>
      </c>
      <c r="R147" s="171" t="str">
        <f>P147*E147</f>
      </c>
      <c r="S147" s="172" t="str">
        <f>N147*D147</f>
      </c>
      <c r="T147" s="173" t="str">
        <f>O147*D147</f>
      </c>
      <c r="U147" s="174" t="str">
        <f>1/(1+'Calculation_Assumptions'!$B$25)^(C147-'Calculation_Assumptions'!$B$24)</f>
      </c>
      <c r="V147" s="175" t="str">
        <f>Q147*U147</f>
      </c>
      <c r="W147" s="176" t="str">
        <f>R147*U147</f>
      </c>
      <c r="X147" s="177" t="str">
        <f>S147*U147</f>
      </c>
      <c r="Y147" s="178" t="str">
        <f>T147*U147</f>
      </c>
      <c r="Z147" s="179" t="str">
        <f>H147*F147</f>
      </c>
      <c r="AA147" s="180" t="str">
        <f>Z147*U147</f>
      </c>
      <c r="AB147" s="181" t="str">
        <f>IF(Z147=0,"",Q147/Z147)</f>
      </c>
    </row>
    <row r="148">
      <c r="A148" t="s">
        <v>219</v>
      </c>
      <c r="B148" s="35" t="s">
        <v>221</v>
      </c>
      <c r="C148" t="n">
        <v>2041</v>
      </c>
      <c r="D148" s="157" t="n">
        <v>21251.73007879</v>
      </c>
      <c r="E148" s="158" t="n">
        <v>324845.780016482</v>
      </c>
      <c r="F148" s="159" t="n">
        <v>22835.7817990268</v>
      </c>
      <c r="G148" s="160" t="n">
        <v>88881.5613597912</v>
      </c>
      <c r="H148" s="161" t="n">
        <v>313041661</v>
      </c>
      <c r="I148" s="162" t="n">
        <v>37.2583</v>
      </c>
      <c r="J148" s="163" t="str">
        <f>'Calculation_Assumptions'!$B$28*G148*(F148/G148)^'Calculation_Assumptions'!$B$29</f>
      </c>
      <c r="K148" s="164" t="str">
        <f>'Calculation_Assumptions'!$B$30*F148</f>
      </c>
      <c r="L148" s="165" t="str">
        <f>MAX(J148,K148)</f>
      </c>
      <c r="M148" s="166" t="str">
        <f>IF(F148=0,"",L148/F148)</f>
      </c>
      <c r="N148" s="167" t="str">
        <f>'Calculation_Assumptions'!$B$31*F148</f>
      </c>
      <c r="O148" s="168" t="str">
        <f>'Calculation_Assumptions'!$B$32*F148</f>
      </c>
      <c r="P148" s="169" t="str">
        <f>IF(I148=0,"",L148/I148)</f>
      </c>
      <c r="Q148" s="170" t="str">
        <f>L148*D148</f>
      </c>
      <c r="R148" s="171" t="str">
        <f>P148*E148</f>
      </c>
      <c r="S148" s="172" t="str">
        <f>N148*D148</f>
      </c>
      <c r="T148" s="173" t="str">
        <f>O148*D148</f>
      </c>
      <c r="U148" s="174" t="str">
        <f>1/(1+'Calculation_Assumptions'!$B$25)^(C148-'Calculation_Assumptions'!$B$24)</f>
      </c>
      <c r="V148" s="175" t="str">
        <f>Q148*U148</f>
      </c>
      <c r="W148" s="176" t="str">
        <f>R148*U148</f>
      </c>
      <c r="X148" s="177" t="str">
        <f>S148*U148</f>
      </c>
      <c r="Y148" s="178" t="str">
        <f>T148*U148</f>
      </c>
      <c r="Z148" s="179" t="str">
        <f>H148*F148</f>
      </c>
      <c r="AA148" s="180" t="str">
        <f>Z148*U148</f>
      </c>
      <c r="AB148" s="181" t="str">
        <f>IF(Z148=0,"",Q148/Z148)</f>
      </c>
    </row>
    <row r="149">
      <c r="A149" t="s">
        <v>219</v>
      </c>
      <c r="B149" s="35" t="s">
        <v>221</v>
      </c>
      <c r="C149" t="n">
        <v>2042</v>
      </c>
      <c r="D149" s="157" t="n">
        <v>21094.4426580362</v>
      </c>
      <c r="E149" s="158" t="n">
        <v>324551.048307327</v>
      </c>
      <c r="F149" s="159" t="n">
        <v>23411.5286140188</v>
      </c>
      <c r="G149" s="160" t="n">
        <v>89654.918983414</v>
      </c>
      <c r="H149" s="161" t="n">
        <v>314211282.5</v>
      </c>
      <c r="I149" s="162" t="n">
        <v>37.3732</v>
      </c>
      <c r="J149" s="163" t="str">
        <f>'Calculation_Assumptions'!$B$28*G149*(F149/G149)^'Calculation_Assumptions'!$B$29</f>
      </c>
      <c r="K149" s="164" t="str">
        <f>'Calculation_Assumptions'!$B$30*F149</f>
      </c>
      <c r="L149" s="165" t="str">
        <f>MAX(J149,K149)</f>
      </c>
      <c r="M149" s="166" t="str">
        <f>IF(F149=0,"",L149/F149)</f>
      </c>
      <c r="N149" s="167" t="str">
        <f>'Calculation_Assumptions'!$B$31*F149</f>
      </c>
      <c r="O149" s="168" t="str">
        <f>'Calculation_Assumptions'!$B$32*F149</f>
      </c>
      <c r="P149" s="169" t="str">
        <f>IF(I149=0,"",L149/I149)</f>
      </c>
      <c r="Q149" s="170" t="str">
        <f>L149*D149</f>
      </c>
      <c r="R149" s="171" t="str">
        <f>P149*E149</f>
      </c>
      <c r="S149" s="172" t="str">
        <f>N149*D149</f>
      </c>
      <c r="T149" s="173" t="str">
        <f>O149*D149</f>
      </c>
      <c r="U149" s="174" t="str">
        <f>1/(1+'Calculation_Assumptions'!$B$25)^(C149-'Calculation_Assumptions'!$B$24)</f>
      </c>
      <c r="V149" s="175" t="str">
        <f>Q149*U149</f>
      </c>
      <c r="W149" s="176" t="str">
        <f>R149*U149</f>
      </c>
      <c r="X149" s="177" t="str">
        <f>S149*U149</f>
      </c>
      <c r="Y149" s="178" t="str">
        <f>T149*U149</f>
      </c>
      <c r="Z149" s="179" t="str">
        <f>H149*F149</f>
      </c>
      <c r="AA149" s="180" t="str">
        <f>Z149*U149</f>
      </c>
      <c r="AB149" s="181" t="str">
        <f>IF(Z149=0,"",Q149/Z149)</f>
      </c>
    </row>
    <row r="150">
      <c r="A150" t="s">
        <v>219</v>
      </c>
      <c r="B150" s="35" t="s">
        <v>221</v>
      </c>
      <c r="C150" t="n">
        <v>2043</v>
      </c>
      <c r="D150" s="157" t="n">
        <v>21020.5795577437</v>
      </c>
      <c r="E150" s="158" t="n">
        <v>325073.832178453</v>
      </c>
      <c r="F150" s="159" t="n">
        <v>24001.7914371726</v>
      </c>
      <c r="G150" s="160" t="n">
        <v>90435.0055843959</v>
      </c>
      <c r="H150" s="161" t="n">
        <v>315304312</v>
      </c>
      <c r="I150" s="162" t="n">
        <v>37.4911</v>
      </c>
      <c r="J150" s="163" t="str">
        <f>'Calculation_Assumptions'!$B$28*G150*(F150/G150)^'Calculation_Assumptions'!$B$29</f>
      </c>
      <c r="K150" s="164" t="str">
        <f>'Calculation_Assumptions'!$B$30*F150</f>
      </c>
      <c r="L150" s="165" t="str">
        <f>MAX(J150,K150)</f>
      </c>
      <c r="M150" s="166" t="str">
        <f>IF(F150=0,"",L150/F150)</f>
      </c>
      <c r="N150" s="167" t="str">
        <f>'Calculation_Assumptions'!$B$31*F150</f>
      </c>
      <c r="O150" s="168" t="str">
        <f>'Calculation_Assumptions'!$B$32*F150</f>
      </c>
      <c r="P150" s="169" t="str">
        <f>IF(I150=0,"",L150/I150)</f>
      </c>
      <c r="Q150" s="170" t="str">
        <f>L150*D150</f>
      </c>
      <c r="R150" s="171" t="str">
        <f>P150*E150</f>
      </c>
      <c r="S150" s="172" t="str">
        <f>N150*D150</f>
      </c>
      <c r="T150" s="173" t="str">
        <f>O150*D150</f>
      </c>
      <c r="U150" s="174" t="str">
        <f>1/(1+'Calculation_Assumptions'!$B$25)^(C150-'Calculation_Assumptions'!$B$24)</f>
      </c>
      <c r="V150" s="175" t="str">
        <f>Q150*U150</f>
      </c>
      <c r="W150" s="176" t="str">
        <f>R150*U150</f>
      </c>
      <c r="X150" s="177" t="str">
        <f>S150*U150</f>
      </c>
      <c r="Y150" s="178" t="str">
        <f>T150*U150</f>
      </c>
      <c r="Z150" s="179" t="str">
        <f>H150*F150</f>
      </c>
      <c r="AA150" s="180" t="str">
        <f>Z150*U150</f>
      </c>
      <c r="AB150" s="181" t="str">
        <f>IF(Z150=0,"",Q150/Z150)</f>
      </c>
    </row>
    <row r="151">
      <c r="A151" t="s">
        <v>219</v>
      </c>
      <c r="B151" s="35" t="s">
        <v>221</v>
      </c>
      <c r="C151" t="n">
        <v>2044</v>
      </c>
      <c r="D151" s="157" t="n">
        <v>21002.9418033949</v>
      </c>
      <c r="E151" s="158" t="n">
        <v>326251.639158984</v>
      </c>
      <c r="F151" s="159" t="n">
        <v>24606.9362531317</v>
      </c>
      <c r="G151" s="160" t="n">
        <v>91221.8797115048</v>
      </c>
      <c r="H151" s="161" t="n">
        <v>316318415.5</v>
      </c>
      <c r="I151" s="162" t="n">
        <v>37.6099</v>
      </c>
      <c r="J151" s="163" t="str">
        <f>'Calculation_Assumptions'!$B$28*G151*(F151/G151)^'Calculation_Assumptions'!$B$29</f>
      </c>
      <c r="K151" s="164" t="str">
        <f>'Calculation_Assumptions'!$B$30*F151</f>
      </c>
      <c r="L151" s="165" t="str">
        <f>MAX(J151,K151)</f>
      </c>
      <c r="M151" s="166" t="str">
        <f>IF(F151=0,"",L151/F151)</f>
      </c>
      <c r="N151" s="167" t="str">
        <f>'Calculation_Assumptions'!$B$31*F151</f>
      </c>
      <c r="O151" s="168" t="str">
        <f>'Calculation_Assumptions'!$B$32*F151</f>
      </c>
      <c r="P151" s="169" t="str">
        <f>IF(I151=0,"",L151/I151)</f>
      </c>
      <c r="Q151" s="170" t="str">
        <f>L151*D151</f>
      </c>
      <c r="R151" s="171" t="str">
        <f>P151*E151</f>
      </c>
      <c r="S151" s="172" t="str">
        <f>N151*D151</f>
      </c>
      <c r="T151" s="173" t="str">
        <f>O151*D151</f>
      </c>
      <c r="U151" s="174" t="str">
        <f>1/(1+'Calculation_Assumptions'!$B$25)^(C151-'Calculation_Assumptions'!$B$24)</f>
      </c>
      <c r="V151" s="175" t="str">
        <f>Q151*U151</f>
      </c>
      <c r="W151" s="176" t="str">
        <f>R151*U151</f>
      </c>
      <c r="X151" s="177" t="str">
        <f>S151*U151</f>
      </c>
      <c r="Y151" s="178" t="str">
        <f>T151*U151</f>
      </c>
      <c r="Z151" s="179" t="str">
        <f>H151*F151</f>
      </c>
      <c r="AA151" s="180" t="str">
        <f>Z151*U151</f>
      </c>
      <c r="AB151" s="181" t="str">
        <f>IF(Z151=0,"",Q151/Z151)</f>
      </c>
    </row>
    <row r="152">
      <c r="A152" t="s">
        <v>219</v>
      </c>
      <c r="B152" s="35" t="s">
        <v>221</v>
      </c>
      <c r="C152" t="n">
        <v>2045</v>
      </c>
      <c r="D152" s="157" t="n">
        <v>21024.9261787309</v>
      </c>
      <c r="E152" s="158" t="n">
        <v>327812.17090116</v>
      </c>
      <c r="F152" s="159" t="n">
        <v>25227.3382739225</v>
      </c>
      <c r="G152" s="160" t="n">
        <v>92015.6004229417</v>
      </c>
      <c r="H152" s="161" t="n">
        <v>317249613</v>
      </c>
      <c r="I152" s="162" t="n">
        <v>37.7245</v>
      </c>
      <c r="J152" s="163" t="str">
        <f>'Calculation_Assumptions'!$B$28*G152*(F152/G152)^'Calculation_Assumptions'!$B$29</f>
      </c>
      <c r="K152" s="164" t="str">
        <f>'Calculation_Assumptions'!$B$30*F152</f>
      </c>
      <c r="L152" s="165" t="str">
        <f>MAX(J152,K152)</f>
      </c>
      <c r="M152" s="166" t="str">
        <f>IF(F152=0,"",L152/F152)</f>
      </c>
      <c r="N152" s="167" t="str">
        <f>'Calculation_Assumptions'!$B$31*F152</f>
      </c>
      <c r="O152" s="168" t="str">
        <f>'Calculation_Assumptions'!$B$32*F152</f>
      </c>
      <c r="P152" s="169" t="str">
        <f>IF(I152=0,"",L152/I152)</f>
      </c>
      <c r="Q152" s="170" t="str">
        <f>L152*D152</f>
      </c>
      <c r="R152" s="171" t="str">
        <f>P152*E152</f>
      </c>
      <c r="S152" s="172" t="str">
        <f>N152*D152</f>
      </c>
      <c r="T152" s="173" t="str">
        <f>O152*D152</f>
      </c>
      <c r="U152" s="174" t="str">
        <f>1/(1+'Calculation_Assumptions'!$B$25)^(C152-'Calculation_Assumptions'!$B$24)</f>
      </c>
      <c r="V152" s="175" t="str">
        <f>Q152*U152</f>
      </c>
      <c r="W152" s="176" t="str">
        <f>R152*U152</f>
      </c>
      <c r="X152" s="177" t="str">
        <f>S152*U152</f>
      </c>
      <c r="Y152" s="178" t="str">
        <f>T152*U152</f>
      </c>
      <c r="Z152" s="179" t="str">
        <f>H152*F152</f>
      </c>
      <c r="AA152" s="180" t="str">
        <f>Z152*U152</f>
      </c>
      <c r="AB152" s="181" t="str">
        <f>IF(Z152=0,"",Q152/Z152)</f>
      </c>
    </row>
    <row r="153">
      <c r="A153" t="s">
        <v>219</v>
      </c>
      <c r="B153" s="35" t="s">
        <v>221</v>
      </c>
      <c r="C153" t="n">
        <v>2046</v>
      </c>
      <c r="D153" s="157" t="n">
        <v>21073.0662815231</v>
      </c>
      <c r="E153" s="158" t="n">
        <v>329577.521717018</v>
      </c>
      <c r="F153" s="159" t="n">
        <v>25797.7023007031</v>
      </c>
      <c r="G153" s="160" t="n">
        <v>92766.6954417819</v>
      </c>
      <c r="H153" s="161" t="n">
        <v>318096573.5</v>
      </c>
      <c r="I153" s="162" t="n">
        <v>37.8362</v>
      </c>
      <c r="J153" s="163" t="str">
        <f>'Calculation_Assumptions'!$B$28*G153*(F153/G153)^'Calculation_Assumptions'!$B$29</f>
      </c>
      <c r="K153" s="164" t="str">
        <f>'Calculation_Assumptions'!$B$30*F153</f>
      </c>
      <c r="L153" s="165" t="str">
        <f>MAX(J153,K153)</f>
      </c>
      <c r="M153" s="166" t="str">
        <f>IF(F153=0,"",L153/F153)</f>
      </c>
      <c r="N153" s="167" t="str">
        <f>'Calculation_Assumptions'!$B$31*F153</f>
      </c>
      <c r="O153" s="168" t="str">
        <f>'Calculation_Assumptions'!$B$32*F153</f>
      </c>
      <c r="P153" s="169" t="str">
        <f>IF(I153=0,"",L153/I153)</f>
      </c>
      <c r="Q153" s="170" t="str">
        <f>L153*D153</f>
      </c>
      <c r="R153" s="171" t="str">
        <f>P153*E153</f>
      </c>
      <c r="S153" s="172" t="str">
        <f>N153*D153</f>
      </c>
      <c r="T153" s="173" t="str">
        <f>O153*D153</f>
      </c>
      <c r="U153" s="174" t="str">
        <f>1/(1+'Calculation_Assumptions'!$B$25)^(C153-'Calculation_Assumptions'!$B$24)</f>
      </c>
      <c r="V153" s="175" t="str">
        <f>Q153*U153</f>
      </c>
      <c r="W153" s="176" t="str">
        <f>R153*U153</f>
      </c>
      <c r="X153" s="177" t="str">
        <f>S153*U153</f>
      </c>
      <c r="Y153" s="178" t="str">
        <f>T153*U153</f>
      </c>
      <c r="Z153" s="179" t="str">
        <f>H153*F153</f>
      </c>
      <c r="AA153" s="180" t="str">
        <f>Z153*U153</f>
      </c>
      <c r="AB153" s="181" t="str">
        <f>IF(Z153=0,"",Q153/Z153)</f>
      </c>
    </row>
    <row r="154">
      <c r="A154" t="s">
        <v>219</v>
      </c>
      <c r="B154" s="35" t="s">
        <v>221</v>
      </c>
      <c r="C154" t="n">
        <v>2047</v>
      </c>
      <c r="D154" s="157" t="n">
        <v>21137.7062735914</v>
      </c>
      <c r="E154" s="158" t="n">
        <v>331526.22403323</v>
      </c>
      <c r="F154" s="159" t="n">
        <v>26380.9616682253</v>
      </c>
      <c r="G154" s="160" t="n">
        <v>93523.921418033</v>
      </c>
      <c r="H154" s="161" t="n">
        <v>318862019.5</v>
      </c>
      <c r="I154" s="162" t="n">
        <v>37.9489</v>
      </c>
      <c r="J154" s="163" t="str">
        <f>'Calculation_Assumptions'!$B$28*G154*(F154/G154)^'Calculation_Assumptions'!$B$29</f>
      </c>
      <c r="K154" s="164" t="str">
        <f>'Calculation_Assumptions'!$B$30*F154</f>
      </c>
      <c r="L154" s="165" t="str">
        <f>MAX(J154,K154)</f>
      </c>
      <c r="M154" s="166" t="str">
        <f>IF(F154=0,"",L154/F154)</f>
      </c>
      <c r="N154" s="167" t="str">
        <f>'Calculation_Assumptions'!$B$31*F154</f>
      </c>
      <c r="O154" s="168" t="str">
        <f>'Calculation_Assumptions'!$B$32*F154</f>
      </c>
      <c r="P154" s="169" t="str">
        <f>IF(I154=0,"",L154/I154)</f>
      </c>
      <c r="Q154" s="170" t="str">
        <f>L154*D154</f>
      </c>
      <c r="R154" s="171" t="str">
        <f>P154*E154</f>
      </c>
      <c r="S154" s="172" t="str">
        <f>N154*D154</f>
      </c>
      <c r="T154" s="173" t="str">
        <f>O154*D154</f>
      </c>
      <c r="U154" s="174" t="str">
        <f>1/(1+'Calculation_Assumptions'!$B$25)^(C154-'Calculation_Assumptions'!$B$24)</f>
      </c>
      <c r="V154" s="175" t="str">
        <f>Q154*U154</f>
      </c>
      <c r="W154" s="176" t="str">
        <f>R154*U154</f>
      </c>
      <c r="X154" s="177" t="str">
        <f>S154*U154</f>
      </c>
      <c r="Y154" s="178" t="str">
        <f>T154*U154</f>
      </c>
      <c r="Z154" s="179" t="str">
        <f>H154*F154</f>
      </c>
      <c r="AA154" s="180" t="str">
        <f>Z154*U154</f>
      </c>
      <c r="AB154" s="181" t="str">
        <f>IF(Z154=0,"",Q154/Z154)</f>
      </c>
    </row>
    <row r="155">
      <c r="A155" t="s">
        <v>219</v>
      </c>
      <c r="B155" s="35" t="s">
        <v>221</v>
      </c>
      <c r="C155" t="n">
        <v>2048</v>
      </c>
      <c r="D155" s="157" t="n">
        <v>21203.1283588451</v>
      </c>
      <c r="E155" s="158" t="n">
        <v>333420.419681708</v>
      </c>
      <c r="F155" s="159" t="n">
        <v>26977.4079268061</v>
      </c>
      <c r="G155" s="160" t="n">
        <v>94287.3283968127</v>
      </c>
      <c r="H155" s="161" t="n">
        <v>319554652.5</v>
      </c>
      <c r="I155" s="162" t="n">
        <v>38.0645</v>
      </c>
      <c r="J155" s="163" t="str">
        <f>'Calculation_Assumptions'!$B$28*G155*(F155/G155)^'Calculation_Assumptions'!$B$29</f>
      </c>
      <c r="K155" s="164" t="str">
        <f>'Calculation_Assumptions'!$B$30*F155</f>
      </c>
      <c r="L155" s="165" t="str">
        <f>MAX(J155,K155)</f>
      </c>
      <c r="M155" s="166" t="str">
        <f>IF(F155=0,"",L155/F155)</f>
      </c>
      <c r="N155" s="167" t="str">
        <f>'Calculation_Assumptions'!$B$31*F155</f>
      </c>
      <c r="O155" s="168" t="str">
        <f>'Calculation_Assumptions'!$B$32*F155</f>
      </c>
      <c r="P155" s="169" t="str">
        <f>IF(I155=0,"",L155/I155)</f>
      </c>
      <c r="Q155" s="170" t="str">
        <f>L155*D155</f>
      </c>
      <c r="R155" s="171" t="str">
        <f>P155*E155</f>
      </c>
      <c r="S155" s="172" t="str">
        <f>N155*D155</f>
      </c>
      <c r="T155" s="173" t="str">
        <f>O155*D155</f>
      </c>
      <c r="U155" s="174" t="str">
        <f>1/(1+'Calculation_Assumptions'!$B$25)^(C155-'Calculation_Assumptions'!$B$24)</f>
      </c>
      <c r="V155" s="175" t="str">
        <f>Q155*U155</f>
      </c>
      <c r="W155" s="176" t="str">
        <f>R155*U155</f>
      </c>
      <c r="X155" s="177" t="str">
        <f>S155*U155</f>
      </c>
      <c r="Y155" s="178" t="str">
        <f>T155*U155</f>
      </c>
      <c r="Z155" s="179" t="str">
        <f>H155*F155</f>
      </c>
      <c r="AA155" s="180" t="str">
        <f>Z155*U155</f>
      </c>
      <c r="AB155" s="181" t="str">
        <f>IF(Z155=0,"",Q155/Z155)</f>
      </c>
    </row>
    <row r="156">
      <c r="A156" t="s">
        <v>219</v>
      </c>
      <c r="B156" s="35" t="s">
        <v>221</v>
      </c>
      <c r="C156" t="n">
        <v>2049</v>
      </c>
      <c r="D156" s="157" t="n">
        <v>21285.9805281025</v>
      </c>
      <c r="E156" s="158" t="n">
        <v>335447.999777339</v>
      </c>
      <c r="F156" s="159" t="n">
        <v>27587.3392184138</v>
      </c>
      <c r="G156" s="160" t="n">
        <v>95056.9668317421</v>
      </c>
      <c r="H156" s="161" t="n">
        <v>320173250</v>
      </c>
      <c r="I156" s="162" t="n">
        <v>38.1755</v>
      </c>
      <c r="J156" s="163" t="str">
        <f>'Calculation_Assumptions'!$B$28*G156*(F156/G156)^'Calculation_Assumptions'!$B$29</f>
      </c>
      <c r="K156" s="164" t="str">
        <f>'Calculation_Assumptions'!$B$30*F156</f>
      </c>
      <c r="L156" s="165" t="str">
        <f>MAX(J156,K156)</f>
      </c>
      <c r="M156" s="166" t="str">
        <f>IF(F156=0,"",L156/F156)</f>
      </c>
      <c r="N156" s="167" t="str">
        <f>'Calculation_Assumptions'!$B$31*F156</f>
      </c>
      <c r="O156" s="168" t="str">
        <f>'Calculation_Assumptions'!$B$32*F156</f>
      </c>
      <c r="P156" s="169" t="str">
        <f>IF(I156=0,"",L156/I156)</f>
      </c>
      <c r="Q156" s="170" t="str">
        <f>L156*D156</f>
      </c>
      <c r="R156" s="171" t="str">
        <f>P156*E156</f>
      </c>
      <c r="S156" s="172" t="str">
        <f>N156*D156</f>
      </c>
      <c r="T156" s="173" t="str">
        <f>O156*D156</f>
      </c>
      <c r="U156" s="174" t="str">
        <f>1/(1+'Calculation_Assumptions'!$B$25)^(C156-'Calculation_Assumptions'!$B$24)</f>
      </c>
      <c r="V156" s="175" t="str">
        <f>Q156*U156</f>
      </c>
      <c r="W156" s="176" t="str">
        <f>R156*U156</f>
      </c>
      <c r="X156" s="177" t="str">
        <f>S156*U156</f>
      </c>
      <c r="Y156" s="178" t="str">
        <f>T156*U156</f>
      </c>
      <c r="Z156" s="179" t="str">
        <f>H156*F156</f>
      </c>
      <c r="AA156" s="180" t="str">
        <f>Z156*U156</f>
      </c>
      <c r="AB156" s="181" t="str">
        <f>IF(Z156=0,"",Q156/Z156)</f>
      </c>
    </row>
    <row r="157">
      <c r="A157" t="s">
        <v>219</v>
      </c>
      <c r="B157" s="35" t="s">
        <v>221</v>
      </c>
      <c r="C157" t="n">
        <v>2050</v>
      </c>
      <c r="D157" s="157" t="n">
        <v>21375.5146095751</v>
      </c>
      <c r="E157" s="158" t="n">
        <v>337526.006070519</v>
      </c>
      <c r="F157" s="159" t="n">
        <v>28211.0604256979</v>
      </c>
      <c r="G157" s="160" t="n">
        <v>95832.8875882792</v>
      </c>
      <c r="H157" s="161" t="n">
        <v>320712949.5</v>
      </c>
      <c r="I157" s="162" t="n">
        <v>38.286</v>
      </c>
      <c r="J157" s="163" t="str">
        <f>'Calculation_Assumptions'!$B$28*G157*(F157/G157)^'Calculation_Assumptions'!$B$29</f>
      </c>
      <c r="K157" s="164" t="str">
        <f>'Calculation_Assumptions'!$B$30*F157</f>
      </c>
      <c r="L157" s="165" t="str">
        <f>MAX(J157,K157)</f>
      </c>
      <c r="M157" s="166" t="str">
        <f>IF(F157=0,"",L157/F157)</f>
      </c>
      <c r="N157" s="167" t="str">
        <f>'Calculation_Assumptions'!$B$31*F157</f>
      </c>
      <c r="O157" s="168" t="str">
        <f>'Calculation_Assumptions'!$B$32*F157</f>
      </c>
      <c r="P157" s="169" t="str">
        <f>IF(I157=0,"",L157/I157)</f>
      </c>
      <c r="Q157" s="170" t="str">
        <f>L157*D157</f>
      </c>
      <c r="R157" s="171" t="str">
        <f>P157*E157</f>
      </c>
      <c r="S157" s="172" t="str">
        <f>N157*D157</f>
      </c>
      <c r="T157" s="173" t="str">
        <f>O157*D157</f>
      </c>
      <c r="U157" s="174" t="str">
        <f>1/(1+'Calculation_Assumptions'!$B$25)^(C157-'Calculation_Assumptions'!$B$24)</f>
      </c>
      <c r="V157" s="175" t="str">
        <f>Q157*U157</f>
      </c>
      <c r="W157" s="176" t="str">
        <f>R157*U157</f>
      </c>
      <c r="X157" s="177" t="str">
        <f>S157*U157</f>
      </c>
      <c r="Y157" s="178" t="str">
        <f>T157*U157</f>
      </c>
      <c r="Z157" s="179" t="str">
        <f>H157*F157</f>
      </c>
      <c r="AA157" s="180" t="str">
        <f>Z157*U157</f>
      </c>
      <c r="AB157" s="181" t="str">
        <f>IF(Z157=0,"",Q157/Z157)</f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6.71" hidden="0" customWidth="1"/>
    <col min="3" max="3" width="16.71" hidden="0" customWidth="1"/>
    <col min="4" max="4" width="14.71" hidden="0" customWidth="1"/>
    <col min="5" max="5" width="12.71" hidden="0" customWidth="1"/>
    <col min="6" max="6" width="34.71" hidden="0" customWidth="1"/>
    <col min="7" max="7" width="18.71" hidden="0" customWidth="1"/>
    <col min="8" max="8" width="18.71" hidden="0" customWidth="1"/>
    <col min="9" max="9" width="18.71" hidden="0" customWidth="1"/>
    <col min="10" max="10" width="14.71" hidden="0" customWidth="1"/>
    <col min="11" max="11" width="18.71" hidden="0" customWidth="1"/>
    <col min="12" max="12" width="14.71" hidden="0" customWidth="1"/>
    <col min="13" max="13" width="30.71" hidden="0" customWidth="1"/>
    <col min="14" max="14" width="60.71" hidden="0" customWidth="1"/>
  </cols>
  <sheetData>
    <row r="1" ht="28" customHeight="1">
      <c r="A1" s="1" t="s">
        <v>409</v>
      </c>
      <c r="B1" s="1" t="s">
        <v>410</v>
      </c>
      <c r="C1" s="1" t="s">
        <v>491</v>
      </c>
      <c r="D1" s="1" t="s">
        <v>492</v>
      </c>
      <c r="E1" s="1" t="s">
        <v>493</v>
      </c>
      <c r="F1" s="1" t="s">
        <v>494</v>
      </c>
      <c r="G1" s="1" t="s">
        <v>495</v>
      </c>
      <c r="H1" s="1" t="s">
        <v>496</v>
      </c>
      <c r="I1" s="1" t="s">
        <v>497</v>
      </c>
      <c r="J1" s="1" t="s">
        <v>498</v>
      </c>
      <c r="K1" s="1" t="s">
        <v>489</v>
      </c>
      <c r="L1" s="1" t="s">
        <v>499</v>
      </c>
      <c r="M1" s="1" t="s">
        <v>500</v>
      </c>
      <c r="N1" s="1" t="s">
        <v>501</v>
      </c>
    </row>
    <row r="2">
      <c r="A2" t="s">
        <v>254</v>
      </c>
      <c r="B2" s="35" t="s">
        <v>418</v>
      </c>
      <c r="C2" t="s">
        <v>502</v>
      </c>
      <c r="D2" t="s">
        <v>503</v>
      </c>
      <c r="E2" t="s">
        <v>504</v>
      </c>
      <c r="F2" s="35" t="s">
        <v>505</v>
      </c>
      <c r="G2" s="182" t="str">
        <f>SUMIFS('Economic_Value'!$V$2:$V$157,'Economic_Value'!$A$2:$A$157,A2)</f>
      </c>
      <c r="H2" s="183" t="str">
        <f>SUMPRODUCT(('Budget_Impact'!$A$2:$A$157=A2)*'Budget_Impact'!$E$2:$E$157*(1/(1+'Calculation_Assumptions'!$B$25)^('Budget_Impact'!$B$2:$B$157-'Calculation_Assumptions'!$B$24)))*'Calculation_Assumptions'!$B$37</f>
      </c>
      <c r="I2" s="184" t="str">
        <f>G2-H2</f>
      </c>
      <c r="J2" s="185" t="str">
        <f>IF(H2&gt;0,G2/H2,"")</f>
      </c>
      <c r="K2" s="186" t="str">
        <f>SUMIFS('Economic_Value'!$AA$2:$AA$157,'Economic_Value'!$A$2:$A$157,A2)</f>
      </c>
      <c r="L2" s="187" t="str">
        <f>IF(K2=0,"",G2/K2)</f>
      </c>
      <c r="M2" s="140" t="str">
        <f>IF(H2&lt;=0,"cost-saving or ratio not meaningful (PV cost&lt;=0)",IF(J2&gt;=1,"benefits exceed costs (BCR&gt;=1)","costs exceed benefits (BCR&lt;1)"))</f>
      </c>
      <c r="N2" s="35" t="s">
        <v>511</v>
      </c>
    </row>
    <row r="3">
      <c r="A3" t="s">
        <v>254</v>
      </c>
      <c r="B3" s="35" t="s">
        <v>418</v>
      </c>
      <c r="C3" t="s">
        <v>502</v>
      </c>
      <c r="D3" t="s">
        <v>503</v>
      </c>
      <c r="E3" t="s">
        <v>506</v>
      </c>
      <c r="F3" s="35" t="s">
        <v>507</v>
      </c>
      <c r="G3" s="182" t="str">
        <f>SUMIFS('Economic_Value'!$W$2:$W$157,'Economic_Value'!$A$2:$A$157,A3)</f>
      </c>
      <c r="H3" s="183" t="str">
        <f>SUMPRODUCT(('Budget_Impact'!$A$2:$A$157=A3)*'Budget_Impact'!$E$2:$E$157*(1/(1+'Calculation_Assumptions'!$B$25)^('Budget_Impact'!$B$2:$B$157-'Calculation_Assumptions'!$B$24)))*'Calculation_Assumptions'!$B$37</f>
      </c>
      <c r="I3" s="184" t="str">
        <f>G3-H3</f>
      </c>
      <c r="J3" s="185" t="str">
        <f>IF(H3&gt;0,G3/H3,"")</f>
      </c>
      <c r="K3" s="186" t="str">
        <f>SUMIFS('Economic_Value'!$AA$2:$AA$157,'Economic_Value'!$A$2:$A$157,A3)</f>
      </c>
      <c r="L3" s="187" t="str">
        <f>IF(K3=0,"",G3/K3)</f>
      </c>
      <c r="M3" s="140" t="str">
        <f>IF(H3&lt;=0,"cost-saving or ratio not meaningful (PV cost&lt;=0)",IF(J3&gt;=1,"benefits exceed costs (BCR&gt;=1)","costs exceed benefits (BCR&lt;1)"))</f>
      </c>
      <c r="N3" s="35" t="s">
        <v>511</v>
      </c>
    </row>
    <row r="4">
      <c r="A4" t="s">
        <v>254</v>
      </c>
      <c r="B4" s="35" t="s">
        <v>418</v>
      </c>
      <c r="C4" t="s">
        <v>502</v>
      </c>
      <c r="D4" t="s">
        <v>503</v>
      </c>
      <c r="E4" t="s">
        <v>504</v>
      </c>
      <c r="F4" s="35" t="s">
        <v>508</v>
      </c>
      <c r="G4" s="182" t="str">
        <f>SUMIFS('Economic_Value'!$X$2:$X$157,'Economic_Value'!$A$2:$A$157,A4)</f>
      </c>
      <c r="H4" s="183" t="str">
        <f>SUMPRODUCT(('Budget_Impact'!$A$2:$A$157=A4)*'Budget_Impact'!$E$2:$E$157*(1/(1+'Calculation_Assumptions'!$B$25)^('Budget_Impact'!$B$2:$B$157-'Calculation_Assumptions'!$B$24)))*'Calculation_Assumptions'!$B$37</f>
      </c>
      <c r="I4" s="184" t="str">
        <f>G4-H4</f>
      </c>
      <c r="J4" s="185" t="str">
        <f>IF(H4&gt;0,G4/H4,"")</f>
      </c>
      <c r="K4" s="186" t="str">
        <f>SUMIFS('Economic_Value'!$AA$2:$AA$157,'Economic_Value'!$A$2:$A$157,A4)</f>
      </c>
      <c r="L4" s="187" t="str">
        <f>IF(K4=0,"",G4/K4)</f>
      </c>
      <c r="M4" s="140" t="str">
        <f>IF(H4&lt;=0,"cost-saving or ratio not meaningful (PV cost&lt;=0)",IF(J4&gt;=1,"benefits exceed costs (BCR&gt;=1)","costs exceed benefits (BCR&lt;1)"))</f>
      </c>
      <c r="N4" s="35" t="s">
        <v>511</v>
      </c>
    </row>
    <row r="5">
      <c r="A5" t="s">
        <v>254</v>
      </c>
      <c r="B5" s="35" t="s">
        <v>418</v>
      </c>
      <c r="C5" t="s">
        <v>502</v>
      </c>
      <c r="D5" t="s">
        <v>503</v>
      </c>
      <c r="E5" t="s">
        <v>504</v>
      </c>
      <c r="F5" s="35" t="s">
        <v>509</v>
      </c>
      <c r="G5" s="182" t="str">
        <f>SUMIFS('Economic_Value'!$Y$2:$Y$157,'Economic_Value'!$A$2:$A$157,A5)</f>
      </c>
      <c r="H5" s="183" t="str">
        <f>SUMPRODUCT(('Budget_Impact'!$A$2:$A$157=A5)*'Budget_Impact'!$E$2:$E$157*(1/(1+'Calculation_Assumptions'!$B$25)^('Budget_Impact'!$B$2:$B$157-'Calculation_Assumptions'!$B$24)))*'Calculation_Assumptions'!$B$37</f>
      </c>
      <c r="I5" s="184" t="str">
        <f>G5-H5</f>
      </c>
      <c r="J5" s="185" t="str">
        <f>IF(H5&gt;0,G5/H5,"")</f>
      </c>
      <c r="K5" s="186" t="str">
        <f>SUMIFS('Economic_Value'!$AA$2:$AA$157,'Economic_Value'!$A$2:$A$157,A5)</f>
      </c>
      <c r="L5" s="187" t="str">
        <f>IF(K5=0,"",G5/K5)</f>
      </c>
      <c r="M5" s="140" t="str">
        <f>IF(H5&lt;=0,"cost-saving or ratio not meaningful (PV cost&lt;=0)",IF(J5&gt;=1,"benefits exceed costs (BCR&gt;=1)","costs exceed benefits (BCR&lt;1)"))</f>
      </c>
      <c r="N5" s="35" t="s">
        <v>511</v>
      </c>
    </row>
    <row r="6">
      <c r="A6" t="s">
        <v>219</v>
      </c>
      <c r="B6" s="35" t="s">
        <v>221</v>
      </c>
      <c r="C6" t="s">
        <v>502</v>
      </c>
      <c r="D6" t="s">
        <v>232</v>
      </c>
      <c r="E6" t="s">
        <v>504</v>
      </c>
      <c r="F6" s="35" t="s">
        <v>505</v>
      </c>
      <c r="G6" s="182" t="str">
        <f>SUMIFS('Economic_Value'!$V$2:$V$157,'Economic_Value'!$A$2:$A$157,A6)</f>
      </c>
      <c r="H6" s="183" t="str">
        <f>SUMPRODUCT(('Budget_Impact'!$A$2:$A$157=A6)*'Budget_Impact'!$E$2:$E$157*(1/(1+'Calculation_Assumptions'!$B$25)^('Budget_Impact'!$B$2:$B$157-'Calculation_Assumptions'!$B$24)))*'Calculation_Assumptions'!$B$37</f>
      </c>
      <c r="I6" s="184" t="str">
        <f>G6-H6</f>
      </c>
      <c r="J6" s="185" t="str">
        <f>IF(H6&gt;0,G6/H6,"")</f>
      </c>
      <c r="K6" s="186" t="str">
        <f>SUMIFS('Economic_Value'!$AA$2:$AA$157,'Economic_Value'!$A$2:$A$157,A6)</f>
      </c>
      <c r="L6" s="187" t="str">
        <f>IF(K6=0,"",G6/K6)</f>
      </c>
      <c r="M6" s="140" t="str">
        <f>IF(H6&lt;=0,"cost-saving or ratio not meaningful (PV cost&lt;=0)",IF(J6&gt;=1,"benefits exceed costs (BCR&gt;=1)","costs exceed benefits (BCR&lt;1)"))</f>
      </c>
      <c r="N6" s="35" t="s">
        <v>511</v>
      </c>
    </row>
    <row r="7">
      <c r="A7" t="s">
        <v>219</v>
      </c>
      <c r="B7" s="35" t="s">
        <v>221</v>
      </c>
      <c r="C7" t="s">
        <v>502</v>
      </c>
      <c r="D7" t="s">
        <v>232</v>
      </c>
      <c r="E7" t="s">
        <v>506</v>
      </c>
      <c r="F7" s="35" t="s">
        <v>507</v>
      </c>
      <c r="G7" s="182" t="str">
        <f>SUMIFS('Economic_Value'!$W$2:$W$157,'Economic_Value'!$A$2:$A$157,A7)</f>
      </c>
      <c r="H7" s="183" t="str">
        <f>SUMPRODUCT(('Budget_Impact'!$A$2:$A$157=A7)*'Budget_Impact'!$E$2:$E$157*(1/(1+'Calculation_Assumptions'!$B$25)^('Budget_Impact'!$B$2:$B$157-'Calculation_Assumptions'!$B$24)))*'Calculation_Assumptions'!$B$37</f>
      </c>
      <c r="I7" s="184" t="str">
        <f>G7-H7</f>
      </c>
      <c r="J7" s="185" t="str">
        <f>IF(H7&gt;0,G7/H7,"")</f>
      </c>
      <c r="K7" s="186" t="str">
        <f>SUMIFS('Economic_Value'!$AA$2:$AA$157,'Economic_Value'!$A$2:$A$157,A7)</f>
      </c>
      <c r="L7" s="187" t="str">
        <f>IF(K7=0,"",G7/K7)</f>
      </c>
      <c r="M7" s="140" t="str">
        <f>IF(H7&lt;=0,"cost-saving or ratio not meaningful (PV cost&lt;=0)",IF(J7&gt;=1,"benefits exceed costs (BCR&gt;=1)","costs exceed benefits (BCR&lt;1)"))</f>
      </c>
      <c r="N7" s="35" t="s">
        <v>511</v>
      </c>
    </row>
    <row r="8">
      <c r="A8" t="s">
        <v>219</v>
      </c>
      <c r="B8" s="35" t="s">
        <v>221</v>
      </c>
      <c r="C8" t="s">
        <v>502</v>
      </c>
      <c r="D8" t="s">
        <v>232</v>
      </c>
      <c r="E8" t="s">
        <v>504</v>
      </c>
      <c r="F8" s="35" t="s">
        <v>508</v>
      </c>
      <c r="G8" s="182" t="str">
        <f>SUMIFS('Economic_Value'!$X$2:$X$157,'Economic_Value'!$A$2:$A$157,A8)</f>
      </c>
      <c r="H8" s="183" t="str">
        <f>SUMPRODUCT(('Budget_Impact'!$A$2:$A$157=A8)*'Budget_Impact'!$E$2:$E$157*(1/(1+'Calculation_Assumptions'!$B$25)^('Budget_Impact'!$B$2:$B$157-'Calculation_Assumptions'!$B$24)))*'Calculation_Assumptions'!$B$37</f>
      </c>
      <c r="I8" s="184" t="str">
        <f>G8-H8</f>
      </c>
      <c r="J8" s="185" t="str">
        <f>IF(H8&gt;0,G8/H8,"")</f>
      </c>
      <c r="K8" s="186" t="str">
        <f>SUMIFS('Economic_Value'!$AA$2:$AA$157,'Economic_Value'!$A$2:$A$157,A8)</f>
      </c>
      <c r="L8" s="187" t="str">
        <f>IF(K8=0,"",G8/K8)</f>
      </c>
      <c r="M8" s="140" t="str">
        <f>IF(H8&lt;=0,"cost-saving or ratio not meaningful (PV cost&lt;=0)",IF(J8&gt;=1,"benefits exceed costs (BCR&gt;=1)","costs exceed benefits (BCR&lt;1)"))</f>
      </c>
      <c r="N8" s="35" t="s">
        <v>511</v>
      </c>
    </row>
    <row r="9">
      <c r="A9" t="s">
        <v>219</v>
      </c>
      <c r="B9" s="35" t="s">
        <v>221</v>
      </c>
      <c r="C9" t="s">
        <v>502</v>
      </c>
      <c r="D9" t="s">
        <v>232</v>
      </c>
      <c r="E9" t="s">
        <v>504</v>
      </c>
      <c r="F9" s="35" t="s">
        <v>509</v>
      </c>
      <c r="G9" s="182" t="str">
        <f>SUMIFS('Economic_Value'!$Y$2:$Y$157,'Economic_Value'!$A$2:$A$157,A9)</f>
      </c>
      <c r="H9" s="183" t="str">
        <f>SUMPRODUCT(('Budget_Impact'!$A$2:$A$157=A9)*'Budget_Impact'!$E$2:$E$157*(1/(1+'Calculation_Assumptions'!$B$25)^('Budget_Impact'!$B$2:$B$157-'Calculation_Assumptions'!$B$24)))*'Calculation_Assumptions'!$B$37</f>
      </c>
      <c r="I9" s="184" t="str">
        <f>G9-H9</f>
      </c>
      <c r="J9" s="185" t="str">
        <f>IF(H9&gt;0,G9/H9,"")</f>
      </c>
      <c r="K9" s="186" t="str">
        <f>SUMIFS('Economic_Value'!$AA$2:$AA$157,'Economic_Value'!$A$2:$A$157,A9)</f>
      </c>
      <c r="L9" s="187" t="str">
        <f>IF(K9=0,"",G9/K9)</f>
      </c>
      <c r="M9" s="140" t="str">
        <f>IF(H9&lt;=0,"cost-saving or ratio not meaningful (PV cost&lt;=0)",IF(J9&gt;=1,"benefits exceed costs (BCR&gt;=1)","costs exceed benefits (BCR&lt;1)"))</f>
      </c>
      <c r="N9" s="35" t="s">
        <v>511</v>
      </c>
    </row>
    <row r="10">
      <c r="A10" t="s">
        <v>250</v>
      </c>
      <c r="B10" s="35" t="s">
        <v>252</v>
      </c>
      <c r="C10" t="s">
        <v>502</v>
      </c>
      <c r="D10" t="s">
        <v>255</v>
      </c>
      <c r="E10" t="s">
        <v>504</v>
      </c>
      <c r="F10" s="35" t="s">
        <v>505</v>
      </c>
      <c r="G10" s="182" t="str">
        <f>SUMIFS('Economic_Value'!$V$2:$V$157,'Economic_Value'!$A$2:$A$157,A10)</f>
      </c>
      <c r="H10" s="183" t="str">
        <f>SUMPRODUCT(('Budget_Impact'!$A$2:$A$157=A10)*'Budget_Impact'!$E$2:$E$157*(1/(1+'Calculation_Assumptions'!$B$25)^('Budget_Impact'!$B$2:$B$157-'Calculation_Assumptions'!$B$24)))*'Calculation_Assumptions'!$B$37</f>
      </c>
      <c r="I10" s="184" t="str">
        <f>G10-H10</f>
      </c>
      <c r="J10" s="185" t="str">
        <f>IF(H10&gt;0,G10/H10,"")</f>
      </c>
      <c r="K10" s="186" t="str">
        <f>SUMIFS('Economic_Value'!$AA$2:$AA$157,'Economic_Value'!$A$2:$A$157,A10)</f>
      </c>
      <c r="L10" s="187" t="str">
        <f>IF(K10=0,"",G10/K10)</f>
      </c>
      <c r="M10" s="140" t="str">
        <f>IF(H10&lt;=0,"cost-saving or ratio not meaningful (PV cost&lt;=0)",IF(J10&gt;=1,"benefits exceed costs (BCR&gt;=1)","costs exceed benefits (BCR&lt;1)"))</f>
      </c>
      <c r="N10" s="35" t="s">
        <v>511</v>
      </c>
    </row>
    <row r="11">
      <c r="A11" t="s">
        <v>250</v>
      </c>
      <c r="B11" s="35" t="s">
        <v>252</v>
      </c>
      <c r="C11" t="s">
        <v>502</v>
      </c>
      <c r="D11" t="s">
        <v>255</v>
      </c>
      <c r="E11" t="s">
        <v>506</v>
      </c>
      <c r="F11" s="35" t="s">
        <v>507</v>
      </c>
      <c r="G11" s="182" t="str">
        <f>SUMIFS('Economic_Value'!$W$2:$W$157,'Economic_Value'!$A$2:$A$157,A11)</f>
      </c>
      <c r="H11" s="183" t="str">
        <f>SUMPRODUCT(('Budget_Impact'!$A$2:$A$157=A11)*'Budget_Impact'!$E$2:$E$157*(1/(1+'Calculation_Assumptions'!$B$25)^('Budget_Impact'!$B$2:$B$157-'Calculation_Assumptions'!$B$24)))*'Calculation_Assumptions'!$B$37</f>
      </c>
      <c r="I11" s="184" t="str">
        <f>G11-H11</f>
      </c>
      <c r="J11" s="185" t="str">
        <f>IF(H11&gt;0,G11/H11,"")</f>
      </c>
      <c r="K11" s="186" t="str">
        <f>SUMIFS('Economic_Value'!$AA$2:$AA$157,'Economic_Value'!$A$2:$A$157,A11)</f>
      </c>
      <c r="L11" s="187" t="str">
        <f>IF(K11=0,"",G11/K11)</f>
      </c>
      <c r="M11" s="140" t="str">
        <f>IF(H11&lt;=0,"cost-saving or ratio not meaningful (PV cost&lt;=0)",IF(J11&gt;=1,"benefits exceed costs (BCR&gt;=1)","costs exceed benefits (BCR&lt;1)"))</f>
      </c>
      <c r="N11" s="35" t="s">
        <v>511</v>
      </c>
    </row>
    <row r="12">
      <c r="A12" t="s">
        <v>250</v>
      </c>
      <c r="B12" s="35" t="s">
        <v>252</v>
      </c>
      <c r="C12" t="s">
        <v>502</v>
      </c>
      <c r="D12" t="s">
        <v>255</v>
      </c>
      <c r="E12" t="s">
        <v>504</v>
      </c>
      <c r="F12" s="35" t="s">
        <v>508</v>
      </c>
      <c r="G12" s="182" t="str">
        <f>SUMIFS('Economic_Value'!$X$2:$X$157,'Economic_Value'!$A$2:$A$157,A12)</f>
      </c>
      <c r="H12" s="183" t="str">
        <f>SUMPRODUCT(('Budget_Impact'!$A$2:$A$157=A12)*'Budget_Impact'!$E$2:$E$157*(1/(1+'Calculation_Assumptions'!$B$25)^('Budget_Impact'!$B$2:$B$157-'Calculation_Assumptions'!$B$24)))*'Calculation_Assumptions'!$B$37</f>
      </c>
      <c r="I12" s="184" t="str">
        <f>G12-H12</f>
      </c>
      <c r="J12" s="185" t="str">
        <f>IF(H12&gt;0,G12/H12,"")</f>
      </c>
      <c r="K12" s="186" t="str">
        <f>SUMIFS('Economic_Value'!$AA$2:$AA$157,'Economic_Value'!$A$2:$A$157,A12)</f>
      </c>
      <c r="L12" s="187" t="str">
        <f>IF(K12=0,"",G12/K12)</f>
      </c>
      <c r="M12" s="140" t="str">
        <f>IF(H12&lt;=0,"cost-saving or ratio not meaningful (PV cost&lt;=0)",IF(J12&gt;=1,"benefits exceed costs (BCR&gt;=1)","costs exceed benefits (BCR&lt;1)"))</f>
      </c>
      <c r="N12" s="35" t="s">
        <v>511</v>
      </c>
    </row>
    <row r="13">
      <c r="A13" t="s">
        <v>250</v>
      </c>
      <c r="B13" s="35" t="s">
        <v>252</v>
      </c>
      <c r="C13" t="s">
        <v>502</v>
      </c>
      <c r="D13" t="s">
        <v>255</v>
      </c>
      <c r="E13" t="s">
        <v>504</v>
      </c>
      <c r="F13" s="35" t="s">
        <v>509</v>
      </c>
      <c r="G13" s="182" t="str">
        <f>SUMIFS('Economic_Value'!$Y$2:$Y$157,'Economic_Value'!$A$2:$A$157,A13)</f>
      </c>
      <c r="H13" s="183" t="str">
        <f>SUMPRODUCT(('Budget_Impact'!$A$2:$A$157=A13)*'Budget_Impact'!$E$2:$E$157*(1/(1+'Calculation_Assumptions'!$B$25)^('Budget_Impact'!$B$2:$B$157-'Calculation_Assumptions'!$B$24)))*'Calculation_Assumptions'!$B$37</f>
      </c>
      <c r="I13" s="184" t="str">
        <f>G13-H13</f>
      </c>
      <c r="J13" s="185" t="str">
        <f>IF(H13&gt;0,G13/H13,"")</f>
      </c>
      <c r="K13" s="186" t="str">
        <f>SUMIFS('Economic_Value'!$AA$2:$AA$157,'Economic_Value'!$A$2:$A$157,A13)</f>
      </c>
      <c r="L13" s="187" t="str">
        <f>IF(K13=0,"",G13/K13)</f>
      </c>
      <c r="M13" s="140" t="str">
        <f>IF(H13&lt;=0,"cost-saving or ratio not meaningful (PV cost&lt;=0)",IF(J13&gt;=1,"benefits exceed costs (BCR&gt;=1)","costs exceed benefits (BCR&lt;1)"))</f>
      </c>
      <c r="N13" s="35" t="s">
        <v>511</v>
      </c>
    </row>
    <row r="14">
      <c r="A14" t="s">
        <v>262</v>
      </c>
      <c r="B14" s="35" t="s">
        <v>264</v>
      </c>
      <c r="C14" t="s">
        <v>502</v>
      </c>
      <c r="D14" t="s">
        <v>255</v>
      </c>
      <c r="E14" t="s">
        <v>504</v>
      </c>
      <c r="F14" s="35" t="s">
        <v>505</v>
      </c>
      <c r="G14" s="182" t="str">
        <f>SUMIFS('Economic_Value'!$V$2:$V$157,'Economic_Value'!$A$2:$A$157,A14)</f>
      </c>
      <c r="H14" s="183" t="str">
        <f>SUMPRODUCT(('Budget_Impact'!$A$2:$A$157=A14)*'Budget_Impact'!$E$2:$E$157*(1/(1+'Calculation_Assumptions'!$B$25)^('Budget_Impact'!$B$2:$B$157-'Calculation_Assumptions'!$B$24)))*'Calculation_Assumptions'!$B$37</f>
      </c>
      <c r="I14" s="184" t="str">
        <f>G14-H14</f>
      </c>
      <c r="J14" s="185" t="str">
        <f>IF(H14&gt;0,G14/H14,"")</f>
      </c>
      <c r="K14" s="186" t="str">
        <f>SUMIFS('Economic_Value'!$AA$2:$AA$157,'Economic_Value'!$A$2:$A$157,A14)</f>
      </c>
      <c r="L14" s="187" t="str">
        <f>IF(K14=0,"",G14/K14)</f>
      </c>
      <c r="M14" s="140" t="str">
        <f>IF(H14&lt;=0,"cost-saving or ratio not meaningful (PV cost&lt;=0)",IF(J14&gt;=1,"benefits exceed costs (BCR&gt;=1)","costs exceed benefits (BCR&lt;1)"))</f>
      </c>
      <c r="N14" s="35" t="s">
        <v>511</v>
      </c>
    </row>
    <row r="15">
      <c r="A15" t="s">
        <v>262</v>
      </c>
      <c r="B15" s="35" t="s">
        <v>264</v>
      </c>
      <c r="C15" t="s">
        <v>502</v>
      </c>
      <c r="D15" t="s">
        <v>255</v>
      </c>
      <c r="E15" t="s">
        <v>506</v>
      </c>
      <c r="F15" s="35" t="s">
        <v>507</v>
      </c>
      <c r="G15" s="182" t="str">
        <f>SUMIFS('Economic_Value'!$W$2:$W$157,'Economic_Value'!$A$2:$A$157,A15)</f>
      </c>
      <c r="H15" s="183" t="str">
        <f>SUMPRODUCT(('Budget_Impact'!$A$2:$A$157=A15)*'Budget_Impact'!$E$2:$E$157*(1/(1+'Calculation_Assumptions'!$B$25)^('Budget_Impact'!$B$2:$B$157-'Calculation_Assumptions'!$B$24)))*'Calculation_Assumptions'!$B$37</f>
      </c>
      <c r="I15" s="184" t="str">
        <f>G15-H15</f>
      </c>
      <c r="J15" s="185" t="str">
        <f>IF(H15&gt;0,G15/H15,"")</f>
      </c>
      <c r="K15" s="186" t="str">
        <f>SUMIFS('Economic_Value'!$AA$2:$AA$157,'Economic_Value'!$A$2:$A$157,A15)</f>
      </c>
      <c r="L15" s="187" t="str">
        <f>IF(K15=0,"",G15/K15)</f>
      </c>
      <c r="M15" s="140" t="str">
        <f>IF(H15&lt;=0,"cost-saving or ratio not meaningful (PV cost&lt;=0)",IF(J15&gt;=1,"benefits exceed costs (BCR&gt;=1)","costs exceed benefits (BCR&lt;1)"))</f>
      </c>
      <c r="N15" s="35" t="s">
        <v>511</v>
      </c>
    </row>
    <row r="16">
      <c r="A16" t="s">
        <v>262</v>
      </c>
      <c r="B16" s="35" t="s">
        <v>264</v>
      </c>
      <c r="C16" t="s">
        <v>502</v>
      </c>
      <c r="D16" t="s">
        <v>255</v>
      </c>
      <c r="E16" t="s">
        <v>504</v>
      </c>
      <c r="F16" s="35" t="s">
        <v>508</v>
      </c>
      <c r="G16" s="182" t="str">
        <f>SUMIFS('Economic_Value'!$X$2:$X$157,'Economic_Value'!$A$2:$A$157,A16)</f>
      </c>
      <c r="H16" s="183" t="str">
        <f>SUMPRODUCT(('Budget_Impact'!$A$2:$A$157=A16)*'Budget_Impact'!$E$2:$E$157*(1/(1+'Calculation_Assumptions'!$B$25)^('Budget_Impact'!$B$2:$B$157-'Calculation_Assumptions'!$B$24)))*'Calculation_Assumptions'!$B$37</f>
      </c>
      <c r="I16" s="184" t="str">
        <f>G16-H16</f>
      </c>
      <c r="J16" s="185" t="str">
        <f>IF(H16&gt;0,G16/H16,"")</f>
      </c>
      <c r="K16" s="186" t="str">
        <f>SUMIFS('Economic_Value'!$AA$2:$AA$157,'Economic_Value'!$A$2:$A$157,A16)</f>
      </c>
      <c r="L16" s="187" t="str">
        <f>IF(K16=0,"",G16/K16)</f>
      </c>
      <c r="M16" s="140" t="str">
        <f>IF(H16&lt;=0,"cost-saving or ratio not meaningful (PV cost&lt;=0)",IF(J16&gt;=1,"benefits exceed costs (BCR&gt;=1)","costs exceed benefits (BCR&lt;1)"))</f>
      </c>
      <c r="N16" s="35" t="s">
        <v>511</v>
      </c>
    </row>
    <row r="17">
      <c r="A17" t="s">
        <v>262</v>
      </c>
      <c r="B17" s="35" t="s">
        <v>264</v>
      </c>
      <c r="C17" t="s">
        <v>502</v>
      </c>
      <c r="D17" t="s">
        <v>255</v>
      </c>
      <c r="E17" t="s">
        <v>504</v>
      </c>
      <c r="F17" s="35" t="s">
        <v>509</v>
      </c>
      <c r="G17" s="182" t="str">
        <f>SUMIFS('Economic_Value'!$Y$2:$Y$157,'Economic_Value'!$A$2:$A$157,A17)</f>
      </c>
      <c r="H17" s="183" t="str">
        <f>SUMPRODUCT(('Budget_Impact'!$A$2:$A$157=A17)*'Budget_Impact'!$E$2:$E$157*(1/(1+'Calculation_Assumptions'!$B$25)^('Budget_Impact'!$B$2:$B$157-'Calculation_Assumptions'!$B$24)))*'Calculation_Assumptions'!$B$37</f>
      </c>
      <c r="I17" s="184" t="str">
        <f>G17-H17</f>
      </c>
      <c r="J17" s="185" t="str">
        <f>IF(H17&gt;0,G17/H17,"")</f>
      </c>
      <c r="K17" s="186" t="str">
        <f>SUMIFS('Economic_Value'!$AA$2:$AA$157,'Economic_Value'!$A$2:$A$157,A17)</f>
      </c>
      <c r="L17" s="187" t="str">
        <f>IF(K17=0,"",G17/K17)</f>
      </c>
      <c r="M17" s="140" t="str">
        <f>IF(H17&lt;=0,"cost-saving or ratio not meaningful (PV cost&lt;=0)",IF(J17&gt;=1,"benefits exceed costs (BCR&gt;=1)","costs exceed benefits (BCR&lt;1)"))</f>
      </c>
      <c r="N17" s="35" t="s">
        <v>511</v>
      </c>
    </row>
    <row r="18">
      <c r="A18" t="s">
        <v>272</v>
      </c>
      <c r="B18" s="35" t="s">
        <v>274</v>
      </c>
      <c r="C18" t="s">
        <v>502</v>
      </c>
      <c r="D18" t="s">
        <v>255</v>
      </c>
      <c r="E18" t="s">
        <v>504</v>
      </c>
      <c r="F18" s="35" t="s">
        <v>505</v>
      </c>
      <c r="G18" s="182" t="str">
        <f>SUMIFS('Economic_Value'!$V$2:$V$157,'Economic_Value'!$A$2:$A$157,A18)</f>
      </c>
      <c r="H18" s="183" t="str">
        <f>SUMPRODUCT(('Budget_Impact'!$A$2:$A$157=A18)*'Budget_Impact'!$E$2:$E$157*(1/(1+'Calculation_Assumptions'!$B$25)^('Budget_Impact'!$B$2:$B$157-'Calculation_Assumptions'!$B$24)))*'Calculation_Assumptions'!$B$37</f>
      </c>
      <c r="I18" s="184" t="str">
        <f>G18-H18</f>
      </c>
      <c r="J18" s="185" t="str">
        <f>IF(H18&gt;0,G18/H18,"")</f>
      </c>
      <c r="K18" s="186" t="str">
        <f>SUMIFS('Economic_Value'!$AA$2:$AA$157,'Economic_Value'!$A$2:$A$157,A18)</f>
      </c>
      <c r="L18" s="187" t="str">
        <f>IF(K18=0,"",G18/K18)</f>
      </c>
      <c r="M18" s="140" t="str">
        <f>IF(H18&lt;=0,"cost-saving or ratio not meaningful (PV cost&lt;=0)",IF(J18&gt;=1,"benefits exceed costs (BCR&gt;=1)","costs exceed benefits (BCR&lt;1)"))</f>
      </c>
      <c r="N18" s="35" t="s">
        <v>511</v>
      </c>
    </row>
    <row r="19">
      <c r="A19" t="s">
        <v>272</v>
      </c>
      <c r="B19" s="35" t="s">
        <v>274</v>
      </c>
      <c r="C19" t="s">
        <v>502</v>
      </c>
      <c r="D19" t="s">
        <v>255</v>
      </c>
      <c r="E19" t="s">
        <v>506</v>
      </c>
      <c r="F19" s="35" t="s">
        <v>507</v>
      </c>
      <c r="G19" s="182" t="str">
        <f>SUMIFS('Economic_Value'!$W$2:$W$157,'Economic_Value'!$A$2:$A$157,A19)</f>
      </c>
      <c r="H19" s="183" t="str">
        <f>SUMPRODUCT(('Budget_Impact'!$A$2:$A$157=A19)*'Budget_Impact'!$E$2:$E$157*(1/(1+'Calculation_Assumptions'!$B$25)^('Budget_Impact'!$B$2:$B$157-'Calculation_Assumptions'!$B$24)))*'Calculation_Assumptions'!$B$37</f>
      </c>
      <c r="I19" s="184" t="str">
        <f>G19-H19</f>
      </c>
      <c r="J19" s="185" t="str">
        <f>IF(H19&gt;0,G19/H19,"")</f>
      </c>
      <c r="K19" s="186" t="str">
        <f>SUMIFS('Economic_Value'!$AA$2:$AA$157,'Economic_Value'!$A$2:$A$157,A19)</f>
      </c>
      <c r="L19" s="187" t="str">
        <f>IF(K19=0,"",G19/K19)</f>
      </c>
      <c r="M19" s="140" t="str">
        <f>IF(H19&lt;=0,"cost-saving or ratio not meaningful (PV cost&lt;=0)",IF(J19&gt;=1,"benefits exceed costs (BCR&gt;=1)","costs exceed benefits (BCR&lt;1)"))</f>
      </c>
      <c r="N19" s="35" t="s">
        <v>511</v>
      </c>
    </row>
    <row r="20">
      <c r="A20" t="s">
        <v>272</v>
      </c>
      <c r="B20" s="35" t="s">
        <v>274</v>
      </c>
      <c r="C20" t="s">
        <v>502</v>
      </c>
      <c r="D20" t="s">
        <v>255</v>
      </c>
      <c r="E20" t="s">
        <v>504</v>
      </c>
      <c r="F20" s="35" t="s">
        <v>508</v>
      </c>
      <c r="G20" s="182" t="str">
        <f>SUMIFS('Economic_Value'!$X$2:$X$157,'Economic_Value'!$A$2:$A$157,A20)</f>
      </c>
      <c r="H20" s="183" t="str">
        <f>SUMPRODUCT(('Budget_Impact'!$A$2:$A$157=A20)*'Budget_Impact'!$E$2:$E$157*(1/(1+'Calculation_Assumptions'!$B$25)^('Budget_Impact'!$B$2:$B$157-'Calculation_Assumptions'!$B$24)))*'Calculation_Assumptions'!$B$37</f>
      </c>
      <c r="I20" s="184" t="str">
        <f>G20-H20</f>
      </c>
      <c r="J20" s="185" t="str">
        <f>IF(H20&gt;0,G20/H20,"")</f>
      </c>
      <c r="K20" s="186" t="str">
        <f>SUMIFS('Economic_Value'!$AA$2:$AA$157,'Economic_Value'!$A$2:$A$157,A20)</f>
      </c>
      <c r="L20" s="187" t="str">
        <f>IF(K20=0,"",G20/K20)</f>
      </c>
      <c r="M20" s="140" t="str">
        <f>IF(H20&lt;=0,"cost-saving or ratio not meaningful (PV cost&lt;=0)",IF(J20&gt;=1,"benefits exceed costs (BCR&gt;=1)","costs exceed benefits (BCR&lt;1)"))</f>
      </c>
      <c r="N20" s="35" t="s">
        <v>511</v>
      </c>
    </row>
    <row r="21">
      <c r="A21" t="s">
        <v>272</v>
      </c>
      <c r="B21" s="35" t="s">
        <v>274</v>
      </c>
      <c r="C21" t="s">
        <v>502</v>
      </c>
      <c r="D21" t="s">
        <v>255</v>
      </c>
      <c r="E21" t="s">
        <v>504</v>
      </c>
      <c r="F21" s="35" t="s">
        <v>509</v>
      </c>
      <c r="G21" s="182" t="str">
        <f>SUMIFS('Economic_Value'!$Y$2:$Y$157,'Economic_Value'!$A$2:$A$157,A21)</f>
      </c>
      <c r="H21" s="183" t="str">
        <f>SUMPRODUCT(('Budget_Impact'!$A$2:$A$157=A21)*'Budget_Impact'!$E$2:$E$157*(1/(1+'Calculation_Assumptions'!$B$25)^('Budget_Impact'!$B$2:$B$157-'Calculation_Assumptions'!$B$24)))*'Calculation_Assumptions'!$B$37</f>
      </c>
      <c r="I21" s="184" t="str">
        <f>G21-H21</f>
      </c>
      <c r="J21" s="185" t="str">
        <f>IF(H21&gt;0,G21/H21,"")</f>
      </c>
      <c r="K21" s="186" t="str">
        <f>SUMIFS('Economic_Value'!$AA$2:$AA$157,'Economic_Value'!$A$2:$A$157,A21)</f>
      </c>
      <c r="L21" s="187" t="str">
        <f>IF(K21=0,"",G21/K21)</f>
      </c>
      <c r="M21" s="140" t="str">
        <f>IF(H21&lt;=0,"cost-saving or ratio not meaningful (PV cost&lt;=0)",IF(J21&gt;=1,"benefits exceed costs (BCR&gt;=1)","costs exceed benefits (BCR&lt;1)"))</f>
      </c>
      <c r="N21" s="35" t="s">
        <v>511</v>
      </c>
    </row>
    <row r="22">
      <c r="A22" t="s">
        <v>116</v>
      </c>
      <c r="B22" s="35" t="s">
        <v>422</v>
      </c>
      <c r="C22" t="s">
        <v>502</v>
      </c>
      <c r="D22" t="s">
        <v>510</v>
      </c>
      <c r="E22" t="s">
        <v>504</v>
      </c>
      <c r="F22" s="35" t="s">
        <v>505</v>
      </c>
      <c r="G22" s="182" t="str">
        <f>SUMIFS('Economic_Value'!$V$2:$V$157,'Economic_Value'!$A$2:$A$157,A22)</f>
      </c>
      <c r="H22" s="183" t="str">
        <f>SUMPRODUCT(('Budget_Impact'!$A$2:$A$157=A22)*'Budget_Impact'!$E$2:$E$157*(1/(1+'Calculation_Assumptions'!$B$25)^('Budget_Impact'!$B$2:$B$157-'Calculation_Assumptions'!$B$24)))*'Calculation_Assumptions'!$B$37</f>
      </c>
      <c r="I22" s="184" t="str">
        <f>G22-H22</f>
      </c>
      <c r="J22" s="185" t="str">
        <f>IF(H22&gt;0,G22/H22,"")</f>
      </c>
      <c r="K22" s="186" t="str">
        <f>SUMIFS('Economic_Value'!$AA$2:$AA$157,'Economic_Value'!$A$2:$A$157,A22)</f>
      </c>
      <c r="L22" s="187" t="str">
        <f>IF(K22=0,"",G22/K22)</f>
      </c>
      <c r="M22" s="140" t="str">
        <f>IF(H22&lt;=0,"cost-saving or ratio not meaningful (PV cost&lt;=0)",IF(J22&gt;=1,"benefits exceed costs (BCR&gt;=1)","costs exceed benefits (BCR&lt;1)"))</f>
      </c>
      <c r="N22" s="35" t="s">
        <v>511</v>
      </c>
    </row>
    <row r="23">
      <c r="A23" t="s">
        <v>116</v>
      </c>
      <c r="B23" s="35" t="s">
        <v>422</v>
      </c>
      <c r="C23" t="s">
        <v>502</v>
      </c>
      <c r="D23" t="s">
        <v>510</v>
      </c>
      <c r="E23" t="s">
        <v>506</v>
      </c>
      <c r="F23" s="35" t="s">
        <v>507</v>
      </c>
      <c r="G23" s="182" t="str">
        <f>SUMIFS('Economic_Value'!$W$2:$W$157,'Economic_Value'!$A$2:$A$157,A23)</f>
      </c>
      <c r="H23" s="183" t="str">
        <f>SUMPRODUCT(('Budget_Impact'!$A$2:$A$157=A23)*'Budget_Impact'!$E$2:$E$157*(1/(1+'Calculation_Assumptions'!$B$25)^('Budget_Impact'!$B$2:$B$157-'Calculation_Assumptions'!$B$24)))*'Calculation_Assumptions'!$B$37</f>
      </c>
      <c r="I23" s="184" t="str">
        <f>G23-H23</f>
      </c>
      <c r="J23" s="185" t="str">
        <f>IF(H23&gt;0,G23/H23,"")</f>
      </c>
      <c r="K23" s="186" t="str">
        <f>SUMIFS('Economic_Value'!$AA$2:$AA$157,'Economic_Value'!$A$2:$A$157,A23)</f>
      </c>
      <c r="L23" s="187" t="str">
        <f>IF(K23=0,"",G23/K23)</f>
      </c>
      <c r="M23" s="140" t="str">
        <f>IF(H23&lt;=0,"cost-saving or ratio not meaningful (PV cost&lt;=0)",IF(J23&gt;=1,"benefits exceed costs (BCR&gt;=1)","costs exceed benefits (BCR&lt;1)"))</f>
      </c>
      <c r="N23" s="35" t="s">
        <v>511</v>
      </c>
    </row>
    <row r="24">
      <c r="A24" t="s">
        <v>116</v>
      </c>
      <c r="B24" s="35" t="s">
        <v>422</v>
      </c>
      <c r="C24" t="s">
        <v>502</v>
      </c>
      <c r="D24" t="s">
        <v>510</v>
      </c>
      <c r="E24" t="s">
        <v>504</v>
      </c>
      <c r="F24" s="35" t="s">
        <v>508</v>
      </c>
      <c r="G24" s="182" t="str">
        <f>SUMIFS('Economic_Value'!$X$2:$X$157,'Economic_Value'!$A$2:$A$157,A24)</f>
      </c>
      <c r="H24" s="183" t="str">
        <f>SUMPRODUCT(('Budget_Impact'!$A$2:$A$157=A24)*'Budget_Impact'!$E$2:$E$157*(1/(1+'Calculation_Assumptions'!$B$25)^('Budget_Impact'!$B$2:$B$157-'Calculation_Assumptions'!$B$24)))*'Calculation_Assumptions'!$B$37</f>
      </c>
      <c r="I24" s="184" t="str">
        <f>G24-H24</f>
      </c>
      <c r="J24" s="185" t="str">
        <f>IF(H24&gt;0,G24/H24,"")</f>
      </c>
      <c r="K24" s="186" t="str">
        <f>SUMIFS('Economic_Value'!$AA$2:$AA$157,'Economic_Value'!$A$2:$A$157,A24)</f>
      </c>
      <c r="L24" s="187" t="str">
        <f>IF(K24=0,"",G24/K24)</f>
      </c>
      <c r="M24" s="140" t="str">
        <f>IF(H24&lt;=0,"cost-saving or ratio not meaningful (PV cost&lt;=0)",IF(J24&gt;=1,"benefits exceed costs (BCR&gt;=1)","costs exceed benefits (BCR&lt;1)"))</f>
      </c>
      <c r="N24" s="35" t="s">
        <v>511</v>
      </c>
    </row>
    <row r="25">
      <c r="A25" t="s">
        <v>116</v>
      </c>
      <c r="B25" s="35" t="s">
        <v>422</v>
      </c>
      <c r="C25" t="s">
        <v>502</v>
      </c>
      <c r="D25" t="s">
        <v>510</v>
      </c>
      <c r="E25" t="s">
        <v>504</v>
      </c>
      <c r="F25" s="35" t="s">
        <v>509</v>
      </c>
      <c r="G25" s="182" t="str">
        <f>SUMIFS('Economic_Value'!$Y$2:$Y$157,'Economic_Value'!$A$2:$A$157,A25)</f>
      </c>
      <c r="H25" s="183" t="str">
        <f>SUMPRODUCT(('Budget_Impact'!$A$2:$A$157=A25)*'Budget_Impact'!$E$2:$E$157*(1/(1+'Calculation_Assumptions'!$B$25)^('Budget_Impact'!$B$2:$B$157-'Calculation_Assumptions'!$B$24)))*'Calculation_Assumptions'!$B$37</f>
      </c>
      <c r="I25" s="184" t="str">
        <f>G25-H25</f>
      </c>
      <c r="J25" s="185" t="str">
        <f>IF(H25&gt;0,G25/H25,"")</f>
      </c>
      <c r="K25" s="186" t="str">
        <f>SUMIFS('Economic_Value'!$AA$2:$AA$157,'Economic_Value'!$A$2:$A$157,A25)</f>
      </c>
      <c r="L25" s="187" t="str">
        <f>IF(K25=0,"",G25/K25)</f>
      </c>
      <c r="M25" s="140" t="str">
        <f>IF(H25&lt;=0,"cost-saving or ratio not meaningful (PV cost&lt;=0)",IF(J25&gt;=1,"benefits exceed costs (BCR&gt;=1)","costs exceed benefits (BCR&lt;1)"))</f>
      </c>
      <c r="N25" s="35" t="s">
        <v>511</v>
      </c>
    </row>
  </sheetData>
  <autoFilter ref="A1:N1"/>
  <conditionalFormatting sqref="M2:M25">
    <cfRule type="containsText" dxfId="0" priority="2" operator="containsText" text="benefits exceed">
      <formula>NOT(ISERROR(SEARCH("benefits exceed", M2)))</formula>
    </cfRule>
    <cfRule type="containsText" dxfId="1" priority="1" operator="containsText" text="costs exceed">
      <formula>NOT(ISERROR(SEARCH("costs exceed", M2)))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6.71" hidden="0" customWidth="1"/>
    <col min="4" max="4" width="21.71" hidden="0" customWidth="1"/>
    <col min="5" max="5" width="21.71" hidden="0" customWidth="1"/>
    <col min="6" max="6" width="11.71" hidden="0" customWidth="1"/>
    <col min="7" max="7" width="11.71" hidden="0" customWidth="1"/>
    <col min="8" max="8" width="12.71" hidden="0" customWidth="1"/>
    <col min="9" max="9" width="12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</cols>
  <sheetData>
    <row r="1" ht="28" customHeight="1">
      <c r="A1" s="1" t="s">
        <v>512</v>
      </c>
      <c r="B1" s="1" t="s">
        <v>409</v>
      </c>
      <c r="C1" s="1" t="s">
        <v>410</v>
      </c>
      <c r="D1" s="1" t="s">
        <v>491</v>
      </c>
      <c r="E1" s="1" t="s">
        <v>513</v>
      </c>
      <c r="F1" s="1" t="s">
        <v>45</v>
      </c>
      <c r="G1" s="1" t="s">
        <v>514</v>
      </c>
      <c r="H1" s="1" t="s">
        <v>515</v>
      </c>
      <c r="I1" s="1" t="s">
        <v>470</v>
      </c>
      <c r="J1" s="1" t="s">
        <v>516</v>
      </c>
      <c r="K1" s="1" t="s">
        <v>517</v>
      </c>
      <c r="L1" s="1" t="s">
        <v>518</v>
      </c>
      <c r="M1" s="1" t="s">
        <v>519</v>
      </c>
    </row>
    <row r="2">
      <c r="A2" t="s">
        <v>167</v>
      </c>
      <c r="B2" t="s">
        <v>254</v>
      </c>
      <c r="C2" s="35" t="s">
        <v>418</v>
      </c>
      <c r="D2" t="s">
        <v>502</v>
      </c>
      <c r="E2" t="s">
        <v>520</v>
      </c>
      <c r="F2" s="188" t="n">
        <v>2025</v>
      </c>
      <c r="G2" s="189" t="n">
        <v>30</v>
      </c>
      <c r="H2" s="190" t="n">
        <v>1282.14808007526</v>
      </c>
      <c r="I2" s="191" t="n">
        <v>4467259.00744984</v>
      </c>
      <c r="J2" s="192" t="str">
        <f>IF(I2&gt;0,H2/I2,0)</f>
      </c>
      <c r="K2" s="193" t="str">
        <f>1-EXP(-J2)</f>
      </c>
      <c r="L2" s="194" t="str">
        <f>IF(G2=30,1,M1)</f>
      </c>
      <c r="M2" s="195" t="str">
        <f>L2*(1-K2)</f>
      </c>
    </row>
    <row r="3">
      <c r="A3" t="s">
        <v>167</v>
      </c>
      <c r="B3" t="s">
        <v>254</v>
      </c>
      <c r="C3" s="35" t="s">
        <v>418</v>
      </c>
      <c r="D3" t="s">
        <v>502</v>
      </c>
      <c r="E3" t="s">
        <v>520</v>
      </c>
      <c r="F3" s="188" t="n">
        <v>2025</v>
      </c>
      <c r="G3" s="189" t="n">
        <v>31</v>
      </c>
      <c r="H3" s="190" t="n">
        <v>1315.23908698248</v>
      </c>
      <c r="I3" s="191" t="n">
        <v>4410712.39044934</v>
      </c>
      <c r="J3" s="192" t="str">
        <f>IF(I3&gt;0,H3/I3,0)</f>
      </c>
      <c r="K3" s="193" t="str">
        <f>1-EXP(-J3)</f>
      </c>
      <c r="L3" s="194" t="str">
        <f>IF(G3=30,1,M2)</f>
      </c>
      <c r="M3" s="195" t="str">
        <f>L3*(1-K3)</f>
      </c>
    </row>
    <row r="4">
      <c r="A4" t="s">
        <v>167</v>
      </c>
      <c r="B4" t="s">
        <v>254</v>
      </c>
      <c r="C4" s="35" t="s">
        <v>418</v>
      </c>
      <c r="D4" t="s">
        <v>502</v>
      </c>
      <c r="E4" t="s">
        <v>520</v>
      </c>
      <c r="F4" s="188" t="n">
        <v>2025</v>
      </c>
      <c r="G4" s="189" t="n">
        <v>32</v>
      </c>
      <c r="H4" s="190" t="n">
        <v>1358.36874107968</v>
      </c>
      <c r="I4" s="191" t="n">
        <v>4358505.80076359</v>
      </c>
      <c r="J4" s="192" t="str">
        <f>IF(I4&gt;0,H4/I4,0)</f>
      </c>
      <c r="K4" s="193" t="str">
        <f>1-EXP(-J4)</f>
      </c>
      <c r="L4" s="194" t="str">
        <f>IF(G4=30,1,M3)</f>
      </c>
      <c r="M4" s="195" t="str">
        <f>L4*(1-K4)</f>
      </c>
    </row>
    <row r="5">
      <c r="A5" t="s">
        <v>167</v>
      </c>
      <c r="B5" t="s">
        <v>254</v>
      </c>
      <c r="C5" s="35" t="s">
        <v>418</v>
      </c>
      <c r="D5" t="s">
        <v>502</v>
      </c>
      <c r="E5" t="s">
        <v>520</v>
      </c>
      <c r="F5" s="188" t="n">
        <v>2025</v>
      </c>
      <c r="G5" s="189" t="n">
        <v>33</v>
      </c>
      <c r="H5" s="190" t="n">
        <v>1441.84186563352</v>
      </c>
      <c r="I5" s="191" t="n">
        <v>4398745.92791286</v>
      </c>
      <c r="J5" s="192" t="str">
        <f>IF(I5&gt;0,H5/I5,0)</f>
      </c>
      <c r="K5" s="193" t="str">
        <f>1-EXP(-J5)</f>
      </c>
      <c r="L5" s="194" t="str">
        <f>IF(G5=30,1,M4)</f>
      </c>
      <c r="M5" s="195" t="str">
        <f>L5*(1-K5)</f>
      </c>
    </row>
    <row r="6">
      <c r="A6" t="s">
        <v>167</v>
      </c>
      <c r="B6" t="s">
        <v>254</v>
      </c>
      <c r="C6" s="35" t="s">
        <v>418</v>
      </c>
      <c r="D6" t="s">
        <v>502</v>
      </c>
      <c r="E6" t="s">
        <v>520</v>
      </c>
      <c r="F6" s="188" t="n">
        <v>2025</v>
      </c>
      <c r="G6" s="189" t="n">
        <v>34</v>
      </c>
      <c r="H6" s="190" t="n">
        <v>1533.78714702233</v>
      </c>
      <c r="I6" s="191" t="n">
        <v>4419468.588996</v>
      </c>
      <c r="J6" s="192" t="str">
        <f>IF(I6&gt;0,H6/I6,0)</f>
      </c>
      <c r="K6" s="193" t="str">
        <f>1-EXP(-J6)</f>
      </c>
      <c r="L6" s="194" t="str">
        <f>IF(G6=30,1,M5)</f>
      </c>
      <c r="M6" s="195" t="str">
        <f>L6*(1-K6)</f>
      </c>
    </row>
    <row r="7">
      <c r="A7" t="s">
        <v>167</v>
      </c>
      <c r="B7" t="s">
        <v>254</v>
      </c>
      <c r="C7" s="35" t="s">
        <v>418</v>
      </c>
      <c r="D7" t="s">
        <v>502</v>
      </c>
      <c r="E7" t="s">
        <v>520</v>
      </c>
      <c r="F7" s="188" t="n">
        <v>2025</v>
      </c>
      <c r="G7" s="189" t="n">
        <v>35</v>
      </c>
      <c r="H7" s="190" t="n">
        <v>3016.10693161697</v>
      </c>
      <c r="I7" s="191" t="n">
        <v>6509663.36688188</v>
      </c>
      <c r="J7" s="192" t="str">
        <f>IF(I7&gt;0,H7/I7,0)</f>
      </c>
      <c r="K7" s="193" t="str">
        <f>1-EXP(-J7)</f>
      </c>
      <c r="L7" s="194" t="str">
        <f>IF(G7=30,1,M6)</f>
      </c>
      <c r="M7" s="195" t="str">
        <f>L7*(1-K7)</f>
      </c>
    </row>
    <row r="8">
      <c r="A8" t="s">
        <v>167</v>
      </c>
      <c r="B8" t="s">
        <v>254</v>
      </c>
      <c r="C8" s="35" t="s">
        <v>418</v>
      </c>
      <c r="D8" t="s">
        <v>502</v>
      </c>
      <c r="E8" t="s">
        <v>520</v>
      </c>
      <c r="F8" s="188" t="n">
        <v>2025</v>
      </c>
      <c r="G8" s="189" t="n">
        <v>36</v>
      </c>
      <c r="H8" s="190" t="n">
        <v>2254.70933318993</v>
      </c>
      <c r="I8" s="191" t="n">
        <v>4383096.00549538</v>
      </c>
      <c r="J8" s="192" t="str">
        <f>IF(I8&gt;0,H8/I8,0)</f>
      </c>
      <c r="K8" s="193" t="str">
        <f>1-EXP(-J8)</f>
      </c>
      <c r="L8" s="194" t="str">
        <f>IF(G8=30,1,M7)</f>
      </c>
      <c r="M8" s="195" t="str">
        <f>L8*(1-K8)</f>
      </c>
    </row>
    <row r="9">
      <c r="A9" t="s">
        <v>167</v>
      </c>
      <c r="B9" t="s">
        <v>254</v>
      </c>
      <c r="C9" s="35" t="s">
        <v>418</v>
      </c>
      <c r="D9" t="s">
        <v>502</v>
      </c>
      <c r="E9" t="s">
        <v>520</v>
      </c>
      <c r="F9" s="188" t="n">
        <v>2025</v>
      </c>
      <c r="G9" s="189" t="n">
        <v>37</v>
      </c>
      <c r="H9" s="190" t="n">
        <v>2406.72848505594</v>
      </c>
      <c r="I9" s="191" t="n">
        <v>4369642.29305489</v>
      </c>
      <c r="J9" s="192" t="str">
        <f>IF(I9&gt;0,H9/I9,0)</f>
      </c>
      <c r="K9" s="193" t="str">
        <f>1-EXP(-J9)</f>
      </c>
      <c r="L9" s="194" t="str">
        <f>IF(G9=30,1,M8)</f>
      </c>
      <c r="M9" s="195" t="str">
        <f>L9*(1-K9)</f>
      </c>
    </row>
    <row r="10">
      <c r="A10" t="s">
        <v>167</v>
      </c>
      <c r="B10" t="s">
        <v>254</v>
      </c>
      <c r="C10" s="35" t="s">
        <v>418</v>
      </c>
      <c r="D10" t="s">
        <v>502</v>
      </c>
      <c r="E10" t="s">
        <v>520</v>
      </c>
      <c r="F10" s="188" t="n">
        <v>2025</v>
      </c>
      <c r="G10" s="189" t="n">
        <v>38</v>
      </c>
      <c r="H10" s="190" t="n">
        <v>2504.26492550023</v>
      </c>
      <c r="I10" s="191" t="n">
        <v>4239505.8530855</v>
      </c>
      <c r="J10" s="192" t="str">
        <f>IF(I10&gt;0,H10/I10,0)</f>
      </c>
      <c r="K10" s="193" t="str">
        <f>1-EXP(-J10)</f>
      </c>
      <c r="L10" s="194" t="str">
        <f>IF(G10=30,1,M9)</f>
      </c>
      <c r="M10" s="195" t="str">
        <f>L10*(1-K10)</f>
      </c>
    </row>
    <row r="11">
      <c r="A11" t="s">
        <v>167</v>
      </c>
      <c r="B11" t="s">
        <v>254</v>
      </c>
      <c r="C11" s="35" t="s">
        <v>418</v>
      </c>
      <c r="D11" t="s">
        <v>502</v>
      </c>
      <c r="E11" t="s">
        <v>520</v>
      </c>
      <c r="F11" s="188" t="n">
        <v>2025</v>
      </c>
      <c r="G11" s="189" t="n">
        <v>39</v>
      </c>
      <c r="H11" s="190" t="n">
        <v>2668.85044983619</v>
      </c>
      <c r="I11" s="191" t="n">
        <v>4208510.72085438</v>
      </c>
      <c r="J11" s="192" t="str">
        <f>IF(I11&gt;0,H11/I11,0)</f>
      </c>
      <c r="K11" s="193" t="str">
        <f>1-EXP(-J11)</f>
      </c>
      <c r="L11" s="194" t="str">
        <f>IF(G11=30,1,M10)</f>
      </c>
      <c r="M11" s="195" t="str">
        <f>L11*(1-K11)</f>
      </c>
    </row>
    <row r="12">
      <c r="A12" t="s">
        <v>167</v>
      </c>
      <c r="B12" t="s">
        <v>254</v>
      </c>
      <c r="C12" s="35" t="s">
        <v>418</v>
      </c>
      <c r="D12" t="s">
        <v>502</v>
      </c>
      <c r="E12" t="s">
        <v>520</v>
      </c>
      <c r="F12" s="188" t="n">
        <v>2025</v>
      </c>
      <c r="G12" s="189" t="n">
        <v>40</v>
      </c>
      <c r="H12" s="190" t="n">
        <v>3657.34535610759</v>
      </c>
      <c r="I12" s="191" t="n">
        <v>4272859.94162918</v>
      </c>
      <c r="J12" s="192" t="str">
        <f>IF(I12&gt;0,H12/I12,0)</f>
      </c>
      <c r="K12" s="193" t="str">
        <f>1-EXP(-J12)</f>
      </c>
      <c r="L12" s="194" t="str">
        <f>IF(G12=30,1,M11)</f>
      </c>
      <c r="M12" s="195" t="str">
        <f>L12*(1-K12)</f>
      </c>
    </row>
    <row r="13">
      <c r="A13" t="s">
        <v>167</v>
      </c>
      <c r="B13" t="s">
        <v>254</v>
      </c>
      <c r="C13" s="35" t="s">
        <v>418</v>
      </c>
      <c r="D13" t="s">
        <v>502</v>
      </c>
      <c r="E13" t="s">
        <v>520</v>
      </c>
      <c r="F13" s="188" t="n">
        <v>2025</v>
      </c>
      <c r="G13" s="189" t="n">
        <v>41</v>
      </c>
      <c r="H13" s="190" t="n">
        <v>4027.13767921727</v>
      </c>
      <c r="I13" s="191" t="n">
        <v>4362484.66303299</v>
      </c>
      <c r="J13" s="192" t="str">
        <f>IF(I13&gt;0,H13/I13,0)</f>
      </c>
      <c r="K13" s="193" t="str">
        <f>1-EXP(-J13)</f>
      </c>
      <c r="L13" s="194" t="str">
        <f>IF(G13=30,1,M12)</f>
      </c>
      <c r="M13" s="195" t="str">
        <f>L13*(1-K13)</f>
      </c>
    </row>
    <row r="14">
      <c r="A14" t="s">
        <v>167</v>
      </c>
      <c r="B14" t="s">
        <v>254</v>
      </c>
      <c r="C14" s="35" t="s">
        <v>418</v>
      </c>
      <c r="D14" t="s">
        <v>502</v>
      </c>
      <c r="E14" t="s">
        <v>520</v>
      </c>
      <c r="F14" s="188" t="n">
        <v>2025</v>
      </c>
      <c r="G14" s="189" t="n">
        <v>42</v>
      </c>
      <c r="H14" s="190" t="n">
        <v>4338.50110850914</v>
      </c>
      <c r="I14" s="191" t="n">
        <v>4343004.76876643</v>
      </c>
      <c r="J14" s="192" t="str">
        <f>IF(I14&gt;0,H14/I14,0)</f>
      </c>
      <c r="K14" s="193" t="str">
        <f>1-EXP(-J14)</f>
      </c>
      <c r="L14" s="194" t="str">
        <f>IF(G14=30,1,M13)</f>
      </c>
      <c r="M14" s="195" t="str">
        <f>L14*(1-K14)</f>
      </c>
    </row>
    <row r="15">
      <c r="A15" t="s">
        <v>167</v>
      </c>
      <c r="B15" t="s">
        <v>254</v>
      </c>
      <c r="C15" s="35" t="s">
        <v>418</v>
      </c>
      <c r="D15" t="s">
        <v>502</v>
      </c>
      <c r="E15" t="s">
        <v>520</v>
      </c>
      <c r="F15" s="188" t="n">
        <v>2025</v>
      </c>
      <c r="G15" s="189" t="n">
        <v>43</v>
      </c>
      <c r="H15" s="190" t="n">
        <v>4570.23561452701</v>
      </c>
      <c r="I15" s="191" t="n">
        <v>4209764.82229798</v>
      </c>
      <c r="J15" s="192" t="str">
        <f>IF(I15&gt;0,H15/I15,0)</f>
      </c>
      <c r="K15" s="193" t="str">
        <f>1-EXP(-J15)</f>
      </c>
      <c r="L15" s="194" t="str">
        <f>IF(G15=30,1,M14)</f>
      </c>
      <c r="M15" s="195" t="str">
        <f>L15*(1-K15)</f>
      </c>
    </row>
    <row r="16">
      <c r="A16" t="s">
        <v>167</v>
      </c>
      <c r="B16" t="s">
        <v>254</v>
      </c>
      <c r="C16" s="35" t="s">
        <v>418</v>
      </c>
      <c r="D16" t="s">
        <v>502</v>
      </c>
      <c r="E16" t="s">
        <v>520</v>
      </c>
      <c r="F16" s="188" t="n">
        <v>2025</v>
      </c>
      <c r="G16" s="189" t="n">
        <v>44</v>
      </c>
      <c r="H16" s="190" t="n">
        <v>4899.11975851417</v>
      </c>
      <c r="I16" s="191" t="n">
        <v>4140245.42433907</v>
      </c>
      <c r="J16" s="192" t="str">
        <f>IF(I16&gt;0,H16/I16,0)</f>
      </c>
      <c r="K16" s="193" t="str">
        <f>1-EXP(-J16)</f>
      </c>
      <c r="L16" s="194" t="str">
        <f>IF(G16=30,1,M15)</f>
      </c>
      <c r="M16" s="195" t="str">
        <f>L16*(1-K16)</f>
      </c>
    </row>
    <row r="17">
      <c r="A17" t="s">
        <v>167</v>
      </c>
      <c r="B17" t="s">
        <v>254</v>
      </c>
      <c r="C17" s="35" t="s">
        <v>418</v>
      </c>
      <c r="D17" t="s">
        <v>502</v>
      </c>
      <c r="E17" t="s">
        <v>520</v>
      </c>
      <c r="F17" s="188" t="n">
        <v>2025</v>
      </c>
      <c r="G17" s="189" t="n">
        <v>45</v>
      </c>
      <c r="H17" s="190" t="n">
        <v>6269.58995124239</v>
      </c>
      <c r="I17" s="191" t="n">
        <v>4087263.42645959</v>
      </c>
      <c r="J17" s="192" t="str">
        <f>IF(I17&gt;0,H17/I17,0)</f>
      </c>
      <c r="K17" s="193" t="str">
        <f>1-EXP(-J17)</f>
      </c>
      <c r="L17" s="194" t="str">
        <f>IF(G17=30,1,M16)</f>
      </c>
      <c r="M17" s="195" t="str">
        <f>L17*(1-K17)</f>
      </c>
    </row>
    <row r="18">
      <c r="A18" t="s">
        <v>167</v>
      </c>
      <c r="B18" t="s">
        <v>254</v>
      </c>
      <c r="C18" s="35" t="s">
        <v>418</v>
      </c>
      <c r="D18" t="s">
        <v>502</v>
      </c>
      <c r="E18" t="s">
        <v>520</v>
      </c>
      <c r="F18" s="188" t="n">
        <v>2025</v>
      </c>
      <c r="G18" s="189" t="n">
        <v>46</v>
      </c>
      <c r="H18" s="190" t="n">
        <v>6759.61099672677</v>
      </c>
      <c r="I18" s="191" t="n">
        <v>4028051.8565677</v>
      </c>
      <c r="J18" s="192" t="str">
        <f>IF(I18&gt;0,H18/I18,0)</f>
      </c>
      <c r="K18" s="193" t="str">
        <f>1-EXP(-J18)</f>
      </c>
      <c r="L18" s="194" t="str">
        <f>IF(G18=30,1,M17)</f>
      </c>
      <c r="M18" s="195" t="str">
        <f>L18*(1-K18)</f>
      </c>
    </row>
    <row r="19">
      <c r="A19" t="s">
        <v>167</v>
      </c>
      <c r="B19" t="s">
        <v>254</v>
      </c>
      <c r="C19" s="35" t="s">
        <v>418</v>
      </c>
      <c r="D19" t="s">
        <v>502</v>
      </c>
      <c r="E19" t="s">
        <v>520</v>
      </c>
      <c r="F19" s="188" t="n">
        <v>2025</v>
      </c>
      <c r="G19" s="189" t="n">
        <v>47</v>
      </c>
      <c r="H19" s="190" t="n">
        <v>7252.18511271875</v>
      </c>
      <c r="I19" s="191" t="n">
        <v>3950277.12889061</v>
      </c>
      <c r="J19" s="192" t="str">
        <f>IF(I19&gt;0,H19/I19,0)</f>
      </c>
      <c r="K19" s="193" t="str">
        <f>1-EXP(-J19)</f>
      </c>
      <c r="L19" s="194" t="str">
        <f>IF(G19=30,1,M18)</f>
      </c>
      <c r="M19" s="195" t="str">
        <f>L19*(1-K19)</f>
      </c>
    </row>
    <row r="20">
      <c r="A20" t="s">
        <v>167</v>
      </c>
      <c r="B20" t="s">
        <v>254</v>
      </c>
      <c r="C20" s="35" t="s">
        <v>418</v>
      </c>
      <c r="D20" t="s">
        <v>502</v>
      </c>
      <c r="E20" t="s">
        <v>520</v>
      </c>
      <c r="F20" s="188" t="n">
        <v>2025</v>
      </c>
      <c r="G20" s="189" t="n">
        <v>48</v>
      </c>
      <c r="H20" s="190" t="n">
        <v>7813.40832117215</v>
      </c>
      <c r="I20" s="191" t="n">
        <v>3890339.92856643</v>
      </c>
      <c r="J20" s="192" t="str">
        <f>IF(I20&gt;0,H20/I20,0)</f>
      </c>
      <c r="K20" s="193" t="str">
        <f>1-EXP(-J20)</f>
      </c>
      <c r="L20" s="194" t="str">
        <f>IF(G20=30,1,M19)</f>
      </c>
      <c r="M20" s="195" t="str">
        <f>L20*(1-K20)</f>
      </c>
    </row>
    <row r="21">
      <c r="A21" t="s">
        <v>167</v>
      </c>
      <c r="B21" t="s">
        <v>254</v>
      </c>
      <c r="C21" s="35" t="s">
        <v>418</v>
      </c>
      <c r="D21" t="s">
        <v>502</v>
      </c>
      <c r="E21" t="s">
        <v>520</v>
      </c>
      <c r="F21" s="188" t="n">
        <v>2025</v>
      </c>
      <c r="G21" s="189" t="n">
        <v>49</v>
      </c>
      <c r="H21" s="190" t="n">
        <v>8372.78717400612</v>
      </c>
      <c r="I21" s="191" t="n">
        <v>3818493.26996543</v>
      </c>
      <c r="J21" s="192" t="str">
        <f>IF(I21&gt;0,H21/I21,0)</f>
      </c>
      <c r="K21" s="193" t="str">
        <f>1-EXP(-J21)</f>
      </c>
      <c r="L21" s="194" t="str">
        <f>IF(G21=30,1,M20)</f>
      </c>
      <c r="M21" s="195" t="str">
        <f>L21*(1-K21)</f>
      </c>
    </row>
    <row r="22">
      <c r="A22" t="s">
        <v>167</v>
      </c>
      <c r="B22" t="s">
        <v>254</v>
      </c>
      <c r="C22" s="35" t="s">
        <v>418</v>
      </c>
      <c r="D22" t="s">
        <v>502</v>
      </c>
      <c r="E22" t="s">
        <v>520</v>
      </c>
      <c r="F22" s="188" t="n">
        <v>2025</v>
      </c>
      <c r="G22" s="189" t="n">
        <v>50</v>
      </c>
      <c r="H22" s="190" t="n">
        <v>9615.55870918643</v>
      </c>
      <c r="I22" s="191" t="n">
        <v>3746208.3894556</v>
      </c>
      <c r="J22" s="192" t="str">
        <f>IF(I22&gt;0,H22/I22,0)</f>
      </c>
      <c r="K22" s="193" t="str">
        <f>1-EXP(-J22)</f>
      </c>
      <c r="L22" s="194" t="str">
        <f>IF(G22=30,1,M21)</f>
      </c>
      <c r="M22" s="195" t="str">
        <f>L22*(1-K22)</f>
      </c>
    </row>
    <row r="23">
      <c r="A23" t="s">
        <v>167</v>
      </c>
      <c r="B23" t="s">
        <v>254</v>
      </c>
      <c r="C23" s="35" t="s">
        <v>418</v>
      </c>
      <c r="D23" t="s">
        <v>502</v>
      </c>
      <c r="E23" t="s">
        <v>520</v>
      </c>
      <c r="F23" s="188" t="n">
        <v>2025</v>
      </c>
      <c r="G23" s="189" t="n">
        <v>51</v>
      </c>
      <c r="H23" s="190" t="n">
        <v>10197.7741864065</v>
      </c>
      <c r="I23" s="191" t="n">
        <v>3645044.21523223</v>
      </c>
      <c r="J23" s="192" t="str">
        <f>IF(I23&gt;0,H23/I23,0)</f>
      </c>
      <c r="K23" s="193" t="str">
        <f>1-EXP(-J23)</f>
      </c>
      <c r="L23" s="194" t="str">
        <f>IF(G23=30,1,M22)</f>
      </c>
      <c r="M23" s="195" t="str">
        <f>L23*(1-K23)</f>
      </c>
    </row>
    <row r="24">
      <c r="A24" t="s">
        <v>167</v>
      </c>
      <c r="B24" t="s">
        <v>254</v>
      </c>
      <c r="C24" s="35" t="s">
        <v>418</v>
      </c>
      <c r="D24" t="s">
        <v>502</v>
      </c>
      <c r="E24" t="s">
        <v>520</v>
      </c>
      <c r="F24" s="188" t="n">
        <v>2025</v>
      </c>
      <c r="G24" s="189" t="n">
        <v>52</v>
      </c>
      <c r="H24" s="190" t="n">
        <v>10999.1856381924</v>
      </c>
      <c r="I24" s="191" t="n">
        <v>3606935.96429087</v>
      </c>
      <c r="J24" s="192" t="str">
        <f>IF(I24&gt;0,H24/I24,0)</f>
      </c>
      <c r="K24" s="193" t="str">
        <f>1-EXP(-J24)</f>
      </c>
      <c r="L24" s="194" t="str">
        <f>IF(G24=30,1,M23)</f>
      </c>
      <c r="M24" s="195" t="str">
        <f>L24*(1-K24)</f>
      </c>
    </row>
    <row r="25">
      <c r="A25" t="s">
        <v>167</v>
      </c>
      <c r="B25" t="s">
        <v>254</v>
      </c>
      <c r="C25" s="35" t="s">
        <v>418</v>
      </c>
      <c r="D25" t="s">
        <v>502</v>
      </c>
      <c r="E25" t="s">
        <v>520</v>
      </c>
      <c r="F25" s="188" t="n">
        <v>2025</v>
      </c>
      <c r="G25" s="189" t="n">
        <v>53</v>
      </c>
      <c r="H25" s="190" t="n">
        <v>11320.211791169</v>
      </c>
      <c r="I25" s="191" t="n">
        <v>3400438.09374049</v>
      </c>
      <c r="J25" s="192" t="str">
        <f>IF(I25&gt;0,H25/I25,0)</f>
      </c>
      <c r="K25" s="193" t="str">
        <f>1-EXP(-J25)</f>
      </c>
      <c r="L25" s="194" t="str">
        <f>IF(G25=30,1,M24)</f>
      </c>
      <c r="M25" s="195" t="str">
        <f>L25*(1-K25)</f>
      </c>
    </row>
    <row r="26">
      <c r="A26" t="s">
        <v>167</v>
      </c>
      <c r="B26" t="s">
        <v>254</v>
      </c>
      <c r="C26" s="35" t="s">
        <v>418</v>
      </c>
      <c r="D26" t="s">
        <v>502</v>
      </c>
      <c r="E26" t="s">
        <v>520</v>
      </c>
      <c r="F26" s="188" t="n">
        <v>2025</v>
      </c>
      <c r="G26" s="189" t="n">
        <v>54</v>
      </c>
      <c r="H26" s="190" t="n">
        <v>12058.0132264927</v>
      </c>
      <c r="I26" s="191" t="n">
        <v>3319306.02358973</v>
      </c>
      <c r="J26" s="192" t="str">
        <f>IF(I26&gt;0,H26/I26,0)</f>
      </c>
      <c r="K26" s="193" t="str">
        <f>1-EXP(-J26)</f>
      </c>
      <c r="L26" s="194" t="str">
        <f>IF(G26=30,1,M25)</f>
      </c>
      <c r="M26" s="195" t="str">
        <f>L26*(1-K26)</f>
      </c>
    </row>
    <row r="27">
      <c r="A27" t="s">
        <v>167</v>
      </c>
      <c r="B27" t="s">
        <v>254</v>
      </c>
      <c r="C27" s="35" t="s">
        <v>418</v>
      </c>
      <c r="D27" t="s">
        <v>502</v>
      </c>
      <c r="E27" t="s">
        <v>520</v>
      </c>
      <c r="F27" s="188" t="n">
        <v>2025</v>
      </c>
      <c r="G27" s="189" t="n">
        <v>55</v>
      </c>
      <c r="H27" s="190" t="n">
        <v>13121.8630224673</v>
      </c>
      <c r="I27" s="191" t="n">
        <v>3243129.6175784</v>
      </c>
      <c r="J27" s="192" t="str">
        <f>IF(I27&gt;0,H27/I27,0)</f>
      </c>
      <c r="K27" s="193" t="str">
        <f>1-EXP(-J27)</f>
      </c>
      <c r="L27" s="194" t="str">
        <f>IF(G27=30,1,M26)</f>
      </c>
      <c r="M27" s="195" t="str">
        <f>L27*(1-K27)</f>
      </c>
    </row>
    <row r="28">
      <c r="A28" t="s">
        <v>167</v>
      </c>
      <c r="B28" t="s">
        <v>254</v>
      </c>
      <c r="C28" s="35" t="s">
        <v>418</v>
      </c>
      <c r="D28" t="s">
        <v>502</v>
      </c>
      <c r="E28" t="s">
        <v>520</v>
      </c>
      <c r="F28" s="188" t="n">
        <v>2025</v>
      </c>
      <c r="G28" s="189" t="n">
        <v>56</v>
      </c>
      <c r="H28" s="190" t="n">
        <v>13949.400946191</v>
      </c>
      <c r="I28" s="191" t="n">
        <v>3157182.63240391</v>
      </c>
      <c r="J28" s="192" t="str">
        <f>IF(I28&gt;0,H28/I28,0)</f>
      </c>
      <c r="K28" s="193" t="str">
        <f>1-EXP(-J28)</f>
      </c>
      <c r="L28" s="194" t="str">
        <f>IF(G28=30,1,M27)</f>
      </c>
      <c r="M28" s="195" t="str">
        <f>L28*(1-K28)</f>
      </c>
    </row>
    <row r="29">
      <c r="A29" t="s">
        <v>167</v>
      </c>
      <c r="B29" t="s">
        <v>254</v>
      </c>
      <c r="C29" s="35" t="s">
        <v>418</v>
      </c>
      <c r="D29" t="s">
        <v>502</v>
      </c>
      <c r="E29" t="s">
        <v>520</v>
      </c>
      <c r="F29" s="188" t="n">
        <v>2025</v>
      </c>
      <c r="G29" s="189" t="n">
        <v>57</v>
      </c>
      <c r="H29" s="190" t="n">
        <v>14724.9347216004</v>
      </c>
      <c r="I29" s="191" t="n">
        <v>3051443.9184786</v>
      </c>
      <c r="J29" s="192" t="str">
        <f>IF(I29&gt;0,H29/I29,0)</f>
      </c>
      <c r="K29" s="193" t="str">
        <f>1-EXP(-J29)</f>
      </c>
      <c r="L29" s="194" t="str">
        <f>IF(G29=30,1,M28)</f>
      </c>
      <c r="M29" s="195" t="str">
        <f>L29*(1-K29)</f>
      </c>
    </row>
    <row r="30">
      <c r="A30" t="s">
        <v>167</v>
      </c>
      <c r="B30" t="s">
        <v>254</v>
      </c>
      <c r="C30" s="35" t="s">
        <v>418</v>
      </c>
      <c r="D30" t="s">
        <v>502</v>
      </c>
      <c r="E30" t="s">
        <v>520</v>
      </c>
      <c r="F30" s="188" t="n">
        <v>2025</v>
      </c>
      <c r="G30" s="189" t="n">
        <v>58</v>
      </c>
      <c r="H30" s="190" t="n">
        <v>15371.2074623555</v>
      </c>
      <c r="I30" s="191" t="n">
        <v>2913456.20780408</v>
      </c>
      <c r="J30" s="192" t="str">
        <f>IF(I30&gt;0,H30/I30,0)</f>
      </c>
      <c r="K30" s="193" t="str">
        <f>1-EXP(-J30)</f>
      </c>
      <c r="L30" s="194" t="str">
        <f>IF(G30=30,1,M29)</f>
      </c>
      <c r="M30" s="195" t="str">
        <f>L30*(1-K30)</f>
      </c>
    </row>
    <row r="31">
      <c r="A31" t="s">
        <v>167</v>
      </c>
      <c r="B31" t="s">
        <v>254</v>
      </c>
      <c r="C31" s="35" t="s">
        <v>418</v>
      </c>
      <c r="D31" t="s">
        <v>502</v>
      </c>
      <c r="E31" t="s">
        <v>520</v>
      </c>
      <c r="F31" s="188" t="n">
        <v>2025</v>
      </c>
      <c r="G31" s="189" t="n">
        <v>59</v>
      </c>
      <c r="H31" s="190" t="n">
        <v>16213.8109625709</v>
      </c>
      <c r="I31" s="191" t="n">
        <v>2813535.58615437</v>
      </c>
      <c r="J31" s="192" t="str">
        <f>IF(I31&gt;0,H31/I31,0)</f>
      </c>
      <c r="K31" s="193" t="str">
        <f>1-EXP(-J31)</f>
      </c>
      <c r="L31" s="194" t="str">
        <f>IF(G31=30,1,M30)</f>
      </c>
      <c r="M31" s="195" t="str">
        <f>L31*(1-K31)</f>
      </c>
    </row>
    <row r="32">
      <c r="A32" t="s">
        <v>167</v>
      </c>
      <c r="B32" t="s">
        <v>254</v>
      </c>
      <c r="C32" s="35" t="s">
        <v>418</v>
      </c>
      <c r="D32" t="s">
        <v>502</v>
      </c>
      <c r="E32" t="s">
        <v>520</v>
      </c>
      <c r="F32" s="188" t="n">
        <v>2025</v>
      </c>
      <c r="G32" s="189" t="n">
        <v>60</v>
      </c>
      <c r="H32" s="190" t="n">
        <v>17442.466213005</v>
      </c>
      <c r="I32" s="191" t="n">
        <v>2691047.17153736</v>
      </c>
      <c r="J32" s="192" t="str">
        <f>IF(I32&gt;0,H32/I32,0)</f>
      </c>
      <c r="K32" s="193" t="str">
        <f>1-EXP(-J32)</f>
      </c>
      <c r="L32" s="194" t="str">
        <f>IF(G32=30,1,M31)</f>
      </c>
      <c r="M32" s="195" t="str">
        <f>L32*(1-K32)</f>
      </c>
    </row>
    <row r="33">
      <c r="A33" t="s">
        <v>167</v>
      </c>
      <c r="B33" t="s">
        <v>254</v>
      </c>
      <c r="C33" s="35" t="s">
        <v>418</v>
      </c>
      <c r="D33" t="s">
        <v>502</v>
      </c>
      <c r="E33" t="s">
        <v>520</v>
      </c>
      <c r="F33" s="188" t="n">
        <v>2025</v>
      </c>
      <c r="G33" s="189" t="n">
        <v>61</v>
      </c>
      <c r="H33" s="190" t="n">
        <v>18185.5962140586</v>
      </c>
      <c r="I33" s="191" t="n">
        <v>2568096.94973173</v>
      </c>
      <c r="J33" s="192" t="str">
        <f>IF(I33&gt;0,H33/I33,0)</f>
      </c>
      <c r="K33" s="193" t="str">
        <f>1-EXP(-J33)</f>
      </c>
      <c r="L33" s="194" t="str">
        <f>IF(G33=30,1,M32)</f>
      </c>
      <c r="M33" s="195" t="str">
        <f>L33*(1-K33)</f>
      </c>
    </row>
    <row r="34">
      <c r="A34" t="s">
        <v>167</v>
      </c>
      <c r="B34" t="s">
        <v>254</v>
      </c>
      <c r="C34" s="35" t="s">
        <v>418</v>
      </c>
      <c r="D34" t="s">
        <v>502</v>
      </c>
      <c r="E34" t="s">
        <v>520</v>
      </c>
      <c r="F34" s="188" t="n">
        <v>2025</v>
      </c>
      <c r="G34" s="189" t="n">
        <v>62</v>
      </c>
      <c r="H34" s="190" t="n">
        <v>18970.1376231544</v>
      </c>
      <c r="I34" s="191" t="n">
        <v>2450910.06582199</v>
      </c>
      <c r="J34" s="192" t="str">
        <f>IF(I34&gt;0,H34/I34,0)</f>
      </c>
      <c r="K34" s="193" t="str">
        <f>1-EXP(-J34)</f>
      </c>
      <c r="L34" s="194" t="str">
        <f>IF(G34=30,1,M33)</f>
      </c>
      <c r="M34" s="195" t="str">
        <f>L34*(1-K34)</f>
      </c>
    </row>
    <row r="35">
      <c r="A35" t="s">
        <v>167</v>
      </c>
      <c r="B35" t="s">
        <v>254</v>
      </c>
      <c r="C35" s="35" t="s">
        <v>418</v>
      </c>
      <c r="D35" t="s">
        <v>502</v>
      </c>
      <c r="E35" t="s">
        <v>520</v>
      </c>
      <c r="F35" s="188" t="n">
        <v>2025</v>
      </c>
      <c r="G35" s="189" t="n">
        <v>63</v>
      </c>
      <c r="H35" s="190" t="n">
        <v>19616.8921947261</v>
      </c>
      <c r="I35" s="191" t="n">
        <v>2307352.6622382</v>
      </c>
      <c r="J35" s="192" t="str">
        <f>IF(I35&gt;0,H35/I35,0)</f>
      </c>
      <c r="K35" s="193" t="str">
        <f>1-EXP(-J35)</f>
      </c>
      <c r="L35" s="194" t="str">
        <f>IF(G35=30,1,M34)</f>
      </c>
      <c r="M35" s="195" t="str">
        <f>L35*(1-K35)</f>
      </c>
    </row>
    <row r="36">
      <c r="A36" t="s">
        <v>167</v>
      </c>
      <c r="B36" t="s">
        <v>254</v>
      </c>
      <c r="C36" s="35" t="s">
        <v>418</v>
      </c>
      <c r="D36" t="s">
        <v>502</v>
      </c>
      <c r="E36" t="s">
        <v>520</v>
      </c>
      <c r="F36" s="188" t="n">
        <v>2025</v>
      </c>
      <c r="G36" s="189" t="n">
        <v>64</v>
      </c>
      <c r="H36" s="190" t="n">
        <v>20366.5260402308</v>
      </c>
      <c r="I36" s="191" t="n">
        <v>2189442.45160812</v>
      </c>
      <c r="J36" s="192" t="str">
        <f>IF(I36&gt;0,H36/I36,0)</f>
      </c>
      <c r="K36" s="193" t="str">
        <f>1-EXP(-J36)</f>
      </c>
      <c r="L36" s="194" t="str">
        <f>IF(G36=30,1,M35)</f>
      </c>
      <c r="M36" s="195" t="str">
        <f>L36*(1-K36)</f>
      </c>
    </row>
    <row r="37">
      <c r="A37" t="s">
        <v>167</v>
      </c>
      <c r="B37" t="s">
        <v>254</v>
      </c>
      <c r="C37" s="35" t="s">
        <v>418</v>
      </c>
      <c r="D37" t="s">
        <v>502</v>
      </c>
      <c r="E37" t="s">
        <v>520</v>
      </c>
      <c r="F37" s="188" t="n">
        <v>2025</v>
      </c>
      <c r="G37" s="189" t="n">
        <v>65</v>
      </c>
      <c r="H37" s="190" t="n">
        <v>20564.8182811925</v>
      </c>
      <c r="I37" s="191" t="n">
        <v>2067379.29561573</v>
      </c>
      <c r="J37" s="192" t="str">
        <f>IF(I37&gt;0,H37/I37,0)</f>
      </c>
      <c r="K37" s="193" t="str">
        <f>1-EXP(-J37)</f>
      </c>
      <c r="L37" s="194" t="str">
        <f>IF(G37=30,1,M36)</f>
      </c>
      <c r="M37" s="195" t="str">
        <f>L37*(1-K37)</f>
      </c>
    </row>
    <row r="38">
      <c r="A38" t="s">
        <v>167</v>
      </c>
      <c r="B38" t="s">
        <v>254</v>
      </c>
      <c r="C38" s="35" t="s">
        <v>418</v>
      </c>
      <c r="D38" t="s">
        <v>502</v>
      </c>
      <c r="E38" t="s">
        <v>520</v>
      </c>
      <c r="F38" s="188" t="n">
        <v>2025</v>
      </c>
      <c r="G38" s="189" t="n">
        <v>66</v>
      </c>
      <c r="H38" s="190" t="n">
        <v>21128.4842212808</v>
      </c>
      <c r="I38" s="191" t="n">
        <v>1938977.04767675</v>
      </c>
      <c r="J38" s="192" t="str">
        <f>IF(I38&gt;0,H38/I38,0)</f>
      </c>
      <c r="K38" s="193" t="str">
        <f>1-EXP(-J38)</f>
      </c>
      <c r="L38" s="194" t="str">
        <f>IF(G38=30,1,M37)</f>
      </c>
      <c r="M38" s="195" t="str">
        <f>L38*(1-K38)</f>
      </c>
    </row>
    <row r="39">
      <c r="A39" t="s">
        <v>167</v>
      </c>
      <c r="B39" t="s">
        <v>254</v>
      </c>
      <c r="C39" s="35" t="s">
        <v>418</v>
      </c>
      <c r="D39" t="s">
        <v>502</v>
      </c>
      <c r="E39" t="s">
        <v>520</v>
      </c>
      <c r="F39" s="188" t="n">
        <v>2025</v>
      </c>
      <c r="G39" s="189" t="n">
        <v>67</v>
      </c>
      <c r="H39" s="190" t="n">
        <v>21650.1531142985</v>
      </c>
      <c r="I39" s="191" t="n">
        <v>1812804.58670767</v>
      </c>
      <c r="J39" s="192" t="str">
        <f>IF(I39&gt;0,H39/I39,0)</f>
      </c>
      <c r="K39" s="193" t="str">
        <f>1-EXP(-J39)</f>
      </c>
      <c r="L39" s="194" t="str">
        <f>IF(G39=30,1,M38)</f>
      </c>
      <c r="M39" s="195" t="str">
        <f>L39*(1-K39)</f>
      </c>
    </row>
    <row r="40">
      <c r="A40" t="s">
        <v>167</v>
      </c>
      <c r="B40" t="s">
        <v>254</v>
      </c>
      <c r="C40" s="35" t="s">
        <v>418</v>
      </c>
      <c r="D40" t="s">
        <v>502</v>
      </c>
      <c r="E40" t="s">
        <v>520</v>
      </c>
      <c r="F40" s="188" t="n">
        <v>2025</v>
      </c>
      <c r="G40" s="189" t="n">
        <v>68</v>
      </c>
      <c r="H40" s="190" t="n">
        <v>22443.5912394105</v>
      </c>
      <c r="I40" s="191" t="n">
        <v>1708817.0374287</v>
      </c>
      <c r="J40" s="192" t="str">
        <f>IF(I40&gt;0,H40/I40,0)</f>
      </c>
      <c r="K40" s="193" t="str">
        <f>1-EXP(-J40)</f>
      </c>
      <c r="L40" s="194" t="str">
        <f>IF(G40=30,1,M39)</f>
      </c>
      <c r="M40" s="195" t="str">
        <f>L40*(1-K40)</f>
      </c>
    </row>
    <row r="41">
      <c r="A41" t="s">
        <v>167</v>
      </c>
      <c r="B41" t="s">
        <v>254</v>
      </c>
      <c r="C41" s="35" t="s">
        <v>418</v>
      </c>
      <c r="D41" t="s">
        <v>502</v>
      </c>
      <c r="E41" t="s">
        <v>520</v>
      </c>
      <c r="F41" s="188" t="n">
        <v>2025</v>
      </c>
      <c r="G41" s="189" t="n">
        <v>69</v>
      </c>
      <c r="H41" s="190" t="n">
        <v>22887.5139092692</v>
      </c>
      <c r="I41" s="191" t="n">
        <v>1588246.5017458</v>
      </c>
      <c r="J41" s="192" t="str">
        <f>IF(I41&gt;0,H41/I41,0)</f>
      </c>
      <c r="K41" s="193" t="str">
        <f>1-EXP(-J41)</f>
      </c>
      <c r="L41" s="194" t="str">
        <f>IF(G41=30,1,M40)</f>
      </c>
      <c r="M41" s="195" t="str">
        <f>L41*(1-K41)</f>
      </c>
    </row>
    <row r="42">
      <c r="A42" t="s">
        <v>167</v>
      </c>
      <c r="B42" t="s">
        <v>254</v>
      </c>
      <c r="C42" s="35" t="s">
        <v>418</v>
      </c>
      <c r="D42" t="s">
        <v>502</v>
      </c>
      <c r="E42" t="s">
        <v>520</v>
      </c>
      <c r="F42" s="188" t="n">
        <v>2026</v>
      </c>
      <c r="G42" s="189" t="n">
        <v>30</v>
      </c>
      <c r="H42" s="190" t="n">
        <v>1287.12043931311</v>
      </c>
      <c r="I42" s="191" t="n">
        <v>4533066.05431128</v>
      </c>
      <c r="J42" s="192" t="str">
        <f>IF(I42&gt;0,H42/I42,0)</f>
      </c>
      <c r="K42" s="193" t="str">
        <f>1-EXP(-J42)</f>
      </c>
      <c r="L42" s="194" t="str">
        <f>IF(G42=30,1,M41)</f>
      </c>
      <c r="M42" s="195" t="str">
        <f>L42*(1-K42)</f>
      </c>
    </row>
    <row r="43">
      <c r="A43" t="s">
        <v>167</v>
      </c>
      <c r="B43" t="s">
        <v>254</v>
      </c>
      <c r="C43" s="35" t="s">
        <v>418</v>
      </c>
      <c r="D43" t="s">
        <v>502</v>
      </c>
      <c r="E43" t="s">
        <v>520</v>
      </c>
      <c r="F43" s="188" t="n">
        <v>2026</v>
      </c>
      <c r="G43" s="189" t="n">
        <v>31</v>
      </c>
      <c r="H43" s="190" t="n">
        <v>1316.11027119962</v>
      </c>
      <c r="I43" s="191" t="n">
        <v>4460323.13013529</v>
      </c>
      <c r="J43" s="192" t="str">
        <f>IF(I43&gt;0,H43/I43,0)</f>
      </c>
      <c r="K43" s="193" t="str">
        <f>1-EXP(-J43)</f>
      </c>
      <c r="L43" s="194" t="str">
        <f>IF(G43=30,1,M42)</f>
      </c>
      <c r="M43" s="195" t="str">
        <f>L43*(1-K43)</f>
      </c>
    </row>
    <row r="44">
      <c r="A44" t="s">
        <v>167</v>
      </c>
      <c r="B44" t="s">
        <v>254</v>
      </c>
      <c r="C44" s="35" t="s">
        <v>418</v>
      </c>
      <c r="D44" t="s">
        <v>502</v>
      </c>
      <c r="E44" t="s">
        <v>520</v>
      </c>
      <c r="F44" s="188" t="n">
        <v>2026</v>
      </c>
      <c r="G44" s="189" t="n">
        <v>32</v>
      </c>
      <c r="H44" s="190" t="n">
        <v>1358.50189910152</v>
      </c>
      <c r="I44" s="191" t="n">
        <v>4404105.59550118</v>
      </c>
      <c r="J44" s="192" t="str">
        <f>IF(I44&gt;0,H44/I44,0)</f>
      </c>
      <c r="K44" s="193" t="str">
        <f>1-EXP(-J44)</f>
      </c>
      <c r="L44" s="194" t="str">
        <f>IF(G44=30,1,M43)</f>
      </c>
      <c r="M44" s="195" t="str">
        <f>L44*(1-K44)</f>
      </c>
    </row>
    <row r="45">
      <c r="A45" t="s">
        <v>167</v>
      </c>
      <c r="B45" t="s">
        <v>254</v>
      </c>
      <c r="C45" s="35" t="s">
        <v>418</v>
      </c>
      <c r="D45" t="s">
        <v>502</v>
      </c>
      <c r="E45" t="s">
        <v>520</v>
      </c>
      <c r="F45" s="188" t="n">
        <v>2026</v>
      </c>
      <c r="G45" s="189" t="n">
        <v>33</v>
      </c>
      <c r="H45" s="190" t="n">
        <v>1412.59380241077</v>
      </c>
      <c r="I45" s="191" t="n">
        <v>4351714.92353231</v>
      </c>
      <c r="J45" s="192" t="str">
        <f>IF(I45&gt;0,H45/I45,0)</f>
      </c>
      <c r="K45" s="193" t="str">
        <f>1-EXP(-J45)</f>
      </c>
      <c r="L45" s="194" t="str">
        <f>IF(G45=30,1,M44)</f>
      </c>
      <c r="M45" s="195" t="str">
        <f>L45*(1-K45)</f>
      </c>
    </row>
    <row r="46">
      <c r="A46" t="s">
        <v>167</v>
      </c>
      <c r="B46" t="s">
        <v>254</v>
      </c>
      <c r="C46" s="35" t="s">
        <v>418</v>
      </c>
      <c r="D46" t="s">
        <v>502</v>
      </c>
      <c r="E46" t="s">
        <v>520</v>
      </c>
      <c r="F46" s="188" t="n">
        <v>2026</v>
      </c>
      <c r="G46" s="189" t="n">
        <v>34</v>
      </c>
      <c r="H46" s="190" t="n">
        <v>1508.90784679322</v>
      </c>
      <c r="I46" s="191" t="n">
        <v>4391577.80533736</v>
      </c>
      <c r="J46" s="192" t="str">
        <f>IF(I46&gt;0,H46/I46,0)</f>
      </c>
      <c r="K46" s="193" t="str">
        <f>1-EXP(-J46)</f>
      </c>
      <c r="L46" s="194" t="str">
        <f>IF(G46=30,1,M45)</f>
      </c>
      <c r="M46" s="195" t="str">
        <f>L46*(1-K46)</f>
      </c>
    </row>
    <row r="47">
      <c r="A47" t="s">
        <v>167</v>
      </c>
      <c r="B47" t="s">
        <v>254</v>
      </c>
      <c r="C47" s="35" t="s">
        <v>418</v>
      </c>
      <c r="D47" t="s">
        <v>502</v>
      </c>
      <c r="E47" t="s">
        <v>520</v>
      </c>
      <c r="F47" s="188" t="n">
        <v>2026</v>
      </c>
      <c r="G47" s="189" t="n">
        <v>35</v>
      </c>
      <c r="H47" s="190" t="n">
        <v>2093.78936944369</v>
      </c>
      <c r="I47" s="191" t="n">
        <v>4411881.63741314</v>
      </c>
      <c r="J47" s="192" t="str">
        <f>IF(I47&gt;0,H47/I47,0)</f>
      </c>
      <c r="K47" s="193" t="str">
        <f>1-EXP(-J47)</f>
      </c>
      <c r="L47" s="194" t="str">
        <f>IF(G47=30,1,M46)</f>
      </c>
      <c r="M47" s="195" t="str">
        <f>L47*(1-K47)</f>
      </c>
    </row>
    <row r="48">
      <c r="A48" t="s">
        <v>167</v>
      </c>
      <c r="B48" t="s">
        <v>254</v>
      </c>
      <c r="C48" s="35" t="s">
        <v>418</v>
      </c>
      <c r="D48" t="s">
        <v>502</v>
      </c>
      <c r="E48" t="s">
        <v>520</v>
      </c>
      <c r="F48" s="188" t="n">
        <v>2026</v>
      </c>
      <c r="G48" s="189" t="n">
        <v>36</v>
      </c>
      <c r="H48" s="190" t="n">
        <v>3168.57797720163</v>
      </c>
      <c r="I48" s="191" t="n">
        <v>6497474.08312581</v>
      </c>
      <c r="J48" s="192" t="str">
        <f>IF(I48&gt;0,H48/I48,0)</f>
      </c>
      <c r="K48" s="193" t="str">
        <f>1-EXP(-J48)</f>
      </c>
      <c r="L48" s="194" t="str">
        <f>IF(G48=30,1,M47)</f>
      </c>
      <c r="M48" s="195" t="str">
        <f>L48*(1-K48)</f>
      </c>
    </row>
    <row r="49">
      <c r="A49" t="s">
        <v>167</v>
      </c>
      <c r="B49" t="s">
        <v>254</v>
      </c>
      <c r="C49" s="35" t="s">
        <v>418</v>
      </c>
      <c r="D49" t="s">
        <v>502</v>
      </c>
      <c r="E49" t="s">
        <v>520</v>
      </c>
      <c r="F49" s="188" t="n">
        <v>2026</v>
      </c>
      <c r="G49" s="189" t="n">
        <v>37</v>
      </c>
      <c r="H49" s="190" t="n">
        <v>2375.68715146595</v>
      </c>
      <c r="I49" s="191" t="n">
        <v>4374564.95231593</v>
      </c>
      <c r="J49" s="192" t="str">
        <f>IF(I49&gt;0,H49/I49,0)</f>
      </c>
      <c r="K49" s="193" t="str">
        <f>1-EXP(-J49)</f>
      </c>
      <c r="L49" s="194" t="str">
        <f>IF(G49=30,1,M48)</f>
      </c>
      <c r="M49" s="195" t="str">
        <f>L49*(1-K49)</f>
      </c>
    </row>
    <row r="50">
      <c r="A50" t="s">
        <v>167</v>
      </c>
      <c r="B50" t="s">
        <v>254</v>
      </c>
      <c r="C50" s="35" t="s">
        <v>418</v>
      </c>
      <c r="D50" t="s">
        <v>502</v>
      </c>
      <c r="E50" t="s">
        <v>520</v>
      </c>
      <c r="F50" s="188" t="n">
        <v>2026</v>
      </c>
      <c r="G50" s="189" t="n">
        <v>38</v>
      </c>
      <c r="H50" s="190" t="n">
        <v>2540.37083011402</v>
      </c>
      <c r="I50" s="191" t="n">
        <v>4360550.03715021</v>
      </c>
      <c r="J50" s="192" t="str">
        <f>IF(I50&gt;0,H50/I50,0)</f>
      </c>
      <c r="K50" s="193" t="str">
        <f>1-EXP(-J50)</f>
      </c>
      <c r="L50" s="194" t="str">
        <f>IF(G50=30,1,M49)</f>
      </c>
      <c r="M50" s="195" t="str">
        <f>L50*(1-K50)</f>
      </c>
    </row>
    <row r="51">
      <c r="A51" t="s">
        <v>167</v>
      </c>
      <c r="B51" t="s">
        <v>254</v>
      </c>
      <c r="C51" s="35" t="s">
        <v>418</v>
      </c>
      <c r="D51" t="s">
        <v>502</v>
      </c>
      <c r="E51" t="s">
        <v>520</v>
      </c>
      <c r="F51" s="188" t="n">
        <v>2026</v>
      </c>
      <c r="G51" s="189" t="n">
        <v>39</v>
      </c>
      <c r="H51" s="190" t="n">
        <v>2647.54990129349</v>
      </c>
      <c r="I51" s="191" t="n">
        <v>4230055.14654035</v>
      </c>
      <c r="J51" s="192" t="str">
        <f>IF(I51&gt;0,H51/I51,0)</f>
      </c>
      <c r="K51" s="193" t="str">
        <f>1-EXP(-J51)</f>
      </c>
      <c r="L51" s="194" t="str">
        <f>IF(G51=30,1,M50)</f>
      </c>
      <c r="M51" s="195" t="str">
        <f>L51*(1-K51)</f>
      </c>
    </row>
    <row r="52">
      <c r="A52" t="s">
        <v>167</v>
      </c>
      <c r="B52" t="s">
        <v>254</v>
      </c>
      <c r="C52" s="35" t="s">
        <v>418</v>
      </c>
      <c r="D52" t="s">
        <v>502</v>
      </c>
      <c r="E52" t="s">
        <v>520</v>
      </c>
      <c r="F52" s="188" t="n">
        <v>2026</v>
      </c>
      <c r="G52" s="189" t="n">
        <v>40</v>
      </c>
      <c r="H52" s="190" t="n">
        <v>3543.80143717285</v>
      </c>
      <c r="I52" s="191" t="n">
        <v>4198447.80357072</v>
      </c>
      <c r="J52" s="192" t="str">
        <f>IF(I52&gt;0,H52/I52,0)</f>
      </c>
      <c r="K52" s="193" t="str">
        <f>1-EXP(-J52)</f>
      </c>
      <c r="L52" s="194" t="str">
        <f>IF(G52=30,1,M51)</f>
      </c>
      <c r="M52" s="195" t="str">
        <f>L52*(1-K52)</f>
      </c>
    </row>
    <row r="53">
      <c r="A53" t="s">
        <v>167</v>
      </c>
      <c r="B53" t="s">
        <v>254</v>
      </c>
      <c r="C53" s="35" t="s">
        <v>418</v>
      </c>
      <c r="D53" t="s">
        <v>502</v>
      </c>
      <c r="E53" t="s">
        <v>520</v>
      </c>
      <c r="F53" s="188" t="n">
        <v>2026</v>
      </c>
      <c r="G53" s="189" t="n">
        <v>41</v>
      </c>
      <c r="H53" s="190" t="n">
        <v>3886.31442777744</v>
      </c>
      <c r="I53" s="191" t="n">
        <v>4261037.22561078</v>
      </c>
      <c r="J53" s="192" t="str">
        <f>IF(I53&gt;0,H53/I53,0)</f>
      </c>
      <c r="K53" s="193" t="str">
        <f>1-EXP(-J53)</f>
      </c>
      <c r="L53" s="194" t="str">
        <f>IF(G53=30,1,M52)</f>
      </c>
      <c r="M53" s="195" t="str">
        <f>L53*(1-K53)</f>
      </c>
    </row>
    <row r="54">
      <c r="A54" t="s">
        <v>167</v>
      </c>
      <c r="B54" t="s">
        <v>254</v>
      </c>
      <c r="C54" s="35" t="s">
        <v>418</v>
      </c>
      <c r="D54" t="s">
        <v>502</v>
      </c>
      <c r="E54" t="s">
        <v>520</v>
      </c>
      <c r="F54" s="188" t="n">
        <v>2026</v>
      </c>
      <c r="G54" s="189" t="n">
        <v>42</v>
      </c>
      <c r="H54" s="190" t="n">
        <v>4295.53910459588</v>
      </c>
      <c r="I54" s="191" t="n">
        <v>4350355.93271131</v>
      </c>
      <c r="J54" s="192" t="str">
        <f>IF(I54&gt;0,H54/I54,0)</f>
      </c>
      <c r="K54" s="193" t="str">
        <f>1-EXP(-J54)</f>
      </c>
      <c r="L54" s="194" t="str">
        <f>IF(G54=30,1,M53)</f>
      </c>
      <c r="M54" s="195" t="str">
        <f>L54*(1-K54)</f>
      </c>
    </row>
    <row r="55">
      <c r="A55" t="s">
        <v>167</v>
      </c>
      <c r="B55" t="s">
        <v>254</v>
      </c>
      <c r="C55" s="35" t="s">
        <v>418</v>
      </c>
      <c r="D55" t="s">
        <v>502</v>
      </c>
      <c r="E55" t="s">
        <v>520</v>
      </c>
      <c r="F55" s="188" t="n">
        <v>2026</v>
      </c>
      <c r="G55" s="189" t="n">
        <v>43</v>
      </c>
      <c r="H55" s="190" t="n">
        <v>4645.73241661899</v>
      </c>
      <c r="I55" s="191" t="n">
        <v>4329966.95829214</v>
      </c>
      <c r="J55" s="192" t="str">
        <f>IF(I55&gt;0,H55/I55,0)</f>
      </c>
      <c r="K55" s="193" t="str">
        <f>1-EXP(-J55)</f>
      </c>
      <c r="L55" s="194" t="str">
        <f>IF(G55=30,1,M54)</f>
      </c>
      <c r="M55" s="195" t="str">
        <f>L55*(1-K55)</f>
      </c>
    </row>
    <row r="56">
      <c r="A56" t="s">
        <v>167</v>
      </c>
      <c r="B56" t="s">
        <v>254</v>
      </c>
      <c r="C56" s="35" t="s">
        <v>418</v>
      </c>
      <c r="D56" t="s">
        <v>502</v>
      </c>
      <c r="E56" t="s">
        <v>520</v>
      </c>
      <c r="F56" s="188" t="n">
        <v>2026</v>
      </c>
      <c r="G56" s="189" t="n">
        <v>44</v>
      </c>
      <c r="H56" s="190" t="n">
        <v>4910.65338089363</v>
      </c>
      <c r="I56" s="191" t="n">
        <v>4196064.82449968</v>
      </c>
      <c r="J56" s="192" t="str">
        <f>IF(I56&gt;0,H56/I56,0)</f>
      </c>
      <c r="K56" s="193" t="str">
        <f>1-EXP(-J56)</f>
      </c>
      <c r="L56" s="194" t="str">
        <f>IF(G56=30,1,M55)</f>
      </c>
      <c r="M56" s="195" t="str">
        <f>L56*(1-K56)</f>
      </c>
    </row>
    <row r="57">
      <c r="A57" t="s">
        <v>167</v>
      </c>
      <c r="B57" t="s">
        <v>254</v>
      </c>
      <c r="C57" s="35" t="s">
        <v>418</v>
      </c>
      <c r="D57" t="s">
        <v>502</v>
      </c>
      <c r="E57" t="s">
        <v>520</v>
      </c>
      <c r="F57" s="188" t="n">
        <v>2026</v>
      </c>
      <c r="G57" s="189" t="n">
        <v>45</v>
      </c>
      <c r="H57" s="190" t="n">
        <v>6256.16943265198</v>
      </c>
      <c r="I57" s="191" t="n">
        <v>4125591.44550924</v>
      </c>
      <c r="J57" s="192" t="str">
        <f>IF(I57&gt;0,H57/I57,0)</f>
      </c>
      <c r="K57" s="193" t="str">
        <f>1-EXP(-J57)</f>
      </c>
      <c r="L57" s="194" t="str">
        <f>IF(G57=30,1,M56)</f>
      </c>
      <c r="M57" s="195" t="str">
        <f>L57*(1-K57)</f>
      </c>
    </row>
    <row r="58">
      <c r="A58" t="s">
        <v>167</v>
      </c>
      <c r="B58" t="s">
        <v>254</v>
      </c>
      <c r="C58" s="35" t="s">
        <v>418</v>
      </c>
      <c r="D58" t="s">
        <v>502</v>
      </c>
      <c r="E58" t="s">
        <v>520</v>
      </c>
      <c r="F58" s="188" t="n">
        <v>2026</v>
      </c>
      <c r="G58" s="189" t="n">
        <v>46</v>
      </c>
      <c r="H58" s="190" t="n">
        <v>6753.9596834567</v>
      </c>
      <c r="I58" s="191" t="n">
        <v>4070423.79660791</v>
      </c>
      <c r="J58" s="192" t="str">
        <f>IF(I58&gt;0,H58/I58,0)</f>
      </c>
      <c r="K58" s="193" t="str">
        <f>1-EXP(-J58)</f>
      </c>
      <c r="L58" s="194" t="str">
        <f>IF(G58=30,1,M57)</f>
      </c>
      <c r="M58" s="195" t="str">
        <f>L58*(1-K58)</f>
      </c>
    </row>
    <row r="59">
      <c r="A59" t="s">
        <v>167</v>
      </c>
      <c r="B59" t="s">
        <v>254</v>
      </c>
      <c r="C59" s="35" t="s">
        <v>418</v>
      </c>
      <c r="D59" t="s">
        <v>502</v>
      </c>
      <c r="E59" t="s">
        <v>520</v>
      </c>
      <c r="F59" s="188" t="n">
        <v>2026</v>
      </c>
      <c r="G59" s="189" t="n">
        <v>47</v>
      </c>
      <c r="H59" s="190" t="n">
        <v>7283.35984479612</v>
      </c>
      <c r="I59" s="191" t="n">
        <v>4010952.63156028</v>
      </c>
      <c r="J59" s="192" t="str">
        <f>IF(I59&gt;0,H59/I59,0)</f>
      </c>
      <c r="K59" s="193" t="str">
        <f>1-EXP(-J59)</f>
      </c>
      <c r="L59" s="194" t="str">
        <f>IF(G59=30,1,M58)</f>
      </c>
      <c r="M59" s="195" t="str">
        <f>L59*(1-K59)</f>
      </c>
    </row>
    <row r="60">
      <c r="A60" t="s">
        <v>167</v>
      </c>
      <c r="B60" t="s">
        <v>254</v>
      </c>
      <c r="C60" s="35" t="s">
        <v>418</v>
      </c>
      <c r="D60" t="s">
        <v>502</v>
      </c>
      <c r="E60" t="s">
        <v>520</v>
      </c>
      <c r="F60" s="188" t="n">
        <v>2026</v>
      </c>
      <c r="G60" s="189" t="n">
        <v>48</v>
      </c>
      <c r="H60" s="190" t="n">
        <v>7808.53009416249</v>
      </c>
      <c r="I60" s="191" t="n">
        <v>3931934.3335516</v>
      </c>
      <c r="J60" s="192" t="str">
        <f>IF(I60&gt;0,H60/I60,0)</f>
      </c>
      <c r="K60" s="193" t="str">
        <f>1-EXP(-J60)</f>
      </c>
      <c r="L60" s="194" t="str">
        <f>IF(G60=30,1,M59)</f>
      </c>
      <c r="M60" s="195" t="str">
        <f>L60*(1-K60)</f>
      </c>
    </row>
    <row r="61">
      <c r="A61" t="s">
        <v>167</v>
      </c>
      <c r="B61" t="s">
        <v>254</v>
      </c>
      <c r="C61" s="35" t="s">
        <v>418</v>
      </c>
      <c r="D61" t="s">
        <v>502</v>
      </c>
      <c r="E61" t="s">
        <v>520</v>
      </c>
      <c r="F61" s="188" t="n">
        <v>2026</v>
      </c>
      <c r="G61" s="189" t="n">
        <v>49</v>
      </c>
      <c r="H61" s="190" t="n">
        <v>8404.85513155624</v>
      </c>
      <c r="I61" s="191" t="n">
        <v>3870575.54514656</v>
      </c>
      <c r="J61" s="192" t="str">
        <f>IF(I61&gt;0,H61/I61,0)</f>
      </c>
      <c r="K61" s="193" t="str">
        <f>1-EXP(-J61)</f>
      </c>
      <c r="L61" s="194" t="str">
        <f>IF(G61=30,1,M60)</f>
      </c>
      <c r="M61" s="195" t="str">
        <f>L61*(1-K61)</f>
      </c>
    </row>
    <row r="62">
      <c r="A62" t="s">
        <v>167</v>
      </c>
      <c r="B62" t="s">
        <v>254</v>
      </c>
      <c r="C62" s="35" t="s">
        <v>418</v>
      </c>
      <c r="D62" t="s">
        <v>502</v>
      </c>
      <c r="E62" t="s">
        <v>520</v>
      </c>
      <c r="F62" s="188" t="n">
        <v>2026</v>
      </c>
      <c r="G62" s="189" t="n">
        <v>50</v>
      </c>
      <c r="H62" s="190" t="n">
        <v>9641.8145945949</v>
      </c>
      <c r="I62" s="191" t="n">
        <v>3797304.37229286</v>
      </c>
      <c r="J62" s="192" t="str">
        <f>IF(I62&gt;0,H62/I62,0)</f>
      </c>
      <c r="K62" s="193" t="str">
        <f>1-EXP(-J62)</f>
      </c>
      <c r="L62" s="194" t="str">
        <f>IF(G62=30,1,M61)</f>
      </c>
      <c r="M62" s="195" t="str">
        <f>L62*(1-K62)</f>
      </c>
    </row>
    <row r="63">
      <c r="A63" t="s">
        <v>167</v>
      </c>
      <c r="B63" t="s">
        <v>254</v>
      </c>
      <c r="C63" s="35" t="s">
        <v>418</v>
      </c>
      <c r="D63" t="s">
        <v>502</v>
      </c>
      <c r="E63" t="s">
        <v>520</v>
      </c>
      <c r="F63" s="188" t="n">
        <v>2026</v>
      </c>
      <c r="G63" s="189" t="n">
        <v>51</v>
      </c>
      <c r="H63" s="190" t="n">
        <v>10319.298279212</v>
      </c>
      <c r="I63" s="191" t="n">
        <v>3722619.16466465</v>
      </c>
      <c r="J63" s="192" t="str">
        <f>IF(I63&gt;0,H63/I63,0)</f>
      </c>
      <c r="K63" s="193" t="str">
        <f>1-EXP(-J63)</f>
      </c>
      <c r="L63" s="194" t="str">
        <f>IF(G63=30,1,M62)</f>
      </c>
      <c r="M63" s="195" t="str">
        <f>L63*(1-K63)</f>
      </c>
    </row>
    <row r="64">
      <c r="A64" t="s">
        <v>167</v>
      </c>
      <c r="B64" t="s">
        <v>254</v>
      </c>
      <c r="C64" s="35" t="s">
        <v>418</v>
      </c>
      <c r="D64" t="s">
        <v>502</v>
      </c>
      <c r="E64" t="s">
        <v>520</v>
      </c>
      <c r="F64" s="188" t="n">
        <v>2026</v>
      </c>
      <c r="G64" s="189" t="n">
        <v>52</v>
      </c>
      <c r="H64" s="190" t="n">
        <v>10945.3241902481</v>
      </c>
      <c r="I64" s="191" t="n">
        <v>3620908.90429281</v>
      </c>
      <c r="J64" s="192" t="str">
        <f>IF(I64&gt;0,H64/I64,0)</f>
      </c>
      <c r="K64" s="193" t="str">
        <f>1-EXP(-J64)</f>
      </c>
      <c r="L64" s="194" t="str">
        <f>IF(G64=30,1,M63)</f>
      </c>
      <c r="M64" s="195" t="str">
        <f>L64*(1-K64)</f>
      </c>
    </row>
    <row r="65">
      <c r="A65" t="s">
        <v>167</v>
      </c>
      <c r="B65" t="s">
        <v>254</v>
      </c>
      <c r="C65" s="35" t="s">
        <v>418</v>
      </c>
      <c r="D65" t="s">
        <v>502</v>
      </c>
      <c r="E65" t="s">
        <v>520</v>
      </c>
      <c r="F65" s="188" t="n">
        <v>2026</v>
      </c>
      <c r="G65" s="189" t="n">
        <v>53</v>
      </c>
      <c r="H65" s="190" t="n">
        <v>11807.1143566124</v>
      </c>
      <c r="I65" s="191" t="n">
        <v>3580910.06551612</v>
      </c>
      <c r="J65" s="192" t="str">
        <f>IF(I65&gt;0,H65/I65,0)</f>
      </c>
      <c r="K65" s="193" t="str">
        <f>1-EXP(-J65)</f>
      </c>
      <c r="L65" s="194" t="str">
        <f>IF(G65=30,1,M64)</f>
      </c>
      <c r="M65" s="195" t="str">
        <f>L65*(1-K65)</f>
      </c>
    </row>
    <row r="66">
      <c r="A66" t="s">
        <v>167</v>
      </c>
      <c r="B66" t="s">
        <v>254</v>
      </c>
      <c r="C66" s="35" t="s">
        <v>418</v>
      </c>
      <c r="D66" t="s">
        <v>502</v>
      </c>
      <c r="E66" t="s">
        <v>520</v>
      </c>
      <c r="F66" s="188" t="n">
        <v>2026</v>
      </c>
      <c r="G66" s="189" t="n">
        <v>54</v>
      </c>
      <c r="H66" s="190" t="n">
        <v>12153.9153574669</v>
      </c>
      <c r="I66" s="191" t="n">
        <v>3373668.63498524</v>
      </c>
      <c r="J66" s="192" t="str">
        <f>IF(I66&gt;0,H66/I66,0)</f>
      </c>
      <c r="K66" s="193" t="str">
        <f>1-EXP(-J66)</f>
      </c>
      <c r="L66" s="194" t="str">
        <f>IF(G66=30,1,M65)</f>
      </c>
      <c r="M66" s="195" t="str">
        <f>L66*(1-K66)</f>
      </c>
    </row>
    <row r="67">
      <c r="A67" t="s">
        <v>167</v>
      </c>
      <c r="B67" t="s">
        <v>254</v>
      </c>
      <c r="C67" s="35" t="s">
        <v>418</v>
      </c>
      <c r="D67" t="s">
        <v>502</v>
      </c>
      <c r="E67" t="s">
        <v>520</v>
      </c>
      <c r="F67" s="188" t="n">
        <v>2026</v>
      </c>
      <c r="G67" s="189" t="n">
        <v>55</v>
      </c>
      <c r="H67" s="190" t="n">
        <v>13178.2845671247</v>
      </c>
      <c r="I67" s="191" t="n">
        <v>3290805.96393673</v>
      </c>
      <c r="J67" s="192" t="str">
        <f>IF(I67&gt;0,H67/I67,0)</f>
      </c>
      <c r="K67" s="193" t="str">
        <f>1-EXP(-J67)</f>
      </c>
      <c r="L67" s="194" t="str">
        <f>IF(G67=30,1,M66)</f>
      </c>
      <c r="M67" s="195" t="str">
        <f>L67*(1-K67)</f>
      </c>
    </row>
    <row r="68">
      <c r="A68" t="s">
        <v>167</v>
      </c>
      <c r="B68" t="s">
        <v>254</v>
      </c>
      <c r="C68" s="35" t="s">
        <v>418</v>
      </c>
      <c r="D68" t="s">
        <v>502</v>
      </c>
      <c r="E68" t="s">
        <v>520</v>
      </c>
      <c r="F68" s="188" t="n">
        <v>2026</v>
      </c>
      <c r="G68" s="189" t="n">
        <v>56</v>
      </c>
      <c r="H68" s="190" t="n">
        <v>14047.5353278582</v>
      </c>
      <c r="I68" s="191" t="n">
        <v>3212214.28114487</v>
      </c>
      <c r="J68" s="192" t="str">
        <f>IF(I68&gt;0,H68/I68,0)</f>
      </c>
      <c r="K68" s="193" t="str">
        <f>1-EXP(-J68)</f>
      </c>
      <c r="L68" s="194" t="str">
        <f>IF(G68=30,1,M67)</f>
      </c>
      <c r="M68" s="195" t="str">
        <f>L68*(1-K68)</f>
      </c>
    </row>
    <row r="69">
      <c r="A69" t="s">
        <v>167</v>
      </c>
      <c r="B69" t="s">
        <v>254</v>
      </c>
      <c r="C69" s="35" t="s">
        <v>418</v>
      </c>
      <c r="D69" t="s">
        <v>502</v>
      </c>
      <c r="E69" t="s">
        <v>520</v>
      </c>
      <c r="F69" s="188" t="n">
        <v>2026</v>
      </c>
      <c r="G69" s="189" t="n">
        <v>57</v>
      </c>
      <c r="H69" s="190" t="n">
        <v>14926.2674734126</v>
      </c>
      <c r="I69" s="191" t="n">
        <v>3124836.70281465</v>
      </c>
      <c r="J69" s="192" t="str">
        <f>IF(I69&gt;0,H69/I69,0)</f>
      </c>
      <c r="K69" s="193" t="str">
        <f>1-EXP(-J69)</f>
      </c>
      <c r="L69" s="194" t="str">
        <f>IF(G69=30,1,M68)</f>
      </c>
      <c r="M69" s="195" t="str">
        <f>L69*(1-K69)</f>
      </c>
    </row>
    <row r="70">
      <c r="A70" t="s">
        <v>167</v>
      </c>
      <c r="B70" t="s">
        <v>254</v>
      </c>
      <c r="C70" s="35" t="s">
        <v>418</v>
      </c>
      <c r="D70" t="s">
        <v>502</v>
      </c>
      <c r="E70" t="s">
        <v>520</v>
      </c>
      <c r="F70" s="188" t="n">
        <v>2026</v>
      </c>
      <c r="G70" s="189" t="n">
        <v>58</v>
      </c>
      <c r="H70" s="190" t="n">
        <v>15744.320081519</v>
      </c>
      <c r="I70" s="191" t="n">
        <v>3017305.28674744</v>
      </c>
      <c r="J70" s="192" t="str">
        <f>IF(I70&gt;0,H70/I70,0)</f>
      </c>
      <c r="K70" s="193" t="str">
        <f>1-EXP(-J70)</f>
      </c>
      <c r="L70" s="194" t="str">
        <f>IF(G70=30,1,M69)</f>
      </c>
      <c r="M70" s="195" t="str">
        <f>L70*(1-K70)</f>
      </c>
    </row>
    <row r="71">
      <c r="A71" t="s">
        <v>167</v>
      </c>
      <c r="B71" t="s">
        <v>254</v>
      </c>
      <c r="C71" s="35" t="s">
        <v>418</v>
      </c>
      <c r="D71" t="s">
        <v>502</v>
      </c>
      <c r="E71" t="s">
        <v>520</v>
      </c>
      <c r="F71" s="188" t="n">
        <v>2026</v>
      </c>
      <c r="G71" s="189" t="n">
        <v>59</v>
      </c>
      <c r="H71" s="190" t="n">
        <v>16422.9392691757</v>
      </c>
      <c r="I71" s="191" t="n">
        <v>2877825.9895627</v>
      </c>
      <c r="J71" s="192" t="str">
        <f>IF(I71&gt;0,H71/I71,0)</f>
      </c>
      <c r="K71" s="193" t="str">
        <f>1-EXP(-J71)</f>
      </c>
      <c r="L71" s="194" t="str">
        <f>IF(G71=30,1,M70)</f>
      </c>
      <c r="M71" s="195" t="str">
        <f>L71*(1-K71)</f>
      </c>
    </row>
    <row r="72">
      <c r="A72" t="s">
        <v>167</v>
      </c>
      <c r="B72" t="s">
        <v>254</v>
      </c>
      <c r="C72" s="35" t="s">
        <v>418</v>
      </c>
      <c r="D72" t="s">
        <v>502</v>
      </c>
      <c r="E72" t="s">
        <v>520</v>
      </c>
      <c r="F72" s="188" t="n">
        <v>2026</v>
      </c>
      <c r="G72" s="189" t="n">
        <v>60</v>
      </c>
      <c r="H72" s="190" t="n">
        <v>17783.4584680985</v>
      </c>
      <c r="I72" s="191" t="n">
        <v>2775955.73233662</v>
      </c>
      <c r="J72" s="192" t="str">
        <f>IF(I72&gt;0,H72/I72,0)</f>
      </c>
      <c r="K72" s="193" t="str">
        <f>1-EXP(-J72)</f>
      </c>
      <c r="L72" s="194" t="str">
        <f>IF(G72=30,1,M71)</f>
      </c>
      <c r="M72" s="195" t="str">
        <f>L72*(1-K72)</f>
      </c>
    </row>
    <row r="73">
      <c r="A73" t="s">
        <v>167</v>
      </c>
      <c r="B73" t="s">
        <v>254</v>
      </c>
      <c r="C73" s="35" t="s">
        <v>418</v>
      </c>
      <c r="D73" t="s">
        <v>502</v>
      </c>
      <c r="E73" t="s">
        <v>520</v>
      </c>
      <c r="F73" s="188" t="n">
        <v>2026</v>
      </c>
      <c r="G73" s="189" t="n">
        <v>61</v>
      </c>
      <c r="H73" s="190" t="n">
        <v>18598.0689087153</v>
      </c>
      <c r="I73" s="191" t="n">
        <v>2651125.82517609</v>
      </c>
      <c r="J73" s="192" t="str">
        <f>IF(I73&gt;0,H73/I73,0)</f>
      </c>
      <c r="K73" s="193" t="str">
        <f>1-EXP(-J73)</f>
      </c>
      <c r="L73" s="194" t="str">
        <f>IF(G73=30,1,M72)</f>
      </c>
      <c r="M73" s="195" t="str">
        <f>L73*(1-K73)</f>
      </c>
    </row>
    <row r="74">
      <c r="A74" t="s">
        <v>167</v>
      </c>
      <c r="B74" t="s">
        <v>254</v>
      </c>
      <c r="C74" s="35" t="s">
        <v>418</v>
      </c>
      <c r="D74" t="s">
        <v>502</v>
      </c>
      <c r="E74" t="s">
        <v>520</v>
      </c>
      <c r="F74" s="188" t="n">
        <v>2026</v>
      </c>
      <c r="G74" s="189" t="n">
        <v>62</v>
      </c>
      <c r="H74" s="190" t="n">
        <v>19381.7807226321</v>
      </c>
      <c r="I74" s="191" t="n">
        <v>2527118.34779537</v>
      </c>
      <c r="J74" s="192" t="str">
        <f>IF(I74&gt;0,H74/I74,0)</f>
      </c>
      <c r="K74" s="193" t="str">
        <f>1-EXP(-J74)</f>
      </c>
      <c r="L74" s="194" t="str">
        <f>IF(G74=30,1,M73)</f>
      </c>
      <c r="M74" s="195" t="str">
        <f>L74*(1-K74)</f>
      </c>
    </row>
    <row r="75">
      <c r="A75" t="s">
        <v>167</v>
      </c>
      <c r="B75" t="s">
        <v>254</v>
      </c>
      <c r="C75" s="35" t="s">
        <v>418</v>
      </c>
      <c r="D75" t="s">
        <v>502</v>
      </c>
      <c r="E75" t="s">
        <v>520</v>
      </c>
      <c r="F75" s="188" t="n">
        <v>2026</v>
      </c>
      <c r="G75" s="189" t="n">
        <v>63</v>
      </c>
      <c r="H75" s="190" t="n">
        <v>20203.7463260385</v>
      </c>
      <c r="I75" s="191" t="n">
        <v>2408174.82995322</v>
      </c>
      <c r="J75" s="192" t="str">
        <f>IF(I75&gt;0,H75/I75,0)</f>
      </c>
      <c r="K75" s="193" t="str">
        <f>1-EXP(-J75)</f>
      </c>
      <c r="L75" s="194" t="str">
        <f>IF(G75=30,1,M74)</f>
      </c>
      <c r="M75" s="195" t="str">
        <f>L75*(1-K75)</f>
      </c>
    </row>
    <row r="76">
      <c r="A76" t="s">
        <v>167</v>
      </c>
      <c r="B76" t="s">
        <v>254</v>
      </c>
      <c r="C76" s="35" t="s">
        <v>418</v>
      </c>
      <c r="D76" t="s">
        <v>502</v>
      </c>
      <c r="E76" t="s">
        <v>520</v>
      </c>
      <c r="F76" s="188" t="n">
        <v>2026</v>
      </c>
      <c r="G76" s="189" t="n">
        <v>64</v>
      </c>
      <c r="H76" s="190" t="n">
        <v>20873.1901822945</v>
      </c>
      <c r="I76" s="191" t="n">
        <v>2263177.14570695</v>
      </c>
      <c r="J76" s="192" t="str">
        <f>IF(I76&gt;0,H76/I76,0)</f>
      </c>
      <c r="K76" s="193" t="str">
        <f>1-EXP(-J76)</f>
      </c>
      <c r="L76" s="194" t="str">
        <f>IF(G76=30,1,M75)</f>
      </c>
      <c r="M76" s="195" t="str">
        <f>L76*(1-K76)</f>
      </c>
    </row>
    <row r="77">
      <c r="A77" t="s">
        <v>167</v>
      </c>
      <c r="B77" t="s">
        <v>254</v>
      </c>
      <c r="C77" s="35" t="s">
        <v>418</v>
      </c>
      <c r="D77" t="s">
        <v>502</v>
      </c>
      <c r="E77" t="s">
        <v>520</v>
      </c>
      <c r="F77" s="188" t="n">
        <v>2026</v>
      </c>
      <c r="G77" s="189" t="n">
        <v>65</v>
      </c>
      <c r="H77" s="190" t="n">
        <v>21116.590138289</v>
      </c>
      <c r="I77" s="191" t="n">
        <v>2143592.88562047</v>
      </c>
      <c r="J77" s="192" t="str">
        <f>IF(I77&gt;0,H77/I77,0)</f>
      </c>
      <c r="K77" s="193" t="str">
        <f>1-EXP(-J77)</f>
      </c>
      <c r="L77" s="194" t="str">
        <f>IF(G77=30,1,M76)</f>
      </c>
      <c r="M77" s="195" t="str">
        <f>L77*(1-K77)</f>
      </c>
    </row>
    <row r="78">
      <c r="A78" t="s">
        <v>167</v>
      </c>
      <c r="B78" t="s">
        <v>254</v>
      </c>
      <c r="C78" s="35" t="s">
        <v>418</v>
      </c>
      <c r="D78" t="s">
        <v>502</v>
      </c>
      <c r="E78" t="s">
        <v>520</v>
      </c>
      <c r="F78" s="188" t="n">
        <v>2026</v>
      </c>
      <c r="G78" s="189" t="n">
        <v>66</v>
      </c>
      <c r="H78" s="190" t="n">
        <v>21803.2698940716</v>
      </c>
      <c r="I78" s="191" t="n">
        <v>2020123.65624815</v>
      </c>
      <c r="J78" s="192" t="str">
        <f>IF(I78&gt;0,H78/I78,0)</f>
      </c>
      <c r="K78" s="193" t="str">
        <f>1-EXP(-J78)</f>
      </c>
      <c r="L78" s="194" t="str">
        <f>IF(G78=30,1,M77)</f>
      </c>
      <c r="M78" s="195" t="str">
        <f>L78*(1-K78)</f>
      </c>
    </row>
    <row r="79">
      <c r="A79" t="s">
        <v>167</v>
      </c>
      <c r="B79" t="s">
        <v>254</v>
      </c>
      <c r="C79" s="35" t="s">
        <v>418</v>
      </c>
      <c r="D79" t="s">
        <v>502</v>
      </c>
      <c r="E79" t="s">
        <v>520</v>
      </c>
      <c r="F79" s="188" t="n">
        <v>2026</v>
      </c>
      <c r="G79" s="189" t="n">
        <v>67</v>
      </c>
      <c r="H79" s="190" t="n">
        <v>22362.6716561374</v>
      </c>
      <c r="I79" s="191" t="n">
        <v>1890337.26910044</v>
      </c>
      <c r="J79" s="192" t="str">
        <f>IF(I79&gt;0,H79/I79,0)</f>
      </c>
      <c r="K79" s="193" t="str">
        <f>1-EXP(-J79)</f>
      </c>
      <c r="L79" s="194" t="str">
        <f>IF(G79=30,1,M78)</f>
      </c>
      <c r="M79" s="195" t="str">
        <f>L79*(1-K79)</f>
      </c>
    </row>
    <row r="80">
      <c r="A80" t="s">
        <v>167</v>
      </c>
      <c r="B80" t="s">
        <v>254</v>
      </c>
      <c r="C80" s="35" t="s">
        <v>418</v>
      </c>
      <c r="D80" t="s">
        <v>502</v>
      </c>
      <c r="E80" t="s">
        <v>520</v>
      </c>
      <c r="F80" s="188" t="n">
        <v>2026</v>
      </c>
      <c r="G80" s="189" t="n">
        <v>68</v>
      </c>
      <c r="H80" s="190" t="n">
        <v>22874.5427900828</v>
      </c>
      <c r="I80" s="191" t="n">
        <v>1762993.47698247</v>
      </c>
      <c r="J80" s="192" t="str">
        <f>IF(I80&gt;0,H80/I80,0)</f>
      </c>
      <c r="K80" s="193" t="str">
        <f>1-EXP(-J80)</f>
      </c>
      <c r="L80" s="194" t="str">
        <f>IF(G80=30,1,M79)</f>
      </c>
      <c r="M80" s="195" t="str">
        <f>L80*(1-K80)</f>
      </c>
    </row>
    <row r="81">
      <c r="A81" t="s">
        <v>167</v>
      </c>
      <c r="B81" t="s">
        <v>254</v>
      </c>
      <c r="C81" s="35" t="s">
        <v>418</v>
      </c>
      <c r="D81" t="s">
        <v>502</v>
      </c>
      <c r="E81" t="s">
        <v>520</v>
      </c>
      <c r="F81" s="188" t="n">
        <v>2026</v>
      </c>
      <c r="G81" s="189" t="n">
        <v>69</v>
      </c>
      <c r="H81" s="190" t="n">
        <v>23664.3316670515</v>
      </c>
      <c r="I81" s="191" t="n">
        <v>1657190.39223472</v>
      </c>
      <c r="J81" s="192" t="str">
        <f>IF(I81&gt;0,H81/I81,0)</f>
      </c>
      <c r="K81" s="193" t="str">
        <f>1-EXP(-J81)</f>
      </c>
      <c r="L81" s="194" t="str">
        <f>IF(G81=30,1,M80)</f>
      </c>
      <c r="M81" s="195" t="str">
        <f>L81*(1-K81)</f>
      </c>
    </row>
    <row r="82">
      <c r="A82" t="s">
        <v>167</v>
      </c>
      <c r="B82" t="s">
        <v>254</v>
      </c>
      <c r="C82" s="35" t="s">
        <v>418</v>
      </c>
      <c r="D82" t="s">
        <v>502</v>
      </c>
      <c r="E82" t="s">
        <v>520</v>
      </c>
      <c r="F82" s="188" t="n">
        <v>2027</v>
      </c>
      <c r="G82" s="189" t="n">
        <v>30</v>
      </c>
      <c r="H82" s="190" t="n">
        <v>1282.40465527172</v>
      </c>
      <c r="I82" s="191" t="n">
        <v>4568815.16743274</v>
      </c>
      <c r="J82" s="192" t="str">
        <f>IF(I82&gt;0,H82/I82,0)</f>
      </c>
      <c r="K82" s="193" t="str">
        <f>1-EXP(-J82)</f>
      </c>
      <c r="L82" s="194" t="str">
        <f>IF(G82=30,1,M81)</f>
      </c>
      <c r="M82" s="195" t="str">
        <f>L82*(1-K82)</f>
      </c>
    </row>
    <row r="83">
      <c r="A83" t="s">
        <v>167</v>
      </c>
      <c r="B83" t="s">
        <v>254</v>
      </c>
      <c r="C83" s="35" t="s">
        <v>418</v>
      </c>
      <c r="D83" t="s">
        <v>502</v>
      </c>
      <c r="E83" t="s">
        <v>520</v>
      </c>
      <c r="F83" s="188" t="n">
        <v>2027</v>
      </c>
      <c r="G83" s="189" t="n">
        <v>31</v>
      </c>
      <c r="H83" s="190" t="n">
        <v>1319.02982197791</v>
      </c>
      <c r="I83" s="191" t="n">
        <v>4526152.39766366</v>
      </c>
      <c r="J83" s="192" t="str">
        <f>IF(I83&gt;0,H83/I83,0)</f>
      </c>
      <c r="K83" s="193" t="str">
        <f>1-EXP(-J83)</f>
      </c>
      <c r="L83" s="194" t="str">
        <f>IF(G83=30,1,M82)</f>
      </c>
      <c r="M83" s="195" t="str">
        <f>L83*(1-K83)</f>
      </c>
    </row>
    <row r="84">
      <c r="A84" t="s">
        <v>167</v>
      </c>
      <c r="B84" t="s">
        <v>254</v>
      </c>
      <c r="C84" s="35" t="s">
        <v>418</v>
      </c>
      <c r="D84" t="s">
        <v>502</v>
      </c>
      <c r="E84" t="s">
        <v>520</v>
      </c>
      <c r="F84" s="188" t="n">
        <v>2027</v>
      </c>
      <c r="G84" s="189" t="n">
        <v>32</v>
      </c>
      <c r="H84" s="190" t="n">
        <v>1358.65936569259</v>
      </c>
      <c r="I84" s="191" t="n">
        <v>4453764.09360035</v>
      </c>
      <c r="J84" s="192" t="str">
        <f>IF(I84&gt;0,H84/I84,0)</f>
      </c>
      <c r="K84" s="193" t="str">
        <f>1-EXP(-J84)</f>
      </c>
      <c r="L84" s="194" t="str">
        <f>IF(G84=30,1,M83)</f>
      </c>
      <c r="M84" s="195" t="str">
        <f>L84*(1-K84)</f>
      </c>
    </row>
    <row r="85">
      <c r="A85" t="s">
        <v>167</v>
      </c>
      <c r="B85" t="s">
        <v>254</v>
      </c>
      <c r="C85" s="35" t="s">
        <v>418</v>
      </c>
      <c r="D85" t="s">
        <v>502</v>
      </c>
      <c r="E85" t="s">
        <v>520</v>
      </c>
      <c r="F85" s="188" t="n">
        <v>2027</v>
      </c>
      <c r="G85" s="189" t="n">
        <v>33</v>
      </c>
      <c r="H85" s="190" t="n">
        <v>1411.86350801588</v>
      </c>
      <c r="I85" s="191" t="n">
        <v>4397367.27918322</v>
      </c>
      <c r="J85" s="192" t="str">
        <f>IF(I85&gt;0,H85/I85,0)</f>
      </c>
      <c r="K85" s="193" t="str">
        <f>1-EXP(-J85)</f>
      </c>
      <c r="L85" s="194" t="str">
        <f>IF(G85=30,1,M84)</f>
      </c>
      <c r="M85" s="195" t="str">
        <f>L85*(1-K85)</f>
      </c>
    </row>
    <row r="86">
      <c r="A86" t="s">
        <v>167</v>
      </c>
      <c r="B86" t="s">
        <v>254</v>
      </c>
      <c r="C86" s="35" t="s">
        <v>418</v>
      </c>
      <c r="D86" t="s">
        <v>502</v>
      </c>
      <c r="E86" t="s">
        <v>520</v>
      </c>
      <c r="F86" s="188" t="n">
        <v>2027</v>
      </c>
      <c r="G86" s="189" t="n">
        <v>34</v>
      </c>
      <c r="H86" s="190" t="n">
        <v>1477.32851452304</v>
      </c>
      <c r="I86" s="191" t="n">
        <v>4344745.50745159</v>
      </c>
      <c r="J86" s="192" t="str">
        <f>IF(I86&gt;0,H86/I86,0)</f>
      </c>
      <c r="K86" s="193" t="str">
        <f>1-EXP(-J86)</f>
      </c>
      <c r="L86" s="194" t="str">
        <f>IF(G86=30,1,M85)</f>
      </c>
      <c r="M86" s="195" t="str">
        <f>L86*(1-K86)</f>
      </c>
    </row>
    <row r="87">
      <c r="A87" t="s">
        <v>167</v>
      </c>
      <c r="B87" t="s">
        <v>254</v>
      </c>
      <c r="C87" s="35" t="s">
        <v>418</v>
      </c>
      <c r="D87" t="s">
        <v>502</v>
      </c>
      <c r="E87" t="s">
        <v>520</v>
      </c>
      <c r="F87" s="188" t="n">
        <v>2027</v>
      </c>
      <c r="G87" s="189" t="n">
        <v>35</v>
      </c>
      <c r="H87" s="190" t="n">
        <v>2049.20833789365</v>
      </c>
      <c r="I87" s="191" t="n">
        <v>4384171.84601517</v>
      </c>
      <c r="J87" s="192" t="str">
        <f>IF(I87&gt;0,H87/I87,0)</f>
      </c>
      <c r="K87" s="193" t="str">
        <f>1-EXP(-J87)</f>
      </c>
      <c r="L87" s="194" t="str">
        <f>IF(G87=30,1,M86)</f>
      </c>
      <c r="M87" s="195" t="str">
        <f>L87*(1-K87)</f>
      </c>
    </row>
    <row r="88">
      <c r="A88" t="s">
        <v>167</v>
      </c>
      <c r="B88" t="s">
        <v>254</v>
      </c>
      <c r="C88" s="35" t="s">
        <v>418</v>
      </c>
      <c r="D88" t="s">
        <v>502</v>
      </c>
      <c r="E88" t="s">
        <v>520</v>
      </c>
      <c r="F88" s="188" t="n">
        <v>2027</v>
      </c>
      <c r="G88" s="189" t="n">
        <v>36</v>
      </c>
      <c r="H88" s="190" t="n">
        <v>2197.33954118792</v>
      </c>
      <c r="I88" s="191" t="n">
        <v>4403462.29842162</v>
      </c>
      <c r="J88" s="192" t="str">
        <f>IF(I88&gt;0,H88/I88,0)</f>
      </c>
      <c r="K88" s="193" t="str">
        <f>1-EXP(-J88)</f>
      </c>
      <c r="L88" s="194" t="str">
        <f>IF(G88=30,1,M87)</f>
      </c>
      <c r="M88" s="195" t="str">
        <f>L88*(1-K88)</f>
      </c>
    </row>
    <row r="89">
      <c r="A89" t="s">
        <v>167</v>
      </c>
      <c r="B89" t="s">
        <v>254</v>
      </c>
      <c r="C89" s="35" t="s">
        <v>418</v>
      </c>
      <c r="D89" t="s">
        <v>502</v>
      </c>
      <c r="E89" t="s">
        <v>520</v>
      </c>
      <c r="F89" s="188" t="n">
        <v>2027</v>
      </c>
      <c r="G89" s="189" t="n">
        <v>37</v>
      </c>
      <c r="H89" s="190" t="n">
        <v>3334.54203088706</v>
      </c>
      <c r="I89" s="191" t="n">
        <v>6485465.07204645</v>
      </c>
      <c r="J89" s="192" t="str">
        <f>IF(I89&gt;0,H89/I89,0)</f>
      </c>
      <c r="K89" s="193" t="str">
        <f>1-EXP(-J89)</f>
      </c>
      <c r="L89" s="194" t="str">
        <f>IF(G89=30,1,M88)</f>
      </c>
      <c r="M89" s="195" t="str">
        <f>L89*(1-K89)</f>
      </c>
    </row>
    <row r="90">
      <c r="A90" t="s">
        <v>167</v>
      </c>
      <c r="B90" t="s">
        <v>254</v>
      </c>
      <c r="C90" s="35" t="s">
        <v>418</v>
      </c>
      <c r="D90" t="s">
        <v>502</v>
      </c>
      <c r="E90" t="s">
        <v>520</v>
      </c>
      <c r="F90" s="188" t="n">
        <v>2027</v>
      </c>
      <c r="G90" s="189" t="n">
        <v>38</v>
      </c>
      <c r="H90" s="190" t="n">
        <v>2507.14853124248</v>
      </c>
      <c r="I90" s="191" t="n">
        <v>4365623.81360332</v>
      </c>
      <c r="J90" s="192" t="str">
        <f>IF(I90&gt;0,H90/I90,0)</f>
      </c>
      <c r="K90" s="193" t="str">
        <f>1-EXP(-J90)</f>
      </c>
      <c r="L90" s="194" t="str">
        <f>IF(G90=30,1,M89)</f>
      </c>
      <c r="M90" s="195" t="str">
        <f>L90*(1-K90)</f>
      </c>
    </row>
    <row r="91">
      <c r="A91" t="s">
        <v>167</v>
      </c>
      <c r="B91" t="s">
        <v>254</v>
      </c>
      <c r="C91" s="35" t="s">
        <v>418</v>
      </c>
      <c r="D91" t="s">
        <v>502</v>
      </c>
      <c r="E91" t="s">
        <v>520</v>
      </c>
      <c r="F91" s="188" t="n">
        <v>2027</v>
      </c>
      <c r="G91" s="189" t="n">
        <v>39</v>
      </c>
      <c r="H91" s="190" t="n">
        <v>2685.42054561959</v>
      </c>
      <c r="I91" s="191" t="n">
        <v>4350999.64325182</v>
      </c>
      <c r="J91" s="192" t="str">
        <f>IF(I91&gt;0,H91/I91,0)</f>
      </c>
      <c r="K91" s="193" t="str">
        <f>1-EXP(-J91)</f>
      </c>
      <c r="L91" s="194" t="str">
        <f>IF(G91=30,1,M90)</f>
      </c>
      <c r="M91" s="195" t="str">
        <f>L91*(1-K91)</f>
      </c>
    </row>
    <row r="92">
      <c r="A92" t="s">
        <v>167</v>
      </c>
      <c r="B92" t="s">
        <v>254</v>
      </c>
      <c r="C92" s="35" t="s">
        <v>418</v>
      </c>
      <c r="D92" t="s">
        <v>502</v>
      </c>
      <c r="E92" t="s">
        <v>520</v>
      </c>
      <c r="F92" s="188" t="n">
        <v>2027</v>
      </c>
      <c r="G92" s="189" t="n">
        <v>40</v>
      </c>
      <c r="H92" s="190" t="n">
        <v>3511.01818501597</v>
      </c>
      <c r="I92" s="191" t="n">
        <v>4220111.54279309</v>
      </c>
      <c r="J92" s="192" t="str">
        <f>IF(I92&gt;0,H92/I92,0)</f>
      </c>
      <c r="K92" s="193" t="str">
        <f>1-EXP(-J92)</f>
      </c>
      <c r="L92" s="194" t="str">
        <f>IF(G92=30,1,M91)</f>
      </c>
      <c r="M92" s="195" t="str">
        <f>L92*(1-K92)</f>
      </c>
    </row>
    <row r="93">
      <c r="A93" t="s">
        <v>167</v>
      </c>
      <c r="B93" t="s">
        <v>254</v>
      </c>
      <c r="C93" s="35" t="s">
        <v>418</v>
      </c>
      <c r="D93" t="s">
        <v>502</v>
      </c>
      <c r="E93" t="s">
        <v>520</v>
      </c>
      <c r="F93" s="188" t="n">
        <v>2027</v>
      </c>
      <c r="G93" s="189" t="n">
        <v>41</v>
      </c>
      <c r="H93" s="190" t="n">
        <v>3767.2981686436</v>
      </c>
      <c r="I93" s="191" t="n">
        <v>4187023.66599682</v>
      </c>
      <c r="J93" s="192" t="str">
        <f>IF(I93&gt;0,H93/I93,0)</f>
      </c>
      <c r="K93" s="193" t="str">
        <f>1-EXP(-J93)</f>
      </c>
      <c r="L93" s="194" t="str">
        <f>IF(G93=30,1,M92)</f>
      </c>
      <c r="M93" s="195" t="str">
        <f>L93*(1-K93)</f>
      </c>
    </row>
    <row r="94">
      <c r="A94" t="s">
        <v>167</v>
      </c>
      <c r="B94" t="s">
        <v>254</v>
      </c>
      <c r="C94" s="35" t="s">
        <v>418</v>
      </c>
      <c r="D94" t="s">
        <v>502</v>
      </c>
      <c r="E94" t="s">
        <v>520</v>
      </c>
      <c r="F94" s="188" t="n">
        <v>2027</v>
      </c>
      <c r="G94" s="189" t="n">
        <v>42</v>
      </c>
      <c r="H94" s="190" t="n">
        <v>4144.88351446595</v>
      </c>
      <c r="I94" s="191" t="n">
        <v>4249380.58248073</v>
      </c>
      <c r="J94" s="192" t="str">
        <f>IF(I94&gt;0,H94/I94,0)</f>
      </c>
      <c r="K94" s="193" t="str">
        <f>1-EXP(-J94)</f>
      </c>
      <c r="L94" s="194" t="str">
        <f>IF(G94=30,1,M93)</f>
      </c>
      <c r="M94" s="195" t="str">
        <f>L94*(1-K94)</f>
      </c>
    </row>
    <row r="95">
      <c r="A95" t="s">
        <v>167</v>
      </c>
      <c r="B95" t="s">
        <v>254</v>
      </c>
      <c r="C95" s="35" t="s">
        <v>418</v>
      </c>
      <c r="D95" t="s">
        <v>502</v>
      </c>
      <c r="E95" t="s">
        <v>520</v>
      </c>
      <c r="F95" s="188" t="n">
        <v>2027</v>
      </c>
      <c r="G95" s="189" t="n">
        <v>43</v>
      </c>
      <c r="H95" s="190" t="n">
        <v>4598.90382160532</v>
      </c>
      <c r="I95" s="191" t="n">
        <v>4337499.73333855</v>
      </c>
      <c r="J95" s="192" t="str">
        <f>IF(I95&gt;0,H95/I95,0)</f>
      </c>
      <c r="K95" s="193" t="str">
        <f>1-EXP(-J95)</f>
      </c>
      <c r="L95" s="194" t="str">
        <f>IF(G95=30,1,M94)</f>
      </c>
      <c r="M95" s="195" t="str">
        <f>L95*(1-K95)</f>
      </c>
    </row>
    <row r="96">
      <c r="A96" t="s">
        <v>167</v>
      </c>
      <c r="B96" t="s">
        <v>254</v>
      </c>
      <c r="C96" s="35" t="s">
        <v>418</v>
      </c>
      <c r="D96" t="s">
        <v>502</v>
      </c>
      <c r="E96" t="s">
        <v>520</v>
      </c>
      <c r="F96" s="188" t="n">
        <v>2027</v>
      </c>
      <c r="G96" s="189" t="n">
        <v>44</v>
      </c>
      <c r="H96" s="190" t="n">
        <v>4990.49309235262</v>
      </c>
      <c r="I96" s="191" t="n">
        <v>4316096.14052842</v>
      </c>
      <c r="J96" s="192" t="str">
        <f>IF(I96&gt;0,H96/I96,0)</f>
      </c>
      <c r="K96" s="193" t="str">
        <f>1-EXP(-J96)</f>
      </c>
      <c r="L96" s="194" t="str">
        <f>IF(G96=30,1,M95)</f>
      </c>
      <c r="M96" s="195" t="str">
        <f>L96*(1-K96)</f>
      </c>
    </row>
    <row r="97">
      <c r="A97" t="s">
        <v>167</v>
      </c>
      <c r="B97" t="s">
        <v>254</v>
      </c>
      <c r="C97" s="35" t="s">
        <v>418</v>
      </c>
      <c r="D97" t="s">
        <v>502</v>
      </c>
      <c r="E97" t="s">
        <v>520</v>
      </c>
      <c r="F97" s="188" t="n">
        <v>2027</v>
      </c>
      <c r="G97" s="189" t="n">
        <v>45</v>
      </c>
      <c r="H97" s="190" t="n">
        <v>6265.64168829242</v>
      </c>
      <c r="I97" s="191" t="n">
        <v>4181435.36652216</v>
      </c>
      <c r="J97" s="192" t="str">
        <f>IF(I97&gt;0,H97/I97,0)</f>
      </c>
      <c r="K97" s="193" t="str">
        <f>1-EXP(-J97)</f>
      </c>
      <c r="L97" s="194" t="str">
        <f>IF(G97=30,1,M96)</f>
      </c>
      <c r="M97" s="195" t="str">
        <f>L97*(1-K97)</f>
      </c>
    </row>
    <row r="98">
      <c r="A98" t="s">
        <v>167</v>
      </c>
      <c r="B98" t="s">
        <v>254</v>
      </c>
      <c r="C98" s="35" t="s">
        <v>418</v>
      </c>
      <c r="D98" t="s">
        <v>502</v>
      </c>
      <c r="E98" t="s">
        <v>520</v>
      </c>
      <c r="F98" s="188" t="n">
        <v>2027</v>
      </c>
      <c r="G98" s="189" t="n">
        <v>46</v>
      </c>
      <c r="H98" s="190" t="n">
        <v>6733.46765926731</v>
      </c>
      <c r="I98" s="191" t="n">
        <v>4108845.8166969</v>
      </c>
      <c r="J98" s="192" t="str">
        <f>IF(I98&gt;0,H98/I98,0)</f>
      </c>
      <c r="K98" s="193" t="str">
        <f>1-EXP(-J98)</f>
      </c>
      <c r="L98" s="194" t="str">
        <f>IF(G98=30,1,M97)</f>
      </c>
      <c r="M98" s="195" t="str">
        <f>L98*(1-K98)</f>
      </c>
    </row>
    <row r="99">
      <c r="A99" t="s">
        <v>167</v>
      </c>
      <c r="B99" t="s">
        <v>254</v>
      </c>
      <c r="C99" s="35" t="s">
        <v>418</v>
      </c>
      <c r="D99" t="s">
        <v>502</v>
      </c>
      <c r="E99" t="s">
        <v>520</v>
      </c>
      <c r="F99" s="188" t="n">
        <v>2027</v>
      </c>
      <c r="G99" s="189" t="n">
        <v>47</v>
      </c>
      <c r="H99" s="190" t="n">
        <v>7277.06551595134</v>
      </c>
      <c r="I99" s="191" t="n">
        <v>4053402.56674328</v>
      </c>
      <c r="J99" s="192" t="str">
        <f>IF(I99&gt;0,H99/I99,0)</f>
      </c>
      <c r="K99" s="193" t="str">
        <f>1-EXP(-J99)</f>
      </c>
      <c r="L99" s="194" t="str">
        <f>IF(G99=30,1,M98)</f>
      </c>
      <c r="M99" s="195" t="str">
        <f>L99*(1-K99)</f>
      </c>
    </row>
    <row r="100">
      <c r="A100" t="s">
        <v>167</v>
      </c>
      <c r="B100" t="s">
        <v>254</v>
      </c>
      <c r="C100" s="35" t="s">
        <v>418</v>
      </c>
      <c r="D100" t="s">
        <v>502</v>
      </c>
      <c r="E100" t="s">
        <v>520</v>
      </c>
      <c r="F100" s="188" t="n">
        <v>2027</v>
      </c>
      <c r="G100" s="189" t="n">
        <v>48</v>
      </c>
      <c r="H100" s="190" t="n">
        <v>7842.98164214754</v>
      </c>
      <c r="I100" s="191" t="n">
        <v>3992601.23054168</v>
      </c>
      <c r="J100" s="192" t="str">
        <f>IF(I100&gt;0,H100/I100,0)</f>
      </c>
      <c r="K100" s="193" t="str">
        <f>1-EXP(-J100)</f>
      </c>
      <c r="L100" s="194" t="str">
        <f>IF(G100=30,1,M99)</f>
      </c>
      <c r="M100" s="195" t="str">
        <f>L100*(1-K100)</f>
      </c>
    </row>
    <row r="101">
      <c r="A101" t="s">
        <v>167</v>
      </c>
      <c r="B101" t="s">
        <v>254</v>
      </c>
      <c r="C101" s="35" t="s">
        <v>418</v>
      </c>
      <c r="D101" t="s">
        <v>502</v>
      </c>
      <c r="E101" t="s">
        <v>520</v>
      </c>
      <c r="F101" s="188" t="n">
        <v>2027</v>
      </c>
      <c r="G101" s="189" t="n">
        <v>49</v>
      </c>
      <c r="H101" s="190" t="n">
        <v>8401.07500141307</v>
      </c>
      <c r="I101" s="191" t="n">
        <v>3912256.53463084</v>
      </c>
      <c r="J101" s="192" t="str">
        <f>IF(I101&gt;0,H101/I101,0)</f>
      </c>
      <c r="K101" s="193" t="str">
        <f>1-EXP(-J101)</f>
      </c>
      <c r="L101" s="194" t="str">
        <f>IF(G101=30,1,M100)</f>
      </c>
      <c r="M101" s="195" t="str">
        <f>L101*(1-K101)</f>
      </c>
    </row>
    <row r="102">
      <c r="A102" t="s">
        <v>167</v>
      </c>
      <c r="B102" t="s">
        <v>254</v>
      </c>
      <c r="C102" s="35" t="s">
        <v>418</v>
      </c>
      <c r="D102" t="s">
        <v>502</v>
      </c>
      <c r="E102" t="s">
        <v>520</v>
      </c>
      <c r="F102" s="188" t="n">
        <v>2027</v>
      </c>
      <c r="G102" s="189" t="n">
        <v>50</v>
      </c>
      <c r="H102" s="190" t="n">
        <v>9665.37778775907</v>
      </c>
      <c r="I102" s="191" t="n">
        <v>3849391.61577478</v>
      </c>
      <c r="J102" s="192" t="str">
        <f>IF(I102&gt;0,H102/I102,0)</f>
      </c>
      <c r="K102" s="193" t="str">
        <f>1-EXP(-J102)</f>
      </c>
      <c r="L102" s="194" t="str">
        <f>IF(G102=30,1,M101)</f>
      </c>
      <c r="M102" s="195" t="str">
        <f>L102*(1-K102)</f>
      </c>
    </row>
    <row r="103">
      <c r="A103" t="s">
        <v>167</v>
      </c>
      <c r="B103" t="s">
        <v>254</v>
      </c>
      <c r="C103" s="35" t="s">
        <v>418</v>
      </c>
      <c r="D103" t="s">
        <v>502</v>
      </c>
      <c r="E103" t="s">
        <v>520</v>
      </c>
      <c r="F103" s="188" t="n">
        <v>2027</v>
      </c>
      <c r="G103" s="189" t="n">
        <v>51</v>
      </c>
      <c r="H103" s="190" t="n">
        <v>10355.3014722411</v>
      </c>
      <c r="I103" s="191" t="n">
        <v>3773719.04804105</v>
      </c>
      <c r="J103" s="192" t="str">
        <f>IF(I103&gt;0,H103/I103,0)</f>
      </c>
      <c r="K103" s="193" t="str">
        <f>1-EXP(-J103)</f>
      </c>
      <c r="L103" s="194" t="str">
        <f>IF(G103=30,1,M102)</f>
      </c>
      <c r="M103" s="195" t="str">
        <f>L103*(1-K103)</f>
      </c>
    </row>
    <row r="104">
      <c r="A104" t="s">
        <v>167</v>
      </c>
      <c r="B104" t="s">
        <v>254</v>
      </c>
      <c r="C104" s="35" t="s">
        <v>418</v>
      </c>
      <c r="D104" t="s">
        <v>502</v>
      </c>
      <c r="E104" t="s">
        <v>520</v>
      </c>
      <c r="F104" s="188" t="n">
        <v>2027</v>
      </c>
      <c r="G104" s="189" t="n">
        <v>52</v>
      </c>
      <c r="H104" s="190" t="n">
        <v>11076.8351176352</v>
      </c>
      <c r="I104" s="191" t="n">
        <v>3698274.94046873</v>
      </c>
      <c r="J104" s="192" t="str">
        <f>IF(I104&gt;0,H104/I104,0)</f>
      </c>
      <c r="K104" s="193" t="str">
        <f>1-EXP(-J104)</f>
      </c>
      <c r="L104" s="194" t="str">
        <f>IF(G104=30,1,M103)</f>
      </c>
      <c r="M104" s="195" t="str">
        <f>L104*(1-K104)</f>
      </c>
    </row>
    <row r="105">
      <c r="A105" t="s">
        <v>167</v>
      </c>
      <c r="B105" t="s">
        <v>254</v>
      </c>
      <c r="C105" s="35" t="s">
        <v>418</v>
      </c>
      <c r="D105" t="s">
        <v>502</v>
      </c>
      <c r="E105" t="s">
        <v>520</v>
      </c>
      <c r="F105" s="188" t="n">
        <v>2027</v>
      </c>
      <c r="G105" s="189" t="n">
        <v>53</v>
      </c>
      <c r="H105" s="190" t="n">
        <v>11749.5379110561</v>
      </c>
      <c r="I105" s="191" t="n">
        <v>3595093.65965506</v>
      </c>
      <c r="J105" s="192" t="str">
        <f>IF(I105&gt;0,H105/I105,0)</f>
      </c>
      <c r="K105" s="193" t="str">
        <f>1-EXP(-J105)</f>
      </c>
      <c r="L105" s="194" t="str">
        <f>IF(G105=30,1,M104)</f>
      </c>
      <c r="M105" s="195" t="str">
        <f>L105*(1-K105)</f>
      </c>
    </row>
    <row r="106">
      <c r="A106" t="s">
        <v>167</v>
      </c>
      <c r="B106" t="s">
        <v>254</v>
      </c>
      <c r="C106" s="35" t="s">
        <v>418</v>
      </c>
      <c r="D106" t="s">
        <v>502</v>
      </c>
      <c r="E106" t="s">
        <v>520</v>
      </c>
      <c r="F106" s="188" t="n">
        <v>2027</v>
      </c>
      <c r="G106" s="189" t="n">
        <v>54</v>
      </c>
      <c r="H106" s="190" t="n">
        <v>12675.4621577926</v>
      </c>
      <c r="I106" s="191" t="n">
        <v>3553073.54191735</v>
      </c>
      <c r="J106" s="192" t="str">
        <f>IF(I106&gt;0,H106/I106,0)</f>
      </c>
      <c r="K106" s="193" t="str">
        <f>1-EXP(-J106)</f>
      </c>
      <c r="L106" s="194" t="str">
        <f>IF(G106=30,1,M105)</f>
      </c>
      <c r="M106" s="195" t="str">
        <f>L106*(1-K106)</f>
      </c>
    </row>
    <row r="107">
      <c r="A107" t="s">
        <v>167</v>
      </c>
      <c r="B107" t="s">
        <v>254</v>
      </c>
      <c r="C107" s="35" t="s">
        <v>418</v>
      </c>
      <c r="D107" t="s">
        <v>502</v>
      </c>
      <c r="E107" t="s">
        <v>520</v>
      </c>
      <c r="F107" s="188" t="n">
        <v>2027</v>
      </c>
      <c r="G107" s="189" t="n">
        <v>55</v>
      </c>
      <c r="H107" s="190" t="n">
        <v>13255.1054401831</v>
      </c>
      <c r="I107" s="191" t="n">
        <v>3345032.47747386</v>
      </c>
      <c r="J107" s="192" t="str">
        <f>IF(I107&gt;0,H107/I107,0)</f>
      </c>
      <c r="K107" s="193" t="str">
        <f>1-EXP(-J107)</f>
      </c>
      <c r="L107" s="194" t="str">
        <f>IF(G107=30,1,M106)</f>
      </c>
      <c r="M107" s="195" t="str">
        <f>L107*(1-K107)</f>
      </c>
    </row>
    <row r="108">
      <c r="A108" t="s">
        <v>167</v>
      </c>
      <c r="B108" t="s">
        <v>254</v>
      </c>
      <c r="C108" s="35" t="s">
        <v>418</v>
      </c>
      <c r="D108" t="s">
        <v>502</v>
      </c>
      <c r="E108" t="s">
        <v>520</v>
      </c>
      <c r="F108" s="188" t="n">
        <v>2027</v>
      </c>
      <c r="G108" s="189" t="n">
        <v>56</v>
      </c>
      <c r="H108" s="190" t="n">
        <v>14098.415987455</v>
      </c>
      <c r="I108" s="191" t="n">
        <v>3259815.25614349</v>
      </c>
      <c r="J108" s="192" t="str">
        <f>IF(I108&gt;0,H108/I108,0)</f>
      </c>
      <c r="K108" s="193" t="str">
        <f>1-EXP(-J108)</f>
      </c>
      <c r="L108" s="194" t="str">
        <f>IF(G108=30,1,M107)</f>
      </c>
      <c r="M108" s="195" t="str">
        <f>L108*(1-K108)</f>
      </c>
    </row>
    <row r="109">
      <c r="A109" t="s">
        <v>167</v>
      </c>
      <c r="B109" t="s">
        <v>254</v>
      </c>
      <c r="C109" s="35" t="s">
        <v>418</v>
      </c>
      <c r="D109" t="s">
        <v>502</v>
      </c>
      <c r="E109" t="s">
        <v>520</v>
      </c>
      <c r="F109" s="188" t="n">
        <v>2027</v>
      </c>
      <c r="G109" s="189" t="n">
        <v>57</v>
      </c>
      <c r="H109" s="190" t="n">
        <v>15030.4480097374</v>
      </c>
      <c r="I109" s="191" t="n">
        <v>3179677.65336014</v>
      </c>
      <c r="J109" s="192" t="str">
        <f>IF(I109&gt;0,H109/I109,0)</f>
      </c>
      <c r="K109" s="193" t="str">
        <f>1-EXP(-J109)</f>
      </c>
      <c r="L109" s="194" t="str">
        <f>IF(G109=30,1,M108)</f>
      </c>
      <c r="M109" s="195" t="str">
        <f>L109*(1-K109)</f>
      </c>
    </row>
    <row r="110">
      <c r="A110" t="s">
        <v>167</v>
      </c>
      <c r="B110" t="s">
        <v>254</v>
      </c>
      <c r="C110" s="35" t="s">
        <v>418</v>
      </c>
      <c r="D110" t="s">
        <v>502</v>
      </c>
      <c r="E110" t="s">
        <v>520</v>
      </c>
      <c r="F110" s="188" t="n">
        <v>2027</v>
      </c>
      <c r="G110" s="189" t="n">
        <v>58</v>
      </c>
      <c r="H110" s="190" t="n">
        <v>15960.6469585863</v>
      </c>
      <c r="I110" s="191" t="n">
        <v>3090271.95139547</v>
      </c>
      <c r="J110" s="192" t="str">
        <f>IF(I110&gt;0,H110/I110,0)</f>
      </c>
      <c r="K110" s="193" t="str">
        <f>1-EXP(-J110)</f>
      </c>
      <c r="L110" s="194" t="str">
        <f>IF(G110=30,1,M109)</f>
      </c>
      <c r="M110" s="195" t="str">
        <f>L110*(1-K110)</f>
      </c>
    </row>
    <row r="111">
      <c r="A111" t="s">
        <v>167</v>
      </c>
      <c r="B111" t="s">
        <v>254</v>
      </c>
      <c r="C111" s="35" t="s">
        <v>418</v>
      </c>
      <c r="D111" t="s">
        <v>502</v>
      </c>
      <c r="E111" t="s">
        <v>520</v>
      </c>
      <c r="F111" s="188" t="n">
        <v>2027</v>
      </c>
      <c r="G111" s="189" t="n">
        <v>59</v>
      </c>
      <c r="H111" s="190" t="n">
        <v>16824.4118326772</v>
      </c>
      <c r="I111" s="191" t="n">
        <v>2980851.98362893</v>
      </c>
      <c r="J111" s="192" t="str">
        <f>IF(I111&gt;0,H111/I111,0)</f>
      </c>
      <c r="K111" s="193" t="str">
        <f>1-EXP(-J111)</f>
      </c>
      <c r="L111" s="194" t="str">
        <f>IF(G111=30,1,M110)</f>
      </c>
      <c r="M111" s="195" t="str">
        <f>L111*(1-K111)</f>
      </c>
    </row>
    <row r="112">
      <c r="A112" t="s">
        <v>167</v>
      </c>
      <c r="B112" t="s">
        <v>254</v>
      </c>
      <c r="C112" s="35" t="s">
        <v>418</v>
      </c>
      <c r="D112" t="s">
        <v>502</v>
      </c>
      <c r="E112" t="s">
        <v>520</v>
      </c>
      <c r="F112" s="188" t="n">
        <v>2027</v>
      </c>
      <c r="G112" s="189" t="n">
        <v>60</v>
      </c>
      <c r="H112" s="190" t="n">
        <v>17975.1885520987</v>
      </c>
      <c r="I112" s="191" t="n">
        <v>2839810.67923277</v>
      </c>
      <c r="J112" s="192" t="str">
        <f>IF(I112&gt;0,H112/I112,0)</f>
      </c>
      <c r="K112" s="193" t="str">
        <f>1-EXP(-J112)</f>
      </c>
      <c r="L112" s="194" t="str">
        <f>IF(G112=30,1,M111)</f>
      </c>
      <c r="M112" s="195" t="str">
        <f>L112*(1-K112)</f>
      </c>
    </row>
    <row r="113">
      <c r="A113" t="s">
        <v>167</v>
      </c>
      <c r="B113" t="s">
        <v>254</v>
      </c>
      <c r="C113" s="35" t="s">
        <v>418</v>
      </c>
      <c r="D113" t="s">
        <v>502</v>
      </c>
      <c r="E113" t="s">
        <v>520</v>
      </c>
      <c r="F113" s="188" t="n">
        <v>2027</v>
      </c>
      <c r="G113" s="189" t="n">
        <v>61</v>
      </c>
      <c r="H113" s="190" t="n">
        <v>19000.5035270136</v>
      </c>
      <c r="I113" s="191" t="n">
        <v>2735246.03730403</v>
      </c>
      <c r="J113" s="192" t="str">
        <f>IF(I113&gt;0,H113/I113,0)</f>
      </c>
      <c r="K113" s="193" t="str">
        <f>1-EXP(-J113)</f>
      </c>
      <c r="L113" s="194" t="str">
        <f>IF(G113=30,1,M112)</f>
      </c>
      <c r="M113" s="195" t="str">
        <f>L113*(1-K113)</f>
      </c>
    </row>
    <row r="114">
      <c r="A114" t="s">
        <v>167</v>
      </c>
      <c r="B114" t="s">
        <v>254</v>
      </c>
      <c r="C114" s="35" t="s">
        <v>418</v>
      </c>
      <c r="D114" t="s">
        <v>502</v>
      </c>
      <c r="E114" t="s">
        <v>520</v>
      </c>
      <c r="F114" s="188" t="n">
        <v>2027</v>
      </c>
      <c r="G114" s="189" t="n">
        <v>62</v>
      </c>
      <c r="H114" s="190" t="n">
        <v>19822.8246924261</v>
      </c>
      <c r="I114" s="191" t="n">
        <v>2609230.78898491</v>
      </c>
      <c r="J114" s="192" t="str">
        <f>IF(I114&gt;0,H114/I114,0)</f>
      </c>
      <c r="K114" s="193" t="str">
        <f>1-EXP(-J114)</f>
      </c>
      <c r="L114" s="194" t="str">
        <f>IF(G114=30,1,M113)</f>
      </c>
      <c r="M114" s="195" t="str">
        <f>L114*(1-K114)</f>
      </c>
    </row>
    <row r="115">
      <c r="A115" t="s">
        <v>167</v>
      </c>
      <c r="B115" t="s">
        <v>254</v>
      </c>
      <c r="C115" s="35" t="s">
        <v>418</v>
      </c>
      <c r="D115" t="s">
        <v>502</v>
      </c>
      <c r="E115" t="s">
        <v>520</v>
      </c>
      <c r="F115" s="188" t="n">
        <v>2027</v>
      </c>
      <c r="G115" s="189" t="n">
        <v>63</v>
      </c>
      <c r="H115" s="190" t="n">
        <v>20643.9418867563</v>
      </c>
      <c r="I115" s="191" t="n">
        <v>2483470.04320027</v>
      </c>
      <c r="J115" s="192" t="str">
        <f>IF(I115&gt;0,H115/I115,0)</f>
      </c>
      <c r="K115" s="193" t="str">
        <f>1-EXP(-J115)</f>
      </c>
      <c r="L115" s="194" t="str">
        <f>IF(G115=30,1,M114)</f>
      </c>
      <c r="M115" s="195" t="str">
        <f>L115*(1-K115)</f>
      </c>
    </row>
    <row r="116">
      <c r="A116" t="s">
        <v>167</v>
      </c>
      <c r="B116" t="s">
        <v>254</v>
      </c>
      <c r="C116" s="35" t="s">
        <v>418</v>
      </c>
      <c r="D116" t="s">
        <v>502</v>
      </c>
      <c r="E116" t="s">
        <v>520</v>
      </c>
      <c r="F116" s="188" t="n">
        <v>2027</v>
      </c>
      <c r="G116" s="189" t="n">
        <v>64</v>
      </c>
      <c r="H116" s="190" t="n">
        <v>21501.1615900517</v>
      </c>
      <c r="I116" s="191" t="n">
        <v>2362690.05030898</v>
      </c>
      <c r="J116" s="192" t="str">
        <f>IF(I116&gt;0,H116/I116,0)</f>
      </c>
      <c r="K116" s="193" t="str">
        <f>1-EXP(-J116)</f>
      </c>
      <c r="L116" s="194" t="str">
        <f>IF(G116=30,1,M115)</f>
      </c>
      <c r="M116" s="195" t="str">
        <f>L116*(1-K116)</f>
      </c>
    </row>
    <row r="117">
      <c r="A117" t="s">
        <v>167</v>
      </c>
      <c r="B117" t="s">
        <v>254</v>
      </c>
      <c r="C117" s="35" t="s">
        <v>418</v>
      </c>
      <c r="D117" t="s">
        <v>502</v>
      </c>
      <c r="E117" t="s">
        <v>520</v>
      </c>
      <c r="F117" s="188" t="n">
        <v>2027</v>
      </c>
      <c r="G117" s="189" t="n">
        <v>65</v>
      </c>
      <c r="H117" s="190" t="n">
        <v>21613.3172650302</v>
      </c>
      <c r="I117" s="191" t="n">
        <v>2216202.51799431</v>
      </c>
      <c r="J117" s="192" t="str">
        <f>IF(I117&gt;0,H117/I117,0)</f>
      </c>
      <c r="K117" s="193" t="str">
        <f>1-EXP(-J117)</f>
      </c>
      <c r="L117" s="194" t="str">
        <f>IF(G117=30,1,M116)</f>
      </c>
      <c r="M117" s="195" t="str">
        <f>L117*(1-K117)</f>
      </c>
    </row>
    <row r="118">
      <c r="A118" t="s">
        <v>167</v>
      </c>
      <c r="B118" t="s">
        <v>254</v>
      </c>
      <c r="C118" s="35" t="s">
        <v>418</v>
      </c>
      <c r="D118" t="s">
        <v>502</v>
      </c>
      <c r="E118" t="s">
        <v>520</v>
      </c>
      <c r="F118" s="188" t="n">
        <v>2027</v>
      </c>
      <c r="G118" s="189" t="n">
        <v>66</v>
      </c>
      <c r="H118" s="190" t="n">
        <v>22385.10098536</v>
      </c>
      <c r="I118" s="191" t="n">
        <v>2095039.33615304</v>
      </c>
      <c r="J118" s="192" t="str">
        <f>IF(I118&gt;0,H118/I118,0)</f>
      </c>
      <c r="K118" s="193" t="str">
        <f>1-EXP(-J118)</f>
      </c>
      <c r="L118" s="194" t="str">
        <f>IF(G118=30,1,M117)</f>
      </c>
      <c r="M118" s="195" t="str">
        <f>L118*(1-K118)</f>
      </c>
    </row>
    <row r="119">
      <c r="A119" t="s">
        <v>167</v>
      </c>
      <c r="B119" t="s">
        <v>254</v>
      </c>
      <c r="C119" s="35" t="s">
        <v>418</v>
      </c>
      <c r="D119" t="s">
        <v>502</v>
      </c>
      <c r="E119" t="s">
        <v>520</v>
      </c>
      <c r="F119" s="188" t="n">
        <v>2027</v>
      </c>
      <c r="G119" s="189" t="n">
        <v>67</v>
      </c>
      <c r="H119" s="190" t="n">
        <v>23079.4943506029</v>
      </c>
      <c r="I119" s="191" t="n">
        <v>1969875.97042486</v>
      </c>
      <c r="J119" s="192" t="str">
        <f>IF(I119&gt;0,H119/I119,0)</f>
      </c>
      <c r="K119" s="193" t="str">
        <f>1-EXP(-J119)</f>
      </c>
      <c r="L119" s="194" t="str">
        <f>IF(G119=30,1,M118)</f>
      </c>
      <c r="M119" s="195" t="str">
        <f>L119*(1-K119)</f>
      </c>
    </row>
    <row r="120">
      <c r="A120" t="s">
        <v>167</v>
      </c>
      <c r="B120" t="s">
        <v>254</v>
      </c>
      <c r="C120" s="35" t="s">
        <v>418</v>
      </c>
      <c r="D120" t="s">
        <v>502</v>
      </c>
      <c r="E120" t="s">
        <v>520</v>
      </c>
      <c r="F120" s="188" t="n">
        <v>2027</v>
      </c>
      <c r="G120" s="189" t="n">
        <v>68</v>
      </c>
      <c r="H120" s="190" t="n">
        <v>23631.4261089176</v>
      </c>
      <c r="I120" s="191" t="n">
        <v>1838833.89721079</v>
      </c>
      <c r="J120" s="192" t="str">
        <f>IF(I120&gt;0,H120/I120,0)</f>
      </c>
      <c r="K120" s="193" t="str">
        <f>1-EXP(-J120)</f>
      </c>
      <c r="L120" s="194" t="str">
        <f>IF(G120=30,1,M119)</f>
      </c>
      <c r="M120" s="195" t="str">
        <f>L120*(1-K120)</f>
      </c>
    </row>
    <row r="121">
      <c r="A121" t="s">
        <v>167</v>
      </c>
      <c r="B121" t="s">
        <v>254</v>
      </c>
      <c r="C121" s="35" t="s">
        <v>418</v>
      </c>
      <c r="D121" t="s">
        <v>502</v>
      </c>
      <c r="E121" t="s">
        <v>520</v>
      </c>
      <c r="F121" s="188" t="n">
        <v>2027</v>
      </c>
      <c r="G121" s="189" t="n">
        <v>69</v>
      </c>
      <c r="H121" s="190" t="n">
        <v>24128.9412518197</v>
      </c>
      <c r="I121" s="191" t="n">
        <v>1710349.01543645</v>
      </c>
      <c r="J121" s="192" t="str">
        <f>IF(I121&gt;0,H121/I121,0)</f>
      </c>
      <c r="K121" s="193" t="str">
        <f>1-EXP(-J121)</f>
      </c>
      <c r="L121" s="194" t="str">
        <f>IF(G121=30,1,M120)</f>
      </c>
      <c r="M121" s="195" t="str">
        <f>L121*(1-K121)</f>
      </c>
    </row>
    <row r="122">
      <c r="A122" t="s">
        <v>167</v>
      </c>
      <c r="B122" t="s">
        <v>254</v>
      </c>
      <c r="C122" s="35" t="s">
        <v>418</v>
      </c>
      <c r="D122" t="s">
        <v>502</v>
      </c>
      <c r="E122" t="s">
        <v>520</v>
      </c>
      <c r="F122" s="188" t="n">
        <v>2028</v>
      </c>
      <c r="G122" s="189" t="n">
        <v>30</v>
      </c>
      <c r="H122" s="190" t="n">
        <v>960.821531636257</v>
      </c>
      <c r="I122" s="191" t="n">
        <v>4420068.25572901</v>
      </c>
      <c r="J122" s="192" t="str">
        <f>IF(I122&gt;0,H122/I122,0)</f>
      </c>
      <c r="K122" s="193" t="str">
        <f>1-EXP(-J122)</f>
      </c>
      <c r="L122" s="194" t="str">
        <f>IF(G122=30,1,M121)</f>
      </c>
      <c r="M122" s="195" t="str">
        <f>L122*(1-K122)</f>
      </c>
    </row>
    <row r="123">
      <c r="A123" t="s">
        <v>167</v>
      </c>
      <c r="B123" t="s">
        <v>254</v>
      </c>
      <c r="C123" s="35" t="s">
        <v>418</v>
      </c>
      <c r="D123" t="s">
        <v>502</v>
      </c>
      <c r="E123" t="s">
        <v>520</v>
      </c>
      <c r="F123" s="188" t="n">
        <v>2028</v>
      </c>
      <c r="G123" s="189" t="n">
        <v>31</v>
      </c>
      <c r="H123" s="190" t="n">
        <v>1311.36971101947</v>
      </c>
      <c r="I123" s="191" t="n">
        <v>4561973.62652527</v>
      </c>
      <c r="J123" s="192" t="str">
        <f>IF(I123&gt;0,H123/I123,0)</f>
      </c>
      <c r="K123" s="193" t="str">
        <f>1-EXP(-J123)</f>
      </c>
      <c r="L123" s="194" t="str">
        <f>IF(G123=30,1,M122)</f>
      </c>
      <c r="M123" s="195" t="str">
        <f>L123*(1-K123)</f>
      </c>
    </row>
    <row r="124">
      <c r="A124" t="s">
        <v>167</v>
      </c>
      <c r="B124" t="s">
        <v>254</v>
      </c>
      <c r="C124" s="35" t="s">
        <v>418</v>
      </c>
      <c r="D124" t="s">
        <v>502</v>
      </c>
      <c r="E124" t="s">
        <v>520</v>
      </c>
      <c r="F124" s="188" t="n">
        <v>2028</v>
      </c>
      <c r="G124" s="189" t="n">
        <v>32</v>
      </c>
      <c r="H124" s="190" t="n">
        <v>1360.3897822417</v>
      </c>
      <c r="I124" s="191" t="n">
        <v>4519623.22271483</v>
      </c>
      <c r="J124" s="192" t="str">
        <f>IF(I124&gt;0,H124/I124,0)</f>
      </c>
      <c r="K124" s="193" t="str">
        <f>1-EXP(-J124)</f>
      </c>
      <c r="L124" s="194" t="str">
        <f>IF(G124=30,1,M123)</f>
      </c>
      <c r="M124" s="195" t="str">
        <f>L124*(1-K124)</f>
      </c>
    </row>
    <row r="125">
      <c r="A125" t="s">
        <v>167</v>
      </c>
      <c r="B125" t="s">
        <v>254</v>
      </c>
      <c r="C125" s="35" t="s">
        <v>418</v>
      </c>
      <c r="D125" t="s">
        <v>502</v>
      </c>
      <c r="E125" t="s">
        <v>520</v>
      </c>
      <c r="F125" s="188" t="n">
        <v>2028</v>
      </c>
      <c r="G125" s="189" t="n">
        <v>33</v>
      </c>
      <c r="H125" s="190" t="n">
        <v>1410.64208415991</v>
      </c>
      <c r="I125" s="191" t="n">
        <v>4447076.2872084</v>
      </c>
      <c r="J125" s="192" t="str">
        <f>IF(I125&gt;0,H125/I125,0)</f>
      </c>
      <c r="K125" s="193" t="str">
        <f>1-EXP(-J125)</f>
      </c>
      <c r="L125" s="194" t="str">
        <f>IF(G125=30,1,M124)</f>
      </c>
      <c r="M125" s="195" t="str">
        <f>L125*(1-K125)</f>
      </c>
    </row>
    <row r="126">
      <c r="A126" t="s">
        <v>167</v>
      </c>
      <c r="B126" t="s">
        <v>254</v>
      </c>
      <c r="C126" s="35" t="s">
        <v>418</v>
      </c>
      <c r="D126" t="s">
        <v>502</v>
      </c>
      <c r="E126" t="s">
        <v>520</v>
      </c>
      <c r="F126" s="188" t="n">
        <v>2028</v>
      </c>
      <c r="G126" s="189" t="n">
        <v>34</v>
      </c>
      <c r="H126" s="190" t="n">
        <v>1475.14593622692</v>
      </c>
      <c r="I126" s="191" t="n">
        <v>4390454.18224072</v>
      </c>
      <c r="J126" s="192" t="str">
        <f>IF(I126&gt;0,H126/I126,0)</f>
      </c>
      <c r="K126" s="193" t="str">
        <f>1-EXP(-J126)</f>
      </c>
      <c r="L126" s="194" t="str">
        <f>IF(G126=30,1,M125)</f>
      </c>
      <c r="M126" s="195" t="str">
        <f>L126*(1-K126)</f>
      </c>
    </row>
    <row r="127">
      <c r="A127" t="s">
        <v>167</v>
      </c>
      <c r="B127" t="s">
        <v>254</v>
      </c>
      <c r="C127" s="35" t="s">
        <v>418</v>
      </c>
      <c r="D127" t="s">
        <v>502</v>
      </c>
      <c r="E127" t="s">
        <v>520</v>
      </c>
      <c r="F127" s="188" t="n">
        <v>2028</v>
      </c>
      <c r="G127" s="189" t="n">
        <v>35</v>
      </c>
      <c r="H127" s="190" t="n">
        <v>1996.317766267</v>
      </c>
      <c r="I127" s="191" t="n">
        <v>4337547.82408958</v>
      </c>
      <c r="J127" s="192" t="str">
        <f>IF(I127&gt;0,H127/I127,0)</f>
      </c>
      <c r="K127" s="193" t="str">
        <f>1-EXP(-J127)</f>
      </c>
      <c r="L127" s="194" t="str">
        <f>IF(G127=30,1,M126)</f>
      </c>
      <c r="M127" s="195" t="str">
        <f>L127*(1-K127)</f>
      </c>
    </row>
    <row r="128">
      <c r="A128" t="s">
        <v>167</v>
      </c>
      <c r="B128" t="s">
        <v>254</v>
      </c>
      <c r="C128" s="35" t="s">
        <v>418</v>
      </c>
      <c r="D128" t="s">
        <v>502</v>
      </c>
      <c r="E128" t="s">
        <v>520</v>
      </c>
      <c r="F128" s="188" t="n">
        <v>2028</v>
      </c>
      <c r="G128" s="189" t="n">
        <v>36</v>
      </c>
      <c r="H128" s="190" t="n">
        <v>2146.95931913039</v>
      </c>
      <c r="I128" s="191" t="n">
        <v>4375962.13415461</v>
      </c>
      <c r="J128" s="192" t="str">
        <f>IF(I128&gt;0,H128/I128,0)</f>
      </c>
      <c r="K128" s="193" t="str">
        <f>1-EXP(-J128)</f>
      </c>
      <c r="L128" s="194" t="str">
        <f>IF(G128=30,1,M127)</f>
      </c>
      <c r="M128" s="195" t="str">
        <f>L128*(1-K128)</f>
      </c>
    </row>
    <row r="129">
      <c r="A129" t="s">
        <v>167</v>
      </c>
      <c r="B129" t="s">
        <v>254</v>
      </c>
      <c r="C129" s="35" t="s">
        <v>418</v>
      </c>
      <c r="D129" t="s">
        <v>502</v>
      </c>
      <c r="E129" t="s">
        <v>520</v>
      </c>
      <c r="F129" s="188" t="n">
        <v>2028</v>
      </c>
      <c r="G129" s="189" t="n">
        <v>37</v>
      </c>
      <c r="H129" s="190" t="n">
        <v>2313.64146719032</v>
      </c>
      <c r="I129" s="191" t="n">
        <v>4395203.40775389</v>
      </c>
      <c r="J129" s="192" t="str">
        <f>IF(I129&gt;0,H129/I129,0)</f>
      </c>
      <c r="K129" s="193" t="str">
        <f>1-EXP(-J129)</f>
      </c>
      <c r="L129" s="194" t="str">
        <f>IF(G129=30,1,M128)</f>
      </c>
      <c r="M129" s="195" t="str">
        <f>L129*(1-K129)</f>
      </c>
    </row>
    <row r="130">
      <c r="A130" t="s">
        <v>167</v>
      </c>
      <c r="B130" t="s">
        <v>254</v>
      </c>
      <c r="C130" s="35" t="s">
        <v>418</v>
      </c>
      <c r="D130" t="s">
        <v>502</v>
      </c>
      <c r="E130" t="s">
        <v>520</v>
      </c>
      <c r="F130" s="188" t="n">
        <v>2028</v>
      </c>
      <c r="G130" s="189" t="n">
        <v>38</v>
      </c>
      <c r="H130" s="190" t="n">
        <v>3512.97048908554</v>
      </c>
      <c r="I130" s="191" t="n">
        <v>6472890.41179568</v>
      </c>
      <c r="J130" s="192" t="str">
        <f>IF(I130&gt;0,H130/I130,0)</f>
      </c>
      <c r="K130" s="193" t="str">
        <f>1-EXP(-J130)</f>
      </c>
      <c r="L130" s="194" t="str">
        <f>IF(G130=30,1,M129)</f>
      </c>
      <c r="M130" s="195" t="str">
        <f>L130*(1-K130)</f>
      </c>
    </row>
    <row r="131">
      <c r="A131" t="s">
        <v>167</v>
      </c>
      <c r="B131" t="s">
        <v>254</v>
      </c>
      <c r="C131" s="35" t="s">
        <v>418</v>
      </c>
      <c r="D131" t="s">
        <v>502</v>
      </c>
      <c r="E131" t="s">
        <v>520</v>
      </c>
      <c r="F131" s="188" t="n">
        <v>2028</v>
      </c>
      <c r="G131" s="189" t="n">
        <v>39</v>
      </c>
      <c r="H131" s="190" t="n">
        <v>2649.92709911439</v>
      </c>
      <c r="I131" s="191" t="n">
        <v>4356234.1880696</v>
      </c>
      <c r="J131" s="192" t="str">
        <f>IF(I131&gt;0,H131/I131,0)</f>
      </c>
      <c r="K131" s="193" t="str">
        <f>1-EXP(-J131)</f>
      </c>
      <c r="L131" s="194" t="str">
        <f>IF(G131=30,1,M130)</f>
      </c>
      <c r="M131" s="195" t="str">
        <f>L131*(1-K131)</f>
      </c>
    </row>
    <row r="132">
      <c r="A132" t="s">
        <v>167</v>
      </c>
      <c r="B132" t="s">
        <v>254</v>
      </c>
      <c r="C132" s="35" t="s">
        <v>418</v>
      </c>
      <c r="D132" t="s">
        <v>502</v>
      </c>
      <c r="E132" t="s">
        <v>520</v>
      </c>
      <c r="F132" s="188" t="n">
        <v>2028</v>
      </c>
      <c r="G132" s="189" t="n">
        <v>40</v>
      </c>
      <c r="H132" s="190" t="n">
        <v>3556.93289492096</v>
      </c>
      <c r="I132" s="191" t="n">
        <v>4340952.55769514</v>
      </c>
      <c r="J132" s="192" t="str">
        <f>IF(I132&gt;0,H132/I132,0)</f>
      </c>
      <c r="K132" s="193" t="str">
        <f>1-EXP(-J132)</f>
      </c>
      <c r="L132" s="194" t="str">
        <f>IF(G132=30,1,M131)</f>
      </c>
      <c r="M132" s="195" t="str">
        <f>L132*(1-K132)</f>
      </c>
    </row>
    <row r="133">
      <c r="A133" t="s">
        <v>167</v>
      </c>
      <c r="B133" t="s">
        <v>254</v>
      </c>
      <c r="C133" s="35" t="s">
        <v>418</v>
      </c>
      <c r="D133" t="s">
        <v>502</v>
      </c>
      <c r="E133" t="s">
        <v>520</v>
      </c>
      <c r="F133" s="188" t="n">
        <v>2028</v>
      </c>
      <c r="G133" s="189" t="n">
        <v>41</v>
      </c>
      <c r="H133" s="190" t="n">
        <v>3734.24753650309</v>
      </c>
      <c r="I133" s="191" t="n">
        <v>4208824.70016712</v>
      </c>
      <c r="J133" s="192" t="str">
        <f>IF(I133&gt;0,H133/I133,0)</f>
      </c>
      <c r="K133" s="193" t="str">
        <f>1-EXP(-J133)</f>
      </c>
      <c r="L133" s="194" t="str">
        <f>IF(G133=30,1,M132)</f>
      </c>
      <c r="M133" s="195" t="str">
        <f>L133*(1-K133)</f>
      </c>
    </row>
    <row r="134">
      <c r="A134" t="s">
        <v>167</v>
      </c>
      <c r="B134" t="s">
        <v>254</v>
      </c>
      <c r="C134" s="35" t="s">
        <v>418</v>
      </c>
      <c r="D134" t="s">
        <v>502</v>
      </c>
      <c r="E134" t="s">
        <v>520</v>
      </c>
      <c r="F134" s="188" t="n">
        <v>2028</v>
      </c>
      <c r="G134" s="189" t="n">
        <v>42</v>
      </c>
      <c r="H134" s="190" t="n">
        <v>4018.11710841034</v>
      </c>
      <c r="I134" s="191" t="n">
        <v>4175763.86275092</v>
      </c>
      <c r="J134" s="192" t="str">
        <f>IF(I134&gt;0,H134/I134,0)</f>
      </c>
      <c r="K134" s="193" t="str">
        <f>1-EXP(-J134)</f>
      </c>
      <c r="L134" s="194" t="str">
        <f>IF(G134=30,1,M133)</f>
      </c>
      <c r="M134" s="195" t="str">
        <f>L134*(1-K134)</f>
      </c>
    </row>
    <row r="135">
      <c r="A135" t="s">
        <v>167</v>
      </c>
      <c r="B135" t="s">
        <v>254</v>
      </c>
      <c r="C135" s="35" t="s">
        <v>418</v>
      </c>
      <c r="D135" t="s">
        <v>502</v>
      </c>
      <c r="E135" t="s">
        <v>520</v>
      </c>
      <c r="F135" s="188" t="n">
        <v>2028</v>
      </c>
      <c r="G135" s="189" t="n">
        <v>43</v>
      </c>
      <c r="H135" s="190" t="n">
        <v>4437.60574086785</v>
      </c>
      <c r="I135" s="191" t="n">
        <v>4237026.29980378</v>
      </c>
      <c r="J135" s="192" t="str">
        <f>IF(I135&gt;0,H135/I135,0)</f>
      </c>
      <c r="K135" s="193" t="str">
        <f>1-EXP(-J135)</f>
      </c>
      <c r="L135" s="194" t="str">
        <f>IF(G135=30,1,M134)</f>
      </c>
      <c r="M135" s="195" t="str">
        <f>L135*(1-K135)</f>
      </c>
    </row>
    <row r="136">
      <c r="A136" t="s">
        <v>167</v>
      </c>
      <c r="B136" t="s">
        <v>254</v>
      </c>
      <c r="C136" s="35" t="s">
        <v>418</v>
      </c>
      <c r="D136" t="s">
        <v>502</v>
      </c>
      <c r="E136" t="s">
        <v>520</v>
      </c>
      <c r="F136" s="188" t="n">
        <v>2028</v>
      </c>
      <c r="G136" s="189" t="n">
        <v>44</v>
      </c>
      <c r="H136" s="190" t="n">
        <v>4940.26873383115</v>
      </c>
      <c r="I136" s="191" t="n">
        <v>4323824.81831297</v>
      </c>
      <c r="J136" s="192" t="str">
        <f>IF(I136&gt;0,H136/I136,0)</f>
      </c>
      <c r="K136" s="193" t="str">
        <f>1-EXP(-J136)</f>
      </c>
      <c r="L136" s="194" t="str">
        <f>IF(G136=30,1,M135)</f>
      </c>
      <c r="M136" s="195" t="str">
        <f>L136*(1-K136)</f>
      </c>
    </row>
    <row r="137">
      <c r="A137" t="s">
        <v>167</v>
      </c>
      <c r="B137" t="s">
        <v>254</v>
      </c>
      <c r="C137" s="35" t="s">
        <v>418</v>
      </c>
      <c r="D137" t="s">
        <v>502</v>
      </c>
      <c r="E137" t="s">
        <v>520</v>
      </c>
      <c r="F137" s="188" t="n">
        <v>2028</v>
      </c>
      <c r="G137" s="189" t="n">
        <v>45</v>
      </c>
      <c r="H137" s="190" t="n">
        <v>6363.37067588919</v>
      </c>
      <c r="I137" s="191" t="n">
        <v>4301288.68165367</v>
      </c>
      <c r="J137" s="192" t="str">
        <f>IF(I137&gt;0,H137/I137,0)</f>
      </c>
      <c r="K137" s="193" t="str">
        <f>1-EXP(-J137)</f>
      </c>
      <c r="L137" s="194" t="str">
        <f>IF(G137=30,1,M136)</f>
      </c>
      <c r="M137" s="195" t="str">
        <f>L137*(1-K137)</f>
      </c>
    </row>
    <row r="138">
      <c r="A138" t="s">
        <v>167</v>
      </c>
      <c r="B138" t="s">
        <v>254</v>
      </c>
      <c r="C138" s="35" t="s">
        <v>418</v>
      </c>
      <c r="D138" t="s">
        <v>502</v>
      </c>
      <c r="E138" t="s">
        <v>520</v>
      </c>
      <c r="F138" s="188" t="n">
        <v>2028</v>
      </c>
      <c r="G138" s="189" t="n">
        <v>46</v>
      </c>
      <c r="H138" s="190" t="n">
        <v>6739.37086424151</v>
      </c>
      <c r="I138" s="191" t="n">
        <v>4164724.01914507</v>
      </c>
      <c r="J138" s="192" t="str">
        <f>IF(I138&gt;0,H138/I138,0)</f>
      </c>
      <c r="K138" s="193" t="str">
        <f>1-EXP(-J138)</f>
      </c>
      <c r="L138" s="194" t="str">
        <f>IF(G138=30,1,M137)</f>
      </c>
      <c r="M138" s="195" t="str">
        <f>L138*(1-K138)</f>
      </c>
    </row>
    <row r="139">
      <c r="A139" t="s">
        <v>167</v>
      </c>
      <c r="B139" t="s">
        <v>254</v>
      </c>
      <c r="C139" s="35" t="s">
        <v>418</v>
      </c>
      <c r="D139" t="s">
        <v>502</v>
      </c>
      <c r="E139" t="s">
        <v>520</v>
      </c>
      <c r="F139" s="188" t="n">
        <v>2028</v>
      </c>
      <c r="G139" s="189" t="n">
        <v>47</v>
      </c>
      <c r="H139" s="190" t="n">
        <v>7257.68706608831</v>
      </c>
      <c r="I139" s="191" t="n">
        <v>4091934.50864605</v>
      </c>
      <c r="J139" s="192" t="str">
        <f>IF(I139&gt;0,H139/I139,0)</f>
      </c>
      <c r="K139" s="193" t="str">
        <f>1-EXP(-J139)</f>
      </c>
      <c r="L139" s="194" t="str">
        <f>IF(G139=30,1,M138)</f>
      </c>
      <c r="M139" s="195" t="str">
        <f>L139*(1-K139)</f>
      </c>
    </row>
    <row r="140">
      <c r="A140" t="s">
        <v>167</v>
      </c>
      <c r="B140" t="s">
        <v>254</v>
      </c>
      <c r="C140" s="35" t="s">
        <v>418</v>
      </c>
      <c r="D140" t="s">
        <v>502</v>
      </c>
      <c r="E140" t="s">
        <v>520</v>
      </c>
      <c r="F140" s="188" t="n">
        <v>2028</v>
      </c>
      <c r="G140" s="189" t="n">
        <v>48</v>
      </c>
      <c r="H140" s="190" t="n">
        <v>7840.3751195963</v>
      </c>
      <c r="I140" s="191" t="n">
        <v>4035139.14456017</v>
      </c>
      <c r="J140" s="192" t="str">
        <f>IF(I140&gt;0,H140/I140,0)</f>
      </c>
      <c r="K140" s="193" t="str">
        <f>1-EXP(-J140)</f>
      </c>
      <c r="L140" s="194" t="str">
        <f>IF(G140=30,1,M139)</f>
      </c>
      <c r="M140" s="195" t="str">
        <f>L140*(1-K140)</f>
      </c>
    </row>
    <row r="141">
      <c r="A141" t="s">
        <v>167</v>
      </c>
      <c r="B141" t="s">
        <v>254</v>
      </c>
      <c r="C141" s="35" t="s">
        <v>418</v>
      </c>
      <c r="D141" t="s">
        <v>502</v>
      </c>
      <c r="E141" t="s">
        <v>520</v>
      </c>
      <c r="F141" s="188" t="n">
        <v>2028</v>
      </c>
      <c r="G141" s="189" t="n">
        <v>49</v>
      </c>
      <c r="H141" s="190" t="n">
        <v>8444.04036922961</v>
      </c>
      <c r="I141" s="191" t="n">
        <v>3972916.52548954</v>
      </c>
      <c r="J141" s="192" t="str">
        <f>IF(I141&gt;0,H141/I141,0)</f>
      </c>
      <c r="K141" s="193" t="str">
        <f>1-EXP(-J141)</f>
      </c>
      <c r="L141" s="194" t="str">
        <f>IF(G141=30,1,M140)</f>
      </c>
      <c r="M141" s="195" t="str">
        <f>L141*(1-K141)</f>
      </c>
    </row>
    <row r="142">
      <c r="A142" t="s">
        <v>167</v>
      </c>
      <c r="B142" t="s">
        <v>254</v>
      </c>
      <c r="C142" s="35" t="s">
        <v>418</v>
      </c>
      <c r="D142" t="s">
        <v>502</v>
      </c>
      <c r="E142" t="s">
        <v>520</v>
      </c>
      <c r="F142" s="188" t="n">
        <v>2028</v>
      </c>
      <c r="G142" s="189" t="n">
        <v>50</v>
      </c>
      <c r="H142" s="190" t="n">
        <v>9652.31370805608</v>
      </c>
      <c r="I142" s="191" t="n">
        <v>3891166.45356863</v>
      </c>
      <c r="J142" s="192" t="str">
        <f>IF(I142&gt;0,H142/I142,0)</f>
      </c>
      <c r="K142" s="193" t="str">
        <f>1-EXP(-J142)</f>
      </c>
      <c r="L142" s="194" t="str">
        <f>IF(G142=30,1,M141)</f>
      </c>
      <c r="M142" s="195" t="str">
        <f>L142*(1-K142)</f>
      </c>
    </row>
    <row r="143">
      <c r="A143" t="s">
        <v>167</v>
      </c>
      <c r="B143" t="s">
        <v>254</v>
      </c>
      <c r="C143" s="35" t="s">
        <v>418</v>
      </c>
      <c r="D143" t="s">
        <v>502</v>
      </c>
      <c r="E143" t="s">
        <v>520</v>
      </c>
      <c r="F143" s="188" t="n">
        <v>2028</v>
      </c>
      <c r="G143" s="189" t="n">
        <v>51</v>
      </c>
      <c r="H143" s="190" t="n">
        <v>10393.1026223068</v>
      </c>
      <c r="I143" s="191" t="n">
        <v>3825821.29920988</v>
      </c>
      <c r="J143" s="192" t="str">
        <f>IF(I143&gt;0,H143/I143,0)</f>
      </c>
      <c r="K143" s="193" t="str">
        <f>1-EXP(-J143)</f>
      </c>
      <c r="L143" s="194" t="str">
        <f>IF(G143=30,1,M142)</f>
      </c>
      <c r="M143" s="195" t="str">
        <f>L143*(1-K143)</f>
      </c>
    </row>
    <row r="144">
      <c r="A144" t="s">
        <v>167</v>
      </c>
      <c r="B144" t="s">
        <v>254</v>
      </c>
      <c r="C144" s="35" t="s">
        <v>418</v>
      </c>
      <c r="D144" t="s">
        <v>502</v>
      </c>
      <c r="E144" t="s">
        <v>520</v>
      </c>
      <c r="F144" s="188" t="n">
        <v>2028</v>
      </c>
      <c r="G144" s="189" t="n">
        <v>52</v>
      </c>
      <c r="H144" s="190" t="n">
        <v>11123.1730243295</v>
      </c>
      <c r="I144" s="191" t="n">
        <v>3749364.19828603</v>
      </c>
      <c r="J144" s="192" t="str">
        <f>IF(I144&gt;0,H144/I144,0)</f>
      </c>
      <c r="K144" s="193" t="str">
        <f>1-EXP(-J144)</f>
      </c>
      <c r="L144" s="194" t="str">
        <f>IF(G144=30,1,M143)</f>
      </c>
      <c r="M144" s="195" t="str">
        <f>L144*(1-K144)</f>
      </c>
    </row>
    <row r="145">
      <c r="A145" t="s">
        <v>167</v>
      </c>
      <c r="B145" t="s">
        <v>254</v>
      </c>
      <c r="C145" s="35" t="s">
        <v>418</v>
      </c>
      <c r="D145" t="s">
        <v>502</v>
      </c>
      <c r="E145" t="s">
        <v>520</v>
      </c>
      <c r="F145" s="188" t="n">
        <v>2028</v>
      </c>
      <c r="G145" s="189" t="n">
        <v>53</v>
      </c>
      <c r="H145" s="190" t="n">
        <v>11898.054274349</v>
      </c>
      <c r="I145" s="191" t="n">
        <v>3672237.01171631</v>
      </c>
      <c r="J145" s="192" t="str">
        <f>IF(I145&gt;0,H145/I145,0)</f>
      </c>
      <c r="K145" s="193" t="str">
        <f>1-EXP(-J145)</f>
      </c>
      <c r="L145" s="194" t="str">
        <f>IF(G145=30,1,M144)</f>
      </c>
      <c r="M145" s="195" t="str">
        <f>L145*(1-K145)</f>
      </c>
    </row>
    <row r="146">
      <c r="A146" t="s">
        <v>167</v>
      </c>
      <c r="B146" t="s">
        <v>254</v>
      </c>
      <c r="C146" s="35" t="s">
        <v>418</v>
      </c>
      <c r="D146" t="s">
        <v>502</v>
      </c>
      <c r="E146" t="s">
        <v>520</v>
      </c>
      <c r="F146" s="188" t="n">
        <v>2028</v>
      </c>
      <c r="G146" s="189" t="n">
        <v>54</v>
      </c>
      <c r="H146" s="190" t="n">
        <v>12620.9590126436</v>
      </c>
      <c r="I146" s="191" t="n">
        <v>3567485.30319982</v>
      </c>
      <c r="J146" s="192" t="str">
        <f>IF(I146&gt;0,H146/I146,0)</f>
      </c>
      <c r="K146" s="193" t="str">
        <f>1-EXP(-J146)</f>
      </c>
      <c r="L146" s="194" t="str">
        <f>IF(G146=30,1,M145)</f>
      </c>
      <c r="M146" s="195" t="str">
        <f>L146*(1-K146)</f>
      </c>
    </row>
    <row r="147">
      <c r="A147" t="s">
        <v>167</v>
      </c>
      <c r="B147" t="s">
        <v>254</v>
      </c>
      <c r="C147" s="35" t="s">
        <v>418</v>
      </c>
      <c r="D147" t="s">
        <v>502</v>
      </c>
      <c r="E147" t="s">
        <v>520</v>
      </c>
      <c r="F147" s="188" t="n">
        <v>2028</v>
      </c>
      <c r="G147" s="189" t="n">
        <v>55</v>
      </c>
      <c r="H147" s="190" t="n">
        <v>13804.3808216951</v>
      </c>
      <c r="I147" s="191" t="n">
        <v>3523302.83924143</v>
      </c>
      <c r="J147" s="192" t="str">
        <f>IF(I147&gt;0,H147/I147,0)</f>
      </c>
      <c r="K147" s="193" t="str">
        <f>1-EXP(-J147)</f>
      </c>
      <c r="L147" s="194" t="str">
        <f>IF(G147=30,1,M146)</f>
      </c>
      <c r="M147" s="195" t="str">
        <f>L147*(1-K147)</f>
      </c>
    </row>
    <row r="148">
      <c r="A148" t="s">
        <v>167</v>
      </c>
      <c r="B148" t="s">
        <v>254</v>
      </c>
      <c r="C148" s="35" t="s">
        <v>418</v>
      </c>
      <c r="D148" t="s">
        <v>502</v>
      </c>
      <c r="E148" t="s">
        <v>520</v>
      </c>
      <c r="F148" s="188" t="n">
        <v>2028</v>
      </c>
      <c r="G148" s="189" t="n">
        <v>56</v>
      </c>
      <c r="H148" s="190" t="n">
        <v>14179.8102232773</v>
      </c>
      <c r="I148" s="191" t="n">
        <v>3313925.51036475</v>
      </c>
      <c r="J148" s="192" t="str">
        <f>IF(I148&gt;0,H148/I148,0)</f>
      </c>
      <c r="K148" s="193" t="str">
        <f>1-EXP(-J148)</f>
      </c>
      <c r="L148" s="194" t="str">
        <f>IF(G148=30,1,M147)</f>
      </c>
      <c r="M148" s="195" t="str">
        <f>L148*(1-K148)</f>
      </c>
    </row>
    <row r="149">
      <c r="A149" t="s">
        <v>167</v>
      </c>
      <c r="B149" t="s">
        <v>254</v>
      </c>
      <c r="C149" s="35" t="s">
        <v>418</v>
      </c>
      <c r="D149" t="s">
        <v>502</v>
      </c>
      <c r="E149" t="s">
        <v>520</v>
      </c>
      <c r="F149" s="188" t="n">
        <v>2028</v>
      </c>
      <c r="G149" s="189" t="n">
        <v>57</v>
      </c>
      <c r="H149" s="190" t="n">
        <v>15094.9221767268</v>
      </c>
      <c r="I149" s="191" t="n">
        <v>3227194.94265946</v>
      </c>
      <c r="J149" s="192" t="str">
        <f>IF(I149&gt;0,H149/I149,0)</f>
      </c>
      <c r="K149" s="193" t="str">
        <f>1-EXP(-J149)</f>
      </c>
      <c r="L149" s="194" t="str">
        <f>IF(G149=30,1,M148)</f>
      </c>
      <c r="M149" s="195" t="str">
        <f>L149*(1-K149)</f>
      </c>
    </row>
    <row r="150">
      <c r="A150" t="s">
        <v>167</v>
      </c>
      <c r="B150" t="s">
        <v>254</v>
      </c>
      <c r="C150" s="35" t="s">
        <v>418</v>
      </c>
      <c r="D150" t="s">
        <v>502</v>
      </c>
      <c r="E150" t="s">
        <v>520</v>
      </c>
      <c r="F150" s="188" t="n">
        <v>2028</v>
      </c>
      <c r="G150" s="189" t="n">
        <v>58</v>
      </c>
      <c r="H150" s="190" t="n">
        <v>16084.5375982066</v>
      </c>
      <c r="I150" s="191" t="n">
        <v>3144919.8251776</v>
      </c>
      <c r="J150" s="192" t="str">
        <f>IF(I150&gt;0,H150/I150,0)</f>
      </c>
      <c r="K150" s="193" t="str">
        <f>1-EXP(-J150)</f>
      </c>
      <c r="L150" s="194" t="str">
        <f>IF(G150=30,1,M149)</f>
      </c>
      <c r="M150" s="195" t="str">
        <f>L150*(1-K150)</f>
      </c>
    </row>
    <row r="151">
      <c r="A151" t="s">
        <v>167</v>
      </c>
      <c r="B151" t="s">
        <v>254</v>
      </c>
      <c r="C151" s="35" t="s">
        <v>418</v>
      </c>
      <c r="D151" t="s">
        <v>502</v>
      </c>
      <c r="E151" t="s">
        <v>520</v>
      </c>
      <c r="F151" s="188" t="n">
        <v>2028</v>
      </c>
      <c r="G151" s="189" t="n">
        <v>59</v>
      </c>
      <c r="H151" s="190" t="n">
        <v>17071.1721264101</v>
      </c>
      <c r="I151" s="191" t="n">
        <v>3053371.73171977</v>
      </c>
      <c r="J151" s="192" t="str">
        <f>IF(I151&gt;0,H151/I151,0)</f>
      </c>
      <c r="K151" s="193" t="str">
        <f>1-EXP(-J151)</f>
      </c>
      <c r="L151" s="194" t="str">
        <f>IF(G151=30,1,M150)</f>
      </c>
      <c r="M151" s="195" t="str">
        <f>L151*(1-K151)</f>
      </c>
    </row>
    <row r="152">
      <c r="A152" t="s">
        <v>167</v>
      </c>
      <c r="B152" t="s">
        <v>254</v>
      </c>
      <c r="C152" s="35" t="s">
        <v>418</v>
      </c>
      <c r="D152" t="s">
        <v>502</v>
      </c>
      <c r="E152" t="s">
        <v>520</v>
      </c>
      <c r="F152" s="188" t="n">
        <v>2028</v>
      </c>
      <c r="G152" s="189" t="n">
        <v>60</v>
      </c>
      <c r="H152" s="190" t="n">
        <v>18390.8856949992</v>
      </c>
      <c r="I152" s="191" t="n">
        <v>2941963.82536493</v>
      </c>
      <c r="J152" s="192" t="str">
        <f>IF(I152&gt;0,H152/I152,0)</f>
      </c>
      <c r="K152" s="193" t="str">
        <f>1-EXP(-J152)</f>
      </c>
      <c r="L152" s="194" t="str">
        <f>IF(G152=30,1,M151)</f>
      </c>
      <c r="M152" s="195" t="str">
        <f>L152*(1-K152)</f>
      </c>
    </row>
    <row r="153">
      <c r="A153" t="s">
        <v>167</v>
      </c>
      <c r="B153" t="s">
        <v>254</v>
      </c>
      <c r="C153" s="35" t="s">
        <v>418</v>
      </c>
      <c r="D153" t="s">
        <v>502</v>
      </c>
      <c r="E153" t="s">
        <v>520</v>
      </c>
      <c r="F153" s="188" t="n">
        <v>2028</v>
      </c>
      <c r="G153" s="189" t="n">
        <v>61</v>
      </c>
      <c r="H153" s="190" t="n">
        <v>19258.8125244273</v>
      </c>
      <c r="I153" s="191" t="n">
        <v>2798664.64993563</v>
      </c>
      <c r="J153" s="192" t="str">
        <f>IF(I153&gt;0,H153/I153,0)</f>
      </c>
      <c r="K153" s="193" t="str">
        <f>1-EXP(-J153)</f>
      </c>
      <c r="L153" s="194" t="str">
        <f>IF(G153=30,1,M152)</f>
      </c>
      <c r="M153" s="195" t="str">
        <f>L153*(1-K153)</f>
      </c>
    </row>
    <row r="154">
      <c r="A154" t="s">
        <v>167</v>
      </c>
      <c r="B154" t="s">
        <v>254</v>
      </c>
      <c r="C154" s="35" t="s">
        <v>418</v>
      </c>
      <c r="D154" t="s">
        <v>502</v>
      </c>
      <c r="E154" t="s">
        <v>520</v>
      </c>
      <c r="F154" s="188" t="n">
        <v>2028</v>
      </c>
      <c r="G154" s="189" t="n">
        <v>62</v>
      </c>
      <c r="H154" s="190" t="n">
        <v>20269.1954127618</v>
      </c>
      <c r="I154" s="191" t="n">
        <v>2692459.51703142</v>
      </c>
      <c r="J154" s="192" t="str">
        <f>IF(I154&gt;0,H154/I154,0)</f>
      </c>
      <c r="K154" s="193" t="str">
        <f>1-EXP(-J154)</f>
      </c>
      <c r="L154" s="194" t="str">
        <f>IF(G154=30,1,M153)</f>
      </c>
      <c r="M154" s="195" t="str">
        <f>L154*(1-K154)</f>
      </c>
    </row>
    <row r="155">
      <c r="A155" t="s">
        <v>167</v>
      </c>
      <c r="B155" t="s">
        <v>254</v>
      </c>
      <c r="C155" s="35" t="s">
        <v>418</v>
      </c>
      <c r="D155" t="s">
        <v>502</v>
      </c>
      <c r="E155" t="s">
        <v>520</v>
      </c>
      <c r="F155" s="188" t="n">
        <v>2028</v>
      </c>
      <c r="G155" s="189" t="n">
        <v>63</v>
      </c>
      <c r="H155" s="190" t="n">
        <v>21132.8956291689</v>
      </c>
      <c r="I155" s="191" t="n">
        <v>2564611.13432008</v>
      </c>
      <c r="J155" s="192" t="str">
        <f>IF(I155&gt;0,H155/I155,0)</f>
      </c>
      <c r="K155" s="193" t="str">
        <f>1-EXP(-J155)</f>
      </c>
      <c r="L155" s="194" t="str">
        <f>IF(G155=30,1,M154)</f>
      </c>
      <c r="M155" s="195" t="str">
        <f>L155*(1-K155)</f>
      </c>
    </row>
    <row r="156">
      <c r="A156" t="s">
        <v>167</v>
      </c>
      <c r="B156" t="s">
        <v>254</v>
      </c>
      <c r="C156" s="35" t="s">
        <v>418</v>
      </c>
      <c r="D156" t="s">
        <v>502</v>
      </c>
      <c r="E156" t="s">
        <v>520</v>
      </c>
      <c r="F156" s="188" t="n">
        <v>2028</v>
      </c>
      <c r="G156" s="189" t="n">
        <v>64</v>
      </c>
      <c r="H156" s="190" t="n">
        <v>21989.7660583955</v>
      </c>
      <c r="I156" s="191" t="n">
        <v>2437017.97381028</v>
      </c>
      <c r="J156" s="192" t="str">
        <f>IF(I156&gt;0,H156/I156,0)</f>
      </c>
      <c r="K156" s="193" t="str">
        <f>1-EXP(-J156)</f>
      </c>
      <c r="L156" s="194" t="str">
        <f>IF(G156=30,1,M155)</f>
      </c>
      <c r="M156" s="195" t="str">
        <f>L156*(1-K156)</f>
      </c>
    </row>
    <row r="157">
      <c r="A157" t="s">
        <v>167</v>
      </c>
      <c r="B157" t="s">
        <v>254</v>
      </c>
      <c r="C157" s="35" t="s">
        <v>418</v>
      </c>
      <c r="D157" t="s">
        <v>502</v>
      </c>
      <c r="E157" t="s">
        <v>520</v>
      </c>
      <c r="F157" s="188" t="n">
        <v>2028</v>
      </c>
      <c r="G157" s="189" t="n">
        <v>65</v>
      </c>
      <c r="H157" s="190" t="n">
        <v>22269.9971142822</v>
      </c>
      <c r="I157" s="191" t="n">
        <v>2314325.82960188</v>
      </c>
      <c r="J157" s="192" t="str">
        <f>IF(I157&gt;0,H157/I157,0)</f>
      </c>
      <c r="K157" s="193" t="str">
        <f>1-EXP(-J157)</f>
      </c>
      <c r="L157" s="194" t="str">
        <f>IF(G157=30,1,M156)</f>
      </c>
      <c r="M157" s="195" t="str">
        <f>L157*(1-K157)</f>
      </c>
    </row>
    <row r="158">
      <c r="A158" t="s">
        <v>167</v>
      </c>
      <c r="B158" t="s">
        <v>254</v>
      </c>
      <c r="C158" s="35" t="s">
        <v>418</v>
      </c>
      <c r="D158" t="s">
        <v>502</v>
      </c>
      <c r="E158" t="s">
        <v>520</v>
      </c>
      <c r="F158" s="188" t="n">
        <v>2028</v>
      </c>
      <c r="G158" s="189" t="n">
        <v>66</v>
      </c>
      <c r="H158" s="190" t="n">
        <v>22927.516536696</v>
      </c>
      <c r="I158" s="191" t="n">
        <v>2166486.93275802</v>
      </c>
      <c r="J158" s="192" t="str">
        <f>IF(I158&gt;0,H158/I158,0)</f>
      </c>
      <c r="K158" s="193" t="str">
        <f>1-EXP(-J158)</f>
      </c>
      <c r="L158" s="194" t="str">
        <f>IF(G158=30,1,M157)</f>
      </c>
      <c r="M158" s="195" t="str">
        <f>L158*(1-K158)</f>
      </c>
    </row>
    <row r="159">
      <c r="A159" t="s">
        <v>167</v>
      </c>
      <c r="B159" t="s">
        <v>254</v>
      </c>
      <c r="C159" s="35" t="s">
        <v>418</v>
      </c>
      <c r="D159" t="s">
        <v>502</v>
      </c>
      <c r="E159" t="s">
        <v>520</v>
      </c>
      <c r="F159" s="188" t="n">
        <v>2028</v>
      </c>
      <c r="G159" s="189" t="n">
        <v>67</v>
      </c>
      <c r="H159" s="190" t="n">
        <v>23717.961817835</v>
      </c>
      <c r="I159" s="191" t="n">
        <v>2043399.8967573</v>
      </c>
      <c r="J159" s="192" t="str">
        <f>IF(I159&gt;0,H159/I159,0)</f>
      </c>
      <c r="K159" s="193" t="str">
        <f>1-EXP(-J159)</f>
      </c>
      <c r="L159" s="194" t="str">
        <f>IF(G159=30,1,M158)</f>
      </c>
      <c r="M159" s="195" t="str">
        <f>L159*(1-K159)</f>
      </c>
    </row>
    <row r="160">
      <c r="A160" t="s">
        <v>167</v>
      </c>
      <c r="B160" t="s">
        <v>254</v>
      </c>
      <c r="C160" s="35" t="s">
        <v>418</v>
      </c>
      <c r="D160" t="s">
        <v>502</v>
      </c>
      <c r="E160" t="s">
        <v>520</v>
      </c>
      <c r="F160" s="188" t="n">
        <v>2028</v>
      </c>
      <c r="G160" s="189" t="n">
        <v>68</v>
      </c>
      <c r="H160" s="190" t="n">
        <v>24413.0785539581</v>
      </c>
      <c r="I160" s="191" t="n">
        <v>1916678.59840222</v>
      </c>
      <c r="J160" s="192" t="str">
        <f>IF(I160&gt;0,H160/I160,0)</f>
      </c>
      <c r="K160" s="193" t="str">
        <f>1-EXP(-J160)</f>
      </c>
      <c r="L160" s="194" t="str">
        <f>IF(G160=30,1,M159)</f>
      </c>
      <c r="M160" s="195" t="str">
        <f>L160*(1-K160)</f>
      </c>
    </row>
    <row r="161">
      <c r="A161" t="s">
        <v>167</v>
      </c>
      <c r="B161" t="s">
        <v>254</v>
      </c>
      <c r="C161" s="35" t="s">
        <v>418</v>
      </c>
      <c r="D161" t="s">
        <v>502</v>
      </c>
      <c r="E161" t="s">
        <v>520</v>
      </c>
      <c r="F161" s="188" t="n">
        <v>2028</v>
      </c>
      <c r="G161" s="189" t="n">
        <v>69</v>
      </c>
      <c r="H161" s="190" t="n">
        <v>24953.390591209</v>
      </c>
      <c r="I161" s="191" t="n">
        <v>1784407.84211406</v>
      </c>
      <c r="J161" s="192" t="str">
        <f>IF(I161&gt;0,H161/I161,0)</f>
      </c>
      <c r="K161" s="193" t="str">
        <f>1-EXP(-J161)</f>
      </c>
      <c r="L161" s="194" t="str">
        <f>IF(G161=30,1,M160)</f>
      </c>
      <c r="M161" s="195" t="str">
        <f>L161*(1-K161)</f>
      </c>
    </row>
    <row r="162">
      <c r="A162" t="s">
        <v>167</v>
      </c>
      <c r="B162" t="s">
        <v>254</v>
      </c>
      <c r="C162" s="35" t="s">
        <v>418</v>
      </c>
      <c r="D162" t="s">
        <v>502</v>
      </c>
      <c r="E162" t="s">
        <v>520</v>
      </c>
      <c r="F162" s="188" t="n">
        <v>2029</v>
      </c>
      <c r="G162" s="189" t="n">
        <v>30</v>
      </c>
      <c r="H162" s="190" t="n">
        <v>933.381596476744</v>
      </c>
      <c r="I162" s="191" t="n">
        <v>4353646.59498749</v>
      </c>
      <c r="J162" s="192" t="str">
        <f>IF(I162&gt;0,H162/I162,0)</f>
      </c>
      <c r="K162" s="193" t="str">
        <f>1-EXP(-J162)</f>
      </c>
      <c r="L162" s="194" t="str">
        <f>IF(G162=30,1,M161)</f>
      </c>
      <c r="M162" s="195" t="str">
        <f>L162*(1-K162)</f>
      </c>
    </row>
    <row r="163">
      <c r="A163" t="s">
        <v>167</v>
      </c>
      <c r="B163" t="s">
        <v>254</v>
      </c>
      <c r="C163" s="35" t="s">
        <v>418</v>
      </c>
      <c r="D163" t="s">
        <v>502</v>
      </c>
      <c r="E163" t="s">
        <v>520</v>
      </c>
      <c r="F163" s="188" t="n">
        <v>2029</v>
      </c>
      <c r="G163" s="189" t="n">
        <v>31</v>
      </c>
      <c r="H163" s="190" t="n">
        <v>1075.89352215395</v>
      </c>
      <c r="I163" s="191" t="n">
        <v>4413871.9918104</v>
      </c>
      <c r="J163" s="192" t="str">
        <f>IF(I163&gt;0,H163/I163,0)</f>
      </c>
      <c r="K163" s="193" t="str">
        <f>1-EXP(-J163)</f>
      </c>
      <c r="L163" s="194" t="str">
        <f>IF(G163=30,1,M162)</f>
      </c>
      <c r="M163" s="195" t="str">
        <f>L163*(1-K163)</f>
      </c>
    </row>
    <row r="164">
      <c r="A164" t="s">
        <v>167</v>
      </c>
      <c r="B164" t="s">
        <v>254</v>
      </c>
      <c r="C164" s="35" t="s">
        <v>418</v>
      </c>
      <c r="D164" t="s">
        <v>502</v>
      </c>
      <c r="E164" t="s">
        <v>520</v>
      </c>
      <c r="F164" s="188" t="n">
        <v>2029</v>
      </c>
      <c r="G164" s="189" t="n">
        <v>32</v>
      </c>
      <c r="H164" s="190" t="n">
        <v>1356.64292588723</v>
      </c>
      <c r="I164" s="191" t="n">
        <v>4555524.79668543</v>
      </c>
      <c r="J164" s="192" t="str">
        <f>IF(I164&gt;0,H164/I164,0)</f>
      </c>
      <c r="K164" s="193" t="str">
        <f>1-EXP(-J164)</f>
      </c>
      <c r="L164" s="194" t="str">
        <f>IF(G164=30,1,M163)</f>
      </c>
      <c r="M164" s="195" t="str">
        <f>L164*(1-K164)</f>
      </c>
    </row>
    <row r="165">
      <c r="A165" t="s">
        <v>167</v>
      </c>
      <c r="B165" t="s">
        <v>254</v>
      </c>
      <c r="C165" s="35" t="s">
        <v>418</v>
      </c>
      <c r="D165" t="s">
        <v>502</v>
      </c>
      <c r="E165" t="s">
        <v>520</v>
      </c>
      <c r="F165" s="188" t="n">
        <v>2029</v>
      </c>
      <c r="G165" s="189" t="n">
        <v>33</v>
      </c>
      <c r="H165" s="190" t="n">
        <v>1416.54314314969</v>
      </c>
      <c r="I165" s="191" t="n">
        <v>4512970.71827259</v>
      </c>
      <c r="J165" s="192" t="str">
        <f>IF(I165&gt;0,H165/I165,0)</f>
      </c>
      <c r="K165" s="193" t="str">
        <f>1-EXP(-J165)</f>
      </c>
      <c r="L165" s="194" t="str">
        <f>IF(G165=30,1,M164)</f>
      </c>
      <c r="M165" s="195" t="str">
        <f>L165*(1-K165)</f>
      </c>
    </row>
    <row r="166">
      <c r="A166" t="s">
        <v>167</v>
      </c>
      <c r="B166" t="s">
        <v>254</v>
      </c>
      <c r="C166" s="35" t="s">
        <v>418</v>
      </c>
      <c r="D166" t="s">
        <v>502</v>
      </c>
      <c r="E166" t="s">
        <v>520</v>
      </c>
      <c r="F166" s="188" t="n">
        <v>2029</v>
      </c>
      <c r="G166" s="189" t="n">
        <v>34</v>
      </c>
      <c r="H166" s="190" t="n">
        <v>1477.92375983669</v>
      </c>
      <c r="I166" s="191" t="n">
        <v>4440220.17744291</v>
      </c>
      <c r="J166" s="192" t="str">
        <f>IF(I166&gt;0,H166/I166,0)</f>
      </c>
      <c r="K166" s="193" t="str">
        <f>1-EXP(-J166)</f>
      </c>
      <c r="L166" s="194" t="str">
        <f>IF(G166=30,1,M165)</f>
      </c>
      <c r="M166" s="195" t="str">
        <f>L166*(1-K166)</f>
      </c>
    </row>
    <row r="167">
      <c r="A167" t="s">
        <v>167</v>
      </c>
      <c r="B167" t="s">
        <v>254</v>
      </c>
      <c r="C167" s="35" t="s">
        <v>418</v>
      </c>
      <c r="D167" t="s">
        <v>502</v>
      </c>
      <c r="E167" t="s">
        <v>520</v>
      </c>
      <c r="F167" s="188" t="n">
        <v>2029</v>
      </c>
      <c r="G167" s="189" t="n">
        <v>35</v>
      </c>
      <c r="H167" s="190" t="n">
        <v>1990.17727029426</v>
      </c>
      <c r="I167" s="191" t="n">
        <v>4383320.14776442</v>
      </c>
      <c r="J167" s="192" t="str">
        <f>IF(I167&gt;0,H167/I167,0)</f>
      </c>
      <c r="K167" s="193" t="str">
        <f>1-EXP(-J167)</f>
      </c>
      <c r="L167" s="194" t="str">
        <f>IF(G167=30,1,M166)</f>
      </c>
      <c r="M167" s="195" t="str">
        <f>L167*(1-K167)</f>
      </c>
    </row>
    <row r="168">
      <c r="A168" t="s">
        <v>167</v>
      </c>
      <c r="B168" t="s">
        <v>254</v>
      </c>
      <c r="C168" s="35" t="s">
        <v>418</v>
      </c>
      <c r="D168" t="s">
        <v>502</v>
      </c>
      <c r="E168" t="s">
        <v>520</v>
      </c>
      <c r="F168" s="188" t="n">
        <v>2029</v>
      </c>
      <c r="G168" s="189" t="n">
        <v>36</v>
      </c>
      <c r="H168" s="190" t="n">
        <v>2095.02729409576</v>
      </c>
      <c r="I168" s="191" t="n">
        <v>4329579.23132955</v>
      </c>
      <c r="J168" s="192" t="str">
        <f>IF(I168&gt;0,H168/I168,0)</f>
      </c>
      <c r="K168" s="193" t="str">
        <f>1-EXP(-J168)</f>
      </c>
      <c r="L168" s="194" t="str">
        <f>IF(G168=30,1,M167)</f>
      </c>
      <c r="M168" s="195" t="str">
        <f>L168*(1-K168)</f>
      </c>
    </row>
    <row r="169">
      <c r="A169" t="s">
        <v>167</v>
      </c>
      <c r="B169" t="s">
        <v>254</v>
      </c>
      <c r="C169" s="35" t="s">
        <v>418</v>
      </c>
      <c r="D169" t="s">
        <v>502</v>
      </c>
      <c r="E169" t="s">
        <v>520</v>
      </c>
      <c r="F169" s="188" t="n">
        <v>2029</v>
      </c>
      <c r="G169" s="189" t="n">
        <v>37</v>
      </c>
      <c r="H169" s="190" t="n">
        <v>2266.93979340088</v>
      </c>
      <c r="I169" s="191" t="n">
        <v>4367915.80737455</v>
      </c>
      <c r="J169" s="192" t="str">
        <f>IF(I169&gt;0,H169/I169,0)</f>
      </c>
      <c r="K169" s="193" t="str">
        <f>1-EXP(-J169)</f>
      </c>
      <c r="L169" s="194" t="str">
        <f>IF(G169=30,1,M168)</f>
      </c>
      <c r="M169" s="195" t="str">
        <f>L169*(1-K169)</f>
      </c>
    </row>
    <row r="170">
      <c r="A170" t="s">
        <v>167</v>
      </c>
      <c r="B170" t="s">
        <v>254</v>
      </c>
      <c r="C170" s="35" t="s">
        <v>418</v>
      </c>
      <c r="D170" t="s">
        <v>502</v>
      </c>
      <c r="E170" t="s">
        <v>520</v>
      </c>
      <c r="F170" s="188" t="n">
        <v>2029</v>
      </c>
      <c r="G170" s="189" t="n">
        <v>38</v>
      </c>
      <c r="H170" s="190" t="n">
        <v>2447.82729580195</v>
      </c>
      <c r="I170" s="191" t="n">
        <v>4386554.3525132</v>
      </c>
      <c r="J170" s="192" t="str">
        <f>IF(I170&gt;0,H170/I170,0)</f>
      </c>
      <c r="K170" s="193" t="str">
        <f>1-EXP(-J170)</f>
      </c>
      <c r="L170" s="194" t="str">
        <f>IF(G170=30,1,M169)</f>
      </c>
      <c r="M170" s="195" t="str">
        <f>L170*(1-K170)</f>
      </c>
    </row>
    <row r="171">
      <c r="A171" t="s">
        <v>167</v>
      </c>
      <c r="B171" t="s">
        <v>254</v>
      </c>
      <c r="C171" s="35" t="s">
        <v>418</v>
      </c>
      <c r="D171" t="s">
        <v>502</v>
      </c>
      <c r="E171" t="s">
        <v>520</v>
      </c>
      <c r="F171" s="188" t="n">
        <v>2029</v>
      </c>
      <c r="G171" s="189" t="n">
        <v>39</v>
      </c>
      <c r="H171" s="190" t="n">
        <v>3716.1488102176</v>
      </c>
      <c r="I171" s="191" t="n">
        <v>6459704.18578027</v>
      </c>
      <c r="J171" s="192" t="str">
        <f>IF(I171&gt;0,H171/I171,0)</f>
      </c>
      <c r="K171" s="193" t="str">
        <f>1-EXP(-J171)</f>
      </c>
      <c r="L171" s="194" t="str">
        <f>IF(G171=30,1,M170)</f>
      </c>
      <c r="M171" s="195" t="str">
        <f>L171*(1-K171)</f>
      </c>
    </row>
    <row r="172">
      <c r="A172" t="s">
        <v>167</v>
      </c>
      <c r="B172" t="s">
        <v>254</v>
      </c>
      <c r="C172" s="35" t="s">
        <v>418</v>
      </c>
      <c r="D172" t="s">
        <v>502</v>
      </c>
      <c r="E172" t="s">
        <v>520</v>
      </c>
      <c r="F172" s="188" t="n">
        <v>2029</v>
      </c>
      <c r="G172" s="189" t="n">
        <v>40</v>
      </c>
      <c r="H172" s="190" t="n">
        <v>3515.37865572096</v>
      </c>
      <c r="I172" s="191" t="n">
        <v>4346358.19950301</v>
      </c>
      <c r="J172" s="192" t="str">
        <f>IF(I172&gt;0,H172/I172,0)</f>
      </c>
      <c r="K172" s="193" t="str">
        <f>1-EXP(-J172)</f>
      </c>
      <c r="L172" s="194" t="str">
        <f>IF(G172=30,1,M171)</f>
      </c>
      <c r="M172" s="195" t="str">
        <f>L172*(1-K172)</f>
      </c>
    </row>
    <row r="173">
      <c r="A173" t="s">
        <v>167</v>
      </c>
      <c r="B173" t="s">
        <v>254</v>
      </c>
      <c r="C173" s="35" t="s">
        <v>418</v>
      </c>
      <c r="D173" t="s">
        <v>502</v>
      </c>
      <c r="E173" t="s">
        <v>520</v>
      </c>
      <c r="F173" s="188" t="n">
        <v>2029</v>
      </c>
      <c r="G173" s="189" t="n">
        <v>41</v>
      </c>
      <c r="H173" s="190" t="n">
        <v>3789.21725643508</v>
      </c>
      <c r="I173" s="191" t="n">
        <v>4329550.26314611</v>
      </c>
      <c r="J173" s="192" t="str">
        <f>IF(I173&gt;0,H173/I173,0)</f>
      </c>
      <c r="K173" s="193" t="str">
        <f>1-EXP(-J173)</f>
      </c>
      <c r="L173" s="194" t="str">
        <f>IF(G173=30,1,M172)</f>
      </c>
      <c r="M173" s="195" t="str">
        <f>L173*(1-K173)</f>
      </c>
    </row>
    <row r="174">
      <c r="A174" t="s">
        <v>167</v>
      </c>
      <c r="B174" t="s">
        <v>254</v>
      </c>
      <c r="C174" s="35" t="s">
        <v>418</v>
      </c>
      <c r="D174" t="s">
        <v>502</v>
      </c>
      <c r="E174" t="s">
        <v>520</v>
      </c>
      <c r="F174" s="188" t="n">
        <v>2029</v>
      </c>
      <c r="G174" s="189" t="n">
        <v>42</v>
      </c>
      <c r="H174" s="190" t="n">
        <v>3987.16551696235</v>
      </c>
      <c r="I174" s="191" t="n">
        <v>4197703.65411799</v>
      </c>
      <c r="J174" s="192" t="str">
        <f>IF(I174&gt;0,H174/I174,0)</f>
      </c>
      <c r="K174" s="193" t="str">
        <f>1-EXP(-J174)</f>
      </c>
      <c r="L174" s="194" t="str">
        <f>IF(G174=30,1,M173)</f>
      </c>
      <c r="M174" s="195" t="str">
        <f>L174*(1-K174)</f>
      </c>
    </row>
    <row r="175">
      <c r="A175" t="s">
        <v>167</v>
      </c>
      <c r="B175" t="s">
        <v>254</v>
      </c>
      <c r="C175" s="35" t="s">
        <v>418</v>
      </c>
      <c r="D175" t="s">
        <v>502</v>
      </c>
      <c r="E175" t="s">
        <v>520</v>
      </c>
      <c r="F175" s="188" t="n">
        <v>2029</v>
      </c>
      <c r="G175" s="189" t="n">
        <v>43</v>
      </c>
      <c r="H175" s="190" t="n">
        <v>4305.71560401603</v>
      </c>
      <c r="I175" s="191" t="n">
        <v>4163830.27205642</v>
      </c>
      <c r="J175" s="192" t="str">
        <f>IF(I175&gt;0,H175/I175,0)</f>
      </c>
      <c r="K175" s="193" t="str">
        <f>1-EXP(-J175)</f>
      </c>
      <c r="L175" s="194" t="str">
        <f>IF(G175=30,1,M174)</f>
      </c>
      <c r="M175" s="195" t="str">
        <f>L175*(1-K175)</f>
      </c>
    </row>
    <row r="176">
      <c r="A176" t="s">
        <v>167</v>
      </c>
      <c r="B176" t="s">
        <v>254</v>
      </c>
      <c r="C176" s="35" t="s">
        <v>418</v>
      </c>
      <c r="D176" t="s">
        <v>502</v>
      </c>
      <c r="E176" t="s">
        <v>520</v>
      </c>
      <c r="F176" s="188" t="n">
        <v>2029</v>
      </c>
      <c r="G176" s="189" t="n">
        <v>44</v>
      </c>
      <c r="H176" s="190" t="n">
        <v>4770.43666639975</v>
      </c>
      <c r="I176" s="191" t="n">
        <v>4223885.71924312</v>
      </c>
      <c r="J176" s="192" t="str">
        <f>IF(I176&gt;0,H176/I176,0)</f>
      </c>
      <c r="K176" s="193" t="str">
        <f>1-EXP(-J176)</f>
      </c>
      <c r="L176" s="194" t="str">
        <f>IF(G176=30,1,M175)</f>
      </c>
      <c r="M176" s="195" t="str">
        <f>L176*(1-K176)</f>
      </c>
    </row>
    <row r="177">
      <c r="A177" t="s">
        <v>167</v>
      </c>
      <c r="B177" t="s">
        <v>254</v>
      </c>
      <c r="C177" s="35" t="s">
        <v>418</v>
      </c>
      <c r="D177" t="s">
        <v>502</v>
      </c>
      <c r="E177" t="s">
        <v>520</v>
      </c>
      <c r="F177" s="188" t="n">
        <v>2029</v>
      </c>
      <c r="G177" s="189" t="n">
        <v>45</v>
      </c>
      <c r="H177" s="190" t="n">
        <v>6299.56698038976</v>
      </c>
      <c r="I177" s="191" t="n">
        <v>4309227.23429854</v>
      </c>
      <c r="J177" s="192" t="str">
        <f>IF(I177&gt;0,H177/I177,0)</f>
      </c>
      <c r="K177" s="193" t="str">
        <f>1-EXP(-J177)</f>
      </c>
      <c r="L177" s="194" t="str">
        <f>IF(G177=30,1,M176)</f>
      </c>
      <c r="M177" s="195" t="str">
        <f>L177*(1-K177)</f>
      </c>
    </row>
    <row r="178">
      <c r="A178" t="s">
        <v>167</v>
      </c>
      <c r="B178" t="s">
        <v>254</v>
      </c>
      <c r="C178" s="35" t="s">
        <v>418</v>
      </c>
      <c r="D178" t="s">
        <v>502</v>
      </c>
      <c r="E178" t="s">
        <v>520</v>
      </c>
      <c r="F178" s="188" t="n">
        <v>2029</v>
      </c>
      <c r="G178" s="189" t="n">
        <v>46</v>
      </c>
      <c r="H178" s="190" t="n">
        <v>6842.06473856294</v>
      </c>
      <c r="I178" s="191" t="n">
        <v>4284376.33996429</v>
      </c>
      <c r="J178" s="192" t="str">
        <f>IF(I178&gt;0,H178/I178,0)</f>
      </c>
      <c r="K178" s="193" t="str">
        <f>1-EXP(-J178)</f>
      </c>
      <c r="L178" s="194" t="str">
        <f>IF(G178=30,1,M177)</f>
      </c>
      <c r="M178" s="195" t="str">
        <f>L178*(1-K178)</f>
      </c>
    </row>
    <row r="179">
      <c r="A179" t="s">
        <v>167</v>
      </c>
      <c r="B179" t="s">
        <v>254</v>
      </c>
      <c r="C179" s="35" t="s">
        <v>418</v>
      </c>
      <c r="D179" t="s">
        <v>502</v>
      </c>
      <c r="E179" t="s">
        <v>520</v>
      </c>
      <c r="F179" s="188" t="n">
        <v>2029</v>
      </c>
      <c r="G179" s="189" t="n">
        <v>47</v>
      </c>
      <c r="H179" s="190" t="n">
        <v>7268.52967088925</v>
      </c>
      <c r="I179" s="191" t="n">
        <v>4147857.28708301</v>
      </c>
      <c r="J179" s="192" t="str">
        <f>IF(I179&gt;0,H179/I179,0)</f>
      </c>
      <c r="K179" s="193" t="str">
        <f>1-EXP(-J179)</f>
      </c>
      <c r="L179" s="194" t="str">
        <f>IF(G179=30,1,M178)</f>
      </c>
      <c r="M179" s="195" t="str">
        <f>L179*(1-K179)</f>
      </c>
    </row>
    <row r="180">
      <c r="A180" t="s">
        <v>167</v>
      </c>
      <c r="B180" t="s">
        <v>254</v>
      </c>
      <c r="C180" s="35" t="s">
        <v>418</v>
      </c>
      <c r="D180" t="s">
        <v>502</v>
      </c>
      <c r="E180" t="s">
        <v>520</v>
      </c>
      <c r="F180" s="188" t="n">
        <v>2029</v>
      </c>
      <c r="G180" s="189" t="n">
        <v>48</v>
      </c>
      <c r="H180" s="190" t="n">
        <v>7824.6545275212</v>
      </c>
      <c r="I180" s="191" t="n">
        <v>4073786.22947262</v>
      </c>
      <c r="J180" s="192" t="str">
        <f>IF(I180&gt;0,H180/I180,0)</f>
      </c>
      <c r="K180" s="193" t="str">
        <f>1-EXP(-J180)</f>
      </c>
      <c r="L180" s="194" t="str">
        <f>IF(G180=30,1,M179)</f>
      </c>
      <c r="M180" s="195" t="str">
        <f>L180*(1-K180)</f>
      </c>
    </row>
    <row r="181">
      <c r="A181" t="s">
        <v>167</v>
      </c>
      <c r="B181" t="s">
        <v>254</v>
      </c>
      <c r="C181" s="35" t="s">
        <v>418</v>
      </c>
      <c r="D181" t="s">
        <v>502</v>
      </c>
      <c r="E181" t="s">
        <v>520</v>
      </c>
      <c r="F181" s="188" t="n">
        <v>2029</v>
      </c>
      <c r="G181" s="189" t="n">
        <v>49</v>
      </c>
      <c r="H181" s="190" t="n">
        <v>8446.78224270808</v>
      </c>
      <c r="I181" s="191" t="n">
        <v>4015542.7777573</v>
      </c>
      <c r="J181" s="192" t="str">
        <f>IF(I181&gt;0,H181/I181,0)</f>
      </c>
      <c r="K181" s="193" t="str">
        <f>1-EXP(-J181)</f>
      </c>
      <c r="L181" s="194" t="str">
        <f>IF(G181=30,1,M180)</f>
      </c>
      <c r="M181" s="195" t="str">
        <f>L181*(1-K181)</f>
      </c>
    </row>
    <row r="182">
      <c r="A182" t="s">
        <v>167</v>
      </c>
      <c r="B182" t="s">
        <v>254</v>
      </c>
      <c r="C182" s="35" t="s">
        <v>418</v>
      </c>
      <c r="D182" t="s">
        <v>502</v>
      </c>
      <c r="E182" t="s">
        <v>520</v>
      </c>
      <c r="F182" s="188" t="n">
        <v>2029</v>
      </c>
      <c r="G182" s="189" t="n">
        <v>50</v>
      </c>
      <c r="H182" s="190" t="n">
        <v>9691.90201195502</v>
      </c>
      <c r="I182" s="191" t="n">
        <v>3951809.14650658</v>
      </c>
      <c r="J182" s="192" t="str">
        <f>IF(I182&gt;0,H182/I182,0)</f>
      </c>
      <c r="K182" s="193" t="str">
        <f>1-EXP(-J182)</f>
      </c>
      <c r="L182" s="194" t="str">
        <f>IF(G182=30,1,M181)</f>
      </c>
      <c r="M182" s="195" t="str">
        <f>L182*(1-K182)</f>
      </c>
    </row>
    <row r="183">
      <c r="A183" t="s">
        <v>167</v>
      </c>
      <c r="B183" t="s">
        <v>254</v>
      </c>
      <c r="C183" s="35" t="s">
        <v>418</v>
      </c>
      <c r="D183" t="s">
        <v>502</v>
      </c>
      <c r="E183" t="s">
        <v>520</v>
      </c>
      <c r="F183" s="188" t="n">
        <v>2029</v>
      </c>
      <c r="G183" s="189" t="n">
        <v>51</v>
      </c>
      <c r="H183" s="190" t="n">
        <v>10390.8287483916</v>
      </c>
      <c r="I183" s="191" t="n">
        <v>3867698.76117197</v>
      </c>
      <c r="J183" s="192" t="str">
        <f>IF(I183&gt;0,H183/I183,0)</f>
      </c>
      <c r="K183" s="193" t="str">
        <f>1-EXP(-J183)</f>
      </c>
      <c r="L183" s="194" t="str">
        <f>IF(G183=30,1,M182)</f>
      </c>
      <c r="M183" s="195" t="str">
        <f>L183*(1-K183)</f>
      </c>
    </row>
    <row r="184">
      <c r="A184" t="s">
        <v>167</v>
      </c>
      <c r="B184" t="s">
        <v>254</v>
      </c>
      <c r="C184" s="35" t="s">
        <v>418</v>
      </c>
      <c r="D184" t="s">
        <v>502</v>
      </c>
      <c r="E184" t="s">
        <v>520</v>
      </c>
      <c r="F184" s="188" t="n">
        <v>2029</v>
      </c>
      <c r="G184" s="189" t="n">
        <v>52</v>
      </c>
      <c r="H184" s="190" t="n">
        <v>11170.9673900113</v>
      </c>
      <c r="I184" s="191" t="n">
        <v>3801454.72396962</v>
      </c>
      <c r="J184" s="192" t="str">
        <f>IF(I184&gt;0,H184/I184,0)</f>
      </c>
      <c r="K184" s="193" t="str">
        <f>1-EXP(-J184)</f>
      </c>
      <c r="L184" s="194" t="str">
        <f>IF(G184=30,1,M183)</f>
      </c>
      <c r="M184" s="195" t="str">
        <f>L184*(1-K184)</f>
      </c>
    </row>
    <row r="185">
      <c r="A185" t="s">
        <v>167</v>
      </c>
      <c r="B185" t="s">
        <v>254</v>
      </c>
      <c r="C185" s="35" t="s">
        <v>418</v>
      </c>
      <c r="D185" t="s">
        <v>502</v>
      </c>
      <c r="E185" t="s">
        <v>520</v>
      </c>
      <c r="F185" s="188" t="n">
        <v>2029</v>
      </c>
      <c r="G185" s="189" t="n">
        <v>53</v>
      </c>
      <c r="H185" s="190" t="n">
        <v>11953.7138429793</v>
      </c>
      <c r="I185" s="191" t="n">
        <v>3723299.99664801</v>
      </c>
      <c r="J185" s="192" t="str">
        <f>IF(I185&gt;0,H185/I185,0)</f>
      </c>
      <c r="K185" s="193" t="str">
        <f>1-EXP(-J185)</f>
      </c>
      <c r="L185" s="194" t="str">
        <f>IF(G185=30,1,M184)</f>
      </c>
      <c r="M185" s="195" t="str">
        <f>L185*(1-K185)</f>
      </c>
    </row>
    <row r="186">
      <c r="A186" t="s">
        <v>167</v>
      </c>
      <c r="B186" t="s">
        <v>254</v>
      </c>
      <c r="C186" s="35" t="s">
        <v>418</v>
      </c>
      <c r="D186" t="s">
        <v>502</v>
      </c>
      <c r="E186" t="s">
        <v>520</v>
      </c>
      <c r="F186" s="188" t="n">
        <v>2029</v>
      </c>
      <c r="G186" s="189" t="n">
        <v>54</v>
      </c>
      <c r="H186" s="190" t="n">
        <v>12784.6626283321</v>
      </c>
      <c r="I186" s="191" t="n">
        <v>3644376.08946697</v>
      </c>
      <c r="J186" s="192" t="str">
        <f>IF(I186&gt;0,H186/I186,0)</f>
      </c>
      <c r="K186" s="193" t="str">
        <f>1-EXP(-J186)</f>
      </c>
      <c r="L186" s="194" t="str">
        <f>IF(G186=30,1,M185)</f>
      </c>
      <c r="M186" s="195" t="str">
        <f>L186*(1-K186)</f>
      </c>
    </row>
    <row r="187">
      <c r="A187" t="s">
        <v>167</v>
      </c>
      <c r="B187" t="s">
        <v>254</v>
      </c>
      <c r="C187" s="35" t="s">
        <v>418</v>
      </c>
      <c r="D187" t="s">
        <v>502</v>
      </c>
      <c r="E187" t="s">
        <v>520</v>
      </c>
      <c r="F187" s="188" t="n">
        <v>2029</v>
      </c>
      <c r="G187" s="189" t="n">
        <v>55</v>
      </c>
      <c r="H187" s="190" t="n">
        <v>13720.7526521621</v>
      </c>
      <c r="I187" s="191" t="n">
        <v>3537944.92975104</v>
      </c>
      <c r="J187" s="192" t="str">
        <f>IF(I187&gt;0,H187/I187,0)</f>
      </c>
      <c r="K187" s="193" t="str">
        <f>1-EXP(-J187)</f>
      </c>
      <c r="L187" s="194" t="str">
        <f>IF(G187=30,1,M186)</f>
      </c>
      <c r="M187" s="195" t="str">
        <f>L187*(1-K187)</f>
      </c>
    </row>
    <row r="188">
      <c r="A188" t="s">
        <v>167</v>
      </c>
      <c r="B188" t="s">
        <v>254</v>
      </c>
      <c r="C188" s="35" t="s">
        <v>418</v>
      </c>
      <c r="D188" t="s">
        <v>502</v>
      </c>
      <c r="E188" t="s">
        <v>520</v>
      </c>
      <c r="F188" s="188" t="n">
        <v>2029</v>
      </c>
      <c r="G188" s="189" t="n">
        <v>56</v>
      </c>
      <c r="H188" s="190" t="n">
        <v>14758.840348985</v>
      </c>
      <c r="I188" s="191" t="n">
        <v>3490973.94761303</v>
      </c>
      <c r="J188" s="192" t="str">
        <f>IF(I188&gt;0,H188/I188,0)</f>
      </c>
      <c r="K188" s="193" t="str">
        <f>1-EXP(-J188)</f>
      </c>
      <c r="L188" s="194" t="str">
        <f>IF(G188=30,1,M187)</f>
      </c>
      <c r="M188" s="195" t="str">
        <f>L188*(1-K188)</f>
      </c>
    </row>
    <row r="189">
      <c r="A189" t="s">
        <v>167</v>
      </c>
      <c r="B189" t="s">
        <v>254</v>
      </c>
      <c r="C189" s="35" t="s">
        <v>418</v>
      </c>
      <c r="D189" t="s">
        <v>502</v>
      </c>
      <c r="E189" t="s">
        <v>520</v>
      </c>
      <c r="F189" s="188" t="n">
        <v>2029</v>
      </c>
      <c r="G189" s="189" t="n">
        <v>57</v>
      </c>
      <c r="H189" s="190" t="n">
        <v>15184.367734325</v>
      </c>
      <c r="I189" s="191" t="n">
        <v>3281156.05779405</v>
      </c>
      <c r="J189" s="192" t="str">
        <f>IF(I189&gt;0,H189/I189,0)</f>
      </c>
      <c r="K189" s="193" t="str">
        <f>1-EXP(-J189)</f>
      </c>
      <c r="L189" s="194" t="str">
        <f>IF(G189=30,1,M188)</f>
      </c>
      <c r="M189" s="195" t="str">
        <f>L189*(1-K189)</f>
      </c>
    </row>
    <row r="190">
      <c r="A190" t="s">
        <v>167</v>
      </c>
      <c r="B190" t="s">
        <v>254</v>
      </c>
      <c r="C190" s="35" t="s">
        <v>418</v>
      </c>
      <c r="D190" t="s">
        <v>502</v>
      </c>
      <c r="E190" t="s">
        <v>520</v>
      </c>
      <c r="F190" s="188" t="n">
        <v>2029</v>
      </c>
      <c r="G190" s="189" t="n">
        <v>58</v>
      </c>
      <c r="H190" s="190" t="n">
        <v>16156.9107042161</v>
      </c>
      <c r="I190" s="191" t="n">
        <v>3192332.47014707</v>
      </c>
      <c r="J190" s="192" t="str">
        <f>IF(I190&gt;0,H190/I190,0)</f>
      </c>
      <c r="K190" s="193" t="str">
        <f>1-EXP(-J190)</f>
      </c>
      <c r="L190" s="194" t="str">
        <f>IF(G190=30,1,M189)</f>
      </c>
      <c r="M190" s="195" t="str">
        <f>L190*(1-K190)</f>
      </c>
    </row>
    <row r="191">
      <c r="A191" t="s">
        <v>167</v>
      </c>
      <c r="B191" t="s">
        <v>254</v>
      </c>
      <c r="C191" s="35" t="s">
        <v>418</v>
      </c>
      <c r="D191" t="s">
        <v>502</v>
      </c>
      <c r="E191" t="s">
        <v>520</v>
      </c>
      <c r="F191" s="188" t="n">
        <v>2029</v>
      </c>
      <c r="G191" s="189" t="n">
        <v>59</v>
      </c>
      <c r="H191" s="190" t="n">
        <v>17207.9071184702</v>
      </c>
      <c r="I191" s="191" t="n">
        <v>3107793.55725169</v>
      </c>
      <c r="J191" s="192" t="str">
        <f>IF(I191&gt;0,H191/I191,0)</f>
      </c>
      <c r="K191" s="193" t="str">
        <f>1-EXP(-J191)</f>
      </c>
      <c r="L191" s="194" t="str">
        <f>IF(G191=30,1,M190)</f>
      </c>
      <c r="M191" s="195" t="str">
        <f>L191*(1-K191)</f>
      </c>
    </row>
    <row r="192">
      <c r="A192" t="s">
        <v>167</v>
      </c>
      <c r="B192" t="s">
        <v>254</v>
      </c>
      <c r="C192" s="35" t="s">
        <v>418</v>
      </c>
      <c r="D192" t="s">
        <v>502</v>
      </c>
      <c r="E192" t="s">
        <v>520</v>
      </c>
      <c r="F192" s="188" t="n">
        <v>2029</v>
      </c>
      <c r="G192" s="189" t="n">
        <v>60</v>
      </c>
      <c r="H192" s="190" t="n">
        <v>18621.6535474655</v>
      </c>
      <c r="I192" s="191" t="n">
        <v>3013980.82233211</v>
      </c>
      <c r="J192" s="192" t="str">
        <f>IF(I192&gt;0,H192/I192,0)</f>
      </c>
      <c r="K192" s="193" t="str">
        <f>1-EXP(-J192)</f>
      </c>
      <c r="L192" s="194" t="str">
        <f>IF(G192=30,1,M191)</f>
      </c>
      <c r="M192" s="195" t="str">
        <f>L192*(1-K192)</f>
      </c>
    </row>
    <row r="193">
      <c r="A193" t="s">
        <v>167</v>
      </c>
      <c r="B193" t="s">
        <v>254</v>
      </c>
      <c r="C193" s="35" t="s">
        <v>418</v>
      </c>
      <c r="D193" t="s">
        <v>502</v>
      </c>
      <c r="E193" t="s">
        <v>520</v>
      </c>
      <c r="F193" s="188" t="n">
        <v>2029</v>
      </c>
      <c r="G193" s="189" t="n">
        <v>61</v>
      </c>
      <c r="H193" s="190" t="n">
        <v>19739.7430904926</v>
      </c>
      <c r="I193" s="191" t="n">
        <v>2899874.59051399</v>
      </c>
      <c r="J193" s="192" t="str">
        <f>IF(I193&gt;0,H193/I193,0)</f>
      </c>
      <c r="K193" s="193" t="str">
        <f>1-EXP(-J193)</f>
      </c>
      <c r="L193" s="194" t="str">
        <f>IF(G193=30,1,M192)</f>
      </c>
      <c r="M193" s="195" t="str">
        <f>L193*(1-K193)</f>
      </c>
    </row>
    <row r="194">
      <c r="A194" t="s">
        <v>167</v>
      </c>
      <c r="B194" t="s">
        <v>254</v>
      </c>
      <c r="C194" s="35" t="s">
        <v>418</v>
      </c>
      <c r="D194" t="s">
        <v>502</v>
      </c>
      <c r="E194" t="s">
        <v>520</v>
      </c>
      <c r="F194" s="188" t="n">
        <v>2029</v>
      </c>
      <c r="G194" s="189" t="n">
        <v>62</v>
      </c>
      <c r="H194" s="190" t="n">
        <v>20541.7731346793</v>
      </c>
      <c r="I194" s="191" t="n">
        <v>2755320.14119413</v>
      </c>
      <c r="J194" s="192" t="str">
        <f>IF(I194&gt;0,H194/I194,0)</f>
      </c>
      <c r="K194" s="193" t="str">
        <f>1-EXP(-J194)</f>
      </c>
      <c r="L194" s="194" t="str">
        <f>IF(G194=30,1,M193)</f>
      </c>
      <c r="M194" s="195" t="str">
        <f>L194*(1-K194)</f>
      </c>
    </row>
    <row r="195">
      <c r="A195" t="s">
        <v>167</v>
      </c>
      <c r="B195" t="s">
        <v>254</v>
      </c>
      <c r="C195" s="35" t="s">
        <v>418</v>
      </c>
      <c r="D195" t="s">
        <v>502</v>
      </c>
      <c r="E195" t="s">
        <v>520</v>
      </c>
      <c r="F195" s="188" t="n">
        <v>2029</v>
      </c>
      <c r="G195" s="189" t="n">
        <v>63</v>
      </c>
      <c r="H195" s="190" t="n">
        <v>21605.8797008091</v>
      </c>
      <c r="I195" s="191" t="n">
        <v>2646856.91846127</v>
      </c>
      <c r="J195" s="192" t="str">
        <f>IF(I195&gt;0,H195/I195,0)</f>
      </c>
      <c r="K195" s="193" t="str">
        <f>1-EXP(-J195)</f>
      </c>
      <c r="L195" s="194" t="str">
        <f>IF(G195=30,1,M194)</f>
      </c>
      <c r="M195" s="195" t="str">
        <f>L195*(1-K195)</f>
      </c>
    </row>
    <row r="196">
      <c r="A196" t="s">
        <v>167</v>
      </c>
      <c r="B196" t="s">
        <v>254</v>
      </c>
      <c r="C196" s="35" t="s">
        <v>418</v>
      </c>
      <c r="D196" t="s">
        <v>502</v>
      </c>
      <c r="E196" t="s">
        <v>520</v>
      </c>
      <c r="F196" s="188" t="n">
        <v>2029</v>
      </c>
      <c r="G196" s="189" t="n">
        <v>64</v>
      </c>
      <c r="H196" s="190" t="n">
        <v>22507.0373804561</v>
      </c>
      <c r="I196" s="191" t="n">
        <v>2517088.82365471</v>
      </c>
      <c r="J196" s="192" t="str">
        <f>IF(I196&gt;0,H196/I196,0)</f>
      </c>
      <c r="K196" s="193" t="str">
        <f>1-EXP(-J196)</f>
      </c>
      <c r="L196" s="194" t="str">
        <f>IF(G196=30,1,M195)</f>
      </c>
      <c r="M196" s="195" t="str">
        <f>L196*(1-K196)</f>
      </c>
    </row>
    <row r="197">
      <c r="A197" t="s">
        <v>167</v>
      </c>
      <c r="B197" t="s">
        <v>254</v>
      </c>
      <c r="C197" s="35" t="s">
        <v>418</v>
      </c>
      <c r="D197" t="s">
        <v>502</v>
      </c>
      <c r="E197" t="s">
        <v>520</v>
      </c>
      <c r="F197" s="188" t="n">
        <v>2029</v>
      </c>
      <c r="G197" s="189" t="n">
        <v>65</v>
      </c>
      <c r="H197" s="190" t="n">
        <v>22740.4421022199</v>
      </c>
      <c r="I197" s="191" t="n">
        <v>2387586.99696631</v>
      </c>
      <c r="J197" s="192" t="str">
        <f>IF(I197&gt;0,H197/I197,0)</f>
      </c>
      <c r="K197" s="193" t="str">
        <f>1-EXP(-J197)</f>
      </c>
      <c r="L197" s="194" t="str">
        <f>IF(G197=30,1,M196)</f>
      </c>
      <c r="M197" s="195" t="str">
        <f>L197*(1-K197)</f>
      </c>
    </row>
    <row r="198">
      <c r="A198" t="s">
        <v>167</v>
      </c>
      <c r="B198" t="s">
        <v>254</v>
      </c>
      <c r="C198" s="35" t="s">
        <v>418</v>
      </c>
      <c r="D198" t="s">
        <v>502</v>
      </c>
      <c r="E198" t="s">
        <v>520</v>
      </c>
      <c r="F198" s="188" t="n">
        <v>2029</v>
      </c>
      <c r="G198" s="189" t="n">
        <v>66</v>
      </c>
      <c r="H198" s="190" t="n">
        <v>23615.9433801243</v>
      </c>
      <c r="I198" s="191" t="n">
        <v>2263106.48583692</v>
      </c>
      <c r="J198" s="192" t="str">
        <f>IF(I198&gt;0,H198/I198,0)</f>
      </c>
      <c r="K198" s="193" t="str">
        <f>1-EXP(-J198)</f>
      </c>
      <c r="L198" s="194" t="str">
        <f>IF(G198=30,1,M197)</f>
      </c>
      <c r="M198" s="195" t="str">
        <f>L198*(1-K198)</f>
      </c>
    </row>
    <row r="199">
      <c r="A199" t="s">
        <v>167</v>
      </c>
      <c r="B199" t="s">
        <v>254</v>
      </c>
      <c r="C199" s="35" t="s">
        <v>418</v>
      </c>
      <c r="D199" t="s">
        <v>502</v>
      </c>
      <c r="E199" t="s">
        <v>520</v>
      </c>
      <c r="F199" s="188" t="n">
        <v>2029</v>
      </c>
      <c r="G199" s="189" t="n">
        <v>67</v>
      </c>
      <c r="H199" s="190" t="n">
        <v>24286.0588655368</v>
      </c>
      <c r="I199" s="191" t="n">
        <v>2113552.82113439</v>
      </c>
      <c r="J199" s="192" t="str">
        <f>IF(I199&gt;0,H199/I199,0)</f>
      </c>
      <c r="K199" s="193" t="str">
        <f>1-EXP(-J199)</f>
      </c>
      <c r="L199" s="194" t="str">
        <f>IF(G199=30,1,M198)</f>
      </c>
      <c r="M199" s="195" t="str">
        <f>L199*(1-K199)</f>
      </c>
    </row>
    <row r="200">
      <c r="A200" t="s">
        <v>167</v>
      </c>
      <c r="B200" t="s">
        <v>254</v>
      </c>
      <c r="C200" s="35" t="s">
        <v>418</v>
      </c>
      <c r="D200" t="s">
        <v>502</v>
      </c>
      <c r="E200" t="s">
        <v>520</v>
      </c>
      <c r="F200" s="188" t="n">
        <v>2029</v>
      </c>
      <c r="G200" s="189" t="n">
        <v>68</v>
      </c>
      <c r="H200" s="190" t="n">
        <v>25081.9420436686</v>
      </c>
      <c r="I200" s="191" t="n">
        <v>1988688.21573139</v>
      </c>
      <c r="J200" s="192" t="str">
        <f>IF(I200&gt;0,H200/I200,0)</f>
      </c>
      <c r="K200" s="193" t="str">
        <f>1-EXP(-J200)</f>
      </c>
      <c r="L200" s="194" t="str">
        <f>IF(G200=30,1,M199)</f>
      </c>
      <c r="M200" s="195" t="str">
        <f>L200*(1-K200)</f>
      </c>
    </row>
    <row r="201">
      <c r="A201" t="s">
        <v>167</v>
      </c>
      <c r="B201" t="s">
        <v>254</v>
      </c>
      <c r="C201" s="35" t="s">
        <v>418</v>
      </c>
      <c r="D201" t="s">
        <v>502</v>
      </c>
      <c r="E201" t="s">
        <v>520</v>
      </c>
      <c r="F201" s="188" t="n">
        <v>2029</v>
      </c>
      <c r="G201" s="189" t="n">
        <v>69</v>
      </c>
      <c r="H201" s="190" t="n">
        <v>25772.2354627133</v>
      </c>
      <c r="I201" s="191" t="n">
        <v>1860418.69108087</v>
      </c>
      <c r="J201" s="192" t="str">
        <f>IF(I201&gt;0,H201/I201,0)</f>
      </c>
      <c r="K201" s="193" t="str">
        <f>1-EXP(-J201)</f>
      </c>
      <c r="L201" s="194" t="str">
        <f>IF(G201=30,1,M200)</f>
      </c>
      <c r="M201" s="195" t="str">
        <f>L201*(1-K201)</f>
      </c>
    </row>
    <row r="202">
      <c r="A202" t="s">
        <v>167</v>
      </c>
      <c r="B202" t="s">
        <v>254</v>
      </c>
      <c r="C202" s="35" t="s">
        <v>418</v>
      </c>
      <c r="D202" t="s">
        <v>502</v>
      </c>
      <c r="E202" t="s">
        <v>520</v>
      </c>
      <c r="F202" s="188" t="n">
        <v>2030</v>
      </c>
      <c r="G202" s="189" t="n">
        <v>30</v>
      </c>
      <c r="H202" s="190" t="n">
        <v>914.387677583696</v>
      </c>
      <c r="I202" s="191" t="n">
        <v>4327195.77994834</v>
      </c>
      <c r="J202" s="192" t="str">
        <f>IF(I202&gt;0,H202/I202,0)</f>
      </c>
      <c r="K202" s="193" t="str">
        <f>1-EXP(-J202)</f>
      </c>
      <c r="L202" s="194" t="str">
        <f>IF(G202=30,1,M201)</f>
      </c>
      <c r="M202" s="195" t="str">
        <f>L202*(1-K202)</f>
      </c>
    </row>
    <row r="203">
      <c r="A203" t="s">
        <v>167</v>
      </c>
      <c r="B203" t="s">
        <v>254</v>
      </c>
      <c r="C203" s="35" t="s">
        <v>418</v>
      </c>
      <c r="D203" t="s">
        <v>502</v>
      </c>
      <c r="E203" t="s">
        <v>520</v>
      </c>
      <c r="F203" s="188" t="n">
        <v>2030</v>
      </c>
      <c r="G203" s="189" t="n">
        <v>31</v>
      </c>
      <c r="H203" s="190" t="n">
        <v>1043.73045074037</v>
      </c>
      <c r="I203" s="191" t="n">
        <v>4347647.50445171</v>
      </c>
      <c r="J203" s="192" t="str">
        <f>IF(I203&gt;0,H203/I203,0)</f>
      </c>
      <c r="K203" s="193" t="str">
        <f>1-EXP(-J203)</f>
      </c>
      <c r="L203" s="194" t="str">
        <f>IF(G203=30,1,M202)</f>
      </c>
      <c r="M203" s="195" t="str">
        <f>L203*(1-K203)</f>
      </c>
    </row>
    <row r="204">
      <c r="A204" t="s">
        <v>167</v>
      </c>
      <c r="B204" t="s">
        <v>254</v>
      </c>
      <c r="C204" s="35" t="s">
        <v>418</v>
      </c>
      <c r="D204" t="s">
        <v>502</v>
      </c>
      <c r="E204" t="s">
        <v>520</v>
      </c>
      <c r="F204" s="188" t="n">
        <v>2030</v>
      </c>
      <c r="G204" s="189" t="n">
        <v>32</v>
      </c>
      <c r="H204" s="190" t="n">
        <v>1115.34035600977</v>
      </c>
      <c r="I204" s="191" t="n">
        <v>4407938.27649392</v>
      </c>
      <c r="J204" s="192" t="str">
        <f>IF(I204&gt;0,H204/I204,0)</f>
      </c>
      <c r="K204" s="193" t="str">
        <f>1-EXP(-J204)</f>
      </c>
      <c r="L204" s="194" t="str">
        <f>IF(G204=30,1,M203)</f>
      </c>
      <c r="M204" s="195" t="str">
        <f>L204*(1-K204)</f>
      </c>
    </row>
    <row r="205">
      <c r="A205" t="s">
        <v>167</v>
      </c>
      <c r="B205" t="s">
        <v>254</v>
      </c>
      <c r="C205" s="35" t="s">
        <v>418</v>
      </c>
      <c r="D205" t="s">
        <v>502</v>
      </c>
      <c r="E205" t="s">
        <v>520</v>
      </c>
      <c r="F205" s="188" t="n">
        <v>2030</v>
      </c>
      <c r="G205" s="189" t="n">
        <v>33</v>
      </c>
      <c r="H205" s="190" t="n">
        <v>1409.91170028981</v>
      </c>
      <c r="I205" s="191" t="n">
        <v>4548931.94173362</v>
      </c>
      <c r="J205" s="192" t="str">
        <f>IF(I205&gt;0,H205/I205,0)</f>
      </c>
      <c r="K205" s="193" t="str">
        <f>1-EXP(-J205)</f>
      </c>
      <c r="L205" s="194" t="str">
        <f>IF(G205=30,1,M204)</f>
      </c>
      <c r="M205" s="195" t="str">
        <f>L205*(1-K205)</f>
      </c>
    </row>
    <row r="206">
      <c r="A206" t="s">
        <v>167</v>
      </c>
      <c r="B206" t="s">
        <v>254</v>
      </c>
      <c r="C206" s="35" t="s">
        <v>418</v>
      </c>
      <c r="D206" t="s">
        <v>502</v>
      </c>
      <c r="E206" t="s">
        <v>520</v>
      </c>
      <c r="F206" s="188" t="n">
        <v>2030</v>
      </c>
      <c r="G206" s="189" t="n">
        <v>34</v>
      </c>
      <c r="H206" s="190" t="n">
        <v>1481.29298924102</v>
      </c>
      <c r="I206" s="191" t="n">
        <v>4506128.89360603</v>
      </c>
      <c r="J206" s="192" t="str">
        <f>IF(I206&gt;0,H206/I206,0)</f>
      </c>
      <c r="K206" s="193" t="str">
        <f>1-EXP(-J206)</f>
      </c>
      <c r="L206" s="194" t="str">
        <f>IF(G206=30,1,M205)</f>
      </c>
      <c r="M206" s="195" t="str">
        <f>L206*(1-K206)</f>
      </c>
    </row>
    <row r="207">
      <c r="A207" t="s">
        <v>167</v>
      </c>
      <c r="B207" t="s">
        <v>254</v>
      </c>
      <c r="C207" s="35" t="s">
        <v>418</v>
      </c>
      <c r="D207" t="s">
        <v>502</v>
      </c>
      <c r="E207" t="s">
        <v>520</v>
      </c>
      <c r="F207" s="188" t="n">
        <v>2030</v>
      </c>
      <c r="G207" s="189" t="n">
        <v>35</v>
      </c>
      <c r="H207" s="190" t="n">
        <v>1982.12098045925</v>
      </c>
      <c r="I207" s="191" t="n">
        <v>4433123.41103061</v>
      </c>
      <c r="J207" s="192" t="str">
        <f>IF(I207&gt;0,H207/I207,0)</f>
      </c>
      <c r="K207" s="193" t="str">
        <f>1-EXP(-J207)</f>
      </c>
      <c r="L207" s="194" t="str">
        <f>IF(G207=30,1,M206)</f>
      </c>
      <c r="M207" s="195" t="str">
        <f>L207*(1-K207)</f>
      </c>
    </row>
    <row r="208">
      <c r="A208" t="s">
        <v>167</v>
      </c>
      <c r="B208" t="s">
        <v>254</v>
      </c>
      <c r="C208" s="35" t="s">
        <v>418</v>
      </c>
      <c r="D208" t="s">
        <v>502</v>
      </c>
      <c r="E208" t="s">
        <v>520</v>
      </c>
      <c r="F208" s="188" t="n">
        <v>2030</v>
      </c>
      <c r="G208" s="189" t="n">
        <v>36</v>
      </c>
      <c r="H208" s="190" t="n">
        <v>2082.99502615711</v>
      </c>
      <c r="I208" s="191" t="n">
        <v>4375403.74948616</v>
      </c>
      <c r="J208" s="192" t="str">
        <f>IF(I208&gt;0,H208/I208,0)</f>
      </c>
      <c r="K208" s="193" t="str">
        <f>1-EXP(-J208)</f>
      </c>
      <c r="L208" s="194" t="str">
        <f>IF(G208=30,1,M207)</f>
      </c>
      <c r="M208" s="195" t="str">
        <f>L208*(1-K208)</f>
      </c>
    </row>
    <row r="209">
      <c r="A209" t="s">
        <v>167</v>
      </c>
      <c r="B209" t="s">
        <v>254</v>
      </c>
      <c r="C209" s="35" t="s">
        <v>418</v>
      </c>
      <c r="D209" t="s">
        <v>502</v>
      </c>
      <c r="E209" t="s">
        <v>520</v>
      </c>
      <c r="F209" s="188" t="n">
        <v>2030</v>
      </c>
      <c r="G209" s="189" t="n">
        <v>37</v>
      </c>
      <c r="H209" s="190" t="n">
        <v>2209.18768984996</v>
      </c>
      <c r="I209" s="191" t="n">
        <v>4321749.25418141</v>
      </c>
      <c r="J209" s="192" t="str">
        <f>IF(I209&gt;0,H209/I209,0)</f>
      </c>
      <c r="K209" s="193" t="str">
        <f>1-EXP(-J209)</f>
      </c>
      <c r="L209" s="194" t="str">
        <f>IF(G209=30,1,M208)</f>
      </c>
      <c r="M209" s="195" t="str">
        <f>L209*(1-K209)</f>
      </c>
    </row>
    <row r="210">
      <c r="A210" t="s">
        <v>167</v>
      </c>
      <c r="B210" t="s">
        <v>254</v>
      </c>
      <c r="C210" s="35" t="s">
        <v>418</v>
      </c>
      <c r="D210" t="s">
        <v>502</v>
      </c>
      <c r="E210" t="s">
        <v>520</v>
      </c>
      <c r="F210" s="188" t="n">
        <v>2030</v>
      </c>
      <c r="G210" s="189" t="n">
        <v>38</v>
      </c>
      <c r="H210" s="190" t="n">
        <v>2395.62961871856</v>
      </c>
      <c r="I210" s="191" t="n">
        <v>4359465.2949508</v>
      </c>
      <c r="J210" s="192" t="str">
        <f>IF(I210&gt;0,H210/I210,0)</f>
      </c>
      <c r="K210" s="193" t="str">
        <f>1-EXP(-J210)</f>
      </c>
      <c r="L210" s="194" t="str">
        <f>IF(G210=30,1,M209)</f>
      </c>
      <c r="M210" s="195" t="str">
        <f>L210*(1-K210)</f>
      </c>
    </row>
    <row r="211">
      <c r="A211" t="s">
        <v>167</v>
      </c>
      <c r="B211" t="s">
        <v>254</v>
      </c>
      <c r="C211" s="35" t="s">
        <v>418</v>
      </c>
      <c r="D211" t="s">
        <v>502</v>
      </c>
      <c r="E211" t="s">
        <v>520</v>
      </c>
      <c r="F211" s="188" t="n">
        <v>2030</v>
      </c>
      <c r="G211" s="189" t="n">
        <v>39</v>
      </c>
      <c r="H211" s="190" t="n">
        <v>2591.68599956892</v>
      </c>
      <c r="I211" s="191" t="n">
        <v>4377448.79089309</v>
      </c>
      <c r="J211" s="192" t="str">
        <f>IF(I211&gt;0,H211/I211,0)</f>
      </c>
      <c r="K211" s="193" t="str">
        <f>1-EXP(-J211)</f>
      </c>
      <c r="L211" s="194" t="str">
        <f>IF(G211=30,1,M210)</f>
      </c>
      <c r="M211" s="195" t="str">
        <f>L211*(1-K211)</f>
      </c>
    </row>
    <row r="212">
      <c r="A212" t="s">
        <v>167</v>
      </c>
      <c r="B212" t="s">
        <v>254</v>
      </c>
      <c r="C212" s="35" t="s">
        <v>418</v>
      </c>
      <c r="D212" t="s">
        <v>502</v>
      </c>
      <c r="E212" t="s">
        <v>520</v>
      </c>
      <c r="F212" s="188" t="n">
        <v>2030</v>
      </c>
      <c r="G212" s="189" t="n">
        <v>40</v>
      </c>
      <c r="H212" s="190" t="n">
        <v>4902.37194952161</v>
      </c>
      <c r="I212" s="191" t="n">
        <v>6445817.64628864</v>
      </c>
      <c r="J212" s="192" t="str">
        <f>IF(I212&gt;0,H212/I212,0)</f>
      </c>
      <c r="K212" s="193" t="str">
        <f>1-EXP(-J212)</f>
      </c>
      <c r="L212" s="194" t="str">
        <f>IF(G212=30,1,M211)</f>
      </c>
      <c r="M212" s="195" t="str">
        <f>L212*(1-K212)</f>
      </c>
    </row>
    <row r="213">
      <c r="A213" t="s">
        <v>167</v>
      </c>
      <c r="B213" t="s">
        <v>254</v>
      </c>
      <c r="C213" s="35" t="s">
        <v>418</v>
      </c>
      <c r="D213" t="s">
        <v>502</v>
      </c>
      <c r="E213" t="s">
        <v>520</v>
      </c>
      <c r="F213" s="188" t="n">
        <v>2030</v>
      </c>
      <c r="G213" s="189" t="n">
        <v>41</v>
      </c>
      <c r="H213" s="190" t="n">
        <v>3738.13591807762</v>
      </c>
      <c r="I213" s="191" t="n">
        <v>4335120.03267957</v>
      </c>
      <c r="J213" s="192" t="str">
        <f>IF(I213&gt;0,H213/I213,0)</f>
      </c>
      <c r="K213" s="193" t="str">
        <f>1-EXP(-J213)</f>
      </c>
      <c r="L213" s="194" t="str">
        <f>IF(G213=30,1,M212)</f>
      </c>
      <c r="M213" s="195" t="str">
        <f>L213*(1-K213)</f>
      </c>
    </row>
    <row r="214">
      <c r="A214" t="s">
        <v>167</v>
      </c>
      <c r="B214" t="s">
        <v>254</v>
      </c>
      <c r="C214" s="35" t="s">
        <v>418</v>
      </c>
      <c r="D214" t="s">
        <v>502</v>
      </c>
      <c r="E214" t="s">
        <v>520</v>
      </c>
      <c r="F214" s="188" t="n">
        <v>2030</v>
      </c>
      <c r="G214" s="189" t="n">
        <v>42</v>
      </c>
      <c r="H214" s="190" t="n">
        <v>4042.55491092384</v>
      </c>
      <c r="I214" s="191" t="n">
        <v>4318294.44008833</v>
      </c>
      <c r="J214" s="192" t="str">
        <f>IF(I214&gt;0,H214/I214,0)</f>
      </c>
      <c r="K214" s="193" t="str">
        <f>1-EXP(-J214)</f>
      </c>
      <c r="L214" s="194" t="str">
        <f>IF(G214=30,1,M213)</f>
      </c>
      <c r="M214" s="195" t="str">
        <f>L214*(1-K214)</f>
      </c>
    </row>
    <row r="215">
      <c r="A215" t="s">
        <v>167</v>
      </c>
      <c r="B215" t="s">
        <v>254</v>
      </c>
      <c r="C215" s="35" t="s">
        <v>418</v>
      </c>
      <c r="D215" t="s">
        <v>502</v>
      </c>
      <c r="E215" t="s">
        <v>520</v>
      </c>
      <c r="F215" s="188" t="n">
        <v>2030</v>
      </c>
      <c r="G215" s="189" t="n">
        <v>43</v>
      </c>
      <c r="H215" s="190" t="n">
        <v>4269.14656934226</v>
      </c>
      <c r="I215" s="191" t="n">
        <v>4185893.17439783</v>
      </c>
      <c r="J215" s="192" t="str">
        <f>IF(I215&gt;0,H215/I215,0)</f>
      </c>
      <c r="K215" s="193" t="str">
        <f>1-EXP(-J215)</f>
      </c>
      <c r="L215" s="194" t="str">
        <f>IF(G215=30,1,M214)</f>
      </c>
      <c r="M215" s="195" t="str">
        <f>L215*(1-K215)</f>
      </c>
    </row>
    <row r="216">
      <c r="A216" t="s">
        <v>167</v>
      </c>
      <c r="B216" t="s">
        <v>254</v>
      </c>
      <c r="C216" s="35" t="s">
        <v>418</v>
      </c>
      <c r="D216" t="s">
        <v>502</v>
      </c>
      <c r="E216" t="s">
        <v>520</v>
      </c>
      <c r="F216" s="188" t="n">
        <v>2030</v>
      </c>
      <c r="G216" s="189" t="n">
        <v>44</v>
      </c>
      <c r="H216" s="190" t="n">
        <v>4625.07829725126</v>
      </c>
      <c r="I216" s="191" t="n">
        <v>4151113.81011158</v>
      </c>
      <c r="J216" s="192" t="str">
        <f>IF(I216&gt;0,H216/I216,0)</f>
      </c>
      <c r="K216" s="193" t="str">
        <f>1-EXP(-J216)</f>
      </c>
      <c r="L216" s="194" t="str">
        <f>IF(G216=30,1,M215)</f>
      </c>
      <c r="M216" s="195" t="str">
        <f>L216*(1-K216)</f>
      </c>
    </row>
    <row r="217">
      <c r="A217" t="s">
        <v>167</v>
      </c>
      <c r="B217" t="s">
        <v>254</v>
      </c>
      <c r="C217" s="35" t="s">
        <v>418</v>
      </c>
      <c r="D217" t="s">
        <v>502</v>
      </c>
      <c r="E217" t="s">
        <v>520</v>
      </c>
      <c r="F217" s="188" t="n">
        <v>2030</v>
      </c>
      <c r="G217" s="189" t="n">
        <v>45</v>
      </c>
      <c r="H217" s="190" t="n">
        <v>6075.12905270228</v>
      </c>
      <c r="I217" s="191" t="n">
        <v>4209835.31286817</v>
      </c>
      <c r="J217" s="192" t="str">
        <f>IF(I217&gt;0,H217/I217,0)</f>
      </c>
      <c r="K217" s="193" t="str">
        <f>1-EXP(-J217)</f>
      </c>
      <c r="L217" s="194" t="str">
        <f>IF(G217=30,1,M216)</f>
      </c>
      <c r="M217" s="195" t="str">
        <f>L217*(1-K217)</f>
      </c>
    </row>
    <row r="218">
      <c r="A218" t="s">
        <v>167</v>
      </c>
      <c r="B218" t="s">
        <v>254</v>
      </c>
      <c r="C218" s="35" t="s">
        <v>418</v>
      </c>
      <c r="D218" t="s">
        <v>502</v>
      </c>
      <c r="E218" t="s">
        <v>520</v>
      </c>
      <c r="F218" s="188" t="n">
        <v>2030</v>
      </c>
      <c r="G218" s="189" t="n">
        <v>46</v>
      </c>
      <c r="H218" s="190" t="n">
        <v>6762.06350181954</v>
      </c>
      <c r="I218" s="191" t="n">
        <v>4292531.04942222</v>
      </c>
      <c r="J218" s="192" t="str">
        <f>IF(I218&gt;0,H218/I218,0)</f>
      </c>
      <c r="K218" s="193" t="str">
        <f>1-EXP(-J218)</f>
      </c>
      <c r="L218" s="194" t="str">
        <f>IF(G218=30,1,M217)</f>
      </c>
      <c r="M218" s="195" t="str">
        <f>L218*(1-K218)</f>
      </c>
    </row>
    <row r="219">
      <c r="A219" t="s">
        <v>167</v>
      </c>
      <c r="B219" t="s">
        <v>254</v>
      </c>
      <c r="C219" s="35" t="s">
        <v>418</v>
      </c>
      <c r="D219" t="s">
        <v>502</v>
      </c>
      <c r="E219" t="s">
        <v>520</v>
      </c>
      <c r="F219" s="188" t="n">
        <v>2030</v>
      </c>
      <c r="G219" s="189" t="n">
        <v>47</v>
      </c>
      <c r="H219" s="190" t="n">
        <v>7376.01941646442</v>
      </c>
      <c r="I219" s="191" t="n">
        <v>4267295.26709269</v>
      </c>
      <c r="J219" s="192" t="str">
        <f>IF(I219&gt;0,H219/I219,0)</f>
      </c>
      <c r="K219" s="193" t="str">
        <f>1-EXP(-J219)</f>
      </c>
      <c r="L219" s="194" t="str">
        <f>IF(G219=30,1,M218)</f>
      </c>
      <c r="M219" s="195" t="str">
        <f>L219*(1-K219)</f>
      </c>
    </row>
    <row r="220">
      <c r="A220" t="s">
        <v>167</v>
      </c>
      <c r="B220" t="s">
        <v>254</v>
      </c>
      <c r="C220" s="35" t="s">
        <v>418</v>
      </c>
      <c r="D220" t="s">
        <v>502</v>
      </c>
      <c r="E220" t="s">
        <v>520</v>
      </c>
      <c r="F220" s="188" t="n">
        <v>2030</v>
      </c>
      <c r="G220" s="189" t="n">
        <v>48</v>
      </c>
      <c r="H220" s="190" t="n">
        <v>7834.68724221524</v>
      </c>
      <c r="I220" s="191" t="n">
        <v>4129733.2478156</v>
      </c>
      <c r="J220" s="192" t="str">
        <f>IF(I220&gt;0,H220/I220,0)</f>
      </c>
      <c r="K220" s="193" t="str">
        <f>1-EXP(-J220)</f>
      </c>
      <c r="L220" s="194" t="str">
        <f>IF(G220=30,1,M219)</f>
      </c>
      <c r="M220" s="195" t="str">
        <f>L220*(1-K220)</f>
      </c>
    </row>
    <row r="221">
      <c r="A221" t="s">
        <v>167</v>
      </c>
      <c r="B221" t="s">
        <v>254</v>
      </c>
      <c r="C221" s="35" t="s">
        <v>418</v>
      </c>
      <c r="D221" t="s">
        <v>502</v>
      </c>
      <c r="E221" t="s">
        <v>520</v>
      </c>
      <c r="F221" s="188" t="n">
        <v>2030</v>
      </c>
      <c r="G221" s="189" t="n">
        <v>49</v>
      </c>
      <c r="H221" s="190" t="n">
        <v>8429.46841108887</v>
      </c>
      <c r="I221" s="191" t="n">
        <v>4054287.61045013</v>
      </c>
      <c r="J221" s="192" t="str">
        <f>IF(I221&gt;0,H221/I221,0)</f>
      </c>
      <c r="K221" s="193" t="str">
        <f>1-EXP(-J221)</f>
      </c>
      <c r="L221" s="194" t="str">
        <f>IF(G221=30,1,M220)</f>
      </c>
      <c r="M221" s="195" t="str">
        <f>L221*(1-K221)</f>
      </c>
    </row>
    <row r="222">
      <c r="A222" t="s">
        <v>167</v>
      </c>
      <c r="B222" t="s">
        <v>254</v>
      </c>
      <c r="C222" s="35" t="s">
        <v>418</v>
      </c>
      <c r="D222" t="s">
        <v>502</v>
      </c>
      <c r="E222" t="s">
        <v>520</v>
      </c>
      <c r="F222" s="188" t="n">
        <v>2030</v>
      </c>
      <c r="G222" s="189" t="n">
        <v>50</v>
      </c>
      <c r="H222" s="190" t="n">
        <v>9679.87042350663</v>
      </c>
      <c r="I222" s="191" t="n">
        <v>3994502.06689405</v>
      </c>
      <c r="J222" s="192" t="str">
        <f>IF(I222&gt;0,H222/I222,0)</f>
      </c>
      <c r="K222" s="193" t="str">
        <f>1-EXP(-J222)</f>
      </c>
      <c r="L222" s="194" t="str">
        <f>IF(G222=30,1,M221)</f>
      </c>
      <c r="M222" s="195" t="str">
        <f>L222*(1-K222)</f>
      </c>
    </row>
    <row r="223">
      <c r="A223" t="s">
        <v>167</v>
      </c>
      <c r="B223" t="s">
        <v>254</v>
      </c>
      <c r="C223" s="35" t="s">
        <v>418</v>
      </c>
      <c r="D223" t="s">
        <v>502</v>
      </c>
      <c r="E223" t="s">
        <v>520</v>
      </c>
      <c r="F223" s="188" t="n">
        <v>2030</v>
      </c>
      <c r="G223" s="189" t="n">
        <v>51</v>
      </c>
      <c r="H223" s="190" t="n">
        <v>10439.1863278286</v>
      </c>
      <c r="I223" s="191" t="n">
        <v>3928302.57011525</v>
      </c>
      <c r="J223" s="192" t="str">
        <f>IF(I223&gt;0,H223/I223,0)</f>
      </c>
      <c r="K223" s="193" t="str">
        <f>1-EXP(-J223)</f>
      </c>
      <c r="L223" s="194" t="str">
        <f>IF(G223=30,1,M222)</f>
      </c>
      <c r="M223" s="195" t="str">
        <f>L223*(1-K223)</f>
      </c>
    </row>
    <row r="224">
      <c r="A224" t="s">
        <v>167</v>
      </c>
      <c r="B224" t="s">
        <v>254</v>
      </c>
      <c r="C224" s="35" t="s">
        <v>418</v>
      </c>
      <c r="D224" t="s">
        <v>502</v>
      </c>
      <c r="E224" t="s">
        <v>520</v>
      </c>
      <c r="F224" s="188" t="n">
        <v>2030</v>
      </c>
      <c r="G224" s="189" t="n">
        <v>52</v>
      </c>
      <c r="H224" s="190" t="n">
        <v>11167.1465517409</v>
      </c>
      <c r="I224" s="191" t="n">
        <v>3843396.02495099</v>
      </c>
      <c r="J224" s="192" t="str">
        <f>IF(I224&gt;0,H224/I224,0)</f>
      </c>
      <c r="K224" s="193" t="str">
        <f>1-EXP(-J224)</f>
      </c>
      <c r="L224" s="194" t="str">
        <f>IF(G224=30,1,M223)</f>
      </c>
      <c r="M224" s="195" t="str">
        <f>L224*(1-K224)</f>
      </c>
    </row>
    <row r="225">
      <c r="A225" t="s">
        <v>167</v>
      </c>
      <c r="B225" t="s">
        <v>254</v>
      </c>
      <c r="C225" s="35" t="s">
        <v>418</v>
      </c>
      <c r="D225" t="s">
        <v>502</v>
      </c>
      <c r="E225" t="s">
        <v>520</v>
      </c>
      <c r="F225" s="188" t="n">
        <v>2030</v>
      </c>
      <c r="G225" s="189" t="n">
        <v>53</v>
      </c>
      <c r="H225" s="190" t="n">
        <v>12003.6991823049</v>
      </c>
      <c r="I225" s="191" t="n">
        <v>3775347.48637368</v>
      </c>
      <c r="J225" s="192" t="str">
        <f>IF(I225&gt;0,H225/I225,0)</f>
      </c>
      <c r="K225" s="193" t="str">
        <f>1-EXP(-J225)</f>
      </c>
      <c r="L225" s="194" t="str">
        <f>IF(G225=30,1,M224)</f>
      </c>
      <c r="M225" s="195" t="str">
        <f>L225*(1-K225)</f>
      </c>
    </row>
    <row r="226">
      <c r="A226" t="s">
        <v>167</v>
      </c>
      <c r="B226" t="s">
        <v>254</v>
      </c>
      <c r="C226" s="35" t="s">
        <v>418</v>
      </c>
      <c r="D226" t="s">
        <v>502</v>
      </c>
      <c r="E226" t="s">
        <v>520</v>
      </c>
      <c r="F226" s="188" t="n">
        <v>2030</v>
      </c>
      <c r="G226" s="189" t="n">
        <v>54</v>
      </c>
      <c r="H226" s="190" t="n">
        <v>12842.4850224949</v>
      </c>
      <c r="I226" s="191" t="n">
        <v>3695382.51400829</v>
      </c>
      <c r="J226" s="192" t="str">
        <f>IF(I226&gt;0,H226/I226,0)</f>
      </c>
      <c r="K226" s="193" t="str">
        <f>1-EXP(-J226)</f>
      </c>
      <c r="L226" s="194" t="str">
        <f>IF(G226=30,1,M225)</f>
      </c>
      <c r="M226" s="195" t="str">
        <f>L226*(1-K226)</f>
      </c>
    </row>
    <row r="227">
      <c r="A227" t="s">
        <v>167</v>
      </c>
      <c r="B227" t="s">
        <v>254</v>
      </c>
      <c r="C227" s="35" t="s">
        <v>418</v>
      </c>
      <c r="D227" t="s">
        <v>502</v>
      </c>
      <c r="E227" t="s">
        <v>520</v>
      </c>
      <c r="F227" s="188" t="n">
        <v>2030</v>
      </c>
      <c r="G227" s="189" t="n">
        <v>55</v>
      </c>
      <c r="H227" s="190" t="n">
        <v>13869.0407707703</v>
      </c>
      <c r="I227" s="191" t="n">
        <v>3614540.16011785</v>
      </c>
      <c r="J227" s="192" t="str">
        <f>IF(I227&gt;0,H227/I227,0)</f>
      </c>
      <c r="K227" s="193" t="str">
        <f>1-EXP(-J227)</f>
      </c>
      <c r="L227" s="194" t="str">
        <f>IF(G227=30,1,M226)</f>
      </c>
      <c r="M227" s="195" t="str">
        <f>L227*(1-K227)</f>
      </c>
    </row>
    <row r="228">
      <c r="A228" t="s">
        <v>167</v>
      </c>
      <c r="B228" t="s">
        <v>254</v>
      </c>
      <c r="C228" s="35" t="s">
        <v>418</v>
      </c>
      <c r="D228" t="s">
        <v>502</v>
      </c>
      <c r="E228" t="s">
        <v>520</v>
      </c>
      <c r="F228" s="188" t="n">
        <v>2030</v>
      </c>
      <c r="G228" s="189" t="n">
        <v>56</v>
      </c>
      <c r="H228" s="190" t="n">
        <v>14655.2449522086</v>
      </c>
      <c r="I228" s="191" t="n">
        <v>3505867.52261459</v>
      </c>
      <c r="J228" s="192" t="str">
        <f>IF(I228&gt;0,H228/I228,0)</f>
      </c>
      <c r="K228" s="193" t="str">
        <f>1-EXP(-J228)</f>
      </c>
      <c r="L228" s="194" t="str">
        <f>IF(G228=30,1,M227)</f>
      </c>
      <c r="M228" s="195" t="str">
        <f>L228*(1-K228)</f>
      </c>
    </row>
    <row r="229">
      <c r="A229" t="s">
        <v>167</v>
      </c>
      <c r="B229" t="s">
        <v>254</v>
      </c>
      <c r="C229" s="35" t="s">
        <v>418</v>
      </c>
      <c r="D229" t="s">
        <v>502</v>
      </c>
      <c r="E229" t="s">
        <v>520</v>
      </c>
      <c r="F229" s="188" t="n">
        <v>2030</v>
      </c>
      <c r="G229" s="189" t="n">
        <v>57</v>
      </c>
      <c r="H229" s="190" t="n">
        <v>15802.8116997928</v>
      </c>
      <c r="I229" s="191" t="n">
        <v>3456886.18732603</v>
      </c>
      <c r="J229" s="192" t="str">
        <f>IF(I229&gt;0,H229/I229,0)</f>
      </c>
      <c r="K229" s="193" t="str">
        <f>1-EXP(-J229)</f>
      </c>
      <c r="L229" s="194" t="str">
        <f>IF(G229=30,1,M228)</f>
      </c>
      <c r="M229" s="195" t="str">
        <f>L229*(1-K229)</f>
      </c>
    </row>
    <row r="230">
      <c r="A230" t="s">
        <v>167</v>
      </c>
      <c r="B230" t="s">
        <v>254</v>
      </c>
      <c r="C230" s="35" t="s">
        <v>418</v>
      </c>
      <c r="D230" t="s">
        <v>502</v>
      </c>
      <c r="E230" t="s">
        <v>520</v>
      </c>
      <c r="F230" s="188" t="n">
        <v>2030</v>
      </c>
      <c r="G230" s="189" t="n">
        <v>58</v>
      </c>
      <c r="H230" s="190" t="n">
        <v>16253.5531509315</v>
      </c>
      <c r="I230" s="191" t="n">
        <v>3246115.09820881</v>
      </c>
      <c r="J230" s="192" t="str">
        <f>IF(I230&gt;0,H230/I230,0)</f>
      </c>
      <c r="K230" s="193" t="str">
        <f>1-EXP(-J230)</f>
      </c>
      <c r="L230" s="194" t="str">
        <f>IF(G230=30,1,M229)</f>
      </c>
      <c r="M230" s="195" t="str">
        <f>L230*(1-K230)</f>
      </c>
    </row>
    <row r="231">
      <c r="A231" t="s">
        <v>167</v>
      </c>
      <c r="B231" t="s">
        <v>254</v>
      </c>
      <c r="C231" s="35" t="s">
        <v>418</v>
      </c>
      <c r="D231" t="s">
        <v>502</v>
      </c>
      <c r="E231" t="s">
        <v>520</v>
      </c>
      <c r="F231" s="188" t="n">
        <v>2030</v>
      </c>
      <c r="G231" s="189" t="n">
        <v>59</v>
      </c>
      <c r="H231" s="190" t="n">
        <v>17288.5151135273</v>
      </c>
      <c r="I231" s="191" t="n">
        <v>3155072.88501101</v>
      </c>
      <c r="J231" s="192" t="str">
        <f>IF(I231&gt;0,H231/I231,0)</f>
      </c>
      <c r="K231" s="193" t="str">
        <f>1-EXP(-J231)</f>
      </c>
      <c r="L231" s="194" t="str">
        <f>IF(G231=30,1,M230)</f>
      </c>
      <c r="M231" s="195" t="str">
        <f>L231*(1-K231)</f>
      </c>
    </row>
    <row r="232">
      <c r="A232" t="s">
        <v>167</v>
      </c>
      <c r="B232" t="s">
        <v>254</v>
      </c>
      <c r="C232" s="35" t="s">
        <v>418</v>
      </c>
      <c r="D232" t="s">
        <v>502</v>
      </c>
      <c r="E232" t="s">
        <v>520</v>
      </c>
      <c r="F232" s="188" t="n">
        <v>2030</v>
      </c>
      <c r="G232" s="189" t="n">
        <v>60</v>
      </c>
      <c r="H232" s="190" t="n">
        <v>18731.854313544</v>
      </c>
      <c r="I232" s="191" t="n">
        <v>3068136.94229272</v>
      </c>
      <c r="J232" s="192" t="str">
        <f>IF(I232&gt;0,H232/I232,0)</f>
      </c>
      <c r="K232" s="193" t="str">
        <f>1-EXP(-J232)</f>
      </c>
      <c r="L232" s="194" t="str">
        <f>IF(G232=30,1,M231)</f>
      </c>
      <c r="M232" s="195" t="str">
        <f>L232*(1-K232)</f>
      </c>
    </row>
    <row r="233">
      <c r="A233" t="s">
        <v>167</v>
      </c>
      <c r="B233" t="s">
        <v>254</v>
      </c>
      <c r="C233" s="35" t="s">
        <v>418</v>
      </c>
      <c r="D233" t="s">
        <v>502</v>
      </c>
      <c r="E233" t="s">
        <v>520</v>
      </c>
      <c r="F233" s="188" t="n">
        <v>2030</v>
      </c>
      <c r="G233" s="189" t="n">
        <v>61</v>
      </c>
      <c r="H233" s="190" t="n">
        <v>20023.5184006874</v>
      </c>
      <c r="I233" s="191" t="n">
        <v>2971355.40271541</v>
      </c>
      <c r="J233" s="192" t="str">
        <f>IF(I233&gt;0,H233/I233,0)</f>
      </c>
      <c r="K233" s="193" t="str">
        <f>1-EXP(-J233)</f>
      </c>
      <c r="L233" s="194" t="str">
        <f>IF(G233=30,1,M232)</f>
      </c>
      <c r="M233" s="195" t="str">
        <f>L233*(1-K233)</f>
      </c>
    </row>
    <row r="234">
      <c r="A234" t="s">
        <v>167</v>
      </c>
      <c r="B234" t="s">
        <v>254</v>
      </c>
      <c r="C234" s="35" t="s">
        <v>418</v>
      </c>
      <c r="D234" t="s">
        <v>502</v>
      </c>
      <c r="E234" t="s">
        <v>520</v>
      </c>
      <c r="F234" s="188" t="n">
        <v>2030</v>
      </c>
      <c r="G234" s="189" t="n">
        <v>62</v>
      </c>
      <c r="H234" s="190" t="n">
        <v>21057.6655977104</v>
      </c>
      <c r="I234" s="191" t="n">
        <v>2855448.6791997</v>
      </c>
      <c r="J234" s="192" t="str">
        <f>IF(I234&gt;0,H234/I234,0)</f>
      </c>
      <c r="K234" s="193" t="str">
        <f>1-EXP(-J234)</f>
      </c>
      <c r="L234" s="194" t="str">
        <f>IF(G234=30,1,M233)</f>
      </c>
      <c r="M234" s="195" t="str">
        <f>L234*(1-K234)</f>
      </c>
    </row>
    <row r="235">
      <c r="A235" t="s">
        <v>167</v>
      </c>
      <c r="B235" t="s">
        <v>254</v>
      </c>
      <c r="C235" s="35" t="s">
        <v>418</v>
      </c>
      <c r="D235" t="s">
        <v>502</v>
      </c>
      <c r="E235" t="s">
        <v>520</v>
      </c>
      <c r="F235" s="188" t="n">
        <v>2030</v>
      </c>
      <c r="G235" s="189" t="n">
        <v>63</v>
      </c>
      <c r="H235" s="190" t="n">
        <v>21900.6880268975</v>
      </c>
      <c r="I235" s="191" t="n">
        <v>2709103.54947498</v>
      </c>
      <c r="J235" s="192" t="str">
        <f>IF(I235&gt;0,H235/I235,0)</f>
      </c>
      <c r="K235" s="193" t="str">
        <f>1-EXP(-J235)</f>
      </c>
      <c r="L235" s="194" t="str">
        <f>IF(G235=30,1,M234)</f>
      </c>
      <c r="M235" s="195" t="str">
        <f>L235*(1-K235)</f>
      </c>
    </row>
    <row r="236">
      <c r="A236" t="s">
        <v>167</v>
      </c>
      <c r="B236" t="s">
        <v>254</v>
      </c>
      <c r="C236" s="35" t="s">
        <v>418</v>
      </c>
      <c r="D236" t="s">
        <v>502</v>
      </c>
      <c r="E236" t="s">
        <v>520</v>
      </c>
      <c r="F236" s="188" t="n">
        <v>2030</v>
      </c>
      <c r="G236" s="189" t="n">
        <v>64</v>
      </c>
      <c r="H236" s="190" t="n">
        <v>23016.2242351307</v>
      </c>
      <c r="I236" s="191" t="n">
        <v>2598267.97089595</v>
      </c>
      <c r="J236" s="192" t="str">
        <f>IF(I236&gt;0,H236/I236,0)</f>
      </c>
      <c r="K236" s="193" t="str">
        <f>1-EXP(-J236)</f>
      </c>
      <c r="L236" s="194" t="str">
        <f>IF(G236=30,1,M235)</f>
      </c>
      <c r="M236" s="195" t="str">
        <f>L236*(1-K236)</f>
      </c>
    </row>
    <row r="237">
      <c r="A237" t="s">
        <v>167</v>
      </c>
      <c r="B237" t="s">
        <v>254</v>
      </c>
      <c r="C237" s="35" t="s">
        <v>418</v>
      </c>
      <c r="D237" t="s">
        <v>502</v>
      </c>
      <c r="E237" t="s">
        <v>520</v>
      </c>
      <c r="F237" s="188" t="n">
        <v>2030</v>
      </c>
      <c r="G237" s="189" t="n">
        <v>65</v>
      </c>
      <c r="H237" s="190" t="n">
        <v>23250.6830678289</v>
      </c>
      <c r="I237" s="191" t="n">
        <v>2466500.49625081</v>
      </c>
      <c r="J237" s="192" t="str">
        <f>IF(I237&gt;0,H237/I237,0)</f>
      </c>
      <c r="K237" s="193" t="str">
        <f>1-EXP(-J237)</f>
      </c>
      <c r="L237" s="194" t="str">
        <f>IF(G237=30,1,M236)</f>
      </c>
      <c r="M237" s="195" t="str">
        <f>L237*(1-K237)</f>
      </c>
    </row>
    <row r="238">
      <c r="A238" t="s">
        <v>167</v>
      </c>
      <c r="B238" t="s">
        <v>254</v>
      </c>
      <c r="C238" s="35" t="s">
        <v>418</v>
      </c>
      <c r="D238" t="s">
        <v>502</v>
      </c>
      <c r="E238" t="s">
        <v>520</v>
      </c>
      <c r="F238" s="188" t="n">
        <v>2030</v>
      </c>
      <c r="G238" s="189" t="n">
        <v>66</v>
      </c>
      <c r="H238" s="190" t="n">
        <v>24114.2642075458</v>
      </c>
      <c r="I238" s="191" t="n">
        <v>2335244.99704758</v>
      </c>
      <c r="J238" s="192" t="str">
        <f>IF(I238&gt;0,H238/I238,0)</f>
      </c>
      <c r="K238" s="193" t="str">
        <f>1-EXP(-J238)</f>
      </c>
      <c r="L238" s="194" t="str">
        <f>IF(G238=30,1,M237)</f>
      </c>
      <c r="M238" s="195" t="str">
        <f>L238*(1-K238)</f>
      </c>
    </row>
    <row r="239">
      <c r="A239" t="s">
        <v>167</v>
      </c>
      <c r="B239" t="s">
        <v>254</v>
      </c>
      <c r="C239" s="35" t="s">
        <v>418</v>
      </c>
      <c r="D239" t="s">
        <v>502</v>
      </c>
      <c r="E239" t="s">
        <v>520</v>
      </c>
      <c r="F239" s="188" t="n">
        <v>2030</v>
      </c>
      <c r="G239" s="189" t="n">
        <v>67</v>
      </c>
      <c r="H239" s="190" t="n">
        <v>25028.1591453793</v>
      </c>
      <c r="I239" s="191" t="n">
        <v>2208543.69900215</v>
      </c>
      <c r="J239" s="192" t="str">
        <f>IF(I239&gt;0,H239/I239,0)</f>
      </c>
      <c r="K239" s="193" t="str">
        <f>1-EXP(-J239)</f>
      </c>
      <c r="L239" s="194" t="str">
        <f>IF(G239=30,1,M238)</f>
      </c>
      <c r="M239" s="195" t="str">
        <f>L239*(1-K239)</f>
      </c>
    </row>
    <row r="240">
      <c r="A240" t="s">
        <v>167</v>
      </c>
      <c r="B240" t="s">
        <v>254</v>
      </c>
      <c r="C240" s="35" t="s">
        <v>418</v>
      </c>
      <c r="D240" t="s">
        <v>502</v>
      </c>
      <c r="E240" t="s">
        <v>520</v>
      </c>
      <c r="F240" s="188" t="n">
        <v>2030</v>
      </c>
      <c r="G240" s="189" t="n">
        <v>68</v>
      </c>
      <c r="H240" s="190" t="n">
        <v>25692.0613880696</v>
      </c>
      <c r="I240" s="191" t="n">
        <v>2057457.32353212</v>
      </c>
      <c r="J240" s="192" t="str">
        <f>IF(I240&gt;0,H240/I240,0)</f>
      </c>
      <c r="K240" s="193" t="str">
        <f>1-EXP(-J240)</f>
      </c>
      <c r="L240" s="194" t="str">
        <f>IF(G240=30,1,M239)</f>
      </c>
      <c r="M240" s="195" t="str">
        <f>L240*(1-K240)</f>
      </c>
    </row>
    <row r="241">
      <c r="A241" t="s">
        <v>167</v>
      </c>
      <c r="B241" t="s">
        <v>254</v>
      </c>
      <c r="C241" s="35" t="s">
        <v>418</v>
      </c>
      <c r="D241" t="s">
        <v>502</v>
      </c>
      <c r="E241" t="s">
        <v>520</v>
      </c>
      <c r="F241" s="188" t="n">
        <v>2030</v>
      </c>
      <c r="G241" s="189" t="n">
        <v>69</v>
      </c>
      <c r="H241" s="190" t="n">
        <v>26489.5751013164</v>
      </c>
      <c r="I241" s="191" t="n">
        <v>1930814.63509237</v>
      </c>
      <c r="J241" s="192" t="str">
        <f>IF(I241&gt;0,H241/I241,0)</f>
      </c>
      <c r="K241" s="193" t="str">
        <f>1-EXP(-J241)</f>
      </c>
      <c r="L241" s="194" t="str">
        <f>IF(G241=30,1,M240)</f>
      </c>
      <c r="M241" s="195" t="str">
        <f>L241*(1-K241)</f>
      </c>
    </row>
    <row r="242">
      <c r="A242" t="s">
        <v>167</v>
      </c>
      <c r="B242" t="s">
        <v>254</v>
      </c>
      <c r="C242" s="35" t="s">
        <v>418</v>
      </c>
      <c r="D242" t="s">
        <v>502</v>
      </c>
      <c r="E242" t="s">
        <v>520</v>
      </c>
      <c r="F242" s="188" t="n">
        <v>2031</v>
      </c>
      <c r="G242" s="189" t="n">
        <v>30</v>
      </c>
      <c r="H242" s="190" t="n">
        <v>916.334318788359</v>
      </c>
      <c r="I242" s="191" t="n">
        <v>4341057.2948788</v>
      </c>
      <c r="J242" s="192" t="str">
        <f>IF(I242&gt;0,H242/I242,0)</f>
      </c>
      <c r="K242" s="193" t="str">
        <f>1-EXP(-J242)</f>
      </c>
      <c r="L242" s="194" t="str">
        <f>IF(G242=30,1,M241)</f>
      </c>
      <c r="M242" s="195" t="str">
        <f>L242*(1-K242)</f>
      </c>
    </row>
    <row r="243">
      <c r="A243" t="s">
        <v>167</v>
      </c>
      <c r="B243" t="s">
        <v>254</v>
      </c>
      <c r="C243" s="35" t="s">
        <v>418</v>
      </c>
      <c r="D243" t="s">
        <v>502</v>
      </c>
      <c r="E243" t="s">
        <v>520</v>
      </c>
      <c r="F243" s="188" t="n">
        <v>2031</v>
      </c>
      <c r="G243" s="189" t="n">
        <v>31</v>
      </c>
      <c r="H243" s="190" t="n">
        <v>1037.60017521611</v>
      </c>
      <c r="I243" s="191" t="n">
        <v>4321344.90051075</v>
      </c>
      <c r="J243" s="192" t="str">
        <f>IF(I243&gt;0,H243/I243,0)</f>
      </c>
      <c r="K243" s="193" t="str">
        <f>1-EXP(-J243)</f>
      </c>
      <c r="L243" s="194" t="str">
        <f>IF(G243=30,1,M242)</f>
      </c>
      <c r="M243" s="195" t="str">
        <f>L243*(1-K243)</f>
      </c>
    </row>
    <row r="244">
      <c r="A244" t="s">
        <v>167</v>
      </c>
      <c r="B244" t="s">
        <v>254</v>
      </c>
      <c r="C244" s="35" t="s">
        <v>418</v>
      </c>
      <c r="D244" t="s">
        <v>502</v>
      </c>
      <c r="E244" t="s">
        <v>520</v>
      </c>
      <c r="F244" s="188" t="n">
        <v>2031</v>
      </c>
      <c r="G244" s="189" t="n">
        <v>32</v>
      </c>
      <c r="H244" s="190" t="n">
        <v>1098.17921334686</v>
      </c>
      <c r="I244" s="191" t="n">
        <v>4341917.08734751</v>
      </c>
      <c r="J244" s="192" t="str">
        <f>IF(I244&gt;0,H244/I244,0)</f>
      </c>
      <c r="K244" s="193" t="str">
        <f>1-EXP(-J244)</f>
      </c>
      <c r="L244" s="194" t="str">
        <f>IF(G244=30,1,M243)</f>
      </c>
      <c r="M244" s="195" t="str">
        <f>L244*(1-K244)</f>
      </c>
    </row>
    <row r="245">
      <c r="A245" t="s">
        <v>167</v>
      </c>
      <c r="B245" t="s">
        <v>254</v>
      </c>
      <c r="C245" s="35" t="s">
        <v>418</v>
      </c>
      <c r="D245" t="s">
        <v>502</v>
      </c>
      <c r="E245" t="s">
        <v>520</v>
      </c>
      <c r="F245" s="188" t="n">
        <v>2031</v>
      </c>
      <c r="G245" s="189" t="n">
        <v>33</v>
      </c>
      <c r="H245" s="190" t="n">
        <v>1180.76924430849</v>
      </c>
      <c r="I245" s="191" t="n">
        <v>4401880.07025181</v>
      </c>
      <c r="J245" s="192" t="str">
        <f>IF(I245&gt;0,H245/I245,0)</f>
      </c>
      <c r="K245" s="193" t="str">
        <f>1-EXP(-J245)</f>
      </c>
      <c r="L245" s="194" t="str">
        <f>IF(G245=30,1,M244)</f>
      </c>
      <c r="M245" s="195" t="str">
        <f>L245*(1-K245)</f>
      </c>
    </row>
    <row r="246">
      <c r="A246" t="s">
        <v>167</v>
      </c>
      <c r="B246" t="s">
        <v>254</v>
      </c>
      <c r="C246" s="35" t="s">
        <v>418</v>
      </c>
      <c r="D246" t="s">
        <v>502</v>
      </c>
      <c r="E246" t="s">
        <v>520</v>
      </c>
      <c r="F246" s="188" t="n">
        <v>2031</v>
      </c>
      <c r="G246" s="189" t="n">
        <v>34</v>
      </c>
      <c r="H246" s="190" t="n">
        <v>1495.5636033852</v>
      </c>
      <c r="I246" s="191" t="n">
        <v>4542163.13245685</v>
      </c>
      <c r="J246" s="192" t="str">
        <f>IF(I246&gt;0,H246/I246,0)</f>
      </c>
      <c r="K246" s="193" t="str">
        <f>1-EXP(-J246)</f>
      </c>
      <c r="L246" s="194" t="str">
        <f>IF(G246=30,1,M245)</f>
      </c>
      <c r="M246" s="195" t="str">
        <f>L246*(1-K246)</f>
      </c>
    </row>
    <row r="247">
      <c r="A247" t="s">
        <v>167</v>
      </c>
      <c r="B247" t="s">
        <v>254</v>
      </c>
      <c r="C247" s="35" t="s">
        <v>418</v>
      </c>
      <c r="D247" t="s">
        <v>502</v>
      </c>
      <c r="E247" t="s">
        <v>520</v>
      </c>
      <c r="F247" s="188" t="n">
        <v>2031</v>
      </c>
      <c r="G247" s="189" t="n">
        <v>35</v>
      </c>
      <c r="H247" s="190" t="n">
        <v>2006.98312358381</v>
      </c>
      <c r="I247" s="191" t="n">
        <v>4499059.10596347</v>
      </c>
      <c r="J247" s="192" t="str">
        <f>IF(I247&gt;0,H247/I247,0)</f>
      </c>
      <c r="K247" s="193" t="str">
        <f>1-EXP(-J247)</f>
      </c>
      <c r="L247" s="194" t="str">
        <f>IF(G247=30,1,M246)</f>
      </c>
      <c r="M247" s="195" t="str">
        <f>L247*(1-K247)</f>
      </c>
    </row>
    <row r="248">
      <c r="A248" t="s">
        <v>167</v>
      </c>
      <c r="B248" t="s">
        <v>254</v>
      </c>
      <c r="C248" s="35" t="s">
        <v>418</v>
      </c>
      <c r="D248" t="s">
        <v>502</v>
      </c>
      <c r="E248" t="s">
        <v>520</v>
      </c>
      <c r="F248" s="188" t="n">
        <v>2031</v>
      </c>
      <c r="G248" s="189" t="n">
        <v>36</v>
      </c>
      <c r="H248" s="190" t="n">
        <v>2101.36464220305</v>
      </c>
      <c r="I248" s="191" t="n">
        <v>4425266.18360745</v>
      </c>
      <c r="J248" s="192" t="str">
        <f>IF(I248&gt;0,H248/I248,0)</f>
      </c>
      <c r="K248" s="193" t="str">
        <f>1-EXP(-J248)</f>
      </c>
      <c r="L248" s="194" t="str">
        <f>IF(G248=30,1,M247)</f>
      </c>
      <c r="M248" s="195" t="str">
        <f>L248*(1-K248)</f>
      </c>
    </row>
    <row r="249">
      <c r="A249" t="s">
        <v>167</v>
      </c>
      <c r="B249" t="s">
        <v>254</v>
      </c>
      <c r="C249" s="35" t="s">
        <v>418</v>
      </c>
      <c r="D249" t="s">
        <v>502</v>
      </c>
      <c r="E249" t="s">
        <v>520</v>
      </c>
      <c r="F249" s="188" t="n">
        <v>2031</v>
      </c>
      <c r="G249" s="189" t="n">
        <v>37</v>
      </c>
      <c r="H249" s="190" t="n">
        <v>2227.04742699243</v>
      </c>
      <c r="I249" s="191" t="n">
        <v>4367639.20003888</v>
      </c>
      <c r="J249" s="192" t="str">
        <f>IF(I249&gt;0,H249/I249,0)</f>
      </c>
      <c r="K249" s="193" t="str">
        <f>1-EXP(-J249)</f>
      </c>
      <c r="L249" s="194" t="str">
        <f>IF(G249=30,1,M248)</f>
      </c>
      <c r="M249" s="195" t="str">
        <f>L249*(1-K249)</f>
      </c>
    </row>
    <row r="250">
      <c r="A250" t="s">
        <v>167</v>
      </c>
      <c r="B250" t="s">
        <v>254</v>
      </c>
      <c r="C250" s="35" t="s">
        <v>418</v>
      </c>
      <c r="D250" t="s">
        <v>502</v>
      </c>
      <c r="E250" t="s">
        <v>520</v>
      </c>
      <c r="F250" s="188" t="n">
        <v>2031</v>
      </c>
      <c r="G250" s="189" t="n">
        <v>38</v>
      </c>
      <c r="H250" s="190" t="n">
        <v>2366.52864291635</v>
      </c>
      <c r="I250" s="191" t="n">
        <v>4313537.49881866</v>
      </c>
      <c r="J250" s="192" t="str">
        <f>IF(I250&gt;0,H250/I250,0)</f>
      </c>
      <c r="K250" s="193" t="str">
        <f>1-EXP(-J250)</f>
      </c>
      <c r="L250" s="194" t="str">
        <f>IF(G250=30,1,M249)</f>
      </c>
      <c r="M250" s="195" t="str">
        <f>L250*(1-K250)</f>
      </c>
    </row>
    <row r="251">
      <c r="A251" t="s">
        <v>167</v>
      </c>
      <c r="B251" t="s">
        <v>254</v>
      </c>
      <c r="C251" s="35" t="s">
        <v>418</v>
      </c>
      <c r="D251" t="s">
        <v>502</v>
      </c>
      <c r="E251" t="s">
        <v>520</v>
      </c>
      <c r="F251" s="188" t="n">
        <v>2031</v>
      </c>
      <c r="G251" s="189" t="n">
        <v>39</v>
      </c>
      <c r="H251" s="190" t="n">
        <v>2570.34981772347</v>
      </c>
      <c r="I251" s="191" t="n">
        <v>4350579.90245942</v>
      </c>
      <c r="J251" s="192" t="str">
        <f>IF(I251&gt;0,H251/I251,0)</f>
      </c>
      <c r="K251" s="193" t="str">
        <f>1-EXP(-J251)</f>
      </c>
      <c r="L251" s="194" t="str">
        <f>IF(G251=30,1,M250)</f>
      </c>
      <c r="M251" s="195" t="str">
        <f>L251*(1-K251)</f>
      </c>
    </row>
    <row r="252">
      <c r="A252" t="s">
        <v>167</v>
      </c>
      <c r="B252" t="s">
        <v>254</v>
      </c>
      <c r="C252" s="35" t="s">
        <v>418</v>
      </c>
      <c r="D252" t="s">
        <v>502</v>
      </c>
      <c r="E252" t="s">
        <v>520</v>
      </c>
      <c r="F252" s="188" t="n">
        <v>2031</v>
      </c>
      <c r="G252" s="189" t="n">
        <v>40</v>
      </c>
      <c r="H252" s="190" t="n">
        <v>3472.86988474166</v>
      </c>
      <c r="I252" s="191" t="n">
        <v>4367855.18808758</v>
      </c>
      <c r="J252" s="192" t="str">
        <f>IF(I252&gt;0,H252/I252,0)</f>
      </c>
      <c r="K252" s="193" t="str">
        <f>1-EXP(-J252)</f>
      </c>
      <c r="L252" s="194" t="str">
        <f>IF(G252=30,1,M251)</f>
      </c>
      <c r="M252" s="195" t="str">
        <f>L252*(1-K252)</f>
      </c>
    </row>
    <row r="253">
      <c r="A253" t="s">
        <v>167</v>
      </c>
      <c r="B253" t="s">
        <v>254</v>
      </c>
      <c r="C253" s="35" t="s">
        <v>418</v>
      </c>
      <c r="D253" t="s">
        <v>502</v>
      </c>
      <c r="E253" t="s">
        <v>520</v>
      </c>
      <c r="F253" s="188" t="n">
        <v>2031</v>
      </c>
      <c r="G253" s="189" t="n">
        <v>41</v>
      </c>
      <c r="H253" s="190" t="n">
        <v>5246.91989959823</v>
      </c>
      <c r="I253" s="191" t="n">
        <v>6430099.69652713</v>
      </c>
      <c r="J253" s="192" t="str">
        <f>IF(I253&gt;0,H253/I253,0)</f>
      </c>
      <c r="K253" s="193" t="str">
        <f>1-EXP(-J253)</f>
      </c>
      <c r="L253" s="194" t="str">
        <f>IF(G253=30,1,M252)</f>
      </c>
      <c r="M253" s="195" t="str">
        <f>L253*(1-K253)</f>
      </c>
    </row>
    <row r="254">
      <c r="A254" t="s">
        <v>167</v>
      </c>
      <c r="B254" t="s">
        <v>254</v>
      </c>
      <c r="C254" s="35" t="s">
        <v>418</v>
      </c>
      <c r="D254" t="s">
        <v>502</v>
      </c>
      <c r="E254" t="s">
        <v>520</v>
      </c>
      <c r="F254" s="188" t="n">
        <v>2031</v>
      </c>
      <c r="G254" s="189" t="n">
        <v>42</v>
      </c>
      <c r="H254" s="190" t="n">
        <v>4031.21142695665</v>
      </c>
      <c r="I254" s="191" t="n">
        <v>4324044.78148057</v>
      </c>
      <c r="J254" s="192" t="str">
        <f>IF(I254&gt;0,H254/I254,0)</f>
      </c>
      <c r="K254" s="193" t="str">
        <f>1-EXP(-J254)</f>
      </c>
      <c r="L254" s="194" t="str">
        <f>IF(G254=30,1,M253)</f>
      </c>
      <c r="M254" s="195" t="str">
        <f>L254*(1-K254)</f>
      </c>
    </row>
    <row r="255">
      <c r="A255" t="s">
        <v>167</v>
      </c>
      <c r="B255" t="s">
        <v>254</v>
      </c>
      <c r="C255" s="35" t="s">
        <v>418</v>
      </c>
      <c r="D255" t="s">
        <v>502</v>
      </c>
      <c r="E255" t="s">
        <v>520</v>
      </c>
      <c r="F255" s="188" t="n">
        <v>2031</v>
      </c>
      <c r="G255" s="189" t="n">
        <v>43</v>
      </c>
      <c r="H255" s="190" t="n">
        <v>4373.20694277157</v>
      </c>
      <c r="I255" s="191" t="n">
        <v>4306351.26014617</v>
      </c>
      <c r="J255" s="192" t="str">
        <f>IF(I255&gt;0,H255/I255,0)</f>
      </c>
      <c r="K255" s="193" t="str">
        <f>1-EXP(-J255)</f>
      </c>
      <c r="L255" s="194" t="str">
        <f>IF(G255=30,1,M254)</f>
      </c>
      <c r="M255" s="195" t="str">
        <f>L255*(1-K255)</f>
      </c>
    </row>
    <row r="256">
      <c r="A256" t="s">
        <v>167</v>
      </c>
      <c r="B256" t="s">
        <v>254</v>
      </c>
      <c r="C256" s="35" t="s">
        <v>418</v>
      </c>
      <c r="D256" t="s">
        <v>502</v>
      </c>
      <c r="E256" t="s">
        <v>520</v>
      </c>
      <c r="F256" s="188" t="n">
        <v>2031</v>
      </c>
      <c r="G256" s="189" t="n">
        <v>44</v>
      </c>
      <c r="H256" s="190" t="n">
        <v>4631.28715178737</v>
      </c>
      <c r="I256" s="191" t="n">
        <v>4173318.75351145</v>
      </c>
      <c r="J256" s="192" t="str">
        <f>IF(I256&gt;0,H256/I256,0)</f>
      </c>
      <c r="K256" s="193" t="str">
        <f>1-EXP(-J256)</f>
      </c>
      <c r="L256" s="194" t="str">
        <f>IF(G256=30,1,M255)</f>
      </c>
      <c r="M256" s="195" t="str">
        <f>L256*(1-K256)</f>
      </c>
    </row>
    <row r="257">
      <c r="A257" t="s">
        <v>167</v>
      </c>
      <c r="B257" t="s">
        <v>254</v>
      </c>
      <c r="C257" s="35" t="s">
        <v>418</v>
      </c>
      <c r="D257" t="s">
        <v>502</v>
      </c>
      <c r="E257" t="s">
        <v>520</v>
      </c>
      <c r="F257" s="188" t="n">
        <v>2031</v>
      </c>
      <c r="G257" s="189" t="n">
        <v>45</v>
      </c>
      <c r="H257" s="190" t="n">
        <v>5942.57388416551</v>
      </c>
      <c r="I257" s="191" t="n">
        <v>4137528.66219168</v>
      </c>
      <c r="J257" s="192" t="str">
        <f>IF(I257&gt;0,H257/I257,0)</f>
      </c>
      <c r="K257" s="193" t="str">
        <f>1-EXP(-J257)</f>
      </c>
      <c r="L257" s="194" t="str">
        <f>IF(G257=30,1,M256)</f>
      </c>
      <c r="M257" s="195" t="str">
        <f>L257*(1-K257)</f>
      </c>
    </row>
    <row r="258">
      <c r="A258" t="s">
        <v>167</v>
      </c>
      <c r="B258" t="s">
        <v>254</v>
      </c>
      <c r="C258" s="35" t="s">
        <v>418</v>
      </c>
      <c r="D258" t="s">
        <v>502</v>
      </c>
      <c r="E258" t="s">
        <v>520</v>
      </c>
      <c r="F258" s="188" t="n">
        <v>2031</v>
      </c>
      <c r="G258" s="189" t="n">
        <v>46</v>
      </c>
      <c r="H258" s="190" t="n">
        <v>6573.61510209515</v>
      </c>
      <c r="I258" s="191" t="n">
        <v>4193779.90459175</v>
      </c>
      <c r="J258" s="192" t="str">
        <f>IF(I258&gt;0,H258/I258,0)</f>
      </c>
      <c r="K258" s="193" t="str">
        <f>1-EXP(-J258)</f>
      </c>
      <c r="L258" s="194" t="str">
        <f>IF(G258=30,1,M257)</f>
      </c>
      <c r="M258" s="195" t="str">
        <f>L258*(1-K258)</f>
      </c>
    </row>
    <row r="259">
      <c r="A259" t="s">
        <v>167</v>
      </c>
      <c r="B259" t="s">
        <v>254</v>
      </c>
      <c r="C259" s="35" t="s">
        <v>418</v>
      </c>
      <c r="D259" t="s">
        <v>502</v>
      </c>
      <c r="E259" t="s">
        <v>520</v>
      </c>
      <c r="F259" s="188" t="n">
        <v>2031</v>
      </c>
      <c r="G259" s="189" t="n">
        <v>47</v>
      </c>
      <c r="H259" s="190" t="n">
        <v>7355.19107957595</v>
      </c>
      <c r="I259" s="191" t="n">
        <v>4275693.83681992</v>
      </c>
      <c r="J259" s="192" t="str">
        <f>IF(I259&gt;0,H259/I259,0)</f>
      </c>
      <c r="K259" s="193" t="str">
        <f>1-EXP(-J259)</f>
      </c>
      <c r="L259" s="194" t="str">
        <f>IF(G259=30,1,M258)</f>
      </c>
      <c r="M259" s="195" t="str">
        <f>L259*(1-K259)</f>
      </c>
    </row>
    <row r="260">
      <c r="A260" t="s">
        <v>167</v>
      </c>
      <c r="B260" t="s">
        <v>254</v>
      </c>
      <c r="C260" s="35" t="s">
        <v>418</v>
      </c>
      <c r="D260" t="s">
        <v>502</v>
      </c>
      <c r="E260" t="s">
        <v>520</v>
      </c>
      <c r="F260" s="188" t="n">
        <v>2031</v>
      </c>
      <c r="G260" s="189" t="n">
        <v>48</v>
      </c>
      <c r="H260" s="190" t="n">
        <v>8019.60220754621</v>
      </c>
      <c r="I260" s="191" t="n">
        <v>4248952.76540006</v>
      </c>
      <c r="J260" s="192" t="str">
        <f>IF(I260&gt;0,H260/I260,0)</f>
      </c>
      <c r="K260" s="193" t="str">
        <f>1-EXP(-J260)</f>
      </c>
      <c r="L260" s="194" t="str">
        <f>IF(G260=30,1,M259)</f>
      </c>
      <c r="M260" s="195" t="str">
        <f>L260*(1-K260)</f>
      </c>
    </row>
    <row r="261">
      <c r="A261" t="s">
        <v>167</v>
      </c>
      <c r="B261" t="s">
        <v>254</v>
      </c>
      <c r="C261" s="35" t="s">
        <v>418</v>
      </c>
      <c r="D261" t="s">
        <v>502</v>
      </c>
      <c r="E261" t="s">
        <v>520</v>
      </c>
      <c r="F261" s="188" t="n">
        <v>2031</v>
      </c>
      <c r="G261" s="189" t="n">
        <v>49</v>
      </c>
      <c r="H261" s="190" t="n">
        <v>8511.71394269337</v>
      </c>
      <c r="I261" s="191" t="n">
        <v>4110269.3243324</v>
      </c>
      <c r="J261" s="192" t="str">
        <f>IF(I261&gt;0,H261/I261,0)</f>
      </c>
      <c r="K261" s="193" t="str">
        <f>1-EXP(-J261)</f>
      </c>
      <c r="L261" s="194" t="str">
        <f>IF(G261=30,1,M260)</f>
      </c>
      <c r="M261" s="195" t="str">
        <f>L261*(1-K261)</f>
      </c>
    </row>
    <row r="262">
      <c r="A262" t="s">
        <v>167</v>
      </c>
      <c r="B262" t="s">
        <v>254</v>
      </c>
      <c r="C262" s="35" t="s">
        <v>418</v>
      </c>
      <c r="D262" t="s">
        <v>502</v>
      </c>
      <c r="E262" t="s">
        <v>520</v>
      </c>
      <c r="F262" s="188" t="n">
        <v>2031</v>
      </c>
      <c r="G262" s="189" t="n">
        <v>50</v>
      </c>
      <c r="H262" s="190" t="n">
        <v>9723.49774136653</v>
      </c>
      <c r="I262" s="191" t="n">
        <v>4033357.64702681</v>
      </c>
      <c r="J262" s="192" t="str">
        <f>IF(I262&gt;0,H262/I262,0)</f>
      </c>
      <c r="K262" s="193" t="str">
        <f>1-EXP(-J262)</f>
      </c>
      <c r="L262" s="194" t="str">
        <f>IF(G262=30,1,M261)</f>
      </c>
      <c r="M262" s="195" t="str">
        <f>L262*(1-K262)</f>
      </c>
    </row>
    <row r="263">
      <c r="A263" t="s">
        <v>167</v>
      </c>
      <c r="B263" t="s">
        <v>254</v>
      </c>
      <c r="C263" s="35" t="s">
        <v>418</v>
      </c>
      <c r="D263" t="s">
        <v>502</v>
      </c>
      <c r="E263" t="s">
        <v>520</v>
      </c>
      <c r="F263" s="188" t="n">
        <v>2031</v>
      </c>
      <c r="G263" s="189" t="n">
        <v>51</v>
      </c>
      <c r="H263" s="190" t="n">
        <v>10499.8738823331</v>
      </c>
      <c r="I263" s="191" t="n">
        <v>3971084.48658056</v>
      </c>
      <c r="J263" s="192" t="str">
        <f>IF(I263&gt;0,H263/I263,0)</f>
      </c>
      <c r="K263" s="193" t="str">
        <f>1-EXP(-J263)</f>
      </c>
      <c r="L263" s="194" t="str">
        <f>IF(G263=30,1,M262)</f>
      </c>
      <c r="M263" s="195" t="str">
        <f>L263*(1-K263)</f>
      </c>
    </row>
    <row r="264">
      <c r="A264" t="s">
        <v>167</v>
      </c>
      <c r="B264" t="s">
        <v>254</v>
      </c>
      <c r="C264" s="35" t="s">
        <v>418</v>
      </c>
      <c r="D264" t="s">
        <v>502</v>
      </c>
      <c r="E264" t="s">
        <v>520</v>
      </c>
      <c r="F264" s="188" t="n">
        <v>2031</v>
      </c>
      <c r="G264" s="189" t="n">
        <v>52</v>
      </c>
      <c r="H264" s="190" t="n">
        <v>11288.1719401932</v>
      </c>
      <c r="I264" s="191" t="n">
        <v>3903949.67668725</v>
      </c>
      <c r="J264" s="192" t="str">
        <f>IF(I264&gt;0,H264/I264,0)</f>
      </c>
      <c r="K264" s="193" t="str">
        <f>1-EXP(-J264)</f>
      </c>
      <c r="L264" s="194" t="str">
        <f>IF(G264=30,1,M263)</f>
      </c>
      <c r="M264" s="195" t="str">
        <f>L264*(1-K264)</f>
      </c>
    </row>
    <row r="265">
      <c r="A265" t="s">
        <v>167</v>
      </c>
      <c r="B265" t="s">
        <v>254</v>
      </c>
      <c r="C265" s="35" t="s">
        <v>418</v>
      </c>
      <c r="D265" t="s">
        <v>502</v>
      </c>
      <c r="E265" t="s">
        <v>520</v>
      </c>
      <c r="F265" s="188" t="n">
        <v>2031</v>
      </c>
      <c r="G265" s="189" t="n">
        <v>53</v>
      </c>
      <c r="H265" s="190" t="n">
        <v>12068.1737424902</v>
      </c>
      <c r="I265" s="191" t="n">
        <v>3817362.79591367</v>
      </c>
      <c r="J265" s="192" t="str">
        <f>IF(I265&gt;0,H265/I265,0)</f>
      </c>
      <c r="K265" s="193" t="str">
        <f>1-EXP(-J265)</f>
      </c>
      <c r="L265" s="194" t="str">
        <f>IF(G265=30,1,M264)</f>
      </c>
      <c r="M265" s="195" t="str">
        <f>L265*(1-K265)</f>
      </c>
    </row>
    <row r="266">
      <c r="A266" t="s">
        <v>167</v>
      </c>
      <c r="B266" t="s">
        <v>254</v>
      </c>
      <c r="C266" s="35" t="s">
        <v>418</v>
      </c>
      <c r="D266" t="s">
        <v>502</v>
      </c>
      <c r="E266" t="s">
        <v>520</v>
      </c>
      <c r="F266" s="188" t="n">
        <v>2031</v>
      </c>
      <c r="G266" s="189" t="n">
        <v>54</v>
      </c>
      <c r="H266" s="190" t="n">
        <v>12965.6704719536</v>
      </c>
      <c r="I266" s="191" t="n">
        <v>3747389.65045141</v>
      </c>
      <c r="J266" s="192" t="str">
        <f>IF(I266&gt;0,H266/I266,0)</f>
      </c>
      <c r="K266" s="193" t="str">
        <f>1-EXP(-J266)</f>
      </c>
      <c r="L266" s="194" t="str">
        <f>IF(G266=30,1,M265)</f>
      </c>
      <c r="M266" s="195" t="str">
        <f>L266*(1-K266)</f>
      </c>
    </row>
    <row r="267">
      <c r="A267" t="s">
        <v>167</v>
      </c>
      <c r="B267" t="s">
        <v>254</v>
      </c>
      <c r="C267" s="35" t="s">
        <v>418</v>
      </c>
      <c r="D267" t="s">
        <v>502</v>
      </c>
      <c r="E267" t="s">
        <v>520</v>
      </c>
      <c r="F267" s="188" t="n">
        <v>2031</v>
      </c>
      <c r="G267" s="189" t="n">
        <v>55</v>
      </c>
      <c r="H267" s="190" t="n">
        <v>13974.853076882</v>
      </c>
      <c r="I267" s="191" t="n">
        <v>3665493.70855413</v>
      </c>
      <c r="J267" s="192" t="str">
        <f>IF(I267&gt;0,H267/I267,0)</f>
      </c>
      <c r="K267" s="193" t="str">
        <f>1-EXP(-J267)</f>
      </c>
      <c r="L267" s="194" t="str">
        <f>IF(G267=30,1,M266)</f>
      </c>
      <c r="M267" s="195" t="str">
        <f>L267*(1-K267)</f>
      </c>
    </row>
    <row r="268">
      <c r="A268" t="s">
        <v>167</v>
      </c>
      <c r="B268" t="s">
        <v>254</v>
      </c>
      <c r="C268" s="35" t="s">
        <v>418</v>
      </c>
      <c r="D268" t="s">
        <v>502</v>
      </c>
      <c r="E268" t="s">
        <v>520</v>
      </c>
      <c r="F268" s="188" t="n">
        <v>2031</v>
      </c>
      <c r="G268" s="189" t="n">
        <v>56</v>
      </c>
      <c r="H268" s="190" t="n">
        <v>14872.646333019</v>
      </c>
      <c r="I268" s="191" t="n">
        <v>3582175.57878166</v>
      </c>
      <c r="J268" s="192" t="str">
        <f>IF(I268&gt;0,H268/I268,0)</f>
      </c>
      <c r="K268" s="193" t="str">
        <f>1-EXP(-J268)</f>
      </c>
      <c r="L268" s="194" t="str">
        <f>IF(G268=30,1,M267)</f>
      </c>
      <c r="M268" s="195" t="str">
        <f>L268*(1-K268)</f>
      </c>
    </row>
    <row r="269">
      <c r="A269" t="s">
        <v>167</v>
      </c>
      <c r="B269" t="s">
        <v>254</v>
      </c>
      <c r="C269" s="35" t="s">
        <v>418</v>
      </c>
      <c r="D269" t="s">
        <v>502</v>
      </c>
      <c r="E269" t="s">
        <v>520</v>
      </c>
      <c r="F269" s="188" t="n">
        <v>2031</v>
      </c>
      <c r="G269" s="189" t="n">
        <v>57</v>
      </c>
      <c r="H269" s="190" t="n">
        <v>15765.5791348358</v>
      </c>
      <c r="I269" s="191" t="n">
        <v>3472044.14012776</v>
      </c>
      <c r="J269" s="192" t="str">
        <f>IF(I269&gt;0,H269/I269,0)</f>
      </c>
      <c r="K269" s="193" t="str">
        <f>1-EXP(-J269)</f>
      </c>
      <c r="L269" s="194" t="str">
        <f>IF(G269=30,1,M268)</f>
      </c>
      <c r="M269" s="195" t="str">
        <f>L269*(1-K269)</f>
      </c>
    </row>
    <row r="270">
      <c r="A270" t="s">
        <v>167</v>
      </c>
      <c r="B270" t="s">
        <v>254</v>
      </c>
      <c r="C270" s="35" t="s">
        <v>418</v>
      </c>
      <c r="D270" t="s">
        <v>502</v>
      </c>
      <c r="E270" t="s">
        <v>520</v>
      </c>
      <c r="F270" s="188" t="n">
        <v>2031</v>
      </c>
      <c r="G270" s="189" t="n">
        <v>58</v>
      </c>
      <c r="H270" s="190" t="n">
        <v>16992.5742648218</v>
      </c>
      <c r="I270" s="191" t="n">
        <v>3420446.4837366</v>
      </c>
      <c r="J270" s="192" t="str">
        <f>IF(I270&gt;0,H270/I270,0)</f>
      </c>
      <c r="K270" s="193" t="str">
        <f>1-EXP(-J270)</f>
      </c>
      <c r="L270" s="194" t="str">
        <f>IF(G270=30,1,M269)</f>
      </c>
      <c r="M270" s="195" t="str">
        <f>L270*(1-K270)</f>
      </c>
    </row>
    <row r="271">
      <c r="A271" t="s">
        <v>167</v>
      </c>
      <c r="B271" t="s">
        <v>254</v>
      </c>
      <c r="C271" s="35" t="s">
        <v>418</v>
      </c>
      <c r="D271" t="s">
        <v>502</v>
      </c>
      <c r="E271" t="s">
        <v>520</v>
      </c>
      <c r="F271" s="188" t="n">
        <v>2031</v>
      </c>
      <c r="G271" s="189" t="n">
        <v>59</v>
      </c>
      <c r="H271" s="190" t="n">
        <v>17469.6053627191</v>
      </c>
      <c r="I271" s="191" t="n">
        <v>3208670.94680269</v>
      </c>
      <c r="J271" s="192" t="str">
        <f>IF(I271&gt;0,H271/I271,0)</f>
      </c>
      <c r="K271" s="193" t="str">
        <f>1-EXP(-J271)</f>
      </c>
      <c r="L271" s="194" t="str">
        <f>IF(G271=30,1,M270)</f>
      </c>
      <c r="M271" s="195" t="str">
        <f>L271*(1-K271)</f>
      </c>
    </row>
    <row r="272">
      <c r="A272" t="s">
        <v>167</v>
      </c>
      <c r="B272" t="s">
        <v>254</v>
      </c>
      <c r="C272" s="35" t="s">
        <v>418</v>
      </c>
      <c r="D272" t="s">
        <v>502</v>
      </c>
      <c r="E272" t="s">
        <v>520</v>
      </c>
      <c r="F272" s="188" t="n">
        <v>2031</v>
      </c>
      <c r="G272" s="189" t="n">
        <v>60</v>
      </c>
      <c r="H272" s="190" t="n">
        <v>18857.0335152227</v>
      </c>
      <c r="I272" s="191" t="n">
        <v>3115275.63021696</v>
      </c>
      <c r="J272" s="192" t="str">
        <f>IF(I272&gt;0,H272/I272,0)</f>
      </c>
      <c r="K272" s="193" t="str">
        <f>1-EXP(-J272)</f>
      </c>
      <c r="L272" s="194" t="str">
        <f>IF(G272=30,1,M271)</f>
      </c>
      <c r="M272" s="195" t="str">
        <f>L272*(1-K272)</f>
      </c>
    </row>
    <row r="273">
      <c r="A273" t="s">
        <v>167</v>
      </c>
      <c r="B273" t="s">
        <v>254</v>
      </c>
      <c r="C273" s="35" t="s">
        <v>418</v>
      </c>
      <c r="D273" t="s">
        <v>502</v>
      </c>
      <c r="E273" t="s">
        <v>520</v>
      </c>
      <c r="F273" s="188" t="n">
        <v>2031</v>
      </c>
      <c r="G273" s="189" t="n">
        <v>61</v>
      </c>
      <c r="H273" s="190" t="n">
        <v>20211.5186189977</v>
      </c>
      <c r="I273" s="191" t="n">
        <v>3025256.99548818</v>
      </c>
      <c r="J273" s="192" t="str">
        <f>IF(I273&gt;0,H273/I273,0)</f>
      </c>
      <c r="K273" s="193" t="str">
        <f>1-EXP(-J273)</f>
      </c>
      <c r="L273" s="194" t="str">
        <f>IF(G273=30,1,M272)</f>
      </c>
      <c r="M273" s="195" t="str">
        <f>L273*(1-K273)</f>
      </c>
    </row>
    <row r="274">
      <c r="A274" t="s">
        <v>167</v>
      </c>
      <c r="B274" t="s">
        <v>254</v>
      </c>
      <c r="C274" s="35" t="s">
        <v>418</v>
      </c>
      <c r="D274" t="s">
        <v>502</v>
      </c>
      <c r="E274" t="s">
        <v>520</v>
      </c>
      <c r="F274" s="188" t="n">
        <v>2031</v>
      </c>
      <c r="G274" s="189" t="n">
        <v>62</v>
      </c>
      <c r="H274" s="190" t="n">
        <v>21396.0930342586</v>
      </c>
      <c r="I274" s="191" t="n">
        <v>2926296.83872087</v>
      </c>
      <c r="J274" s="192" t="str">
        <f>IF(I274&gt;0,H274/I274,0)</f>
      </c>
      <c r="K274" s="193" t="str">
        <f>1-EXP(-J274)</f>
      </c>
      <c r="L274" s="194" t="str">
        <f>IF(G274=30,1,M273)</f>
      </c>
      <c r="M274" s="195" t="str">
        <f>L274*(1-K274)</f>
      </c>
    </row>
    <row r="275">
      <c r="A275" t="s">
        <v>167</v>
      </c>
      <c r="B275" t="s">
        <v>254</v>
      </c>
      <c r="C275" s="35" t="s">
        <v>418</v>
      </c>
      <c r="D275" t="s">
        <v>502</v>
      </c>
      <c r="E275" t="s">
        <v>520</v>
      </c>
      <c r="F275" s="188" t="n">
        <v>2031</v>
      </c>
      <c r="G275" s="189" t="n">
        <v>63</v>
      </c>
      <c r="H275" s="190" t="n">
        <v>22486.5762011809</v>
      </c>
      <c r="I275" s="191" t="n">
        <v>2808077.49177801</v>
      </c>
      <c r="J275" s="192" t="str">
        <f>IF(I275&gt;0,H275/I275,0)</f>
      </c>
      <c r="K275" s="193" t="str">
        <f>1-EXP(-J275)</f>
      </c>
      <c r="L275" s="194" t="str">
        <f>IF(G275=30,1,M274)</f>
      </c>
      <c r="M275" s="195" t="str">
        <f>L275*(1-K275)</f>
      </c>
    </row>
    <row r="276">
      <c r="A276" t="s">
        <v>167</v>
      </c>
      <c r="B276" t="s">
        <v>254</v>
      </c>
      <c r="C276" s="35" t="s">
        <v>418</v>
      </c>
      <c r="D276" t="s">
        <v>502</v>
      </c>
      <c r="E276" t="s">
        <v>520</v>
      </c>
      <c r="F276" s="188" t="n">
        <v>2031</v>
      </c>
      <c r="G276" s="189" t="n">
        <v>64</v>
      </c>
      <c r="H276" s="190" t="n">
        <v>23364.9597251107</v>
      </c>
      <c r="I276" s="191" t="n">
        <v>2659856.598683</v>
      </c>
      <c r="J276" s="192" t="str">
        <f>IF(I276&gt;0,H276/I276,0)</f>
      </c>
      <c r="K276" s="193" t="str">
        <f>1-EXP(-J276)</f>
      </c>
      <c r="L276" s="194" t="str">
        <f>IF(G276=30,1,M275)</f>
      </c>
      <c r="M276" s="195" t="str">
        <f>L276*(1-K276)</f>
      </c>
    </row>
    <row r="277">
      <c r="A277" t="s">
        <v>167</v>
      </c>
      <c r="B277" t="s">
        <v>254</v>
      </c>
      <c r="C277" s="35" t="s">
        <v>418</v>
      </c>
      <c r="D277" t="s">
        <v>502</v>
      </c>
      <c r="E277" t="s">
        <v>520</v>
      </c>
      <c r="F277" s="188" t="n">
        <v>2031</v>
      </c>
      <c r="G277" s="189" t="n">
        <v>65</v>
      </c>
      <c r="H277" s="190" t="n">
        <v>23777.3772030067</v>
      </c>
      <c r="I277" s="191" t="n">
        <v>2546539.03111194</v>
      </c>
      <c r="J277" s="192" t="str">
        <f>IF(I277&gt;0,H277/I277,0)</f>
      </c>
      <c r="K277" s="193" t="str">
        <f>1-EXP(-J277)</f>
      </c>
      <c r="L277" s="194" t="str">
        <f>IF(G277=30,1,M276)</f>
      </c>
      <c r="M277" s="195" t="str">
        <f>L277*(1-K277)</f>
      </c>
    </row>
    <row r="278">
      <c r="A278" t="s">
        <v>167</v>
      </c>
      <c r="B278" t="s">
        <v>254</v>
      </c>
      <c r="C278" s="35" t="s">
        <v>418</v>
      </c>
      <c r="D278" t="s">
        <v>502</v>
      </c>
      <c r="E278" t="s">
        <v>520</v>
      </c>
      <c r="F278" s="188" t="n">
        <v>2031</v>
      </c>
      <c r="G278" s="189" t="n">
        <v>66</v>
      </c>
      <c r="H278" s="190" t="n">
        <v>24679.0638537134</v>
      </c>
      <c r="I278" s="191" t="n">
        <v>2412950.27427518</v>
      </c>
      <c r="J278" s="192" t="str">
        <f>IF(I278&gt;0,H278/I278,0)</f>
      </c>
      <c r="K278" s="193" t="str">
        <f>1-EXP(-J278)</f>
      </c>
      <c r="L278" s="194" t="str">
        <f>IF(G278=30,1,M277)</f>
      </c>
      <c r="M278" s="195" t="str">
        <f>L278*(1-K278)</f>
      </c>
    </row>
    <row r="279">
      <c r="A279" t="s">
        <v>167</v>
      </c>
      <c r="B279" t="s">
        <v>254</v>
      </c>
      <c r="C279" s="35" t="s">
        <v>418</v>
      </c>
      <c r="D279" t="s">
        <v>502</v>
      </c>
      <c r="E279" t="s">
        <v>520</v>
      </c>
      <c r="F279" s="188" t="n">
        <v>2031</v>
      </c>
      <c r="G279" s="189" t="n">
        <v>67</v>
      </c>
      <c r="H279" s="190" t="n">
        <v>25588.1070181084</v>
      </c>
      <c r="I279" s="191" t="n">
        <v>2279463.08725548</v>
      </c>
      <c r="J279" s="192" t="str">
        <f>IF(I279&gt;0,H279/I279,0)</f>
      </c>
      <c r="K279" s="193" t="str">
        <f>1-EXP(-J279)</f>
      </c>
      <c r="L279" s="194" t="str">
        <f>IF(G279=30,1,M278)</f>
      </c>
      <c r="M279" s="195" t="str">
        <f>L279*(1-K279)</f>
      </c>
    </row>
    <row r="280">
      <c r="A280" t="s">
        <v>167</v>
      </c>
      <c r="B280" t="s">
        <v>254</v>
      </c>
      <c r="C280" s="35" t="s">
        <v>418</v>
      </c>
      <c r="D280" t="s">
        <v>502</v>
      </c>
      <c r="E280" t="s">
        <v>520</v>
      </c>
      <c r="F280" s="188" t="n">
        <v>2031</v>
      </c>
      <c r="G280" s="189" t="n">
        <v>68</v>
      </c>
      <c r="H280" s="190" t="n">
        <v>26515.3925363555</v>
      </c>
      <c r="I280" s="191" t="n">
        <v>2150707.24922997</v>
      </c>
      <c r="J280" s="192" t="str">
        <f>IF(I280&gt;0,H280/I280,0)</f>
      </c>
      <c r="K280" s="193" t="str">
        <f>1-EXP(-J280)</f>
      </c>
      <c r="L280" s="194" t="str">
        <f>IF(G280=30,1,M279)</f>
      </c>
      <c r="M280" s="195" t="str">
        <f>L280*(1-K280)</f>
      </c>
    </row>
    <row r="281">
      <c r="A281" t="s">
        <v>167</v>
      </c>
      <c r="B281" t="s">
        <v>254</v>
      </c>
      <c r="C281" s="35" t="s">
        <v>418</v>
      </c>
      <c r="D281" t="s">
        <v>502</v>
      </c>
      <c r="E281" t="s">
        <v>520</v>
      </c>
      <c r="F281" s="188" t="n">
        <v>2031</v>
      </c>
      <c r="G281" s="189" t="n">
        <v>69</v>
      </c>
      <c r="H281" s="190" t="n">
        <v>27165.9861277512</v>
      </c>
      <c r="I281" s="191" t="n">
        <v>1998112.17715895</v>
      </c>
      <c r="J281" s="192" t="str">
        <f>IF(I281&gt;0,H281/I281,0)</f>
      </c>
      <c r="K281" s="193" t="str">
        <f>1-EXP(-J281)</f>
      </c>
      <c r="L281" s="194" t="str">
        <f>IF(G281=30,1,M280)</f>
      </c>
      <c r="M281" s="195" t="str">
        <f>L281*(1-K281)</f>
      </c>
    </row>
    <row r="282">
      <c r="A282" t="s">
        <v>167</v>
      </c>
      <c r="B282" t="s">
        <v>254</v>
      </c>
      <c r="C282" s="35" t="s">
        <v>418</v>
      </c>
      <c r="D282" t="s">
        <v>502</v>
      </c>
      <c r="E282" t="s">
        <v>520</v>
      </c>
      <c r="F282" s="188" t="n">
        <v>2032</v>
      </c>
      <c r="G282" s="189" t="n">
        <v>30</v>
      </c>
      <c r="H282" s="190" t="n">
        <v>918.398836188061</v>
      </c>
      <c r="I282" s="191" t="n">
        <v>4354944.24203984</v>
      </c>
      <c r="J282" s="192" t="str">
        <f>IF(I282&gt;0,H282/I282,0)</f>
      </c>
      <c r="K282" s="193" t="str">
        <f>1-EXP(-J282)</f>
      </c>
      <c r="L282" s="194" t="str">
        <f>IF(G282=30,1,M281)</f>
      </c>
      <c r="M282" s="195" t="str">
        <f>L282*(1-K282)</f>
      </c>
    </row>
    <row r="283">
      <c r="A283" t="s">
        <v>167</v>
      </c>
      <c r="B283" t="s">
        <v>254</v>
      </c>
      <c r="C283" s="35" t="s">
        <v>418</v>
      </c>
      <c r="D283" t="s">
        <v>502</v>
      </c>
      <c r="E283" t="s">
        <v>520</v>
      </c>
      <c r="F283" s="188" t="n">
        <v>2032</v>
      </c>
      <c r="G283" s="189" t="n">
        <v>31</v>
      </c>
      <c r="H283" s="190" t="n">
        <v>1039.97274125326</v>
      </c>
      <c r="I283" s="191" t="n">
        <v>4335253.45838086</v>
      </c>
      <c r="J283" s="192" t="str">
        <f>IF(I283&gt;0,H283/I283,0)</f>
      </c>
      <c r="K283" s="193" t="str">
        <f>1-EXP(-J283)</f>
      </c>
      <c r="L283" s="194" t="str">
        <f>IF(G283=30,1,M282)</f>
      </c>
      <c r="M283" s="195" t="str">
        <f>L283*(1-K283)</f>
      </c>
    </row>
    <row r="284">
      <c r="A284" t="s">
        <v>167</v>
      </c>
      <c r="B284" t="s">
        <v>254</v>
      </c>
      <c r="C284" s="35" t="s">
        <v>418</v>
      </c>
      <c r="D284" t="s">
        <v>502</v>
      </c>
      <c r="E284" t="s">
        <v>520</v>
      </c>
      <c r="F284" s="188" t="n">
        <v>2032</v>
      </c>
      <c r="G284" s="189" t="n">
        <v>32</v>
      </c>
      <c r="H284" s="190" t="n">
        <v>1090.45242225011</v>
      </c>
      <c r="I284" s="191" t="n">
        <v>4315715.34527694</v>
      </c>
      <c r="J284" s="192" t="str">
        <f>IF(I284&gt;0,H284/I284,0)</f>
      </c>
      <c r="K284" s="193" t="str">
        <f>1-EXP(-J284)</f>
      </c>
      <c r="L284" s="194" t="str">
        <f>IF(G284=30,1,M283)</f>
      </c>
      <c r="M284" s="195" t="str">
        <f>L284*(1-K284)</f>
      </c>
    </row>
    <row r="285">
      <c r="A285" t="s">
        <v>167</v>
      </c>
      <c r="B285" t="s">
        <v>254</v>
      </c>
      <c r="C285" s="35" t="s">
        <v>418</v>
      </c>
      <c r="D285" t="s">
        <v>502</v>
      </c>
      <c r="E285" t="s">
        <v>520</v>
      </c>
      <c r="F285" s="188" t="n">
        <v>2032</v>
      </c>
      <c r="G285" s="189" t="n">
        <v>33</v>
      </c>
      <c r="H285" s="190" t="n">
        <v>1161.27520251256</v>
      </c>
      <c r="I285" s="191" t="n">
        <v>4336019.45945061</v>
      </c>
      <c r="J285" s="192" t="str">
        <f>IF(I285&gt;0,H285/I285,0)</f>
      </c>
      <c r="K285" s="193" t="str">
        <f>1-EXP(-J285)</f>
      </c>
      <c r="L285" s="194" t="str">
        <f>IF(G285=30,1,M284)</f>
      </c>
      <c r="M285" s="195" t="str">
        <f>L285*(1-K285)</f>
      </c>
    </row>
    <row r="286">
      <c r="A286" t="s">
        <v>167</v>
      </c>
      <c r="B286" t="s">
        <v>254</v>
      </c>
      <c r="C286" s="35" t="s">
        <v>418</v>
      </c>
      <c r="D286" t="s">
        <v>502</v>
      </c>
      <c r="E286" t="s">
        <v>520</v>
      </c>
      <c r="F286" s="188" t="n">
        <v>2032</v>
      </c>
      <c r="G286" s="189" t="n">
        <v>34</v>
      </c>
      <c r="H286" s="190" t="n">
        <v>1255.93247546272</v>
      </c>
      <c r="I286" s="191" t="n">
        <v>4395609.5600341</v>
      </c>
      <c r="J286" s="192" t="str">
        <f>IF(I286&gt;0,H286/I286,0)</f>
      </c>
      <c r="K286" s="193" t="str">
        <f>1-EXP(-J286)</f>
      </c>
      <c r="L286" s="194" t="str">
        <f>IF(G286=30,1,M285)</f>
      </c>
      <c r="M286" s="195" t="str">
        <f>L286*(1-K286)</f>
      </c>
    </row>
    <row r="287">
      <c r="A287" t="s">
        <v>167</v>
      </c>
      <c r="B287" t="s">
        <v>254</v>
      </c>
      <c r="C287" s="35" t="s">
        <v>418</v>
      </c>
      <c r="D287" t="s">
        <v>502</v>
      </c>
      <c r="E287" t="s">
        <v>520</v>
      </c>
      <c r="F287" s="188" t="n">
        <v>2032</v>
      </c>
      <c r="G287" s="189" t="n">
        <v>35</v>
      </c>
      <c r="H287" s="190" t="n">
        <v>2016.29829122393</v>
      </c>
      <c r="I287" s="191" t="n">
        <v>4535115.14464618</v>
      </c>
      <c r="J287" s="192" t="str">
        <f>IF(I287&gt;0,H287/I287,0)</f>
      </c>
      <c r="K287" s="193" t="str">
        <f>1-EXP(-J287)</f>
      </c>
      <c r="L287" s="194" t="str">
        <f>IF(G287=30,1,M286)</f>
      </c>
      <c r="M287" s="195" t="str">
        <f>L287*(1-K287)</f>
      </c>
    </row>
    <row r="288">
      <c r="A288" t="s">
        <v>167</v>
      </c>
      <c r="B288" t="s">
        <v>254</v>
      </c>
      <c r="C288" s="35" t="s">
        <v>418</v>
      </c>
      <c r="D288" t="s">
        <v>502</v>
      </c>
      <c r="E288" t="s">
        <v>520</v>
      </c>
      <c r="F288" s="188" t="n">
        <v>2032</v>
      </c>
      <c r="G288" s="189" t="n">
        <v>36</v>
      </c>
      <c r="H288" s="190" t="n">
        <v>2125.67562990799</v>
      </c>
      <c r="I288" s="191" t="n">
        <v>4491175.5195349</v>
      </c>
      <c r="J288" s="192" t="str">
        <f>IF(I288&gt;0,H288/I288,0)</f>
      </c>
      <c r="K288" s="193" t="str">
        <f>1-EXP(-J288)</f>
      </c>
      <c r="L288" s="194" t="str">
        <f>IF(G288=30,1,M287)</f>
      </c>
      <c r="M288" s="195" t="str">
        <f>L288*(1-K288)</f>
      </c>
    </row>
    <row r="289">
      <c r="A289" t="s">
        <v>167</v>
      </c>
      <c r="B289" t="s">
        <v>254</v>
      </c>
      <c r="C289" s="35" t="s">
        <v>418</v>
      </c>
      <c r="D289" t="s">
        <v>502</v>
      </c>
      <c r="E289" t="s">
        <v>520</v>
      </c>
      <c r="F289" s="188" t="n">
        <v>2032</v>
      </c>
      <c r="G289" s="189" t="n">
        <v>37</v>
      </c>
      <c r="H289" s="190" t="n">
        <v>2244.47183206059</v>
      </c>
      <c r="I289" s="191" t="n">
        <v>4417502.08604357</v>
      </c>
      <c r="J289" s="192" t="str">
        <f>IF(I289&gt;0,H289/I289,0)</f>
      </c>
      <c r="K289" s="193" t="str">
        <f>1-EXP(-J289)</f>
      </c>
      <c r="L289" s="194" t="str">
        <f>IF(G289=30,1,M288)</f>
      </c>
      <c r="M289" s="195" t="str">
        <f>L289*(1-K289)</f>
      </c>
    </row>
    <row r="290">
      <c r="A290" t="s">
        <v>167</v>
      </c>
      <c r="B290" t="s">
        <v>254</v>
      </c>
      <c r="C290" s="35" t="s">
        <v>418</v>
      </c>
      <c r="D290" t="s">
        <v>502</v>
      </c>
      <c r="E290" t="s">
        <v>520</v>
      </c>
      <c r="F290" s="188" t="n">
        <v>2032</v>
      </c>
      <c r="G290" s="189" t="n">
        <v>38</v>
      </c>
      <c r="H290" s="190" t="n">
        <v>2383.54765685026</v>
      </c>
      <c r="I290" s="191" t="n">
        <v>4359434.90932716</v>
      </c>
      <c r="J290" s="192" t="str">
        <f>IF(I290&gt;0,H290/I290,0)</f>
      </c>
      <c r="K290" s="193" t="str">
        <f>1-EXP(-J290)</f>
      </c>
      <c r="L290" s="194" t="str">
        <f>IF(G290=30,1,M289)</f>
      </c>
      <c r="M290" s="195" t="str">
        <f>L290*(1-K290)</f>
      </c>
    </row>
    <row r="291">
      <c r="A291" t="s">
        <v>167</v>
      </c>
      <c r="B291" t="s">
        <v>254</v>
      </c>
      <c r="C291" s="35" t="s">
        <v>418</v>
      </c>
      <c r="D291" t="s">
        <v>502</v>
      </c>
      <c r="E291" t="s">
        <v>520</v>
      </c>
      <c r="F291" s="188" t="n">
        <v>2032</v>
      </c>
      <c r="G291" s="189" t="n">
        <v>39</v>
      </c>
      <c r="H291" s="190" t="n">
        <v>2537.16644272748</v>
      </c>
      <c r="I291" s="191" t="n">
        <v>4304840.25474065</v>
      </c>
      <c r="J291" s="192" t="str">
        <f>IF(I291&gt;0,H291/I291,0)</f>
      </c>
      <c r="K291" s="193" t="str">
        <f>1-EXP(-J291)</f>
      </c>
      <c r="L291" s="194" t="str">
        <f>IF(G291=30,1,M290)</f>
      </c>
      <c r="M291" s="195" t="str">
        <f>L291*(1-K291)</f>
      </c>
    </row>
    <row r="292">
      <c r="A292" t="s">
        <v>167</v>
      </c>
      <c r="B292" t="s">
        <v>254</v>
      </c>
      <c r="C292" s="35" t="s">
        <v>418</v>
      </c>
      <c r="D292" t="s">
        <v>502</v>
      </c>
      <c r="E292" t="s">
        <v>520</v>
      </c>
      <c r="F292" s="188" t="n">
        <v>2032</v>
      </c>
      <c r="G292" s="189" t="n">
        <v>40</v>
      </c>
      <c r="H292" s="190" t="n">
        <v>3438.62707858361</v>
      </c>
      <c r="I292" s="191" t="n">
        <v>4341152.5682194</v>
      </c>
      <c r="J292" s="192" t="str">
        <f>IF(I292&gt;0,H292/I292,0)</f>
      </c>
      <c r="K292" s="193" t="str">
        <f>1-EXP(-J292)</f>
      </c>
      <c r="L292" s="194" t="str">
        <f>IF(G292=30,1,M291)</f>
      </c>
      <c r="M292" s="195" t="str">
        <f>L292*(1-K292)</f>
      </c>
    </row>
    <row r="293">
      <c r="A293" t="s">
        <v>167</v>
      </c>
      <c r="B293" t="s">
        <v>254</v>
      </c>
      <c r="C293" s="35" t="s">
        <v>418</v>
      </c>
      <c r="D293" t="s">
        <v>502</v>
      </c>
      <c r="E293" t="s">
        <v>520</v>
      </c>
      <c r="F293" s="188" t="n">
        <v>2032</v>
      </c>
      <c r="G293" s="189" t="n">
        <v>41</v>
      </c>
      <c r="H293" s="190" t="n">
        <v>3722.8376017274</v>
      </c>
      <c r="I293" s="191" t="n">
        <v>4356872.82863212</v>
      </c>
      <c r="J293" s="192" t="str">
        <f>IF(I293&gt;0,H293/I293,0)</f>
      </c>
      <c r="K293" s="193" t="str">
        <f>1-EXP(-J293)</f>
      </c>
      <c r="L293" s="194" t="str">
        <f>IF(G293=30,1,M292)</f>
      </c>
      <c r="M293" s="195" t="str">
        <f>L293*(1-K293)</f>
      </c>
    </row>
    <row r="294">
      <c r="A294" t="s">
        <v>167</v>
      </c>
      <c r="B294" t="s">
        <v>254</v>
      </c>
      <c r="C294" s="35" t="s">
        <v>418</v>
      </c>
      <c r="D294" t="s">
        <v>502</v>
      </c>
      <c r="E294" t="s">
        <v>520</v>
      </c>
      <c r="F294" s="188" t="n">
        <v>2032</v>
      </c>
      <c r="G294" s="189" t="n">
        <v>42</v>
      </c>
      <c r="H294" s="190" t="n">
        <v>5638.79267613655</v>
      </c>
      <c r="I294" s="191" t="n">
        <v>6414527.56964007</v>
      </c>
      <c r="J294" s="192" t="str">
        <f>IF(I294&gt;0,H294/I294,0)</f>
      </c>
      <c r="K294" s="193" t="str">
        <f>1-EXP(-J294)</f>
      </c>
      <c r="L294" s="194" t="str">
        <f>IF(G294=30,1,M293)</f>
      </c>
      <c r="M294" s="195" t="str">
        <f>L294*(1-K294)</f>
      </c>
    </row>
    <row r="295">
      <c r="A295" t="s">
        <v>167</v>
      </c>
      <c r="B295" t="s">
        <v>254</v>
      </c>
      <c r="C295" s="35" t="s">
        <v>418</v>
      </c>
      <c r="D295" t="s">
        <v>502</v>
      </c>
      <c r="E295" t="s">
        <v>520</v>
      </c>
      <c r="F295" s="188" t="n">
        <v>2032</v>
      </c>
      <c r="G295" s="189" t="n">
        <v>43</v>
      </c>
      <c r="H295" s="190" t="n">
        <v>4357.03636973814</v>
      </c>
      <c r="I295" s="191" t="n">
        <v>4312222.18217938</v>
      </c>
      <c r="J295" s="192" t="str">
        <f>IF(I295&gt;0,H295/I295,0)</f>
      </c>
      <c r="K295" s="193" t="str">
        <f>1-EXP(-J295)</f>
      </c>
      <c r="L295" s="194" t="str">
        <f>IF(G295=30,1,M294)</f>
      </c>
      <c r="M295" s="195" t="str">
        <f>L295*(1-K295)</f>
      </c>
    </row>
    <row r="296">
      <c r="A296" t="s">
        <v>167</v>
      </c>
      <c r="B296" t="s">
        <v>254</v>
      </c>
      <c r="C296" s="35" t="s">
        <v>418</v>
      </c>
      <c r="D296" t="s">
        <v>502</v>
      </c>
      <c r="E296" t="s">
        <v>520</v>
      </c>
      <c r="F296" s="188" t="n">
        <v>2032</v>
      </c>
      <c r="G296" s="189" t="n">
        <v>44</v>
      </c>
      <c r="H296" s="190" t="n">
        <v>4739.66985894328</v>
      </c>
      <c r="I296" s="191" t="n">
        <v>4293564.57712005</v>
      </c>
      <c r="J296" s="192" t="str">
        <f>IF(I296&gt;0,H296/I296,0)</f>
      </c>
      <c r="K296" s="193" t="str">
        <f>1-EXP(-J296)</f>
      </c>
      <c r="L296" s="194" t="str">
        <f>IF(G296=30,1,M295)</f>
      </c>
      <c r="M296" s="195" t="str">
        <f>L296*(1-K296)</f>
      </c>
    </row>
    <row r="297">
      <c r="A297" t="s">
        <v>167</v>
      </c>
      <c r="B297" t="s">
        <v>254</v>
      </c>
      <c r="C297" s="35" t="s">
        <v>418</v>
      </c>
      <c r="D297" t="s">
        <v>502</v>
      </c>
      <c r="E297" t="s">
        <v>520</v>
      </c>
      <c r="F297" s="188" t="n">
        <v>2032</v>
      </c>
      <c r="G297" s="189" t="n">
        <v>45</v>
      </c>
      <c r="H297" s="190" t="n">
        <v>5941.62310123325</v>
      </c>
      <c r="I297" s="191" t="n">
        <v>4159816.19393963</v>
      </c>
      <c r="J297" s="192" t="str">
        <f>IF(I297&gt;0,H297/I297,0)</f>
      </c>
      <c r="K297" s="193" t="str">
        <f>1-EXP(-J297)</f>
      </c>
      <c r="L297" s="194" t="str">
        <f>IF(G297=30,1,M296)</f>
      </c>
      <c r="M297" s="195" t="str">
        <f>L297*(1-K297)</f>
      </c>
    </row>
    <row r="298">
      <c r="A298" t="s">
        <v>167</v>
      </c>
      <c r="B298" t="s">
        <v>254</v>
      </c>
      <c r="C298" s="35" t="s">
        <v>418</v>
      </c>
      <c r="D298" t="s">
        <v>502</v>
      </c>
      <c r="E298" t="s">
        <v>520</v>
      </c>
      <c r="F298" s="188" t="n">
        <v>2032</v>
      </c>
      <c r="G298" s="189" t="n">
        <v>46</v>
      </c>
      <c r="H298" s="190" t="n">
        <v>6423.16243656525</v>
      </c>
      <c r="I298" s="191" t="n">
        <v>4121929.37146343</v>
      </c>
      <c r="J298" s="192" t="str">
        <f>IF(I298&gt;0,H298/I298,0)</f>
      </c>
      <c r="K298" s="193" t="str">
        <f>1-EXP(-J298)</f>
      </c>
      <c r="L298" s="194" t="str">
        <f>IF(G298=30,1,M297)</f>
      </c>
      <c r="M298" s="195" t="str">
        <f>L298*(1-K298)</f>
      </c>
    </row>
    <row r="299">
      <c r="A299" t="s">
        <v>167</v>
      </c>
      <c r="B299" t="s">
        <v>254</v>
      </c>
      <c r="C299" s="35" t="s">
        <v>418</v>
      </c>
      <c r="D299" t="s">
        <v>502</v>
      </c>
      <c r="E299" t="s">
        <v>520</v>
      </c>
      <c r="F299" s="188" t="n">
        <v>2032</v>
      </c>
      <c r="G299" s="189" t="n">
        <v>47</v>
      </c>
      <c r="H299" s="190" t="n">
        <v>7144.76463241586</v>
      </c>
      <c r="I299" s="191" t="n">
        <v>4177523.88665194</v>
      </c>
      <c r="J299" s="192" t="str">
        <f>IF(I299&gt;0,H299/I299,0)</f>
      </c>
      <c r="K299" s="193" t="str">
        <f>1-EXP(-J299)</f>
      </c>
      <c r="L299" s="194" t="str">
        <f>IF(G299=30,1,M298)</f>
      </c>
      <c r="M299" s="195" t="str">
        <f>L299*(1-K299)</f>
      </c>
    </row>
    <row r="300">
      <c r="A300" t="s">
        <v>167</v>
      </c>
      <c r="B300" t="s">
        <v>254</v>
      </c>
      <c r="C300" s="35" t="s">
        <v>418</v>
      </c>
      <c r="D300" t="s">
        <v>502</v>
      </c>
      <c r="E300" t="s">
        <v>520</v>
      </c>
      <c r="F300" s="188" t="n">
        <v>2032</v>
      </c>
      <c r="G300" s="189" t="n">
        <v>48</v>
      </c>
      <c r="H300" s="190" t="n">
        <v>7991.78389421983</v>
      </c>
      <c r="I300" s="191" t="n">
        <v>4257531.42805413</v>
      </c>
      <c r="J300" s="192" t="str">
        <f>IF(I300&gt;0,H300/I300,0)</f>
      </c>
      <c r="K300" s="193" t="str">
        <f>1-EXP(-J300)</f>
      </c>
      <c r="L300" s="194" t="str">
        <f>IF(G300=30,1,M299)</f>
      </c>
      <c r="M300" s="195" t="str">
        <f>L300*(1-K300)</f>
      </c>
    </row>
    <row r="301">
      <c r="A301" t="s">
        <v>167</v>
      </c>
      <c r="B301" t="s">
        <v>254</v>
      </c>
      <c r="C301" s="35" t="s">
        <v>418</v>
      </c>
      <c r="D301" t="s">
        <v>502</v>
      </c>
      <c r="E301" t="s">
        <v>520</v>
      </c>
      <c r="F301" s="188" t="n">
        <v>2032</v>
      </c>
      <c r="G301" s="189" t="n">
        <v>49</v>
      </c>
      <c r="H301" s="190" t="n">
        <v>8707.40243022306</v>
      </c>
      <c r="I301" s="191" t="n">
        <v>4229170.54461608</v>
      </c>
      <c r="J301" s="192" t="str">
        <f>IF(I301&gt;0,H301/I301,0)</f>
      </c>
      <c r="K301" s="193" t="str">
        <f>1-EXP(-J301)</f>
      </c>
      <c r="L301" s="194" t="str">
        <f>IF(G301=30,1,M300)</f>
      </c>
      <c r="M301" s="195" t="str">
        <f>L301*(1-K301)</f>
      </c>
    </row>
    <row r="302">
      <c r="A302" t="s">
        <v>167</v>
      </c>
      <c r="B302" t="s">
        <v>254</v>
      </c>
      <c r="C302" s="35" t="s">
        <v>418</v>
      </c>
      <c r="D302" t="s">
        <v>502</v>
      </c>
      <c r="E302" t="s">
        <v>520</v>
      </c>
      <c r="F302" s="188" t="n">
        <v>2032</v>
      </c>
      <c r="G302" s="189" t="n">
        <v>50</v>
      </c>
      <c r="H302" s="190" t="n">
        <v>9798.1818095578</v>
      </c>
      <c r="I302" s="191" t="n">
        <v>4089292.35143595</v>
      </c>
      <c r="J302" s="192" t="str">
        <f>IF(I302&gt;0,H302/I302,0)</f>
      </c>
      <c r="K302" s="193" t="str">
        <f>1-EXP(-J302)</f>
      </c>
      <c r="L302" s="194" t="str">
        <f>IF(G302=30,1,M301)</f>
      </c>
      <c r="M302" s="195" t="str">
        <f>L302*(1-K302)</f>
      </c>
    </row>
    <row r="303">
      <c r="A303" t="s">
        <v>167</v>
      </c>
      <c r="B303" t="s">
        <v>254</v>
      </c>
      <c r="C303" s="35" t="s">
        <v>418</v>
      </c>
      <c r="D303" t="s">
        <v>502</v>
      </c>
      <c r="E303" t="s">
        <v>520</v>
      </c>
      <c r="F303" s="188" t="n">
        <v>2032</v>
      </c>
      <c r="G303" s="189" t="n">
        <v>51</v>
      </c>
      <c r="H303" s="190" t="n">
        <v>10542.3872620275</v>
      </c>
      <c r="I303" s="191" t="n">
        <v>4009985.2440363</v>
      </c>
      <c r="J303" s="192" t="str">
        <f>IF(I303&gt;0,H303/I303,0)</f>
      </c>
      <c r="K303" s="193" t="str">
        <f>1-EXP(-J303)</f>
      </c>
      <c r="L303" s="194" t="str">
        <f>IF(G303=30,1,M302)</f>
      </c>
      <c r="M303" s="195" t="str">
        <f>L303*(1-K303)</f>
      </c>
    </row>
    <row r="304">
      <c r="A304" t="s">
        <v>167</v>
      </c>
      <c r="B304" t="s">
        <v>254</v>
      </c>
      <c r="C304" s="35" t="s">
        <v>418</v>
      </c>
      <c r="D304" t="s">
        <v>502</v>
      </c>
      <c r="E304" t="s">
        <v>520</v>
      </c>
      <c r="F304" s="188" t="n">
        <v>2032</v>
      </c>
      <c r="G304" s="189" t="n">
        <v>52</v>
      </c>
      <c r="H304" s="190" t="n">
        <v>11347.0658694611</v>
      </c>
      <c r="I304" s="191" t="n">
        <v>3946736.77612739</v>
      </c>
      <c r="J304" s="192" t="str">
        <f>IF(I304&gt;0,H304/I304,0)</f>
      </c>
      <c r="K304" s="193" t="str">
        <f>1-EXP(-J304)</f>
      </c>
      <c r="L304" s="194" t="str">
        <f>IF(G304=30,1,M303)</f>
      </c>
      <c r="M304" s="195" t="str">
        <f>L304*(1-K304)</f>
      </c>
    </row>
    <row r="305">
      <c r="A305" t="s">
        <v>167</v>
      </c>
      <c r="B305" t="s">
        <v>254</v>
      </c>
      <c r="C305" s="35" t="s">
        <v>418</v>
      </c>
      <c r="D305" t="s">
        <v>502</v>
      </c>
      <c r="E305" t="s">
        <v>520</v>
      </c>
      <c r="F305" s="188" t="n">
        <v>2032</v>
      </c>
      <c r="G305" s="189" t="n">
        <v>53</v>
      </c>
      <c r="H305" s="190" t="n">
        <v>12190.3502725853</v>
      </c>
      <c r="I305" s="191" t="n">
        <v>3877792.35930709</v>
      </c>
      <c r="J305" s="192" t="str">
        <f>IF(I305&gt;0,H305/I305,0)</f>
      </c>
      <c r="K305" s="193" t="str">
        <f>1-EXP(-J305)</f>
      </c>
      <c r="L305" s="194" t="str">
        <f>IF(G305=30,1,M304)</f>
      </c>
      <c r="M305" s="195" t="str">
        <f>L305*(1-K305)</f>
      </c>
    </row>
    <row r="306">
      <c r="A306" t="s">
        <v>167</v>
      </c>
      <c r="B306" t="s">
        <v>254</v>
      </c>
      <c r="C306" s="35" t="s">
        <v>418</v>
      </c>
      <c r="D306" t="s">
        <v>502</v>
      </c>
      <c r="E306" t="s">
        <v>520</v>
      </c>
      <c r="F306" s="188" t="n">
        <v>2032</v>
      </c>
      <c r="G306" s="189" t="n">
        <v>54</v>
      </c>
      <c r="H306" s="190" t="n">
        <v>13024.1701645032</v>
      </c>
      <c r="I306" s="191" t="n">
        <v>3789420.32339955</v>
      </c>
      <c r="J306" s="192" t="str">
        <f>IF(I306&gt;0,H306/I306,0)</f>
      </c>
      <c r="K306" s="193" t="str">
        <f>1-EXP(-J306)</f>
      </c>
      <c r="L306" s="194" t="str">
        <f>IF(G306=30,1,M305)</f>
      </c>
      <c r="M306" s="195" t="str">
        <f>L306*(1-K306)</f>
      </c>
    </row>
    <row r="307">
      <c r="A307" t="s">
        <v>167</v>
      </c>
      <c r="B307" t="s">
        <v>254</v>
      </c>
      <c r="C307" s="35" t="s">
        <v>418</v>
      </c>
      <c r="D307" t="s">
        <v>502</v>
      </c>
      <c r="E307" t="s">
        <v>520</v>
      </c>
      <c r="F307" s="188" t="n">
        <v>2032</v>
      </c>
      <c r="G307" s="189" t="n">
        <v>55</v>
      </c>
      <c r="H307" s="190" t="n">
        <v>14069.5146981717</v>
      </c>
      <c r="I307" s="191" t="n">
        <v>3717398.86042239</v>
      </c>
      <c r="J307" s="192" t="str">
        <f>IF(I307&gt;0,H307/I307,0)</f>
      </c>
      <c r="K307" s="193" t="str">
        <f>1-EXP(-J307)</f>
      </c>
      <c r="L307" s="194" t="str">
        <f>IF(G307=30,1,M306)</f>
      </c>
      <c r="M307" s="195" t="str">
        <f>L307*(1-K307)</f>
      </c>
    </row>
    <row r="308">
      <c r="A308" t="s">
        <v>167</v>
      </c>
      <c r="B308" t="s">
        <v>254</v>
      </c>
      <c r="C308" s="35" t="s">
        <v>418</v>
      </c>
      <c r="D308" t="s">
        <v>502</v>
      </c>
      <c r="E308" t="s">
        <v>520</v>
      </c>
      <c r="F308" s="188" t="n">
        <v>2032</v>
      </c>
      <c r="G308" s="189" t="n">
        <v>56</v>
      </c>
      <c r="H308" s="190" t="n">
        <v>14971.2372886075</v>
      </c>
      <c r="I308" s="191" t="n">
        <v>3633044.05775614</v>
      </c>
      <c r="J308" s="192" t="str">
        <f>IF(I308&gt;0,H308/I308,0)</f>
      </c>
      <c r="K308" s="193" t="str">
        <f>1-EXP(-J308)</f>
      </c>
      <c r="L308" s="194" t="str">
        <f>IF(G308=30,1,M307)</f>
      </c>
      <c r="M308" s="195" t="str">
        <f>L308*(1-K308)</f>
      </c>
    </row>
    <row r="309">
      <c r="A309" t="s">
        <v>167</v>
      </c>
      <c r="B309" t="s">
        <v>254</v>
      </c>
      <c r="C309" s="35" t="s">
        <v>418</v>
      </c>
      <c r="D309" t="s">
        <v>502</v>
      </c>
      <c r="E309" t="s">
        <v>520</v>
      </c>
      <c r="F309" s="188" t="n">
        <v>2032</v>
      </c>
      <c r="G309" s="189" t="n">
        <v>57</v>
      </c>
      <c r="H309" s="190" t="n">
        <v>15987.4624778339</v>
      </c>
      <c r="I309" s="191" t="n">
        <v>3547992.70193021</v>
      </c>
      <c r="J309" s="192" t="str">
        <f>IF(I309&gt;0,H309/I309,0)</f>
      </c>
      <c r="K309" s="193" t="str">
        <f>1-EXP(-J309)</f>
      </c>
      <c r="L309" s="194" t="str">
        <f>IF(G309=30,1,M308)</f>
      </c>
      <c r="M309" s="195" t="str">
        <f>L309*(1-K309)</f>
      </c>
    </row>
    <row r="310">
      <c r="A310" t="s">
        <v>167</v>
      </c>
      <c r="B310" t="s">
        <v>254</v>
      </c>
      <c r="C310" s="35" t="s">
        <v>418</v>
      </c>
      <c r="D310" t="s">
        <v>502</v>
      </c>
      <c r="E310" t="s">
        <v>520</v>
      </c>
      <c r="F310" s="188" t="n">
        <v>2032</v>
      </c>
      <c r="G310" s="189" t="n">
        <v>58</v>
      </c>
      <c r="H310" s="190" t="n">
        <v>16941.0345094334</v>
      </c>
      <c r="I310" s="191" t="n">
        <v>3435844.68856897</v>
      </c>
      <c r="J310" s="192" t="str">
        <f>IF(I310&gt;0,H310/I310,0)</f>
      </c>
      <c r="K310" s="193" t="str">
        <f>1-EXP(-J310)</f>
      </c>
      <c r="L310" s="194" t="str">
        <f>IF(G310=30,1,M309)</f>
      </c>
      <c r="M310" s="195" t="str">
        <f>L310*(1-K310)</f>
      </c>
    </row>
    <row r="311">
      <c r="A311" t="s">
        <v>167</v>
      </c>
      <c r="B311" t="s">
        <v>254</v>
      </c>
      <c r="C311" s="35" t="s">
        <v>418</v>
      </c>
      <c r="D311" t="s">
        <v>502</v>
      </c>
      <c r="E311" t="s">
        <v>520</v>
      </c>
      <c r="F311" s="188" t="n">
        <v>2032</v>
      </c>
      <c r="G311" s="189" t="n">
        <v>59</v>
      </c>
      <c r="H311" s="190" t="n">
        <v>18252.2226431197</v>
      </c>
      <c r="I311" s="191" t="n">
        <v>3381467.22717228</v>
      </c>
      <c r="J311" s="192" t="str">
        <f>IF(I311&gt;0,H311/I311,0)</f>
      </c>
      <c r="K311" s="193" t="str">
        <f>1-EXP(-J311)</f>
      </c>
      <c r="L311" s="194" t="str">
        <f>IF(G311=30,1,M310)</f>
      </c>
      <c r="M311" s="195" t="str">
        <f>L311*(1-K311)</f>
      </c>
    </row>
    <row r="312">
      <c r="A312" t="s">
        <v>167</v>
      </c>
      <c r="B312" t="s">
        <v>254</v>
      </c>
      <c r="C312" s="35" t="s">
        <v>418</v>
      </c>
      <c r="D312" t="s">
        <v>502</v>
      </c>
      <c r="E312" t="s">
        <v>520</v>
      </c>
      <c r="F312" s="188" t="n">
        <v>2032</v>
      </c>
      <c r="G312" s="189" t="n">
        <v>60</v>
      </c>
      <c r="H312" s="190" t="n">
        <v>19000.1057748472</v>
      </c>
      <c r="I312" s="191" t="n">
        <v>3168637.77797667</v>
      </c>
      <c r="J312" s="192" t="str">
        <f>IF(I312&gt;0,H312/I312,0)</f>
      </c>
      <c r="K312" s="193" t="str">
        <f>1-EXP(-J312)</f>
      </c>
      <c r="L312" s="194" t="str">
        <f>IF(G312=30,1,M311)</f>
      </c>
      <c r="M312" s="195" t="str">
        <f>L312*(1-K312)</f>
      </c>
    </row>
    <row r="313">
      <c r="A313" t="s">
        <v>167</v>
      </c>
      <c r="B313" t="s">
        <v>254</v>
      </c>
      <c r="C313" s="35" t="s">
        <v>418</v>
      </c>
      <c r="D313" t="s">
        <v>502</v>
      </c>
      <c r="E313" t="s">
        <v>520</v>
      </c>
      <c r="F313" s="188" t="n">
        <v>2032</v>
      </c>
      <c r="G313" s="189" t="n">
        <v>61</v>
      </c>
      <c r="H313" s="190" t="n">
        <v>20332.6805359366</v>
      </c>
      <c r="I313" s="191" t="n">
        <v>3072241.63159243</v>
      </c>
      <c r="J313" s="192" t="str">
        <f>IF(I313&gt;0,H313/I313,0)</f>
      </c>
      <c r="K313" s="193" t="str">
        <f>1-EXP(-J313)</f>
      </c>
      <c r="L313" s="194" t="str">
        <f>IF(G313=30,1,M312)</f>
      </c>
      <c r="M313" s="195" t="str">
        <f>L313*(1-K313)</f>
      </c>
    </row>
    <row r="314">
      <c r="A314" t="s">
        <v>167</v>
      </c>
      <c r="B314" t="s">
        <v>254</v>
      </c>
      <c r="C314" s="35" t="s">
        <v>418</v>
      </c>
      <c r="D314" t="s">
        <v>502</v>
      </c>
      <c r="E314" t="s">
        <v>520</v>
      </c>
      <c r="F314" s="188" t="n">
        <v>2032</v>
      </c>
      <c r="G314" s="189" t="n">
        <v>62</v>
      </c>
      <c r="H314" s="190" t="n">
        <v>21587.4720139551</v>
      </c>
      <c r="I314" s="191" t="n">
        <v>2979876.29678727</v>
      </c>
      <c r="J314" s="192" t="str">
        <f>IF(I314&gt;0,H314/I314,0)</f>
      </c>
      <c r="K314" s="193" t="str">
        <f>1-EXP(-J314)</f>
      </c>
      <c r="L314" s="194" t="str">
        <f>IF(G314=30,1,M313)</f>
      </c>
      <c r="M314" s="195" t="str">
        <f>L314*(1-K314)</f>
      </c>
    </row>
    <row r="315">
      <c r="A315" t="s">
        <v>167</v>
      </c>
      <c r="B315" t="s">
        <v>254</v>
      </c>
      <c r="C315" s="35" t="s">
        <v>418</v>
      </c>
      <c r="D315" t="s">
        <v>502</v>
      </c>
      <c r="E315" t="s">
        <v>520</v>
      </c>
      <c r="F315" s="188" t="n">
        <v>2032</v>
      </c>
      <c r="G315" s="189" t="n">
        <v>63</v>
      </c>
      <c r="H315" s="190" t="n">
        <v>22838.0637143425</v>
      </c>
      <c r="I315" s="191" t="n">
        <v>2878268.87939544</v>
      </c>
      <c r="J315" s="192" t="str">
        <f>IF(I315&gt;0,H315/I315,0)</f>
      </c>
      <c r="K315" s="193" t="str">
        <f>1-EXP(-J315)</f>
      </c>
      <c r="L315" s="194" t="str">
        <f>IF(G315=30,1,M314)</f>
      </c>
      <c r="M315" s="195" t="str">
        <f>L315*(1-K315)</f>
      </c>
    </row>
    <row r="316">
      <c r="A316" t="s">
        <v>167</v>
      </c>
      <c r="B316" t="s">
        <v>254</v>
      </c>
      <c r="C316" s="35" t="s">
        <v>418</v>
      </c>
      <c r="D316" t="s">
        <v>502</v>
      </c>
      <c r="E316" t="s">
        <v>520</v>
      </c>
      <c r="F316" s="188" t="n">
        <v>2032</v>
      </c>
      <c r="G316" s="189" t="n">
        <v>64</v>
      </c>
      <c r="H316" s="190" t="n">
        <v>23979.7257670118</v>
      </c>
      <c r="I316" s="191" t="n">
        <v>2757622.4521078</v>
      </c>
      <c r="J316" s="192" t="str">
        <f>IF(I316&gt;0,H316/I316,0)</f>
      </c>
      <c r="K316" s="193" t="str">
        <f>1-EXP(-J316)</f>
      </c>
      <c r="L316" s="194" t="str">
        <f>IF(G316=30,1,M315)</f>
      </c>
      <c r="M316" s="195" t="str">
        <f>L316*(1-K316)</f>
      </c>
    </row>
    <row r="317">
      <c r="A317" t="s">
        <v>167</v>
      </c>
      <c r="B317" t="s">
        <v>254</v>
      </c>
      <c r="C317" s="35" t="s">
        <v>418</v>
      </c>
      <c r="D317" t="s">
        <v>502</v>
      </c>
      <c r="E317" t="s">
        <v>520</v>
      </c>
      <c r="F317" s="188" t="n">
        <v>2032</v>
      </c>
      <c r="G317" s="189" t="n">
        <v>65</v>
      </c>
      <c r="H317" s="190" t="n">
        <v>24094.8607206845</v>
      </c>
      <c r="I317" s="191" t="n">
        <v>2607455.31937875</v>
      </c>
      <c r="J317" s="192" t="str">
        <f>IF(I317&gt;0,H317/I317,0)</f>
      </c>
      <c r="K317" s="193" t="str">
        <f>1-EXP(-J317)</f>
      </c>
      <c r="L317" s="194" t="str">
        <f>IF(G317=30,1,M316)</f>
      </c>
      <c r="M317" s="195" t="str">
        <f>L317*(1-K317)</f>
      </c>
    </row>
    <row r="318">
      <c r="A318" t="s">
        <v>167</v>
      </c>
      <c r="B318" t="s">
        <v>254</v>
      </c>
      <c r="C318" s="35" t="s">
        <v>418</v>
      </c>
      <c r="D318" t="s">
        <v>502</v>
      </c>
      <c r="E318" t="s">
        <v>520</v>
      </c>
      <c r="F318" s="188" t="n">
        <v>2032</v>
      </c>
      <c r="G318" s="189" t="n">
        <v>66</v>
      </c>
      <c r="H318" s="190" t="n">
        <v>25227.0713818463</v>
      </c>
      <c r="I318" s="191" t="n">
        <v>2491842.93543795</v>
      </c>
      <c r="J318" s="192" t="str">
        <f>IF(I318&gt;0,H318/I318,0)</f>
      </c>
      <c r="K318" s="193" t="str">
        <f>1-EXP(-J318)</f>
      </c>
      <c r="L318" s="194" t="str">
        <f>IF(G318=30,1,M317)</f>
      </c>
      <c r="M318" s="195" t="str">
        <f>L318*(1-K318)</f>
      </c>
    </row>
    <row r="319">
      <c r="A319" t="s">
        <v>167</v>
      </c>
      <c r="B319" t="s">
        <v>254</v>
      </c>
      <c r="C319" s="35" t="s">
        <v>418</v>
      </c>
      <c r="D319" t="s">
        <v>502</v>
      </c>
      <c r="E319" t="s">
        <v>520</v>
      </c>
      <c r="F319" s="188" t="n">
        <v>2032</v>
      </c>
      <c r="G319" s="189" t="n">
        <v>67</v>
      </c>
      <c r="H319" s="190" t="n">
        <v>26176.6357494293</v>
      </c>
      <c r="I319" s="191" t="n">
        <v>2355907.98271658</v>
      </c>
      <c r="J319" s="192" t="str">
        <f>IF(I319&gt;0,H319/I319,0)</f>
      </c>
      <c r="K319" s="193" t="str">
        <f>1-EXP(-J319)</f>
      </c>
      <c r="L319" s="194" t="str">
        <f>IF(G319=30,1,M318)</f>
      </c>
      <c r="M319" s="195" t="str">
        <f>L319*(1-K319)</f>
      </c>
    </row>
    <row r="320">
      <c r="A320" t="s">
        <v>167</v>
      </c>
      <c r="B320" t="s">
        <v>254</v>
      </c>
      <c r="C320" s="35" t="s">
        <v>418</v>
      </c>
      <c r="D320" t="s">
        <v>502</v>
      </c>
      <c r="E320" t="s">
        <v>520</v>
      </c>
      <c r="F320" s="188" t="n">
        <v>2032</v>
      </c>
      <c r="G320" s="189" t="n">
        <v>68</v>
      </c>
      <c r="H320" s="190" t="n">
        <v>27097.9220307122</v>
      </c>
      <c r="I320" s="191" t="n">
        <v>2220382.5989165</v>
      </c>
      <c r="J320" s="192" t="str">
        <f>IF(I320&gt;0,H320/I320,0)</f>
      </c>
      <c r="K320" s="193" t="str">
        <f>1-EXP(-J320)</f>
      </c>
      <c r="L320" s="194" t="str">
        <f>IF(G320=30,1,M319)</f>
      </c>
      <c r="M320" s="195" t="str">
        <f>L320*(1-K320)</f>
      </c>
    </row>
    <row r="321">
      <c r="A321" t="s">
        <v>167</v>
      </c>
      <c r="B321" t="s">
        <v>254</v>
      </c>
      <c r="C321" s="35" t="s">
        <v>418</v>
      </c>
      <c r="D321" t="s">
        <v>502</v>
      </c>
      <c r="E321" t="s">
        <v>520</v>
      </c>
      <c r="F321" s="188" t="n">
        <v>2032</v>
      </c>
      <c r="G321" s="189" t="n">
        <v>69</v>
      </c>
      <c r="H321" s="190" t="n">
        <v>28032.7496980907</v>
      </c>
      <c r="I321" s="191" t="n">
        <v>2089558.29996314</v>
      </c>
      <c r="J321" s="192" t="str">
        <f>IF(I321&gt;0,H321/I321,0)</f>
      </c>
      <c r="K321" s="193" t="str">
        <f>1-EXP(-J321)</f>
      </c>
      <c r="L321" s="194" t="str">
        <f>IF(G321=30,1,M320)</f>
      </c>
      <c r="M321" s="195" t="str">
        <f>L321*(1-K321)</f>
      </c>
    </row>
    <row r="322">
      <c r="A322" t="s">
        <v>167</v>
      </c>
      <c r="B322" t="s">
        <v>254</v>
      </c>
      <c r="C322" s="35" t="s">
        <v>418</v>
      </c>
      <c r="D322" t="s">
        <v>502</v>
      </c>
      <c r="E322" t="s">
        <v>520</v>
      </c>
      <c r="F322" s="188" t="n">
        <v>2033</v>
      </c>
      <c r="G322" s="189" t="n">
        <v>30</v>
      </c>
      <c r="H322" s="190" t="n">
        <v>730.716474897178</v>
      </c>
      <c r="I322" s="191" t="n">
        <v>4369879.16868092</v>
      </c>
      <c r="J322" s="192" t="str">
        <f>IF(I322&gt;0,H322/I322,0)</f>
      </c>
      <c r="K322" s="193" t="str">
        <f>1-EXP(-J322)</f>
      </c>
      <c r="L322" s="194" t="str">
        <f>IF(G322=30,1,M321)</f>
      </c>
      <c r="M322" s="195" t="str">
        <f>L322*(1-K322)</f>
      </c>
    </row>
    <row r="323">
      <c r="A323" t="s">
        <v>167</v>
      </c>
      <c r="B323" t="s">
        <v>254</v>
      </c>
      <c r="C323" s="35" t="s">
        <v>418</v>
      </c>
      <c r="D323" t="s">
        <v>502</v>
      </c>
      <c r="E323" t="s">
        <v>520</v>
      </c>
      <c r="F323" s="188" t="n">
        <v>2033</v>
      </c>
      <c r="G323" s="189" t="n">
        <v>31</v>
      </c>
      <c r="H323" s="190" t="n">
        <v>1041.52736782473</v>
      </c>
      <c r="I323" s="191" t="n">
        <v>4349191.3625388</v>
      </c>
      <c r="J323" s="192" t="str">
        <f>IF(I323&gt;0,H323/I323,0)</f>
      </c>
      <c r="K323" s="193" t="str">
        <f>1-EXP(-J323)</f>
      </c>
      <c r="L323" s="194" t="str">
        <f>IF(G323=30,1,M322)</f>
      </c>
      <c r="M323" s="195" t="str">
        <f>L323*(1-K323)</f>
      </c>
    </row>
    <row r="324">
      <c r="A324" t="s">
        <v>167</v>
      </c>
      <c r="B324" t="s">
        <v>254</v>
      </c>
      <c r="C324" s="35" t="s">
        <v>418</v>
      </c>
      <c r="D324" t="s">
        <v>502</v>
      </c>
      <c r="E324" t="s">
        <v>520</v>
      </c>
      <c r="F324" s="188" t="n">
        <v>2033</v>
      </c>
      <c r="G324" s="189" t="n">
        <v>32</v>
      </c>
      <c r="H324" s="190" t="n">
        <v>1091.29705667742</v>
      </c>
      <c r="I324" s="191" t="n">
        <v>4329676.28038133</v>
      </c>
      <c r="J324" s="192" t="str">
        <f>IF(I324&gt;0,H324/I324,0)</f>
      </c>
      <c r="K324" s="193" t="str">
        <f>1-EXP(-J324)</f>
      </c>
      <c r="L324" s="194" t="str">
        <f>IF(G324=30,1,M323)</f>
      </c>
      <c r="M324" s="195" t="str">
        <f>L324*(1-K324)</f>
      </c>
    </row>
    <row r="325">
      <c r="A325" t="s">
        <v>167</v>
      </c>
      <c r="B325" t="s">
        <v>254</v>
      </c>
      <c r="C325" s="35" t="s">
        <v>418</v>
      </c>
      <c r="D325" t="s">
        <v>502</v>
      </c>
      <c r="E325" t="s">
        <v>520</v>
      </c>
      <c r="F325" s="188" t="n">
        <v>2033</v>
      </c>
      <c r="G325" s="189" t="n">
        <v>33</v>
      </c>
      <c r="H325" s="190" t="n">
        <v>1151.37718738173</v>
      </c>
      <c r="I325" s="191" t="n">
        <v>4309926.5885159</v>
      </c>
      <c r="J325" s="192" t="str">
        <f>IF(I325&gt;0,H325/I325,0)</f>
      </c>
      <c r="K325" s="193" t="str">
        <f>1-EXP(-J325)</f>
      </c>
      <c r="L325" s="194" t="str">
        <f>IF(G325=30,1,M324)</f>
      </c>
      <c r="M325" s="195" t="str">
        <f>L325*(1-K325)</f>
      </c>
    </row>
    <row r="326">
      <c r="A326" t="s">
        <v>167</v>
      </c>
      <c r="B326" t="s">
        <v>254</v>
      </c>
      <c r="C326" s="35" t="s">
        <v>418</v>
      </c>
      <c r="D326" t="s">
        <v>502</v>
      </c>
      <c r="E326" t="s">
        <v>520</v>
      </c>
      <c r="F326" s="188" t="n">
        <v>2033</v>
      </c>
      <c r="G326" s="189" t="n">
        <v>34</v>
      </c>
      <c r="H326" s="190" t="n">
        <v>1233.35951190767</v>
      </c>
      <c r="I326" s="191" t="n">
        <v>4329920.68517614</v>
      </c>
      <c r="J326" s="192" t="str">
        <f>IF(I326&gt;0,H326/I326,0)</f>
      </c>
      <c r="K326" s="193" t="str">
        <f>1-EXP(-J326)</f>
      </c>
      <c r="L326" s="194" t="str">
        <f>IF(G326=30,1,M325)</f>
      </c>
      <c r="M326" s="195" t="str">
        <f>L326*(1-K326)</f>
      </c>
    </row>
    <row r="327">
      <c r="A327" t="s">
        <v>167</v>
      </c>
      <c r="B327" t="s">
        <v>254</v>
      </c>
      <c r="C327" s="35" t="s">
        <v>418</v>
      </c>
      <c r="D327" t="s">
        <v>502</v>
      </c>
      <c r="E327" t="s">
        <v>520</v>
      </c>
      <c r="F327" s="188" t="n">
        <v>2033</v>
      </c>
      <c r="G327" s="189" t="n">
        <v>35</v>
      </c>
      <c r="H327" s="190" t="n">
        <v>1698.26191573669</v>
      </c>
      <c r="I327" s="191" t="n">
        <v>4389085.23252938</v>
      </c>
      <c r="J327" s="192" t="str">
        <f>IF(I327&gt;0,H327/I327,0)</f>
      </c>
      <c r="K327" s="193" t="str">
        <f>1-EXP(-J327)</f>
      </c>
      <c r="L327" s="194" t="str">
        <f>IF(G327=30,1,M326)</f>
      </c>
      <c r="M327" s="195" t="str">
        <f>L327*(1-K327)</f>
      </c>
    </row>
    <row r="328">
      <c r="A328" t="s">
        <v>167</v>
      </c>
      <c r="B328" t="s">
        <v>254</v>
      </c>
      <c r="C328" s="35" t="s">
        <v>418</v>
      </c>
      <c r="D328" t="s">
        <v>502</v>
      </c>
      <c r="E328" t="s">
        <v>520</v>
      </c>
      <c r="F328" s="188" t="n">
        <v>2033</v>
      </c>
      <c r="G328" s="189" t="n">
        <v>36</v>
      </c>
      <c r="H328" s="190" t="n">
        <v>2132.89913582794</v>
      </c>
      <c r="I328" s="191" t="n">
        <v>4527265.24934808</v>
      </c>
      <c r="J328" s="192" t="str">
        <f>IF(I328&gt;0,H328/I328,0)</f>
      </c>
      <c r="K328" s="193" t="str">
        <f>1-EXP(-J328)</f>
      </c>
      <c r="L328" s="194" t="str">
        <f>IF(G328=30,1,M327)</f>
      </c>
      <c r="M328" s="195" t="str">
        <f>L328*(1-K328)</f>
      </c>
    </row>
    <row r="329">
      <c r="A329" t="s">
        <v>167</v>
      </c>
      <c r="B329" t="s">
        <v>254</v>
      </c>
      <c r="C329" s="35" t="s">
        <v>418</v>
      </c>
      <c r="D329" t="s">
        <v>502</v>
      </c>
      <c r="E329" t="s">
        <v>520</v>
      </c>
      <c r="F329" s="188" t="n">
        <v>2033</v>
      </c>
      <c r="G329" s="189" t="n">
        <v>37</v>
      </c>
      <c r="H329" s="190" t="n">
        <v>2267.52439683132</v>
      </c>
      <c r="I329" s="191" t="n">
        <v>4483390.96362665</v>
      </c>
      <c r="J329" s="192" t="str">
        <f>IF(I329&gt;0,H329/I329,0)</f>
      </c>
      <c r="K329" s="193" t="str">
        <f>1-EXP(-J329)</f>
      </c>
      <c r="L329" s="194" t="str">
        <f>IF(G329=30,1,M328)</f>
      </c>
      <c r="M329" s="195" t="str">
        <f>L329*(1-K329)</f>
      </c>
    </row>
    <row r="330">
      <c r="A330" t="s">
        <v>167</v>
      </c>
      <c r="B330" t="s">
        <v>254</v>
      </c>
      <c r="C330" s="35" t="s">
        <v>418</v>
      </c>
      <c r="D330" t="s">
        <v>502</v>
      </c>
      <c r="E330" t="s">
        <v>520</v>
      </c>
      <c r="F330" s="188" t="n">
        <v>2033</v>
      </c>
      <c r="G330" s="189" t="n">
        <v>38</v>
      </c>
      <c r="H330" s="190" t="n">
        <v>2399.39603821251</v>
      </c>
      <c r="I330" s="191" t="n">
        <v>4409305.64178037</v>
      </c>
      <c r="J330" s="192" t="str">
        <f>IF(I330&gt;0,H330/I330,0)</f>
      </c>
      <c r="K330" s="193" t="str">
        <f>1-EXP(-J330)</f>
      </c>
      <c r="L330" s="194" t="str">
        <f>IF(G330=30,1,M329)</f>
      </c>
      <c r="M330" s="195" t="str">
        <f>L330*(1-K330)</f>
      </c>
    </row>
    <row r="331">
      <c r="A331" t="s">
        <v>167</v>
      </c>
      <c r="B331" t="s">
        <v>254</v>
      </c>
      <c r="C331" s="35" t="s">
        <v>418</v>
      </c>
      <c r="D331" t="s">
        <v>502</v>
      </c>
      <c r="E331" t="s">
        <v>520</v>
      </c>
      <c r="F331" s="188" t="n">
        <v>2033</v>
      </c>
      <c r="G331" s="189" t="n">
        <v>39</v>
      </c>
      <c r="H331" s="190" t="n">
        <v>2552.65542929978</v>
      </c>
      <c r="I331" s="191" t="n">
        <v>4350752.46829559</v>
      </c>
      <c r="J331" s="192" t="str">
        <f>IF(I331&gt;0,H331/I331,0)</f>
      </c>
      <c r="K331" s="193" t="str">
        <f>1-EXP(-J331)</f>
      </c>
      <c r="L331" s="194" t="str">
        <f>IF(G331=30,1,M330)</f>
      </c>
      <c r="M331" s="195" t="str">
        <f>L331*(1-K331)</f>
      </c>
    </row>
    <row r="332">
      <c r="A332" t="s">
        <v>167</v>
      </c>
      <c r="B332" t="s">
        <v>254</v>
      </c>
      <c r="C332" s="35" t="s">
        <v>418</v>
      </c>
      <c r="D332" t="s">
        <v>502</v>
      </c>
      <c r="E332" t="s">
        <v>520</v>
      </c>
      <c r="F332" s="188" t="n">
        <v>2033</v>
      </c>
      <c r="G332" s="189" t="n">
        <v>40</v>
      </c>
      <c r="H332" s="190" t="n">
        <v>3388.04421776467</v>
      </c>
      <c r="I332" s="191" t="n">
        <v>4295618.76718126</v>
      </c>
      <c r="J332" s="192" t="str">
        <f>IF(I332&gt;0,H332/I332,0)</f>
      </c>
      <c r="K332" s="193" t="str">
        <f>1-EXP(-J332)</f>
      </c>
      <c r="L332" s="194" t="str">
        <f>IF(G332=30,1,M331)</f>
      </c>
      <c r="M332" s="195" t="str">
        <f>L332*(1-K332)</f>
      </c>
    </row>
    <row r="333">
      <c r="A333" t="s">
        <v>167</v>
      </c>
      <c r="B333" t="s">
        <v>254</v>
      </c>
      <c r="C333" s="35" t="s">
        <v>418</v>
      </c>
      <c r="D333" t="s">
        <v>502</v>
      </c>
      <c r="E333" t="s">
        <v>520</v>
      </c>
      <c r="F333" s="188" t="n">
        <v>2033</v>
      </c>
      <c r="G333" s="189" t="n">
        <v>41</v>
      </c>
      <c r="H333" s="190" t="n">
        <v>3677.35516935285</v>
      </c>
      <c r="I333" s="191" t="n">
        <v>4330363.91045048</v>
      </c>
      <c r="J333" s="192" t="str">
        <f>IF(I333&gt;0,H333/I333,0)</f>
      </c>
      <c r="K333" s="193" t="str">
        <f>1-EXP(-J333)</f>
      </c>
      <c r="L333" s="194" t="str">
        <f>IF(G333=30,1,M332)</f>
      </c>
      <c r="M333" s="195" t="str">
        <f>L333*(1-K333)</f>
      </c>
    </row>
    <row r="334">
      <c r="A334" t="s">
        <v>167</v>
      </c>
      <c r="B334" t="s">
        <v>254</v>
      </c>
      <c r="C334" s="35" t="s">
        <v>418</v>
      </c>
      <c r="D334" t="s">
        <v>502</v>
      </c>
      <c r="E334" t="s">
        <v>520</v>
      </c>
      <c r="F334" s="188" t="n">
        <v>2033</v>
      </c>
      <c r="G334" s="189" t="n">
        <v>42</v>
      </c>
      <c r="H334" s="190" t="n">
        <v>4006.96035069466</v>
      </c>
      <c r="I334" s="191" t="n">
        <v>4346003.08027303</v>
      </c>
      <c r="J334" s="192" t="str">
        <f>IF(I334&gt;0,H334/I334,0)</f>
      </c>
      <c r="K334" s="193" t="str">
        <f>1-EXP(-J334)</f>
      </c>
      <c r="L334" s="194" t="str">
        <f>IF(G334=30,1,M333)</f>
      </c>
      <c r="M334" s="195" t="str">
        <f>L334*(1-K334)</f>
      </c>
    </row>
    <row r="335">
      <c r="A335" t="s">
        <v>167</v>
      </c>
      <c r="B335" t="s">
        <v>254</v>
      </c>
      <c r="C335" s="35" t="s">
        <v>418</v>
      </c>
      <c r="D335" t="s">
        <v>502</v>
      </c>
      <c r="E335" t="s">
        <v>520</v>
      </c>
      <c r="F335" s="188" t="n">
        <v>2033</v>
      </c>
      <c r="G335" s="189" t="n">
        <v>43</v>
      </c>
      <c r="H335" s="190" t="n">
        <v>6072.68612313759</v>
      </c>
      <c r="I335" s="191" t="n">
        <v>6397951.2160283</v>
      </c>
      <c r="J335" s="192" t="str">
        <f>IF(I335&gt;0,H335/I335,0)</f>
      </c>
      <c r="K335" s="193" t="str">
        <f>1-EXP(-J335)</f>
      </c>
      <c r="L335" s="194" t="str">
        <f>IF(G335=30,1,M334)</f>
      </c>
      <c r="M335" s="195" t="str">
        <f>L335*(1-K335)</f>
      </c>
    </row>
    <row r="336">
      <c r="A336" t="s">
        <v>167</v>
      </c>
      <c r="B336" t="s">
        <v>254</v>
      </c>
      <c r="C336" s="35" t="s">
        <v>418</v>
      </c>
      <c r="D336" t="s">
        <v>502</v>
      </c>
      <c r="E336" t="s">
        <v>520</v>
      </c>
      <c r="F336" s="188" t="n">
        <v>2033</v>
      </c>
      <c r="G336" s="189" t="n">
        <v>44</v>
      </c>
      <c r="H336" s="190" t="n">
        <v>4716.39709645838</v>
      </c>
      <c r="I336" s="191" t="n">
        <v>4299573.90448864</v>
      </c>
      <c r="J336" s="192" t="str">
        <f>IF(I336&gt;0,H336/I336,0)</f>
      </c>
      <c r="K336" s="193" t="str">
        <f>1-EXP(-J336)</f>
      </c>
      <c r="L336" s="194" t="str">
        <f>IF(G336=30,1,M335)</f>
      </c>
      <c r="M336" s="195" t="str">
        <f>L336*(1-K336)</f>
      </c>
    </row>
    <row r="337">
      <c r="A337" t="s">
        <v>167</v>
      </c>
      <c r="B337" t="s">
        <v>254</v>
      </c>
      <c r="C337" s="35" t="s">
        <v>418</v>
      </c>
      <c r="D337" t="s">
        <v>502</v>
      </c>
      <c r="E337" t="s">
        <v>520</v>
      </c>
      <c r="F337" s="188" t="n">
        <v>2033</v>
      </c>
      <c r="G337" s="189" t="n">
        <v>45</v>
      </c>
      <c r="H337" s="190" t="n">
        <v>6069.48714280615</v>
      </c>
      <c r="I337" s="191" t="n">
        <v>4279845.15110841</v>
      </c>
      <c r="J337" s="192" t="str">
        <f>IF(I337&gt;0,H337/I337,0)</f>
      </c>
      <c r="K337" s="193" t="str">
        <f>1-EXP(-J337)</f>
      </c>
      <c r="L337" s="194" t="str">
        <f>IF(G337=30,1,M336)</f>
      </c>
      <c r="M337" s="195" t="str">
        <f>L337*(1-K337)</f>
      </c>
    </row>
    <row r="338">
      <c r="A338" t="s">
        <v>167</v>
      </c>
      <c r="B338" t="s">
        <v>254</v>
      </c>
      <c r="C338" s="35" t="s">
        <v>418</v>
      </c>
      <c r="D338" t="s">
        <v>502</v>
      </c>
      <c r="E338" t="s">
        <v>520</v>
      </c>
      <c r="F338" s="188" t="n">
        <v>2033</v>
      </c>
      <c r="G338" s="189" t="n">
        <v>46</v>
      </c>
      <c r="H338" s="190" t="n">
        <v>6413.60579204287</v>
      </c>
      <c r="I338" s="191" t="n">
        <v>4144322.39722941</v>
      </c>
      <c r="J338" s="192" t="str">
        <f>IF(I338&gt;0,H338/I338,0)</f>
      </c>
      <c r="K338" s="193" t="str">
        <f>1-EXP(-J338)</f>
      </c>
      <c r="L338" s="194" t="str">
        <f>IF(G338=30,1,M337)</f>
      </c>
      <c r="M338" s="195" t="str">
        <f>L338*(1-K338)</f>
      </c>
    </row>
    <row r="339">
      <c r="A339" t="s">
        <v>167</v>
      </c>
      <c r="B339" t="s">
        <v>254</v>
      </c>
      <c r="C339" s="35" t="s">
        <v>418</v>
      </c>
      <c r="D339" t="s">
        <v>502</v>
      </c>
      <c r="E339" t="s">
        <v>520</v>
      </c>
      <c r="F339" s="188" t="n">
        <v>2033</v>
      </c>
      <c r="G339" s="189" t="n">
        <v>47</v>
      </c>
      <c r="H339" s="190" t="n">
        <v>6973.99794894596</v>
      </c>
      <c r="I339" s="191" t="n">
        <v>4106152.27106891</v>
      </c>
      <c r="J339" s="192" t="str">
        <f>IF(I339&gt;0,H339/I339,0)</f>
      </c>
      <c r="K339" s="193" t="str">
        <f>1-EXP(-J339)</f>
      </c>
      <c r="L339" s="194" t="str">
        <f>IF(G339=30,1,M338)</f>
      </c>
      <c r="M339" s="195" t="str">
        <f>L339*(1-K339)</f>
      </c>
    </row>
    <row r="340">
      <c r="A340" t="s">
        <v>167</v>
      </c>
      <c r="B340" t="s">
        <v>254</v>
      </c>
      <c r="C340" s="35" t="s">
        <v>418</v>
      </c>
      <c r="D340" t="s">
        <v>502</v>
      </c>
      <c r="E340" t="s">
        <v>520</v>
      </c>
      <c r="F340" s="188" t="n">
        <v>2033</v>
      </c>
      <c r="G340" s="189" t="n">
        <v>48</v>
      </c>
      <c r="H340" s="190" t="n">
        <v>7756.1170040615</v>
      </c>
      <c r="I340" s="191" t="n">
        <v>4160001.27458441</v>
      </c>
      <c r="J340" s="192" t="str">
        <f>IF(I340&gt;0,H340/I340,0)</f>
      </c>
      <c r="K340" s="193" t="str">
        <f>1-EXP(-J340)</f>
      </c>
      <c r="L340" s="194" t="str">
        <f>IF(G340=30,1,M339)</f>
      </c>
      <c r="M340" s="195" t="str">
        <f>L340*(1-K340)</f>
      </c>
    </row>
    <row r="341">
      <c r="A341" t="s">
        <v>167</v>
      </c>
      <c r="B341" t="s">
        <v>254</v>
      </c>
      <c r="C341" s="35" t="s">
        <v>418</v>
      </c>
      <c r="D341" t="s">
        <v>502</v>
      </c>
      <c r="E341" t="s">
        <v>520</v>
      </c>
      <c r="F341" s="188" t="n">
        <v>2033</v>
      </c>
      <c r="G341" s="189" t="n">
        <v>49</v>
      </c>
      <c r="H341" s="190" t="n">
        <v>8670.21166333742</v>
      </c>
      <c r="I341" s="191" t="n">
        <v>4237955.57379778</v>
      </c>
      <c r="J341" s="192" t="str">
        <f>IF(I341&gt;0,H341/I341,0)</f>
      </c>
      <c r="K341" s="193" t="str">
        <f>1-EXP(-J341)</f>
      </c>
      <c r="L341" s="194" t="str">
        <f>IF(G341=30,1,M340)</f>
      </c>
      <c r="M341" s="195" t="str">
        <f>L341*(1-K341)</f>
      </c>
    </row>
    <row r="342">
      <c r="A342" t="s">
        <v>167</v>
      </c>
      <c r="B342" t="s">
        <v>254</v>
      </c>
      <c r="C342" s="35" t="s">
        <v>418</v>
      </c>
      <c r="D342" t="s">
        <v>502</v>
      </c>
      <c r="E342" t="s">
        <v>520</v>
      </c>
      <c r="F342" s="188" t="n">
        <v>2033</v>
      </c>
      <c r="G342" s="189" t="n">
        <v>50</v>
      </c>
      <c r="H342" s="190" t="n">
        <v>10000.5398974516</v>
      </c>
      <c r="I342" s="191" t="n">
        <v>4207862.10760305</v>
      </c>
      <c r="J342" s="192" t="str">
        <f>IF(I342&gt;0,H342/I342,0)</f>
      </c>
      <c r="K342" s="193" t="str">
        <f>1-EXP(-J342)</f>
      </c>
      <c r="L342" s="194" t="str">
        <f>IF(G342=30,1,M341)</f>
      </c>
      <c r="M342" s="195" t="str">
        <f>L342*(1-K342)</f>
      </c>
    </row>
    <row r="343">
      <c r="A343" t="s">
        <v>167</v>
      </c>
      <c r="B343" t="s">
        <v>254</v>
      </c>
      <c r="C343" s="35" t="s">
        <v>418</v>
      </c>
      <c r="D343" t="s">
        <v>502</v>
      </c>
      <c r="E343" t="s">
        <v>520</v>
      </c>
      <c r="F343" s="188" t="n">
        <v>2033</v>
      </c>
      <c r="G343" s="189" t="n">
        <v>51</v>
      </c>
      <c r="H343" s="190" t="n">
        <v>10616.3598425717</v>
      </c>
      <c r="I343" s="191" t="n">
        <v>4065886.96154268</v>
      </c>
      <c r="J343" s="192" t="str">
        <f>IF(I343&gt;0,H343/I343,0)</f>
      </c>
      <c r="K343" s="193" t="str">
        <f>1-EXP(-J343)</f>
      </c>
      <c r="L343" s="194" t="str">
        <f>IF(G343=30,1,M342)</f>
      </c>
      <c r="M343" s="195" t="str">
        <f>L343*(1-K343)</f>
      </c>
    </row>
    <row r="344">
      <c r="A344" t="s">
        <v>167</v>
      </c>
      <c r="B344" t="s">
        <v>254</v>
      </c>
      <c r="C344" s="35" t="s">
        <v>418</v>
      </c>
      <c r="D344" t="s">
        <v>502</v>
      </c>
      <c r="E344" t="s">
        <v>520</v>
      </c>
      <c r="F344" s="188" t="n">
        <v>2033</v>
      </c>
      <c r="G344" s="189" t="n">
        <v>52</v>
      </c>
      <c r="H344" s="190" t="n">
        <v>11383.1830769943</v>
      </c>
      <c r="I344" s="191" t="n">
        <v>3985684.23781507</v>
      </c>
      <c r="J344" s="192" t="str">
        <f>IF(I344&gt;0,H344/I344,0)</f>
      </c>
      <c r="K344" s="193" t="str">
        <f>1-EXP(-J344)</f>
      </c>
      <c r="L344" s="194" t="str">
        <f>IF(G344=30,1,M343)</f>
      </c>
      <c r="M344" s="195" t="str">
        <f>L344*(1-K344)</f>
      </c>
    </row>
    <row r="345">
      <c r="A345" t="s">
        <v>167</v>
      </c>
      <c r="B345" t="s">
        <v>254</v>
      </c>
      <c r="C345" s="35" t="s">
        <v>418</v>
      </c>
      <c r="D345" t="s">
        <v>502</v>
      </c>
      <c r="E345" t="s">
        <v>520</v>
      </c>
      <c r="F345" s="188" t="n">
        <v>2033</v>
      </c>
      <c r="G345" s="189" t="n">
        <v>53</v>
      </c>
      <c r="H345" s="190" t="n">
        <v>12242.0454085405</v>
      </c>
      <c r="I345" s="191" t="n">
        <v>3920596.83906718</v>
      </c>
      <c r="J345" s="192" t="str">
        <f>IF(I345&gt;0,H345/I345,0)</f>
      </c>
      <c r="K345" s="193" t="str">
        <f>1-EXP(-J345)</f>
      </c>
      <c r="L345" s="194" t="str">
        <f>IF(G345=30,1,M344)</f>
      </c>
      <c r="M345" s="195" t="str">
        <f>L345*(1-K345)</f>
      </c>
    </row>
    <row r="346">
      <c r="A346" t="s">
        <v>167</v>
      </c>
      <c r="B346" t="s">
        <v>254</v>
      </c>
      <c r="C346" s="35" t="s">
        <v>418</v>
      </c>
      <c r="D346" t="s">
        <v>502</v>
      </c>
      <c r="E346" t="s">
        <v>520</v>
      </c>
      <c r="F346" s="188" t="n">
        <v>2033</v>
      </c>
      <c r="G346" s="189" t="n">
        <v>54</v>
      </c>
      <c r="H346" s="190" t="n">
        <v>13141.8661557532</v>
      </c>
      <c r="I346" s="191" t="n">
        <v>3849731.80753359</v>
      </c>
      <c r="J346" s="192" t="str">
        <f>IF(I346&gt;0,H346/I346,0)</f>
      </c>
      <c r="K346" s="193" t="str">
        <f>1-EXP(-J346)</f>
      </c>
      <c r="L346" s="194" t="str">
        <f>IF(G346=30,1,M345)</f>
      </c>
      <c r="M346" s="195" t="str">
        <f>L346*(1-K346)</f>
      </c>
    </row>
    <row r="347">
      <c r="A347" t="s">
        <v>167</v>
      </c>
      <c r="B347" t="s">
        <v>254</v>
      </c>
      <c r="C347" s="35" t="s">
        <v>418</v>
      </c>
      <c r="D347" t="s">
        <v>502</v>
      </c>
      <c r="E347" t="s">
        <v>520</v>
      </c>
      <c r="F347" s="188" t="n">
        <v>2033</v>
      </c>
      <c r="G347" s="189" t="n">
        <v>55</v>
      </c>
      <c r="H347" s="190" t="n">
        <v>14091.3793143578</v>
      </c>
      <c r="I347" s="191" t="n">
        <v>3759466.19060525</v>
      </c>
      <c r="J347" s="192" t="str">
        <f>IF(I347&gt;0,H347/I347,0)</f>
      </c>
      <c r="K347" s="193" t="str">
        <f>1-EXP(-J347)</f>
      </c>
      <c r="L347" s="194" t="str">
        <f>IF(G347=30,1,M346)</f>
      </c>
      <c r="M347" s="195" t="str">
        <f>L347*(1-K347)</f>
      </c>
    </row>
    <row r="348">
      <c r="A348" t="s">
        <v>167</v>
      </c>
      <c r="B348" t="s">
        <v>254</v>
      </c>
      <c r="C348" s="35" t="s">
        <v>418</v>
      </c>
      <c r="D348" t="s">
        <v>502</v>
      </c>
      <c r="E348" t="s">
        <v>520</v>
      </c>
      <c r="F348" s="188" t="n">
        <v>2033</v>
      </c>
      <c r="G348" s="189" t="n">
        <v>56</v>
      </c>
      <c r="H348" s="190" t="n">
        <v>15054.4045394441</v>
      </c>
      <c r="I348" s="191" t="n">
        <v>3684886.07730626</v>
      </c>
      <c r="J348" s="192" t="str">
        <f>IF(I348&gt;0,H348/I348,0)</f>
      </c>
      <c r="K348" s="193" t="str">
        <f>1-EXP(-J348)</f>
      </c>
      <c r="L348" s="194" t="str">
        <f>IF(G348=30,1,M347)</f>
      </c>
      <c r="M348" s="195" t="str">
        <f>L348*(1-K348)</f>
      </c>
    </row>
    <row r="349">
      <c r="A349" t="s">
        <v>167</v>
      </c>
      <c r="B349" t="s">
        <v>254</v>
      </c>
      <c r="C349" s="35" t="s">
        <v>418</v>
      </c>
      <c r="D349" t="s">
        <v>502</v>
      </c>
      <c r="E349" t="s">
        <v>520</v>
      </c>
      <c r="F349" s="188" t="n">
        <v>2033</v>
      </c>
      <c r="G349" s="189" t="n">
        <v>57</v>
      </c>
      <c r="H349" s="190" t="n">
        <v>16077.4229456703</v>
      </c>
      <c r="I349" s="191" t="n">
        <v>3598774.30191352</v>
      </c>
      <c r="J349" s="192" t="str">
        <f>IF(I349&gt;0,H349/I349,0)</f>
      </c>
      <c r="K349" s="193" t="str">
        <f>1-EXP(-J349)</f>
      </c>
      <c r="L349" s="194" t="str">
        <f>IF(G349=30,1,M348)</f>
      </c>
      <c r="M349" s="195" t="str">
        <f>L349*(1-K349)</f>
      </c>
    </row>
    <row r="350">
      <c r="A350" t="s">
        <v>167</v>
      </c>
      <c r="B350" t="s">
        <v>254</v>
      </c>
      <c r="C350" s="35" t="s">
        <v>418</v>
      </c>
      <c r="D350" t="s">
        <v>502</v>
      </c>
      <c r="E350" t="s">
        <v>520</v>
      </c>
      <c r="F350" s="188" t="n">
        <v>2033</v>
      </c>
      <c r="G350" s="189" t="n">
        <v>58</v>
      </c>
      <c r="H350" s="190" t="n">
        <v>17163.8788101389</v>
      </c>
      <c r="I350" s="191" t="n">
        <v>3511432.53129457</v>
      </c>
      <c r="J350" s="192" t="str">
        <f>IF(I350&gt;0,H350/I350,0)</f>
      </c>
      <c r="K350" s="193" t="str">
        <f>1-EXP(-J350)</f>
      </c>
      <c r="L350" s="194" t="str">
        <f>IF(G350=30,1,M349)</f>
      </c>
      <c r="M350" s="195" t="str">
        <f>L350*(1-K350)</f>
      </c>
    </row>
    <row r="351">
      <c r="A351" t="s">
        <v>167</v>
      </c>
      <c r="B351" t="s">
        <v>254</v>
      </c>
      <c r="C351" s="35" t="s">
        <v>418</v>
      </c>
      <c r="D351" t="s">
        <v>502</v>
      </c>
      <c r="E351" t="s">
        <v>520</v>
      </c>
      <c r="F351" s="188" t="n">
        <v>2033</v>
      </c>
      <c r="G351" s="189" t="n">
        <v>59</v>
      </c>
      <c r="H351" s="190" t="n">
        <v>18181.7891587379</v>
      </c>
      <c r="I351" s="191" t="n">
        <v>3397144.95278492</v>
      </c>
      <c r="J351" s="192" t="str">
        <f>IF(I351&gt;0,H351/I351,0)</f>
      </c>
      <c r="K351" s="193" t="str">
        <f>1-EXP(-J351)</f>
      </c>
      <c r="L351" s="194" t="str">
        <f>IF(G351=30,1,M350)</f>
      </c>
      <c r="M351" s="195" t="str">
        <f>L351*(1-K351)</f>
      </c>
    </row>
    <row r="352">
      <c r="A352" t="s">
        <v>167</v>
      </c>
      <c r="B352" t="s">
        <v>254</v>
      </c>
      <c r="C352" s="35" t="s">
        <v>418</v>
      </c>
      <c r="D352" t="s">
        <v>502</v>
      </c>
      <c r="E352" t="s">
        <v>520</v>
      </c>
      <c r="F352" s="188" t="n">
        <v>2033</v>
      </c>
      <c r="G352" s="189" t="n">
        <v>60</v>
      </c>
      <c r="H352" s="190" t="n">
        <v>19793.5750508576</v>
      </c>
      <c r="I352" s="191" t="n">
        <v>3339814.55676892</v>
      </c>
      <c r="J352" s="192" t="str">
        <f>IF(I352&gt;0,H352/I352,0)</f>
      </c>
      <c r="K352" s="193" t="str">
        <f>1-EXP(-J352)</f>
      </c>
      <c r="L352" s="194" t="str">
        <f>IF(G352=30,1,M351)</f>
      </c>
      <c r="M352" s="195" t="str">
        <f>L352*(1-K352)</f>
      </c>
    </row>
    <row r="353">
      <c r="A353" t="s">
        <v>167</v>
      </c>
      <c r="B353" t="s">
        <v>254</v>
      </c>
      <c r="C353" s="35" t="s">
        <v>418</v>
      </c>
      <c r="D353" t="s">
        <v>502</v>
      </c>
      <c r="E353" t="s">
        <v>520</v>
      </c>
      <c r="F353" s="188" t="n">
        <v>2033</v>
      </c>
      <c r="G353" s="189" t="n">
        <v>61</v>
      </c>
      <c r="H353" s="190" t="n">
        <v>20469.4074434961</v>
      </c>
      <c r="I353" s="191" t="n">
        <v>3125401.93752468</v>
      </c>
      <c r="J353" s="192" t="str">
        <f>IF(I353&gt;0,H353/I353,0)</f>
      </c>
      <c r="K353" s="193" t="str">
        <f>1-EXP(-J353)</f>
      </c>
      <c r="L353" s="194" t="str">
        <f>IF(G353=30,1,M352)</f>
      </c>
      <c r="M353" s="195" t="str">
        <f>L353*(1-K353)</f>
      </c>
    </row>
    <row r="354">
      <c r="A354" t="s">
        <v>167</v>
      </c>
      <c r="B354" t="s">
        <v>254</v>
      </c>
      <c r="C354" s="35" t="s">
        <v>418</v>
      </c>
      <c r="D354" t="s">
        <v>502</v>
      </c>
      <c r="E354" t="s">
        <v>520</v>
      </c>
      <c r="F354" s="188" t="n">
        <v>2033</v>
      </c>
      <c r="G354" s="189" t="n">
        <v>62</v>
      </c>
      <c r="H354" s="190" t="n">
        <v>21703.318466041</v>
      </c>
      <c r="I354" s="191" t="n">
        <v>3026684.08721047</v>
      </c>
      <c r="J354" s="192" t="str">
        <f>IF(I354&gt;0,H354/I354,0)</f>
      </c>
      <c r="K354" s="193" t="str">
        <f>1-EXP(-J354)</f>
      </c>
      <c r="L354" s="194" t="str">
        <f>IF(G354=30,1,M353)</f>
      </c>
      <c r="M354" s="195" t="str">
        <f>L354*(1-K354)</f>
      </c>
    </row>
    <row r="355">
      <c r="A355" t="s">
        <v>167</v>
      </c>
      <c r="B355" t="s">
        <v>254</v>
      </c>
      <c r="C355" s="35" t="s">
        <v>418</v>
      </c>
      <c r="D355" t="s">
        <v>502</v>
      </c>
      <c r="E355" t="s">
        <v>520</v>
      </c>
      <c r="F355" s="188" t="n">
        <v>2033</v>
      </c>
      <c r="G355" s="189" t="n">
        <v>63</v>
      </c>
      <c r="H355" s="190" t="n">
        <v>23027.3565209762</v>
      </c>
      <c r="I355" s="191" t="n">
        <v>2931518.87354452</v>
      </c>
      <c r="J355" s="192" t="str">
        <f>IF(I355&gt;0,H355/I355,0)</f>
      </c>
      <c r="K355" s="193" t="str">
        <f>1-EXP(-J355)</f>
      </c>
      <c r="L355" s="194" t="str">
        <f>IF(G355=30,1,M354)</f>
      </c>
      <c r="M355" s="195" t="str">
        <f>L355*(1-K355)</f>
      </c>
    </row>
    <row r="356">
      <c r="A356" t="s">
        <v>167</v>
      </c>
      <c r="B356" t="s">
        <v>254</v>
      </c>
      <c r="C356" s="35" t="s">
        <v>418</v>
      </c>
      <c r="D356" t="s">
        <v>502</v>
      </c>
      <c r="E356" t="s">
        <v>520</v>
      </c>
      <c r="F356" s="188" t="n">
        <v>2033</v>
      </c>
      <c r="G356" s="189" t="n">
        <v>64</v>
      </c>
      <c r="H356" s="190" t="n">
        <v>24338.7392956681</v>
      </c>
      <c r="I356" s="191" t="n">
        <v>2827128.27892523</v>
      </c>
      <c r="J356" s="192" t="str">
        <f>IF(I356&gt;0,H356/I356,0)</f>
      </c>
      <c r="K356" s="193" t="str">
        <f>1-EXP(-J356)</f>
      </c>
      <c r="L356" s="194" t="str">
        <f>IF(G356=30,1,M355)</f>
      </c>
      <c r="M356" s="195" t="str">
        <f>L356*(1-K356)</f>
      </c>
    </row>
    <row r="357">
      <c r="A357" t="s">
        <v>167</v>
      </c>
      <c r="B357" t="s">
        <v>254</v>
      </c>
      <c r="C357" s="35" t="s">
        <v>418</v>
      </c>
      <c r="D357" t="s">
        <v>502</v>
      </c>
      <c r="E357" t="s">
        <v>520</v>
      </c>
      <c r="F357" s="188" t="n">
        <v>2033</v>
      </c>
      <c r="G357" s="189" t="n">
        <v>65</v>
      </c>
      <c r="H357" s="190" t="n">
        <v>24685.5514432939</v>
      </c>
      <c r="I357" s="191" t="n">
        <v>2703950.19312367</v>
      </c>
      <c r="J357" s="192" t="str">
        <f>IF(I357&gt;0,H357/I357,0)</f>
      </c>
      <c r="K357" s="193" t="str">
        <f>1-EXP(-J357)</f>
      </c>
      <c r="L357" s="194" t="str">
        <f>IF(G357=30,1,M356)</f>
      </c>
      <c r="M357" s="195" t="str">
        <f>L357*(1-K357)</f>
      </c>
    </row>
    <row r="358">
      <c r="A358" t="s">
        <v>167</v>
      </c>
      <c r="B358" t="s">
        <v>254</v>
      </c>
      <c r="C358" s="35" t="s">
        <v>418</v>
      </c>
      <c r="D358" t="s">
        <v>502</v>
      </c>
      <c r="E358" t="s">
        <v>520</v>
      </c>
      <c r="F358" s="188" t="n">
        <v>2033</v>
      </c>
      <c r="G358" s="189" t="n">
        <v>66</v>
      </c>
      <c r="H358" s="190" t="n">
        <v>25549.0470528363</v>
      </c>
      <c r="I358" s="191" t="n">
        <v>2552090.38872825</v>
      </c>
      <c r="J358" s="192" t="str">
        <f>IF(I358&gt;0,H358/I358,0)</f>
      </c>
      <c r="K358" s="193" t="str">
        <f>1-EXP(-J358)</f>
      </c>
      <c r="L358" s="194" t="str">
        <f>IF(G358=30,1,M357)</f>
      </c>
      <c r="M358" s="195" t="str">
        <f>L358*(1-K358)</f>
      </c>
    </row>
    <row r="359">
      <c r="A359" t="s">
        <v>167</v>
      </c>
      <c r="B359" t="s">
        <v>254</v>
      </c>
      <c r="C359" s="35" t="s">
        <v>418</v>
      </c>
      <c r="D359" t="s">
        <v>502</v>
      </c>
      <c r="E359" t="s">
        <v>520</v>
      </c>
      <c r="F359" s="188" t="n">
        <v>2033</v>
      </c>
      <c r="G359" s="189" t="n">
        <v>67</v>
      </c>
      <c r="H359" s="190" t="n">
        <v>26743.7702843448</v>
      </c>
      <c r="I359" s="191" t="n">
        <v>2433570.50479115</v>
      </c>
      <c r="J359" s="192" t="str">
        <f>IF(I359&gt;0,H359/I359,0)</f>
      </c>
      <c r="K359" s="193" t="str">
        <f>1-EXP(-J359)</f>
      </c>
      <c r="L359" s="194" t="str">
        <f>IF(G359=30,1,M358)</f>
      </c>
      <c r="M359" s="195" t="str">
        <f>L359*(1-K359)</f>
      </c>
    </row>
    <row r="360">
      <c r="A360" t="s">
        <v>167</v>
      </c>
      <c r="B360" t="s">
        <v>254</v>
      </c>
      <c r="C360" s="35" t="s">
        <v>418</v>
      </c>
      <c r="D360" t="s">
        <v>502</v>
      </c>
      <c r="E360" t="s">
        <v>520</v>
      </c>
      <c r="F360" s="188" t="n">
        <v>2033</v>
      </c>
      <c r="G360" s="189" t="n">
        <v>68</v>
      </c>
      <c r="H360" s="190" t="n">
        <v>27708.1478932572</v>
      </c>
      <c r="I360" s="191" t="n">
        <v>2295507.70800646</v>
      </c>
      <c r="J360" s="192" t="str">
        <f>IF(I360&gt;0,H360/I360,0)</f>
      </c>
      <c r="K360" s="193" t="str">
        <f>1-EXP(-J360)</f>
      </c>
      <c r="L360" s="194" t="str">
        <f>IF(G360=30,1,M359)</f>
      </c>
      <c r="M360" s="195" t="str">
        <f>L360*(1-K360)</f>
      </c>
    </row>
    <row r="361">
      <c r="A361" t="s">
        <v>167</v>
      </c>
      <c r="B361" t="s">
        <v>254</v>
      </c>
      <c r="C361" s="35" t="s">
        <v>418</v>
      </c>
      <c r="D361" t="s">
        <v>502</v>
      </c>
      <c r="E361" t="s">
        <v>520</v>
      </c>
      <c r="F361" s="188" t="n">
        <v>2033</v>
      </c>
      <c r="G361" s="189" t="n">
        <v>69</v>
      </c>
      <c r="H361" s="190" t="n">
        <v>28636.7901536574</v>
      </c>
      <c r="I361" s="191" t="n">
        <v>2157932.38994429</v>
      </c>
      <c r="J361" s="192" t="str">
        <f>IF(I361&gt;0,H361/I361,0)</f>
      </c>
      <c r="K361" s="193" t="str">
        <f>1-EXP(-J361)</f>
      </c>
      <c r="L361" s="194" t="str">
        <f>IF(G361=30,1,M360)</f>
      </c>
      <c r="M361" s="195" t="str">
        <f>L361*(1-K361)</f>
      </c>
    </row>
    <row r="362">
      <c r="A362" t="s">
        <v>167</v>
      </c>
      <c r="B362" t="s">
        <v>254</v>
      </c>
      <c r="C362" s="35" t="s">
        <v>418</v>
      </c>
      <c r="D362" t="s">
        <v>502</v>
      </c>
      <c r="E362" t="s">
        <v>520</v>
      </c>
      <c r="F362" s="188" t="n">
        <v>2034</v>
      </c>
      <c r="G362" s="189" t="n">
        <v>30</v>
      </c>
      <c r="H362" s="190" t="n">
        <v>743.11956127795</v>
      </c>
      <c r="I362" s="191" t="n">
        <v>4429763.90411835</v>
      </c>
      <c r="J362" s="192" t="str">
        <f>IF(I362&gt;0,H362/I362,0)</f>
      </c>
      <c r="K362" s="193" t="str">
        <f>1-EXP(-J362)</f>
      </c>
      <c r="L362" s="194" t="str">
        <f>IF(G362=30,1,M361)</f>
      </c>
      <c r="M362" s="195" t="str">
        <f>L362*(1-K362)</f>
      </c>
    </row>
    <row r="363">
      <c r="A363" t="s">
        <v>167</v>
      </c>
      <c r="B363" t="s">
        <v>254</v>
      </c>
      <c r="C363" s="35" t="s">
        <v>418</v>
      </c>
      <c r="D363" t="s">
        <v>502</v>
      </c>
      <c r="E363" t="s">
        <v>520</v>
      </c>
      <c r="F363" s="188" t="n">
        <v>2034</v>
      </c>
      <c r="G363" s="189" t="n">
        <v>31</v>
      </c>
      <c r="H363" s="190" t="n">
        <v>914.649483100217</v>
      </c>
      <c r="I363" s="191" t="n">
        <v>4364397.74351165</v>
      </c>
      <c r="J363" s="192" t="str">
        <f>IF(I363&gt;0,H363/I363,0)</f>
      </c>
      <c r="K363" s="193" t="str">
        <f>1-EXP(-J363)</f>
      </c>
      <c r="L363" s="194" t="str">
        <f>IF(G363=30,1,M362)</f>
      </c>
      <c r="M363" s="195" t="str">
        <f>L363*(1-K363)</f>
      </c>
    </row>
    <row r="364">
      <c r="A364" t="s">
        <v>167</v>
      </c>
      <c r="B364" t="s">
        <v>254</v>
      </c>
      <c r="C364" s="35" t="s">
        <v>418</v>
      </c>
      <c r="D364" t="s">
        <v>502</v>
      </c>
      <c r="E364" t="s">
        <v>520</v>
      </c>
      <c r="F364" s="188" t="n">
        <v>2034</v>
      </c>
      <c r="G364" s="189" t="n">
        <v>32</v>
      </c>
      <c r="H364" s="190" t="n">
        <v>1098.66910746828</v>
      </c>
      <c r="I364" s="191" t="n">
        <v>4343672.46855212</v>
      </c>
      <c r="J364" s="192" t="str">
        <f>IF(I364&gt;0,H364/I364,0)</f>
      </c>
      <c r="K364" s="193" t="str">
        <f>1-EXP(-J364)</f>
      </c>
      <c r="L364" s="194" t="str">
        <f>IF(G364=30,1,M363)</f>
      </c>
      <c r="M364" s="195" t="str">
        <f>L364*(1-K364)</f>
      </c>
    </row>
    <row r="365">
      <c r="A365" t="s">
        <v>167</v>
      </c>
      <c r="B365" t="s">
        <v>254</v>
      </c>
      <c r="C365" s="35" t="s">
        <v>418</v>
      </c>
      <c r="D365" t="s">
        <v>502</v>
      </c>
      <c r="E365" t="s">
        <v>520</v>
      </c>
      <c r="F365" s="188" t="n">
        <v>2034</v>
      </c>
      <c r="G365" s="189" t="n">
        <v>33</v>
      </c>
      <c r="H365" s="190" t="n">
        <v>1158.0267835238</v>
      </c>
      <c r="I365" s="191" t="n">
        <v>4323948.33286087</v>
      </c>
      <c r="J365" s="192" t="str">
        <f>IF(I365&gt;0,H365/I365,0)</f>
      </c>
      <c r="K365" s="193" t="str">
        <f>1-EXP(-J365)</f>
      </c>
      <c r="L365" s="194" t="str">
        <f>IF(G365=30,1,M364)</f>
      </c>
      <c r="M365" s="195" t="str">
        <f>L365*(1-K365)</f>
      </c>
    </row>
    <row r="366">
      <c r="A366" t="s">
        <v>167</v>
      </c>
      <c r="B366" t="s">
        <v>254</v>
      </c>
      <c r="C366" s="35" t="s">
        <v>418</v>
      </c>
      <c r="D366" t="s">
        <v>502</v>
      </c>
      <c r="E366" t="s">
        <v>520</v>
      </c>
      <c r="F366" s="188" t="n">
        <v>2034</v>
      </c>
      <c r="G366" s="189" t="n">
        <v>34</v>
      </c>
      <c r="H366" s="190" t="n">
        <v>1228.66827722039</v>
      </c>
      <c r="I366" s="191" t="n">
        <v>4303947.83450589</v>
      </c>
      <c r="J366" s="192" t="str">
        <f>IF(I366&gt;0,H366/I366,0)</f>
      </c>
      <c r="K366" s="193" t="str">
        <f>1-EXP(-J366)</f>
      </c>
      <c r="L366" s="194" t="str">
        <f>IF(G366=30,1,M365)</f>
      </c>
      <c r="M366" s="195" t="str">
        <f>L366*(1-K366)</f>
      </c>
    </row>
    <row r="367">
      <c r="A367" t="s">
        <v>167</v>
      </c>
      <c r="B367" t="s">
        <v>254</v>
      </c>
      <c r="C367" s="35" t="s">
        <v>418</v>
      </c>
      <c r="D367" t="s">
        <v>502</v>
      </c>
      <c r="E367" t="s">
        <v>520</v>
      </c>
      <c r="F367" s="188" t="n">
        <v>2034</v>
      </c>
      <c r="G367" s="189" t="n">
        <v>35</v>
      </c>
      <c r="H367" s="190" t="n">
        <v>1669.86938344281</v>
      </c>
      <c r="I367" s="191" t="n">
        <v>4323583.13038802</v>
      </c>
      <c r="J367" s="192" t="str">
        <f>IF(I367&gt;0,H367/I367,0)</f>
      </c>
      <c r="K367" s="193" t="str">
        <f>1-EXP(-J367)</f>
      </c>
      <c r="L367" s="194" t="str">
        <f>IF(G367=30,1,M366)</f>
      </c>
      <c r="M367" s="195" t="str">
        <f>L367*(1-K367)</f>
      </c>
    </row>
    <row r="368">
      <c r="A368" t="s">
        <v>167</v>
      </c>
      <c r="B368" t="s">
        <v>254</v>
      </c>
      <c r="C368" s="35" t="s">
        <v>418</v>
      </c>
      <c r="D368" t="s">
        <v>502</v>
      </c>
      <c r="E368" t="s">
        <v>520</v>
      </c>
      <c r="F368" s="188" t="n">
        <v>2034</v>
      </c>
      <c r="G368" s="189" t="n">
        <v>36</v>
      </c>
      <c r="H368" s="190" t="n">
        <v>1885.00909157267</v>
      </c>
      <c r="I368" s="191" t="n">
        <v>4381867.58921103</v>
      </c>
      <c r="J368" s="192" t="str">
        <f>IF(I368&gt;0,H368/I368,0)</f>
      </c>
      <c r="K368" s="193" t="str">
        <f>1-EXP(-J368)</f>
      </c>
      <c r="L368" s="194" t="str">
        <f>IF(G368=30,1,M367)</f>
      </c>
      <c r="M368" s="195" t="str">
        <f>L368*(1-K368)</f>
      </c>
    </row>
    <row r="369">
      <c r="A369" t="s">
        <v>167</v>
      </c>
      <c r="B369" t="s">
        <v>254</v>
      </c>
      <c r="C369" s="35" t="s">
        <v>418</v>
      </c>
      <c r="D369" t="s">
        <v>502</v>
      </c>
      <c r="E369" t="s">
        <v>520</v>
      </c>
      <c r="F369" s="188" t="n">
        <v>2034</v>
      </c>
      <c r="G369" s="189" t="n">
        <v>37</v>
      </c>
      <c r="H369" s="190" t="n">
        <v>2284.62437817064</v>
      </c>
      <c r="I369" s="191" t="n">
        <v>4519521.79545672</v>
      </c>
      <c r="J369" s="192" t="str">
        <f>IF(I369&gt;0,H369/I369,0)</f>
      </c>
      <c r="K369" s="193" t="str">
        <f>1-EXP(-J369)</f>
      </c>
      <c r="L369" s="194" t="str">
        <f>IF(G369=30,1,M368)</f>
      </c>
      <c r="M369" s="195" t="str">
        <f>L369*(1-K369)</f>
      </c>
    </row>
    <row r="370">
      <c r="A370" t="s">
        <v>167</v>
      </c>
      <c r="B370" t="s">
        <v>254</v>
      </c>
      <c r="C370" s="35" t="s">
        <v>418</v>
      </c>
      <c r="D370" t="s">
        <v>502</v>
      </c>
      <c r="E370" t="s">
        <v>520</v>
      </c>
      <c r="F370" s="188" t="n">
        <v>2034</v>
      </c>
      <c r="G370" s="189" t="n">
        <v>38</v>
      </c>
      <c r="H370" s="190" t="n">
        <v>2433.61482239506</v>
      </c>
      <c r="I370" s="191" t="n">
        <v>4475182.68760115</v>
      </c>
      <c r="J370" s="192" t="str">
        <f>IF(I370&gt;0,H370/I370,0)</f>
      </c>
      <c r="K370" s="193" t="str">
        <f>1-EXP(-J370)</f>
      </c>
      <c r="L370" s="194" t="str">
        <f>IF(G370=30,1,M369)</f>
      </c>
      <c r="M370" s="195" t="str">
        <f>L370*(1-K370)</f>
      </c>
    </row>
    <row r="371">
      <c r="A371" t="s">
        <v>167</v>
      </c>
      <c r="B371" t="s">
        <v>254</v>
      </c>
      <c r="C371" s="35" t="s">
        <v>418</v>
      </c>
      <c r="D371" t="s">
        <v>502</v>
      </c>
      <c r="E371" t="s">
        <v>520</v>
      </c>
      <c r="F371" s="188" t="n">
        <v>2034</v>
      </c>
      <c r="G371" s="189" t="n">
        <v>39</v>
      </c>
      <c r="H371" s="190" t="n">
        <v>2579.28275962249</v>
      </c>
      <c r="I371" s="191" t="n">
        <v>4400640.80772729</v>
      </c>
      <c r="J371" s="192" t="str">
        <f>IF(I371&gt;0,H371/I371,0)</f>
      </c>
      <c r="K371" s="193" t="str">
        <f>1-EXP(-J371)</f>
      </c>
      <c r="L371" s="194" t="str">
        <f>IF(G371=30,1,M370)</f>
      </c>
      <c r="M371" s="195" t="str">
        <f>L371*(1-K371)</f>
      </c>
    </row>
    <row r="372">
      <c r="A372" t="s">
        <v>167</v>
      </c>
      <c r="B372" t="s">
        <v>254</v>
      </c>
      <c r="C372" s="35" t="s">
        <v>418</v>
      </c>
      <c r="D372" t="s">
        <v>502</v>
      </c>
      <c r="E372" t="s">
        <v>520</v>
      </c>
      <c r="F372" s="188" t="n">
        <v>2034</v>
      </c>
      <c r="G372" s="189" t="n">
        <v>40</v>
      </c>
      <c r="H372" s="190" t="n">
        <v>3417.85822880356</v>
      </c>
      <c r="I372" s="191" t="n">
        <v>4341555.57493106</v>
      </c>
      <c r="J372" s="192" t="str">
        <f>IF(I372&gt;0,H372/I372,0)</f>
      </c>
      <c r="K372" s="193" t="str">
        <f>1-EXP(-J372)</f>
      </c>
      <c r="L372" s="194" t="str">
        <f>IF(G372=30,1,M371)</f>
      </c>
      <c r="M372" s="195" t="str">
        <f>L372*(1-K372)</f>
      </c>
    </row>
    <row r="373">
      <c r="A373" t="s">
        <v>167</v>
      </c>
      <c r="B373" t="s">
        <v>254</v>
      </c>
      <c r="C373" s="35" t="s">
        <v>418</v>
      </c>
      <c r="D373" t="s">
        <v>502</v>
      </c>
      <c r="E373" t="s">
        <v>520</v>
      </c>
      <c r="F373" s="188" t="n">
        <v>2034</v>
      </c>
      <c r="G373" s="189" t="n">
        <v>41</v>
      </c>
      <c r="H373" s="190" t="n">
        <v>3635.40494254779</v>
      </c>
      <c r="I373" s="191" t="n">
        <v>4285071.25704991</v>
      </c>
      <c r="J373" s="192" t="str">
        <f>IF(I373&gt;0,H373/I373,0)</f>
      </c>
      <c r="K373" s="193" t="str">
        <f>1-EXP(-J373)</f>
      </c>
      <c r="L373" s="194" t="str">
        <f>IF(G373=30,1,M372)</f>
      </c>
      <c r="M373" s="195" t="str">
        <f>L373*(1-K373)</f>
      </c>
    </row>
    <row r="374">
      <c r="A374" t="s">
        <v>167</v>
      </c>
      <c r="B374" t="s">
        <v>254</v>
      </c>
      <c r="C374" s="35" t="s">
        <v>418</v>
      </c>
      <c r="D374" t="s">
        <v>502</v>
      </c>
      <c r="E374" t="s">
        <v>520</v>
      </c>
      <c r="F374" s="188" t="n">
        <v>2034</v>
      </c>
      <c r="G374" s="189" t="n">
        <v>42</v>
      </c>
      <c r="H374" s="190" t="n">
        <v>3975.0581775543</v>
      </c>
      <c r="I374" s="191" t="n">
        <v>4319703.30339107</v>
      </c>
      <c r="J374" s="192" t="str">
        <f>IF(I374&gt;0,H374/I374,0)</f>
      </c>
      <c r="K374" s="193" t="str">
        <f>1-EXP(-J374)</f>
      </c>
      <c r="L374" s="194" t="str">
        <f>IF(G374=30,1,M373)</f>
      </c>
      <c r="M374" s="195" t="str">
        <f>L374*(1-K374)</f>
      </c>
    </row>
    <row r="375">
      <c r="A375" t="s">
        <v>167</v>
      </c>
      <c r="B375" t="s">
        <v>254</v>
      </c>
      <c r="C375" s="35" t="s">
        <v>418</v>
      </c>
      <c r="D375" t="s">
        <v>502</v>
      </c>
      <c r="E375" t="s">
        <v>520</v>
      </c>
      <c r="F375" s="188" t="n">
        <v>2034</v>
      </c>
      <c r="G375" s="189" t="n">
        <v>43</v>
      </c>
      <c r="H375" s="190" t="n">
        <v>4342.97842351066</v>
      </c>
      <c r="I375" s="191" t="n">
        <v>4334418.64284252</v>
      </c>
      <c r="J375" s="192" t="str">
        <f>IF(I375&gt;0,H375/I375,0)</f>
      </c>
      <c r="K375" s="193" t="str">
        <f>1-EXP(-J375)</f>
      </c>
      <c r="L375" s="194" t="str">
        <f>IF(G375=30,1,M374)</f>
      </c>
      <c r="M375" s="195" t="str">
        <f>L375*(1-K375)</f>
      </c>
    </row>
    <row r="376">
      <c r="A376" t="s">
        <v>167</v>
      </c>
      <c r="B376" t="s">
        <v>254</v>
      </c>
      <c r="C376" s="35" t="s">
        <v>418</v>
      </c>
      <c r="D376" t="s">
        <v>502</v>
      </c>
      <c r="E376" t="s">
        <v>520</v>
      </c>
      <c r="F376" s="188" t="n">
        <v>2034</v>
      </c>
      <c r="G376" s="189" t="n">
        <v>44</v>
      </c>
      <c r="H376" s="190" t="n">
        <v>6580.38724717234</v>
      </c>
      <c r="I376" s="191" t="n">
        <v>6380270.27962412</v>
      </c>
      <c r="J376" s="192" t="str">
        <f>IF(I376&gt;0,H376/I376,0)</f>
      </c>
      <c r="K376" s="193" t="str">
        <f>1-EXP(-J376)</f>
      </c>
      <c r="L376" s="194" t="str">
        <f>IF(G376=30,1,M375)</f>
      </c>
      <c r="M376" s="195" t="str">
        <f>L376*(1-K376)</f>
      </c>
    </row>
    <row r="377">
      <c r="A377" t="s">
        <v>167</v>
      </c>
      <c r="B377" t="s">
        <v>254</v>
      </c>
      <c r="C377" s="35" t="s">
        <v>418</v>
      </c>
      <c r="D377" t="s">
        <v>502</v>
      </c>
      <c r="E377" t="s">
        <v>520</v>
      </c>
      <c r="F377" s="188" t="n">
        <v>2034</v>
      </c>
      <c r="G377" s="189" t="n">
        <v>45</v>
      </c>
      <c r="H377" s="190" t="n">
        <v>6057.18444813656</v>
      </c>
      <c r="I377" s="191" t="n">
        <v>4286017.44941782</v>
      </c>
      <c r="J377" s="192" t="str">
        <f>IF(I377&gt;0,H377/I377,0)</f>
      </c>
      <c r="K377" s="193" t="str">
        <f>1-EXP(-J377)</f>
      </c>
      <c r="L377" s="194" t="str">
        <f>IF(G377=30,1,M376)</f>
      </c>
      <c r="M377" s="195" t="str">
        <f>L377*(1-K377)</f>
      </c>
    </row>
    <row r="378">
      <c r="A378" t="s">
        <v>167</v>
      </c>
      <c r="B378" t="s">
        <v>254</v>
      </c>
      <c r="C378" s="35" t="s">
        <v>418</v>
      </c>
      <c r="D378" t="s">
        <v>502</v>
      </c>
      <c r="E378" t="s">
        <v>520</v>
      </c>
      <c r="F378" s="188" t="n">
        <v>2034</v>
      </c>
      <c r="G378" s="189" t="n">
        <v>46</v>
      </c>
      <c r="H378" s="190" t="n">
        <v>6572.43672702992</v>
      </c>
      <c r="I378" s="191" t="n">
        <v>4264118.04113914</v>
      </c>
      <c r="J378" s="192" t="str">
        <f>IF(I378&gt;0,H378/I378,0)</f>
      </c>
      <c r="K378" s="193" t="str">
        <f>1-EXP(-J378)</f>
      </c>
      <c r="L378" s="194" t="str">
        <f>IF(G378=30,1,M377)</f>
      </c>
      <c r="M378" s="195" t="str">
        <f>L378*(1-K378)</f>
      </c>
    </row>
    <row r="379">
      <c r="A379" t="s">
        <v>167</v>
      </c>
      <c r="B379" t="s">
        <v>254</v>
      </c>
      <c r="C379" s="35" t="s">
        <v>418</v>
      </c>
      <c r="D379" t="s">
        <v>502</v>
      </c>
      <c r="E379" t="s">
        <v>520</v>
      </c>
      <c r="F379" s="188" t="n">
        <v>2034</v>
      </c>
      <c r="G379" s="189" t="n">
        <v>47</v>
      </c>
      <c r="H379" s="190" t="n">
        <v>6986.36189626719</v>
      </c>
      <c r="I379" s="191" t="n">
        <v>4128672.6870826</v>
      </c>
      <c r="J379" s="192" t="str">
        <f>IF(I379&gt;0,H379/I379,0)</f>
      </c>
      <c r="K379" s="193" t="str">
        <f>1-EXP(-J379)</f>
      </c>
      <c r="L379" s="194" t="str">
        <f>IF(G379=30,1,M378)</f>
      </c>
      <c r="M379" s="195" t="str">
        <f>L379*(1-K379)</f>
      </c>
    </row>
    <row r="380">
      <c r="A380" t="s">
        <v>167</v>
      </c>
      <c r="B380" t="s">
        <v>254</v>
      </c>
      <c r="C380" s="35" t="s">
        <v>418</v>
      </c>
      <c r="D380" t="s">
        <v>502</v>
      </c>
      <c r="E380" t="s">
        <v>520</v>
      </c>
      <c r="F380" s="188" t="n">
        <v>2034</v>
      </c>
      <c r="G380" s="189" t="n">
        <v>48</v>
      </c>
      <c r="H380" s="190" t="n">
        <v>7594.81351285093</v>
      </c>
      <c r="I380" s="191" t="n">
        <v>4089162.4968785</v>
      </c>
      <c r="J380" s="192" t="str">
        <f>IF(I380&gt;0,H380/I380,0)</f>
      </c>
      <c r="K380" s="193" t="str">
        <f>1-EXP(-J380)</f>
      </c>
      <c r="L380" s="194" t="str">
        <f>IF(G380=30,1,M379)</f>
      </c>
      <c r="M380" s="195" t="str">
        <f>L380*(1-K380)</f>
      </c>
    </row>
    <row r="381">
      <c r="A381" t="s">
        <v>167</v>
      </c>
      <c r="B381" t="s">
        <v>254</v>
      </c>
      <c r="C381" s="35" t="s">
        <v>418</v>
      </c>
      <c r="D381" t="s">
        <v>502</v>
      </c>
      <c r="E381" t="s">
        <v>520</v>
      </c>
      <c r="F381" s="188" t="n">
        <v>2034</v>
      </c>
      <c r="G381" s="189" t="n">
        <v>49</v>
      </c>
      <c r="H381" s="190" t="n">
        <v>8440.55842739637</v>
      </c>
      <c r="I381" s="191" t="n">
        <v>4141131.09852289</v>
      </c>
      <c r="J381" s="192" t="str">
        <f>IF(I381&gt;0,H381/I381,0)</f>
      </c>
      <c r="K381" s="193" t="str">
        <f>1-EXP(-J381)</f>
      </c>
      <c r="L381" s="194" t="str">
        <f>IF(G381=30,1,M380)</f>
      </c>
      <c r="M381" s="195" t="str">
        <f>L381*(1-K381)</f>
      </c>
    </row>
    <row r="382">
      <c r="A382" t="s">
        <v>167</v>
      </c>
      <c r="B382" t="s">
        <v>254</v>
      </c>
      <c r="C382" s="35" t="s">
        <v>418</v>
      </c>
      <c r="D382" t="s">
        <v>502</v>
      </c>
      <c r="E382" t="s">
        <v>520</v>
      </c>
      <c r="F382" s="188" t="n">
        <v>2034</v>
      </c>
      <c r="G382" s="189" t="n">
        <v>50</v>
      </c>
      <c r="H382" s="190" t="n">
        <v>9972.1955576003</v>
      </c>
      <c r="I382" s="191" t="n">
        <v>4216884.9147236</v>
      </c>
      <c r="J382" s="192" t="str">
        <f>IF(I382&gt;0,H382/I382,0)</f>
      </c>
      <c r="K382" s="193" t="str">
        <f>1-EXP(-J382)</f>
      </c>
      <c r="L382" s="194" t="str">
        <f>IF(G382=30,1,M381)</f>
      </c>
      <c r="M382" s="195" t="str">
        <f>L382*(1-K382)</f>
      </c>
    </row>
    <row r="383">
      <c r="A383" t="s">
        <v>167</v>
      </c>
      <c r="B383" t="s">
        <v>254</v>
      </c>
      <c r="C383" s="35" t="s">
        <v>418</v>
      </c>
      <c r="D383" t="s">
        <v>502</v>
      </c>
      <c r="E383" t="s">
        <v>520</v>
      </c>
      <c r="F383" s="188" t="n">
        <v>2034</v>
      </c>
      <c r="G383" s="189" t="n">
        <v>51</v>
      </c>
      <c r="H383" s="190" t="n">
        <v>10862.9570451466</v>
      </c>
      <c r="I383" s="191" t="n">
        <v>4184112.63130017</v>
      </c>
      <c r="J383" s="192" t="str">
        <f>IF(I383&gt;0,H383/I383,0)</f>
      </c>
      <c r="K383" s="193" t="str">
        <f>1-EXP(-J383)</f>
      </c>
      <c r="L383" s="194" t="str">
        <f>IF(G383=30,1,M382)</f>
      </c>
      <c r="M383" s="195" t="str">
        <f>L383*(1-K383)</f>
      </c>
    </row>
    <row r="384">
      <c r="A384" t="s">
        <v>167</v>
      </c>
      <c r="B384" t="s">
        <v>254</v>
      </c>
      <c r="C384" s="35" t="s">
        <v>418</v>
      </c>
      <c r="D384" t="s">
        <v>502</v>
      </c>
      <c r="E384" t="s">
        <v>520</v>
      </c>
      <c r="F384" s="188" t="n">
        <v>2034</v>
      </c>
      <c r="G384" s="189" t="n">
        <v>52</v>
      </c>
      <c r="H384" s="190" t="n">
        <v>11487.9433649108</v>
      </c>
      <c r="I384" s="191" t="n">
        <v>4041556.54303883</v>
      </c>
      <c r="J384" s="192" t="str">
        <f>IF(I384&gt;0,H384/I384,0)</f>
      </c>
      <c r="K384" s="193" t="str">
        <f>1-EXP(-J384)</f>
      </c>
      <c r="L384" s="194" t="str">
        <f>IF(G384=30,1,M383)</f>
      </c>
      <c r="M384" s="195" t="str">
        <f>L384*(1-K384)</f>
      </c>
    </row>
    <row r="385">
      <c r="A385" t="s">
        <v>167</v>
      </c>
      <c r="B385" t="s">
        <v>254</v>
      </c>
      <c r="C385" s="35" t="s">
        <v>418</v>
      </c>
      <c r="D385" t="s">
        <v>502</v>
      </c>
      <c r="E385" t="s">
        <v>520</v>
      </c>
      <c r="F385" s="188" t="n">
        <v>2034</v>
      </c>
      <c r="G385" s="189" t="n">
        <v>53</v>
      </c>
      <c r="H385" s="190" t="n">
        <v>12304.4125597808</v>
      </c>
      <c r="I385" s="191" t="n">
        <v>3959612.61907865</v>
      </c>
      <c r="J385" s="192" t="str">
        <f>IF(I385&gt;0,H385/I385,0)</f>
      </c>
      <c r="K385" s="193" t="str">
        <f>1-EXP(-J385)</f>
      </c>
      <c r="L385" s="194" t="str">
        <f>IF(G385=30,1,M384)</f>
      </c>
      <c r="M385" s="195" t="str">
        <f>L385*(1-K385)</f>
      </c>
    </row>
    <row r="386">
      <c r="A386" t="s">
        <v>167</v>
      </c>
      <c r="B386" t="s">
        <v>254</v>
      </c>
      <c r="C386" s="35" t="s">
        <v>418</v>
      </c>
      <c r="D386" t="s">
        <v>502</v>
      </c>
      <c r="E386" t="s">
        <v>520</v>
      </c>
      <c r="F386" s="188" t="n">
        <v>2034</v>
      </c>
      <c r="G386" s="189" t="n">
        <v>54</v>
      </c>
      <c r="H386" s="190" t="n">
        <v>13219.5060849706</v>
      </c>
      <c r="I386" s="191" t="n">
        <v>3892576.92977921</v>
      </c>
      <c r="J386" s="192" t="str">
        <f>IF(I386&gt;0,H386/I386,0)</f>
      </c>
      <c r="K386" s="193" t="str">
        <f>1-EXP(-J386)</f>
      </c>
      <c r="L386" s="194" t="str">
        <f>IF(G386=30,1,M385)</f>
      </c>
      <c r="M386" s="195" t="str">
        <f>L386*(1-K386)</f>
      </c>
    </row>
    <row r="387">
      <c r="A387" t="s">
        <v>167</v>
      </c>
      <c r="B387" t="s">
        <v>254</v>
      </c>
      <c r="C387" s="35" t="s">
        <v>418</v>
      </c>
      <c r="D387" t="s">
        <v>502</v>
      </c>
      <c r="E387" t="s">
        <v>520</v>
      </c>
      <c r="F387" s="188" t="n">
        <v>2034</v>
      </c>
      <c r="G387" s="189" t="n">
        <v>55</v>
      </c>
      <c r="H387" s="190" t="n">
        <v>14213.3303785478</v>
      </c>
      <c r="I387" s="191" t="n">
        <v>3819677.70712841</v>
      </c>
      <c r="J387" s="192" t="str">
        <f>IF(I387&gt;0,H387/I387,0)</f>
      </c>
      <c r="K387" s="193" t="str">
        <f>1-EXP(-J387)</f>
      </c>
      <c r="L387" s="194" t="str">
        <f>IF(G387=30,1,M386)</f>
      </c>
      <c r="M387" s="195" t="str">
        <f>L387*(1-K387)</f>
      </c>
    </row>
    <row r="388">
      <c r="A388" t="s">
        <v>167</v>
      </c>
      <c r="B388" t="s">
        <v>254</v>
      </c>
      <c r="C388" s="35" t="s">
        <v>418</v>
      </c>
      <c r="D388" t="s">
        <v>502</v>
      </c>
      <c r="E388" t="s">
        <v>520</v>
      </c>
      <c r="F388" s="188" t="n">
        <v>2034</v>
      </c>
      <c r="G388" s="189" t="n">
        <v>56</v>
      </c>
      <c r="H388" s="190" t="n">
        <v>15096.582404496</v>
      </c>
      <c r="I388" s="191" t="n">
        <v>3727047.65402665</v>
      </c>
      <c r="J388" s="192" t="str">
        <f>IF(I388&gt;0,H388/I388,0)</f>
      </c>
      <c r="K388" s="193" t="str">
        <f>1-EXP(-J388)</f>
      </c>
      <c r="L388" s="194" t="str">
        <f>IF(G388=30,1,M387)</f>
      </c>
      <c r="M388" s="195" t="str">
        <f>L388*(1-K388)</f>
      </c>
    </row>
    <row r="389">
      <c r="A389" t="s">
        <v>167</v>
      </c>
      <c r="B389" t="s">
        <v>254</v>
      </c>
      <c r="C389" s="35" t="s">
        <v>418</v>
      </c>
      <c r="D389" t="s">
        <v>502</v>
      </c>
      <c r="E389" t="s">
        <v>520</v>
      </c>
      <c r="F389" s="188" t="n">
        <v>2034</v>
      </c>
      <c r="G389" s="189" t="n">
        <v>57</v>
      </c>
      <c r="H389" s="190" t="n">
        <v>16188.649755953</v>
      </c>
      <c r="I389" s="191" t="n">
        <v>3650560.79264488</v>
      </c>
      <c r="J389" s="192" t="str">
        <f>IF(I389&gt;0,H389/I389,0)</f>
      </c>
      <c r="K389" s="193" t="str">
        <f>1-EXP(-J389)</f>
      </c>
      <c r="L389" s="194" t="str">
        <f>IF(G389=30,1,M388)</f>
      </c>
      <c r="M389" s="195" t="str">
        <f>L389*(1-K389)</f>
      </c>
    </row>
    <row r="390">
      <c r="A390" t="s">
        <v>167</v>
      </c>
      <c r="B390" t="s">
        <v>254</v>
      </c>
      <c r="C390" s="35" t="s">
        <v>418</v>
      </c>
      <c r="D390" t="s">
        <v>502</v>
      </c>
      <c r="E390" t="s">
        <v>520</v>
      </c>
      <c r="F390" s="188" t="n">
        <v>2034</v>
      </c>
      <c r="G390" s="189" t="n">
        <v>58</v>
      </c>
      <c r="H390" s="190" t="n">
        <v>17283.3837468681</v>
      </c>
      <c r="I390" s="191" t="n">
        <v>3562154.31249528</v>
      </c>
      <c r="J390" s="192" t="str">
        <f>IF(I390&gt;0,H390/I390,0)</f>
      </c>
      <c r="K390" s="193" t="str">
        <f>1-EXP(-J390)</f>
      </c>
      <c r="L390" s="194" t="str">
        <f>IF(G390=30,1,M389)</f>
      </c>
      <c r="M390" s="195" t="str">
        <f>L390*(1-K390)</f>
      </c>
    </row>
    <row r="391">
      <c r="A391" t="s">
        <v>167</v>
      </c>
      <c r="B391" t="s">
        <v>254</v>
      </c>
      <c r="C391" s="35" t="s">
        <v>418</v>
      </c>
      <c r="D391" t="s">
        <v>502</v>
      </c>
      <c r="E391" t="s">
        <v>520</v>
      </c>
      <c r="F391" s="188" t="n">
        <v>2034</v>
      </c>
      <c r="G391" s="189" t="n">
        <v>59</v>
      </c>
      <c r="H391" s="190" t="n">
        <v>18445.0143809077</v>
      </c>
      <c r="I391" s="191" t="n">
        <v>3472379.22486937</v>
      </c>
      <c r="J391" s="192" t="str">
        <f>IF(I391&gt;0,H391/I391,0)</f>
      </c>
      <c r="K391" s="193" t="str">
        <f>1-EXP(-J391)</f>
      </c>
      <c r="L391" s="194" t="str">
        <f>IF(G391=30,1,M390)</f>
      </c>
      <c r="M391" s="195" t="str">
        <f>L391*(1-K391)</f>
      </c>
    </row>
    <row r="392">
      <c r="A392" t="s">
        <v>167</v>
      </c>
      <c r="B392" t="s">
        <v>254</v>
      </c>
      <c r="C392" s="35" t="s">
        <v>418</v>
      </c>
      <c r="D392" t="s">
        <v>502</v>
      </c>
      <c r="E392" t="s">
        <v>520</v>
      </c>
      <c r="F392" s="188" t="n">
        <v>2034</v>
      </c>
      <c r="G392" s="189" t="n">
        <v>60</v>
      </c>
      <c r="H392" s="190" t="n">
        <v>19698.3495427542</v>
      </c>
      <c r="I392" s="191" t="n">
        <v>3355821.08244585</v>
      </c>
      <c r="J392" s="192" t="str">
        <f>IF(I392&gt;0,H392/I392,0)</f>
      </c>
      <c r="K392" s="193" t="str">
        <f>1-EXP(-J392)</f>
      </c>
      <c r="L392" s="194" t="str">
        <f>IF(G392=30,1,M391)</f>
      </c>
      <c r="M392" s="195" t="str">
        <f>L392*(1-K392)</f>
      </c>
    </row>
    <row r="393">
      <c r="A393" t="s">
        <v>167</v>
      </c>
      <c r="B393" t="s">
        <v>254</v>
      </c>
      <c r="C393" s="35" t="s">
        <v>418</v>
      </c>
      <c r="D393" t="s">
        <v>502</v>
      </c>
      <c r="E393" t="s">
        <v>520</v>
      </c>
      <c r="F393" s="188" t="n">
        <v>2034</v>
      </c>
      <c r="G393" s="189" t="n">
        <v>61</v>
      </c>
      <c r="H393" s="190" t="n">
        <v>21350.1617422446</v>
      </c>
      <c r="I393" s="191" t="n">
        <v>3294892.7110301</v>
      </c>
      <c r="J393" s="192" t="str">
        <f>IF(I393&gt;0,H393/I393,0)</f>
      </c>
      <c r="K393" s="193" t="str">
        <f>1-EXP(-J393)</f>
      </c>
      <c r="L393" s="194" t="str">
        <f>IF(G393=30,1,M392)</f>
      </c>
      <c r="M393" s="195" t="str">
        <f>L393*(1-K393)</f>
      </c>
    </row>
    <row r="394">
      <c r="A394" t="s">
        <v>167</v>
      </c>
      <c r="B394" t="s">
        <v>254</v>
      </c>
      <c r="C394" s="35" t="s">
        <v>418</v>
      </c>
      <c r="D394" t="s">
        <v>502</v>
      </c>
      <c r="E394" t="s">
        <v>520</v>
      </c>
      <c r="F394" s="188" t="n">
        <v>2034</v>
      </c>
      <c r="G394" s="189" t="n">
        <v>62</v>
      </c>
      <c r="H394" s="190" t="n">
        <v>21878.6126633401</v>
      </c>
      <c r="I394" s="191" t="n">
        <v>3079626.95839259</v>
      </c>
      <c r="J394" s="192" t="str">
        <f>IF(I394&gt;0,H394/I394,0)</f>
      </c>
      <c r="K394" s="193" t="str">
        <f>1-EXP(-J394)</f>
      </c>
      <c r="L394" s="194" t="str">
        <f>IF(G394=30,1,M393)</f>
      </c>
      <c r="M394" s="195" t="str">
        <f>L394*(1-K394)</f>
      </c>
    </row>
    <row r="395">
      <c r="A395" t="s">
        <v>167</v>
      </c>
      <c r="B395" t="s">
        <v>254</v>
      </c>
      <c r="C395" s="35" t="s">
        <v>418</v>
      </c>
      <c r="D395" t="s">
        <v>502</v>
      </c>
      <c r="E395" t="s">
        <v>520</v>
      </c>
      <c r="F395" s="188" t="n">
        <v>2034</v>
      </c>
      <c r="G395" s="189" t="n">
        <v>63</v>
      </c>
      <c r="H395" s="190" t="n">
        <v>23179.1038108007</v>
      </c>
      <c r="I395" s="191" t="n">
        <v>2978163.2161177</v>
      </c>
      <c r="J395" s="192" t="str">
        <f>IF(I395&gt;0,H395/I395,0)</f>
      </c>
      <c r="K395" s="193" t="str">
        <f>1-EXP(-J395)</f>
      </c>
      <c r="L395" s="194" t="str">
        <f>IF(G395=30,1,M394)</f>
      </c>
      <c r="M395" s="195" t="str">
        <f>L395*(1-K395)</f>
      </c>
    </row>
    <row r="396">
      <c r="A396" t="s">
        <v>167</v>
      </c>
      <c r="B396" t="s">
        <v>254</v>
      </c>
      <c r="C396" s="35" t="s">
        <v>418</v>
      </c>
      <c r="D396" t="s">
        <v>502</v>
      </c>
      <c r="E396" t="s">
        <v>520</v>
      </c>
      <c r="F396" s="188" t="n">
        <v>2034</v>
      </c>
      <c r="G396" s="189" t="n">
        <v>64</v>
      </c>
      <c r="H396" s="190" t="n">
        <v>24567.072383806</v>
      </c>
      <c r="I396" s="191" t="n">
        <v>2880054.00193076</v>
      </c>
      <c r="J396" s="192" t="str">
        <f>IF(I396&gt;0,H396/I396,0)</f>
      </c>
      <c r="K396" s="193" t="str">
        <f>1-EXP(-J396)</f>
      </c>
      <c r="L396" s="194" t="str">
        <f>IF(G396=30,1,M395)</f>
      </c>
      <c r="M396" s="195" t="str">
        <f>L396*(1-K396)</f>
      </c>
    </row>
    <row r="397">
      <c r="A397" t="s">
        <v>167</v>
      </c>
      <c r="B397" t="s">
        <v>254</v>
      </c>
      <c r="C397" s="35" t="s">
        <v>418</v>
      </c>
      <c r="D397" t="s">
        <v>502</v>
      </c>
      <c r="E397" t="s">
        <v>520</v>
      </c>
      <c r="F397" s="188" t="n">
        <v>2034</v>
      </c>
      <c r="G397" s="189" t="n">
        <v>65</v>
      </c>
      <c r="H397" s="190" t="n">
        <v>25047.0917315236</v>
      </c>
      <c r="I397" s="191" t="n">
        <v>2772754.86482285</v>
      </c>
      <c r="J397" s="192" t="str">
        <f>IF(I397&gt;0,H397/I397,0)</f>
      </c>
      <c r="K397" s="193" t="str">
        <f>1-EXP(-J397)</f>
      </c>
      <c r="L397" s="194" t="str">
        <f>IF(G397=30,1,M396)</f>
      </c>
      <c r="M397" s="195" t="str">
        <f>L397*(1-K397)</f>
      </c>
    </row>
    <row r="398">
      <c r="A398" t="s">
        <v>167</v>
      </c>
      <c r="B398" t="s">
        <v>254</v>
      </c>
      <c r="C398" s="35" t="s">
        <v>418</v>
      </c>
      <c r="D398" t="s">
        <v>502</v>
      </c>
      <c r="E398" t="s">
        <v>520</v>
      </c>
      <c r="F398" s="188" t="n">
        <v>2034</v>
      </c>
      <c r="G398" s="189" t="n">
        <v>66</v>
      </c>
      <c r="H398" s="190" t="n">
        <v>26199.9438434649</v>
      </c>
      <c r="I398" s="191" t="n">
        <v>2647293.33228693</v>
      </c>
      <c r="J398" s="192" t="str">
        <f>IF(I398&gt;0,H398/I398,0)</f>
      </c>
      <c r="K398" s="193" t="str">
        <f>1-EXP(-J398)</f>
      </c>
      <c r="L398" s="194" t="str">
        <f>IF(G398=30,1,M397)</f>
      </c>
      <c r="M398" s="195" t="str">
        <f>L398*(1-K398)</f>
      </c>
    </row>
    <row r="399">
      <c r="A399" t="s">
        <v>167</v>
      </c>
      <c r="B399" t="s">
        <v>254</v>
      </c>
      <c r="C399" s="35" t="s">
        <v>418</v>
      </c>
      <c r="D399" t="s">
        <v>502</v>
      </c>
      <c r="E399" t="s">
        <v>520</v>
      </c>
      <c r="F399" s="188" t="n">
        <v>2034</v>
      </c>
      <c r="G399" s="189" t="n">
        <v>67</v>
      </c>
      <c r="H399" s="190" t="n">
        <v>27108.6648252788</v>
      </c>
      <c r="I399" s="191" t="n">
        <v>2493109.10438275</v>
      </c>
      <c r="J399" s="192" t="str">
        <f>IF(I399&gt;0,H399/I399,0)</f>
      </c>
      <c r="K399" s="193" t="str">
        <f>1-EXP(-J399)</f>
      </c>
      <c r="L399" s="194" t="str">
        <f>IF(G399=30,1,M398)</f>
      </c>
      <c r="M399" s="195" t="str">
        <f>L399*(1-K399)</f>
      </c>
    </row>
    <row r="400">
      <c r="A400" t="s">
        <v>167</v>
      </c>
      <c r="B400" t="s">
        <v>254</v>
      </c>
      <c r="C400" s="35" t="s">
        <v>418</v>
      </c>
      <c r="D400" t="s">
        <v>502</v>
      </c>
      <c r="E400" t="s">
        <v>520</v>
      </c>
      <c r="F400" s="188" t="n">
        <v>2034</v>
      </c>
      <c r="G400" s="189" t="n">
        <v>68</v>
      </c>
      <c r="H400" s="190" t="n">
        <v>28331.4366660073</v>
      </c>
      <c r="I400" s="191" t="n">
        <v>2371895.90116255</v>
      </c>
      <c r="J400" s="192" t="str">
        <f>IF(I400&gt;0,H400/I400,0)</f>
      </c>
      <c r="K400" s="193" t="str">
        <f>1-EXP(-J400)</f>
      </c>
      <c r="L400" s="194" t="str">
        <f>IF(G400=30,1,M399)</f>
      </c>
      <c r="M400" s="195" t="str">
        <f>L400*(1-K400)</f>
      </c>
    </row>
    <row r="401">
      <c r="A401" t="s">
        <v>167</v>
      </c>
      <c r="B401" t="s">
        <v>254</v>
      </c>
      <c r="C401" s="35" t="s">
        <v>418</v>
      </c>
      <c r="D401" t="s">
        <v>502</v>
      </c>
      <c r="E401" t="s">
        <v>520</v>
      </c>
      <c r="F401" s="188" t="n">
        <v>2034</v>
      </c>
      <c r="G401" s="189" t="n">
        <v>69</v>
      </c>
      <c r="H401" s="190" t="n">
        <v>29304.1660513775</v>
      </c>
      <c r="I401" s="191" t="n">
        <v>2231688.63101262</v>
      </c>
      <c r="J401" s="192" t="str">
        <f>IF(I401&gt;0,H401/I401,0)</f>
      </c>
      <c r="K401" s="193" t="str">
        <f>1-EXP(-J401)</f>
      </c>
      <c r="L401" s="194" t="str">
        <f>IF(G401=30,1,M400)</f>
      </c>
      <c r="M401" s="195" t="str">
        <f>L401*(1-K401)</f>
      </c>
    </row>
    <row r="402">
      <c r="A402" t="s">
        <v>167</v>
      </c>
      <c r="B402" t="s">
        <v>254</v>
      </c>
      <c r="C402" s="35" t="s">
        <v>418</v>
      </c>
      <c r="D402" t="s">
        <v>502</v>
      </c>
      <c r="E402" t="s">
        <v>520</v>
      </c>
      <c r="F402" s="188" t="n">
        <v>2035</v>
      </c>
      <c r="G402" s="189" t="n">
        <v>30</v>
      </c>
      <c r="H402" s="190" t="n">
        <v>766.092693953423</v>
      </c>
      <c r="I402" s="191" t="n">
        <v>4552968.22192795</v>
      </c>
      <c r="J402" s="192" t="str">
        <f>IF(I402&gt;0,H402/I402,0)</f>
      </c>
      <c r="K402" s="193" t="str">
        <f>1-EXP(-J402)</f>
      </c>
      <c r="L402" s="194" t="str">
        <f>IF(G402=30,1,M401)</f>
      </c>
      <c r="M402" s="195" t="str">
        <f>L402*(1-K402)</f>
      </c>
    </row>
    <row r="403">
      <c r="A403" t="s">
        <v>167</v>
      </c>
      <c r="B403" t="s">
        <v>254</v>
      </c>
      <c r="C403" s="35" t="s">
        <v>418</v>
      </c>
      <c r="D403" t="s">
        <v>502</v>
      </c>
      <c r="E403" t="s">
        <v>520</v>
      </c>
      <c r="F403" s="188" t="n">
        <v>2035</v>
      </c>
      <c r="G403" s="189" t="n">
        <v>31</v>
      </c>
      <c r="H403" s="190" t="n">
        <v>931.105029172699</v>
      </c>
      <c r="I403" s="191" t="n">
        <v>4424250.03740713</v>
      </c>
      <c r="J403" s="192" t="str">
        <f>IF(I403&gt;0,H403/I403,0)</f>
      </c>
      <c r="K403" s="193" t="str">
        <f>1-EXP(-J403)</f>
      </c>
      <c r="L403" s="194" t="str">
        <f>IF(G403=30,1,M402)</f>
      </c>
      <c r="M403" s="195" t="str">
        <f>L403*(1-K403)</f>
      </c>
    </row>
    <row r="404">
      <c r="A404" t="s">
        <v>167</v>
      </c>
      <c r="B404" t="s">
        <v>254</v>
      </c>
      <c r="C404" s="35" t="s">
        <v>418</v>
      </c>
      <c r="D404" t="s">
        <v>502</v>
      </c>
      <c r="E404" t="s">
        <v>520</v>
      </c>
      <c r="F404" s="188" t="n">
        <v>2035</v>
      </c>
      <c r="G404" s="189" t="n">
        <v>32</v>
      </c>
      <c r="H404" s="190" t="n">
        <v>968.061984753906</v>
      </c>
      <c r="I404" s="191" t="n">
        <v>4359055.29289752</v>
      </c>
      <c r="J404" s="192" t="str">
        <f>IF(I404&gt;0,H404/I404,0)</f>
      </c>
      <c r="K404" s="193" t="str">
        <f>1-EXP(-J404)</f>
      </c>
      <c r="L404" s="194" t="str">
        <f>IF(G404=30,1,M403)</f>
      </c>
      <c r="M404" s="195" t="str">
        <f>L404*(1-K404)</f>
      </c>
    </row>
    <row r="405">
      <c r="A405" t="s">
        <v>167</v>
      </c>
      <c r="B405" t="s">
        <v>254</v>
      </c>
      <c r="C405" s="35" t="s">
        <v>418</v>
      </c>
      <c r="D405" t="s">
        <v>502</v>
      </c>
      <c r="E405" t="s">
        <v>520</v>
      </c>
      <c r="F405" s="188" t="n">
        <v>2035</v>
      </c>
      <c r="G405" s="189" t="n">
        <v>33</v>
      </c>
      <c r="H405" s="190" t="n">
        <v>1165.28506634043</v>
      </c>
      <c r="I405" s="191" t="n">
        <v>4337971.77453613</v>
      </c>
      <c r="J405" s="192" t="str">
        <f>IF(I405&gt;0,H405/I405,0)</f>
      </c>
      <c r="K405" s="193" t="str">
        <f>1-EXP(-J405)</f>
      </c>
      <c r="L405" s="194" t="str">
        <f>IF(G405=30,1,M404)</f>
      </c>
      <c r="M405" s="195" t="str">
        <f>L405*(1-K405)</f>
      </c>
    </row>
    <row r="406">
      <c r="A406" t="s">
        <v>167</v>
      </c>
      <c r="B406" t="s">
        <v>254</v>
      </c>
      <c r="C406" s="35" t="s">
        <v>418</v>
      </c>
      <c r="D406" t="s">
        <v>502</v>
      </c>
      <c r="E406" t="s">
        <v>520</v>
      </c>
      <c r="F406" s="188" t="n">
        <v>2035</v>
      </c>
      <c r="G406" s="189" t="n">
        <v>34</v>
      </c>
      <c r="H406" s="190" t="n">
        <v>1235.16401235757</v>
      </c>
      <c r="I406" s="191" t="n">
        <v>4318000.07623007</v>
      </c>
      <c r="J406" s="192" t="str">
        <f>IF(I406&gt;0,H406/I406,0)</f>
      </c>
      <c r="K406" s="193" t="str">
        <f>1-EXP(-J406)</f>
      </c>
      <c r="L406" s="194" t="str">
        <f>IF(G406=30,1,M405)</f>
      </c>
      <c r="M406" s="195" t="str">
        <f>L406*(1-K406)</f>
      </c>
    </row>
    <row r="407">
      <c r="A407" t="s">
        <v>167</v>
      </c>
      <c r="B407" t="s">
        <v>254</v>
      </c>
      <c r="C407" s="35" t="s">
        <v>418</v>
      </c>
      <c r="D407" t="s">
        <v>502</v>
      </c>
      <c r="E407" t="s">
        <v>520</v>
      </c>
      <c r="F407" s="188" t="n">
        <v>2035</v>
      </c>
      <c r="G407" s="189" t="n">
        <v>35</v>
      </c>
      <c r="H407" s="190" t="n">
        <v>1657.24146530058</v>
      </c>
      <c r="I407" s="191" t="n">
        <v>4297702.84747452</v>
      </c>
      <c r="J407" s="192" t="str">
        <f>IF(I407&gt;0,H407/I407,0)</f>
      </c>
      <c r="K407" s="193" t="str">
        <f>1-EXP(-J407)</f>
      </c>
      <c r="L407" s="194" t="str">
        <f>IF(G407=30,1,M406)</f>
      </c>
      <c r="M407" s="195" t="str">
        <f>L407*(1-K407)</f>
      </c>
    </row>
    <row r="408">
      <c r="A408" t="s">
        <v>167</v>
      </c>
      <c r="B408" t="s">
        <v>254</v>
      </c>
      <c r="C408" s="35" t="s">
        <v>418</v>
      </c>
      <c r="D408" t="s">
        <v>502</v>
      </c>
      <c r="E408" t="s">
        <v>520</v>
      </c>
      <c r="F408" s="188" t="n">
        <v>2035</v>
      </c>
      <c r="G408" s="189" t="n">
        <v>36</v>
      </c>
      <c r="H408" s="190" t="n">
        <v>1854.36111341396</v>
      </c>
      <c r="I408" s="191" t="n">
        <v>4316539.23300633</v>
      </c>
      <c r="J408" s="192" t="str">
        <f>IF(I408&gt;0,H408/I408,0)</f>
      </c>
      <c r="K408" s="193" t="str">
        <f>1-EXP(-J408)</f>
      </c>
      <c r="L408" s="194" t="str">
        <f>IF(G408=30,1,M407)</f>
      </c>
      <c r="M408" s="195" t="str">
        <f>L408*(1-K408)</f>
      </c>
    </row>
    <row r="409">
      <c r="A409" t="s">
        <v>167</v>
      </c>
      <c r="B409" t="s">
        <v>254</v>
      </c>
      <c r="C409" s="35" t="s">
        <v>418</v>
      </c>
      <c r="D409" t="s">
        <v>502</v>
      </c>
      <c r="E409" t="s">
        <v>520</v>
      </c>
      <c r="F409" s="188" t="n">
        <v>2035</v>
      </c>
      <c r="G409" s="189" t="n">
        <v>37</v>
      </c>
      <c r="H409" s="190" t="n">
        <v>2023.68086993292</v>
      </c>
      <c r="I409" s="191" t="n">
        <v>4374641.10696971</v>
      </c>
      <c r="J409" s="192" t="str">
        <f>IF(I409&gt;0,H409/I409,0)</f>
      </c>
      <c r="K409" s="193" t="str">
        <f>1-EXP(-J409)</f>
      </c>
      <c r="L409" s="194" t="str">
        <f>IF(G409=30,1,M408)</f>
      </c>
      <c r="M409" s="195" t="str">
        <f>L409*(1-K409)</f>
      </c>
    </row>
    <row r="410">
      <c r="A410" t="s">
        <v>167</v>
      </c>
      <c r="B410" t="s">
        <v>254</v>
      </c>
      <c r="C410" s="35" t="s">
        <v>418</v>
      </c>
      <c r="D410" t="s">
        <v>502</v>
      </c>
      <c r="E410" t="s">
        <v>520</v>
      </c>
      <c r="F410" s="188" t="n">
        <v>2035</v>
      </c>
      <c r="G410" s="189" t="n">
        <v>38</v>
      </c>
      <c r="H410" s="190" t="n">
        <v>2451.03722150121</v>
      </c>
      <c r="I410" s="191" t="n">
        <v>4511320.78127056</v>
      </c>
      <c r="J410" s="192" t="str">
        <f>IF(I410&gt;0,H410/I410,0)</f>
      </c>
      <c r="K410" s="193" t="str">
        <f>1-EXP(-J410)</f>
      </c>
      <c r="L410" s="194" t="str">
        <f>IF(G410=30,1,M409)</f>
      </c>
      <c r="M410" s="195" t="str">
        <f>L410*(1-K410)</f>
      </c>
    </row>
    <row r="411">
      <c r="A411" t="s">
        <v>167</v>
      </c>
      <c r="B411" t="s">
        <v>254</v>
      </c>
      <c r="C411" s="35" t="s">
        <v>418</v>
      </c>
      <c r="D411" t="s">
        <v>502</v>
      </c>
      <c r="E411" t="s">
        <v>520</v>
      </c>
      <c r="F411" s="188" t="n">
        <v>2035</v>
      </c>
      <c r="G411" s="189" t="n">
        <v>39</v>
      </c>
      <c r="H411" s="190" t="n">
        <v>2615.19406746708</v>
      </c>
      <c r="I411" s="191" t="n">
        <v>4466468.48206809</v>
      </c>
      <c r="J411" s="192" t="str">
        <f>IF(I411&gt;0,H411/I411,0)</f>
      </c>
      <c r="K411" s="193" t="str">
        <f>1-EXP(-J411)</f>
      </c>
      <c r="L411" s="194" t="str">
        <f>IF(G411=30,1,M410)</f>
      </c>
      <c r="M411" s="195" t="str">
        <f>L411*(1-K411)</f>
      </c>
    </row>
    <row r="412">
      <c r="A412" t="s">
        <v>167</v>
      </c>
      <c r="B412" t="s">
        <v>254</v>
      </c>
      <c r="C412" s="35" t="s">
        <v>418</v>
      </c>
      <c r="D412" t="s">
        <v>502</v>
      </c>
      <c r="E412" t="s">
        <v>520</v>
      </c>
      <c r="F412" s="188" t="n">
        <v>2035</v>
      </c>
      <c r="G412" s="189" t="n">
        <v>40</v>
      </c>
      <c r="H412" s="190" t="n">
        <v>3449.61656599947</v>
      </c>
      <c r="I412" s="191" t="n">
        <v>4391425.25874556</v>
      </c>
      <c r="J412" s="192" t="str">
        <f>IF(I412&gt;0,H412/I412,0)</f>
      </c>
      <c r="K412" s="193" t="str">
        <f>1-EXP(-J412)</f>
      </c>
      <c r="L412" s="194" t="str">
        <f>IF(G412=30,1,M411)</f>
      </c>
      <c r="M412" s="195" t="str">
        <f>L412*(1-K412)</f>
      </c>
    </row>
    <row r="413">
      <c r="A413" t="s">
        <v>167</v>
      </c>
      <c r="B413" t="s">
        <v>254</v>
      </c>
      <c r="C413" s="35" t="s">
        <v>418</v>
      </c>
      <c r="D413" t="s">
        <v>502</v>
      </c>
      <c r="E413" t="s">
        <v>520</v>
      </c>
      <c r="F413" s="188" t="n">
        <v>2035</v>
      </c>
      <c r="G413" s="189" t="n">
        <v>41</v>
      </c>
      <c r="H413" s="190" t="n">
        <v>3666.44010809988</v>
      </c>
      <c r="I413" s="191" t="n">
        <v>4330992.80969127</v>
      </c>
      <c r="J413" s="192" t="str">
        <f>IF(I413&gt;0,H413/I413,0)</f>
      </c>
      <c r="K413" s="193" t="str">
        <f>1-EXP(-J413)</f>
      </c>
      <c r="L413" s="194" t="str">
        <f>IF(G413=30,1,M412)</f>
      </c>
      <c r="M413" s="195" t="str">
        <f>L413*(1-K413)</f>
      </c>
    </row>
    <row r="414">
      <c r="A414" t="s">
        <v>167</v>
      </c>
      <c r="B414" t="s">
        <v>254</v>
      </c>
      <c r="C414" s="35" t="s">
        <v>418</v>
      </c>
      <c r="D414" t="s">
        <v>502</v>
      </c>
      <c r="E414" t="s">
        <v>520</v>
      </c>
      <c r="F414" s="188" t="n">
        <v>2035</v>
      </c>
      <c r="G414" s="189" t="n">
        <v>42</v>
      </c>
      <c r="H414" s="190" t="n">
        <v>3927.99674344439</v>
      </c>
      <c r="I414" s="191" t="n">
        <v>4274614.74931146</v>
      </c>
      <c r="J414" s="192" t="str">
        <f>IF(I414&gt;0,H414/I414,0)</f>
      </c>
      <c r="K414" s="193" t="str">
        <f>1-EXP(-J414)</f>
      </c>
      <c r="L414" s="194" t="str">
        <f>IF(G414=30,1,M413)</f>
      </c>
      <c r="M414" s="195" t="str">
        <f>L414*(1-K414)</f>
      </c>
    </row>
    <row r="415">
      <c r="A415" t="s">
        <v>167</v>
      </c>
      <c r="B415" t="s">
        <v>254</v>
      </c>
      <c r="C415" s="35" t="s">
        <v>418</v>
      </c>
      <c r="D415" t="s">
        <v>502</v>
      </c>
      <c r="E415" t="s">
        <v>520</v>
      </c>
      <c r="F415" s="188" t="n">
        <v>2035</v>
      </c>
      <c r="G415" s="189" t="n">
        <v>43</v>
      </c>
      <c r="H415" s="190" t="n">
        <v>4305.87496337601</v>
      </c>
      <c r="I415" s="191" t="n">
        <v>4308299.48057751</v>
      </c>
      <c r="J415" s="192" t="str">
        <f>IF(I415&gt;0,H415/I415,0)</f>
      </c>
      <c r="K415" s="193" t="str">
        <f>1-EXP(-J415)</f>
      </c>
      <c r="L415" s="194" t="str">
        <f>IF(G415=30,1,M414)</f>
      </c>
      <c r="M415" s="195" t="str">
        <f>L415*(1-K415)</f>
      </c>
    </row>
    <row r="416">
      <c r="A416" t="s">
        <v>167</v>
      </c>
      <c r="B416" t="s">
        <v>254</v>
      </c>
      <c r="C416" s="35" t="s">
        <v>418</v>
      </c>
      <c r="D416" t="s">
        <v>502</v>
      </c>
      <c r="E416" t="s">
        <v>520</v>
      </c>
      <c r="F416" s="188" t="n">
        <v>2035</v>
      </c>
      <c r="G416" s="189" t="n">
        <v>44</v>
      </c>
      <c r="H416" s="190" t="n">
        <v>4715.46128106977</v>
      </c>
      <c r="I416" s="191" t="n">
        <v>4321995.44020096</v>
      </c>
      <c r="J416" s="192" t="str">
        <f>IF(I416&gt;0,H416/I416,0)</f>
      </c>
      <c r="K416" s="193" t="str">
        <f>1-EXP(-J416)</f>
      </c>
      <c r="L416" s="194" t="str">
        <f>IF(G416=30,1,M415)</f>
      </c>
      <c r="M416" s="195" t="str">
        <f>L416*(1-K416)</f>
      </c>
    </row>
    <row r="417">
      <c r="A417" t="s">
        <v>167</v>
      </c>
      <c r="B417" t="s">
        <v>254</v>
      </c>
      <c r="C417" s="35" t="s">
        <v>418</v>
      </c>
      <c r="D417" t="s">
        <v>502</v>
      </c>
      <c r="E417" t="s">
        <v>520</v>
      </c>
      <c r="F417" s="188" t="n">
        <v>2035</v>
      </c>
      <c r="G417" s="189" t="n">
        <v>45</v>
      </c>
      <c r="H417" s="190" t="n">
        <v>8328.37716515557</v>
      </c>
      <c r="I417" s="191" t="n">
        <v>6361299.45779906</v>
      </c>
      <c r="J417" s="192" t="str">
        <f>IF(I417&gt;0,H417/I417,0)</f>
      </c>
      <c r="K417" s="193" t="str">
        <f>1-EXP(-J417)</f>
      </c>
      <c r="L417" s="194" t="str">
        <f>IF(G417=30,1,M416)</f>
      </c>
      <c r="M417" s="195" t="str">
        <f>L417*(1-K417)</f>
      </c>
    </row>
    <row r="418">
      <c r="A418" t="s">
        <v>167</v>
      </c>
      <c r="B418" t="s">
        <v>254</v>
      </c>
      <c r="C418" s="35" t="s">
        <v>418</v>
      </c>
      <c r="D418" t="s">
        <v>502</v>
      </c>
      <c r="E418" t="s">
        <v>520</v>
      </c>
      <c r="F418" s="188" t="n">
        <v>2035</v>
      </c>
      <c r="G418" s="189" t="n">
        <v>46</v>
      </c>
      <c r="H418" s="190" t="n">
        <v>6555.10448935438</v>
      </c>
      <c r="I418" s="191" t="n">
        <v>4270430.68861501</v>
      </c>
      <c r="J418" s="192" t="str">
        <f>IF(I418&gt;0,H418/I418,0)</f>
      </c>
      <c r="K418" s="193" t="str">
        <f>1-EXP(-J418)</f>
      </c>
      <c r="L418" s="194" t="str">
        <f>IF(G418=30,1,M417)</f>
      </c>
      <c r="M418" s="195" t="str">
        <f>L418*(1-K418)</f>
      </c>
    </row>
    <row r="419">
      <c r="A419" t="s">
        <v>167</v>
      </c>
      <c r="B419" t="s">
        <v>254</v>
      </c>
      <c r="C419" s="35" t="s">
        <v>418</v>
      </c>
      <c r="D419" t="s">
        <v>502</v>
      </c>
      <c r="E419" t="s">
        <v>520</v>
      </c>
      <c r="F419" s="188" t="n">
        <v>2035</v>
      </c>
      <c r="G419" s="189" t="n">
        <v>47</v>
      </c>
      <c r="H419" s="190" t="n">
        <v>7155.27973103468</v>
      </c>
      <c r="I419" s="191" t="n">
        <v>4248193.70436191</v>
      </c>
      <c r="J419" s="192" t="str">
        <f>IF(I419&gt;0,H419/I419,0)</f>
      </c>
      <c r="K419" s="193" t="str">
        <f>1-EXP(-J419)</f>
      </c>
      <c r="L419" s="194" t="str">
        <f>IF(G419=30,1,M418)</f>
      </c>
      <c r="M419" s="195" t="str">
        <f>L419*(1-K419)</f>
      </c>
    </row>
    <row r="420">
      <c r="A420" t="s">
        <v>167</v>
      </c>
      <c r="B420" t="s">
        <v>254</v>
      </c>
      <c r="C420" s="35" t="s">
        <v>418</v>
      </c>
      <c r="D420" t="s">
        <v>502</v>
      </c>
      <c r="E420" t="s">
        <v>520</v>
      </c>
      <c r="F420" s="188" t="n">
        <v>2035</v>
      </c>
      <c r="G420" s="189" t="n">
        <v>48</v>
      </c>
      <c r="H420" s="190" t="n">
        <v>7604.76645709288</v>
      </c>
      <c r="I420" s="191" t="n">
        <v>4111776.63118034</v>
      </c>
      <c r="J420" s="192" t="str">
        <f>IF(I420&gt;0,H420/I420,0)</f>
      </c>
      <c r="K420" s="193" t="str">
        <f>1-EXP(-J420)</f>
      </c>
      <c r="L420" s="194" t="str">
        <f>IF(G420=30,1,M419)</f>
      </c>
      <c r="M420" s="195" t="str">
        <f>L420*(1-K420)</f>
      </c>
    </row>
    <row r="421">
      <c r="A421" t="s">
        <v>167</v>
      </c>
      <c r="B421" t="s">
        <v>254</v>
      </c>
      <c r="C421" s="35" t="s">
        <v>418</v>
      </c>
      <c r="D421" t="s">
        <v>502</v>
      </c>
      <c r="E421" t="s">
        <v>520</v>
      </c>
      <c r="F421" s="188" t="n">
        <v>2035</v>
      </c>
      <c r="G421" s="189" t="n">
        <v>49</v>
      </c>
      <c r="H421" s="190" t="n">
        <v>8261.7376687484</v>
      </c>
      <c r="I421" s="191" t="n">
        <v>4070820.59448104</v>
      </c>
      <c r="J421" s="192" t="str">
        <f>IF(I421&gt;0,H421/I421,0)</f>
      </c>
      <c r="K421" s="193" t="str">
        <f>1-EXP(-J421)</f>
      </c>
      <c r="L421" s="194" t="str">
        <f>IF(G421=30,1,M420)</f>
      </c>
      <c r="M421" s="195" t="str">
        <f>L421*(1-K421)</f>
      </c>
    </row>
    <row r="422">
      <c r="A422" t="s">
        <v>167</v>
      </c>
      <c r="B422" t="s">
        <v>254</v>
      </c>
      <c r="C422" s="35" t="s">
        <v>418</v>
      </c>
      <c r="D422" t="s">
        <v>502</v>
      </c>
      <c r="E422" t="s">
        <v>520</v>
      </c>
      <c r="F422" s="188" t="n">
        <v>2035</v>
      </c>
      <c r="G422" s="189" t="n">
        <v>50</v>
      </c>
      <c r="H422" s="190" t="n">
        <v>9690.22224944383</v>
      </c>
      <c r="I422" s="191" t="n">
        <v>4120771.12010014</v>
      </c>
      <c r="J422" s="192" t="str">
        <f>IF(I422&gt;0,H422/I422,0)</f>
      </c>
      <c r="K422" s="193" t="str">
        <f>1-EXP(-J422)</f>
      </c>
      <c r="L422" s="194" t="str">
        <f>IF(G422=30,1,M421)</f>
      </c>
      <c r="M422" s="195" t="str">
        <f>L422*(1-K422)</f>
      </c>
    </row>
    <row r="423">
      <c r="A423" t="s">
        <v>167</v>
      </c>
      <c r="B423" t="s">
        <v>254</v>
      </c>
      <c r="C423" s="35" t="s">
        <v>418</v>
      </c>
      <c r="D423" t="s">
        <v>502</v>
      </c>
      <c r="E423" t="s">
        <v>520</v>
      </c>
      <c r="F423" s="188" t="n">
        <v>2035</v>
      </c>
      <c r="G423" s="189" t="n">
        <v>51</v>
      </c>
      <c r="H423" s="190" t="n">
        <v>10828.2413343273</v>
      </c>
      <c r="I423" s="191" t="n">
        <v>4193356.11577746</v>
      </c>
      <c r="J423" s="192" t="str">
        <f>IF(I423&gt;0,H423/I423,0)</f>
      </c>
      <c r="K423" s="193" t="str">
        <f>1-EXP(-J423)</f>
      </c>
      <c r="L423" s="194" t="str">
        <f>IF(G423=30,1,M422)</f>
      </c>
      <c r="M423" s="195" t="str">
        <f>L423*(1-K423)</f>
      </c>
    </row>
    <row r="424">
      <c r="A424" t="s">
        <v>167</v>
      </c>
      <c r="B424" t="s">
        <v>254</v>
      </c>
      <c r="C424" s="35" t="s">
        <v>418</v>
      </c>
      <c r="D424" t="s">
        <v>502</v>
      </c>
      <c r="E424" t="s">
        <v>520</v>
      </c>
      <c r="F424" s="188" t="n">
        <v>2035</v>
      </c>
      <c r="G424" s="189" t="n">
        <v>52</v>
      </c>
      <c r="H424" s="190" t="n">
        <v>11749.0689485705</v>
      </c>
      <c r="I424" s="191" t="n">
        <v>4159365.31025703</v>
      </c>
      <c r="J424" s="192" t="str">
        <f>IF(I424&gt;0,H424/I424,0)</f>
      </c>
      <c r="K424" s="193" t="str">
        <f>1-EXP(-J424)</f>
      </c>
      <c r="L424" s="194" t="str">
        <f>IF(G424=30,1,M423)</f>
      </c>
      <c r="M424" s="195" t="str">
        <f>L424*(1-K424)</f>
      </c>
    </row>
    <row r="425">
      <c r="A425" t="s">
        <v>167</v>
      </c>
      <c r="B425" t="s">
        <v>254</v>
      </c>
      <c r="C425" s="35" t="s">
        <v>418</v>
      </c>
      <c r="D425" t="s">
        <v>502</v>
      </c>
      <c r="E425" t="s">
        <v>520</v>
      </c>
      <c r="F425" s="188" t="n">
        <v>2035</v>
      </c>
      <c r="G425" s="189" t="n">
        <v>53</v>
      </c>
      <c r="H425" s="190" t="n">
        <v>12410.3236976675</v>
      </c>
      <c r="I425" s="191" t="n">
        <v>4015406.64438734</v>
      </c>
      <c r="J425" s="192" t="str">
        <f>IF(I425&gt;0,H425/I425,0)</f>
      </c>
      <c r="K425" s="193" t="str">
        <f>1-EXP(-J425)</f>
      </c>
      <c r="L425" s="194" t="str">
        <f>IF(G425=30,1,M424)</f>
      </c>
      <c r="M425" s="195" t="str">
        <f>L425*(1-K425)</f>
      </c>
    </row>
    <row r="426">
      <c r="A426" t="s">
        <v>167</v>
      </c>
      <c r="B426" t="s">
        <v>254</v>
      </c>
      <c r="C426" s="35" t="s">
        <v>418</v>
      </c>
      <c r="D426" t="s">
        <v>502</v>
      </c>
      <c r="E426" t="s">
        <v>520</v>
      </c>
      <c r="F426" s="188" t="n">
        <v>2035</v>
      </c>
      <c r="G426" s="189" t="n">
        <v>54</v>
      </c>
      <c r="H426" s="190" t="n">
        <v>13277.2558712647</v>
      </c>
      <c r="I426" s="191" t="n">
        <v>3931622.60446363</v>
      </c>
      <c r="J426" s="192" t="str">
        <f>IF(I426&gt;0,H426/I426,0)</f>
      </c>
      <c r="K426" s="193" t="str">
        <f>1-EXP(-J426)</f>
      </c>
      <c r="L426" s="194" t="str">
        <f>IF(G426=30,1,M425)</f>
      </c>
      <c r="M426" s="195" t="str">
        <f>L426*(1-K426)</f>
      </c>
    </row>
    <row r="427">
      <c r="A427" t="s">
        <v>167</v>
      </c>
      <c r="B427" t="s">
        <v>254</v>
      </c>
      <c r="C427" s="35" t="s">
        <v>418</v>
      </c>
      <c r="D427" t="s">
        <v>502</v>
      </c>
      <c r="E427" t="s">
        <v>520</v>
      </c>
      <c r="F427" s="188" t="n">
        <v>2035</v>
      </c>
      <c r="G427" s="189" t="n">
        <v>55</v>
      </c>
      <c r="H427" s="190" t="n">
        <v>14260.2096071351</v>
      </c>
      <c r="I427" s="191" t="n">
        <v>3862527.17036603</v>
      </c>
      <c r="J427" s="192" t="str">
        <f>IF(I427&gt;0,H427/I427,0)</f>
      </c>
      <c r="K427" s="193" t="str">
        <f>1-EXP(-J427)</f>
      </c>
      <c r="L427" s="194" t="str">
        <f>IF(G427=30,1,M426)</f>
      </c>
      <c r="M427" s="195" t="str">
        <f>L427*(1-K427)</f>
      </c>
    </row>
    <row r="428">
      <c r="A428" t="s">
        <v>167</v>
      </c>
      <c r="B428" t="s">
        <v>254</v>
      </c>
      <c r="C428" s="35" t="s">
        <v>418</v>
      </c>
      <c r="D428" t="s">
        <v>502</v>
      </c>
      <c r="E428" t="s">
        <v>520</v>
      </c>
      <c r="F428" s="188" t="n">
        <v>2035</v>
      </c>
      <c r="G428" s="189" t="n">
        <v>56</v>
      </c>
      <c r="H428" s="190" t="n">
        <v>15216.522675203</v>
      </c>
      <c r="I428" s="191" t="n">
        <v>3787139.6127556</v>
      </c>
      <c r="J428" s="192" t="str">
        <f>IF(I428&gt;0,H428/I428,0)</f>
      </c>
      <c r="K428" s="193" t="str">
        <f>1-EXP(-J428)</f>
      </c>
      <c r="L428" s="194" t="str">
        <f>IF(G428=30,1,M427)</f>
      </c>
      <c r="M428" s="195" t="str">
        <f>L428*(1-K428)</f>
      </c>
    </row>
    <row r="429">
      <c r="A429" t="s">
        <v>167</v>
      </c>
      <c r="B429" t="s">
        <v>254</v>
      </c>
      <c r="C429" s="35" t="s">
        <v>418</v>
      </c>
      <c r="D429" t="s">
        <v>502</v>
      </c>
      <c r="E429" t="s">
        <v>520</v>
      </c>
      <c r="F429" s="188" t="n">
        <v>2035</v>
      </c>
      <c r="G429" s="189" t="n">
        <v>57</v>
      </c>
      <c r="H429" s="190" t="n">
        <v>16222.829829805</v>
      </c>
      <c r="I429" s="191" t="n">
        <v>3692770.24854789</v>
      </c>
      <c r="J429" s="192" t="str">
        <f>IF(I429&gt;0,H429/I429,0)</f>
      </c>
      <c r="K429" s="193" t="str">
        <f>1-EXP(-J429)</f>
      </c>
      <c r="L429" s="194" t="str">
        <f>IF(G429=30,1,M428)</f>
      </c>
      <c r="M429" s="195" t="str">
        <f>L429*(1-K429)</f>
      </c>
    </row>
    <row r="430">
      <c r="A430" t="s">
        <v>167</v>
      </c>
      <c r="B430" t="s">
        <v>254</v>
      </c>
      <c r="C430" s="35" t="s">
        <v>418</v>
      </c>
      <c r="D430" t="s">
        <v>502</v>
      </c>
      <c r="E430" t="s">
        <v>520</v>
      </c>
      <c r="F430" s="188" t="n">
        <v>2035</v>
      </c>
      <c r="G430" s="189" t="n">
        <v>58</v>
      </c>
      <c r="H430" s="190" t="n">
        <v>17392.7525416105</v>
      </c>
      <c r="I430" s="191" t="n">
        <v>3613848.48454778</v>
      </c>
      <c r="J430" s="192" t="str">
        <f>IF(I430&gt;0,H430/I430,0)</f>
      </c>
      <c r="K430" s="193" t="str">
        <f>1-EXP(-J430)</f>
      </c>
      <c r="L430" s="194" t="str">
        <f>IF(G430=30,1,M429)</f>
      </c>
      <c r="M430" s="195" t="str">
        <f>L430*(1-K430)</f>
      </c>
    </row>
    <row r="431">
      <c r="A431" t="s">
        <v>167</v>
      </c>
      <c r="B431" t="s">
        <v>254</v>
      </c>
      <c r="C431" s="35" t="s">
        <v>418</v>
      </c>
      <c r="D431" t="s">
        <v>502</v>
      </c>
      <c r="E431" t="s">
        <v>520</v>
      </c>
      <c r="F431" s="188" t="n">
        <v>2035</v>
      </c>
      <c r="G431" s="189" t="n">
        <v>59</v>
      </c>
      <c r="H431" s="190" t="n">
        <v>18563.9741366739</v>
      </c>
      <c r="I431" s="191" t="n">
        <v>3523003.11471554</v>
      </c>
      <c r="J431" s="192" t="str">
        <f>IF(I431&gt;0,H431/I431,0)</f>
      </c>
      <c r="K431" s="193" t="str">
        <f>1-EXP(-J431)</f>
      </c>
      <c r="L431" s="194" t="str">
        <f>IF(G431=30,1,M430)</f>
      </c>
      <c r="M431" s="195" t="str">
        <f>L431*(1-K431)</f>
      </c>
    </row>
    <row r="432">
      <c r="A432" t="s">
        <v>167</v>
      </c>
      <c r="B432" t="s">
        <v>254</v>
      </c>
      <c r="C432" s="35" t="s">
        <v>418</v>
      </c>
      <c r="D432" t="s">
        <v>502</v>
      </c>
      <c r="E432" t="s">
        <v>520</v>
      </c>
      <c r="F432" s="188" t="n">
        <v>2035</v>
      </c>
      <c r="G432" s="189" t="n">
        <v>60</v>
      </c>
      <c r="H432" s="190" t="n">
        <v>19931.4625992565</v>
      </c>
      <c r="I432" s="191" t="n">
        <v>3430642.18854842</v>
      </c>
      <c r="J432" s="192" t="str">
        <f>IF(I432&gt;0,H432/I432,0)</f>
      </c>
      <c r="K432" s="193" t="str">
        <f>1-EXP(-J432)</f>
      </c>
      <c r="L432" s="194" t="str">
        <f>IF(G432=30,1,M431)</f>
      </c>
      <c r="M432" s="195" t="str">
        <f>L432*(1-K432)</f>
      </c>
    </row>
    <row r="433">
      <c r="A433" t="s">
        <v>167</v>
      </c>
      <c r="B433" t="s">
        <v>254</v>
      </c>
      <c r="C433" s="35" t="s">
        <v>418</v>
      </c>
      <c r="D433" t="s">
        <v>502</v>
      </c>
      <c r="E433" t="s">
        <v>520</v>
      </c>
      <c r="F433" s="188" t="n">
        <v>2035</v>
      </c>
      <c r="G433" s="189" t="n">
        <v>61</v>
      </c>
      <c r="H433" s="190" t="n">
        <v>21242.0630583629</v>
      </c>
      <c r="I433" s="191" t="n">
        <v>3311252.34670613</v>
      </c>
      <c r="J433" s="192" t="str">
        <f>IF(I433&gt;0,H433/I433,0)</f>
      </c>
      <c r="K433" s="193" t="str">
        <f>1-EXP(-J433)</f>
      </c>
      <c r="L433" s="194" t="str">
        <f>IF(G433=30,1,M432)</f>
      </c>
      <c r="M433" s="195" t="str">
        <f>L433*(1-K433)</f>
      </c>
    </row>
    <row r="434">
      <c r="A434" t="s">
        <v>167</v>
      </c>
      <c r="B434" t="s">
        <v>254</v>
      </c>
      <c r="C434" s="35" t="s">
        <v>418</v>
      </c>
      <c r="D434" t="s">
        <v>502</v>
      </c>
      <c r="E434" t="s">
        <v>520</v>
      </c>
      <c r="F434" s="188" t="n">
        <v>2035</v>
      </c>
      <c r="G434" s="189" t="n">
        <v>62</v>
      </c>
      <c r="H434" s="190" t="n">
        <v>22813.4385672995</v>
      </c>
      <c r="I434" s="191" t="n">
        <v>3247263.36965784</v>
      </c>
      <c r="J434" s="192" t="str">
        <f>IF(I434&gt;0,H434/I434,0)</f>
      </c>
      <c r="K434" s="193" t="str">
        <f>1-EXP(-J434)</f>
      </c>
      <c r="L434" s="194" t="str">
        <f>IF(G434=30,1,M433)</f>
      </c>
      <c r="M434" s="195" t="str">
        <f>L434*(1-K434)</f>
      </c>
    </row>
    <row r="435">
      <c r="A435" t="s">
        <v>167</v>
      </c>
      <c r="B435" t="s">
        <v>254</v>
      </c>
      <c r="C435" s="35" t="s">
        <v>418</v>
      </c>
      <c r="D435" t="s">
        <v>502</v>
      </c>
      <c r="E435" t="s">
        <v>520</v>
      </c>
      <c r="F435" s="188" t="n">
        <v>2035</v>
      </c>
      <c r="G435" s="189" t="n">
        <v>63</v>
      </c>
      <c r="H435" s="190" t="n">
        <v>23358.8368707779</v>
      </c>
      <c r="I435" s="191" t="n">
        <v>3030833.31851521</v>
      </c>
      <c r="J435" s="192" t="str">
        <f>IF(I435&gt;0,H435/I435,0)</f>
      </c>
      <c r="K435" s="193" t="str">
        <f>1-EXP(-J435)</f>
      </c>
      <c r="L435" s="194" t="str">
        <f>IF(G435=30,1,M434)</f>
      </c>
      <c r="M435" s="195" t="str">
        <f>L435*(1-K435)</f>
      </c>
    </row>
    <row r="436">
      <c r="A436" t="s">
        <v>167</v>
      </c>
      <c r="B436" t="s">
        <v>254</v>
      </c>
      <c r="C436" s="35" t="s">
        <v>418</v>
      </c>
      <c r="D436" t="s">
        <v>502</v>
      </c>
      <c r="E436" t="s">
        <v>520</v>
      </c>
      <c r="F436" s="188" t="n">
        <v>2035</v>
      </c>
      <c r="G436" s="189" t="n">
        <v>64</v>
      </c>
      <c r="H436" s="190" t="n">
        <v>24719.9581112264</v>
      </c>
      <c r="I436" s="191" t="n">
        <v>2926485.74667858</v>
      </c>
      <c r="J436" s="192" t="str">
        <f>IF(I436&gt;0,H436/I436,0)</f>
      </c>
      <c r="K436" s="193" t="str">
        <f>1-EXP(-J436)</f>
      </c>
      <c r="L436" s="194" t="str">
        <f>IF(G436=30,1,M435)</f>
      </c>
      <c r="M436" s="195" t="str">
        <f>L436*(1-K436)</f>
      </c>
    </row>
    <row r="437">
      <c r="A437" t="s">
        <v>167</v>
      </c>
      <c r="B437" t="s">
        <v>254</v>
      </c>
      <c r="C437" s="35" t="s">
        <v>418</v>
      </c>
      <c r="D437" t="s">
        <v>502</v>
      </c>
      <c r="E437" t="s">
        <v>520</v>
      </c>
      <c r="F437" s="188" t="n">
        <v>2035</v>
      </c>
      <c r="G437" s="189" t="n">
        <v>65</v>
      </c>
      <c r="H437" s="190" t="n">
        <v>25239.6263812473</v>
      </c>
      <c r="I437" s="191" t="n">
        <v>2825301.02199209</v>
      </c>
      <c r="J437" s="192" t="str">
        <f>IF(I437&gt;0,H437/I437,0)</f>
      </c>
      <c r="K437" s="193" t="str">
        <f>1-EXP(-J437)</f>
      </c>
      <c r="L437" s="194" t="str">
        <f>IF(G437=30,1,M436)</f>
      </c>
      <c r="M437" s="195" t="str">
        <f>L437*(1-K437)</f>
      </c>
    </row>
    <row r="438">
      <c r="A438" t="s">
        <v>167</v>
      </c>
      <c r="B438" t="s">
        <v>254</v>
      </c>
      <c r="C438" s="35" t="s">
        <v>418</v>
      </c>
      <c r="D438" t="s">
        <v>502</v>
      </c>
      <c r="E438" t="s">
        <v>520</v>
      </c>
      <c r="F438" s="188" t="n">
        <v>2035</v>
      </c>
      <c r="G438" s="189" t="n">
        <v>66</v>
      </c>
      <c r="H438" s="190" t="n">
        <v>26577.1733375916</v>
      </c>
      <c r="I438" s="191" t="n">
        <v>2715354.66701511</v>
      </c>
      <c r="J438" s="192" t="str">
        <f>IF(I438&gt;0,H438/I438,0)</f>
      </c>
      <c r="K438" s="193" t="str">
        <f>1-EXP(-J438)</f>
      </c>
      <c r="L438" s="194" t="str">
        <f>IF(G438=30,1,M437)</f>
      </c>
      <c r="M438" s="195" t="str">
        <f>L438*(1-K438)</f>
      </c>
    </row>
    <row r="439">
      <c r="A439" t="s">
        <v>167</v>
      </c>
      <c r="B439" t="s">
        <v>254</v>
      </c>
      <c r="C439" s="35" t="s">
        <v>418</v>
      </c>
      <c r="D439" t="s">
        <v>502</v>
      </c>
      <c r="E439" t="s">
        <v>520</v>
      </c>
      <c r="F439" s="188" t="n">
        <v>2035</v>
      </c>
      <c r="G439" s="189" t="n">
        <v>67</v>
      </c>
      <c r="H439" s="190" t="n">
        <v>27793.1424429767</v>
      </c>
      <c r="I439" s="191" t="n">
        <v>2586885.03833414</v>
      </c>
      <c r="J439" s="192" t="str">
        <f>IF(I439&gt;0,H439/I439,0)</f>
      </c>
      <c r="K439" s="193" t="str">
        <f>1-EXP(-J439)</f>
      </c>
      <c r="L439" s="194" t="str">
        <f>IF(G439=30,1,M438)</f>
      </c>
      <c r="M439" s="195" t="str">
        <f>L439*(1-K439)</f>
      </c>
    </row>
    <row r="440">
      <c r="A440" t="s">
        <v>167</v>
      </c>
      <c r="B440" t="s">
        <v>254</v>
      </c>
      <c r="C440" s="35" t="s">
        <v>418</v>
      </c>
      <c r="D440" t="s">
        <v>502</v>
      </c>
      <c r="E440" t="s">
        <v>520</v>
      </c>
      <c r="F440" s="188" t="n">
        <v>2035</v>
      </c>
      <c r="G440" s="189" t="n">
        <v>68</v>
      </c>
      <c r="H440" s="190" t="n">
        <v>28711.8995826071</v>
      </c>
      <c r="I440" s="191" t="n">
        <v>2430659.26544274</v>
      </c>
      <c r="J440" s="192" t="str">
        <f>IF(I440&gt;0,H440/I440,0)</f>
      </c>
      <c r="K440" s="193" t="str">
        <f>1-EXP(-J440)</f>
      </c>
      <c r="L440" s="194" t="str">
        <f>IF(G440=30,1,M439)</f>
      </c>
      <c r="M440" s="195" t="str">
        <f>L440*(1-K440)</f>
      </c>
    </row>
    <row r="441">
      <c r="A441" t="s">
        <v>167</v>
      </c>
      <c r="B441" t="s">
        <v>254</v>
      </c>
      <c r="C441" s="35" t="s">
        <v>418</v>
      </c>
      <c r="D441" t="s">
        <v>502</v>
      </c>
      <c r="E441" t="s">
        <v>520</v>
      </c>
      <c r="F441" s="188" t="n">
        <v>2035</v>
      </c>
      <c r="G441" s="189" t="n">
        <v>69</v>
      </c>
      <c r="H441" s="190" t="n">
        <v>29958.5246385919</v>
      </c>
      <c r="I441" s="191" t="n">
        <v>2306708.13825642</v>
      </c>
      <c r="J441" s="192" t="str">
        <f>IF(I441&gt;0,H441/I441,0)</f>
      </c>
      <c r="K441" s="193" t="str">
        <f>1-EXP(-J441)</f>
      </c>
      <c r="L441" s="194" t="str">
        <f>IF(G441=30,1,M440)</f>
      </c>
      <c r="M441" s="195" t="str">
        <f>L441*(1-K441)</f>
      </c>
    </row>
    <row r="442">
      <c r="A442" t="s">
        <v>167</v>
      </c>
      <c r="B442" t="s">
        <v>254</v>
      </c>
      <c r="C442" s="35" t="s">
        <v>418</v>
      </c>
      <c r="D442" t="s">
        <v>502</v>
      </c>
      <c r="E442" t="s">
        <v>520</v>
      </c>
      <c r="F442" s="188" t="n">
        <v>2036</v>
      </c>
      <c r="G442" s="189" t="n">
        <v>30</v>
      </c>
      <c r="H442" s="190" t="n">
        <v>779.349975706383</v>
      </c>
      <c r="I442" s="191" t="n">
        <v>4608287.95569664</v>
      </c>
      <c r="J442" s="192" t="str">
        <f>IF(I442&gt;0,H442/I442,0)</f>
      </c>
      <c r="K442" s="193" t="str">
        <f>1-EXP(-J442)</f>
      </c>
      <c r="L442" s="194" t="str">
        <f>IF(G442=30,1,M441)</f>
      </c>
      <c r="M442" s="195" t="str">
        <f>L442*(1-K442)</f>
      </c>
    </row>
    <row r="443">
      <c r="A443" t="s">
        <v>167</v>
      </c>
      <c r="B443" t="s">
        <v>254</v>
      </c>
      <c r="C443" s="35" t="s">
        <v>418</v>
      </c>
      <c r="D443" t="s">
        <v>502</v>
      </c>
      <c r="E443" t="s">
        <v>520</v>
      </c>
      <c r="F443" s="188" t="n">
        <v>2036</v>
      </c>
      <c r="G443" s="189" t="n">
        <v>31</v>
      </c>
      <c r="H443" s="190" t="n">
        <v>960.817832405305</v>
      </c>
      <c r="I443" s="191" t="n">
        <v>4547344.30577014</v>
      </c>
      <c r="J443" s="192" t="str">
        <f>IF(I443&gt;0,H443/I443,0)</f>
      </c>
      <c r="K443" s="193" t="str">
        <f>1-EXP(-J443)</f>
      </c>
      <c r="L443" s="194" t="str">
        <f>IF(G443=30,1,M442)</f>
      </c>
      <c r="M443" s="195" t="str">
        <f>L443*(1-K443)</f>
      </c>
    </row>
    <row r="444">
      <c r="A444" t="s">
        <v>167</v>
      </c>
      <c r="B444" t="s">
        <v>254</v>
      </c>
      <c r="C444" s="35" t="s">
        <v>418</v>
      </c>
      <c r="D444" t="s">
        <v>502</v>
      </c>
      <c r="E444" t="s">
        <v>520</v>
      </c>
      <c r="F444" s="188" t="n">
        <v>2036</v>
      </c>
      <c r="G444" s="189" t="n">
        <v>32</v>
      </c>
      <c r="H444" s="190" t="n">
        <v>985.095026939827</v>
      </c>
      <c r="I444" s="191" t="n">
        <v>4418877.42910435</v>
      </c>
      <c r="J444" s="192" t="str">
        <f>IF(I444&gt;0,H444/I444,0)</f>
      </c>
      <c r="K444" s="193" t="str">
        <f>1-EXP(-J444)</f>
      </c>
      <c r="L444" s="194" t="str">
        <f>IF(G444=30,1,M443)</f>
      </c>
      <c r="M444" s="195" t="str">
        <f>L444*(1-K444)</f>
      </c>
    </row>
    <row r="445">
      <c r="A445" t="s">
        <v>167</v>
      </c>
      <c r="B445" t="s">
        <v>254</v>
      </c>
      <c r="C445" s="35" t="s">
        <v>418</v>
      </c>
      <c r="D445" t="s">
        <v>502</v>
      </c>
      <c r="E445" t="s">
        <v>520</v>
      </c>
      <c r="F445" s="188" t="n">
        <v>2036</v>
      </c>
      <c r="G445" s="189" t="n">
        <v>33</v>
      </c>
      <c r="H445" s="190" t="n">
        <v>1030.3179265681</v>
      </c>
      <c r="I445" s="191" t="n">
        <v>4353536.61606089</v>
      </c>
      <c r="J445" s="192" t="str">
        <f>IF(I445&gt;0,H445/I445,0)</f>
      </c>
      <c r="K445" s="193" t="str">
        <f>1-EXP(-J445)</f>
      </c>
      <c r="L445" s="194" t="str">
        <f>IF(G445=30,1,M444)</f>
      </c>
      <c r="M445" s="195" t="str">
        <f>L445*(1-K445)</f>
      </c>
    </row>
    <row r="446">
      <c r="A446" t="s">
        <v>167</v>
      </c>
      <c r="B446" t="s">
        <v>254</v>
      </c>
      <c r="C446" s="35" t="s">
        <v>418</v>
      </c>
      <c r="D446" t="s">
        <v>502</v>
      </c>
      <c r="E446" t="s">
        <v>520</v>
      </c>
      <c r="F446" s="188" t="n">
        <v>2036</v>
      </c>
      <c r="G446" s="189" t="n">
        <v>34</v>
      </c>
      <c r="H446" s="190" t="n">
        <v>1242.30576381102</v>
      </c>
      <c r="I446" s="191" t="n">
        <v>4332052.80398473</v>
      </c>
      <c r="J446" s="192" t="str">
        <f>IF(I446&gt;0,H446/I446,0)</f>
      </c>
      <c r="K446" s="193" t="str">
        <f>1-EXP(-J446)</f>
      </c>
      <c r="L446" s="194" t="str">
        <f>IF(G446=30,1,M445)</f>
      </c>
      <c r="M446" s="195" t="str">
        <f>L446*(1-K446)</f>
      </c>
    </row>
    <row r="447">
      <c r="A447" t="s">
        <v>167</v>
      </c>
      <c r="B447" t="s">
        <v>254</v>
      </c>
      <c r="C447" s="35" t="s">
        <v>418</v>
      </c>
      <c r="D447" t="s">
        <v>502</v>
      </c>
      <c r="E447" t="s">
        <v>520</v>
      </c>
      <c r="F447" s="188" t="n">
        <v>2036</v>
      </c>
      <c r="G447" s="189" t="n">
        <v>35</v>
      </c>
      <c r="H447" s="190" t="n">
        <v>1659.89899520406</v>
      </c>
      <c r="I447" s="191" t="n">
        <v>4311788.38764019</v>
      </c>
      <c r="J447" s="192" t="str">
        <f>IF(I447&gt;0,H447/I447,0)</f>
      </c>
      <c r="K447" s="193" t="str">
        <f>1-EXP(-J447)</f>
      </c>
      <c r="L447" s="194" t="str">
        <f>IF(G447=30,1,M446)</f>
      </c>
      <c r="M447" s="195" t="str">
        <f>L447*(1-K447)</f>
      </c>
    </row>
    <row r="448">
      <c r="A448" t="s">
        <v>167</v>
      </c>
      <c r="B448" t="s">
        <v>254</v>
      </c>
      <c r="C448" s="35" t="s">
        <v>418</v>
      </c>
      <c r="D448" t="s">
        <v>502</v>
      </c>
      <c r="E448" t="s">
        <v>520</v>
      </c>
      <c r="F448" s="188" t="n">
        <v>2036</v>
      </c>
      <c r="G448" s="189" t="n">
        <v>36</v>
      </c>
      <c r="H448" s="190" t="n">
        <v>1840.84174533187</v>
      </c>
      <c r="I448" s="191" t="n">
        <v>4290765.32477588</v>
      </c>
      <c r="J448" s="192" t="str">
        <f>IF(I448&gt;0,H448/I448,0)</f>
      </c>
      <c r="K448" s="193" t="str">
        <f>1-EXP(-J448)</f>
      </c>
      <c r="L448" s="194" t="str">
        <f>IF(G448=30,1,M447)</f>
      </c>
      <c r="M448" s="195" t="str">
        <f>L448*(1-K448)</f>
      </c>
    </row>
    <row r="449">
      <c r="A449" t="s">
        <v>167</v>
      </c>
      <c r="B449" t="s">
        <v>254</v>
      </c>
      <c r="C449" s="35" t="s">
        <v>418</v>
      </c>
      <c r="D449" t="s">
        <v>502</v>
      </c>
      <c r="E449" t="s">
        <v>520</v>
      </c>
      <c r="F449" s="188" t="n">
        <v>2036</v>
      </c>
      <c r="G449" s="189" t="n">
        <v>37</v>
      </c>
      <c r="H449" s="190" t="n">
        <v>1990.11793840139</v>
      </c>
      <c r="I449" s="191" t="n">
        <v>4309485.24910577</v>
      </c>
      <c r="J449" s="192" t="str">
        <f>IF(I449&gt;0,H449/I449,0)</f>
      </c>
      <c r="K449" s="193" t="str">
        <f>1-EXP(-J449)</f>
      </c>
      <c r="L449" s="194" t="str">
        <f>IF(G449=30,1,M448)</f>
      </c>
      <c r="M449" s="195" t="str">
        <f>L449*(1-K449)</f>
      </c>
    </row>
    <row r="450">
      <c r="A450" t="s">
        <v>167</v>
      </c>
      <c r="B450" t="s">
        <v>254</v>
      </c>
      <c r="C450" s="35" t="s">
        <v>418</v>
      </c>
      <c r="D450" t="s">
        <v>502</v>
      </c>
      <c r="E450" t="s">
        <v>520</v>
      </c>
      <c r="F450" s="188" t="n">
        <v>2036</v>
      </c>
      <c r="G450" s="189" t="n">
        <v>38</v>
      </c>
      <c r="H450" s="190" t="n">
        <v>2176.72116945387</v>
      </c>
      <c r="I450" s="191" t="n">
        <v>4366986.62771747</v>
      </c>
      <c r="J450" s="192" t="str">
        <f>IF(I450&gt;0,H450/I450,0)</f>
      </c>
      <c r="K450" s="193" t="str">
        <f>1-EXP(-J450)</f>
      </c>
      <c r="L450" s="194" t="str">
        <f>IF(G450=30,1,M449)</f>
      </c>
      <c r="M450" s="195" t="str">
        <f>L450*(1-K450)</f>
      </c>
    </row>
    <row r="451">
      <c r="A451" t="s">
        <v>167</v>
      </c>
      <c r="B451" t="s">
        <v>254</v>
      </c>
      <c r="C451" s="35" t="s">
        <v>418</v>
      </c>
      <c r="D451" t="s">
        <v>502</v>
      </c>
      <c r="E451" t="s">
        <v>520</v>
      </c>
      <c r="F451" s="188" t="n">
        <v>2036</v>
      </c>
      <c r="G451" s="189" t="n">
        <v>39</v>
      </c>
      <c r="H451" s="190" t="n">
        <v>2633.4886914174</v>
      </c>
      <c r="I451" s="191" t="n">
        <v>4502616.59336636</v>
      </c>
      <c r="J451" s="192" t="str">
        <f>IF(I451&gt;0,H451/I451,0)</f>
      </c>
      <c r="K451" s="193" t="str">
        <f>1-EXP(-J451)</f>
      </c>
      <c r="L451" s="194" t="str">
        <f>IF(G451=30,1,M450)</f>
      </c>
      <c r="M451" s="195" t="str">
        <f>L451*(1-K451)</f>
      </c>
    </row>
    <row r="452">
      <c r="A452" t="s">
        <v>167</v>
      </c>
      <c r="B452" t="s">
        <v>254</v>
      </c>
      <c r="C452" s="35" t="s">
        <v>418</v>
      </c>
      <c r="D452" t="s">
        <v>502</v>
      </c>
      <c r="E452" t="s">
        <v>520</v>
      </c>
      <c r="F452" s="188" t="n">
        <v>2036</v>
      </c>
      <c r="G452" s="189" t="n">
        <v>40</v>
      </c>
      <c r="H452" s="190" t="n">
        <v>3494.46815597882</v>
      </c>
      <c r="I452" s="191" t="n">
        <v>4457202.32479509</v>
      </c>
      <c r="J452" s="192" t="str">
        <f>IF(I452&gt;0,H452/I452,0)</f>
      </c>
      <c r="K452" s="193" t="str">
        <f>1-EXP(-J452)</f>
      </c>
      <c r="L452" s="194" t="str">
        <f>IF(G452=30,1,M451)</f>
      </c>
      <c r="M452" s="195" t="str">
        <f>L452*(1-K452)</f>
      </c>
    </row>
    <row r="453">
      <c r="A453" t="s">
        <v>167</v>
      </c>
      <c r="B453" t="s">
        <v>254</v>
      </c>
      <c r="C453" s="35" t="s">
        <v>418</v>
      </c>
      <c r="D453" t="s">
        <v>502</v>
      </c>
      <c r="E453" t="s">
        <v>520</v>
      </c>
      <c r="F453" s="188" t="n">
        <v>2036</v>
      </c>
      <c r="G453" s="189" t="n">
        <v>41</v>
      </c>
      <c r="H453" s="190" t="n">
        <v>3694.37625218989</v>
      </c>
      <c r="I453" s="191" t="n">
        <v>4380840.03105883</v>
      </c>
      <c r="J453" s="192" t="str">
        <f>IF(I453&gt;0,H453/I453,0)</f>
      </c>
      <c r="K453" s="193" t="str">
        <f>1-EXP(-J453)</f>
      </c>
      <c r="L453" s="194" t="str">
        <f>IF(G453=30,1,M452)</f>
      </c>
      <c r="M453" s="195" t="str">
        <f>L453*(1-K453)</f>
      </c>
    </row>
    <row r="454">
      <c r="A454" t="s">
        <v>167</v>
      </c>
      <c r="B454" t="s">
        <v>254</v>
      </c>
      <c r="C454" s="35" t="s">
        <v>418</v>
      </c>
      <c r="D454" t="s">
        <v>502</v>
      </c>
      <c r="E454" t="s">
        <v>520</v>
      </c>
      <c r="F454" s="188" t="n">
        <v>2036</v>
      </c>
      <c r="G454" s="189" t="n">
        <v>42</v>
      </c>
      <c r="H454" s="190" t="n">
        <v>3954.17046980054</v>
      </c>
      <c r="I454" s="191" t="n">
        <v>4320526.02852878</v>
      </c>
      <c r="J454" s="192" t="str">
        <f>IF(I454&gt;0,H454/I454,0)</f>
      </c>
      <c r="K454" s="193" t="str">
        <f>1-EXP(-J454)</f>
      </c>
      <c r="L454" s="194" t="str">
        <f>IF(G454=30,1,M453)</f>
      </c>
      <c r="M454" s="195" t="str">
        <f>L454*(1-K454)</f>
      </c>
    </row>
    <row r="455">
      <c r="A455" t="s">
        <v>167</v>
      </c>
      <c r="B455" t="s">
        <v>254</v>
      </c>
      <c r="C455" s="35" t="s">
        <v>418</v>
      </c>
      <c r="D455" t="s">
        <v>502</v>
      </c>
      <c r="E455" t="s">
        <v>520</v>
      </c>
      <c r="F455" s="188" t="n">
        <v>2036</v>
      </c>
      <c r="G455" s="189" t="n">
        <v>43</v>
      </c>
      <c r="H455" s="190" t="n">
        <v>4246.89657981636</v>
      </c>
      <c r="I455" s="191" t="n">
        <v>4263432.09874435</v>
      </c>
      <c r="J455" s="192" t="str">
        <f>IF(I455&gt;0,H455/I455,0)</f>
      </c>
      <c r="K455" s="193" t="str">
        <f>1-EXP(-J455)</f>
      </c>
      <c r="L455" s="194" t="str">
        <f>IF(G455=30,1,M454)</f>
      </c>
      <c r="M455" s="195" t="str">
        <f>L455*(1-K455)</f>
      </c>
    </row>
    <row r="456">
      <c r="A456" t="s">
        <v>167</v>
      </c>
      <c r="B456" t="s">
        <v>254</v>
      </c>
      <c r="C456" s="35" t="s">
        <v>418</v>
      </c>
      <c r="D456" t="s">
        <v>502</v>
      </c>
      <c r="E456" t="s">
        <v>520</v>
      </c>
      <c r="F456" s="188" t="n">
        <v>2036</v>
      </c>
      <c r="G456" s="189" t="n">
        <v>44</v>
      </c>
      <c r="H456" s="190" t="n">
        <v>4666.05906871769</v>
      </c>
      <c r="I456" s="191" t="n">
        <v>4296074.62198844</v>
      </c>
      <c r="J456" s="192" t="str">
        <f>IF(I456&gt;0,H456/I456,0)</f>
      </c>
      <c r="K456" s="193" t="str">
        <f>1-EXP(-J456)</f>
      </c>
      <c r="L456" s="194" t="str">
        <f>IF(G456=30,1,M455)</f>
      </c>
      <c r="M456" s="195" t="str">
        <f>L456*(1-K456)</f>
      </c>
    </row>
    <row r="457">
      <c r="A457" t="s">
        <v>167</v>
      </c>
      <c r="B457" t="s">
        <v>254</v>
      </c>
      <c r="C457" s="35" t="s">
        <v>418</v>
      </c>
      <c r="D457" t="s">
        <v>502</v>
      </c>
      <c r="E457" t="s">
        <v>520</v>
      </c>
      <c r="F457" s="188" t="n">
        <v>2036</v>
      </c>
      <c r="G457" s="189" t="n">
        <v>45</v>
      </c>
      <c r="H457" s="190" t="n">
        <v>6033.48172152662</v>
      </c>
      <c r="I457" s="191" t="n">
        <v>4308645.25329922</v>
      </c>
      <c r="J457" s="192" t="str">
        <f>IF(I457&gt;0,H457/I457,0)</f>
      </c>
      <c r="K457" s="193" t="str">
        <f>1-EXP(-J457)</f>
      </c>
      <c r="L457" s="194" t="str">
        <f>IF(G457=30,1,M456)</f>
      </c>
      <c r="M457" s="195" t="str">
        <f>L457*(1-K457)</f>
      </c>
    </row>
    <row r="458">
      <c r="A458" t="s">
        <v>167</v>
      </c>
      <c r="B458" t="s">
        <v>254</v>
      </c>
      <c r="C458" s="35" t="s">
        <v>418</v>
      </c>
      <c r="D458" t="s">
        <v>502</v>
      </c>
      <c r="E458" t="s">
        <v>520</v>
      </c>
      <c r="F458" s="188" t="n">
        <v>2036</v>
      </c>
      <c r="G458" s="189" t="n">
        <v>46</v>
      </c>
      <c r="H458" s="190" t="n">
        <v>8969.08249948635</v>
      </c>
      <c r="I458" s="191" t="n">
        <v>6339614.79006</v>
      </c>
      <c r="J458" s="192" t="str">
        <f>IF(I458&gt;0,H458/I458,0)</f>
      </c>
      <c r="K458" s="193" t="str">
        <f>1-EXP(-J458)</f>
      </c>
      <c r="L458" s="194" t="str">
        <f>IF(G458=30,1,M457)</f>
      </c>
      <c r="M458" s="195" t="str">
        <f>L458*(1-K458)</f>
      </c>
    </row>
    <row r="459">
      <c r="A459" t="s">
        <v>167</v>
      </c>
      <c r="B459" t="s">
        <v>254</v>
      </c>
      <c r="C459" s="35" t="s">
        <v>418</v>
      </c>
      <c r="D459" t="s">
        <v>502</v>
      </c>
      <c r="E459" t="s">
        <v>520</v>
      </c>
      <c r="F459" s="188" t="n">
        <v>2036</v>
      </c>
      <c r="G459" s="189" t="n">
        <v>47</v>
      </c>
      <c r="H459" s="190" t="n">
        <v>7124.16794082308</v>
      </c>
      <c r="I459" s="191" t="n">
        <v>4254659.41847688</v>
      </c>
      <c r="J459" s="192" t="str">
        <f>IF(I459&gt;0,H459/I459,0)</f>
      </c>
      <c r="K459" s="193" t="str">
        <f>1-EXP(-J459)</f>
      </c>
      <c r="L459" s="194" t="str">
        <f>IF(G459=30,1,M458)</f>
      </c>
      <c r="M459" s="195" t="str">
        <f>L459*(1-K459)</f>
      </c>
    </row>
    <row r="460">
      <c r="A460" t="s">
        <v>167</v>
      </c>
      <c r="B460" t="s">
        <v>254</v>
      </c>
      <c r="C460" s="35" t="s">
        <v>418</v>
      </c>
      <c r="D460" t="s">
        <v>502</v>
      </c>
      <c r="E460" t="s">
        <v>520</v>
      </c>
      <c r="F460" s="188" t="n">
        <v>2036</v>
      </c>
      <c r="G460" s="189" t="n">
        <v>48</v>
      </c>
      <c r="H460" s="190" t="n">
        <v>7776.22905625869</v>
      </c>
      <c r="I460" s="191" t="n">
        <v>4231009.511723</v>
      </c>
      <c r="J460" s="192" t="str">
        <f>IF(I460&gt;0,H460/I460,0)</f>
      </c>
      <c r="K460" s="193" t="str">
        <f>1-EXP(-J460)</f>
      </c>
      <c r="L460" s="194" t="str">
        <f>IF(G460=30,1,M459)</f>
      </c>
      <c r="M460" s="195" t="str">
        <f>L460*(1-K460)</f>
      </c>
    </row>
    <row r="461">
      <c r="A461" t="s">
        <v>167</v>
      </c>
      <c r="B461" t="s">
        <v>254</v>
      </c>
      <c r="C461" s="35" t="s">
        <v>418</v>
      </c>
      <c r="D461" t="s">
        <v>502</v>
      </c>
      <c r="E461" t="s">
        <v>520</v>
      </c>
      <c r="F461" s="188" t="n">
        <v>2036</v>
      </c>
      <c r="G461" s="189" t="n">
        <v>49</v>
      </c>
      <c r="H461" s="190" t="n">
        <v>8260.48510353642</v>
      </c>
      <c r="I461" s="191" t="n">
        <v>4093542.93190387</v>
      </c>
      <c r="J461" s="192" t="str">
        <f>IF(I461&gt;0,H461/I461,0)</f>
      </c>
      <c r="K461" s="193" t="str">
        <f>1-EXP(-J461)</f>
      </c>
      <c r="L461" s="194" t="str">
        <f>IF(G461=30,1,M460)</f>
      </c>
      <c r="M461" s="195" t="str">
        <f>L461*(1-K461)</f>
      </c>
    </row>
    <row r="462">
      <c r="A462" t="s">
        <v>167</v>
      </c>
      <c r="B462" t="s">
        <v>254</v>
      </c>
      <c r="C462" s="35" t="s">
        <v>418</v>
      </c>
      <c r="D462" t="s">
        <v>502</v>
      </c>
      <c r="E462" t="s">
        <v>520</v>
      </c>
      <c r="F462" s="188" t="n">
        <v>2036</v>
      </c>
      <c r="G462" s="189" t="n">
        <v>50</v>
      </c>
      <c r="H462" s="190" t="n">
        <v>9457.97378319153</v>
      </c>
      <c r="I462" s="191" t="n">
        <v>4051036.64462973</v>
      </c>
      <c r="J462" s="192" t="str">
        <f>IF(I462&gt;0,H462/I462,0)</f>
      </c>
      <c r="K462" s="193" t="str">
        <f>1-EXP(-J462)</f>
      </c>
      <c r="L462" s="194" t="str">
        <f>IF(G462=30,1,M461)</f>
      </c>
      <c r="M462" s="195" t="str">
        <f>L462*(1-K462)</f>
      </c>
    </row>
    <row r="463">
      <c r="A463" t="s">
        <v>167</v>
      </c>
      <c r="B463" t="s">
        <v>254</v>
      </c>
      <c r="C463" s="35" t="s">
        <v>418</v>
      </c>
      <c r="D463" t="s">
        <v>502</v>
      </c>
      <c r="E463" t="s">
        <v>520</v>
      </c>
      <c r="F463" s="188" t="n">
        <v>2036</v>
      </c>
      <c r="G463" s="189" t="n">
        <v>51</v>
      </c>
      <c r="H463" s="190" t="n">
        <v>10495.8445469082</v>
      </c>
      <c r="I463" s="191" t="n">
        <v>4098050.59813725</v>
      </c>
      <c r="J463" s="192" t="str">
        <f>IF(I463&gt;0,H463/I463,0)</f>
      </c>
      <c r="K463" s="193" t="str">
        <f>1-EXP(-J463)</f>
      </c>
      <c r="L463" s="194" t="str">
        <f>IF(G463=30,1,M462)</f>
      </c>
      <c r="M463" s="195" t="str">
        <f>L463*(1-K463)</f>
      </c>
    </row>
    <row r="464">
      <c r="A464" t="s">
        <v>167</v>
      </c>
      <c r="B464" t="s">
        <v>254</v>
      </c>
      <c r="C464" s="35" t="s">
        <v>418</v>
      </c>
      <c r="D464" t="s">
        <v>502</v>
      </c>
      <c r="E464" t="s">
        <v>520</v>
      </c>
      <c r="F464" s="188" t="n">
        <v>2036</v>
      </c>
      <c r="G464" s="189" t="n">
        <v>52</v>
      </c>
      <c r="H464" s="190" t="n">
        <v>11681.2656953372</v>
      </c>
      <c r="I464" s="191" t="n">
        <v>4168834.73995744</v>
      </c>
      <c r="J464" s="192" t="str">
        <f>IF(I464&gt;0,H464/I464,0)</f>
      </c>
      <c r="K464" s="193" t="str">
        <f>1-EXP(-J464)</f>
      </c>
      <c r="L464" s="194" t="str">
        <f>IF(G464=30,1,M463)</f>
      </c>
      <c r="M464" s="195" t="str">
        <f>L464*(1-K464)</f>
      </c>
    </row>
    <row r="465">
      <c r="A465" t="s">
        <v>167</v>
      </c>
      <c r="B465" t="s">
        <v>254</v>
      </c>
      <c r="C465" s="35" t="s">
        <v>418</v>
      </c>
      <c r="D465" t="s">
        <v>502</v>
      </c>
      <c r="E465" t="s">
        <v>520</v>
      </c>
      <c r="F465" s="188" t="n">
        <v>2036</v>
      </c>
      <c r="G465" s="189" t="n">
        <v>53</v>
      </c>
      <c r="H465" s="190" t="n">
        <v>12657.9685094236</v>
      </c>
      <c r="I465" s="191" t="n">
        <v>4132775.55702128</v>
      </c>
      <c r="J465" s="192" t="str">
        <f>IF(I465&gt;0,H465/I465,0)</f>
      </c>
      <c r="K465" s="193" t="str">
        <f>1-EXP(-J465)</f>
      </c>
      <c r="L465" s="194" t="str">
        <f>IF(G465=30,1,M464)</f>
      </c>
      <c r="M465" s="195" t="str">
        <f>L465*(1-K465)</f>
      </c>
    </row>
    <row r="466">
      <c r="A466" t="s">
        <v>167</v>
      </c>
      <c r="B466" t="s">
        <v>254</v>
      </c>
      <c r="C466" s="35" t="s">
        <v>418</v>
      </c>
      <c r="D466" t="s">
        <v>502</v>
      </c>
      <c r="E466" t="s">
        <v>520</v>
      </c>
      <c r="F466" s="188" t="n">
        <v>2036</v>
      </c>
      <c r="G466" s="189" t="n">
        <v>54</v>
      </c>
      <c r="H466" s="190" t="n">
        <v>13354.4710969239</v>
      </c>
      <c r="I466" s="191" t="n">
        <v>3987343.48172227</v>
      </c>
      <c r="J466" s="192" t="str">
        <f>IF(I466&gt;0,H466/I466,0)</f>
      </c>
      <c r="K466" s="193" t="str">
        <f>1-EXP(-J466)</f>
      </c>
      <c r="L466" s="194" t="str">
        <f>IF(G466=30,1,M465)</f>
      </c>
      <c r="M466" s="195" t="str">
        <f>L466*(1-K466)</f>
      </c>
    </row>
    <row r="467">
      <c r="A467" t="s">
        <v>167</v>
      </c>
      <c r="B467" t="s">
        <v>254</v>
      </c>
      <c r="C467" s="35" t="s">
        <v>418</v>
      </c>
      <c r="D467" t="s">
        <v>502</v>
      </c>
      <c r="E467" t="s">
        <v>520</v>
      </c>
      <c r="F467" s="188" t="n">
        <v>2036</v>
      </c>
      <c r="G467" s="189" t="n">
        <v>55</v>
      </c>
      <c r="H467" s="190" t="n">
        <v>14257.2163812117</v>
      </c>
      <c r="I467" s="191" t="n">
        <v>3901620.32192993</v>
      </c>
      <c r="J467" s="192" t="str">
        <f>IF(I467&gt;0,H467/I467,0)</f>
      </c>
      <c r="K467" s="193" t="str">
        <f>1-EXP(-J467)</f>
      </c>
      <c r="L467" s="194" t="str">
        <f>IF(G467=30,1,M466)</f>
      </c>
      <c r="M467" s="195" t="str">
        <f>L467*(1-K467)</f>
      </c>
    </row>
    <row r="468">
      <c r="A468" t="s">
        <v>167</v>
      </c>
      <c r="B468" t="s">
        <v>254</v>
      </c>
      <c r="C468" s="35" t="s">
        <v>418</v>
      </c>
      <c r="D468" t="s">
        <v>502</v>
      </c>
      <c r="E468" t="s">
        <v>520</v>
      </c>
      <c r="F468" s="188" t="n">
        <v>2036</v>
      </c>
      <c r="G468" s="189" t="n">
        <v>56</v>
      </c>
      <c r="H468" s="190" t="n">
        <v>15226.0056176567</v>
      </c>
      <c r="I468" s="191" t="n">
        <v>3830037.20443553</v>
      </c>
      <c r="J468" s="192" t="str">
        <f>IF(I468&gt;0,H468/I468,0)</f>
      </c>
      <c r="K468" s="193" t="str">
        <f>1-EXP(-J468)</f>
      </c>
      <c r="L468" s="194" t="str">
        <f>IF(G468=30,1,M467)</f>
      </c>
      <c r="M468" s="195" t="str">
        <f>L468*(1-K468)</f>
      </c>
    </row>
    <row r="469">
      <c r="A469" t="s">
        <v>167</v>
      </c>
      <c r="B469" t="s">
        <v>254</v>
      </c>
      <c r="C469" s="35" t="s">
        <v>418</v>
      </c>
      <c r="D469" t="s">
        <v>502</v>
      </c>
      <c r="E469" t="s">
        <v>520</v>
      </c>
      <c r="F469" s="188" t="n">
        <v>2036</v>
      </c>
      <c r="G469" s="189" t="n">
        <v>57</v>
      </c>
      <c r="H469" s="190" t="n">
        <v>16308.9830359474</v>
      </c>
      <c r="I469" s="191" t="n">
        <v>3752733.29993717</v>
      </c>
      <c r="J469" s="192" t="str">
        <f>IF(I469&gt;0,H469/I469,0)</f>
      </c>
      <c r="K469" s="193" t="str">
        <f>1-EXP(-J469)</f>
      </c>
      <c r="L469" s="194" t="str">
        <f>IF(G469=30,1,M468)</f>
      </c>
      <c r="M469" s="195" t="str">
        <f>L469*(1-K469)</f>
      </c>
    </row>
    <row r="470">
      <c r="A470" t="s">
        <v>167</v>
      </c>
      <c r="B470" t="s">
        <v>254</v>
      </c>
      <c r="C470" s="35" t="s">
        <v>418</v>
      </c>
      <c r="D470" t="s">
        <v>502</v>
      </c>
      <c r="E470" t="s">
        <v>520</v>
      </c>
      <c r="F470" s="188" t="n">
        <v>2036</v>
      </c>
      <c r="G470" s="189" t="n">
        <v>58</v>
      </c>
      <c r="H470" s="190" t="n">
        <v>17385.5137379762</v>
      </c>
      <c r="I470" s="191" t="n">
        <v>3656130.439547</v>
      </c>
      <c r="J470" s="192" t="str">
        <f>IF(I470&gt;0,H470/I470,0)</f>
      </c>
      <c r="K470" s="193" t="str">
        <f>1-EXP(-J470)</f>
      </c>
      <c r="L470" s="194" t="str">
        <f>IF(G470=30,1,M469)</f>
      </c>
      <c r="M470" s="195" t="str">
        <f>L470*(1-K470)</f>
      </c>
    </row>
    <row r="471">
      <c r="A471" t="s">
        <v>167</v>
      </c>
      <c r="B471" t="s">
        <v>254</v>
      </c>
      <c r="C471" s="35" t="s">
        <v>418</v>
      </c>
      <c r="D471" t="s">
        <v>502</v>
      </c>
      <c r="E471" t="s">
        <v>520</v>
      </c>
      <c r="F471" s="188" t="n">
        <v>2036</v>
      </c>
      <c r="G471" s="189" t="n">
        <v>59</v>
      </c>
      <c r="H471" s="190" t="n">
        <v>18636.9415529245</v>
      </c>
      <c r="I471" s="191" t="n">
        <v>3574617.57968291</v>
      </c>
      <c r="J471" s="192" t="str">
        <f>IF(I471&gt;0,H471/I471,0)</f>
      </c>
      <c r="K471" s="193" t="str">
        <f>1-EXP(-J471)</f>
      </c>
      <c r="L471" s="194" t="str">
        <f>IF(G471=30,1,M470)</f>
      </c>
      <c r="M471" s="195" t="str">
        <f>L471*(1-K471)</f>
      </c>
    </row>
    <row r="472">
      <c r="A472" t="s">
        <v>167</v>
      </c>
      <c r="B472" t="s">
        <v>254</v>
      </c>
      <c r="C472" s="35" t="s">
        <v>418</v>
      </c>
      <c r="D472" t="s">
        <v>502</v>
      </c>
      <c r="E472" t="s">
        <v>520</v>
      </c>
      <c r="F472" s="188" t="n">
        <v>2036</v>
      </c>
      <c r="G472" s="189" t="n">
        <v>60</v>
      </c>
      <c r="H472" s="190" t="n">
        <v>19971.5490478484</v>
      </c>
      <c r="I472" s="191" t="n">
        <v>3481178.17156744</v>
      </c>
      <c r="J472" s="192" t="str">
        <f>IF(I472&gt;0,H472/I472,0)</f>
      </c>
      <c r="K472" s="193" t="str">
        <f>1-EXP(-J472)</f>
      </c>
      <c r="L472" s="194" t="str">
        <f>IF(G472=30,1,M471)</f>
      </c>
      <c r="M472" s="195" t="str">
        <f>L472*(1-K472)</f>
      </c>
    </row>
    <row r="473">
      <c r="A473" t="s">
        <v>167</v>
      </c>
      <c r="B473" t="s">
        <v>254</v>
      </c>
      <c r="C473" s="35" t="s">
        <v>418</v>
      </c>
      <c r="D473" t="s">
        <v>502</v>
      </c>
      <c r="E473" t="s">
        <v>520</v>
      </c>
      <c r="F473" s="188" t="n">
        <v>2036</v>
      </c>
      <c r="G473" s="189" t="n">
        <v>61</v>
      </c>
      <c r="H473" s="190" t="n">
        <v>21421.352437937</v>
      </c>
      <c r="I473" s="191" t="n">
        <v>3385677.34816135</v>
      </c>
      <c r="J473" s="192" t="str">
        <f>IF(I473&gt;0,H473/I473,0)</f>
      </c>
      <c r="K473" s="193" t="str">
        <f>1-EXP(-J473)</f>
      </c>
      <c r="L473" s="194" t="str">
        <f>IF(G473=30,1,M472)</f>
      </c>
      <c r="M473" s="195" t="str">
        <f>L473*(1-K473)</f>
      </c>
    </row>
    <row r="474">
      <c r="A474" t="s">
        <v>167</v>
      </c>
      <c r="B474" t="s">
        <v>254</v>
      </c>
      <c r="C474" s="35" t="s">
        <v>418</v>
      </c>
      <c r="D474" t="s">
        <v>502</v>
      </c>
      <c r="E474" t="s">
        <v>520</v>
      </c>
      <c r="F474" s="188" t="n">
        <v>2036</v>
      </c>
      <c r="G474" s="189" t="n">
        <v>62</v>
      </c>
      <c r="H474" s="190" t="n">
        <v>22621.4012511097</v>
      </c>
      <c r="I474" s="191" t="n">
        <v>3263972.25910097</v>
      </c>
      <c r="J474" s="192" t="str">
        <f>IF(I474&gt;0,H474/I474,0)</f>
      </c>
      <c r="K474" s="193" t="str">
        <f>1-EXP(-J474)</f>
      </c>
      <c r="L474" s="194" t="str">
        <f>IF(G474=30,1,M473)</f>
      </c>
      <c r="M474" s="195" t="str">
        <f>L474*(1-K474)</f>
      </c>
    </row>
    <row r="475">
      <c r="A475" t="s">
        <v>167</v>
      </c>
      <c r="B475" t="s">
        <v>254</v>
      </c>
      <c r="C475" s="35" t="s">
        <v>418</v>
      </c>
      <c r="D475" t="s">
        <v>502</v>
      </c>
      <c r="E475" t="s">
        <v>520</v>
      </c>
      <c r="F475" s="188" t="n">
        <v>2036</v>
      </c>
      <c r="G475" s="189" t="n">
        <v>63</v>
      </c>
      <c r="H475" s="190" t="n">
        <v>24275.2110672104</v>
      </c>
      <c r="I475" s="191" t="n">
        <v>3196502.12968361</v>
      </c>
      <c r="J475" s="192" t="str">
        <f>IF(I475&gt;0,H475/I475,0)</f>
      </c>
      <c r="K475" s="193" t="str">
        <f>1-EXP(-J475)</f>
      </c>
      <c r="L475" s="194" t="str">
        <f>IF(G475=30,1,M474)</f>
      </c>
      <c r="M475" s="195" t="str">
        <f>L475*(1-K475)</f>
      </c>
    </row>
    <row r="476">
      <c r="A476" t="s">
        <v>167</v>
      </c>
      <c r="B476" t="s">
        <v>254</v>
      </c>
      <c r="C476" s="35" t="s">
        <v>418</v>
      </c>
      <c r="D476" t="s">
        <v>502</v>
      </c>
      <c r="E476" t="s">
        <v>520</v>
      </c>
      <c r="F476" s="188" t="n">
        <v>2036</v>
      </c>
      <c r="G476" s="189" t="n">
        <v>64</v>
      </c>
      <c r="H476" s="190" t="n">
        <v>24827.7477136176</v>
      </c>
      <c r="I476" s="191" t="n">
        <v>2978874.65512157</v>
      </c>
      <c r="J476" s="192" t="str">
        <f>IF(I476&gt;0,H476/I476,0)</f>
      </c>
      <c r="K476" s="193" t="str">
        <f>1-EXP(-J476)</f>
      </c>
      <c r="L476" s="194" t="str">
        <f>IF(G476=30,1,M475)</f>
      </c>
      <c r="M476" s="195" t="str">
        <f>L476*(1-K476)</f>
      </c>
    </row>
    <row r="477">
      <c r="A477" t="s">
        <v>167</v>
      </c>
      <c r="B477" t="s">
        <v>254</v>
      </c>
      <c r="C477" s="35" t="s">
        <v>418</v>
      </c>
      <c r="D477" t="s">
        <v>502</v>
      </c>
      <c r="E477" t="s">
        <v>520</v>
      </c>
      <c r="F477" s="188" t="n">
        <v>2036</v>
      </c>
      <c r="G477" s="189" t="n">
        <v>65</v>
      </c>
      <c r="H477" s="190" t="n">
        <v>25278.6195135539</v>
      </c>
      <c r="I477" s="191" t="n">
        <v>2871517.88734562</v>
      </c>
      <c r="J477" s="192" t="str">
        <f>IF(I477&gt;0,H477/I477,0)</f>
      </c>
      <c r="K477" s="193" t="str">
        <f>1-EXP(-J477)</f>
      </c>
      <c r="L477" s="194" t="str">
        <f>IF(G477=30,1,M476)</f>
      </c>
      <c r="M477" s="195" t="str">
        <f>L477*(1-K477)</f>
      </c>
    </row>
    <row r="478">
      <c r="A478" t="s">
        <v>167</v>
      </c>
      <c r="B478" t="s">
        <v>254</v>
      </c>
      <c r="C478" s="35" t="s">
        <v>418</v>
      </c>
      <c r="D478" t="s">
        <v>502</v>
      </c>
      <c r="E478" t="s">
        <v>520</v>
      </c>
      <c r="F478" s="188" t="n">
        <v>2036</v>
      </c>
      <c r="G478" s="189" t="n">
        <v>66</v>
      </c>
      <c r="H478" s="190" t="n">
        <v>26695.005851723</v>
      </c>
      <c r="I478" s="191" t="n">
        <v>2767540.56439214</v>
      </c>
      <c r="J478" s="192" t="str">
        <f>IF(I478&gt;0,H478/I478,0)</f>
      </c>
      <c r="K478" s="193" t="str">
        <f>1-EXP(-J478)</f>
      </c>
      <c r="L478" s="194" t="str">
        <f>IF(G478=30,1,M477)</f>
      </c>
      <c r="M478" s="195" t="str">
        <f>L478*(1-K478)</f>
      </c>
    </row>
    <row r="479">
      <c r="A479" t="s">
        <v>167</v>
      </c>
      <c r="B479" t="s">
        <v>254</v>
      </c>
      <c r="C479" s="35" t="s">
        <v>418</v>
      </c>
      <c r="D479" t="s">
        <v>502</v>
      </c>
      <c r="E479" t="s">
        <v>520</v>
      </c>
      <c r="F479" s="188" t="n">
        <v>2036</v>
      </c>
      <c r="G479" s="189" t="n">
        <v>67</v>
      </c>
      <c r="H479" s="190" t="n">
        <v>28102.8099027844</v>
      </c>
      <c r="I479" s="191" t="n">
        <v>2654137.67187512</v>
      </c>
      <c r="J479" s="192" t="str">
        <f>IF(I479&gt;0,H479/I479,0)</f>
      </c>
      <c r="K479" s="193" t="str">
        <f>1-EXP(-J479)</f>
      </c>
      <c r="L479" s="194" t="str">
        <f>IF(G479=30,1,M478)</f>
      </c>
      <c r="M479" s="195" t="str">
        <f>L479*(1-K479)</f>
      </c>
    </row>
    <row r="480">
      <c r="A480" t="s">
        <v>167</v>
      </c>
      <c r="B480" t="s">
        <v>254</v>
      </c>
      <c r="C480" s="35" t="s">
        <v>418</v>
      </c>
      <c r="D480" t="s">
        <v>502</v>
      </c>
      <c r="E480" t="s">
        <v>520</v>
      </c>
      <c r="F480" s="188" t="n">
        <v>2036</v>
      </c>
      <c r="G480" s="189" t="n">
        <v>68</v>
      </c>
      <c r="H480" s="190" t="n">
        <v>29346.7615636048</v>
      </c>
      <c r="I480" s="191" t="n">
        <v>2522931.48949587</v>
      </c>
      <c r="J480" s="192" t="str">
        <f>IF(I480&gt;0,H480/I480,0)</f>
      </c>
      <c r="K480" s="193" t="str">
        <f>1-EXP(-J480)</f>
      </c>
      <c r="L480" s="194" t="str">
        <f>IF(G480=30,1,M479)</f>
      </c>
      <c r="M480" s="195" t="str">
        <f>L480*(1-K480)</f>
      </c>
    </row>
    <row r="481">
      <c r="A481" t="s">
        <v>167</v>
      </c>
      <c r="B481" t="s">
        <v>254</v>
      </c>
      <c r="C481" s="35" t="s">
        <v>418</v>
      </c>
      <c r="D481" t="s">
        <v>502</v>
      </c>
      <c r="E481" t="s">
        <v>520</v>
      </c>
      <c r="F481" s="188" t="n">
        <v>2036</v>
      </c>
      <c r="G481" s="189" t="n">
        <v>69</v>
      </c>
      <c r="H481" s="190" t="n">
        <v>30269.9780401888</v>
      </c>
      <c r="I481" s="191" t="n">
        <v>2364659.32825444</v>
      </c>
      <c r="J481" s="192" t="str">
        <f>IF(I481&gt;0,H481/I481,0)</f>
      </c>
      <c r="K481" s="193" t="str">
        <f>1-EXP(-J481)</f>
      </c>
      <c r="L481" s="194" t="str">
        <f>IF(G481=30,1,M480)</f>
      </c>
      <c r="M481" s="195" t="str">
        <f>L481*(1-K481)</f>
      </c>
    </row>
    <row r="482">
      <c r="A482" t="s">
        <v>167</v>
      </c>
      <c r="B482" t="s">
        <v>254</v>
      </c>
      <c r="C482" s="35" t="s">
        <v>418</v>
      </c>
      <c r="D482" t="s">
        <v>502</v>
      </c>
      <c r="E482" t="s">
        <v>520</v>
      </c>
      <c r="F482" s="188" t="n">
        <v>2037</v>
      </c>
      <c r="G482" s="189" t="n">
        <v>30</v>
      </c>
      <c r="H482" s="190" t="n">
        <v>796.181730234743</v>
      </c>
      <c r="I482" s="191" t="n">
        <v>4685655.97341093</v>
      </c>
      <c r="J482" s="192" t="str">
        <f>IF(I482&gt;0,H482/I482,0)</f>
      </c>
      <c r="K482" s="193" t="str">
        <f>1-EXP(-J482)</f>
      </c>
      <c r="L482" s="194" t="str">
        <f>IF(G482=30,1,M481)</f>
      </c>
      <c r="M482" s="195" t="str">
        <f>L482*(1-K482)</f>
      </c>
    </row>
    <row r="483">
      <c r="A483" t="s">
        <v>167</v>
      </c>
      <c r="B483" t="s">
        <v>254</v>
      </c>
      <c r="C483" s="35" t="s">
        <v>418</v>
      </c>
      <c r="D483" t="s">
        <v>502</v>
      </c>
      <c r="E483" t="s">
        <v>520</v>
      </c>
      <c r="F483" s="188" t="n">
        <v>2037</v>
      </c>
      <c r="G483" s="189" t="n">
        <v>31</v>
      </c>
      <c r="H483" s="190" t="n">
        <v>977.067551854677</v>
      </c>
      <c r="I483" s="191" t="n">
        <v>4602637.19095386</v>
      </c>
      <c r="J483" s="192" t="str">
        <f>IF(I483&gt;0,H483/I483,0)</f>
      </c>
      <c r="K483" s="193" t="str">
        <f>1-EXP(-J483)</f>
      </c>
      <c r="L483" s="194" t="str">
        <f>IF(G483=30,1,M482)</f>
      </c>
      <c r="M483" s="195" t="str">
        <f>L483*(1-K483)</f>
      </c>
    </row>
    <row r="484">
      <c r="A484" t="s">
        <v>167</v>
      </c>
      <c r="B484" t="s">
        <v>254</v>
      </c>
      <c r="C484" s="35" t="s">
        <v>418</v>
      </c>
      <c r="D484" t="s">
        <v>502</v>
      </c>
      <c r="E484" t="s">
        <v>520</v>
      </c>
      <c r="F484" s="188" t="n">
        <v>2037</v>
      </c>
      <c r="G484" s="189" t="n">
        <v>32</v>
      </c>
      <c r="H484" s="190" t="n">
        <v>1015.89952191068</v>
      </c>
      <c r="I484" s="191" t="n">
        <v>4541866.13646344</v>
      </c>
      <c r="J484" s="192" t="str">
        <f>IF(I484&gt;0,H484/I484,0)</f>
      </c>
      <c r="K484" s="193" t="str">
        <f>1-EXP(-J484)</f>
      </c>
      <c r="L484" s="194" t="str">
        <f>IF(G484=30,1,M483)</f>
      </c>
      <c r="M484" s="195" t="str">
        <f>L484*(1-K484)</f>
      </c>
    </row>
    <row r="485">
      <c r="A485" t="s">
        <v>167</v>
      </c>
      <c r="B485" t="s">
        <v>254</v>
      </c>
      <c r="C485" s="35" t="s">
        <v>418</v>
      </c>
      <c r="D485" t="s">
        <v>502</v>
      </c>
      <c r="E485" t="s">
        <v>520</v>
      </c>
      <c r="F485" s="188" t="n">
        <v>2037</v>
      </c>
      <c r="G485" s="189" t="n">
        <v>33</v>
      </c>
      <c r="H485" s="190" t="n">
        <v>1047.73183368622</v>
      </c>
      <c r="I485" s="191" t="n">
        <v>4413328.21290234</v>
      </c>
      <c r="J485" s="192" t="str">
        <f>IF(I485&gt;0,H485/I485,0)</f>
      </c>
      <c r="K485" s="193" t="str">
        <f>1-EXP(-J485)</f>
      </c>
      <c r="L485" s="194" t="str">
        <f>IF(G485=30,1,M484)</f>
      </c>
      <c r="M485" s="195" t="str">
        <f>L485*(1-K485)</f>
      </c>
    </row>
    <row r="486">
      <c r="A486" t="s">
        <v>167</v>
      </c>
      <c r="B486" t="s">
        <v>254</v>
      </c>
      <c r="C486" s="35" t="s">
        <v>418</v>
      </c>
      <c r="D486" t="s">
        <v>502</v>
      </c>
      <c r="E486" t="s">
        <v>520</v>
      </c>
      <c r="F486" s="188" t="n">
        <v>2037</v>
      </c>
      <c r="G486" s="189" t="n">
        <v>34</v>
      </c>
      <c r="H486" s="190" t="n">
        <v>1102.4241827046</v>
      </c>
      <c r="I486" s="191" t="n">
        <v>4347806.64971601</v>
      </c>
      <c r="J486" s="192" t="str">
        <f>IF(I486&gt;0,H486/I486,0)</f>
      </c>
      <c r="K486" s="193" t="str">
        <f>1-EXP(-J486)</f>
      </c>
      <c r="L486" s="194" t="str">
        <f>IF(G486=30,1,M485)</f>
      </c>
      <c r="M486" s="195" t="str">
        <f>L486*(1-K486)</f>
      </c>
    </row>
    <row r="487">
      <c r="A487" t="s">
        <v>167</v>
      </c>
      <c r="B487" t="s">
        <v>254</v>
      </c>
      <c r="C487" s="35" t="s">
        <v>418</v>
      </c>
      <c r="D487" t="s">
        <v>502</v>
      </c>
      <c r="E487" t="s">
        <v>520</v>
      </c>
      <c r="F487" s="188" t="n">
        <v>2037</v>
      </c>
      <c r="G487" s="189" t="n">
        <v>35</v>
      </c>
      <c r="H487" s="190" t="n">
        <v>1663.09635868873</v>
      </c>
      <c r="I487" s="191" t="n">
        <v>4325873.20063697</v>
      </c>
      <c r="J487" s="192" t="str">
        <f>IF(I487&gt;0,H487/I487,0)</f>
      </c>
      <c r="K487" s="193" t="str">
        <f>1-EXP(-J487)</f>
      </c>
      <c r="L487" s="194" t="str">
        <f>IF(G487=30,1,M486)</f>
      </c>
      <c r="M487" s="195" t="str">
        <f>L487*(1-K487)</f>
      </c>
    </row>
    <row r="488">
      <c r="A488" t="s">
        <v>167</v>
      </c>
      <c r="B488" t="s">
        <v>254</v>
      </c>
      <c r="C488" s="35" t="s">
        <v>418</v>
      </c>
      <c r="D488" t="s">
        <v>502</v>
      </c>
      <c r="E488" t="s">
        <v>520</v>
      </c>
      <c r="F488" s="188" t="n">
        <v>2037</v>
      </c>
      <c r="G488" s="189" t="n">
        <v>36</v>
      </c>
      <c r="H488" s="190" t="n">
        <v>1843.60183128506</v>
      </c>
      <c r="I488" s="191" t="n">
        <v>4304891.16212341</v>
      </c>
      <c r="J488" s="192" t="str">
        <f>IF(I488&gt;0,H488/I488,0)</f>
      </c>
      <c r="K488" s="193" t="str">
        <f>1-EXP(-J488)</f>
      </c>
      <c r="L488" s="194" t="str">
        <f>IF(G488=30,1,M487)</f>
      </c>
      <c r="M488" s="195" t="str">
        <f>L488*(1-K488)</f>
      </c>
    </row>
    <row r="489">
      <c r="A489" t="s">
        <v>167</v>
      </c>
      <c r="B489" t="s">
        <v>254</v>
      </c>
      <c r="C489" s="35" t="s">
        <v>418</v>
      </c>
      <c r="D489" t="s">
        <v>502</v>
      </c>
      <c r="E489" t="s">
        <v>520</v>
      </c>
      <c r="F489" s="188" t="n">
        <v>2037</v>
      </c>
      <c r="G489" s="189" t="n">
        <v>37</v>
      </c>
      <c r="H489" s="190" t="n">
        <v>1974.4879455133</v>
      </c>
      <c r="I489" s="191" t="n">
        <v>4283816.51645854</v>
      </c>
      <c r="J489" s="192" t="str">
        <f>IF(I489&gt;0,H489/I489,0)</f>
      </c>
      <c r="K489" s="193" t="str">
        <f>1-EXP(-J489)</f>
      </c>
      <c r="L489" s="194" t="str">
        <f>IF(G489=30,1,M488)</f>
      </c>
      <c r="M489" s="195" t="str">
        <f>L489*(1-K489)</f>
      </c>
    </row>
    <row r="490">
      <c r="A490" t="s">
        <v>167</v>
      </c>
      <c r="B490" t="s">
        <v>254</v>
      </c>
      <c r="C490" s="35" t="s">
        <v>418</v>
      </c>
      <c r="D490" t="s">
        <v>502</v>
      </c>
      <c r="E490" t="s">
        <v>520</v>
      </c>
      <c r="F490" s="188" t="n">
        <v>2037</v>
      </c>
      <c r="G490" s="189" t="n">
        <v>38</v>
      </c>
      <c r="H490" s="190" t="n">
        <v>2139.57590395238</v>
      </c>
      <c r="I490" s="191" t="n">
        <v>4302015.27309637</v>
      </c>
      <c r="J490" s="192" t="str">
        <f>IF(I490&gt;0,H490/I490,0)</f>
      </c>
      <c r="K490" s="193" t="str">
        <f>1-EXP(-J490)</f>
      </c>
      <c r="L490" s="194" t="str">
        <f>IF(G490=30,1,M489)</f>
      </c>
      <c r="M490" s="195" t="str">
        <f>L490*(1-K490)</f>
      </c>
    </row>
    <row r="491">
      <c r="A491" t="s">
        <v>167</v>
      </c>
      <c r="B491" t="s">
        <v>254</v>
      </c>
      <c r="C491" s="35" t="s">
        <v>418</v>
      </c>
      <c r="D491" t="s">
        <v>502</v>
      </c>
      <c r="E491" t="s">
        <v>520</v>
      </c>
      <c r="F491" s="188" t="n">
        <v>2037</v>
      </c>
      <c r="G491" s="189" t="n">
        <v>39</v>
      </c>
      <c r="H491" s="190" t="n">
        <v>2344.63756862334</v>
      </c>
      <c r="I491" s="191" t="n">
        <v>4358859.42102774</v>
      </c>
      <c r="J491" s="192" t="str">
        <f>IF(I491&gt;0,H491/I491,0)</f>
      </c>
      <c r="K491" s="193" t="str">
        <f>1-EXP(-J491)</f>
      </c>
      <c r="L491" s="194" t="str">
        <f>IF(G491=30,1,M490)</f>
      </c>
      <c r="M491" s="195" t="str">
        <f>L491*(1-K491)</f>
      </c>
    </row>
    <row r="492">
      <c r="A492" t="s">
        <v>167</v>
      </c>
      <c r="B492" t="s">
        <v>254</v>
      </c>
      <c r="C492" s="35" t="s">
        <v>418</v>
      </c>
      <c r="D492" t="s">
        <v>502</v>
      </c>
      <c r="E492" t="s">
        <v>520</v>
      </c>
      <c r="F492" s="188" t="n">
        <v>2037</v>
      </c>
      <c r="G492" s="189" t="n">
        <v>40</v>
      </c>
      <c r="H492" s="190" t="n">
        <v>3514.78666384793</v>
      </c>
      <c r="I492" s="191" t="n">
        <v>4493361.5823301</v>
      </c>
      <c r="J492" s="192" t="str">
        <f>IF(I492&gt;0,H492/I492,0)</f>
      </c>
      <c r="K492" s="193" t="str">
        <f>1-EXP(-J492)</f>
      </c>
      <c r="L492" s="194" t="str">
        <f>IF(G492=30,1,M491)</f>
      </c>
      <c r="M492" s="195" t="str">
        <f>L492*(1-K492)</f>
      </c>
    </row>
    <row r="493">
      <c r="A493" t="s">
        <v>167</v>
      </c>
      <c r="B493" t="s">
        <v>254</v>
      </c>
      <c r="C493" s="35" t="s">
        <v>418</v>
      </c>
      <c r="D493" t="s">
        <v>502</v>
      </c>
      <c r="E493" t="s">
        <v>520</v>
      </c>
      <c r="F493" s="188" t="n">
        <v>2037</v>
      </c>
      <c r="G493" s="189" t="n">
        <v>41</v>
      </c>
      <c r="H493" s="190" t="n">
        <v>3734.75514234442</v>
      </c>
      <c r="I493" s="191" t="n">
        <v>4446555.92110778</v>
      </c>
      <c r="J493" s="192" t="str">
        <f>IF(I493&gt;0,H493/I493,0)</f>
      </c>
      <c r="K493" s="193" t="str">
        <f>1-EXP(-J493)</f>
      </c>
      <c r="L493" s="194" t="str">
        <f>IF(G493=30,1,M492)</f>
      </c>
      <c r="M493" s="195" t="str">
        <f>L493*(1-K493)</f>
      </c>
    </row>
    <row r="494">
      <c r="A494" t="s">
        <v>167</v>
      </c>
      <c r="B494" t="s">
        <v>254</v>
      </c>
      <c r="C494" s="35" t="s">
        <v>418</v>
      </c>
      <c r="D494" t="s">
        <v>502</v>
      </c>
      <c r="E494" t="s">
        <v>520</v>
      </c>
      <c r="F494" s="188" t="n">
        <v>2037</v>
      </c>
      <c r="G494" s="189" t="n">
        <v>42</v>
      </c>
      <c r="H494" s="190" t="n">
        <v>3982.31675213888</v>
      </c>
      <c r="I494" s="191" t="n">
        <v>4370359.62557134</v>
      </c>
      <c r="J494" s="192" t="str">
        <f>IF(I494&gt;0,H494/I494,0)</f>
      </c>
      <c r="K494" s="193" t="str">
        <f>1-EXP(-J494)</f>
      </c>
      <c r="L494" s="194" t="str">
        <f>IF(G494=30,1,M493)</f>
      </c>
      <c r="M494" s="195" t="str">
        <f>L494*(1-K494)</f>
      </c>
    </row>
    <row r="495">
      <c r="A495" t="s">
        <v>167</v>
      </c>
      <c r="B495" t="s">
        <v>254</v>
      </c>
      <c r="C495" s="35" t="s">
        <v>418</v>
      </c>
      <c r="D495" t="s">
        <v>502</v>
      </c>
      <c r="E495" t="s">
        <v>520</v>
      </c>
      <c r="F495" s="188" t="n">
        <v>2037</v>
      </c>
      <c r="G495" s="189" t="n">
        <v>43</v>
      </c>
      <c r="H495" s="190" t="n">
        <v>4272.69639805847</v>
      </c>
      <c r="I495" s="191" t="n">
        <v>4309339.29764246</v>
      </c>
      <c r="J495" s="192" t="str">
        <f>IF(I495&gt;0,H495/I495,0)</f>
      </c>
      <c r="K495" s="193" t="str">
        <f>1-EXP(-J495)</f>
      </c>
      <c r="L495" s="194" t="str">
        <f>IF(G495=30,1,M494)</f>
      </c>
      <c r="M495" s="195" t="str">
        <f>L495*(1-K495)</f>
      </c>
    </row>
    <row r="496">
      <c r="A496" t="s">
        <v>167</v>
      </c>
      <c r="B496" t="s">
        <v>254</v>
      </c>
      <c r="C496" s="35" t="s">
        <v>418</v>
      </c>
      <c r="D496" t="s">
        <v>502</v>
      </c>
      <c r="E496" t="s">
        <v>520</v>
      </c>
      <c r="F496" s="188" t="n">
        <v>2037</v>
      </c>
      <c r="G496" s="189" t="n">
        <v>44</v>
      </c>
      <c r="H496" s="190" t="n">
        <v>4599.4007939841</v>
      </c>
      <c r="I496" s="191" t="n">
        <v>4251452.07927833</v>
      </c>
      <c r="J496" s="192" t="str">
        <f>IF(I496&gt;0,H496/I496,0)</f>
      </c>
      <c r="K496" s="193" t="str">
        <f>1-EXP(-J496)</f>
      </c>
      <c r="L496" s="194" t="str">
        <f>IF(G496=30,1,M495)</f>
      </c>
      <c r="M496" s="195" t="str">
        <f>L496*(1-K496)</f>
      </c>
    </row>
    <row r="497">
      <c r="A497" t="s">
        <v>167</v>
      </c>
      <c r="B497" t="s">
        <v>254</v>
      </c>
      <c r="C497" s="35" t="s">
        <v>418</v>
      </c>
      <c r="D497" t="s">
        <v>502</v>
      </c>
      <c r="E497" t="s">
        <v>520</v>
      </c>
      <c r="F497" s="188" t="n">
        <v>2037</v>
      </c>
      <c r="G497" s="189" t="n">
        <v>45</v>
      </c>
      <c r="H497" s="190" t="n">
        <v>5963.28674568326</v>
      </c>
      <c r="I497" s="191" t="n">
        <v>4282947.1493688</v>
      </c>
      <c r="J497" s="192" t="str">
        <f>IF(I497&gt;0,H497/I497,0)</f>
      </c>
      <c r="K497" s="193" t="str">
        <f>1-EXP(-J497)</f>
      </c>
      <c r="L497" s="194" t="str">
        <f>IF(G497=30,1,M496)</f>
      </c>
      <c r="M497" s="195" t="str">
        <f>L497*(1-K497)</f>
      </c>
    </row>
    <row r="498">
      <c r="A498" t="s">
        <v>167</v>
      </c>
      <c r="B498" t="s">
        <v>254</v>
      </c>
      <c r="C498" s="35" t="s">
        <v>418</v>
      </c>
      <c r="D498" t="s">
        <v>502</v>
      </c>
      <c r="E498" t="s">
        <v>520</v>
      </c>
      <c r="F498" s="188" t="n">
        <v>2037</v>
      </c>
      <c r="G498" s="189" t="n">
        <v>46</v>
      </c>
      <c r="H498" s="190" t="n">
        <v>6513.3736857133</v>
      </c>
      <c r="I498" s="191" t="n">
        <v>4293311.600366</v>
      </c>
      <c r="J498" s="192" t="str">
        <f>IF(I498&gt;0,H498/I498,0)</f>
      </c>
      <c r="K498" s="193" t="str">
        <f>1-EXP(-J498)</f>
      </c>
      <c r="L498" s="194" t="str">
        <f>IF(G498=30,1,M497)</f>
      </c>
      <c r="M498" s="195" t="str">
        <f>L498*(1-K498)</f>
      </c>
    </row>
    <row r="499">
      <c r="A499" t="s">
        <v>167</v>
      </c>
      <c r="B499" t="s">
        <v>254</v>
      </c>
      <c r="C499" s="35" t="s">
        <v>418</v>
      </c>
      <c r="D499" t="s">
        <v>502</v>
      </c>
      <c r="E499" t="s">
        <v>520</v>
      </c>
      <c r="F499" s="188" t="n">
        <v>2037</v>
      </c>
      <c r="G499" s="189" t="n">
        <v>47</v>
      </c>
      <c r="H499" s="190" t="n">
        <v>9708.06041115082</v>
      </c>
      <c r="I499" s="191" t="n">
        <v>6317673.12214585</v>
      </c>
      <c r="J499" s="192" t="str">
        <f>IF(I499&gt;0,H499/I499,0)</f>
      </c>
      <c r="K499" s="193" t="str">
        <f>1-EXP(-J499)</f>
      </c>
      <c r="L499" s="194" t="str">
        <f>IF(G499=30,1,M498)</f>
      </c>
      <c r="M499" s="195" t="str">
        <f>L499*(1-K499)</f>
      </c>
    </row>
    <row r="500">
      <c r="A500" t="s">
        <v>167</v>
      </c>
      <c r="B500" t="s">
        <v>254</v>
      </c>
      <c r="C500" s="35" t="s">
        <v>418</v>
      </c>
      <c r="D500" t="s">
        <v>502</v>
      </c>
      <c r="E500" t="s">
        <v>520</v>
      </c>
      <c r="F500" s="188" t="n">
        <v>2037</v>
      </c>
      <c r="G500" s="189" t="n">
        <v>48</v>
      </c>
      <c r="H500" s="190" t="n">
        <v>7739.84049362607</v>
      </c>
      <c r="I500" s="191" t="n">
        <v>4237652.2880232</v>
      </c>
      <c r="J500" s="192" t="str">
        <f>IF(I500&gt;0,H500/I500,0)</f>
      </c>
      <c r="K500" s="193" t="str">
        <f>1-EXP(-J500)</f>
      </c>
      <c r="L500" s="194" t="str">
        <f>IF(G500=30,1,M499)</f>
      </c>
      <c r="M500" s="195" t="str">
        <f>L500*(1-K500)</f>
      </c>
    </row>
    <row r="501">
      <c r="A501" t="s">
        <v>167</v>
      </c>
      <c r="B501" t="s">
        <v>254</v>
      </c>
      <c r="C501" s="35" t="s">
        <v>418</v>
      </c>
      <c r="D501" t="s">
        <v>502</v>
      </c>
      <c r="E501" t="s">
        <v>520</v>
      </c>
      <c r="F501" s="188" t="n">
        <v>2037</v>
      </c>
      <c r="G501" s="189" t="n">
        <v>49</v>
      </c>
      <c r="H501" s="190" t="n">
        <v>8444.63828980372</v>
      </c>
      <c r="I501" s="191" t="n">
        <v>4212475.6872488</v>
      </c>
      <c r="J501" s="192" t="str">
        <f>IF(I501&gt;0,H501/I501,0)</f>
      </c>
      <c r="K501" s="193" t="str">
        <f>1-EXP(-J501)</f>
      </c>
      <c r="L501" s="194" t="str">
        <f>IF(G501=30,1,M500)</f>
      </c>
      <c r="M501" s="195" t="str">
        <f>L501*(1-K501)</f>
      </c>
    </row>
    <row r="502">
      <c r="A502" t="s">
        <v>167</v>
      </c>
      <c r="B502" t="s">
        <v>254</v>
      </c>
      <c r="C502" s="35" t="s">
        <v>418</v>
      </c>
      <c r="D502" t="s">
        <v>502</v>
      </c>
      <c r="E502" t="s">
        <v>520</v>
      </c>
      <c r="F502" s="188" t="n">
        <v>2037</v>
      </c>
      <c r="G502" s="189" t="n">
        <v>50</v>
      </c>
      <c r="H502" s="190" t="n">
        <v>9441.38514147725</v>
      </c>
      <c r="I502" s="191" t="n">
        <v>4073884.44879907</v>
      </c>
      <c r="J502" s="192" t="str">
        <f>IF(I502&gt;0,H502/I502,0)</f>
      </c>
      <c r="K502" s="193" t="str">
        <f>1-EXP(-J502)</f>
      </c>
      <c r="L502" s="194" t="str">
        <f>IF(G502=30,1,M501)</f>
      </c>
      <c r="M502" s="195" t="str">
        <f>L502*(1-K502)</f>
      </c>
    </row>
    <row r="503">
      <c r="A503" t="s">
        <v>167</v>
      </c>
      <c r="B503" t="s">
        <v>254</v>
      </c>
      <c r="C503" s="35" t="s">
        <v>418</v>
      </c>
      <c r="D503" t="s">
        <v>502</v>
      </c>
      <c r="E503" t="s">
        <v>520</v>
      </c>
      <c r="F503" s="188" t="n">
        <v>2037</v>
      </c>
      <c r="G503" s="189" t="n">
        <v>51</v>
      </c>
      <c r="H503" s="190" t="n">
        <v>10229.356412455</v>
      </c>
      <c r="I503" s="191" t="n">
        <v>4028976.04112121</v>
      </c>
      <c r="J503" s="192" t="str">
        <f>IF(I503&gt;0,H503/I503,0)</f>
      </c>
      <c r="K503" s="193" t="str">
        <f>1-EXP(-J503)</f>
      </c>
      <c r="L503" s="194" t="str">
        <f>IF(G503=30,1,M502)</f>
      </c>
      <c r="M503" s="195" t="str">
        <f>L503*(1-K503)</f>
      </c>
    </row>
    <row r="504">
      <c r="A504" t="s">
        <v>167</v>
      </c>
      <c r="B504" t="s">
        <v>254</v>
      </c>
      <c r="C504" s="35" t="s">
        <v>418</v>
      </c>
      <c r="D504" t="s">
        <v>502</v>
      </c>
      <c r="E504" t="s">
        <v>520</v>
      </c>
      <c r="F504" s="188" t="n">
        <v>2037</v>
      </c>
      <c r="G504" s="189" t="n">
        <v>52</v>
      </c>
      <c r="H504" s="190" t="n">
        <v>11320.6522201258</v>
      </c>
      <c r="I504" s="191" t="n">
        <v>4074382.59014974</v>
      </c>
      <c r="J504" s="192" t="str">
        <f>IF(I504&gt;0,H504/I504,0)</f>
      </c>
      <c r="K504" s="193" t="str">
        <f>1-EXP(-J504)</f>
      </c>
      <c r="L504" s="194" t="str">
        <f>IF(G504=30,1,M503)</f>
      </c>
      <c r="M504" s="195" t="str">
        <f>L504*(1-K504)</f>
      </c>
    </row>
    <row r="505">
      <c r="A505" t="s">
        <v>167</v>
      </c>
      <c r="B505" t="s">
        <v>254</v>
      </c>
      <c r="C505" s="35" t="s">
        <v>418</v>
      </c>
      <c r="D505" t="s">
        <v>502</v>
      </c>
      <c r="E505" t="s">
        <v>520</v>
      </c>
      <c r="F505" s="188" t="n">
        <v>2037</v>
      </c>
      <c r="G505" s="189" t="n">
        <v>53</v>
      </c>
      <c r="H505" s="190" t="n">
        <v>12581.2467062487</v>
      </c>
      <c r="I505" s="191" t="n">
        <v>4142511.12735676</v>
      </c>
      <c r="J505" s="192" t="str">
        <f>IF(I505&gt;0,H505/I505,0)</f>
      </c>
      <c r="K505" s="193" t="str">
        <f>1-EXP(-J505)</f>
      </c>
      <c r="L505" s="194" t="str">
        <f>IF(G505=30,1,M504)</f>
      </c>
      <c r="M505" s="195" t="str">
        <f>L505*(1-K505)</f>
      </c>
    </row>
    <row r="506">
      <c r="A506" t="s">
        <v>167</v>
      </c>
      <c r="B506" t="s">
        <v>254</v>
      </c>
      <c r="C506" s="35" t="s">
        <v>418</v>
      </c>
      <c r="D506" t="s">
        <v>502</v>
      </c>
      <c r="E506" t="s">
        <v>520</v>
      </c>
      <c r="F506" s="188" t="n">
        <v>2037</v>
      </c>
      <c r="G506" s="189" t="n">
        <v>54</v>
      </c>
      <c r="H506" s="190" t="n">
        <v>13615.1929159072</v>
      </c>
      <c r="I506" s="191" t="n">
        <v>4104268.86416276</v>
      </c>
      <c r="J506" s="192" t="str">
        <f>IF(I506&gt;0,H506/I506,0)</f>
      </c>
      <c r="K506" s="193" t="str">
        <f>1-EXP(-J506)</f>
      </c>
      <c r="L506" s="194" t="str">
        <f>IF(G506=30,1,M505)</f>
      </c>
      <c r="M506" s="195" t="str">
        <f>L506*(1-K506)</f>
      </c>
    </row>
    <row r="507">
      <c r="A507" t="s">
        <v>167</v>
      </c>
      <c r="B507" t="s">
        <v>254</v>
      </c>
      <c r="C507" s="35" t="s">
        <v>418</v>
      </c>
      <c r="D507" t="s">
        <v>502</v>
      </c>
      <c r="E507" t="s">
        <v>520</v>
      </c>
      <c r="F507" s="188" t="n">
        <v>2037</v>
      </c>
      <c r="G507" s="189" t="n">
        <v>55</v>
      </c>
      <c r="H507" s="190" t="n">
        <v>14308.7842571332</v>
      </c>
      <c r="I507" s="191" t="n">
        <v>3957294.65245784</v>
      </c>
      <c r="J507" s="192" t="str">
        <f>IF(I507&gt;0,H507/I507,0)</f>
      </c>
      <c r="K507" s="193" t="str">
        <f>1-EXP(-J507)</f>
      </c>
      <c r="L507" s="194" t="str">
        <f>IF(G507=30,1,M506)</f>
      </c>
      <c r="M507" s="195" t="str">
        <f>L507*(1-K507)</f>
      </c>
    </row>
    <row r="508">
      <c r="A508" t="s">
        <v>167</v>
      </c>
      <c r="B508" t="s">
        <v>254</v>
      </c>
      <c r="C508" s="35" t="s">
        <v>418</v>
      </c>
      <c r="D508" t="s">
        <v>502</v>
      </c>
      <c r="E508" t="s">
        <v>520</v>
      </c>
      <c r="F508" s="188" t="n">
        <v>2037</v>
      </c>
      <c r="G508" s="189" t="n">
        <v>56</v>
      </c>
      <c r="H508" s="190" t="n">
        <v>15213.2048725599</v>
      </c>
      <c r="I508" s="191" t="n">
        <v>3869240.954351</v>
      </c>
      <c r="J508" s="192" t="str">
        <f>IF(I508&gt;0,H508/I508,0)</f>
      </c>
      <c r="K508" s="193" t="str">
        <f>1-EXP(-J508)</f>
      </c>
      <c r="L508" s="194" t="str">
        <f>IF(G508=30,1,M507)</f>
      </c>
      <c r="M508" s="195" t="str">
        <f>L508*(1-K508)</f>
      </c>
    </row>
    <row r="509">
      <c r="A509" t="s">
        <v>167</v>
      </c>
      <c r="B509" t="s">
        <v>254</v>
      </c>
      <c r="C509" s="35" t="s">
        <v>418</v>
      </c>
      <c r="D509" t="s">
        <v>502</v>
      </c>
      <c r="E509" t="s">
        <v>520</v>
      </c>
      <c r="F509" s="188" t="n">
        <v>2037</v>
      </c>
      <c r="G509" s="189" t="n">
        <v>57</v>
      </c>
      <c r="H509" s="190" t="n">
        <v>16314.1706324231</v>
      </c>
      <c r="I509" s="191" t="n">
        <v>3795695.72429268</v>
      </c>
      <c r="J509" s="192" t="str">
        <f>IF(I509&gt;0,H509/I509,0)</f>
      </c>
      <c r="K509" s="193" t="str">
        <f>1-EXP(-J509)</f>
      </c>
      <c r="L509" s="194" t="str">
        <f>IF(G509=30,1,M508)</f>
      </c>
      <c r="M509" s="195" t="str">
        <f>L509*(1-K509)</f>
      </c>
    </row>
    <row r="510">
      <c r="A510" t="s">
        <v>167</v>
      </c>
      <c r="B510" t="s">
        <v>254</v>
      </c>
      <c r="C510" s="35" t="s">
        <v>418</v>
      </c>
      <c r="D510" t="s">
        <v>502</v>
      </c>
      <c r="E510" t="s">
        <v>520</v>
      </c>
      <c r="F510" s="188" t="n">
        <v>2037</v>
      </c>
      <c r="G510" s="189" t="n">
        <v>58</v>
      </c>
      <c r="H510" s="190" t="n">
        <v>17474.3824001962</v>
      </c>
      <c r="I510" s="191" t="n">
        <v>3715992.88471686</v>
      </c>
      <c r="J510" s="192" t="str">
        <f>IF(I510&gt;0,H510/I510,0)</f>
      </c>
      <c r="K510" s="193" t="str">
        <f>1-EXP(-J510)</f>
      </c>
      <c r="L510" s="194" t="str">
        <f>IF(G510=30,1,M509)</f>
      </c>
      <c r="M510" s="195" t="str">
        <f>L510*(1-K510)</f>
      </c>
    </row>
    <row r="511">
      <c r="A511" t="s">
        <v>167</v>
      </c>
      <c r="B511" t="s">
        <v>254</v>
      </c>
      <c r="C511" s="35" t="s">
        <v>418</v>
      </c>
      <c r="D511" t="s">
        <v>502</v>
      </c>
      <c r="E511" t="s">
        <v>520</v>
      </c>
      <c r="F511" s="188" t="n">
        <v>2037</v>
      </c>
      <c r="G511" s="189" t="n">
        <v>59</v>
      </c>
      <c r="H511" s="190" t="n">
        <v>18627.2348598654</v>
      </c>
      <c r="I511" s="191" t="n">
        <v>3617013.73328997</v>
      </c>
      <c r="J511" s="192" t="str">
        <f>IF(I511&gt;0,H511/I511,0)</f>
      </c>
      <c r="K511" s="193" t="str">
        <f>1-EXP(-J511)</f>
      </c>
      <c r="L511" s="194" t="str">
        <f>IF(G511=30,1,M510)</f>
      </c>
      <c r="M511" s="195" t="str">
        <f>L511*(1-K511)</f>
      </c>
    </row>
    <row r="512">
      <c r="A512" t="s">
        <v>167</v>
      </c>
      <c r="B512" t="s">
        <v>254</v>
      </c>
      <c r="C512" s="35" t="s">
        <v>418</v>
      </c>
      <c r="D512" t="s">
        <v>502</v>
      </c>
      <c r="E512" t="s">
        <v>520</v>
      </c>
      <c r="F512" s="188" t="n">
        <v>2037</v>
      </c>
      <c r="G512" s="189" t="n">
        <v>60</v>
      </c>
      <c r="H512" s="190" t="n">
        <v>20008.0081554606</v>
      </c>
      <c r="I512" s="191" t="n">
        <v>3532741.12874725</v>
      </c>
      <c r="J512" s="192" t="str">
        <f>IF(I512&gt;0,H512/I512,0)</f>
      </c>
      <c r="K512" s="193" t="str">
        <f>1-EXP(-J512)</f>
      </c>
      <c r="L512" s="194" t="str">
        <f>IF(G512=30,1,M511)</f>
      </c>
      <c r="M512" s="195" t="str">
        <f>L512*(1-K512)</f>
      </c>
    </row>
    <row r="513">
      <c r="A513" t="s">
        <v>167</v>
      </c>
      <c r="B513" t="s">
        <v>254</v>
      </c>
      <c r="C513" s="35" t="s">
        <v>418</v>
      </c>
      <c r="D513" t="s">
        <v>502</v>
      </c>
      <c r="E513" t="s">
        <v>520</v>
      </c>
      <c r="F513" s="188" t="n">
        <v>2037</v>
      </c>
      <c r="G513" s="189" t="n">
        <v>61</v>
      </c>
      <c r="H513" s="190" t="n">
        <v>21436.1620802319</v>
      </c>
      <c r="I513" s="191" t="n">
        <v>3436184.89386355</v>
      </c>
      <c r="J513" s="192" t="str">
        <f>IF(I513&gt;0,H513/I513,0)</f>
      </c>
      <c r="K513" s="193" t="str">
        <f>1-EXP(-J513)</f>
      </c>
      <c r="L513" s="194" t="str">
        <f>IF(G513=30,1,M512)</f>
      </c>
      <c r="M513" s="195" t="str">
        <f>L513*(1-K513)</f>
      </c>
    </row>
    <row r="514">
      <c r="A514" t="s">
        <v>167</v>
      </c>
      <c r="B514" t="s">
        <v>254</v>
      </c>
      <c r="C514" s="35" t="s">
        <v>418</v>
      </c>
      <c r="D514" t="s">
        <v>502</v>
      </c>
      <c r="E514" t="s">
        <v>520</v>
      </c>
      <c r="F514" s="188" t="n">
        <v>2037</v>
      </c>
      <c r="G514" s="189" t="n">
        <v>62</v>
      </c>
      <c r="H514" s="190" t="n">
        <v>22819.1767926267</v>
      </c>
      <c r="I514" s="191" t="n">
        <v>3337997.52888679</v>
      </c>
      <c r="J514" s="192" t="str">
        <f>IF(I514&gt;0,H514/I514,0)</f>
      </c>
      <c r="K514" s="193" t="str">
        <f>1-EXP(-J514)</f>
      </c>
      <c r="L514" s="194" t="str">
        <f>IF(G514=30,1,M513)</f>
      </c>
      <c r="M514" s="195" t="str">
        <f>L514*(1-K514)</f>
      </c>
    </row>
    <row r="515">
      <c r="A515" t="s">
        <v>167</v>
      </c>
      <c r="B515" t="s">
        <v>254</v>
      </c>
      <c r="C515" s="35" t="s">
        <v>418</v>
      </c>
      <c r="D515" t="s">
        <v>502</v>
      </c>
      <c r="E515" t="s">
        <v>520</v>
      </c>
      <c r="F515" s="188" t="n">
        <v>2037</v>
      </c>
      <c r="G515" s="189" t="n">
        <v>63</v>
      </c>
      <c r="H515" s="190" t="n">
        <v>24078.4130478601</v>
      </c>
      <c r="I515" s="191" t="n">
        <v>3213639.32287722</v>
      </c>
      <c r="J515" s="192" t="str">
        <f>IF(I515&gt;0,H515/I515,0)</f>
      </c>
      <c r="K515" s="193" t="str">
        <f>1-EXP(-J515)</f>
      </c>
      <c r="L515" s="194" t="str">
        <f>IF(G515=30,1,M514)</f>
      </c>
      <c r="M515" s="195" t="str">
        <f>L515*(1-K515)</f>
      </c>
    </row>
    <row r="516">
      <c r="A516" t="s">
        <v>167</v>
      </c>
      <c r="B516" t="s">
        <v>254</v>
      </c>
      <c r="C516" s="35" t="s">
        <v>418</v>
      </c>
      <c r="D516" t="s">
        <v>502</v>
      </c>
      <c r="E516" t="s">
        <v>520</v>
      </c>
      <c r="F516" s="188" t="n">
        <v>2037</v>
      </c>
      <c r="G516" s="189" t="n">
        <v>64</v>
      </c>
      <c r="H516" s="190" t="n">
        <v>25810.4609109995</v>
      </c>
      <c r="I516" s="191" t="n">
        <v>3142507.80572221</v>
      </c>
      <c r="J516" s="192" t="str">
        <f>IF(I516&gt;0,H516/I516,0)</f>
      </c>
      <c r="K516" s="193" t="str">
        <f>1-EXP(-J516)</f>
      </c>
      <c r="L516" s="194" t="str">
        <f>IF(G516=30,1,M515)</f>
      </c>
      <c r="M516" s="195" t="str">
        <f>L516*(1-K516)</f>
      </c>
    </row>
    <row r="517">
      <c r="A517" t="s">
        <v>167</v>
      </c>
      <c r="B517" t="s">
        <v>254</v>
      </c>
      <c r="C517" s="35" t="s">
        <v>418</v>
      </c>
      <c r="D517" t="s">
        <v>502</v>
      </c>
      <c r="E517" t="s">
        <v>520</v>
      </c>
      <c r="F517" s="188" t="n">
        <v>2037</v>
      </c>
      <c r="G517" s="189" t="n">
        <v>65</v>
      </c>
      <c r="H517" s="190" t="n">
        <v>25364.2069231655</v>
      </c>
      <c r="I517" s="191" t="n">
        <v>2923669.33936732</v>
      </c>
      <c r="J517" s="192" t="str">
        <f>IF(I517&gt;0,H517/I517,0)</f>
      </c>
      <c r="K517" s="193" t="str">
        <f>1-EXP(-J517)</f>
      </c>
      <c r="L517" s="194" t="str">
        <f>IF(G517=30,1,M516)</f>
      </c>
      <c r="M517" s="195" t="str">
        <f>L517*(1-K517)</f>
      </c>
    </row>
    <row r="518">
      <c r="A518" t="s">
        <v>167</v>
      </c>
      <c r="B518" t="s">
        <v>254</v>
      </c>
      <c r="C518" s="35" t="s">
        <v>418</v>
      </c>
      <c r="D518" t="s">
        <v>502</v>
      </c>
      <c r="E518" t="s">
        <v>520</v>
      </c>
      <c r="F518" s="188" t="n">
        <v>2037</v>
      </c>
      <c r="G518" s="189" t="n">
        <v>66</v>
      </c>
      <c r="H518" s="190" t="n">
        <v>26741.5339929075</v>
      </c>
      <c r="I518" s="191" t="n">
        <v>2813620.56207689</v>
      </c>
      <c r="J518" s="192" t="str">
        <f>IF(I518&gt;0,H518/I518,0)</f>
      </c>
      <c r="K518" s="193" t="str">
        <f>1-EXP(-J518)</f>
      </c>
      <c r="L518" s="194" t="str">
        <f>IF(G518=30,1,M517)</f>
      </c>
      <c r="M518" s="195" t="str">
        <f>L518*(1-K518)</f>
      </c>
    </row>
    <row r="519">
      <c r="A519" t="s">
        <v>167</v>
      </c>
      <c r="B519" t="s">
        <v>254</v>
      </c>
      <c r="C519" s="35" t="s">
        <v>418</v>
      </c>
      <c r="D519" t="s">
        <v>502</v>
      </c>
      <c r="E519" t="s">
        <v>520</v>
      </c>
      <c r="F519" s="188" t="n">
        <v>2037</v>
      </c>
      <c r="G519" s="189" t="n">
        <v>67</v>
      </c>
      <c r="H519" s="190" t="n">
        <v>28240.9681873087</v>
      </c>
      <c r="I519" s="191" t="n">
        <v>2705975.2207778</v>
      </c>
      <c r="J519" s="192" t="str">
        <f>IF(I519&gt;0,H519/I519,0)</f>
      </c>
      <c r="K519" s="193" t="str">
        <f>1-EXP(-J519)</f>
      </c>
      <c r="L519" s="194" t="str">
        <f>IF(G519=30,1,M518)</f>
      </c>
      <c r="M519" s="195" t="str">
        <f>L519*(1-K519)</f>
      </c>
    </row>
    <row r="520">
      <c r="A520" t="s">
        <v>167</v>
      </c>
      <c r="B520" t="s">
        <v>254</v>
      </c>
      <c r="C520" s="35" t="s">
        <v>418</v>
      </c>
      <c r="D520" t="s">
        <v>502</v>
      </c>
      <c r="E520" t="s">
        <v>520</v>
      </c>
      <c r="F520" s="188" t="n">
        <v>2037</v>
      </c>
      <c r="G520" s="189" t="n">
        <v>68</v>
      </c>
      <c r="H520" s="190" t="n">
        <v>29690.8079230559</v>
      </c>
      <c r="I520" s="191" t="n">
        <v>2589391.60545145</v>
      </c>
      <c r="J520" s="192" t="str">
        <f>IF(I520&gt;0,H520/I520,0)</f>
      </c>
      <c r="K520" s="193" t="str">
        <f>1-EXP(-J520)</f>
      </c>
      <c r="L520" s="194" t="str">
        <f>IF(G520=30,1,M519)</f>
      </c>
      <c r="M520" s="195" t="str">
        <f>L520*(1-K520)</f>
      </c>
    </row>
    <row r="521">
      <c r="A521" t="s">
        <v>167</v>
      </c>
      <c r="B521" t="s">
        <v>254</v>
      </c>
      <c r="C521" s="35" t="s">
        <v>418</v>
      </c>
      <c r="D521" t="s">
        <v>502</v>
      </c>
      <c r="E521" t="s">
        <v>520</v>
      </c>
      <c r="F521" s="188" t="n">
        <v>2037</v>
      </c>
      <c r="G521" s="189" t="n">
        <v>69</v>
      </c>
      <c r="H521" s="190" t="n">
        <v>30961.9292591887</v>
      </c>
      <c r="I521" s="191" t="n">
        <v>2455402.63148658</v>
      </c>
      <c r="J521" s="192" t="str">
        <f>IF(I521&gt;0,H521/I521,0)</f>
      </c>
      <c r="K521" s="193" t="str">
        <f>1-EXP(-J521)</f>
      </c>
      <c r="L521" s="194" t="str">
        <f>IF(G521=30,1,M520)</f>
      </c>
      <c r="M521" s="195" t="str">
        <f>L521*(1-K521)</f>
      </c>
    </row>
    <row r="522">
      <c r="A522" t="s">
        <v>167</v>
      </c>
      <c r="B522" t="s">
        <v>254</v>
      </c>
      <c r="C522" s="35" t="s">
        <v>418</v>
      </c>
      <c r="D522" t="s">
        <v>502</v>
      </c>
      <c r="E522" t="s">
        <v>520</v>
      </c>
      <c r="F522" s="188" t="n">
        <v>2038</v>
      </c>
      <c r="G522" s="189" t="n">
        <v>30</v>
      </c>
      <c r="H522" s="190" t="n">
        <v>735.04610986846</v>
      </c>
      <c r="I522" s="191" t="n">
        <v>4653553.17224986</v>
      </c>
      <c r="J522" s="192" t="str">
        <f>IF(I522&gt;0,H522/I522,0)</f>
      </c>
      <c r="K522" s="193" t="str">
        <f>1-EXP(-J522)</f>
      </c>
      <c r="L522" s="194" t="str">
        <f>IF(G522=30,1,M521)</f>
      </c>
      <c r="M522" s="195" t="str">
        <f>L522*(1-K522)</f>
      </c>
    </row>
    <row r="523">
      <c r="A523" t="s">
        <v>167</v>
      </c>
      <c r="B523" t="s">
        <v>254</v>
      </c>
      <c r="C523" s="35" t="s">
        <v>418</v>
      </c>
      <c r="D523" t="s">
        <v>502</v>
      </c>
      <c r="E523" t="s">
        <v>520</v>
      </c>
      <c r="F523" s="188" t="n">
        <v>2038</v>
      </c>
      <c r="G523" s="189" t="n">
        <v>31</v>
      </c>
      <c r="H523" s="190" t="n">
        <v>997.673535362302</v>
      </c>
      <c r="I523" s="191" t="n">
        <v>4679953.54613521</v>
      </c>
      <c r="J523" s="192" t="str">
        <f>IF(I523&gt;0,H523/I523,0)</f>
      </c>
      <c r="K523" s="193" t="str">
        <f>1-EXP(-J523)</f>
      </c>
      <c r="L523" s="194" t="str">
        <f>IF(G523=30,1,M522)</f>
      </c>
      <c r="M523" s="195" t="str">
        <f>L523*(1-K523)</f>
      </c>
    </row>
    <row r="524">
      <c r="A524" t="s">
        <v>167</v>
      </c>
      <c r="B524" t="s">
        <v>254</v>
      </c>
      <c r="C524" s="35" t="s">
        <v>418</v>
      </c>
      <c r="D524" t="s">
        <v>502</v>
      </c>
      <c r="E524" t="s">
        <v>520</v>
      </c>
      <c r="F524" s="188" t="n">
        <v>2038</v>
      </c>
      <c r="G524" s="189" t="n">
        <v>32</v>
      </c>
      <c r="H524" s="190" t="n">
        <v>1032.34954636713</v>
      </c>
      <c r="I524" s="191" t="n">
        <v>4597136.47560017</v>
      </c>
      <c r="J524" s="192" t="str">
        <f>IF(I524&gt;0,H524/I524,0)</f>
      </c>
      <c r="K524" s="193" t="str">
        <f>1-EXP(-J524)</f>
      </c>
      <c r="L524" s="194" t="str">
        <f>IF(G524=30,1,M523)</f>
      </c>
      <c r="M524" s="195" t="str">
        <f>L524*(1-K524)</f>
      </c>
    </row>
    <row r="525">
      <c r="A525" t="s">
        <v>167</v>
      </c>
      <c r="B525" t="s">
        <v>254</v>
      </c>
      <c r="C525" s="35" t="s">
        <v>418</v>
      </c>
      <c r="D525" t="s">
        <v>502</v>
      </c>
      <c r="E525" t="s">
        <v>520</v>
      </c>
      <c r="F525" s="188" t="n">
        <v>2038</v>
      </c>
      <c r="G525" s="189" t="n">
        <v>33</v>
      </c>
      <c r="H525" s="190" t="n">
        <v>1079.68597603664</v>
      </c>
      <c r="I525" s="191" t="n">
        <v>4536209.87005619</v>
      </c>
      <c r="J525" s="192" t="str">
        <f>IF(I525&gt;0,H525/I525,0)</f>
      </c>
      <c r="K525" s="193" t="str">
        <f>1-EXP(-J525)</f>
      </c>
      <c r="L525" s="194" t="str">
        <f>IF(G525=30,1,M524)</f>
      </c>
      <c r="M525" s="195" t="str">
        <f>L525*(1-K525)</f>
      </c>
    </row>
    <row r="526">
      <c r="A526" t="s">
        <v>167</v>
      </c>
      <c r="B526" t="s">
        <v>254</v>
      </c>
      <c r="C526" s="35" t="s">
        <v>418</v>
      </c>
      <c r="D526" t="s">
        <v>502</v>
      </c>
      <c r="E526" t="s">
        <v>520</v>
      </c>
      <c r="F526" s="188" t="n">
        <v>2038</v>
      </c>
      <c r="G526" s="189" t="n">
        <v>34</v>
      </c>
      <c r="H526" s="190" t="n">
        <v>1120.16046472342</v>
      </c>
      <c r="I526" s="191" t="n">
        <v>4407568.88353958</v>
      </c>
      <c r="J526" s="192" t="str">
        <f>IF(I526&gt;0,H526/I526,0)</f>
      </c>
      <c r="K526" s="193" t="str">
        <f>1-EXP(-J526)</f>
      </c>
      <c r="L526" s="194" t="str">
        <f>IF(G526=30,1,M525)</f>
      </c>
      <c r="M526" s="195" t="str">
        <f>L526*(1-K526)</f>
      </c>
    </row>
    <row r="527">
      <c r="A527" t="s">
        <v>167</v>
      </c>
      <c r="B527" t="s">
        <v>254</v>
      </c>
      <c r="C527" s="35" t="s">
        <v>418</v>
      </c>
      <c r="D527" t="s">
        <v>502</v>
      </c>
      <c r="E527" t="s">
        <v>520</v>
      </c>
      <c r="F527" s="188" t="n">
        <v>2038</v>
      </c>
      <c r="G527" s="189" t="n">
        <v>35</v>
      </c>
      <c r="H527" s="190" t="n">
        <v>1482.98233807021</v>
      </c>
      <c r="I527" s="191" t="n">
        <v>4341825.38721625</v>
      </c>
      <c r="J527" s="192" t="str">
        <f>IF(I527&gt;0,H527/I527,0)</f>
      </c>
      <c r="K527" s="193" t="str">
        <f>1-EXP(-J527)</f>
      </c>
      <c r="L527" s="194" t="str">
        <f>IF(G527=30,1,M526)</f>
      </c>
      <c r="M527" s="195" t="str">
        <f>L527*(1-K527)</f>
      </c>
    </row>
    <row r="528">
      <c r="A528" t="s">
        <v>167</v>
      </c>
      <c r="B528" t="s">
        <v>254</v>
      </c>
      <c r="C528" s="35" t="s">
        <v>418</v>
      </c>
      <c r="D528" t="s">
        <v>502</v>
      </c>
      <c r="E528" t="s">
        <v>520</v>
      </c>
      <c r="F528" s="188" t="n">
        <v>2038</v>
      </c>
      <c r="G528" s="189" t="n">
        <v>36</v>
      </c>
      <c r="H528" s="190" t="n">
        <v>1846.28720752156</v>
      </c>
      <c r="I528" s="191" t="n">
        <v>4319016.27026272</v>
      </c>
      <c r="J528" s="192" t="str">
        <f>IF(I528&gt;0,H528/I528,0)</f>
      </c>
      <c r="K528" s="193" t="str">
        <f>1-EXP(-J528)</f>
      </c>
      <c r="L528" s="194" t="str">
        <f>IF(G528=30,1,M527)</f>
      </c>
      <c r="M528" s="195" t="str">
        <f>L528*(1-K528)</f>
      </c>
    </row>
    <row r="529">
      <c r="A529" t="s">
        <v>167</v>
      </c>
      <c r="B529" t="s">
        <v>254</v>
      </c>
      <c r="C529" s="35" t="s">
        <v>418</v>
      </c>
      <c r="D529" t="s">
        <v>502</v>
      </c>
      <c r="E529" t="s">
        <v>520</v>
      </c>
      <c r="F529" s="188" t="n">
        <v>2038</v>
      </c>
      <c r="G529" s="189" t="n">
        <v>37</v>
      </c>
      <c r="H529" s="190" t="n">
        <v>1976.12339614554</v>
      </c>
      <c r="I529" s="191" t="n">
        <v>4297983.33523494</v>
      </c>
      <c r="J529" s="192" t="str">
        <f>IF(I529&gt;0,H529/I529,0)</f>
      </c>
      <c r="K529" s="193" t="str">
        <f>1-EXP(-J529)</f>
      </c>
      <c r="L529" s="194" t="str">
        <f>IF(G529=30,1,M528)</f>
      </c>
      <c r="M529" s="195" t="str">
        <f>L529*(1-K529)</f>
      </c>
    </row>
    <row r="530">
      <c r="A530" t="s">
        <v>167</v>
      </c>
      <c r="B530" t="s">
        <v>254</v>
      </c>
      <c r="C530" s="35" t="s">
        <v>418</v>
      </c>
      <c r="D530" t="s">
        <v>502</v>
      </c>
      <c r="E530" t="s">
        <v>520</v>
      </c>
      <c r="F530" s="188" t="n">
        <v>2038</v>
      </c>
      <c r="G530" s="189" t="n">
        <v>38</v>
      </c>
      <c r="H530" s="190" t="n">
        <v>2121.50971164392</v>
      </c>
      <c r="I530" s="191" t="n">
        <v>4276461.46168199</v>
      </c>
      <c r="J530" s="192" t="str">
        <f>IF(I530&gt;0,H530/I530,0)</f>
      </c>
      <c r="K530" s="193" t="str">
        <f>1-EXP(-J530)</f>
      </c>
      <c r="L530" s="194" t="str">
        <f>IF(G530=30,1,M529)</f>
      </c>
      <c r="M530" s="195" t="str">
        <f>L530*(1-K530)</f>
      </c>
    </row>
    <row r="531">
      <c r="A531" t="s">
        <v>167</v>
      </c>
      <c r="B531" t="s">
        <v>254</v>
      </c>
      <c r="C531" s="35" t="s">
        <v>418</v>
      </c>
      <c r="D531" t="s">
        <v>502</v>
      </c>
      <c r="E531" t="s">
        <v>520</v>
      </c>
      <c r="F531" s="188" t="n">
        <v>2038</v>
      </c>
      <c r="G531" s="189" t="n">
        <v>39</v>
      </c>
      <c r="H531" s="190" t="n">
        <v>2303.40351772379</v>
      </c>
      <c r="I531" s="191" t="n">
        <v>4294087.14551872</v>
      </c>
      <c r="J531" s="192" t="str">
        <f>IF(I531&gt;0,H531/I531,0)</f>
      </c>
      <c r="K531" s="193" t="str">
        <f>1-EXP(-J531)</f>
      </c>
      <c r="L531" s="194" t="str">
        <f>IF(G531=30,1,M530)</f>
      </c>
      <c r="M531" s="195" t="str">
        <f>L531*(1-K531)</f>
      </c>
    </row>
    <row r="532">
      <c r="A532" t="s">
        <v>167</v>
      </c>
      <c r="B532" t="s">
        <v>254</v>
      </c>
      <c r="C532" s="35" t="s">
        <v>418</v>
      </c>
      <c r="D532" t="s">
        <v>502</v>
      </c>
      <c r="E532" t="s">
        <v>520</v>
      </c>
      <c r="F532" s="188" t="n">
        <v>2038</v>
      </c>
      <c r="G532" s="189" t="n">
        <v>40</v>
      </c>
      <c r="H532" s="190" t="n">
        <v>3141.98978045162</v>
      </c>
      <c r="I532" s="191" t="n">
        <v>4350215.67036025</v>
      </c>
      <c r="J532" s="192" t="str">
        <f>IF(I532&gt;0,H532/I532,0)</f>
      </c>
      <c r="K532" s="193" t="str">
        <f>1-EXP(-J532)</f>
      </c>
      <c r="L532" s="194" t="str">
        <f>IF(G532=30,1,M531)</f>
      </c>
      <c r="M532" s="195" t="str">
        <f>L532*(1-K532)</f>
      </c>
    </row>
    <row r="533">
      <c r="A533" t="s">
        <v>167</v>
      </c>
      <c r="B533" t="s">
        <v>254</v>
      </c>
      <c r="C533" s="35" t="s">
        <v>418</v>
      </c>
      <c r="D533" t="s">
        <v>502</v>
      </c>
      <c r="E533" t="s">
        <v>520</v>
      </c>
      <c r="F533" s="188" t="n">
        <v>2038</v>
      </c>
      <c r="G533" s="189" t="n">
        <v>41</v>
      </c>
      <c r="H533" s="190" t="n">
        <v>3748.50102314301</v>
      </c>
      <c r="I533" s="191" t="n">
        <v>4482728.07457213</v>
      </c>
      <c r="J533" s="192" t="str">
        <f>IF(I533&gt;0,H533/I533,0)</f>
      </c>
      <c r="K533" s="193" t="str">
        <f>1-EXP(-J533)</f>
      </c>
      <c r="L533" s="194" t="str">
        <f>IF(G533=30,1,M532)</f>
      </c>
      <c r="M533" s="195" t="str">
        <f>L533*(1-K533)</f>
      </c>
    </row>
    <row r="534">
      <c r="A534" t="s">
        <v>167</v>
      </c>
      <c r="B534" t="s">
        <v>254</v>
      </c>
      <c r="C534" s="35" t="s">
        <v>418</v>
      </c>
      <c r="D534" t="s">
        <v>502</v>
      </c>
      <c r="E534" t="s">
        <v>520</v>
      </c>
      <c r="F534" s="188" t="n">
        <v>2038</v>
      </c>
      <c r="G534" s="189" t="n">
        <v>42</v>
      </c>
      <c r="H534" s="190" t="n">
        <v>4023.51214066623</v>
      </c>
      <c r="I534" s="191" t="n">
        <v>4436027.22032847</v>
      </c>
      <c r="J534" s="192" t="str">
        <f>IF(I534&gt;0,H534/I534,0)</f>
      </c>
      <c r="K534" s="193" t="str">
        <f>1-EXP(-J534)</f>
      </c>
      <c r="L534" s="194" t="str">
        <f>IF(G534=30,1,M533)</f>
      </c>
      <c r="M534" s="195" t="str">
        <f>L534*(1-K534)</f>
      </c>
    </row>
    <row r="535">
      <c r="A535" t="s">
        <v>167</v>
      </c>
      <c r="B535" t="s">
        <v>254</v>
      </c>
      <c r="C535" s="35" t="s">
        <v>418</v>
      </c>
      <c r="D535" t="s">
        <v>502</v>
      </c>
      <c r="E535" t="s">
        <v>520</v>
      </c>
      <c r="F535" s="188" t="n">
        <v>2038</v>
      </c>
      <c r="G535" s="189" t="n">
        <v>43</v>
      </c>
      <c r="H535" s="190" t="n">
        <v>4300.33983493309</v>
      </c>
      <c r="I535" s="191" t="n">
        <v>4359162.38759658</v>
      </c>
      <c r="J535" s="192" t="str">
        <f>IF(I535&gt;0,H535/I535,0)</f>
      </c>
      <c r="K535" s="193" t="str">
        <f>1-EXP(-J535)</f>
      </c>
      <c r="L535" s="194" t="str">
        <f>IF(G535=30,1,M534)</f>
      </c>
      <c r="M535" s="195" t="str">
        <f>L535*(1-K535)</f>
      </c>
    </row>
    <row r="536">
      <c r="A536" t="s">
        <v>167</v>
      </c>
      <c r="B536" t="s">
        <v>254</v>
      </c>
      <c r="C536" s="35" t="s">
        <v>418</v>
      </c>
      <c r="D536" t="s">
        <v>502</v>
      </c>
      <c r="E536" t="s">
        <v>520</v>
      </c>
      <c r="F536" s="188" t="n">
        <v>2038</v>
      </c>
      <c r="G536" s="189" t="n">
        <v>44</v>
      </c>
      <c r="H536" s="190" t="n">
        <v>4624.15696574313</v>
      </c>
      <c r="I536" s="191" t="n">
        <v>4297360.22651954</v>
      </c>
      <c r="J536" s="192" t="str">
        <f>IF(I536&gt;0,H536/I536,0)</f>
      </c>
      <c r="K536" s="193" t="str">
        <f>1-EXP(-J536)</f>
      </c>
      <c r="L536" s="194" t="str">
        <f>IF(G536=30,1,M535)</f>
      </c>
      <c r="M536" s="195" t="str">
        <f>L536*(1-K536)</f>
      </c>
    </row>
    <row r="537">
      <c r="A537" t="s">
        <v>167</v>
      </c>
      <c r="B537" t="s">
        <v>254</v>
      </c>
      <c r="C537" s="35" t="s">
        <v>418</v>
      </c>
      <c r="D537" t="s">
        <v>502</v>
      </c>
      <c r="E537" t="s">
        <v>520</v>
      </c>
      <c r="F537" s="188" t="n">
        <v>2038</v>
      </c>
      <c r="G537" s="189" t="n">
        <v>45</v>
      </c>
      <c r="H537" s="190" t="n">
        <v>5872.25532344459</v>
      </c>
      <c r="I537" s="191" t="n">
        <v>4238593.80208654</v>
      </c>
      <c r="J537" s="192" t="str">
        <f>IF(I537&gt;0,H537/I537,0)</f>
      </c>
      <c r="K537" s="193" t="str">
        <f>1-EXP(-J537)</f>
      </c>
      <c r="L537" s="194" t="str">
        <f>IF(G537=30,1,M536)</f>
      </c>
      <c r="M537" s="195" t="str">
        <f>L537*(1-K537)</f>
      </c>
    </row>
    <row r="538">
      <c r="A538" t="s">
        <v>167</v>
      </c>
      <c r="B538" t="s">
        <v>254</v>
      </c>
      <c r="C538" s="35" t="s">
        <v>418</v>
      </c>
      <c r="D538" t="s">
        <v>502</v>
      </c>
      <c r="E538" t="s">
        <v>520</v>
      </c>
      <c r="F538" s="188" t="n">
        <v>2038</v>
      </c>
      <c r="G538" s="189" t="n">
        <v>46</v>
      </c>
      <c r="H538" s="190" t="n">
        <v>6432.92664330965</v>
      </c>
      <c r="I538" s="191" t="n">
        <v>4267876.34955392</v>
      </c>
      <c r="J538" s="192" t="str">
        <f>IF(I538&gt;0,H538/I538,0)</f>
      </c>
      <c r="K538" s="193" t="str">
        <f>1-EXP(-J538)</f>
      </c>
      <c r="L538" s="194" t="str">
        <f>IF(G538=30,1,M537)</f>
      </c>
      <c r="M538" s="195" t="str">
        <f>L538*(1-K538)</f>
      </c>
    </row>
    <row r="539">
      <c r="A539" t="s">
        <v>167</v>
      </c>
      <c r="B539" t="s">
        <v>254</v>
      </c>
      <c r="C539" s="35" t="s">
        <v>418</v>
      </c>
      <c r="D539" t="s">
        <v>502</v>
      </c>
      <c r="E539" t="s">
        <v>520</v>
      </c>
      <c r="F539" s="188" t="n">
        <v>2038</v>
      </c>
      <c r="G539" s="189" t="n">
        <v>47</v>
      </c>
      <c r="H539" s="190" t="n">
        <v>7072.31750041236</v>
      </c>
      <c r="I539" s="191" t="n">
        <v>4277823.37539161</v>
      </c>
      <c r="J539" s="192" t="str">
        <f>IF(I539&gt;0,H539/I539,0)</f>
      </c>
      <c r="K539" s="193" t="str">
        <f>1-EXP(-J539)</f>
      </c>
      <c r="L539" s="194" t="str">
        <f>IF(G539=30,1,M538)</f>
      </c>
      <c r="M539" s="195" t="str">
        <f>L539*(1-K539)</f>
      </c>
    </row>
    <row r="540">
      <c r="A540" t="s">
        <v>167</v>
      </c>
      <c r="B540" t="s">
        <v>254</v>
      </c>
      <c r="C540" s="35" t="s">
        <v>418</v>
      </c>
      <c r="D540" t="s">
        <v>502</v>
      </c>
      <c r="E540" t="s">
        <v>520</v>
      </c>
      <c r="F540" s="188" t="n">
        <v>2038</v>
      </c>
      <c r="G540" s="189" t="n">
        <v>48</v>
      </c>
      <c r="H540" s="190" t="n">
        <v>10502.5595297391</v>
      </c>
      <c r="I540" s="191" t="n">
        <v>6294085.538467</v>
      </c>
      <c r="J540" s="192" t="str">
        <f>IF(I540&gt;0,H540/I540,0)</f>
      </c>
      <c r="K540" s="193" t="str">
        <f>1-EXP(-J540)</f>
      </c>
      <c r="L540" s="194" t="str">
        <f>IF(G540=30,1,M539)</f>
      </c>
      <c r="M540" s="195" t="str">
        <f>L540*(1-K540)</f>
      </c>
    </row>
    <row r="541">
      <c r="A541" t="s">
        <v>167</v>
      </c>
      <c r="B541" t="s">
        <v>254</v>
      </c>
      <c r="C541" s="35" t="s">
        <v>418</v>
      </c>
      <c r="D541" t="s">
        <v>502</v>
      </c>
      <c r="E541" t="s">
        <v>520</v>
      </c>
      <c r="F541" s="188" t="n">
        <v>2038</v>
      </c>
      <c r="G541" s="189" t="n">
        <v>49</v>
      </c>
      <c r="H541" s="190" t="n">
        <v>8403.04194051748</v>
      </c>
      <c r="I541" s="191" t="n">
        <v>4219315.67569208</v>
      </c>
      <c r="J541" s="192" t="str">
        <f>IF(I541&gt;0,H541/I541,0)</f>
      </c>
      <c r="K541" s="193" t="str">
        <f>1-EXP(-J541)</f>
      </c>
      <c r="L541" s="194" t="str">
        <f>IF(G541=30,1,M540)</f>
      </c>
      <c r="M541" s="195" t="str">
        <f>L541*(1-K541)</f>
      </c>
    </row>
    <row r="542">
      <c r="A542" t="s">
        <v>167</v>
      </c>
      <c r="B542" t="s">
        <v>254</v>
      </c>
      <c r="C542" s="35" t="s">
        <v>418</v>
      </c>
      <c r="D542" t="s">
        <v>502</v>
      </c>
      <c r="E542" t="s">
        <v>520</v>
      </c>
      <c r="F542" s="188" t="n">
        <v>2038</v>
      </c>
      <c r="G542" s="189" t="n">
        <v>50</v>
      </c>
      <c r="H542" s="190" t="n">
        <v>9636.7528452514</v>
      </c>
      <c r="I542" s="191" t="n">
        <v>4192498.55816443</v>
      </c>
      <c r="J542" s="192" t="str">
        <f>IF(I542&gt;0,H542/I542,0)</f>
      </c>
      <c r="K542" s="193" t="str">
        <f>1-EXP(-J542)</f>
      </c>
      <c r="L542" s="194" t="str">
        <f>IF(G542=30,1,M541)</f>
      </c>
      <c r="M542" s="195" t="str">
        <f>L542*(1-K542)</f>
      </c>
    </row>
    <row r="543">
      <c r="A543" t="s">
        <v>167</v>
      </c>
      <c r="B543" t="s">
        <v>254</v>
      </c>
      <c r="C543" s="35" t="s">
        <v>418</v>
      </c>
      <c r="D543" t="s">
        <v>502</v>
      </c>
      <c r="E543" t="s">
        <v>520</v>
      </c>
      <c r="F543" s="188" t="n">
        <v>2038</v>
      </c>
      <c r="G543" s="189" t="n">
        <v>51</v>
      </c>
      <c r="H543" s="190" t="n">
        <v>10196.8189661856</v>
      </c>
      <c r="I543" s="191" t="n">
        <v>4051976.24648501</v>
      </c>
      <c r="J543" s="192" t="str">
        <f>IF(I543&gt;0,H543/I543,0)</f>
      </c>
      <c r="K543" s="193" t="str">
        <f>1-EXP(-J543)</f>
      </c>
      <c r="L543" s="194" t="str">
        <f>IF(G543=30,1,M542)</f>
      </c>
      <c r="M543" s="195" t="str">
        <f>L543*(1-K543)</f>
      </c>
    </row>
    <row r="544">
      <c r="A544" t="s">
        <v>167</v>
      </c>
      <c r="B544" t="s">
        <v>254</v>
      </c>
      <c r="C544" s="35" t="s">
        <v>418</v>
      </c>
      <c r="D544" t="s">
        <v>502</v>
      </c>
      <c r="E544" t="s">
        <v>520</v>
      </c>
      <c r="F544" s="188" t="n">
        <v>2038</v>
      </c>
      <c r="G544" s="189" t="n">
        <v>52</v>
      </c>
      <c r="H544" s="190" t="n">
        <v>11031.4480426367</v>
      </c>
      <c r="I544" s="191" t="n">
        <v>4006003.44451441</v>
      </c>
      <c r="J544" s="192" t="str">
        <f>IF(I544&gt;0,H544/I544,0)</f>
      </c>
      <c r="K544" s="193" t="str">
        <f>1-EXP(-J544)</f>
      </c>
      <c r="L544" s="194" t="str">
        <f>IF(G544=30,1,M543)</f>
      </c>
      <c r="M544" s="195" t="str">
        <f>L544*(1-K544)</f>
      </c>
    </row>
    <row r="545">
      <c r="A545" t="s">
        <v>167</v>
      </c>
      <c r="B545" t="s">
        <v>254</v>
      </c>
      <c r="C545" s="35" t="s">
        <v>418</v>
      </c>
      <c r="D545" t="s">
        <v>502</v>
      </c>
      <c r="E545" t="s">
        <v>520</v>
      </c>
      <c r="F545" s="188" t="n">
        <v>2038</v>
      </c>
      <c r="G545" s="189" t="n">
        <v>53</v>
      </c>
      <c r="H545" s="190" t="n">
        <v>12189.5193527549</v>
      </c>
      <c r="I545" s="191" t="n">
        <v>4048978.62626222</v>
      </c>
      <c r="J545" s="192" t="str">
        <f>IF(I545&gt;0,H545/I545,0)</f>
      </c>
      <c r="K545" s="193" t="str">
        <f>1-EXP(-J545)</f>
      </c>
      <c r="L545" s="194" t="str">
        <f>IF(G545=30,1,M544)</f>
      </c>
      <c r="M545" s="195" t="str">
        <f>L545*(1-K545)</f>
      </c>
    </row>
    <row r="546">
      <c r="A546" t="s">
        <v>167</v>
      </c>
      <c r="B546" t="s">
        <v>254</v>
      </c>
      <c r="C546" s="35" t="s">
        <v>418</v>
      </c>
      <c r="D546" t="s">
        <v>502</v>
      </c>
      <c r="E546" t="s">
        <v>520</v>
      </c>
      <c r="F546" s="188" t="n">
        <v>2038</v>
      </c>
      <c r="G546" s="189" t="n">
        <v>54</v>
      </c>
      <c r="H546" s="190" t="n">
        <v>13527.6929451569</v>
      </c>
      <c r="I546" s="191" t="n">
        <v>4114296.3550555</v>
      </c>
      <c r="J546" s="192" t="str">
        <f>IF(I546&gt;0,H546/I546,0)</f>
      </c>
      <c r="K546" s="193" t="str">
        <f>1-EXP(-J546)</f>
      </c>
      <c r="L546" s="194" t="str">
        <f>IF(G546=30,1,M545)</f>
      </c>
      <c r="M546" s="195" t="str">
        <f>L546*(1-K546)</f>
      </c>
    </row>
    <row r="547">
      <c r="A547" t="s">
        <v>167</v>
      </c>
      <c r="B547" t="s">
        <v>254</v>
      </c>
      <c r="C547" s="35" t="s">
        <v>418</v>
      </c>
      <c r="D547" t="s">
        <v>502</v>
      </c>
      <c r="E547" t="s">
        <v>520</v>
      </c>
      <c r="F547" s="188" t="n">
        <v>2038</v>
      </c>
      <c r="G547" s="189" t="n">
        <v>55</v>
      </c>
      <c r="H547" s="190" t="n">
        <v>14558.2832036516</v>
      </c>
      <c r="I547" s="191" t="n">
        <v>4073756.32742121</v>
      </c>
      <c r="J547" s="192" t="str">
        <f>IF(I547&gt;0,H547/I547,0)</f>
      </c>
      <c r="K547" s="193" t="str">
        <f>1-EXP(-J547)</f>
      </c>
      <c r="L547" s="194" t="str">
        <f>IF(G547=30,1,M546)</f>
      </c>
      <c r="M547" s="195" t="str">
        <f>L547*(1-K547)</f>
      </c>
    </row>
    <row r="548">
      <c r="A548" t="s">
        <v>167</v>
      </c>
      <c r="B548" t="s">
        <v>254</v>
      </c>
      <c r="C548" s="35" t="s">
        <v>418</v>
      </c>
      <c r="D548" t="s">
        <v>502</v>
      </c>
      <c r="E548" t="s">
        <v>520</v>
      </c>
      <c r="F548" s="188" t="n">
        <v>2038</v>
      </c>
      <c r="G548" s="189" t="n">
        <v>56</v>
      </c>
      <c r="H548" s="190" t="n">
        <v>15259.4379999926</v>
      </c>
      <c r="I548" s="191" t="n">
        <v>3924901.53128566</v>
      </c>
      <c r="J548" s="192" t="str">
        <f>IF(I548&gt;0,H548/I548,0)</f>
      </c>
      <c r="K548" s="193" t="str">
        <f>1-EXP(-J548)</f>
      </c>
      <c r="L548" s="194" t="str">
        <f>IF(G548=30,1,M547)</f>
      </c>
      <c r="M548" s="195" t="str">
        <f>L548*(1-K548)</f>
      </c>
    </row>
    <row r="549">
      <c r="A549" t="s">
        <v>167</v>
      </c>
      <c r="B549" t="s">
        <v>254</v>
      </c>
      <c r="C549" s="35" t="s">
        <v>418</v>
      </c>
      <c r="D549" t="s">
        <v>502</v>
      </c>
      <c r="E549" t="s">
        <v>520</v>
      </c>
      <c r="F549" s="188" t="n">
        <v>2038</v>
      </c>
      <c r="G549" s="189" t="n">
        <v>57</v>
      </c>
      <c r="H549" s="190" t="n">
        <v>16296.5918338693</v>
      </c>
      <c r="I549" s="191" t="n">
        <v>3835011.89597134</v>
      </c>
      <c r="J549" s="192" t="str">
        <f>IF(I549&gt;0,H549/I549,0)</f>
      </c>
      <c r="K549" s="193" t="str">
        <f>1-EXP(-J549)</f>
      </c>
      <c r="L549" s="194" t="str">
        <f>IF(G549=30,1,M548)</f>
      </c>
      <c r="M549" s="195" t="str">
        <f>L549*(1-K549)</f>
      </c>
    </row>
    <row r="550">
      <c r="A550" t="s">
        <v>167</v>
      </c>
      <c r="B550" t="s">
        <v>254</v>
      </c>
      <c r="C550" s="35" t="s">
        <v>418</v>
      </c>
      <c r="D550" t="s">
        <v>502</v>
      </c>
      <c r="E550" t="s">
        <v>520</v>
      </c>
      <c r="F550" s="188" t="n">
        <v>2038</v>
      </c>
      <c r="G550" s="189" t="n">
        <v>58</v>
      </c>
      <c r="H550" s="190" t="n">
        <v>17477.6064866556</v>
      </c>
      <c r="I550" s="191" t="n">
        <v>3759037.31624203</v>
      </c>
      <c r="J550" s="192" t="str">
        <f>IF(I550&gt;0,H550/I550,0)</f>
      </c>
      <c r="K550" s="193" t="str">
        <f>1-EXP(-J550)</f>
      </c>
      <c r="L550" s="194" t="str">
        <f>IF(G550=30,1,M549)</f>
      </c>
      <c r="M550" s="195" t="str">
        <f>L550*(1-K550)</f>
      </c>
    </row>
    <row r="551">
      <c r="A551" t="s">
        <v>167</v>
      </c>
      <c r="B551" t="s">
        <v>254</v>
      </c>
      <c r="C551" s="35" t="s">
        <v>418</v>
      </c>
      <c r="D551" t="s">
        <v>502</v>
      </c>
      <c r="E551" t="s">
        <v>520</v>
      </c>
      <c r="F551" s="188" t="n">
        <v>2038</v>
      </c>
      <c r="G551" s="189" t="n">
        <v>59</v>
      </c>
      <c r="H551" s="190" t="n">
        <v>18722.0866974326</v>
      </c>
      <c r="I551" s="191" t="n">
        <v>3676778.97836312</v>
      </c>
      <c r="J551" s="192" t="str">
        <f>IF(I551&gt;0,H551/I551,0)</f>
      </c>
      <c r="K551" s="193" t="str">
        <f>1-EXP(-J551)</f>
      </c>
      <c r="L551" s="194" t="str">
        <f>IF(G551=30,1,M550)</f>
      </c>
      <c r="M551" s="195" t="str">
        <f>L551*(1-K551)</f>
      </c>
    </row>
    <row r="552">
      <c r="A552" t="s">
        <v>167</v>
      </c>
      <c r="B552" t="s">
        <v>254</v>
      </c>
      <c r="C552" s="35" t="s">
        <v>418</v>
      </c>
      <c r="D552" t="s">
        <v>502</v>
      </c>
      <c r="E552" t="s">
        <v>520</v>
      </c>
      <c r="F552" s="188" t="n">
        <v>2038</v>
      </c>
      <c r="G552" s="189" t="n">
        <v>60</v>
      </c>
      <c r="H552" s="190" t="n">
        <v>19960.3528904264</v>
      </c>
      <c r="I552" s="191" t="n">
        <v>3575266.48604477</v>
      </c>
      <c r="J552" s="192" t="str">
        <f>IF(I552&gt;0,H552/I552,0)</f>
      </c>
      <c r="K552" s="193" t="str">
        <f>1-EXP(-J552)</f>
      </c>
      <c r="L552" s="194" t="str">
        <f>IF(G552=30,1,M551)</f>
      </c>
      <c r="M552" s="195" t="str">
        <f>L552*(1-K552)</f>
      </c>
    </row>
    <row r="553">
      <c r="A553" t="s">
        <v>167</v>
      </c>
      <c r="B553" t="s">
        <v>254</v>
      </c>
      <c r="C553" s="35" t="s">
        <v>418</v>
      </c>
      <c r="D553" t="s">
        <v>502</v>
      </c>
      <c r="E553" t="s">
        <v>520</v>
      </c>
      <c r="F553" s="188" t="n">
        <v>2038</v>
      </c>
      <c r="G553" s="189" t="n">
        <v>61</v>
      </c>
      <c r="H553" s="190" t="n">
        <v>21448.4976934687</v>
      </c>
      <c r="I553" s="191" t="n">
        <v>3487729.397229</v>
      </c>
      <c r="J553" s="192" t="str">
        <f>IF(I553&gt;0,H553/I553,0)</f>
      </c>
      <c r="K553" s="193" t="str">
        <f>1-EXP(-J553)</f>
      </c>
      <c r="L553" s="194" t="str">
        <f>IF(G553=30,1,M552)</f>
      </c>
      <c r="M553" s="195" t="str">
        <f>L553*(1-K553)</f>
      </c>
    </row>
    <row r="554">
      <c r="A554" t="s">
        <v>167</v>
      </c>
      <c r="B554" t="s">
        <v>254</v>
      </c>
      <c r="C554" s="35" t="s">
        <v>418</v>
      </c>
      <c r="D554" t="s">
        <v>502</v>
      </c>
      <c r="E554" t="s">
        <v>520</v>
      </c>
      <c r="F554" s="188" t="n">
        <v>2038</v>
      </c>
      <c r="G554" s="189" t="n">
        <v>62</v>
      </c>
      <c r="H554" s="190" t="n">
        <v>22843.3759672839</v>
      </c>
      <c r="I554" s="191" t="n">
        <v>3388470.01174648</v>
      </c>
      <c r="J554" s="192" t="str">
        <f>IF(I554&gt;0,H554/I554,0)</f>
      </c>
      <c r="K554" s="193" t="str">
        <f>1-EXP(-J554)</f>
      </c>
      <c r="L554" s="194" t="str">
        <f>IF(G554=30,1,M553)</f>
      </c>
      <c r="M554" s="195" t="str">
        <f>L554*(1-K554)</f>
      </c>
    </row>
    <row r="555">
      <c r="A555" t="s">
        <v>167</v>
      </c>
      <c r="B555" t="s">
        <v>254</v>
      </c>
      <c r="C555" s="35" t="s">
        <v>418</v>
      </c>
      <c r="D555" t="s">
        <v>502</v>
      </c>
      <c r="E555" t="s">
        <v>520</v>
      </c>
      <c r="F555" s="188" t="n">
        <v>2038</v>
      </c>
      <c r="G555" s="189" t="n">
        <v>63</v>
      </c>
      <c r="H555" s="190" t="n">
        <v>24297.1785713289</v>
      </c>
      <c r="I555" s="191" t="n">
        <v>3287230.01603347</v>
      </c>
      <c r="J555" s="192" t="str">
        <f>IF(I555&gt;0,H555/I555,0)</f>
      </c>
      <c r="K555" s="193" t="str">
        <f>1-EXP(-J555)</f>
      </c>
      <c r="L555" s="194" t="str">
        <f>IF(G555=30,1,M554)</f>
      </c>
      <c r="M555" s="195" t="str">
        <f>L555*(1-K555)</f>
      </c>
    </row>
    <row r="556">
      <c r="A556" t="s">
        <v>167</v>
      </c>
      <c r="B556" t="s">
        <v>254</v>
      </c>
      <c r="C556" s="35" t="s">
        <v>418</v>
      </c>
      <c r="D556" t="s">
        <v>502</v>
      </c>
      <c r="E556" t="s">
        <v>520</v>
      </c>
      <c r="F556" s="188" t="n">
        <v>2038</v>
      </c>
      <c r="G556" s="189" t="n">
        <v>64</v>
      </c>
      <c r="H556" s="190" t="n">
        <v>25609.4412585412</v>
      </c>
      <c r="I556" s="191" t="n">
        <v>3160090.13086534</v>
      </c>
      <c r="J556" s="192" t="str">
        <f>IF(I556&gt;0,H556/I556,0)</f>
      </c>
      <c r="K556" s="193" t="str">
        <f>1-EXP(-J556)</f>
      </c>
      <c r="L556" s="194" t="str">
        <f>IF(G556=30,1,M555)</f>
      </c>
      <c r="M556" s="195" t="str">
        <f>L556*(1-K556)</f>
      </c>
    </row>
    <row r="557">
      <c r="A557" t="s">
        <v>167</v>
      </c>
      <c r="B557" t="s">
        <v>254</v>
      </c>
      <c r="C557" s="35" t="s">
        <v>418</v>
      </c>
      <c r="D557" t="s">
        <v>502</v>
      </c>
      <c r="E557" t="s">
        <v>520</v>
      </c>
      <c r="F557" s="188" t="n">
        <v>2038</v>
      </c>
      <c r="G557" s="189" t="n">
        <v>65</v>
      </c>
      <c r="H557" s="190" t="n">
        <v>26348.625014472</v>
      </c>
      <c r="I557" s="191" t="n">
        <v>3085127.77230589</v>
      </c>
      <c r="J557" s="192" t="str">
        <f>IF(I557&gt;0,H557/I557,0)</f>
      </c>
      <c r="K557" s="193" t="str">
        <f>1-EXP(-J557)</f>
      </c>
      <c r="L557" s="194" t="str">
        <f>IF(G557=30,1,M556)</f>
      </c>
      <c r="M557" s="195" t="str">
        <f>L557*(1-K557)</f>
      </c>
    </row>
    <row r="558">
      <c r="A558" t="s">
        <v>167</v>
      </c>
      <c r="B558" t="s">
        <v>254</v>
      </c>
      <c r="C558" s="35" t="s">
        <v>418</v>
      </c>
      <c r="D558" t="s">
        <v>502</v>
      </c>
      <c r="E558" t="s">
        <v>520</v>
      </c>
      <c r="F558" s="188" t="n">
        <v>2038</v>
      </c>
      <c r="G558" s="189" t="n">
        <v>66</v>
      </c>
      <c r="H558" s="190" t="n">
        <v>26836.802683938</v>
      </c>
      <c r="I558" s="191" t="n">
        <v>2865535.79640039</v>
      </c>
      <c r="J558" s="192" t="str">
        <f>IF(I558&gt;0,H558/I558,0)</f>
      </c>
      <c r="K558" s="193" t="str">
        <f>1-EXP(-J558)</f>
      </c>
      <c r="L558" s="194" t="str">
        <f>IF(G558=30,1,M557)</f>
      </c>
      <c r="M558" s="195" t="str">
        <f>L558*(1-K558)</f>
      </c>
    </row>
    <row r="559">
      <c r="A559" t="s">
        <v>167</v>
      </c>
      <c r="B559" t="s">
        <v>254</v>
      </c>
      <c r="C559" s="35" t="s">
        <v>418</v>
      </c>
      <c r="D559" t="s">
        <v>502</v>
      </c>
      <c r="E559" t="s">
        <v>520</v>
      </c>
      <c r="F559" s="188" t="n">
        <v>2038</v>
      </c>
      <c r="G559" s="189" t="n">
        <v>67</v>
      </c>
      <c r="H559" s="190" t="n">
        <v>28302.2426354272</v>
      </c>
      <c r="I559" s="191" t="n">
        <v>2751874.21800826</v>
      </c>
      <c r="J559" s="192" t="str">
        <f>IF(I559&gt;0,H559/I559,0)</f>
      </c>
      <c r="K559" s="193" t="str">
        <f>1-EXP(-J559)</f>
      </c>
      <c r="L559" s="194" t="str">
        <f>IF(G559=30,1,M558)</f>
      </c>
      <c r="M559" s="195" t="str">
        <f>L559*(1-K559)</f>
      </c>
    </row>
    <row r="560">
      <c r="A560" t="s">
        <v>167</v>
      </c>
      <c r="B560" t="s">
        <v>254</v>
      </c>
      <c r="C560" s="35" t="s">
        <v>418</v>
      </c>
      <c r="D560" t="s">
        <v>502</v>
      </c>
      <c r="E560" t="s">
        <v>520</v>
      </c>
      <c r="F560" s="188" t="n">
        <v>2038</v>
      </c>
      <c r="G560" s="189" t="n">
        <v>68</v>
      </c>
      <c r="H560" s="190" t="n">
        <v>29850.5565801609</v>
      </c>
      <c r="I560" s="191" t="n">
        <v>2640842.11234379</v>
      </c>
      <c r="J560" s="192" t="str">
        <f>IF(I560&gt;0,H560/I560,0)</f>
      </c>
      <c r="K560" s="193" t="str">
        <f>1-EXP(-J560)</f>
      </c>
      <c r="L560" s="194" t="str">
        <f>IF(G560=30,1,M559)</f>
      </c>
      <c r="M560" s="195" t="str">
        <f>L560*(1-K560)</f>
      </c>
    </row>
    <row r="561">
      <c r="A561" t="s">
        <v>167</v>
      </c>
      <c r="B561" t="s">
        <v>254</v>
      </c>
      <c r="C561" s="35" t="s">
        <v>418</v>
      </c>
      <c r="D561" t="s">
        <v>502</v>
      </c>
      <c r="E561" t="s">
        <v>520</v>
      </c>
      <c r="F561" s="188" t="n">
        <v>2038</v>
      </c>
      <c r="G561" s="189" t="n">
        <v>69</v>
      </c>
      <c r="H561" s="190" t="n">
        <v>31341.207964456</v>
      </c>
      <c r="I561" s="191" t="n">
        <v>2521002.34104457</v>
      </c>
      <c r="J561" s="192" t="str">
        <f>IF(I561&gt;0,H561/I561,0)</f>
      </c>
      <c r="K561" s="193" t="str">
        <f>1-EXP(-J561)</f>
      </c>
      <c r="L561" s="194" t="str">
        <f>IF(G561=30,1,M560)</f>
      </c>
      <c r="M561" s="195" t="str">
        <f>L561*(1-K561)</f>
      </c>
    </row>
    <row r="562">
      <c r="A562" t="s">
        <v>167</v>
      </c>
      <c r="B562" t="s">
        <v>254</v>
      </c>
      <c r="C562" s="35" t="s">
        <v>418</v>
      </c>
      <c r="D562" t="s">
        <v>502</v>
      </c>
      <c r="E562" t="s">
        <v>520</v>
      </c>
      <c r="F562" s="188" t="n">
        <v>2039</v>
      </c>
      <c r="G562" s="189" t="n">
        <v>30</v>
      </c>
      <c r="H562" s="190" t="n">
        <v>744.233802089624</v>
      </c>
      <c r="I562" s="191" t="n">
        <v>4690612.19332714</v>
      </c>
      <c r="J562" s="192" t="str">
        <f>IF(I562&gt;0,H562/I562,0)</f>
      </c>
      <c r="K562" s="193" t="str">
        <f>1-EXP(-J562)</f>
      </c>
      <c r="L562" s="194" t="str">
        <f>IF(G562=30,1,M561)</f>
      </c>
      <c r="M562" s="195" t="str">
        <f>L562*(1-K562)</f>
      </c>
    </row>
    <row r="563">
      <c r="A563" t="s">
        <v>167</v>
      </c>
      <c r="B563" t="s">
        <v>254</v>
      </c>
      <c r="C563" s="35" t="s">
        <v>418</v>
      </c>
      <c r="D563" t="s">
        <v>502</v>
      </c>
      <c r="E563" t="s">
        <v>520</v>
      </c>
      <c r="F563" s="188" t="n">
        <v>2039</v>
      </c>
      <c r="G563" s="189" t="n">
        <v>31</v>
      </c>
      <c r="H563" s="190" t="n">
        <v>947.947523187947</v>
      </c>
      <c r="I563" s="191" t="n">
        <v>4647993.5536834</v>
      </c>
      <c r="J563" s="192" t="str">
        <f>IF(I563&gt;0,H563/I563,0)</f>
      </c>
      <c r="K563" s="193" t="str">
        <f>1-EXP(-J563)</f>
      </c>
      <c r="L563" s="194" t="str">
        <f>IF(G563=30,1,M562)</f>
      </c>
      <c r="M563" s="195" t="str">
        <f>L563*(1-K563)</f>
      </c>
    </row>
    <row r="564">
      <c r="A564" t="s">
        <v>167</v>
      </c>
      <c r="B564" t="s">
        <v>254</v>
      </c>
      <c r="C564" s="35" t="s">
        <v>418</v>
      </c>
      <c r="D564" t="s">
        <v>502</v>
      </c>
      <c r="E564" t="s">
        <v>520</v>
      </c>
      <c r="F564" s="188" t="n">
        <v>2039</v>
      </c>
      <c r="G564" s="189" t="n">
        <v>32</v>
      </c>
      <c r="H564" s="190" t="n">
        <v>1053.74700814265</v>
      </c>
      <c r="I564" s="191" t="n">
        <v>4674406.34547761</v>
      </c>
      <c r="J564" s="192" t="str">
        <f>IF(I564&gt;0,H564/I564,0)</f>
      </c>
      <c r="K564" s="193" t="str">
        <f>1-EXP(-J564)</f>
      </c>
      <c r="L564" s="194" t="str">
        <f>IF(G564=30,1,M563)</f>
      </c>
      <c r="M564" s="195" t="str">
        <f>L564*(1-K564)</f>
      </c>
    </row>
    <row r="565">
      <c r="A565" t="s">
        <v>167</v>
      </c>
      <c r="B565" t="s">
        <v>254</v>
      </c>
      <c r="C565" s="35" t="s">
        <v>418</v>
      </c>
      <c r="D565" t="s">
        <v>502</v>
      </c>
      <c r="E565" t="s">
        <v>520</v>
      </c>
      <c r="F565" s="188" t="n">
        <v>2039</v>
      </c>
      <c r="G565" s="189" t="n">
        <v>33</v>
      </c>
      <c r="H565" s="190" t="n">
        <v>1096.71283259074</v>
      </c>
      <c r="I565" s="191" t="n">
        <v>4591459.19778048</v>
      </c>
      <c r="J565" s="192" t="str">
        <f>IF(I565&gt;0,H565/I565,0)</f>
      </c>
      <c r="K565" s="193" t="str">
        <f>1-EXP(-J565)</f>
      </c>
      <c r="L565" s="194" t="str">
        <f>IF(G565=30,1,M564)</f>
      </c>
      <c r="M565" s="195" t="str">
        <f>L565*(1-K565)</f>
      </c>
    </row>
    <row r="566">
      <c r="A566" t="s">
        <v>167</v>
      </c>
      <c r="B566" t="s">
        <v>254</v>
      </c>
      <c r="C566" s="35" t="s">
        <v>418</v>
      </c>
      <c r="D566" t="s">
        <v>502</v>
      </c>
      <c r="E566" t="s">
        <v>520</v>
      </c>
      <c r="F566" s="188" t="n">
        <v>2039</v>
      </c>
      <c r="G566" s="189" t="n">
        <v>34</v>
      </c>
      <c r="H566" s="190" t="n">
        <v>1153.85272974182</v>
      </c>
      <c r="I566" s="191" t="n">
        <v>4530342.17023724</v>
      </c>
      <c r="J566" s="192" t="str">
        <f>IF(I566&gt;0,H566/I566,0)</f>
      </c>
      <c r="K566" s="193" t="str">
        <f>1-EXP(-J566)</f>
      </c>
      <c r="L566" s="194" t="str">
        <f>IF(G566=30,1,M565)</f>
      </c>
      <c r="M566" s="195" t="str">
        <f>L566*(1-K566)</f>
      </c>
    </row>
    <row r="567">
      <c r="A567" t="s">
        <v>167</v>
      </c>
      <c r="B567" t="s">
        <v>254</v>
      </c>
      <c r="C567" s="35" t="s">
        <v>418</v>
      </c>
      <c r="D567" t="s">
        <v>502</v>
      </c>
      <c r="E567" t="s">
        <v>520</v>
      </c>
      <c r="F567" s="188" t="n">
        <v>2039</v>
      </c>
      <c r="G567" s="189" t="n">
        <v>35</v>
      </c>
      <c r="H567" s="190" t="n">
        <v>1501.87499551061</v>
      </c>
      <c r="I567" s="191" t="n">
        <v>4401560.13905199</v>
      </c>
      <c r="J567" s="192" t="str">
        <f>IF(I567&gt;0,H567/I567,0)</f>
      </c>
      <c r="K567" s="193" t="str">
        <f>1-EXP(-J567)</f>
      </c>
      <c r="L567" s="194" t="str">
        <f>IF(G567=30,1,M566)</f>
      </c>
      <c r="M567" s="195" t="str">
        <f>L567*(1-K567)</f>
      </c>
    </row>
    <row r="568">
      <c r="A568" t="s">
        <v>167</v>
      </c>
      <c r="B568" t="s">
        <v>254</v>
      </c>
      <c r="C568" s="35" t="s">
        <v>418</v>
      </c>
      <c r="D568" t="s">
        <v>502</v>
      </c>
      <c r="E568" t="s">
        <v>520</v>
      </c>
      <c r="F568" s="188" t="n">
        <v>2039</v>
      </c>
      <c r="G568" s="189" t="n">
        <v>36</v>
      </c>
      <c r="H568" s="190" t="n">
        <v>1713.25270357523</v>
      </c>
      <c r="I568" s="191" t="n">
        <v>4335219.41677276</v>
      </c>
      <c r="J568" s="192" t="str">
        <f>IF(I568&gt;0,H568/I568,0)</f>
      </c>
      <c r="K568" s="193" t="str">
        <f>1-EXP(-J568)</f>
      </c>
      <c r="L568" s="194" t="str">
        <f>IF(G568=30,1,M567)</f>
      </c>
      <c r="M568" s="195" t="str">
        <f>L568*(1-K568)</f>
      </c>
    </row>
    <row r="569">
      <c r="A569" t="s">
        <v>167</v>
      </c>
      <c r="B569" t="s">
        <v>254</v>
      </c>
      <c r="C569" s="35" t="s">
        <v>418</v>
      </c>
      <c r="D569" t="s">
        <v>502</v>
      </c>
      <c r="E569" t="s">
        <v>520</v>
      </c>
      <c r="F569" s="188" t="n">
        <v>2039</v>
      </c>
      <c r="G569" s="189" t="n">
        <v>37</v>
      </c>
      <c r="H569" s="190" t="n">
        <v>1978.56719137336</v>
      </c>
      <c r="I569" s="191" t="n">
        <v>4312150.45943892</v>
      </c>
      <c r="J569" s="192" t="str">
        <f>IF(I569&gt;0,H569/I569,0)</f>
      </c>
      <c r="K569" s="193" t="str">
        <f>1-EXP(-J569)</f>
      </c>
      <c r="L569" s="194" t="str">
        <f>IF(G569=30,1,M568)</f>
      </c>
      <c r="M569" s="195" t="str">
        <f>L569*(1-K569)</f>
      </c>
    </row>
    <row r="570">
      <c r="A570" t="s">
        <v>167</v>
      </c>
      <c r="B570" t="s">
        <v>254</v>
      </c>
      <c r="C570" s="35" t="s">
        <v>418</v>
      </c>
      <c r="D570" t="s">
        <v>502</v>
      </c>
      <c r="E570" t="s">
        <v>520</v>
      </c>
      <c r="F570" s="188" t="n">
        <v>2039</v>
      </c>
      <c r="G570" s="189" t="n">
        <v>38</v>
      </c>
      <c r="H570" s="190" t="n">
        <v>2123.04308616117</v>
      </c>
      <c r="I570" s="191" t="n">
        <v>4290675.91383926</v>
      </c>
      <c r="J570" s="192" t="str">
        <f>IF(I570&gt;0,H570/I570,0)</f>
      </c>
      <c r="K570" s="193" t="str">
        <f>1-EXP(-J570)</f>
      </c>
      <c r="L570" s="194" t="str">
        <f>IF(G570=30,1,M569)</f>
      </c>
      <c r="M570" s="195" t="str">
        <f>L570*(1-K570)</f>
      </c>
    </row>
    <row r="571">
      <c r="A571" t="s">
        <v>167</v>
      </c>
      <c r="B571" t="s">
        <v>254</v>
      </c>
      <c r="C571" s="35" t="s">
        <v>418</v>
      </c>
      <c r="D571" t="s">
        <v>502</v>
      </c>
      <c r="E571" t="s">
        <v>520</v>
      </c>
      <c r="F571" s="188" t="n">
        <v>2039</v>
      </c>
      <c r="G571" s="189" t="n">
        <v>39</v>
      </c>
      <c r="H571" s="190" t="n">
        <v>2283.85028052996</v>
      </c>
      <c r="I571" s="191" t="n">
        <v>4268659.20929281</v>
      </c>
      <c r="J571" s="192" t="str">
        <f>IF(I571&gt;0,H571/I571,0)</f>
      </c>
      <c r="K571" s="193" t="str">
        <f>1-EXP(-J571)</f>
      </c>
      <c r="L571" s="194" t="str">
        <f>IF(G571=30,1,M570)</f>
      </c>
      <c r="M571" s="195" t="str">
        <f>L571*(1-K571)</f>
      </c>
    </row>
    <row r="572">
      <c r="A572" t="s">
        <v>167</v>
      </c>
      <c r="B572" t="s">
        <v>254</v>
      </c>
      <c r="C572" s="35" t="s">
        <v>418</v>
      </c>
      <c r="D572" t="s">
        <v>502</v>
      </c>
      <c r="E572" t="s">
        <v>520</v>
      </c>
      <c r="F572" s="188" t="n">
        <v>2039</v>
      </c>
      <c r="G572" s="189" t="n">
        <v>40</v>
      </c>
      <c r="H572" s="190" t="n">
        <v>3084.64463951896</v>
      </c>
      <c r="I572" s="191" t="n">
        <v>4285658.66792934</v>
      </c>
      <c r="J572" s="192" t="str">
        <f>IF(I572&gt;0,H572/I572,0)</f>
      </c>
      <c r="K572" s="193" t="str">
        <f>1-EXP(-J572)</f>
      </c>
      <c r="L572" s="194" t="str">
        <f>IF(G572=30,1,M571)</f>
      </c>
      <c r="M572" s="195" t="str">
        <f>L572*(1-K572)</f>
      </c>
    </row>
    <row r="573">
      <c r="A573" t="s">
        <v>167</v>
      </c>
      <c r="B573" t="s">
        <v>254</v>
      </c>
      <c r="C573" s="35" t="s">
        <v>418</v>
      </c>
      <c r="D573" t="s">
        <v>502</v>
      </c>
      <c r="E573" t="s">
        <v>520</v>
      </c>
      <c r="F573" s="188" t="n">
        <v>2039</v>
      </c>
      <c r="G573" s="189" t="n">
        <v>41</v>
      </c>
      <c r="H573" s="190" t="n">
        <v>3427.13771845255</v>
      </c>
      <c r="I573" s="191" t="n">
        <v>4340314.7412275</v>
      </c>
      <c r="J573" s="192" t="str">
        <f>IF(I573&gt;0,H573/I573,0)</f>
      </c>
      <c r="K573" s="193" t="str">
        <f>1-EXP(-J573)</f>
      </c>
      <c r="L573" s="194" t="str">
        <f>IF(G573=30,1,M572)</f>
      </c>
      <c r="M573" s="195" t="str">
        <f>L573*(1-K573)</f>
      </c>
    </row>
    <row r="574">
      <c r="A574" t="s">
        <v>167</v>
      </c>
      <c r="B574" t="s">
        <v>254</v>
      </c>
      <c r="C574" s="35" t="s">
        <v>418</v>
      </c>
      <c r="D574" t="s">
        <v>502</v>
      </c>
      <c r="E574" t="s">
        <v>520</v>
      </c>
      <c r="F574" s="188" t="n">
        <v>2039</v>
      </c>
      <c r="G574" s="189" t="n">
        <v>42</v>
      </c>
      <c r="H574" s="190" t="n">
        <v>4038.04654276684</v>
      </c>
      <c r="I574" s="191" t="n">
        <v>4472225.26127442</v>
      </c>
      <c r="J574" s="192" t="str">
        <f>IF(I574&gt;0,H574/I574,0)</f>
      </c>
      <c r="K574" s="193" t="str">
        <f>1-EXP(-J574)</f>
      </c>
      <c r="L574" s="194" t="str">
        <f>IF(G574=30,1,M573)</f>
      </c>
      <c r="M574" s="195" t="str">
        <f>L574*(1-K574)</f>
      </c>
    </row>
    <row r="575">
      <c r="A575" t="s">
        <v>167</v>
      </c>
      <c r="B575" t="s">
        <v>254</v>
      </c>
      <c r="C575" s="35" t="s">
        <v>418</v>
      </c>
      <c r="D575" t="s">
        <v>502</v>
      </c>
      <c r="E575" t="s">
        <v>520</v>
      </c>
      <c r="F575" s="188" t="n">
        <v>2039</v>
      </c>
      <c r="G575" s="189" t="n">
        <v>43</v>
      </c>
      <c r="H575" s="190" t="n">
        <v>4344.23742533529</v>
      </c>
      <c r="I575" s="191" t="n">
        <v>4424783.26070135</v>
      </c>
      <c r="J575" s="192" t="str">
        <f>IF(I575&gt;0,H575/I575,0)</f>
      </c>
      <c r="K575" s="193" t="str">
        <f>1-EXP(-J575)</f>
      </c>
      <c r="L575" s="194" t="str">
        <f>IF(G575=30,1,M574)</f>
      </c>
      <c r="M575" s="195" t="str">
        <f>L575*(1-K575)</f>
      </c>
    </row>
    <row r="576">
      <c r="A576" t="s">
        <v>167</v>
      </c>
      <c r="B576" t="s">
        <v>254</v>
      </c>
      <c r="C576" s="35" t="s">
        <v>418</v>
      </c>
      <c r="D576" t="s">
        <v>502</v>
      </c>
      <c r="E576" t="s">
        <v>520</v>
      </c>
      <c r="F576" s="188" t="n">
        <v>2039</v>
      </c>
      <c r="G576" s="189" t="n">
        <v>44</v>
      </c>
      <c r="H576" s="190" t="n">
        <v>4653.31248624657</v>
      </c>
      <c r="I576" s="191" t="n">
        <v>4347178.05267733</v>
      </c>
      <c r="J576" s="192" t="str">
        <f>IF(I576&gt;0,H576/I576,0)</f>
      </c>
      <c r="K576" s="193" t="str">
        <f>1-EXP(-J576)</f>
      </c>
      <c r="L576" s="194" t="str">
        <f>IF(G576=30,1,M575)</f>
      </c>
      <c r="M576" s="195" t="str">
        <f>L576*(1-K576)</f>
      </c>
    </row>
    <row r="577">
      <c r="A577" t="s">
        <v>167</v>
      </c>
      <c r="B577" t="s">
        <v>254</v>
      </c>
      <c r="C577" s="35" t="s">
        <v>418</v>
      </c>
      <c r="D577" t="s">
        <v>502</v>
      </c>
      <c r="E577" t="s">
        <v>520</v>
      </c>
      <c r="F577" s="188" t="n">
        <v>2039</v>
      </c>
      <c r="G577" s="189" t="n">
        <v>45</v>
      </c>
      <c r="H577" s="190" t="n">
        <v>5899.92980285591</v>
      </c>
      <c r="I577" s="191" t="n">
        <v>4284510.17499473</v>
      </c>
      <c r="J577" s="192" t="str">
        <f>IF(I577&gt;0,H577/I577,0)</f>
      </c>
      <c r="K577" s="193" t="str">
        <f>1-EXP(-J577)</f>
      </c>
      <c r="L577" s="194" t="str">
        <f>IF(G577=30,1,M576)</f>
      </c>
      <c r="M577" s="195" t="str">
        <f>L577*(1-K577)</f>
      </c>
    </row>
    <row r="578">
      <c r="A578" t="s">
        <v>167</v>
      </c>
      <c r="B578" t="s">
        <v>254</v>
      </c>
      <c r="C578" s="35" t="s">
        <v>418</v>
      </c>
      <c r="D578" t="s">
        <v>502</v>
      </c>
      <c r="E578" t="s">
        <v>520</v>
      </c>
      <c r="F578" s="188" t="n">
        <v>2039</v>
      </c>
      <c r="G578" s="189" t="n">
        <v>46</v>
      </c>
      <c r="H578" s="190" t="n">
        <v>6334.02540893325</v>
      </c>
      <c r="I578" s="191" t="n">
        <v>4223838.15793714</v>
      </c>
      <c r="J578" s="192" t="str">
        <f>IF(I578&gt;0,H578/I578,0)</f>
      </c>
      <c r="K578" s="193" t="str">
        <f>1-EXP(-J578)</f>
      </c>
      <c r="L578" s="194" t="str">
        <f>IF(G578=30,1,M577)</f>
      </c>
      <c r="M578" s="195" t="str">
        <f>L578*(1-K578)</f>
      </c>
    </row>
    <row r="579">
      <c r="A579" t="s">
        <v>167</v>
      </c>
      <c r="B579" t="s">
        <v>254</v>
      </c>
      <c r="C579" s="35" t="s">
        <v>418</v>
      </c>
      <c r="D579" t="s">
        <v>502</v>
      </c>
      <c r="E579" t="s">
        <v>520</v>
      </c>
      <c r="F579" s="188" t="n">
        <v>2039</v>
      </c>
      <c r="G579" s="189" t="n">
        <v>47</v>
      </c>
      <c r="H579" s="190" t="n">
        <v>6985.585680363</v>
      </c>
      <c r="I579" s="191" t="n">
        <v>4252665.90300421</v>
      </c>
      <c r="J579" s="192" t="str">
        <f>IF(I579&gt;0,H579/I579,0)</f>
      </c>
      <c r="K579" s="193" t="str">
        <f>1-EXP(-J579)</f>
      </c>
      <c r="L579" s="194" t="str">
        <f>IF(G579=30,1,M578)</f>
      </c>
      <c r="M579" s="195" t="str">
        <f>L579*(1-K579)</f>
      </c>
    </row>
    <row r="580">
      <c r="A580" t="s">
        <v>167</v>
      </c>
      <c r="B580" t="s">
        <v>254</v>
      </c>
      <c r="C580" s="35" t="s">
        <v>418</v>
      </c>
      <c r="D580" t="s">
        <v>502</v>
      </c>
      <c r="E580" t="s">
        <v>520</v>
      </c>
      <c r="F580" s="188" t="n">
        <v>2039</v>
      </c>
      <c r="G580" s="189" t="n">
        <v>48</v>
      </c>
      <c r="H580" s="190" t="n">
        <v>7682.52265257739</v>
      </c>
      <c r="I580" s="191" t="n">
        <v>4261136.36794866</v>
      </c>
      <c r="J580" s="192" t="str">
        <f>IF(I580&gt;0,H580/I580,0)</f>
      </c>
      <c r="K580" s="193" t="str">
        <f>1-EXP(-J580)</f>
      </c>
      <c r="L580" s="194" t="str">
        <f>IF(G580=30,1,M579)</f>
      </c>
      <c r="M580" s="195" t="str">
        <f>L580*(1-K580)</f>
      </c>
    </row>
    <row r="581">
      <c r="A581" t="s">
        <v>167</v>
      </c>
      <c r="B581" t="s">
        <v>254</v>
      </c>
      <c r="C581" s="35" t="s">
        <v>418</v>
      </c>
      <c r="D581" t="s">
        <v>502</v>
      </c>
      <c r="E581" t="s">
        <v>520</v>
      </c>
      <c r="F581" s="188" t="n">
        <v>2039</v>
      </c>
      <c r="G581" s="189" t="n">
        <v>49</v>
      </c>
      <c r="H581" s="190" t="n">
        <v>11359.1329272674</v>
      </c>
      <c r="I581" s="191" t="n">
        <v>6268737.04324613</v>
      </c>
      <c r="J581" s="192" t="str">
        <f>IF(I581&gt;0,H581/I581,0)</f>
      </c>
      <c r="K581" s="193" t="str">
        <f>1-EXP(-J581)</f>
      </c>
      <c r="L581" s="194" t="str">
        <f>IF(G581=30,1,M580)</f>
      </c>
      <c r="M581" s="195" t="str">
        <f>L581*(1-K581)</f>
      </c>
    </row>
    <row r="582">
      <c r="A582" t="s">
        <v>167</v>
      </c>
      <c r="B582" t="s">
        <v>254</v>
      </c>
      <c r="C582" s="35" t="s">
        <v>418</v>
      </c>
      <c r="D582" t="s">
        <v>502</v>
      </c>
      <c r="E582" t="s">
        <v>520</v>
      </c>
      <c r="F582" s="188" t="n">
        <v>2039</v>
      </c>
      <c r="G582" s="189" t="n">
        <v>50</v>
      </c>
      <c r="H582" s="190" t="n">
        <v>9580.00609319894</v>
      </c>
      <c r="I582" s="191" t="n">
        <v>4199555.46378455</v>
      </c>
      <c r="J582" s="192" t="str">
        <f>IF(I582&gt;0,H582/I582,0)</f>
      </c>
      <c r="K582" s="193" t="str">
        <f>1-EXP(-J582)</f>
      </c>
      <c r="L582" s="194" t="str">
        <f>IF(G582=30,1,M581)</f>
      </c>
      <c r="M582" s="195" t="str">
        <f>L582*(1-K582)</f>
      </c>
    </row>
    <row r="583">
      <c r="A583" t="s">
        <v>167</v>
      </c>
      <c r="B583" t="s">
        <v>254</v>
      </c>
      <c r="C583" s="35" t="s">
        <v>418</v>
      </c>
      <c r="D583" t="s">
        <v>502</v>
      </c>
      <c r="E583" t="s">
        <v>520</v>
      </c>
      <c r="F583" s="188" t="n">
        <v>2039</v>
      </c>
      <c r="G583" s="189" t="n">
        <v>51</v>
      </c>
      <c r="H583" s="190" t="n">
        <v>10398.7596250561</v>
      </c>
      <c r="I583" s="191" t="n">
        <v>4170247.44796649</v>
      </c>
      <c r="J583" s="192" t="str">
        <f>IF(I583&gt;0,H583/I583,0)</f>
      </c>
      <c r="K583" s="193" t="str">
        <f>1-EXP(-J583)</f>
      </c>
      <c r="L583" s="194" t="str">
        <f>IF(G583=30,1,M582)</f>
      </c>
      <c r="M583" s="195" t="str">
        <f>L583*(1-K583)</f>
      </c>
    </row>
    <row r="584">
      <c r="A584" t="s">
        <v>167</v>
      </c>
      <c r="B584" t="s">
        <v>254</v>
      </c>
      <c r="C584" s="35" t="s">
        <v>418</v>
      </c>
      <c r="D584" t="s">
        <v>502</v>
      </c>
      <c r="E584" t="s">
        <v>520</v>
      </c>
      <c r="F584" s="188" t="n">
        <v>2039</v>
      </c>
      <c r="G584" s="189" t="n">
        <v>52</v>
      </c>
      <c r="H584" s="190" t="n">
        <v>11001.0863633844</v>
      </c>
      <c r="I584" s="191" t="n">
        <v>4029169.21809866</v>
      </c>
      <c r="J584" s="192" t="str">
        <f>IF(I584&gt;0,H584/I584,0)</f>
      </c>
      <c r="K584" s="193" t="str">
        <f>1-EXP(-J584)</f>
      </c>
      <c r="L584" s="194" t="str">
        <f>IF(G584=30,1,M583)</f>
      </c>
      <c r="M584" s="195" t="str">
        <f>L584*(1-K584)</f>
      </c>
    </row>
    <row r="585">
      <c r="A585" t="s">
        <v>167</v>
      </c>
      <c r="B585" t="s">
        <v>254</v>
      </c>
      <c r="C585" s="35" t="s">
        <v>418</v>
      </c>
      <c r="D585" t="s">
        <v>502</v>
      </c>
      <c r="E585" t="s">
        <v>520</v>
      </c>
      <c r="F585" s="188" t="n">
        <v>2039</v>
      </c>
      <c r="G585" s="189" t="n">
        <v>53</v>
      </c>
      <c r="H585" s="190" t="n">
        <v>11881.8566467795</v>
      </c>
      <c r="I585" s="191" t="n">
        <v>3981348.3360049</v>
      </c>
      <c r="J585" s="192" t="str">
        <f>IF(I585&gt;0,H585/I585,0)</f>
      </c>
      <c r="K585" s="193" t="str">
        <f>1-EXP(-J585)</f>
      </c>
      <c r="L585" s="194" t="str">
        <f>IF(G585=30,1,M584)</f>
      </c>
      <c r="M585" s="195" t="str">
        <f>L585*(1-K585)</f>
      </c>
    </row>
    <row r="586">
      <c r="A586" t="s">
        <v>167</v>
      </c>
      <c r="B586" t="s">
        <v>254</v>
      </c>
      <c r="C586" s="35" t="s">
        <v>418</v>
      </c>
      <c r="D586" t="s">
        <v>502</v>
      </c>
      <c r="E586" t="s">
        <v>520</v>
      </c>
      <c r="F586" s="188" t="n">
        <v>2039</v>
      </c>
      <c r="G586" s="189" t="n">
        <v>54</v>
      </c>
      <c r="H586" s="190" t="n">
        <v>13109.3663059272</v>
      </c>
      <c r="I586" s="191" t="n">
        <v>4021754.71996138</v>
      </c>
      <c r="J586" s="192" t="str">
        <f>IF(I586&gt;0,H586/I586,0)</f>
      </c>
      <c r="K586" s="193" t="str">
        <f>1-EXP(-J586)</f>
      </c>
      <c r="L586" s="194" t="str">
        <f>IF(G586=30,1,M585)</f>
      </c>
      <c r="M586" s="195" t="str">
        <f>L586*(1-K586)</f>
      </c>
    </row>
    <row r="587">
      <c r="A587" t="s">
        <v>167</v>
      </c>
      <c r="B587" t="s">
        <v>254</v>
      </c>
      <c r="C587" s="35" t="s">
        <v>418</v>
      </c>
      <c r="D587" t="s">
        <v>502</v>
      </c>
      <c r="E587" t="s">
        <v>520</v>
      </c>
      <c r="F587" s="188" t="n">
        <v>2039</v>
      </c>
      <c r="G587" s="189" t="n">
        <v>55</v>
      </c>
      <c r="H587" s="190" t="n">
        <v>14443.179509147</v>
      </c>
      <c r="I587" s="191" t="n">
        <v>4084104.96973378</v>
      </c>
      <c r="J587" s="192" t="str">
        <f>IF(I587&gt;0,H587/I587,0)</f>
      </c>
      <c r="K587" s="193" t="str">
        <f>1-EXP(-J587)</f>
      </c>
      <c r="L587" s="194" t="str">
        <f>IF(G587=30,1,M586)</f>
      </c>
      <c r="M587" s="195" t="str">
        <f>L587*(1-K587)</f>
      </c>
    </row>
    <row r="588">
      <c r="A588" t="s">
        <v>167</v>
      </c>
      <c r="B588" t="s">
        <v>254</v>
      </c>
      <c r="C588" s="35" t="s">
        <v>418</v>
      </c>
      <c r="D588" t="s">
        <v>502</v>
      </c>
      <c r="E588" t="s">
        <v>520</v>
      </c>
      <c r="F588" s="188" t="n">
        <v>2039</v>
      </c>
      <c r="G588" s="189" t="n">
        <v>56</v>
      </c>
      <c r="H588" s="190" t="n">
        <v>15525.2625860204</v>
      </c>
      <c r="I588" s="191" t="n">
        <v>4040897.11384318</v>
      </c>
      <c r="J588" s="192" t="str">
        <f>IF(I588&gt;0,H588/I588,0)</f>
      </c>
      <c r="K588" s="193" t="str">
        <f>1-EXP(-J588)</f>
      </c>
      <c r="L588" s="194" t="str">
        <f>IF(G588=30,1,M587)</f>
      </c>
      <c r="M588" s="195" t="str">
        <f>L588*(1-K588)</f>
      </c>
    </row>
    <row r="589">
      <c r="A589" t="s">
        <v>167</v>
      </c>
      <c r="B589" t="s">
        <v>254</v>
      </c>
      <c r="C589" s="35" t="s">
        <v>418</v>
      </c>
      <c r="D589" t="s">
        <v>502</v>
      </c>
      <c r="E589" t="s">
        <v>520</v>
      </c>
      <c r="F589" s="188" t="n">
        <v>2039</v>
      </c>
      <c r="G589" s="189" t="n">
        <v>57</v>
      </c>
      <c r="H589" s="190" t="n">
        <v>16351.8949120216</v>
      </c>
      <c r="I589" s="191" t="n">
        <v>3890650.8821248</v>
      </c>
      <c r="J589" s="192" t="str">
        <f>IF(I589&gt;0,H589/I589,0)</f>
      </c>
      <c r="K589" s="193" t="str">
        <f>1-EXP(-J589)</f>
      </c>
      <c r="L589" s="194" t="str">
        <f>IF(G589=30,1,M588)</f>
      </c>
      <c r="M589" s="195" t="str">
        <f>L589*(1-K589)</f>
      </c>
    </row>
    <row r="590">
      <c r="A590" t="s">
        <v>167</v>
      </c>
      <c r="B590" t="s">
        <v>254</v>
      </c>
      <c r="C590" s="35" t="s">
        <v>418</v>
      </c>
      <c r="D590" t="s">
        <v>502</v>
      </c>
      <c r="E590" t="s">
        <v>520</v>
      </c>
      <c r="F590" s="188" t="n">
        <v>2039</v>
      </c>
      <c r="G590" s="189" t="n">
        <v>58</v>
      </c>
      <c r="H590" s="190" t="n">
        <v>17466.8822361809</v>
      </c>
      <c r="I590" s="191" t="n">
        <v>3798483.14594746</v>
      </c>
      <c r="J590" s="192" t="str">
        <f>IF(I590&gt;0,H590/I590,0)</f>
      </c>
      <c r="K590" s="193" t="str">
        <f>1-EXP(-J590)</f>
      </c>
      <c r="L590" s="194" t="str">
        <f>IF(G590=30,1,M589)</f>
      </c>
      <c r="M590" s="195" t="str">
        <f>L590*(1-K590)</f>
      </c>
    </row>
    <row r="591">
      <c r="A591" t="s">
        <v>167</v>
      </c>
      <c r="B591" t="s">
        <v>254</v>
      </c>
      <c r="C591" s="35" t="s">
        <v>418</v>
      </c>
      <c r="D591" t="s">
        <v>502</v>
      </c>
      <c r="E591" t="s">
        <v>520</v>
      </c>
      <c r="F591" s="188" t="n">
        <v>2039</v>
      </c>
      <c r="G591" s="189" t="n">
        <v>59</v>
      </c>
      <c r="H591" s="190" t="n">
        <v>18736.2626991947</v>
      </c>
      <c r="I591" s="191" t="n">
        <v>3719917.77736638</v>
      </c>
      <c r="J591" s="192" t="str">
        <f>IF(I591&gt;0,H591/I591,0)</f>
      </c>
      <c r="K591" s="193" t="str">
        <f>1-EXP(-J591)</f>
      </c>
      <c r="L591" s="194" t="str">
        <f>IF(G591=30,1,M590)</f>
      </c>
      <c r="M591" s="195" t="str">
        <f>L591*(1-K591)</f>
      </c>
    </row>
    <row r="592">
      <c r="A592" t="s">
        <v>167</v>
      </c>
      <c r="B592" t="s">
        <v>254</v>
      </c>
      <c r="C592" s="35" t="s">
        <v>418</v>
      </c>
      <c r="D592" t="s">
        <v>502</v>
      </c>
      <c r="E592" t="s">
        <v>520</v>
      </c>
      <c r="F592" s="188" t="n">
        <v>2039</v>
      </c>
      <c r="G592" s="189" t="n">
        <v>60</v>
      </c>
      <c r="H592" s="190" t="n">
        <v>20034.8390797838</v>
      </c>
      <c r="I592" s="191" t="n">
        <v>3634930.73259884</v>
      </c>
      <c r="J592" s="192" t="str">
        <f>IF(I592&gt;0,H592/I592,0)</f>
      </c>
      <c r="K592" s="193" t="str">
        <f>1-EXP(-J592)</f>
      </c>
      <c r="L592" s="194" t="str">
        <f>IF(G592=30,1,M591)</f>
      </c>
      <c r="M592" s="195" t="str">
        <f>L592*(1-K592)</f>
      </c>
    </row>
    <row r="593">
      <c r="A593" t="s">
        <v>167</v>
      </c>
      <c r="B593" t="s">
        <v>254</v>
      </c>
      <c r="C593" s="35" t="s">
        <v>418</v>
      </c>
      <c r="D593" t="s">
        <v>502</v>
      </c>
      <c r="E593" t="s">
        <v>520</v>
      </c>
      <c r="F593" s="188" t="n">
        <v>2039</v>
      </c>
      <c r="G593" s="189" t="n">
        <v>61</v>
      </c>
      <c r="H593" s="190" t="n">
        <v>21382.9375968795</v>
      </c>
      <c r="I593" s="191" t="n">
        <v>3530423.32734477</v>
      </c>
      <c r="J593" s="192" t="str">
        <f>IF(I593&gt;0,H593/I593,0)</f>
      </c>
      <c r="K593" s="193" t="str">
        <f>1-EXP(-J593)</f>
      </c>
      <c r="L593" s="194" t="str">
        <f>IF(G593=30,1,M592)</f>
      </c>
      <c r="M593" s="195" t="str">
        <f>L593*(1-K593)</f>
      </c>
    </row>
    <row r="594">
      <c r="A594" t="s">
        <v>167</v>
      </c>
      <c r="B594" t="s">
        <v>254</v>
      </c>
      <c r="C594" s="35" t="s">
        <v>418</v>
      </c>
      <c r="D594" t="s">
        <v>502</v>
      </c>
      <c r="E594" t="s">
        <v>520</v>
      </c>
      <c r="F594" s="188" t="n">
        <v>2039</v>
      </c>
      <c r="G594" s="189" t="n">
        <v>62</v>
      </c>
      <c r="H594" s="190" t="n">
        <v>22878.3707873019</v>
      </c>
      <c r="I594" s="191" t="n">
        <v>3439985.8314766</v>
      </c>
      <c r="J594" s="192" t="str">
        <f>IF(I594&gt;0,H594/I594,0)</f>
      </c>
      <c r="K594" s="193" t="str">
        <f>1-EXP(-J594)</f>
      </c>
      <c r="L594" s="194" t="str">
        <f>IF(G594=30,1,M593)</f>
      </c>
      <c r="M594" s="195" t="str">
        <f>L594*(1-K594)</f>
      </c>
    </row>
    <row r="595">
      <c r="A595" t="s">
        <v>167</v>
      </c>
      <c r="B595" t="s">
        <v>254</v>
      </c>
      <c r="C595" s="35" t="s">
        <v>418</v>
      </c>
      <c r="D595" t="s">
        <v>502</v>
      </c>
      <c r="E595" t="s">
        <v>520</v>
      </c>
      <c r="F595" s="188" t="n">
        <v>2039</v>
      </c>
      <c r="G595" s="189" t="n">
        <v>63</v>
      </c>
      <c r="H595" s="190" t="n">
        <v>24345.7490533084</v>
      </c>
      <c r="I595" s="191" t="n">
        <v>3337651.70997635</v>
      </c>
      <c r="J595" s="192" t="str">
        <f>IF(I595&gt;0,H595/I595,0)</f>
      </c>
      <c r="K595" s="193" t="str">
        <f>1-EXP(-J595)</f>
      </c>
      <c r="L595" s="194" t="str">
        <f>IF(G595=30,1,M594)</f>
      </c>
      <c r="M595" s="195" t="str">
        <f>L595*(1-K595)</f>
      </c>
    </row>
    <row r="596">
      <c r="A596" t="s">
        <v>167</v>
      </c>
      <c r="B596" t="s">
        <v>254</v>
      </c>
      <c r="C596" s="35" t="s">
        <v>418</v>
      </c>
      <c r="D596" t="s">
        <v>502</v>
      </c>
      <c r="E596" t="s">
        <v>520</v>
      </c>
      <c r="F596" s="188" t="n">
        <v>2039</v>
      </c>
      <c r="G596" s="189" t="n">
        <v>64</v>
      </c>
      <c r="H596" s="190" t="n">
        <v>25865.3294178064</v>
      </c>
      <c r="I596" s="191" t="n">
        <v>3233204.60954871</v>
      </c>
      <c r="J596" s="192" t="str">
        <f>IF(I596&gt;0,H596/I596,0)</f>
      </c>
      <c r="K596" s="193" t="str">
        <f>1-EXP(-J596)</f>
      </c>
      <c r="L596" s="194" t="str">
        <f>IF(G596=30,1,M595)</f>
      </c>
      <c r="M596" s="195" t="str">
        <f>L596*(1-K596)</f>
      </c>
    </row>
    <row r="597">
      <c r="A597" t="s">
        <v>167</v>
      </c>
      <c r="B597" t="s">
        <v>254</v>
      </c>
      <c r="C597" s="35" t="s">
        <v>418</v>
      </c>
      <c r="D597" t="s">
        <v>502</v>
      </c>
      <c r="E597" t="s">
        <v>520</v>
      </c>
      <c r="F597" s="188" t="n">
        <v>2039</v>
      </c>
      <c r="G597" s="189" t="n">
        <v>65</v>
      </c>
      <c r="H597" s="190" t="n">
        <v>26133.4702565331</v>
      </c>
      <c r="I597" s="191" t="n">
        <v>3103169.47367479</v>
      </c>
      <c r="J597" s="192" t="str">
        <f>IF(I597&gt;0,H597/I597,0)</f>
      </c>
      <c r="K597" s="193" t="str">
        <f>1-EXP(-J597)</f>
      </c>
      <c r="L597" s="194" t="str">
        <f>IF(G597=30,1,M596)</f>
      </c>
      <c r="M597" s="195" t="str">
        <f>L597*(1-K597)</f>
      </c>
    </row>
    <row r="598">
      <c r="A598" t="s">
        <v>167</v>
      </c>
      <c r="B598" t="s">
        <v>254</v>
      </c>
      <c r="C598" s="35" t="s">
        <v>418</v>
      </c>
      <c r="D598" t="s">
        <v>502</v>
      </c>
      <c r="E598" t="s">
        <v>520</v>
      </c>
      <c r="F598" s="188" t="n">
        <v>2039</v>
      </c>
      <c r="G598" s="189" t="n">
        <v>66</v>
      </c>
      <c r="H598" s="190" t="n">
        <v>27899.9747300388</v>
      </c>
      <c r="I598" s="191" t="n">
        <v>3024710.36476186</v>
      </c>
      <c r="J598" s="192" t="str">
        <f>IF(I598&gt;0,H598/I598,0)</f>
      </c>
      <c r="K598" s="193" t="str">
        <f>1-EXP(-J598)</f>
      </c>
      <c r="L598" s="194" t="str">
        <f>IF(G598=30,1,M597)</f>
      </c>
      <c r="M598" s="195" t="str">
        <f>L598*(1-K598)</f>
      </c>
    </row>
    <row r="599">
      <c r="A599" t="s">
        <v>167</v>
      </c>
      <c r="B599" t="s">
        <v>254</v>
      </c>
      <c r="C599" s="35" t="s">
        <v>418</v>
      </c>
      <c r="D599" t="s">
        <v>502</v>
      </c>
      <c r="E599" t="s">
        <v>520</v>
      </c>
      <c r="F599" s="188" t="n">
        <v>2039</v>
      </c>
      <c r="G599" s="189" t="n">
        <v>67</v>
      </c>
      <c r="H599" s="190" t="n">
        <v>28430.7375170456</v>
      </c>
      <c r="I599" s="191" t="n">
        <v>2803500.86984208</v>
      </c>
      <c r="J599" s="192" t="str">
        <f>IF(I599&gt;0,H599/I599,0)</f>
      </c>
      <c r="K599" s="193" t="str">
        <f>1-EXP(-J599)</f>
      </c>
      <c r="L599" s="194" t="str">
        <f>IF(G599=30,1,M598)</f>
      </c>
      <c r="M599" s="195" t="str">
        <f>L599*(1-K599)</f>
      </c>
    </row>
    <row r="600">
      <c r="A600" t="s">
        <v>167</v>
      </c>
      <c r="B600" t="s">
        <v>254</v>
      </c>
      <c r="C600" s="35" t="s">
        <v>418</v>
      </c>
      <c r="D600" t="s">
        <v>502</v>
      </c>
      <c r="E600" t="s">
        <v>520</v>
      </c>
      <c r="F600" s="188" t="n">
        <v>2039</v>
      </c>
      <c r="G600" s="189" t="n">
        <v>68</v>
      </c>
      <c r="H600" s="190" t="n">
        <v>29945.8160339176</v>
      </c>
      <c r="I600" s="191" t="n">
        <v>2686531.10172705</v>
      </c>
      <c r="J600" s="192" t="str">
        <f>IF(I600&gt;0,H600/I600,0)</f>
      </c>
      <c r="K600" s="193" t="str">
        <f>1-EXP(-J600)</f>
      </c>
      <c r="L600" s="194" t="str">
        <f>IF(G600=30,1,M599)</f>
      </c>
      <c r="M600" s="195" t="str">
        <f>L600*(1-K600)</f>
      </c>
    </row>
    <row r="601">
      <c r="A601" t="s">
        <v>167</v>
      </c>
      <c r="B601" t="s">
        <v>254</v>
      </c>
      <c r="C601" s="35" t="s">
        <v>418</v>
      </c>
      <c r="D601" t="s">
        <v>502</v>
      </c>
      <c r="E601" t="s">
        <v>520</v>
      </c>
      <c r="F601" s="188" t="n">
        <v>2039</v>
      </c>
      <c r="G601" s="189" t="n">
        <v>69</v>
      </c>
      <c r="H601" s="190" t="n">
        <v>31543.1126466464</v>
      </c>
      <c r="I601" s="191" t="n">
        <v>2572023.06455652</v>
      </c>
      <c r="J601" s="192" t="str">
        <f>IF(I601&gt;0,H601/I601,0)</f>
      </c>
      <c r="K601" s="193" t="str">
        <f>1-EXP(-J601)</f>
      </c>
      <c r="L601" s="194" t="str">
        <f>IF(G601=30,1,M600)</f>
      </c>
      <c r="M601" s="195" t="str">
        <f>L601*(1-K601)</f>
      </c>
    </row>
    <row r="602">
      <c r="A602" t="s">
        <v>167</v>
      </c>
      <c r="B602" t="s">
        <v>254</v>
      </c>
      <c r="C602" s="35" t="s">
        <v>418</v>
      </c>
      <c r="D602" t="s">
        <v>502</v>
      </c>
      <c r="E602" t="s">
        <v>520</v>
      </c>
      <c r="F602" s="188" t="n">
        <v>2040</v>
      </c>
      <c r="G602" s="189" t="n">
        <v>30</v>
      </c>
      <c r="H602" s="190" t="n">
        <v>757.580238601303</v>
      </c>
      <c r="I602" s="191" t="n">
        <v>4755893.65770446</v>
      </c>
      <c r="J602" s="192" t="str">
        <f>IF(I602&gt;0,H602/I602,0)</f>
      </c>
      <c r="K602" s="193" t="str">
        <f>1-EXP(-J602)</f>
      </c>
      <c r="L602" s="194" t="str">
        <f>IF(G602=30,1,M601)</f>
      </c>
      <c r="M602" s="195" t="str">
        <f>L602*(1-K602)</f>
      </c>
    </row>
    <row r="603">
      <c r="A603" t="s">
        <v>167</v>
      </c>
      <c r="B603" t="s">
        <v>254</v>
      </c>
      <c r="C603" s="35" t="s">
        <v>418</v>
      </c>
      <c r="D603" t="s">
        <v>502</v>
      </c>
      <c r="E603" t="s">
        <v>520</v>
      </c>
      <c r="F603" s="188" t="n">
        <v>2040</v>
      </c>
      <c r="G603" s="189" t="n">
        <v>31</v>
      </c>
      <c r="H603" s="190" t="n">
        <v>958.9116225655</v>
      </c>
      <c r="I603" s="191" t="n">
        <v>4685051.83419379</v>
      </c>
      <c r="J603" s="192" t="str">
        <f>IF(I603&gt;0,H603/I603,0)</f>
      </c>
      <c r="K603" s="193" t="str">
        <f>1-EXP(-J603)</f>
      </c>
      <c r="L603" s="194" t="str">
        <f>IF(G603=30,1,M602)</f>
      </c>
      <c r="M603" s="195" t="str">
        <f>L603*(1-K603)</f>
      </c>
    </row>
    <row r="604">
      <c r="A604" t="s">
        <v>167</v>
      </c>
      <c r="B604" t="s">
        <v>254</v>
      </c>
      <c r="C604" s="35" t="s">
        <v>418</v>
      </c>
      <c r="D604" t="s">
        <v>502</v>
      </c>
      <c r="E604" t="s">
        <v>520</v>
      </c>
      <c r="F604" s="188" t="n">
        <v>2040</v>
      </c>
      <c r="G604" s="189" t="n">
        <v>32</v>
      </c>
      <c r="H604" s="190" t="n">
        <v>1001.87768702325</v>
      </c>
      <c r="I604" s="191" t="n">
        <v>4642576.59103309</v>
      </c>
      <c r="J604" s="192" t="str">
        <f>IF(I604&gt;0,H604/I604,0)</f>
      </c>
      <c r="K604" s="193" t="str">
        <f>1-EXP(-J604)</f>
      </c>
      <c r="L604" s="194" t="str">
        <f>IF(G604=30,1,M603)</f>
      </c>
      <c r="M604" s="195" t="str">
        <f>L604*(1-K604)</f>
      </c>
    </row>
    <row r="605">
      <c r="A605" t="s">
        <v>167</v>
      </c>
      <c r="B605" t="s">
        <v>254</v>
      </c>
      <c r="C605" s="35" t="s">
        <v>418</v>
      </c>
      <c r="D605" t="s">
        <v>502</v>
      </c>
      <c r="E605" t="s">
        <v>520</v>
      </c>
      <c r="F605" s="188" t="n">
        <v>2040</v>
      </c>
      <c r="G605" s="189" t="n">
        <v>33</v>
      </c>
      <c r="H605" s="190" t="n">
        <v>1118.33066261936</v>
      </c>
      <c r="I605" s="191" t="n">
        <v>4668681.4585612</v>
      </c>
      <c r="J605" s="192" t="str">
        <f>IF(I605&gt;0,H605/I605,0)</f>
      </c>
      <c r="K605" s="193" t="str">
        <f>1-EXP(-J605)</f>
      </c>
      <c r="L605" s="194" t="str">
        <f>IF(G605=30,1,M604)</f>
      </c>
      <c r="M605" s="195" t="str">
        <f>L605*(1-K605)</f>
      </c>
    </row>
    <row r="606">
      <c r="A606" t="s">
        <v>167</v>
      </c>
      <c r="B606" t="s">
        <v>254</v>
      </c>
      <c r="C606" s="35" t="s">
        <v>418</v>
      </c>
      <c r="D606" t="s">
        <v>502</v>
      </c>
      <c r="E606" t="s">
        <v>520</v>
      </c>
      <c r="F606" s="188" t="n">
        <v>2040</v>
      </c>
      <c r="G606" s="189" t="n">
        <v>34</v>
      </c>
      <c r="H606" s="190" t="n">
        <v>1170.83937799803</v>
      </c>
      <c r="I606" s="191" t="n">
        <v>4585570.35966065</v>
      </c>
      <c r="J606" s="192" t="str">
        <f>IF(I606&gt;0,H606/I606,0)</f>
      </c>
      <c r="K606" s="193" t="str">
        <f>1-EXP(-J606)</f>
      </c>
      <c r="L606" s="194" t="str">
        <f>IF(G606=30,1,M605)</f>
      </c>
      <c r="M606" s="195" t="str">
        <f>L606*(1-K606)</f>
      </c>
    </row>
    <row r="607">
      <c r="A607" t="s">
        <v>167</v>
      </c>
      <c r="B607" t="s">
        <v>254</v>
      </c>
      <c r="C607" s="35" t="s">
        <v>418</v>
      </c>
      <c r="D607" t="s">
        <v>502</v>
      </c>
      <c r="E607" t="s">
        <v>520</v>
      </c>
      <c r="F607" s="188" t="n">
        <v>2040</v>
      </c>
      <c r="G607" s="189" t="n">
        <v>35</v>
      </c>
      <c r="H607" s="190" t="n">
        <v>1541.1202344402</v>
      </c>
      <c r="I607" s="191" t="n">
        <v>4524221.30684128</v>
      </c>
      <c r="J607" s="192" t="str">
        <f>IF(I607&gt;0,H607/I607,0)</f>
      </c>
      <c r="K607" s="193" t="str">
        <f>1-EXP(-J607)</f>
      </c>
      <c r="L607" s="194" t="str">
        <f>IF(G607=30,1,M606)</f>
      </c>
      <c r="M607" s="195" t="str">
        <f>L607*(1-K607)</f>
      </c>
    </row>
    <row r="608">
      <c r="A608" t="s">
        <v>167</v>
      </c>
      <c r="B608" t="s">
        <v>254</v>
      </c>
      <c r="C608" s="35" t="s">
        <v>418</v>
      </c>
      <c r="D608" t="s">
        <v>502</v>
      </c>
      <c r="E608" t="s">
        <v>520</v>
      </c>
      <c r="F608" s="188" t="n">
        <v>2040</v>
      </c>
      <c r="G608" s="189" t="n">
        <v>36</v>
      </c>
      <c r="H608" s="190" t="n">
        <v>1733.85190767674</v>
      </c>
      <c r="I608" s="191" t="n">
        <v>4394925.69832425</v>
      </c>
      <c r="J608" s="192" t="str">
        <f>IF(I608&gt;0,H608/I608,0)</f>
      </c>
      <c r="K608" s="193" t="str">
        <f>1-EXP(-J608)</f>
      </c>
      <c r="L608" s="194" t="str">
        <f>IF(G608=30,1,M607)</f>
      </c>
      <c r="M608" s="195" t="str">
        <f>L608*(1-K608)</f>
      </c>
    </row>
    <row r="609">
      <c r="A609" t="s">
        <v>167</v>
      </c>
      <c r="B609" t="s">
        <v>254</v>
      </c>
      <c r="C609" s="35" t="s">
        <v>418</v>
      </c>
      <c r="D609" t="s">
        <v>502</v>
      </c>
      <c r="E609" t="s">
        <v>520</v>
      </c>
      <c r="F609" s="188" t="n">
        <v>2040</v>
      </c>
      <c r="G609" s="189" t="n">
        <v>37</v>
      </c>
      <c r="H609" s="190" t="n">
        <v>1839.29812308938</v>
      </c>
      <c r="I609" s="191" t="n">
        <v>4328549.1888107</v>
      </c>
      <c r="J609" s="192" t="str">
        <f>IF(I609&gt;0,H609/I609,0)</f>
      </c>
      <c r="K609" s="193" t="str">
        <f>1-EXP(-J609)</f>
      </c>
      <c r="L609" s="194" t="str">
        <f>IF(G609=30,1,M608)</f>
      </c>
      <c r="M609" s="195" t="str">
        <f>L609*(1-K609)</f>
      </c>
    </row>
    <row r="610">
      <c r="A610" t="s">
        <v>167</v>
      </c>
      <c r="B610" t="s">
        <v>254</v>
      </c>
      <c r="C610" s="35" t="s">
        <v>418</v>
      </c>
      <c r="D610" t="s">
        <v>502</v>
      </c>
      <c r="E610" t="s">
        <v>520</v>
      </c>
      <c r="F610" s="188" t="n">
        <v>2040</v>
      </c>
      <c r="G610" s="189" t="n">
        <v>38</v>
      </c>
      <c r="H610" s="190" t="n">
        <v>2123.95517602334</v>
      </c>
      <c r="I610" s="191" t="n">
        <v>4304888.46529631</v>
      </c>
      <c r="J610" s="192" t="str">
        <f>IF(I610&gt;0,H610/I610,0)</f>
      </c>
      <c r="K610" s="193" t="str">
        <f>1-EXP(-J610)</f>
      </c>
      <c r="L610" s="194" t="str">
        <f>IF(G610=30,1,M609)</f>
      </c>
      <c r="M610" s="195" t="str">
        <f>L610*(1-K610)</f>
      </c>
    </row>
    <row r="611">
      <c r="A611" t="s">
        <v>167</v>
      </c>
      <c r="B611" t="s">
        <v>254</v>
      </c>
      <c r="C611" s="35" t="s">
        <v>418</v>
      </c>
      <c r="D611" t="s">
        <v>502</v>
      </c>
      <c r="E611" t="s">
        <v>520</v>
      </c>
      <c r="F611" s="188" t="n">
        <v>2040</v>
      </c>
      <c r="G611" s="189" t="n">
        <v>39</v>
      </c>
      <c r="H611" s="190" t="n">
        <v>2283.82550581648</v>
      </c>
      <c r="I611" s="191" t="n">
        <v>4282924.4467788</v>
      </c>
      <c r="J611" s="192" t="str">
        <f>IF(I611&gt;0,H611/I611,0)</f>
      </c>
      <c r="K611" s="193" t="str">
        <f>1-EXP(-J611)</f>
      </c>
      <c r="L611" s="194" t="str">
        <f>IF(G611=30,1,M610)</f>
      </c>
      <c r="M611" s="195" t="str">
        <f>L611*(1-K611)</f>
      </c>
    </row>
    <row r="612">
      <c r="A612" t="s">
        <v>167</v>
      </c>
      <c r="B612" t="s">
        <v>254</v>
      </c>
      <c r="C612" s="35" t="s">
        <v>418</v>
      </c>
      <c r="D612" t="s">
        <v>502</v>
      </c>
      <c r="E612" t="s">
        <v>520</v>
      </c>
      <c r="F612" s="188" t="n">
        <v>2040</v>
      </c>
      <c r="G612" s="189" t="n">
        <v>40</v>
      </c>
      <c r="H612" s="190" t="n">
        <v>3054.23002555326</v>
      </c>
      <c r="I612" s="191" t="n">
        <v>4260364.08176452</v>
      </c>
      <c r="J612" s="192" t="str">
        <f>IF(I612&gt;0,H612/I612,0)</f>
      </c>
      <c r="K612" s="193" t="str">
        <f>1-EXP(-J612)</f>
      </c>
      <c r="L612" s="194" t="str">
        <f>IF(G612=30,1,M611)</f>
      </c>
      <c r="M612" s="195" t="str">
        <f>L612*(1-K612)</f>
      </c>
    </row>
    <row r="613">
      <c r="A613" t="s">
        <v>167</v>
      </c>
      <c r="B613" t="s">
        <v>254</v>
      </c>
      <c r="C613" s="35" t="s">
        <v>418</v>
      </c>
      <c r="D613" t="s">
        <v>502</v>
      </c>
      <c r="E613" t="s">
        <v>520</v>
      </c>
      <c r="F613" s="188" t="n">
        <v>2040</v>
      </c>
      <c r="G613" s="189" t="n">
        <v>41</v>
      </c>
      <c r="H613" s="190" t="n">
        <v>3357.829085115</v>
      </c>
      <c r="I613" s="191" t="n">
        <v>4276001.02656197</v>
      </c>
      <c r="J613" s="192" t="str">
        <f>IF(I613&gt;0,H613/I613,0)</f>
      </c>
      <c r="K613" s="193" t="str">
        <f>1-EXP(-J613)</f>
      </c>
      <c r="L613" s="194" t="str">
        <f>IF(G613=30,1,M612)</f>
      </c>
      <c r="M613" s="195" t="str">
        <f>L613*(1-K613)</f>
      </c>
    </row>
    <row r="614">
      <c r="A614" t="s">
        <v>167</v>
      </c>
      <c r="B614" t="s">
        <v>254</v>
      </c>
      <c r="C614" s="35" t="s">
        <v>418</v>
      </c>
      <c r="D614" t="s">
        <v>502</v>
      </c>
      <c r="E614" t="s">
        <v>520</v>
      </c>
      <c r="F614" s="188" t="n">
        <v>2040</v>
      </c>
      <c r="G614" s="189" t="n">
        <v>42</v>
      </c>
      <c r="H614" s="190" t="n">
        <v>3696.7064165446</v>
      </c>
      <c r="I614" s="191" t="n">
        <v>4330471.35523864</v>
      </c>
      <c r="J614" s="192" t="str">
        <f>IF(I614&gt;0,H614/I614,0)</f>
      </c>
      <c r="K614" s="193" t="str">
        <f>1-EXP(-J614)</f>
      </c>
      <c r="L614" s="194" t="str">
        <f>IF(G614=30,1,M613)</f>
      </c>
      <c r="M614" s="195" t="str">
        <f>L614*(1-K614)</f>
      </c>
    </row>
    <row r="615">
      <c r="A615" t="s">
        <v>167</v>
      </c>
      <c r="B615" t="s">
        <v>254</v>
      </c>
      <c r="C615" s="35" t="s">
        <v>418</v>
      </c>
      <c r="D615" t="s">
        <v>502</v>
      </c>
      <c r="E615" t="s">
        <v>520</v>
      </c>
      <c r="F615" s="188" t="n">
        <v>2040</v>
      </c>
      <c r="G615" s="189" t="n">
        <v>43</v>
      </c>
      <c r="H615" s="190" t="n">
        <v>4355.95775040348</v>
      </c>
      <c r="I615" s="191" t="n">
        <v>4461008.21739485</v>
      </c>
      <c r="J615" s="192" t="str">
        <f>IF(I615&gt;0,H615/I615,0)</f>
      </c>
      <c r="K615" s="193" t="str">
        <f>1-EXP(-J615)</f>
      </c>
      <c r="L615" s="194" t="str">
        <f>IF(G615=30,1,M614)</f>
      </c>
      <c r="M615" s="195" t="str">
        <f>L615*(1-K615)</f>
      </c>
    </row>
    <row r="616">
      <c r="A616" t="s">
        <v>167</v>
      </c>
      <c r="B616" t="s">
        <v>254</v>
      </c>
      <c r="C616" s="35" t="s">
        <v>418</v>
      </c>
      <c r="D616" t="s">
        <v>502</v>
      </c>
      <c r="E616" t="s">
        <v>520</v>
      </c>
      <c r="F616" s="188" t="n">
        <v>2040</v>
      </c>
      <c r="G616" s="189" t="n">
        <v>44</v>
      </c>
      <c r="H616" s="190" t="n">
        <v>4696.25505922756</v>
      </c>
      <c r="I616" s="191" t="n">
        <v>4412748.84996265</v>
      </c>
      <c r="J616" s="192" t="str">
        <f>IF(I616&gt;0,H616/I616,0)</f>
      </c>
      <c r="K616" s="193" t="str">
        <f>1-EXP(-J616)</f>
      </c>
      <c r="L616" s="194" t="str">
        <f>IF(G616=30,1,M615)</f>
      </c>
      <c r="M616" s="195" t="str">
        <f>L616*(1-K616)</f>
      </c>
    </row>
    <row r="617">
      <c r="A617" t="s">
        <v>167</v>
      </c>
      <c r="B617" t="s">
        <v>254</v>
      </c>
      <c r="C617" s="35" t="s">
        <v>418</v>
      </c>
      <c r="D617" t="s">
        <v>502</v>
      </c>
      <c r="E617" t="s">
        <v>520</v>
      </c>
      <c r="F617" s="188" t="n">
        <v>2040</v>
      </c>
      <c r="G617" s="189" t="n">
        <v>45</v>
      </c>
      <c r="H617" s="190" t="n">
        <v>5928.29692637653</v>
      </c>
      <c r="I617" s="191" t="n">
        <v>4334322.9678967</v>
      </c>
      <c r="J617" s="192" t="str">
        <f>IF(I617&gt;0,H617/I617,0)</f>
      </c>
      <c r="K617" s="193" t="str">
        <f>1-EXP(-J617)</f>
      </c>
      <c r="L617" s="194" t="str">
        <f>IF(G617=30,1,M616)</f>
      </c>
      <c r="M617" s="195" t="str">
        <f>L617*(1-K617)</f>
      </c>
    </row>
    <row r="618">
      <c r="A618" t="s">
        <v>167</v>
      </c>
      <c r="B618" t="s">
        <v>254</v>
      </c>
      <c r="C618" s="35" t="s">
        <v>418</v>
      </c>
      <c r="D618" t="s">
        <v>502</v>
      </c>
      <c r="E618" t="s">
        <v>520</v>
      </c>
      <c r="F618" s="188" t="n">
        <v>2040</v>
      </c>
      <c r="G618" s="189" t="n">
        <v>46</v>
      </c>
      <c r="H618" s="190" t="n">
        <v>6357.37490959112</v>
      </c>
      <c r="I618" s="191" t="n">
        <v>4269763.7398326</v>
      </c>
      <c r="J618" s="192" t="str">
        <f>IF(I618&gt;0,H618/I618,0)</f>
      </c>
      <c r="K618" s="193" t="str">
        <f>1-EXP(-J618)</f>
      </c>
      <c r="L618" s="194" t="str">
        <f>IF(G618=30,1,M617)</f>
      </c>
      <c r="M618" s="195" t="str">
        <f>L618*(1-K618)</f>
      </c>
    </row>
    <row r="619">
      <c r="A619" t="s">
        <v>167</v>
      </c>
      <c r="B619" t="s">
        <v>254</v>
      </c>
      <c r="C619" s="35" t="s">
        <v>418</v>
      </c>
      <c r="D619" t="s">
        <v>502</v>
      </c>
      <c r="E619" t="s">
        <v>520</v>
      </c>
      <c r="F619" s="188" t="n">
        <v>2040</v>
      </c>
      <c r="G619" s="189" t="n">
        <v>47</v>
      </c>
      <c r="H619" s="190" t="n">
        <v>6873.05461215611</v>
      </c>
      <c r="I619" s="191" t="n">
        <v>4208949.99838478</v>
      </c>
      <c r="J619" s="192" t="str">
        <f>IF(I619&gt;0,H619/I619,0)</f>
      </c>
      <c r="K619" s="193" t="str">
        <f>1-EXP(-J619)</f>
      </c>
      <c r="L619" s="194" t="str">
        <f>IF(G619=30,1,M618)</f>
      </c>
      <c r="M619" s="195" t="str">
        <f>L619*(1-K619)</f>
      </c>
    </row>
    <row r="620">
      <c r="A620" t="s">
        <v>167</v>
      </c>
      <c r="B620" t="s">
        <v>254</v>
      </c>
      <c r="C620" s="35" t="s">
        <v>418</v>
      </c>
      <c r="D620" t="s">
        <v>502</v>
      </c>
      <c r="E620" t="s">
        <v>520</v>
      </c>
      <c r="F620" s="188" t="n">
        <v>2040</v>
      </c>
      <c r="G620" s="189" t="n">
        <v>48</v>
      </c>
      <c r="H620" s="190" t="n">
        <v>7583.11313049334</v>
      </c>
      <c r="I620" s="191" t="n">
        <v>4236276.57556414</v>
      </c>
      <c r="J620" s="192" t="str">
        <f>IF(I620&gt;0,H620/I620,0)</f>
      </c>
      <c r="K620" s="193" t="str">
        <f>1-EXP(-J620)</f>
      </c>
      <c r="L620" s="194" t="str">
        <f>IF(G620=30,1,M619)</f>
      </c>
      <c r="M620" s="195" t="str">
        <f>L620*(1-K620)</f>
      </c>
    </row>
    <row r="621">
      <c r="A621" t="s">
        <v>167</v>
      </c>
      <c r="B621" t="s">
        <v>254</v>
      </c>
      <c r="C621" s="35" t="s">
        <v>418</v>
      </c>
      <c r="D621" t="s">
        <v>502</v>
      </c>
      <c r="E621" t="s">
        <v>520</v>
      </c>
      <c r="F621" s="188" t="n">
        <v>2040</v>
      </c>
      <c r="G621" s="189" t="n">
        <v>49</v>
      </c>
      <c r="H621" s="190" t="n">
        <v>8338.67670362648</v>
      </c>
      <c r="I621" s="191" t="n">
        <v>4243146.87151821</v>
      </c>
      <c r="J621" s="192" t="str">
        <f>IF(I621&gt;0,H621/I621,0)</f>
      </c>
      <c r="K621" s="193" t="str">
        <f>1-EXP(-J621)</f>
      </c>
      <c r="L621" s="194" t="str">
        <f>IF(G621=30,1,M620)</f>
      </c>
      <c r="M621" s="195" t="str">
        <f>L621*(1-K621)</f>
      </c>
    </row>
    <row r="622">
      <c r="A622" t="s">
        <v>167</v>
      </c>
      <c r="B622" t="s">
        <v>254</v>
      </c>
      <c r="C622" s="35" t="s">
        <v>418</v>
      </c>
      <c r="D622" t="s">
        <v>502</v>
      </c>
      <c r="E622" t="s">
        <v>520</v>
      </c>
      <c r="F622" s="188" t="n">
        <v>2040</v>
      </c>
      <c r="G622" s="189" t="n">
        <v>50</v>
      </c>
      <c r="H622" s="190" t="n">
        <v>12951.4344003854</v>
      </c>
      <c r="I622" s="191" t="n">
        <v>6241500.00211199</v>
      </c>
      <c r="J622" s="192" t="str">
        <f>IF(I622&gt;0,H622/I622,0)</f>
      </c>
      <c r="K622" s="193" t="str">
        <f>1-EXP(-J622)</f>
      </c>
      <c r="L622" s="194" t="str">
        <f>IF(G622=30,1,M621)</f>
      </c>
      <c r="M622" s="195" t="str">
        <f>L622*(1-K622)</f>
      </c>
    </row>
    <row r="623">
      <c r="A623" t="s">
        <v>167</v>
      </c>
      <c r="B623" t="s">
        <v>254</v>
      </c>
      <c r="C623" s="35" t="s">
        <v>418</v>
      </c>
      <c r="D623" t="s">
        <v>502</v>
      </c>
      <c r="E623" t="s">
        <v>520</v>
      </c>
      <c r="F623" s="188" t="n">
        <v>2040</v>
      </c>
      <c r="G623" s="189" t="n">
        <v>51</v>
      </c>
      <c r="H623" s="190" t="n">
        <v>10318.5090703517</v>
      </c>
      <c r="I623" s="191" t="n">
        <v>4177545.43355594</v>
      </c>
      <c r="J623" s="192" t="str">
        <f>IF(I623&gt;0,H623/I623,0)</f>
      </c>
      <c r="K623" s="193" t="str">
        <f>1-EXP(-J623)</f>
      </c>
      <c r="L623" s="194" t="str">
        <f>IF(G623=30,1,M622)</f>
      </c>
      <c r="M623" s="195" t="str">
        <f>L623*(1-K623)</f>
      </c>
    </row>
    <row r="624">
      <c r="A624" t="s">
        <v>167</v>
      </c>
      <c r="B624" t="s">
        <v>254</v>
      </c>
      <c r="C624" s="35" t="s">
        <v>418</v>
      </c>
      <c r="D624" t="s">
        <v>502</v>
      </c>
      <c r="E624" t="s">
        <v>520</v>
      </c>
      <c r="F624" s="188" t="n">
        <v>2040</v>
      </c>
      <c r="G624" s="189" t="n">
        <v>52</v>
      </c>
      <c r="H624" s="190" t="n">
        <v>11212.6997533995</v>
      </c>
      <c r="I624" s="191" t="n">
        <v>4147078.17574185</v>
      </c>
      <c r="J624" s="192" t="str">
        <f>IF(I624&gt;0,H624/I624,0)</f>
      </c>
      <c r="K624" s="193" t="str">
        <f>1-EXP(-J624)</f>
      </c>
      <c r="L624" s="194" t="str">
        <f>IF(G624=30,1,M623)</f>
      </c>
      <c r="M624" s="195" t="str">
        <f>L624*(1-K624)</f>
      </c>
    </row>
    <row r="625">
      <c r="A625" t="s">
        <v>167</v>
      </c>
      <c r="B625" t="s">
        <v>254</v>
      </c>
      <c r="C625" s="35" t="s">
        <v>418</v>
      </c>
      <c r="D625" t="s">
        <v>502</v>
      </c>
      <c r="E625" t="s">
        <v>520</v>
      </c>
      <c r="F625" s="188" t="n">
        <v>2040</v>
      </c>
      <c r="G625" s="189" t="n">
        <v>53</v>
      </c>
      <c r="H625" s="190" t="n">
        <v>11841.3125775089</v>
      </c>
      <c r="I625" s="191" t="n">
        <v>4004680.14368143</v>
      </c>
      <c r="J625" s="192" t="str">
        <f>IF(I625&gt;0,H625/I625,0)</f>
      </c>
      <c r="K625" s="193" t="str">
        <f>1-EXP(-J625)</f>
      </c>
      <c r="L625" s="194" t="str">
        <f>IF(G625=30,1,M624)</f>
      </c>
      <c r="M625" s="195" t="str">
        <f>L625*(1-K625)</f>
      </c>
    </row>
    <row r="626">
      <c r="A626" t="s">
        <v>167</v>
      </c>
      <c r="B626" t="s">
        <v>254</v>
      </c>
      <c r="C626" s="35" t="s">
        <v>418</v>
      </c>
      <c r="D626" t="s">
        <v>502</v>
      </c>
      <c r="E626" t="s">
        <v>520</v>
      </c>
      <c r="F626" s="188" t="n">
        <v>2040</v>
      </c>
      <c r="G626" s="189" t="n">
        <v>54</v>
      </c>
      <c r="H626" s="190" t="n">
        <v>12768.4679581839</v>
      </c>
      <c r="I626" s="191" t="n">
        <v>3954916.85713916</v>
      </c>
      <c r="J626" s="192" t="str">
        <f>IF(I626&gt;0,H626/I626,0)</f>
      </c>
      <c r="K626" s="193" t="str">
        <f>1-EXP(-J626)</f>
      </c>
      <c r="L626" s="194" t="str">
        <f>IF(G626=30,1,M625)</f>
      </c>
      <c r="M626" s="195" t="str">
        <f>L626*(1-K626)</f>
      </c>
    </row>
    <row r="627">
      <c r="A627" t="s">
        <v>167</v>
      </c>
      <c r="B627" t="s">
        <v>254</v>
      </c>
      <c r="C627" s="35" t="s">
        <v>418</v>
      </c>
      <c r="D627" t="s">
        <v>502</v>
      </c>
      <c r="E627" t="s">
        <v>520</v>
      </c>
      <c r="F627" s="188" t="n">
        <v>2040</v>
      </c>
      <c r="G627" s="189" t="n">
        <v>55</v>
      </c>
      <c r="H627" s="190" t="n">
        <v>13961.8855167632</v>
      </c>
      <c r="I627" s="191" t="n">
        <v>3992615.31215463</v>
      </c>
      <c r="J627" s="192" t="str">
        <f>IF(I627&gt;0,H627/I627,0)</f>
      </c>
      <c r="K627" s="193" t="str">
        <f>1-EXP(-J627)</f>
      </c>
      <c r="L627" s="194" t="str">
        <f>IF(G627=30,1,M626)</f>
      </c>
      <c r="M627" s="195" t="str">
        <f>L627*(1-K627)</f>
      </c>
    </row>
    <row r="628">
      <c r="A628" t="s">
        <v>167</v>
      </c>
      <c r="B628" t="s">
        <v>254</v>
      </c>
      <c r="C628" s="35" t="s">
        <v>418</v>
      </c>
      <c r="D628" t="s">
        <v>502</v>
      </c>
      <c r="E628" t="s">
        <v>520</v>
      </c>
      <c r="F628" s="188" t="n">
        <v>2040</v>
      </c>
      <c r="G628" s="189" t="n">
        <v>56</v>
      </c>
      <c r="H628" s="190" t="n">
        <v>15386.3652025195</v>
      </c>
      <c r="I628" s="191" t="n">
        <v>4051606.66626991</v>
      </c>
      <c r="J628" s="192" t="str">
        <f>IF(I628&gt;0,H628/I628,0)</f>
      </c>
      <c r="K628" s="193" t="str">
        <f>1-EXP(-J628)</f>
      </c>
      <c r="L628" s="194" t="str">
        <f>IF(G628=30,1,M627)</f>
      </c>
      <c r="M628" s="195" t="str">
        <f>L628*(1-K628)</f>
      </c>
    </row>
    <row r="629">
      <c r="A629" t="s">
        <v>167</v>
      </c>
      <c r="B629" t="s">
        <v>254</v>
      </c>
      <c r="C629" s="35" t="s">
        <v>418</v>
      </c>
      <c r="D629" t="s">
        <v>502</v>
      </c>
      <c r="E629" t="s">
        <v>520</v>
      </c>
      <c r="F629" s="188" t="n">
        <v>2040</v>
      </c>
      <c r="G629" s="189" t="n">
        <v>57</v>
      </c>
      <c r="H629" s="190" t="n">
        <v>16624.8023078346</v>
      </c>
      <c r="I629" s="191" t="n">
        <v>4006128.9127898</v>
      </c>
      <c r="J629" s="192" t="str">
        <f>IF(I629&gt;0,H629/I629,0)</f>
      </c>
      <c r="K629" s="193" t="str">
        <f>1-EXP(-J629)</f>
      </c>
      <c r="L629" s="194" t="str">
        <f>IF(G629=30,1,M628)</f>
      </c>
      <c r="M629" s="195" t="str">
        <f>L629*(1-K629)</f>
      </c>
    </row>
    <row r="630">
      <c r="A630" t="s">
        <v>167</v>
      </c>
      <c r="B630" t="s">
        <v>254</v>
      </c>
      <c r="C630" s="35" t="s">
        <v>418</v>
      </c>
      <c r="D630" t="s">
        <v>502</v>
      </c>
      <c r="E630" t="s">
        <v>520</v>
      </c>
      <c r="F630" s="188" t="n">
        <v>2040</v>
      </c>
      <c r="G630" s="189" t="n">
        <v>58</v>
      </c>
      <c r="H630" s="190" t="n">
        <v>17515.6360185168</v>
      </c>
      <c r="I630" s="191" t="n">
        <v>3854087.39814286</v>
      </c>
      <c r="J630" s="192" t="str">
        <f>IF(I630&gt;0,H630/I630,0)</f>
      </c>
      <c r="K630" s="193" t="str">
        <f>1-EXP(-J630)</f>
      </c>
      <c r="L630" s="194" t="str">
        <f>IF(G630=30,1,M629)</f>
      </c>
      <c r="M630" s="195" t="str">
        <f>L630*(1-K630)</f>
      </c>
    </row>
    <row r="631">
      <c r="A631" t="s">
        <v>167</v>
      </c>
      <c r="B631" t="s">
        <v>254</v>
      </c>
      <c r="C631" s="35" t="s">
        <v>418</v>
      </c>
      <c r="D631" t="s">
        <v>502</v>
      </c>
      <c r="E631" t="s">
        <v>520</v>
      </c>
      <c r="F631" s="188" t="n">
        <v>2040</v>
      </c>
      <c r="G631" s="189" t="n">
        <v>59</v>
      </c>
      <c r="H631" s="190" t="n">
        <v>18715.4653728548</v>
      </c>
      <c r="I631" s="191" t="n">
        <v>3759485.7406004</v>
      </c>
      <c r="J631" s="192" t="str">
        <f>IF(I631&gt;0,H631/I631,0)</f>
      </c>
      <c r="K631" s="193" t="str">
        <f>1-EXP(-J631)</f>
      </c>
      <c r="L631" s="194" t="str">
        <f>IF(G631=30,1,M630)</f>
      </c>
      <c r="M631" s="195" t="str">
        <f>L631*(1-K631)</f>
      </c>
    </row>
    <row r="632">
      <c r="A632" t="s">
        <v>167</v>
      </c>
      <c r="B632" t="s">
        <v>254</v>
      </c>
      <c r="C632" s="35" t="s">
        <v>418</v>
      </c>
      <c r="D632" t="s">
        <v>502</v>
      </c>
      <c r="E632" t="s">
        <v>520</v>
      </c>
      <c r="F632" s="188" t="n">
        <v>2040</v>
      </c>
      <c r="G632" s="189" t="n">
        <v>60</v>
      </c>
      <c r="H632" s="190" t="n">
        <v>20001.8845454665</v>
      </c>
      <c r="I632" s="191" t="n">
        <v>3678148.30493386</v>
      </c>
      <c r="J632" s="192" t="str">
        <f>IF(I632&gt;0,H632/I632,0)</f>
      </c>
      <c r="K632" s="193" t="str">
        <f>1-EXP(-J632)</f>
      </c>
      <c r="L632" s="194" t="str">
        <f>IF(G632=30,1,M631)</f>
      </c>
      <c r="M632" s="195" t="str">
        <f>L632*(1-K632)</f>
      </c>
    </row>
    <row r="633">
      <c r="A633" t="s">
        <v>167</v>
      </c>
      <c r="B633" t="s">
        <v>254</v>
      </c>
      <c r="C633" s="35" t="s">
        <v>418</v>
      </c>
      <c r="D633" t="s">
        <v>502</v>
      </c>
      <c r="E633" t="s">
        <v>520</v>
      </c>
      <c r="F633" s="188" t="n">
        <v>2040</v>
      </c>
      <c r="G633" s="189" t="n">
        <v>61</v>
      </c>
      <c r="H633" s="190" t="n">
        <v>21424.9991540854</v>
      </c>
      <c r="I633" s="191" t="n">
        <v>3589983.94319208</v>
      </c>
      <c r="J633" s="192" t="str">
        <f>IF(I633&gt;0,H633/I633,0)</f>
      </c>
      <c r="K633" s="193" t="str">
        <f>1-EXP(-J633)</f>
      </c>
      <c r="L633" s="194" t="str">
        <f>IF(G633=30,1,M632)</f>
      </c>
      <c r="M633" s="195" t="str">
        <f>L633*(1-K633)</f>
      </c>
    </row>
    <row r="634">
      <c r="A634" t="s">
        <v>167</v>
      </c>
      <c r="B634" t="s">
        <v>254</v>
      </c>
      <c r="C634" s="35" t="s">
        <v>418</v>
      </c>
      <c r="D634" t="s">
        <v>502</v>
      </c>
      <c r="E634" t="s">
        <v>520</v>
      </c>
      <c r="F634" s="188" t="n">
        <v>2040</v>
      </c>
      <c r="G634" s="189" t="n">
        <v>62</v>
      </c>
      <c r="H634" s="190" t="n">
        <v>22805.6306290799</v>
      </c>
      <c r="I634" s="191" t="n">
        <v>3482825.8023124</v>
      </c>
      <c r="J634" s="192" t="str">
        <f>IF(I634&gt;0,H634/I634,0)</f>
      </c>
      <c r="K634" s="193" t="str">
        <f>1-EXP(-J634)</f>
      </c>
      <c r="L634" s="194" t="str">
        <f>IF(G634=30,1,M633)</f>
      </c>
      <c r="M634" s="195" t="str">
        <f>L634*(1-K634)</f>
      </c>
    </row>
    <row r="635">
      <c r="A635" t="s">
        <v>167</v>
      </c>
      <c r="B635" t="s">
        <v>254</v>
      </c>
      <c r="C635" s="35" t="s">
        <v>418</v>
      </c>
      <c r="D635" t="s">
        <v>502</v>
      </c>
      <c r="E635" t="s">
        <v>520</v>
      </c>
      <c r="F635" s="188" t="n">
        <v>2040</v>
      </c>
      <c r="G635" s="189" t="n">
        <v>63</v>
      </c>
      <c r="H635" s="190" t="n">
        <v>24379.5810174021</v>
      </c>
      <c r="I635" s="191" t="n">
        <v>3389093.15100237</v>
      </c>
      <c r="J635" s="192" t="str">
        <f>IF(I635&gt;0,H635/I635,0)</f>
      </c>
      <c r="K635" s="193" t="str">
        <f>1-EXP(-J635)</f>
      </c>
      <c r="L635" s="194" t="str">
        <f>IF(G635=30,1,M634)</f>
      </c>
      <c r="M635" s="195" t="str">
        <f>L635*(1-K635)</f>
      </c>
    </row>
    <row r="636">
      <c r="A636" t="s">
        <v>167</v>
      </c>
      <c r="B636" t="s">
        <v>254</v>
      </c>
      <c r="C636" s="35" t="s">
        <v>418</v>
      </c>
      <c r="D636" t="s">
        <v>502</v>
      </c>
      <c r="E636" t="s">
        <v>520</v>
      </c>
      <c r="F636" s="188" t="n">
        <v>2040</v>
      </c>
      <c r="G636" s="189" t="n">
        <v>64</v>
      </c>
      <c r="H636" s="190" t="n">
        <v>25912.451586701</v>
      </c>
      <c r="I636" s="191" t="n">
        <v>3283525.59079326</v>
      </c>
      <c r="J636" s="192" t="str">
        <f>IF(I636&gt;0,H636/I636,0)</f>
      </c>
      <c r="K636" s="193" t="str">
        <f>1-EXP(-J636)</f>
      </c>
      <c r="L636" s="194" t="str">
        <f>IF(G636=30,1,M635)</f>
      </c>
      <c r="M636" s="195" t="str">
        <f>L636*(1-K636)</f>
      </c>
    </row>
    <row r="637">
      <c r="A637" t="s">
        <v>167</v>
      </c>
      <c r="B637" t="s">
        <v>254</v>
      </c>
      <c r="C637" s="35" t="s">
        <v>418</v>
      </c>
      <c r="D637" t="s">
        <v>502</v>
      </c>
      <c r="E637" t="s">
        <v>520</v>
      </c>
      <c r="F637" s="188" t="n">
        <v>2040</v>
      </c>
      <c r="G637" s="189" t="n">
        <v>65</v>
      </c>
      <c r="H637" s="190" t="n">
        <v>26356.4822211888</v>
      </c>
      <c r="I637" s="191" t="n">
        <v>3175729.52931055</v>
      </c>
      <c r="J637" s="192" t="str">
        <f>IF(I637&gt;0,H637/I637,0)</f>
      </c>
      <c r="K637" s="193" t="str">
        <f>1-EXP(-J637)</f>
      </c>
      <c r="L637" s="194" t="str">
        <f>IF(G637=30,1,M636)</f>
      </c>
      <c r="M637" s="195" t="str">
        <f>L637*(1-K637)</f>
      </c>
    </row>
    <row r="638">
      <c r="A638" t="s">
        <v>167</v>
      </c>
      <c r="B638" t="s">
        <v>254</v>
      </c>
      <c r="C638" s="35" t="s">
        <v>418</v>
      </c>
      <c r="D638" t="s">
        <v>502</v>
      </c>
      <c r="E638" t="s">
        <v>520</v>
      </c>
      <c r="F638" s="188" t="n">
        <v>2040</v>
      </c>
      <c r="G638" s="189" t="n">
        <v>66</v>
      </c>
      <c r="H638" s="190" t="n">
        <v>27662.1319038643</v>
      </c>
      <c r="I638" s="191" t="n">
        <v>3043211.55199514</v>
      </c>
      <c r="J638" s="192" t="str">
        <f>IF(I638&gt;0,H638/I638,0)</f>
      </c>
      <c r="K638" s="193" t="str">
        <f>1-EXP(-J638)</f>
      </c>
      <c r="L638" s="194" t="str">
        <f>IF(G638=30,1,M637)</f>
      </c>
      <c r="M638" s="195" t="str">
        <f>L638*(1-K638)</f>
      </c>
    </row>
    <row r="639">
      <c r="A639" t="s">
        <v>167</v>
      </c>
      <c r="B639" t="s">
        <v>254</v>
      </c>
      <c r="C639" s="35" t="s">
        <v>418</v>
      </c>
      <c r="D639" t="s">
        <v>502</v>
      </c>
      <c r="E639" t="s">
        <v>520</v>
      </c>
      <c r="F639" s="188" t="n">
        <v>2040</v>
      </c>
      <c r="G639" s="189" t="n">
        <v>67</v>
      </c>
      <c r="H639" s="190" t="n">
        <v>29555.2172334867</v>
      </c>
      <c r="I639" s="191" t="n">
        <v>2960164.0208562</v>
      </c>
      <c r="J639" s="192" t="str">
        <f>IF(I639&gt;0,H639/I639,0)</f>
      </c>
      <c r="K639" s="193" t="str">
        <f>1-EXP(-J639)</f>
      </c>
      <c r="L639" s="194" t="str">
        <f>IF(G639=30,1,M638)</f>
      </c>
      <c r="M639" s="195" t="str">
        <f>L639*(1-K639)</f>
      </c>
    </row>
    <row r="640">
      <c r="A640" t="s">
        <v>167</v>
      </c>
      <c r="B640" t="s">
        <v>254</v>
      </c>
      <c r="C640" s="35" t="s">
        <v>418</v>
      </c>
      <c r="D640" t="s">
        <v>502</v>
      </c>
      <c r="E640" t="s">
        <v>520</v>
      </c>
      <c r="F640" s="188" t="n">
        <v>2040</v>
      </c>
      <c r="G640" s="189" t="n">
        <v>68</v>
      </c>
      <c r="H640" s="190" t="n">
        <v>30079.7967839826</v>
      </c>
      <c r="I640" s="191" t="n">
        <v>2737794.37620827</v>
      </c>
      <c r="J640" s="192" t="str">
        <f>IF(I640&gt;0,H640/I640,0)</f>
      </c>
      <c r="K640" s="193" t="str">
        <f>1-EXP(-J640)</f>
      </c>
      <c r="L640" s="194" t="str">
        <f>IF(G640=30,1,M639)</f>
      </c>
      <c r="M640" s="195" t="str">
        <f>L640*(1-K640)</f>
      </c>
    </row>
    <row r="641">
      <c r="A641" t="s">
        <v>167</v>
      </c>
      <c r="B641" t="s">
        <v>254</v>
      </c>
      <c r="C641" s="35" t="s">
        <v>418</v>
      </c>
      <c r="D641" t="s">
        <v>502</v>
      </c>
      <c r="E641" t="s">
        <v>520</v>
      </c>
      <c r="F641" s="188" t="n">
        <v>2040</v>
      </c>
      <c r="G641" s="189" t="n">
        <v>69</v>
      </c>
      <c r="H641" s="190" t="n">
        <v>31643.4825032095</v>
      </c>
      <c r="I641" s="191" t="n">
        <v>2617426.98717834</v>
      </c>
      <c r="J641" s="192" t="str">
        <f>IF(I641&gt;0,H641/I641,0)</f>
      </c>
      <c r="K641" s="193" t="str">
        <f>1-EXP(-J641)</f>
      </c>
      <c r="L641" s="194" t="str">
        <f>IF(G641=30,1,M640)</f>
      </c>
      <c r="M641" s="195" t="str">
        <f>L641*(1-K641)</f>
      </c>
    </row>
    <row r="642">
      <c r="A642" t="s">
        <v>167</v>
      </c>
      <c r="B642" t="s">
        <v>254</v>
      </c>
      <c r="C642" s="35" t="s">
        <v>418</v>
      </c>
      <c r="D642" t="s">
        <v>502</v>
      </c>
      <c r="E642" t="s">
        <v>520</v>
      </c>
      <c r="F642" s="188" t="n">
        <v>2041</v>
      </c>
      <c r="G642" s="189" t="n">
        <v>30</v>
      </c>
      <c r="H642" s="190" t="n">
        <v>781.073187907921</v>
      </c>
      <c r="I642" s="191" t="n">
        <v>4884251.71327954</v>
      </c>
      <c r="J642" s="192" t="str">
        <f>IF(I642&gt;0,H642/I642,0)</f>
      </c>
      <c r="K642" s="193" t="str">
        <f>1-EXP(-J642)</f>
      </c>
      <c r="L642" s="194" t="str">
        <f>IF(G642=30,1,M641)</f>
      </c>
      <c r="M642" s="195" t="str">
        <f>L642*(1-K642)</f>
      </c>
    </row>
    <row r="643">
      <c r="A643" t="s">
        <v>167</v>
      </c>
      <c r="B643" t="s">
        <v>254</v>
      </c>
      <c r="C643" s="35" t="s">
        <v>418</v>
      </c>
      <c r="D643" t="s">
        <v>502</v>
      </c>
      <c r="E643" t="s">
        <v>520</v>
      </c>
      <c r="F643" s="188" t="n">
        <v>2041</v>
      </c>
      <c r="G643" s="189" t="n">
        <v>31</v>
      </c>
      <c r="H643" s="190" t="n">
        <v>975.743559051371</v>
      </c>
      <c r="I643" s="191" t="n">
        <v>4750302.14334668</v>
      </c>
      <c r="J643" s="192" t="str">
        <f>IF(I643&gt;0,H643/I643,0)</f>
      </c>
      <c r="K643" s="193" t="str">
        <f>1-EXP(-J643)</f>
      </c>
      <c r="L643" s="194" t="str">
        <f>IF(G643=30,1,M642)</f>
      </c>
      <c r="M643" s="195" t="str">
        <f>L643*(1-K643)</f>
      </c>
    </row>
    <row r="644">
      <c r="A644" t="s">
        <v>167</v>
      </c>
      <c r="B644" t="s">
        <v>254</v>
      </c>
      <c r="C644" s="35" t="s">
        <v>418</v>
      </c>
      <c r="D644" t="s">
        <v>502</v>
      </c>
      <c r="E644" t="s">
        <v>520</v>
      </c>
      <c r="F644" s="188" t="n">
        <v>2041</v>
      </c>
      <c r="G644" s="189" t="n">
        <v>32</v>
      </c>
      <c r="H644" s="190" t="n">
        <v>1013.15592708</v>
      </c>
      <c r="I644" s="191" t="n">
        <v>4679639.11580539</v>
      </c>
      <c r="J644" s="192" t="str">
        <f>IF(I644&gt;0,H644/I644,0)</f>
      </c>
      <c r="K644" s="193" t="str">
        <f>1-EXP(-J644)</f>
      </c>
      <c r="L644" s="194" t="str">
        <f>IF(G644=30,1,M643)</f>
      </c>
      <c r="M644" s="195" t="str">
        <f>L644*(1-K644)</f>
      </c>
    </row>
    <row r="645">
      <c r="A645" t="s">
        <v>167</v>
      </c>
      <c r="B645" t="s">
        <v>254</v>
      </c>
      <c r="C645" s="35" t="s">
        <v>418</v>
      </c>
      <c r="D645" t="s">
        <v>502</v>
      </c>
      <c r="E645" t="s">
        <v>520</v>
      </c>
      <c r="F645" s="188" t="n">
        <v>2041</v>
      </c>
      <c r="G645" s="189" t="n">
        <v>33</v>
      </c>
      <c r="H645" s="190" t="n">
        <v>1064.53528456988</v>
      </c>
      <c r="I645" s="191" t="n">
        <v>4636989.08599203</v>
      </c>
      <c r="J645" s="192" t="str">
        <f>IF(I645&gt;0,H645/I645,0)</f>
      </c>
      <c r="K645" s="193" t="str">
        <f>1-EXP(-J645)</f>
      </c>
      <c r="L645" s="194" t="str">
        <f>IF(G645=30,1,M644)</f>
      </c>
      <c r="M645" s="195" t="str">
        <f>L645*(1-K645)</f>
      </c>
    </row>
    <row r="646">
      <c r="A646" t="s">
        <v>167</v>
      </c>
      <c r="B646" t="s">
        <v>254</v>
      </c>
      <c r="C646" s="35" t="s">
        <v>418</v>
      </c>
      <c r="D646" t="s">
        <v>502</v>
      </c>
      <c r="E646" t="s">
        <v>520</v>
      </c>
      <c r="F646" s="188" t="n">
        <v>2041</v>
      </c>
      <c r="G646" s="189" t="n">
        <v>34</v>
      </c>
      <c r="H646" s="190" t="n">
        <v>1193.38836880006</v>
      </c>
      <c r="I646" s="191" t="n">
        <v>4662747.27749291</v>
      </c>
      <c r="J646" s="192" t="str">
        <f>IF(I646&gt;0,H646/I646,0)</f>
      </c>
      <c r="K646" s="193" t="str">
        <f>1-EXP(-J646)</f>
      </c>
      <c r="L646" s="194" t="str">
        <f>IF(G646=30,1,M645)</f>
      </c>
      <c r="M646" s="195" t="str">
        <f>L646*(1-K646)</f>
      </c>
    </row>
    <row r="647">
      <c r="A647" t="s">
        <v>167</v>
      </c>
      <c r="B647" t="s">
        <v>254</v>
      </c>
      <c r="C647" s="35" t="s">
        <v>418</v>
      </c>
      <c r="D647" t="s">
        <v>502</v>
      </c>
      <c r="E647" t="s">
        <v>520</v>
      </c>
      <c r="F647" s="188" t="n">
        <v>2041</v>
      </c>
      <c r="G647" s="189" t="n">
        <v>35</v>
      </c>
      <c r="H647" s="190" t="n">
        <v>1558.74780825308</v>
      </c>
      <c r="I647" s="191" t="n">
        <v>4579431.9879216</v>
      </c>
      <c r="J647" s="192" t="str">
        <f>IF(I647&gt;0,H647/I647,0)</f>
      </c>
      <c r="K647" s="193" t="str">
        <f>1-EXP(-J647)</f>
      </c>
      <c r="L647" s="194" t="str">
        <f>IF(G647=30,1,M646)</f>
      </c>
      <c r="M647" s="195" t="str">
        <f>L647*(1-K647)</f>
      </c>
    </row>
    <row r="648">
      <c r="A648" t="s">
        <v>167</v>
      </c>
      <c r="B648" t="s">
        <v>254</v>
      </c>
      <c r="C648" s="35" t="s">
        <v>418</v>
      </c>
      <c r="D648" t="s">
        <v>502</v>
      </c>
      <c r="E648" t="s">
        <v>520</v>
      </c>
      <c r="F648" s="188" t="n">
        <v>2041</v>
      </c>
      <c r="G648" s="189" t="n">
        <v>36</v>
      </c>
      <c r="H648" s="190" t="n">
        <v>1778.94544029205</v>
      </c>
      <c r="I648" s="191" t="n">
        <v>4517469.03426148</v>
      </c>
      <c r="J648" s="192" t="str">
        <f>IF(I648&gt;0,H648/I648,0)</f>
      </c>
      <c r="K648" s="193" t="str">
        <f>1-EXP(-J648)</f>
      </c>
      <c r="L648" s="194" t="str">
        <f>IF(G648=30,1,M647)</f>
      </c>
      <c r="M648" s="195" t="str">
        <f>L648*(1-K648)</f>
      </c>
    </row>
    <row r="649">
      <c r="A649" t="s">
        <v>167</v>
      </c>
      <c r="B649" t="s">
        <v>254</v>
      </c>
      <c r="C649" s="35" t="s">
        <v>418</v>
      </c>
      <c r="D649" t="s">
        <v>502</v>
      </c>
      <c r="E649" t="s">
        <v>520</v>
      </c>
      <c r="F649" s="188" t="n">
        <v>2041</v>
      </c>
      <c r="G649" s="189" t="n">
        <v>37</v>
      </c>
      <c r="H649" s="190" t="n">
        <v>1860.81217783437</v>
      </c>
      <c r="I649" s="191" t="n">
        <v>4388229.02407354</v>
      </c>
      <c r="J649" s="192" t="str">
        <f>IF(I649&gt;0,H649/I649,0)</f>
      </c>
      <c r="K649" s="193" t="str">
        <f>1-EXP(-J649)</f>
      </c>
      <c r="L649" s="194" t="str">
        <f>IF(G649=30,1,M648)</f>
      </c>
      <c r="M649" s="195" t="str">
        <f>L649*(1-K649)</f>
      </c>
    </row>
    <row r="650">
      <c r="A650" t="s">
        <v>167</v>
      </c>
      <c r="B650" t="s">
        <v>254</v>
      </c>
      <c r="C650" s="35" t="s">
        <v>418</v>
      </c>
      <c r="D650" t="s">
        <v>502</v>
      </c>
      <c r="E650" t="s">
        <v>520</v>
      </c>
      <c r="F650" s="188" t="n">
        <v>2041</v>
      </c>
      <c r="G650" s="189" t="n">
        <v>38</v>
      </c>
      <c r="H650" s="190" t="n">
        <v>1979.44988953959</v>
      </c>
      <c r="I650" s="191" t="n">
        <v>4321496.35870085</v>
      </c>
      <c r="J650" s="192" t="str">
        <f>IF(I650&gt;0,H650/I650,0)</f>
      </c>
      <c r="K650" s="193" t="str">
        <f>1-EXP(-J650)</f>
      </c>
      <c r="L650" s="194" t="str">
        <f>IF(G650=30,1,M649)</f>
      </c>
      <c r="M650" s="195" t="str">
        <f>L650*(1-K650)</f>
      </c>
    </row>
    <row r="651">
      <c r="A651" t="s">
        <v>167</v>
      </c>
      <c r="B651" t="s">
        <v>254</v>
      </c>
      <c r="C651" s="35" t="s">
        <v>418</v>
      </c>
      <c r="D651" t="s">
        <v>502</v>
      </c>
      <c r="E651" t="s">
        <v>520</v>
      </c>
      <c r="F651" s="188" t="n">
        <v>2041</v>
      </c>
      <c r="G651" s="189" t="n">
        <v>39</v>
      </c>
      <c r="H651" s="190" t="n">
        <v>2284.42241894485</v>
      </c>
      <c r="I651" s="191" t="n">
        <v>4297190.58906047</v>
      </c>
      <c r="J651" s="192" t="str">
        <f>IF(I651&gt;0,H651/I651,0)</f>
      </c>
      <c r="K651" s="193" t="str">
        <f>1-EXP(-J651)</f>
      </c>
      <c r="L651" s="194" t="str">
        <f>IF(G651=30,1,M650)</f>
      </c>
      <c r="M651" s="195" t="str">
        <f>L651*(1-K651)</f>
      </c>
    </row>
    <row r="652">
      <c r="A652" t="s">
        <v>167</v>
      </c>
      <c r="B652" t="s">
        <v>254</v>
      </c>
      <c r="C652" s="35" t="s">
        <v>418</v>
      </c>
      <c r="D652" t="s">
        <v>502</v>
      </c>
      <c r="E652" t="s">
        <v>520</v>
      </c>
      <c r="F652" s="188" t="n">
        <v>2041</v>
      </c>
      <c r="G652" s="189" t="n">
        <v>40</v>
      </c>
      <c r="H652" s="190" t="n">
        <v>3051.93115849062</v>
      </c>
      <c r="I652" s="191" t="n">
        <v>4274688.50622039</v>
      </c>
      <c r="J652" s="192" t="str">
        <f>IF(I652&gt;0,H652/I652,0)</f>
      </c>
      <c r="K652" s="193" t="str">
        <f>1-EXP(-J652)</f>
      </c>
      <c r="L652" s="194" t="str">
        <f>IF(G652=30,1,M651)</f>
      </c>
      <c r="M652" s="195" t="str">
        <f>L652*(1-K652)</f>
      </c>
    </row>
    <row r="653">
      <c r="A653" t="s">
        <v>167</v>
      </c>
      <c r="B653" t="s">
        <v>254</v>
      </c>
      <c r="C653" s="35" t="s">
        <v>418</v>
      </c>
      <c r="D653" t="s">
        <v>502</v>
      </c>
      <c r="E653" t="s">
        <v>520</v>
      </c>
      <c r="F653" s="188" t="n">
        <v>2041</v>
      </c>
      <c r="G653" s="189" t="n">
        <v>41</v>
      </c>
      <c r="H653" s="190" t="n">
        <v>3325.17689485125</v>
      </c>
      <c r="I653" s="191" t="n">
        <v>4250862.58838232</v>
      </c>
      <c r="J653" s="192" t="str">
        <f>IF(I653&gt;0,H653/I653,0)</f>
      </c>
      <c r="K653" s="193" t="str">
        <f>1-EXP(-J653)</f>
      </c>
      <c r="L653" s="194" t="str">
        <f>IF(G653=30,1,M652)</f>
      </c>
      <c r="M653" s="195" t="str">
        <f>L653*(1-K653)</f>
      </c>
    </row>
    <row r="654">
      <c r="A654" t="s">
        <v>167</v>
      </c>
      <c r="B654" t="s">
        <v>254</v>
      </c>
      <c r="C654" s="35" t="s">
        <v>418</v>
      </c>
      <c r="D654" t="s">
        <v>502</v>
      </c>
      <c r="E654" t="s">
        <v>520</v>
      </c>
      <c r="F654" s="188" t="n">
        <v>2041</v>
      </c>
      <c r="G654" s="189" t="n">
        <v>42</v>
      </c>
      <c r="H654" s="190" t="n">
        <v>3627.08386773101</v>
      </c>
      <c r="I654" s="191" t="n">
        <v>4266412.1633229</v>
      </c>
      <c r="J654" s="192" t="str">
        <f>IF(I654&gt;0,H654/I654,0)</f>
      </c>
      <c r="K654" s="193" t="str">
        <f>1-EXP(-J654)</f>
      </c>
      <c r="L654" s="194" t="str">
        <f>IF(G654=30,1,M653)</f>
      </c>
      <c r="M654" s="195" t="str">
        <f>L654*(1-K654)</f>
      </c>
    </row>
    <row r="655">
      <c r="A655" t="s">
        <v>167</v>
      </c>
      <c r="B655" t="s">
        <v>254</v>
      </c>
      <c r="C655" s="35" t="s">
        <v>418</v>
      </c>
      <c r="D655" t="s">
        <v>502</v>
      </c>
      <c r="E655" t="s">
        <v>520</v>
      </c>
      <c r="F655" s="188" t="n">
        <v>2041</v>
      </c>
      <c r="G655" s="189" t="n">
        <v>43</v>
      </c>
      <c r="H655" s="190" t="n">
        <v>4001.89367105288</v>
      </c>
      <c r="I655" s="191" t="n">
        <v>4319959.01287961</v>
      </c>
      <c r="J655" s="192" t="str">
        <f>IF(I655&gt;0,H655/I655,0)</f>
      </c>
      <c r="K655" s="193" t="str">
        <f>1-EXP(-J655)</f>
      </c>
      <c r="L655" s="194" t="str">
        <f>IF(G655=30,1,M654)</f>
      </c>
      <c r="M655" s="195" t="str">
        <f>L655*(1-K655)</f>
      </c>
    </row>
    <row r="656">
      <c r="A656" t="s">
        <v>167</v>
      </c>
      <c r="B656" t="s">
        <v>254</v>
      </c>
      <c r="C656" s="35" t="s">
        <v>418</v>
      </c>
      <c r="D656" t="s">
        <v>502</v>
      </c>
      <c r="E656" t="s">
        <v>520</v>
      </c>
      <c r="F656" s="188" t="n">
        <v>2041</v>
      </c>
      <c r="G656" s="189" t="n">
        <v>44</v>
      </c>
      <c r="H656" s="190" t="n">
        <v>4714.93799576891</v>
      </c>
      <c r="I656" s="191" t="n">
        <v>4449011.68330674</v>
      </c>
      <c r="J656" s="192" t="str">
        <f>IF(I656&gt;0,H656/I656,0)</f>
      </c>
      <c r="K656" s="193" t="str">
        <f>1-EXP(-J656)</f>
      </c>
      <c r="L656" s="194" t="str">
        <f>IF(G656=30,1,M655)</f>
      </c>
      <c r="M656" s="195" t="str">
        <f>L656*(1-K656)</f>
      </c>
    </row>
    <row r="657">
      <c r="A657" t="s">
        <v>167</v>
      </c>
      <c r="B657" t="s">
        <v>254</v>
      </c>
      <c r="C657" s="35" t="s">
        <v>418</v>
      </c>
      <c r="D657" t="s">
        <v>502</v>
      </c>
      <c r="E657" t="s">
        <v>520</v>
      </c>
      <c r="F657" s="188" t="n">
        <v>2041</v>
      </c>
      <c r="G657" s="189" t="n">
        <v>45</v>
      </c>
      <c r="H657" s="190" t="n">
        <v>5987.54114911791</v>
      </c>
      <c r="I657" s="191" t="n">
        <v>4399850.77725604</v>
      </c>
      <c r="J657" s="192" t="str">
        <f>IF(I657&gt;0,H657/I657,0)</f>
      </c>
      <c r="K657" s="193" t="str">
        <f>1-EXP(-J657)</f>
      </c>
      <c r="L657" s="194" t="str">
        <f>IF(G657=30,1,M656)</f>
      </c>
      <c r="M657" s="195" t="str">
        <f>L657*(1-K657)</f>
      </c>
    </row>
    <row r="658">
      <c r="A658" t="s">
        <v>167</v>
      </c>
      <c r="B658" t="s">
        <v>254</v>
      </c>
      <c r="C658" s="35" t="s">
        <v>418</v>
      </c>
      <c r="D658" t="s">
        <v>502</v>
      </c>
      <c r="E658" t="s">
        <v>520</v>
      </c>
      <c r="F658" s="188" t="n">
        <v>2041</v>
      </c>
      <c r="G658" s="189" t="n">
        <v>46</v>
      </c>
      <c r="H658" s="190" t="n">
        <v>6395.91765199726</v>
      </c>
      <c r="I658" s="191" t="n">
        <v>4319582.48391207</v>
      </c>
      <c r="J658" s="192" t="str">
        <f>IF(I658&gt;0,H658/I658,0)</f>
      </c>
      <c r="K658" s="193" t="str">
        <f>1-EXP(-J658)</f>
      </c>
      <c r="L658" s="194" t="str">
        <f>IF(G658=30,1,M657)</f>
      </c>
      <c r="M658" s="195" t="str">
        <f>L658*(1-K658)</f>
      </c>
    </row>
    <row r="659">
      <c r="A659" t="s">
        <v>167</v>
      </c>
      <c r="B659" t="s">
        <v>254</v>
      </c>
      <c r="C659" s="35" t="s">
        <v>418</v>
      </c>
      <c r="D659" t="s">
        <v>502</v>
      </c>
      <c r="E659" t="s">
        <v>520</v>
      </c>
      <c r="F659" s="188" t="n">
        <v>2041</v>
      </c>
      <c r="G659" s="189" t="n">
        <v>47</v>
      </c>
      <c r="H659" s="190" t="n">
        <v>6908.53807067742</v>
      </c>
      <c r="I659" s="191" t="n">
        <v>4254901.19305965</v>
      </c>
      <c r="J659" s="192" t="str">
        <f>IF(I659&gt;0,H659/I659,0)</f>
      </c>
      <c r="K659" s="193" t="str">
        <f>1-EXP(-J659)</f>
      </c>
      <c r="L659" s="194" t="str">
        <f>IF(G659=30,1,M658)</f>
      </c>
      <c r="M659" s="195" t="str">
        <f>L659*(1-K659)</f>
      </c>
    </row>
    <row r="660">
      <c r="A660" t="s">
        <v>167</v>
      </c>
      <c r="B660" t="s">
        <v>254</v>
      </c>
      <c r="C660" s="35" t="s">
        <v>418</v>
      </c>
      <c r="D660" t="s">
        <v>502</v>
      </c>
      <c r="E660" t="s">
        <v>520</v>
      </c>
      <c r="F660" s="188" t="n">
        <v>2041</v>
      </c>
      <c r="G660" s="189" t="n">
        <v>48</v>
      </c>
      <c r="H660" s="190" t="n">
        <v>7473.23051733723</v>
      </c>
      <c r="I660" s="191" t="n">
        <v>4192919.57266116</v>
      </c>
      <c r="J660" s="192" t="str">
        <f>IF(I660&gt;0,H660/I660,0)</f>
      </c>
      <c r="K660" s="193" t="str">
        <f>1-EXP(-J660)</f>
      </c>
      <c r="L660" s="194" t="str">
        <f>IF(G660=30,1,M659)</f>
      </c>
      <c r="M660" s="195" t="str">
        <f>L660*(1-K660)</f>
      </c>
    </row>
    <row r="661">
      <c r="A661" t="s">
        <v>167</v>
      </c>
      <c r="B661" t="s">
        <v>254</v>
      </c>
      <c r="C661" s="35" t="s">
        <v>418</v>
      </c>
      <c r="D661" t="s">
        <v>502</v>
      </c>
      <c r="E661" t="s">
        <v>520</v>
      </c>
      <c r="F661" s="188" t="n">
        <v>2041</v>
      </c>
      <c r="G661" s="189" t="n">
        <v>49</v>
      </c>
      <c r="H661" s="190" t="n">
        <v>8244.66790385072</v>
      </c>
      <c r="I661" s="191" t="n">
        <v>4218619.66211183</v>
      </c>
      <c r="J661" s="192" t="str">
        <f>IF(I661&gt;0,H661/I661,0)</f>
      </c>
      <c r="K661" s="193" t="str">
        <f>1-EXP(-J661)</f>
      </c>
      <c r="L661" s="194" t="str">
        <f>IF(G661=30,1,M660)</f>
      </c>
      <c r="M661" s="195" t="str">
        <f>L661*(1-K661)</f>
      </c>
    </row>
    <row r="662">
      <c r="A662" t="s">
        <v>167</v>
      </c>
      <c r="B662" t="s">
        <v>254</v>
      </c>
      <c r="C662" s="35" t="s">
        <v>418</v>
      </c>
      <c r="D662" t="s">
        <v>502</v>
      </c>
      <c r="E662" t="s">
        <v>520</v>
      </c>
      <c r="F662" s="188" t="n">
        <v>2041</v>
      </c>
      <c r="G662" s="189" t="n">
        <v>50</v>
      </c>
      <c r="H662" s="190" t="n">
        <v>9492.80123225272</v>
      </c>
      <c r="I662" s="191" t="n">
        <v>4223764.88003176</v>
      </c>
      <c r="J662" s="192" t="str">
        <f>IF(I662&gt;0,H662/I662,0)</f>
      </c>
      <c r="K662" s="193" t="str">
        <f>1-EXP(-J662)</f>
      </c>
      <c r="L662" s="194" t="str">
        <f>IF(G662=30,1,M661)</f>
      </c>
      <c r="M662" s="195" t="str">
        <f>L662*(1-K662)</f>
      </c>
    </row>
    <row r="663">
      <c r="A663" t="s">
        <v>167</v>
      </c>
      <c r="B663" t="s">
        <v>254</v>
      </c>
      <c r="C663" s="35" t="s">
        <v>418</v>
      </c>
      <c r="D663" t="s">
        <v>502</v>
      </c>
      <c r="E663" t="s">
        <v>520</v>
      </c>
      <c r="F663" s="188" t="n">
        <v>2041</v>
      </c>
      <c r="G663" s="189" t="n">
        <v>51</v>
      </c>
      <c r="H663" s="190" t="n">
        <v>13921.1622800803</v>
      </c>
      <c r="I663" s="191" t="n">
        <v>6211229.00216162</v>
      </c>
      <c r="J663" s="192" t="str">
        <f>IF(I663&gt;0,H663/I663,0)</f>
      </c>
      <c r="K663" s="193" t="str">
        <f>1-EXP(-J663)</f>
      </c>
      <c r="L663" s="194" t="str">
        <f>IF(G663=30,1,M662)</f>
      </c>
      <c r="M663" s="195" t="str">
        <f>L663*(1-K663)</f>
      </c>
    </row>
    <row r="664">
      <c r="A664" t="s">
        <v>167</v>
      </c>
      <c r="B664" t="s">
        <v>254</v>
      </c>
      <c r="C664" s="35" t="s">
        <v>418</v>
      </c>
      <c r="D664" t="s">
        <v>502</v>
      </c>
      <c r="E664" t="s">
        <v>520</v>
      </c>
      <c r="F664" s="188" t="n">
        <v>2041</v>
      </c>
      <c r="G664" s="189" t="n">
        <v>52</v>
      </c>
      <c r="H664" s="190" t="n">
        <v>11158.5389238099</v>
      </c>
      <c r="I664" s="191" t="n">
        <v>4154643.40167017</v>
      </c>
      <c r="J664" s="192" t="str">
        <f>IF(I664&gt;0,H664/I664,0)</f>
      </c>
      <c r="K664" s="193" t="str">
        <f>1-EXP(-J664)</f>
      </c>
      <c r="L664" s="194" t="str">
        <f>IF(G664=30,1,M663)</f>
      </c>
      <c r="M664" s="195" t="str">
        <f>L664*(1-K664)</f>
      </c>
    </row>
    <row r="665">
      <c r="A665" t="s">
        <v>167</v>
      </c>
      <c r="B665" t="s">
        <v>254</v>
      </c>
      <c r="C665" s="35" t="s">
        <v>418</v>
      </c>
      <c r="D665" t="s">
        <v>502</v>
      </c>
      <c r="E665" t="s">
        <v>520</v>
      </c>
      <c r="F665" s="188" t="n">
        <v>2041</v>
      </c>
      <c r="G665" s="189" t="n">
        <v>53</v>
      </c>
      <c r="H665" s="190" t="n">
        <v>12102.5249856574</v>
      </c>
      <c r="I665" s="191" t="n">
        <v>4122212.34345886</v>
      </c>
      <c r="J665" s="192" t="str">
        <f>IF(I665&gt;0,H665/I665,0)</f>
      </c>
      <c r="K665" s="193" t="str">
        <f>1-EXP(-J665)</f>
      </c>
      <c r="L665" s="194" t="str">
        <f>IF(G665=30,1,M664)</f>
      </c>
      <c r="M665" s="195" t="str">
        <f>L665*(1-K665)</f>
      </c>
    </row>
    <row r="666">
      <c r="A666" t="s">
        <v>167</v>
      </c>
      <c r="B666" t="s">
        <v>254</v>
      </c>
      <c r="C666" s="35" t="s">
        <v>418</v>
      </c>
      <c r="D666" t="s">
        <v>502</v>
      </c>
      <c r="E666" t="s">
        <v>520</v>
      </c>
      <c r="F666" s="188" t="n">
        <v>2041</v>
      </c>
      <c r="G666" s="189" t="n">
        <v>54</v>
      </c>
      <c r="H666" s="190" t="n">
        <v>12758.7956475792</v>
      </c>
      <c r="I666" s="191" t="n">
        <v>3978441.78653877</v>
      </c>
      <c r="J666" s="192" t="str">
        <f>IF(I666&gt;0,H666/I666,0)</f>
      </c>
      <c r="K666" s="193" t="str">
        <f>1-EXP(-J666)</f>
      </c>
      <c r="L666" s="194" t="str">
        <f>IF(G666=30,1,M665)</f>
      </c>
      <c r="M666" s="195" t="str">
        <f>L666*(1-K666)</f>
      </c>
    </row>
    <row r="667">
      <c r="A667" t="s">
        <v>167</v>
      </c>
      <c r="B667" t="s">
        <v>254</v>
      </c>
      <c r="C667" s="35" t="s">
        <v>418</v>
      </c>
      <c r="D667" t="s">
        <v>502</v>
      </c>
      <c r="E667" t="s">
        <v>520</v>
      </c>
      <c r="F667" s="188" t="n">
        <v>2041</v>
      </c>
      <c r="G667" s="189" t="n">
        <v>55</v>
      </c>
      <c r="H667" s="190" t="n">
        <v>13612.4034562817</v>
      </c>
      <c r="I667" s="191" t="n">
        <v>3926645.36614336</v>
      </c>
      <c r="J667" s="192" t="str">
        <f>IF(I667&gt;0,H667/I667,0)</f>
      </c>
      <c r="K667" s="193" t="str">
        <f>1-EXP(-J667)</f>
      </c>
      <c r="L667" s="194" t="str">
        <f>IF(G667=30,1,M666)</f>
      </c>
      <c r="M667" s="195" t="str">
        <f>L667*(1-K667)</f>
      </c>
    </row>
    <row r="668">
      <c r="A668" t="s">
        <v>167</v>
      </c>
      <c r="B668" t="s">
        <v>254</v>
      </c>
      <c r="C668" s="35" t="s">
        <v>418</v>
      </c>
      <c r="D668" t="s">
        <v>502</v>
      </c>
      <c r="E668" t="s">
        <v>520</v>
      </c>
      <c r="F668" s="188" t="n">
        <v>2041</v>
      </c>
      <c r="G668" s="189" t="n">
        <v>56</v>
      </c>
      <c r="H668" s="190" t="n">
        <v>14909.2223187753</v>
      </c>
      <c r="I668" s="191" t="n">
        <v>3961294.93860639</v>
      </c>
      <c r="J668" s="192" t="str">
        <f>IF(I668&gt;0,H668/I668,0)</f>
      </c>
      <c r="K668" s="193" t="str">
        <f>1-EXP(-J668)</f>
      </c>
      <c r="L668" s="194" t="str">
        <f>IF(G668=30,1,M667)</f>
      </c>
      <c r="M668" s="195" t="str">
        <f>L668*(1-K668)</f>
      </c>
    </row>
    <row r="669">
      <c r="A669" t="s">
        <v>167</v>
      </c>
      <c r="B669" t="s">
        <v>254</v>
      </c>
      <c r="C669" s="35" t="s">
        <v>418</v>
      </c>
      <c r="D669" t="s">
        <v>502</v>
      </c>
      <c r="E669" t="s">
        <v>520</v>
      </c>
      <c r="F669" s="188" t="n">
        <v>2041</v>
      </c>
      <c r="G669" s="189" t="n">
        <v>57</v>
      </c>
      <c r="H669" s="190" t="n">
        <v>16521.0964069788</v>
      </c>
      <c r="I669" s="191" t="n">
        <v>4017229.2502893</v>
      </c>
      <c r="J669" s="192" t="str">
        <f>IF(I669&gt;0,H669/I669,0)</f>
      </c>
      <c r="K669" s="193" t="str">
        <f>1-EXP(-J669)</f>
      </c>
      <c r="L669" s="194" t="str">
        <f>IF(G669=30,1,M668)</f>
      </c>
      <c r="M669" s="195" t="str">
        <f>L669*(1-K669)</f>
      </c>
    </row>
    <row r="670">
      <c r="A670" t="s">
        <v>167</v>
      </c>
      <c r="B670" t="s">
        <v>254</v>
      </c>
      <c r="C670" s="35" t="s">
        <v>418</v>
      </c>
      <c r="D670" t="s">
        <v>502</v>
      </c>
      <c r="E670" t="s">
        <v>520</v>
      </c>
      <c r="F670" s="188" t="n">
        <v>2041</v>
      </c>
      <c r="G670" s="189" t="n">
        <v>58</v>
      </c>
      <c r="H670" s="190" t="n">
        <v>17857.9681102723</v>
      </c>
      <c r="I670" s="191" t="n">
        <v>3969040.18007747</v>
      </c>
      <c r="J670" s="192" t="str">
        <f>IF(I670&gt;0,H670/I670,0)</f>
      </c>
      <c r="K670" s="193" t="str">
        <f>1-EXP(-J670)</f>
      </c>
      <c r="L670" s="194" t="str">
        <f>IF(G670=30,1,M669)</f>
      </c>
      <c r="M670" s="195" t="str">
        <f>L670*(1-K670)</f>
      </c>
    </row>
    <row r="671">
      <c r="A671" t="s">
        <v>167</v>
      </c>
      <c r="B671" t="s">
        <v>254</v>
      </c>
      <c r="C671" s="35" t="s">
        <v>418</v>
      </c>
      <c r="D671" t="s">
        <v>502</v>
      </c>
      <c r="E671" t="s">
        <v>520</v>
      </c>
      <c r="F671" s="188" t="n">
        <v>2041</v>
      </c>
      <c r="G671" s="189" t="n">
        <v>59</v>
      </c>
      <c r="H671" s="190" t="n">
        <v>18822.4545276951</v>
      </c>
      <c r="I671" s="191" t="n">
        <v>3815077.55109595</v>
      </c>
      <c r="J671" s="192" t="str">
        <f>IF(I671&gt;0,H671/I671,0)</f>
      </c>
      <c r="K671" s="193" t="str">
        <f>1-EXP(-J671)</f>
      </c>
      <c r="L671" s="194" t="str">
        <f>IF(G671=30,1,M670)</f>
      </c>
      <c r="M671" s="195" t="str">
        <f>L671*(1-K671)</f>
      </c>
    </row>
    <row r="672">
      <c r="A672" t="s">
        <v>167</v>
      </c>
      <c r="B672" t="s">
        <v>254</v>
      </c>
      <c r="C672" s="35" t="s">
        <v>418</v>
      </c>
      <c r="D672" t="s">
        <v>502</v>
      </c>
      <c r="E672" t="s">
        <v>520</v>
      </c>
      <c r="F672" s="188" t="n">
        <v>2041</v>
      </c>
      <c r="G672" s="189" t="n">
        <v>60</v>
      </c>
      <c r="H672" s="190" t="n">
        <v>20000.257276874</v>
      </c>
      <c r="I672" s="191" t="n">
        <v>3717868.74120834</v>
      </c>
      <c r="J672" s="192" t="str">
        <f>IF(I672&gt;0,H672/I672,0)</f>
      </c>
      <c r="K672" s="193" t="str">
        <f>1-EXP(-J672)</f>
      </c>
      <c r="L672" s="194" t="str">
        <f>IF(G672=30,1,M671)</f>
      </c>
      <c r="M672" s="195" t="str">
        <f>L672*(1-K672)</f>
      </c>
    </row>
    <row r="673">
      <c r="A673" t="s">
        <v>167</v>
      </c>
      <c r="B673" t="s">
        <v>254</v>
      </c>
      <c r="C673" s="35" t="s">
        <v>418</v>
      </c>
      <c r="D673" t="s">
        <v>502</v>
      </c>
      <c r="E673" t="s">
        <v>520</v>
      </c>
      <c r="F673" s="188" t="n">
        <v>2041</v>
      </c>
      <c r="G673" s="189" t="n">
        <v>61</v>
      </c>
      <c r="H673" s="190" t="n">
        <v>21452.3901665644</v>
      </c>
      <c r="I673" s="191" t="n">
        <v>3633338.25578191</v>
      </c>
      <c r="J673" s="192" t="str">
        <f>IF(I673&gt;0,H673/I673,0)</f>
      </c>
      <c r="K673" s="193" t="str">
        <f>1-EXP(-J673)</f>
      </c>
      <c r="L673" s="194" t="str">
        <f>IF(G673=30,1,M672)</f>
      </c>
      <c r="M673" s="195" t="str">
        <f>L673*(1-K673)</f>
      </c>
    </row>
    <row r="674">
      <c r="A674" t="s">
        <v>167</v>
      </c>
      <c r="B674" t="s">
        <v>254</v>
      </c>
      <c r="C674" s="35" t="s">
        <v>418</v>
      </c>
      <c r="D674" t="s">
        <v>502</v>
      </c>
      <c r="E674" t="s">
        <v>520</v>
      </c>
      <c r="F674" s="188" t="n">
        <v>2041</v>
      </c>
      <c r="G674" s="189" t="n">
        <v>62</v>
      </c>
      <c r="H674" s="190" t="n">
        <v>22954.2797680172</v>
      </c>
      <c r="I674" s="191" t="n">
        <v>3542291.66136953</v>
      </c>
      <c r="J674" s="192" t="str">
        <f>IF(I674&gt;0,H674/I674,0)</f>
      </c>
      <c r="K674" s="193" t="str">
        <f>1-EXP(-J674)</f>
      </c>
      <c r="L674" s="194" t="str">
        <f>IF(G674=30,1,M673)</f>
      </c>
      <c r="M674" s="195" t="str">
        <f>L674*(1-K674)</f>
      </c>
    </row>
    <row r="675">
      <c r="A675" t="s">
        <v>167</v>
      </c>
      <c r="B675" t="s">
        <v>254</v>
      </c>
      <c r="C675" s="35" t="s">
        <v>418</v>
      </c>
      <c r="D675" t="s">
        <v>502</v>
      </c>
      <c r="E675" t="s">
        <v>520</v>
      </c>
      <c r="F675" s="188" t="n">
        <v>2041</v>
      </c>
      <c r="G675" s="189" t="n">
        <v>63</v>
      </c>
      <c r="H675" s="190" t="n">
        <v>24411.3751286501</v>
      </c>
      <c r="I675" s="191" t="n">
        <v>3432099.68920691</v>
      </c>
      <c r="J675" s="192" t="str">
        <f>IF(I675&gt;0,H675/I675,0)</f>
      </c>
      <c r="K675" s="193" t="str">
        <f>1-EXP(-J675)</f>
      </c>
      <c r="L675" s="194" t="str">
        <f>IF(G675=30,1,M674)</f>
      </c>
      <c r="M675" s="195" t="str">
        <f>L675*(1-K675)</f>
      </c>
    </row>
    <row r="676">
      <c r="A676" t="s">
        <v>167</v>
      </c>
      <c r="B676" t="s">
        <v>254</v>
      </c>
      <c r="C676" s="35" t="s">
        <v>418</v>
      </c>
      <c r="D676" t="s">
        <v>502</v>
      </c>
      <c r="E676" t="s">
        <v>520</v>
      </c>
      <c r="F676" s="188" t="n">
        <v>2041</v>
      </c>
      <c r="G676" s="189" t="n">
        <v>64</v>
      </c>
      <c r="H676" s="190" t="n">
        <v>26062.9195087695</v>
      </c>
      <c r="I676" s="191" t="n">
        <v>3334899.0216071</v>
      </c>
      <c r="J676" s="192" t="str">
        <f>IF(I676&gt;0,H676/I676,0)</f>
      </c>
      <c r="K676" s="193" t="str">
        <f>1-EXP(-J676)</f>
      </c>
      <c r="L676" s="194" t="str">
        <f>IF(G676=30,1,M675)</f>
      </c>
      <c r="M676" s="195" t="str">
        <f>L676*(1-K676)</f>
      </c>
    </row>
    <row r="677">
      <c r="A677" t="s">
        <v>167</v>
      </c>
      <c r="B677" t="s">
        <v>254</v>
      </c>
      <c r="C677" s="35" t="s">
        <v>418</v>
      </c>
      <c r="D677" t="s">
        <v>502</v>
      </c>
      <c r="E677" t="s">
        <v>520</v>
      </c>
      <c r="F677" s="188" t="n">
        <v>2041</v>
      </c>
      <c r="G677" s="189" t="n">
        <v>65</v>
      </c>
      <c r="H677" s="190" t="n">
        <v>26487.6212577851</v>
      </c>
      <c r="I677" s="191" t="n">
        <v>3225956.44447378</v>
      </c>
      <c r="J677" s="192" t="str">
        <f>IF(I677&gt;0,H677/I677,0)</f>
      </c>
      <c r="K677" s="193" t="str">
        <f>1-EXP(-J677)</f>
      </c>
      <c r="L677" s="194" t="str">
        <f>IF(G677=30,1,M676)</f>
      </c>
      <c r="M677" s="195" t="str">
        <f>L677*(1-K677)</f>
      </c>
    </row>
    <row r="678">
      <c r="A678" t="s">
        <v>167</v>
      </c>
      <c r="B678" t="s">
        <v>254</v>
      </c>
      <c r="C678" s="35" t="s">
        <v>418</v>
      </c>
      <c r="D678" t="s">
        <v>502</v>
      </c>
      <c r="E678" t="s">
        <v>520</v>
      </c>
      <c r="F678" s="188" t="n">
        <v>2041</v>
      </c>
      <c r="G678" s="189" t="n">
        <v>66</v>
      </c>
      <c r="H678" s="190" t="n">
        <v>28014.0578850552</v>
      </c>
      <c r="I678" s="191" t="n">
        <v>3115227.55883654</v>
      </c>
      <c r="J678" s="192" t="str">
        <f>IF(I678&gt;0,H678/I678,0)</f>
      </c>
      <c r="K678" s="193" t="str">
        <f>1-EXP(-J678)</f>
      </c>
      <c r="L678" s="194" t="str">
        <f>IF(G678=30,1,M677)</f>
      </c>
      <c r="M678" s="195" t="str">
        <f>L678*(1-K678)</f>
      </c>
    </row>
    <row r="679">
      <c r="A679" t="s">
        <v>167</v>
      </c>
      <c r="B679" t="s">
        <v>254</v>
      </c>
      <c r="C679" s="35" t="s">
        <v>418</v>
      </c>
      <c r="D679" t="s">
        <v>502</v>
      </c>
      <c r="E679" t="s">
        <v>520</v>
      </c>
      <c r="F679" s="188" t="n">
        <v>2041</v>
      </c>
      <c r="G679" s="189" t="n">
        <v>67</v>
      </c>
      <c r="H679" s="190" t="n">
        <v>29430.4463399477</v>
      </c>
      <c r="I679" s="191" t="n">
        <v>2979149.23646005</v>
      </c>
      <c r="J679" s="192" t="str">
        <f>IF(I679&gt;0,H679/I679,0)</f>
      </c>
      <c r="K679" s="193" t="str">
        <f>1-EXP(-J679)</f>
      </c>
      <c r="L679" s="194" t="str">
        <f>IF(G679=30,1,M678)</f>
      </c>
      <c r="M679" s="195" t="str">
        <f>L679*(1-K679)</f>
      </c>
    </row>
    <row r="680">
      <c r="A680" t="s">
        <v>167</v>
      </c>
      <c r="B680" t="s">
        <v>254</v>
      </c>
      <c r="C680" s="35" t="s">
        <v>418</v>
      </c>
      <c r="D680" t="s">
        <v>502</v>
      </c>
      <c r="E680" t="s">
        <v>520</v>
      </c>
      <c r="F680" s="188" t="n">
        <v>2041</v>
      </c>
      <c r="G680" s="189" t="n">
        <v>68</v>
      </c>
      <c r="H680" s="190" t="n">
        <v>31406.5188286958</v>
      </c>
      <c r="I680" s="191" t="n">
        <v>2891807.61906799</v>
      </c>
      <c r="J680" s="192" t="str">
        <f>IF(I680&gt;0,H680/I680,0)</f>
      </c>
      <c r="K680" s="193" t="str">
        <f>1-EXP(-J680)</f>
      </c>
      <c r="L680" s="194" t="str">
        <f>IF(G680=30,1,M679)</f>
      </c>
      <c r="M680" s="195" t="str">
        <f>L680*(1-K680)</f>
      </c>
    </row>
    <row r="681">
      <c r="A681" t="s">
        <v>167</v>
      </c>
      <c r="B681" t="s">
        <v>254</v>
      </c>
      <c r="C681" s="35" t="s">
        <v>418</v>
      </c>
      <c r="D681" t="s">
        <v>502</v>
      </c>
      <c r="E681" t="s">
        <v>520</v>
      </c>
      <c r="F681" s="188" t="n">
        <v>2041</v>
      </c>
      <c r="G681" s="189" t="n">
        <v>69</v>
      </c>
      <c r="H681" s="190" t="n">
        <v>31921.7914285813</v>
      </c>
      <c r="I681" s="191" t="n">
        <v>2668316.73852734</v>
      </c>
      <c r="J681" s="192" t="str">
        <f>IF(I681&gt;0,H681/I681,0)</f>
      </c>
      <c r="K681" s="193" t="str">
        <f>1-EXP(-J681)</f>
      </c>
      <c r="L681" s="194" t="str">
        <f>IF(G681=30,1,M680)</f>
      </c>
      <c r="M681" s="195" t="str">
        <f>L681*(1-K681)</f>
      </c>
    </row>
    <row r="682">
      <c r="A682" t="s">
        <v>167</v>
      </c>
      <c r="B682" t="s">
        <v>254</v>
      </c>
      <c r="C682" s="35" t="s">
        <v>418</v>
      </c>
      <c r="D682" t="s">
        <v>502</v>
      </c>
      <c r="E682" t="s">
        <v>520</v>
      </c>
      <c r="F682" s="188" t="n">
        <v>2042</v>
      </c>
      <c r="G682" s="189" t="n">
        <v>30</v>
      </c>
      <c r="H682" s="190" t="n">
        <v>787.057235413919</v>
      </c>
      <c r="I682" s="191" t="n">
        <v>4906666.82745906</v>
      </c>
      <c r="J682" s="192" t="str">
        <f>IF(I682&gt;0,H682/I682,0)</f>
      </c>
      <c r="K682" s="193" t="str">
        <f>1-EXP(-J682)</f>
      </c>
      <c r="L682" s="194" t="str">
        <f>IF(G682=30,1,M681)</f>
      </c>
      <c r="M682" s="195" t="str">
        <f>L682*(1-K682)</f>
      </c>
    </row>
    <row r="683">
      <c r="A683" t="s">
        <v>167</v>
      </c>
      <c r="B683" t="s">
        <v>254</v>
      </c>
      <c r="C683" s="35" t="s">
        <v>418</v>
      </c>
      <c r="D683" t="s">
        <v>502</v>
      </c>
      <c r="E683" t="s">
        <v>520</v>
      </c>
      <c r="F683" s="188" t="n">
        <v>2042</v>
      </c>
      <c r="G683" s="189" t="n">
        <v>31</v>
      </c>
      <c r="H683" s="190" t="n">
        <v>1004.89373869964</v>
      </c>
      <c r="I683" s="191" t="n">
        <v>4878555.22605376</v>
      </c>
      <c r="J683" s="192" t="str">
        <f>IF(I683&gt;0,H683/I683,0)</f>
      </c>
      <c r="K683" s="193" t="str">
        <f>1-EXP(-J683)</f>
      </c>
      <c r="L683" s="194" t="str">
        <f>IF(G683=30,1,M682)</f>
      </c>
      <c r="M683" s="195" t="str">
        <f>L683*(1-K683)</f>
      </c>
    </row>
    <row r="684">
      <c r="A684" t="s">
        <v>167</v>
      </c>
      <c r="B684" t="s">
        <v>254</v>
      </c>
      <c r="C684" s="35" t="s">
        <v>418</v>
      </c>
      <c r="D684" t="s">
        <v>502</v>
      </c>
      <c r="E684" t="s">
        <v>520</v>
      </c>
      <c r="F684" s="188" t="n">
        <v>2042</v>
      </c>
      <c r="G684" s="189" t="n">
        <v>32</v>
      </c>
      <c r="H684" s="190" t="n">
        <v>1029.91134811038</v>
      </c>
      <c r="I684" s="191" t="n">
        <v>4744860.57586749</v>
      </c>
      <c r="J684" s="192" t="str">
        <f>IF(I684&gt;0,H684/I684,0)</f>
      </c>
      <c r="K684" s="193" t="str">
        <f>1-EXP(-J684)</f>
      </c>
      <c r="L684" s="194" t="str">
        <f>IF(G684=30,1,M683)</f>
      </c>
      <c r="M684" s="195" t="str">
        <f>L684*(1-K684)</f>
      </c>
    </row>
    <row r="685">
      <c r="A685" t="s">
        <v>167</v>
      </c>
      <c r="B685" t="s">
        <v>254</v>
      </c>
      <c r="C685" s="35" t="s">
        <v>418</v>
      </c>
      <c r="D685" t="s">
        <v>502</v>
      </c>
      <c r="E685" t="s">
        <v>520</v>
      </c>
      <c r="F685" s="188" t="n">
        <v>2042</v>
      </c>
      <c r="G685" s="189" t="n">
        <v>33</v>
      </c>
      <c r="H685" s="190" t="n">
        <v>1075.38776298305</v>
      </c>
      <c r="I685" s="191" t="n">
        <v>4674055.88460788</v>
      </c>
      <c r="J685" s="192" t="str">
        <f>IF(I685&gt;0,H685/I685,0)</f>
      </c>
      <c r="K685" s="193" t="str">
        <f>1-EXP(-J685)</f>
      </c>
      <c r="L685" s="194" t="str">
        <f>IF(G685=30,1,M684)</f>
      </c>
      <c r="M685" s="195" t="str">
        <f>L685*(1-K685)</f>
      </c>
    </row>
    <row r="686">
      <c r="A686" t="s">
        <v>167</v>
      </c>
      <c r="B686" t="s">
        <v>254</v>
      </c>
      <c r="C686" s="35" t="s">
        <v>418</v>
      </c>
      <c r="D686" t="s">
        <v>502</v>
      </c>
      <c r="E686" t="s">
        <v>520</v>
      </c>
      <c r="F686" s="188" t="n">
        <v>2042</v>
      </c>
      <c r="G686" s="189" t="n">
        <v>34</v>
      </c>
      <c r="H686" s="190" t="n">
        <v>1136.52301735283</v>
      </c>
      <c r="I686" s="191" t="n">
        <v>4631197.1103719</v>
      </c>
      <c r="J686" s="192" t="str">
        <f>IF(I686&gt;0,H686/I686,0)</f>
      </c>
      <c r="K686" s="193" t="str">
        <f>1-EXP(-J686)</f>
      </c>
      <c r="L686" s="194" t="str">
        <f>IF(G686=30,1,M685)</f>
      </c>
      <c r="M686" s="195" t="str">
        <f>L686*(1-K686)</f>
      </c>
    </row>
    <row r="687">
      <c r="A687" t="s">
        <v>167</v>
      </c>
      <c r="B687" t="s">
        <v>254</v>
      </c>
      <c r="C687" s="35" t="s">
        <v>418</v>
      </c>
      <c r="D687" t="s">
        <v>502</v>
      </c>
      <c r="E687" t="s">
        <v>520</v>
      </c>
      <c r="F687" s="188" t="n">
        <v>2042</v>
      </c>
      <c r="G687" s="189" t="n">
        <v>35</v>
      </c>
      <c r="H687" s="190" t="n">
        <v>1582.77052125202</v>
      </c>
      <c r="I687" s="191" t="n">
        <v>4656562.42993095</v>
      </c>
      <c r="J687" s="192" t="str">
        <f>IF(I687&gt;0,H687/I687,0)</f>
      </c>
      <c r="K687" s="193" t="str">
        <f>1-EXP(-J687)</f>
      </c>
      <c r="L687" s="194" t="str">
        <f>IF(G687=30,1,M686)</f>
      </c>
      <c r="M687" s="195" t="str">
        <f>L687*(1-K687)</f>
      </c>
    </row>
    <row r="688">
      <c r="A688" t="s">
        <v>167</v>
      </c>
      <c r="B688" t="s">
        <v>254</v>
      </c>
      <c r="C688" s="35" t="s">
        <v>418</v>
      </c>
      <c r="D688" t="s">
        <v>502</v>
      </c>
      <c r="E688" t="s">
        <v>520</v>
      </c>
      <c r="F688" s="188" t="n">
        <v>2042</v>
      </c>
      <c r="G688" s="189" t="n">
        <v>36</v>
      </c>
      <c r="H688" s="190" t="n">
        <v>1797.34120254057</v>
      </c>
      <c r="I688" s="191" t="n">
        <v>4572662.15940746</v>
      </c>
      <c r="J688" s="192" t="str">
        <f>IF(I688&gt;0,H688/I688,0)</f>
      </c>
      <c r="K688" s="193" t="str">
        <f>1-EXP(-J688)</f>
      </c>
      <c r="L688" s="194" t="str">
        <f>IF(G688=30,1,M687)</f>
      </c>
      <c r="M688" s="195" t="str">
        <f>L688*(1-K688)</f>
      </c>
    </row>
    <row r="689">
      <c r="A689" t="s">
        <v>167</v>
      </c>
      <c r="B689" t="s">
        <v>254</v>
      </c>
      <c r="C689" s="35" t="s">
        <v>418</v>
      </c>
      <c r="D689" t="s">
        <v>502</v>
      </c>
      <c r="E689" t="s">
        <v>520</v>
      </c>
      <c r="F689" s="188" t="n">
        <v>2042</v>
      </c>
      <c r="G689" s="189" t="n">
        <v>37</v>
      </c>
      <c r="H689" s="190" t="n">
        <v>1907.52731739206</v>
      </c>
      <c r="I689" s="191" t="n">
        <v>4510651.78181186</v>
      </c>
      <c r="J689" s="192" t="str">
        <f>IF(I689&gt;0,H689/I689,0)</f>
      </c>
      <c r="K689" s="193" t="str">
        <f>1-EXP(-J689)</f>
      </c>
      <c r="L689" s="194" t="str">
        <f>IF(G689=30,1,M688)</f>
      </c>
      <c r="M689" s="195" t="str">
        <f>L689*(1-K689)</f>
      </c>
    </row>
    <row r="690">
      <c r="A690" t="s">
        <v>167</v>
      </c>
      <c r="B690" t="s">
        <v>254</v>
      </c>
      <c r="C690" s="35" t="s">
        <v>418</v>
      </c>
      <c r="D690" t="s">
        <v>502</v>
      </c>
      <c r="E690" t="s">
        <v>520</v>
      </c>
      <c r="F690" s="188" t="n">
        <v>2042</v>
      </c>
      <c r="G690" s="189" t="n">
        <v>38</v>
      </c>
      <c r="H690" s="190" t="n">
        <v>2001.03320634335</v>
      </c>
      <c r="I690" s="191" t="n">
        <v>4381149.67772511</v>
      </c>
      <c r="J690" s="192" t="str">
        <f>IF(I690&gt;0,H690/I690,0)</f>
      </c>
      <c r="K690" s="193" t="str">
        <f>1-EXP(-J690)</f>
      </c>
      <c r="L690" s="194" t="str">
        <f>IF(G690=30,1,M689)</f>
      </c>
      <c r="M690" s="195" t="str">
        <f>L690*(1-K690)</f>
      </c>
    </row>
    <row r="691">
      <c r="A691" t="s">
        <v>167</v>
      </c>
      <c r="B691" t="s">
        <v>254</v>
      </c>
      <c r="C691" s="35" t="s">
        <v>418</v>
      </c>
      <c r="D691" t="s">
        <v>502</v>
      </c>
      <c r="E691" t="s">
        <v>520</v>
      </c>
      <c r="F691" s="188" t="n">
        <v>2042</v>
      </c>
      <c r="G691" s="189" t="n">
        <v>39</v>
      </c>
      <c r="H691" s="190" t="n">
        <v>2133.56460514892</v>
      </c>
      <c r="I691" s="191" t="n">
        <v>4314017.47029025</v>
      </c>
      <c r="J691" s="192" t="str">
        <f>IF(I691&gt;0,H691/I691,0)</f>
      </c>
      <c r="K691" s="193" t="str">
        <f>1-EXP(-J691)</f>
      </c>
      <c r="L691" s="194" t="str">
        <f>IF(G691=30,1,M690)</f>
      </c>
      <c r="M691" s="195" t="str">
        <f>L691*(1-K691)</f>
      </c>
    </row>
    <row r="692">
      <c r="A692" t="s">
        <v>167</v>
      </c>
      <c r="B692" t="s">
        <v>254</v>
      </c>
      <c r="C692" s="35" t="s">
        <v>418</v>
      </c>
      <c r="D692" t="s">
        <v>502</v>
      </c>
      <c r="E692" t="s">
        <v>520</v>
      </c>
      <c r="F692" s="188" t="n">
        <v>2042</v>
      </c>
      <c r="G692" s="189" t="n">
        <v>40</v>
      </c>
      <c r="H692" s="190" t="n">
        <v>3048.94824960576</v>
      </c>
      <c r="I692" s="191" t="n">
        <v>4289012.12013384</v>
      </c>
      <c r="J692" s="192" t="str">
        <f>IF(I692&gt;0,H692/I692,0)</f>
      </c>
      <c r="K692" s="193" t="str">
        <f>1-EXP(-J692)</f>
      </c>
      <c r="L692" s="194" t="str">
        <f>IF(G692=30,1,M691)</f>
      </c>
      <c r="M692" s="195" t="str">
        <f>L692*(1-K692)</f>
      </c>
    </row>
    <row r="693">
      <c r="A693" t="s">
        <v>167</v>
      </c>
      <c r="B693" t="s">
        <v>254</v>
      </c>
      <c r="C693" s="35" t="s">
        <v>418</v>
      </c>
      <c r="D693" t="s">
        <v>502</v>
      </c>
      <c r="E693" t="s">
        <v>520</v>
      </c>
      <c r="F693" s="188" t="n">
        <v>2042</v>
      </c>
      <c r="G693" s="189" t="n">
        <v>41</v>
      </c>
      <c r="H693" s="190" t="n">
        <v>3321.40953016574</v>
      </c>
      <c r="I693" s="191" t="n">
        <v>4265252.60723947</v>
      </c>
      <c r="J693" s="192" t="str">
        <f>IF(I693&gt;0,H693/I693,0)</f>
      </c>
      <c r="K693" s="193" t="str">
        <f>1-EXP(-J693)</f>
      </c>
      <c r="L693" s="194" t="str">
        <f>IF(G693=30,1,M692)</f>
      </c>
      <c r="M693" s="195" t="str">
        <f>L693*(1-K693)</f>
      </c>
    </row>
    <row r="694">
      <c r="A694" t="s">
        <v>167</v>
      </c>
      <c r="B694" t="s">
        <v>254</v>
      </c>
      <c r="C694" s="35" t="s">
        <v>418</v>
      </c>
      <c r="D694" t="s">
        <v>502</v>
      </c>
      <c r="E694" t="s">
        <v>520</v>
      </c>
      <c r="F694" s="188" t="n">
        <v>2042</v>
      </c>
      <c r="G694" s="189" t="n">
        <v>42</v>
      </c>
      <c r="H694" s="190" t="n">
        <v>3589.09273406399</v>
      </c>
      <c r="I694" s="191" t="n">
        <v>4241430.68346122</v>
      </c>
      <c r="J694" s="192" t="str">
        <f>IF(I694&gt;0,H694/I694,0)</f>
      </c>
      <c r="K694" s="193" t="str">
        <f>1-EXP(-J694)</f>
      </c>
      <c r="L694" s="194" t="str">
        <f>IF(G694=30,1,M693)</f>
      </c>
      <c r="M694" s="195" t="str">
        <f>L694*(1-K694)</f>
      </c>
    </row>
    <row r="695">
      <c r="A695" t="s">
        <v>167</v>
      </c>
      <c r="B695" t="s">
        <v>254</v>
      </c>
      <c r="C695" s="35" t="s">
        <v>418</v>
      </c>
      <c r="D695" t="s">
        <v>502</v>
      </c>
      <c r="E695" t="s">
        <v>520</v>
      </c>
      <c r="F695" s="188" t="n">
        <v>2042</v>
      </c>
      <c r="G695" s="189" t="n">
        <v>43</v>
      </c>
      <c r="H695" s="190" t="n">
        <v>3923.27104366739</v>
      </c>
      <c r="I695" s="191" t="n">
        <v>4256166.64805933</v>
      </c>
      <c r="J695" s="192" t="str">
        <f>IF(I695&gt;0,H695/I695,0)</f>
      </c>
      <c r="K695" s="193" t="str">
        <f>1-EXP(-J695)</f>
      </c>
      <c r="L695" s="194" t="str">
        <f>IF(G695=30,1,M694)</f>
      </c>
      <c r="M695" s="195" t="str">
        <f>L695*(1-K695)</f>
      </c>
    </row>
    <row r="696">
      <c r="A696" t="s">
        <v>167</v>
      </c>
      <c r="B696" t="s">
        <v>254</v>
      </c>
      <c r="C696" s="35" t="s">
        <v>418</v>
      </c>
      <c r="D696" t="s">
        <v>502</v>
      </c>
      <c r="E696" t="s">
        <v>520</v>
      </c>
      <c r="F696" s="188" t="n">
        <v>2042</v>
      </c>
      <c r="G696" s="189" t="n">
        <v>44</v>
      </c>
      <c r="H696" s="190" t="n">
        <v>4337.77621741938</v>
      </c>
      <c r="I696" s="191" t="n">
        <v>4308703.97079394</v>
      </c>
      <c r="J696" s="192" t="str">
        <f>IF(I696&gt;0,H696/I696,0)</f>
      </c>
      <c r="K696" s="193" t="str">
        <f>1-EXP(-J696)</f>
      </c>
      <c r="L696" s="194" t="str">
        <f>IF(G696=30,1,M695)</f>
      </c>
      <c r="M696" s="195" t="str">
        <f>L696*(1-K696)</f>
      </c>
    </row>
    <row r="697">
      <c r="A697" t="s">
        <v>167</v>
      </c>
      <c r="B697" t="s">
        <v>254</v>
      </c>
      <c r="C697" s="35" t="s">
        <v>418</v>
      </c>
      <c r="D697" t="s">
        <v>502</v>
      </c>
      <c r="E697" t="s">
        <v>520</v>
      </c>
      <c r="F697" s="188" t="n">
        <v>2042</v>
      </c>
      <c r="G697" s="189" t="n">
        <v>45</v>
      </c>
      <c r="H697" s="190" t="n">
        <v>6003.24175622128</v>
      </c>
      <c r="I697" s="191" t="n">
        <v>4436149.67697698</v>
      </c>
      <c r="J697" s="192" t="str">
        <f>IF(I697&gt;0,H697/I697,0)</f>
      </c>
      <c r="K697" s="193" t="str">
        <f>1-EXP(-J697)</f>
      </c>
      <c r="L697" s="194" t="str">
        <f>IF(G697=30,1,M696)</f>
      </c>
      <c r="M697" s="195" t="str">
        <f>L697*(1-K697)</f>
      </c>
    </row>
    <row r="698">
      <c r="A698" t="s">
        <v>167</v>
      </c>
      <c r="B698" t="s">
        <v>254</v>
      </c>
      <c r="C698" s="35" t="s">
        <v>418</v>
      </c>
      <c r="D698" t="s">
        <v>502</v>
      </c>
      <c r="E698" t="s">
        <v>520</v>
      </c>
      <c r="F698" s="188" t="n">
        <v>2042</v>
      </c>
      <c r="G698" s="189" t="n">
        <v>46</v>
      </c>
      <c r="H698" s="190" t="n">
        <v>6454.99560321731</v>
      </c>
      <c r="I698" s="191" t="n">
        <v>4385054.30544693</v>
      </c>
      <c r="J698" s="192" t="str">
        <f>IF(I698&gt;0,H698/I698,0)</f>
      </c>
      <c r="K698" s="193" t="str">
        <f>1-EXP(-J698)</f>
      </c>
      <c r="L698" s="194" t="str">
        <f>IF(G698=30,1,M697)</f>
      </c>
      <c r="M698" s="195" t="str">
        <f>L698*(1-K698)</f>
      </c>
    </row>
    <row r="699">
      <c r="A699" t="s">
        <v>167</v>
      </c>
      <c r="B699" t="s">
        <v>254</v>
      </c>
      <c r="C699" s="35" t="s">
        <v>418</v>
      </c>
      <c r="D699" t="s">
        <v>502</v>
      </c>
      <c r="E699" t="s">
        <v>520</v>
      </c>
      <c r="F699" s="188" t="n">
        <v>2042</v>
      </c>
      <c r="G699" s="189" t="n">
        <v>47</v>
      </c>
      <c r="H699" s="190" t="n">
        <v>6945.99629769542</v>
      </c>
      <c r="I699" s="191" t="n">
        <v>4304722.84046607</v>
      </c>
      <c r="J699" s="192" t="str">
        <f>IF(I699&gt;0,H699/I699,0)</f>
      </c>
      <c r="K699" s="193" t="str">
        <f>1-EXP(-J699)</f>
      </c>
      <c r="L699" s="194" t="str">
        <f>IF(G699=30,1,M698)</f>
      </c>
      <c r="M699" s="195" t="str">
        <f>L699*(1-K699)</f>
      </c>
    </row>
    <row r="700">
      <c r="A700" t="s">
        <v>167</v>
      </c>
      <c r="B700" t="s">
        <v>254</v>
      </c>
      <c r="C700" s="35" t="s">
        <v>418</v>
      </c>
      <c r="D700" t="s">
        <v>502</v>
      </c>
      <c r="E700" t="s">
        <v>520</v>
      </c>
      <c r="F700" s="188" t="n">
        <v>2042</v>
      </c>
      <c r="G700" s="189" t="n">
        <v>48</v>
      </c>
      <c r="H700" s="190" t="n">
        <v>7507.97968869273</v>
      </c>
      <c r="I700" s="191" t="n">
        <v>4238889.61528314</v>
      </c>
      <c r="J700" s="192" t="str">
        <f>IF(I700&gt;0,H700/I700,0)</f>
      </c>
      <c r="K700" s="193" t="str">
        <f>1-EXP(-J700)</f>
      </c>
      <c r="L700" s="194" t="str">
        <f>IF(G700=30,1,M699)</f>
      </c>
      <c r="M700" s="195" t="str">
        <f>L700*(1-K700)</f>
      </c>
    </row>
    <row r="701">
      <c r="A701" t="s">
        <v>167</v>
      </c>
      <c r="B701" t="s">
        <v>254</v>
      </c>
      <c r="C701" s="35" t="s">
        <v>418</v>
      </c>
      <c r="D701" t="s">
        <v>502</v>
      </c>
      <c r="E701" t="s">
        <v>520</v>
      </c>
      <c r="F701" s="188" t="n">
        <v>2042</v>
      </c>
      <c r="G701" s="189" t="n">
        <v>49</v>
      </c>
      <c r="H701" s="190" t="n">
        <v>8122.42697388861</v>
      </c>
      <c r="I701" s="191" t="n">
        <v>4175637.16596921</v>
      </c>
      <c r="J701" s="192" t="str">
        <f>IF(I701&gt;0,H701/I701,0)</f>
      </c>
      <c r="K701" s="193" t="str">
        <f>1-EXP(-J701)</f>
      </c>
      <c r="L701" s="194" t="str">
        <f>IF(G701=30,1,M700)</f>
      </c>
      <c r="M701" s="195" t="str">
        <f>L701*(1-K701)</f>
      </c>
    </row>
    <row r="702">
      <c r="A702" t="s">
        <v>167</v>
      </c>
      <c r="B702" t="s">
        <v>254</v>
      </c>
      <c r="C702" s="35" t="s">
        <v>418</v>
      </c>
      <c r="D702" t="s">
        <v>502</v>
      </c>
      <c r="E702" t="s">
        <v>520</v>
      </c>
      <c r="F702" s="188" t="n">
        <v>2042</v>
      </c>
      <c r="G702" s="189" t="n">
        <v>50</v>
      </c>
      <c r="H702" s="190" t="n">
        <v>9370.53221433477</v>
      </c>
      <c r="I702" s="191" t="n">
        <v>4199581.36394442</v>
      </c>
      <c r="J702" s="192" t="str">
        <f>IF(I702&gt;0,H702/I702,0)</f>
      </c>
      <c r="K702" s="193" t="str">
        <f>1-EXP(-J702)</f>
      </c>
      <c r="L702" s="194" t="str">
        <f>IF(G702=30,1,M701)</f>
      </c>
      <c r="M702" s="195" t="str">
        <f>L702*(1-K702)</f>
      </c>
    </row>
    <row r="703">
      <c r="A703" t="s">
        <v>167</v>
      </c>
      <c r="B703" t="s">
        <v>254</v>
      </c>
      <c r="C703" s="35" t="s">
        <v>418</v>
      </c>
      <c r="D703" t="s">
        <v>502</v>
      </c>
      <c r="E703" t="s">
        <v>520</v>
      </c>
      <c r="F703" s="188" t="n">
        <v>2042</v>
      </c>
      <c r="G703" s="189" t="n">
        <v>51</v>
      </c>
      <c r="H703" s="190" t="n">
        <v>10238.1850821034</v>
      </c>
      <c r="I703" s="191" t="n">
        <v>4202185.40574056</v>
      </c>
      <c r="J703" s="192" t="str">
        <f>IF(I703&gt;0,H703/I703,0)</f>
      </c>
      <c r="K703" s="193" t="str">
        <f>1-EXP(-J703)</f>
      </c>
      <c r="L703" s="194" t="str">
        <f>IF(G703=30,1,M702)</f>
      </c>
      <c r="M703" s="195" t="str">
        <f>L703*(1-K703)</f>
      </c>
    </row>
    <row r="704">
      <c r="A704" t="s">
        <v>167</v>
      </c>
      <c r="B704" t="s">
        <v>254</v>
      </c>
      <c r="C704" s="35" t="s">
        <v>418</v>
      </c>
      <c r="D704" t="s">
        <v>502</v>
      </c>
      <c r="E704" t="s">
        <v>520</v>
      </c>
      <c r="F704" s="188" t="n">
        <v>2042</v>
      </c>
      <c r="G704" s="189" t="n">
        <v>52</v>
      </c>
      <c r="H704" s="190" t="n">
        <v>14995.6106867049</v>
      </c>
      <c r="I704" s="191" t="n">
        <v>6179863.92080966</v>
      </c>
      <c r="J704" s="192" t="str">
        <f>IF(I704&gt;0,H704/I704,0)</f>
      </c>
      <c r="K704" s="193" t="str">
        <f>1-EXP(-J704)</f>
      </c>
      <c r="L704" s="194" t="str">
        <f>IF(G704=30,1,M703)</f>
      </c>
      <c r="M704" s="195" t="str">
        <f>L704*(1-K704)</f>
      </c>
    </row>
    <row r="705">
      <c r="A705" t="s">
        <v>167</v>
      </c>
      <c r="B705" t="s">
        <v>254</v>
      </c>
      <c r="C705" s="35" t="s">
        <v>418</v>
      </c>
      <c r="D705" t="s">
        <v>502</v>
      </c>
      <c r="E705" t="s">
        <v>520</v>
      </c>
      <c r="F705" s="188" t="n">
        <v>2042</v>
      </c>
      <c r="G705" s="189" t="n">
        <v>53</v>
      </c>
      <c r="H705" s="190" t="n">
        <v>12037.8457437644</v>
      </c>
      <c r="I705" s="191" t="n">
        <v>4130029.29136056</v>
      </c>
      <c r="J705" s="192" t="str">
        <f>IF(I705&gt;0,H705/I705,0)</f>
      </c>
      <c r="K705" s="193" t="str">
        <f>1-EXP(-J705)</f>
      </c>
      <c r="L705" s="194" t="str">
        <f>IF(G705=30,1,M704)</f>
      </c>
      <c r="M705" s="195" t="str">
        <f>L705*(1-K705)</f>
      </c>
    </row>
    <row r="706">
      <c r="A706" t="s">
        <v>167</v>
      </c>
      <c r="B706" t="s">
        <v>254</v>
      </c>
      <c r="C706" s="35" t="s">
        <v>418</v>
      </c>
      <c r="D706" t="s">
        <v>502</v>
      </c>
      <c r="E706" t="s">
        <v>520</v>
      </c>
      <c r="F706" s="188" t="n">
        <v>2042</v>
      </c>
      <c r="G706" s="189" t="n">
        <v>54</v>
      </c>
      <c r="H706" s="190" t="n">
        <v>13031.8975787194</v>
      </c>
      <c r="I706" s="191" t="n">
        <v>4095535.29543741</v>
      </c>
      <c r="J706" s="192" t="str">
        <f>IF(I706&gt;0,H706/I706,0)</f>
      </c>
      <c r="K706" s="193" t="str">
        <f>1-EXP(-J706)</f>
      </c>
      <c r="L706" s="194" t="str">
        <f>IF(G706=30,1,M705)</f>
      </c>
      <c r="M706" s="195" t="str">
        <f>L706*(1-K706)</f>
      </c>
    </row>
    <row r="707">
      <c r="A707" t="s">
        <v>167</v>
      </c>
      <c r="B707" t="s">
        <v>254</v>
      </c>
      <c r="C707" s="35" t="s">
        <v>418</v>
      </c>
      <c r="D707" t="s">
        <v>502</v>
      </c>
      <c r="E707" t="s">
        <v>520</v>
      </c>
      <c r="F707" s="188" t="n">
        <v>2042</v>
      </c>
      <c r="G707" s="189" t="n">
        <v>55</v>
      </c>
      <c r="H707" s="190" t="n">
        <v>13571.28586197</v>
      </c>
      <c r="I707" s="191" t="n">
        <v>3950342.7801581</v>
      </c>
      <c r="J707" s="192" t="str">
        <f>IF(I707&gt;0,H707/I707,0)</f>
      </c>
      <c r="K707" s="193" t="str">
        <f>1-EXP(-J707)</f>
      </c>
      <c r="L707" s="194" t="str">
        <f>IF(G707=30,1,M706)</f>
      </c>
      <c r="M707" s="195" t="str">
        <f>L707*(1-K707)</f>
      </c>
    </row>
    <row r="708">
      <c r="A708" t="s">
        <v>167</v>
      </c>
      <c r="B708" t="s">
        <v>254</v>
      </c>
      <c r="C708" s="35" t="s">
        <v>418</v>
      </c>
      <c r="D708" t="s">
        <v>502</v>
      </c>
      <c r="E708" t="s">
        <v>520</v>
      </c>
      <c r="F708" s="188" t="n">
        <v>2042</v>
      </c>
      <c r="G708" s="189" t="n">
        <v>56</v>
      </c>
      <c r="H708" s="190" t="n">
        <v>14527.1077944887</v>
      </c>
      <c r="I708" s="191" t="n">
        <v>3896244.20076299</v>
      </c>
      <c r="J708" s="192" t="str">
        <f>IF(I708&gt;0,H708/I708,0)</f>
      </c>
      <c r="K708" s="193" t="str">
        <f>1-EXP(-J708)</f>
      </c>
      <c r="L708" s="194" t="str">
        <f>IF(G708=30,1,M707)</f>
      </c>
      <c r="M708" s="195" t="str">
        <f>L708*(1-K708)</f>
      </c>
    </row>
    <row r="709">
      <c r="A709" t="s">
        <v>167</v>
      </c>
      <c r="B709" t="s">
        <v>254</v>
      </c>
      <c r="C709" s="35" t="s">
        <v>418</v>
      </c>
      <c r="D709" t="s">
        <v>502</v>
      </c>
      <c r="E709" t="s">
        <v>520</v>
      </c>
      <c r="F709" s="188" t="n">
        <v>2042</v>
      </c>
      <c r="G709" s="189" t="n">
        <v>57</v>
      </c>
      <c r="H709" s="190" t="n">
        <v>16000.2156871836</v>
      </c>
      <c r="I709" s="191" t="n">
        <v>3928109.48460434</v>
      </c>
      <c r="J709" s="192" t="str">
        <f>IF(I709&gt;0,H709/I709,0)</f>
      </c>
      <c r="K709" s="193" t="str">
        <f>1-EXP(-J709)</f>
      </c>
      <c r="L709" s="194" t="str">
        <f>IF(G709=30,1,M708)</f>
      </c>
      <c r="M709" s="195" t="str">
        <f>L709*(1-K709)</f>
      </c>
    </row>
    <row r="710">
      <c r="A710" t="s">
        <v>167</v>
      </c>
      <c r="B710" t="s">
        <v>254</v>
      </c>
      <c r="C710" s="35" t="s">
        <v>418</v>
      </c>
      <c r="D710" t="s">
        <v>502</v>
      </c>
      <c r="E710" t="s">
        <v>520</v>
      </c>
      <c r="F710" s="188" t="n">
        <v>2042</v>
      </c>
      <c r="G710" s="189" t="n">
        <v>58</v>
      </c>
      <c r="H710" s="190" t="n">
        <v>17738.7934965799</v>
      </c>
      <c r="I710" s="191" t="n">
        <v>3980513.8424855</v>
      </c>
      <c r="J710" s="192" t="str">
        <f>IF(I710&gt;0,H710/I710,0)</f>
      </c>
      <c r="K710" s="193" t="str">
        <f>1-EXP(-J710)</f>
      </c>
      <c r="L710" s="194" t="str">
        <f>IF(G710=30,1,M709)</f>
      </c>
      <c r="M710" s="195" t="str">
        <f>L710*(1-K710)</f>
      </c>
    </row>
    <row r="711">
      <c r="A711" t="s">
        <v>167</v>
      </c>
      <c r="B711" t="s">
        <v>254</v>
      </c>
      <c r="C711" s="35" t="s">
        <v>418</v>
      </c>
      <c r="D711" t="s">
        <v>502</v>
      </c>
      <c r="E711" t="s">
        <v>520</v>
      </c>
      <c r="F711" s="188" t="n">
        <v>2042</v>
      </c>
      <c r="G711" s="189" t="n">
        <v>59</v>
      </c>
      <c r="H711" s="190" t="n">
        <v>19183.502103373</v>
      </c>
      <c r="I711" s="191" t="n">
        <v>3929420.23232446</v>
      </c>
      <c r="J711" s="192" t="str">
        <f>IF(I711&gt;0,H711/I711,0)</f>
      </c>
      <c r="K711" s="193" t="str">
        <f>1-EXP(-J711)</f>
      </c>
      <c r="L711" s="194" t="str">
        <f>IF(G711=30,1,M710)</f>
      </c>
      <c r="M711" s="195" t="str">
        <f>L711*(1-K711)</f>
      </c>
    </row>
    <row r="712">
      <c r="A712" t="s">
        <v>167</v>
      </c>
      <c r="B712" t="s">
        <v>254</v>
      </c>
      <c r="C712" s="35" t="s">
        <v>418</v>
      </c>
      <c r="D712" t="s">
        <v>502</v>
      </c>
      <c r="E712" t="s">
        <v>520</v>
      </c>
      <c r="F712" s="188" t="n">
        <v>2042</v>
      </c>
      <c r="G712" s="189" t="n">
        <v>60</v>
      </c>
      <c r="H712" s="190" t="n">
        <v>20070.7685690299</v>
      </c>
      <c r="I712" s="191" t="n">
        <v>3773390.0311337</v>
      </c>
      <c r="J712" s="192" t="str">
        <f>IF(I712&gt;0,H712/I712,0)</f>
      </c>
      <c r="K712" s="193" t="str">
        <f>1-EXP(-J712)</f>
      </c>
      <c r="L712" s="194" t="str">
        <f>IF(G712=30,1,M711)</f>
      </c>
      <c r="M712" s="195" t="str">
        <f>L712*(1-K712)</f>
      </c>
    </row>
    <row r="713">
      <c r="A713" t="s">
        <v>167</v>
      </c>
      <c r="B713" t="s">
        <v>254</v>
      </c>
      <c r="C713" s="35" t="s">
        <v>418</v>
      </c>
      <c r="D713" t="s">
        <v>502</v>
      </c>
      <c r="E713" t="s">
        <v>520</v>
      </c>
      <c r="F713" s="188" t="n">
        <v>2042</v>
      </c>
      <c r="G713" s="189" t="n">
        <v>61</v>
      </c>
      <c r="H713" s="190" t="n">
        <v>21449.0079839628</v>
      </c>
      <c r="I713" s="191" t="n">
        <v>3673189.27872632</v>
      </c>
      <c r="J713" s="192" t="str">
        <f>IF(I713&gt;0,H713/I713,0)</f>
      </c>
      <c r="K713" s="193" t="str">
        <f>1-EXP(-J713)</f>
      </c>
      <c r="L713" s="194" t="str">
        <f>IF(G713=30,1,M712)</f>
      </c>
      <c r="M713" s="195" t="str">
        <f>L713*(1-K713)</f>
      </c>
    </row>
    <row r="714">
      <c r="A714" t="s">
        <v>167</v>
      </c>
      <c r="B714" t="s">
        <v>254</v>
      </c>
      <c r="C714" s="35" t="s">
        <v>418</v>
      </c>
      <c r="D714" t="s">
        <v>502</v>
      </c>
      <c r="E714" t="s">
        <v>520</v>
      </c>
      <c r="F714" s="188" t="n">
        <v>2042</v>
      </c>
      <c r="G714" s="189" t="n">
        <v>62</v>
      </c>
      <c r="H714" s="190" t="n">
        <v>22981.5075311666</v>
      </c>
      <c r="I714" s="191" t="n">
        <v>3585688.7137013</v>
      </c>
      <c r="J714" s="192" t="str">
        <f>IF(I714&gt;0,H714/I714,0)</f>
      </c>
      <c r="K714" s="193" t="str">
        <f>1-EXP(-J714)</f>
      </c>
      <c r="L714" s="194" t="str">
        <f>IF(G714=30,1,M713)</f>
      </c>
      <c r="M714" s="195" t="str">
        <f>L714*(1-K714)</f>
      </c>
    </row>
    <row r="715">
      <c r="A715" t="s">
        <v>167</v>
      </c>
      <c r="B715" t="s">
        <v>254</v>
      </c>
      <c r="C715" s="35" t="s">
        <v>418</v>
      </c>
      <c r="D715" t="s">
        <v>502</v>
      </c>
      <c r="E715" t="s">
        <v>520</v>
      </c>
      <c r="F715" s="188" t="n">
        <v>2042</v>
      </c>
      <c r="G715" s="189" t="n">
        <v>63</v>
      </c>
      <c r="H715" s="190" t="n">
        <v>24567.148705429</v>
      </c>
      <c r="I715" s="191" t="n">
        <v>3491349.78377919</v>
      </c>
      <c r="J715" s="192" t="str">
        <f>IF(I715&gt;0,H715/I715,0)</f>
      </c>
      <c r="K715" s="193" t="str">
        <f>1-EXP(-J715)</f>
      </c>
      <c r="L715" s="194" t="str">
        <f>IF(G715=30,1,M714)</f>
      </c>
      <c r="M715" s="195" t="str">
        <f>L715*(1-K715)</f>
      </c>
    </row>
    <row r="716">
      <c r="A716" t="s">
        <v>167</v>
      </c>
      <c r="B716" t="s">
        <v>254</v>
      </c>
      <c r="C716" s="35" t="s">
        <v>418</v>
      </c>
      <c r="D716" t="s">
        <v>502</v>
      </c>
      <c r="E716" t="s">
        <v>520</v>
      </c>
      <c r="F716" s="188" t="n">
        <v>2042</v>
      </c>
      <c r="G716" s="189" t="n">
        <v>64</v>
      </c>
      <c r="H716" s="190" t="n">
        <v>26092.2907393232</v>
      </c>
      <c r="I716" s="191" t="n">
        <v>3377961.59622204</v>
      </c>
      <c r="J716" s="192" t="str">
        <f>IF(I716&gt;0,H716/I716,0)</f>
      </c>
      <c r="K716" s="193" t="str">
        <f>1-EXP(-J716)</f>
      </c>
      <c r="L716" s="194" t="str">
        <f>IF(G716=30,1,M715)</f>
      </c>
      <c r="M716" s="195" t="str">
        <f>L716*(1-K716)</f>
      </c>
    </row>
    <row r="717">
      <c r="A717" t="s">
        <v>167</v>
      </c>
      <c r="B717" t="s">
        <v>254</v>
      </c>
      <c r="C717" s="35" t="s">
        <v>418</v>
      </c>
      <c r="D717" t="s">
        <v>502</v>
      </c>
      <c r="E717" t="s">
        <v>520</v>
      </c>
      <c r="F717" s="188" t="n">
        <v>2042</v>
      </c>
      <c r="G717" s="189" t="n">
        <v>65</v>
      </c>
      <c r="H717" s="190" t="n">
        <v>26603.2774981895</v>
      </c>
      <c r="I717" s="191" t="n">
        <v>3277130.69342099</v>
      </c>
      <c r="J717" s="192" t="str">
        <f>IF(I717&gt;0,H717/I717,0)</f>
      </c>
      <c r="K717" s="193" t="str">
        <f>1-EXP(-J717)</f>
      </c>
      <c r="L717" s="194" t="str">
        <f>IF(G717=30,1,M716)</f>
      </c>
      <c r="M717" s="195" t="str">
        <f>L717*(1-K717)</f>
      </c>
    </row>
    <row r="718">
      <c r="A718" t="s">
        <v>167</v>
      </c>
      <c r="B718" t="s">
        <v>254</v>
      </c>
      <c r="C718" s="35" t="s">
        <v>418</v>
      </c>
      <c r="D718" t="s">
        <v>502</v>
      </c>
      <c r="E718" t="s">
        <v>520</v>
      </c>
      <c r="F718" s="188" t="n">
        <v>2042</v>
      </c>
      <c r="G718" s="189" t="n">
        <v>66</v>
      </c>
      <c r="H718" s="190" t="n">
        <v>28148.037958936</v>
      </c>
      <c r="I718" s="191" t="n">
        <v>3165251.85386239</v>
      </c>
      <c r="J718" s="192" t="str">
        <f>IF(I718&gt;0,H718/I718,0)</f>
      </c>
      <c r="K718" s="193" t="str">
        <f>1-EXP(-J718)</f>
      </c>
      <c r="L718" s="194" t="str">
        <f>IF(G718=30,1,M717)</f>
      </c>
      <c r="M718" s="195" t="str">
        <f>L718*(1-K718)</f>
      </c>
    </row>
    <row r="719">
      <c r="A719" t="s">
        <v>167</v>
      </c>
      <c r="B719" t="s">
        <v>254</v>
      </c>
      <c r="C719" s="35" t="s">
        <v>418</v>
      </c>
      <c r="D719" t="s">
        <v>502</v>
      </c>
      <c r="E719" t="s">
        <v>520</v>
      </c>
      <c r="F719" s="188" t="n">
        <v>2042</v>
      </c>
      <c r="G719" s="189" t="n">
        <v>67</v>
      </c>
      <c r="H719" s="190" t="n">
        <v>29796.8123262656</v>
      </c>
      <c r="I719" s="191" t="n">
        <v>3050427.7805699</v>
      </c>
      <c r="J719" s="192" t="str">
        <f>IF(I719&gt;0,H719/I719,0)</f>
      </c>
      <c r="K719" s="193" t="str">
        <f>1-EXP(-J719)</f>
      </c>
      <c r="L719" s="194" t="str">
        <f>IF(G719=30,1,M718)</f>
      </c>
      <c r="M719" s="195" t="str">
        <f>L719*(1-K719)</f>
      </c>
    </row>
    <row r="720">
      <c r="A720" t="s">
        <v>167</v>
      </c>
      <c r="B720" t="s">
        <v>254</v>
      </c>
      <c r="C720" s="35" t="s">
        <v>418</v>
      </c>
      <c r="D720" t="s">
        <v>502</v>
      </c>
      <c r="E720" t="s">
        <v>520</v>
      </c>
      <c r="F720" s="188" t="n">
        <v>2042</v>
      </c>
      <c r="G720" s="189" t="n">
        <v>68</v>
      </c>
      <c r="H720" s="190" t="n">
        <v>31265.5031324895</v>
      </c>
      <c r="I720" s="191" t="n">
        <v>2911163.32797493</v>
      </c>
      <c r="J720" s="192" t="str">
        <f>IF(I720&gt;0,H720/I720,0)</f>
      </c>
      <c r="K720" s="193" t="str">
        <f>1-EXP(-J720)</f>
      </c>
      <c r="L720" s="194" t="str">
        <f>IF(G720=30,1,M719)</f>
      </c>
      <c r="M720" s="195" t="str">
        <f>L720*(1-K720)</f>
      </c>
    </row>
    <row r="721">
      <c r="A721" t="s">
        <v>167</v>
      </c>
      <c r="B721" t="s">
        <v>254</v>
      </c>
      <c r="C721" s="35" t="s">
        <v>418</v>
      </c>
      <c r="D721" t="s">
        <v>502</v>
      </c>
      <c r="E721" t="s">
        <v>520</v>
      </c>
      <c r="F721" s="188" t="n">
        <v>2042</v>
      </c>
      <c r="G721" s="189" t="n">
        <v>69</v>
      </c>
      <c r="H721" s="190" t="n">
        <v>33323.4326104137</v>
      </c>
      <c r="I721" s="191" t="n">
        <v>2819372.66384935</v>
      </c>
      <c r="J721" s="192" t="str">
        <f>IF(I721&gt;0,H721/I721,0)</f>
      </c>
      <c r="K721" s="193" t="str">
        <f>1-EXP(-J721)</f>
      </c>
      <c r="L721" s="194" t="str">
        <f>IF(G721=30,1,M720)</f>
      </c>
      <c r="M721" s="195" t="str">
        <f>L721*(1-K721)</f>
      </c>
    </row>
    <row r="722">
      <c r="A722" t="s">
        <v>167</v>
      </c>
      <c r="B722" t="s">
        <v>254</v>
      </c>
      <c r="C722" s="35" t="s">
        <v>418</v>
      </c>
      <c r="D722" t="s">
        <v>502</v>
      </c>
      <c r="E722" t="s">
        <v>520</v>
      </c>
      <c r="F722" s="188" t="n">
        <v>2043</v>
      </c>
      <c r="G722" s="189" t="n">
        <v>30</v>
      </c>
      <c r="H722" s="190" t="n">
        <v>718.595611918249</v>
      </c>
      <c r="I722" s="191" t="n">
        <v>4787940.35061135</v>
      </c>
      <c r="J722" s="192" t="str">
        <f>IF(I722&gt;0,H722/I722,0)</f>
      </c>
      <c r="K722" s="193" t="str">
        <f>1-EXP(-J722)</f>
      </c>
      <c r="L722" s="194" t="str">
        <f>IF(G722=30,1,M721)</f>
      </c>
      <c r="M722" s="195" t="str">
        <f>L722*(1-K722)</f>
      </c>
    </row>
    <row r="723">
      <c r="A723" t="s">
        <v>167</v>
      </c>
      <c r="B723" t="s">
        <v>254</v>
      </c>
      <c r="C723" s="35" t="s">
        <v>418</v>
      </c>
      <c r="D723" t="s">
        <v>502</v>
      </c>
      <c r="E723" t="s">
        <v>520</v>
      </c>
      <c r="F723" s="188" t="n">
        <v>2043</v>
      </c>
      <c r="G723" s="189" t="n">
        <v>31</v>
      </c>
      <c r="H723" s="190" t="n">
        <v>1011.64697315537</v>
      </c>
      <c r="I723" s="191" t="n">
        <v>4900993.77108854</v>
      </c>
      <c r="J723" s="192" t="str">
        <f>IF(I723&gt;0,H723/I723,0)</f>
      </c>
      <c r="K723" s="193" t="str">
        <f>1-EXP(-J723)</f>
      </c>
      <c r="L723" s="194" t="str">
        <f>IF(G723=30,1,M722)</f>
      </c>
      <c r="M723" s="195" t="str">
        <f>L723*(1-K723)</f>
      </c>
    </row>
    <row r="724">
      <c r="A724" t="s">
        <v>167</v>
      </c>
      <c r="B724" t="s">
        <v>254</v>
      </c>
      <c r="C724" s="35" t="s">
        <v>418</v>
      </c>
      <c r="D724" t="s">
        <v>502</v>
      </c>
      <c r="E724" t="s">
        <v>520</v>
      </c>
      <c r="F724" s="188" t="n">
        <v>2043</v>
      </c>
      <c r="G724" s="189" t="n">
        <v>32</v>
      </c>
      <c r="H724" s="190" t="n">
        <v>1059.80577052502</v>
      </c>
      <c r="I724" s="191" t="n">
        <v>4873017.17512009</v>
      </c>
      <c r="J724" s="192" t="str">
        <f>IF(I724&gt;0,H724/I724,0)</f>
      </c>
      <c r="K724" s="193" t="str">
        <f>1-EXP(-J724)</f>
      </c>
      <c r="L724" s="194" t="str">
        <f>IF(G724=30,1,M723)</f>
      </c>
      <c r="M724" s="195" t="str">
        <f>L724*(1-K724)</f>
      </c>
    </row>
    <row r="725">
      <c r="A725" t="s">
        <v>167</v>
      </c>
      <c r="B725" t="s">
        <v>254</v>
      </c>
      <c r="C725" s="35" t="s">
        <v>418</v>
      </c>
      <c r="D725" t="s">
        <v>502</v>
      </c>
      <c r="E725" t="s">
        <v>520</v>
      </c>
      <c r="F725" s="188" t="n">
        <v>2043</v>
      </c>
      <c r="G725" s="189" t="n">
        <v>33</v>
      </c>
      <c r="H725" s="190" t="n">
        <v>1092.19185338891</v>
      </c>
      <c r="I725" s="191" t="n">
        <v>4739251.51009046</v>
      </c>
      <c r="J725" s="192" t="str">
        <f>IF(I725&gt;0,H725/I725,0)</f>
      </c>
      <c r="K725" s="193" t="str">
        <f>1-EXP(-J725)</f>
      </c>
      <c r="L725" s="194" t="str">
        <f>IF(G725=30,1,M724)</f>
      </c>
      <c r="M725" s="195" t="str">
        <f>L725*(1-K725)</f>
      </c>
    </row>
    <row r="726">
      <c r="A726" t="s">
        <v>167</v>
      </c>
      <c r="B726" t="s">
        <v>254</v>
      </c>
      <c r="C726" s="35" t="s">
        <v>418</v>
      </c>
      <c r="D726" t="s">
        <v>502</v>
      </c>
      <c r="E726" t="s">
        <v>520</v>
      </c>
      <c r="F726" s="188" t="n">
        <v>2043</v>
      </c>
      <c r="G726" s="189" t="n">
        <v>34</v>
      </c>
      <c r="H726" s="190" t="n">
        <v>1147.03003897928</v>
      </c>
      <c r="I726" s="191" t="n">
        <v>4668272.64081948</v>
      </c>
      <c r="J726" s="192" t="str">
        <f>IF(I726&gt;0,H726/I726,0)</f>
      </c>
      <c r="K726" s="193" t="str">
        <f>1-EXP(-J726)</f>
      </c>
      <c r="L726" s="194" t="str">
        <f>IF(G726=30,1,M725)</f>
      </c>
      <c r="M726" s="195" t="str">
        <f>L726*(1-K726)</f>
      </c>
    </row>
    <row r="727">
      <c r="A727" t="s">
        <v>167</v>
      </c>
      <c r="B727" t="s">
        <v>254</v>
      </c>
      <c r="C727" s="35" t="s">
        <v>418</v>
      </c>
      <c r="D727" t="s">
        <v>502</v>
      </c>
      <c r="E727" t="s">
        <v>520</v>
      </c>
      <c r="F727" s="188" t="n">
        <v>2043</v>
      </c>
      <c r="G727" s="189" t="n">
        <v>35</v>
      </c>
      <c r="H727" s="190" t="n">
        <v>1499.97126324238</v>
      </c>
      <c r="I727" s="191" t="n">
        <v>4625164.6135948</v>
      </c>
      <c r="J727" s="192" t="str">
        <f>IF(I727&gt;0,H727/I727,0)</f>
      </c>
      <c r="K727" s="193" t="str">
        <f>1-EXP(-J727)</f>
      </c>
      <c r="L727" s="194" t="str">
        <f>IF(G727=30,1,M726)</f>
      </c>
      <c r="M727" s="195" t="str">
        <f>L727*(1-K727)</f>
      </c>
    </row>
    <row r="728">
      <c r="A728" t="s">
        <v>167</v>
      </c>
      <c r="B728" t="s">
        <v>254</v>
      </c>
      <c r="C728" s="35" t="s">
        <v>418</v>
      </c>
      <c r="D728" t="s">
        <v>502</v>
      </c>
      <c r="E728" t="s">
        <v>520</v>
      </c>
      <c r="F728" s="188" t="n">
        <v>2043</v>
      </c>
      <c r="G728" s="189" t="n">
        <v>36</v>
      </c>
      <c r="H728" s="190" t="n">
        <v>1823.25811066663</v>
      </c>
      <c r="I728" s="191" t="n">
        <v>4649747.43089024</v>
      </c>
      <c r="J728" s="192" t="str">
        <f>IF(I728&gt;0,H728/I728,0)</f>
      </c>
      <c r="K728" s="193" t="str">
        <f>1-EXP(-J728)</f>
      </c>
      <c r="L728" s="194" t="str">
        <f>IF(G728=30,1,M727)</f>
      </c>
      <c r="M728" s="195" t="str">
        <f>L728*(1-K728)</f>
      </c>
    </row>
    <row r="729">
      <c r="A729" t="s">
        <v>167</v>
      </c>
      <c r="B729" t="s">
        <v>254</v>
      </c>
      <c r="C729" s="35" t="s">
        <v>418</v>
      </c>
      <c r="D729" t="s">
        <v>502</v>
      </c>
      <c r="E729" t="s">
        <v>520</v>
      </c>
      <c r="F729" s="188" t="n">
        <v>2043</v>
      </c>
      <c r="G729" s="189" t="n">
        <v>37</v>
      </c>
      <c r="H729" s="190" t="n">
        <v>1925.71797658285</v>
      </c>
      <c r="I729" s="191" t="n">
        <v>4565830.10925014</v>
      </c>
      <c r="J729" s="192" t="str">
        <f>IF(I729&gt;0,H729/I729,0)</f>
      </c>
      <c r="K729" s="193" t="str">
        <f>1-EXP(-J729)</f>
      </c>
      <c r="L729" s="194" t="str">
        <f>IF(G729=30,1,M728)</f>
      </c>
      <c r="M729" s="195" t="str">
        <f>L729*(1-K729)</f>
      </c>
    </row>
    <row r="730">
      <c r="A730" t="s">
        <v>167</v>
      </c>
      <c r="B730" t="s">
        <v>254</v>
      </c>
      <c r="C730" s="35" t="s">
        <v>418</v>
      </c>
      <c r="D730" t="s">
        <v>502</v>
      </c>
      <c r="E730" t="s">
        <v>520</v>
      </c>
      <c r="F730" s="188" t="n">
        <v>2043</v>
      </c>
      <c r="G730" s="189" t="n">
        <v>38</v>
      </c>
      <c r="H730" s="190" t="n">
        <v>2049.82160947223</v>
      </c>
      <c r="I730" s="191" t="n">
        <v>4503450.48843411</v>
      </c>
      <c r="J730" s="192" t="str">
        <f>IF(I730&gt;0,H730/I730,0)</f>
      </c>
      <c r="K730" s="193" t="str">
        <f>1-EXP(-J730)</f>
      </c>
      <c r="L730" s="194" t="str">
        <f>IF(G730=30,1,M729)</f>
      </c>
      <c r="M730" s="195" t="str">
        <f>L730*(1-K730)</f>
      </c>
    </row>
    <row r="731">
      <c r="A731" t="s">
        <v>167</v>
      </c>
      <c r="B731" t="s">
        <v>254</v>
      </c>
      <c r="C731" s="35" t="s">
        <v>418</v>
      </c>
      <c r="D731" t="s">
        <v>502</v>
      </c>
      <c r="E731" t="s">
        <v>520</v>
      </c>
      <c r="F731" s="188" t="n">
        <v>2043</v>
      </c>
      <c r="G731" s="189" t="n">
        <v>39</v>
      </c>
      <c r="H731" s="190" t="n">
        <v>2155.43614152587</v>
      </c>
      <c r="I731" s="191" t="n">
        <v>4373647.71043519</v>
      </c>
      <c r="J731" s="192" t="str">
        <f>IF(I731&gt;0,H731/I731,0)</f>
      </c>
      <c r="K731" s="193" t="str">
        <f>1-EXP(-J731)</f>
      </c>
      <c r="L731" s="194" t="str">
        <f>IF(G731=30,1,M730)</f>
      </c>
      <c r="M731" s="195" t="str">
        <f>L731*(1-K731)</f>
      </c>
    </row>
    <row r="732">
      <c r="A732" t="s">
        <v>167</v>
      </c>
      <c r="B732" t="s">
        <v>254</v>
      </c>
      <c r="C732" s="35" t="s">
        <v>418</v>
      </c>
      <c r="D732" t="s">
        <v>502</v>
      </c>
      <c r="E732" t="s">
        <v>520</v>
      </c>
      <c r="F732" s="188" t="n">
        <v>2043</v>
      </c>
      <c r="G732" s="189" t="n">
        <v>40</v>
      </c>
      <c r="H732" s="190" t="n">
        <v>2859.46201020694</v>
      </c>
      <c r="I732" s="191" t="n">
        <v>4306071.93235879</v>
      </c>
      <c r="J732" s="192" t="str">
        <f>IF(I732&gt;0,H732/I732,0)</f>
      </c>
      <c r="K732" s="193" t="str">
        <f>1-EXP(-J732)</f>
      </c>
      <c r="L732" s="194" t="str">
        <f>IF(G732=30,1,M731)</f>
      </c>
      <c r="M732" s="195" t="str">
        <f>L732*(1-K732)</f>
      </c>
    </row>
    <row r="733">
      <c r="A733" t="s">
        <v>167</v>
      </c>
      <c r="B733" t="s">
        <v>254</v>
      </c>
      <c r="C733" s="35" t="s">
        <v>418</v>
      </c>
      <c r="D733" t="s">
        <v>502</v>
      </c>
      <c r="E733" t="s">
        <v>520</v>
      </c>
      <c r="F733" s="188" t="n">
        <v>2043</v>
      </c>
      <c r="G733" s="189" t="n">
        <v>41</v>
      </c>
      <c r="H733" s="190" t="n">
        <v>3316.68299182738</v>
      </c>
      <c r="I733" s="191" t="n">
        <v>4279644.51517158</v>
      </c>
      <c r="J733" s="192" t="str">
        <f>IF(I733&gt;0,H733/I733,0)</f>
      </c>
      <c r="K733" s="193" t="str">
        <f>1-EXP(-J733)</f>
      </c>
      <c r="L733" s="194" t="str">
        <f>IF(G733=30,1,M732)</f>
      </c>
      <c r="M733" s="195" t="str">
        <f>L733*(1-K733)</f>
      </c>
    </row>
    <row r="734">
      <c r="A734" t="s">
        <v>167</v>
      </c>
      <c r="B734" t="s">
        <v>254</v>
      </c>
      <c r="C734" s="35" t="s">
        <v>418</v>
      </c>
      <c r="D734" t="s">
        <v>502</v>
      </c>
      <c r="E734" t="s">
        <v>520</v>
      </c>
      <c r="F734" s="188" t="n">
        <v>2043</v>
      </c>
      <c r="G734" s="189" t="n">
        <v>42</v>
      </c>
      <c r="H734" s="190" t="n">
        <v>3582.5040579624</v>
      </c>
      <c r="I734" s="191" t="n">
        <v>4255892.50026723</v>
      </c>
      <c r="J734" s="192" t="str">
        <f>IF(I734&gt;0,H734/I734,0)</f>
      </c>
      <c r="K734" s="193" t="str">
        <f>1-EXP(-J734)</f>
      </c>
      <c r="L734" s="194" t="str">
        <f>IF(G734=30,1,M733)</f>
      </c>
      <c r="M734" s="195" t="str">
        <f>L734*(1-K734)</f>
      </c>
    </row>
    <row r="735">
      <c r="A735" t="s">
        <v>167</v>
      </c>
      <c r="B735" t="s">
        <v>254</v>
      </c>
      <c r="C735" s="35" t="s">
        <v>418</v>
      </c>
      <c r="D735" t="s">
        <v>502</v>
      </c>
      <c r="E735" t="s">
        <v>520</v>
      </c>
      <c r="F735" s="188" t="n">
        <v>2043</v>
      </c>
      <c r="G735" s="189" t="n">
        <v>43</v>
      </c>
      <c r="H735" s="190" t="n">
        <v>3879.10739581962</v>
      </c>
      <c r="I735" s="191" t="n">
        <v>4231358.72642288</v>
      </c>
      <c r="J735" s="192" t="str">
        <f>IF(I735&gt;0,H735/I735,0)</f>
      </c>
      <c r="K735" s="193" t="str">
        <f>1-EXP(-J735)</f>
      </c>
      <c r="L735" s="194" t="str">
        <f>IF(G735=30,1,M734)</f>
      </c>
      <c r="M735" s="195" t="str">
        <f>L735*(1-K735)</f>
      </c>
    </row>
    <row r="736">
      <c r="A736" t="s">
        <v>167</v>
      </c>
      <c r="B736" t="s">
        <v>254</v>
      </c>
      <c r="C736" s="35" t="s">
        <v>418</v>
      </c>
      <c r="D736" t="s">
        <v>502</v>
      </c>
      <c r="E736" t="s">
        <v>520</v>
      </c>
      <c r="F736" s="188" t="n">
        <v>2043</v>
      </c>
      <c r="G736" s="189" t="n">
        <v>44</v>
      </c>
      <c r="H736" s="190" t="n">
        <v>4248.9737022784</v>
      </c>
      <c r="I736" s="191" t="n">
        <v>4245204.31681095</v>
      </c>
      <c r="J736" s="192" t="str">
        <f>IF(I736&gt;0,H736/I736,0)</f>
      </c>
      <c r="K736" s="193" t="str">
        <f>1-EXP(-J736)</f>
      </c>
      <c r="L736" s="194" t="str">
        <f>IF(G736=30,1,M735)</f>
      </c>
      <c r="M736" s="195" t="str">
        <f>L736*(1-K736)</f>
      </c>
    </row>
    <row r="737">
      <c r="A737" t="s">
        <v>167</v>
      </c>
      <c r="B737" t="s">
        <v>254</v>
      </c>
      <c r="C737" s="35" t="s">
        <v>418</v>
      </c>
      <c r="D737" t="s">
        <v>502</v>
      </c>
      <c r="E737" t="s">
        <v>520</v>
      </c>
      <c r="F737" s="188" t="n">
        <v>2043</v>
      </c>
      <c r="G737" s="189" t="n">
        <v>45</v>
      </c>
      <c r="H737" s="190" t="n">
        <v>5539.47308402244</v>
      </c>
      <c r="I737" s="191" t="n">
        <v>4296636.99418694</v>
      </c>
      <c r="J737" s="192" t="str">
        <f>IF(I737&gt;0,H737/I737,0)</f>
      </c>
      <c r="K737" s="193" t="str">
        <f>1-EXP(-J737)</f>
      </c>
      <c r="L737" s="194" t="str">
        <f>IF(G737=30,1,M736)</f>
      </c>
      <c r="M737" s="195" t="str">
        <f>L737*(1-K737)</f>
      </c>
    </row>
    <row r="738">
      <c r="A738" t="s">
        <v>167</v>
      </c>
      <c r="B738" t="s">
        <v>254</v>
      </c>
      <c r="C738" s="35" t="s">
        <v>418</v>
      </c>
      <c r="D738" t="s">
        <v>502</v>
      </c>
      <c r="E738" t="s">
        <v>520</v>
      </c>
      <c r="F738" s="188" t="n">
        <v>2043</v>
      </c>
      <c r="G738" s="189" t="n">
        <v>46</v>
      </c>
      <c r="H738" s="190" t="n">
        <v>6467.25673159073</v>
      </c>
      <c r="I738" s="191" t="n">
        <v>4421403.28631825</v>
      </c>
      <c r="J738" s="192" t="str">
        <f>IF(I738&gt;0,H738/I738,0)</f>
      </c>
      <c r="K738" s="193" t="str">
        <f>1-EXP(-J738)</f>
      </c>
      <c r="L738" s="194" t="str">
        <f>IF(G738=30,1,M737)</f>
      </c>
      <c r="M738" s="195" t="str">
        <f>L738*(1-K738)</f>
      </c>
    </row>
    <row r="739">
      <c r="A739" t="s">
        <v>167</v>
      </c>
      <c r="B739" t="s">
        <v>254</v>
      </c>
      <c r="C739" s="35" t="s">
        <v>418</v>
      </c>
      <c r="D739" t="s">
        <v>502</v>
      </c>
      <c r="E739" t="s">
        <v>520</v>
      </c>
      <c r="F739" s="188" t="n">
        <v>2043</v>
      </c>
      <c r="G739" s="189" t="n">
        <v>47</v>
      </c>
      <c r="H739" s="190" t="n">
        <v>7005.58378381041</v>
      </c>
      <c r="I739" s="191" t="n">
        <v>4370150.58035496</v>
      </c>
      <c r="J739" s="192" t="str">
        <f>IF(I739&gt;0,H739/I739,0)</f>
      </c>
      <c r="K739" s="193" t="str">
        <f>1-EXP(-J739)</f>
      </c>
      <c r="L739" s="194" t="str">
        <f>IF(G739=30,1,M738)</f>
      </c>
      <c r="M739" s="195" t="str">
        <f>L739*(1-K739)</f>
      </c>
    </row>
    <row r="740">
      <c r="A740" t="s">
        <v>167</v>
      </c>
      <c r="B740" t="s">
        <v>254</v>
      </c>
      <c r="C740" s="35" t="s">
        <v>418</v>
      </c>
      <c r="D740" t="s">
        <v>502</v>
      </c>
      <c r="E740" t="s">
        <v>520</v>
      </c>
      <c r="F740" s="188" t="n">
        <v>2043</v>
      </c>
      <c r="G740" s="189" t="n">
        <v>48</v>
      </c>
      <c r="H740" s="190" t="n">
        <v>7544.71398691284</v>
      </c>
      <c r="I740" s="191" t="n">
        <v>4288723.63036619</v>
      </c>
      <c r="J740" s="192" t="str">
        <f>IF(I740&gt;0,H740/I740,0)</f>
      </c>
      <c r="K740" s="193" t="str">
        <f>1-EXP(-J740)</f>
      </c>
      <c r="L740" s="194" t="str">
        <f>IF(G740=30,1,M739)</f>
      </c>
      <c r="M740" s="195" t="str">
        <f>L740*(1-K740)</f>
      </c>
    </row>
    <row r="741">
      <c r="A741" t="s">
        <v>167</v>
      </c>
      <c r="B741" t="s">
        <v>254</v>
      </c>
      <c r="C741" s="35" t="s">
        <v>418</v>
      </c>
      <c r="D741" t="s">
        <v>502</v>
      </c>
      <c r="E741" t="s">
        <v>520</v>
      </c>
      <c r="F741" s="188" t="n">
        <v>2043</v>
      </c>
      <c r="G741" s="189" t="n">
        <v>49</v>
      </c>
      <c r="H741" s="190" t="n">
        <v>8156.73145450938</v>
      </c>
      <c r="I741" s="191" t="n">
        <v>4221635.41316791</v>
      </c>
      <c r="J741" s="192" t="str">
        <f>IF(I741&gt;0,H741/I741,0)</f>
      </c>
      <c r="K741" s="193" t="str">
        <f>1-EXP(-J741)</f>
      </c>
      <c r="L741" s="194" t="str">
        <f>IF(G741=30,1,M740)</f>
      </c>
      <c r="M741" s="195" t="str">
        <f>L741*(1-K741)</f>
      </c>
    </row>
    <row r="742">
      <c r="A742" t="s">
        <v>167</v>
      </c>
      <c r="B742" t="s">
        <v>254</v>
      </c>
      <c r="C742" s="35" t="s">
        <v>418</v>
      </c>
      <c r="D742" t="s">
        <v>502</v>
      </c>
      <c r="E742" t="s">
        <v>520</v>
      </c>
      <c r="F742" s="188" t="n">
        <v>2043</v>
      </c>
      <c r="G742" s="189" t="n">
        <v>50</v>
      </c>
      <c r="H742" s="190" t="n">
        <v>9216.20788085115</v>
      </c>
      <c r="I742" s="191" t="n">
        <v>4157008.04489513</v>
      </c>
      <c r="J742" s="192" t="str">
        <f>IF(I742&gt;0,H742/I742,0)</f>
      </c>
      <c r="K742" s="193" t="str">
        <f>1-EXP(-J742)</f>
      </c>
      <c r="L742" s="194" t="str">
        <f>IF(G742=30,1,M741)</f>
      </c>
      <c r="M742" s="195" t="str">
        <f>L742*(1-K742)</f>
      </c>
    </row>
    <row r="743">
      <c r="A743" t="s">
        <v>167</v>
      </c>
      <c r="B743" t="s">
        <v>254</v>
      </c>
      <c r="C743" s="35" t="s">
        <v>418</v>
      </c>
      <c r="D743" t="s">
        <v>502</v>
      </c>
      <c r="E743" t="s">
        <v>520</v>
      </c>
      <c r="F743" s="188" t="n">
        <v>2043</v>
      </c>
      <c r="G743" s="189" t="n">
        <v>51</v>
      </c>
      <c r="H743" s="190" t="n">
        <v>10103.1911546202</v>
      </c>
      <c r="I743" s="191" t="n">
        <v>4178398.10902261</v>
      </c>
      <c r="J743" s="192" t="str">
        <f>IF(I743&gt;0,H743/I743,0)</f>
      </c>
      <c r="K743" s="193" t="str">
        <f>1-EXP(-J743)</f>
      </c>
      <c r="L743" s="194" t="str">
        <f>IF(G743=30,1,M742)</f>
      </c>
      <c r="M743" s="195" t="str">
        <f>L743*(1-K743)</f>
      </c>
    </row>
    <row r="744">
      <c r="A744" t="s">
        <v>167</v>
      </c>
      <c r="B744" t="s">
        <v>254</v>
      </c>
      <c r="C744" s="35" t="s">
        <v>418</v>
      </c>
      <c r="D744" t="s">
        <v>502</v>
      </c>
      <c r="E744" t="s">
        <v>520</v>
      </c>
      <c r="F744" s="188" t="n">
        <v>2043</v>
      </c>
      <c r="G744" s="189" t="n">
        <v>52</v>
      </c>
      <c r="H744" s="190" t="n">
        <v>11062.5760614786</v>
      </c>
      <c r="I744" s="191" t="n">
        <v>4179701.00113021</v>
      </c>
      <c r="J744" s="192" t="str">
        <f>IF(I744&gt;0,H744/I744,0)</f>
      </c>
      <c r="K744" s="193" t="str">
        <f>1-EXP(-J744)</f>
      </c>
      <c r="L744" s="194" t="str">
        <f>IF(G744=30,1,M743)</f>
      </c>
      <c r="M744" s="195" t="str">
        <f>L744*(1-K744)</f>
      </c>
    </row>
    <row r="745">
      <c r="A745" t="s">
        <v>167</v>
      </c>
      <c r="B745" t="s">
        <v>254</v>
      </c>
      <c r="C745" s="35" t="s">
        <v>418</v>
      </c>
      <c r="D745" t="s">
        <v>502</v>
      </c>
      <c r="E745" t="s">
        <v>520</v>
      </c>
      <c r="F745" s="188" t="n">
        <v>2043</v>
      </c>
      <c r="G745" s="189" t="n">
        <v>53</v>
      </c>
      <c r="H745" s="190" t="n">
        <v>16116.7431124332</v>
      </c>
      <c r="I745" s="191" t="n">
        <v>6146271.16555629</v>
      </c>
      <c r="J745" s="192" t="str">
        <f>IF(I745&gt;0,H745/I745,0)</f>
      </c>
      <c r="K745" s="193" t="str">
        <f>1-EXP(-J745)</f>
      </c>
      <c r="L745" s="194" t="str">
        <f>IF(G745=30,1,M744)</f>
      </c>
      <c r="M745" s="195" t="str">
        <f>L745*(1-K745)</f>
      </c>
    </row>
    <row r="746">
      <c r="A746" t="s">
        <v>167</v>
      </c>
      <c r="B746" t="s">
        <v>254</v>
      </c>
      <c r="C746" s="35" t="s">
        <v>418</v>
      </c>
      <c r="D746" t="s">
        <v>502</v>
      </c>
      <c r="E746" t="s">
        <v>520</v>
      </c>
      <c r="F746" s="188" t="n">
        <v>2043</v>
      </c>
      <c r="G746" s="189" t="n">
        <v>54</v>
      </c>
      <c r="H746" s="190" t="n">
        <v>12953.4366504386</v>
      </c>
      <c r="I746" s="191" t="n">
        <v>4103631.50870874</v>
      </c>
      <c r="J746" s="192" t="str">
        <f>IF(I746&gt;0,H746/I746,0)</f>
      </c>
      <c r="K746" s="193" t="str">
        <f>1-EXP(-J746)</f>
      </c>
      <c r="L746" s="194" t="str">
        <f>IF(G746=30,1,M745)</f>
      </c>
      <c r="M746" s="195" t="str">
        <f>L746*(1-K746)</f>
      </c>
    </row>
    <row r="747">
      <c r="A747" t="s">
        <v>167</v>
      </c>
      <c r="B747" t="s">
        <v>254</v>
      </c>
      <c r="C747" s="35" t="s">
        <v>418</v>
      </c>
      <c r="D747" t="s">
        <v>502</v>
      </c>
      <c r="E747" t="s">
        <v>520</v>
      </c>
      <c r="F747" s="188" t="n">
        <v>2043</v>
      </c>
      <c r="G747" s="189" t="n">
        <v>55</v>
      </c>
      <c r="H747" s="190" t="n">
        <v>13830.7146700212</v>
      </c>
      <c r="I747" s="191" t="n">
        <v>4066979.84749414</v>
      </c>
      <c r="J747" s="192" t="str">
        <f>IF(I747&gt;0,H747/I747,0)</f>
      </c>
      <c r="K747" s="193" t="str">
        <f>1-EXP(-J747)</f>
      </c>
      <c r="L747" s="194" t="str">
        <f>IF(G747=30,1,M746)</f>
      </c>
      <c r="M747" s="195" t="str">
        <f>L747*(1-K747)</f>
      </c>
    </row>
    <row r="748">
      <c r="A748" t="s">
        <v>167</v>
      </c>
      <c r="B748" t="s">
        <v>254</v>
      </c>
      <c r="C748" s="35" t="s">
        <v>418</v>
      </c>
      <c r="D748" t="s">
        <v>502</v>
      </c>
      <c r="E748" t="s">
        <v>520</v>
      </c>
      <c r="F748" s="188" t="n">
        <v>2043</v>
      </c>
      <c r="G748" s="189" t="n">
        <v>56</v>
      </c>
      <c r="H748" s="190" t="n">
        <v>14473.9352228854</v>
      </c>
      <c r="I748" s="191" t="n">
        <v>3920163.65600898</v>
      </c>
      <c r="J748" s="192" t="str">
        <f>IF(I748&gt;0,H748/I748,0)</f>
      </c>
      <c r="K748" s="193" t="str">
        <f>1-EXP(-J748)</f>
      </c>
      <c r="L748" s="194" t="str">
        <f>IF(G748=30,1,M747)</f>
      </c>
      <c r="M748" s="195" t="str">
        <f>L748*(1-K748)</f>
      </c>
    </row>
    <row r="749">
      <c r="A749" t="s">
        <v>167</v>
      </c>
      <c r="B749" t="s">
        <v>254</v>
      </c>
      <c r="C749" s="35" t="s">
        <v>418</v>
      </c>
      <c r="D749" t="s">
        <v>502</v>
      </c>
      <c r="E749" t="s">
        <v>520</v>
      </c>
      <c r="F749" s="188" t="n">
        <v>2043</v>
      </c>
      <c r="G749" s="189" t="n">
        <v>57</v>
      </c>
      <c r="H749" s="190" t="n">
        <v>15580.6354057613</v>
      </c>
      <c r="I749" s="191" t="n">
        <v>3864029.50286782</v>
      </c>
      <c r="J749" s="192" t="str">
        <f>IF(I749&gt;0,H749/I749,0)</f>
      </c>
      <c r="K749" s="193" t="str">
        <f>1-EXP(-J749)</f>
      </c>
      <c r="L749" s="194" t="str">
        <f>IF(G749=30,1,M748)</f>
      </c>
      <c r="M749" s="195" t="str">
        <f>L749*(1-K749)</f>
      </c>
    </row>
    <row r="750">
      <c r="A750" t="s">
        <v>167</v>
      </c>
      <c r="B750" t="s">
        <v>254</v>
      </c>
      <c r="C750" s="35" t="s">
        <v>418</v>
      </c>
      <c r="D750" t="s">
        <v>502</v>
      </c>
      <c r="E750" t="s">
        <v>520</v>
      </c>
      <c r="F750" s="188" t="n">
        <v>2043</v>
      </c>
      <c r="G750" s="189" t="n">
        <v>58</v>
      </c>
      <c r="H750" s="190" t="n">
        <v>17170.8216691432</v>
      </c>
      <c r="I750" s="191" t="n">
        <v>3892683.07788192</v>
      </c>
      <c r="J750" s="192" t="str">
        <f>IF(I750&gt;0,H750/I750,0)</f>
      </c>
      <c r="K750" s="193" t="str">
        <f>1-EXP(-J750)</f>
      </c>
      <c r="L750" s="194" t="str">
        <f>IF(G750=30,1,M749)</f>
      </c>
      <c r="M750" s="195" t="str">
        <f>L750*(1-K750)</f>
      </c>
    </row>
    <row r="751">
      <c r="A751" t="s">
        <v>167</v>
      </c>
      <c r="B751" t="s">
        <v>254</v>
      </c>
      <c r="C751" s="35" t="s">
        <v>418</v>
      </c>
      <c r="D751" t="s">
        <v>502</v>
      </c>
      <c r="E751" t="s">
        <v>520</v>
      </c>
      <c r="F751" s="188" t="n">
        <v>2043</v>
      </c>
      <c r="G751" s="189" t="n">
        <v>59</v>
      </c>
      <c r="H751" s="190" t="n">
        <v>19047.739443279</v>
      </c>
      <c r="I751" s="191" t="n">
        <v>3941306.80583221</v>
      </c>
      <c r="J751" s="192" t="str">
        <f>IF(I751&gt;0,H751/I751,0)</f>
      </c>
      <c r="K751" s="193" t="str">
        <f>1-EXP(-J751)</f>
      </c>
      <c r="L751" s="194" t="str">
        <f>IF(G751=30,1,M750)</f>
      </c>
      <c r="M751" s="195" t="str">
        <f>L751*(1-K751)</f>
      </c>
    </row>
    <row r="752">
      <c r="A752" t="s">
        <v>167</v>
      </c>
      <c r="B752" t="s">
        <v>254</v>
      </c>
      <c r="C752" s="35" t="s">
        <v>418</v>
      </c>
      <c r="D752" t="s">
        <v>502</v>
      </c>
      <c r="E752" t="s">
        <v>520</v>
      </c>
      <c r="F752" s="188" t="n">
        <v>2043</v>
      </c>
      <c r="G752" s="189" t="n">
        <v>60</v>
      </c>
      <c r="H752" s="190" t="n">
        <v>20412.9207000752</v>
      </c>
      <c r="I752" s="191" t="n">
        <v>3887092.15132985</v>
      </c>
      <c r="J752" s="192" t="str">
        <f>IF(I752&gt;0,H752/I752,0)</f>
      </c>
      <c r="K752" s="193" t="str">
        <f>1-EXP(-J752)</f>
      </c>
      <c r="L752" s="194" t="str">
        <f>IF(G752=30,1,M751)</f>
      </c>
      <c r="M752" s="195" t="str">
        <f>L752*(1-K752)</f>
      </c>
    </row>
    <row r="753">
      <c r="A753" t="s">
        <v>167</v>
      </c>
      <c r="B753" t="s">
        <v>254</v>
      </c>
      <c r="C753" s="35" t="s">
        <v>418</v>
      </c>
      <c r="D753" t="s">
        <v>502</v>
      </c>
      <c r="E753" t="s">
        <v>520</v>
      </c>
      <c r="F753" s="188" t="n">
        <v>2043</v>
      </c>
      <c r="G753" s="189" t="n">
        <v>61</v>
      </c>
      <c r="H753" s="190" t="n">
        <v>21521.9023894853</v>
      </c>
      <c r="I753" s="191" t="n">
        <v>3728674.05798422</v>
      </c>
      <c r="J753" s="192" t="str">
        <f>IF(I753&gt;0,H753/I753,0)</f>
      </c>
      <c r="K753" s="193" t="str">
        <f>1-EXP(-J753)</f>
      </c>
      <c r="L753" s="194" t="str">
        <f>IF(G753=30,1,M752)</f>
      </c>
      <c r="M753" s="195" t="str">
        <f>L753*(1-K753)</f>
      </c>
    </row>
    <row r="754">
      <c r="A754" t="s">
        <v>167</v>
      </c>
      <c r="B754" t="s">
        <v>254</v>
      </c>
      <c r="C754" s="35" t="s">
        <v>418</v>
      </c>
      <c r="D754" t="s">
        <v>502</v>
      </c>
      <c r="E754" t="s">
        <v>520</v>
      </c>
      <c r="F754" s="188" t="n">
        <v>2043</v>
      </c>
      <c r="G754" s="189" t="n">
        <v>62</v>
      </c>
      <c r="H754" s="190" t="n">
        <v>22974.1761314431</v>
      </c>
      <c r="I754" s="191" t="n">
        <v>3625648.06353805</v>
      </c>
      <c r="J754" s="192" t="str">
        <f>IF(I754&gt;0,H754/I754,0)</f>
      </c>
      <c r="K754" s="193" t="str">
        <f>1-EXP(-J754)</f>
      </c>
      <c r="L754" s="194" t="str">
        <f>IF(G754=30,1,M753)</f>
      </c>
      <c r="M754" s="195" t="str">
        <f>L754*(1-K754)</f>
      </c>
    </row>
    <row r="755">
      <c r="A755" t="s">
        <v>167</v>
      </c>
      <c r="B755" t="s">
        <v>254</v>
      </c>
      <c r="C755" s="35" t="s">
        <v>418</v>
      </c>
      <c r="D755" t="s">
        <v>502</v>
      </c>
      <c r="E755" t="s">
        <v>520</v>
      </c>
      <c r="F755" s="188" t="n">
        <v>2043</v>
      </c>
      <c r="G755" s="189" t="n">
        <v>63</v>
      </c>
      <c r="H755" s="190" t="n">
        <v>24592.015515011</v>
      </c>
      <c r="I755" s="191" t="n">
        <v>3534791.61334075</v>
      </c>
      <c r="J755" s="192" t="str">
        <f>IF(I755&gt;0,H755/I755,0)</f>
      </c>
      <c r="K755" s="193" t="str">
        <f>1-EXP(-J755)</f>
      </c>
      <c r="L755" s="194" t="str">
        <f>IF(G755=30,1,M754)</f>
      </c>
      <c r="M755" s="195" t="str">
        <f>L755*(1-K755)</f>
      </c>
    </row>
    <row r="756">
      <c r="A756" t="s">
        <v>167</v>
      </c>
      <c r="B756" t="s">
        <v>254</v>
      </c>
      <c r="C756" s="35" t="s">
        <v>418</v>
      </c>
      <c r="D756" t="s">
        <v>502</v>
      </c>
      <c r="E756" t="s">
        <v>520</v>
      </c>
      <c r="F756" s="188" t="n">
        <v>2043</v>
      </c>
      <c r="G756" s="189" t="n">
        <v>64</v>
      </c>
      <c r="H756" s="190" t="n">
        <v>26252.8410937362</v>
      </c>
      <c r="I756" s="191" t="n">
        <v>3436980.9693447</v>
      </c>
      <c r="J756" s="192" t="str">
        <f>IF(I756&gt;0,H756/I756,0)</f>
      </c>
      <c r="K756" s="193" t="str">
        <f>1-EXP(-J756)</f>
      </c>
      <c r="L756" s="194" t="str">
        <f>IF(G756=30,1,M755)</f>
      </c>
      <c r="M756" s="195" t="str">
        <f>L756*(1-K756)</f>
      </c>
    </row>
    <row r="757">
      <c r="A757" t="s">
        <v>167</v>
      </c>
      <c r="B757" t="s">
        <v>254</v>
      </c>
      <c r="C757" s="35" t="s">
        <v>418</v>
      </c>
      <c r="D757" t="s">
        <v>502</v>
      </c>
      <c r="E757" t="s">
        <v>520</v>
      </c>
      <c r="F757" s="188" t="n">
        <v>2043</v>
      </c>
      <c r="G757" s="189" t="n">
        <v>65</v>
      </c>
      <c r="H757" s="190" t="n">
        <v>26601.3609621106</v>
      </c>
      <c r="I757" s="191" t="n">
        <v>3320253.60865507</v>
      </c>
      <c r="J757" s="192" t="str">
        <f>IF(I757&gt;0,H757/I757,0)</f>
      </c>
      <c r="K757" s="193" t="str">
        <f>1-EXP(-J757)</f>
      </c>
      <c r="L757" s="194" t="str">
        <f>IF(G757=30,1,M756)</f>
      </c>
      <c r="M757" s="195" t="str">
        <f>L757*(1-K757)</f>
      </c>
    </row>
    <row r="758">
      <c r="A758" t="s">
        <v>167</v>
      </c>
      <c r="B758" t="s">
        <v>254</v>
      </c>
      <c r="C758" s="35" t="s">
        <v>418</v>
      </c>
      <c r="D758" t="s">
        <v>502</v>
      </c>
      <c r="E758" t="s">
        <v>520</v>
      </c>
      <c r="F758" s="188" t="n">
        <v>2043</v>
      </c>
      <c r="G758" s="189" t="n">
        <v>66</v>
      </c>
      <c r="H758" s="190" t="n">
        <v>28265.4077542158</v>
      </c>
      <c r="I758" s="191" t="n">
        <v>3216246.56974441</v>
      </c>
      <c r="J758" s="192" t="str">
        <f>IF(I758&gt;0,H758/I758,0)</f>
      </c>
      <c r="K758" s="193" t="str">
        <f>1-EXP(-J758)</f>
      </c>
      <c r="L758" s="194" t="str">
        <f>IF(G758=30,1,M757)</f>
      </c>
      <c r="M758" s="195" t="str">
        <f>L758*(1-K758)</f>
      </c>
    </row>
    <row r="759">
      <c r="A759" t="s">
        <v>167</v>
      </c>
      <c r="B759" t="s">
        <v>254</v>
      </c>
      <c r="C759" s="35" t="s">
        <v>418</v>
      </c>
      <c r="D759" t="s">
        <v>502</v>
      </c>
      <c r="E759" t="s">
        <v>520</v>
      </c>
      <c r="F759" s="188" t="n">
        <v>2043</v>
      </c>
      <c r="G759" s="189" t="n">
        <v>67</v>
      </c>
      <c r="H759" s="190" t="n">
        <v>29931.3693030648</v>
      </c>
      <c r="I759" s="191" t="n">
        <v>3100211.0292897</v>
      </c>
      <c r="J759" s="192" t="str">
        <f>IF(I759&gt;0,H759/I759,0)</f>
      </c>
      <c r="K759" s="193" t="str">
        <f>1-EXP(-J759)</f>
      </c>
      <c r="L759" s="194" t="str">
        <f>IF(G759=30,1,M758)</f>
      </c>
      <c r="M759" s="195" t="str">
        <f>L759*(1-K759)</f>
      </c>
    </row>
    <row r="760">
      <c r="A760" t="s">
        <v>167</v>
      </c>
      <c r="B760" t="s">
        <v>254</v>
      </c>
      <c r="C760" s="35" t="s">
        <v>418</v>
      </c>
      <c r="D760" t="s">
        <v>502</v>
      </c>
      <c r="E760" t="s">
        <v>520</v>
      </c>
      <c r="F760" s="188" t="n">
        <v>2043</v>
      </c>
      <c r="G760" s="189" t="n">
        <v>68</v>
      </c>
      <c r="H760" s="190" t="n">
        <v>31647.034817525</v>
      </c>
      <c r="I760" s="191" t="n">
        <v>2981662.30653674</v>
      </c>
      <c r="J760" s="192" t="str">
        <f>IF(I760&gt;0,H760/I760,0)</f>
      </c>
      <c r="K760" s="193" t="str">
        <f>1-EXP(-J760)</f>
      </c>
      <c r="L760" s="194" t="str">
        <f>IF(G760=30,1,M759)</f>
      </c>
      <c r="M760" s="195" t="str">
        <f>L760*(1-K760)</f>
      </c>
    </row>
    <row r="761">
      <c r="A761" t="s">
        <v>167</v>
      </c>
      <c r="B761" t="s">
        <v>254</v>
      </c>
      <c r="C761" s="35" t="s">
        <v>418</v>
      </c>
      <c r="D761" t="s">
        <v>502</v>
      </c>
      <c r="E761" t="s">
        <v>520</v>
      </c>
      <c r="F761" s="188" t="n">
        <v>2043</v>
      </c>
      <c r="G761" s="189" t="n">
        <v>69</v>
      </c>
      <c r="H761" s="190" t="n">
        <v>33166.8587364353</v>
      </c>
      <c r="I761" s="191" t="n">
        <v>2839123.49834724</v>
      </c>
      <c r="J761" s="192" t="str">
        <f>IF(I761&gt;0,H761/I761,0)</f>
      </c>
      <c r="K761" s="193" t="str">
        <f>1-EXP(-J761)</f>
      </c>
      <c r="L761" s="194" t="str">
        <f>IF(G761=30,1,M760)</f>
      </c>
      <c r="M761" s="195" t="str">
        <f>L761*(1-K761)</f>
      </c>
    </row>
    <row r="762">
      <c r="A762" t="s">
        <v>167</v>
      </c>
      <c r="B762" t="s">
        <v>254</v>
      </c>
      <c r="C762" s="35" t="s">
        <v>418</v>
      </c>
      <c r="D762" t="s">
        <v>502</v>
      </c>
      <c r="E762" t="s">
        <v>520</v>
      </c>
      <c r="F762" s="188" t="n">
        <v>2044</v>
      </c>
      <c r="G762" s="189" t="n">
        <v>30</v>
      </c>
      <c r="H762" s="190" t="n">
        <v>709.230704496699</v>
      </c>
      <c r="I762" s="191" t="n">
        <v>4714301.36722232</v>
      </c>
      <c r="J762" s="192" t="str">
        <f>IF(I762&gt;0,H762/I762,0)</f>
      </c>
      <c r="K762" s="193" t="str">
        <f>1-EXP(-J762)</f>
      </c>
      <c r="L762" s="194" t="str">
        <f>IF(G762=30,1,M761)</f>
      </c>
      <c r="M762" s="195" t="str">
        <f>L762*(1-K762)</f>
      </c>
    </row>
    <row r="763">
      <c r="A763" t="s">
        <v>167</v>
      </c>
      <c r="B763" t="s">
        <v>254</v>
      </c>
      <c r="C763" s="35" t="s">
        <v>418</v>
      </c>
      <c r="D763" t="s">
        <v>502</v>
      </c>
      <c r="E763" t="s">
        <v>520</v>
      </c>
      <c r="F763" s="188" t="n">
        <v>2044</v>
      </c>
      <c r="G763" s="189" t="n">
        <v>31</v>
      </c>
      <c r="H763" s="190" t="n">
        <v>950.076557117984</v>
      </c>
      <c r="I763" s="191" t="n">
        <v>4782506.60116588</v>
      </c>
      <c r="J763" s="192" t="str">
        <f>IF(I763&gt;0,H763/I763,0)</f>
      </c>
      <c r="K763" s="193" t="str">
        <f>1-EXP(-J763)</f>
      </c>
      <c r="L763" s="194" t="str">
        <f>IF(G763=30,1,M762)</f>
      </c>
      <c r="M763" s="195" t="str">
        <f>L763*(1-K763)</f>
      </c>
    </row>
    <row r="764">
      <c r="A764" t="s">
        <v>167</v>
      </c>
      <c r="B764" t="s">
        <v>254</v>
      </c>
      <c r="C764" s="35" t="s">
        <v>418</v>
      </c>
      <c r="D764" t="s">
        <v>502</v>
      </c>
      <c r="E764" t="s">
        <v>520</v>
      </c>
      <c r="F764" s="188" t="n">
        <v>2044</v>
      </c>
      <c r="G764" s="189" t="n">
        <v>32</v>
      </c>
      <c r="H764" s="190" t="n">
        <v>1066.64664387834</v>
      </c>
      <c r="I764" s="191" t="n">
        <v>4895482.94842199</v>
      </c>
      <c r="J764" s="192" t="str">
        <f>IF(I764&gt;0,H764/I764,0)</f>
      </c>
      <c r="K764" s="193" t="str">
        <f>1-EXP(-J764)</f>
      </c>
      <c r="L764" s="194" t="str">
        <f>IF(G764=30,1,M763)</f>
      </c>
      <c r="M764" s="195" t="str">
        <f>L764*(1-K764)</f>
      </c>
    </row>
    <row r="765">
      <c r="A765" t="s">
        <v>167</v>
      </c>
      <c r="B765" t="s">
        <v>254</v>
      </c>
      <c r="C765" s="35" t="s">
        <v>418</v>
      </c>
      <c r="D765" t="s">
        <v>502</v>
      </c>
      <c r="E765" t="s">
        <v>520</v>
      </c>
      <c r="F765" s="188" t="n">
        <v>2044</v>
      </c>
      <c r="G765" s="189" t="n">
        <v>33</v>
      </c>
      <c r="H765" s="190" t="n">
        <v>1123.48131876871</v>
      </c>
      <c r="I765" s="191" t="n">
        <v>4867311.56865462</v>
      </c>
      <c r="J765" s="192" t="str">
        <f>IF(I765&gt;0,H765/I765,0)</f>
      </c>
      <c r="K765" s="193" t="str">
        <f>1-EXP(-J765)</f>
      </c>
      <c r="L765" s="194" t="str">
        <f>IF(G765=30,1,M764)</f>
      </c>
      <c r="M765" s="195" t="str">
        <f>L765*(1-K765)</f>
      </c>
    </row>
    <row r="766">
      <c r="A766" t="s">
        <v>167</v>
      </c>
      <c r="B766" t="s">
        <v>254</v>
      </c>
      <c r="C766" s="35" t="s">
        <v>418</v>
      </c>
      <c r="D766" t="s">
        <v>502</v>
      </c>
      <c r="E766" t="s">
        <v>520</v>
      </c>
      <c r="F766" s="188" t="n">
        <v>2044</v>
      </c>
      <c r="G766" s="189" t="n">
        <v>34</v>
      </c>
      <c r="H766" s="190" t="n">
        <v>1164.45867737507</v>
      </c>
      <c r="I766" s="191" t="n">
        <v>4733444.80134295</v>
      </c>
      <c r="J766" s="192" t="str">
        <f>IF(I766&gt;0,H766/I766,0)</f>
      </c>
      <c r="K766" s="193" t="str">
        <f>1-EXP(-J766)</f>
      </c>
      <c r="L766" s="194" t="str">
        <f>IF(G766=30,1,M765)</f>
      </c>
      <c r="M766" s="195" t="str">
        <f>L766*(1-K766)</f>
      </c>
    </row>
    <row r="767">
      <c r="A767" t="s">
        <v>167</v>
      </c>
      <c r="B767" t="s">
        <v>254</v>
      </c>
      <c r="C767" s="35" t="s">
        <v>418</v>
      </c>
      <c r="D767" t="s">
        <v>502</v>
      </c>
      <c r="E767" t="s">
        <v>520</v>
      </c>
      <c r="F767" s="188" t="n">
        <v>2044</v>
      </c>
      <c r="G767" s="189" t="n">
        <v>35</v>
      </c>
      <c r="H767" s="190" t="n">
        <v>1509.33012040537</v>
      </c>
      <c r="I767" s="191" t="n">
        <v>4662252.99016446</v>
      </c>
      <c r="J767" s="192" t="str">
        <f>IF(I767&gt;0,H767/I767,0)</f>
      </c>
      <c r="K767" s="193" t="str">
        <f>1-EXP(-J767)</f>
      </c>
      <c r="L767" s="194" t="str">
        <f>IF(G767=30,1,M766)</f>
      </c>
      <c r="M767" s="195" t="str">
        <f>L767*(1-K767)</f>
      </c>
    </row>
    <row r="768">
      <c r="A768" t="s">
        <v>167</v>
      </c>
      <c r="B768" t="s">
        <v>254</v>
      </c>
      <c r="C768" s="35" t="s">
        <v>418</v>
      </c>
      <c r="D768" t="s">
        <v>502</v>
      </c>
      <c r="E768" t="s">
        <v>520</v>
      </c>
      <c r="F768" s="188" t="n">
        <v>2044</v>
      </c>
      <c r="G768" s="189" t="n">
        <v>36</v>
      </c>
      <c r="H768" s="190" t="n">
        <v>1752.67991277222</v>
      </c>
      <c r="I768" s="191" t="n">
        <v>4618535.73930812</v>
      </c>
      <c r="J768" s="192" t="str">
        <f>IF(I768&gt;0,H768/I768,0)</f>
      </c>
      <c r="K768" s="193" t="str">
        <f>1-EXP(-J768)</f>
      </c>
      <c r="L768" s="194" t="str">
        <f>IF(G768=30,1,M767)</f>
      </c>
      <c r="M768" s="195" t="str">
        <f>L768*(1-K768)</f>
      </c>
    </row>
    <row r="769">
      <c r="A769" t="s">
        <v>167</v>
      </c>
      <c r="B769" t="s">
        <v>254</v>
      </c>
      <c r="C769" s="35" t="s">
        <v>418</v>
      </c>
      <c r="D769" t="s">
        <v>502</v>
      </c>
      <c r="E769" t="s">
        <v>520</v>
      </c>
      <c r="F769" s="188" t="n">
        <v>2044</v>
      </c>
      <c r="G769" s="189" t="n">
        <v>37</v>
      </c>
      <c r="H769" s="190" t="n">
        <v>1952.86735219491</v>
      </c>
      <c r="I769" s="191" t="n">
        <v>4642871.88315124</v>
      </c>
      <c r="J769" s="192" t="str">
        <f>IF(I769&gt;0,H769/I769,0)</f>
      </c>
      <c r="K769" s="193" t="str">
        <f>1-EXP(-J769)</f>
      </c>
      <c r="L769" s="194" t="str">
        <f>IF(G769=30,1,M768)</f>
      </c>
      <c r="M769" s="195" t="str">
        <f>L769*(1-K769)</f>
      </c>
    </row>
    <row r="770">
      <c r="A770" t="s">
        <v>167</v>
      </c>
      <c r="B770" t="s">
        <v>254</v>
      </c>
      <c r="C770" s="35" t="s">
        <v>418</v>
      </c>
      <c r="D770" t="s">
        <v>502</v>
      </c>
      <c r="E770" t="s">
        <v>520</v>
      </c>
      <c r="F770" s="188" t="n">
        <v>2044</v>
      </c>
      <c r="G770" s="189" t="n">
        <v>38</v>
      </c>
      <c r="H770" s="190" t="n">
        <v>2068.84320728316</v>
      </c>
      <c r="I770" s="191" t="n">
        <v>4558617.97540401</v>
      </c>
      <c r="J770" s="192" t="str">
        <f>IF(I770&gt;0,H770/I770,0)</f>
      </c>
      <c r="K770" s="193" t="str">
        <f>1-EXP(-J770)</f>
      </c>
      <c r="L770" s="194" t="str">
        <f>IF(G770=30,1,M769)</f>
      </c>
      <c r="M770" s="195" t="str">
        <f>L770*(1-K770)</f>
      </c>
    </row>
    <row r="771">
      <c r="A771" t="s">
        <v>167</v>
      </c>
      <c r="B771" t="s">
        <v>254</v>
      </c>
      <c r="C771" s="35" t="s">
        <v>418</v>
      </c>
      <c r="D771" t="s">
        <v>502</v>
      </c>
      <c r="E771" t="s">
        <v>520</v>
      </c>
      <c r="F771" s="188" t="n">
        <v>2044</v>
      </c>
      <c r="G771" s="189" t="n">
        <v>39</v>
      </c>
      <c r="H771" s="190" t="n">
        <v>2207.5651780771</v>
      </c>
      <c r="I771" s="191" t="n">
        <v>4495823.76961134</v>
      </c>
      <c r="J771" s="192" t="str">
        <f>IF(I771&gt;0,H771/I771,0)</f>
      </c>
      <c r="K771" s="193" t="str">
        <f>1-EXP(-J771)</f>
      </c>
      <c r="L771" s="194" t="str">
        <f>IF(G771=30,1,M770)</f>
      </c>
      <c r="M771" s="195" t="str">
        <f>L771*(1-K771)</f>
      </c>
    </row>
    <row r="772">
      <c r="A772" t="s">
        <v>167</v>
      </c>
      <c r="B772" t="s">
        <v>254</v>
      </c>
      <c r="C772" s="35" t="s">
        <v>418</v>
      </c>
      <c r="D772" t="s">
        <v>502</v>
      </c>
      <c r="E772" t="s">
        <v>520</v>
      </c>
      <c r="F772" s="188" t="n">
        <v>2044</v>
      </c>
      <c r="G772" s="189" t="n">
        <v>40</v>
      </c>
      <c r="H772" s="190" t="n">
        <v>2886.63681472543</v>
      </c>
      <c r="I772" s="191" t="n">
        <v>4365681.75149162</v>
      </c>
      <c r="J772" s="192" t="str">
        <f>IF(I772&gt;0,H772/I772,0)</f>
      </c>
      <c r="K772" s="193" t="str">
        <f>1-EXP(-J772)</f>
      </c>
      <c r="L772" s="194" t="str">
        <f>IF(G772=30,1,M771)</f>
      </c>
      <c r="M772" s="195" t="str">
        <f>L772*(1-K772)</f>
      </c>
    </row>
    <row r="773">
      <c r="A773" t="s">
        <v>167</v>
      </c>
      <c r="B773" t="s">
        <v>254</v>
      </c>
      <c r="C773" s="35" t="s">
        <v>418</v>
      </c>
      <c r="D773" t="s">
        <v>502</v>
      </c>
      <c r="E773" t="s">
        <v>520</v>
      </c>
      <c r="F773" s="188" t="n">
        <v>2044</v>
      </c>
      <c r="G773" s="189" t="n">
        <v>41</v>
      </c>
      <c r="H773" s="190" t="n">
        <v>3174.02633107556</v>
      </c>
      <c r="I773" s="191" t="n">
        <v>4296992.25917928</v>
      </c>
      <c r="J773" s="192" t="str">
        <f>IF(I773&gt;0,H773/I773,0)</f>
      </c>
      <c r="K773" s="193" t="str">
        <f>1-EXP(-J773)</f>
      </c>
      <c r="L773" s="194" t="str">
        <f>IF(G773=30,1,M772)</f>
      </c>
      <c r="M773" s="195" t="str">
        <f>L773*(1-K773)</f>
      </c>
    </row>
    <row r="774">
      <c r="A774" t="s">
        <v>167</v>
      </c>
      <c r="B774" t="s">
        <v>254</v>
      </c>
      <c r="C774" s="35" t="s">
        <v>418</v>
      </c>
      <c r="D774" t="s">
        <v>502</v>
      </c>
      <c r="E774" t="s">
        <v>520</v>
      </c>
      <c r="F774" s="188" t="n">
        <v>2044</v>
      </c>
      <c r="G774" s="189" t="n">
        <v>42</v>
      </c>
      <c r="H774" s="190" t="n">
        <v>3576.37222141143</v>
      </c>
      <c r="I774" s="191" t="n">
        <v>4270358.60862093</v>
      </c>
      <c r="J774" s="192" t="str">
        <f>IF(I774&gt;0,H774/I774,0)</f>
      </c>
      <c r="K774" s="193" t="str">
        <f>1-EXP(-J774)</f>
      </c>
      <c r="L774" s="194" t="str">
        <f>IF(G774=30,1,M773)</f>
      </c>
      <c r="M774" s="195" t="str">
        <f>L774*(1-K774)</f>
      </c>
    </row>
    <row r="775">
      <c r="A775" t="s">
        <v>167</v>
      </c>
      <c r="B775" t="s">
        <v>254</v>
      </c>
      <c r="C775" s="35" t="s">
        <v>418</v>
      </c>
      <c r="D775" t="s">
        <v>502</v>
      </c>
      <c r="E775" t="s">
        <v>520</v>
      </c>
      <c r="F775" s="188" t="n">
        <v>2044</v>
      </c>
      <c r="G775" s="189" t="n">
        <v>43</v>
      </c>
      <c r="H775" s="190" t="n">
        <v>3870.56798697118</v>
      </c>
      <c r="I775" s="191" t="n">
        <v>4245902.59465762</v>
      </c>
      <c r="J775" s="192" t="str">
        <f>IF(I775&gt;0,H775/I775,0)</f>
      </c>
      <c r="K775" s="193" t="str">
        <f>1-EXP(-J775)</f>
      </c>
      <c r="L775" s="194" t="str">
        <f>IF(G775=30,1,M774)</f>
      </c>
      <c r="M775" s="195" t="str">
        <f>L775*(1-K775)</f>
      </c>
    </row>
    <row r="776">
      <c r="A776" t="s">
        <v>167</v>
      </c>
      <c r="B776" t="s">
        <v>254</v>
      </c>
      <c r="C776" s="35" t="s">
        <v>418</v>
      </c>
      <c r="D776" t="s">
        <v>502</v>
      </c>
      <c r="E776" t="s">
        <v>520</v>
      </c>
      <c r="F776" s="188" t="n">
        <v>2044</v>
      </c>
      <c r="G776" s="189" t="n">
        <v>44</v>
      </c>
      <c r="H776" s="190" t="n">
        <v>4199.30004825673</v>
      </c>
      <c r="I776" s="191" t="n">
        <v>4220588.71470959</v>
      </c>
      <c r="J776" s="192" t="str">
        <f>IF(I776&gt;0,H776/I776,0)</f>
      </c>
      <c r="K776" s="193" t="str">
        <f>1-EXP(-J776)</f>
      </c>
      <c r="L776" s="194" t="str">
        <f>IF(G776=30,1,M775)</f>
      </c>
      <c r="M776" s="195" t="str">
        <f>L776*(1-K776)</f>
      </c>
    </row>
    <row r="777">
      <c r="A777" t="s">
        <v>167</v>
      </c>
      <c r="B777" t="s">
        <v>254</v>
      </c>
      <c r="C777" s="35" t="s">
        <v>418</v>
      </c>
      <c r="D777" t="s">
        <v>502</v>
      </c>
      <c r="E777" t="s">
        <v>520</v>
      </c>
      <c r="F777" s="188" t="n">
        <v>2044</v>
      </c>
      <c r="G777" s="189" t="n">
        <v>45</v>
      </c>
      <c r="H777" s="190" t="n">
        <v>5421.29185735185</v>
      </c>
      <c r="I777" s="191" t="n">
        <v>4233459.16708003</v>
      </c>
      <c r="J777" s="192" t="str">
        <f>IF(I777&gt;0,H777/I777,0)</f>
      </c>
      <c r="K777" s="193" t="str">
        <f>1-EXP(-J777)</f>
      </c>
      <c r="L777" s="194" t="str">
        <f>IF(G777=30,1,M776)</f>
      </c>
      <c r="M777" s="195" t="str">
        <f>L777*(1-K777)</f>
      </c>
    </row>
    <row r="778">
      <c r="A778" t="s">
        <v>167</v>
      </c>
      <c r="B778" t="s">
        <v>254</v>
      </c>
      <c r="C778" s="35" t="s">
        <v>418</v>
      </c>
      <c r="D778" t="s">
        <v>502</v>
      </c>
      <c r="E778" t="s">
        <v>520</v>
      </c>
      <c r="F778" s="188" t="n">
        <v>2044</v>
      </c>
      <c r="G778" s="189" t="n">
        <v>46</v>
      </c>
      <c r="H778" s="190" t="n">
        <v>6050.27727867559</v>
      </c>
      <c r="I778" s="191" t="n">
        <v>4282813.04898266</v>
      </c>
      <c r="J778" s="192" t="str">
        <f>IF(I778&gt;0,H778/I778,0)</f>
      </c>
      <c r="K778" s="193" t="str">
        <f>1-EXP(-J778)</f>
      </c>
      <c r="L778" s="194" t="str">
        <f>IF(G778=30,1,M777)</f>
      </c>
      <c r="M778" s="195" t="str">
        <f>L778*(1-K778)</f>
      </c>
    </row>
    <row r="779">
      <c r="A779" t="s">
        <v>167</v>
      </c>
      <c r="B779" t="s">
        <v>254</v>
      </c>
      <c r="C779" s="35" t="s">
        <v>418</v>
      </c>
      <c r="D779" t="s">
        <v>502</v>
      </c>
      <c r="E779" t="s">
        <v>520</v>
      </c>
      <c r="F779" s="188" t="n">
        <v>2044</v>
      </c>
      <c r="G779" s="189" t="n">
        <v>47</v>
      </c>
      <c r="H779" s="190" t="n">
        <v>7016.87117451984</v>
      </c>
      <c r="I779" s="191" t="n">
        <v>4406562.26655819</v>
      </c>
      <c r="J779" s="192" t="str">
        <f>IF(I779&gt;0,H779/I779,0)</f>
      </c>
      <c r="K779" s="193" t="str">
        <f>1-EXP(-J779)</f>
      </c>
      <c r="L779" s="194" t="str">
        <f>IF(G779=30,1,M778)</f>
      </c>
      <c r="M779" s="195" t="str">
        <f>L779*(1-K779)</f>
      </c>
    </row>
    <row r="780">
      <c r="A780" t="s">
        <v>167</v>
      </c>
      <c r="B780" t="s">
        <v>254</v>
      </c>
      <c r="C780" s="35" t="s">
        <v>418</v>
      </c>
      <c r="D780" t="s">
        <v>502</v>
      </c>
      <c r="E780" t="s">
        <v>520</v>
      </c>
      <c r="F780" s="188" t="n">
        <v>2044</v>
      </c>
      <c r="G780" s="189" t="n">
        <v>48</v>
      </c>
      <c r="H780" s="190" t="n">
        <v>7608.07667355069</v>
      </c>
      <c r="I780" s="191" t="n">
        <v>4354113.50503317</v>
      </c>
      <c r="J780" s="192" t="str">
        <f>IF(I780&gt;0,H780/I780,0)</f>
      </c>
      <c r="K780" s="193" t="str">
        <f>1-EXP(-J780)</f>
      </c>
      <c r="L780" s="194" t="str">
        <f>IF(G780=30,1,M779)</f>
      </c>
      <c r="M780" s="195" t="str">
        <f>L780*(1-K780)</f>
      </c>
    </row>
    <row r="781">
      <c r="A781" t="s">
        <v>167</v>
      </c>
      <c r="B781" t="s">
        <v>254</v>
      </c>
      <c r="C781" s="35" t="s">
        <v>418</v>
      </c>
      <c r="D781" t="s">
        <v>502</v>
      </c>
      <c r="E781" t="s">
        <v>520</v>
      </c>
      <c r="F781" s="188" t="n">
        <v>2044</v>
      </c>
      <c r="G781" s="189" t="n">
        <v>49</v>
      </c>
      <c r="H781" s="190" t="n">
        <v>8196.01562233714</v>
      </c>
      <c r="I781" s="191" t="n">
        <v>4271491.09844934</v>
      </c>
      <c r="J781" s="192" t="str">
        <f>IF(I781&gt;0,H781/I781,0)</f>
      </c>
      <c r="K781" s="193" t="str">
        <f>1-EXP(-J781)</f>
      </c>
      <c r="L781" s="194" t="str">
        <f>IF(G781=30,1,M780)</f>
      </c>
      <c r="M781" s="195" t="str">
        <f>L781*(1-K781)</f>
      </c>
    </row>
    <row r="782">
      <c r="A782" t="s">
        <v>167</v>
      </c>
      <c r="B782" t="s">
        <v>254</v>
      </c>
      <c r="C782" s="35" t="s">
        <v>418</v>
      </c>
      <c r="D782" t="s">
        <v>502</v>
      </c>
      <c r="E782" t="s">
        <v>520</v>
      </c>
      <c r="F782" s="188" t="n">
        <v>2044</v>
      </c>
      <c r="G782" s="189" t="n">
        <v>50</v>
      </c>
      <c r="H782" s="190" t="n">
        <v>9243.50604995721</v>
      </c>
      <c r="I782" s="191" t="n">
        <v>4203043.64824815</v>
      </c>
      <c r="J782" s="192" t="str">
        <f>IF(I782&gt;0,H782/I782,0)</f>
      </c>
      <c r="K782" s="193" t="str">
        <f>1-EXP(-J782)</f>
      </c>
      <c r="L782" s="194" t="str">
        <f>IF(G782=30,1,M781)</f>
      </c>
      <c r="M782" s="195" t="str">
        <f>L782*(1-K782)</f>
      </c>
    </row>
    <row r="783">
      <c r="A783" t="s">
        <v>167</v>
      </c>
      <c r="B783" t="s">
        <v>254</v>
      </c>
      <c r="C783" s="35" t="s">
        <v>418</v>
      </c>
      <c r="D783" t="s">
        <v>502</v>
      </c>
      <c r="E783" t="s">
        <v>520</v>
      </c>
      <c r="F783" s="188" t="n">
        <v>2044</v>
      </c>
      <c r="G783" s="189" t="n">
        <v>51</v>
      </c>
      <c r="H783" s="190" t="n">
        <v>9937.88272381086</v>
      </c>
      <c r="I783" s="191" t="n">
        <v>4136293.75901875</v>
      </c>
      <c r="J783" s="192" t="str">
        <f>IF(I783&gt;0,H783/I783,0)</f>
      </c>
      <c r="K783" s="193" t="str">
        <f>1-EXP(-J783)</f>
      </c>
      <c r="L783" s="194" t="str">
        <f>IF(G783=30,1,M782)</f>
      </c>
      <c r="M783" s="195" t="str">
        <f>L783*(1-K783)</f>
      </c>
    </row>
    <row r="784">
      <c r="A784" t="s">
        <v>167</v>
      </c>
      <c r="B784" t="s">
        <v>254</v>
      </c>
      <c r="C784" s="35" t="s">
        <v>418</v>
      </c>
      <c r="D784" t="s">
        <v>502</v>
      </c>
      <c r="E784" t="s">
        <v>520</v>
      </c>
      <c r="F784" s="188" t="n">
        <v>2044</v>
      </c>
      <c r="G784" s="189" t="n">
        <v>52</v>
      </c>
      <c r="H784" s="190" t="n">
        <v>10915.5939320496</v>
      </c>
      <c r="I784" s="191" t="n">
        <v>4156323.98594176</v>
      </c>
      <c r="J784" s="192" t="str">
        <f>IF(I784&gt;0,H784/I784,0)</f>
      </c>
      <c r="K784" s="193" t="str">
        <f>1-EXP(-J784)</f>
      </c>
      <c r="L784" s="194" t="str">
        <f>IF(G784=30,1,M783)</f>
      </c>
      <c r="M784" s="195" t="str">
        <f>L784*(1-K784)</f>
      </c>
    </row>
    <row r="785">
      <c r="A785" t="s">
        <v>167</v>
      </c>
      <c r="B785" t="s">
        <v>254</v>
      </c>
      <c r="C785" s="35" t="s">
        <v>418</v>
      </c>
      <c r="D785" t="s">
        <v>502</v>
      </c>
      <c r="E785" t="s">
        <v>520</v>
      </c>
      <c r="F785" s="188" t="n">
        <v>2044</v>
      </c>
      <c r="G785" s="189" t="n">
        <v>53</v>
      </c>
      <c r="H785" s="190" t="n">
        <v>11924.8335328591</v>
      </c>
      <c r="I785" s="191" t="n">
        <v>4155548.97501806</v>
      </c>
      <c r="J785" s="192" t="str">
        <f>IF(I785&gt;0,H785/I785,0)</f>
      </c>
      <c r="K785" s="193" t="str">
        <f>1-EXP(-J785)</f>
      </c>
      <c r="L785" s="194" t="str">
        <f>IF(G785=30,1,M784)</f>
      </c>
      <c r="M785" s="195" t="str">
        <f>L785*(1-K785)</f>
      </c>
    </row>
    <row r="786">
      <c r="A786" t="s">
        <v>167</v>
      </c>
      <c r="B786" t="s">
        <v>254</v>
      </c>
      <c r="C786" s="35" t="s">
        <v>418</v>
      </c>
      <c r="D786" t="s">
        <v>502</v>
      </c>
      <c r="E786" t="s">
        <v>520</v>
      </c>
      <c r="F786" s="188" t="n">
        <v>2044</v>
      </c>
      <c r="G786" s="189" t="n">
        <v>54</v>
      </c>
      <c r="H786" s="190" t="n">
        <v>17289.1574854235</v>
      </c>
      <c r="I786" s="191" t="n">
        <v>6110365.12354789</v>
      </c>
      <c r="J786" s="192" t="str">
        <f>IF(I786&gt;0,H786/I786,0)</f>
      </c>
      <c r="K786" s="193" t="str">
        <f>1-EXP(-J786)</f>
      </c>
      <c r="L786" s="194" t="str">
        <f>IF(G786=30,1,M785)</f>
      </c>
      <c r="M786" s="195" t="str">
        <f>L786*(1-K786)</f>
      </c>
    </row>
    <row r="787">
      <c r="A787" t="s">
        <v>167</v>
      </c>
      <c r="B787" t="s">
        <v>254</v>
      </c>
      <c r="C787" s="35" t="s">
        <v>418</v>
      </c>
      <c r="D787" t="s">
        <v>502</v>
      </c>
      <c r="E787" t="s">
        <v>520</v>
      </c>
      <c r="F787" s="188" t="n">
        <v>2044</v>
      </c>
      <c r="G787" s="189" t="n">
        <v>55</v>
      </c>
      <c r="H787" s="190" t="n">
        <v>13721.0837728423</v>
      </c>
      <c r="I787" s="191" t="n">
        <v>4075389.75407986</v>
      </c>
      <c r="J787" s="192" t="str">
        <f>IF(I787&gt;0,H787/I787,0)</f>
      </c>
      <c r="K787" s="193" t="str">
        <f>1-EXP(-J787)</f>
      </c>
      <c r="L787" s="194" t="str">
        <f>IF(G787=30,1,M786)</f>
      </c>
      <c r="M787" s="195" t="str">
        <f>L787*(1-K787)</f>
      </c>
    </row>
    <row r="788">
      <c r="A788" t="s">
        <v>167</v>
      </c>
      <c r="B788" t="s">
        <v>254</v>
      </c>
      <c r="C788" s="35" t="s">
        <v>418</v>
      </c>
      <c r="D788" t="s">
        <v>502</v>
      </c>
      <c r="E788" t="s">
        <v>520</v>
      </c>
      <c r="F788" s="188" t="n">
        <v>2044</v>
      </c>
      <c r="G788" s="189" t="n">
        <v>56</v>
      </c>
      <c r="H788" s="190" t="n">
        <v>14746.0260293515</v>
      </c>
      <c r="I788" s="191" t="n">
        <v>4036348.9618211</v>
      </c>
      <c r="J788" s="192" t="str">
        <f>IF(I788&gt;0,H788/I788,0)</f>
      </c>
      <c r="K788" s="193" t="str">
        <f>1-EXP(-J788)</f>
      </c>
      <c r="L788" s="194" t="str">
        <f>IF(G788=30,1,M787)</f>
      </c>
      <c r="M788" s="195" t="str">
        <f>L788*(1-K788)</f>
      </c>
    </row>
    <row r="789">
      <c r="A789" t="s">
        <v>167</v>
      </c>
      <c r="B789" t="s">
        <v>254</v>
      </c>
      <c r="C789" s="35" t="s">
        <v>418</v>
      </c>
      <c r="D789" t="s">
        <v>502</v>
      </c>
      <c r="E789" t="s">
        <v>520</v>
      </c>
      <c r="F789" s="188" t="n">
        <v>2044</v>
      </c>
      <c r="G789" s="189" t="n">
        <v>57</v>
      </c>
      <c r="H789" s="190" t="n">
        <v>15519.0739884282</v>
      </c>
      <c r="I789" s="191" t="n">
        <v>3888182.75571184</v>
      </c>
      <c r="J789" s="192" t="str">
        <f>IF(I789&gt;0,H789/I789,0)</f>
      </c>
      <c r="K789" s="193" t="str">
        <f>1-EXP(-J789)</f>
      </c>
      <c r="L789" s="194" t="str">
        <f>IF(G789=30,1,M788)</f>
      </c>
      <c r="M789" s="195" t="str">
        <f>L789*(1-K789)</f>
      </c>
    </row>
    <row r="790">
      <c r="A790" t="s">
        <v>167</v>
      </c>
      <c r="B790" t="s">
        <v>254</v>
      </c>
      <c r="C790" s="35" t="s">
        <v>418</v>
      </c>
      <c r="D790" t="s">
        <v>502</v>
      </c>
      <c r="E790" t="s">
        <v>520</v>
      </c>
      <c r="F790" s="188" t="n">
        <v>2044</v>
      </c>
      <c r="G790" s="189" t="n">
        <v>58</v>
      </c>
      <c r="H790" s="190" t="n">
        <v>16717.1470092291</v>
      </c>
      <c r="I790" s="191" t="n">
        <v>3829657.82011211</v>
      </c>
      <c r="J790" s="192" t="str">
        <f>IF(I790&gt;0,H790/I790,0)</f>
      </c>
      <c r="K790" s="193" t="str">
        <f>1-EXP(-J790)</f>
      </c>
      <c r="L790" s="194" t="str">
        <f>IF(G790=30,1,M789)</f>
      </c>
      <c r="M790" s="195" t="str">
        <f>L790*(1-K790)</f>
      </c>
    </row>
    <row r="791">
      <c r="A791" t="s">
        <v>167</v>
      </c>
      <c r="B791" t="s">
        <v>254</v>
      </c>
      <c r="C791" s="35" t="s">
        <v>418</v>
      </c>
      <c r="D791" t="s">
        <v>502</v>
      </c>
      <c r="E791" t="s">
        <v>520</v>
      </c>
      <c r="F791" s="188" t="n">
        <v>2044</v>
      </c>
      <c r="G791" s="189" t="n">
        <v>59</v>
      </c>
      <c r="H791" s="190" t="n">
        <v>18436.0889916284</v>
      </c>
      <c r="I791" s="191" t="n">
        <v>3854869.32621193</v>
      </c>
      <c r="J791" s="192" t="str">
        <f>IF(I791&gt;0,H791/I791,0)</f>
      </c>
      <c r="K791" s="193" t="str">
        <f>1-EXP(-J791)</f>
      </c>
      <c r="L791" s="194" t="str">
        <f>IF(G791=30,1,M790)</f>
      </c>
      <c r="M791" s="195" t="str">
        <f>L791*(1-K791)</f>
      </c>
    </row>
    <row r="792">
      <c r="A792" t="s">
        <v>167</v>
      </c>
      <c r="B792" t="s">
        <v>254</v>
      </c>
      <c r="C792" s="35" t="s">
        <v>418</v>
      </c>
      <c r="D792" t="s">
        <v>502</v>
      </c>
      <c r="E792" t="s">
        <v>520</v>
      </c>
      <c r="F792" s="188" t="n">
        <v>2044</v>
      </c>
      <c r="G792" s="189" t="n">
        <v>60</v>
      </c>
      <c r="H792" s="190" t="n">
        <v>20231.2496542367</v>
      </c>
      <c r="I792" s="191" t="n">
        <v>3899434.07311947</v>
      </c>
      <c r="J792" s="192" t="str">
        <f>IF(I792&gt;0,H792/I792,0)</f>
      </c>
      <c r="K792" s="193" t="str">
        <f>1-EXP(-J792)</f>
      </c>
      <c r="L792" s="194" t="str">
        <f>IF(G792=30,1,M791)</f>
      </c>
      <c r="M792" s="195" t="str">
        <f>L792*(1-K792)</f>
      </c>
    </row>
    <row r="793">
      <c r="A793" t="s">
        <v>167</v>
      </c>
      <c r="B793" t="s">
        <v>254</v>
      </c>
      <c r="C793" s="35" t="s">
        <v>418</v>
      </c>
      <c r="D793" t="s">
        <v>502</v>
      </c>
      <c r="E793" t="s">
        <v>520</v>
      </c>
      <c r="F793" s="188" t="n">
        <v>2044</v>
      </c>
      <c r="G793" s="189" t="n">
        <v>61</v>
      </c>
      <c r="H793" s="190" t="n">
        <v>21893.2486235784</v>
      </c>
      <c r="I793" s="191" t="n">
        <v>3841730.12534836</v>
      </c>
      <c r="J793" s="192" t="str">
        <f>IF(I793&gt;0,H793/I793,0)</f>
      </c>
      <c r="K793" s="193" t="str">
        <f>1-EXP(-J793)</f>
      </c>
      <c r="L793" s="194" t="str">
        <f>IF(G793=30,1,M792)</f>
      </c>
      <c r="M793" s="195" t="str">
        <f>L793*(1-K793)</f>
      </c>
    </row>
    <row r="794">
      <c r="A794" t="s">
        <v>167</v>
      </c>
      <c r="B794" t="s">
        <v>254</v>
      </c>
      <c r="C794" s="35" t="s">
        <v>418</v>
      </c>
      <c r="D794" t="s">
        <v>502</v>
      </c>
      <c r="E794" t="s">
        <v>520</v>
      </c>
      <c r="F794" s="188" t="n">
        <v>2044</v>
      </c>
      <c r="G794" s="189" t="n">
        <v>62</v>
      </c>
      <c r="H794" s="190" t="n">
        <v>23055.9944266682</v>
      </c>
      <c r="I794" s="191" t="n">
        <v>3681067.2681769</v>
      </c>
      <c r="J794" s="192" t="str">
        <f>IF(I794&gt;0,H794/I794,0)</f>
      </c>
      <c r="K794" s="193" t="str">
        <f>1-EXP(-J794)</f>
      </c>
      <c r="L794" s="194" t="str">
        <f>IF(G794=30,1,M793)</f>
      </c>
      <c r="M794" s="195" t="str">
        <f>L794*(1-K794)</f>
      </c>
    </row>
    <row r="795">
      <c r="A795" t="s">
        <v>167</v>
      </c>
      <c r="B795" t="s">
        <v>254</v>
      </c>
      <c r="C795" s="35" t="s">
        <v>418</v>
      </c>
      <c r="D795" t="s">
        <v>502</v>
      </c>
      <c r="E795" t="s">
        <v>520</v>
      </c>
      <c r="F795" s="188" t="n">
        <v>2044</v>
      </c>
      <c r="G795" s="189" t="n">
        <v>63</v>
      </c>
      <c r="H795" s="190" t="n">
        <v>24587.6503677827</v>
      </c>
      <c r="I795" s="191" t="n">
        <v>3574870.20888663</v>
      </c>
      <c r="J795" s="192" t="str">
        <f>IF(I795&gt;0,H795/I795,0)</f>
      </c>
      <c r="K795" s="193" t="str">
        <f>1-EXP(-J795)</f>
      </c>
      <c r="L795" s="194" t="str">
        <f>IF(G795=30,1,M794)</f>
      </c>
      <c r="M795" s="195" t="str">
        <f>L795*(1-K795)</f>
      </c>
    </row>
    <row r="796">
      <c r="A796" t="s">
        <v>167</v>
      </c>
      <c r="B796" t="s">
        <v>254</v>
      </c>
      <c r="C796" s="35" t="s">
        <v>418</v>
      </c>
      <c r="D796" t="s">
        <v>502</v>
      </c>
      <c r="E796" t="s">
        <v>520</v>
      </c>
      <c r="F796" s="188" t="n">
        <v>2044</v>
      </c>
      <c r="G796" s="189" t="n">
        <v>64</v>
      </c>
      <c r="H796" s="190" t="n">
        <v>26282.3927427407</v>
      </c>
      <c r="I796" s="191" t="n">
        <v>3480474.14648536</v>
      </c>
      <c r="J796" s="192" t="str">
        <f>IF(I796&gt;0,H796/I796,0)</f>
      </c>
      <c r="K796" s="193" t="str">
        <f>1-EXP(-J796)</f>
      </c>
      <c r="L796" s="194" t="str">
        <f>IF(G796=30,1,M795)</f>
      </c>
      <c r="M796" s="195" t="str">
        <f>L796*(1-K796)</f>
      </c>
    </row>
    <row r="797">
      <c r="A797" t="s">
        <v>167</v>
      </c>
      <c r="B797" t="s">
        <v>254</v>
      </c>
      <c r="C797" s="35" t="s">
        <v>418</v>
      </c>
      <c r="D797" t="s">
        <v>502</v>
      </c>
      <c r="E797" t="s">
        <v>520</v>
      </c>
      <c r="F797" s="188" t="n">
        <v>2044</v>
      </c>
      <c r="G797" s="189" t="n">
        <v>65</v>
      </c>
      <c r="H797" s="190" t="n">
        <v>26737.6831968815</v>
      </c>
      <c r="I797" s="191" t="n">
        <v>3379032.58244061</v>
      </c>
      <c r="J797" s="192" t="str">
        <f>IF(I797&gt;0,H797/I797,0)</f>
      </c>
      <c r="K797" s="193" t="str">
        <f>1-EXP(-J797)</f>
      </c>
      <c r="L797" s="194" t="str">
        <f>IF(G797=30,1,M796)</f>
      </c>
      <c r="M797" s="195" t="str">
        <f>L797*(1-K797)</f>
      </c>
    </row>
    <row r="798">
      <c r="A798" t="s">
        <v>167</v>
      </c>
      <c r="B798" t="s">
        <v>254</v>
      </c>
      <c r="C798" s="35" t="s">
        <v>418</v>
      </c>
      <c r="D798" t="s">
        <v>502</v>
      </c>
      <c r="E798" t="s">
        <v>520</v>
      </c>
      <c r="F798" s="188" t="n">
        <v>2044</v>
      </c>
      <c r="G798" s="189" t="n">
        <v>66</v>
      </c>
      <c r="H798" s="190" t="n">
        <v>28270.0064955096</v>
      </c>
      <c r="I798" s="191" t="n">
        <v>3259460.96182862</v>
      </c>
      <c r="J798" s="192" t="str">
        <f>IF(I798&gt;0,H798/I798,0)</f>
      </c>
      <c r="K798" s="193" t="str">
        <f>1-EXP(-J798)</f>
      </c>
      <c r="L798" s="194" t="str">
        <f>IF(G798=30,1,M797)</f>
      </c>
      <c r="M798" s="195" t="str">
        <f>L798*(1-K798)</f>
      </c>
    </row>
    <row r="799">
      <c r="A799" t="s">
        <v>167</v>
      </c>
      <c r="B799" t="s">
        <v>254</v>
      </c>
      <c r="C799" s="35" t="s">
        <v>418</v>
      </c>
      <c r="D799" t="s">
        <v>502</v>
      </c>
      <c r="E799" t="s">
        <v>520</v>
      </c>
      <c r="F799" s="188" t="n">
        <v>2044</v>
      </c>
      <c r="G799" s="189" t="n">
        <v>67</v>
      </c>
      <c r="H799" s="190" t="n">
        <v>30059.9505737447</v>
      </c>
      <c r="I799" s="191" t="n">
        <v>3150993.71982484</v>
      </c>
      <c r="J799" s="192" t="str">
        <f>IF(I799&gt;0,H799/I799,0)</f>
      </c>
      <c r="K799" s="193" t="str">
        <f>1-EXP(-J799)</f>
      </c>
      <c r="L799" s="194" t="str">
        <f>IF(G799=30,1,M798)</f>
      </c>
      <c r="M799" s="195" t="str">
        <f>L799*(1-K799)</f>
      </c>
    </row>
    <row r="800">
      <c r="A800" t="s">
        <v>167</v>
      </c>
      <c r="B800" t="s">
        <v>254</v>
      </c>
      <c r="C800" s="35" t="s">
        <v>418</v>
      </c>
      <c r="D800" t="s">
        <v>502</v>
      </c>
      <c r="E800" t="s">
        <v>520</v>
      </c>
      <c r="F800" s="188" t="n">
        <v>2044</v>
      </c>
      <c r="G800" s="189" t="n">
        <v>68</v>
      </c>
      <c r="H800" s="190" t="n">
        <v>31794.5788788515</v>
      </c>
      <c r="I800" s="191" t="n">
        <v>3031197.26176136</v>
      </c>
      <c r="J800" s="192" t="str">
        <f>IF(I800&gt;0,H800/I800,0)</f>
      </c>
      <c r="K800" s="193" t="str">
        <f>1-EXP(-J800)</f>
      </c>
      <c r="L800" s="194" t="str">
        <f>IF(G800=30,1,M799)</f>
      </c>
      <c r="M800" s="195" t="str">
        <f>L800*(1-K800)</f>
      </c>
    </row>
    <row r="801">
      <c r="A801" t="s">
        <v>167</v>
      </c>
      <c r="B801" t="s">
        <v>254</v>
      </c>
      <c r="C801" s="35" t="s">
        <v>418</v>
      </c>
      <c r="D801" t="s">
        <v>502</v>
      </c>
      <c r="E801" t="s">
        <v>520</v>
      </c>
      <c r="F801" s="188" t="n">
        <v>2044</v>
      </c>
      <c r="G801" s="189" t="n">
        <v>69</v>
      </c>
      <c r="H801" s="190" t="n">
        <v>33578.1424352408</v>
      </c>
      <c r="I801" s="191" t="n">
        <v>2908802.97982501</v>
      </c>
      <c r="J801" s="192" t="str">
        <f>IF(I801&gt;0,H801/I801,0)</f>
      </c>
      <c r="K801" s="193" t="str">
        <f>1-EXP(-J801)</f>
      </c>
      <c r="L801" s="194" t="str">
        <f>IF(G801=30,1,M800)</f>
      </c>
      <c r="M801" s="195" t="str">
        <f>L801*(1-K801)</f>
      </c>
    </row>
    <row r="802">
      <c r="A802" t="s">
        <v>167</v>
      </c>
      <c r="B802" t="s">
        <v>254</v>
      </c>
      <c r="C802" s="35" t="s">
        <v>418</v>
      </c>
      <c r="D802" t="s">
        <v>502</v>
      </c>
      <c r="E802" t="s">
        <v>520</v>
      </c>
      <c r="F802" s="188" t="n">
        <v>2045</v>
      </c>
      <c r="G802" s="189" t="n">
        <v>30</v>
      </c>
      <c r="H802" s="190" t="n">
        <v>699.71829445534</v>
      </c>
      <c r="I802" s="191" t="n">
        <v>4642444.72387703</v>
      </c>
      <c r="J802" s="192" t="str">
        <f>IF(I802&gt;0,H802/I802,0)</f>
      </c>
      <c r="K802" s="193" t="str">
        <f>1-EXP(-J802)</f>
      </c>
      <c r="L802" s="194" t="str">
        <f>IF(G802=30,1,M801)</f>
      </c>
      <c r="M802" s="195" t="str">
        <f>L802*(1-K802)</f>
      </c>
    </row>
    <row r="803">
      <c r="A803" t="s">
        <v>167</v>
      </c>
      <c r="B803" t="s">
        <v>254</v>
      </c>
      <c r="C803" s="35" t="s">
        <v>418</v>
      </c>
      <c r="D803" t="s">
        <v>502</v>
      </c>
      <c r="E803" t="s">
        <v>520</v>
      </c>
      <c r="F803" s="188" t="n">
        <v>2045</v>
      </c>
      <c r="G803" s="189" t="n">
        <v>31</v>
      </c>
      <c r="H803" s="190" t="n">
        <v>936.983850049739</v>
      </c>
      <c r="I803" s="191" t="n">
        <v>4708999.28258679</v>
      </c>
      <c r="J803" s="192" t="str">
        <f>IF(I803&gt;0,H803/I803,0)</f>
      </c>
      <c r="K803" s="193" t="str">
        <f>1-EXP(-J803)</f>
      </c>
      <c r="L803" s="194" t="str">
        <f>IF(G803=30,1,M802)</f>
      </c>
      <c r="M803" s="195" t="str">
        <f>L803*(1-K803)</f>
      </c>
    </row>
    <row r="804">
      <c r="A804" t="s">
        <v>167</v>
      </c>
      <c r="B804" t="s">
        <v>254</v>
      </c>
      <c r="C804" s="35" t="s">
        <v>418</v>
      </c>
      <c r="D804" t="s">
        <v>502</v>
      </c>
      <c r="E804" t="s">
        <v>520</v>
      </c>
      <c r="F804" s="188" t="n">
        <v>2045</v>
      </c>
      <c r="G804" s="189" t="n">
        <v>32</v>
      </c>
      <c r="H804" s="190" t="n">
        <v>1002.6695406401</v>
      </c>
      <c r="I804" s="191" t="n">
        <v>4777218.54769014</v>
      </c>
      <c r="J804" s="192" t="str">
        <f>IF(I804&gt;0,H804/I804,0)</f>
      </c>
      <c r="K804" s="193" t="str">
        <f>1-EXP(-J804)</f>
      </c>
      <c r="L804" s="194" t="str">
        <f>IF(G804=30,1,M803)</f>
      </c>
      <c r="M804" s="195" t="str">
        <f>L804*(1-K804)</f>
      </c>
    </row>
    <row r="805">
      <c r="A805" t="s">
        <v>167</v>
      </c>
      <c r="B805" t="s">
        <v>254</v>
      </c>
      <c r="C805" s="35" t="s">
        <v>418</v>
      </c>
      <c r="D805" t="s">
        <v>502</v>
      </c>
      <c r="E805" t="s">
        <v>520</v>
      </c>
      <c r="F805" s="188" t="n">
        <v>2045</v>
      </c>
      <c r="G805" s="189" t="n">
        <v>33</v>
      </c>
      <c r="H805" s="190" t="n">
        <v>1129.99463171117</v>
      </c>
      <c r="I805" s="191" t="n">
        <v>4889804.99369977</v>
      </c>
      <c r="J805" s="192" t="str">
        <f>IF(I805&gt;0,H805/I805,0)</f>
      </c>
      <c r="K805" s="193" t="str">
        <f>1-EXP(-J805)</f>
      </c>
      <c r="L805" s="194" t="str">
        <f>IF(G805=30,1,M804)</f>
      </c>
      <c r="M805" s="195" t="str">
        <f>L805*(1-K805)</f>
      </c>
    </row>
    <row r="806">
      <c r="A806" t="s">
        <v>167</v>
      </c>
      <c r="B806" t="s">
        <v>254</v>
      </c>
      <c r="C806" s="35" t="s">
        <v>418</v>
      </c>
      <c r="D806" t="s">
        <v>502</v>
      </c>
      <c r="E806" t="s">
        <v>520</v>
      </c>
      <c r="F806" s="188" t="n">
        <v>2045</v>
      </c>
      <c r="G806" s="189" t="n">
        <v>34</v>
      </c>
      <c r="H806" s="190" t="n">
        <v>1197.06398047104</v>
      </c>
      <c r="I806" s="191" t="n">
        <v>4861404.98066835</v>
      </c>
      <c r="J806" s="192" t="str">
        <f>IF(I806&gt;0,H806/I806,0)</f>
      </c>
      <c r="K806" s="193" t="str">
        <f>1-EXP(-J806)</f>
      </c>
      <c r="L806" s="194" t="str">
        <f>IF(G806=30,1,M805)</f>
      </c>
      <c r="M806" s="195" t="str">
        <f>L806*(1-K806)</f>
      </c>
    </row>
    <row r="807">
      <c r="A807" t="s">
        <v>167</v>
      </c>
      <c r="B807" t="s">
        <v>254</v>
      </c>
      <c r="C807" s="35" t="s">
        <v>418</v>
      </c>
      <c r="D807" t="s">
        <v>502</v>
      </c>
      <c r="E807" t="s">
        <v>520</v>
      </c>
      <c r="F807" s="188" t="n">
        <v>2045</v>
      </c>
      <c r="G807" s="189" t="n">
        <v>35</v>
      </c>
      <c r="H807" s="190" t="n">
        <v>1527.48664401169</v>
      </c>
      <c r="I807" s="191" t="n">
        <v>4727401.22513347</v>
      </c>
      <c r="J807" s="192" t="str">
        <f>IF(I807&gt;0,H807/I807,0)</f>
      </c>
      <c r="K807" s="193" t="str">
        <f>1-EXP(-J807)</f>
      </c>
      <c r="L807" s="194" t="str">
        <f>IF(G807=30,1,M806)</f>
      </c>
      <c r="M807" s="195" t="str">
        <f>L807*(1-K807)</f>
      </c>
    </row>
    <row r="808">
      <c r="A808" t="s">
        <v>167</v>
      </c>
      <c r="B808" t="s">
        <v>254</v>
      </c>
      <c r="C808" s="35" t="s">
        <v>418</v>
      </c>
      <c r="D808" t="s">
        <v>502</v>
      </c>
      <c r="E808" t="s">
        <v>520</v>
      </c>
      <c r="F808" s="188" t="n">
        <v>2045</v>
      </c>
      <c r="G808" s="189" t="n">
        <v>36</v>
      </c>
      <c r="H808" s="190" t="n">
        <v>1762.32522618176</v>
      </c>
      <c r="I808" s="191" t="n">
        <v>4655639.59647485</v>
      </c>
      <c r="J808" s="192" t="str">
        <f>IF(I808&gt;0,H808/I808,0)</f>
      </c>
      <c r="K808" s="193" t="str">
        <f>1-EXP(-J808)</f>
      </c>
      <c r="L808" s="194" t="str">
        <f>IF(G808=30,1,M807)</f>
      </c>
      <c r="M808" s="195" t="str">
        <f>L808*(1-K808)</f>
      </c>
    </row>
    <row r="809">
      <c r="A809" t="s">
        <v>167</v>
      </c>
      <c r="B809" t="s">
        <v>254</v>
      </c>
      <c r="C809" s="35" t="s">
        <v>418</v>
      </c>
      <c r="D809" t="s">
        <v>502</v>
      </c>
      <c r="E809" t="s">
        <v>520</v>
      </c>
      <c r="F809" s="188" t="n">
        <v>2045</v>
      </c>
      <c r="G809" s="189" t="n">
        <v>37</v>
      </c>
      <c r="H809" s="190" t="n">
        <v>1878.72828556401</v>
      </c>
      <c r="I809" s="191" t="n">
        <v>4611830.56517179</v>
      </c>
      <c r="J809" s="192" t="str">
        <f>IF(I809&gt;0,H809/I809,0)</f>
      </c>
      <c r="K809" s="193" t="str">
        <f>1-EXP(-J809)</f>
      </c>
      <c r="L809" s="194" t="str">
        <f>IF(G809=30,1,M808)</f>
      </c>
      <c r="M809" s="195" t="str">
        <f>L809*(1-K809)</f>
      </c>
    </row>
    <row r="810">
      <c r="A810" t="s">
        <v>167</v>
      </c>
      <c r="B810" t="s">
        <v>254</v>
      </c>
      <c r="C810" s="35" t="s">
        <v>418</v>
      </c>
      <c r="D810" t="s">
        <v>502</v>
      </c>
      <c r="E810" t="s">
        <v>520</v>
      </c>
      <c r="F810" s="188" t="n">
        <v>2045</v>
      </c>
      <c r="G810" s="189" t="n">
        <v>38</v>
      </c>
      <c r="H810" s="190" t="n">
        <v>2097.28055698354</v>
      </c>
      <c r="I810" s="191" t="n">
        <v>4635615.12679987</v>
      </c>
      <c r="J810" s="192" t="str">
        <f>IF(I810&gt;0,H810/I810,0)</f>
      </c>
      <c r="K810" s="193" t="str">
        <f>1-EXP(-J810)</f>
      </c>
      <c r="L810" s="194" t="str">
        <f>IF(G810=30,1,M809)</f>
      </c>
      <c r="M810" s="195" t="str">
        <f>L810*(1-K810)</f>
      </c>
    </row>
    <row r="811">
      <c r="A811" t="s">
        <v>167</v>
      </c>
      <c r="B811" t="s">
        <v>254</v>
      </c>
      <c r="C811" s="35" t="s">
        <v>418</v>
      </c>
      <c r="D811" t="s">
        <v>502</v>
      </c>
      <c r="E811" t="s">
        <v>520</v>
      </c>
      <c r="F811" s="188" t="n">
        <v>2045</v>
      </c>
      <c r="G811" s="189" t="n">
        <v>39</v>
      </c>
      <c r="H811" s="190" t="n">
        <v>2227.45632837012</v>
      </c>
      <c r="I811" s="191" t="n">
        <v>4550980.63275045</v>
      </c>
      <c r="J811" s="192" t="str">
        <f>IF(I811&gt;0,H811/I811,0)</f>
      </c>
      <c r="K811" s="193" t="str">
        <f>1-EXP(-J811)</f>
      </c>
      <c r="L811" s="194" t="str">
        <f>IF(G811=30,1,M810)</f>
      </c>
      <c r="M811" s="195" t="str">
        <f>L811*(1-K811)</f>
      </c>
    </row>
    <row r="812">
      <c r="A812" t="s">
        <v>167</v>
      </c>
      <c r="B812" t="s">
        <v>254</v>
      </c>
      <c r="C812" s="35" t="s">
        <v>418</v>
      </c>
      <c r="D812" t="s">
        <v>502</v>
      </c>
      <c r="E812" t="s">
        <v>520</v>
      </c>
      <c r="F812" s="188" t="n">
        <v>2045</v>
      </c>
      <c r="G812" s="189" t="n">
        <v>40</v>
      </c>
      <c r="H812" s="190" t="n">
        <v>2954.19963795394</v>
      </c>
      <c r="I812" s="191" t="n">
        <v>4487725.73526737</v>
      </c>
      <c r="J812" s="192" t="str">
        <f>IF(I812&gt;0,H812/I812,0)</f>
      </c>
      <c r="K812" s="193" t="str">
        <f>1-EXP(-J812)</f>
      </c>
      <c r="L812" s="194" t="str">
        <f>IF(G812=30,1,M811)</f>
      </c>
      <c r="M812" s="195" t="str">
        <f>L812*(1-K812)</f>
      </c>
    </row>
    <row r="813">
      <c r="A813" t="s">
        <v>167</v>
      </c>
      <c r="B813" t="s">
        <v>254</v>
      </c>
      <c r="C813" s="35" t="s">
        <v>418</v>
      </c>
      <c r="D813" t="s">
        <v>502</v>
      </c>
      <c r="E813" t="s">
        <v>520</v>
      </c>
      <c r="F813" s="188" t="n">
        <v>2045</v>
      </c>
      <c r="G813" s="189" t="n">
        <v>41</v>
      </c>
      <c r="H813" s="190" t="n">
        <v>3203.69525894657</v>
      </c>
      <c r="I813" s="191" t="n">
        <v>4356576.27340832</v>
      </c>
      <c r="J813" s="192" t="str">
        <f>IF(I813&gt;0,H813/I813,0)</f>
      </c>
      <c r="K813" s="193" t="str">
        <f>1-EXP(-J813)</f>
      </c>
      <c r="L813" s="194" t="str">
        <f>IF(G813=30,1,M812)</f>
      </c>
      <c r="M813" s="195" t="str">
        <f>L813*(1-K813)</f>
      </c>
    </row>
    <row r="814">
      <c r="A814" t="s">
        <v>167</v>
      </c>
      <c r="B814" t="s">
        <v>254</v>
      </c>
      <c r="C814" s="35" t="s">
        <v>418</v>
      </c>
      <c r="D814" t="s">
        <v>502</v>
      </c>
      <c r="E814" t="s">
        <v>520</v>
      </c>
      <c r="F814" s="188" t="n">
        <v>2045</v>
      </c>
      <c r="G814" s="189" t="n">
        <v>42</v>
      </c>
      <c r="H814" s="190" t="n">
        <v>3427.93268329267</v>
      </c>
      <c r="I814" s="191" t="n">
        <v>4287940.86935299</v>
      </c>
      <c r="J814" s="192" t="str">
        <f>IF(I814&gt;0,H814/I814,0)</f>
      </c>
      <c r="K814" s="193" t="str">
        <f>1-EXP(-J814)</f>
      </c>
      <c r="L814" s="194" t="str">
        <f>IF(G814=30,1,M813)</f>
      </c>
      <c r="M814" s="195" t="str">
        <f>L814*(1-K814)</f>
      </c>
    </row>
    <row r="815">
      <c r="A815" t="s">
        <v>167</v>
      </c>
      <c r="B815" t="s">
        <v>254</v>
      </c>
      <c r="C815" s="35" t="s">
        <v>418</v>
      </c>
      <c r="D815" t="s">
        <v>502</v>
      </c>
      <c r="E815" t="s">
        <v>520</v>
      </c>
      <c r="F815" s="188" t="n">
        <v>2045</v>
      </c>
      <c r="G815" s="189" t="n">
        <v>43</v>
      </c>
      <c r="H815" s="190" t="n">
        <v>3862.78968997279</v>
      </c>
      <c r="I815" s="191" t="n">
        <v>4260448.96829017</v>
      </c>
      <c r="J815" s="192" t="str">
        <f>IF(I815&gt;0,H815/I815,0)</f>
      </c>
      <c r="K815" s="193" t="str">
        <f>1-EXP(-J815)</f>
      </c>
      <c r="L815" s="194" t="str">
        <f>IF(G815=30,1,M814)</f>
      </c>
      <c r="M815" s="195" t="str">
        <f>L815*(1-K815)</f>
      </c>
    </row>
    <row r="816">
      <c r="A816" t="s">
        <v>167</v>
      </c>
      <c r="B816" t="s">
        <v>254</v>
      </c>
      <c r="C816" s="35" t="s">
        <v>418</v>
      </c>
      <c r="D816" t="s">
        <v>502</v>
      </c>
      <c r="E816" t="s">
        <v>520</v>
      </c>
      <c r="F816" s="188" t="n">
        <v>2045</v>
      </c>
      <c r="G816" s="189" t="n">
        <v>44</v>
      </c>
      <c r="H816" s="190" t="n">
        <v>4188.78527678917</v>
      </c>
      <c r="I816" s="191" t="n">
        <v>4235222.30492124</v>
      </c>
      <c r="J816" s="192" t="str">
        <f>IF(I816&gt;0,H816/I816,0)</f>
      </c>
      <c r="K816" s="193" t="str">
        <f>1-EXP(-J816)</f>
      </c>
      <c r="L816" s="194" t="str">
        <f>IF(G816=30,1,M815)</f>
      </c>
      <c r="M816" s="195" t="str">
        <f>L816*(1-K816)</f>
      </c>
    </row>
    <row r="817">
      <c r="A817" t="s">
        <v>167</v>
      </c>
      <c r="B817" t="s">
        <v>254</v>
      </c>
      <c r="C817" s="35" t="s">
        <v>418</v>
      </c>
      <c r="D817" t="s">
        <v>502</v>
      </c>
      <c r="E817" t="s">
        <v>520</v>
      </c>
      <c r="F817" s="188" t="n">
        <v>2045</v>
      </c>
      <c r="G817" s="189" t="n">
        <v>45</v>
      </c>
      <c r="H817" s="190" t="n">
        <v>5353.9030094902</v>
      </c>
      <c r="I817" s="191" t="n">
        <v>4209052.69340065</v>
      </c>
      <c r="J817" s="192" t="str">
        <f>IF(I817&gt;0,H817/I817,0)</f>
      </c>
      <c r="K817" s="193" t="str">
        <f>1-EXP(-J817)</f>
      </c>
      <c r="L817" s="194" t="str">
        <f>IF(G817=30,1,M816)</f>
      </c>
      <c r="M817" s="195" t="str">
        <f>L817*(1-K817)</f>
      </c>
    </row>
    <row r="818">
      <c r="A818" t="s">
        <v>167</v>
      </c>
      <c r="B818" t="s">
        <v>254</v>
      </c>
      <c r="C818" s="35" t="s">
        <v>418</v>
      </c>
      <c r="D818" t="s">
        <v>502</v>
      </c>
      <c r="E818" t="s">
        <v>520</v>
      </c>
      <c r="F818" s="188" t="n">
        <v>2045</v>
      </c>
      <c r="G818" s="189" t="n">
        <v>46</v>
      </c>
      <c r="H818" s="190" t="n">
        <v>5921.75401179224</v>
      </c>
      <c r="I818" s="191" t="n">
        <v>4220006.23916376</v>
      </c>
      <c r="J818" s="192" t="str">
        <f>IF(I818&gt;0,H818/I818,0)</f>
      </c>
      <c r="K818" s="193" t="str">
        <f>1-EXP(-J818)</f>
      </c>
      <c r="L818" s="194" t="str">
        <f>IF(G818=30,1,M817)</f>
      </c>
      <c r="M818" s="195" t="str">
        <f>L818*(1-K818)</f>
      </c>
    </row>
    <row r="819">
      <c r="A819" t="s">
        <v>167</v>
      </c>
      <c r="B819" t="s">
        <v>254</v>
      </c>
      <c r="C819" s="35" t="s">
        <v>418</v>
      </c>
      <c r="D819" t="s">
        <v>502</v>
      </c>
      <c r="E819" t="s">
        <v>520</v>
      </c>
      <c r="F819" s="188" t="n">
        <v>2045</v>
      </c>
      <c r="G819" s="189" t="n">
        <v>47</v>
      </c>
      <c r="H819" s="190" t="n">
        <v>6574.20864816261</v>
      </c>
      <c r="I819" s="191" t="n">
        <v>4268828.54619348</v>
      </c>
      <c r="J819" s="192" t="str">
        <f>IF(I819&gt;0,H819/I819,0)</f>
      </c>
      <c r="K819" s="193" t="str">
        <f>1-EXP(-J819)</f>
      </c>
      <c r="L819" s="194" t="str">
        <f>IF(G819=30,1,M818)</f>
      </c>
      <c r="M819" s="195" t="str">
        <f>L819*(1-K819)</f>
      </c>
    </row>
    <row r="820">
      <c r="A820" t="s">
        <v>167</v>
      </c>
      <c r="B820" t="s">
        <v>254</v>
      </c>
      <c r="C820" s="35" t="s">
        <v>418</v>
      </c>
      <c r="D820" t="s">
        <v>502</v>
      </c>
      <c r="E820" t="s">
        <v>520</v>
      </c>
      <c r="F820" s="188" t="n">
        <v>2045</v>
      </c>
      <c r="G820" s="189" t="n">
        <v>48</v>
      </c>
      <c r="H820" s="190" t="n">
        <v>7621.08571584231</v>
      </c>
      <c r="I820" s="191" t="n">
        <v>4390596.01010001</v>
      </c>
      <c r="J820" s="192" t="str">
        <f>IF(I820&gt;0,H820/I820,0)</f>
      </c>
      <c r="K820" s="193" t="str">
        <f>1-EXP(-J820)</f>
      </c>
      <c r="L820" s="194" t="str">
        <f>IF(G820=30,1,M819)</f>
      </c>
      <c r="M820" s="195" t="str">
        <f>L820*(1-K820)</f>
      </c>
    </row>
    <row r="821">
      <c r="A821" t="s">
        <v>167</v>
      </c>
      <c r="B821" t="s">
        <v>254</v>
      </c>
      <c r="C821" s="35" t="s">
        <v>418</v>
      </c>
      <c r="D821" t="s">
        <v>502</v>
      </c>
      <c r="E821" t="s">
        <v>520</v>
      </c>
      <c r="F821" s="188" t="n">
        <v>2045</v>
      </c>
      <c r="G821" s="189" t="n">
        <v>49</v>
      </c>
      <c r="H821" s="190" t="n">
        <v>8266.6198833438</v>
      </c>
      <c r="I821" s="191" t="n">
        <v>4336842.0181316</v>
      </c>
      <c r="J821" s="192" t="str">
        <f>IF(I821&gt;0,H821/I821,0)</f>
      </c>
      <c r="K821" s="193" t="str">
        <f>1-EXP(-J821)</f>
      </c>
      <c r="L821" s="194" t="str">
        <f>IF(G821=30,1,M820)</f>
      </c>
      <c r="M821" s="195" t="str">
        <f>L821*(1-K821)</f>
      </c>
    </row>
    <row r="822">
      <c r="A822" t="s">
        <v>167</v>
      </c>
      <c r="B822" t="s">
        <v>254</v>
      </c>
      <c r="C822" s="35" t="s">
        <v>418</v>
      </c>
      <c r="D822" t="s">
        <v>502</v>
      </c>
      <c r="E822" t="s">
        <v>520</v>
      </c>
      <c r="F822" s="188" t="n">
        <v>2045</v>
      </c>
      <c r="G822" s="189" t="n">
        <v>50</v>
      </c>
      <c r="H822" s="190" t="n">
        <v>9279.64403630214</v>
      </c>
      <c r="I822" s="191" t="n">
        <v>4252922.64594281</v>
      </c>
      <c r="J822" s="192" t="str">
        <f>IF(I822&gt;0,H822/I822,0)</f>
      </c>
      <c r="K822" s="193" t="str">
        <f>1-EXP(-J822)</f>
      </c>
      <c r="L822" s="194" t="str">
        <f>IF(G822=30,1,M821)</f>
      </c>
      <c r="M822" s="195" t="str">
        <f>L822*(1-K822)</f>
      </c>
    </row>
    <row r="823">
      <c r="A823" t="s">
        <v>167</v>
      </c>
      <c r="B823" t="s">
        <v>254</v>
      </c>
      <c r="C823" s="35" t="s">
        <v>418</v>
      </c>
      <c r="D823" t="s">
        <v>502</v>
      </c>
      <c r="E823" t="s">
        <v>520</v>
      </c>
      <c r="F823" s="188" t="n">
        <v>2045</v>
      </c>
      <c r="G823" s="189" t="n">
        <v>51</v>
      </c>
      <c r="H823" s="190" t="n">
        <v>9971.34648346127</v>
      </c>
      <c r="I823" s="191" t="n">
        <v>4182377.22237476</v>
      </c>
      <c r="J823" s="192" t="str">
        <f>IF(I823&gt;0,H823/I823,0)</f>
      </c>
      <c r="K823" s="193" t="str">
        <f>1-EXP(-J823)</f>
      </c>
      <c r="L823" s="194" t="str">
        <f>IF(G823=30,1,M822)</f>
      </c>
      <c r="M823" s="195" t="str">
        <f>L823*(1-K823)</f>
      </c>
    </row>
    <row r="824">
      <c r="A824" t="s">
        <v>167</v>
      </c>
      <c r="B824" t="s">
        <v>254</v>
      </c>
      <c r="C824" s="35" t="s">
        <v>418</v>
      </c>
      <c r="D824" t="s">
        <v>502</v>
      </c>
      <c r="E824" t="s">
        <v>520</v>
      </c>
      <c r="F824" s="188" t="n">
        <v>2045</v>
      </c>
      <c r="G824" s="189" t="n">
        <v>52</v>
      </c>
      <c r="H824" s="190" t="n">
        <v>10740.290180076</v>
      </c>
      <c r="I824" s="191" t="n">
        <v>4114695.97253805</v>
      </c>
      <c r="J824" s="192" t="str">
        <f>IF(I824&gt;0,H824/I824,0)</f>
      </c>
      <c r="K824" s="193" t="str">
        <f>1-EXP(-J824)</f>
      </c>
      <c r="L824" s="194" t="str">
        <f>IF(G824=30,1,M823)</f>
      </c>
      <c r="M824" s="195" t="str">
        <f>L824*(1-K824)</f>
      </c>
    </row>
    <row r="825">
      <c r="A825" t="s">
        <v>167</v>
      </c>
      <c r="B825" t="s">
        <v>254</v>
      </c>
      <c r="C825" s="35" t="s">
        <v>418</v>
      </c>
      <c r="D825" t="s">
        <v>502</v>
      </c>
      <c r="E825" t="s">
        <v>520</v>
      </c>
      <c r="F825" s="188" t="n">
        <v>2045</v>
      </c>
      <c r="G825" s="189" t="n">
        <v>53</v>
      </c>
      <c r="H825" s="190" t="n">
        <v>11768.142762786</v>
      </c>
      <c r="I825" s="191" t="n">
        <v>4132611.37362347</v>
      </c>
      <c r="J825" s="192" t="str">
        <f>IF(I825&gt;0,H825/I825,0)</f>
      </c>
      <c r="K825" s="193" t="str">
        <f>1-EXP(-J825)</f>
      </c>
      <c r="L825" s="194" t="str">
        <f>IF(G825=30,1,M824)</f>
      </c>
      <c r="M825" s="195" t="str">
        <f>L825*(1-K825)</f>
      </c>
    </row>
    <row r="826">
      <c r="A826" t="s">
        <v>167</v>
      </c>
      <c r="B826" t="s">
        <v>254</v>
      </c>
      <c r="C826" s="35" t="s">
        <v>418</v>
      </c>
      <c r="D826" t="s">
        <v>502</v>
      </c>
      <c r="E826" t="s">
        <v>520</v>
      </c>
      <c r="F826" s="188" t="n">
        <v>2045</v>
      </c>
      <c r="G826" s="189" t="n">
        <v>54</v>
      </c>
      <c r="H826" s="190" t="n">
        <v>12827.8825997378</v>
      </c>
      <c r="I826" s="191" t="n">
        <v>4129658.70281761</v>
      </c>
      <c r="J826" s="192" t="str">
        <f>IF(I826&gt;0,H826/I826,0)</f>
      </c>
      <c r="K826" s="193" t="str">
        <f>1-EXP(-J826)</f>
      </c>
      <c r="L826" s="194" t="str">
        <f>IF(G826=30,1,M825)</f>
      </c>
      <c r="M826" s="195" t="str">
        <f>L826*(1-K826)</f>
      </c>
    </row>
    <row r="827">
      <c r="A827" t="s">
        <v>167</v>
      </c>
      <c r="B827" t="s">
        <v>254</v>
      </c>
      <c r="C827" s="35" t="s">
        <v>418</v>
      </c>
      <c r="D827" t="s">
        <v>502</v>
      </c>
      <c r="E827" t="s">
        <v>520</v>
      </c>
      <c r="F827" s="188" t="n">
        <v>2045</v>
      </c>
      <c r="G827" s="189" t="n">
        <v>55</v>
      </c>
      <c r="H827" s="190" t="n">
        <v>18463.1768168759</v>
      </c>
      <c r="I827" s="191" t="n">
        <v>6072053.3714619</v>
      </c>
      <c r="J827" s="192" t="str">
        <f>IF(I827&gt;0,H827/I827,0)</f>
      </c>
      <c r="K827" s="193" t="str">
        <f>1-EXP(-J827)</f>
      </c>
      <c r="L827" s="194" t="str">
        <f>IF(G827=30,1,M826)</f>
      </c>
      <c r="M827" s="195" t="str">
        <f>L827*(1-K827)</f>
      </c>
    </row>
    <row r="828">
      <c r="A828" t="s">
        <v>167</v>
      </c>
      <c r="B828" t="s">
        <v>254</v>
      </c>
      <c r="C828" s="35" t="s">
        <v>418</v>
      </c>
      <c r="D828" t="s">
        <v>502</v>
      </c>
      <c r="E828" t="s">
        <v>520</v>
      </c>
      <c r="F828" s="188" t="n">
        <v>2045</v>
      </c>
      <c r="G828" s="189" t="n">
        <v>56</v>
      </c>
      <c r="H828" s="190" t="n">
        <v>14631.528909363</v>
      </c>
      <c r="I828" s="191" t="n">
        <v>4045123.2218755</v>
      </c>
      <c r="J828" s="192" t="str">
        <f>IF(I828&gt;0,H828/I828,0)</f>
      </c>
      <c r="K828" s="193" t="str">
        <f>1-EXP(-J828)</f>
      </c>
      <c r="L828" s="194" t="str">
        <f>IF(G828=30,1,M827)</f>
      </c>
      <c r="M828" s="195" t="str">
        <f>L828*(1-K828)</f>
      </c>
    </row>
    <row r="829">
      <c r="A829" t="s">
        <v>167</v>
      </c>
      <c r="B829" t="s">
        <v>254</v>
      </c>
      <c r="C829" s="35" t="s">
        <v>418</v>
      </c>
      <c r="D829" t="s">
        <v>502</v>
      </c>
      <c r="E829" t="s">
        <v>520</v>
      </c>
      <c r="F829" s="188" t="n">
        <v>2045</v>
      </c>
      <c r="G829" s="189" t="n">
        <v>57</v>
      </c>
      <c r="H829" s="190" t="n">
        <v>15813.815011187</v>
      </c>
      <c r="I829" s="191" t="n">
        <v>4003878.37468284</v>
      </c>
      <c r="J829" s="192" t="str">
        <f>IF(I829&gt;0,H829/I829,0)</f>
      </c>
      <c r="K829" s="193" t="str">
        <f>1-EXP(-J829)</f>
      </c>
      <c r="L829" s="194" t="str">
        <f>IF(G829=30,1,M828)</f>
      </c>
      <c r="M829" s="195" t="str">
        <f>L829*(1-K829)</f>
      </c>
    </row>
    <row r="830">
      <c r="A830" t="s">
        <v>167</v>
      </c>
      <c r="B830" t="s">
        <v>254</v>
      </c>
      <c r="C830" s="35" t="s">
        <v>418</v>
      </c>
      <c r="D830" t="s">
        <v>502</v>
      </c>
      <c r="E830" t="s">
        <v>520</v>
      </c>
      <c r="F830" s="188" t="n">
        <v>2045</v>
      </c>
      <c r="G830" s="189" t="n">
        <v>58</v>
      </c>
      <c r="H830" s="190" t="n">
        <v>16656.2980351337</v>
      </c>
      <c r="I830" s="191" t="n">
        <v>3854067.80043556</v>
      </c>
      <c r="J830" s="192" t="str">
        <f>IF(I830&gt;0,H830/I830,0)</f>
      </c>
      <c r="K830" s="193" t="str">
        <f>1-EXP(-J830)</f>
      </c>
      <c r="L830" s="194" t="str">
        <f>IF(G830=30,1,M829)</f>
      </c>
      <c r="M830" s="195" t="str">
        <f>L830*(1-K830)</f>
      </c>
    </row>
    <row r="831">
      <c r="A831" t="s">
        <v>167</v>
      </c>
      <c r="B831" t="s">
        <v>254</v>
      </c>
      <c r="C831" s="35" t="s">
        <v>418</v>
      </c>
      <c r="D831" t="s">
        <v>502</v>
      </c>
      <c r="E831" t="s">
        <v>520</v>
      </c>
      <c r="F831" s="188" t="n">
        <v>2045</v>
      </c>
      <c r="G831" s="189" t="n">
        <v>59</v>
      </c>
      <c r="H831" s="190" t="n">
        <v>17956.5816245744</v>
      </c>
      <c r="I831" s="191" t="n">
        <v>3792974.79213218</v>
      </c>
      <c r="J831" s="192" t="str">
        <f>IF(I831&gt;0,H831/I831,0)</f>
      </c>
      <c r="K831" s="193" t="str">
        <f>1-EXP(-J831)</f>
      </c>
      <c r="L831" s="194" t="str">
        <f>IF(G831=30,1,M830)</f>
      </c>
      <c r="M831" s="195" t="str">
        <f>L831*(1-K831)</f>
      </c>
    </row>
    <row r="832">
      <c r="A832" t="s">
        <v>167</v>
      </c>
      <c r="B832" t="s">
        <v>254</v>
      </c>
      <c r="C832" s="35" t="s">
        <v>418</v>
      </c>
      <c r="D832" t="s">
        <v>502</v>
      </c>
      <c r="E832" t="s">
        <v>520</v>
      </c>
      <c r="F832" s="188" t="n">
        <v>2045</v>
      </c>
      <c r="G832" s="189" t="n">
        <v>60</v>
      </c>
      <c r="H832" s="190" t="n">
        <v>19557.236730305</v>
      </c>
      <c r="I832" s="191" t="n">
        <v>3814485.6977713</v>
      </c>
      <c r="J832" s="192" t="str">
        <f>IF(I832&gt;0,H832/I832,0)</f>
      </c>
      <c r="K832" s="193" t="str">
        <f>1-EXP(-J832)</f>
      </c>
      <c r="L832" s="194" t="str">
        <f>IF(G832=30,1,M831)</f>
      </c>
      <c r="M832" s="195" t="str">
        <f>L832*(1-K832)</f>
      </c>
    </row>
    <row r="833">
      <c r="A833" t="s">
        <v>167</v>
      </c>
      <c r="B833" t="s">
        <v>254</v>
      </c>
      <c r="C833" s="35" t="s">
        <v>418</v>
      </c>
      <c r="D833" t="s">
        <v>502</v>
      </c>
      <c r="E833" t="s">
        <v>520</v>
      </c>
      <c r="F833" s="188" t="n">
        <v>2045</v>
      </c>
      <c r="G833" s="189" t="n">
        <v>61</v>
      </c>
      <c r="H833" s="190" t="n">
        <v>21714.7359058786</v>
      </c>
      <c r="I833" s="191" t="n">
        <v>3854587.79706981</v>
      </c>
      <c r="J833" s="192" t="str">
        <f>IF(I833&gt;0,H833/I833,0)</f>
      </c>
      <c r="K833" s="193" t="str">
        <f>1-EXP(-J833)</f>
      </c>
      <c r="L833" s="194" t="str">
        <f>IF(G833=30,1,M832)</f>
      </c>
      <c r="M833" s="195" t="str">
        <f>L833*(1-K833)</f>
      </c>
    </row>
    <row r="834">
      <c r="A834" t="s">
        <v>167</v>
      </c>
      <c r="B834" t="s">
        <v>254</v>
      </c>
      <c r="C834" s="35" t="s">
        <v>418</v>
      </c>
      <c r="D834" t="s">
        <v>502</v>
      </c>
      <c r="E834" t="s">
        <v>520</v>
      </c>
      <c r="F834" s="188" t="n">
        <v>2045</v>
      </c>
      <c r="G834" s="189" t="n">
        <v>62</v>
      </c>
      <c r="H834" s="190" t="n">
        <v>23470.5429277112</v>
      </c>
      <c r="I834" s="191" t="n">
        <v>3793396.76013453</v>
      </c>
      <c r="J834" s="192" t="str">
        <f>IF(I834&gt;0,H834/I834,0)</f>
      </c>
      <c r="K834" s="193" t="str">
        <f>1-EXP(-J834)</f>
      </c>
      <c r="L834" s="194" t="str">
        <f>IF(G834=30,1,M833)</f>
      </c>
      <c r="M834" s="195" t="str">
        <f>L834*(1-K834)</f>
      </c>
    </row>
    <row r="835">
      <c r="A835" t="s">
        <v>167</v>
      </c>
      <c r="B835" t="s">
        <v>254</v>
      </c>
      <c r="C835" s="35" t="s">
        <v>418</v>
      </c>
      <c r="D835" t="s">
        <v>502</v>
      </c>
      <c r="E835" t="s">
        <v>520</v>
      </c>
      <c r="F835" s="188" t="n">
        <v>2045</v>
      </c>
      <c r="G835" s="189" t="n">
        <v>63</v>
      </c>
      <c r="H835" s="190" t="n">
        <v>24692.5104777416</v>
      </c>
      <c r="I835" s="191" t="n">
        <v>3630207.46819933</v>
      </c>
      <c r="J835" s="192" t="str">
        <f>IF(I835&gt;0,H835/I835,0)</f>
      </c>
      <c r="K835" s="193" t="str">
        <f>1-EXP(-J835)</f>
      </c>
      <c r="L835" s="194" t="str">
        <f>IF(G835=30,1,M834)</f>
      </c>
      <c r="M835" s="195" t="str">
        <f>L835*(1-K835)</f>
      </c>
    </row>
    <row r="836">
      <c r="A836" t="s">
        <v>167</v>
      </c>
      <c r="B836" t="s">
        <v>254</v>
      </c>
      <c r="C836" s="35" t="s">
        <v>418</v>
      </c>
      <c r="D836" t="s">
        <v>502</v>
      </c>
      <c r="E836" t="s">
        <v>520</v>
      </c>
      <c r="F836" s="188" t="n">
        <v>2045</v>
      </c>
      <c r="G836" s="189" t="n">
        <v>64</v>
      </c>
      <c r="H836" s="190" t="n">
        <v>26295.4601023532</v>
      </c>
      <c r="I836" s="191" t="n">
        <v>3520667.45342393</v>
      </c>
      <c r="J836" s="192" t="str">
        <f>IF(I836&gt;0,H836/I836,0)</f>
      </c>
      <c r="K836" s="193" t="str">
        <f>1-EXP(-J836)</f>
      </c>
      <c r="L836" s="194" t="str">
        <f>IF(G836=30,1,M835)</f>
      </c>
      <c r="M836" s="195" t="str">
        <f>L836*(1-K836)</f>
      </c>
    </row>
    <row r="837">
      <c r="A837" t="s">
        <v>167</v>
      </c>
      <c r="B837" t="s">
        <v>254</v>
      </c>
      <c r="C837" s="35" t="s">
        <v>418</v>
      </c>
      <c r="D837" t="s">
        <v>502</v>
      </c>
      <c r="E837" t="s">
        <v>520</v>
      </c>
      <c r="F837" s="188" t="n">
        <v>2045</v>
      </c>
      <c r="G837" s="189" t="n">
        <v>65</v>
      </c>
      <c r="H837" s="190" t="n">
        <v>26756.7006071346</v>
      </c>
      <c r="I837" s="191" t="n">
        <v>3422568.29974294</v>
      </c>
      <c r="J837" s="192" t="str">
        <f>IF(I837&gt;0,H837/I837,0)</f>
      </c>
      <c r="K837" s="193" t="str">
        <f>1-EXP(-J837)</f>
      </c>
      <c r="L837" s="194" t="str">
        <f>IF(G837=30,1,M836)</f>
      </c>
      <c r="M837" s="195" t="str">
        <f>L837*(1-K837)</f>
      </c>
    </row>
    <row r="838">
      <c r="A838" t="s">
        <v>167</v>
      </c>
      <c r="B838" t="s">
        <v>254</v>
      </c>
      <c r="C838" s="35" t="s">
        <v>418</v>
      </c>
      <c r="D838" t="s">
        <v>502</v>
      </c>
      <c r="E838" t="s">
        <v>520</v>
      </c>
      <c r="F838" s="188" t="n">
        <v>2045</v>
      </c>
      <c r="G838" s="189" t="n">
        <v>66</v>
      </c>
      <c r="H838" s="190" t="n">
        <v>28437.0256936087</v>
      </c>
      <c r="I838" s="191" t="n">
        <v>3318000.44438973</v>
      </c>
      <c r="J838" s="192" t="str">
        <f>IF(I838&gt;0,H838/I838,0)</f>
      </c>
      <c r="K838" s="193" t="str">
        <f>1-EXP(-J838)</f>
      </c>
      <c r="L838" s="194" t="str">
        <f>IF(G838=30,1,M837)</f>
      </c>
      <c r="M838" s="195" t="str">
        <f>L838*(1-K838)</f>
      </c>
    </row>
    <row r="839">
      <c r="A839" t="s">
        <v>167</v>
      </c>
      <c r="B839" t="s">
        <v>254</v>
      </c>
      <c r="C839" s="35" t="s">
        <v>418</v>
      </c>
      <c r="D839" t="s">
        <v>502</v>
      </c>
      <c r="E839" t="s">
        <v>520</v>
      </c>
      <c r="F839" s="188" t="n">
        <v>2045</v>
      </c>
      <c r="G839" s="189" t="n">
        <v>67</v>
      </c>
      <c r="H839" s="190" t="n">
        <v>30088.0184436822</v>
      </c>
      <c r="I839" s="191" t="n">
        <v>3194268.8823703</v>
      </c>
      <c r="J839" s="192" t="str">
        <f>IF(I839&gt;0,H839/I839,0)</f>
      </c>
      <c r="K839" s="193" t="str">
        <f>1-EXP(-J839)</f>
      </c>
      <c r="L839" s="194" t="str">
        <f>IF(G839=30,1,M838)</f>
      </c>
      <c r="M839" s="195" t="str">
        <f>L839*(1-K839)</f>
      </c>
    </row>
    <row r="840">
      <c r="A840" t="s">
        <v>167</v>
      </c>
      <c r="B840" t="s">
        <v>254</v>
      </c>
      <c r="C840" s="35" t="s">
        <v>418</v>
      </c>
      <c r="D840" t="s">
        <v>502</v>
      </c>
      <c r="E840" t="s">
        <v>520</v>
      </c>
      <c r="F840" s="188" t="n">
        <v>2045</v>
      </c>
      <c r="G840" s="189" t="n">
        <v>68</v>
      </c>
      <c r="H840" s="190" t="n">
        <v>31954.8155086995</v>
      </c>
      <c r="I840" s="191" t="n">
        <v>3081740.68592278</v>
      </c>
      <c r="J840" s="192" t="str">
        <f>IF(I840&gt;0,H840/I840,0)</f>
      </c>
      <c r="K840" s="193" t="str">
        <f>1-EXP(-J840)</f>
      </c>
      <c r="L840" s="194" t="str">
        <f>IF(G840=30,1,M839)</f>
      </c>
      <c r="M840" s="195" t="str">
        <f>L840*(1-K840)</f>
      </c>
    </row>
    <row r="841">
      <c r="A841" t="s">
        <v>167</v>
      </c>
      <c r="B841" t="s">
        <v>254</v>
      </c>
      <c r="C841" s="35" t="s">
        <v>418</v>
      </c>
      <c r="D841" t="s">
        <v>502</v>
      </c>
      <c r="E841" t="s">
        <v>520</v>
      </c>
      <c r="F841" s="188" t="n">
        <v>2045</v>
      </c>
      <c r="G841" s="189" t="n">
        <v>69</v>
      </c>
      <c r="H841" s="190" t="n">
        <v>33760.8983067478</v>
      </c>
      <c r="I841" s="191" t="n">
        <v>2958058.60654442</v>
      </c>
      <c r="J841" s="192" t="str">
        <f>IF(I841&gt;0,H841/I841,0)</f>
      </c>
      <c r="K841" s="193" t="str">
        <f>1-EXP(-J841)</f>
      </c>
      <c r="L841" s="194" t="str">
        <f>IF(G841=30,1,M840)</f>
      </c>
      <c r="M841" s="195" t="str">
        <f>L841*(1-K841)</f>
      </c>
    </row>
    <row r="842">
      <c r="A842" t="s">
        <v>167</v>
      </c>
      <c r="B842" t="s">
        <v>254</v>
      </c>
      <c r="C842" s="35" t="s">
        <v>418</v>
      </c>
      <c r="D842" t="s">
        <v>502</v>
      </c>
      <c r="E842" t="s">
        <v>520</v>
      </c>
      <c r="F842" s="188" t="n">
        <v>2046</v>
      </c>
      <c r="G842" s="189" t="n">
        <v>30</v>
      </c>
      <c r="H842" s="190" t="n">
        <v>655.043292682412</v>
      </c>
      <c r="I842" s="191" t="n">
        <v>4588424.13215972</v>
      </c>
      <c r="J842" s="192" t="str">
        <f>IF(I842&gt;0,H842/I842,0)</f>
      </c>
      <c r="K842" s="193" t="str">
        <f>1-EXP(-J842)</f>
      </c>
      <c r="L842" s="194" t="str">
        <f>IF(G842=30,1,M841)</f>
      </c>
      <c r="M842" s="195" t="str">
        <f>L842*(1-K842)</f>
      </c>
    </row>
    <row r="843">
      <c r="A843" t="s">
        <v>167</v>
      </c>
      <c r="B843" t="s">
        <v>254</v>
      </c>
      <c r="C843" s="35" t="s">
        <v>418</v>
      </c>
      <c r="D843" t="s">
        <v>502</v>
      </c>
      <c r="E843" t="s">
        <v>520</v>
      </c>
      <c r="F843" s="188" t="n">
        <v>2046</v>
      </c>
      <c r="G843" s="189" t="n">
        <v>31</v>
      </c>
      <c r="H843" s="190" t="n">
        <v>924.302426133537</v>
      </c>
      <c r="I843" s="191" t="n">
        <v>4637271.71741934</v>
      </c>
      <c r="J843" s="192" t="str">
        <f>IF(I843&gt;0,H843/I843,0)</f>
      </c>
      <c r="K843" s="193" t="str">
        <f>1-EXP(-J843)</f>
      </c>
      <c r="L843" s="194" t="str">
        <f>IF(G843=30,1,M842)</f>
      </c>
      <c r="M843" s="195" t="str">
        <f>L843*(1-K843)</f>
      </c>
    </row>
    <row r="844">
      <c r="A844" t="s">
        <v>167</v>
      </c>
      <c r="B844" t="s">
        <v>254</v>
      </c>
      <c r="C844" s="35" t="s">
        <v>418</v>
      </c>
      <c r="D844" t="s">
        <v>502</v>
      </c>
      <c r="E844" t="s">
        <v>520</v>
      </c>
      <c r="F844" s="188" t="n">
        <v>2046</v>
      </c>
      <c r="G844" s="189" t="n">
        <v>32</v>
      </c>
      <c r="H844" s="190" t="n">
        <v>988.832823568764</v>
      </c>
      <c r="I844" s="191" t="n">
        <v>4703842.41360268</v>
      </c>
      <c r="J844" s="192" t="str">
        <f>IF(I844&gt;0,H844/I844,0)</f>
      </c>
      <c r="K844" s="193" t="str">
        <f>1-EXP(-J844)</f>
      </c>
      <c r="L844" s="194" t="str">
        <f>IF(G844=30,1,M843)</f>
      </c>
      <c r="M844" s="195" t="str">
        <f>L844*(1-K844)</f>
      </c>
    </row>
    <row r="845">
      <c r="A845" t="s">
        <v>167</v>
      </c>
      <c r="B845" t="s">
        <v>254</v>
      </c>
      <c r="C845" s="35" t="s">
        <v>418</v>
      </c>
      <c r="D845" t="s">
        <v>502</v>
      </c>
      <c r="E845" t="s">
        <v>520</v>
      </c>
      <c r="F845" s="188" t="n">
        <v>2046</v>
      </c>
      <c r="G845" s="189" t="n">
        <v>33</v>
      </c>
      <c r="H845" s="190" t="n">
        <v>1063.69069898025</v>
      </c>
      <c r="I845" s="191" t="n">
        <v>4771771.07288854</v>
      </c>
      <c r="J845" s="192" t="str">
        <f>IF(I845&gt;0,H845/I845,0)</f>
      </c>
      <c r="K845" s="193" t="str">
        <f>1-EXP(-J845)</f>
      </c>
      <c r="L845" s="194" t="str">
        <f>IF(G845=30,1,M844)</f>
      </c>
      <c r="M845" s="195" t="str">
        <f>L845*(1-K845)</f>
      </c>
    </row>
    <row r="846">
      <c r="A846" t="s">
        <v>167</v>
      </c>
      <c r="B846" t="s">
        <v>254</v>
      </c>
      <c r="C846" s="35" t="s">
        <v>418</v>
      </c>
      <c r="D846" t="s">
        <v>502</v>
      </c>
      <c r="E846" t="s">
        <v>520</v>
      </c>
      <c r="F846" s="188" t="n">
        <v>2046</v>
      </c>
      <c r="G846" s="189" t="n">
        <v>34</v>
      </c>
      <c r="H846" s="190" t="n">
        <v>1203.83571492118</v>
      </c>
      <c r="I846" s="191" t="n">
        <v>4883928.99485663</v>
      </c>
      <c r="J846" s="192" t="str">
        <f>IF(I846&gt;0,H846/I846,0)</f>
      </c>
      <c r="K846" s="193" t="str">
        <f>1-EXP(-J846)</f>
      </c>
      <c r="L846" s="194" t="str">
        <f>IF(G846=30,1,M845)</f>
      </c>
      <c r="M846" s="195" t="str">
        <f>L846*(1-K846)</f>
      </c>
    </row>
    <row r="847">
      <c r="A847" t="s">
        <v>167</v>
      </c>
      <c r="B847" t="s">
        <v>254</v>
      </c>
      <c r="C847" s="35" t="s">
        <v>418</v>
      </c>
      <c r="D847" t="s">
        <v>502</v>
      </c>
      <c r="E847" t="s">
        <v>520</v>
      </c>
      <c r="F847" s="188" t="n">
        <v>2046</v>
      </c>
      <c r="G847" s="189" t="n">
        <v>35</v>
      </c>
      <c r="H847" s="190" t="n">
        <v>1566.11359635055</v>
      </c>
      <c r="I847" s="191" t="n">
        <v>4855259.6451747</v>
      </c>
      <c r="J847" s="192" t="str">
        <f>IF(I847&gt;0,H847/I847,0)</f>
      </c>
      <c r="K847" s="193" t="str">
        <f>1-EXP(-J847)</f>
      </c>
      <c r="L847" s="194" t="str">
        <f>IF(G847=30,1,M846)</f>
      </c>
      <c r="M847" s="195" t="str">
        <f>L847*(1-K847)</f>
      </c>
    </row>
    <row r="848">
      <c r="A848" t="s">
        <v>167</v>
      </c>
      <c r="B848" t="s">
        <v>254</v>
      </c>
      <c r="C848" s="35" t="s">
        <v>418</v>
      </c>
      <c r="D848" t="s">
        <v>502</v>
      </c>
      <c r="E848" t="s">
        <v>520</v>
      </c>
      <c r="F848" s="188" t="n">
        <v>2046</v>
      </c>
      <c r="G848" s="189" t="n">
        <v>36</v>
      </c>
      <c r="H848" s="190" t="n">
        <v>1782.92617127596</v>
      </c>
      <c r="I848" s="191" t="n">
        <v>4720764.51515934</v>
      </c>
      <c r="J848" s="192" t="str">
        <f>IF(I848&gt;0,H848/I848,0)</f>
      </c>
      <c r="K848" s="193" t="str">
        <f>1-EXP(-J848)</f>
      </c>
      <c r="L848" s="194" t="str">
        <f>IF(G848=30,1,M847)</f>
      </c>
      <c r="M848" s="195" t="str">
        <f>L848*(1-K848)</f>
      </c>
    </row>
    <row r="849">
      <c r="A849" t="s">
        <v>167</v>
      </c>
      <c r="B849" t="s">
        <v>254</v>
      </c>
      <c r="C849" s="35" t="s">
        <v>418</v>
      </c>
      <c r="D849" t="s">
        <v>502</v>
      </c>
      <c r="E849" t="s">
        <v>520</v>
      </c>
      <c r="F849" s="188" t="n">
        <v>2046</v>
      </c>
      <c r="G849" s="189" t="n">
        <v>37</v>
      </c>
      <c r="H849" s="190" t="n">
        <v>1888.89296528096</v>
      </c>
      <c r="I849" s="191" t="n">
        <v>4648949.9674388</v>
      </c>
      <c r="J849" s="192" t="str">
        <f>IF(I849&gt;0,H849/I849,0)</f>
      </c>
      <c r="K849" s="193" t="str">
        <f>1-EXP(-J849)</f>
      </c>
      <c r="L849" s="194" t="str">
        <f>IF(G849=30,1,M848)</f>
      </c>
      <c r="M849" s="195" t="str">
        <f>L849*(1-K849)</f>
      </c>
    </row>
    <row r="850">
      <c r="A850" t="s">
        <v>167</v>
      </c>
      <c r="B850" t="s">
        <v>254</v>
      </c>
      <c r="C850" s="35" t="s">
        <v>418</v>
      </c>
      <c r="D850" t="s">
        <v>502</v>
      </c>
      <c r="E850" t="s">
        <v>520</v>
      </c>
      <c r="F850" s="188" t="n">
        <v>2046</v>
      </c>
      <c r="G850" s="189" t="n">
        <v>38</v>
      </c>
      <c r="H850" s="190" t="n">
        <v>2020.14612016271</v>
      </c>
      <c r="I850" s="191" t="n">
        <v>4604754.30374292</v>
      </c>
      <c r="J850" s="192" t="str">
        <f>IF(I850&gt;0,H850/I850,0)</f>
      </c>
      <c r="K850" s="193" t="str">
        <f>1-EXP(-J850)</f>
      </c>
      <c r="L850" s="194" t="str">
        <f>IF(G850=30,1,M849)</f>
      </c>
      <c r="M850" s="195" t="str">
        <f>L850*(1-K850)</f>
      </c>
    </row>
    <row r="851">
      <c r="A851" t="s">
        <v>167</v>
      </c>
      <c r="B851" t="s">
        <v>254</v>
      </c>
      <c r="C851" s="35" t="s">
        <v>418</v>
      </c>
      <c r="D851" t="s">
        <v>502</v>
      </c>
      <c r="E851" t="s">
        <v>520</v>
      </c>
      <c r="F851" s="188" t="n">
        <v>2046</v>
      </c>
      <c r="G851" s="189" t="n">
        <v>39</v>
      </c>
      <c r="H851" s="190" t="n">
        <v>2258.16199426149</v>
      </c>
      <c r="I851" s="191" t="n">
        <v>4627932.11668298</v>
      </c>
      <c r="J851" s="192" t="str">
        <f>IF(I851&gt;0,H851/I851,0)</f>
      </c>
      <c r="K851" s="193" t="str">
        <f>1-EXP(-J851)</f>
      </c>
      <c r="L851" s="194" t="str">
        <f>IF(G851=30,1,M850)</f>
      </c>
      <c r="M851" s="195" t="str">
        <f>L851*(1-K851)</f>
      </c>
    </row>
    <row r="852">
      <c r="A852" t="s">
        <v>167</v>
      </c>
      <c r="B852" t="s">
        <v>254</v>
      </c>
      <c r="C852" s="35" t="s">
        <v>418</v>
      </c>
      <c r="D852" t="s">
        <v>502</v>
      </c>
      <c r="E852" t="s">
        <v>520</v>
      </c>
      <c r="F852" s="188" t="n">
        <v>2046</v>
      </c>
      <c r="G852" s="189" t="n">
        <v>40</v>
      </c>
      <c r="H852" s="190" t="n">
        <v>2979.37551129273</v>
      </c>
      <c r="I852" s="191" t="n">
        <v>4542872.23611893</v>
      </c>
      <c r="J852" s="192" t="str">
        <f>IF(I852&gt;0,H852/I852,0)</f>
      </c>
      <c r="K852" s="193" t="str">
        <f>1-EXP(-J852)</f>
      </c>
      <c r="L852" s="194" t="str">
        <f>IF(G852=30,1,M851)</f>
      </c>
      <c r="M852" s="195" t="str">
        <f>L852*(1-K852)</f>
      </c>
    </row>
    <row r="853">
      <c r="A853" t="s">
        <v>167</v>
      </c>
      <c r="B853" t="s">
        <v>254</v>
      </c>
      <c r="C853" s="35" t="s">
        <v>418</v>
      </c>
      <c r="D853" t="s">
        <v>502</v>
      </c>
      <c r="E853" t="s">
        <v>520</v>
      </c>
      <c r="F853" s="188" t="n">
        <v>2046</v>
      </c>
      <c r="G853" s="189" t="n">
        <v>41</v>
      </c>
      <c r="H853" s="190" t="n">
        <v>3279.07410637561</v>
      </c>
      <c r="I853" s="191" t="n">
        <v>4478467.13959003</v>
      </c>
      <c r="J853" s="192" t="str">
        <f>IF(I853&gt;0,H853/I853,0)</f>
      </c>
      <c r="K853" s="193" t="str">
        <f>1-EXP(-J853)</f>
      </c>
      <c r="L853" s="194" t="str">
        <f>IF(G853=30,1,M852)</f>
      </c>
      <c r="M853" s="195" t="str">
        <f>L853*(1-K853)</f>
      </c>
    </row>
    <row r="854">
      <c r="A854" t="s">
        <v>167</v>
      </c>
      <c r="B854" t="s">
        <v>254</v>
      </c>
      <c r="C854" s="35" t="s">
        <v>418</v>
      </c>
      <c r="D854" t="s">
        <v>502</v>
      </c>
      <c r="E854" t="s">
        <v>520</v>
      </c>
      <c r="F854" s="188" t="n">
        <v>2046</v>
      </c>
      <c r="G854" s="189" t="n">
        <v>42</v>
      </c>
      <c r="H854" s="190" t="n">
        <v>3459.77734894387</v>
      </c>
      <c r="I854" s="191" t="n">
        <v>4347501.2929594</v>
      </c>
      <c r="J854" s="192" t="str">
        <f>IF(I854&gt;0,H854/I854,0)</f>
      </c>
      <c r="K854" s="193" t="str">
        <f>1-EXP(-J854)</f>
      </c>
      <c r="L854" s="194" t="str">
        <f>IF(G854=30,1,M853)</f>
      </c>
      <c r="M854" s="195" t="str">
        <f>L854*(1-K854)</f>
      </c>
    </row>
    <row r="855">
      <c r="A855" t="s">
        <v>167</v>
      </c>
      <c r="B855" t="s">
        <v>254</v>
      </c>
      <c r="C855" s="35" t="s">
        <v>418</v>
      </c>
      <c r="D855" t="s">
        <v>502</v>
      </c>
      <c r="E855" t="s">
        <v>520</v>
      </c>
      <c r="F855" s="188" t="n">
        <v>2046</v>
      </c>
      <c r="G855" s="189" t="n">
        <v>43</v>
      </c>
      <c r="H855" s="190" t="n">
        <v>3708.97497826281</v>
      </c>
      <c r="I855" s="191" t="n">
        <v>4278277.14965268</v>
      </c>
      <c r="J855" s="192" t="str">
        <f>IF(I855&gt;0,H855/I855,0)</f>
      </c>
      <c r="K855" s="193" t="str">
        <f>1-EXP(-J855)</f>
      </c>
      <c r="L855" s="194" t="str">
        <f>IF(G855=30,1,M854)</f>
      </c>
      <c r="M855" s="195" t="str">
        <f>L855*(1-K855)</f>
      </c>
    </row>
    <row r="856">
      <c r="A856" t="s">
        <v>167</v>
      </c>
      <c r="B856" t="s">
        <v>254</v>
      </c>
      <c r="C856" s="35" t="s">
        <v>418</v>
      </c>
      <c r="D856" t="s">
        <v>502</v>
      </c>
      <c r="E856" t="s">
        <v>520</v>
      </c>
      <c r="F856" s="188" t="n">
        <v>2046</v>
      </c>
      <c r="G856" s="189" t="n">
        <v>44</v>
      </c>
      <c r="H856" s="190" t="n">
        <v>4179.57873499104</v>
      </c>
      <c r="I856" s="191" t="n">
        <v>4249855.71143878</v>
      </c>
      <c r="J856" s="192" t="str">
        <f>IF(I856&gt;0,H856/I856,0)</f>
      </c>
      <c r="K856" s="193" t="str">
        <f>1-EXP(-J856)</f>
      </c>
      <c r="L856" s="194" t="str">
        <f>IF(G856=30,1,M855)</f>
      </c>
      <c r="M856" s="195" t="str">
        <f>L856*(1-K856)</f>
      </c>
    </row>
    <row r="857">
      <c r="A857" t="s">
        <v>167</v>
      </c>
      <c r="B857" t="s">
        <v>254</v>
      </c>
      <c r="C857" s="35" t="s">
        <v>418</v>
      </c>
      <c r="D857" t="s">
        <v>502</v>
      </c>
      <c r="E857" t="s">
        <v>520</v>
      </c>
      <c r="F857" s="188" t="n">
        <v>2046</v>
      </c>
      <c r="G857" s="189" t="n">
        <v>45</v>
      </c>
      <c r="H857" s="190" t="n">
        <v>5336.96823331926</v>
      </c>
      <c r="I857" s="191" t="n">
        <v>4223784.0848398</v>
      </c>
      <c r="J857" s="192" t="str">
        <f>IF(I857&gt;0,H857/I857,0)</f>
      </c>
      <c r="K857" s="193" t="str">
        <f>1-EXP(-J857)</f>
      </c>
      <c r="L857" s="194" t="str">
        <f>IF(G857=30,1,M856)</f>
      </c>
      <c r="M857" s="195" t="str">
        <f>L857*(1-K857)</f>
      </c>
    </row>
    <row r="858">
      <c r="A858" t="s">
        <v>167</v>
      </c>
      <c r="B858" t="s">
        <v>254</v>
      </c>
      <c r="C858" s="35" t="s">
        <v>418</v>
      </c>
      <c r="D858" t="s">
        <v>502</v>
      </c>
      <c r="E858" t="s">
        <v>520</v>
      </c>
      <c r="F858" s="188" t="n">
        <v>2046</v>
      </c>
      <c r="G858" s="189" t="n">
        <v>46</v>
      </c>
      <c r="H858" s="190" t="n">
        <v>5848.59666360395</v>
      </c>
      <c r="I858" s="191" t="n">
        <v>4195839.74749924</v>
      </c>
      <c r="J858" s="192" t="str">
        <f>IF(I858&gt;0,H858/I858,0)</f>
      </c>
      <c r="K858" s="193" t="str">
        <f>1-EXP(-J858)</f>
      </c>
      <c r="L858" s="194" t="str">
        <f>IF(G858=30,1,M857)</f>
      </c>
      <c r="M858" s="195" t="str">
        <f>L858*(1-K858)</f>
      </c>
    </row>
    <row r="859">
      <c r="A859" t="s">
        <v>167</v>
      </c>
      <c r="B859" t="s">
        <v>254</v>
      </c>
      <c r="C859" s="35" t="s">
        <v>418</v>
      </c>
      <c r="D859" t="s">
        <v>502</v>
      </c>
      <c r="E859" t="s">
        <v>520</v>
      </c>
      <c r="F859" s="188" t="n">
        <v>2046</v>
      </c>
      <c r="G859" s="189" t="n">
        <v>47</v>
      </c>
      <c r="H859" s="190" t="n">
        <v>6434.13299483804</v>
      </c>
      <c r="I859" s="191" t="n">
        <v>4206398.41493212</v>
      </c>
      <c r="J859" s="192" t="str">
        <f>IF(I859&gt;0,H859/I859,0)</f>
      </c>
      <c r="K859" s="193" t="str">
        <f>1-EXP(-J859)</f>
      </c>
      <c r="L859" s="194" t="str">
        <f>IF(G859=30,1,M858)</f>
      </c>
      <c r="M859" s="195" t="str">
        <f>L859*(1-K859)</f>
      </c>
    </row>
    <row r="860">
      <c r="A860" t="s">
        <v>167</v>
      </c>
      <c r="B860" t="s">
        <v>254</v>
      </c>
      <c r="C860" s="35" t="s">
        <v>418</v>
      </c>
      <c r="D860" t="s">
        <v>502</v>
      </c>
      <c r="E860" t="s">
        <v>520</v>
      </c>
      <c r="F860" s="188" t="n">
        <v>2046</v>
      </c>
      <c r="G860" s="189" t="n">
        <v>48</v>
      </c>
      <c r="H860" s="190" t="n">
        <v>7151.87070380393</v>
      </c>
      <c r="I860" s="191" t="n">
        <v>4253774.05092855</v>
      </c>
      <c r="J860" s="192" t="str">
        <f>IF(I860&gt;0,H860/I860,0)</f>
      </c>
      <c r="K860" s="193" t="str">
        <f>1-EXP(-J860)</f>
      </c>
      <c r="L860" s="194" t="str">
        <f>IF(G860=30,1,M859)</f>
      </c>
      <c r="M860" s="195" t="str">
        <f>L860*(1-K860)</f>
      </c>
    </row>
    <row r="861">
      <c r="A861" t="s">
        <v>167</v>
      </c>
      <c r="B861" t="s">
        <v>254</v>
      </c>
      <c r="C861" s="35" t="s">
        <v>418</v>
      </c>
      <c r="D861" t="s">
        <v>502</v>
      </c>
      <c r="E861" t="s">
        <v>520</v>
      </c>
      <c r="F861" s="188" t="n">
        <v>2046</v>
      </c>
      <c r="G861" s="189" t="n">
        <v>49</v>
      </c>
      <c r="H861" s="190" t="n">
        <v>8281.9277459741</v>
      </c>
      <c r="I861" s="191" t="n">
        <v>4373397.99595893</v>
      </c>
      <c r="J861" s="192" t="str">
        <f>IF(I861&gt;0,H861/I861,0)</f>
      </c>
      <c r="K861" s="193" t="str">
        <f>1-EXP(-J861)</f>
      </c>
      <c r="L861" s="194" t="str">
        <f>IF(G861=30,1,M860)</f>
      </c>
      <c r="M861" s="195" t="str">
        <f>L861*(1-K861)</f>
      </c>
    </row>
    <row r="862">
      <c r="A862" t="s">
        <v>167</v>
      </c>
      <c r="B862" t="s">
        <v>254</v>
      </c>
      <c r="C862" s="35" t="s">
        <v>418</v>
      </c>
      <c r="D862" t="s">
        <v>502</v>
      </c>
      <c r="E862" t="s">
        <v>520</v>
      </c>
      <c r="F862" s="188" t="n">
        <v>2046</v>
      </c>
      <c r="G862" s="189" t="n">
        <v>50</v>
      </c>
      <c r="H862" s="190" t="n">
        <v>9350.39401540959</v>
      </c>
      <c r="I862" s="191" t="n">
        <v>4318226.17742231</v>
      </c>
      <c r="J862" s="192" t="str">
        <f>IF(I862&gt;0,H862/I862,0)</f>
      </c>
      <c r="K862" s="193" t="str">
        <f>1-EXP(-J862)</f>
      </c>
      <c r="L862" s="194" t="str">
        <f>IF(G862=30,1,M861)</f>
      </c>
      <c r="M862" s="195" t="str">
        <f>L862*(1-K862)</f>
      </c>
    </row>
    <row r="863">
      <c r="A863" t="s">
        <v>167</v>
      </c>
      <c r="B863" t="s">
        <v>254</v>
      </c>
      <c r="C863" s="35" t="s">
        <v>418</v>
      </c>
      <c r="D863" t="s">
        <v>502</v>
      </c>
      <c r="E863" t="s">
        <v>520</v>
      </c>
      <c r="F863" s="188" t="n">
        <v>2046</v>
      </c>
      <c r="G863" s="189" t="n">
        <v>51</v>
      </c>
      <c r="H863" s="190" t="n">
        <v>10013.3795915183</v>
      </c>
      <c r="I863" s="191" t="n">
        <v>4232281.86833594</v>
      </c>
      <c r="J863" s="192" t="str">
        <f>IF(I863&gt;0,H863/I863,0)</f>
      </c>
      <c r="K863" s="193" t="str">
        <f>1-EXP(-J863)</f>
      </c>
      <c r="L863" s="194" t="str">
        <f>IF(G863=30,1,M862)</f>
      </c>
      <c r="M863" s="195" t="str">
        <f>L863*(1-K863)</f>
      </c>
    </row>
    <row r="864">
      <c r="A864" t="s">
        <v>167</v>
      </c>
      <c r="B864" t="s">
        <v>254</v>
      </c>
      <c r="C864" s="35" t="s">
        <v>418</v>
      </c>
      <c r="D864" t="s">
        <v>502</v>
      </c>
      <c r="E864" t="s">
        <v>520</v>
      </c>
      <c r="F864" s="188" t="n">
        <v>2046</v>
      </c>
      <c r="G864" s="189" t="n">
        <v>52</v>
      </c>
      <c r="H864" s="190" t="n">
        <v>10777.8063249715</v>
      </c>
      <c r="I864" s="191" t="n">
        <v>4160811.81395081</v>
      </c>
      <c r="J864" s="192" t="str">
        <f>IF(I864&gt;0,H864/I864,0)</f>
      </c>
      <c r="K864" s="193" t="str">
        <f>1-EXP(-J864)</f>
      </c>
      <c r="L864" s="194" t="str">
        <f>IF(G864=30,1,M863)</f>
      </c>
      <c r="M864" s="195" t="str">
        <f>L864*(1-K864)</f>
      </c>
    </row>
    <row r="865">
      <c r="A865" t="s">
        <v>167</v>
      </c>
      <c r="B865" t="s">
        <v>254</v>
      </c>
      <c r="C865" s="35" t="s">
        <v>418</v>
      </c>
      <c r="D865" t="s">
        <v>502</v>
      </c>
      <c r="E865" t="s">
        <v>520</v>
      </c>
      <c r="F865" s="188" t="n">
        <v>2046</v>
      </c>
      <c r="G865" s="189" t="n">
        <v>53</v>
      </c>
      <c r="H865" s="190" t="n">
        <v>11579.5706352158</v>
      </c>
      <c r="I865" s="191" t="n">
        <v>4091484.67359642</v>
      </c>
      <c r="J865" s="192" t="str">
        <f>IF(I865&gt;0,H865/I865,0)</f>
      </c>
      <c r="K865" s="193" t="str">
        <f>1-EXP(-J865)</f>
      </c>
      <c r="L865" s="194" t="str">
        <f>IF(G865=30,1,M864)</f>
      </c>
      <c r="M865" s="195" t="str">
        <f>L865*(1-K865)</f>
      </c>
    </row>
    <row r="866">
      <c r="A866" t="s">
        <v>167</v>
      </c>
      <c r="B866" t="s">
        <v>254</v>
      </c>
      <c r="C866" s="35" t="s">
        <v>418</v>
      </c>
      <c r="D866" t="s">
        <v>502</v>
      </c>
      <c r="E866" t="s">
        <v>520</v>
      </c>
      <c r="F866" s="188" t="n">
        <v>2046</v>
      </c>
      <c r="G866" s="189" t="n">
        <v>54</v>
      </c>
      <c r="H866" s="190" t="n">
        <v>12657.5729830953</v>
      </c>
      <c r="I866" s="191" t="n">
        <v>4107184.25405306</v>
      </c>
      <c r="J866" s="192" t="str">
        <f>IF(I866&gt;0,H866/I866,0)</f>
      </c>
      <c r="K866" s="193" t="str">
        <f>1-EXP(-J866)</f>
      </c>
      <c r="L866" s="194" t="str">
        <f>IF(G866=30,1,M865)</f>
      </c>
      <c r="M866" s="195" t="str">
        <f>L866*(1-K866)</f>
      </c>
    </row>
    <row r="867">
      <c r="A867" t="s">
        <v>167</v>
      </c>
      <c r="B867" t="s">
        <v>254</v>
      </c>
      <c r="C867" s="35" t="s">
        <v>418</v>
      </c>
      <c r="D867" t="s">
        <v>502</v>
      </c>
      <c r="E867" t="s">
        <v>520</v>
      </c>
      <c r="F867" s="188" t="n">
        <v>2046</v>
      </c>
      <c r="G867" s="189" t="n">
        <v>55</v>
      </c>
      <c r="H867" s="190" t="n">
        <v>13546.2721130996</v>
      </c>
      <c r="I867" s="191" t="n">
        <v>4101959.06493639</v>
      </c>
      <c r="J867" s="192" t="str">
        <f>IF(I867&gt;0,H867/I867,0)</f>
      </c>
      <c r="K867" s="193" t="str">
        <f>1-EXP(-J867)</f>
      </c>
      <c r="L867" s="194" t="str">
        <f>IF(G867=30,1,M866)</f>
      </c>
      <c r="M867" s="195" t="str">
        <f>L867*(1-K867)</f>
      </c>
    </row>
    <row r="868">
      <c r="A868" t="s">
        <v>167</v>
      </c>
      <c r="B868" t="s">
        <v>254</v>
      </c>
      <c r="C868" s="35" t="s">
        <v>418</v>
      </c>
      <c r="D868" t="s">
        <v>502</v>
      </c>
      <c r="E868" t="s">
        <v>520</v>
      </c>
      <c r="F868" s="188" t="n">
        <v>2046</v>
      </c>
      <c r="G868" s="189" t="n">
        <v>56</v>
      </c>
      <c r="H868" s="190" t="n">
        <v>19651.7282141301</v>
      </c>
      <c r="I868" s="191" t="n">
        <v>6030865.92778086</v>
      </c>
      <c r="J868" s="192" t="str">
        <f>IF(I868&gt;0,H868/I868,0)</f>
      </c>
      <c r="K868" s="193" t="str">
        <f>1-EXP(-J868)</f>
      </c>
      <c r="L868" s="194" t="str">
        <f>IF(G868=30,1,M867)</f>
      </c>
      <c r="M868" s="195" t="str">
        <f>L868*(1-K868)</f>
      </c>
    </row>
    <row r="869">
      <c r="A869" t="s">
        <v>167</v>
      </c>
      <c r="B869" t="s">
        <v>254</v>
      </c>
      <c r="C869" s="35" t="s">
        <v>418</v>
      </c>
      <c r="D869" t="s">
        <v>502</v>
      </c>
      <c r="E869" t="s">
        <v>520</v>
      </c>
      <c r="F869" s="188" t="n">
        <v>2046</v>
      </c>
      <c r="G869" s="189" t="n">
        <v>57</v>
      </c>
      <c r="H869" s="190" t="n">
        <v>15689.5359350679</v>
      </c>
      <c r="I869" s="191" t="n">
        <v>4013013.31172945</v>
      </c>
      <c r="J869" s="192" t="str">
        <f>IF(I869&gt;0,H869/I869,0)</f>
      </c>
      <c r="K869" s="193" t="str">
        <f>1-EXP(-J869)</f>
      </c>
      <c r="L869" s="194" t="str">
        <f>IF(G869=30,1,M868)</f>
      </c>
      <c r="M869" s="195" t="str">
        <f>L869*(1-K869)</f>
      </c>
    </row>
    <row r="870">
      <c r="A870" t="s">
        <v>167</v>
      </c>
      <c r="B870" t="s">
        <v>254</v>
      </c>
      <c r="C870" s="35" t="s">
        <v>418</v>
      </c>
      <c r="D870" t="s">
        <v>502</v>
      </c>
      <c r="E870" t="s">
        <v>520</v>
      </c>
      <c r="F870" s="188" t="n">
        <v>2046</v>
      </c>
      <c r="G870" s="189" t="n">
        <v>58</v>
      </c>
      <c r="H870" s="190" t="n">
        <v>16972.5992696357</v>
      </c>
      <c r="I870" s="191" t="n">
        <v>3969232.58236936</v>
      </c>
      <c r="J870" s="192" t="str">
        <f>IF(I870&gt;0,H870/I870,0)</f>
      </c>
      <c r="K870" s="193" t="str">
        <f>1-EXP(-J870)</f>
      </c>
      <c r="L870" s="194" t="str">
        <f>IF(G870=30,1,M869)</f>
      </c>
      <c r="M870" s="195" t="str">
        <f>L870*(1-K870)</f>
      </c>
    </row>
    <row r="871">
      <c r="A871" t="s">
        <v>167</v>
      </c>
      <c r="B871" t="s">
        <v>254</v>
      </c>
      <c r="C871" s="35" t="s">
        <v>418</v>
      </c>
      <c r="D871" t="s">
        <v>502</v>
      </c>
      <c r="E871" t="s">
        <v>520</v>
      </c>
      <c r="F871" s="188" t="n">
        <v>2046</v>
      </c>
      <c r="G871" s="189" t="n">
        <v>59</v>
      </c>
      <c r="H871" s="190" t="n">
        <v>17893.2508733686</v>
      </c>
      <c r="I871" s="191" t="n">
        <v>3817645.73274118</v>
      </c>
      <c r="J871" s="192" t="str">
        <f>IF(I871&gt;0,H871/I871,0)</f>
      </c>
      <c r="K871" s="193" t="str">
        <f>1-EXP(-J871)</f>
      </c>
      <c r="L871" s="194" t="str">
        <f>IF(G871=30,1,M870)</f>
      </c>
      <c r="M871" s="195" t="str">
        <f>L871*(1-K871)</f>
      </c>
    </row>
    <row r="872">
      <c r="A872" t="s">
        <v>167</v>
      </c>
      <c r="B872" t="s">
        <v>254</v>
      </c>
      <c r="C872" s="35" t="s">
        <v>418</v>
      </c>
      <c r="D872" t="s">
        <v>502</v>
      </c>
      <c r="E872" t="s">
        <v>520</v>
      </c>
      <c r="F872" s="188" t="n">
        <v>2046</v>
      </c>
      <c r="G872" s="189" t="n">
        <v>60</v>
      </c>
      <c r="H872" s="190" t="n">
        <v>19019.5631875648</v>
      </c>
      <c r="I872" s="191" t="n">
        <v>3753780.22093471</v>
      </c>
      <c r="J872" s="192" t="str">
        <f>IF(I872&gt;0,H872/I872,0)</f>
      </c>
      <c r="K872" s="193" t="str">
        <f>1-EXP(-J872)</f>
      </c>
      <c r="L872" s="194" t="str">
        <f>IF(G872=30,1,M871)</f>
      </c>
      <c r="M872" s="195" t="str">
        <f>L872*(1-K872)</f>
      </c>
    </row>
    <row r="873">
      <c r="A873" t="s">
        <v>167</v>
      </c>
      <c r="B873" t="s">
        <v>254</v>
      </c>
      <c r="C873" s="35" t="s">
        <v>418</v>
      </c>
      <c r="D873" t="s">
        <v>502</v>
      </c>
      <c r="E873" t="s">
        <v>520</v>
      </c>
      <c r="F873" s="188" t="n">
        <v>2046</v>
      </c>
      <c r="G873" s="189" t="n">
        <v>61</v>
      </c>
      <c r="H873" s="190" t="n">
        <v>21000.4180947216</v>
      </c>
      <c r="I873" s="191" t="n">
        <v>3771237.89766241</v>
      </c>
      <c r="J873" s="192" t="str">
        <f>IF(I873&gt;0,H873/I873,0)</f>
      </c>
      <c r="K873" s="193" t="str">
        <f>1-EXP(-J873)</f>
      </c>
      <c r="L873" s="194" t="str">
        <f>IF(G873=30,1,M872)</f>
      </c>
      <c r="M873" s="195" t="str">
        <f>L873*(1-K873)</f>
      </c>
    </row>
    <row r="874">
      <c r="A874" t="s">
        <v>167</v>
      </c>
      <c r="B874" t="s">
        <v>254</v>
      </c>
      <c r="C874" s="35" t="s">
        <v>418</v>
      </c>
      <c r="D874" t="s">
        <v>502</v>
      </c>
      <c r="E874" t="s">
        <v>520</v>
      </c>
      <c r="F874" s="188" t="n">
        <v>2046</v>
      </c>
      <c r="G874" s="189" t="n">
        <v>62</v>
      </c>
      <c r="H874" s="190" t="n">
        <v>23288.3584218346</v>
      </c>
      <c r="I874" s="191" t="n">
        <v>3806737.99295014</v>
      </c>
      <c r="J874" s="192" t="str">
        <f>IF(I874&gt;0,H874/I874,0)</f>
      </c>
      <c r="K874" s="193" t="str">
        <f>1-EXP(-J874)</f>
      </c>
      <c r="L874" s="194" t="str">
        <f>IF(G874=30,1,M873)</f>
      </c>
      <c r="M874" s="195" t="str">
        <f>L874*(1-K874)</f>
      </c>
    </row>
    <row r="875">
      <c r="A875" t="s">
        <v>167</v>
      </c>
      <c r="B875" t="s">
        <v>254</v>
      </c>
      <c r="C875" s="35" t="s">
        <v>418</v>
      </c>
      <c r="D875" t="s">
        <v>502</v>
      </c>
      <c r="E875" t="s">
        <v>520</v>
      </c>
      <c r="F875" s="188" t="n">
        <v>2046</v>
      </c>
      <c r="G875" s="189" t="n">
        <v>63</v>
      </c>
      <c r="H875" s="190" t="n">
        <v>25146.5607783776</v>
      </c>
      <c r="I875" s="191" t="n">
        <v>3741721.15273056</v>
      </c>
      <c r="J875" s="192" t="str">
        <f>IF(I875&gt;0,H875/I875,0)</f>
      </c>
      <c r="K875" s="193" t="str">
        <f>1-EXP(-J875)</f>
      </c>
      <c r="L875" s="194" t="str">
        <f>IF(G875=30,1,M874)</f>
      </c>
      <c r="M875" s="195" t="str">
        <f>L875*(1-K875)</f>
      </c>
    </row>
    <row r="876">
      <c r="A876" t="s">
        <v>167</v>
      </c>
      <c r="B876" t="s">
        <v>254</v>
      </c>
      <c r="C876" s="35" t="s">
        <v>418</v>
      </c>
      <c r="D876" t="s">
        <v>502</v>
      </c>
      <c r="E876" t="s">
        <v>520</v>
      </c>
      <c r="F876" s="188" t="n">
        <v>2046</v>
      </c>
      <c r="G876" s="189" t="n">
        <v>64</v>
      </c>
      <c r="H876" s="190" t="n">
        <v>26417.3169754216</v>
      </c>
      <c r="I876" s="191" t="n">
        <v>3575875.17560991</v>
      </c>
      <c r="J876" s="192" t="str">
        <f>IF(I876&gt;0,H876/I876,0)</f>
      </c>
      <c r="K876" s="193" t="str">
        <f>1-EXP(-J876)</f>
      </c>
      <c r="L876" s="194" t="str">
        <f>IF(G876=30,1,M875)</f>
      </c>
      <c r="M876" s="195" t="str">
        <f>L876*(1-K876)</f>
      </c>
    </row>
    <row r="877">
      <c r="A877" t="s">
        <v>167</v>
      </c>
      <c r="B877" t="s">
        <v>254</v>
      </c>
      <c r="C877" s="35" t="s">
        <v>418</v>
      </c>
      <c r="D877" t="s">
        <v>502</v>
      </c>
      <c r="E877" t="s">
        <v>520</v>
      </c>
      <c r="F877" s="188" t="n">
        <v>2046</v>
      </c>
      <c r="G877" s="189" t="n">
        <v>65</v>
      </c>
      <c r="H877" s="190" t="n">
        <v>26750.7151057689</v>
      </c>
      <c r="I877" s="191" t="n">
        <v>3462840.09910226</v>
      </c>
      <c r="J877" s="192" t="str">
        <f>IF(I877&gt;0,H877/I877,0)</f>
      </c>
      <c r="K877" s="193" t="str">
        <f>1-EXP(-J877)</f>
      </c>
      <c r="L877" s="194" t="str">
        <f>IF(G877=30,1,M876)</f>
      </c>
      <c r="M877" s="195" t="str">
        <f>L877*(1-K877)</f>
      </c>
    </row>
    <row r="878">
      <c r="A878" t="s">
        <v>167</v>
      </c>
      <c r="B878" t="s">
        <v>254</v>
      </c>
      <c r="C878" s="35" t="s">
        <v>418</v>
      </c>
      <c r="D878" t="s">
        <v>502</v>
      </c>
      <c r="E878" t="s">
        <v>520</v>
      </c>
      <c r="F878" s="188" t="n">
        <v>2046</v>
      </c>
      <c r="G878" s="189" t="n">
        <v>66</v>
      </c>
      <c r="H878" s="190" t="n">
        <v>28470.7678976389</v>
      </c>
      <c r="I878" s="191" t="n">
        <v>3361559.81929956</v>
      </c>
      <c r="J878" s="192" t="str">
        <f>IF(I878&gt;0,H878/I878,0)</f>
      </c>
      <c r="K878" s="193" t="str">
        <f>1-EXP(-J878)</f>
      </c>
      <c r="L878" s="194" t="str">
        <f>IF(G878=30,1,M877)</f>
      </c>
      <c r="M878" s="195" t="str">
        <f>L878*(1-K878)</f>
      </c>
    </row>
    <row r="879">
      <c r="A879" t="s">
        <v>167</v>
      </c>
      <c r="B879" t="s">
        <v>254</v>
      </c>
      <c r="C879" s="35" t="s">
        <v>418</v>
      </c>
      <c r="D879" t="s">
        <v>502</v>
      </c>
      <c r="E879" t="s">
        <v>520</v>
      </c>
      <c r="F879" s="188" t="n">
        <v>2046</v>
      </c>
      <c r="G879" s="189" t="n">
        <v>67</v>
      </c>
      <c r="H879" s="190" t="n">
        <v>30278.6546292958</v>
      </c>
      <c r="I879" s="191" t="n">
        <v>3252475.48297562</v>
      </c>
      <c r="J879" s="192" t="str">
        <f>IF(I879&gt;0,H879/I879,0)</f>
      </c>
      <c r="K879" s="193" t="str">
        <f>1-EXP(-J879)</f>
      </c>
      <c r="L879" s="194" t="str">
        <f>IF(G879=30,1,M878)</f>
      </c>
      <c r="M879" s="195" t="str">
        <f>L879*(1-K879)</f>
      </c>
    </row>
    <row r="880">
      <c r="A880" t="s">
        <v>167</v>
      </c>
      <c r="B880" t="s">
        <v>254</v>
      </c>
      <c r="C880" s="35" t="s">
        <v>418</v>
      </c>
      <c r="D880" t="s">
        <v>502</v>
      </c>
      <c r="E880" t="s">
        <v>520</v>
      </c>
      <c r="F880" s="188" t="n">
        <v>2046</v>
      </c>
      <c r="G880" s="189" t="n">
        <v>68</v>
      </c>
      <c r="H880" s="190" t="n">
        <v>32001.0154516514</v>
      </c>
      <c r="I880" s="191" t="n">
        <v>3125023.32671029</v>
      </c>
      <c r="J880" s="192" t="str">
        <f>IF(I880&gt;0,H880/I880,0)</f>
      </c>
      <c r="K880" s="193" t="str">
        <f>1-EXP(-J880)</f>
      </c>
      <c r="L880" s="194" t="str">
        <f>IF(G880=30,1,M879)</f>
      </c>
      <c r="M880" s="195" t="str">
        <f>L880*(1-K880)</f>
      </c>
    </row>
    <row r="881">
      <c r="A881" t="s">
        <v>167</v>
      </c>
      <c r="B881" t="s">
        <v>254</v>
      </c>
      <c r="C881" s="35" t="s">
        <v>418</v>
      </c>
      <c r="D881" t="s">
        <v>502</v>
      </c>
      <c r="E881" t="s">
        <v>520</v>
      </c>
      <c r="F881" s="188" t="n">
        <v>2046</v>
      </c>
      <c r="G881" s="189" t="n">
        <v>69</v>
      </c>
      <c r="H881" s="190" t="n">
        <v>33947.838398548</v>
      </c>
      <c r="I881" s="191" t="n">
        <v>3008290.08004734</v>
      </c>
      <c r="J881" s="192" t="str">
        <f>IF(I881&gt;0,H881/I881,0)</f>
      </c>
      <c r="K881" s="193" t="str">
        <f>1-EXP(-J881)</f>
      </c>
      <c r="L881" s="194" t="str">
        <f>IF(G881=30,1,M880)</f>
      </c>
      <c r="M881" s="195" t="str">
        <f>L881*(1-K881)</f>
      </c>
    </row>
    <row r="882">
      <c r="A882" t="s">
        <v>167</v>
      </c>
      <c r="B882" t="s">
        <v>254</v>
      </c>
      <c r="C882" s="35" t="s">
        <v>418</v>
      </c>
      <c r="D882" t="s">
        <v>502</v>
      </c>
      <c r="E882" t="s">
        <v>520</v>
      </c>
      <c r="F882" s="188" t="n">
        <v>2047</v>
      </c>
      <c r="G882" s="189" t="n">
        <v>30</v>
      </c>
      <c r="H882" s="190" t="n">
        <v>583.789034291915</v>
      </c>
      <c r="I882" s="191" t="n">
        <v>4320594.27817648</v>
      </c>
      <c r="J882" s="192" t="str">
        <f>IF(I882&gt;0,H882/I882,0)</f>
      </c>
      <c r="K882" s="193" t="str">
        <f>1-EXP(-J882)</f>
      </c>
      <c r="L882" s="194" t="str">
        <f>IF(G882=30,1,M881)</f>
      </c>
      <c r="M882" s="195" t="str">
        <f>L882*(1-K882)</f>
      </c>
    </row>
    <row r="883">
      <c r="A883" t="s">
        <v>167</v>
      </c>
      <c r="B883" t="s">
        <v>254</v>
      </c>
      <c r="C883" s="35" t="s">
        <v>418</v>
      </c>
      <c r="D883" t="s">
        <v>502</v>
      </c>
      <c r="E883" t="s">
        <v>520</v>
      </c>
      <c r="F883" s="188" t="n">
        <v>2047</v>
      </c>
      <c r="G883" s="189" t="n">
        <v>31</v>
      </c>
      <c r="H883" s="190" t="n">
        <v>883.77492207702</v>
      </c>
      <c r="I883" s="191" t="n">
        <v>4583394.13389078</v>
      </c>
      <c r="J883" s="192" t="str">
        <f>IF(I883&gt;0,H883/I883,0)</f>
      </c>
      <c r="K883" s="193" t="str">
        <f>1-EXP(-J883)</f>
      </c>
      <c r="L883" s="194" t="str">
        <f>IF(G883=30,1,M882)</f>
      </c>
      <c r="M883" s="195" t="str">
        <f>L883*(1-K883)</f>
      </c>
    </row>
    <row r="884">
      <c r="A884" t="s">
        <v>167</v>
      </c>
      <c r="B884" t="s">
        <v>254</v>
      </c>
      <c r="C884" s="35" t="s">
        <v>418</v>
      </c>
      <c r="D884" t="s">
        <v>502</v>
      </c>
      <c r="E884" t="s">
        <v>520</v>
      </c>
      <c r="F884" s="188" t="n">
        <v>2047</v>
      </c>
      <c r="G884" s="189" t="n">
        <v>32</v>
      </c>
      <c r="H884" s="190" t="n">
        <v>974.611214779218</v>
      </c>
      <c r="I884" s="191" t="n">
        <v>4632240.1665764</v>
      </c>
      <c r="J884" s="192" t="str">
        <f>IF(I884&gt;0,H884/I884,0)</f>
      </c>
      <c r="K884" s="193" t="str">
        <f>1-EXP(-J884)</f>
      </c>
      <c r="L884" s="194" t="str">
        <f>IF(G884=30,1,M883)</f>
      </c>
      <c r="M884" s="195" t="str">
        <f>L884*(1-K884)</f>
      </c>
    </row>
    <row r="885">
      <c r="A885" t="s">
        <v>167</v>
      </c>
      <c r="B885" t="s">
        <v>254</v>
      </c>
      <c r="C885" s="35" t="s">
        <v>418</v>
      </c>
      <c r="D885" t="s">
        <v>502</v>
      </c>
      <c r="E885" t="s">
        <v>520</v>
      </c>
      <c r="F885" s="188" t="n">
        <v>2047</v>
      </c>
      <c r="G885" s="189" t="n">
        <v>33</v>
      </c>
      <c r="H885" s="190" t="n">
        <v>1048.05857904221</v>
      </c>
      <c r="I885" s="191" t="n">
        <v>4698528.45338793</v>
      </c>
      <c r="J885" s="192" t="str">
        <f>IF(I885&gt;0,H885/I885,0)</f>
      </c>
      <c r="K885" s="193" t="str">
        <f>1-EXP(-J885)</f>
      </c>
      <c r="L885" s="194" t="str">
        <f>IF(G885=30,1,M884)</f>
      </c>
      <c r="M885" s="195" t="str">
        <f>L885*(1-K885)</f>
      </c>
    </row>
    <row r="886">
      <c r="A886" t="s">
        <v>167</v>
      </c>
      <c r="B886" t="s">
        <v>254</v>
      </c>
      <c r="C886" s="35" t="s">
        <v>418</v>
      </c>
      <c r="D886" t="s">
        <v>502</v>
      </c>
      <c r="E886" t="s">
        <v>520</v>
      </c>
      <c r="F886" s="188" t="n">
        <v>2047</v>
      </c>
      <c r="G886" s="189" t="n">
        <v>34</v>
      </c>
      <c r="H886" s="190" t="n">
        <v>1133.52584006036</v>
      </c>
      <c r="I886" s="191" t="n">
        <v>4766131.63149479</v>
      </c>
      <c r="J886" s="192" t="str">
        <f>IF(I886&gt;0,H886/I886,0)</f>
      </c>
      <c r="K886" s="193" t="str">
        <f>1-EXP(-J886)</f>
      </c>
      <c r="L886" s="194" t="str">
        <f>IF(G886=30,1,M885)</f>
      </c>
      <c r="M886" s="195" t="str">
        <f>L886*(1-K886)</f>
      </c>
    </row>
    <row r="887">
      <c r="A887" t="s">
        <v>167</v>
      </c>
      <c r="B887" t="s">
        <v>254</v>
      </c>
      <c r="C887" s="35" t="s">
        <v>418</v>
      </c>
      <c r="D887" t="s">
        <v>502</v>
      </c>
      <c r="E887" t="s">
        <v>520</v>
      </c>
      <c r="F887" s="188" t="n">
        <v>2047</v>
      </c>
      <c r="G887" s="189" t="n">
        <v>35</v>
      </c>
      <c r="H887" s="190" t="n">
        <v>1569.74737124722</v>
      </c>
      <c r="I887" s="191" t="n">
        <v>4877814.50837228</v>
      </c>
      <c r="J887" s="192" t="str">
        <f>IF(I887&gt;0,H887/I887,0)</f>
      </c>
      <c r="K887" s="193" t="str">
        <f>1-EXP(-J887)</f>
      </c>
      <c r="L887" s="194" t="str">
        <f>IF(G887=30,1,M886)</f>
      </c>
      <c r="M887" s="195" t="str">
        <f>L887*(1-K887)</f>
      </c>
    </row>
    <row r="888">
      <c r="A888" t="s">
        <v>167</v>
      </c>
      <c r="B888" t="s">
        <v>254</v>
      </c>
      <c r="C888" s="35" t="s">
        <v>418</v>
      </c>
      <c r="D888" t="s">
        <v>502</v>
      </c>
      <c r="E888" t="s">
        <v>520</v>
      </c>
      <c r="F888" s="188" t="n">
        <v>2047</v>
      </c>
      <c r="G888" s="189" t="n">
        <v>36</v>
      </c>
      <c r="H888" s="190" t="n">
        <v>1826.16139062331</v>
      </c>
      <c r="I888" s="191" t="n">
        <v>4848511.02963654</v>
      </c>
      <c r="J888" s="192" t="str">
        <f>IF(I888&gt;0,H888/I888,0)</f>
      </c>
      <c r="K888" s="193" t="str">
        <f>1-EXP(-J888)</f>
      </c>
      <c r="L888" s="194" t="str">
        <f>IF(G888=30,1,M887)</f>
      </c>
      <c r="M888" s="195" t="str">
        <f>L888*(1-K888)</f>
      </c>
    </row>
    <row r="889">
      <c r="A889" t="s">
        <v>167</v>
      </c>
      <c r="B889" t="s">
        <v>254</v>
      </c>
      <c r="C889" s="35" t="s">
        <v>418</v>
      </c>
      <c r="D889" t="s">
        <v>502</v>
      </c>
      <c r="E889" t="s">
        <v>520</v>
      </c>
      <c r="F889" s="188" t="n">
        <v>2047</v>
      </c>
      <c r="G889" s="189" t="n">
        <v>37</v>
      </c>
      <c r="H889" s="190" t="n">
        <v>1909.56224941011</v>
      </c>
      <c r="I889" s="191" t="n">
        <v>4714048.35061009</v>
      </c>
      <c r="J889" s="192" t="str">
        <f>IF(I889&gt;0,H889/I889,0)</f>
      </c>
      <c r="K889" s="193" t="str">
        <f>1-EXP(-J889)</f>
      </c>
      <c r="L889" s="194" t="str">
        <f>IF(G889=30,1,M888)</f>
      </c>
      <c r="M889" s="195" t="str">
        <f>L889*(1-K889)</f>
      </c>
    </row>
    <row r="890">
      <c r="A890" t="s">
        <v>167</v>
      </c>
      <c r="B890" t="s">
        <v>254</v>
      </c>
      <c r="C890" s="35" t="s">
        <v>418</v>
      </c>
      <c r="D890" t="s">
        <v>502</v>
      </c>
      <c r="E890" t="s">
        <v>520</v>
      </c>
      <c r="F890" s="188" t="n">
        <v>2047</v>
      </c>
      <c r="G890" s="189" t="n">
        <v>38</v>
      </c>
      <c r="H890" s="190" t="n">
        <v>2029.75958526632</v>
      </c>
      <c r="I890" s="191" t="n">
        <v>4641889.6761964</v>
      </c>
      <c r="J890" s="192" t="str">
        <f>IF(I890&gt;0,H890/I890,0)</f>
      </c>
      <c r="K890" s="193" t="str">
        <f>1-EXP(-J890)</f>
      </c>
      <c r="L890" s="194" t="str">
        <f>IF(G890=30,1,M889)</f>
      </c>
      <c r="M890" s="195" t="str">
        <f>L890*(1-K890)</f>
      </c>
    </row>
    <row r="891">
      <c r="A891" t="s">
        <v>167</v>
      </c>
      <c r="B891" t="s">
        <v>254</v>
      </c>
      <c r="C891" s="35" t="s">
        <v>418</v>
      </c>
      <c r="D891" t="s">
        <v>502</v>
      </c>
      <c r="E891" t="s">
        <v>520</v>
      </c>
      <c r="F891" s="188" t="n">
        <v>2047</v>
      </c>
      <c r="G891" s="189" t="n">
        <v>39</v>
      </c>
      <c r="H891" s="190" t="n">
        <v>2176.62416871942</v>
      </c>
      <c r="I891" s="191" t="n">
        <v>4597259.72078251</v>
      </c>
      <c r="J891" s="192" t="str">
        <f>IF(I891&gt;0,H891/I891,0)</f>
      </c>
      <c r="K891" s="193" t="str">
        <f>1-EXP(-J891)</f>
      </c>
      <c r="L891" s="194" t="str">
        <f>IF(G891=30,1,M890)</f>
      </c>
      <c r="M891" s="195" t="str">
        <f>L891*(1-K891)</f>
      </c>
    </row>
    <row r="892">
      <c r="A892" t="s">
        <v>167</v>
      </c>
      <c r="B892" t="s">
        <v>254</v>
      </c>
      <c r="C892" s="35" t="s">
        <v>418</v>
      </c>
      <c r="D892" t="s">
        <v>502</v>
      </c>
      <c r="E892" t="s">
        <v>520</v>
      </c>
      <c r="F892" s="188" t="n">
        <v>2047</v>
      </c>
      <c r="G892" s="189" t="n">
        <v>40</v>
      </c>
      <c r="H892" s="190" t="n">
        <v>3017.19272736972</v>
      </c>
      <c r="I892" s="191" t="n">
        <v>4619773.67996887</v>
      </c>
      <c r="J892" s="192" t="str">
        <f>IF(I892&gt;0,H892/I892,0)</f>
      </c>
      <c r="K892" s="193" t="str">
        <f>1-EXP(-J892)</f>
      </c>
      <c r="L892" s="194" t="str">
        <f>IF(G892=30,1,M891)</f>
      </c>
      <c r="M892" s="195" t="str">
        <f>L892*(1-K892)</f>
      </c>
    </row>
    <row r="893">
      <c r="A893" t="s">
        <v>167</v>
      </c>
      <c r="B893" t="s">
        <v>254</v>
      </c>
      <c r="C893" s="35" t="s">
        <v>418</v>
      </c>
      <c r="D893" t="s">
        <v>502</v>
      </c>
      <c r="E893" t="s">
        <v>520</v>
      </c>
      <c r="F893" s="188" t="n">
        <v>2047</v>
      </c>
      <c r="G893" s="189" t="n">
        <v>41</v>
      </c>
      <c r="H893" s="190" t="n">
        <v>3304.88264003561</v>
      </c>
      <c r="I893" s="191" t="n">
        <v>4533596.91813241</v>
      </c>
      <c r="J893" s="192" t="str">
        <f>IF(I893&gt;0,H893/I893,0)</f>
      </c>
      <c r="K893" s="193" t="str">
        <f>1-EXP(-J893)</f>
      </c>
      <c r="L893" s="194" t="str">
        <f>IF(G893=30,1,M892)</f>
      </c>
      <c r="M893" s="195" t="str">
        <f>L893*(1-K893)</f>
      </c>
    </row>
    <row r="894">
      <c r="A894" t="s">
        <v>167</v>
      </c>
      <c r="B894" t="s">
        <v>254</v>
      </c>
      <c r="C894" s="35" t="s">
        <v>418</v>
      </c>
      <c r="D894" t="s">
        <v>502</v>
      </c>
      <c r="E894" t="s">
        <v>520</v>
      </c>
      <c r="F894" s="188" t="n">
        <v>2047</v>
      </c>
      <c r="G894" s="189" t="n">
        <v>42</v>
      </c>
      <c r="H894" s="190" t="n">
        <v>3538.97493071677</v>
      </c>
      <c r="I894" s="191" t="n">
        <v>4469239.29191748</v>
      </c>
      <c r="J894" s="192" t="str">
        <f>IF(I894&gt;0,H894/I894,0)</f>
      </c>
      <c r="K894" s="193" t="str">
        <f>1-EXP(-J894)</f>
      </c>
      <c r="L894" s="194" t="str">
        <f>IF(G894=30,1,M893)</f>
      </c>
      <c r="M894" s="195" t="str">
        <f>L894*(1-K894)</f>
      </c>
    </row>
    <row r="895">
      <c r="A895" t="s">
        <v>167</v>
      </c>
      <c r="B895" t="s">
        <v>254</v>
      </c>
      <c r="C895" s="35" t="s">
        <v>418</v>
      </c>
      <c r="D895" t="s">
        <v>502</v>
      </c>
      <c r="E895" t="s">
        <v>520</v>
      </c>
      <c r="F895" s="188" t="n">
        <v>2047</v>
      </c>
      <c r="G895" s="189" t="n">
        <v>43</v>
      </c>
      <c r="H895" s="190" t="n">
        <v>3740.90419253329</v>
      </c>
      <c r="I895" s="191" t="n">
        <v>4337810.93518805</v>
      </c>
      <c r="J895" s="192" t="str">
        <f>IF(I895&gt;0,H895/I895,0)</f>
      </c>
      <c r="K895" s="193" t="str">
        <f>1-EXP(-J895)</f>
      </c>
      <c r="L895" s="194" t="str">
        <f>IF(G895=30,1,M894)</f>
      </c>
      <c r="M895" s="195" t="str">
        <f>L895*(1-K895)</f>
      </c>
    </row>
    <row r="896">
      <c r="A896" t="s">
        <v>167</v>
      </c>
      <c r="B896" t="s">
        <v>254</v>
      </c>
      <c r="C896" s="35" t="s">
        <v>418</v>
      </c>
      <c r="D896" t="s">
        <v>502</v>
      </c>
      <c r="E896" t="s">
        <v>520</v>
      </c>
      <c r="F896" s="188" t="n">
        <v>2047</v>
      </c>
      <c r="G896" s="189" t="n">
        <v>44</v>
      </c>
      <c r="H896" s="190" t="n">
        <v>4018.19878558448</v>
      </c>
      <c r="I896" s="191" t="n">
        <v>4267940.3421468</v>
      </c>
      <c r="J896" s="192" t="str">
        <f>IF(I896&gt;0,H896/I896,0)</f>
      </c>
      <c r="K896" s="193" t="str">
        <f>1-EXP(-J896)</f>
      </c>
      <c r="L896" s="194" t="str">
        <f>IF(G896=30,1,M895)</f>
      </c>
      <c r="M896" s="195" t="str">
        <f>L896*(1-K896)</f>
      </c>
    </row>
    <row r="897">
      <c r="A897" t="s">
        <v>167</v>
      </c>
      <c r="B897" t="s">
        <v>254</v>
      </c>
      <c r="C897" s="35" t="s">
        <v>418</v>
      </c>
      <c r="D897" t="s">
        <v>502</v>
      </c>
      <c r="E897" t="s">
        <v>520</v>
      </c>
      <c r="F897" s="188" t="n">
        <v>2047</v>
      </c>
      <c r="G897" s="189" t="n">
        <v>45</v>
      </c>
      <c r="H897" s="190" t="n">
        <v>5319.51995560269</v>
      </c>
      <c r="I897" s="191" t="n">
        <v>4238510.87638798</v>
      </c>
      <c r="J897" s="192" t="str">
        <f>IF(I897&gt;0,H897/I897,0)</f>
      </c>
      <c r="K897" s="193" t="str">
        <f>1-EXP(-J897)</f>
      </c>
      <c r="L897" s="194" t="str">
        <f>IF(G897=30,1,M896)</f>
      </c>
      <c r="M897" s="195" t="str">
        <f>L897*(1-K897)</f>
      </c>
    </row>
    <row r="898">
      <c r="A898" t="s">
        <v>167</v>
      </c>
      <c r="B898" t="s">
        <v>254</v>
      </c>
      <c r="C898" s="35" t="s">
        <v>418</v>
      </c>
      <c r="D898" t="s">
        <v>502</v>
      </c>
      <c r="E898" t="s">
        <v>520</v>
      </c>
      <c r="F898" s="188" t="n">
        <v>2047</v>
      </c>
      <c r="G898" s="189" t="n">
        <v>46</v>
      </c>
      <c r="H898" s="190" t="n">
        <v>5828.45837325508</v>
      </c>
      <c r="I898" s="191" t="n">
        <v>4210682.60463065</v>
      </c>
      <c r="J898" s="192" t="str">
        <f>IF(I898&gt;0,H898/I898,0)</f>
      </c>
      <c r="K898" s="193" t="str">
        <f>1-EXP(-J898)</f>
      </c>
      <c r="L898" s="194" t="str">
        <f>IF(G898=30,1,M897)</f>
      </c>
      <c r="M898" s="195" t="str">
        <f>L898*(1-K898)</f>
      </c>
    </row>
    <row r="899">
      <c r="A899" t="s">
        <v>167</v>
      </c>
      <c r="B899" t="s">
        <v>254</v>
      </c>
      <c r="C899" s="35" t="s">
        <v>418</v>
      </c>
      <c r="D899" t="s">
        <v>502</v>
      </c>
      <c r="E899" t="s">
        <v>520</v>
      </c>
      <c r="F899" s="188" t="n">
        <v>2047</v>
      </c>
      <c r="G899" s="189" t="n">
        <v>47</v>
      </c>
      <c r="H899" s="190" t="n">
        <v>6352.32670353397</v>
      </c>
      <c r="I899" s="191" t="n">
        <v>4182475.923631</v>
      </c>
      <c r="J899" s="192" t="str">
        <f>IF(I899&gt;0,H899/I899,0)</f>
      </c>
      <c r="K899" s="193" t="str">
        <f>1-EXP(-J899)</f>
      </c>
      <c r="L899" s="194" t="str">
        <f>IF(G899=30,1,M898)</f>
      </c>
      <c r="M899" s="195" t="str">
        <f>L899*(1-K899)</f>
      </c>
    </row>
    <row r="900">
      <c r="A900" t="s">
        <v>167</v>
      </c>
      <c r="B900" t="s">
        <v>254</v>
      </c>
      <c r="C900" s="35" t="s">
        <v>418</v>
      </c>
      <c r="D900" t="s">
        <v>502</v>
      </c>
      <c r="E900" t="s">
        <v>520</v>
      </c>
      <c r="F900" s="188" t="n">
        <v>2047</v>
      </c>
      <c r="G900" s="189" t="n">
        <v>48</v>
      </c>
      <c r="H900" s="190" t="n">
        <v>6997.91570950192</v>
      </c>
      <c r="I900" s="191" t="n">
        <v>4191749.42568164</v>
      </c>
      <c r="J900" s="192" t="str">
        <f>IF(I900&gt;0,H900/I900,0)</f>
      </c>
      <c r="K900" s="193" t="str">
        <f>1-EXP(-J900)</f>
      </c>
      <c r="L900" s="194" t="str">
        <f>IF(G900=30,1,M899)</f>
      </c>
      <c r="M900" s="195" t="str">
        <f>L900*(1-K900)</f>
      </c>
    </row>
    <row r="901">
      <c r="A901" t="s">
        <v>167</v>
      </c>
      <c r="B901" t="s">
        <v>254</v>
      </c>
      <c r="C901" s="35" t="s">
        <v>418</v>
      </c>
      <c r="D901" t="s">
        <v>502</v>
      </c>
      <c r="E901" t="s">
        <v>520</v>
      </c>
      <c r="F901" s="188" t="n">
        <v>2047</v>
      </c>
      <c r="G901" s="189" t="n">
        <v>49</v>
      </c>
      <c r="H901" s="190" t="n">
        <v>7783.68194564756</v>
      </c>
      <c r="I901" s="191" t="n">
        <v>4237545.97082758</v>
      </c>
      <c r="J901" s="192" t="str">
        <f>IF(I901&gt;0,H901/I901,0)</f>
      </c>
      <c r="K901" s="193" t="str">
        <f>1-EXP(-J901)</f>
      </c>
      <c r="L901" s="194" t="str">
        <f>IF(G901=30,1,M900)</f>
      </c>
      <c r="M901" s="195" t="str">
        <f>L901*(1-K901)</f>
      </c>
    </row>
    <row r="902">
      <c r="A902" t="s">
        <v>167</v>
      </c>
      <c r="B902" t="s">
        <v>254</v>
      </c>
      <c r="C902" s="35" t="s">
        <v>418</v>
      </c>
      <c r="D902" t="s">
        <v>502</v>
      </c>
      <c r="E902" t="s">
        <v>520</v>
      </c>
      <c r="F902" s="188" t="n">
        <v>2047</v>
      </c>
      <c r="G902" s="189" t="n">
        <v>50</v>
      </c>
      <c r="H902" s="190" t="n">
        <v>9356.60456111538</v>
      </c>
      <c r="I902" s="191" t="n">
        <v>4354857.72009066</v>
      </c>
      <c r="J902" s="192" t="str">
        <f>IF(I902&gt;0,H902/I902,0)</f>
      </c>
      <c r="K902" s="193" t="str">
        <f>1-EXP(-J902)</f>
      </c>
      <c r="L902" s="194" t="str">
        <f>IF(G902=30,1,M901)</f>
      </c>
      <c r="M902" s="195" t="str">
        <f>L902*(1-K902)</f>
      </c>
    </row>
    <row r="903">
      <c r="A903" t="s">
        <v>167</v>
      </c>
      <c r="B903" t="s">
        <v>254</v>
      </c>
      <c r="C903" s="35" t="s">
        <v>418</v>
      </c>
      <c r="D903" t="s">
        <v>502</v>
      </c>
      <c r="E903" t="s">
        <v>520</v>
      </c>
      <c r="F903" s="188" t="n">
        <v>2047</v>
      </c>
      <c r="G903" s="189" t="n">
        <v>51</v>
      </c>
      <c r="H903" s="190" t="n">
        <v>10090.008917622</v>
      </c>
      <c r="I903" s="191" t="n">
        <v>4297534.87848063</v>
      </c>
      <c r="J903" s="192" t="str">
        <f>IF(I903&gt;0,H903/I903,0)</f>
      </c>
      <c r="K903" s="193" t="str">
        <f>1-EXP(-J903)</f>
      </c>
      <c r="L903" s="194" t="str">
        <f>IF(G903=30,1,M902)</f>
      </c>
      <c r="M903" s="195" t="str">
        <f>L903*(1-K903)</f>
      </c>
    </row>
    <row r="904">
      <c r="A904" t="s">
        <v>167</v>
      </c>
      <c r="B904" t="s">
        <v>254</v>
      </c>
      <c r="C904" s="35" t="s">
        <v>418</v>
      </c>
      <c r="D904" t="s">
        <v>502</v>
      </c>
      <c r="E904" t="s">
        <v>520</v>
      </c>
      <c r="F904" s="188" t="n">
        <v>2047</v>
      </c>
      <c r="G904" s="189" t="n">
        <v>52</v>
      </c>
      <c r="H904" s="190" t="n">
        <v>10822.3283221232</v>
      </c>
      <c r="I904" s="191" t="n">
        <v>4210728.47784285</v>
      </c>
      <c r="J904" s="192" t="str">
        <f>IF(I904&gt;0,H904/I904,0)</f>
      </c>
      <c r="K904" s="193" t="str">
        <f>1-EXP(-J904)</f>
      </c>
      <c r="L904" s="194" t="str">
        <f>IF(G904=30,1,M903)</f>
      </c>
      <c r="M904" s="195" t="str">
        <f>L904*(1-K904)</f>
      </c>
    </row>
    <row r="905">
      <c r="A905" t="s">
        <v>167</v>
      </c>
      <c r="B905" t="s">
        <v>254</v>
      </c>
      <c r="C905" s="35" t="s">
        <v>418</v>
      </c>
      <c r="D905" t="s">
        <v>502</v>
      </c>
      <c r="E905" t="s">
        <v>520</v>
      </c>
      <c r="F905" s="188" t="n">
        <v>2047</v>
      </c>
      <c r="G905" s="189" t="n">
        <v>53</v>
      </c>
      <c r="H905" s="190" t="n">
        <v>11617.6628724909</v>
      </c>
      <c r="I905" s="191" t="n">
        <v>4137629.45551845</v>
      </c>
      <c r="J905" s="192" t="str">
        <f>IF(I905&gt;0,H905/I905,0)</f>
      </c>
      <c r="K905" s="193" t="str">
        <f>1-EXP(-J905)</f>
      </c>
      <c r="L905" s="194" t="str">
        <f>IF(G905=30,1,M904)</f>
      </c>
      <c r="M905" s="195" t="str">
        <f>L905*(1-K905)</f>
      </c>
    </row>
    <row r="906">
      <c r="A906" t="s">
        <v>167</v>
      </c>
      <c r="B906" t="s">
        <v>254</v>
      </c>
      <c r="C906" s="35" t="s">
        <v>418</v>
      </c>
      <c r="D906" t="s">
        <v>502</v>
      </c>
      <c r="E906" t="s">
        <v>520</v>
      </c>
      <c r="F906" s="188" t="n">
        <v>2047</v>
      </c>
      <c r="G906" s="189" t="n">
        <v>54</v>
      </c>
      <c r="H906" s="190" t="n">
        <v>12451.484056526</v>
      </c>
      <c r="I906" s="191" t="n">
        <v>4066590.51993139</v>
      </c>
      <c r="J906" s="192" t="str">
        <f>IF(I906&gt;0,H906/I906,0)</f>
      </c>
      <c r="K906" s="193" t="str">
        <f>1-EXP(-J906)</f>
      </c>
      <c r="L906" s="194" t="str">
        <f>IF(G906=30,1,M905)</f>
      </c>
      <c r="M906" s="195" t="str">
        <f>L906*(1-K906)</f>
      </c>
    </row>
    <row r="907">
      <c r="A907" t="s">
        <v>167</v>
      </c>
      <c r="B907" t="s">
        <v>254</v>
      </c>
      <c r="C907" s="35" t="s">
        <v>418</v>
      </c>
      <c r="D907" t="s">
        <v>502</v>
      </c>
      <c r="E907" t="s">
        <v>520</v>
      </c>
      <c r="F907" s="188" t="n">
        <v>2047</v>
      </c>
      <c r="G907" s="189" t="n">
        <v>55</v>
      </c>
      <c r="H907" s="190" t="n">
        <v>13343.324286959</v>
      </c>
      <c r="I907" s="191" t="n">
        <v>4079979.76587363</v>
      </c>
      <c r="J907" s="192" t="str">
        <f>IF(I907&gt;0,H907/I907,0)</f>
      </c>
      <c r="K907" s="193" t="str">
        <f>1-EXP(-J907)</f>
      </c>
      <c r="L907" s="194" t="str">
        <f>IF(G907=30,1,M906)</f>
      </c>
      <c r="M907" s="195" t="str">
        <f>L907*(1-K907)</f>
      </c>
    </row>
    <row r="908">
      <c r="A908" t="s">
        <v>167</v>
      </c>
      <c r="B908" t="s">
        <v>254</v>
      </c>
      <c r="C908" s="35" t="s">
        <v>418</v>
      </c>
      <c r="D908" t="s">
        <v>502</v>
      </c>
      <c r="E908" t="s">
        <v>520</v>
      </c>
      <c r="F908" s="188" t="n">
        <v>2047</v>
      </c>
      <c r="G908" s="189" t="n">
        <v>56</v>
      </c>
      <c r="H908" s="190" t="n">
        <v>14441.0806136942</v>
      </c>
      <c r="I908" s="191" t="n">
        <v>4072309.22722917</v>
      </c>
      <c r="J908" s="192" t="str">
        <f>IF(I908&gt;0,H908/I908,0)</f>
      </c>
      <c r="K908" s="193" t="str">
        <f>1-EXP(-J908)</f>
      </c>
      <c r="L908" s="194" t="str">
        <f>IF(G908=30,1,M907)</f>
      </c>
      <c r="M908" s="195" t="str">
        <f>L908*(1-K908)</f>
      </c>
    </row>
    <row r="909">
      <c r="A909" t="s">
        <v>167</v>
      </c>
      <c r="B909" t="s">
        <v>254</v>
      </c>
      <c r="C909" s="35" t="s">
        <v>418</v>
      </c>
      <c r="D909" t="s">
        <v>502</v>
      </c>
      <c r="E909" t="s">
        <v>520</v>
      </c>
      <c r="F909" s="188" t="n">
        <v>2047</v>
      </c>
      <c r="G909" s="189" t="n">
        <v>57</v>
      </c>
      <c r="H909" s="190" t="n">
        <v>21032.458951832</v>
      </c>
      <c r="I909" s="191" t="n">
        <v>5987465.74802043</v>
      </c>
      <c r="J909" s="192" t="str">
        <f>IF(I909&gt;0,H909/I909,0)</f>
      </c>
      <c r="K909" s="193" t="str">
        <f>1-EXP(-J909)</f>
      </c>
      <c r="L909" s="194" t="str">
        <f>IF(G909=30,1,M908)</f>
      </c>
      <c r="M909" s="195" t="str">
        <f>L909*(1-K909)</f>
      </c>
    </row>
    <row r="910">
      <c r="A910" t="s">
        <v>167</v>
      </c>
      <c r="B910" t="s">
        <v>254</v>
      </c>
      <c r="C910" s="35" t="s">
        <v>418</v>
      </c>
      <c r="D910" t="s">
        <v>502</v>
      </c>
      <c r="E910" t="s">
        <v>520</v>
      </c>
      <c r="F910" s="188" t="n">
        <v>2047</v>
      </c>
      <c r="G910" s="189" t="n">
        <v>58</v>
      </c>
      <c r="H910" s="190" t="n">
        <v>16838.7659861184</v>
      </c>
      <c r="I910" s="191" t="n">
        <v>3978753.81289892</v>
      </c>
      <c r="J910" s="192" t="str">
        <f>IF(I910&gt;0,H910/I910,0)</f>
      </c>
      <c r="K910" s="193" t="str">
        <f>1-EXP(-J910)</f>
      </c>
      <c r="L910" s="194" t="str">
        <f>IF(G910=30,1,M909)</f>
      </c>
      <c r="M910" s="195" t="str">
        <f>L910*(1-K910)</f>
      </c>
    </row>
    <row r="911">
      <c r="A911" t="s">
        <v>167</v>
      </c>
      <c r="B911" t="s">
        <v>254</v>
      </c>
      <c r="C911" s="35" t="s">
        <v>418</v>
      </c>
      <c r="D911" t="s">
        <v>502</v>
      </c>
      <c r="E911" t="s">
        <v>520</v>
      </c>
      <c r="F911" s="188" t="n">
        <v>2047</v>
      </c>
      <c r="G911" s="189" t="n">
        <v>59</v>
      </c>
      <c r="H911" s="190" t="n">
        <v>18234.6572857654</v>
      </c>
      <c r="I911" s="191" t="n">
        <v>3932242.4618753</v>
      </c>
      <c r="J911" s="192" t="str">
        <f>IF(I911&gt;0,H911/I911,0)</f>
      </c>
      <c r="K911" s="193" t="str">
        <f>1-EXP(-J911)</f>
      </c>
      <c r="L911" s="194" t="str">
        <f>IF(G911=30,1,M910)</f>
      </c>
      <c r="M911" s="195" t="str">
        <f>L911*(1-K911)</f>
      </c>
    </row>
    <row r="912">
      <c r="A912" t="s">
        <v>167</v>
      </c>
      <c r="B912" t="s">
        <v>254</v>
      </c>
      <c r="C912" s="35" t="s">
        <v>418</v>
      </c>
      <c r="D912" t="s">
        <v>502</v>
      </c>
      <c r="E912" t="s">
        <v>520</v>
      </c>
      <c r="F912" s="188" t="n">
        <v>2047</v>
      </c>
      <c r="G912" s="189" t="n">
        <v>60</v>
      </c>
      <c r="H912" s="190" t="n">
        <v>18923.6490099939</v>
      </c>
      <c r="I912" s="191" t="n">
        <v>3778724.13804286</v>
      </c>
      <c r="J912" s="192" t="str">
        <f>IF(I912&gt;0,H912/I912,0)</f>
      </c>
      <c r="K912" s="193" t="str">
        <f>1-EXP(-J912)</f>
      </c>
      <c r="L912" s="194" t="str">
        <f>IF(G912=30,1,M911)</f>
      </c>
      <c r="M912" s="195" t="str">
        <f>L912*(1-K912)</f>
      </c>
    </row>
    <row r="913">
      <c r="A913" t="s">
        <v>167</v>
      </c>
      <c r="B913" t="s">
        <v>254</v>
      </c>
      <c r="C913" s="35" t="s">
        <v>418</v>
      </c>
      <c r="D913" t="s">
        <v>502</v>
      </c>
      <c r="E913" t="s">
        <v>520</v>
      </c>
      <c r="F913" s="188" t="n">
        <v>2047</v>
      </c>
      <c r="G913" s="189" t="n">
        <v>61</v>
      </c>
      <c r="H913" s="190" t="n">
        <v>20430.8074282899</v>
      </c>
      <c r="I913" s="191" t="n">
        <v>3711822.84742371</v>
      </c>
      <c r="J913" s="192" t="str">
        <f>IF(I913&gt;0,H913/I913,0)</f>
      </c>
      <c r="K913" s="193" t="str">
        <f>1-EXP(-J913)</f>
      </c>
      <c r="L913" s="194" t="str">
        <f>IF(G913=30,1,M912)</f>
      </c>
      <c r="M913" s="195" t="str">
        <f>L913*(1-K913)</f>
      </c>
    </row>
    <row r="914">
      <c r="A914" t="s">
        <v>167</v>
      </c>
      <c r="B914" t="s">
        <v>254</v>
      </c>
      <c r="C914" s="35" t="s">
        <v>418</v>
      </c>
      <c r="D914" t="s">
        <v>502</v>
      </c>
      <c r="E914" t="s">
        <v>520</v>
      </c>
      <c r="F914" s="188" t="n">
        <v>2047</v>
      </c>
      <c r="G914" s="189" t="n">
        <v>62</v>
      </c>
      <c r="H914" s="190" t="n">
        <v>22530.2989732808</v>
      </c>
      <c r="I914" s="191" t="n">
        <v>3725045.80131797</v>
      </c>
      <c r="J914" s="192" t="str">
        <f>IF(I914&gt;0,H914/I914,0)</f>
      </c>
      <c r="K914" s="193" t="str">
        <f>1-EXP(-J914)</f>
      </c>
      <c r="L914" s="194" t="str">
        <f>IF(G914=30,1,M913)</f>
      </c>
      <c r="M914" s="195" t="str">
        <f>L914*(1-K914)</f>
      </c>
    </row>
    <row r="915">
      <c r="A915" t="s">
        <v>167</v>
      </c>
      <c r="B915" t="s">
        <v>254</v>
      </c>
      <c r="C915" s="35" t="s">
        <v>418</v>
      </c>
      <c r="D915" t="s">
        <v>502</v>
      </c>
      <c r="E915" t="s">
        <v>520</v>
      </c>
      <c r="F915" s="188" t="n">
        <v>2047</v>
      </c>
      <c r="G915" s="189" t="n">
        <v>63</v>
      </c>
      <c r="H915" s="190" t="n">
        <v>24959.7554052095</v>
      </c>
      <c r="I915" s="191" t="n">
        <v>3755556.70725884</v>
      </c>
      <c r="J915" s="192" t="str">
        <f>IF(I915&gt;0,H915/I915,0)</f>
      </c>
      <c r="K915" s="193" t="str">
        <f>1-EXP(-J915)</f>
      </c>
      <c r="L915" s="194" t="str">
        <f>IF(G915=30,1,M914)</f>
      </c>
      <c r="M915" s="195" t="str">
        <f>L915*(1-K915)</f>
      </c>
    </row>
    <row r="916">
      <c r="A916" t="s">
        <v>167</v>
      </c>
      <c r="B916" t="s">
        <v>254</v>
      </c>
      <c r="C916" s="35" t="s">
        <v>418</v>
      </c>
      <c r="D916" t="s">
        <v>502</v>
      </c>
      <c r="E916" t="s">
        <v>520</v>
      </c>
      <c r="F916" s="188" t="n">
        <v>2047</v>
      </c>
      <c r="G916" s="189" t="n">
        <v>64</v>
      </c>
      <c r="H916" s="190" t="n">
        <v>26911.6099294021</v>
      </c>
      <c r="I916" s="191" t="n">
        <v>3686491.92506906</v>
      </c>
      <c r="J916" s="192" t="str">
        <f>IF(I916&gt;0,H916/I916,0)</f>
      </c>
      <c r="K916" s="193" t="str">
        <f>1-EXP(-J916)</f>
      </c>
      <c r="L916" s="194" t="str">
        <f>IF(G916=30,1,M915)</f>
      </c>
      <c r="M916" s="195" t="str">
        <f>L916*(1-K916)</f>
      </c>
    </row>
    <row r="917">
      <c r="A917" t="s">
        <v>167</v>
      </c>
      <c r="B917" t="s">
        <v>254</v>
      </c>
      <c r="C917" s="35" t="s">
        <v>418</v>
      </c>
      <c r="D917" t="s">
        <v>502</v>
      </c>
      <c r="E917" t="s">
        <v>520</v>
      </c>
      <c r="F917" s="188" t="n">
        <v>2047</v>
      </c>
      <c r="G917" s="189" t="n">
        <v>65</v>
      </c>
      <c r="H917" s="190" t="n">
        <v>26853.8414739795</v>
      </c>
      <c r="I917" s="191" t="n">
        <v>3517883.92497429</v>
      </c>
      <c r="J917" s="192" t="str">
        <f>IF(I917&gt;0,H917/I917,0)</f>
      </c>
      <c r="K917" s="193" t="str">
        <f>1-EXP(-J917)</f>
      </c>
      <c r="L917" s="194" t="str">
        <f>IF(G917=30,1,M916)</f>
      </c>
      <c r="M917" s="195" t="str">
        <f>L917*(1-K917)</f>
      </c>
    </row>
    <row r="918">
      <c r="A918" t="s">
        <v>167</v>
      </c>
      <c r="B918" t="s">
        <v>254</v>
      </c>
      <c r="C918" s="35" t="s">
        <v>418</v>
      </c>
      <c r="D918" t="s">
        <v>502</v>
      </c>
      <c r="E918" t="s">
        <v>520</v>
      </c>
      <c r="F918" s="188" t="n">
        <v>2047</v>
      </c>
      <c r="G918" s="189" t="n">
        <v>66</v>
      </c>
      <c r="H918" s="190" t="n">
        <v>28474.9378010336</v>
      </c>
      <c r="I918" s="191" t="n">
        <v>3401912.55593965</v>
      </c>
      <c r="J918" s="192" t="str">
        <f>IF(I918&gt;0,H918/I918,0)</f>
      </c>
      <c r="K918" s="193" t="str">
        <f>1-EXP(-J918)</f>
      </c>
      <c r="L918" s="194" t="str">
        <f>IF(G918=30,1,M917)</f>
      </c>
      <c r="M918" s="195" t="str">
        <f>L918*(1-K918)</f>
      </c>
    </row>
    <row r="919">
      <c r="A919" t="s">
        <v>167</v>
      </c>
      <c r="B919" t="s">
        <v>254</v>
      </c>
      <c r="C919" s="35" t="s">
        <v>418</v>
      </c>
      <c r="D919" t="s">
        <v>502</v>
      </c>
      <c r="E919" t="s">
        <v>520</v>
      </c>
      <c r="F919" s="188" t="n">
        <v>2047</v>
      </c>
      <c r="G919" s="189" t="n">
        <v>67</v>
      </c>
      <c r="H919" s="190" t="n">
        <v>30324.8663483795</v>
      </c>
      <c r="I919" s="191" t="n">
        <v>3296004.92963505</v>
      </c>
      <c r="J919" s="192" t="str">
        <f>IF(I919&gt;0,H919/I919,0)</f>
      </c>
      <c r="K919" s="193" t="str">
        <f>1-EXP(-J919)</f>
      </c>
      <c r="L919" s="194" t="str">
        <f>IF(G919=30,1,M918)</f>
      </c>
      <c r="M919" s="195" t="str">
        <f>L919*(1-K919)</f>
      </c>
    </row>
    <row r="920">
      <c r="A920" t="s">
        <v>167</v>
      </c>
      <c r="B920" t="s">
        <v>254</v>
      </c>
      <c r="C920" s="35" t="s">
        <v>418</v>
      </c>
      <c r="D920" t="s">
        <v>502</v>
      </c>
      <c r="E920" t="s">
        <v>520</v>
      </c>
      <c r="F920" s="188" t="n">
        <v>2047</v>
      </c>
      <c r="G920" s="189" t="n">
        <v>68</v>
      </c>
      <c r="H920" s="190" t="n">
        <v>32215.2143103899</v>
      </c>
      <c r="I920" s="191" t="n">
        <v>3182843.07512499</v>
      </c>
      <c r="J920" s="192" t="str">
        <f>IF(I920&gt;0,H920/I920,0)</f>
      </c>
      <c r="K920" s="193" t="str">
        <f>1-EXP(-J920)</f>
      </c>
      <c r="L920" s="194" t="str">
        <f>IF(G920=30,1,M919)</f>
      </c>
      <c r="M920" s="195" t="str">
        <f>L920*(1-K920)</f>
      </c>
    </row>
    <row r="921">
      <c r="A921" t="s">
        <v>167</v>
      </c>
      <c r="B921" t="s">
        <v>254</v>
      </c>
      <c r="C921" s="35" t="s">
        <v>418</v>
      </c>
      <c r="D921" t="s">
        <v>502</v>
      </c>
      <c r="E921" t="s">
        <v>520</v>
      </c>
      <c r="F921" s="188" t="n">
        <v>2047</v>
      </c>
      <c r="G921" s="189" t="n">
        <v>69</v>
      </c>
      <c r="H921" s="190" t="n">
        <v>34011.8804182761</v>
      </c>
      <c r="I921" s="191" t="n">
        <v>3051540.22212581</v>
      </c>
      <c r="J921" s="192" t="str">
        <f>IF(I921&gt;0,H921/I921,0)</f>
      </c>
      <c r="K921" s="193" t="str">
        <f>1-EXP(-J921)</f>
      </c>
      <c r="L921" s="194" t="str">
        <f>IF(G921=30,1,M920)</f>
      </c>
      <c r="M921" s="195" t="str">
        <f>L921*(1-K921)</f>
      </c>
    </row>
    <row r="922">
      <c r="A922" t="s">
        <v>167</v>
      </c>
      <c r="B922" t="s">
        <v>254</v>
      </c>
      <c r="C922" s="35" t="s">
        <v>418</v>
      </c>
      <c r="D922" t="s">
        <v>502</v>
      </c>
      <c r="E922" t="s">
        <v>520</v>
      </c>
      <c r="F922" s="188" t="n">
        <v>2048</v>
      </c>
      <c r="G922" s="189" t="n">
        <v>30</v>
      </c>
      <c r="H922" s="190" t="n">
        <v>578.521742844398</v>
      </c>
      <c r="I922" s="191" t="n">
        <v>4275375.45399998</v>
      </c>
      <c r="J922" s="192" t="str">
        <f>IF(I922&gt;0,H922/I922,0)</f>
      </c>
      <c r="K922" s="193" t="str">
        <f>1-EXP(-J922)</f>
      </c>
      <c r="L922" s="194" t="str">
        <f>IF(G922=30,1,M921)</f>
      </c>
      <c r="M922" s="195" t="str">
        <f>L922*(1-K922)</f>
      </c>
    </row>
    <row r="923">
      <c r="A923" t="s">
        <v>167</v>
      </c>
      <c r="B923" t="s">
        <v>254</v>
      </c>
      <c r="C923" s="35" t="s">
        <v>418</v>
      </c>
      <c r="D923" t="s">
        <v>502</v>
      </c>
      <c r="E923" t="s">
        <v>520</v>
      </c>
      <c r="F923" s="188" t="n">
        <v>2048</v>
      </c>
      <c r="G923" s="189" t="n">
        <v>31</v>
      </c>
      <c r="H923" s="190" t="n">
        <v>802.518900889897</v>
      </c>
      <c r="I923" s="191" t="n">
        <v>4315939.86131153</v>
      </c>
      <c r="J923" s="192" t="str">
        <f>IF(I923&gt;0,H923/I923,0)</f>
      </c>
      <c r="K923" s="193" t="str">
        <f>1-EXP(-J923)</f>
      </c>
      <c r="L923" s="194" t="str">
        <f>IF(G923=30,1,M922)</f>
      </c>
      <c r="M923" s="195" t="str">
        <f>L923*(1-K923)</f>
      </c>
    </row>
    <row r="924">
      <c r="A924" t="s">
        <v>167</v>
      </c>
      <c r="B924" t="s">
        <v>254</v>
      </c>
      <c r="C924" s="35" t="s">
        <v>418</v>
      </c>
      <c r="D924" t="s">
        <v>502</v>
      </c>
      <c r="E924" t="s">
        <v>520</v>
      </c>
      <c r="F924" s="188" t="n">
        <v>2048</v>
      </c>
      <c r="G924" s="189" t="n">
        <v>32</v>
      </c>
      <c r="H924" s="190" t="n">
        <v>932.732626541596</v>
      </c>
      <c r="I924" s="191" t="n">
        <v>4578499.64078176</v>
      </c>
      <c r="J924" s="192" t="str">
        <f>IF(I924&gt;0,H924/I924,0)</f>
      </c>
      <c r="K924" s="193" t="str">
        <f>1-EXP(-J924)</f>
      </c>
      <c r="L924" s="194" t="str">
        <f>IF(G924=30,1,M923)</f>
      </c>
      <c r="M924" s="195" t="str">
        <f>L924*(1-K924)</f>
      </c>
    </row>
    <row r="925">
      <c r="A925" t="s">
        <v>167</v>
      </c>
      <c r="B925" t="s">
        <v>254</v>
      </c>
      <c r="C925" s="35" t="s">
        <v>418</v>
      </c>
      <c r="D925" t="s">
        <v>502</v>
      </c>
      <c r="E925" t="s">
        <v>520</v>
      </c>
      <c r="F925" s="188" t="n">
        <v>2048</v>
      </c>
      <c r="G925" s="189" t="n">
        <v>33</v>
      </c>
      <c r="H925" s="190" t="n">
        <v>1032.66208325893</v>
      </c>
      <c r="I925" s="191" t="n">
        <v>4627058.26317977</v>
      </c>
      <c r="J925" s="192" t="str">
        <f>IF(I925&gt;0,H925/I925,0)</f>
      </c>
      <c r="K925" s="193" t="str">
        <f>1-EXP(-J925)</f>
      </c>
      <c r="L925" s="194" t="str">
        <f>IF(G925=30,1,M924)</f>
      </c>
      <c r="M925" s="195" t="str">
        <f>L925*(1-K925)</f>
      </c>
    </row>
    <row r="926">
      <c r="A926" t="s">
        <v>167</v>
      </c>
      <c r="B926" t="s">
        <v>254</v>
      </c>
      <c r="C926" s="35" t="s">
        <v>418</v>
      </c>
      <c r="D926" t="s">
        <v>502</v>
      </c>
      <c r="E926" t="s">
        <v>520</v>
      </c>
      <c r="F926" s="188" t="n">
        <v>2048</v>
      </c>
      <c r="G926" s="189" t="n">
        <v>34</v>
      </c>
      <c r="H926" s="190" t="n">
        <v>1116.44940295546</v>
      </c>
      <c r="I926" s="191" t="n">
        <v>4693030.56739046</v>
      </c>
      <c r="J926" s="192" t="str">
        <f>IF(I926&gt;0,H926/I926,0)</f>
      </c>
      <c r="K926" s="193" t="str">
        <f>1-EXP(-J926)</f>
      </c>
      <c r="L926" s="194" t="str">
        <f>IF(G926=30,1,M925)</f>
      </c>
      <c r="M926" s="195" t="str">
        <f>L926*(1-K926)</f>
      </c>
    </row>
    <row r="927">
      <c r="A927" t="s">
        <v>167</v>
      </c>
      <c r="B927" t="s">
        <v>254</v>
      </c>
      <c r="C927" s="35" t="s">
        <v>418</v>
      </c>
      <c r="D927" t="s">
        <v>502</v>
      </c>
      <c r="E927" t="s">
        <v>520</v>
      </c>
      <c r="F927" s="188" t="n">
        <v>2048</v>
      </c>
      <c r="G927" s="189" t="n">
        <v>35</v>
      </c>
      <c r="H927" s="190" t="n">
        <v>1468.2072674523</v>
      </c>
      <c r="I927" s="191" t="n">
        <v>4760266.65010698</v>
      </c>
      <c r="J927" s="192" t="str">
        <f>IF(I927&gt;0,H927/I927,0)</f>
      </c>
      <c r="K927" s="193" t="str">
        <f>1-EXP(-J927)</f>
      </c>
      <c r="L927" s="194" t="str">
        <f>IF(G927=30,1,M926)</f>
      </c>
      <c r="M927" s="195" t="str">
        <f>L927*(1-K927)</f>
      </c>
    </row>
    <row r="928">
      <c r="A928" t="s">
        <v>167</v>
      </c>
      <c r="B928" t="s">
        <v>254</v>
      </c>
      <c r="C928" s="35" t="s">
        <v>418</v>
      </c>
      <c r="D928" t="s">
        <v>502</v>
      </c>
      <c r="E928" t="s">
        <v>520</v>
      </c>
      <c r="F928" s="188" t="n">
        <v>2048</v>
      </c>
      <c r="G928" s="189" t="n">
        <v>36</v>
      </c>
      <c r="H928" s="190" t="n">
        <v>1829.34645076936</v>
      </c>
      <c r="I928" s="191" t="n">
        <v>4871104.73814922</v>
      </c>
      <c r="J928" s="192" t="str">
        <f>IF(I928&gt;0,H928/I928,0)</f>
      </c>
      <c r="K928" s="193" t="str">
        <f>1-EXP(-J928)</f>
      </c>
      <c r="L928" s="194" t="str">
        <f>IF(G928=30,1,M927)</f>
      </c>
      <c r="M928" s="195" t="str">
        <f>L928*(1-K928)</f>
      </c>
    </row>
    <row r="929">
      <c r="A929" t="s">
        <v>167</v>
      </c>
      <c r="B929" t="s">
        <v>254</v>
      </c>
      <c r="C929" s="35" t="s">
        <v>418</v>
      </c>
      <c r="D929" t="s">
        <v>502</v>
      </c>
      <c r="E929" t="s">
        <v>520</v>
      </c>
      <c r="F929" s="188" t="n">
        <v>2048</v>
      </c>
      <c r="G929" s="189" t="n">
        <v>37</v>
      </c>
      <c r="H929" s="190" t="n">
        <v>1955.15457143585</v>
      </c>
      <c r="I929" s="191" t="n">
        <v>4841683.57802472</v>
      </c>
      <c r="J929" s="192" t="str">
        <f>IF(I929&gt;0,H929/I929,0)</f>
      </c>
      <c r="K929" s="193" t="str">
        <f>1-EXP(-J929)</f>
      </c>
      <c r="L929" s="194" t="str">
        <f>IF(G929=30,1,M928)</f>
      </c>
      <c r="M929" s="195" t="str">
        <f>L929*(1-K929)</f>
      </c>
    </row>
    <row r="930">
      <c r="A930" t="s">
        <v>167</v>
      </c>
      <c r="B930" t="s">
        <v>254</v>
      </c>
      <c r="C930" s="35" t="s">
        <v>418</v>
      </c>
      <c r="D930" t="s">
        <v>502</v>
      </c>
      <c r="E930" t="s">
        <v>520</v>
      </c>
      <c r="F930" s="188" t="n">
        <v>2048</v>
      </c>
      <c r="G930" s="189" t="n">
        <v>38</v>
      </c>
      <c r="H930" s="190" t="n">
        <v>2051.3106524355</v>
      </c>
      <c r="I930" s="191" t="n">
        <v>4706964.39735699</v>
      </c>
      <c r="J930" s="192" t="str">
        <f>IF(I930&gt;0,H930/I930,0)</f>
      </c>
      <c r="K930" s="193" t="str">
        <f>1-EXP(-J930)</f>
      </c>
      <c r="L930" s="194" t="str">
        <f>IF(G930=30,1,M929)</f>
      </c>
      <c r="M930" s="195" t="str">
        <f>L930*(1-K930)</f>
      </c>
    </row>
    <row r="931">
      <c r="A931" t="s">
        <v>167</v>
      </c>
      <c r="B931" t="s">
        <v>254</v>
      </c>
      <c r="C931" s="35" t="s">
        <v>418</v>
      </c>
      <c r="D931" t="s">
        <v>502</v>
      </c>
      <c r="E931" t="s">
        <v>520</v>
      </c>
      <c r="F931" s="188" t="n">
        <v>2048</v>
      </c>
      <c r="G931" s="189" t="n">
        <v>39</v>
      </c>
      <c r="H931" s="190" t="n">
        <v>2186.34758988534</v>
      </c>
      <c r="I931" s="191" t="n">
        <v>4634415.86063906</v>
      </c>
      <c r="J931" s="192" t="str">
        <f>IF(I931&gt;0,H931/I931,0)</f>
      </c>
      <c r="K931" s="193" t="str">
        <f>1-EXP(-J931)</f>
      </c>
      <c r="L931" s="194" t="str">
        <f>IF(G931=30,1,M930)</f>
      </c>
      <c r="M931" s="195" t="str">
        <f>L931*(1-K931)</f>
      </c>
    </row>
    <row r="932">
      <c r="A932" t="s">
        <v>167</v>
      </c>
      <c r="B932" t="s">
        <v>254</v>
      </c>
      <c r="C932" s="35" t="s">
        <v>418</v>
      </c>
      <c r="D932" t="s">
        <v>502</v>
      </c>
      <c r="E932" t="s">
        <v>520</v>
      </c>
      <c r="F932" s="188" t="n">
        <v>2048</v>
      </c>
      <c r="G932" s="189" t="n">
        <v>40</v>
      </c>
      <c r="H932" s="190" t="n">
        <v>2910.15283245632</v>
      </c>
      <c r="I932" s="191" t="n">
        <v>4589302.80773344</v>
      </c>
      <c r="J932" s="192" t="str">
        <f>IF(I932&gt;0,H932/I932,0)</f>
      </c>
      <c r="K932" s="193" t="str">
        <f>1-EXP(-J932)</f>
      </c>
      <c r="L932" s="194" t="str">
        <f>IF(G932=30,1,M931)</f>
      </c>
      <c r="M932" s="195" t="str">
        <f>L932*(1-K932)</f>
      </c>
    </row>
    <row r="933">
      <c r="A933" t="s">
        <v>167</v>
      </c>
      <c r="B933" t="s">
        <v>254</v>
      </c>
      <c r="C933" s="35" t="s">
        <v>418</v>
      </c>
      <c r="D933" t="s">
        <v>502</v>
      </c>
      <c r="E933" t="s">
        <v>520</v>
      </c>
      <c r="F933" s="188" t="n">
        <v>2048</v>
      </c>
      <c r="G933" s="189" t="n">
        <v>41</v>
      </c>
      <c r="H933" s="190" t="n">
        <v>3345.44307336424</v>
      </c>
      <c r="I933" s="191" t="n">
        <v>4610441.96538756</v>
      </c>
      <c r="J933" s="192" t="str">
        <f>IF(I933&gt;0,H933/I933,0)</f>
      </c>
      <c r="K933" s="193" t="str">
        <f>1-EXP(-J933)</f>
      </c>
      <c r="L933" s="194" t="str">
        <f>IF(G933=30,1,M932)</f>
      </c>
      <c r="M933" s="195" t="str">
        <f>L933*(1-K933)</f>
      </c>
    </row>
    <row r="934">
      <c r="A934" t="s">
        <v>167</v>
      </c>
      <c r="B934" t="s">
        <v>254</v>
      </c>
      <c r="C934" s="35" t="s">
        <v>418</v>
      </c>
      <c r="D934" t="s">
        <v>502</v>
      </c>
      <c r="E934" t="s">
        <v>520</v>
      </c>
      <c r="F934" s="188" t="n">
        <v>2048</v>
      </c>
      <c r="G934" s="189" t="n">
        <v>42</v>
      </c>
      <c r="H934" s="190" t="n">
        <v>3565.24621781198</v>
      </c>
      <c r="I934" s="191" t="n">
        <v>4524358.09235819</v>
      </c>
      <c r="J934" s="192" t="str">
        <f>IF(I934&gt;0,H934/I934,0)</f>
      </c>
      <c r="K934" s="193" t="str">
        <f>1-EXP(-J934)</f>
      </c>
      <c r="L934" s="194" t="str">
        <f>IF(G934=30,1,M933)</f>
      </c>
      <c r="M934" s="195" t="str">
        <f>L934*(1-K934)</f>
      </c>
    </row>
    <row r="935">
      <c r="A935" t="s">
        <v>167</v>
      </c>
      <c r="B935" t="s">
        <v>254</v>
      </c>
      <c r="C935" s="35" t="s">
        <v>418</v>
      </c>
      <c r="D935" t="s">
        <v>502</v>
      </c>
      <c r="E935" t="s">
        <v>520</v>
      </c>
      <c r="F935" s="188" t="n">
        <v>2048</v>
      </c>
      <c r="G935" s="189" t="n">
        <v>43</v>
      </c>
      <c r="H935" s="190" t="n">
        <v>3824.47662786854</v>
      </c>
      <c r="I935" s="191" t="n">
        <v>4459389.95819206</v>
      </c>
      <c r="J935" s="192" t="str">
        <f>IF(I935&gt;0,H935/I935,0)</f>
      </c>
      <c r="K935" s="193" t="str">
        <f>1-EXP(-J935)</f>
      </c>
      <c r="L935" s="194" t="str">
        <f>IF(G935=30,1,M934)</f>
      </c>
      <c r="M935" s="195" t="str">
        <f>L935*(1-K935)</f>
      </c>
    </row>
    <row r="936">
      <c r="A936" t="s">
        <v>167</v>
      </c>
      <c r="B936" t="s">
        <v>254</v>
      </c>
      <c r="C936" s="35" t="s">
        <v>418</v>
      </c>
      <c r="D936" t="s">
        <v>502</v>
      </c>
      <c r="E936" t="s">
        <v>520</v>
      </c>
      <c r="F936" s="188" t="n">
        <v>2048</v>
      </c>
      <c r="G936" s="189" t="n">
        <v>44</v>
      </c>
      <c r="H936" s="190" t="n">
        <v>4050.29422029745</v>
      </c>
      <c r="I936" s="191" t="n">
        <v>4327450.64537079</v>
      </c>
      <c r="J936" s="192" t="str">
        <f>IF(I936&gt;0,H936/I936,0)</f>
      </c>
      <c r="K936" s="193" t="str">
        <f>1-EXP(-J936)</f>
      </c>
      <c r="L936" s="194" t="str">
        <f>IF(G936=30,1,M935)</f>
      </c>
      <c r="M936" s="195" t="str">
        <f>L936*(1-K936)</f>
      </c>
    </row>
    <row r="937">
      <c r="A937" t="s">
        <v>167</v>
      </c>
      <c r="B937" t="s">
        <v>254</v>
      </c>
      <c r="C937" s="35" t="s">
        <v>418</v>
      </c>
      <c r="D937" t="s">
        <v>502</v>
      </c>
      <c r="E937" t="s">
        <v>520</v>
      </c>
      <c r="F937" s="188" t="n">
        <v>2048</v>
      </c>
      <c r="G937" s="189" t="n">
        <v>45</v>
      </c>
      <c r="H937" s="190" t="n">
        <v>5124.95586593268</v>
      </c>
      <c r="I937" s="191" t="n">
        <v>4256869.456604</v>
      </c>
      <c r="J937" s="192" t="str">
        <f>IF(I937&gt;0,H937/I937,0)</f>
      </c>
      <c r="K937" s="193" t="str">
        <f>1-EXP(-J937)</f>
      </c>
      <c r="L937" s="194" t="str">
        <f>IF(G937=30,1,M936)</f>
      </c>
      <c r="M937" s="195" t="str">
        <f>L937*(1-K937)</f>
      </c>
    </row>
    <row r="938">
      <c r="A938" t="s">
        <v>167</v>
      </c>
      <c r="B938" t="s">
        <v>254</v>
      </c>
      <c r="C938" s="35" t="s">
        <v>418</v>
      </c>
      <c r="D938" t="s">
        <v>502</v>
      </c>
      <c r="E938" t="s">
        <v>520</v>
      </c>
      <c r="F938" s="188" t="n">
        <v>2048</v>
      </c>
      <c r="G938" s="189" t="n">
        <v>46</v>
      </c>
      <c r="H938" s="190" t="n">
        <v>5807.01984440397</v>
      </c>
      <c r="I938" s="191" t="n">
        <v>4225521.5154231</v>
      </c>
      <c r="J938" s="192" t="str">
        <f>IF(I938&gt;0,H938/I938,0)</f>
      </c>
      <c r="K938" s="193" t="str">
        <f>1-EXP(-J938)</f>
      </c>
      <c r="L938" s="194" t="str">
        <f>IF(G938=30,1,M937)</f>
      </c>
      <c r="M938" s="195" t="str">
        <f>L938*(1-K938)</f>
      </c>
    </row>
    <row r="939">
      <c r="A939" t="s">
        <v>167</v>
      </c>
      <c r="B939" t="s">
        <v>254</v>
      </c>
      <c r="C939" s="35" t="s">
        <v>418</v>
      </c>
      <c r="D939" t="s">
        <v>502</v>
      </c>
      <c r="E939" t="s">
        <v>520</v>
      </c>
      <c r="F939" s="188" t="n">
        <v>2048</v>
      </c>
      <c r="G939" s="189" t="n">
        <v>47</v>
      </c>
      <c r="H939" s="190" t="n">
        <v>6327.44502731326</v>
      </c>
      <c r="I939" s="191" t="n">
        <v>4197437.88268595</v>
      </c>
      <c r="J939" s="192" t="str">
        <f>IF(I939&gt;0,H939/I939,0)</f>
      </c>
      <c r="K939" s="193" t="str">
        <f>1-EXP(-J939)</f>
      </c>
      <c r="L939" s="194" t="str">
        <f>IF(G939=30,1,M938)</f>
      </c>
      <c r="M939" s="195" t="str">
        <f>L939*(1-K939)</f>
      </c>
    </row>
    <row r="940">
      <c r="A940" t="s">
        <v>167</v>
      </c>
      <c r="B940" t="s">
        <v>254</v>
      </c>
      <c r="C940" s="35" t="s">
        <v>418</v>
      </c>
      <c r="D940" t="s">
        <v>502</v>
      </c>
      <c r="E940" t="s">
        <v>520</v>
      </c>
      <c r="F940" s="188" t="n">
        <v>2048</v>
      </c>
      <c r="G940" s="189" t="n">
        <v>48</v>
      </c>
      <c r="H940" s="190" t="n">
        <v>6906.26782394081</v>
      </c>
      <c r="I940" s="191" t="n">
        <v>4168094.16813395</v>
      </c>
      <c r="J940" s="192" t="str">
        <f>IF(I940&gt;0,H940/I940,0)</f>
      </c>
      <c r="K940" s="193" t="str">
        <f>1-EXP(-J940)</f>
      </c>
      <c r="L940" s="194" t="str">
        <f>IF(G940=30,1,M939)</f>
      </c>
      <c r="M940" s="195" t="str">
        <f>L940*(1-K940)</f>
      </c>
    </row>
    <row r="941">
      <c r="A941" t="s">
        <v>167</v>
      </c>
      <c r="B941" t="s">
        <v>254</v>
      </c>
      <c r="C941" s="35" t="s">
        <v>418</v>
      </c>
      <c r="D941" t="s">
        <v>502</v>
      </c>
      <c r="E941" t="s">
        <v>520</v>
      </c>
      <c r="F941" s="188" t="n">
        <v>2048</v>
      </c>
      <c r="G941" s="189" t="n">
        <v>49</v>
      </c>
      <c r="H941" s="190" t="n">
        <v>7613.81599291824</v>
      </c>
      <c r="I941" s="191" t="n">
        <v>4175961.22779553</v>
      </c>
      <c r="J941" s="192" t="str">
        <f>IF(I941&gt;0,H941/I941,0)</f>
      </c>
      <c r="K941" s="193" t="str">
        <f>1-EXP(-J941)</f>
      </c>
      <c r="L941" s="194" t="str">
        <f>IF(G941=30,1,M940)</f>
      </c>
      <c r="M941" s="195" t="str">
        <f>L941*(1-K941)</f>
      </c>
    </row>
    <row r="942">
      <c r="A942" t="s">
        <v>167</v>
      </c>
      <c r="B942" t="s">
        <v>254</v>
      </c>
      <c r="C942" s="35" t="s">
        <v>418</v>
      </c>
      <c r="D942" t="s">
        <v>502</v>
      </c>
      <c r="E942" t="s">
        <v>520</v>
      </c>
      <c r="F942" s="188" t="n">
        <v>2048</v>
      </c>
      <c r="G942" s="189" t="n">
        <v>50</v>
      </c>
      <c r="H942" s="190" t="n">
        <v>8795.1604768434</v>
      </c>
      <c r="I942" s="191" t="n">
        <v>4220040.1092247</v>
      </c>
      <c r="J942" s="192" t="str">
        <f>IF(I942&gt;0,H942/I942,0)</f>
      </c>
      <c r="K942" s="193" t="str">
        <f>1-EXP(-J942)</f>
      </c>
      <c r="L942" s="194" t="str">
        <f>IF(G942=30,1,M941)</f>
      </c>
      <c r="M942" s="195" t="str">
        <f>L942*(1-K942)</f>
      </c>
    </row>
    <row r="943">
      <c r="A943" t="s">
        <v>167</v>
      </c>
      <c r="B943" t="s">
        <v>254</v>
      </c>
      <c r="C943" s="35" t="s">
        <v>418</v>
      </c>
      <c r="D943" t="s">
        <v>502</v>
      </c>
      <c r="E943" t="s">
        <v>520</v>
      </c>
      <c r="F943" s="188" t="n">
        <v>2048</v>
      </c>
      <c r="G943" s="189" t="n">
        <v>51</v>
      </c>
      <c r="H943" s="190" t="n">
        <v>10094.5217878191</v>
      </c>
      <c r="I943" s="191" t="n">
        <v>4334257.01068447</v>
      </c>
      <c r="J943" s="192" t="str">
        <f>IF(I943&gt;0,H943/I943,0)</f>
      </c>
      <c r="K943" s="193" t="str">
        <f>1-EXP(-J943)</f>
      </c>
      <c r="L943" s="194" t="str">
        <f>IF(G943=30,1,M942)</f>
      </c>
      <c r="M943" s="195" t="str">
        <f>L943*(1-K943)</f>
      </c>
    </row>
    <row r="944">
      <c r="A944" t="s">
        <v>167</v>
      </c>
      <c r="B944" t="s">
        <v>254</v>
      </c>
      <c r="C944" s="35" t="s">
        <v>418</v>
      </c>
      <c r="D944" t="s">
        <v>502</v>
      </c>
      <c r="E944" t="s">
        <v>520</v>
      </c>
      <c r="F944" s="188" t="n">
        <v>2048</v>
      </c>
      <c r="G944" s="189" t="n">
        <v>52</v>
      </c>
      <c r="H944" s="190" t="n">
        <v>10901.082184899</v>
      </c>
      <c r="I944" s="191" t="n">
        <v>4275919.09864386</v>
      </c>
      <c r="J944" s="192" t="str">
        <f>IF(I944&gt;0,H944/I944,0)</f>
      </c>
      <c r="K944" s="193" t="str">
        <f>1-EXP(-J944)</f>
      </c>
      <c r="L944" s="194" t="str">
        <f>IF(G944=30,1,M943)</f>
      </c>
      <c r="M944" s="195" t="str">
        <f>L944*(1-K944)</f>
      </c>
    </row>
    <row r="945">
      <c r="A945" t="s">
        <v>167</v>
      </c>
      <c r="B945" t="s">
        <v>254</v>
      </c>
      <c r="C945" s="35" t="s">
        <v>418</v>
      </c>
      <c r="D945" t="s">
        <v>502</v>
      </c>
      <c r="E945" t="s">
        <v>520</v>
      </c>
      <c r="F945" s="188" t="n">
        <v>2048</v>
      </c>
      <c r="G945" s="189" t="n">
        <v>53</v>
      </c>
      <c r="H945" s="190" t="n">
        <v>11659.5883457676</v>
      </c>
      <c r="I945" s="191" t="n">
        <v>4187557.93387731</v>
      </c>
      <c r="J945" s="192" t="str">
        <f>IF(I945&gt;0,H945/I945,0)</f>
      </c>
      <c r="K945" s="193" t="str">
        <f>1-EXP(-J945)</f>
      </c>
      <c r="L945" s="194" t="str">
        <f>IF(G945=30,1,M944)</f>
      </c>
      <c r="M945" s="195" t="str">
        <f>L945*(1-K945)</f>
      </c>
    </row>
    <row r="946">
      <c r="A946" t="s">
        <v>167</v>
      </c>
      <c r="B946" t="s">
        <v>254</v>
      </c>
      <c r="C946" s="35" t="s">
        <v>418</v>
      </c>
      <c r="D946" t="s">
        <v>502</v>
      </c>
      <c r="E946" t="s">
        <v>520</v>
      </c>
      <c r="F946" s="188" t="n">
        <v>2048</v>
      </c>
      <c r="G946" s="189" t="n">
        <v>54</v>
      </c>
      <c r="H946" s="190" t="n">
        <v>12484.1719933734</v>
      </c>
      <c r="I946" s="191" t="n">
        <v>4112767.63677016</v>
      </c>
      <c r="J946" s="192" t="str">
        <f>IF(I946&gt;0,H946/I946,0)</f>
      </c>
      <c r="K946" s="193" t="str">
        <f>1-EXP(-J946)</f>
      </c>
      <c r="L946" s="194" t="str">
        <f>IF(G946=30,1,M945)</f>
      </c>
      <c r="M946" s="195" t="str">
        <f>L946*(1-K946)</f>
      </c>
    </row>
    <row r="947">
      <c r="A947" t="s">
        <v>167</v>
      </c>
      <c r="B947" t="s">
        <v>254</v>
      </c>
      <c r="C947" s="35" t="s">
        <v>418</v>
      </c>
      <c r="D947" t="s">
        <v>502</v>
      </c>
      <c r="E947" t="s">
        <v>520</v>
      </c>
      <c r="F947" s="188" t="n">
        <v>2048</v>
      </c>
      <c r="G947" s="189" t="n">
        <v>55</v>
      </c>
      <c r="H947" s="190" t="n">
        <v>13096.4819863754</v>
      </c>
      <c r="I947" s="191" t="n">
        <v>4039959.41198476</v>
      </c>
      <c r="J947" s="192" t="str">
        <f>IF(I947&gt;0,H947/I947,0)</f>
      </c>
      <c r="K947" s="193" t="str">
        <f>1-EXP(-J947)</f>
      </c>
      <c r="L947" s="194" t="str">
        <f>IF(G947=30,1,M946)</f>
      </c>
      <c r="M947" s="195" t="str">
        <f>L947*(1-K947)</f>
      </c>
    </row>
    <row r="948">
      <c r="A948" t="s">
        <v>167</v>
      </c>
      <c r="B948" t="s">
        <v>254</v>
      </c>
      <c r="C948" s="35" t="s">
        <v>418</v>
      </c>
      <c r="D948" t="s">
        <v>502</v>
      </c>
      <c r="E948" t="s">
        <v>520</v>
      </c>
      <c r="F948" s="188" t="n">
        <v>2048</v>
      </c>
      <c r="G948" s="189" t="n">
        <v>56</v>
      </c>
      <c r="H948" s="190" t="n">
        <v>14215.6138929017</v>
      </c>
      <c r="I948" s="191" t="n">
        <v>4050884.33370976</v>
      </c>
      <c r="J948" s="192" t="str">
        <f>IF(I948&gt;0,H948/I948,0)</f>
      </c>
      <c r="K948" s="193" t="str">
        <f>1-EXP(-J948)</f>
      </c>
      <c r="L948" s="194" t="str">
        <f>IF(G948=30,1,M947)</f>
      </c>
      <c r="M948" s="195" t="str">
        <f>L948*(1-K948)</f>
      </c>
    </row>
    <row r="949">
      <c r="A949" t="s">
        <v>167</v>
      </c>
      <c r="B949" t="s">
        <v>254</v>
      </c>
      <c r="C949" s="35" t="s">
        <v>418</v>
      </c>
      <c r="D949" t="s">
        <v>502</v>
      </c>
      <c r="E949" t="s">
        <v>520</v>
      </c>
      <c r="F949" s="188" t="n">
        <v>2048</v>
      </c>
      <c r="G949" s="189" t="n">
        <v>57</v>
      </c>
      <c r="H949" s="190" t="n">
        <v>15473.2830389704</v>
      </c>
      <c r="I949" s="191" t="n">
        <v>4040823.46326424</v>
      </c>
      <c r="J949" s="192" t="str">
        <f>IF(I949&gt;0,H949/I949,0)</f>
      </c>
      <c r="K949" s="193" t="str">
        <f>1-EXP(-J949)</f>
      </c>
      <c r="L949" s="194" t="str">
        <f>IF(G949=30,1,M948)</f>
      </c>
      <c r="M949" s="195" t="str">
        <f>L949*(1-K949)</f>
      </c>
    </row>
    <row r="950">
      <c r="A950" t="s">
        <v>167</v>
      </c>
      <c r="B950" t="s">
        <v>254</v>
      </c>
      <c r="C950" s="35" t="s">
        <v>418</v>
      </c>
      <c r="D950" t="s">
        <v>502</v>
      </c>
      <c r="E950" t="s">
        <v>520</v>
      </c>
      <c r="F950" s="188" t="n">
        <v>2048</v>
      </c>
      <c r="G950" s="189" t="n">
        <v>58</v>
      </c>
      <c r="H950" s="190" t="n">
        <v>22524.2592626784</v>
      </c>
      <c r="I950" s="191" t="n">
        <v>5941245.76361441</v>
      </c>
      <c r="J950" s="192" t="str">
        <f>IF(I950&gt;0,H950/I950,0)</f>
      </c>
      <c r="K950" s="193" t="str">
        <f>1-EXP(-J950)</f>
      </c>
      <c r="L950" s="194" t="str">
        <f>IF(G950=30,1,M949)</f>
      </c>
      <c r="M950" s="195" t="str">
        <f>L950*(1-K950)</f>
      </c>
    </row>
    <row r="951">
      <c r="A951" t="s">
        <v>167</v>
      </c>
      <c r="B951" t="s">
        <v>254</v>
      </c>
      <c r="C951" s="35" t="s">
        <v>418</v>
      </c>
      <c r="D951" t="s">
        <v>502</v>
      </c>
      <c r="E951" t="s">
        <v>520</v>
      </c>
      <c r="F951" s="188" t="n">
        <v>2048</v>
      </c>
      <c r="G951" s="189" t="n">
        <v>59</v>
      </c>
      <c r="H951" s="190" t="n">
        <v>18083.0320688174</v>
      </c>
      <c r="I951" s="191" t="n">
        <v>3942176.01209634</v>
      </c>
      <c r="J951" s="192" t="str">
        <f>IF(I951&gt;0,H951/I951,0)</f>
      </c>
      <c r="K951" s="193" t="str">
        <f>1-EXP(-J951)</f>
      </c>
      <c r="L951" s="194" t="str">
        <f>IF(G951=30,1,M950)</f>
      </c>
      <c r="M951" s="195" t="str">
        <f>L951*(1-K951)</f>
      </c>
    </row>
    <row r="952">
      <c r="A952" t="s">
        <v>167</v>
      </c>
      <c r="B952" t="s">
        <v>254</v>
      </c>
      <c r="C952" s="35" t="s">
        <v>418</v>
      </c>
      <c r="D952" t="s">
        <v>502</v>
      </c>
      <c r="E952" t="s">
        <v>520</v>
      </c>
      <c r="F952" s="188" t="n">
        <v>2048</v>
      </c>
      <c r="G952" s="189" t="n">
        <v>60</v>
      </c>
      <c r="H952" s="190" t="n">
        <v>19247.2040348984</v>
      </c>
      <c r="I952" s="191" t="n">
        <v>3892709.06261902</v>
      </c>
      <c r="J952" s="192" t="str">
        <f>IF(I952&gt;0,H952/I952,0)</f>
      </c>
      <c r="K952" s="193" t="str">
        <f>1-EXP(-J952)</f>
      </c>
      <c r="L952" s="194" t="str">
        <f>IF(G952=30,1,M951)</f>
      </c>
      <c r="M952" s="195" t="str">
        <f>L952*(1-K952)</f>
      </c>
    </row>
    <row r="953">
      <c r="A953" t="s">
        <v>167</v>
      </c>
      <c r="B953" t="s">
        <v>254</v>
      </c>
      <c r="C953" s="35" t="s">
        <v>418</v>
      </c>
      <c r="D953" t="s">
        <v>502</v>
      </c>
      <c r="E953" t="s">
        <v>520</v>
      </c>
      <c r="F953" s="188" t="n">
        <v>2048</v>
      </c>
      <c r="G953" s="189" t="n">
        <v>61</v>
      </c>
      <c r="H953" s="190" t="n">
        <v>20324.8097935422</v>
      </c>
      <c r="I953" s="191" t="n">
        <v>3737076.4487666</v>
      </c>
      <c r="J953" s="192" t="str">
        <f>IF(I953&gt;0,H953/I953,0)</f>
      </c>
      <c r="K953" s="193" t="str">
        <f>1-EXP(-J953)</f>
      </c>
      <c r="L953" s="194" t="str">
        <f>IF(G953=30,1,M952)</f>
      </c>
      <c r="M953" s="195" t="str">
        <f>L953*(1-K953)</f>
      </c>
    </row>
    <row r="954">
      <c r="A954" t="s">
        <v>167</v>
      </c>
      <c r="B954" t="s">
        <v>254</v>
      </c>
      <c r="C954" s="35" t="s">
        <v>418</v>
      </c>
      <c r="D954" t="s">
        <v>502</v>
      </c>
      <c r="E954" t="s">
        <v>520</v>
      </c>
      <c r="F954" s="188" t="n">
        <v>2048</v>
      </c>
      <c r="G954" s="189" t="n">
        <v>62</v>
      </c>
      <c r="H954" s="190" t="n">
        <v>21915.4693799121</v>
      </c>
      <c r="I954" s="191" t="n">
        <v>3666964.88074955</v>
      </c>
      <c r="J954" s="192" t="str">
        <f>IF(I954&gt;0,H954/I954,0)</f>
      </c>
      <c r="K954" s="193" t="str">
        <f>1-EXP(-J954)</f>
      </c>
      <c r="L954" s="194" t="str">
        <f>IF(G954=30,1,M953)</f>
      </c>
      <c r="M954" s="195" t="str">
        <f>L954*(1-K954)</f>
      </c>
    </row>
    <row r="955">
      <c r="A955" t="s">
        <v>167</v>
      </c>
      <c r="B955" t="s">
        <v>254</v>
      </c>
      <c r="C955" s="35" t="s">
        <v>418</v>
      </c>
      <c r="D955" t="s">
        <v>502</v>
      </c>
      <c r="E955" t="s">
        <v>520</v>
      </c>
      <c r="F955" s="188" t="n">
        <v>2048</v>
      </c>
      <c r="G955" s="189" t="n">
        <v>63</v>
      </c>
      <c r="H955" s="190" t="n">
        <v>24143.0237920608</v>
      </c>
      <c r="I955" s="191" t="n">
        <v>3675617.61800658</v>
      </c>
      <c r="J955" s="192" t="str">
        <f>IF(I955&gt;0,H955/I955,0)</f>
      </c>
      <c r="K955" s="193" t="str">
        <f>1-EXP(-J955)</f>
      </c>
      <c r="L955" s="194" t="str">
        <f>IF(G955=30,1,M954)</f>
      </c>
      <c r="M955" s="195" t="str">
        <f>L955*(1-K955)</f>
      </c>
    </row>
    <row r="956">
      <c r="A956" t="s">
        <v>167</v>
      </c>
      <c r="B956" t="s">
        <v>254</v>
      </c>
      <c r="C956" s="35" t="s">
        <v>418</v>
      </c>
      <c r="D956" t="s">
        <v>502</v>
      </c>
      <c r="E956" t="s">
        <v>520</v>
      </c>
      <c r="F956" s="188" t="n">
        <v>2048</v>
      </c>
      <c r="G956" s="189" t="n">
        <v>64</v>
      </c>
      <c r="H956" s="190" t="n">
        <v>26706.1612397197</v>
      </c>
      <c r="I956" s="191" t="n">
        <v>3700833.91765673</v>
      </c>
      <c r="J956" s="192" t="str">
        <f>IF(I956&gt;0,H956/I956,0)</f>
      </c>
      <c r="K956" s="193" t="str">
        <f>1-EXP(-J956)</f>
      </c>
      <c r="L956" s="194" t="str">
        <f>IF(G956=30,1,M955)</f>
      </c>
      <c r="M956" s="195" t="str">
        <f>L956*(1-K956)</f>
      </c>
    </row>
    <row r="957">
      <c r="A957" t="s">
        <v>167</v>
      </c>
      <c r="B957" t="s">
        <v>254</v>
      </c>
      <c r="C957" s="35" t="s">
        <v>418</v>
      </c>
      <c r="D957" t="s">
        <v>502</v>
      </c>
      <c r="E957" t="s">
        <v>520</v>
      </c>
      <c r="F957" s="188" t="n">
        <v>2048</v>
      </c>
      <c r="G957" s="189" t="n">
        <v>65</v>
      </c>
      <c r="H957" s="190" t="n">
        <v>27326.7585967734</v>
      </c>
      <c r="I957" s="191" t="n">
        <v>3627520.76144674</v>
      </c>
      <c r="J957" s="192" t="str">
        <f>IF(I957&gt;0,H957/I957,0)</f>
      </c>
      <c r="K957" s="193" t="str">
        <f>1-EXP(-J957)</f>
      </c>
      <c r="L957" s="194" t="str">
        <f>IF(G957=30,1,M956)</f>
      </c>
      <c r="M957" s="195" t="str">
        <f>L957*(1-K957)</f>
      </c>
    </row>
    <row r="958">
      <c r="A958" t="s">
        <v>167</v>
      </c>
      <c r="B958" t="s">
        <v>254</v>
      </c>
      <c r="C958" s="35" t="s">
        <v>418</v>
      </c>
      <c r="D958" t="s">
        <v>502</v>
      </c>
      <c r="E958" t="s">
        <v>520</v>
      </c>
      <c r="F958" s="188" t="n">
        <v>2048</v>
      </c>
      <c r="G958" s="189" t="n">
        <v>66</v>
      </c>
      <c r="H958" s="190" t="n">
        <v>28581.2029872744</v>
      </c>
      <c r="I958" s="191" t="n">
        <v>3456786.4928721</v>
      </c>
      <c r="J958" s="192" t="str">
        <f>IF(I958&gt;0,H958/I958,0)</f>
      </c>
      <c r="K958" s="193" t="str">
        <f>1-EXP(-J958)</f>
      </c>
      <c r="L958" s="194" t="str">
        <f>IF(G958=30,1,M957)</f>
      </c>
      <c r="M958" s="195" t="str">
        <f>L958*(1-K958)</f>
      </c>
    </row>
    <row r="959">
      <c r="A959" t="s">
        <v>167</v>
      </c>
      <c r="B959" t="s">
        <v>254</v>
      </c>
      <c r="C959" s="35" t="s">
        <v>418</v>
      </c>
      <c r="D959" t="s">
        <v>502</v>
      </c>
      <c r="E959" t="s">
        <v>520</v>
      </c>
      <c r="F959" s="188" t="n">
        <v>2048</v>
      </c>
      <c r="G959" s="189" t="n">
        <v>67</v>
      </c>
      <c r="H959" s="190" t="n">
        <v>30324.8210622509</v>
      </c>
      <c r="I959" s="191" t="n">
        <v>3336396.31016619</v>
      </c>
      <c r="J959" s="192" t="str">
        <f>IF(I959&gt;0,H959/I959,0)</f>
      </c>
      <c r="K959" s="193" t="str">
        <f>1-EXP(-J959)</f>
      </c>
      <c r="L959" s="194" t="str">
        <f>IF(G959=30,1,M958)</f>
      </c>
      <c r="M959" s="195" t="str">
        <f>L959*(1-K959)</f>
      </c>
    </row>
    <row r="960">
      <c r="A960" t="s">
        <v>167</v>
      </c>
      <c r="B960" t="s">
        <v>254</v>
      </c>
      <c r="C960" s="35" t="s">
        <v>418</v>
      </c>
      <c r="D960" t="s">
        <v>502</v>
      </c>
      <c r="E960" t="s">
        <v>520</v>
      </c>
      <c r="F960" s="188" t="n">
        <v>2048</v>
      </c>
      <c r="G960" s="189" t="n">
        <v>68</v>
      </c>
      <c r="H960" s="190" t="n">
        <v>32260.9346386447</v>
      </c>
      <c r="I960" s="191" t="n">
        <v>3226314.5228542</v>
      </c>
      <c r="J960" s="192" t="str">
        <f>IF(I960&gt;0,H960/I960,0)</f>
      </c>
      <c r="K960" s="193" t="str">
        <f>1-EXP(-J960)</f>
      </c>
      <c r="L960" s="194" t="str">
        <f>IF(G960=30,1,M959)</f>
      </c>
      <c r="M960" s="195" t="str">
        <f>L960*(1-K960)</f>
      </c>
    </row>
    <row r="961">
      <c r="A961" t="s">
        <v>167</v>
      </c>
      <c r="B961" t="s">
        <v>254</v>
      </c>
      <c r="C961" s="35" t="s">
        <v>418</v>
      </c>
      <c r="D961" t="s">
        <v>502</v>
      </c>
      <c r="E961" t="s">
        <v>520</v>
      </c>
      <c r="F961" s="188" t="n">
        <v>2048</v>
      </c>
      <c r="G961" s="189" t="n">
        <v>69</v>
      </c>
      <c r="H961" s="190" t="n">
        <v>34237.4276357541</v>
      </c>
      <c r="I961" s="191" t="n">
        <v>3108920.98594274</v>
      </c>
      <c r="J961" s="192" t="str">
        <f>IF(I961&gt;0,H961/I961,0)</f>
      </c>
      <c r="K961" s="193" t="str">
        <f>1-EXP(-J961)</f>
      </c>
      <c r="L961" s="194" t="str">
        <f>IF(G961=30,1,M960)</f>
      </c>
      <c r="M961" s="195" t="str">
        <f>L961*(1-K961)</f>
      </c>
    </row>
    <row r="962">
      <c r="A962" t="s">
        <v>167</v>
      </c>
      <c r="B962" t="s">
        <v>254</v>
      </c>
      <c r="C962" s="35" t="s">
        <v>418</v>
      </c>
      <c r="D962" t="s">
        <v>502</v>
      </c>
      <c r="E962" t="s">
        <v>520</v>
      </c>
      <c r="F962" s="188" t="n">
        <v>2049</v>
      </c>
      <c r="G962" s="189" t="n">
        <v>30</v>
      </c>
      <c r="H962" s="190" t="n">
        <v>577.814585068949</v>
      </c>
      <c r="I962" s="191" t="n">
        <v>4266671.83653857</v>
      </c>
      <c r="J962" s="192" t="str">
        <f>IF(I962&gt;0,H962/I962,0)</f>
      </c>
      <c r="K962" s="193" t="str">
        <f>1-EXP(-J962)</f>
      </c>
      <c r="L962" s="194" t="str">
        <f>IF(G962=30,1,M961)</f>
      </c>
      <c r="M962" s="195" t="str">
        <f>L962*(1-K962)</f>
      </c>
    </row>
    <row r="963">
      <c r="A963" t="s">
        <v>167</v>
      </c>
      <c r="B963" t="s">
        <v>254</v>
      </c>
      <c r="C963" s="35" t="s">
        <v>418</v>
      </c>
      <c r="D963" t="s">
        <v>502</v>
      </c>
      <c r="E963" t="s">
        <v>520</v>
      </c>
      <c r="F963" s="188" t="n">
        <v>2049</v>
      </c>
      <c r="G963" s="189" t="n">
        <v>31</v>
      </c>
      <c r="H963" s="190" t="n">
        <v>794.618854361029</v>
      </c>
      <c r="I963" s="191" t="n">
        <v>4270811.73091492</v>
      </c>
      <c r="J963" s="192" t="str">
        <f>IF(I963&gt;0,H963/I963,0)</f>
      </c>
      <c r="K963" s="193" t="str">
        <f>1-EXP(-J963)</f>
      </c>
      <c r="L963" s="194" t="str">
        <f>IF(G963=30,1,M962)</f>
      </c>
      <c r="M963" s="195" t="str">
        <f>L963*(1-K963)</f>
      </c>
    </row>
    <row r="964">
      <c r="A964" t="s">
        <v>167</v>
      </c>
      <c r="B964" t="s">
        <v>254</v>
      </c>
      <c r="C964" s="35" t="s">
        <v>418</v>
      </c>
      <c r="D964" t="s">
        <v>502</v>
      </c>
      <c r="E964" t="s">
        <v>520</v>
      </c>
      <c r="F964" s="188" t="n">
        <v>2049</v>
      </c>
      <c r="G964" s="189" t="n">
        <v>32</v>
      </c>
      <c r="H964" s="190" t="n">
        <v>847.199661547142</v>
      </c>
      <c r="I964" s="191" t="n">
        <v>4311408.3949532</v>
      </c>
      <c r="J964" s="192" t="str">
        <f>IF(I964&gt;0,H964/I964,0)</f>
      </c>
      <c r="K964" s="193" t="str">
        <f>1-EXP(-J964)</f>
      </c>
      <c r="L964" s="194" t="str">
        <f>IF(G964=30,1,M963)</f>
      </c>
      <c r="M964" s="195" t="str">
        <f>L964*(1-K964)</f>
      </c>
    </row>
    <row r="965">
      <c r="A965" t="s">
        <v>167</v>
      </c>
      <c r="B965" t="s">
        <v>254</v>
      </c>
      <c r="C965" s="35" t="s">
        <v>418</v>
      </c>
      <c r="D965" t="s">
        <v>502</v>
      </c>
      <c r="E965" t="s">
        <v>520</v>
      </c>
      <c r="F965" s="188" t="n">
        <v>2049</v>
      </c>
      <c r="G965" s="189" t="n">
        <v>33</v>
      </c>
      <c r="H965" s="190" t="n">
        <v>988.681327257988</v>
      </c>
      <c r="I965" s="191" t="n">
        <v>4573458.00650072</v>
      </c>
      <c r="J965" s="192" t="str">
        <f>IF(I965&gt;0,H965/I965,0)</f>
      </c>
      <c r="K965" s="193" t="str">
        <f>1-EXP(-J965)</f>
      </c>
      <c r="L965" s="194" t="str">
        <f>IF(G965=30,1,M964)</f>
      </c>
      <c r="M965" s="195" t="str">
        <f>L965*(1-K965)</f>
      </c>
    </row>
    <row r="966">
      <c r="A966" t="s">
        <v>167</v>
      </c>
      <c r="B966" t="s">
        <v>254</v>
      </c>
      <c r="C966" s="35" t="s">
        <v>418</v>
      </c>
      <c r="D966" t="s">
        <v>502</v>
      </c>
      <c r="E966" t="s">
        <v>520</v>
      </c>
      <c r="F966" s="188" t="n">
        <v>2049</v>
      </c>
      <c r="G966" s="189" t="n">
        <v>34</v>
      </c>
      <c r="H966" s="190" t="n">
        <v>1099.25530860132</v>
      </c>
      <c r="I966" s="191" t="n">
        <v>4621696.83050142</v>
      </c>
      <c r="J966" s="192" t="str">
        <f>IF(I966&gt;0,H966/I966,0)</f>
      </c>
      <c r="K966" s="193" t="str">
        <f>1-EXP(-J966)</f>
      </c>
      <c r="L966" s="194" t="str">
        <f>IF(G966=30,1,M965)</f>
      </c>
      <c r="M966" s="195" t="str">
        <f>L966*(1-K966)</f>
      </c>
    </row>
    <row r="967">
      <c r="A967" t="s">
        <v>167</v>
      </c>
      <c r="B967" t="s">
        <v>254</v>
      </c>
      <c r="C967" s="35" t="s">
        <v>418</v>
      </c>
      <c r="D967" t="s">
        <v>502</v>
      </c>
      <c r="E967" t="s">
        <v>520</v>
      </c>
      <c r="F967" s="188" t="n">
        <v>2049</v>
      </c>
      <c r="G967" s="189" t="n">
        <v>35</v>
      </c>
      <c r="H967" s="190" t="n">
        <v>1441.8042526027</v>
      </c>
      <c r="I967" s="191" t="n">
        <v>4687313.08385865</v>
      </c>
      <c r="J967" s="192" t="str">
        <f>IF(I967&gt;0,H967/I967,0)</f>
      </c>
      <c r="K967" s="193" t="str">
        <f>1-EXP(-J967)</f>
      </c>
      <c r="L967" s="194" t="str">
        <f>IF(G967=30,1,M966)</f>
      </c>
      <c r="M967" s="195" t="str">
        <f>L967*(1-K967)</f>
      </c>
    </row>
    <row r="968">
      <c r="A968" t="s">
        <v>167</v>
      </c>
      <c r="B968" t="s">
        <v>254</v>
      </c>
      <c r="C968" s="35" t="s">
        <v>418</v>
      </c>
      <c r="D968" t="s">
        <v>502</v>
      </c>
      <c r="E968" t="s">
        <v>520</v>
      </c>
      <c r="F968" s="188" t="n">
        <v>2049</v>
      </c>
      <c r="G968" s="189" t="n">
        <v>36</v>
      </c>
      <c r="H968" s="190" t="n">
        <v>1733.90262858064</v>
      </c>
      <c r="I968" s="191" t="n">
        <v>4753846.34032993</v>
      </c>
      <c r="J968" s="192" t="str">
        <f>IF(I968&gt;0,H968/I968,0)</f>
      </c>
      <c r="K968" s="193" t="str">
        <f>1-EXP(-J968)</f>
      </c>
      <c r="L968" s="194" t="str">
        <f>IF(G968=30,1,M967)</f>
      </c>
      <c r="M968" s="195" t="str">
        <f>L968*(1-K968)</f>
      </c>
    </row>
    <row r="969">
      <c r="A969" t="s">
        <v>167</v>
      </c>
      <c r="B969" t="s">
        <v>254</v>
      </c>
      <c r="C969" s="35" t="s">
        <v>418</v>
      </c>
      <c r="D969" t="s">
        <v>502</v>
      </c>
      <c r="E969" t="s">
        <v>520</v>
      </c>
      <c r="F969" s="188" t="n">
        <v>2049</v>
      </c>
      <c r="G969" s="189" t="n">
        <v>37</v>
      </c>
      <c r="H969" s="190" t="n">
        <v>1957.54792958326</v>
      </c>
      <c r="I969" s="191" t="n">
        <v>4864315.41207116</v>
      </c>
      <c r="J969" s="192" t="str">
        <f>IF(I969&gt;0,H969/I969,0)</f>
      </c>
      <c r="K969" s="193" t="str">
        <f>1-EXP(-J969)</f>
      </c>
      <c r="L969" s="194" t="str">
        <f>IF(G969=30,1,M968)</f>
      </c>
      <c r="M969" s="195" t="str">
        <f>L969*(1-K969)</f>
      </c>
    </row>
    <row r="970">
      <c r="A970" t="s">
        <v>167</v>
      </c>
      <c r="B970" t="s">
        <v>254</v>
      </c>
      <c r="C970" s="35" t="s">
        <v>418</v>
      </c>
      <c r="D970" t="s">
        <v>502</v>
      </c>
      <c r="E970" t="s">
        <v>520</v>
      </c>
      <c r="F970" s="188" t="n">
        <v>2049</v>
      </c>
      <c r="G970" s="189" t="n">
        <v>38</v>
      </c>
      <c r="H970" s="190" t="n">
        <v>2099.40972606251</v>
      </c>
      <c r="I970" s="191" t="n">
        <v>4834483.77152102</v>
      </c>
      <c r="J970" s="192" t="str">
        <f>IF(I970&gt;0,H970/I970,0)</f>
      </c>
      <c r="K970" s="193" t="str">
        <f>1-EXP(-J970)</f>
      </c>
      <c r="L970" s="194" t="str">
        <f>IF(G970=30,1,M969)</f>
      </c>
      <c r="M970" s="195" t="str">
        <f>L970*(1-K970)</f>
      </c>
    </row>
    <row r="971">
      <c r="A971" t="s">
        <v>167</v>
      </c>
      <c r="B971" t="s">
        <v>254</v>
      </c>
      <c r="C971" s="35" t="s">
        <v>418</v>
      </c>
      <c r="D971" t="s">
        <v>502</v>
      </c>
      <c r="E971" t="s">
        <v>520</v>
      </c>
      <c r="F971" s="188" t="n">
        <v>2049</v>
      </c>
      <c r="G971" s="189" t="n">
        <v>39</v>
      </c>
      <c r="H971" s="190" t="n">
        <v>2208.83539709796</v>
      </c>
      <c r="I971" s="191" t="n">
        <v>4699466.80645416</v>
      </c>
      <c r="J971" s="192" t="str">
        <f>IF(I971&gt;0,H971/I971,0)</f>
      </c>
      <c r="K971" s="193" t="str">
        <f>1-EXP(-J971)</f>
      </c>
      <c r="L971" s="194" t="str">
        <f>IF(G971=30,1,M970)</f>
      </c>
      <c r="M971" s="195" t="str">
        <f>L971*(1-K971)</f>
      </c>
    </row>
    <row r="972">
      <c r="A972" t="s">
        <v>167</v>
      </c>
      <c r="B972" t="s">
        <v>254</v>
      </c>
      <c r="C972" s="35" t="s">
        <v>418</v>
      </c>
      <c r="D972" t="s">
        <v>502</v>
      </c>
      <c r="E972" t="s">
        <v>520</v>
      </c>
      <c r="F972" s="188" t="n">
        <v>2049</v>
      </c>
      <c r="G972" s="189" t="n">
        <v>40</v>
      </c>
      <c r="H972" s="190" t="n">
        <v>2920.88449268193</v>
      </c>
      <c r="I972" s="191" t="n">
        <v>4626481.99694752</v>
      </c>
      <c r="J972" s="192" t="str">
        <f>IF(I972&gt;0,H972/I972,0)</f>
      </c>
      <c r="K972" s="193" t="str">
        <f>1-EXP(-J972)</f>
      </c>
      <c r="L972" s="194" t="str">
        <f>IF(G972=30,1,M971)</f>
      </c>
      <c r="M972" s="195" t="str">
        <f>L972*(1-K972)</f>
      </c>
    </row>
    <row r="973">
      <c r="A973" t="s">
        <v>167</v>
      </c>
      <c r="B973" t="s">
        <v>254</v>
      </c>
      <c r="C973" s="35" t="s">
        <v>418</v>
      </c>
      <c r="D973" t="s">
        <v>502</v>
      </c>
      <c r="E973" t="s">
        <v>520</v>
      </c>
      <c r="F973" s="188" t="n">
        <v>2049</v>
      </c>
      <c r="G973" s="189" t="n">
        <v>41</v>
      </c>
      <c r="H973" s="190" t="n">
        <v>3251.13735940365</v>
      </c>
      <c r="I973" s="191" t="n">
        <v>4580207.0584722</v>
      </c>
      <c r="J973" s="192" t="str">
        <f>IF(I973&gt;0,H973/I973,0)</f>
      </c>
      <c r="K973" s="193" t="str">
        <f>1-EXP(-J973)</f>
      </c>
      <c r="L973" s="194" t="str">
        <f>IF(G973=30,1,M972)</f>
      </c>
      <c r="M973" s="195" t="str">
        <f>L973*(1-K973)</f>
      </c>
    </row>
    <row r="974">
      <c r="A974" t="s">
        <v>167</v>
      </c>
      <c r="B974" t="s">
        <v>254</v>
      </c>
      <c r="C974" s="35" t="s">
        <v>418</v>
      </c>
      <c r="D974" t="s">
        <v>502</v>
      </c>
      <c r="E974" t="s">
        <v>520</v>
      </c>
      <c r="F974" s="188" t="n">
        <v>2049</v>
      </c>
      <c r="G974" s="189" t="n">
        <v>42</v>
      </c>
      <c r="H974" s="190" t="n">
        <v>3607.83650945142</v>
      </c>
      <c r="I974" s="191" t="n">
        <v>4601150.46460651</v>
      </c>
      <c r="J974" s="192" t="str">
        <f>IF(I974&gt;0,H974/I974,0)</f>
      </c>
      <c r="K974" s="193" t="str">
        <f>1-EXP(-J974)</f>
      </c>
      <c r="L974" s="194" t="str">
        <f>IF(G974=30,1,M973)</f>
      </c>
      <c r="M974" s="195" t="str">
        <f>L974*(1-K974)</f>
      </c>
    </row>
    <row r="975">
      <c r="A975" t="s">
        <v>167</v>
      </c>
      <c r="B975" t="s">
        <v>254</v>
      </c>
      <c r="C975" s="35" t="s">
        <v>418</v>
      </c>
      <c r="D975" t="s">
        <v>502</v>
      </c>
      <c r="E975" t="s">
        <v>520</v>
      </c>
      <c r="F975" s="188" t="n">
        <v>2049</v>
      </c>
      <c r="G975" s="189" t="n">
        <v>43</v>
      </c>
      <c r="H975" s="190" t="n">
        <v>3851.49799702287</v>
      </c>
      <c r="I975" s="191" t="n">
        <v>4514499.35395663</v>
      </c>
      <c r="J975" s="192" t="str">
        <f>IF(I975&gt;0,H975/I975,0)</f>
      </c>
      <c r="K975" s="193" t="str">
        <f>1-EXP(-J975)</f>
      </c>
      <c r="L975" s="194" t="str">
        <f>IF(G975=30,1,M974)</f>
      </c>
      <c r="M975" s="195" t="str">
        <f>L975*(1-K975)</f>
      </c>
    </row>
    <row r="976">
      <c r="A976" t="s">
        <v>167</v>
      </c>
      <c r="B976" t="s">
        <v>254</v>
      </c>
      <c r="C976" s="35" t="s">
        <v>418</v>
      </c>
      <c r="D976" t="s">
        <v>502</v>
      </c>
      <c r="E976" t="s">
        <v>520</v>
      </c>
      <c r="F976" s="188" t="n">
        <v>2049</v>
      </c>
      <c r="G976" s="189" t="n">
        <v>44</v>
      </c>
      <c r="H976" s="190" t="n">
        <v>4139.36071123545</v>
      </c>
      <c r="I976" s="191" t="n">
        <v>4448863.16810358</v>
      </c>
      <c r="J976" s="192" t="str">
        <f>IF(I976&gt;0,H976/I976,0)</f>
      </c>
      <c r="K976" s="193" t="str">
        <f>1-EXP(-J976)</f>
      </c>
      <c r="L976" s="194" t="str">
        <f>IF(G976=30,1,M975)</f>
      </c>
      <c r="M976" s="195" t="str">
        <f>L976*(1-K976)</f>
      </c>
    </row>
    <row r="977">
      <c r="A977" t="s">
        <v>167</v>
      </c>
      <c r="B977" t="s">
        <v>254</v>
      </c>
      <c r="C977" s="35" t="s">
        <v>418</v>
      </c>
      <c r="D977" t="s">
        <v>502</v>
      </c>
      <c r="E977" t="s">
        <v>520</v>
      </c>
      <c r="F977" s="188" t="n">
        <v>2049</v>
      </c>
      <c r="G977" s="189" t="n">
        <v>45</v>
      </c>
      <c r="H977" s="190" t="n">
        <v>5162.01990742588</v>
      </c>
      <c r="I977" s="191" t="n">
        <v>4316359.30760168</v>
      </c>
      <c r="J977" s="192" t="str">
        <f>IF(I977&gt;0,H977/I977,0)</f>
      </c>
      <c r="K977" s="193" t="str">
        <f>1-EXP(-J977)</f>
      </c>
      <c r="L977" s="194" t="str">
        <f>IF(G977=30,1,M976)</f>
      </c>
      <c r="M977" s="195" t="str">
        <f>L977*(1-K977)</f>
      </c>
    </row>
    <row r="978">
      <c r="A978" t="s">
        <v>167</v>
      </c>
      <c r="B978" t="s">
        <v>254</v>
      </c>
      <c r="C978" s="35" t="s">
        <v>418</v>
      </c>
      <c r="D978" t="s">
        <v>502</v>
      </c>
      <c r="E978" t="s">
        <v>520</v>
      </c>
      <c r="F978" s="188" t="n">
        <v>2049</v>
      </c>
      <c r="G978" s="189" t="n">
        <v>46</v>
      </c>
      <c r="H978" s="190" t="n">
        <v>5657.39747015274</v>
      </c>
      <c r="I978" s="191" t="n">
        <v>4244201.91224048</v>
      </c>
      <c r="J978" s="192" t="str">
        <f>IF(I978&gt;0,H978/I978,0)</f>
      </c>
      <c r="K978" s="193" t="str">
        <f>1-EXP(-J978)</f>
      </c>
      <c r="L978" s="194" t="str">
        <f>IF(G978=30,1,M977)</f>
      </c>
      <c r="M978" s="195" t="str">
        <f>L978*(1-K978)</f>
      </c>
    </row>
    <row r="979">
      <c r="A979" t="s">
        <v>167</v>
      </c>
      <c r="B979" t="s">
        <v>254</v>
      </c>
      <c r="C979" s="35" t="s">
        <v>418</v>
      </c>
      <c r="D979" t="s">
        <v>502</v>
      </c>
      <c r="E979" t="s">
        <v>520</v>
      </c>
      <c r="F979" s="188" t="n">
        <v>2049</v>
      </c>
      <c r="G979" s="189" t="n">
        <v>47</v>
      </c>
      <c r="H979" s="190" t="n">
        <v>6304.27720051376</v>
      </c>
      <c r="I979" s="191" t="n">
        <v>4212397.25500552</v>
      </c>
      <c r="J979" s="192" t="str">
        <f>IF(I979&gt;0,H979/I979,0)</f>
      </c>
      <c r="K979" s="193" t="str">
        <f>1-EXP(-J979)</f>
      </c>
      <c r="L979" s="194" t="str">
        <f>IF(G979=30,1,M978)</f>
      </c>
      <c r="M979" s="195" t="str">
        <f>L979*(1-K979)</f>
      </c>
    </row>
    <row r="980">
      <c r="A980" t="s">
        <v>167</v>
      </c>
      <c r="B980" t="s">
        <v>254</v>
      </c>
      <c r="C980" s="35" t="s">
        <v>418</v>
      </c>
      <c r="D980" t="s">
        <v>502</v>
      </c>
      <c r="E980" t="s">
        <v>520</v>
      </c>
      <c r="F980" s="188" t="n">
        <v>2049</v>
      </c>
      <c r="G980" s="189" t="n">
        <v>48</v>
      </c>
      <c r="H980" s="190" t="n">
        <v>6880.47022175962</v>
      </c>
      <c r="I980" s="191" t="n">
        <v>4183190.23385707</v>
      </c>
      <c r="J980" s="192" t="str">
        <f>IF(I980&gt;0,H980/I980,0)</f>
      </c>
      <c r="K980" s="193" t="str">
        <f>1-EXP(-J980)</f>
      </c>
      <c r="L980" s="194" t="str">
        <f>IF(G980=30,1,M979)</f>
      </c>
      <c r="M980" s="195" t="str">
        <f>L980*(1-K980)</f>
      </c>
    </row>
    <row r="981">
      <c r="A981" t="s">
        <v>167</v>
      </c>
      <c r="B981" t="s">
        <v>254</v>
      </c>
      <c r="C981" s="35" t="s">
        <v>418</v>
      </c>
      <c r="D981" t="s">
        <v>502</v>
      </c>
      <c r="E981" t="s">
        <v>520</v>
      </c>
      <c r="F981" s="188" t="n">
        <v>2049</v>
      </c>
      <c r="G981" s="189" t="n">
        <v>49</v>
      </c>
      <c r="H981" s="190" t="n">
        <v>7516.37149151994</v>
      </c>
      <c r="I981" s="191" t="n">
        <v>4152599.1128502</v>
      </c>
      <c r="J981" s="192" t="str">
        <f>IF(I981&gt;0,H981/I981,0)</f>
      </c>
      <c r="K981" s="193" t="str">
        <f>1-EXP(-J981)</f>
      </c>
      <c r="L981" s="194" t="str">
        <f>IF(G981=30,1,M980)</f>
      </c>
      <c r="M981" s="195" t="str">
        <f>L981*(1-K981)</f>
      </c>
    </row>
    <row r="982">
      <c r="A982" t="s">
        <v>167</v>
      </c>
      <c r="B982" t="s">
        <v>254</v>
      </c>
      <c r="C982" s="35" t="s">
        <v>418</v>
      </c>
      <c r="D982" t="s">
        <v>502</v>
      </c>
      <c r="E982" t="s">
        <v>520</v>
      </c>
      <c r="F982" s="188" t="n">
        <v>2049</v>
      </c>
      <c r="G982" s="189" t="n">
        <v>50</v>
      </c>
      <c r="H982" s="190" t="n">
        <v>8596.91278211094</v>
      </c>
      <c r="I982" s="191" t="n">
        <v>4158933.91596695</v>
      </c>
      <c r="J982" s="192" t="str">
        <f>IF(I982&gt;0,H982/I982,0)</f>
      </c>
      <c r="K982" s="193" t="str">
        <f>1-EXP(-J982)</f>
      </c>
      <c r="L982" s="194" t="str">
        <f>IF(G982=30,1,M981)</f>
      </c>
      <c r="M982" s="195" t="str">
        <f>L982*(1-K982)</f>
      </c>
    </row>
    <row r="983">
      <c r="A983" t="s">
        <v>167</v>
      </c>
      <c r="B983" t="s">
        <v>254</v>
      </c>
      <c r="C983" s="35" t="s">
        <v>418</v>
      </c>
      <c r="D983" t="s">
        <v>502</v>
      </c>
      <c r="E983" t="s">
        <v>520</v>
      </c>
      <c r="F983" s="188" t="n">
        <v>2049</v>
      </c>
      <c r="G983" s="189" t="n">
        <v>51</v>
      </c>
      <c r="H983" s="190" t="n">
        <v>9563.44439120055</v>
      </c>
      <c r="I983" s="191" t="n">
        <v>4200602.18961546</v>
      </c>
      <c r="J983" s="192" t="str">
        <f>IF(I983&gt;0,H983/I983,0)</f>
      </c>
      <c r="K983" s="193" t="str">
        <f>1-EXP(-J983)</f>
      </c>
      <c r="L983" s="194" t="str">
        <f>IF(G983=30,1,M982)</f>
      </c>
      <c r="M983" s="195" t="str">
        <f>L983*(1-K983)</f>
      </c>
    </row>
    <row r="984">
      <c r="A984" t="s">
        <v>167</v>
      </c>
      <c r="B984" t="s">
        <v>254</v>
      </c>
      <c r="C984" s="35" t="s">
        <v>418</v>
      </c>
      <c r="D984" t="s">
        <v>502</v>
      </c>
      <c r="E984" t="s">
        <v>520</v>
      </c>
      <c r="F984" s="188" t="n">
        <v>2049</v>
      </c>
      <c r="G984" s="189" t="n">
        <v>52</v>
      </c>
      <c r="H984" s="190" t="n">
        <v>10909.794870536</v>
      </c>
      <c r="I984" s="191" t="n">
        <v>4312731.65104346</v>
      </c>
      <c r="J984" s="192" t="str">
        <f>IF(I984&gt;0,H984/I984,0)</f>
      </c>
      <c r="K984" s="193" t="str">
        <f>1-EXP(-J984)</f>
      </c>
      <c r="L984" s="194" t="str">
        <f>IF(G984=30,1,M983)</f>
      </c>
      <c r="M984" s="195" t="str">
        <f>L984*(1-K984)</f>
      </c>
    </row>
    <row r="985">
      <c r="A985" t="s">
        <v>167</v>
      </c>
      <c r="B985" t="s">
        <v>254</v>
      </c>
      <c r="C985" s="35" t="s">
        <v>418</v>
      </c>
      <c r="D985" t="s">
        <v>502</v>
      </c>
      <c r="E985" t="s">
        <v>520</v>
      </c>
      <c r="F985" s="188" t="n">
        <v>2049</v>
      </c>
      <c r="G985" s="189" t="n">
        <v>53</v>
      </c>
      <c r="H985" s="190" t="n">
        <v>11747.2851375974</v>
      </c>
      <c r="I985" s="191" t="n">
        <v>4252686.89005088</v>
      </c>
      <c r="J985" s="192" t="str">
        <f>IF(I985&gt;0,H985/I985,0)</f>
      </c>
      <c r="K985" s="193" t="str">
        <f>1-EXP(-J985)</f>
      </c>
      <c r="L985" s="194" t="str">
        <f>IF(G985=30,1,M984)</f>
      </c>
      <c r="M985" s="195" t="str">
        <f>L985*(1-K985)</f>
      </c>
    </row>
    <row r="986">
      <c r="A986" t="s">
        <v>167</v>
      </c>
      <c r="B986" t="s">
        <v>254</v>
      </c>
      <c r="C986" s="35" t="s">
        <v>418</v>
      </c>
      <c r="D986" t="s">
        <v>502</v>
      </c>
      <c r="E986" t="s">
        <v>520</v>
      </c>
      <c r="F986" s="188" t="n">
        <v>2049</v>
      </c>
      <c r="G986" s="189" t="n">
        <v>54</v>
      </c>
      <c r="H986" s="190" t="n">
        <v>12531.1817607978</v>
      </c>
      <c r="I986" s="191" t="n">
        <v>4162717.71403637</v>
      </c>
      <c r="J986" s="192" t="str">
        <f>IF(I986&gt;0,H986/I986,0)</f>
      </c>
      <c r="K986" s="193" t="str">
        <f>1-EXP(-J986)</f>
      </c>
      <c r="L986" s="194" t="str">
        <f>IF(G986=30,1,M985)</f>
      </c>
      <c r="M986" s="195" t="str">
        <f>L986*(1-K986)</f>
      </c>
    </row>
    <row r="987">
      <c r="A987" t="s">
        <v>167</v>
      </c>
      <c r="B987" t="s">
        <v>254</v>
      </c>
      <c r="C987" s="35" t="s">
        <v>418</v>
      </c>
      <c r="D987" t="s">
        <v>502</v>
      </c>
      <c r="E987" t="s">
        <v>520</v>
      </c>
      <c r="F987" s="188" t="n">
        <v>2049</v>
      </c>
      <c r="G987" s="189" t="n">
        <v>55</v>
      </c>
      <c r="H987" s="190" t="n">
        <v>13115.2734403681</v>
      </c>
      <c r="I987" s="191" t="n">
        <v>4086184.46159599</v>
      </c>
      <c r="J987" s="192" t="str">
        <f>IF(I987&gt;0,H987/I987,0)</f>
      </c>
      <c r="K987" s="193" t="str">
        <f>1-EXP(-J987)</f>
      </c>
      <c r="L987" s="194" t="str">
        <f>IF(G987=30,1,M986)</f>
      </c>
      <c r="M987" s="195" t="str">
        <f>L987*(1-K987)</f>
      </c>
    </row>
    <row r="988">
      <c r="A988" t="s">
        <v>167</v>
      </c>
      <c r="B988" t="s">
        <v>254</v>
      </c>
      <c r="C988" s="35" t="s">
        <v>418</v>
      </c>
      <c r="D988" t="s">
        <v>502</v>
      </c>
      <c r="E988" t="s">
        <v>520</v>
      </c>
      <c r="F988" s="188" t="n">
        <v>2049</v>
      </c>
      <c r="G988" s="189" t="n">
        <v>56</v>
      </c>
      <c r="H988" s="190" t="n">
        <v>13957.0646508375</v>
      </c>
      <c r="I988" s="191" t="n">
        <v>4011513.52766016</v>
      </c>
      <c r="J988" s="192" t="str">
        <f>IF(I988&gt;0,H988/I988,0)</f>
      </c>
      <c r="K988" s="193" t="str">
        <f>1-EXP(-J988)</f>
      </c>
      <c r="L988" s="194" t="str">
        <f>IF(G988=30,1,M987)</f>
      </c>
      <c r="M988" s="195" t="str">
        <f>L988*(1-K988)</f>
      </c>
    </row>
    <row r="989">
      <c r="A989" t="s">
        <v>167</v>
      </c>
      <c r="B989" t="s">
        <v>254</v>
      </c>
      <c r="C989" s="35" t="s">
        <v>418</v>
      </c>
      <c r="D989" t="s">
        <v>502</v>
      </c>
      <c r="E989" t="s">
        <v>520</v>
      </c>
      <c r="F989" s="188" t="n">
        <v>2049</v>
      </c>
      <c r="G989" s="189" t="n">
        <v>57</v>
      </c>
      <c r="H989" s="190" t="n">
        <v>15236.7948616976</v>
      </c>
      <c r="I989" s="191" t="n">
        <v>4019987.90984519</v>
      </c>
      <c r="J989" s="192" t="str">
        <f>IF(I989&gt;0,H989/I989,0)</f>
      </c>
      <c r="K989" s="193" t="str">
        <f>1-EXP(-J989)</f>
      </c>
      <c r="L989" s="194" t="str">
        <f>IF(G989=30,1,M988)</f>
      </c>
      <c r="M989" s="195" t="str">
        <f>L989*(1-K989)</f>
      </c>
    </row>
    <row r="990">
      <c r="A990" t="s">
        <v>167</v>
      </c>
      <c r="B990" t="s">
        <v>254</v>
      </c>
      <c r="C990" s="35" t="s">
        <v>418</v>
      </c>
      <c r="D990" t="s">
        <v>502</v>
      </c>
      <c r="E990" t="s">
        <v>520</v>
      </c>
      <c r="F990" s="188" t="n">
        <v>2049</v>
      </c>
      <c r="G990" s="189" t="n">
        <v>58</v>
      </c>
      <c r="H990" s="190" t="n">
        <v>16605.5526387899</v>
      </c>
      <c r="I990" s="191" t="n">
        <v>4007252.74722158</v>
      </c>
      <c r="J990" s="192" t="str">
        <f>IF(I990&gt;0,H990/I990,0)</f>
      </c>
      <c r="K990" s="193" t="str">
        <f>1-EXP(-J990)</f>
      </c>
      <c r="L990" s="194" t="str">
        <f>IF(G990=30,1,M989)</f>
      </c>
      <c r="M990" s="195" t="str">
        <f>L990*(1-K990)</f>
      </c>
    </row>
    <row r="991">
      <c r="A991" t="s">
        <v>167</v>
      </c>
      <c r="B991" t="s">
        <v>254</v>
      </c>
      <c r="C991" s="35" t="s">
        <v>418</v>
      </c>
      <c r="D991" t="s">
        <v>502</v>
      </c>
      <c r="E991" t="s">
        <v>520</v>
      </c>
      <c r="F991" s="188" t="n">
        <v>2049</v>
      </c>
      <c r="G991" s="189" t="n">
        <v>59</v>
      </c>
      <c r="H991" s="190" t="n">
        <v>24167.5172025457</v>
      </c>
      <c r="I991" s="191" t="n">
        <v>5892002.41394822</v>
      </c>
      <c r="J991" s="192" t="str">
        <f>IF(I991&gt;0,H991/I991,0)</f>
      </c>
      <c r="K991" s="193" t="str">
        <f>1-EXP(-J991)</f>
      </c>
      <c r="L991" s="194" t="str">
        <f>IF(G991=30,1,M990)</f>
      </c>
      <c r="M991" s="195" t="str">
        <f>L991*(1-K991)</f>
      </c>
    </row>
    <row r="992">
      <c r="A992" t="s">
        <v>167</v>
      </c>
      <c r="B992" t="s">
        <v>254</v>
      </c>
      <c r="C992" s="35" t="s">
        <v>418</v>
      </c>
      <c r="D992" t="s">
        <v>502</v>
      </c>
      <c r="E992" t="s">
        <v>520</v>
      </c>
      <c r="F992" s="188" t="n">
        <v>2049</v>
      </c>
      <c r="G992" s="189" t="n">
        <v>60</v>
      </c>
      <c r="H992" s="190" t="n">
        <v>19069.9914880804</v>
      </c>
      <c r="I992" s="191" t="n">
        <v>3903098.76747677</v>
      </c>
      <c r="J992" s="192" t="str">
        <f>IF(I992&gt;0,H992/I992,0)</f>
      </c>
      <c r="K992" s="193" t="str">
        <f>1-EXP(-J992)</f>
      </c>
      <c r="L992" s="194" t="str">
        <f>IF(G992=30,1,M991)</f>
      </c>
      <c r="M992" s="195" t="str">
        <f>L992*(1-K992)</f>
      </c>
    </row>
    <row r="993">
      <c r="A993" t="s">
        <v>167</v>
      </c>
      <c r="B993" t="s">
        <v>254</v>
      </c>
      <c r="C993" s="35" t="s">
        <v>418</v>
      </c>
      <c r="D993" t="s">
        <v>502</v>
      </c>
      <c r="E993" t="s">
        <v>520</v>
      </c>
      <c r="F993" s="188" t="n">
        <v>2049</v>
      </c>
      <c r="G993" s="189" t="n">
        <v>61</v>
      </c>
      <c r="H993" s="190" t="n">
        <v>20691.2881043826</v>
      </c>
      <c r="I993" s="191" t="n">
        <v>3850445.2350751</v>
      </c>
      <c r="J993" s="192" t="str">
        <f>IF(I993&gt;0,H993/I993,0)</f>
      </c>
      <c r="K993" s="193" t="str">
        <f>1-EXP(-J993)</f>
      </c>
      <c r="L993" s="194" t="str">
        <f>IF(G993=30,1,M992)</f>
      </c>
      <c r="M993" s="195" t="str">
        <f>L993*(1-K993)</f>
      </c>
    </row>
    <row r="994">
      <c r="A994" t="s">
        <v>167</v>
      </c>
      <c r="B994" t="s">
        <v>254</v>
      </c>
      <c r="C994" s="35" t="s">
        <v>418</v>
      </c>
      <c r="D994" t="s">
        <v>502</v>
      </c>
      <c r="E994" t="s">
        <v>520</v>
      </c>
      <c r="F994" s="188" t="n">
        <v>2049</v>
      </c>
      <c r="G994" s="189" t="n">
        <v>62</v>
      </c>
      <c r="H994" s="190" t="n">
        <v>21821.1833013399</v>
      </c>
      <c r="I994" s="191" t="n">
        <v>3692529.32287912</v>
      </c>
      <c r="J994" s="192" t="str">
        <f>IF(I994&gt;0,H994/I994,0)</f>
      </c>
      <c r="K994" s="193" t="str">
        <f>1-EXP(-J994)</f>
      </c>
      <c r="L994" s="194" t="str">
        <f>IF(G994=30,1,M993)</f>
      </c>
      <c r="M994" s="195" t="str">
        <f>L994*(1-K994)</f>
      </c>
    </row>
    <row r="995">
      <c r="A995" t="s">
        <v>167</v>
      </c>
      <c r="B995" t="s">
        <v>254</v>
      </c>
      <c r="C995" s="35" t="s">
        <v>418</v>
      </c>
      <c r="D995" t="s">
        <v>502</v>
      </c>
      <c r="E995" t="s">
        <v>520</v>
      </c>
      <c r="F995" s="188" t="n">
        <v>2049</v>
      </c>
      <c r="G995" s="189" t="n">
        <v>63</v>
      </c>
      <c r="H995" s="190" t="n">
        <v>23504.9003922024</v>
      </c>
      <c r="I995" s="191" t="n">
        <v>3618970.50687507</v>
      </c>
      <c r="J995" s="192" t="str">
        <f>IF(I995&gt;0,H995/I995,0)</f>
      </c>
      <c r="K995" s="193" t="str">
        <f>1-EXP(-J995)</f>
      </c>
      <c r="L995" s="194" t="str">
        <f>IF(G995=30,1,M994)</f>
      </c>
      <c r="M995" s="195" t="str">
        <f>L995*(1-K995)</f>
      </c>
    </row>
    <row r="996">
      <c r="A996" t="s">
        <v>167</v>
      </c>
      <c r="B996" t="s">
        <v>254</v>
      </c>
      <c r="C996" s="35" t="s">
        <v>418</v>
      </c>
      <c r="D996" t="s">
        <v>502</v>
      </c>
      <c r="E996" t="s">
        <v>520</v>
      </c>
      <c r="F996" s="188" t="n">
        <v>2049</v>
      </c>
      <c r="G996" s="189" t="n">
        <v>64</v>
      </c>
      <c r="H996" s="190" t="n">
        <v>25854.4991957479</v>
      </c>
      <c r="I996" s="191" t="n">
        <v>3622775.68661782</v>
      </c>
      <c r="J996" s="192" t="str">
        <f>IF(I996&gt;0,H996/I996,0)</f>
      </c>
      <c r="K996" s="193" t="str">
        <f>1-EXP(-J996)</f>
      </c>
      <c r="L996" s="194" t="str">
        <f>IF(G996=30,1,M995)</f>
      </c>
      <c r="M996" s="195" t="str">
        <f>L996*(1-K996)</f>
      </c>
    </row>
    <row r="997">
      <c r="A997" t="s">
        <v>167</v>
      </c>
      <c r="B997" t="s">
        <v>254</v>
      </c>
      <c r="C997" s="35" t="s">
        <v>418</v>
      </c>
      <c r="D997" t="s">
        <v>502</v>
      </c>
      <c r="E997" t="s">
        <v>520</v>
      </c>
      <c r="F997" s="188" t="n">
        <v>2049</v>
      </c>
      <c r="G997" s="189" t="n">
        <v>65</v>
      </c>
      <c r="H997" s="190" t="n">
        <v>27113.8189925956</v>
      </c>
      <c r="I997" s="191" t="n">
        <v>3642411.87491127</v>
      </c>
      <c r="J997" s="192" t="str">
        <f>IF(I997&gt;0,H997/I997,0)</f>
      </c>
      <c r="K997" s="193" t="str">
        <f>1-EXP(-J997)</f>
      </c>
      <c r="L997" s="194" t="str">
        <f>IF(G997=30,1,M996)</f>
      </c>
      <c r="M997" s="195" t="str">
        <f>L997*(1-K997)</f>
      </c>
    </row>
    <row r="998">
      <c r="A998" t="s">
        <v>167</v>
      </c>
      <c r="B998" t="s">
        <v>254</v>
      </c>
      <c r="C998" s="35" t="s">
        <v>418</v>
      </c>
      <c r="D998" t="s">
        <v>502</v>
      </c>
      <c r="E998" t="s">
        <v>520</v>
      </c>
      <c r="F998" s="188" t="n">
        <v>2049</v>
      </c>
      <c r="G998" s="189" t="n">
        <v>66</v>
      </c>
      <c r="H998" s="190" t="n">
        <v>29113.0466153986</v>
      </c>
      <c r="I998" s="191" t="n">
        <v>3565420.24192008</v>
      </c>
      <c r="J998" s="192" t="str">
        <f>IF(I998&gt;0,H998/I998,0)</f>
      </c>
      <c r="K998" s="193" t="str">
        <f>1-EXP(-J998)</f>
      </c>
      <c r="L998" s="194" t="str">
        <f>IF(G998=30,1,M997)</f>
      </c>
      <c r="M998" s="195" t="str">
        <f>L998*(1-K998)</f>
      </c>
    </row>
    <row r="999">
      <c r="A999" t="s">
        <v>167</v>
      </c>
      <c r="B999" t="s">
        <v>254</v>
      </c>
      <c r="C999" s="35" t="s">
        <v>418</v>
      </c>
      <c r="D999" t="s">
        <v>502</v>
      </c>
      <c r="E999" t="s">
        <v>520</v>
      </c>
      <c r="F999" s="188" t="n">
        <v>2049</v>
      </c>
      <c r="G999" s="189" t="n">
        <v>67</v>
      </c>
      <c r="H999" s="190" t="n">
        <v>30465.5319927342</v>
      </c>
      <c r="I999" s="191" t="n">
        <v>3391072.59800522</v>
      </c>
      <c r="J999" s="192" t="str">
        <f>IF(I999&gt;0,H999/I999,0)</f>
      </c>
      <c r="K999" s="193" t="str">
        <f>1-EXP(-J999)</f>
      </c>
      <c r="L999" s="194" t="str">
        <f>IF(G999=30,1,M998)</f>
      </c>
      <c r="M999" s="195" t="str">
        <f>L999*(1-K999)</f>
      </c>
    </row>
    <row r="1000">
      <c r="A1000" t="s">
        <v>167</v>
      </c>
      <c r="B1000" t="s">
        <v>254</v>
      </c>
      <c r="C1000" s="35" t="s">
        <v>418</v>
      </c>
      <c r="D1000" t="s">
        <v>502</v>
      </c>
      <c r="E1000" t="s">
        <v>520</v>
      </c>
      <c r="F1000" s="188" t="n">
        <v>2049</v>
      </c>
      <c r="G1000" s="189" t="n">
        <v>68</v>
      </c>
      <c r="H1000" s="190" t="n">
        <v>32290.8777338967</v>
      </c>
      <c r="I1000" s="191" t="n">
        <v>3266755.55935446</v>
      </c>
      <c r="J1000" s="192" t="str">
        <f>IF(I1000&gt;0,H1000/I1000,0)</f>
      </c>
      <c r="K1000" s="193" t="str">
        <f>1-EXP(-J1000)</f>
      </c>
      <c r="L1000" s="194" t="str">
        <f>IF(G1000=30,1,M999)</f>
      </c>
      <c r="M1000" s="195" t="str">
        <f>L1000*(1-K1000)</f>
      </c>
    </row>
    <row r="1001">
      <c r="A1001" t="s">
        <v>167</v>
      </c>
      <c r="B1001" t="s">
        <v>254</v>
      </c>
      <c r="C1001" s="35" t="s">
        <v>418</v>
      </c>
      <c r="D1001" t="s">
        <v>502</v>
      </c>
      <c r="E1001" t="s">
        <v>520</v>
      </c>
      <c r="F1001" s="188" t="n">
        <v>2049</v>
      </c>
      <c r="G1001" s="189" t="n">
        <v>69</v>
      </c>
      <c r="H1001" s="190" t="n">
        <v>34319.1853741124</v>
      </c>
      <c r="I1001" s="191" t="n">
        <v>3152337.84018155</v>
      </c>
      <c r="J1001" s="192" t="str">
        <f>IF(I1001&gt;0,H1001/I1001,0)</f>
      </c>
      <c r="K1001" s="193" t="str">
        <f>1-EXP(-J1001)</f>
      </c>
      <c r="L1001" s="194" t="str">
        <f>IF(G1001=30,1,M1000)</f>
      </c>
      <c r="M1001" s="195" t="str">
        <f>L1001*(1-K1001)</f>
      </c>
    </row>
    <row r="1002">
      <c r="A1002" t="s">
        <v>167</v>
      </c>
      <c r="B1002" t="s">
        <v>254</v>
      </c>
      <c r="C1002" s="35" t="s">
        <v>418</v>
      </c>
      <c r="D1002" t="s">
        <v>502</v>
      </c>
      <c r="E1002" t="s">
        <v>520</v>
      </c>
      <c r="F1002" s="188" t="n">
        <v>2050</v>
      </c>
      <c r="G1002" s="189" t="n">
        <v>30</v>
      </c>
      <c r="H1002" s="190" t="n">
        <v>576.366476119395</v>
      </c>
      <c r="I1002" s="191" t="n">
        <v>4253406.89091482</v>
      </c>
      <c r="J1002" s="192" t="str">
        <f>IF(I1002&gt;0,H1002/I1002,0)</f>
      </c>
      <c r="K1002" s="193" t="str">
        <f>1-EXP(-J1002)</f>
      </c>
      <c r="L1002" s="194" t="str">
        <f>IF(G1002=30,1,M1001)</f>
      </c>
      <c r="M1002" s="195" t="str">
        <f>L1002*(1-K1002)</f>
      </c>
    </row>
    <row r="1003">
      <c r="A1003" t="s">
        <v>167</v>
      </c>
      <c r="B1003" t="s">
        <v>254</v>
      </c>
      <c r="C1003" s="35" t="s">
        <v>418</v>
      </c>
      <c r="D1003" t="s">
        <v>502</v>
      </c>
      <c r="E1003" t="s">
        <v>520</v>
      </c>
      <c r="F1003" s="188" t="n">
        <v>2050</v>
      </c>
      <c r="G1003" s="189" t="n">
        <v>31</v>
      </c>
      <c r="H1003" s="190" t="n">
        <v>793.402902149901</v>
      </c>
      <c r="I1003" s="191" t="n">
        <v>4262160.46482929</v>
      </c>
      <c r="J1003" s="192" t="str">
        <f>IF(I1003&gt;0,H1003/I1003,0)</f>
      </c>
      <c r="K1003" s="193" t="str">
        <f>1-EXP(-J1003)</f>
      </c>
      <c r="L1003" s="194" t="str">
        <f>IF(G1003=30,1,M1002)</f>
      </c>
      <c r="M1003" s="195" t="str">
        <f>L1003*(1-K1003)</f>
      </c>
    </row>
    <row r="1004">
      <c r="A1004" t="s">
        <v>167</v>
      </c>
      <c r="B1004" t="s">
        <v>254</v>
      </c>
      <c r="C1004" s="35" t="s">
        <v>418</v>
      </c>
      <c r="D1004" t="s">
        <v>502</v>
      </c>
      <c r="E1004" t="s">
        <v>520</v>
      </c>
      <c r="F1004" s="188" t="n">
        <v>2050</v>
      </c>
      <c r="G1004" s="189" t="n">
        <v>32</v>
      </c>
      <c r="H1004" s="190" t="n">
        <v>838.650128936349</v>
      </c>
      <c r="I1004" s="191" t="n">
        <v>4266371.58190305</v>
      </c>
      <c r="J1004" s="192" t="str">
        <f>IF(I1004&gt;0,H1004/I1004,0)</f>
      </c>
      <c r="K1004" s="193" t="str">
        <f>1-EXP(-J1004)</f>
      </c>
      <c r="L1004" s="194" t="str">
        <f>IF(G1004=30,1,M1003)</f>
      </c>
      <c r="M1004" s="195" t="str">
        <f>L1004*(1-K1004)</f>
      </c>
    </row>
    <row r="1005">
      <c r="A1005" t="s">
        <v>167</v>
      </c>
      <c r="B1005" t="s">
        <v>254</v>
      </c>
      <c r="C1005" s="35" t="s">
        <v>418</v>
      </c>
      <c r="D1005" t="s">
        <v>502</v>
      </c>
      <c r="E1005" t="s">
        <v>520</v>
      </c>
      <c r="F1005" s="188" t="n">
        <v>2050</v>
      </c>
      <c r="G1005" s="189" t="n">
        <v>33</v>
      </c>
      <c r="H1005" s="190" t="n">
        <v>898.56780429425</v>
      </c>
      <c r="I1005" s="191" t="n">
        <v>4306742.40796593</v>
      </c>
      <c r="J1005" s="192" t="str">
        <f>IF(I1005&gt;0,H1005/I1005,0)</f>
      </c>
      <c r="K1005" s="193" t="str">
        <f>1-EXP(-J1005)</f>
      </c>
      <c r="L1005" s="194" t="str">
        <f>IF(G1005=30,1,M1004)</f>
      </c>
      <c r="M1005" s="195" t="str">
        <f>L1005*(1-K1005)</f>
      </c>
    </row>
    <row r="1006">
      <c r="A1006" t="s">
        <v>167</v>
      </c>
      <c r="B1006" t="s">
        <v>254</v>
      </c>
      <c r="C1006" s="35" t="s">
        <v>418</v>
      </c>
      <c r="D1006" t="s">
        <v>502</v>
      </c>
      <c r="E1006" t="s">
        <v>520</v>
      </c>
      <c r="F1006" s="188" t="n">
        <v>2050</v>
      </c>
      <c r="G1006" s="189" t="n">
        <v>34</v>
      </c>
      <c r="H1006" s="190" t="n">
        <v>1053.32415585855</v>
      </c>
      <c r="I1006" s="191" t="n">
        <v>4568243.59319919</v>
      </c>
      <c r="J1006" s="192" t="str">
        <f>IF(I1006&gt;0,H1006/I1006,0)</f>
      </c>
      <c r="K1006" s="193" t="str">
        <f>1-EXP(-J1006)</f>
      </c>
      <c r="L1006" s="194" t="str">
        <f>IF(G1006=30,1,M1005)</f>
      </c>
      <c r="M1006" s="195" t="str">
        <f>L1006*(1-K1006)</f>
      </c>
    </row>
    <row r="1007">
      <c r="A1007" t="s">
        <v>167</v>
      </c>
      <c r="B1007" t="s">
        <v>254</v>
      </c>
      <c r="C1007" s="35" t="s">
        <v>418</v>
      </c>
      <c r="D1007" t="s">
        <v>502</v>
      </c>
      <c r="E1007" t="s">
        <v>520</v>
      </c>
      <c r="F1007" s="188" t="n">
        <v>2050</v>
      </c>
      <c r="G1007" s="189" t="n">
        <v>35</v>
      </c>
      <c r="H1007" s="190" t="n">
        <v>1415.91600423728</v>
      </c>
      <c r="I1007" s="191" t="n">
        <v>4616123.79633291</v>
      </c>
      <c r="J1007" s="192" t="str">
        <f>IF(I1007&gt;0,H1007/I1007,0)</f>
      </c>
      <c r="K1007" s="193" t="str">
        <f>1-EXP(-J1007)</f>
      </c>
      <c r="L1007" s="194" t="str">
        <f>IF(G1007=30,1,M1006)</f>
      </c>
      <c r="M1007" s="195" t="str">
        <f>L1007*(1-K1007)</f>
      </c>
    </row>
    <row r="1008">
      <c r="A1008" t="s">
        <v>167</v>
      </c>
      <c r="B1008" t="s">
        <v>254</v>
      </c>
      <c r="C1008" s="35" t="s">
        <v>418</v>
      </c>
      <c r="D1008" t="s">
        <v>502</v>
      </c>
      <c r="E1008" t="s">
        <v>520</v>
      </c>
      <c r="F1008" s="188" t="n">
        <v>2050</v>
      </c>
      <c r="G1008" s="189" t="n">
        <v>36</v>
      </c>
      <c r="H1008" s="190" t="n">
        <v>1701.82737334702</v>
      </c>
      <c r="I1008" s="191" t="n">
        <v>4681057.65239393</v>
      </c>
      <c r="J1008" s="192" t="str">
        <f>IF(I1008&gt;0,H1008/I1008,0)</f>
      </c>
      <c r="K1008" s="193" t="str">
        <f>1-EXP(-J1008)</f>
      </c>
      <c r="L1008" s="194" t="str">
        <f>IF(G1008=30,1,M1007)</f>
      </c>
      <c r="M1008" s="195" t="str">
        <f>L1008*(1-K1008)</f>
      </c>
    </row>
    <row r="1009">
      <c r="A1009" t="s">
        <v>167</v>
      </c>
      <c r="B1009" t="s">
        <v>254</v>
      </c>
      <c r="C1009" s="35" t="s">
        <v>418</v>
      </c>
      <c r="D1009" t="s">
        <v>502</v>
      </c>
      <c r="E1009" t="s">
        <v>520</v>
      </c>
      <c r="F1009" s="188" t="n">
        <v>2050</v>
      </c>
      <c r="G1009" s="189" t="n">
        <v>37</v>
      </c>
      <c r="H1009" s="190" t="n">
        <v>1856.72270841046</v>
      </c>
      <c r="I1009" s="191" t="n">
        <v>4747335.1220219</v>
      </c>
      <c r="J1009" s="192" t="str">
        <f>IF(I1009&gt;0,H1009/I1009,0)</f>
      </c>
      <c r="K1009" s="193" t="str">
        <f>1-EXP(-J1009)</f>
      </c>
      <c r="L1009" s="194" t="str">
        <f>IF(G1009=30,1,M1008)</f>
      </c>
      <c r="M1009" s="195" t="str">
        <f>L1009*(1-K1009)</f>
      </c>
    </row>
    <row r="1010">
      <c r="A1010" t="s">
        <v>167</v>
      </c>
      <c r="B1010" t="s">
        <v>254</v>
      </c>
      <c r="C1010" s="35" t="s">
        <v>418</v>
      </c>
      <c r="D1010" t="s">
        <v>502</v>
      </c>
      <c r="E1010" t="s">
        <v>520</v>
      </c>
      <c r="F1010" s="188" t="n">
        <v>2050</v>
      </c>
      <c r="G1010" s="189" t="n">
        <v>38</v>
      </c>
      <c r="H1010" s="190" t="n">
        <v>2101.51988289622</v>
      </c>
      <c r="I1010" s="191" t="n">
        <v>4857158.526127</v>
      </c>
      <c r="J1010" s="192" t="str">
        <f>IF(I1010&gt;0,H1010/I1010,0)</f>
      </c>
      <c r="K1010" s="193" t="str">
        <f>1-EXP(-J1010)</f>
      </c>
      <c r="L1010" s="194" t="str">
        <f>IF(G1010=30,1,M1009)</f>
      </c>
      <c r="M1010" s="195" t="str">
        <f>L1010*(1-K1010)</f>
      </c>
    </row>
    <row r="1011">
      <c r="A1011" t="s">
        <v>167</v>
      </c>
      <c r="B1011" t="s">
        <v>254</v>
      </c>
      <c r="C1011" s="35" t="s">
        <v>418</v>
      </c>
      <c r="D1011" t="s">
        <v>502</v>
      </c>
      <c r="E1011" t="s">
        <v>520</v>
      </c>
      <c r="F1011" s="188" t="n">
        <v>2050</v>
      </c>
      <c r="G1011" s="189" t="n">
        <v>39</v>
      </c>
      <c r="H1011" s="190" t="n">
        <v>2260.2514921309</v>
      </c>
      <c r="I1011" s="191" t="n">
        <v>4826865.61849544</v>
      </c>
      <c r="J1011" s="192" t="str">
        <f>IF(I1011&gt;0,H1011/I1011,0)</f>
      </c>
      <c r="K1011" s="193" t="str">
        <f>1-EXP(-J1011)</f>
      </c>
      <c r="L1011" s="194" t="str">
        <f>IF(G1011=30,1,M1010)</f>
      </c>
      <c r="M1011" s="195" t="str">
        <f>L1011*(1-K1011)</f>
      </c>
    </row>
    <row r="1012">
      <c r="A1012" t="s">
        <v>167</v>
      </c>
      <c r="B1012" t="s">
        <v>254</v>
      </c>
      <c r="C1012" s="35" t="s">
        <v>418</v>
      </c>
      <c r="D1012" t="s">
        <v>502</v>
      </c>
      <c r="E1012" t="s">
        <v>520</v>
      </c>
      <c r="F1012" s="188" t="n">
        <v>2050</v>
      </c>
      <c r="G1012" s="189" t="n">
        <v>40</v>
      </c>
      <c r="H1012" s="190" t="n">
        <v>2949.08447218979</v>
      </c>
      <c r="I1012" s="191" t="n">
        <v>4691509.05385237</v>
      </c>
      <c r="J1012" s="192" t="str">
        <f>IF(I1012&gt;0,H1012/I1012,0)</f>
      </c>
      <c r="K1012" s="193" t="str">
        <f>1-EXP(-J1012)</f>
      </c>
      <c r="L1012" s="194" t="str">
        <f>IF(G1012=30,1,M1011)</f>
      </c>
      <c r="M1012" s="195" t="str">
        <f>L1012*(1-K1012)</f>
      </c>
    </row>
    <row r="1013">
      <c r="A1013" t="s">
        <v>167</v>
      </c>
      <c r="B1013" t="s">
        <v>254</v>
      </c>
      <c r="C1013" s="35" t="s">
        <v>418</v>
      </c>
      <c r="D1013" t="s">
        <v>502</v>
      </c>
      <c r="E1013" t="s">
        <v>520</v>
      </c>
      <c r="F1013" s="188" t="n">
        <v>2050</v>
      </c>
      <c r="G1013" s="189" t="n">
        <v>41</v>
      </c>
      <c r="H1013" s="190" t="n">
        <v>3262.22359487191</v>
      </c>
      <c r="I1013" s="191" t="n">
        <v>4617410.87242493</v>
      </c>
      <c r="J1013" s="192" t="str">
        <f>IF(I1013&gt;0,H1013/I1013,0)</f>
      </c>
      <c r="K1013" s="193" t="str">
        <f>1-EXP(-J1013)</f>
      </c>
      <c r="L1013" s="194" t="str">
        <f>IF(G1013=30,1,M1012)</f>
      </c>
      <c r="M1013" s="195" t="str">
        <f>L1013*(1-K1013)</f>
      </c>
    </row>
    <row r="1014">
      <c r="A1014" t="s">
        <v>167</v>
      </c>
      <c r="B1014" t="s">
        <v>254</v>
      </c>
      <c r="C1014" s="35" t="s">
        <v>418</v>
      </c>
      <c r="D1014" t="s">
        <v>502</v>
      </c>
      <c r="E1014" t="s">
        <v>520</v>
      </c>
      <c r="F1014" s="188" t="n">
        <v>2050</v>
      </c>
      <c r="G1014" s="189" t="n">
        <v>42</v>
      </c>
      <c r="H1014" s="190" t="n">
        <v>3508.45003519794</v>
      </c>
      <c r="I1014" s="191" t="n">
        <v>4571135.84310527</v>
      </c>
      <c r="J1014" s="192" t="str">
        <f>IF(I1014&gt;0,H1014/I1014,0)</f>
      </c>
      <c r="K1014" s="193" t="str">
        <f>1-EXP(-J1014)</f>
      </c>
      <c r="L1014" s="194" t="str">
        <f>IF(G1014=30,1,M1013)</f>
      </c>
      <c r="M1014" s="195" t="str">
        <f>L1014*(1-K1014)</f>
      </c>
    </row>
    <row r="1015">
      <c r="A1015" t="s">
        <v>167</v>
      </c>
      <c r="B1015" t="s">
        <v>254</v>
      </c>
      <c r="C1015" s="35" t="s">
        <v>418</v>
      </c>
      <c r="D1015" t="s">
        <v>502</v>
      </c>
      <c r="E1015" t="s">
        <v>520</v>
      </c>
      <c r="F1015" s="188" t="n">
        <v>2050</v>
      </c>
      <c r="G1015" s="189" t="n">
        <v>43</v>
      </c>
      <c r="H1015" s="190" t="n">
        <v>3896.23779855673</v>
      </c>
      <c r="I1015" s="191" t="n">
        <v>4591236.58621056</v>
      </c>
      <c r="J1015" s="192" t="str">
        <f>IF(I1015&gt;0,H1015/I1015,0)</f>
      </c>
      <c r="K1015" s="193" t="str">
        <f>1-EXP(-J1015)</f>
      </c>
      <c r="L1015" s="194" t="str">
        <f>IF(G1015=30,1,M1014)</f>
      </c>
      <c r="M1015" s="195" t="str">
        <f>L1015*(1-K1015)</f>
      </c>
    </row>
    <row r="1016">
      <c r="A1016" t="s">
        <v>167</v>
      </c>
      <c r="B1016" t="s">
        <v>254</v>
      </c>
      <c r="C1016" s="35" t="s">
        <v>418</v>
      </c>
      <c r="D1016" t="s">
        <v>502</v>
      </c>
      <c r="E1016" t="s">
        <v>520</v>
      </c>
      <c r="F1016" s="188" t="n">
        <v>2050</v>
      </c>
      <c r="G1016" s="189" t="n">
        <v>44</v>
      </c>
      <c r="H1016" s="190" t="n">
        <v>4167.05023983884</v>
      </c>
      <c r="I1016" s="191" t="n">
        <v>4503963.98596617</v>
      </c>
      <c r="J1016" s="192" t="str">
        <f>IF(I1016&gt;0,H1016/I1016,0)</f>
      </c>
      <c r="K1016" s="193" t="str">
        <f>1-EXP(-J1016)</f>
      </c>
      <c r="L1016" s="194" t="str">
        <f>IF(G1016=30,1,M1015)</f>
      </c>
      <c r="M1016" s="195" t="str">
        <f>L1016*(1-K1016)</f>
      </c>
    </row>
    <row r="1017">
      <c r="A1017" t="s">
        <v>167</v>
      </c>
      <c r="B1017" t="s">
        <v>254</v>
      </c>
      <c r="C1017" s="35" t="s">
        <v>418</v>
      </c>
      <c r="D1017" t="s">
        <v>502</v>
      </c>
      <c r="E1017" t="s">
        <v>520</v>
      </c>
      <c r="F1017" s="188" t="n">
        <v>2050</v>
      </c>
      <c r="G1017" s="189" t="n">
        <v>45</v>
      </c>
      <c r="H1017" s="190" t="n">
        <v>5271.28420617762</v>
      </c>
      <c r="I1017" s="191" t="n">
        <v>4437595.38530844</v>
      </c>
      <c r="J1017" s="192" t="str">
        <f>IF(I1017&gt;0,H1017/I1017,0)</f>
      </c>
      <c r="K1017" s="193" t="str">
        <f>1-EXP(-J1017)</f>
      </c>
      <c r="L1017" s="194" t="str">
        <f>IF(G1017=30,1,M1016)</f>
      </c>
      <c r="M1017" s="195" t="str">
        <f>L1017*(1-K1017)</f>
      </c>
    </row>
    <row r="1018">
      <c r="A1018" t="s">
        <v>167</v>
      </c>
      <c r="B1018" t="s">
        <v>254</v>
      </c>
      <c r="C1018" s="35" t="s">
        <v>418</v>
      </c>
      <c r="D1018" t="s">
        <v>502</v>
      </c>
      <c r="E1018" t="s">
        <v>520</v>
      </c>
      <c r="F1018" s="188" t="n">
        <v>2050</v>
      </c>
      <c r="G1018" s="189" t="n">
        <v>46</v>
      </c>
      <c r="H1018" s="190" t="n">
        <v>5697.26309553278</v>
      </c>
      <c r="I1018" s="191" t="n">
        <v>4303668.61840949</v>
      </c>
      <c r="J1018" s="192" t="str">
        <f>IF(I1018&gt;0,H1018/I1018,0)</f>
      </c>
      <c r="K1018" s="193" t="str">
        <f>1-EXP(-J1018)</f>
      </c>
      <c r="L1018" s="194" t="str">
        <f>IF(G1018=30,1,M1017)</f>
      </c>
      <c r="M1018" s="195" t="str">
        <f>L1018*(1-K1018)</f>
      </c>
    </row>
    <row r="1019">
      <c r="A1019" t="s">
        <v>167</v>
      </c>
      <c r="B1019" t="s">
        <v>254</v>
      </c>
      <c r="C1019" s="35" t="s">
        <v>418</v>
      </c>
      <c r="D1019" t="s">
        <v>502</v>
      </c>
      <c r="E1019" t="s">
        <v>520</v>
      </c>
      <c r="F1019" s="188" t="n">
        <v>2050</v>
      </c>
      <c r="G1019" s="189" t="n">
        <v>47</v>
      </c>
      <c r="H1019" s="190" t="n">
        <v>6148.61951941784</v>
      </c>
      <c r="I1019" s="191" t="n">
        <v>4231347.78181265</v>
      </c>
      <c r="J1019" s="192" t="str">
        <f>IF(I1019&gt;0,H1019/I1019,0)</f>
      </c>
      <c r="K1019" s="193" t="str">
        <f>1-EXP(-J1019)</f>
      </c>
      <c r="L1019" s="194" t="str">
        <f>IF(G1019=30,1,M1018)</f>
      </c>
      <c r="M1019" s="195" t="str">
        <f>L1019*(1-K1019)</f>
      </c>
    </row>
    <row r="1020">
      <c r="A1020" t="s">
        <v>167</v>
      </c>
      <c r="B1020" t="s">
        <v>254</v>
      </c>
      <c r="C1020" s="35" t="s">
        <v>418</v>
      </c>
      <c r="D1020" t="s">
        <v>502</v>
      </c>
      <c r="E1020" t="s">
        <v>520</v>
      </c>
      <c r="F1020" s="188" t="n">
        <v>2050</v>
      </c>
      <c r="G1020" s="189" t="n">
        <v>48</v>
      </c>
      <c r="H1020" s="190" t="n">
        <v>6855.12366131834</v>
      </c>
      <c r="I1020" s="191" t="n">
        <v>4198278.08302794</v>
      </c>
      <c r="J1020" s="192" t="str">
        <f>IF(I1020&gt;0,H1020/I1020,0)</f>
      </c>
      <c r="K1020" s="193" t="str">
        <f>1-EXP(-J1020)</f>
      </c>
      <c r="L1020" s="194" t="str">
        <f>IF(G1020=30,1,M1019)</f>
      </c>
      <c r="M1020" s="195" t="str">
        <f>L1020*(1-K1020)</f>
      </c>
    </row>
    <row r="1021">
      <c r="A1021" t="s">
        <v>167</v>
      </c>
      <c r="B1021" t="s">
        <v>254</v>
      </c>
      <c r="C1021" s="35" t="s">
        <v>418</v>
      </c>
      <c r="D1021" t="s">
        <v>502</v>
      </c>
      <c r="E1021" t="s">
        <v>520</v>
      </c>
      <c r="F1021" s="188" t="n">
        <v>2050</v>
      </c>
      <c r="G1021" s="189" t="n">
        <v>49</v>
      </c>
      <c r="H1021" s="190" t="n">
        <v>7488.90919326578</v>
      </c>
      <c r="I1021" s="191" t="n">
        <v>4167836.11608966</v>
      </c>
      <c r="J1021" s="192" t="str">
        <f>IF(I1021&gt;0,H1021/I1021,0)</f>
      </c>
      <c r="K1021" s="193" t="str">
        <f>1-EXP(-J1021)</f>
      </c>
      <c r="L1021" s="194" t="str">
        <f>IF(G1021=30,1,M1020)</f>
      </c>
      <c r="M1021" s="195" t="str">
        <f>L1021*(1-K1021)</f>
      </c>
    </row>
    <row r="1022">
      <c r="A1022" t="s">
        <v>167</v>
      </c>
      <c r="B1022" t="s">
        <v>254</v>
      </c>
      <c r="C1022" s="35" t="s">
        <v>418</v>
      </c>
      <c r="D1022" t="s">
        <v>502</v>
      </c>
      <c r="E1022" t="s">
        <v>520</v>
      </c>
      <c r="F1022" s="188" t="n">
        <v>2050</v>
      </c>
      <c r="G1022" s="189" t="n">
        <v>50</v>
      </c>
      <c r="H1022" s="190" t="n">
        <v>8478.63298208287</v>
      </c>
      <c r="I1022" s="191" t="n">
        <v>4135881.81046487</v>
      </c>
      <c r="J1022" s="192" t="str">
        <f>IF(I1022&gt;0,H1022/I1022,0)</f>
      </c>
      <c r="K1022" s="193" t="str">
        <f>1-EXP(-J1022)</f>
      </c>
      <c r="L1022" s="194" t="str">
        <f>IF(G1022=30,1,M1021)</f>
      </c>
      <c r="M1022" s="195" t="str">
        <f>L1022*(1-K1022)</f>
      </c>
    </row>
    <row r="1023">
      <c r="A1023" t="s">
        <v>167</v>
      </c>
      <c r="B1023" t="s">
        <v>254</v>
      </c>
      <c r="C1023" s="35" t="s">
        <v>418</v>
      </c>
      <c r="D1023" t="s">
        <v>502</v>
      </c>
      <c r="E1023" t="s">
        <v>520</v>
      </c>
      <c r="F1023" s="188" t="n">
        <v>2050</v>
      </c>
      <c r="G1023" s="189" t="n">
        <v>51</v>
      </c>
      <c r="H1023" s="190" t="n">
        <v>9350.80387049122</v>
      </c>
      <c r="I1023" s="191" t="n">
        <v>4140025.72674945</v>
      </c>
      <c r="J1023" s="192" t="str">
        <f>IF(I1023&gt;0,H1023/I1023,0)</f>
      </c>
      <c r="K1023" s="193" t="str">
        <f>1-EXP(-J1023)</f>
      </c>
      <c r="L1023" s="194" t="str">
        <f>IF(G1023=30,1,M1022)</f>
      </c>
      <c r="M1023" s="195" t="str">
        <f>L1023*(1-K1023)</f>
      </c>
    </row>
    <row r="1024">
      <c r="A1024" t="s">
        <v>167</v>
      </c>
      <c r="B1024" t="s">
        <v>254</v>
      </c>
      <c r="C1024" s="35" t="s">
        <v>418</v>
      </c>
      <c r="D1024" t="s">
        <v>502</v>
      </c>
      <c r="E1024" t="s">
        <v>520</v>
      </c>
      <c r="F1024" s="188" t="n">
        <v>2050</v>
      </c>
      <c r="G1024" s="189" t="n">
        <v>52</v>
      </c>
      <c r="H1024" s="190" t="n">
        <v>10346.6393361267</v>
      </c>
      <c r="I1024" s="191" t="n">
        <v>4180192.55846435</v>
      </c>
      <c r="J1024" s="192" t="str">
        <f>IF(I1024&gt;0,H1024/I1024,0)</f>
      </c>
      <c r="K1024" s="193" t="str">
        <f>1-EXP(-J1024)</f>
      </c>
      <c r="L1024" s="194" t="str">
        <f>IF(G1024=30,1,M1023)</f>
      </c>
      <c r="M1024" s="195" t="str">
        <f>L1024*(1-K1024)</f>
      </c>
    </row>
    <row r="1025">
      <c r="A1025" t="s">
        <v>167</v>
      </c>
      <c r="B1025" t="s">
        <v>254</v>
      </c>
      <c r="C1025" s="35" t="s">
        <v>418</v>
      </c>
      <c r="D1025" t="s">
        <v>502</v>
      </c>
      <c r="E1025" t="s">
        <v>520</v>
      </c>
      <c r="F1025" s="188" t="n">
        <v>2050</v>
      </c>
      <c r="G1025" s="189" t="n">
        <v>53</v>
      </c>
      <c r="H1025" s="190" t="n">
        <v>11755.4604834453</v>
      </c>
      <c r="I1025" s="191" t="n">
        <v>4289585.41237606</v>
      </c>
      <c r="J1025" s="192" t="str">
        <f>IF(I1025&gt;0,H1025/I1025,0)</f>
      </c>
      <c r="K1025" s="193" t="str">
        <f>1-EXP(-J1025)</f>
      </c>
      <c r="L1025" s="194" t="str">
        <f>IF(G1025=30,1,M1024)</f>
      </c>
      <c r="M1025" s="195" t="str">
        <f>L1025*(1-K1025)</f>
      </c>
    </row>
    <row r="1026">
      <c r="A1026" t="s">
        <v>167</v>
      </c>
      <c r="B1026" t="s">
        <v>254</v>
      </c>
      <c r="C1026" s="35" t="s">
        <v>418</v>
      </c>
      <c r="D1026" t="s">
        <v>502</v>
      </c>
      <c r="E1026" t="s">
        <v>520</v>
      </c>
      <c r="F1026" s="188" t="n">
        <v>2050</v>
      </c>
      <c r="G1026" s="189" t="n">
        <v>54</v>
      </c>
      <c r="H1026" s="190" t="n">
        <v>12622.5858797565</v>
      </c>
      <c r="I1026" s="191" t="n">
        <v>4227770.79030463</v>
      </c>
      <c r="J1026" s="192" t="str">
        <f>IF(I1026&gt;0,H1026/I1026,0)</f>
      </c>
      <c r="K1026" s="193" t="str">
        <f>1-EXP(-J1026)</f>
      </c>
      <c r="L1026" s="194" t="str">
        <f>IF(G1026=30,1,M1025)</f>
      </c>
      <c r="M1026" s="195" t="str">
        <f>L1026*(1-K1026)</f>
      </c>
    </row>
    <row r="1027">
      <c r="A1027" t="s">
        <v>167</v>
      </c>
      <c r="B1027" t="s">
        <v>254</v>
      </c>
      <c r="C1027" s="35" t="s">
        <v>418</v>
      </c>
      <c r="D1027" t="s">
        <v>502</v>
      </c>
      <c r="E1027" t="s">
        <v>520</v>
      </c>
      <c r="F1027" s="188" t="n">
        <v>2050</v>
      </c>
      <c r="G1027" s="189" t="n">
        <v>55</v>
      </c>
      <c r="H1027" s="190" t="n">
        <v>13144.0628407608</v>
      </c>
      <c r="I1027" s="191" t="n">
        <v>4136149.71339147</v>
      </c>
      <c r="J1027" s="192" t="str">
        <f>IF(I1027&gt;0,H1027/I1027,0)</f>
      </c>
      <c r="K1027" s="193" t="str">
        <f>1-EXP(-J1027)</f>
      </c>
      <c r="L1027" s="194" t="str">
        <f>IF(G1027=30,1,M1026)</f>
      </c>
      <c r="M1027" s="195" t="str">
        <f>L1027*(1-K1027)</f>
      </c>
    </row>
    <row r="1028">
      <c r="A1028" t="s">
        <v>167</v>
      </c>
      <c r="B1028" t="s">
        <v>254</v>
      </c>
      <c r="C1028" s="35" t="s">
        <v>418</v>
      </c>
      <c r="D1028" t="s">
        <v>502</v>
      </c>
      <c r="E1028" t="s">
        <v>520</v>
      </c>
      <c r="F1028" s="188" t="n">
        <v>2050</v>
      </c>
      <c r="G1028" s="189" t="n">
        <v>56</v>
      </c>
      <c r="H1028" s="190" t="n">
        <v>13975.0721447154</v>
      </c>
      <c r="I1028" s="191" t="n">
        <v>4057799.76253551</v>
      </c>
      <c r="J1028" s="192" t="str">
        <f>IF(I1028&gt;0,H1028/I1028,0)</f>
      </c>
      <c r="K1028" s="193" t="str">
        <f>1-EXP(-J1028)</f>
      </c>
      <c r="L1028" s="194" t="str">
        <f>IF(G1028=30,1,M1027)</f>
      </c>
      <c r="M1028" s="195" t="str">
        <f>L1028*(1-K1028)</f>
      </c>
    </row>
    <row r="1029">
      <c r="A1029" t="s">
        <v>167</v>
      </c>
      <c r="B1029" t="s">
        <v>254</v>
      </c>
      <c r="C1029" s="35" t="s">
        <v>418</v>
      </c>
      <c r="D1029" t="s">
        <v>502</v>
      </c>
      <c r="E1029" t="s">
        <v>520</v>
      </c>
      <c r="F1029" s="188" t="n">
        <v>2050</v>
      </c>
      <c r="G1029" s="189" t="n">
        <v>57</v>
      </c>
      <c r="H1029" s="190" t="n">
        <v>14958.1321212408</v>
      </c>
      <c r="I1029" s="191" t="n">
        <v>3981276.94683958</v>
      </c>
      <c r="J1029" s="192" t="str">
        <f>IF(I1029&gt;0,H1029/I1029,0)</f>
      </c>
      <c r="K1029" s="193" t="str">
        <f>1-EXP(-J1029)</f>
      </c>
      <c r="L1029" s="194" t="str">
        <f>IF(G1029=30,1,M1028)</f>
      </c>
      <c r="M1029" s="195" t="str">
        <f>L1029*(1-K1029)</f>
      </c>
    </row>
    <row r="1030">
      <c r="A1030" t="s">
        <v>167</v>
      </c>
      <c r="B1030" t="s">
        <v>254</v>
      </c>
      <c r="C1030" s="35" t="s">
        <v>418</v>
      </c>
      <c r="D1030" t="s">
        <v>502</v>
      </c>
      <c r="E1030" t="s">
        <v>520</v>
      </c>
      <c r="F1030" s="188" t="n">
        <v>2050</v>
      </c>
      <c r="G1030" s="189" t="n">
        <v>58</v>
      </c>
      <c r="H1030" s="190" t="n">
        <v>16351.4805824855</v>
      </c>
      <c r="I1030" s="191" t="n">
        <v>3987033.41224391</v>
      </c>
      <c r="J1030" s="192" t="str">
        <f>IF(I1030&gt;0,H1030/I1030,0)</f>
      </c>
      <c r="K1030" s="193" t="str">
        <f>1-EXP(-J1030)</f>
      </c>
      <c r="L1030" s="194" t="str">
        <f>IF(G1030=30,1,M1029)</f>
      </c>
      <c r="M1030" s="195" t="str">
        <f>L1030*(1-K1030)</f>
      </c>
    </row>
    <row r="1031">
      <c r="A1031" t="s">
        <v>167</v>
      </c>
      <c r="B1031" t="s">
        <v>254</v>
      </c>
      <c r="C1031" s="35" t="s">
        <v>418</v>
      </c>
      <c r="D1031" t="s">
        <v>502</v>
      </c>
      <c r="E1031" t="s">
        <v>520</v>
      </c>
      <c r="F1031" s="188" t="n">
        <v>2050</v>
      </c>
      <c r="G1031" s="189" t="n">
        <v>59</v>
      </c>
      <c r="H1031" s="190" t="n">
        <v>17845.0946826274</v>
      </c>
      <c r="I1031" s="191" t="n">
        <v>3971410.65895083</v>
      </c>
      <c r="J1031" s="192" t="str">
        <f>IF(I1031&gt;0,H1031/I1031,0)</f>
      </c>
      <c r="K1031" s="193" t="str">
        <f>1-EXP(-J1031)</f>
      </c>
      <c r="L1031" s="194" t="str">
        <f>IF(G1031=30,1,M1030)</f>
      </c>
      <c r="M1031" s="195" t="str">
        <f>L1031*(1-K1031)</f>
      </c>
    </row>
    <row r="1032">
      <c r="A1032" t="s">
        <v>167</v>
      </c>
      <c r="B1032" t="s">
        <v>254</v>
      </c>
      <c r="C1032" s="35" t="s">
        <v>418</v>
      </c>
      <c r="D1032" t="s">
        <v>502</v>
      </c>
      <c r="E1032" t="s">
        <v>520</v>
      </c>
      <c r="F1032" s="188" t="n">
        <v>2050</v>
      </c>
      <c r="G1032" s="189" t="n">
        <v>60</v>
      </c>
      <c r="H1032" s="190" t="n">
        <v>25791.7282524679</v>
      </c>
      <c r="I1032" s="191" t="n">
        <v>5839439.47475465</v>
      </c>
      <c r="J1032" s="192" t="str">
        <f>IF(I1032&gt;0,H1032/I1032,0)</f>
      </c>
      <c r="K1032" s="193" t="str">
        <f>1-EXP(-J1032)</f>
      </c>
      <c r="L1032" s="194" t="str">
        <f>IF(G1032=30,1,M1031)</f>
      </c>
      <c r="M1032" s="195" t="str">
        <f>L1032*(1-K1032)</f>
      </c>
    </row>
    <row r="1033">
      <c r="A1033" t="s">
        <v>167</v>
      </c>
      <c r="B1033" t="s">
        <v>254</v>
      </c>
      <c r="C1033" s="35" t="s">
        <v>418</v>
      </c>
      <c r="D1033" t="s">
        <v>502</v>
      </c>
      <c r="E1033" t="s">
        <v>520</v>
      </c>
      <c r="F1033" s="188" t="n">
        <v>2050</v>
      </c>
      <c r="G1033" s="189" t="n">
        <v>61</v>
      </c>
      <c r="H1033" s="190" t="n">
        <v>20508.6416244026</v>
      </c>
      <c r="I1033" s="191" t="n">
        <v>3861317.62489752</v>
      </c>
      <c r="J1033" s="192" t="str">
        <f>IF(I1033&gt;0,H1033/I1033,0)</f>
      </c>
      <c r="K1033" s="193" t="str">
        <f>1-EXP(-J1033)</f>
      </c>
      <c r="L1033" s="194" t="str">
        <f>IF(G1033=30,1,M1032)</f>
      </c>
      <c r="M1033" s="195" t="str">
        <f>L1033*(1-K1033)</f>
      </c>
    </row>
    <row r="1034">
      <c r="A1034" t="s">
        <v>167</v>
      </c>
      <c r="B1034" t="s">
        <v>254</v>
      </c>
      <c r="C1034" s="35" t="s">
        <v>418</v>
      </c>
      <c r="D1034" t="s">
        <v>502</v>
      </c>
      <c r="E1034" t="s">
        <v>520</v>
      </c>
      <c r="F1034" s="188" t="n">
        <v>2050</v>
      </c>
      <c r="G1034" s="189" t="n">
        <v>62</v>
      </c>
      <c r="H1034" s="190" t="n">
        <v>22222.5269572327</v>
      </c>
      <c r="I1034" s="191" t="n">
        <v>3805173.08929023</v>
      </c>
      <c r="J1034" s="192" t="str">
        <f>IF(I1034&gt;0,H1034/I1034,0)</f>
      </c>
      <c r="K1034" s="193" t="str">
        <f>1-EXP(-J1034)</f>
      </c>
      <c r="L1034" s="194" t="str">
        <f>IF(G1034=30,1,M1033)</f>
      </c>
      <c r="M1034" s="195" t="str">
        <f>L1034*(1-K1034)</f>
      </c>
    </row>
    <row r="1035">
      <c r="A1035" t="s">
        <v>167</v>
      </c>
      <c r="B1035" t="s">
        <v>254</v>
      </c>
      <c r="C1035" s="35" t="s">
        <v>418</v>
      </c>
      <c r="D1035" t="s">
        <v>502</v>
      </c>
      <c r="E1035" t="s">
        <v>520</v>
      </c>
      <c r="F1035" s="188" t="n">
        <v>2050</v>
      </c>
      <c r="G1035" s="189" t="n">
        <v>63</v>
      </c>
      <c r="H1035" s="190" t="n">
        <v>23411.6966440613</v>
      </c>
      <c r="I1035" s="191" t="n">
        <v>3644823.33357889</v>
      </c>
      <c r="J1035" s="192" t="str">
        <f>IF(I1035&gt;0,H1035/I1035,0)</f>
      </c>
      <c r="K1035" s="193" t="str">
        <f>1-EXP(-J1035)</f>
      </c>
      <c r="L1035" s="194" t="str">
        <f>IF(G1035=30,1,M1034)</f>
      </c>
      <c r="M1035" s="195" t="str">
        <f>L1035*(1-K1035)</f>
      </c>
    </row>
    <row r="1036">
      <c r="A1036" t="s">
        <v>167</v>
      </c>
      <c r="B1036" t="s">
        <v>254</v>
      </c>
      <c r="C1036" s="35" t="s">
        <v>418</v>
      </c>
      <c r="D1036" t="s">
        <v>502</v>
      </c>
      <c r="E1036" t="s">
        <v>520</v>
      </c>
      <c r="F1036" s="188" t="n">
        <v>2050</v>
      </c>
      <c r="G1036" s="189" t="n">
        <v>64</v>
      </c>
      <c r="H1036" s="190" t="n">
        <v>25178.8922227452</v>
      </c>
      <c r="I1036" s="191" t="n">
        <v>3567613.55044368</v>
      </c>
      <c r="J1036" s="192" t="str">
        <f>IF(I1036&gt;0,H1036/I1036,0)</f>
      </c>
      <c r="K1036" s="193" t="str">
        <f>1-EXP(-J1036)</f>
      </c>
      <c r="L1036" s="194" t="str">
        <f>IF(G1036=30,1,M1035)</f>
      </c>
      <c r="M1036" s="195" t="str">
        <f>L1036*(1-K1036)</f>
      </c>
    </row>
    <row r="1037">
      <c r="A1037" t="s">
        <v>167</v>
      </c>
      <c r="B1037" t="s">
        <v>254</v>
      </c>
      <c r="C1037" s="35" t="s">
        <v>418</v>
      </c>
      <c r="D1037" t="s">
        <v>502</v>
      </c>
      <c r="E1037" t="s">
        <v>520</v>
      </c>
      <c r="F1037" s="188" t="n">
        <v>2050</v>
      </c>
      <c r="G1037" s="189" t="n">
        <v>65</v>
      </c>
      <c r="H1037" s="190" t="n">
        <v>26231.1410110224</v>
      </c>
      <c r="I1037" s="191" t="n">
        <v>3566309.9363681</v>
      </c>
      <c r="J1037" s="192" t="str">
        <f>IF(I1037&gt;0,H1037/I1037,0)</f>
      </c>
      <c r="K1037" s="193" t="str">
        <f>1-EXP(-J1037)</f>
      </c>
      <c r="L1037" s="194" t="str">
        <f>IF(G1037=30,1,M1036)</f>
      </c>
      <c r="M1037" s="195" t="str">
        <f>L1037*(1-K1037)</f>
      </c>
    </row>
    <row r="1038">
      <c r="A1038" t="s">
        <v>167</v>
      </c>
      <c r="B1038" t="s">
        <v>254</v>
      </c>
      <c r="C1038" s="35" t="s">
        <v>418</v>
      </c>
      <c r="D1038" t="s">
        <v>502</v>
      </c>
      <c r="E1038" t="s">
        <v>520</v>
      </c>
      <c r="F1038" s="188" t="n">
        <v>2050</v>
      </c>
      <c r="G1038" s="189" t="n">
        <v>66</v>
      </c>
      <c r="H1038" s="190" t="n">
        <v>28897.1868428392</v>
      </c>
      <c r="I1038" s="191" t="n">
        <v>3580857.32359941</v>
      </c>
      <c r="J1038" s="192" t="str">
        <f>IF(I1038&gt;0,H1038/I1038,0)</f>
      </c>
      <c r="K1038" s="193" t="str">
        <f>1-EXP(-J1038)</f>
      </c>
      <c r="L1038" s="194" t="str">
        <f>IF(G1038=30,1,M1037)</f>
      </c>
      <c r="M1038" s="195" t="str">
        <f>L1038*(1-K1038)</f>
      </c>
    </row>
    <row r="1039">
      <c r="A1039" t="s">
        <v>167</v>
      </c>
      <c r="B1039" t="s">
        <v>254</v>
      </c>
      <c r="C1039" s="35" t="s">
        <v>418</v>
      </c>
      <c r="D1039" t="s">
        <v>502</v>
      </c>
      <c r="E1039" t="s">
        <v>520</v>
      </c>
      <c r="F1039" s="188" t="n">
        <v>2050</v>
      </c>
      <c r="G1039" s="189" t="n">
        <v>67</v>
      </c>
      <c r="H1039" s="190" t="n">
        <v>31044.1499984576</v>
      </c>
      <c r="I1039" s="191" t="n">
        <v>3498543.41654913</v>
      </c>
      <c r="J1039" s="192" t="str">
        <f>IF(I1039&gt;0,H1039/I1039,0)</f>
      </c>
      <c r="K1039" s="193" t="str">
        <f>1-EXP(-J1039)</f>
      </c>
      <c r="L1039" s="194" t="str">
        <f>IF(G1039=30,1,M1038)</f>
      </c>
      <c r="M1039" s="195" t="str">
        <f>L1039*(1-K1039)</f>
      </c>
    </row>
    <row r="1040">
      <c r="A1040" t="s">
        <v>167</v>
      </c>
      <c r="B1040" t="s">
        <v>254</v>
      </c>
      <c r="C1040" s="35" t="s">
        <v>418</v>
      </c>
      <c r="D1040" t="s">
        <v>502</v>
      </c>
      <c r="E1040" t="s">
        <v>520</v>
      </c>
      <c r="F1040" s="188" t="n">
        <v>2050</v>
      </c>
      <c r="G1040" s="189" t="n">
        <v>68</v>
      </c>
      <c r="H1040" s="190" t="n">
        <v>32452.5927276936</v>
      </c>
      <c r="I1040" s="191" t="n">
        <v>3321156.63895619</v>
      </c>
      <c r="J1040" s="192" t="str">
        <f>IF(I1040&gt;0,H1040/I1040,0)</f>
      </c>
      <c r="K1040" s="193" t="str">
        <f>1-EXP(-J1040)</f>
      </c>
      <c r="L1040" s="194" t="str">
        <f>IF(G1040=30,1,M1039)</f>
      </c>
      <c r="M1040" s="195" t="str">
        <f>L1040*(1-K1040)</f>
      </c>
    </row>
    <row r="1041">
      <c r="A1041" t="s">
        <v>167</v>
      </c>
      <c r="B1041" t="s">
        <v>254</v>
      </c>
      <c r="C1041" s="35" t="s">
        <v>418</v>
      </c>
      <c r="D1041" t="s">
        <v>502</v>
      </c>
      <c r="E1041" t="s">
        <v>520</v>
      </c>
      <c r="F1041" s="188" t="n">
        <v>2050</v>
      </c>
      <c r="G1041" s="189" t="n">
        <v>69</v>
      </c>
      <c r="H1041" s="190" t="n">
        <v>34364.8605260996</v>
      </c>
      <c r="I1041" s="191" t="n">
        <v>3192761.58202469</v>
      </c>
      <c r="J1041" s="192" t="str">
        <f>IF(I1041&gt;0,H1041/I1041,0)</f>
      </c>
      <c r="K1041" s="193" t="str">
        <f>1-EXP(-J1041)</f>
      </c>
      <c r="L1041" s="194" t="str">
        <f>IF(G1041=30,1,M1040)</f>
      </c>
      <c r="M1041" s="195" t="str">
        <f>L1041*(1-K1041)</f>
      </c>
    </row>
    <row r="1042">
      <c r="A1042" t="s">
        <v>167</v>
      </c>
      <c r="B1042" t="s">
        <v>219</v>
      </c>
      <c r="C1042" s="35" t="s">
        <v>221</v>
      </c>
      <c r="D1042" t="s">
        <v>502</v>
      </c>
      <c r="E1042" t="s">
        <v>520</v>
      </c>
      <c r="F1042" s="188" t="n">
        <v>2025</v>
      </c>
      <c r="G1042" s="189" t="n">
        <v>30</v>
      </c>
      <c r="H1042" s="190" t="n">
        <v>1282.14808007526</v>
      </c>
      <c r="I1042" s="191" t="n">
        <v>4467259.00744984</v>
      </c>
      <c r="J1042" s="192" t="str">
        <f>IF(I1042&gt;0,H1042/I1042,0)</f>
      </c>
      <c r="K1042" s="193" t="str">
        <f>1-EXP(-J1042)</f>
      </c>
      <c r="L1042" s="194" t="str">
        <f>IF(G1042=30,1,M1041)</f>
      </c>
      <c r="M1042" s="195" t="str">
        <f>L1042*(1-K1042)</f>
      </c>
    </row>
    <row r="1043">
      <c r="A1043" t="s">
        <v>167</v>
      </c>
      <c r="B1043" t="s">
        <v>219</v>
      </c>
      <c r="C1043" s="35" t="s">
        <v>221</v>
      </c>
      <c r="D1043" t="s">
        <v>502</v>
      </c>
      <c r="E1043" t="s">
        <v>520</v>
      </c>
      <c r="F1043" s="188" t="n">
        <v>2025</v>
      </c>
      <c r="G1043" s="189" t="n">
        <v>31</v>
      </c>
      <c r="H1043" s="190" t="n">
        <v>1315.23908698248</v>
      </c>
      <c r="I1043" s="191" t="n">
        <v>4410712.39044934</v>
      </c>
      <c r="J1043" s="192" t="str">
        <f>IF(I1043&gt;0,H1043/I1043,0)</f>
      </c>
      <c r="K1043" s="193" t="str">
        <f>1-EXP(-J1043)</f>
      </c>
      <c r="L1043" s="194" t="str">
        <f>IF(G1043=30,1,M1042)</f>
      </c>
      <c r="M1043" s="195" t="str">
        <f>L1043*(1-K1043)</f>
      </c>
    </row>
    <row r="1044">
      <c r="A1044" t="s">
        <v>167</v>
      </c>
      <c r="B1044" t="s">
        <v>219</v>
      </c>
      <c r="C1044" s="35" t="s">
        <v>221</v>
      </c>
      <c r="D1044" t="s">
        <v>502</v>
      </c>
      <c r="E1044" t="s">
        <v>520</v>
      </c>
      <c r="F1044" s="188" t="n">
        <v>2025</v>
      </c>
      <c r="G1044" s="189" t="n">
        <v>32</v>
      </c>
      <c r="H1044" s="190" t="n">
        <v>1358.36874107968</v>
      </c>
      <c r="I1044" s="191" t="n">
        <v>4358505.80076359</v>
      </c>
      <c r="J1044" s="192" t="str">
        <f>IF(I1044&gt;0,H1044/I1044,0)</f>
      </c>
      <c r="K1044" s="193" t="str">
        <f>1-EXP(-J1044)</f>
      </c>
      <c r="L1044" s="194" t="str">
        <f>IF(G1044=30,1,M1043)</f>
      </c>
      <c r="M1044" s="195" t="str">
        <f>L1044*(1-K1044)</f>
      </c>
    </row>
    <row r="1045">
      <c r="A1045" t="s">
        <v>167</v>
      </c>
      <c r="B1045" t="s">
        <v>219</v>
      </c>
      <c r="C1045" s="35" t="s">
        <v>221</v>
      </c>
      <c r="D1045" t="s">
        <v>502</v>
      </c>
      <c r="E1045" t="s">
        <v>520</v>
      </c>
      <c r="F1045" s="188" t="n">
        <v>2025</v>
      </c>
      <c r="G1045" s="189" t="n">
        <v>33</v>
      </c>
      <c r="H1045" s="190" t="n">
        <v>1441.84186563352</v>
      </c>
      <c r="I1045" s="191" t="n">
        <v>4398745.92791286</v>
      </c>
      <c r="J1045" s="192" t="str">
        <f>IF(I1045&gt;0,H1045/I1045,0)</f>
      </c>
      <c r="K1045" s="193" t="str">
        <f>1-EXP(-J1045)</f>
      </c>
      <c r="L1045" s="194" t="str">
        <f>IF(G1045=30,1,M1044)</f>
      </c>
      <c r="M1045" s="195" t="str">
        <f>L1045*(1-K1045)</f>
      </c>
    </row>
    <row r="1046">
      <c r="A1046" t="s">
        <v>167</v>
      </c>
      <c r="B1046" t="s">
        <v>219</v>
      </c>
      <c r="C1046" s="35" t="s">
        <v>221</v>
      </c>
      <c r="D1046" t="s">
        <v>502</v>
      </c>
      <c r="E1046" t="s">
        <v>520</v>
      </c>
      <c r="F1046" s="188" t="n">
        <v>2025</v>
      </c>
      <c r="G1046" s="189" t="n">
        <v>34</v>
      </c>
      <c r="H1046" s="190" t="n">
        <v>1533.78714702233</v>
      </c>
      <c r="I1046" s="191" t="n">
        <v>4419468.588996</v>
      </c>
      <c r="J1046" s="192" t="str">
        <f>IF(I1046&gt;0,H1046/I1046,0)</f>
      </c>
      <c r="K1046" s="193" t="str">
        <f>1-EXP(-J1046)</f>
      </c>
      <c r="L1046" s="194" t="str">
        <f>IF(G1046=30,1,M1045)</f>
      </c>
      <c r="M1046" s="195" t="str">
        <f>L1046*(1-K1046)</f>
      </c>
    </row>
    <row r="1047">
      <c r="A1047" t="s">
        <v>167</v>
      </c>
      <c r="B1047" t="s">
        <v>219</v>
      </c>
      <c r="C1047" s="35" t="s">
        <v>221</v>
      </c>
      <c r="D1047" t="s">
        <v>502</v>
      </c>
      <c r="E1047" t="s">
        <v>520</v>
      </c>
      <c r="F1047" s="188" t="n">
        <v>2025</v>
      </c>
      <c r="G1047" s="189" t="n">
        <v>35</v>
      </c>
      <c r="H1047" s="190" t="n">
        <v>3016.10693161697</v>
      </c>
      <c r="I1047" s="191" t="n">
        <v>6509663.36688188</v>
      </c>
      <c r="J1047" s="192" t="str">
        <f>IF(I1047&gt;0,H1047/I1047,0)</f>
      </c>
      <c r="K1047" s="193" t="str">
        <f>1-EXP(-J1047)</f>
      </c>
      <c r="L1047" s="194" t="str">
        <f>IF(G1047=30,1,M1046)</f>
      </c>
      <c r="M1047" s="195" t="str">
        <f>L1047*(1-K1047)</f>
      </c>
    </row>
    <row r="1048">
      <c r="A1048" t="s">
        <v>167</v>
      </c>
      <c r="B1048" t="s">
        <v>219</v>
      </c>
      <c r="C1048" s="35" t="s">
        <v>221</v>
      </c>
      <c r="D1048" t="s">
        <v>502</v>
      </c>
      <c r="E1048" t="s">
        <v>520</v>
      </c>
      <c r="F1048" s="188" t="n">
        <v>2025</v>
      </c>
      <c r="G1048" s="189" t="n">
        <v>36</v>
      </c>
      <c r="H1048" s="190" t="n">
        <v>2254.70933318993</v>
      </c>
      <c r="I1048" s="191" t="n">
        <v>4383096.00549538</v>
      </c>
      <c r="J1048" s="192" t="str">
        <f>IF(I1048&gt;0,H1048/I1048,0)</f>
      </c>
      <c r="K1048" s="193" t="str">
        <f>1-EXP(-J1048)</f>
      </c>
      <c r="L1048" s="194" t="str">
        <f>IF(G1048=30,1,M1047)</f>
      </c>
      <c r="M1048" s="195" t="str">
        <f>L1048*(1-K1048)</f>
      </c>
    </row>
    <row r="1049">
      <c r="A1049" t="s">
        <v>167</v>
      </c>
      <c r="B1049" t="s">
        <v>219</v>
      </c>
      <c r="C1049" s="35" t="s">
        <v>221</v>
      </c>
      <c r="D1049" t="s">
        <v>502</v>
      </c>
      <c r="E1049" t="s">
        <v>520</v>
      </c>
      <c r="F1049" s="188" t="n">
        <v>2025</v>
      </c>
      <c r="G1049" s="189" t="n">
        <v>37</v>
      </c>
      <c r="H1049" s="190" t="n">
        <v>2406.72848505594</v>
      </c>
      <c r="I1049" s="191" t="n">
        <v>4369642.29305489</v>
      </c>
      <c r="J1049" s="192" t="str">
        <f>IF(I1049&gt;0,H1049/I1049,0)</f>
      </c>
      <c r="K1049" s="193" t="str">
        <f>1-EXP(-J1049)</f>
      </c>
      <c r="L1049" s="194" t="str">
        <f>IF(G1049=30,1,M1048)</f>
      </c>
      <c r="M1049" s="195" t="str">
        <f>L1049*(1-K1049)</f>
      </c>
    </row>
    <row r="1050">
      <c r="A1050" t="s">
        <v>167</v>
      </c>
      <c r="B1050" t="s">
        <v>219</v>
      </c>
      <c r="C1050" s="35" t="s">
        <v>221</v>
      </c>
      <c r="D1050" t="s">
        <v>502</v>
      </c>
      <c r="E1050" t="s">
        <v>520</v>
      </c>
      <c r="F1050" s="188" t="n">
        <v>2025</v>
      </c>
      <c r="G1050" s="189" t="n">
        <v>38</v>
      </c>
      <c r="H1050" s="190" t="n">
        <v>2504.26492550023</v>
      </c>
      <c r="I1050" s="191" t="n">
        <v>4239505.8530855</v>
      </c>
      <c r="J1050" s="192" t="str">
        <f>IF(I1050&gt;0,H1050/I1050,0)</f>
      </c>
      <c r="K1050" s="193" t="str">
        <f>1-EXP(-J1050)</f>
      </c>
      <c r="L1050" s="194" t="str">
        <f>IF(G1050=30,1,M1049)</f>
      </c>
      <c r="M1050" s="195" t="str">
        <f>L1050*(1-K1050)</f>
      </c>
    </row>
    <row r="1051">
      <c r="A1051" t="s">
        <v>167</v>
      </c>
      <c r="B1051" t="s">
        <v>219</v>
      </c>
      <c r="C1051" s="35" t="s">
        <v>221</v>
      </c>
      <c r="D1051" t="s">
        <v>502</v>
      </c>
      <c r="E1051" t="s">
        <v>520</v>
      </c>
      <c r="F1051" s="188" t="n">
        <v>2025</v>
      </c>
      <c r="G1051" s="189" t="n">
        <v>39</v>
      </c>
      <c r="H1051" s="190" t="n">
        <v>2668.85044983619</v>
      </c>
      <c r="I1051" s="191" t="n">
        <v>4208510.72085438</v>
      </c>
      <c r="J1051" s="192" t="str">
        <f>IF(I1051&gt;0,H1051/I1051,0)</f>
      </c>
      <c r="K1051" s="193" t="str">
        <f>1-EXP(-J1051)</f>
      </c>
      <c r="L1051" s="194" t="str">
        <f>IF(G1051=30,1,M1050)</f>
      </c>
      <c r="M1051" s="195" t="str">
        <f>L1051*(1-K1051)</f>
      </c>
    </row>
    <row r="1052">
      <c r="A1052" t="s">
        <v>167</v>
      </c>
      <c r="B1052" t="s">
        <v>219</v>
      </c>
      <c r="C1052" s="35" t="s">
        <v>221</v>
      </c>
      <c r="D1052" t="s">
        <v>502</v>
      </c>
      <c r="E1052" t="s">
        <v>520</v>
      </c>
      <c r="F1052" s="188" t="n">
        <v>2025</v>
      </c>
      <c r="G1052" s="189" t="n">
        <v>40</v>
      </c>
      <c r="H1052" s="190" t="n">
        <v>3657.34535610759</v>
      </c>
      <c r="I1052" s="191" t="n">
        <v>4272859.94162918</v>
      </c>
      <c r="J1052" s="192" t="str">
        <f>IF(I1052&gt;0,H1052/I1052,0)</f>
      </c>
      <c r="K1052" s="193" t="str">
        <f>1-EXP(-J1052)</f>
      </c>
      <c r="L1052" s="194" t="str">
        <f>IF(G1052=30,1,M1051)</f>
      </c>
      <c r="M1052" s="195" t="str">
        <f>L1052*(1-K1052)</f>
      </c>
    </row>
    <row r="1053">
      <c r="A1053" t="s">
        <v>167</v>
      </c>
      <c r="B1053" t="s">
        <v>219</v>
      </c>
      <c r="C1053" s="35" t="s">
        <v>221</v>
      </c>
      <c r="D1053" t="s">
        <v>502</v>
      </c>
      <c r="E1053" t="s">
        <v>520</v>
      </c>
      <c r="F1053" s="188" t="n">
        <v>2025</v>
      </c>
      <c r="G1053" s="189" t="n">
        <v>41</v>
      </c>
      <c r="H1053" s="190" t="n">
        <v>4027.13767921727</v>
      </c>
      <c r="I1053" s="191" t="n">
        <v>4362484.66303299</v>
      </c>
      <c r="J1053" s="192" t="str">
        <f>IF(I1053&gt;0,H1053/I1053,0)</f>
      </c>
      <c r="K1053" s="193" t="str">
        <f>1-EXP(-J1053)</f>
      </c>
      <c r="L1053" s="194" t="str">
        <f>IF(G1053=30,1,M1052)</f>
      </c>
      <c r="M1053" s="195" t="str">
        <f>L1053*(1-K1053)</f>
      </c>
    </row>
    <row r="1054">
      <c r="A1054" t="s">
        <v>167</v>
      </c>
      <c r="B1054" t="s">
        <v>219</v>
      </c>
      <c r="C1054" s="35" t="s">
        <v>221</v>
      </c>
      <c r="D1054" t="s">
        <v>502</v>
      </c>
      <c r="E1054" t="s">
        <v>520</v>
      </c>
      <c r="F1054" s="188" t="n">
        <v>2025</v>
      </c>
      <c r="G1054" s="189" t="n">
        <v>42</v>
      </c>
      <c r="H1054" s="190" t="n">
        <v>4338.50110850914</v>
      </c>
      <c r="I1054" s="191" t="n">
        <v>4343004.76876643</v>
      </c>
      <c r="J1054" s="192" t="str">
        <f>IF(I1054&gt;0,H1054/I1054,0)</f>
      </c>
      <c r="K1054" s="193" t="str">
        <f>1-EXP(-J1054)</f>
      </c>
      <c r="L1054" s="194" t="str">
        <f>IF(G1054=30,1,M1053)</f>
      </c>
      <c r="M1054" s="195" t="str">
        <f>L1054*(1-K1054)</f>
      </c>
    </row>
    <row r="1055">
      <c r="A1055" t="s">
        <v>167</v>
      </c>
      <c r="B1055" t="s">
        <v>219</v>
      </c>
      <c r="C1055" s="35" t="s">
        <v>221</v>
      </c>
      <c r="D1055" t="s">
        <v>502</v>
      </c>
      <c r="E1055" t="s">
        <v>520</v>
      </c>
      <c r="F1055" s="188" t="n">
        <v>2025</v>
      </c>
      <c r="G1055" s="189" t="n">
        <v>43</v>
      </c>
      <c r="H1055" s="190" t="n">
        <v>4570.23561452701</v>
      </c>
      <c r="I1055" s="191" t="n">
        <v>4209764.82229798</v>
      </c>
      <c r="J1055" s="192" t="str">
        <f>IF(I1055&gt;0,H1055/I1055,0)</f>
      </c>
      <c r="K1055" s="193" t="str">
        <f>1-EXP(-J1055)</f>
      </c>
      <c r="L1055" s="194" t="str">
        <f>IF(G1055=30,1,M1054)</f>
      </c>
      <c r="M1055" s="195" t="str">
        <f>L1055*(1-K1055)</f>
      </c>
    </row>
    <row r="1056">
      <c r="A1056" t="s">
        <v>167</v>
      </c>
      <c r="B1056" t="s">
        <v>219</v>
      </c>
      <c r="C1056" s="35" t="s">
        <v>221</v>
      </c>
      <c r="D1056" t="s">
        <v>502</v>
      </c>
      <c r="E1056" t="s">
        <v>520</v>
      </c>
      <c r="F1056" s="188" t="n">
        <v>2025</v>
      </c>
      <c r="G1056" s="189" t="n">
        <v>44</v>
      </c>
      <c r="H1056" s="190" t="n">
        <v>4899.11975851417</v>
      </c>
      <c r="I1056" s="191" t="n">
        <v>4140245.42433907</v>
      </c>
      <c r="J1056" s="192" t="str">
        <f>IF(I1056&gt;0,H1056/I1056,0)</f>
      </c>
      <c r="K1056" s="193" t="str">
        <f>1-EXP(-J1056)</f>
      </c>
      <c r="L1056" s="194" t="str">
        <f>IF(G1056=30,1,M1055)</f>
      </c>
      <c r="M1056" s="195" t="str">
        <f>L1056*(1-K1056)</f>
      </c>
    </row>
    <row r="1057">
      <c r="A1057" t="s">
        <v>167</v>
      </c>
      <c r="B1057" t="s">
        <v>219</v>
      </c>
      <c r="C1057" s="35" t="s">
        <v>221</v>
      </c>
      <c r="D1057" t="s">
        <v>502</v>
      </c>
      <c r="E1057" t="s">
        <v>520</v>
      </c>
      <c r="F1057" s="188" t="n">
        <v>2025</v>
      </c>
      <c r="G1057" s="189" t="n">
        <v>45</v>
      </c>
      <c r="H1057" s="190" t="n">
        <v>6269.58995124239</v>
      </c>
      <c r="I1057" s="191" t="n">
        <v>4087263.42645959</v>
      </c>
      <c r="J1057" s="192" t="str">
        <f>IF(I1057&gt;0,H1057/I1057,0)</f>
      </c>
      <c r="K1057" s="193" t="str">
        <f>1-EXP(-J1057)</f>
      </c>
      <c r="L1057" s="194" t="str">
        <f>IF(G1057=30,1,M1056)</f>
      </c>
      <c r="M1057" s="195" t="str">
        <f>L1057*(1-K1057)</f>
      </c>
    </row>
    <row r="1058">
      <c r="A1058" t="s">
        <v>167</v>
      </c>
      <c r="B1058" t="s">
        <v>219</v>
      </c>
      <c r="C1058" s="35" t="s">
        <v>221</v>
      </c>
      <c r="D1058" t="s">
        <v>502</v>
      </c>
      <c r="E1058" t="s">
        <v>520</v>
      </c>
      <c r="F1058" s="188" t="n">
        <v>2025</v>
      </c>
      <c r="G1058" s="189" t="n">
        <v>46</v>
      </c>
      <c r="H1058" s="190" t="n">
        <v>6759.61099672677</v>
      </c>
      <c r="I1058" s="191" t="n">
        <v>4028051.8565677</v>
      </c>
      <c r="J1058" s="192" t="str">
        <f>IF(I1058&gt;0,H1058/I1058,0)</f>
      </c>
      <c r="K1058" s="193" t="str">
        <f>1-EXP(-J1058)</f>
      </c>
      <c r="L1058" s="194" t="str">
        <f>IF(G1058=30,1,M1057)</f>
      </c>
      <c r="M1058" s="195" t="str">
        <f>L1058*(1-K1058)</f>
      </c>
    </row>
    <row r="1059">
      <c r="A1059" t="s">
        <v>167</v>
      </c>
      <c r="B1059" t="s">
        <v>219</v>
      </c>
      <c r="C1059" s="35" t="s">
        <v>221</v>
      </c>
      <c r="D1059" t="s">
        <v>502</v>
      </c>
      <c r="E1059" t="s">
        <v>520</v>
      </c>
      <c r="F1059" s="188" t="n">
        <v>2025</v>
      </c>
      <c r="G1059" s="189" t="n">
        <v>47</v>
      </c>
      <c r="H1059" s="190" t="n">
        <v>7252.18511271875</v>
      </c>
      <c r="I1059" s="191" t="n">
        <v>3950277.12889061</v>
      </c>
      <c r="J1059" s="192" t="str">
        <f>IF(I1059&gt;0,H1059/I1059,0)</f>
      </c>
      <c r="K1059" s="193" t="str">
        <f>1-EXP(-J1059)</f>
      </c>
      <c r="L1059" s="194" t="str">
        <f>IF(G1059=30,1,M1058)</f>
      </c>
      <c r="M1059" s="195" t="str">
        <f>L1059*(1-K1059)</f>
      </c>
    </row>
    <row r="1060">
      <c r="A1060" t="s">
        <v>167</v>
      </c>
      <c r="B1060" t="s">
        <v>219</v>
      </c>
      <c r="C1060" s="35" t="s">
        <v>221</v>
      </c>
      <c r="D1060" t="s">
        <v>502</v>
      </c>
      <c r="E1060" t="s">
        <v>520</v>
      </c>
      <c r="F1060" s="188" t="n">
        <v>2025</v>
      </c>
      <c r="G1060" s="189" t="n">
        <v>48</v>
      </c>
      <c r="H1060" s="190" t="n">
        <v>7813.40832117215</v>
      </c>
      <c r="I1060" s="191" t="n">
        <v>3890339.92856643</v>
      </c>
      <c r="J1060" s="192" t="str">
        <f>IF(I1060&gt;0,H1060/I1060,0)</f>
      </c>
      <c r="K1060" s="193" t="str">
        <f>1-EXP(-J1060)</f>
      </c>
      <c r="L1060" s="194" t="str">
        <f>IF(G1060=30,1,M1059)</f>
      </c>
      <c r="M1060" s="195" t="str">
        <f>L1060*(1-K1060)</f>
      </c>
    </row>
    <row r="1061">
      <c r="A1061" t="s">
        <v>167</v>
      </c>
      <c r="B1061" t="s">
        <v>219</v>
      </c>
      <c r="C1061" s="35" t="s">
        <v>221</v>
      </c>
      <c r="D1061" t="s">
        <v>502</v>
      </c>
      <c r="E1061" t="s">
        <v>520</v>
      </c>
      <c r="F1061" s="188" t="n">
        <v>2025</v>
      </c>
      <c r="G1061" s="189" t="n">
        <v>49</v>
      </c>
      <c r="H1061" s="190" t="n">
        <v>8372.78717400612</v>
      </c>
      <c r="I1061" s="191" t="n">
        <v>3818493.26996543</v>
      </c>
      <c r="J1061" s="192" t="str">
        <f>IF(I1061&gt;0,H1061/I1061,0)</f>
      </c>
      <c r="K1061" s="193" t="str">
        <f>1-EXP(-J1061)</f>
      </c>
      <c r="L1061" s="194" t="str">
        <f>IF(G1061=30,1,M1060)</f>
      </c>
      <c r="M1061" s="195" t="str">
        <f>L1061*(1-K1061)</f>
      </c>
    </row>
    <row r="1062">
      <c r="A1062" t="s">
        <v>167</v>
      </c>
      <c r="B1062" t="s">
        <v>219</v>
      </c>
      <c r="C1062" s="35" t="s">
        <v>221</v>
      </c>
      <c r="D1062" t="s">
        <v>502</v>
      </c>
      <c r="E1062" t="s">
        <v>520</v>
      </c>
      <c r="F1062" s="188" t="n">
        <v>2025</v>
      </c>
      <c r="G1062" s="189" t="n">
        <v>50</v>
      </c>
      <c r="H1062" s="190" t="n">
        <v>9615.55870918643</v>
      </c>
      <c r="I1062" s="191" t="n">
        <v>3746208.3894556</v>
      </c>
      <c r="J1062" s="192" t="str">
        <f>IF(I1062&gt;0,H1062/I1062,0)</f>
      </c>
      <c r="K1062" s="193" t="str">
        <f>1-EXP(-J1062)</f>
      </c>
      <c r="L1062" s="194" t="str">
        <f>IF(G1062=30,1,M1061)</f>
      </c>
      <c r="M1062" s="195" t="str">
        <f>L1062*(1-K1062)</f>
      </c>
    </row>
    <row r="1063">
      <c r="A1063" t="s">
        <v>167</v>
      </c>
      <c r="B1063" t="s">
        <v>219</v>
      </c>
      <c r="C1063" s="35" t="s">
        <v>221</v>
      </c>
      <c r="D1063" t="s">
        <v>502</v>
      </c>
      <c r="E1063" t="s">
        <v>520</v>
      </c>
      <c r="F1063" s="188" t="n">
        <v>2025</v>
      </c>
      <c r="G1063" s="189" t="n">
        <v>51</v>
      </c>
      <c r="H1063" s="190" t="n">
        <v>10197.7741864065</v>
      </c>
      <c r="I1063" s="191" t="n">
        <v>3645044.21523223</v>
      </c>
      <c r="J1063" s="192" t="str">
        <f>IF(I1063&gt;0,H1063/I1063,0)</f>
      </c>
      <c r="K1063" s="193" t="str">
        <f>1-EXP(-J1063)</f>
      </c>
      <c r="L1063" s="194" t="str">
        <f>IF(G1063=30,1,M1062)</f>
      </c>
      <c r="M1063" s="195" t="str">
        <f>L1063*(1-K1063)</f>
      </c>
    </row>
    <row r="1064">
      <c r="A1064" t="s">
        <v>167</v>
      </c>
      <c r="B1064" t="s">
        <v>219</v>
      </c>
      <c r="C1064" s="35" t="s">
        <v>221</v>
      </c>
      <c r="D1064" t="s">
        <v>502</v>
      </c>
      <c r="E1064" t="s">
        <v>520</v>
      </c>
      <c r="F1064" s="188" t="n">
        <v>2025</v>
      </c>
      <c r="G1064" s="189" t="n">
        <v>52</v>
      </c>
      <c r="H1064" s="190" t="n">
        <v>10999.1856381924</v>
      </c>
      <c r="I1064" s="191" t="n">
        <v>3606935.96429087</v>
      </c>
      <c r="J1064" s="192" t="str">
        <f>IF(I1064&gt;0,H1064/I1064,0)</f>
      </c>
      <c r="K1064" s="193" t="str">
        <f>1-EXP(-J1064)</f>
      </c>
      <c r="L1064" s="194" t="str">
        <f>IF(G1064=30,1,M1063)</f>
      </c>
      <c r="M1064" s="195" t="str">
        <f>L1064*(1-K1064)</f>
      </c>
    </row>
    <row r="1065">
      <c r="A1065" t="s">
        <v>167</v>
      </c>
      <c r="B1065" t="s">
        <v>219</v>
      </c>
      <c r="C1065" s="35" t="s">
        <v>221</v>
      </c>
      <c r="D1065" t="s">
        <v>502</v>
      </c>
      <c r="E1065" t="s">
        <v>520</v>
      </c>
      <c r="F1065" s="188" t="n">
        <v>2025</v>
      </c>
      <c r="G1065" s="189" t="n">
        <v>53</v>
      </c>
      <c r="H1065" s="190" t="n">
        <v>11320.211791169</v>
      </c>
      <c r="I1065" s="191" t="n">
        <v>3400438.09374049</v>
      </c>
      <c r="J1065" s="192" t="str">
        <f>IF(I1065&gt;0,H1065/I1065,0)</f>
      </c>
      <c r="K1065" s="193" t="str">
        <f>1-EXP(-J1065)</f>
      </c>
      <c r="L1065" s="194" t="str">
        <f>IF(G1065=30,1,M1064)</f>
      </c>
      <c r="M1065" s="195" t="str">
        <f>L1065*(1-K1065)</f>
      </c>
    </row>
    <row r="1066">
      <c r="A1066" t="s">
        <v>167</v>
      </c>
      <c r="B1066" t="s">
        <v>219</v>
      </c>
      <c r="C1066" s="35" t="s">
        <v>221</v>
      </c>
      <c r="D1066" t="s">
        <v>502</v>
      </c>
      <c r="E1066" t="s">
        <v>520</v>
      </c>
      <c r="F1066" s="188" t="n">
        <v>2025</v>
      </c>
      <c r="G1066" s="189" t="n">
        <v>54</v>
      </c>
      <c r="H1066" s="190" t="n">
        <v>12058.0132264927</v>
      </c>
      <c r="I1066" s="191" t="n">
        <v>3319306.02358973</v>
      </c>
      <c r="J1066" s="192" t="str">
        <f>IF(I1066&gt;0,H1066/I1066,0)</f>
      </c>
      <c r="K1066" s="193" t="str">
        <f>1-EXP(-J1066)</f>
      </c>
      <c r="L1066" s="194" t="str">
        <f>IF(G1066=30,1,M1065)</f>
      </c>
      <c r="M1066" s="195" t="str">
        <f>L1066*(1-K1066)</f>
      </c>
    </row>
    <row r="1067">
      <c r="A1067" t="s">
        <v>167</v>
      </c>
      <c r="B1067" t="s">
        <v>219</v>
      </c>
      <c r="C1067" s="35" t="s">
        <v>221</v>
      </c>
      <c r="D1067" t="s">
        <v>502</v>
      </c>
      <c r="E1067" t="s">
        <v>520</v>
      </c>
      <c r="F1067" s="188" t="n">
        <v>2025</v>
      </c>
      <c r="G1067" s="189" t="n">
        <v>55</v>
      </c>
      <c r="H1067" s="190" t="n">
        <v>13121.8630224673</v>
      </c>
      <c r="I1067" s="191" t="n">
        <v>3243129.6175784</v>
      </c>
      <c r="J1067" s="192" t="str">
        <f>IF(I1067&gt;0,H1067/I1067,0)</f>
      </c>
      <c r="K1067" s="193" t="str">
        <f>1-EXP(-J1067)</f>
      </c>
      <c r="L1067" s="194" t="str">
        <f>IF(G1067=30,1,M1066)</f>
      </c>
      <c r="M1067" s="195" t="str">
        <f>L1067*(1-K1067)</f>
      </c>
    </row>
    <row r="1068">
      <c r="A1068" t="s">
        <v>167</v>
      </c>
      <c r="B1068" t="s">
        <v>219</v>
      </c>
      <c r="C1068" s="35" t="s">
        <v>221</v>
      </c>
      <c r="D1068" t="s">
        <v>502</v>
      </c>
      <c r="E1068" t="s">
        <v>520</v>
      </c>
      <c r="F1068" s="188" t="n">
        <v>2025</v>
      </c>
      <c r="G1068" s="189" t="n">
        <v>56</v>
      </c>
      <c r="H1068" s="190" t="n">
        <v>13949.400946191</v>
      </c>
      <c r="I1068" s="191" t="n">
        <v>3157182.63240391</v>
      </c>
      <c r="J1068" s="192" t="str">
        <f>IF(I1068&gt;0,H1068/I1068,0)</f>
      </c>
      <c r="K1068" s="193" t="str">
        <f>1-EXP(-J1068)</f>
      </c>
      <c r="L1068" s="194" t="str">
        <f>IF(G1068=30,1,M1067)</f>
      </c>
      <c r="M1068" s="195" t="str">
        <f>L1068*(1-K1068)</f>
      </c>
    </row>
    <row r="1069">
      <c r="A1069" t="s">
        <v>167</v>
      </c>
      <c r="B1069" t="s">
        <v>219</v>
      </c>
      <c r="C1069" s="35" t="s">
        <v>221</v>
      </c>
      <c r="D1069" t="s">
        <v>502</v>
      </c>
      <c r="E1069" t="s">
        <v>520</v>
      </c>
      <c r="F1069" s="188" t="n">
        <v>2025</v>
      </c>
      <c r="G1069" s="189" t="n">
        <v>57</v>
      </c>
      <c r="H1069" s="190" t="n">
        <v>14724.9347216004</v>
      </c>
      <c r="I1069" s="191" t="n">
        <v>3051443.9184786</v>
      </c>
      <c r="J1069" s="192" t="str">
        <f>IF(I1069&gt;0,H1069/I1069,0)</f>
      </c>
      <c r="K1069" s="193" t="str">
        <f>1-EXP(-J1069)</f>
      </c>
      <c r="L1069" s="194" t="str">
        <f>IF(G1069=30,1,M1068)</f>
      </c>
      <c r="M1069" s="195" t="str">
        <f>L1069*(1-K1069)</f>
      </c>
    </row>
    <row r="1070">
      <c r="A1070" t="s">
        <v>167</v>
      </c>
      <c r="B1070" t="s">
        <v>219</v>
      </c>
      <c r="C1070" s="35" t="s">
        <v>221</v>
      </c>
      <c r="D1070" t="s">
        <v>502</v>
      </c>
      <c r="E1070" t="s">
        <v>520</v>
      </c>
      <c r="F1070" s="188" t="n">
        <v>2025</v>
      </c>
      <c r="G1070" s="189" t="n">
        <v>58</v>
      </c>
      <c r="H1070" s="190" t="n">
        <v>15371.2074623555</v>
      </c>
      <c r="I1070" s="191" t="n">
        <v>2913456.20780408</v>
      </c>
      <c r="J1070" s="192" t="str">
        <f>IF(I1070&gt;0,H1070/I1070,0)</f>
      </c>
      <c r="K1070" s="193" t="str">
        <f>1-EXP(-J1070)</f>
      </c>
      <c r="L1070" s="194" t="str">
        <f>IF(G1070=30,1,M1069)</f>
      </c>
      <c r="M1070" s="195" t="str">
        <f>L1070*(1-K1070)</f>
      </c>
    </row>
    <row r="1071">
      <c r="A1071" t="s">
        <v>167</v>
      </c>
      <c r="B1071" t="s">
        <v>219</v>
      </c>
      <c r="C1071" s="35" t="s">
        <v>221</v>
      </c>
      <c r="D1071" t="s">
        <v>502</v>
      </c>
      <c r="E1071" t="s">
        <v>520</v>
      </c>
      <c r="F1071" s="188" t="n">
        <v>2025</v>
      </c>
      <c r="G1071" s="189" t="n">
        <v>59</v>
      </c>
      <c r="H1071" s="190" t="n">
        <v>16213.8109625709</v>
      </c>
      <c r="I1071" s="191" t="n">
        <v>2813535.58615437</v>
      </c>
      <c r="J1071" s="192" t="str">
        <f>IF(I1071&gt;0,H1071/I1071,0)</f>
      </c>
      <c r="K1071" s="193" t="str">
        <f>1-EXP(-J1071)</f>
      </c>
      <c r="L1071" s="194" t="str">
        <f>IF(G1071=30,1,M1070)</f>
      </c>
      <c r="M1071" s="195" t="str">
        <f>L1071*(1-K1071)</f>
      </c>
    </row>
    <row r="1072">
      <c r="A1072" t="s">
        <v>167</v>
      </c>
      <c r="B1072" t="s">
        <v>219</v>
      </c>
      <c r="C1072" s="35" t="s">
        <v>221</v>
      </c>
      <c r="D1072" t="s">
        <v>502</v>
      </c>
      <c r="E1072" t="s">
        <v>520</v>
      </c>
      <c r="F1072" s="188" t="n">
        <v>2025</v>
      </c>
      <c r="G1072" s="189" t="n">
        <v>60</v>
      </c>
      <c r="H1072" s="190" t="n">
        <v>17442.466213005</v>
      </c>
      <c r="I1072" s="191" t="n">
        <v>2691047.17153736</v>
      </c>
      <c r="J1072" s="192" t="str">
        <f>IF(I1072&gt;0,H1072/I1072,0)</f>
      </c>
      <c r="K1072" s="193" t="str">
        <f>1-EXP(-J1072)</f>
      </c>
      <c r="L1072" s="194" t="str">
        <f>IF(G1072=30,1,M1071)</f>
      </c>
      <c r="M1072" s="195" t="str">
        <f>L1072*(1-K1072)</f>
      </c>
    </row>
    <row r="1073">
      <c r="A1073" t="s">
        <v>167</v>
      </c>
      <c r="B1073" t="s">
        <v>219</v>
      </c>
      <c r="C1073" s="35" t="s">
        <v>221</v>
      </c>
      <c r="D1073" t="s">
        <v>502</v>
      </c>
      <c r="E1073" t="s">
        <v>520</v>
      </c>
      <c r="F1073" s="188" t="n">
        <v>2025</v>
      </c>
      <c r="G1073" s="189" t="n">
        <v>61</v>
      </c>
      <c r="H1073" s="190" t="n">
        <v>18185.5962140586</v>
      </c>
      <c r="I1073" s="191" t="n">
        <v>2568096.94973173</v>
      </c>
      <c r="J1073" s="192" t="str">
        <f>IF(I1073&gt;0,H1073/I1073,0)</f>
      </c>
      <c r="K1073" s="193" t="str">
        <f>1-EXP(-J1073)</f>
      </c>
      <c r="L1073" s="194" t="str">
        <f>IF(G1073=30,1,M1072)</f>
      </c>
      <c r="M1073" s="195" t="str">
        <f>L1073*(1-K1073)</f>
      </c>
    </row>
    <row r="1074">
      <c r="A1074" t="s">
        <v>167</v>
      </c>
      <c r="B1074" t="s">
        <v>219</v>
      </c>
      <c r="C1074" s="35" t="s">
        <v>221</v>
      </c>
      <c r="D1074" t="s">
        <v>502</v>
      </c>
      <c r="E1074" t="s">
        <v>520</v>
      </c>
      <c r="F1074" s="188" t="n">
        <v>2025</v>
      </c>
      <c r="G1074" s="189" t="n">
        <v>62</v>
      </c>
      <c r="H1074" s="190" t="n">
        <v>18970.1376231544</v>
      </c>
      <c r="I1074" s="191" t="n">
        <v>2450910.06582199</v>
      </c>
      <c r="J1074" s="192" t="str">
        <f>IF(I1074&gt;0,H1074/I1074,0)</f>
      </c>
      <c r="K1074" s="193" t="str">
        <f>1-EXP(-J1074)</f>
      </c>
      <c r="L1074" s="194" t="str">
        <f>IF(G1074=30,1,M1073)</f>
      </c>
      <c r="M1074" s="195" t="str">
        <f>L1074*(1-K1074)</f>
      </c>
    </row>
    <row r="1075">
      <c r="A1075" t="s">
        <v>167</v>
      </c>
      <c r="B1075" t="s">
        <v>219</v>
      </c>
      <c r="C1075" s="35" t="s">
        <v>221</v>
      </c>
      <c r="D1075" t="s">
        <v>502</v>
      </c>
      <c r="E1075" t="s">
        <v>520</v>
      </c>
      <c r="F1075" s="188" t="n">
        <v>2025</v>
      </c>
      <c r="G1075" s="189" t="n">
        <v>63</v>
      </c>
      <c r="H1075" s="190" t="n">
        <v>19616.8921947261</v>
      </c>
      <c r="I1075" s="191" t="n">
        <v>2307352.6622382</v>
      </c>
      <c r="J1075" s="192" t="str">
        <f>IF(I1075&gt;0,H1075/I1075,0)</f>
      </c>
      <c r="K1075" s="193" t="str">
        <f>1-EXP(-J1075)</f>
      </c>
      <c r="L1075" s="194" t="str">
        <f>IF(G1075=30,1,M1074)</f>
      </c>
      <c r="M1075" s="195" t="str">
        <f>L1075*(1-K1075)</f>
      </c>
    </row>
    <row r="1076">
      <c r="A1076" t="s">
        <v>167</v>
      </c>
      <c r="B1076" t="s">
        <v>219</v>
      </c>
      <c r="C1076" s="35" t="s">
        <v>221</v>
      </c>
      <c r="D1076" t="s">
        <v>502</v>
      </c>
      <c r="E1076" t="s">
        <v>520</v>
      </c>
      <c r="F1076" s="188" t="n">
        <v>2025</v>
      </c>
      <c r="G1076" s="189" t="n">
        <v>64</v>
      </c>
      <c r="H1076" s="190" t="n">
        <v>20366.5260402308</v>
      </c>
      <c r="I1076" s="191" t="n">
        <v>2189442.45160812</v>
      </c>
      <c r="J1076" s="192" t="str">
        <f>IF(I1076&gt;0,H1076/I1076,0)</f>
      </c>
      <c r="K1076" s="193" t="str">
        <f>1-EXP(-J1076)</f>
      </c>
      <c r="L1076" s="194" t="str">
        <f>IF(G1076=30,1,M1075)</f>
      </c>
      <c r="M1076" s="195" t="str">
        <f>L1076*(1-K1076)</f>
      </c>
    </row>
    <row r="1077">
      <c r="A1077" t="s">
        <v>167</v>
      </c>
      <c r="B1077" t="s">
        <v>219</v>
      </c>
      <c r="C1077" s="35" t="s">
        <v>221</v>
      </c>
      <c r="D1077" t="s">
        <v>502</v>
      </c>
      <c r="E1077" t="s">
        <v>520</v>
      </c>
      <c r="F1077" s="188" t="n">
        <v>2025</v>
      </c>
      <c r="G1077" s="189" t="n">
        <v>65</v>
      </c>
      <c r="H1077" s="190" t="n">
        <v>20564.8182811925</v>
      </c>
      <c r="I1077" s="191" t="n">
        <v>2067379.29561573</v>
      </c>
      <c r="J1077" s="192" t="str">
        <f>IF(I1077&gt;0,H1077/I1077,0)</f>
      </c>
      <c r="K1077" s="193" t="str">
        <f>1-EXP(-J1077)</f>
      </c>
      <c r="L1077" s="194" t="str">
        <f>IF(G1077=30,1,M1076)</f>
      </c>
      <c r="M1077" s="195" t="str">
        <f>L1077*(1-K1077)</f>
      </c>
    </row>
    <row r="1078">
      <c r="A1078" t="s">
        <v>167</v>
      </c>
      <c r="B1078" t="s">
        <v>219</v>
      </c>
      <c r="C1078" s="35" t="s">
        <v>221</v>
      </c>
      <c r="D1078" t="s">
        <v>502</v>
      </c>
      <c r="E1078" t="s">
        <v>520</v>
      </c>
      <c r="F1078" s="188" t="n">
        <v>2025</v>
      </c>
      <c r="G1078" s="189" t="n">
        <v>66</v>
      </c>
      <c r="H1078" s="190" t="n">
        <v>21128.4842212808</v>
      </c>
      <c r="I1078" s="191" t="n">
        <v>1938977.04767675</v>
      </c>
      <c r="J1078" s="192" t="str">
        <f>IF(I1078&gt;0,H1078/I1078,0)</f>
      </c>
      <c r="K1078" s="193" t="str">
        <f>1-EXP(-J1078)</f>
      </c>
      <c r="L1078" s="194" t="str">
        <f>IF(G1078=30,1,M1077)</f>
      </c>
      <c r="M1078" s="195" t="str">
        <f>L1078*(1-K1078)</f>
      </c>
    </row>
    <row r="1079">
      <c r="A1079" t="s">
        <v>167</v>
      </c>
      <c r="B1079" t="s">
        <v>219</v>
      </c>
      <c r="C1079" s="35" t="s">
        <v>221</v>
      </c>
      <c r="D1079" t="s">
        <v>502</v>
      </c>
      <c r="E1079" t="s">
        <v>520</v>
      </c>
      <c r="F1079" s="188" t="n">
        <v>2025</v>
      </c>
      <c r="G1079" s="189" t="n">
        <v>67</v>
      </c>
      <c r="H1079" s="190" t="n">
        <v>21650.1531142985</v>
      </c>
      <c r="I1079" s="191" t="n">
        <v>1812804.58670767</v>
      </c>
      <c r="J1079" s="192" t="str">
        <f>IF(I1079&gt;0,H1079/I1079,0)</f>
      </c>
      <c r="K1079" s="193" t="str">
        <f>1-EXP(-J1079)</f>
      </c>
      <c r="L1079" s="194" t="str">
        <f>IF(G1079=30,1,M1078)</f>
      </c>
      <c r="M1079" s="195" t="str">
        <f>L1079*(1-K1079)</f>
      </c>
    </row>
    <row r="1080">
      <c r="A1080" t="s">
        <v>167</v>
      </c>
      <c r="B1080" t="s">
        <v>219</v>
      </c>
      <c r="C1080" s="35" t="s">
        <v>221</v>
      </c>
      <c r="D1080" t="s">
        <v>502</v>
      </c>
      <c r="E1080" t="s">
        <v>520</v>
      </c>
      <c r="F1080" s="188" t="n">
        <v>2025</v>
      </c>
      <c r="G1080" s="189" t="n">
        <v>68</v>
      </c>
      <c r="H1080" s="190" t="n">
        <v>22443.5912394105</v>
      </c>
      <c r="I1080" s="191" t="n">
        <v>1708817.0374287</v>
      </c>
      <c r="J1080" s="192" t="str">
        <f>IF(I1080&gt;0,H1080/I1080,0)</f>
      </c>
      <c r="K1080" s="193" t="str">
        <f>1-EXP(-J1080)</f>
      </c>
      <c r="L1080" s="194" t="str">
        <f>IF(G1080=30,1,M1079)</f>
      </c>
      <c r="M1080" s="195" t="str">
        <f>L1080*(1-K1080)</f>
      </c>
    </row>
    <row r="1081">
      <c r="A1081" t="s">
        <v>167</v>
      </c>
      <c r="B1081" t="s">
        <v>219</v>
      </c>
      <c r="C1081" s="35" t="s">
        <v>221</v>
      </c>
      <c r="D1081" t="s">
        <v>502</v>
      </c>
      <c r="E1081" t="s">
        <v>520</v>
      </c>
      <c r="F1081" s="188" t="n">
        <v>2025</v>
      </c>
      <c r="G1081" s="189" t="n">
        <v>69</v>
      </c>
      <c r="H1081" s="190" t="n">
        <v>22887.5139092692</v>
      </c>
      <c r="I1081" s="191" t="n">
        <v>1588246.5017458</v>
      </c>
      <c r="J1081" s="192" t="str">
        <f>IF(I1081&gt;0,H1081/I1081,0)</f>
      </c>
      <c r="K1081" s="193" t="str">
        <f>1-EXP(-J1081)</f>
      </c>
      <c r="L1081" s="194" t="str">
        <f>IF(G1081=30,1,M1080)</f>
      </c>
      <c r="M1081" s="195" t="str">
        <f>L1081*(1-K1081)</f>
      </c>
    </row>
    <row r="1082">
      <c r="A1082" t="s">
        <v>167</v>
      </c>
      <c r="B1082" t="s">
        <v>219</v>
      </c>
      <c r="C1082" s="35" t="s">
        <v>221</v>
      </c>
      <c r="D1082" t="s">
        <v>502</v>
      </c>
      <c r="E1082" t="s">
        <v>520</v>
      </c>
      <c r="F1082" s="188" t="n">
        <v>2026</v>
      </c>
      <c r="G1082" s="189" t="n">
        <v>30</v>
      </c>
      <c r="H1082" s="190" t="n">
        <v>1291.62448749085</v>
      </c>
      <c r="I1082" s="191" t="n">
        <v>4533066.05431128</v>
      </c>
      <c r="J1082" s="192" t="str">
        <f>IF(I1082&gt;0,H1082/I1082,0)</f>
      </c>
      <c r="K1082" s="193" t="str">
        <f>1-EXP(-J1082)</f>
      </c>
      <c r="L1082" s="194" t="str">
        <f>IF(G1082=30,1,M1081)</f>
      </c>
      <c r="M1082" s="195" t="str">
        <f>L1082*(1-K1082)</f>
      </c>
    </row>
    <row r="1083">
      <c r="A1083" t="s">
        <v>167</v>
      </c>
      <c r="B1083" t="s">
        <v>219</v>
      </c>
      <c r="C1083" s="35" t="s">
        <v>221</v>
      </c>
      <c r="D1083" t="s">
        <v>502</v>
      </c>
      <c r="E1083" t="s">
        <v>520</v>
      </c>
      <c r="F1083" s="188" t="n">
        <v>2026</v>
      </c>
      <c r="G1083" s="189" t="n">
        <v>31</v>
      </c>
      <c r="H1083" s="190" t="n">
        <v>1320.73899246067</v>
      </c>
      <c r="I1083" s="191" t="n">
        <v>4460323.13013529</v>
      </c>
      <c r="J1083" s="192" t="str">
        <f>IF(I1083&gt;0,H1083/I1083,0)</f>
      </c>
      <c r="K1083" s="193" t="str">
        <f>1-EXP(-J1083)</f>
      </c>
      <c r="L1083" s="194" t="str">
        <f>IF(G1083=30,1,M1082)</f>
      </c>
      <c r="M1083" s="195" t="str">
        <f>L1083*(1-K1083)</f>
      </c>
    </row>
    <row r="1084">
      <c r="A1084" t="s">
        <v>167</v>
      </c>
      <c r="B1084" t="s">
        <v>219</v>
      </c>
      <c r="C1084" s="35" t="s">
        <v>221</v>
      </c>
      <c r="D1084" t="s">
        <v>502</v>
      </c>
      <c r="E1084" t="s">
        <v>520</v>
      </c>
      <c r="F1084" s="188" t="n">
        <v>2026</v>
      </c>
      <c r="G1084" s="189" t="n">
        <v>32</v>
      </c>
      <c r="H1084" s="190" t="n">
        <v>1363.27706230158</v>
      </c>
      <c r="I1084" s="191" t="n">
        <v>4404105.59550118</v>
      </c>
      <c r="J1084" s="192" t="str">
        <f>IF(I1084&gt;0,H1084/I1084,0)</f>
      </c>
      <c r="K1084" s="193" t="str">
        <f>1-EXP(-J1084)</f>
      </c>
      <c r="L1084" s="194" t="str">
        <f>IF(G1084=30,1,M1083)</f>
      </c>
      <c r="M1084" s="195" t="str">
        <f>L1084*(1-K1084)</f>
      </c>
    </row>
    <row r="1085">
      <c r="A1085" t="s">
        <v>167</v>
      </c>
      <c r="B1085" t="s">
        <v>219</v>
      </c>
      <c r="C1085" s="35" t="s">
        <v>221</v>
      </c>
      <c r="D1085" t="s">
        <v>502</v>
      </c>
      <c r="E1085" t="s">
        <v>520</v>
      </c>
      <c r="F1085" s="188" t="n">
        <v>2026</v>
      </c>
      <c r="G1085" s="189" t="n">
        <v>33</v>
      </c>
      <c r="H1085" s="190" t="n">
        <v>1417.5558067684</v>
      </c>
      <c r="I1085" s="191" t="n">
        <v>4351714.92353231</v>
      </c>
      <c r="J1085" s="192" t="str">
        <f>IF(I1085&gt;0,H1085/I1085,0)</f>
      </c>
      <c r="K1085" s="193" t="str">
        <f>1-EXP(-J1085)</f>
      </c>
      <c r="L1085" s="194" t="str">
        <f>IF(G1085=30,1,M1084)</f>
      </c>
      <c r="M1085" s="195" t="str">
        <f>L1085*(1-K1085)</f>
      </c>
    </row>
    <row r="1086">
      <c r="A1086" t="s">
        <v>167</v>
      </c>
      <c r="B1086" t="s">
        <v>219</v>
      </c>
      <c r="C1086" s="35" t="s">
        <v>221</v>
      </c>
      <c r="D1086" t="s">
        <v>502</v>
      </c>
      <c r="E1086" t="s">
        <v>520</v>
      </c>
      <c r="F1086" s="188" t="n">
        <v>2026</v>
      </c>
      <c r="G1086" s="189" t="n">
        <v>34</v>
      </c>
      <c r="H1086" s="190" t="n">
        <v>1514.20391938938</v>
      </c>
      <c r="I1086" s="191" t="n">
        <v>4391577.80533736</v>
      </c>
      <c r="J1086" s="192" t="str">
        <f>IF(I1086&gt;0,H1086/I1086,0)</f>
      </c>
      <c r="K1086" s="193" t="str">
        <f>1-EXP(-J1086)</f>
      </c>
      <c r="L1086" s="194" t="str">
        <f>IF(G1086=30,1,M1085)</f>
      </c>
      <c r="M1086" s="195" t="str">
        <f>L1086*(1-K1086)</f>
      </c>
    </row>
    <row r="1087">
      <c r="A1087" t="s">
        <v>167</v>
      </c>
      <c r="B1087" t="s">
        <v>219</v>
      </c>
      <c r="C1087" s="35" t="s">
        <v>221</v>
      </c>
      <c r="D1087" t="s">
        <v>502</v>
      </c>
      <c r="E1087" t="s">
        <v>520</v>
      </c>
      <c r="F1087" s="188" t="n">
        <v>2026</v>
      </c>
      <c r="G1087" s="189" t="n">
        <v>35</v>
      </c>
      <c r="H1087" s="190" t="n">
        <v>2101.26288586976</v>
      </c>
      <c r="I1087" s="191" t="n">
        <v>4411881.63741314</v>
      </c>
      <c r="J1087" s="192" t="str">
        <f>IF(I1087&gt;0,H1087/I1087,0)</f>
      </c>
      <c r="K1087" s="193" t="str">
        <f>1-EXP(-J1087)</f>
      </c>
      <c r="L1087" s="194" t="str">
        <f>IF(G1087=30,1,M1086)</f>
      </c>
      <c r="M1087" s="195" t="str">
        <f>L1087*(1-K1087)</f>
      </c>
    </row>
    <row r="1088">
      <c r="A1088" t="s">
        <v>167</v>
      </c>
      <c r="B1088" t="s">
        <v>219</v>
      </c>
      <c r="C1088" s="35" t="s">
        <v>221</v>
      </c>
      <c r="D1088" t="s">
        <v>502</v>
      </c>
      <c r="E1088" t="s">
        <v>520</v>
      </c>
      <c r="F1088" s="188" t="n">
        <v>2026</v>
      </c>
      <c r="G1088" s="189" t="n">
        <v>36</v>
      </c>
      <c r="H1088" s="190" t="n">
        <v>3179.97683436739</v>
      </c>
      <c r="I1088" s="191" t="n">
        <v>6497474.08312581</v>
      </c>
      <c r="J1088" s="192" t="str">
        <f>IF(I1088&gt;0,H1088/I1088,0)</f>
      </c>
      <c r="K1088" s="193" t="str">
        <f>1-EXP(-J1088)</f>
      </c>
      <c r="L1088" s="194" t="str">
        <f>IF(G1088=30,1,M1087)</f>
      </c>
      <c r="M1088" s="195" t="str">
        <f>L1088*(1-K1088)</f>
      </c>
    </row>
    <row r="1089">
      <c r="A1089" t="s">
        <v>167</v>
      </c>
      <c r="B1089" t="s">
        <v>219</v>
      </c>
      <c r="C1089" s="35" t="s">
        <v>221</v>
      </c>
      <c r="D1089" t="s">
        <v>502</v>
      </c>
      <c r="E1089" t="s">
        <v>520</v>
      </c>
      <c r="F1089" s="188" t="n">
        <v>2026</v>
      </c>
      <c r="G1089" s="189" t="n">
        <v>37</v>
      </c>
      <c r="H1089" s="190" t="n">
        <v>2384.19920310491</v>
      </c>
      <c r="I1089" s="191" t="n">
        <v>4374564.95231593</v>
      </c>
      <c r="J1089" s="192" t="str">
        <f>IF(I1089&gt;0,H1089/I1089,0)</f>
      </c>
      <c r="K1089" s="193" t="str">
        <f>1-EXP(-J1089)</f>
      </c>
      <c r="L1089" s="194" t="str">
        <f>IF(G1089=30,1,M1088)</f>
      </c>
      <c r="M1089" s="195" t="str">
        <f>L1089*(1-K1089)</f>
      </c>
    </row>
    <row r="1090">
      <c r="A1090" t="s">
        <v>167</v>
      </c>
      <c r="B1090" t="s">
        <v>219</v>
      </c>
      <c r="C1090" s="35" t="s">
        <v>221</v>
      </c>
      <c r="D1090" t="s">
        <v>502</v>
      </c>
      <c r="E1090" t="s">
        <v>520</v>
      </c>
      <c r="F1090" s="188" t="n">
        <v>2026</v>
      </c>
      <c r="G1090" s="189" t="n">
        <v>38</v>
      </c>
      <c r="H1090" s="190" t="n">
        <v>2549.46152721364</v>
      </c>
      <c r="I1090" s="191" t="n">
        <v>4360550.03715021</v>
      </c>
      <c r="J1090" s="192" t="str">
        <f>IF(I1090&gt;0,H1090/I1090,0)</f>
      </c>
      <c r="K1090" s="193" t="str">
        <f>1-EXP(-J1090)</f>
      </c>
      <c r="L1090" s="194" t="str">
        <f>IF(G1090=30,1,M1089)</f>
      </c>
      <c r="M1090" s="195" t="str">
        <f>L1090*(1-K1090)</f>
      </c>
    </row>
    <row r="1091">
      <c r="A1091" t="s">
        <v>167</v>
      </c>
      <c r="B1091" t="s">
        <v>219</v>
      </c>
      <c r="C1091" s="35" t="s">
        <v>221</v>
      </c>
      <c r="D1091" t="s">
        <v>502</v>
      </c>
      <c r="E1091" t="s">
        <v>520</v>
      </c>
      <c r="F1091" s="188" t="n">
        <v>2026</v>
      </c>
      <c r="G1091" s="189" t="n">
        <v>39</v>
      </c>
      <c r="H1091" s="190" t="n">
        <v>2657.01081812412</v>
      </c>
      <c r="I1091" s="191" t="n">
        <v>4230055.14654035</v>
      </c>
      <c r="J1091" s="192" t="str">
        <f>IF(I1091&gt;0,H1091/I1091,0)</f>
      </c>
      <c r="K1091" s="193" t="str">
        <f>1-EXP(-J1091)</f>
      </c>
      <c r="L1091" s="194" t="str">
        <f>IF(G1091=30,1,M1090)</f>
      </c>
      <c r="M1091" s="195" t="str">
        <f>L1091*(1-K1091)</f>
      </c>
    </row>
    <row r="1092">
      <c r="A1092" t="s">
        <v>167</v>
      </c>
      <c r="B1092" t="s">
        <v>219</v>
      </c>
      <c r="C1092" s="35" t="s">
        <v>221</v>
      </c>
      <c r="D1092" t="s">
        <v>502</v>
      </c>
      <c r="E1092" t="s">
        <v>520</v>
      </c>
      <c r="F1092" s="188" t="n">
        <v>2026</v>
      </c>
      <c r="G1092" s="189" t="n">
        <v>40</v>
      </c>
      <c r="H1092" s="190" t="n">
        <v>3556.57297460227</v>
      </c>
      <c r="I1092" s="191" t="n">
        <v>4198447.80357072</v>
      </c>
      <c r="J1092" s="192" t="str">
        <f>IF(I1092&gt;0,H1092/I1092,0)</f>
      </c>
      <c r="K1092" s="193" t="str">
        <f>1-EXP(-J1092)</f>
      </c>
      <c r="L1092" s="194" t="str">
        <f>IF(G1092=30,1,M1091)</f>
      </c>
      <c r="M1092" s="195" t="str">
        <f>L1092*(1-K1092)</f>
      </c>
    </row>
    <row r="1093">
      <c r="A1093" t="s">
        <v>167</v>
      </c>
      <c r="B1093" t="s">
        <v>219</v>
      </c>
      <c r="C1093" s="35" t="s">
        <v>221</v>
      </c>
      <c r="D1093" t="s">
        <v>502</v>
      </c>
      <c r="E1093" t="s">
        <v>520</v>
      </c>
      <c r="F1093" s="188" t="n">
        <v>2026</v>
      </c>
      <c r="G1093" s="189" t="n">
        <v>41</v>
      </c>
      <c r="H1093" s="190" t="n">
        <v>3898.09904775123</v>
      </c>
      <c r="I1093" s="191" t="n">
        <v>4261037.22561078</v>
      </c>
      <c r="J1093" s="192" t="str">
        <f>IF(I1093&gt;0,H1093/I1093,0)</f>
      </c>
      <c r="K1093" s="193" t="str">
        <f>1-EXP(-J1093)</f>
      </c>
      <c r="L1093" s="194" t="str">
        <f>IF(G1093=30,1,M1092)</f>
      </c>
      <c r="M1093" s="195" t="str">
        <f>L1093*(1-K1093)</f>
      </c>
    </row>
    <row r="1094">
      <c r="A1094" t="s">
        <v>167</v>
      </c>
      <c r="B1094" t="s">
        <v>219</v>
      </c>
      <c r="C1094" s="35" t="s">
        <v>221</v>
      </c>
      <c r="D1094" t="s">
        <v>502</v>
      </c>
      <c r="E1094" t="s">
        <v>520</v>
      </c>
      <c r="F1094" s="188" t="n">
        <v>2026</v>
      </c>
      <c r="G1094" s="189" t="n">
        <v>42</v>
      </c>
      <c r="H1094" s="190" t="n">
        <v>4308.53170586789</v>
      </c>
      <c r="I1094" s="191" t="n">
        <v>4350355.93271131</v>
      </c>
      <c r="J1094" s="192" t="str">
        <f>IF(I1094&gt;0,H1094/I1094,0)</f>
      </c>
      <c r="K1094" s="193" t="str">
        <f>1-EXP(-J1094)</f>
      </c>
      <c r="L1094" s="194" t="str">
        <f>IF(G1094=30,1,M1093)</f>
      </c>
      <c r="M1094" s="195" t="str">
        <f>L1094*(1-K1094)</f>
      </c>
    </row>
    <row r="1095">
      <c r="A1095" t="s">
        <v>167</v>
      </c>
      <c r="B1095" t="s">
        <v>219</v>
      </c>
      <c r="C1095" s="35" t="s">
        <v>221</v>
      </c>
      <c r="D1095" t="s">
        <v>502</v>
      </c>
      <c r="E1095" t="s">
        <v>520</v>
      </c>
      <c r="F1095" s="188" t="n">
        <v>2026</v>
      </c>
      <c r="G1095" s="189" t="n">
        <v>43</v>
      </c>
      <c r="H1095" s="190" t="n">
        <v>4659.74612101509</v>
      </c>
      <c r="I1095" s="191" t="n">
        <v>4329966.95829214</v>
      </c>
      <c r="J1095" s="192" t="str">
        <f>IF(I1095&gt;0,H1095/I1095,0)</f>
      </c>
      <c r="K1095" s="193" t="str">
        <f>1-EXP(-J1095)</f>
      </c>
      <c r="L1095" s="194" t="str">
        <f>IF(G1095=30,1,M1094)</f>
      </c>
      <c r="M1095" s="195" t="str">
        <f>L1095*(1-K1095)</f>
      </c>
    </row>
    <row r="1096">
      <c r="A1096" t="s">
        <v>167</v>
      </c>
      <c r="B1096" t="s">
        <v>219</v>
      </c>
      <c r="C1096" s="35" t="s">
        <v>221</v>
      </c>
      <c r="D1096" t="s">
        <v>502</v>
      </c>
      <c r="E1096" t="s">
        <v>520</v>
      </c>
      <c r="F1096" s="188" t="n">
        <v>2026</v>
      </c>
      <c r="G1096" s="189" t="n">
        <v>44</v>
      </c>
      <c r="H1096" s="190" t="n">
        <v>4925.41370671906</v>
      </c>
      <c r="I1096" s="191" t="n">
        <v>4196064.82449968</v>
      </c>
      <c r="J1096" s="192" t="str">
        <f>IF(I1096&gt;0,H1096/I1096,0)</f>
      </c>
      <c r="K1096" s="193" t="str">
        <f>1-EXP(-J1096)</f>
      </c>
      <c r="L1096" s="194" t="str">
        <f>IF(G1096=30,1,M1095)</f>
      </c>
      <c r="M1096" s="195" t="str">
        <f>L1096*(1-K1096)</f>
      </c>
    </row>
    <row r="1097">
      <c r="A1097" t="s">
        <v>167</v>
      </c>
      <c r="B1097" t="s">
        <v>219</v>
      </c>
      <c r="C1097" s="35" t="s">
        <v>221</v>
      </c>
      <c r="D1097" t="s">
        <v>502</v>
      </c>
      <c r="E1097" t="s">
        <v>520</v>
      </c>
      <c r="F1097" s="188" t="n">
        <v>2026</v>
      </c>
      <c r="G1097" s="189" t="n">
        <v>45</v>
      </c>
      <c r="H1097" s="190" t="n">
        <v>6274.8227541905</v>
      </c>
      <c r="I1097" s="191" t="n">
        <v>4125591.44550924</v>
      </c>
      <c r="J1097" s="192" t="str">
        <f>IF(I1097&gt;0,H1097/I1097,0)</f>
      </c>
      <c r="K1097" s="193" t="str">
        <f>1-EXP(-J1097)</f>
      </c>
      <c r="L1097" s="194" t="str">
        <f>IF(G1097=30,1,M1096)</f>
      </c>
      <c r="M1097" s="195" t="str">
        <f>L1097*(1-K1097)</f>
      </c>
    </row>
    <row r="1098">
      <c r="A1098" t="s">
        <v>167</v>
      </c>
      <c r="B1098" t="s">
        <v>219</v>
      </c>
      <c r="C1098" s="35" t="s">
        <v>221</v>
      </c>
      <c r="D1098" t="s">
        <v>502</v>
      </c>
      <c r="E1098" t="s">
        <v>520</v>
      </c>
      <c r="F1098" s="188" t="n">
        <v>2026</v>
      </c>
      <c r="G1098" s="189" t="n">
        <v>46</v>
      </c>
      <c r="H1098" s="190" t="n">
        <v>6774.22582997317</v>
      </c>
      <c r="I1098" s="191" t="n">
        <v>4070423.79660791</v>
      </c>
      <c r="J1098" s="192" t="str">
        <f>IF(I1098&gt;0,H1098/I1098,0)</f>
      </c>
      <c r="K1098" s="193" t="str">
        <f>1-EXP(-J1098)</f>
      </c>
      <c r="L1098" s="194" t="str">
        <f>IF(G1098=30,1,M1097)</f>
      </c>
      <c r="M1098" s="195" t="str">
        <f>L1098*(1-K1098)</f>
      </c>
    </row>
    <row r="1099">
      <c r="A1099" t="s">
        <v>167</v>
      </c>
      <c r="B1099" t="s">
        <v>219</v>
      </c>
      <c r="C1099" s="35" t="s">
        <v>221</v>
      </c>
      <c r="D1099" t="s">
        <v>502</v>
      </c>
      <c r="E1099" t="s">
        <v>520</v>
      </c>
      <c r="F1099" s="188" t="n">
        <v>2026</v>
      </c>
      <c r="G1099" s="189" t="n">
        <v>47</v>
      </c>
      <c r="H1099" s="190" t="n">
        <v>7305.12939662353</v>
      </c>
      <c r="I1099" s="191" t="n">
        <v>4010952.63156028</v>
      </c>
      <c r="J1099" s="192" t="str">
        <f>IF(I1099&gt;0,H1099/I1099,0)</f>
      </c>
      <c r="K1099" s="193" t="str">
        <f>1-EXP(-J1099)</f>
      </c>
      <c r="L1099" s="194" t="str">
        <f>IF(G1099=30,1,M1098)</f>
      </c>
      <c r="M1099" s="195" t="str">
        <f>L1099*(1-K1099)</f>
      </c>
    </row>
    <row r="1100">
      <c r="A1100" t="s">
        <v>167</v>
      </c>
      <c r="B1100" t="s">
        <v>219</v>
      </c>
      <c r="C1100" s="35" t="s">
        <v>221</v>
      </c>
      <c r="D1100" t="s">
        <v>502</v>
      </c>
      <c r="E1100" t="s">
        <v>520</v>
      </c>
      <c r="F1100" s="188" t="n">
        <v>2026</v>
      </c>
      <c r="G1100" s="189" t="n">
        <v>48</v>
      </c>
      <c r="H1100" s="190" t="n">
        <v>7831.76757975876</v>
      </c>
      <c r="I1100" s="191" t="n">
        <v>3931934.3335516</v>
      </c>
      <c r="J1100" s="192" t="str">
        <f>IF(I1100&gt;0,H1100/I1100,0)</f>
      </c>
      <c r="K1100" s="193" t="str">
        <f>1-EXP(-J1100)</f>
      </c>
      <c r="L1100" s="194" t="str">
        <f>IF(G1100=30,1,M1099)</f>
      </c>
      <c r="M1100" s="195" t="str">
        <f>L1100*(1-K1100)</f>
      </c>
    </row>
    <row r="1101">
      <c r="A1101" t="s">
        <v>167</v>
      </c>
      <c r="B1101" t="s">
        <v>219</v>
      </c>
      <c r="C1101" s="35" t="s">
        <v>221</v>
      </c>
      <c r="D1101" t="s">
        <v>502</v>
      </c>
      <c r="E1101" t="s">
        <v>520</v>
      </c>
      <c r="F1101" s="188" t="n">
        <v>2026</v>
      </c>
      <c r="G1101" s="189" t="n">
        <v>49</v>
      </c>
      <c r="H1101" s="190" t="n">
        <v>8429.72851655207</v>
      </c>
      <c r="I1101" s="191" t="n">
        <v>3870575.54514656</v>
      </c>
      <c r="J1101" s="192" t="str">
        <f>IF(I1101&gt;0,H1101/I1101,0)</f>
      </c>
      <c r="K1101" s="193" t="str">
        <f>1-EXP(-J1101)</f>
      </c>
      <c r="L1101" s="194" t="str">
        <f>IF(G1101=30,1,M1100)</f>
      </c>
      <c r="M1101" s="195" t="str">
        <f>L1101*(1-K1101)</f>
      </c>
    </row>
    <row r="1102">
      <c r="A1102" t="s">
        <v>167</v>
      </c>
      <c r="B1102" t="s">
        <v>219</v>
      </c>
      <c r="C1102" s="35" t="s">
        <v>221</v>
      </c>
      <c r="D1102" t="s">
        <v>502</v>
      </c>
      <c r="E1102" t="s">
        <v>520</v>
      </c>
      <c r="F1102" s="188" t="n">
        <v>2026</v>
      </c>
      <c r="G1102" s="189" t="n">
        <v>50</v>
      </c>
      <c r="H1102" s="190" t="n">
        <v>9670.22820907047</v>
      </c>
      <c r="I1102" s="191" t="n">
        <v>3797304.37229286</v>
      </c>
      <c r="J1102" s="192" t="str">
        <f>IF(I1102&gt;0,H1102/I1102,0)</f>
      </c>
      <c r="K1102" s="193" t="str">
        <f>1-EXP(-J1102)</f>
      </c>
      <c r="L1102" s="194" t="str">
        <f>IF(G1102=30,1,M1101)</f>
      </c>
      <c r="M1102" s="195" t="str">
        <f>L1102*(1-K1102)</f>
      </c>
    </row>
    <row r="1103">
      <c r="A1103" t="s">
        <v>167</v>
      </c>
      <c r="B1103" t="s">
        <v>219</v>
      </c>
      <c r="C1103" s="35" t="s">
        <v>221</v>
      </c>
      <c r="D1103" t="s">
        <v>502</v>
      </c>
      <c r="E1103" t="s">
        <v>520</v>
      </c>
      <c r="F1103" s="188" t="n">
        <v>2026</v>
      </c>
      <c r="G1103" s="189" t="n">
        <v>51</v>
      </c>
      <c r="H1103" s="190" t="n">
        <v>10344.7927061987</v>
      </c>
      <c r="I1103" s="191" t="n">
        <v>3722619.16466465</v>
      </c>
      <c r="J1103" s="192" t="str">
        <f>IF(I1103&gt;0,H1103/I1103,0)</f>
      </c>
      <c r="K1103" s="193" t="str">
        <f>1-EXP(-J1103)</f>
      </c>
      <c r="L1103" s="194" t="str">
        <f>IF(G1103=30,1,M1102)</f>
      </c>
      <c r="M1103" s="195" t="str">
        <f>L1103*(1-K1103)</f>
      </c>
    </row>
    <row r="1104">
      <c r="A1104" t="s">
        <v>167</v>
      </c>
      <c r="B1104" t="s">
        <v>219</v>
      </c>
      <c r="C1104" s="35" t="s">
        <v>221</v>
      </c>
      <c r="D1104" t="s">
        <v>502</v>
      </c>
      <c r="E1104" t="s">
        <v>520</v>
      </c>
      <c r="F1104" s="188" t="n">
        <v>2026</v>
      </c>
      <c r="G1104" s="189" t="n">
        <v>52</v>
      </c>
      <c r="H1104" s="190" t="n">
        <v>10972.2386321704</v>
      </c>
      <c r="I1104" s="191" t="n">
        <v>3620908.90429281</v>
      </c>
      <c r="J1104" s="192" t="str">
        <f>IF(I1104&gt;0,H1104/I1104,0)</f>
      </c>
      <c r="K1104" s="193" t="str">
        <f>1-EXP(-J1104)</f>
      </c>
      <c r="L1104" s="194" t="str">
        <f>IF(G1104=30,1,M1103)</f>
      </c>
      <c r="M1104" s="195" t="str">
        <f>L1104*(1-K1104)</f>
      </c>
    </row>
    <row r="1105">
      <c r="A1105" t="s">
        <v>167</v>
      </c>
      <c r="B1105" t="s">
        <v>219</v>
      </c>
      <c r="C1105" s="35" t="s">
        <v>221</v>
      </c>
      <c r="D1105" t="s">
        <v>502</v>
      </c>
      <c r="E1105" t="s">
        <v>520</v>
      </c>
      <c r="F1105" s="188" t="n">
        <v>2026</v>
      </c>
      <c r="G1105" s="189" t="n">
        <v>53</v>
      </c>
      <c r="H1105" s="190" t="n">
        <v>11836.0029807547</v>
      </c>
      <c r="I1105" s="191" t="n">
        <v>3580910.06551612</v>
      </c>
      <c r="J1105" s="192" t="str">
        <f>IF(I1105&gt;0,H1105/I1105,0)</f>
      </c>
      <c r="K1105" s="193" t="str">
        <f>1-EXP(-J1105)</f>
      </c>
      <c r="L1105" s="194" t="str">
        <f>IF(G1105=30,1,M1104)</f>
      </c>
      <c r="M1105" s="195" t="str">
        <f>L1105*(1-K1105)</f>
      </c>
    </row>
    <row r="1106">
      <c r="A1106" t="s">
        <v>167</v>
      </c>
      <c r="B1106" t="s">
        <v>219</v>
      </c>
      <c r="C1106" s="35" t="s">
        <v>221</v>
      </c>
      <c r="D1106" t="s">
        <v>502</v>
      </c>
      <c r="E1106" t="s">
        <v>520</v>
      </c>
      <c r="F1106" s="188" t="n">
        <v>2026</v>
      </c>
      <c r="G1106" s="189" t="n">
        <v>54</v>
      </c>
      <c r="H1106" s="190" t="n">
        <v>12183.4760721317</v>
      </c>
      <c r="I1106" s="191" t="n">
        <v>3373668.63498524</v>
      </c>
      <c r="J1106" s="192" t="str">
        <f>IF(I1106&gt;0,H1106/I1106,0)</f>
      </c>
      <c r="K1106" s="193" t="str">
        <f>1-EXP(-J1106)</f>
      </c>
      <c r="L1106" s="194" t="str">
        <f>IF(G1106=30,1,M1105)</f>
      </c>
      <c r="M1106" s="195" t="str">
        <f>L1106*(1-K1106)</f>
      </c>
    </row>
    <row r="1107">
      <c r="A1107" t="s">
        <v>167</v>
      </c>
      <c r="B1107" t="s">
        <v>219</v>
      </c>
      <c r="C1107" s="35" t="s">
        <v>221</v>
      </c>
      <c r="D1107" t="s">
        <v>502</v>
      </c>
      <c r="E1107" t="s">
        <v>520</v>
      </c>
      <c r="F1107" s="188" t="n">
        <v>2026</v>
      </c>
      <c r="G1107" s="189" t="n">
        <v>55</v>
      </c>
      <c r="H1107" s="190" t="n">
        <v>13210.1248325027</v>
      </c>
      <c r="I1107" s="191" t="n">
        <v>3290805.96393673</v>
      </c>
      <c r="J1107" s="192" t="str">
        <f>IF(I1107&gt;0,H1107/I1107,0)</f>
      </c>
      <c r="K1107" s="193" t="str">
        <f>1-EXP(-J1107)</f>
      </c>
      <c r="L1107" s="194" t="str">
        <f>IF(G1107=30,1,M1106)</f>
      </c>
      <c r="M1107" s="195" t="str">
        <f>L1107*(1-K1107)</f>
      </c>
    </row>
    <row r="1108">
      <c r="A1108" t="s">
        <v>167</v>
      </c>
      <c r="B1108" t="s">
        <v>219</v>
      </c>
      <c r="C1108" s="35" t="s">
        <v>221</v>
      </c>
      <c r="D1108" t="s">
        <v>502</v>
      </c>
      <c r="E1108" t="s">
        <v>520</v>
      </c>
      <c r="F1108" s="188" t="n">
        <v>2026</v>
      </c>
      <c r="G1108" s="189" t="n">
        <v>56</v>
      </c>
      <c r="H1108" s="190" t="n">
        <v>14081.6087959453</v>
      </c>
      <c r="I1108" s="191" t="n">
        <v>3212214.28114487</v>
      </c>
      <c r="J1108" s="192" t="str">
        <f>IF(I1108&gt;0,H1108/I1108,0)</f>
      </c>
      <c r="K1108" s="193" t="str">
        <f>1-EXP(-J1108)</f>
      </c>
      <c r="L1108" s="194" t="str">
        <f>IF(G1108=30,1,M1107)</f>
      </c>
      <c r="M1108" s="195" t="str">
        <f>L1108*(1-K1108)</f>
      </c>
    </row>
    <row r="1109">
      <c r="A1109" t="s">
        <v>167</v>
      </c>
      <c r="B1109" t="s">
        <v>219</v>
      </c>
      <c r="C1109" s="35" t="s">
        <v>221</v>
      </c>
      <c r="D1109" t="s">
        <v>502</v>
      </c>
      <c r="E1109" t="s">
        <v>520</v>
      </c>
      <c r="F1109" s="188" t="n">
        <v>2026</v>
      </c>
      <c r="G1109" s="189" t="n">
        <v>57</v>
      </c>
      <c r="H1109" s="190" t="n">
        <v>14962.2557311222</v>
      </c>
      <c r="I1109" s="191" t="n">
        <v>3124836.70281465</v>
      </c>
      <c r="J1109" s="192" t="str">
        <f>IF(I1109&gt;0,H1109/I1109,0)</f>
      </c>
      <c r="K1109" s="193" t="str">
        <f>1-EXP(-J1109)</f>
      </c>
      <c r="L1109" s="194" t="str">
        <f>IF(G1109=30,1,M1108)</f>
      </c>
      <c r="M1109" s="195" t="str">
        <f>L1109*(1-K1109)</f>
      </c>
    </row>
    <row r="1110">
      <c r="A1110" t="s">
        <v>167</v>
      </c>
      <c r="B1110" t="s">
        <v>219</v>
      </c>
      <c r="C1110" s="35" t="s">
        <v>221</v>
      </c>
      <c r="D1110" t="s">
        <v>502</v>
      </c>
      <c r="E1110" t="s">
        <v>520</v>
      </c>
      <c r="F1110" s="188" t="n">
        <v>2026</v>
      </c>
      <c r="G1110" s="189" t="n">
        <v>58</v>
      </c>
      <c r="H1110" s="190" t="n">
        <v>15782.0298701739</v>
      </c>
      <c r="I1110" s="191" t="n">
        <v>3017305.28674744</v>
      </c>
      <c r="J1110" s="192" t="str">
        <f>IF(I1110&gt;0,H1110/I1110,0)</f>
      </c>
      <c r="K1110" s="193" t="str">
        <f>1-EXP(-J1110)</f>
      </c>
      <c r="L1110" s="194" t="str">
        <f>IF(G1110=30,1,M1109)</f>
      </c>
      <c r="M1110" s="195" t="str">
        <f>L1110*(1-K1110)</f>
      </c>
    </row>
    <row r="1111">
      <c r="A1111" t="s">
        <v>167</v>
      </c>
      <c r="B1111" t="s">
        <v>219</v>
      </c>
      <c r="C1111" s="35" t="s">
        <v>221</v>
      </c>
      <c r="D1111" t="s">
        <v>502</v>
      </c>
      <c r="E1111" t="s">
        <v>520</v>
      </c>
      <c r="F1111" s="188" t="n">
        <v>2026</v>
      </c>
      <c r="G1111" s="189" t="n">
        <v>59</v>
      </c>
      <c r="H1111" s="190" t="n">
        <v>16461.9691802123</v>
      </c>
      <c r="I1111" s="191" t="n">
        <v>2877825.9895627</v>
      </c>
      <c r="J1111" s="192" t="str">
        <f>IF(I1111&gt;0,H1111/I1111,0)</f>
      </c>
      <c r="K1111" s="193" t="str">
        <f>1-EXP(-J1111)</f>
      </c>
      <c r="L1111" s="194" t="str">
        <f>IF(G1111=30,1,M1110)</f>
      </c>
      <c r="M1111" s="195" t="str">
        <f>L1111*(1-K1111)</f>
      </c>
    </row>
    <row r="1112">
      <c r="A1112" t="s">
        <v>167</v>
      </c>
      <c r="B1112" t="s">
        <v>219</v>
      </c>
      <c r="C1112" s="35" t="s">
        <v>221</v>
      </c>
      <c r="D1112" t="s">
        <v>502</v>
      </c>
      <c r="E1112" t="s">
        <v>520</v>
      </c>
      <c r="F1112" s="188" t="n">
        <v>2026</v>
      </c>
      <c r="G1112" s="189" t="n">
        <v>60</v>
      </c>
      <c r="H1112" s="190" t="n">
        <v>17825.5827800073</v>
      </c>
      <c r="I1112" s="191" t="n">
        <v>2775955.73233662</v>
      </c>
      <c r="J1112" s="192" t="str">
        <f>IF(I1112&gt;0,H1112/I1112,0)</f>
      </c>
      <c r="K1112" s="193" t="str">
        <f>1-EXP(-J1112)</f>
      </c>
      <c r="L1112" s="194" t="str">
        <f>IF(G1112=30,1,M1111)</f>
      </c>
      <c r="M1112" s="195" t="str">
        <f>L1112*(1-K1112)</f>
      </c>
    </row>
    <row r="1113">
      <c r="A1113" t="s">
        <v>167</v>
      </c>
      <c r="B1113" t="s">
        <v>219</v>
      </c>
      <c r="C1113" s="35" t="s">
        <v>221</v>
      </c>
      <c r="D1113" t="s">
        <v>502</v>
      </c>
      <c r="E1113" t="s">
        <v>520</v>
      </c>
      <c r="F1113" s="188" t="n">
        <v>2026</v>
      </c>
      <c r="G1113" s="189" t="n">
        <v>61</v>
      </c>
      <c r="H1113" s="190" t="n">
        <v>18625.4292331175</v>
      </c>
      <c r="I1113" s="191" t="n">
        <v>2651125.82517609</v>
      </c>
      <c r="J1113" s="192" t="str">
        <f>IF(I1113&gt;0,H1113/I1113,0)</f>
      </c>
      <c r="K1113" s="193" t="str">
        <f>1-EXP(-J1113)</f>
      </c>
      <c r="L1113" s="194" t="str">
        <f>IF(G1113=30,1,M1112)</f>
      </c>
      <c r="M1113" s="195" t="str">
        <f>L1113*(1-K1113)</f>
      </c>
    </row>
    <row r="1114">
      <c r="A1114" t="s">
        <v>167</v>
      </c>
      <c r="B1114" t="s">
        <v>219</v>
      </c>
      <c r="C1114" s="35" t="s">
        <v>221</v>
      </c>
      <c r="D1114" t="s">
        <v>502</v>
      </c>
      <c r="E1114" t="s">
        <v>520</v>
      </c>
      <c r="F1114" s="188" t="n">
        <v>2026</v>
      </c>
      <c r="G1114" s="189" t="n">
        <v>62</v>
      </c>
      <c r="H1114" s="190" t="n">
        <v>19410.0643056429</v>
      </c>
      <c r="I1114" s="191" t="n">
        <v>2527118.34779537</v>
      </c>
      <c r="J1114" s="192" t="str">
        <f>IF(I1114&gt;0,H1114/I1114,0)</f>
      </c>
      <c r="K1114" s="193" t="str">
        <f>1-EXP(-J1114)</f>
      </c>
      <c r="L1114" s="194" t="str">
        <f>IF(G1114=30,1,M1113)</f>
      </c>
      <c r="M1114" s="195" t="str">
        <f>L1114*(1-K1114)</f>
      </c>
    </row>
    <row r="1115">
      <c r="A1115" t="s">
        <v>167</v>
      </c>
      <c r="B1115" t="s">
        <v>219</v>
      </c>
      <c r="C1115" s="35" t="s">
        <v>221</v>
      </c>
      <c r="D1115" t="s">
        <v>502</v>
      </c>
      <c r="E1115" t="s">
        <v>520</v>
      </c>
      <c r="F1115" s="188" t="n">
        <v>2026</v>
      </c>
      <c r="G1115" s="189" t="n">
        <v>63</v>
      </c>
      <c r="H1115" s="190" t="n">
        <v>20232.9677991296</v>
      </c>
      <c r="I1115" s="191" t="n">
        <v>2408174.82995322</v>
      </c>
      <c r="J1115" s="192" t="str">
        <f>IF(I1115&gt;0,H1115/I1115,0)</f>
      </c>
      <c r="K1115" s="193" t="str">
        <f>1-EXP(-J1115)</f>
      </c>
      <c r="L1115" s="194" t="str">
        <f>IF(G1115=30,1,M1114)</f>
      </c>
      <c r="M1115" s="195" t="str">
        <f>L1115*(1-K1115)</f>
      </c>
    </row>
    <row r="1116">
      <c r="A1116" t="s">
        <v>167</v>
      </c>
      <c r="B1116" t="s">
        <v>219</v>
      </c>
      <c r="C1116" s="35" t="s">
        <v>221</v>
      </c>
      <c r="D1116" t="s">
        <v>502</v>
      </c>
      <c r="E1116" t="s">
        <v>520</v>
      </c>
      <c r="F1116" s="188" t="n">
        <v>2026</v>
      </c>
      <c r="G1116" s="189" t="n">
        <v>64</v>
      </c>
      <c r="H1116" s="190" t="n">
        <v>20903.0156442174</v>
      </c>
      <c r="I1116" s="191" t="n">
        <v>2263177.14570695</v>
      </c>
      <c r="J1116" s="192" t="str">
        <f>IF(I1116&gt;0,H1116/I1116,0)</f>
      </c>
      <c r="K1116" s="193" t="str">
        <f>1-EXP(-J1116)</f>
      </c>
      <c r="L1116" s="194" t="str">
        <f>IF(G1116=30,1,M1115)</f>
      </c>
      <c r="M1116" s="195" t="str">
        <f>L1116*(1-K1116)</f>
      </c>
    </row>
    <row r="1117">
      <c r="A1117" t="s">
        <v>167</v>
      </c>
      <c r="B1117" t="s">
        <v>219</v>
      </c>
      <c r="C1117" s="35" t="s">
        <v>221</v>
      </c>
      <c r="D1117" t="s">
        <v>502</v>
      </c>
      <c r="E1117" t="s">
        <v>520</v>
      </c>
      <c r="F1117" s="188" t="n">
        <v>2026</v>
      </c>
      <c r="G1117" s="189" t="n">
        <v>65</v>
      </c>
      <c r="H1117" s="190" t="n">
        <v>21146.6620334091</v>
      </c>
      <c r="I1117" s="191" t="n">
        <v>2143592.88562047</v>
      </c>
      <c r="J1117" s="192" t="str">
        <f>IF(I1117&gt;0,H1117/I1117,0)</f>
      </c>
      <c r="K1117" s="193" t="str">
        <f>1-EXP(-J1117)</f>
      </c>
      <c r="L1117" s="194" t="str">
        <f>IF(G1117=30,1,M1116)</f>
      </c>
      <c r="M1117" s="195" t="str">
        <f>L1117*(1-K1117)</f>
      </c>
    </row>
    <row r="1118">
      <c r="A1118" t="s">
        <v>167</v>
      </c>
      <c r="B1118" t="s">
        <v>219</v>
      </c>
      <c r="C1118" s="35" t="s">
        <v>221</v>
      </c>
      <c r="D1118" t="s">
        <v>502</v>
      </c>
      <c r="E1118" t="s">
        <v>520</v>
      </c>
      <c r="F1118" s="188" t="n">
        <v>2026</v>
      </c>
      <c r="G1118" s="189" t="n">
        <v>66</v>
      </c>
      <c r="H1118" s="190" t="n">
        <v>21834.0117967036</v>
      </c>
      <c r="I1118" s="191" t="n">
        <v>2020123.65624815</v>
      </c>
      <c r="J1118" s="192" t="str">
        <f>IF(I1118&gt;0,H1118/I1118,0)</f>
      </c>
      <c r="K1118" s="193" t="str">
        <f>1-EXP(-J1118)</f>
      </c>
      <c r="L1118" s="194" t="str">
        <f>IF(G1118=30,1,M1117)</f>
      </c>
      <c r="M1118" s="195" t="str">
        <f>L1118*(1-K1118)</f>
      </c>
    </row>
    <row r="1119">
      <c r="A1119" t="s">
        <v>167</v>
      </c>
      <c r="B1119" t="s">
        <v>219</v>
      </c>
      <c r="C1119" s="35" t="s">
        <v>221</v>
      </c>
      <c r="D1119" t="s">
        <v>502</v>
      </c>
      <c r="E1119" t="s">
        <v>520</v>
      </c>
      <c r="F1119" s="188" t="n">
        <v>2026</v>
      </c>
      <c r="G1119" s="189" t="n">
        <v>67</v>
      </c>
      <c r="H1119" s="190" t="n">
        <v>22393.7587998992</v>
      </c>
      <c r="I1119" s="191" t="n">
        <v>1890337.26910044</v>
      </c>
      <c r="J1119" s="192" t="str">
        <f>IF(I1119&gt;0,H1119/I1119,0)</f>
      </c>
      <c r="K1119" s="193" t="str">
        <f>1-EXP(-J1119)</f>
      </c>
      <c r="L1119" s="194" t="str">
        <f>IF(G1119=30,1,M1118)</f>
      </c>
      <c r="M1119" s="195" t="str">
        <f>L1119*(1-K1119)</f>
      </c>
    </row>
    <row r="1120">
      <c r="A1120" t="s">
        <v>167</v>
      </c>
      <c r="B1120" t="s">
        <v>219</v>
      </c>
      <c r="C1120" s="35" t="s">
        <v>221</v>
      </c>
      <c r="D1120" t="s">
        <v>502</v>
      </c>
      <c r="E1120" t="s">
        <v>520</v>
      </c>
      <c r="F1120" s="188" t="n">
        <v>2026</v>
      </c>
      <c r="G1120" s="189" t="n">
        <v>68</v>
      </c>
      <c r="H1120" s="190" t="n">
        <v>22905.8131341964</v>
      </c>
      <c r="I1120" s="191" t="n">
        <v>1762993.47698247</v>
      </c>
      <c r="J1120" s="192" t="str">
        <f>IF(I1120&gt;0,H1120/I1120,0)</f>
      </c>
      <c r="K1120" s="193" t="str">
        <f>1-EXP(-J1120)</f>
      </c>
      <c r="L1120" s="194" t="str">
        <f>IF(G1120=30,1,M1119)</f>
      </c>
      <c r="M1120" s="195" t="str">
        <f>L1120*(1-K1120)</f>
      </c>
    </row>
    <row r="1121">
      <c r="A1121" t="s">
        <v>167</v>
      </c>
      <c r="B1121" t="s">
        <v>219</v>
      </c>
      <c r="C1121" s="35" t="s">
        <v>221</v>
      </c>
      <c r="D1121" t="s">
        <v>502</v>
      </c>
      <c r="E1121" t="s">
        <v>520</v>
      </c>
      <c r="F1121" s="188" t="n">
        <v>2026</v>
      </c>
      <c r="G1121" s="189" t="n">
        <v>69</v>
      </c>
      <c r="H1121" s="190" t="n">
        <v>23695.9865294179</v>
      </c>
      <c r="I1121" s="191" t="n">
        <v>1657190.39223472</v>
      </c>
      <c r="J1121" s="192" t="str">
        <f>IF(I1121&gt;0,H1121/I1121,0)</f>
      </c>
      <c r="K1121" s="193" t="str">
        <f>1-EXP(-J1121)</f>
      </c>
      <c r="L1121" s="194" t="str">
        <f>IF(G1121=30,1,M1120)</f>
      </c>
      <c r="M1121" s="195" t="str">
        <f>L1121*(1-K1121)</f>
      </c>
    </row>
    <row r="1122">
      <c r="A1122" t="s">
        <v>167</v>
      </c>
      <c r="B1122" t="s">
        <v>219</v>
      </c>
      <c r="C1122" s="35" t="s">
        <v>221</v>
      </c>
      <c r="D1122" t="s">
        <v>502</v>
      </c>
      <c r="E1122" t="s">
        <v>520</v>
      </c>
      <c r="F1122" s="188" t="n">
        <v>2027</v>
      </c>
      <c r="G1122" s="189" t="n">
        <v>30</v>
      </c>
      <c r="H1122" s="190" t="n">
        <v>1291.35379574442</v>
      </c>
      <c r="I1122" s="191" t="n">
        <v>4568812.45165826</v>
      </c>
      <c r="J1122" s="192" t="str">
        <f>IF(I1122&gt;0,H1122/I1122,0)</f>
      </c>
      <c r="K1122" s="193" t="str">
        <f>1-EXP(-J1122)</f>
      </c>
      <c r="L1122" s="194" t="str">
        <f>IF(G1122=30,1,M1121)</f>
      </c>
      <c r="M1122" s="195" t="str">
        <f>L1122*(1-K1122)</f>
      </c>
    </row>
    <row r="1123">
      <c r="A1123" t="s">
        <v>167</v>
      </c>
      <c r="B1123" t="s">
        <v>219</v>
      </c>
      <c r="C1123" s="35" t="s">
        <v>221</v>
      </c>
      <c r="D1123" t="s">
        <v>502</v>
      </c>
      <c r="E1123" t="s">
        <v>520</v>
      </c>
      <c r="F1123" s="188" t="n">
        <v>2027</v>
      </c>
      <c r="G1123" s="189" t="n">
        <v>31</v>
      </c>
      <c r="H1123" s="190" t="n">
        <v>1328.87790546555</v>
      </c>
      <c r="I1123" s="191" t="n">
        <v>4526147.89361548</v>
      </c>
      <c r="J1123" s="192" t="str">
        <f>IF(I1123&gt;0,H1123/I1123,0)</f>
      </c>
      <c r="K1123" s="193" t="str">
        <f>1-EXP(-J1123)</f>
      </c>
      <c r="L1123" s="194" t="str">
        <f>IF(G1123=30,1,M1122)</f>
      </c>
      <c r="M1123" s="195" t="str">
        <f>L1123*(1-K1123)</f>
      </c>
    </row>
    <row r="1124">
      <c r="A1124" t="s">
        <v>167</v>
      </c>
      <c r="B1124" t="s">
        <v>219</v>
      </c>
      <c r="C1124" s="35" t="s">
        <v>221</v>
      </c>
      <c r="D1124" t="s">
        <v>502</v>
      </c>
      <c r="E1124" t="s">
        <v>520</v>
      </c>
      <c r="F1124" s="188" t="n">
        <v>2027</v>
      </c>
      <c r="G1124" s="189" t="n">
        <v>32</v>
      </c>
      <c r="H1124" s="190" t="n">
        <v>1368.16696630845</v>
      </c>
      <c r="I1124" s="191" t="n">
        <v>4453759.46487909</v>
      </c>
      <c r="J1124" s="192" t="str">
        <f>IF(I1124&gt;0,H1124/I1124,0)</f>
      </c>
      <c r="K1124" s="193" t="str">
        <f>1-EXP(-J1124)</f>
      </c>
      <c r="L1124" s="194" t="str">
        <f>IF(G1124=30,1,M1123)</f>
      </c>
      <c r="M1124" s="195" t="str">
        <f>L1124*(1-K1124)</f>
      </c>
    </row>
    <row r="1125">
      <c r="A1125" t="s">
        <v>167</v>
      </c>
      <c r="B1125" t="s">
        <v>219</v>
      </c>
      <c r="C1125" s="35" t="s">
        <v>221</v>
      </c>
      <c r="D1125" t="s">
        <v>502</v>
      </c>
      <c r="E1125" t="s">
        <v>520</v>
      </c>
      <c r="F1125" s="188" t="n">
        <v>2027</v>
      </c>
      <c r="G1125" s="189" t="n">
        <v>33</v>
      </c>
      <c r="H1125" s="190" t="n">
        <v>1421.73380175476</v>
      </c>
      <c r="I1125" s="191" t="n">
        <v>4397362.50402002</v>
      </c>
      <c r="J1125" s="192" t="str">
        <f>IF(I1125&gt;0,H1125/I1125,0)</f>
      </c>
      <c r="K1125" s="193" t="str">
        <f>1-EXP(-J1125)</f>
      </c>
      <c r="L1125" s="194" t="str">
        <f>IF(G1125=30,1,M1124)</f>
      </c>
      <c r="M1125" s="195" t="str">
        <f>L1125*(1-K1125)</f>
      </c>
    </row>
    <row r="1126">
      <c r="A1126" t="s">
        <v>167</v>
      </c>
      <c r="B1126" t="s">
        <v>219</v>
      </c>
      <c r="C1126" s="35" t="s">
        <v>221</v>
      </c>
      <c r="D1126" t="s">
        <v>502</v>
      </c>
      <c r="E1126" t="s">
        <v>520</v>
      </c>
      <c r="F1126" s="188" t="n">
        <v>2027</v>
      </c>
      <c r="G1126" s="189" t="n">
        <v>34</v>
      </c>
      <c r="H1126" s="190" t="n">
        <v>1487.64426272152</v>
      </c>
      <c r="I1126" s="191" t="n">
        <v>4344740.54544724</v>
      </c>
      <c r="J1126" s="192" t="str">
        <f>IF(I1126&gt;0,H1126/I1126,0)</f>
      </c>
      <c r="K1126" s="193" t="str">
        <f>1-EXP(-J1126)</f>
      </c>
      <c r="L1126" s="194" t="str">
        <f>IF(G1126=30,1,M1125)</f>
      </c>
      <c r="M1126" s="195" t="str">
        <f>L1126*(1-K1126)</f>
      </c>
    </row>
    <row r="1127">
      <c r="A1127" t="s">
        <v>167</v>
      </c>
      <c r="B1127" t="s">
        <v>219</v>
      </c>
      <c r="C1127" s="35" t="s">
        <v>221</v>
      </c>
      <c r="D1127" t="s">
        <v>502</v>
      </c>
      <c r="E1127" t="s">
        <v>520</v>
      </c>
      <c r="F1127" s="188" t="n">
        <v>2027</v>
      </c>
      <c r="G1127" s="189" t="n">
        <v>35</v>
      </c>
      <c r="H1127" s="190" t="n">
        <v>2063.74325214794</v>
      </c>
      <c r="I1127" s="191" t="n">
        <v>4384166.54994257</v>
      </c>
      <c r="J1127" s="192" t="str">
        <f>IF(I1127&gt;0,H1127/I1127,0)</f>
      </c>
      <c r="K1127" s="193" t="str">
        <f>1-EXP(-J1127)</f>
      </c>
      <c r="L1127" s="194" t="str">
        <f>IF(G1127=30,1,M1126)</f>
      </c>
      <c r="M1127" s="195" t="str">
        <f>L1127*(1-K1127)</f>
      </c>
    </row>
    <row r="1128">
      <c r="A1128" t="s">
        <v>167</v>
      </c>
      <c r="B1128" t="s">
        <v>219</v>
      </c>
      <c r="C1128" s="35" t="s">
        <v>221</v>
      </c>
      <c r="D1128" t="s">
        <v>502</v>
      </c>
      <c r="E1128" t="s">
        <v>520</v>
      </c>
      <c r="F1128" s="188" t="n">
        <v>2027</v>
      </c>
      <c r="G1128" s="189" t="n">
        <v>36</v>
      </c>
      <c r="H1128" s="190" t="n">
        <v>2213.87804114563</v>
      </c>
      <c r="I1128" s="191" t="n">
        <v>4403454.82490519</v>
      </c>
      <c r="J1128" s="192" t="str">
        <f>IF(I1128&gt;0,H1128/I1128,0)</f>
      </c>
      <c r="K1128" s="193" t="str">
        <f>1-EXP(-J1128)</f>
      </c>
      <c r="L1128" s="194" t="str">
        <f>IF(G1128=30,1,M1127)</f>
      </c>
      <c r="M1128" s="195" t="str">
        <f>L1128*(1-K1128)</f>
      </c>
    </row>
    <row r="1129">
      <c r="A1129" t="s">
        <v>167</v>
      </c>
      <c r="B1129" t="s">
        <v>219</v>
      </c>
      <c r="C1129" s="35" t="s">
        <v>221</v>
      </c>
      <c r="D1129" t="s">
        <v>502</v>
      </c>
      <c r="E1129" t="s">
        <v>520</v>
      </c>
      <c r="F1129" s="188" t="n">
        <v>2027</v>
      </c>
      <c r="G1129" s="189" t="n">
        <v>37</v>
      </c>
      <c r="H1129" s="190" t="n">
        <v>3358.31646626146</v>
      </c>
      <c r="I1129" s="191" t="n">
        <v>6485453.67318929</v>
      </c>
      <c r="J1129" s="192" t="str">
        <f>IF(I1129&gt;0,H1129/I1129,0)</f>
      </c>
      <c r="K1129" s="193" t="str">
        <f>1-EXP(-J1129)</f>
      </c>
      <c r="L1129" s="194" t="str">
        <f>IF(G1129=30,1,M1128)</f>
      </c>
      <c r="M1129" s="195" t="str">
        <f>L1129*(1-K1129)</f>
      </c>
    </row>
    <row r="1130">
      <c r="A1130" t="s">
        <v>167</v>
      </c>
      <c r="B1130" t="s">
        <v>219</v>
      </c>
      <c r="C1130" s="35" t="s">
        <v>221</v>
      </c>
      <c r="D1130" t="s">
        <v>502</v>
      </c>
      <c r="E1130" t="s">
        <v>520</v>
      </c>
      <c r="F1130" s="188" t="n">
        <v>2027</v>
      </c>
      <c r="G1130" s="189" t="n">
        <v>38</v>
      </c>
      <c r="H1130" s="190" t="n">
        <v>2524.93547115781</v>
      </c>
      <c r="I1130" s="191" t="n">
        <v>4365615.30155168</v>
      </c>
      <c r="J1130" s="192" t="str">
        <f>IF(I1130&gt;0,H1130/I1130,0)</f>
      </c>
      <c r="K1130" s="193" t="str">
        <f>1-EXP(-J1130)</f>
      </c>
      <c r="L1130" s="194" t="str">
        <f>IF(G1130=30,1,M1129)</f>
      </c>
      <c r="M1130" s="195" t="str">
        <f>L1130*(1-K1130)</f>
      </c>
    </row>
    <row r="1131">
      <c r="A1131" t="s">
        <v>167</v>
      </c>
      <c r="B1131" t="s">
        <v>219</v>
      </c>
      <c r="C1131" s="35" t="s">
        <v>221</v>
      </c>
      <c r="D1131" t="s">
        <v>502</v>
      </c>
      <c r="E1131" t="s">
        <v>520</v>
      </c>
      <c r="F1131" s="188" t="n">
        <v>2027</v>
      </c>
      <c r="G1131" s="189" t="n">
        <v>39</v>
      </c>
      <c r="H1131" s="190" t="n">
        <v>2704.43032200884</v>
      </c>
      <c r="I1131" s="191" t="n">
        <v>4350990.55255472</v>
      </c>
      <c r="J1131" s="192" t="str">
        <f>IF(I1131&gt;0,H1131/I1131,0)</f>
      </c>
      <c r="K1131" s="193" t="str">
        <f>1-EXP(-J1131)</f>
      </c>
      <c r="L1131" s="194" t="str">
        <f>IF(G1131=30,1,M1130)</f>
      </c>
      <c r="M1131" s="195" t="str">
        <f>L1131*(1-K1131)</f>
      </c>
    </row>
    <row r="1132">
      <c r="A1132" t="s">
        <v>167</v>
      </c>
      <c r="B1132" t="s">
        <v>219</v>
      </c>
      <c r="C1132" s="35" t="s">
        <v>221</v>
      </c>
      <c r="D1132" t="s">
        <v>502</v>
      </c>
      <c r="E1132" t="s">
        <v>520</v>
      </c>
      <c r="F1132" s="188" t="n">
        <v>2027</v>
      </c>
      <c r="G1132" s="189" t="n">
        <v>40</v>
      </c>
      <c r="H1132" s="190" t="n">
        <v>3536.04928503845</v>
      </c>
      <c r="I1132" s="191" t="n">
        <v>4220102.08187626</v>
      </c>
      <c r="J1132" s="192" t="str">
        <f>IF(I1132&gt;0,H1132/I1132,0)</f>
      </c>
      <c r="K1132" s="193" t="str">
        <f>1-EXP(-J1132)</f>
      </c>
      <c r="L1132" s="194" t="str">
        <f>IF(G1132=30,1,M1131)</f>
      </c>
      <c r="M1132" s="195" t="str">
        <f>L1132*(1-K1132)</f>
      </c>
    </row>
    <row r="1133">
      <c r="A1133" t="s">
        <v>167</v>
      </c>
      <c r="B1133" t="s">
        <v>219</v>
      </c>
      <c r="C1133" s="35" t="s">
        <v>221</v>
      </c>
      <c r="D1133" t="s">
        <v>502</v>
      </c>
      <c r="E1133" t="s">
        <v>520</v>
      </c>
      <c r="F1133" s="188" t="n">
        <v>2027</v>
      </c>
      <c r="G1133" s="189" t="n">
        <v>41</v>
      </c>
      <c r="H1133" s="190" t="n">
        <v>3791.22806115078</v>
      </c>
      <c r="I1133" s="191" t="n">
        <v>4187010.89445939</v>
      </c>
      <c r="J1133" s="192" t="str">
        <f>IF(I1133&gt;0,H1133/I1133,0)</f>
      </c>
      <c r="K1133" s="193" t="str">
        <f>1-EXP(-J1133)</f>
      </c>
      <c r="L1133" s="194" t="str">
        <f>IF(G1133=30,1,M1132)</f>
      </c>
      <c r="M1133" s="195" t="str">
        <f>L1133*(1-K1133)</f>
      </c>
    </row>
    <row r="1134">
      <c r="A1134" t="s">
        <v>167</v>
      </c>
      <c r="B1134" t="s">
        <v>219</v>
      </c>
      <c r="C1134" s="35" t="s">
        <v>221</v>
      </c>
      <c r="D1134" t="s">
        <v>502</v>
      </c>
      <c r="E1134" t="s">
        <v>520</v>
      </c>
      <c r="F1134" s="188" t="n">
        <v>2027</v>
      </c>
      <c r="G1134" s="189" t="n">
        <v>42</v>
      </c>
      <c r="H1134" s="190" t="n">
        <v>4169.59157730608</v>
      </c>
      <c r="I1134" s="191" t="n">
        <v>4249368.79786075</v>
      </c>
      <c r="J1134" s="192" t="str">
        <f>IF(I1134&gt;0,H1134/I1134,0)</f>
      </c>
      <c r="K1134" s="193" t="str">
        <f>1-EXP(-J1134)</f>
      </c>
      <c r="L1134" s="194" t="str">
        <f>IF(G1134=30,1,M1133)</f>
      </c>
      <c r="M1134" s="195" t="str">
        <f>L1134*(1-K1134)</f>
      </c>
    </row>
    <row r="1135">
      <c r="A1135" t="s">
        <v>167</v>
      </c>
      <c r="B1135" t="s">
        <v>219</v>
      </c>
      <c r="C1135" s="35" t="s">
        <v>221</v>
      </c>
      <c r="D1135" t="s">
        <v>502</v>
      </c>
      <c r="E1135" t="s">
        <v>520</v>
      </c>
      <c r="F1135" s="188" t="n">
        <v>2027</v>
      </c>
      <c r="G1135" s="189" t="n">
        <v>43</v>
      </c>
      <c r="H1135" s="190" t="n">
        <v>4626.21004273173</v>
      </c>
      <c r="I1135" s="191" t="n">
        <v>4337486.74073727</v>
      </c>
      <c r="J1135" s="192" t="str">
        <f>IF(I1135&gt;0,H1135/I1135,0)</f>
      </c>
      <c r="K1135" s="193" t="str">
        <f>1-EXP(-J1135)</f>
      </c>
      <c r="L1135" s="194" t="str">
        <f>IF(G1135=30,1,M1134)</f>
      </c>
      <c r="M1135" s="195" t="str">
        <f>L1135*(1-K1135)</f>
      </c>
    </row>
    <row r="1136">
      <c r="A1136" t="s">
        <v>167</v>
      </c>
      <c r="B1136" t="s">
        <v>219</v>
      </c>
      <c r="C1136" s="35" t="s">
        <v>221</v>
      </c>
      <c r="D1136" t="s">
        <v>502</v>
      </c>
      <c r="E1136" t="s">
        <v>520</v>
      </c>
      <c r="F1136" s="188" t="n">
        <v>2027</v>
      </c>
      <c r="G1136" s="189" t="n">
        <v>44</v>
      </c>
      <c r="H1136" s="190" t="n">
        <v>5019.99460582023</v>
      </c>
      <c r="I1136" s="191" t="n">
        <v>4316082.12682403</v>
      </c>
      <c r="J1136" s="192" t="str">
        <f>IF(I1136&gt;0,H1136/I1136,0)</f>
      </c>
      <c r="K1136" s="193" t="str">
        <f>1-EXP(-J1136)</f>
      </c>
      <c r="L1136" s="194" t="str">
        <f>IF(G1136=30,1,M1135)</f>
      </c>
      <c r="M1136" s="195" t="str">
        <f>L1136*(1-K1136)</f>
      </c>
    </row>
    <row r="1137">
      <c r="A1137" t="s">
        <v>167</v>
      </c>
      <c r="B1137" t="s">
        <v>219</v>
      </c>
      <c r="C1137" s="35" t="s">
        <v>221</v>
      </c>
      <c r="D1137" t="s">
        <v>502</v>
      </c>
      <c r="E1137" t="s">
        <v>520</v>
      </c>
      <c r="F1137" s="188" t="n">
        <v>2027</v>
      </c>
      <c r="G1137" s="189" t="n">
        <v>45</v>
      </c>
      <c r="H1137" s="190" t="n">
        <v>6302.26593306629</v>
      </c>
      <c r="I1137" s="191" t="n">
        <v>4181420.60619633</v>
      </c>
      <c r="J1137" s="192" t="str">
        <f>IF(I1137&gt;0,H1137/I1137,0)</f>
      </c>
      <c r="K1137" s="193" t="str">
        <f>1-EXP(-J1137)</f>
      </c>
      <c r="L1137" s="194" t="str">
        <f>IF(G1137=30,1,M1136)</f>
      </c>
      <c r="M1137" s="195" t="str">
        <f>L1137*(1-K1137)</f>
      </c>
    </row>
    <row r="1138">
      <c r="A1138" t="s">
        <v>167</v>
      </c>
      <c r="B1138" t="s">
        <v>219</v>
      </c>
      <c r="C1138" s="35" t="s">
        <v>221</v>
      </c>
      <c r="D1138" t="s">
        <v>502</v>
      </c>
      <c r="E1138" t="s">
        <v>520</v>
      </c>
      <c r="F1138" s="188" t="n">
        <v>2027</v>
      </c>
      <c r="G1138" s="189" t="n">
        <v>46</v>
      </c>
      <c r="H1138" s="190" t="n">
        <v>6774.89981236907</v>
      </c>
      <c r="I1138" s="191" t="n">
        <v>4108827.16337536</v>
      </c>
      <c r="J1138" s="192" t="str">
        <f>IF(I1138&gt;0,H1138/I1138,0)</f>
      </c>
      <c r="K1138" s="193" t="str">
        <f>1-EXP(-J1138)</f>
      </c>
      <c r="L1138" s="194" t="str">
        <f>IF(G1138=30,1,M1137)</f>
      </c>
      <c r="M1138" s="195" t="str">
        <f>L1138*(1-K1138)</f>
      </c>
    </row>
    <row r="1139">
      <c r="A1139" t="s">
        <v>167</v>
      </c>
      <c r="B1139" t="s">
        <v>219</v>
      </c>
      <c r="C1139" s="35" t="s">
        <v>221</v>
      </c>
      <c r="D1139" t="s">
        <v>502</v>
      </c>
      <c r="E1139" t="s">
        <v>520</v>
      </c>
      <c r="F1139" s="188" t="n">
        <v>2027</v>
      </c>
      <c r="G1139" s="189" t="n">
        <v>47</v>
      </c>
      <c r="H1139" s="190" t="n">
        <v>7319.6226480881</v>
      </c>
      <c r="I1139" s="191" t="n">
        <v>4053382.30059676</v>
      </c>
      <c r="J1139" s="192" t="str">
        <f>IF(I1139&gt;0,H1139/I1139,0)</f>
      </c>
      <c r="K1139" s="193" t="str">
        <f>1-EXP(-J1139)</f>
      </c>
      <c r="L1139" s="194" t="str">
        <f>IF(G1139=30,1,M1138)</f>
      </c>
      <c r="M1139" s="195" t="str">
        <f>L1139*(1-K1139)</f>
      </c>
    </row>
    <row r="1140">
      <c r="A1140" t="s">
        <v>167</v>
      </c>
      <c r="B1140" t="s">
        <v>219</v>
      </c>
      <c r="C1140" s="35" t="s">
        <v>221</v>
      </c>
      <c r="D1140" t="s">
        <v>502</v>
      </c>
      <c r="E1140" t="s">
        <v>520</v>
      </c>
      <c r="F1140" s="188" t="n">
        <v>2027</v>
      </c>
      <c r="G1140" s="189" t="n">
        <v>48</v>
      </c>
      <c r="H1140" s="190" t="n">
        <v>7888.55777933127</v>
      </c>
      <c r="I1140" s="191" t="n">
        <v>3992579.46098985</v>
      </c>
      <c r="J1140" s="192" t="str">
        <f>IF(I1140&gt;0,H1140/I1140,0)</f>
      </c>
      <c r="K1140" s="193" t="str">
        <f>1-EXP(-J1140)</f>
      </c>
      <c r="L1140" s="194" t="str">
        <f>IF(G1140=30,1,M1139)</f>
      </c>
      <c r="M1140" s="195" t="str">
        <f>L1140*(1-K1140)</f>
      </c>
    </row>
    <row r="1141">
      <c r="A1141" t="s">
        <v>167</v>
      </c>
      <c r="B1141" t="s">
        <v>219</v>
      </c>
      <c r="C1141" s="35" t="s">
        <v>221</v>
      </c>
      <c r="D1141" t="s">
        <v>502</v>
      </c>
      <c r="E1141" t="s">
        <v>520</v>
      </c>
      <c r="F1141" s="188" t="n">
        <v>2027</v>
      </c>
      <c r="G1141" s="189" t="n">
        <v>49</v>
      </c>
      <c r="H1141" s="190" t="n">
        <v>8449.5522504461</v>
      </c>
      <c r="I1141" s="191" t="n">
        <v>3912233.29714524</v>
      </c>
      <c r="J1141" s="192" t="str">
        <f>IF(I1141&gt;0,H1141/I1141,0)</f>
      </c>
      <c r="K1141" s="193" t="str">
        <f>1-EXP(-J1141)</f>
      </c>
      <c r="L1141" s="194" t="str">
        <f>IF(G1141=30,1,M1140)</f>
      </c>
      <c r="M1141" s="195" t="str">
        <f>L1141*(1-K1141)</f>
      </c>
    </row>
    <row r="1142">
      <c r="A1142" t="s">
        <v>167</v>
      </c>
      <c r="B1142" t="s">
        <v>219</v>
      </c>
      <c r="C1142" s="35" t="s">
        <v>221</v>
      </c>
      <c r="D1142" t="s">
        <v>502</v>
      </c>
      <c r="E1142" t="s">
        <v>520</v>
      </c>
      <c r="F1142" s="188" t="n">
        <v>2027</v>
      </c>
      <c r="G1142" s="189" t="n">
        <v>50</v>
      </c>
      <c r="H1142" s="190" t="n">
        <v>9720.7248399552</v>
      </c>
      <c r="I1142" s="191" t="n">
        <v>3849366.74238978</v>
      </c>
      <c r="J1142" s="192" t="str">
        <f>IF(I1142&gt;0,H1142/I1142,0)</f>
      </c>
      <c r="K1142" s="193" t="str">
        <f>1-EXP(-J1142)</f>
      </c>
      <c r="L1142" s="194" t="str">
        <f>IF(G1142=30,1,M1141)</f>
      </c>
      <c r="M1142" s="195" t="str">
        <f>L1142*(1-K1142)</f>
      </c>
    </row>
    <row r="1143">
      <c r="A1143" t="s">
        <v>167</v>
      </c>
      <c r="B1143" t="s">
        <v>219</v>
      </c>
      <c r="C1143" s="35" t="s">
        <v>221</v>
      </c>
      <c r="D1143" t="s">
        <v>502</v>
      </c>
      <c r="E1143" t="s">
        <v>520</v>
      </c>
      <c r="F1143" s="188" t="n">
        <v>2027</v>
      </c>
      <c r="G1143" s="189" t="n">
        <v>51</v>
      </c>
      <c r="H1143" s="190" t="n">
        <v>10407.4085313031</v>
      </c>
      <c r="I1143" s="191" t="n">
        <v>3773690.63442657</v>
      </c>
      <c r="J1143" s="192" t="str">
        <f>IF(I1143&gt;0,H1143/I1143,0)</f>
      </c>
      <c r="K1143" s="193" t="str">
        <f>1-EXP(-J1143)</f>
      </c>
      <c r="L1143" s="194" t="str">
        <f>IF(G1143=30,1,M1142)</f>
      </c>
      <c r="M1143" s="195" t="str">
        <f>L1143*(1-K1143)</f>
      </c>
    </row>
    <row r="1144">
      <c r="A1144" t="s">
        <v>167</v>
      </c>
      <c r="B1144" t="s">
        <v>219</v>
      </c>
      <c r="C1144" s="35" t="s">
        <v>221</v>
      </c>
      <c r="D1144" t="s">
        <v>502</v>
      </c>
      <c r="E1144" t="s">
        <v>520</v>
      </c>
      <c r="F1144" s="188" t="n">
        <v>2027</v>
      </c>
      <c r="G1144" s="189" t="n">
        <v>52</v>
      </c>
      <c r="H1144" s="190" t="n">
        <v>11129.748019169</v>
      </c>
      <c r="I1144" s="191" t="n">
        <v>3698249.44604174</v>
      </c>
      <c r="J1144" s="192" t="str">
        <f>IF(I1144&gt;0,H1144/I1144,0)</f>
      </c>
      <c r="K1144" s="193" t="str">
        <f>1-EXP(-J1144)</f>
      </c>
      <c r="L1144" s="194" t="str">
        <f>IF(G1144=30,1,M1143)</f>
      </c>
      <c r="M1144" s="195" t="str">
        <f>L1144*(1-K1144)</f>
      </c>
    </row>
    <row r="1145">
      <c r="A1145" t="s">
        <v>167</v>
      </c>
      <c r="B1145" t="s">
        <v>219</v>
      </c>
      <c r="C1145" s="35" t="s">
        <v>221</v>
      </c>
      <c r="D1145" t="s">
        <v>502</v>
      </c>
      <c r="E1145" t="s">
        <v>520</v>
      </c>
      <c r="F1145" s="188" t="n">
        <v>2027</v>
      </c>
      <c r="G1145" s="189" t="n">
        <v>53</v>
      </c>
      <c r="H1145" s="190" t="n">
        <v>11805.2405103138</v>
      </c>
      <c r="I1145" s="191" t="n">
        <v>3595066.74521314</v>
      </c>
      <c r="J1145" s="192" t="str">
        <f>IF(I1145&gt;0,H1145/I1145,0)</f>
      </c>
      <c r="K1145" s="193" t="str">
        <f>1-EXP(-J1145)</f>
      </c>
      <c r="L1145" s="194" t="str">
        <f>IF(G1145=30,1,M1144)</f>
      </c>
      <c r="M1145" s="195" t="str">
        <f>L1145*(1-K1145)</f>
      </c>
    </row>
    <row r="1146">
      <c r="A1146" t="s">
        <v>167</v>
      </c>
      <c r="B1146" t="s">
        <v>219</v>
      </c>
      <c r="C1146" s="35" t="s">
        <v>221</v>
      </c>
      <c r="D1146" t="s">
        <v>502</v>
      </c>
      <c r="E1146" t="s">
        <v>520</v>
      </c>
      <c r="F1146" s="188" t="n">
        <v>2027</v>
      </c>
      <c r="G1146" s="189" t="n">
        <v>54</v>
      </c>
      <c r="H1146" s="190" t="n">
        <v>12735.0619684342</v>
      </c>
      <c r="I1146" s="191" t="n">
        <v>3553044.6532932</v>
      </c>
      <c r="J1146" s="192" t="str">
        <f>IF(I1146&gt;0,H1146/I1146,0)</f>
      </c>
      <c r="K1146" s="193" t="str">
        <f>1-EXP(-J1146)</f>
      </c>
      <c r="L1146" s="194" t="str">
        <f>IF(G1146=30,1,M1145)</f>
      </c>
      <c r="M1146" s="195" t="str">
        <f>L1146*(1-K1146)</f>
      </c>
    </row>
    <row r="1147">
      <c r="A1147" t="s">
        <v>167</v>
      </c>
      <c r="B1147" t="s">
        <v>219</v>
      </c>
      <c r="C1147" s="35" t="s">
        <v>221</v>
      </c>
      <c r="D1147" t="s">
        <v>502</v>
      </c>
      <c r="E1147" t="s">
        <v>520</v>
      </c>
      <c r="F1147" s="188" t="n">
        <v>2027</v>
      </c>
      <c r="G1147" s="189" t="n">
        <v>55</v>
      </c>
      <c r="H1147" s="190" t="n">
        <v>13316.8356842661</v>
      </c>
      <c r="I1147" s="191" t="n">
        <v>3345002.91675919</v>
      </c>
      <c r="J1147" s="192" t="str">
        <f>IF(I1147&gt;0,H1147/I1147,0)</f>
      </c>
      <c r="K1147" s="193" t="str">
        <f>1-EXP(-J1147)</f>
      </c>
      <c r="L1147" s="194" t="str">
        <f>IF(G1147=30,1,M1146)</f>
      </c>
      <c r="M1147" s="195" t="str">
        <f>L1147*(1-K1147)</f>
      </c>
    </row>
    <row r="1148">
      <c r="A1148" t="s">
        <v>167</v>
      </c>
      <c r="B1148" t="s">
        <v>219</v>
      </c>
      <c r="C1148" s="35" t="s">
        <v>221</v>
      </c>
      <c r="D1148" t="s">
        <v>502</v>
      </c>
      <c r="E1148" t="s">
        <v>520</v>
      </c>
      <c r="F1148" s="188" t="n">
        <v>2027</v>
      </c>
      <c r="G1148" s="189" t="n">
        <v>56</v>
      </c>
      <c r="H1148" s="190" t="n">
        <v>14167.1922187808</v>
      </c>
      <c r="I1148" s="191" t="n">
        <v>3259783.41587811</v>
      </c>
      <c r="J1148" s="192" t="str">
        <f>IF(I1148&gt;0,H1148/I1148,0)</f>
      </c>
      <c r="K1148" s="193" t="str">
        <f>1-EXP(-J1148)</f>
      </c>
      <c r="L1148" s="194" t="str">
        <f>IF(G1148=30,1,M1147)</f>
      </c>
      <c r="M1148" s="195" t="str">
        <f>L1148*(1-K1148)</f>
      </c>
    </row>
    <row r="1149">
      <c r="A1149" t="s">
        <v>167</v>
      </c>
      <c r="B1149" t="s">
        <v>219</v>
      </c>
      <c r="C1149" s="35" t="s">
        <v>221</v>
      </c>
      <c r="D1149" t="s">
        <v>502</v>
      </c>
      <c r="E1149" t="s">
        <v>520</v>
      </c>
      <c r="F1149" s="188" t="n">
        <v>2027</v>
      </c>
      <c r="G1149" s="189" t="n">
        <v>57</v>
      </c>
      <c r="H1149" s="190" t="n">
        <v>15100.2054680646</v>
      </c>
      <c r="I1149" s="191" t="n">
        <v>3179643.57989205</v>
      </c>
      <c r="J1149" s="192" t="str">
        <f>IF(I1149&gt;0,H1149/I1149,0)</f>
      </c>
      <c r="K1149" s="193" t="str">
        <f>1-EXP(-J1149)</f>
      </c>
      <c r="L1149" s="194" t="str">
        <f>IF(G1149=30,1,M1148)</f>
      </c>
      <c r="M1149" s="195" t="str">
        <f>L1149*(1-K1149)</f>
      </c>
    </row>
    <row r="1150">
      <c r="A1150" t="s">
        <v>167</v>
      </c>
      <c r="B1150" t="s">
        <v>219</v>
      </c>
      <c r="C1150" s="35" t="s">
        <v>221</v>
      </c>
      <c r="D1150" t="s">
        <v>502</v>
      </c>
      <c r="E1150" t="s">
        <v>520</v>
      </c>
      <c r="F1150" s="188" t="n">
        <v>2027</v>
      </c>
      <c r="G1150" s="189" t="n">
        <v>58</v>
      </c>
      <c r="H1150" s="190" t="n">
        <v>16033.9846264041</v>
      </c>
      <c r="I1150" s="191" t="n">
        <v>3090235.96313776</v>
      </c>
      <c r="J1150" s="192" t="str">
        <f>IF(I1150&gt;0,H1150/I1150,0)</f>
      </c>
      <c r="K1150" s="193" t="str">
        <f>1-EXP(-J1150)</f>
      </c>
      <c r="L1150" s="194" t="str">
        <f>IF(G1150=30,1,M1149)</f>
      </c>
      <c r="M1150" s="195" t="str">
        <f>L1150*(1-K1150)</f>
      </c>
    </row>
    <row r="1151">
      <c r="A1151" t="s">
        <v>167</v>
      </c>
      <c r="B1151" t="s">
        <v>219</v>
      </c>
      <c r="C1151" s="35" t="s">
        <v>221</v>
      </c>
      <c r="D1151" t="s">
        <v>502</v>
      </c>
      <c r="E1151" t="s">
        <v>520</v>
      </c>
      <c r="F1151" s="188" t="n">
        <v>2027</v>
      </c>
      <c r="G1151" s="189" t="n">
        <v>59</v>
      </c>
      <c r="H1151" s="190" t="n">
        <v>16900.8714518822</v>
      </c>
      <c r="I1151" s="191" t="n">
        <v>2980814.27384027</v>
      </c>
      <c r="J1151" s="192" t="str">
        <f>IF(I1151&gt;0,H1151/I1151,0)</f>
      </c>
      <c r="K1151" s="193" t="str">
        <f>1-EXP(-J1151)</f>
      </c>
      <c r="L1151" s="194" t="str">
        <f>IF(G1151=30,1,M1150)</f>
      </c>
      <c r="M1151" s="195" t="str">
        <f>L1151*(1-K1151)</f>
      </c>
    </row>
    <row r="1152">
      <c r="A1152" t="s">
        <v>167</v>
      </c>
      <c r="B1152" t="s">
        <v>219</v>
      </c>
      <c r="C1152" s="35" t="s">
        <v>221</v>
      </c>
      <c r="D1152" t="s">
        <v>502</v>
      </c>
      <c r="E1152" t="s">
        <v>520</v>
      </c>
      <c r="F1152" s="188" t="n">
        <v>2027</v>
      </c>
      <c r="G1152" s="189" t="n">
        <v>60</v>
      </c>
      <c r="H1152" s="190" t="n">
        <v>18056.4926214248</v>
      </c>
      <c r="I1152" s="191" t="n">
        <v>2839771.64932173</v>
      </c>
      <c r="J1152" s="192" t="str">
        <f>IF(I1152&gt;0,H1152/I1152,0)</f>
      </c>
      <c r="K1152" s="193" t="str">
        <f>1-EXP(-J1152)</f>
      </c>
      <c r="L1152" s="194" t="str">
        <f>IF(G1152=30,1,M1151)</f>
      </c>
      <c r="M1152" s="195" t="str">
        <f>L1152*(1-K1152)</f>
      </c>
    </row>
    <row r="1153">
      <c r="A1153" t="s">
        <v>167</v>
      </c>
      <c r="B1153" t="s">
        <v>219</v>
      </c>
      <c r="C1153" s="35" t="s">
        <v>221</v>
      </c>
      <c r="D1153" t="s">
        <v>502</v>
      </c>
      <c r="E1153" t="s">
        <v>520</v>
      </c>
      <c r="F1153" s="188" t="n">
        <v>2027</v>
      </c>
      <c r="G1153" s="189" t="n">
        <v>61</v>
      </c>
      <c r="H1153" s="190" t="n">
        <v>19055.4031262257</v>
      </c>
      <c r="I1153" s="191" t="n">
        <v>2735203.91299212</v>
      </c>
      <c r="J1153" s="192" t="str">
        <f>IF(I1153&gt;0,H1153/I1153,0)</f>
      </c>
      <c r="K1153" s="193" t="str">
        <f>1-EXP(-J1153)</f>
      </c>
      <c r="L1153" s="194" t="str">
        <f>IF(G1153=30,1,M1152)</f>
      </c>
      <c r="M1153" s="195" t="str">
        <f>L1153*(1-K1153)</f>
      </c>
    </row>
    <row r="1154">
      <c r="A1154" t="s">
        <v>167</v>
      </c>
      <c r="B1154" t="s">
        <v>219</v>
      </c>
      <c r="C1154" s="35" t="s">
        <v>221</v>
      </c>
      <c r="D1154" t="s">
        <v>502</v>
      </c>
      <c r="E1154" t="s">
        <v>520</v>
      </c>
      <c r="F1154" s="188" t="n">
        <v>2027</v>
      </c>
      <c r="G1154" s="189" t="n">
        <v>62</v>
      </c>
      <c r="H1154" s="190" t="n">
        <v>19877.9117986609</v>
      </c>
      <c r="I1154" s="191" t="n">
        <v>2609203.42866051</v>
      </c>
      <c r="J1154" s="192" t="str">
        <f>IF(I1154&gt;0,H1154/I1154,0)</f>
      </c>
      <c r="K1154" s="193" t="str">
        <f>1-EXP(-J1154)</f>
      </c>
      <c r="L1154" s="194" t="str">
        <f>IF(G1154=30,1,M1153)</f>
      </c>
      <c r="M1154" s="195" t="str">
        <f>L1154*(1-K1154)</f>
      </c>
    </row>
    <row r="1155">
      <c r="A1155" t="s">
        <v>167</v>
      </c>
      <c r="B1155" t="s">
        <v>219</v>
      </c>
      <c r="C1155" s="35" t="s">
        <v>221</v>
      </c>
      <c r="D1155" t="s">
        <v>502</v>
      </c>
      <c r="E1155" t="s">
        <v>520</v>
      </c>
      <c r="F1155" s="188" t="n">
        <v>2027</v>
      </c>
      <c r="G1155" s="189" t="n">
        <v>63</v>
      </c>
      <c r="H1155" s="190" t="n">
        <v>20700.5728221292</v>
      </c>
      <c r="I1155" s="191" t="n">
        <v>2483441.75961726</v>
      </c>
      <c r="J1155" s="192" t="str">
        <f>IF(I1155&gt;0,H1155/I1155,0)</f>
      </c>
      <c r="K1155" s="193" t="str">
        <f>1-EXP(-J1155)</f>
      </c>
      <c r="L1155" s="194" t="str">
        <f>IF(G1155=30,1,M1154)</f>
      </c>
      <c r="M1155" s="195" t="str">
        <f>L1155*(1-K1155)</f>
      </c>
    </row>
    <row r="1156">
      <c r="A1156" t="s">
        <v>167</v>
      </c>
      <c r="B1156" t="s">
        <v>219</v>
      </c>
      <c r="C1156" s="35" t="s">
        <v>221</v>
      </c>
      <c r="D1156" t="s">
        <v>502</v>
      </c>
      <c r="E1156" t="s">
        <v>520</v>
      </c>
      <c r="F1156" s="188" t="n">
        <v>2027</v>
      </c>
      <c r="G1156" s="189" t="n">
        <v>64</v>
      </c>
      <c r="H1156" s="190" t="n">
        <v>21559.3069253213</v>
      </c>
      <c r="I1156" s="191" t="n">
        <v>2362660.82883589</v>
      </c>
      <c r="J1156" s="192" t="str">
        <f>IF(I1156&gt;0,H1156/I1156,0)</f>
      </c>
      <c r="K1156" s="193" t="str">
        <f>1-EXP(-J1156)</f>
      </c>
      <c r="L1156" s="194" t="str">
        <f>IF(G1156=30,1,M1155)</f>
      </c>
      <c r="M1156" s="195" t="str">
        <f>L1156*(1-K1156)</f>
      </c>
    </row>
    <row r="1157">
      <c r="A1157" t="s">
        <v>167</v>
      </c>
      <c r="B1157" t="s">
        <v>219</v>
      </c>
      <c r="C1157" s="35" t="s">
        <v>221</v>
      </c>
      <c r="D1157" t="s">
        <v>502</v>
      </c>
      <c r="E1157" t="s">
        <v>520</v>
      </c>
      <c r="F1157" s="188" t="n">
        <v>2027</v>
      </c>
      <c r="G1157" s="189" t="n">
        <v>65</v>
      </c>
      <c r="H1157" s="190" t="n">
        <v>21671.1615276433</v>
      </c>
      <c r="I1157" s="191" t="n">
        <v>2216172.69253238</v>
      </c>
      <c r="J1157" s="192" t="str">
        <f>IF(I1157&gt;0,H1157/I1157,0)</f>
      </c>
      <c r="K1157" s="193" t="str">
        <f>1-EXP(-J1157)</f>
      </c>
      <c r="L1157" s="194" t="str">
        <f>IF(G1157=30,1,M1156)</f>
      </c>
      <c r="M1157" s="195" t="str">
        <f>L1157*(1-K1157)</f>
      </c>
    </row>
    <row r="1158">
      <c r="A1158" t="s">
        <v>167</v>
      </c>
      <c r="B1158" t="s">
        <v>219</v>
      </c>
      <c r="C1158" s="35" t="s">
        <v>221</v>
      </c>
      <c r="D1158" t="s">
        <v>502</v>
      </c>
      <c r="E1158" t="s">
        <v>520</v>
      </c>
      <c r="F1158" s="188" t="n">
        <v>2027</v>
      </c>
      <c r="G1158" s="189" t="n">
        <v>66</v>
      </c>
      <c r="H1158" s="190" t="n">
        <v>22446.2511508274</v>
      </c>
      <c r="I1158" s="191" t="n">
        <v>2095009.26425792</v>
      </c>
      <c r="J1158" s="192" t="str">
        <f>IF(I1158&gt;0,H1158/I1158,0)</f>
      </c>
      <c r="K1158" s="193" t="str">
        <f>1-EXP(-J1158)</f>
      </c>
      <c r="L1158" s="194" t="str">
        <f>IF(G1158=30,1,M1157)</f>
      </c>
      <c r="M1158" s="195" t="str">
        <f>L1158*(1-K1158)</f>
      </c>
    </row>
    <row r="1159">
      <c r="A1159" t="s">
        <v>167</v>
      </c>
      <c r="B1159" t="s">
        <v>219</v>
      </c>
      <c r="C1159" s="35" t="s">
        <v>221</v>
      </c>
      <c r="D1159" t="s">
        <v>502</v>
      </c>
      <c r="E1159" t="s">
        <v>520</v>
      </c>
      <c r="F1159" s="188" t="n">
        <v>2027</v>
      </c>
      <c r="G1159" s="189" t="n">
        <v>67</v>
      </c>
      <c r="H1159" s="190" t="n">
        <v>23139.3223099563</v>
      </c>
      <c r="I1159" s="191" t="n">
        <v>1969845.22852223</v>
      </c>
      <c r="J1159" s="192" t="str">
        <f>IF(I1159&gt;0,H1159/I1159,0)</f>
      </c>
      <c r="K1159" s="193" t="str">
        <f>1-EXP(-J1159)</f>
      </c>
      <c r="L1159" s="194" t="str">
        <f>IF(G1159=30,1,M1158)</f>
      </c>
      <c r="M1159" s="195" t="str">
        <f>L1159*(1-K1159)</f>
      </c>
    </row>
    <row r="1160">
      <c r="A1160" t="s">
        <v>167</v>
      </c>
      <c r="B1160" t="s">
        <v>219</v>
      </c>
      <c r="C1160" s="35" t="s">
        <v>221</v>
      </c>
      <c r="D1160" t="s">
        <v>502</v>
      </c>
      <c r="E1160" t="s">
        <v>520</v>
      </c>
      <c r="F1160" s="188" t="n">
        <v>2027</v>
      </c>
      <c r="G1160" s="189" t="n">
        <v>68</v>
      </c>
      <c r="H1160" s="190" t="n">
        <v>23691.3669221712</v>
      </c>
      <c r="I1160" s="191" t="n">
        <v>1838802.81006703</v>
      </c>
      <c r="J1160" s="192" t="str">
        <f>IF(I1160&gt;0,H1160/I1160,0)</f>
      </c>
      <c r="K1160" s="193" t="str">
        <f>1-EXP(-J1160)</f>
      </c>
      <c r="L1160" s="194" t="str">
        <f>IF(G1160=30,1,M1159)</f>
      </c>
      <c r="M1160" s="195" t="str">
        <f>L1160*(1-K1160)</f>
      </c>
    </row>
    <row r="1161">
      <c r="A1161" t="s">
        <v>167</v>
      </c>
      <c r="B1161" t="s">
        <v>219</v>
      </c>
      <c r="C1161" s="35" t="s">
        <v>221</v>
      </c>
      <c r="D1161" t="s">
        <v>502</v>
      </c>
      <c r="E1161" t="s">
        <v>520</v>
      </c>
      <c r="F1161" s="188" t="n">
        <v>2027</v>
      </c>
      <c r="G1161" s="189" t="n">
        <v>69</v>
      </c>
      <c r="H1161" s="190" t="n">
        <v>24188.633716186</v>
      </c>
      <c r="I1161" s="191" t="n">
        <v>1710317.74509233</v>
      </c>
      <c r="J1161" s="192" t="str">
        <f>IF(I1161&gt;0,H1161/I1161,0)</f>
      </c>
      <c r="K1161" s="193" t="str">
        <f>1-EXP(-J1161)</f>
      </c>
      <c r="L1161" s="194" t="str">
        <f>IF(G1161=30,1,M1160)</f>
      </c>
      <c r="M1161" s="195" t="str">
        <f>L1161*(1-K1161)</f>
      </c>
    </row>
    <row r="1162">
      <c r="A1162" t="s">
        <v>167</v>
      </c>
      <c r="B1162" t="s">
        <v>219</v>
      </c>
      <c r="C1162" s="35" t="s">
        <v>221</v>
      </c>
      <c r="D1162" t="s">
        <v>502</v>
      </c>
      <c r="E1162" t="s">
        <v>520</v>
      </c>
      <c r="F1162" s="188" t="n">
        <v>2028</v>
      </c>
      <c r="G1162" s="189" t="n">
        <v>30</v>
      </c>
      <c r="H1162" s="190" t="n">
        <v>970.908431042412</v>
      </c>
      <c r="I1162" s="191" t="n">
        <v>4420062.22259508</v>
      </c>
      <c r="J1162" s="192" t="str">
        <f>IF(I1162&gt;0,H1162/I1162,0)</f>
      </c>
      <c r="K1162" s="193" t="str">
        <f>1-EXP(-J1162)</f>
      </c>
      <c r="L1162" s="194" t="str">
        <f>IF(G1162=30,1,M1161)</f>
      </c>
      <c r="M1162" s="195" t="str">
        <f>L1162*(1-K1162)</f>
      </c>
    </row>
    <row r="1163">
      <c r="A1163" t="s">
        <v>167</v>
      </c>
      <c r="B1163" t="s">
        <v>219</v>
      </c>
      <c r="C1163" s="35" t="s">
        <v>221</v>
      </c>
      <c r="D1163" t="s">
        <v>502</v>
      </c>
      <c r="E1163" t="s">
        <v>520</v>
      </c>
      <c r="F1163" s="188" t="n">
        <v>2028</v>
      </c>
      <c r="G1163" s="189" t="n">
        <v>31</v>
      </c>
      <c r="H1163" s="190" t="n">
        <v>1326.33185573792</v>
      </c>
      <c r="I1163" s="191" t="n">
        <v>4561961.96484415</v>
      </c>
      <c r="J1163" s="192" t="str">
        <f>IF(I1163&gt;0,H1163/I1163,0)</f>
      </c>
      <c r="K1163" s="193" t="str">
        <f>1-EXP(-J1163)</f>
      </c>
      <c r="L1163" s="194" t="str">
        <f>IF(G1163=30,1,M1162)</f>
      </c>
      <c r="M1163" s="195" t="str">
        <f>L1163*(1-K1163)</f>
      </c>
    </row>
    <row r="1164">
      <c r="A1164" t="s">
        <v>167</v>
      </c>
      <c r="B1164" t="s">
        <v>219</v>
      </c>
      <c r="C1164" s="35" t="s">
        <v>221</v>
      </c>
      <c r="D1164" t="s">
        <v>502</v>
      </c>
      <c r="E1164" t="s">
        <v>520</v>
      </c>
      <c r="F1164" s="188" t="n">
        <v>2028</v>
      </c>
      <c r="G1164" s="189" t="n">
        <v>32</v>
      </c>
      <c r="H1164" s="190" t="n">
        <v>1375.22620692432</v>
      </c>
      <c r="I1164" s="191" t="n">
        <v>4519608.87570053</v>
      </c>
      <c r="J1164" s="192" t="str">
        <f>IF(I1164&gt;0,H1164/I1164,0)</f>
      </c>
      <c r="K1164" s="193" t="str">
        <f>1-EXP(-J1164)</f>
      </c>
      <c r="L1164" s="194" t="str">
        <f>IF(G1164=30,1,M1163)</f>
      </c>
      <c r="M1164" s="195" t="str">
        <f>L1164*(1-K1164)</f>
      </c>
    </row>
    <row r="1165">
      <c r="A1165" t="s">
        <v>167</v>
      </c>
      <c r="B1165" t="s">
        <v>219</v>
      </c>
      <c r="C1165" s="35" t="s">
        <v>221</v>
      </c>
      <c r="D1165" t="s">
        <v>502</v>
      </c>
      <c r="E1165" t="s">
        <v>520</v>
      </c>
      <c r="F1165" s="188" t="n">
        <v>2028</v>
      </c>
      <c r="G1165" s="189" t="n">
        <v>33</v>
      </c>
      <c r="H1165" s="190" t="n">
        <v>1425.3675656228</v>
      </c>
      <c r="I1165" s="191" t="n">
        <v>4447062.15634519</v>
      </c>
      <c r="J1165" s="192" t="str">
        <f>IF(I1165&gt;0,H1165/I1165,0)</f>
      </c>
      <c r="K1165" s="193" t="str">
        <f>1-EXP(-J1165)</f>
      </c>
      <c r="L1165" s="194" t="str">
        <f>IF(G1165=30,1,M1164)</f>
      </c>
      <c r="M1165" s="195" t="str">
        <f>L1165*(1-K1165)</f>
      </c>
    </row>
    <row r="1166">
      <c r="A1166" t="s">
        <v>167</v>
      </c>
      <c r="B1166" t="s">
        <v>219</v>
      </c>
      <c r="C1166" s="35" t="s">
        <v>221</v>
      </c>
      <c r="D1166" t="s">
        <v>502</v>
      </c>
      <c r="E1166" t="s">
        <v>520</v>
      </c>
      <c r="F1166" s="188" t="n">
        <v>2028</v>
      </c>
      <c r="G1166" s="189" t="n">
        <v>34</v>
      </c>
      <c r="H1166" s="190" t="n">
        <v>1490.52152064894</v>
      </c>
      <c r="I1166" s="191" t="n">
        <v>4390439.54266383</v>
      </c>
      <c r="J1166" s="192" t="str">
        <f>IF(I1166&gt;0,H1166/I1166,0)</f>
      </c>
      <c r="K1166" s="193" t="str">
        <f>1-EXP(-J1166)</f>
      </c>
      <c r="L1166" s="194" t="str">
        <f>IF(G1166=30,1,M1165)</f>
      </c>
      <c r="M1166" s="195" t="str">
        <f>L1166*(1-K1166)</f>
      </c>
    </row>
    <row r="1167">
      <c r="A1167" t="s">
        <v>167</v>
      </c>
      <c r="B1167" t="s">
        <v>219</v>
      </c>
      <c r="C1167" s="35" t="s">
        <v>221</v>
      </c>
      <c r="D1167" t="s">
        <v>502</v>
      </c>
      <c r="E1167" t="s">
        <v>520</v>
      </c>
      <c r="F1167" s="188" t="n">
        <v>2028</v>
      </c>
      <c r="G1167" s="189" t="n">
        <v>35</v>
      </c>
      <c r="H1167" s="190" t="n">
        <v>2017.43159759083</v>
      </c>
      <c r="I1167" s="191" t="n">
        <v>4337532.55276003</v>
      </c>
      <c r="J1167" s="192" t="str">
        <f>IF(I1167&gt;0,H1167/I1167,0)</f>
      </c>
      <c r="K1167" s="193" t="str">
        <f>1-EXP(-J1167)</f>
      </c>
      <c r="L1167" s="194" t="str">
        <f>IF(G1167=30,1,M1166)</f>
      </c>
      <c r="M1167" s="195" t="str">
        <f>L1167*(1-K1167)</f>
      </c>
    </row>
    <row r="1168">
      <c r="A1168" t="s">
        <v>167</v>
      </c>
      <c r="B1168" t="s">
        <v>219</v>
      </c>
      <c r="C1168" s="35" t="s">
        <v>221</v>
      </c>
      <c r="D1168" t="s">
        <v>502</v>
      </c>
      <c r="E1168" t="s">
        <v>520</v>
      </c>
      <c r="F1168" s="188" t="n">
        <v>2028</v>
      </c>
      <c r="G1168" s="189" t="n">
        <v>36</v>
      </c>
      <c r="H1168" s="190" t="n">
        <v>2171.52567406595</v>
      </c>
      <c r="I1168" s="191" t="n">
        <v>4375942.3104154</v>
      </c>
      <c r="J1168" s="192" t="str">
        <f>IF(I1168&gt;0,H1168/I1168,0)</f>
      </c>
      <c r="K1168" s="193" t="str">
        <f>1-EXP(-J1168)</f>
      </c>
      <c r="L1168" s="194" t="str">
        <f>IF(G1168=30,1,M1167)</f>
      </c>
      <c r="M1168" s="195" t="str">
        <f>L1168*(1-K1168)</f>
      </c>
    </row>
    <row r="1169">
      <c r="A1169" t="s">
        <v>167</v>
      </c>
      <c r="B1169" t="s">
        <v>219</v>
      </c>
      <c r="C1169" s="35" t="s">
        <v>221</v>
      </c>
      <c r="D1169" t="s">
        <v>502</v>
      </c>
      <c r="E1169" t="s">
        <v>520</v>
      </c>
      <c r="F1169" s="188" t="n">
        <v>2028</v>
      </c>
      <c r="G1169" s="189" t="n">
        <v>37</v>
      </c>
      <c r="H1169" s="190" t="n">
        <v>2339.05090802689</v>
      </c>
      <c r="I1169" s="191" t="n">
        <v>4395179.40573835</v>
      </c>
      <c r="J1169" s="192" t="str">
        <f>IF(I1169&gt;0,H1169/I1169,0)</f>
      </c>
      <c r="K1169" s="193" t="str">
        <f>1-EXP(-J1169)</f>
      </c>
      <c r="L1169" s="194" t="str">
        <f>IF(G1169=30,1,M1168)</f>
      </c>
      <c r="M1169" s="195" t="str">
        <f>L1169*(1-K1169)</f>
      </c>
    </row>
    <row r="1170">
      <c r="A1170" t="s">
        <v>167</v>
      </c>
      <c r="B1170" t="s">
        <v>219</v>
      </c>
      <c r="C1170" s="35" t="s">
        <v>221</v>
      </c>
      <c r="D1170" t="s">
        <v>502</v>
      </c>
      <c r="E1170" t="s">
        <v>520</v>
      </c>
      <c r="F1170" s="188" t="n">
        <v>2028</v>
      </c>
      <c r="G1170" s="189" t="n">
        <v>38</v>
      </c>
      <c r="H1170" s="190" t="n">
        <v>3550.17393894277</v>
      </c>
      <c r="I1170" s="191" t="n">
        <v>6472855.25430989</v>
      </c>
      <c r="J1170" s="192" t="str">
        <f>IF(I1170&gt;0,H1170/I1170,0)</f>
      </c>
      <c r="K1170" s="193" t="str">
        <f>1-EXP(-J1170)</f>
      </c>
      <c r="L1170" s="194" t="str">
        <f>IF(G1170=30,1,M1169)</f>
      </c>
      <c r="M1170" s="195" t="str">
        <f>L1170*(1-K1170)</f>
      </c>
    </row>
    <row r="1171">
      <c r="A1171" t="s">
        <v>167</v>
      </c>
      <c r="B1171" t="s">
        <v>219</v>
      </c>
      <c r="C1171" s="35" t="s">
        <v>221</v>
      </c>
      <c r="D1171" t="s">
        <v>502</v>
      </c>
      <c r="E1171" t="s">
        <v>520</v>
      </c>
      <c r="F1171" s="188" t="n">
        <v>2028</v>
      </c>
      <c r="G1171" s="189" t="n">
        <v>39</v>
      </c>
      <c r="H1171" s="190" t="n">
        <v>2677.82338353503</v>
      </c>
      <c r="I1171" s="191" t="n">
        <v>4356207.9021126</v>
      </c>
      <c r="J1171" s="192" t="str">
        <f>IF(I1171&gt;0,H1171/I1171,0)</f>
      </c>
      <c r="K1171" s="193" t="str">
        <f>1-EXP(-J1171)</f>
      </c>
      <c r="L1171" s="194" t="str">
        <f>IF(G1171=30,1,M1170)</f>
      </c>
      <c r="M1171" s="195" t="str">
        <f>L1171*(1-K1171)</f>
      </c>
    </row>
    <row r="1172">
      <c r="A1172" t="s">
        <v>167</v>
      </c>
      <c r="B1172" t="s">
        <v>219</v>
      </c>
      <c r="C1172" s="35" t="s">
        <v>221</v>
      </c>
      <c r="D1172" t="s">
        <v>502</v>
      </c>
      <c r="E1172" t="s">
        <v>520</v>
      </c>
      <c r="F1172" s="188" t="n">
        <v>2028</v>
      </c>
      <c r="G1172" s="189" t="n">
        <v>40</v>
      </c>
      <c r="H1172" s="190" t="n">
        <v>3594.59841332472</v>
      </c>
      <c r="I1172" s="191" t="n">
        <v>4340924.47216269</v>
      </c>
      <c r="J1172" s="192" t="str">
        <f>IF(I1172&gt;0,H1172/I1172,0)</f>
      </c>
      <c r="K1172" s="193" t="str">
        <f>1-EXP(-J1172)</f>
      </c>
      <c r="L1172" s="194" t="str">
        <f>IF(G1172=30,1,M1171)</f>
      </c>
      <c r="M1172" s="195" t="str">
        <f>L1172*(1-K1172)</f>
      </c>
    </row>
    <row r="1173">
      <c r="A1173" t="s">
        <v>167</v>
      </c>
      <c r="B1173" t="s">
        <v>219</v>
      </c>
      <c r="C1173" s="35" t="s">
        <v>221</v>
      </c>
      <c r="D1173" t="s">
        <v>502</v>
      </c>
      <c r="E1173" t="s">
        <v>520</v>
      </c>
      <c r="F1173" s="188" t="n">
        <v>2028</v>
      </c>
      <c r="G1173" s="189" t="n">
        <v>41</v>
      </c>
      <c r="H1173" s="190" t="n">
        <v>3770.15093170082</v>
      </c>
      <c r="I1173" s="191" t="n">
        <v>4208790.22486988</v>
      </c>
      <c r="J1173" s="192" t="str">
        <f>IF(I1173&gt;0,H1173/I1173,0)</f>
      </c>
      <c r="K1173" s="193" t="str">
        <f>1-EXP(-J1173)</f>
      </c>
      <c r="L1173" s="194" t="str">
        <f>IF(G1173=30,1,M1172)</f>
      </c>
      <c r="M1173" s="195" t="str">
        <f>L1173*(1-K1173)</f>
      </c>
    </row>
    <row r="1174">
      <c r="A1174" t="s">
        <v>167</v>
      </c>
      <c r="B1174" t="s">
        <v>219</v>
      </c>
      <c r="C1174" s="35" t="s">
        <v>221</v>
      </c>
      <c r="D1174" t="s">
        <v>502</v>
      </c>
      <c r="E1174" t="s">
        <v>520</v>
      </c>
      <c r="F1174" s="188" t="n">
        <v>2028</v>
      </c>
      <c r="G1174" s="189" t="n">
        <v>42</v>
      </c>
      <c r="H1174" s="190" t="n">
        <v>4055.01393651924</v>
      </c>
      <c r="I1174" s="191" t="n">
        <v>4175727.18308286</v>
      </c>
      <c r="J1174" s="192" t="str">
        <f>IF(I1174&gt;0,H1174/I1174,0)</f>
      </c>
      <c r="K1174" s="193" t="str">
        <f>1-EXP(-J1174)</f>
      </c>
      <c r="L1174" s="194" t="str">
        <f>IF(G1174=30,1,M1173)</f>
      </c>
      <c r="M1174" s="195" t="str">
        <f>L1174*(1-K1174)</f>
      </c>
    </row>
    <row r="1175">
      <c r="A1175" t="s">
        <v>167</v>
      </c>
      <c r="B1175" t="s">
        <v>219</v>
      </c>
      <c r="C1175" s="35" t="s">
        <v>221</v>
      </c>
      <c r="D1175" t="s">
        <v>502</v>
      </c>
      <c r="E1175" t="s">
        <v>520</v>
      </c>
      <c r="F1175" s="188" t="n">
        <v>2028</v>
      </c>
      <c r="G1175" s="189" t="n">
        <v>43</v>
      </c>
      <c r="H1175" s="190" t="n">
        <v>4476.56215609552</v>
      </c>
      <c r="I1175" s="191" t="n">
        <v>4236989.82852793</v>
      </c>
      <c r="J1175" s="192" t="str">
        <f>IF(I1175&gt;0,H1175/I1175,0)</f>
      </c>
      <c r="K1175" s="193" t="str">
        <f>1-EXP(-J1175)</f>
      </c>
      <c r="L1175" s="194" t="str">
        <f>IF(G1175=30,1,M1174)</f>
      </c>
      <c r="M1175" s="195" t="str">
        <f>L1175*(1-K1175)</f>
      </c>
    </row>
    <row r="1176">
      <c r="A1176" t="s">
        <v>167</v>
      </c>
      <c r="B1176" t="s">
        <v>219</v>
      </c>
      <c r="C1176" s="35" t="s">
        <v>221</v>
      </c>
      <c r="D1176" t="s">
        <v>502</v>
      </c>
      <c r="E1176" t="s">
        <v>520</v>
      </c>
      <c r="F1176" s="188" t="n">
        <v>2028</v>
      </c>
      <c r="G1176" s="189" t="n">
        <v>44</v>
      </c>
      <c r="H1176" s="190" t="n">
        <v>4983.39453058432</v>
      </c>
      <c r="I1176" s="191" t="n">
        <v>4323784.54505369</v>
      </c>
      <c r="J1176" s="192" t="str">
        <f>IF(I1176&gt;0,H1176/I1176,0)</f>
      </c>
      <c r="K1176" s="193" t="str">
        <f>1-EXP(-J1176)</f>
      </c>
      <c r="L1176" s="194" t="str">
        <f>IF(G1176=30,1,M1175)</f>
      </c>
      <c r="M1176" s="195" t="str">
        <f>L1176*(1-K1176)</f>
      </c>
    </row>
    <row r="1177">
      <c r="A1177" t="s">
        <v>167</v>
      </c>
      <c r="B1177" t="s">
        <v>219</v>
      </c>
      <c r="C1177" s="35" t="s">
        <v>221</v>
      </c>
      <c r="D1177" t="s">
        <v>502</v>
      </c>
      <c r="E1177" t="s">
        <v>520</v>
      </c>
      <c r="F1177" s="188" t="n">
        <v>2028</v>
      </c>
      <c r="G1177" s="189" t="n">
        <v>45</v>
      </c>
      <c r="H1177" s="190" t="n">
        <v>6418.201656096</v>
      </c>
      <c r="I1177" s="191" t="n">
        <v>4301245.19640931</v>
      </c>
      <c r="J1177" s="192" t="str">
        <f>IF(I1177&gt;0,H1177/I1177,0)</f>
      </c>
      <c r="K1177" s="193" t="str">
        <f>1-EXP(-J1177)</f>
      </c>
      <c r="L1177" s="194" t="str">
        <f>IF(G1177=30,1,M1176)</f>
      </c>
      <c r="M1177" s="195" t="str">
        <f>L1177*(1-K1177)</f>
      </c>
    </row>
    <row r="1178">
      <c r="A1178" t="s">
        <v>167</v>
      </c>
      <c r="B1178" t="s">
        <v>219</v>
      </c>
      <c r="C1178" s="35" t="s">
        <v>221</v>
      </c>
      <c r="D1178" t="s">
        <v>502</v>
      </c>
      <c r="E1178" t="s">
        <v>520</v>
      </c>
      <c r="F1178" s="188" t="n">
        <v>2028</v>
      </c>
      <c r="G1178" s="189" t="n">
        <v>46</v>
      </c>
      <c r="H1178" s="190" t="n">
        <v>6801.56764747129</v>
      </c>
      <c r="I1178" s="191" t="n">
        <v>4164672.6690211</v>
      </c>
      <c r="J1178" s="192" t="str">
        <f>IF(I1178&gt;0,H1178/I1178,0)</f>
      </c>
      <c r="K1178" s="193" t="str">
        <f>1-EXP(-J1178)</f>
      </c>
      <c r="L1178" s="194" t="str">
        <f>IF(G1178=30,1,M1177)</f>
      </c>
      <c r="M1178" s="195" t="str">
        <f>L1178*(1-K1178)</f>
      </c>
    </row>
    <row r="1179">
      <c r="A1179" t="s">
        <v>167</v>
      </c>
      <c r="B1179" t="s">
        <v>219</v>
      </c>
      <c r="C1179" s="35" t="s">
        <v>221</v>
      </c>
      <c r="D1179" t="s">
        <v>502</v>
      </c>
      <c r="E1179" t="s">
        <v>520</v>
      </c>
      <c r="F1179" s="188" t="n">
        <v>2028</v>
      </c>
      <c r="G1179" s="189" t="n">
        <v>47</v>
      </c>
      <c r="H1179" s="190" t="n">
        <v>7322.00730769674</v>
      </c>
      <c r="I1179" s="191" t="n">
        <v>4091874.46613822</v>
      </c>
      <c r="J1179" s="192" t="str">
        <f>IF(I1179&gt;0,H1179/I1179,0)</f>
      </c>
      <c r="K1179" s="193" t="str">
        <f>1-EXP(-J1179)</f>
      </c>
      <c r="L1179" s="194" t="str">
        <f>IF(G1179=30,1,M1178)</f>
      </c>
      <c r="M1179" s="195" t="str">
        <f>L1179*(1-K1179)</f>
      </c>
    </row>
    <row r="1180">
      <c r="A1180" t="s">
        <v>167</v>
      </c>
      <c r="B1180" t="s">
        <v>219</v>
      </c>
      <c r="C1180" s="35" t="s">
        <v>221</v>
      </c>
      <c r="D1180" t="s">
        <v>502</v>
      </c>
      <c r="E1180" t="s">
        <v>520</v>
      </c>
      <c r="F1180" s="188" t="n">
        <v>2028</v>
      </c>
      <c r="G1180" s="189" t="n">
        <v>48</v>
      </c>
      <c r="H1180" s="190" t="n">
        <v>7907.26743455775</v>
      </c>
      <c r="I1180" s="191" t="n">
        <v>4035076.37239396</v>
      </c>
      <c r="J1180" s="192" t="str">
        <f>IF(I1180&gt;0,H1180/I1180,0)</f>
      </c>
      <c r="K1180" s="193" t="str">
        <f>1-EXP(-J1180)</f>
      </c>
      <c r="L1180" s="194" t="str">
        <f>IF(G1180=30,1,M1179)</f>
      </c>
      <c r="M1180" s="195" t="str">
        <f>L1180*(1-K1180)</f>
      </c>
    </row>
    <row r="1181">
      <c r="A1181" t="s">
        <v>167</v>
      </c>
      <c r="B1181" t="s">
        <v>219</v>
      </c>
      <c r="C1181" s="35" t="s">
        <v>221</v>
      </c>
      <c r="D1181" t="s">
        <v>502</v>
      </c>
      <c r="E1181" t="s">
        <v>520</v>
      </c>
      <c r="F1181" s="188" t="n">
        <v>2028</v>
      </c>
      <c r="G1181" s="189" t="n">
        <v>49</v>
      </c>
      <c r="H1181" s="190" t="n">
        <v>8515.44312542769</v>
      </c>
      <c r="I1181" s="191" t="n">
        <v>3972849.23992562</v>
      </c>
      <c r="J1181" s="192" t="str">
        <f>IF(I1181&gt;0,H1181/I1181,0)</f>
      </c>
      <c r="K1181" s="193" t="str">
        <f>1-EXP(-J1181)</f>
      </c>
      <c r="L1181" s="194" t="str">
        <f>IF(G1181=30,1,M1180)</f>
      </c>
      <c r="M1181" s="195" t="str">
        <f>L1181*(1-K1181)</f>
      </c>
    </row>
    <row r="1182">
      <c r="A1182" t="s">
        <v>167</v>
      </c>
      <c r="B1182" t="s">
        <v>219</v>
      </c>
      <c r="C1182" s="35" t="s">
        <v>221</v>
      </c>
      <c r="D1182" t="s">
        <v>502</v>
      </c>
      <c r="E1182" t="s">
        <v>520</v>
      </c>
      <c r="F1182" s="188" t="n">
        <v>2028</v>
      </c>
      <c r="G1182" s="189" t="n">
        <v>50</v>
      </c>
      <c r="H1182" s="190" t="n">
        <v>9733.19381072971</v>
      </c>
      <c r="I1182" s="191" t="n">
        <v>3891094.8090888</v>
      </c>
      <c r="J1182" s="192" t="str">
        <f>IF(I1182&gt;0,H1182/I1182,0)</f>
      </c>
      <c r="K1182" s="193" t="str">
        <f>1-EXP(-J1182)</f>
      </c>
      <c r="L1182" s="194" t="str">
        <f>IF(G1182=30,1,M1181)</f>
      </c>
      <c r="M1182" s="195" t="str">
        <f>L1182*(1-K1182)</f>
      </c>
    </row>
    <row r="1183">
      <c r="A1183" t="s">
        <v>167</v>
      </c>
      <c r="B1183" t="s">
        <v>219</v>
      </c>
      <c r="C1183" s="35" t="s">
        <v>221</v>
      </c>
      <c r="D1183" t="s">
        <v>502</v>
      </c>
      <c r="E1183" t="s">
        <v>520</v>
      </c>
      <c r="F1183" s="188" t="n">
        <v>2028</v>
      </c>
      <c r="G1183" s="189" t="n">
        <v>51</v>
      </c>
      <c r="H1183" s="190" t="n">
        <v>10470.8566757909</v>
      </c>
      <c r="I1183" s="191" t="n">
        <v>3825741.16107599</v>
      </c>
      <c r="J1183" s="192" t="str">
        <f>IF(I1183&gt;0,H1183/I1183,0)</f>
      </c>
      <c r="K1183" s="193" t="str">
        <f>1-EXP(-J1183)</f>
      </c>
      <c r="L1183" s="194" t="str">
        <f>IF(G1183=30,1,M1182)</f>
      </c>
      <c r="M1183" s="195" t="str">
        <f>L1183*(1-K1183)</f>
      </c>
    </row>
    <row r="1184">
      <c r="A1184" t="s">
        <v>167</v>
      </c>
      <c r="B1184" t="s">
        <v>219</v>
      </c>
      <c r="C1184" s="35" t="s">
        <v>221</v>
      </c>
      <c r="D1184" t="s">
        <v>502</v>
      </c>
      <c r="E1184" t="s">
        <v>520</v>
      </c>
      <c r="F1184" s="188" t="n">
        <v>2028</v>
      </c>
      <c r="G1184" s="189" t="n">
        <v>52</v>
      </c>
      <c r="H1184" s="190" t="n">
        <v>11203.2084158389</v>
      </c>
      <c r="I1184" s="191" t="n">
        <v>3749283.7736527</v>
      </c>
      <c r="J1184" s="192" t="str">
        <f>IF(I1184&gt;0,H1184/I1184,0)</f>
      </c>
      <c r="K1184" s="193" t="str">
        <f>1-EXP(-J1184)</f>
      </c>
      <c r="L1184" s="194" t="str">
        <f>IF(G1184=30,1,M1183)</f>
      </c>
      <c r="M1184" s="195" t="str">
        <f>L1184*(1-K1184)</f>
      </c>
    </row>
    <row r="1185">
      <c r="A1185" t="s">
        <v>167</v>
      </c>
      <c r="B1185" t="s">
        <v>219</v>
      </c>
      <c r="C1185" s="35" t="s">
        <v>221</v>
      </c>
      <c r="D1185" t="s">
        <v>502</v>
      </c>
      <c r="E1185" t="s">
        <v>520</v>
      </c>
      <c r="F1185" s="188" t="n">
        <v>2028</v>
      </c>
      <c r="G1185" s="189" t="n">
        <v>53</v>
      </c>
      <c r="H1185" s="190" t="n">
        <v>11980.3284644144</v>
      </c>
      <c r="I1185" s="191" t="n">
        <v>3672158.69943067</v>
      </c>
      <c r="J1185" s="192" t="str">
        <f>IF(I1185&gt;0,H1185/I1185,0)</f>
      </c>
      <c r="K1185" s="193" t="str">
        <f>1-EXP(-J1185)</f>
      </c>
      <c r="L1185" s="194" t="str">
        <f>IF(G1185=30,1,M1184)</f>
      </c>
      <c r="M1185" s="195" t="str">
        <f>L1185*(1-K1185)</f>
      </c>
    </row>
    <row r="1186">
      <c r="A1186" t="s">
        <v>167</v>
      </c>
      <c r="B1186" t="s">
        <v>219</v>
      </c>
      <c r="C1186" s="35" t="s">
        <v>221</v>
      </c>
      <c r="D1186" t="s">
        <v>502</v>
      </c>
      <c r="E1186" t="s">
        <v>520</v>
      </c>
      <c r="F1186" s="188" t="n">
        <v>2028</v>
      </c>
      <c r="G1186" s="189" t="n">
        <v>54</v>
      </c>
      <c r="H1186" s="190" t="n">
        <v>12707.3141343688</v>
      </c>
      <c r="I1186" s="191" t="n">
        <v>3567402.7958181</v>
      </c>
      <c r="J1186" s="192" t="str">
        <f>IF(I1186&gt;0,H1186/I1186,0)</f>
      </c>
      <c r="K1186" s="193" t="str">
        <f>1-EXP(-J1186)</f>
      </c>
      <c r="L1186" s="194" t="str">
        <f>IF(G1186=30,1,M1185)</f>
      </c>
      <c r="M1186" s="195" t="str">
        <f>L1186*(1-K1186)</f>
      </c>
    </row>
    <row r="1187">
      <c r="A1187" t="s">
        <v>167</v>
      </c>
      <c r="B1187" t="s">
        <v>219</v>
      </c>
      <c r="C1187" s="35" t="s">
        <v>221</v>
      </c>
      <c r="D1187" t="s">
        <v>502</v>
      </c>
      <c r="E1187" t="s">
        <v>520</v>
      </c>
      <c r="F1187" s="188" t="n">
        <v>2028</v>
      </c>
      <c r="G1187" s="189" t="n">
        <v>55</v>
      </c>
      <c r="H1187" s="190" t="n">
        <v>13897.8058689001</v>
      </c>
      <c r="I1187" s="191" t="n">
        <v>3523214.47946819</v>
      </c>
      <c r="J1187" s="192" t="str">
        <f>IF(I1187&gt;0,H1187/I1187,0)</f>
      </c>
      <c r="K1187" s="193" t="str">
        <f>1-EXP(-J1187)</f>
      </c>
      <c r="L1187" s="194" t="str">
        <f>IF(G1187=30,1,M1186)</f>
      </c>
      <c r="M1187" s="195" t="str">
        <f>L1187*(1-K1187)</f>
      </c>
    </row>
    <row r="1188">
      <c r="A1188" t="s">
        <v>167</v>
      </c>
      <c r="B1188" t="s">
        <v>219</v>
      </c>
      <c r="C1188" s="35" t="s">
        <v>221</v>
      </c>
      <c r="D1188" t="s">
        <v>502</v>
      </c>
      <c r="E1188" t="s">
        <v>520</v>
      </c>
      <c r="F1188" s="188" t="n">
        <v>2028</v>
      </c>
      <c r="G1188" s="189" t="n">
        <v>56</v>
      </c>
      <c r="H1188" s="190" t="n">
        <v>14282.0289694035</v>
      </c>
      <c r="I1188" s="191" t="n">
        <v>3313834.36348476</v>
      </c>
      <c r="J1188" s="192" t="str">
        <f>IF(I1188&gt;0,H1188/I1188,0)</f>
      </c>
      <c r="K1188" s="193" t="str">
        <f>1-EXP(-J1188)</f>
      </c>
      <c r="L1188" s="194" t="str">
        <f>IF(G1188=30,1,M1187)</f>
      </c>
      <c r="M1188" s="195" t="str">
        <f>L1188*(1-K1188)</f>
      </c>
    </row>
    <row r="1189">
      <c r="A1189" t="s">
        <v>167</v>
      </c>
      <c r="B1189" t="s">
        <v>219</v>
      </c>
      <c r="C1189" s="35" t="s">
        <v>221</v>
      </c>
      <c r="D1189" t="s">
        <v>502</v>
      </c>
      <c r="E1189" t="s">
        <v>520</v>
      </c>
      <c r="F1189" s="188" t="n">
        <v>2028</v>
      </c>
      <c r="G1189" s="189" t="n">
        <v>57</v>
      </c>
      <c r="H1189" s="190" t="n">
        <v>15199.3807716777</v>
      </c>
      <c r="I1189" s="191" t="n">
        <v>3227094.49122252</v>
      </c>
      <c r="J1189" s="192" t="str">
        <f>IF(I1189&gt;0,H1189/I1189,0)</f>
      </c>
      <c r="K1189" s="193" t="str">
        <f>1-EXP(-J1189)</f>
      </c>
      <c r="L1189" s="194" t="str">
        <f>IF(G1189=30,1,M1188)</f>
      </c>
      <c r="M1189" s="195" t="str">
        <f>L1189*(1-K1189)</f>
      </c>
    </row>
    <row r="1190">
      <c r="A1190" t="s">
        <v>167</v>
      </c>
      <c r="B1190" t="s">
        <v>219</v>
      </c>
      <c r="C1190" s="35" t="s">
        <v>221</v>
      </c>
      <c r="D1190" t="s">
        <v>502</v>
      </c>
      <c r="E1190" t="s">
        <v>520</v>
      </c>
      <c r="F1190" s="188" t="n">
        <v>2028</v>
      </c>
      <c r="G1190" s="189" t="n">
        <v>58</v>
      </c>
      <c r="H1190" s="190" t="n">
        <v>16191.5059008733</v>
      </c>
      <c r="I1190" s="191" t="n">
        <v>3144816.18758903</v>
      </c>
      <c r="J1190" s="192" t="str">
        <f>IF(I1190&gt;0,H1190/I1190,0)</f>
      </c>
      <c r="K1190" s="193" t="str">
        <f>1-EXP(-J1190)</f>
      </c>
      <c r="L1190" s="194" t="str">
        <f>IF(G1190=30,1,M1189)</f>
      </c>
      <c r="M1190" s="195" t="str">
        <f>L1190*(1-K1190)</f>
      </c>
    </row>
    <row r="1191">
      <c r="A1191" t="s">
        <v>167</v>
      </c>
      <c r="B1191" t="s">
        <v>219</v>
      </c>
      <c r="C1191" s="35" t="s">
        <v>221</v>
      </c>
      <c r="D1191" t="s">
        <v>502</v>
      </c>
      <c r="E1191" t="s">
        <v>520</v>
      </c>
      <c r="F1191" s="188" t="n">
        <v>2028</v>
      </c>
      <c r="G1191" s="189" t="n">
        <v>59</v>
      </c>
      <c r="H1191" s="190" t="n">
        <v>17183.139640614</v>
      </c>
      <c r="I1191" s="191" t="n">
        <v>3053262.6292624</v>
      </c>
      <c r="J1191" s="192" t="str">
        <f>IF(I1191&gt;0,H1191/I1191,0)</f>
      </c>
      <c r="K1191" s="193" t="str">
        <f>1-EXP(-J1191)</f>
      </c>
      <c r="L1191" s="194" t="str">
        <f>IF(G1191=30,1,M1190)</f>
      </c>
      <c r="M1191" s="195" t="str">
        <f>L1191*(1-K1191)</f>
      </c>
    </row>
    <row r="1192">
      <c r="A1192" t="s">
        <v>167</v>
      </c>
      <c r="B1192" t="s">
        <v>219</v>
      </c>
      <c r="C1192" s="35" t="s">
        <v>221</v>
      </c>
      <c r="D1192" t="s">
        <v>502</v>
      </c>
      <c r="E1192" t="s">
        <v>520</v>
      </c>
      <c r="F1192" s="188" t="n">
        <v>2028</v>
      </c>
      <c r="G1192" s="189" t="n">
        <v>60</v>
      </c>
      <c r="H1192" s="190" t="n">
        <v>18510.9363859092</v>
      </c>
      <c r="I1192" s="191" t="n">
        <v>2941849.91225874</v>
      </c>
      <c r="J1192" s="192" t="str">
        <f>IF(I1192&gt;0,H1192/I1192,0)</f>
      </c>
      <c r="K1192" s="193" t="str">
        <f>1-EXP(-J1192)</f>
      </c>
      <c r="L1192" s="194" t="str">
        <f>IF(G1192=30,1,M1191)</f>
      </c>
      <c r="M1192" s="195" t="str">
        <f>L1192*(1-K1192)</f>
      </c>
    </row>
    <row r="1193">
      <c r="A1193" t="s">
        <v>167</v>
      </c>
      <c r="B1193" t="s">
        <v>219</v>
      </c>
      <c r="C1193" s="35" t="s">
        <v>221</v>
      </c>
      <c r="D1193" t="s">
        <v>502</v>
      </c>
      <c r="E1193" t="s">
        <v>520</v>
      </c>
      <c r="F1193" s="188" t="n">
        <v>2028</v>
      </c>
      <c r="G1193" s="189" t="n">
        <v>61</v>
      </c>
      <c r="H1193" s="190" t="n">
        <v>19338.8027984293</v>
      </c>
      <c r="I1193" s="191" t="n">
        <v>2798544.60660616</v>
      </c>
      <c r="J1193" s="192" t="str">
        <f>IF(I1193&gt;0,H1193/I1193,0)</f>
      </c>
      <c r="K1193" s="193" t="str">
        <f>1-EXP(-J1193)</f>
      </c>
      <c r="L1193" s="194" t="str">
        <f>IF(G1193=30,1,M1192)</f>
      </c>
      <c r="M1193" s="195" t="str">
        <f>L1193*(1-K1193)</f>
      </c>
    </row>
    <row r="1194">
      <c r="A1194" t="s">
        <v>167</v>
      </c>
      <c r="B1194" t="s">
        <v>219</v>
      </c>
      <c r="C1194" s="35" t="s">
        <v>221</v>
      </c>
      <c r="D1194" t="s">
        <v>502</v>
      </c>
      <c r="E1194" t="s">
        <v>520</v>
      </c>
      <c r="F1194" s="188" t="n">
        <v>2028</v>
      </c>
      <c r="G1194" s="189" t="n">
        <v>62</v>
      </c>
      <c r="H1194" s="190" t="n">
        <v>20352.1019150262</v>
      </c>
      <c r="I1194" s="191" t="n">
        <v>2692362.82670684</v>
      </c>
      <c r="J1194" s="192" t="str">
        <f>IF(I1194&gt;0,H1194/I1194,0)</f>
      </c>
      <c r="K1194" s="193" t="str">
        <f>1-EXP(-J1194)</f>
      </c>
      <c r="L1194" s="194" t="str">
        <f>IF(G1194=30,1,M1193)</f>
      </c>
      <c r="M1194" s="195" t="str">
        <f>L1194*(1-K1194)</f>
      </c>
    </row>
    <row r="1195">
      <c r="A1195" t="s">
        <v>167</v>
      </c>
      <c r="B1195" t="s">
        <v>219</v>
      </c>
      <c r="C1195" s="35" t="s">
        <v>221</v>
      </c>
      <c r="D1195" t="s">
        <v>502</v>
      </c>
      <c r="E1195" t="s">
        <v>520</v>
      </c>
      <c r="F1195" s="188" t="n">
        <v>2028</v>
      </c>
      <c r="G1195" s="189" t="n">
        <v>63</v>
      </c>
      <c r="H1195" s="190" t="n">
        <v>21216.1374570701</v>
      </c>
      <c r="I1195" s="191" t="n">
        <v>2564528.92311033</v>
      </c>
      <c r="J1195" s="192" t="str">
        <f>IF(I1195&gt;0,H1195/I1195,0)</f>
      </c>
      <c r="K1195" s="193" t="str">
        <f>1-EXP(-J1195)</f>
      </c>
      <c r="L1195" s="194" t="str">
        <f>IF(G1195=30,1,M1194)</f>
      </c>
      <c r="M1195" s="195" t="str">
        <f>L1195*(1-K1195)</f>
      </c>
    </row>
    <row r="1196">
      <c r="A1196" t="s">
        <v>167</v>
      </c>
      <c r="B1196" t="s">
        <v>219</v>
      </c>
      <c r="C1196" s="35" t="s">
        <v>221</v>
      </c>
      <c r="D1196" t="s">
        <v>502</v>
      </c>
      <c r="E1196" t="s">
        <v>520</v>
      </c>
      <c r="F1196" s="188" t="n">
        <v>2028</v>
      </c>
      <c r="G1196" s="189" t="n">
        <v>64</v>
      </c>
      <c r="H1196" s="190" t="n">
        <v>22074.9007943815</v>
      </c>
      <c r="I1196" s="191" t="n">
        <v>2436933.3265929</v>
      </c>
      <c r="J1196" s="192" t="str">
        <f>IF(I1196&gt;0,H1196/I1196,0)</f>
      </c>
      <c r="K1196" s="193" t="str">
        <f>1-EXP(-J1196)</f>
      </c>
      <c r="L1196" s="194" t="str">
        <f>IF(G1196=30,1,M1195)</f>
      </c>
      <c r="M1196" s="195" t="str">
        <f>L1196*(1-K1196)</f>
      </c>
    </row>
    <row r="1197">
      <c r="A1197" t="s">
        <v>167</v>
      </c>
      <c r="B1197" t="s">
        <v>219</v>
      </c>
      <c r="C1197" s="35" t="s">
        <v>221</v>
      </c>
      <c r="D1197" t="s">
        <v>502</v>
      </c>
      <c r="E1197" t="s">
        <v>520</v>
      </c>
      <c r="F1197" s="188" t="n">
        <v>2028</v>
      </c>
      <c r="G1197" s="189" t="n">
        <v>65</v>
      </c>
      <c r="H1197" s="190" t="n">
        <v>22355.237887287</v>
      </c>
      <c r="I1197" s="191" t="n">
        <v>2314238.76506896</v>
      </c>
      <c r="J1197" s="192" t="str">
        <f>IF(I1197&gt;0,H1197/I1197,0)</f>
      </c>
      <c r="K1197" s="193" t="str">
        <f>1-EXP(-J1197)</f>
      </c>
      <c r="L1197" s="194" t="str">
        <f>IF(G1197=30,1,M1196)</f>
      </c>
      <c r="M1197" s="195" t="str">
        <f>L1197*(1-K1197)</f>
      </c>
    </row>
    <row r="1198">
      <c r="A1198" t="s">
        <v>167</v>
      </c>
      <c r="B1198" t="s">
        <v>219</v>
      </c>
      <c r="C1198" s="35" t="s">
        <v>221</v>
      </c>
      <c r="D1198" t="s">
        <v>502</v>
      </c>
      <c r="E1198" t="s">
        <v>520</v>
      </c>
      <c r="F1198" s="188" t="n">
        <v>2028</v>
      </c>
      <c r="G1198" s="189" t="n">
        <v>66</v>
      </c>
      <c r="H1198" s="190" t="n">
        <v>23017.9290884203</v>
      </c>
      <c r="I1198" s="191" t="n">
        <v>2166399.60210842</v>
      </c>
      <c r="J1198" s="192" t="str">
        <f>IF(I1198&gt;0,H1198/I1198,0)</f>
      </c>
      <c r="K1198" s="193" t="str">
        <f>1-EXP(-J1198)</f>
      </c>
      <c r="L1198" s="194" t="str">
        <f>IF(G1198=30,1,M1197)</f>
      </c>
      <c r="M1198" s="195" t="str">
        <f>L1198*(1-K1198)</f>
      </c>
    </row>
    <row r="1199">
      <c r="A1199" t="s">
        <v>167</v>
      </c>
      <c r="B1199" t="s">
        <v>219</v>
      </c>
      <c r="C1199" s="35" t="s">
        <v>221</v>
      </c>
      <c r="D1199" t="s">
        <v>502</v>
      </c>
      <c r="E1199" t="s">
        <v>520</v>
      </c>
      <c r="F1199" s="188" t="n">
        <v>2028</v>
      </c>
      <c r="G1199" s="189" t="n">
        <v>67</v>
      </c>
      <c r="H1199" s="190" t="n">
        <v>23807.4411490358</v>
      </c>
      <c r="I1199" s="191" t="n">
        <v>2043309.04916694</v>
      </c>
      <c r="J1199" s="192" t="str">
        <f>IF(I1199&gt;0,H1199/I1199,0)</f>
      </c>
      <c r="K1199" s="193" t="str">
        <f>1-EXP(-J1199)</f>
      </c>
      <c r="L1199" s="194" t="str">
        <f>IF(G1199=30,1,M1198)</f>
      </c>
      <c r="M1199" s="195" t="str">
        <f>L1199*(1-K1199)</f>
      </c>
    </row>
    <row r="1200">
      <c r="A1200" t="s">
        <v>167</v>
      </c>
      <c r="B1200" t="s">
        <v>219</v>
      </c>
      <c r="C1200" s="35" t="s">
        <v>221</v>
      </c>
      <c r="D1200" t="s">
        <v>502</v>
      </c>
      <c r="E1200" t="s">
        <v>520</v>
      </c>
      <c r="F1200" s="188" t="n">
        <v>2028</v>
      </c>
      <c r="G1200" s="189" t="n">
        <v>68</v>
      </c>
      <c r="H1200" s="190" t="n">
        <v>24500.9089806909</v>
      </c>
      <c r="I1200" s="191" t="n">
        <v>1916588.44774681</v>
      </c>
      <c r="J1200" s="192" t="str">
        <f>IF(I1200&gt;0,H1200/I1200,0)</f>
      </c>
      <c r="K1200" s="193" t="str">
        <f>1-EXP(-J1200)</f>
      </c>
      <c r="L1200" s="194" t="str">
        <f>IF(G1200=30,1,M1199)</f>
      </c>
      <c r="M1200" s="195" t="str">
        <f>L1200*(1-K1200)</f>
      </c>
    </row>
    <row r="1201">
      <c r="A1201" t="s">
        <v>167</v>
      </c>
      <c r="B1201" t="s">
        <v>219</v>
      </c>
      <c r="C1201" s="35" t="s">
        <v>221</v>
      </c>
      <c r="D1201" t="s">
        <v>502</v>
      </c>
      <c r="E1201" t="s">
        <v>520</v>
      </c>
      <c r="F1201" s="188" t="n">
        <v>2028</v>
      </c>
      <c r="G1201" s="189" t="n">
        <v>69</v>
      </c>
      <c r="H1201" s="190" t="n">
        <v>25040.7597612607</v>
      </c>
      <c r="I1201" s="191" t="n">
        <v>1784317.27784936</v>
      </c>
      <c r="J1201" s="192" t="str">
        <f>IF(I1201&gt;0,H1201/I1201,0)</f>
      </c>
      <c r="K1201" s="193" t="str">
        <f>1-EXP(-J1201)</f>
      </c>
      <c r="L1201" s="194" t="str">
        <f>IF(G1201=30,1,M1200)</f>
      </c>
      <c r="M1201" s="195" t="str">
        <f>L1201*(1-K1201)</f>
      </c>
    </row>
    <row r="1202">
      <c r="A1202" t="s">
        <v>167</v>
      </c>
      <c r="B1202" t="s">
        <v>219</v>
      </c>
      <c r="C1202" s="35" t="s">
        <v>221</v>
      </c>
      <c r="D1202" t="s">
        <v>502</v>
      </c>
      <c r="E1202" t="s">
        <v>520</v>
      </c>
      <c r="F1202" s="188" t="n">
        <v>2029</v>
      </c>
      <c r="G1202" s="189" t="n">
        <v>30</v>
      </c>
      <c r="H1202" s="190" t="n">
        <v>946.420869012332</v>
      </c>
      <c r="I1202" s="191" t="n">
        <v>4353634.99799857</v>
      </c>
      <c r="J1202" s="192" t="str">
        <f>IF(I1202&gt;0,H1202/I1202,0)</f>
      </c>
      <c r="K1202" s="193" t="str">
        <f>1-EXP(-J1202)</f>
      </c>
      <c r="L1202" s="194" t="str">
        <f>IF(G1202=30,1,M1201)</f>
      </c>
      <c r="M1202" s="195" t="str">
        <f>L1202*(1-K1202)</f>
      </c>
    </row>
    <row r="1203">
      <c r="A1203" t="s">
        <v>167</v>
      </c>
      <c r="B1203" t="s">
        <v>219</v>
      </c>
      <c r="C1203" s="35" t="s">
        <v>221</v>
      </c>
      <c r="D1203" t="s">
        <v>502</v>
      </c>
      <c r="E1203" t="s">
        <v>520</v>
      </c>
      <c r="F1203" s="188" t="n">
        <v>2029</v>
      </c>
      <c r="G1203" s="189" t="n">
        <v>31</v>
      </c>
      <c r="H1203" s="190" t="n">
        <v>1092.78857610526</v>
      </c>
      <c r="I1203" s="191" t="n">
        <v>4413855.87846821</v>
      </c>
      <c r="J1203" s="192" t="str">
        <f>IF(I1203&gt;0,H1203/I1203,0)</f>
      </c>
      <c r="K1203" s="193" t="str">
        <f>1-EXP(-J1203)</f>
      </c>
      <c r="L1203" s="194" t="str">
        <f>IF(G1203=30,1,M1202)</f>
      </c>
      <c r="M1203" s="195" t="str">
        <f>L1203*(1-K1203)</f>
      </c>
    </row>
    <row r="1204">
      <c r="A1204" t="s">
        <v>167</v>
      </c>
      <c r="B1204" t="s">
        <v>219</v>
      </c>
      <c r="C1204" s="35" t="s">
        <v>221</v>
      </c>
      <c r="D1204" t="s">
        <v>502</v>
      </c>
      <c r="E1204" t="s">
        <v>520</v>
      </c>
      <c r="F1204" s="188" t="n">
        <v>2029</v>
      </c>
      <c r="G1204" s="189" t="n">
        <v>32</v>
      </c>
      <c r="H1204" s="190" t="n">
        <v>1376.73353542315</v>
      </c>
      <c r="I1204" s="191" t="n">
        <v>4555498.1685647</v>
      </c>
      <c r="J1204" s="192" t="str">
        <f>IF(I1204&gt;0,H1204/I1204,0)</f>
      </c>
      <c r="K1204" s="193" t="str">
        <f>1-EXP(-J1204)</f>
      </c>
      <c r="L1204" s="194" t="str">
        <f>IF(G1204=30,1,M1203)</f>
      </c>
      <c r="M1204" s="195" t="str">
        <f>L1204*(1-K1204)</f>
      </c>
    </row>
    <row r="1205">
      <c r="A1205" t="s">
        <v>167</v>
      </c>
      <c r="B1205" t="s">
        <v>219</v>
      </c>
      <c r="C1205" s="35" t="s">
        <v>221</v>
      </c>
      <c r="D1205" t="s">
        <v>502</v>
      </c>
      <c r="E1205" t="s">
        <v>520</v>
      </c>
      <c r="F1205" s="188" t="n">
        <v>2029</v>
      </c>
      <c r="G1205" s="189" t="n">
        <v>33</v>
      </c>
      <c r="H1205" s="190" t="n">
        <v>1436.80627620269</v>
      </c>
      <c r="I1205" s="191" t="n">
        <v>4512941.55103012</v>
      </c>
      <c r="J1205" s="192" t="str">
        <f>IF(I1205&gt;0,H1205/I1205,0)</f>
      </c>
      <c r="K1205" s="193" t="str">
        <f>1-EXP(-J1205)</f>
      </c>
      <c r="L1205" s="194" t="str">
        <f>IF(G1205=30,1,M1204)</f>
      </c>
      <c r="M1205" s="195" t="str">
        <f>L1205*(1-K1205)</f>
      </c>
    </row>
    <row r="1206">
      <c r="A1206" t="s">
        <v>167</v>
      </c>
      <c r="B1206" t="s">
        <v>219</v>
      </c>
      <c r="C1206" s="35" t="s">
        <v>221</v>
      </c>
      <c r="D1206" t="s">
        <v>502</v>
      </c>
      <c r="E1206" t="s">
        <v>520</v>
      </c>
      <c r="F1206" s="188" t="n">
        <v>2029</v>
      </c>
      <c r="G1206" s="189" t="n">
        <v>34</v>
      </c>
      <c r="H1206" s="190" t="n">
        <v>1498.3700256164</v>
      </c>
      <c r="I1206" s="191" t="n">
        <v>4440191.33773236</v>
      </c>
      <c r="J1206" s="192" t="str">
        <f>IF(I1206&gt;0,H1206/I1206,0)</f>
      </c>
      <c r="K1206" s="193" t="str">
        <f>1-EXP(-J1206)</f>
      </c>
      <c r="L1206" s="194" t="str">
        <f>IF(G1206=30,1,M1205)</f>
      </c>
      <c r="M1206" s="195" t="str">
        <f>L1206*(1-K1206)</f>
      </c>
    </row>
    <row r="1207">
      <c r="A1207" t="s">
        <v>167</v>
      </c>
      <c r="B1207" t="s">
        <v>219</v>
      </c>
      <c r="C1207" s="35" t="s">
        <v>221</v>
      </c>
      <c r="D1207" t="s">
        <v>502</v>
      </c>
      <c r="E1207" t="s">
        <v>520</v>
      </c>
      <c r="F1207" s="188" t="n">
        <v>2029</v>
      </c>
      <c r="G1207" s="189" t="n">
        <v>35</v>
      </c>
      <c r="H1207" s="190" t="n">
        <v>2018.08976920365</v>
      </c>
      <c r="I1207" s="191" t="n">
        <v>4383290.15073546</v>
      </c>
      <c r="J1207" s="192" t="str">
        <f>IF(I1207&gt;0,H1207/I1207,0)</f>
      </c>
      <c r="K1207" s="193" t="str">
        <f>1-EXP(-J1207)</f>
      </c>
      <c r="L1207" s="194" t="str">
        <f>IF(G1207=30,1,M1206)</f>
      </c>
      <c r="M1207" s="195" t="str">
        <f>L1207*(1-K1207)</f>
      </c>
    </row>
    <row r="1208">
      <c r="A1208" t="s">
        <v>167</v>
      </c>
      <c r="B1208" t="s">
        <v>219</v>
      </c>
      <c r="C1208" s="35" t="s">
        <v>221</v>
      </c>
      <c r="D1208" t="s">
        <v>502</v>
      </c>
      <c r="E1208" t="s">
        <v>520</v>
      </c>
      <c r="F1208" s="188" t="n">
        <v>2029</v>
      </c>
      <c r="G1208" s="189" t="n">
        <v>36</v>
      </c>
      <c r="H1208" s="190" t="n">
        <v>2127.16057816242</v>
      </c>
      <c r="I1208" s="191" t="n">
        <v>4329542.86604712</v>
      </c>
      <c r="J1208" s="192" t="str">
        <f>IF(I1208&gt;0,H1208/I1208,0)</f>
      </c>
      <c r="K1208" s="193" t="str">
        <f>1-EXP(-J1208)</f>
      </c>
      <c r="L1208" s="194" t="str">
        <f>IF(G1208=30,1,M1207)</f>
      </c>
      <c r="M1208" s="195" t="str">
        <f>L1208*(1-K1208)</f>
      </c>
    </row>
    <row r="1209">
      <c r="A1209" t="s">
        <v>167</v>
      </c>
      <c r="B1209" t="s">
        <v>219</v>
      </c>
      <c r="C1209" s="35" t="s">
        <v>221</v>
      </c>
      <c r="D1209" t="s">
        <v>502</v>
      </c>
      <c r="E1209" t="s">
        <v>520</v>
      </c>
      <c r="F1209" s="188" t="n">
        <v>2029</v>
      </c>
      <c r="G1209" s="189" t="n">
        <v>37</v>
      </c>
      <c r="H1209" s="190" t="n">
        <v>2300.57074544613</v>
      </c>
      <c r="I1209" s="191" t="n">
        <v>4367871.41824446</v>
      </c>
      <c r="J1209" s="192" t="str">
        <f>IF(I1209&gt;0,H1209/I1209,0)</f>
      </c>
      <c r="K1209" s="193" t="str">
        <f>1-EXP(-J1209)</f>
      </c>
      <c r="L1209" s="194" t="str">
        <f>IF(G1209=30,1,M1208)</f>
      </c>
      <c r="M1209" s="195" t="str">
        <f>L1209*(1-K1209)</f>
      </c>
    </row>
    <row r="1210">
      <c r="A1210" t="s">
        <v>167</v>
      </c>
      <c r="B1210" t="s">
        <v>219</v>
      </c>
      <c r="C1210" s="35" t="s">
        <v>221</v>
      </c>
      <c r="D1210" t="s">
        <v>502</v>
      </c>
      <c r="E1210" t="s">
        <v>520</v>
      </c>
      <c r="F1210" s="188" t="n">
        <v>2029</v>
      </c>
      <c r="G1210" s="189" t="n">
        <v>38</v>
      </c>
      <c r="H1210" s="190" t="n">
        <v>2482.98953687495</v>
      </c>
      <c r="I1210" s="191" t="n">
        <v>4386504.97396627</v>
      </c>
      <c r="J1210" s="192" t="str">
        <f>IF(I1210&gt;0,H1210/I1210,0)</f>
      </c>
      <c r="K1210" s="193" t="str">
        <f>1-EXP(-J1210)</f>
      </c>
      <c r="L1210" s="194" t="str">
        <f>IF(G1210=30,1,M1209)</f>
      </c>
      <c r="M1210" s="195" t="str">
        <f>L1210*(1-K1210)</f>
      </c>
    </row>
    <row r="1211">
      <c r="A1211" t="s">
        <v>167</v>
      </c>
      <c r="B1211" t="s">
        <v>219</v>
      </c>
      <c r="C1211" s="35" t="s">
        <v>221</v>
      </c>
      <c r="D1211" t="s">
        <v>502</v>
      </c>
      <c r="E1211" t="s">
        <v>520</v>
      </c>
      <c r="F1211" s="188" t="n">
        <v>2029</v>
      </c>
      <c r="G1211" s="189" t="n">
        <v>39</v>
      </c>
      <c r="H1211" s="190" t="n">
        <v>3768.06752315883</v>
      </c>
      <c r="I1211" s="191" t="n">
        <v>6459631.87493404</v>
      </c>
      <c r="J1211" s="192" t="str">
        <f>IF(I1211&gt;0,H1211/I1211,0)</f>
      </c>
      <c r="K1211" s="193" t="str">
        <f>1-EXP(-J1211)</f>
      </c>
      <c r="L1211" s="194" t="str">
        <f>IF(G1211=30,1,M1210)</f>
      </c>
      <c r="M1211" s="195" t="str">
        <f>L1211*(1-K1211)</f>
      </c>
    </row>
    <row r="1212">
      <c r="A1212" t="s">
        <v>167</v>
      </c>
      <c r="B1212" t="s">
        <v>219</v>
      </c>
      <c r="C1212" s="35" t="s">
        <v>221</v>
      </c>
      <c r="D1212" t="s">
        <v>502</v>
      </c>
      <c r="E1212" t="s">
        <v>520</v>
      </c>
      <c r="F1212" s="188" t="n">
        <v>2029</v>
      </c>
      <c r="G1212" s="189" t="n">
        <v>40</v>
      </c>
      <c r="H1212" s="190" t="n">
        <v>3564.57139749473</v>
      </c>
      <c r="I1212" s="191" t="n">
        <v>4346304.05875339</v>
      </c>
      <c r="J1212" s="192" t="str">
        <f>IF(I1212&gt;0,H1212/I1212,0)</f>
      </c>
      <c r="K1212" s="193" t="str">
        <f>1-EXP(-J1212)</f>
      </c>
      <c r="L1212" s="194" t="str">
        <f>IF(G1212=30,1,M1211)</f>
      </c>
      <c r="M1212" s="195" t="str">
        <f>L1212*(1-K1212)</f>
      </c>
    </row>
    <row r="1213">
      <c r="A1213" t="s">
        <v>167</v>
      </c>
      <c r="B1213" t="s">
        <v>219</v>
      </c>
      <c r="C1213" s="35" t="s">
        <v>221</v>
      </c>
      <c r="D1213" t="s">
        <v>502</v>
      </c>
      <c r="E1213" t="s">
        <v>520</v>
      </c>
      <c r="F1213" s="188" t="n">
        <v>2029</v>
      </c>
      <c r="G1213" s="189" t="n">
        <v>41</v>
      </c>
      <c r="H1213" s="190" t="n">
        <v>3839.91145835731</v>
      </c>
      <c r="I1213" s="191" t="n">
        <v>4329484.55949517</v>
      </c>
      <c r="J1213" s="192" t="str">
        <f>IF(I1213&gt;0,H1213/I1213,0)</f>
      </c>
      <c r="K1213" s="193" t="str">
        <f>1-EXP(-J1213)</f>
      </c>
      <c r="L1213" s="194" t="str">
        <f>IF(G1213=30,1,M1212)</f>
      </c>
      <c r="M1213" s="195" t="str">
        <f>L1213*(1-K1213)</f>
      </c>
    </row>
    <row r="1214">
      <c r="A1214" t="s">
        <v>167</v>
      </c>
      <c r="B1214" t="s">
        <v>219</v>
      </c>
      <c r="C1214" s="35" t="s">
        <v>221</v>
      </c>
      <c r="D1214" t="s">
        <v>502</v>
      </c>
      <c r="E1214" t="s">
        <v>520</v>
      </c>
      <c r="F1214" s="188" t="n">
        <v>2029</v>
      </c>
      <c r="G1214" s="189" t="n">
        <v>42</v>
      </c>
      <c r="H1214" s="190" t="n">
        <v>4038.59574200481</v>
      </c>
      <c r="I1214" s="191" t="n">
        <v>4197633.29169554</v>
      </c>
      <c r="J1214" s="192" t="str">
        <f>IF(I1214&gt;0,H1214/I1214,0)</f>
      </c>
      <c r="K1214" s="193" t="str">
        <f>1-EXP(-J1214)</f>
      </c>
      <c r="L1214" s="194" t="str">
        <f>IF(G1214=30,1,M1213)</f>
      </c>
      <c r="M1214" s="195" t="str">
        <f>L1214*(1-K1214)</f>
      </c>
    </row>
    <row r="1215">
      <c r="A1215" t="s">
        <v>167</v>
      </c>
      <c r="B1215" t="s">
        <v>219</v>
      </c>
      <c r="C1215" s="35" t="s">
        <v>221</v>
      </c>
      <c r="D1215" t="s">
        <v>502</v>
      </c>
      <c r="E1215" t="s">
        <v>520</v>
      </c>
      <c r="F1215" s="188" t="n">
        <v>2029</v>
      </c>
      <c r="G1215" s="189" t="n">
        <v>43</v>
      </c>
      <c r="H1215" s="190" t="n">
        <v>4359.31246063423</v>
      </c>
      <c r="I1215" s="191" t="n">
        <v>4163756.75971616</v>
      </c>
      <c r="J1215" s="192" t="str">
        <f>IF(I1215&gt;0,H1215/I1215,0)</f>
      </c>
      <c r="K1215" s="193" t="str">
        <f>1-EXP(-J1215)</f>
      </c>
      <c r="L1215" s="194" t="str">
        <f>IF(G1215=30,1,M1214)</f>
      </c>
      <c r="M1215" s="195" t="str">
        <f>L1215*(1-K1215)</f>
      </c>
    </row>
    <row r="1216">
      <c r="A1216" t="s">
        <v>167</v>
      </c>
      <c r="B1216" t="s">
        <v>219</v>
      </c>
      <c r="C1216" s="35" t="s">
        <v>221</v>
      </c>
      <c r="D1216" t="s">
        <v>502</v>
      </c>
      <c r="E1216" t="s">
        <v>520</v>
      </c>
      <c r="F1216" s="188" t="n">
        <v>2029</v>
      </c>
      <c r="G1216" s="189" t="n">
        <v>44</v>
      </c>
      <c r="H1216" s="190" t="n">
        <v>4827.78411519872</v>
      </c>
      <c r="I1216" s="191" t="n">
        <v>4223810.3601715</v>
      </c>
      <c r="J1216" s="192" t="str">
        <f>IF(I1216&gt;0,H1216/I1216,0)</f>
      </c>
      <c r="K1216" s="193" t="str">
        <f>1-EXP(-J1216)</f>
      </c>
      <c r="L1216" s="194" t="str">
        <f>IF(G1216=30,1,M1215)</f>
      </c>
      <c r="M1216" s="195" t="str">
        <f>L1216*(1-K1216)</f>
      </c>
    </row>
    <row r="1217">
      <c r="A1217" t="s">
        <v>167</v>
      </c>
      <c r="B1217" t="s">
        <v>219</v>
      </c>
      <c r="C1217" s="35" t="s">
        <v>221</v>
      </c>
      <c r="D1217" t="s">
        <v>502</v>
      </c>
      <c r="E1217" t="s">
        <v>520</v>
      </c>
      <c r="F1217" s="188" t="n">
        <v>2029</v>
      </c>
      <c r="G1217" s="189" t="n">
        <v>45</v>
      </c>
      <c r="H1217" s="190" t="n">
        <v>6374.24111987423</v>
      </c>
      <c r="I1217" s="191" t="n">
        <v>4309143.91776556</v>
      </c>
      <c r="J1217" s="192" t="str">
        <f>IF(I1217&gt;0,H1217/I1217,0)</f>
      </c>
      <c r="K1217" s="193" t="str">
        <f>1-EXP(-J1217)</f>
      </c>
      <c r="L1217" s="194" t="str">
        <f>IF(G1217=30,1,M1216)</f>
      </c>
      <c r="M1217" s="195" t="str">
        <f>L1217*(1-K1217)</f>
      </c>
    </row>
    <row r="1218">
      <c r="A1218" t="s">
        <v>167</v>
      </c>
      <c r="B1218" t="s">
        <v>219</v>
      </c>
      <c r="C1218" s="35" t="s">
        <v>221</v>
      </c>
      <c r="D1218" t="s">
        <v>502</v>
      </c>
      <c r="E1218" t="s">
        <v>520</v>
      </c>
      <c r="F1218" s="188" t="n">
        <v>2029</v>
      </c>
      <c r="G1218" s="189" t="n">
        <v>46</v>
      </c>
      <c r="H1218" s="190" t="n">
        <v>6929.67127065103</v>
      </c>
      <c r="I1218" s="191" t="n">
        <v>4284278.12086764</v>
      </c>
      <c r="J1218" s="192" t="str">
        <f>IF(I1218&gt;0,H1218/I1218,0)</f>
      </c>
      <c r="K1218" s="193" t="str">
        <f>1-EXP(-J1218)</f>
      </c>
      <c r="L1218" s="194" t="str">
        <f>IF(G1218=30,1,M1217)</f>
      </c>
      <c r="M1218" s="195" t="str">
        <f>L1218*(1-K1218)</f>
      </c>
    </row>
    <row r="1219">
      <c r="A1219" t="s">
        <v>167</v>
      </c>
      <c r="B1219" t="s">
        <v>219</v>
      </c>
      <c r="C1219" s="35" t="s">
        <v>221</v>
      </c>
      <c r="D1219" t="s">
        <v>502</v>
      </c>
      <c r="E1219" t="s">
        <v>520</v>
      </c>
      <c r="F1219" s="188" t="n">
        <v>2029</v>
      </c>
      <c r="G1219" s="189" t="n">
        <v>47</v>
      </c>
      <c r="H1219" s="190" t="n">
        <v>7358.41321790981</v>
      </c>
      <c r="I1219" s="191" t="n">
        <v>4147743.79259901</v>
      </c>
      <c r="J1219" s="192" t="str">
        <f>IF(I1219&gt;0,H1219/I1219,0)</f>
      </c>
      <c r="K1219" s="193" t="str">
        <f>1-EXP(-J1219)</f>
      </c>
      <c r="L1219" s="194" t="str">
        <f>IF(G1219=30,1,M1218)</f>
      </c>
      <c r="M1219" s="195" t="str">
        <f>L1219*(1-K1219)</f>
      </c>
    </row>
    <row r="1220">
      <c r="A1220" t="s">
        <v>167</v>
      </c>
      <c r="B1220" t="s">
        <v>219</v>
      </c>
      <c r="C1220" s="35" t="s">
        <v>221</v>
      </c>
      <c r="D1220" t="s">
        <v>502</v>
      </c>
      <c r="E1220" t="s">
        <v>520</v>
      </c>
      <c r="F1220" s="188" t="n">
        <v>2029</v>
      </c>
      <c r="G1220" s="189" t="n">
        <v>48</v>
      </c>
      <c r="H1220" s="190" t="n">
        <v>7918.28521607412</v>
      </c>
      <c r="I1220" s="191" t="n">
        <v>4073662.01246389</v>
      </c>
      <c r="J1220" s="192" t="str">
        <f>IF(I1220&gt;0,H1220/I1220,0)</f>
      </c>
      <c r="K1220" s="193" t="str">
        <f>1-EXP(-J1220)</f>
      </c>
      <c r="L1220" s="194" t="str">
        <f>IF(G1220=30,1,M1219)</f>
      </c>
      <c r="M1220" s="195" t="str">
        <f>L1220*(1-K1220)</f>
      </c>
    </row>
    <row r="1221">
      <c r="A1221" t="s">
        <v>167</v>
      </c>
      <c r="B1221" t="s">
        <v>219</v>
      </c>
      <c r="C1221" s="35" t="s">
        <v>221</v>
      </c>
      <c r="D1221" t="s">
        <v>502</v>
      </c>
      <c r="E1221" t="s">
        <v>520</v>
      </c>
      <c r="F1221" s="188" t="n">
        <v>2029</v>
      </c>
      <c r="G1221" s="189" t="n">
        <v>49</v>
      </c>
      <c r="H1221" s="190" t="n">
        <v>8544.7486624992</v>
      </c>
      <c r="I1221" s="191" t="n">
        <v>4015413.28015509</v>
      </c>
      <c r="J1221" s="192" t="str">
        <f>IF(I1221&gt;0,H1221/I1221,0)</f>
      </c>
      <c r="K1221" s="193" t="str">
        <f>1-EXP(-J1221)</f>
      </c>
      <c r="L1221" s="194" t="str">
        <f>IF(G1221=30,1,M1220)</f>
      </c>
      <c r="M1221" s="195" t="str">
        <f>L1221*(1-K1221)</f>
      </c>
    </row>
    <row r="1222">
      <c r="A1222" t="s">
        <v>167</v>
      </c>
      <c r="B1222" t="s">
        <v>219</v>
      </c>
      <c r="C1222" s="35" t="s">
        <v>221</v>
      </c>
      <c r="D1222" t="s">
        <v>502</v>
      </c>
      <c r="E1222" t="s">
        <v>520</v>
      </c>
      <c r="F1222" s="188" t="n">
        <v>2029</v>
      </c>
      <c r="G1222" s="189" t="n">
        <v>50</v>
      </c>
      <c r="H1222" s="190" t="n">
        <v>9803.11012213805</v>
      </c>
      <c r="I1222" s="191" t="n">
        <v>3951670.65432569</v>
      </c>
      <c r="J1222" s="192" t="str">
        <f>IF(I1222&gt;0,H1222/I1222,0)</f>
      </c>
      <c r="K1222" s="193" t="str">
        <f>1-EXP(-J1222)</f>
      </c>
      <c r="L1222" s="194" t="str">
        <f>IF(G1222=30,1,M1221)</f>
      </c>
      <c r="M1222" s="195" t="str">
        <f>L1222*(1-K1222)</f>
      </c>
    </row>
    <row r="1223">
      <c r="A1223" t="s">
        <v>167</v>
      </c>
      <c r="B1223" t="s">
        <v>219</v>
      </c>
      <c r="C1223" s="35" t="s">
        <v>221</v>
      </c>
      <c r="D1223" t="s">
        <v>502</v>
      </c>
      <c r="E1223" t="s">
        <v>520</v>
      </c>
      <c r="F1223" s="188" t="n">
        <v>2029</v>
      </c>
      <c r="G1223" s="189" t="n">
        <v>51</v>
      </c>
      <c r="H1223" s="190" t="n">
        <v>10497.4323191852</v>
      </c>
      <c r="I1223" s="191" t="n">
        <v>3867546.46434107</v>
      </c>
      <c r="J1223" s="192" t="str">
        <f>IF(I1223&gt;0,H1223/I1223,0)</f>
      </c>
      <c r="K1223" s="193" t="str">
        <f>1-EXP(-J1223)</f>
      </c>
      <c r="L1223" s="194" t="str">
        <f>IF(G1223=30,1,M1222)</f>
      </c>
      <c r="M1223" s="195" t="str">
        <f>L1223*(1-K1223)</f>
      </c>
    </row>
    <row r="1224">
      <c r="A1224" t="s">
        <v>167</v>
      </c>
      <c r="B1224" t="s">
        <v>219</v>
      </c>
      <c r="C1224" s="35" t="s">
        <v>221</v>
      </c>
      <c r="D1224" t="s">
        <v>502</v>
      </c>
      <c r="E1224" t="s">
        <v>520</v>
      </c>
      <c r="F1224" s="188" t="n">
        <v>2029</v>
      </c>
      <c r="G1224" s="189" t="n">
        <v>52</v>
      </c>
      <c r="H1224" s="190" t="n">
        <v>11281.8821710866</v>
      </c>
      <c r="I1224" s="191" t="n">
        <v>3801296.99565329</v>
      </c>
      <c r="J1224" s="192" t="str">
        <f>IF(I1224&gt;0,H1224/I1224,0)</f>
      </c>
      <c r="K1224" s="193" t="str">
        <f>1-EXP(-J1224)</f>
      </c>
      <c r="L1224" s="194" t="str">
        <f>IF(G1224=30,1,M1223)</f>
      </c>
      <c r="M1224" s="195" t="str">
        <f>L1224*(1-K1224)</f>
      </c>
    </row>
    <row r="1225">
      <c r="A1225" t="s">
        <v>167</v>
      </c>
      <c r="B1225" t="s">
        <v>219</v>
      </c>
      <c r="C1225" s="35" t="s">
        <v>221</v>
      </c>
      <c r="D1225" t="s">
        <v>502</v>
      </c>
      <c r="E1225" t="s">
        <v>520</v>
      </c>
      <c r="F1225" s="188" t="n">
        <v>2029</v>
      </c>
      <c r="G1225" s="189" t="n">
        <v>53</v>
      </c>
      <c r="H1225" s="190" t="n">
        <v>12068.555711306</v>
      </c>
      <c r="I1225" s="191" t="n">
        <v>3723139.82441837</v>
      </c>
      <c r="J1225" s="192" t="str">
        <f>IF(I1225&gt;0,H1225/I1225,0)</f>
      </c>
      <c r="K1225" s="193" t="str">
        <f>1-EXP(-J1225)</f>
      </c>
      <c r="L1225" s="194" t="str">
        <f>IF(G1225=30,1,M1224)</f>
      </c>
      <c r="M1225" s="195" t="str">
        <f>L1225*(1-K1225)</f>
      </c>
    </row>
    <row r="1226">
      <c r="A1226" t="s">
        <v>167</v>
      </c>
      <c r="B1226" t="s">
        <v>219</v>
      </c>
      <c r="C1226" s="35" t="s">
        <v>221</v>
      </c>
      <c r="D1226" t="s">
        <v>502</v>
      </c>
      <c r="E1226" t="s">
        <v>520</v>
      </c>
      <c r="F1226" s="188" t="n">
        <v>2029</v>
      </c>
      <c r="G1226" s="189" t="n">
        <v>54</v>
      </c>
      <c r="H1226" s="190" t="n">
        <v>12903.4237236947</v>
      </c>
      <c r="I1226" s="191" t="n">
        <v>3644215.80993986</v>
      </c>
      <c r="J1226" s="192" t="str">
        <f>IF(I1226&gt;0,H1226/I1226,0)</f>
      </c>
      <c r="K1226" s="193" t="str">
        <f>1-EXP(-J1226)</f>
      </c>
      <c r="L1226" s="194" t="str">
        <f>IF(G1226=30,1,M1225)</f>
      </c>
      <c r="M1226" s="195" t="str">
        <f>L1226*(1-K1226)</f>
      </c>
    </row>
    <row r="1227">
      <c r="A1227" t="s">
        <v>167</v>
      </c>
      <c r="B1227" t="s">
        <v>219</v>
      </c>
      <c r="C1227" s="35" t="s">
        <v>221</v>
      </c>
      <c r="D1227" t="s">
        <v>502</v>
      </c>
      <c r="E1227" t="s">
        <v>520</v>
      </c>
      <c r="F1227" s="188" t="n">
        <v>2029</v>
      </c>
      <c r="G1227" s="189" t="n">
        <v>55</v>
      </c>
      <c r="H1227" s="190" t="n">
        <v>13846.6652856341</v>
      </c>
      <c r="I1227" s="191" t="n">
        <v>3537776.42131523</v>
      </c>
      <c r="J1227" s="192" t="str">
        <f>IF(I1227&gt;0,H1227/I1227,0)</f>
      </c>
      <c r="K1227" s="193" t="str">
        <f>1-EXP(-J1227)</f>
      </c>
      <c r="L1227" s="194" t="str">
        <f>IF(G1227=30,1,M1226)</f>
      </c>
      <c r="M1227" s="195" t="str">
        <f>L1227*(1-K1227)</f>
      </c>
    </row>
    <row r="1228">
      <c r="A1228" t="s">
        <v>167</v>
      </c>
      <c r="B1228" t="s">
        <v>219</v>
      </c>
      <c r="C1228" s="35" t="s">
        <v>221</v>
      </c>
      <c r="D1228" t="s">
        <v>502</v>
      </c>
      <c r="E1228" t="s">
        <v>520</v>
      </c>
      <c r="F1228" s="188" t="n">
        <v>2029</v>
      </c>
      <c r="G1228" s="189" t="n">
        <v>56</v>
      </c>
      <c r="H1228" s="190" t="n">
        <v>14904.3176910831</v>
      </c>
      <c r="I1228" s="191" t="n">
        <v>3490792.57659205</v>
      </c>
      <c r="J1228" s="192" t="str">
        <f>IF(I1228&gt;0,H1228/I1228,0)</f>
      </c>
      <c r="K1228" s="193" t="str">
        <f>1-EXP(-J1228)</f>
      </c>
      <c r="L1228" s="194" t="str">
        <f>IF(G1228=30,1,M1227)</f>
      </c>
      <c r="M1228" s="195" t="str">
        <f>L1228*(1-K1228)</f>
      </c>
    </row>
    <row r="1229">
      <c r="A1229" t="s">
        <v>167</v>
      </c>
      <c r="B1229" t="s">
        <v>219</v>
      </c>
      <c r="C1229" s="35" t="s">
        <v>221</v>
      </c>
      <c r="D1229" t="s">
        <v>502</v>
      </c>
      <c r="E1229" t="s">
        <v>520</v>
      </c>
      <c r="F1229" s="188" t="n">
        <v>2029</v>
      </c>
      <c r="G1229" s="189" t="n">
        <v>57</v>
      </c>
      <c r="H1229" s="190" t="n">
        <v>15328.6857493701</v>
      </c>
      <c r="I1229" s="191" t="n">
        <v>3280963.02172296</v>
      </c>
      <c r="J1229" s="192" t="str">
        <f>IF(I1229&gt;0,H1229/I1229,0)</f>
      </c>
      <c r="K1229" s="193" t="str">
        <f>1-EXP(-J1229)</f>
      </c>
      <c r="L1229" s="194" t="str">
        <f>IF(G1229=30,1,M1228)</f>
      </c>
      <c r="M1229" s="195" t="str">
        <f>L1229*(1-K1229)</f>
      </c>
    </row>
    <row r="1230">
      <c r="A1230" t="s">
        <v>167</v>
      </c>
      <c r="B1230" t="s">
        <v>219</v>
      </c>
      <c r="C1230" s="35" t="s">
        <v>221</v>
      </c>
      <c r="D1230" t="s">
        <v>502</v>
      </c>
      <c r="E1230" t="s">
        <v>520</v>
      </c>
      <c r="F1230" s="188" t="n">
        <v>2029</v>
      </c>
      <c r="G1230" s="189" t="n">
        <v>58</v>
      </c>
      <c r="H1230" s="190" t="n">
        <v>16305.1360208296</v>
      </c>
      <c r="I1230" s="191" t="n">
        <v>3192128.11058237</v>
      </c>
      <c r="J1230" s="192" t="str">
        <f>IF(I1230&gt;0,H1230/I1230,0)</f>
      </c>
      <c r="K1230" s="193" t="str">
        <f>1-EXP(-J1230)</f>
      </c>
      <c r="L1230" s="194" t="str">
        <f>IF(G1230=30,1,M1229)</f>
      </c>
      <c r="M1230" s="195" t="str">
        <f>L1230*(1-K1230)</f>
      </c>
    </row>
    <row r="1231">
      <c r="A1231" t="s">
        <v>167</v>
      </c>
      <c r="B1231" t="s">
        <v>219</v>
      </c>
      <c r="C1231" s="35" t="s">
        <v>221</v>
      </c>
      <c r="D1231" t="s">
        <v>502</v>
      </c>
      <c r="E1231" t="s">
        <v>520</v>
      </c>
      <c r="F1231" s="188" t="n">
        <v>2029</v>
      </c>
      <c r="G1231" s="189" t="n">
        <v>59</v>
      </c>
      <c r="H1231" s="190" t="n">
        <v>17360.3491786018</v>
      </c>
      <c r="I1231" s="191" t="n">
        <v>3107583.57279021</v>
      </c>
      <c r="J1231" s="192" t="str">
        <f>IF(I1231&gt;0,H1231/I1231,0)</f>
      </c>
      <c r="K1231" s="193" t="str">
        <f>1-EXP(-J1231)</f>
      </c>
      <c r="L1231" s="194" t="str">
        <f>IF(G1231=30,1,M1230)</f>
      </c>
      <c r="M1231" s="195" t="str">
        <f>L1231*(1-K1231)</f>
      </c>
    </row>
    <row r="1232">
      <c r="A1232" t="s">
        <v>167</v>
      </c>
      <c r="B1232" t="s">
        <v>219</v>
      </c>
      <c r="C1232" s="35" t="s">
        <v>221</v>
      </c>
      <c r="D1232" t="s">
        <v>502</v>
      </c>
      <c r="E1232" t="s">
        <v>520</v>
      </c>
      <c r="F1232" s="188" t="n">
        <v>2029</v>
      </c>
      <c r="G1232" s="189" t="n">
        <v>60</v>
      </c>
      <c r="H1232" s="190" t="n">
        <v>18785.8079620914</v>
      </c>
      <c r="I1232" s="191" t="n">
        <v>3013760.46928876</v>
      </c>
      <c r="J1232" s="192" t="str">
        <f>IF(I1232&gt;0,H1232/I1232,0)</f>
      </c>
      <c r="K1232" s="193" t="str">
        <f>1-EXP(-J1232)</f>
      </c>
      <c r="L1232" s="194" t="str">
        <f>IF(G1232=30,1,M1231)</f>
      </c>
      <c r="M1232" s="195" t="str">
        <f>L1232*(1-K1232)</f>
      </c>
    </row>
    <row r="1233">
      <c r="A1233" t="s">
        <v>167</v>
      </c>
      <c r="B1233" t="s">
        <v>219</v>
      </c>
      <c r="C1233" s="35" t="s">
        <v>221</v>
      </c>
      <c r="D1233" t="s">
        <v>502</v>
      </c>
      <c r="E1233" t="s">
        <v>520</v>
      </c>
      <c r="F1233" s="188" t="n">
        <v>2029</v>
      </c>
      <c r="G1233" s="189" t="n">
        <v>61</v>
      </c>
      <c r="H1233" s="190" t="n">
        <v>19853.4869581173</v>
      </c>
      <c r="I1233" s="191" t="n">
        <v>2899641.44599629</v>
      </c>
      <c r="J1233" s="192" t="str">
        <f>IF(I1233&gt;0,H1233/I1233,0)</f>
      </c>
      <c r="K1233" s="193" t="str">
        <f>1-EXP(-J1233)</f>
      </c>
      <c r="L1233" s="194" t="str">
        <f>IF(G1233=30,1,M1232)</f>
      </c>
      <c r="M1233" s="195" t="str">
        <f>L1233*(1-K1233)</f>
      </c>
    </row>
    <row r="1234">
      <c r="A1234" t="s">
        <v>167</v>
      </c>
      <c r="B1234" t="s">
        <v>219</v>
      </c>
      <c r="C1234" s="35" t="s">
        <v>221</v>
      </c>
      <c r="D1234" t="s">
        <v>502</v>
      </c>
      <c r="E1234" t="s">
        <v>520</v>
      </c>
      <c r="F1234" s="188" t="n">
        <v>2029</v>
      </c>
      <c r="G1234" s="189" t="n">
        <v>62</v>
      </c>
      <c r="H1234" s="190" t="n">
        <v>20659.5512642832</v>
      </c>
      <c r="I1234" s="191" t="n">
        <v>2755120.89039477</v>
      </c>
      <c r="J1234" s="192" t="str">
        <f>IF(I1234&gt;0,H1234/I1234,0)</f>
      </c>
      <c r="K1234" s="193" t="str">
        <f>1-EXP(-J1234)</f>
      </c>
      <c r="L1234" s="194" t="str">
        <f>IF(G1234=30,1,M1233)</f>
      </c>
      <c r="M1234" s="195" t="str">
        <f>L1234*(1-K1234)</f>
      </c>
    </row>
    <row r="1235">
      <c r="A1235" t="s">
        <v>167</v>
      </c>
      <c r="B1235" t="s">
        <v>219</v>
      </c>
      <c r="C1235" s="35" t="s">
        <v>221</v>
      </c>
      <c r="D1235" t="s">
        <v>502</v>
      </c>
      <c r="E1235" t="s">
        <v>520</v>
      </c>
      <c r="F1235" s="188" t="n">
        <v>2029</v>
      </c>
      <c r="G1235" s="189" t="n">
        <v>63</v>
      </c>
      <c r="H1235" s="190" t="n">
        <v>21726.9721322729</v>
      </c>
      <c r="I1235" s="191" t="n">
        <v>2646678.12962157</v>
      </c>
      <c r="J1235" s="192" t="str">
        <f>IF(I1235&gt;0,H1235/I1235,0)</f>
      </c>
      <c r="K1235" s="193" t="str">
        <f>1-EXP(-J1235)</f>
      </c>
      <c r="L1235" s="194" t="str">
        <f>IF(G1235=30,1,M1234)</f>
      </c>
      <c r="M1235" s="195" t="str">
        <f>L1235*(1-K1235)</f>
      </c>
    </row>
    <row r="1236">
      <c r="A1236" t="s">
        <v>167</v>
      </c>
      <c r="B1236" t="s">
        <v>219</v>
      </c>
      <c r="C1236" s="35" t="s">
        <v>221</v>
      </c>
      <c r="D1236" t="s">
        <v>502</v>
      </c>
      <c r="E1236" t="s">
        <v>520</v>
      </c>
      <c r="F1236" s="188" t="n">
        <v>2029</v>
      </c>
      <c r="G1236" s="189" t="n">
        <v>64</v>
      </c>
      <c r="H1236" s="190" t="n">
        <v>22628.7270468522</v>
      </c>
      <c r="I1236" s="191" t="n">
        <v>2516924.11717871</v>
      </c>
      <c r="J1236" s="192" t="str">
        <f>IF(I1236&gt;0,H1236/I1236,0)</f>
      </c>
      <c r="K1236" s="193" t="str">
        <f>1-EXP(-J1236)</f>
      </c>
      <c r="L1236" s="194" t="str">
        <f>IF(G1236=30,1,M1235)</f>
      </c>
      <c r="M1236" s="195" t="str">
        <f>L1236*(1-K1236)</f>
      </c>
    </row>
    <row r="1237">
      <c r="A1237" t="s">
        <v>167</v>
      </c>
      <c r="B1237" t="s">
        <v>219</v>
      </c>
      <c r="C1237" s="35" t="s">
        <v>221</v>
      </c>
      <c r="D1237" t="s">
        <v>502</v>
      </c>
      <c r="E1237" t="s">
        <v>520</v>
      </c>
      <c r="F1237" s="188" t="n">
        <v>2029</v>
      </c>
      <c r="G1237" s="189" t="n">
        <v>65</v>
      </c>
      <c r="H1237" s="190" t="n">
        <v>22861.7155044952</v>
      </c>
      <c r="I1237" s="191" t="n">
        <v>2387418.05776443</v>
      </c>
      <c r="J1237" s="192" t="str">
        <f>IF(I1237&gt;0,H1237/I1237,0)</f>
      </c>
      <c r="K1237" s="193" t="str">
        <f>1-EXP(-J1237)</f>
      </c>
      <c r="L1237" s="194" t="str">
        <f>IF(G1237=30,1,M1236)</f>
      </c>
      <c r="M1237" s="195" t="str">
        <f>L1237*(1-K1237)</f>
      </c>
    </row>
    <row r="1238">
      <c r="A1238" t="s">
        <v>167</v>
      </c>
      <c r="B1238" t="s">
        <v>219</v>
      </c>
      <c r="C1238" s="35" t="s">
        <v>221</v>
      </c>
      <c r="D1238" t="s">
        <v>502</v>
      </c>
      <c r="E1238" t="s">
        <v>520</v>
      </c>
      <c r="F1238" s="188" t="n">
        <v>2029</v>
      </c>
      <c r="G1238" s="189" t="n">
        <v>66</v>
      </c>
      <c r="H1238" s="190" t="n">
        <v>23746.3350958219</v>
      </c>
      <c r="I1238" s="191" t="n">
        <v>2262935.12744511</v>
      </c>
      <c r="J1238" s="192" t="str">
        <f>IF(I1238&gt;0,H1238/I1238,0)</f>
      </c>
      <c r="K1238" s="193" t="str">
        <f>1-EXP(-J1238)</f>
      </c>
      <c r="L1238" s="194" t="str">
        <f>IF(G1238=30,1,M1237)</f>
      </c>
      <c r="M1238" s="195" t="str">
        <f>L1238*(1-K1238)</f>
      </c>
    </row>
    <row r="1239">
      <c r="A1239" t="s">
        <v>167</v>
      </c>
      <c r="B1239" t="s">
        <v>219</v>
      </c>
      <c r="C1239" s="35" t="s">
        <v>221</v>
      </c>
      <c r="D1239" t="s">
        <v>502</v>
      </c>
      <c r="E1239" t="s">
        <v>520</v>
      </c>
      <c r="F1239" s="188" t="n">
        <v>2029</v>
      </c>
      <c r="G1239" s="189" t="n">
        <v>67</v>
      </c>
      <c r="H1239" s="190" t="n">
        <v>24414.9231647788</v>
      </c>
      <c r="I1239" s="191" t="n">
        <v>2113376.00258091</v>
      </c>
      <c r="J1239" s="192" t="str">
        <f>IF(I1239&gt;0,H1239/I1239,0)</f>
      </c>
      <c r="K1239" s="193" t="str">
        <f>1-EXP(-J1239)</f>
      </c>
      <c r="L1239" s="194" t="str">
        <f>IF(G1239=30,1,M1238)</f>
      </c>
      <c r="M1239" s="195" t="str">
        <f>L1239*(1-K1239)</f>
      </c>
    </row>
    <row r="1240">
      <c r="A1240" t="s">
        <v>167</v>
      </c>
      <c r="B1240" t="s">
        <v>219</v>
      </c>
      <c r="C1240" s="35" t="s">
        <v>221</v>
      </c>
      <c r="D1240" t="s">
        <v>502</v>
      </c>
      <c r="E1240" t="s">
        <v>520</v>
      </c>
      <c r="F1240" s="188" t="n">
        <v>2029</v>
      </c>
      <c r="G1240" s="189" t="n">
        <v>68</v>
      </c>
      <c r="H1240" s="190" t="n">
        <v>25209.6211871364</v>
      </c>
      <c r="I1240" s="191" t="n">
        <v>1988509.08402326</v>
      </c>
      <c r="J1240" s="192" t="str">
        <f>IF(I1240&gt;0,H1240/I1240,0)</f>
      </c>
      <c r="K1240" s="193" t="str">
        <f>1-EXP(-J1240)</f>
      </c>
      <c r="L1240" s="194" t="str">
        <f>IF(G1240=30,1,M1239)</f>
      </c>
      <c r="M1240" s="195" t="str">
        <f>L1240*(1-K1240)</f>
      </c>
    </row>
    <row r="1241">
      <c r="A1241" t="s">
        <v>167</v>
      </c>
      <c r="B1241" t="s">
        <v>219</v>
      </c>
      <c r="C1241" s="35" t="s">
        <v>221</v>
      </c>
      <c r="D1241" t="s">
        <v>502</v>
      </c>
      <c r="E1241" t="s">
        <v>520</v>
      </c>
      <c r="F1241" s="188" t="n">
        <v>2029</v>
      </c>
      <c r="G1241" s="189" t="n">
        <v>69</v>
      </c>
      <c r="H1241" s="190" t="n">
        <v>25897.7730763329</v>
      </c>
      <c r="I1241" s="191" t="n">
        <v>1860242.0079939</v>
      </c>
      <c r="J1241" s="192" t="str">
        <f>IF(I1241&gt;0,H1241/I1241,0)</f>
      </c>
      <c r="K1241" s="193" t="str">
        <f>1-EXP(-J1241)</f>
      </c>
      <c r="L1241" s="194" t="str">
        <f>IF(G1241=30,1,M1240)</f>
      </c>
      <c r="M1241" s="195" t="str">
        <f>L1241*(1-K1241)</f>
      </c>
    </row>
    <row r="1242">
      <c r="A1242" t="s">
        <v>167</v>
      </c>
      <c r="B1242" t="s">
        <v>219</v>
      </c>
      <c r="C1242" s="35" t="s">
        <v>221</v>
      </c>
      <c r="D1242" t="s">
        <v>502</v>
      </c>
      <c r="E1242" t="s">
        <v>520</v>
      </c>
      <c r="F1242" s="188" t="n">
        <v>2030</v>
      </c>
      <c r="G1242" s="189" t="n">
        <v>30</v>
      </c>
      <c r="H1242" s="190" t="n">
        <v>930.328196831149</v>
      </c>
      <c r="I1242" s="191" t="n">
        <v>4327176.97188642</v>
      </c>
      <c r="J1242" s="192" t="str">
        <f>IF(I1242&gt;0,H1242/I1242,0)</f>
      </c>
      <c r="K1242" s="193" t="str">
        <f>1-EXP(-J1242)</f>
      </c>
      <c r="L1242" s="194" t="str">
        <f>IF(G1242=30,1,M1241)</f>
      </c>
      <c r="M1242" s="195" t="str">
        <f>L1242*(1-K1242)</f>
      </c>
    </row>
    <row r="1243">
      <c r="A1243" t="s">
        <v>167</v>
      </c>
      <c r="B1243" t="s">
        <v>219</v>
      </c>
      <c r="C1243" s="35" t="s">
        <v>221</v>
      </c>
      <c r="D1243" t="s">
        <v>502</v>
      </c>
      <c r="E1243" t="s">
        <v>520</v>
      </c>
      <c r="F1243" s="188" t="n">
        <v>2030</v>
      </c>
      <c r="G1243" s="189" t="n">
        <v>31</v>
      </c>
      <c r="H1243" s="190" t="n">
        <v>1064.35855851181</v>
      </c>
      <c r="I1243" s="191" t="n">
        <v>4347622.88049371</v>
      </c>
      <c r="J1243" s="192" t="str">
        <f>IF(I1243&gt;0,H1243/I1243,0)</f>
      </c>
      <c r="K1243" s="193" t="str">
        <f>1-EXP(-J1243)</f>
      </c>
      <c r="L1243" s="194" t="str">
        <f>IF(G1243=30,1,M1242)</f>
      </c>
      <c r="M1243" s="195" t="str">
        <f>L1243*(1-K1243)</f>
      </c>
    </row>
    <row r="1244">
      <c r="A1244" t="s">
        <v>167</v>
      </c>
      <c r="B1244" t="s">
        <v>219</v>
      </c>
      <c r="C1244" s="35" t="s">
        <v>221</v>
      </c>
      <c r="D1244" t="s">
        <v>502</v>
      </c>
      <c r="E1244" t="s">
        <v>520</v>
      </c>
      <c r="F1244" s="188" t="n">
        <v>2030</v>
      </c>
      <c r="G1244" s="189" t="n">
        <v>32</v>
      </c>
      <c r="H1244" s="190" t="n">
        <v>1136.62121549393</v>
      </c>
      <c r="I1244" s="191" t="n">
        <v>4407905.25304607</v>
      </c>
      <c r="J1244" s="192" t="str">
        <f>IF(I1244&gt;0,H1244/I1244,0)</f>
      </c>
      <c r="K1244" s="193" t="str">
        <f>1-EXP(-J1244)</f>
      </c>
      <c r="L1244" s="194" t="str">
        <f>IF(G1244=30,1,M1243)</f>
      </c>
      <c r="M1244" s="195" t="str">
        <f>L1244*(1-K1244)</f>
      </c>
    </row>
    <row r="1245">
      <c r="A1245" t="s">
        <v>167</v>
      </c>
      <c r="B1245" t="s">
        <v>219</v>
      </c>
      <c r="C1245" s="35" t="s">
        <v>221</v>
      </c>
      <c r="D1245" t="s">
        <v>502</v>
      </c>
      <c r="E1245" t="s">
        <v>520</v>
      </c>
      <c r="F1245" s="188" t="n">
        <v>2030</v>
      </c>
      <c r="G1245" s="189" t="n">
        <v>33</v>
      </c>
      <c r="H1245" s="190" t="n">
        <v>1435.52503069801</v>
      </c>
      <c r="I1245" s="191" t="n">
        <v>4548885.23473456</v>
      </c>
      <c r="J1245" s="192" t="str">
        <f>IF(I1245&gt;0,H1245/I1245,0)</f>
      </c>
      <c r="K1245" s="193" t="str">
        <f>1-EXP(-J1245)</f>
      </c>
      <c r="L1245" s="194" t="str">
        <f>IF(G1245=30,1,M1244)</f>
      </c>
      <c r="M1245" s="195" t="str">
        <f>L1245*(1-K1245)</f>
      </c>
    </row>
    <row r="1246">
      <c r="A1246" t="s">
        <v>167</v>
      </c>
      <c r="B1246" t="s">
        <v>219</v>
      </c>
      <c r="C1246" s="35" t="s">
        <v>221</v>
      </c>
      <c r="D1246" t="s">
        <v>502</v>
      </c>
      <c r="E1246" t="s">
        <v>520</v>
      </c>
      <c r="F1246" s="188" t="n">
        <v>2030</v>
      </c>
      <c r="G1246" s="189" t="n">
        <v>34</v>
      </c>
      <c r="H1246" s="190" t="n">
        <v>1507.44760408279</v>
      </c>
      <c r="I1246" s="191" t="n">
        <v>4506079.49663553</v>
      </c>
      <c r="J1246" s="192" t="str">
        <f>IF(I1246&gt;0,H1246/I1246,0)</f>
      </c>
      <c r="K1246" s="193" t="str">
        <f>1-EXP(-J1246)</f>
      </c>
      <c r="L1246" s="194" t="str">
        <f>IF(G1246=30,1,M1245)</f>
      </c>
      <c r="M1246" s="195" t="str">
        <f>L1246*(1-K1246)</f>
      </c>
    </row>
    <row r="1247">
      <c r="A1247" t="s">
        <v>167</v>
      </c>
      <c r="B1247" t="s">
        <v>219</v>
      </c>
      <c r="C1247" s="35" t="s">
        <v>221</v>
      </c>
      <c r="D1247" t="s">
        <v>502</v>
      </c>
      <c r="E1247" t="s">
        <v>520</v>
      </c>
      <c r="F1247" s="188" t="n">
        <v>2030</v>
      </c>
      <c r="G1247" s="189" t="n">
        <v>35</v>
      </c>
      <c r="H1247" s="190" t="n">
        <v>2016.69571273279</v>
      </c>
      <c r="I1247" s="191" t="n">
        <v>4433074.15973156</v>
      </c>
      <c r="J1247" s="192" t="str">
        <f>IF(I1247&gt;0,H1247/I1247,0)</f>
      </c>
      <c r="K1247" s="193" t="str">
        <f>1-EXP(-J1247)</f>
      </c>
      <c r="L1247" s="194" t="str">
        <f>IF(G1247=30,1,M1246)</f>
      </c>
      <c r="M1247" s="195" t="str">
        <f>L1247*(1-K1247)</f>
      </c>
    </row>
    <row r="1248">
      <c r="A1248" t="s">
        <v>167</v>
      </c>
      <c r="B1248" t="s">
        <v>219</v>
      </c>
      <c r="C1248" s="35" t="s">
        <v>221</v>
      </c>
      <c r="D1248" t="s">
        <v>502</v>
      </c>
      <c r="E1248" t="s">
        <v>520</v>
      </c>
      <c r="F1248" s="188" t="n">
        <v>2030</v>
      </c>
      <c r="G1248" s="189" t="n">
        <v>36</v>
      </c>
      <c r="H1248" s="190" t="n">
        <v>2123.0213150095</v>
      </c>
      <c r="I1248" s="191" t="n">
        <v>4375345.87772846</v>
      </c>
      <c r="J1248" s="192" t="str">
        <f>IF(I1248&gt;0,H1248/I1248,0)</f>
      </c>
      <c r="K1248" s="193" t="str">
        <f>1-EXP(-J1248)</f>
      </c>
      <c r="L1248" s="194" t="str">
        <f>IF(G1248=30,1,M1247)</f>
      </c>
      <c r="M1248" s="195" t="str">
        <f>L1248*(1-K1248)</f>
      </c>
    </row>
    <row r="1249">
      <c r="A1249" t="s">
        <v>167</v>
      </c>
      <c r="B1249" t="s">
        <v>219</v>
      </c>
      <c r="C1249" s="35" t="s">
        <v>221</v>
      </c>
      <c r="D1249" t="s">
        <v>502</v>
      </c>
      <c r="E1249" t="s">
        <v>520</v>
      </c>
      <c r="F1249" s="188" t="n">
        <v>2030</v>
      </c>
      <c r="G1249" s="189" t="n">
        <v>37</v>
      </c>
      <c r="H1249" s="190" t="n">
        <v>2250.43534213873</v>
      </c>
      <c r="I1249" s="191" t="n">
        <v>4321680.75430336</v>
      </c>
      <c r="J1249" s="192" t="str">
        <f>IF(I1249&gt;0,H1249/I1249,0)</f>
      </c>
      <c r="K1249" s="193" t="str">
        <f>1-EXP(-J1249)</f>
      </c>
      <c r="L1249" s="194" t="str">
        <f>IF(G1249=30,1,M1248)</f>
      </c>
      <c r="M1249" s="195" t="str">
        <f>L1249*(1-K1249)</f>
      </c>
    </row>
    <row r="1250">
      <c r="A1250" t="s">
        <v>167</v>
      </c>
      <c r="B1250" t="s">
        <v>219</v>
      </c>
      <c r="C1250" s="35" t="s">
        <v>221</v>
      </c>
      <c r="D1250" t="s">
        <v>502</v>
      </c>
      <c r="E1250" t="s">
        <v>520</v>
      </c>
      <c r="F1250" s="188" t="n">
        <v>2030</v>
      </c>
      <c r="G1250" s="189" t="n">
        <v>38</v>
      </c>
      <c r="H1250" s="190" t="n">
        <v>2439.1192787951</v>
      </c>
      <c r="I1250" s="191" t="n">
        <v>4359387.30822147</v>
      </c>
      <c r="J1250" s="192" t="str">
        <f>IF(I1250&gt;0,H1250/I1250,0)</f>
      </c>
      <c r="K1250" s="193" t="str">
        <f>1-EXP(-J1250)</f>
      </c>
      <c r="L1250" s="194" t="str">
        <f>IF(G1250=30,1,M1249)</f>
      </c>
      <c r="M1250" s="195" t="str">
        <f>L1250*(1-K1250)</f>
      </c>
    </row>
    <row r="1251">
      <c r="A1251" t="s">
        <v>167</v>
      </c>
      <c r="B1251" t="s">
        <v>219</v>
      </c>
      <c r="C1251" s="35" t="s">
        <v>221</v>
      </c>
      <c r="D1251" t="s">
        <v>502</v>
      </c>
      <c r="E1251" t="s">
        <v>520</v>
      </c>
      <c r="F1251" s="188" t="n">
        <v>2030</v>
      </c>
      <c r="G1251" s="189" t="n">
        <v>39</v>
      </c>
      <c r="H1251" s="190" t="n">
        <v>2637.46947946128</v>
      </c>
      <c r="I1251" s="191" t="n">
        <v>4377364.3206764</v>
      </c>
      <c r="J1251" s="192" t="str">
        <f>IF(I1251&gt;0,H1251/I1251,0)</f>
      </c>
      <c r="K1251" s="193" t="str">
        <f>1-EXP(-J1251)</f>
      </c>
      <c r="L1251" s="194" t="str">
        <f>IF(G1251=30,1,M1250)</f>
      </c>
      <c r="M1251" s="195" t="str">
        <f>L1251*(1-K1251)</f>
      </c>
    </row>
    <row r="1252">
      <c r="A1252" t="s">
        <v>167</v>
      </c>
      <c r="B1252" t="s">
        <v>219</v>
      </c>
      <c r="C1252" s="35" t="s">
        <v>221</v>
      </c>
      <c r="D1252" t="s">
        <v>502</v>
      </c>
      <c r="E1252" t="s">
        <v>520</v>
      </c>
      <c r="F1252" s="188" t="n">
        <v>2030</v>
      </c>
      <c r="G1252" s="189" t="n">
        <v>40</v>
      </c>
      <c r="H1252" s="190" t="n">
        <v>4987.97082596837</v>
      </c>
      <c r="I1252" s="191" t="n">
        <v>6445693.52431064</v>
      </c>
      <c r="J1252" s="192" t="str">
        <f>IF(I1252&gt;0,H1252/I1252,0)</f>
      </c>
      <c r="K1252" s="193" t="str">
        <f>1-EXP(-J1252)</f>
      </c>
      <c r="L1252" s="194" t="str">
        <f>IF(G1252=30,1,M1251)</f>
      </c>
      <c r="M1252" s="195" t="str">
        <f>L1252*(1-K1252)</f>
      </c>
    </row>
    <row r="1253">
      <c r="A1253" t="s">
        <v>167</v>
      </c>
      <c r="B1253" t="s">
        <v>219</v>
      </c>
      <c r="C1253" s="35" t="s">
        <v>221</v>
      </c>
      <c r="D1253" t="s">
        <v>502</v>
      </c>
      <c r="E1253" t="s">
        <v>520</v>
      </c>
      <c r="F1253" s="188" t="n">
        <v>2030</v>
      </c>
      <c r="G1253" s="189" t="n">
        <v>41</v>
      </c>
      <c r="H1253" s="190" t="n">
        <v>3802.08300530763</v>
      </c>
      <c r="I1253" s="191" t="n">
        <v>4335016.78777921</v>
      </c>
      <c r="J1253" s="192" t="str">
        <f>IF(I1253&gt;0,H1253/I1253,0)</f>
      </c>
      <c r="K1253" s="193" t="str">
        <f>1-EXP(-J1253)</f>
      </c>
      <c r="L1253" s="194" t="str">
        <f>IF(G1253=30,1,M1252)</f>
      </c>
      <c r="M1253" s="195" t="str">
        <f>L1253*(1-K1253)</f>
      </c>
    </row>
    <row r="1254">
      <c r="A1254" t="s">
        <v>167</v>
      </c>
      <c r="B1254" t="s">
        <v>219</v>
      </c>
      <c r="C1254" s="35" t="s">
        <v>221</v>
      </c>
      <c r="D1254" t="s">
        <v>502</v>
      </c>
      <c r="E1254" t="s">
        <v>520</v>
      </c>
      <c r="F1254" s="188" t="n">
        <v>2030</v>
      </c>
      <c r="G1254" s="189" t="n">
        <v>42</v>
      </c>
      <c r="H1254" s="190" t="n">
        <v>4109.52670932641</v>
      </c>
      <c r="I1254" s="191" t="n">
        <v>4318178.06742506</v>
      </c>
      <c r="J1254" s="192" t="str">
        <f>IF(I1254&gt;0,H1254/I1254,0)</f>
      </c>
      <c r="K1254" s="193" t="str">
        <f>1-EXP(-J1254)</f>
      </c>
      <c r="L1254" s="194" t="str">
        <f>IF(G1254=30,1,M1253)</f>
      </c>
      <c r="M1254" s="195" t="str">
        <f>L1254*(1-K1254)</f>
      </c>
    </row>
    <row r="1255">
      <c r="A1255" t="s">
        <v>167</v>
      </c>
      <c r="B1255" t="s">
        <v>219</v>
      </c>
      <c r="C1255" s="35" t="s">
        <v>221</v>
      </c>
      <c r="D1255" t="s">
        <v>502</v>
      </c>
      <c r="E1255" t="s">
        <v>520</v>
      </c>
      <c r="F1255" s="188" t="n">
        <v>2030</v>
      </c>
      <c r="G1255" s="189" t="n">
        <v>43</v>
      </c>
      <c r="H1255" s="190" t="n">
        <v>4337.71116446912</v>
      </c>
      <c r="I1255" s="191" t="n">
        <v>4185771.45890689</v>
      </c>
      <c r="J1255" s="192" t="str">
        <f>IF(I1255&gt;0,H1255/I1255,0)</f>
      </c>
      <c r="K1255" s="193" t="str">
        <f>1-EXP(-J1255)</f>
      </c>
      <c r="L1255" s="194" t="str">
        <f>IF(G1255=30,1,M1254)</f>
      </c>
      <c r="M1255" s="195" t="str">
        <f>L1255*(1-K1255)</f>
      </c>
    </row>
    <row r="1256">
      <c r="A1256" t="s">
        <v>167</v>
      </c>
      <c r="B1256" t="s">
        <v>219</v>
      </c>
      <c r="C1256" s="35" t="s">
        <v>221</v>
      </c>
      <c r="D1256" t="s">
        <v>502</v>
      </c>
      <c r="E1256" t="s">
        <v>520</v>
      </c>
      <c r="F1256" s="188" t="n">
        <v>2030</v>
      </c>
      <c r="G1256" s="189" t="n">
        <v>44</v>
      </c>
      <c r="H1256" s="190" t="n">
        <v>4697.1319251124</v>
      </c>
      <c r="I1256" s="191" t="n">
        <v>4150986.83592361</v>
      </c>
      <c r="J1256" s="192" t="str">
        <f>IF(I1256&gt;0,H1256/I1256,0)</f>
      </c>
      <c r="K1256" s="193" t="str">
        <f>1-EXP(-J1256)</f>
      </c>
      <c r="L1256" s="194" t="str">
        <f>IF(G1256=30,1,M1255)</f>
      </c>
      <c r="M1256" s="195" t="str">
        <f>L1256*(1-K1256)</f>
      </c>
    </row>
    <row r="1257">
      <c r="A1257" t="s">
        <v>167</v>
      </c>
      <c r="B1257" t="s">
        <v>219</v>
      </c>
      <c r="C1257" s="35" t="s">
        <v>221</v>
      </c>
      <c r="D1257" t="s">
        <v>502</v>
      </c>
      <c r="E1257" t="s">
        <v>520</v>
      </c>
      <c r="F1257" s="188" t="n">
        <v>2030</v>
      </c>
      <c r="G1257" s="189" t="n">
        <v>45</v>
      </c>
      <c r="H1257" s="190" t="n">
        <v>6166.3153706284</v>
      </c>
      <c r="I1257" s="191" t="n">
        <v>4209702.7562508</v>
      </c>
      <c r="J1257" s="192" t="str">
        <f>IF(I1257&gt;0,H1257/I1257,0)</f>
      </c>
      <c r="K1257" s="193" t="str">
        <f>1-EXP(-J1257)</f>
      </c>
      <c r="L1257" s="194" t="str">
        <f>IF(G1257=30,1,M1256)</f>
      </c>
      <c r="M1257" s="195" t="str">
        <f>L1257*(1-K1257)</f>
      </c>
    </row>
    <row r="1258">
      <c r="A1258" t="s">
        <v>167</v>
      </c>
      <c r="B1258" t="s">
        <v>219</v>
      </c>
      <c r="C1258" s="35" t="s">
        <v>221</v>
      </c>
      <c r="D1258" t="s">
        <v>502</v>
      </c>
      <c r="E1258" t="s">
        <v>520</v>
      </c>
      <c r="F1258" s="188" t="n">
        <v>2030</v>
      </c>
      <c r="G1258" s="189" t="n">
        <v>46</v>
      </c>
      <c r="H1258" s="190" t="n">
        <v>6872.70984578324</v>
      </c>
      <c r="I1258" s="191" t="n">
        <v>4292373.23936774</v>
      </c>
      <c r="J1258" s="192" t="str">
        <f>IF(I1258&gt;0,H1258/I1258,0)</f>
      </c>
      <c r="K1258" s="193" t="str">
        <f>1-EXP(-J1258)</f>
      </c>
      <c r="L1258" s="194" t="str">
        <f>IF(G1258=30,1,M1257)</f>
      </c>
      <c r="M1258" s="195" t="str">
        <f>L1258*(1-K1258)</f>
      </c>
    </row>
    <row r="1259">
      <c r="A1259" t="s">
        <v>167</v>
      </c>
      <c r="B1259" t="s">
        <v>219</v>
      </c>
      <c r="C1259" s="35" t="s">
        <v>221</v>
      </c>
      <c r="D1259" t="s">
        <v>502</v>
      </c>
      <c r="E1259" t="s">
        <v>520</v>
      </c>
      <c r="F1259" s="188" t="n">
        <v>2030</v>
      </c>
      <c r="G1259" s="189" t="n">
        <v>47</v>
      </c>
      <c r="H1259" s="190" t="n">
        <v>7492.59758833106</v>
      </c>
      <c r="I1259" s="191" t="n">
        <v>4267109.53213</v>
      </c>
      <c r="J1259" s="192" t="str">
        <f>IF(I1259&gt;0,H1259/I1259,0)</f>
      </c>
      <c r="K1259" s="193" t="str">
        <f>1-EXP(-J1259)</f>
      </c>
      <c r="L1259" s="194" t="str">
        <f>IF(G1259=30,1,M1258)</f>
      </c>
      <c r="M1259" s="195" t="str">
        <f>L1259*(1-K1259)</f>
      </c>
    </row>
    <row r="1260">
      <c r="A1260" t="s">
        <v>167</v>
      </c>
      <c r="B1260" t="s">
        <v>219</v>
      </c>
      <c r="C1260" s="35" t="s">
        <v>221</v>
      </c>
      <c r="D1260" t="s">
        <v>502</v>
      </c>
      <c r="E1260" t="s">
        <v>520</v>
      </c>
      <c r="F1260" s="188" t="n">
        <v>2030</v>
      </c>
      <c r="G1260" s="189" t="n">
        <v>48</v>
      </c>
      <c r="H1260" s="190" t="n">
        <v>7954.74622234794</v>
      </c>
      <c r="I1260" s="191" t="n">
        <v>4129530.07228554</v>
      </c>
      <c r="J1260" s="192" t="str">
        <f>IF(I1260&gt;0,H1260/I1260,0)</f>
      </c>
      <c r="K1260" s="193" t="str">
        <f>1-EXP(-J1260)</f>
      </c>
      <c r="L1260" s="194" t="str">
        <f>IF(G1260=30,1,M1259)</f>
      </c>
      <c r="M1260" s="195" t="str">
        <f>L1260*(1-K1260)</f>
      </c>
    </row>
    <row r="1261">
      <c r="A1261" t="s">
        <v>167</v>
      </c>
      <c r="B1261" t="s">
        <v>219</v>
      </c>
      <c r="C1261" s="35" t="s">
        <v>221</v>
      </c>
      <c r="D1261" t="s">
        <v>502</v>
      </c>
      <c r="E1261" t="s">
        <v>520</v>
      </c>
      <c r="F1261" s="188" t="n">
        <v>2030</v>
      </c>
      <c r="G1261" s="189" t="n">
        <v>49</v>
      </c>
      <c r="H1261" s="190" t="n">
        <v>8554.87560640057</v>
      </c>
      <c r="I1261" s="191" t="n">
        <v>4054070.08459453</v>
      </c>
      <c r="J1261" s="192" t="str">
        <f>IF(I1261&gt;0,H1261/I1261,0)</f>
      </c>
      <c r="K1261" s="193" t="str">
        <f>1-EXP(-J1261)</f>
      </c>
      <c r="L1261" s="194" t="str">
        <f>IF(G1261=30,1,M1260)</f>
      </c>
      <c r="M1261" s="195" t="str">
        <f>L1261*(1-K1261)</f>
      </c>
    </row>
    <row r="1262">
      <c r="A1262" t="s">
        <v>167</v>
      </c>
      <c r="B1262" t="s">
        <v>219</v>
      </c>
      <c r="C1262" s="35" t="s">
        <v>221</v>
      </c>
      <c r="D1262" t="s">
        <v>502</v>
      </c>
      <c r="E1262" t="s">
        <v>520</v>
      </c>
      <c r="F1262" s="188" t="n">
        <v>2030</v>
      </c>
      <c r="G1262" s="189" t="n">
        <v>50</v>
      </c>
      <c r="H1262" s="190" t="n">
        <v>9819.82761689367</v>
      </c>
      <c r="I1262" s="191" t="n">
        <v>3994274.97054273</v>
      </c>
      <c r="J1262" s="192" t="str">
        <f>IF(I1262&gt;0,H1262/I1262,0)</f>
      </c>
      <c r="K1262" s="193" t="str">
        <f>1-EXP(-J1262)</f>
      </c>
      <c r="L1262" s="194" t="str">
        <f>IF(G1262=30,1,M1261)</f>
      </c>
      <c r="M1262" s="195" t="str">
        <f>L1262*(1-K1262)</f>
      </c>
    </row>
    <row r="1263">
      <c r="A1263" t="s">
        <v>167</v>
      </c>
      <c r="B1263" t="s">
        <v>219</v>
      </c>
      <c r="C1263" s="35" t="s">
        <v>221</v>
      </c>
      <c r="D1263" t="s">
        <v>502</v>
      </c>
      <c r="E1263" t="s">
        <v>520</v>
      </c>
      <c r="F1263" s="188" t="n">
        <v>2030</v>
      </c>
      <c r="G1263" s="189" t="n">
        <v>51</v>
      </c>
      <c r="H1263" s="190" t="n">
        <v>10574.7501244607</v>
      </c>
      <c r="I1263" s="191" t="n">
        <v>3928053.29798853</v>
      </c>
      <c r="J1263" s="192" t="str">
        <f>IF(I1263&gt;0,H1263/I1263,0)</f>
      </c>
      <c r="K1263" s="193" t="str">
        <f>1-EXP(-J1263)</f>
      </c>
      <c r="L1263" s="194" t="str">
        <f>IF(G1263=30,1,M1262)</f>
      </c>
      <c r="M1263" s="195" t="str">
        <f>L1263*(1-K1263)</f>
      </c>
    </row>
    <row r="1264">
      <c r="A1264" t="s">
        <v>167</v>
      </c>
      <c r="B1264" t="s">
        <v>219</v>
      </c>
      <c r="C1264" s="35" t="s">
        <v>221</v>
      </c>
      <c r="D1264" t="s">
        <v>502</v>
      </c>
      <c r="E1264" t="s">
        <v>520</v>
      </c>
      <c r="F1264" s="188" t="n">
        <v>2030</v>
      </c>
      <c r="G1264" s="189" t="n">
        <v>52</v>
      </c>
      <c r="H1264" s="190" t="n">
        <v>11307.5175179492</v>
      </c>
      <c r="I1264" s="191" t="n">
        <v>3843137.42039912</v>
      </c>
      <c r="J1264" s="192" t="str">
        <f>IF(I1264&gt;0,H1264/I1264,0)</f>
      </c>
      <c r="K1264" s="193" t="str">
        <f>1-EXP(-J1264)</f>
      </c>
      <c r="L1264" s="194" t="str">
        <f>IF(G1264=30,1,M1263)</f>
      </c>
      <c r="M1264" s="195" t="str">
        <f>L1264*(1-K1264)</f>
      </c>
    </row>
    <row r="1265">
      <c r="A1265" t="s">
        <v>167</v>
      </c>
      <c r="B1265" t="s">
        <v>219</v>
      </c>
      <c r="C1265" s="35" t="s">
        <v>221</v>
      </c>
      <c r="D1265" t="s">
        <v>502</v>
      </c>
      <c r="E1265" t="s">
        <v>520</v>
      </c>
      <c r="F1265" s="188" t="n">
        <v>2030</v>
      </c>
      <c r="G1265" s="189" t="n">
        <v>53</v>
      </c>
      <c r="H1265" s="190" t="n">
        <v>12150.0721018145</v>
      </c>
      <c r="I1265" s="191" t="n">
        <v>3775079.28951018</v>
      </c>
      <c r="J1265" s="192" t="str">
        <f>IF(I1265&gt;0,H1265/I1265,0)</f>
      </c>
      <c r="K1265" s="193" t="str">
        <f>1-EXP(-J1265)</f>
      </c>
      <c r="L1265" s="194" t="str">
        <f>IF(G1265=30,1,M1264)</f>
      </c>
      <c r="M1265" s="195" t="str">
        <f>L1265*(1-K1265)</f>
      </c>
    </row>
    <row r="1266">
      <c r="A1266" t="s">
        <v>167</v>
      </c>
      <c r="B1266" t="s">
        <v>219</v>
      </c>
      <c r="C1266" s="35" t="s">
        <v>221</v>
      </c>
      <c r="D1266" t="s">
        <v>502</v>
      </c>
      <c r="E1266" t="s">
        <v>520</v>
      </c>
      <c r="F1266" s="188" t="n">
        <v>2030</v>
      </c>
      <c r="G1266" s="189" t="n">
        <v>54</v>
      </c>
      <c r="H1266" s="190" t="n">
        <v>12994.3571848926</v>
      </c>
      <c r="I1266" s="191" t="n">
        <v>3695108.11177288</v>
      </c>
      <c r="J1266" s="192" t="str">
        <f>IF(I1266&gt;0,H1266/I1266,0)</f>
      </c>
      <c r="K1266" s="193" t="str">
        <f>1-EXP(-J1266)</f>
      </c>
      <c r="L1266" s="194" t="str">
        <f>IF(G1266=30,1,M1265)</f>
      </c>
      <c r="M1266" s="195" t="str">
        <f>L1266*(1-K1266)</f>
      </c>
    </row>
    <row r="1267">
      <c r="A1267" t="s">
        <v>167</v>
      </c>
      <c r="B1267" t="s">
        <v>219</v>
      </c>
      <c r="C1267" s="35" t="s">
        <v>221</v>
      </c>
      <c r="D1267" t="s">
        <v>502</v>
      </c>
      <c r="E1267" t="s">
        <v>520</v>
      </c>
      <c r="F1267" s="188" t="n">
        <v>2030</v>
      </c>
      <c r="G1267" s="189" t="n">
        <v>55</v>
      </c>
      <c r="H1267" s="190" t="n">
        <v>14028.2237589253</v>
      </c>
      <c r="I1267" s="191" t="n">
        <v>3614261.78978721</v>
      </c>
      <c r="J1267" s="192" t="str">
        <f>IF(I1267&gt;0,H1267/I1267,0)</f>
      </c>
      <c r="K1267" s="193" t="str">
        <f>1-EXP(-J1267)</f>
      </c>
      <c r="L1267" s="194" t="str">
        <f>IF(G1267=30,1,M1266)</f>
      </c>
      <c r="M1267" s="195" t="str">
        <f>L1267*(1-K1267)</f>
      </c>
    </row>
    <row r="1268">
      <c r="A1268" t="s">
        <v>167</v>
      </c>
      <c r="B1268" t="s">
        <v>219</v>
      </c>
      <c r="C1268" s="35" t="s">
        <v>221</v>
      </c>
      <c r="D1268" t="s">
        <v>502</v>
      </c>
      <c r="E1268" t="s">
        <v>520</v>
      </c>
      <c r="F1268" s="188" t="n">
        <v>2030</v>
      </c>
      <c r="G1268" s="189" t="n">
        <v>56</v>
      </c>
      <c r="H1268" s="190" t="n">
        <v>14837.5016049266</v>
      </c>
      <c r="I1268" s="191" t="n">
        <v>3505573.86980355</v>
      </c>
      <c r="J1268" s="192" t="str">
        <f>IF(I1268&gt;0,H1268/I1268,0)</f>
      </c>
      <c r="K1268" s="193" t="str">
        <f>1-EXP(-J1268)</f>
      </c>
      <c r="L1268" s="194" t="str">
        <f>IF(G1268=30,1,M1267)</f>
      </c>
      <c r="M1268" s="195" t="str">
        <f>L1268*(1-K1268)</f>
      </c>
    </row>
    <row r="1269">
      <c r="A1269" t="s">
        <v>167</v>
      </c>
      <c r="B1269" t="s">
        <v>219</v>
      </c>
      <c r="C1269" s="35" t="s">
        <v>221</v>
      </c>
      <c r="D1269" t="s">
        <v>502</v>
      </c>
      <c r="E1269" t="s">
        <v>520</v>
      </c>
      <c r="F1269" s="188" t="n">
        <v>2030</v>
      </c>
      <c r="G1269" s="189" t="n">
        <v>57</v>
      </c>
      <c r="H1269" s="190" t="n">
        <v>15992.2989763074</v>
      </c>
      <c r="I1269" s="191" t="n">
        <v>3456559.97067045</v>
      </c>
      <c r="J1269" s="192" t="str">
        <f>IF(I1269&gt;0,H1269/I1269,0)</f>
      </c>
      <c r="K1269" s="193" t="str">
        <f>1-EXP(-J1269)</f>
      </c>
      <c r="L1269" s="194" t="str">
        <f>IF(G1269=30,1,M1268)</f>
      </c>
      <c r="M1269" s="195" t="str">
        <f>L1269*(1-K1269)</f>
      </c>
    </row>
    <row r="1270">
      <c r="A1270" t="s">
        <v>167</v>
      </c>
      <c r="B1270" t="s">
        <v>219</v>
      </c>
      <c r="C1270" s="35" t="s">
        <v>221</v>
      </c>
      <c r="D1270" t="s">
        <v>502</v>
      </c>
      <c r="E1270" t="s">
        <v>520</v>
      </c>
      <c r="F1270" s="188" t="n">
        <v>2030</v>
      </c>
      <c r="G1270" s="189" t="n">
        <v>58</v>
      </c>
      <c r="H1270" s="190" t="n">
        <v>16441.9088341811</v>
      </c>
      <c r="I1270" s="191" t="n">
        <v>3245778.643693</v>
      </c>
      <c r="J1270" s="192" t="str">
        <f>IF(I1270&gt;0,H1270/I1270,0)</f>
      </c>
      <c r="K1270" s="193" t="str">
        <f>1-EXP(-J1270)</f>
      </c>
      <c r="L1270" s="194" t="str">
        <f>IF(G1270=30,1,M1269)</f>
      </c>
      <c r="M1270" s="195" t="str">
        <f>L1270*(1-K1270)</f>
      </c>
    </row>
    <row r="1271">
      <c r="A1271" t="s">
        <v>167</v>
      </c>
      <c r="B1271" t="s">
        <v>219</v>
      </c>
      <c r="C1271" s="35" t="s">
        <v>221</v>
      </c>
      <c r="D1271" t="s">
        <v>502</v>
      </c>
      <c r="E1271" t="s">
        <v>520</v>
      </c>
      <c r="F1271" s="188" t="n">
        <v>2030</v>
      </c>
      <c r="G1271" s="189" t="n">
        <v>59</v>
      </c>
      <c r="H1271" s="190" t="n">
        <v>17482.246499019</v>
      </c>
      <c r="I1271" s="191" t="n">
        <v>3154721.49847499</v>
      </c>
      <c r="J1271" s="192" t="str">
        <f>IF(I1271&gt;0,H1271/I1271,0)</f>
      </c>
      <c r="K1271" s="193" t="str">
        <f>1-EXP(-J1271)</f>
      </c>
      <c r="L1271" s="194" t="str">
        <f>IF(G1271=30,1,M1270)</f>
      </c>
      <c r="M1271" s="195" t="str">
        <f>L1271*(1-K1271)</f>
      </c>
    </row>
    <row r="1272">
      <c r="A1272" t="s">
        <v>167</v>
      </c>
      <c r="B1272" t="s">
        <v>219</v>
      </c>
      <c r="C1272" s="35" t="s">
        <v>221</v>
      </c>
      <c r="D1272" t="s">
        <v>502</v>
      </c>
      <c r="E1272" t="s">
        <v>520</v>
      </c>
      <c r="F1272" s="188" t="n">
        <v>2030</v>
      </c>
      <c r="G1272" s="189" t="n">
        <v>60</v>
      </c>
      <c r="H1272" s="190" t="n">
        <v>18937.6360658328</v>
      </c>
      <c r="I1272" s="191" t="n">
        <v>3067775.86384788</v>
      </c>
      <c r="J1272" s="192" t="str">
        <f>IF(I1272&gt;0,H1272/I1272,0)</f>
      </c>
      <c r="K1272" s="193" t="str">
        <f>1-EXP(-J1272)</f>
      </c>
      <c r="L1272" s="194" t="str">
        <f>IF(G1272=30,1,M1271)</f>
      </c>
      <c r="M1272" s="195" t="str">
        <f>L1272*(1-K1272)</f>
      </c>
    </row>
    <row r="1273">
      <c r="A1273" t="s">
        <v>167</v>
      </c>
      <c r="B1273" t="s">
        <v>219</v>
      </c>
      <c r="C1273" s="35" t="s">
        <v>221</v>
      </c>
      <c r="D1273" t="s">
        <v>502</v>
      </c>
      <c r="E1273" t="s">
        <v>520</v>
      </c>
      <c r="F1273" s="188" t="n">
        <v>2030</v>
      </c>
      <c r="G1273" s="189" t="n">
        <v>61</v>
      </c>
      <c r="H1273" s="190" t="n">
        <v>20169.3130716637</v>
      </c>
      <c r="I1273" s="191" t="n">
        <v>2970972.44340881</v>
      </c>
      <c r="J1273" s="192" t="str">
        <f>IF(I1273&gt;0,H1273/I1273,0)</f>
      </c>
      <c r="K1273" s="193" t="str">
        <f>1-EXP(-J1273)</f>
      </c>
      <c r="L1273" s="194" t="str">
        <f>IF(G1273=30,1,M1272)</f>
      </c>
      <c r="M1273" s="195" t="str">
        <f>L1273*(1-K1273)</f>
      </c>
    </row>
    <row r="1274">
      <c r="A1274" t="s">
        <v>167</v>
      </c>
      <c r="B1274" t="s">
        <v>219</v>
      </c>
      <c r="C1274" s="35" t="s">
        <v>221</v>
      </c>
      <c r="D1274" t="s">
        <v>502</v>
      </c>
      <c r="E1274" t="s">
        <v>520</v>
      </c>
      <c r="F1274" s="188" t="n">
        <v>2030</v>
      </c>
      <c r="G1274" s="189" t="n">
        <v>62</v>
      </c>
      <c r="H1274" s="190" t="n">
        <v>21210.3830557987</v>
      </c>
      <c r="I1274" s="191" t="n">
        <v>2855103.27070227</v>
      </c>
      <c r="J1274" s="192" t="str">
        <f>IF(I1274&gt;0,H1274/I1274,0)</f>
      </c>
      <c r="K1274" s="193" t="str">
        <f>1-EXP(-J1274)</f>
      </c>
      <c r="L1274" s="194" t="str">
        <f>IF(G1274=30,1,M1273)</f>
      </c>
      <c r="M1274" s="195" t="str">
        <f>L1274*(1-K1274)</f>
      </c>
    </row>
    <row r="1275">
      <c r="A1275" t="s">
        <v>167</v>
      </c>
      <c r="B1275" t="s">
        <v>219</v>
      </c>
      <c r="C1275" s="35" t="s">
        <v>221</v>
      </c>
      <c r="D1275" t="s">
        <v>502</v>
      </c>
      <c r="E1275" t="s">
        <v>520</v>
      </c>
      <c r="F1275" s="188" t="n">
        <v>2030</v>
      </c>
      <c r="G1275" s="189" t="n">
        <v>63</v>
      </c>
      <c r="H1275" s="190" t="n">
        <v>22057.009053844</v>
      </c>
      <c r="I1275" s="191" t="n">
        <v>2708788.00598459</v>
      </c>
      <c r="J1275" s="192" t="str">
        <f>IF(I1275&gt;0,H1275/I1275,0)</f>
      </c>
      <c r="K1275" s="193" t="str">
        <f>1-EXP(-J1275)</f>
      </c>
      <c r="L1275" s="194" t="str">
        <f>IF(G1275=30,1,M1274)</f>
      </c>
      <c r="M1275" s="195" t="str">
        <f>L1275*(1-K1275)</f>
      </c>
    </row>
    <row r="1276">
      <c r="A1276" t="s">
        <v>167</v>
      </c>
      <c r="B1276" t="s">
        <v>219</v>
      </c>
      <c r="C1276" s="35" t="s">
        <v>221</v>
      </c>
      <c r="D1276" t="s">
        <v>502</v>
      </c>
      <c r="E1276" t="s">
        <v>520</v>
      </c>
      <c r="F1276" s="188" t="n">
        <v>2030</v>
      </c>
      <c r="G1276" s="189" t="n">
        <v>64</v>
      </c>
      <c r="H1276" s="190" t="n">
        <v>23176.0253644633</v>
      </c>
      <c r="I1276" s="191" t="n">
        <v>2597969.68450741</v>
      </c>
      <c r="J1276" s="192" t="str">
        <f>IF(I1276&gt;0,H1276/I1276,0)</f>
      </c>
      <c r="K1276" s="193" t="str">
        <f>1-EXP(-J1276)</f>
      </c>
      <c r="L1276" s="194" t="str">
        <f>IF(G1276=30,1,M1275)</f>
      </c>
      <c r="M1276" s="195" t="str">
        <f>L1276*(1-K1276)</f>
      </c>
    </row>
    <row r="1277">
      <c r="A1277" t="s">
        <v>167</v>
      </c>
      <c r="B1277" t="s">
        <v>219</v>
      </c>
      <c r="C1277" s="35" t="s">
        <v>221</v>
      </c>
      <c r="D1277" t="s">
        <v>502</v>
      </c>
      <c r="E1277" t="s">
        <v>520</v>
      </c>
      <c r="F1277" s="188" t="n">
        <v>2030</v>
      </c>
      <c r="G1277" s="189" t="n">
        <v>65</v>
      </c>
      <c r="H1277" s="190" t="n">
        <v>23407.3273261153</v>
      </c>
      <c r="I1277" s="191" t="n">
        <v>2466215.7003526</v>
      </c>
      <c r="J1277" s="192" t="str">
        <f>IF(I1277&gt;0,H1277/I1277,0)</f>
      </c>
      <c r="K1277" s="193" t="str">
        <f>1-EXP(-J1277)</f>
      </c>
      <c r="L1277" s="194" t="str">
        <f>IF(G1277=30,1,M1276)</f>
      </c>
      <c r="M1277" s="195" t="str">
        <f>L1277*(1-K1277)</f>
      </c>
    </row>
    <row r="1278">
      <c r="A1278" t="s">
        <v>167</v>
      </c>
      <c r="B1278" t="s">
        <v>219</v>
      </c>
      <c r="C1278" s="35" t="s">
        <v>221</v>
      </c>
      <c r="D1278" t="s">
        <v>502</v>
      </c>
      <c r="E1278" t="s">
        <v>520</v>
      </c>
      <c r="F1278" s="188" t="n">
        <v>2030</v>
      </c>
      <c r="G1278" s="189" t="n">
        <v>66</v>
      </c>
      <c r="H1278" s="190" t="n">
        <v>24283.5825863562</v>
      </c>
      <c r="I1278" s="191" t="n">
        <v>2334956.57587646</v>
      </c>
      <c r="J1278" s="192" t="str">
        <f>IF(I1278&gt;0,H1278/I1278,0)</f>
      </c>
      <c r="K1278" s="193" t="str">
        <f>1-EXP(-J1278)</f>
      </c>
      <c r="L1278" s="194" t="str">
        <f>IF(G1278=30,1,M1277)</f>
      </c>
      <c r="M1278" s="195" t="str">
        <f>L1278*(1-K1278)</f>
      </c>
    </row>
    <row r="1279">
      <c r="A1279" t="s">
        <v>167</v>
      </c>
      <c r="B1279" t="s">
        <v>219</v>
      </c>
      <c r="C1279" s="35" t="s">
        <v>221</v>
      </c>
      <c r="D1279" t="s">
        <v>502</v>
      </c>
      <c r="E1279" t="s">
        <v>520</v>
      </c>
      <c r="F1279" s="188" t="n">
        <v>2030</v>
      </c>
      <c r="G1279" s="189" t="n">
        <v>67</v>
      </c>
      <c r="H1279" s="190" t="n">
        <v>25197.0181025294</v>
      </c>
      <c r="I1279" s="191" t="n">
        <v>2208243.70882441</v>
      </c>
      <c r="J1279" s="192" t="str">
        <f>IF(I1279&gt;0,H1279/I1279,0)</f>
      </c>
      <c r="K1279" s="193" t="str">
        <f>1-EXP(-J1279)</f>
      </c>
      <c r="L1279" s="194" t="str">
        <f>IF(G1279=30,1,M1278)</f>
      </c>
      <c r="M1279" s="195" t="str">
        <f>L1279*(1-K1279)</f>
      </c>
    </row>
    <row r="1280">
      <c r="A1280" t="s">
        <v>167</v>
      </c>
      <c r="B1280" t="s">
        <v>219</v>
      </c>
      <c r="C1280" s="35" t="s">
        <v>221</v>
      </c>
      <c r="D1280" t="s">
        <v>502</v>
      </c>
      <c r="E1280" t="s">
        <v>520</v>
      </c>
      <c r="F1280" s="188" t="n">
        <v>2030</v>
      </c>
      <c r="G1280" s="189" t="n">
        <v>68</v>
      </c>
      <c r="H1280" s="190" t="n">
        <v>25858.6260351522</v>
      </c>
      <c r="I1280" s="191" t="n">
        <v>2057153.78840178</v>
      </c>
      <c r="J1280" s="192" t="str">
        <f>IF(I1280&gt;0,H1280/I1280,0)</f>
      </c>
      <c r="K1280" s="193" t="str">
        <f>1-EXP(-J1280)</f>
      </c>
      <c r="L1280" s="194" t="str">
        <f>IF(G1280=30,1,M1279)</f>
      </c>
      <c r="M1280" s="195" t="str">
        <f>L1280*(1-K1280)</f>
      </c>
    </row>
    <row r="1281">
      <c r="A1281" t="s">
        <v>167</v>
      </c>
      <c r="B1281" t="s">
        <v>219</v>
      </c>
      <c r="C1281" s="35" t="s">
        <v>221</v>
      </c>
      <c r="D1281" t="s">
        <v>502</v>
      </c>
      <c r="E1281" t="s">
        <v>520</v>
      </c>
      <c r="F1281" s="188" t="n">
        <v>2030</v>
      </c>
      <c r="G1281" s="189" t="n">
        <v>69</v>
      </c>
      <c r="H1281" s="190" t="n">
        <v>26654.3487208319</v>
      </c>
      <c r="I1281" s="191" t="n">
        <v>1930510.35163261</v>
      </c>
      <c r="J1281" s="192" t="str">
        <f>IF(I1281&gt;0,H1281/I1281,0)</f>
      </c>
      <c r="K1281" s="193" t="str">
        <f>1-EXP(-J1281)</f>
      </c>
      <c r="L1281" s="194" t="str">
        <f>IF(G1281=30,1,M1280)</f>
      </c>
      <c r="M1281" s="195" t="str">
        <f>L1281*(1-K1281)</f>
      </c>
    </row>
    <row r="1282">
      <c r="A1282" t="s">
        <v>167</v>
      </c>
      <c r="B1282" t="s">
        <v>219</v>
      </c>
      <c r="C1282" s="35" t="s">
        <v>221</v>
      </c>
      <c r="D1282" t="s">
        <v>502</v>
      </c>
      <c r="E1282" t="s">
        <v>520</v>
      </c>
      <c r="F1282" s="188" t="n">
        <v>2031</v>
      </c>
      <c r="G1282" s="189" t="n">
        <v>30</v>
      </c>
      <c r="H1282" s="190" t="n">
        <v>932.837497111814</v>
      </c>
      <c r="I1282" s="191" t="n">
        <v>4341028.53240962</v>
      </c>
      <c r="J1282" s="192" t="str">
        <f>IF(I1282&gt;0,H1282/I1282,0)</f>
      </c>
      <c r="K1282" s="193" t="str">
        <f>1-EXP(-J1282)</f>
      </c>
      <c r="L1282" s="194" t="str">
        <f>IF(G1282=30,1,M1281)</f>
      </c>
      <c r="M1282" s="195" t="str">
        <f>L1282*(1-K1282)</f>
      </c>
    </row>
    <row r="1283">
      <c r="A1283" t="s">
        <v>167</v>
      </c>
      <c r="B1283" t="s">
        <v>219</v>
      </c>
      <c r="C1283" s="35" t="s">
        <v>221</v>
      </c>
      <c r="D1283" t="s">
        <v>502</v>
      </c>
      <c r="E1283" t="s">
        <v>520</v>
      </c>
      <c r="F1283" s="188" t="n">
        <v>2031</v>
      </c>
      <c r="G1283" s="189" t="n">
        <v>31</v>
      </c>
      <c r="H1283" s="190" t="n">
        <v>1058.59531196835</v>
      </c>
      <c r="I1283" s="191" t="n">
        <v>4321310.17120017</v>
      </c>
      <c r="J1283" s="192" t="str">
        <f>IF(I1283&gt;0,H1283/I1283,0)</f>
      </c>
      <c r="K1283" s="193" t="str">
        <f>1-EXP(-J1283)</f>
      </c>
      <c r="L1283" s="194" t="str">
        <f>IF(G1283=30,1,M1282)</f>
      </c>
      <c r="M1283" s="195" t="str">
        <f>L1283*(1-K1283)</f>
      </c>
    </row>
    <row r="1284">
      <c r="A1284" t="s">
        <v>167</v>
      </c>
      <c r="B1284" t="s">
        <v>219</v>
      </c>
      <c r="C1284" s="35" t="s">
        <v>221</v>
      </c>
      <c r="D1284" t="s">
        <v>502</v>
      </c>
      <c r="E1284" t="s">
        <v>520</v>
      </c>
      <c r="F1284" s="188" t="n">
        <v>2031</v>
      </c>
      <c r="G1284" s="189" t="n">
        <v>32</v>
      </c>
      <c r="H1284" s="190" t="n">
        <v>1119.60706151488</v>
      </c>
      <c r="I1284" s="191" t="n">
        <v>4341871.8149458</v>
      </c>
      <c r="J1284" s="192" t="str">
        <f>IF(I1284&gt;0,H1284/I1284,0)</f>
      </c>
      <c r="K1284" s="193" t="str">
        <f>1-EXP(-J1284)</f>
      </c>
      <c r="L1284" s="194" t="str">
        <f>IF(G1284=30,1,M1283)</f>
      </c>
      <c r="M1284" s="195" t="str">
        <f>L1284*(1-K1284)</f>
      </c>
    </row>
    <row r="1285">
      <c r="A1285" t="s">
        <v>167</v>
      </c>
      <c r="B1285" t="s">
        <v>219</v>
      </c>
      <c r="C1285" s="35" t="s">
        <v>221</v>
      </c>
      <c r="D1285" t="s">
        <v>502</v>
      </c>
      <c r="E1285" t="s">
        <v>520</v>
      </c>
      <c r="F1285" s="188" t="n">
        <v>2031</v>
      </c>
      <c r="G1285" s="189" t="n">
        <v>33</v>
      </c>
      <c r="H1285" s="190" t="n">
        <v>1203.00656788881</v>
      </c>
      <c r="I1285" s="191" t="n">
        <v>4401825.76820535</v>
      </c>
      <c r="J1285" s="192" t="str">
        <f>IF(I1285&gt;0,H1285/I1285,0)</f>
      </c>
      <c r="K1285" s="193" t="str">
        <f>1-EXP(-J1285)</f>
      </c>
      <c r="L1285" s="194" t="str">
        <f>IF(G1285=30,1,M1284)</f>
      </c>
      <c r="M1285" s="195" t="str">
        <f>L1285*(1-K1285)</f>
      </c>
    </row>
    <row r="1286">
      <c r="A1286" t="s">
        <v>167</v>
      </c>
      <c r="B1286" t="s">
        <v>219</v>
      </c>
      <c r="C1286" s="35" t="s">
        <v>221</v>
      </c>
      <c r="D1286" t="s">
        <v>502</v>
      </c>
      <c r="E1286" t="s">
        <v>520</v>
      </c>
      <c r="F1286" s="188" t="n">
        <v>2031</v>
      </c>
      <c r="G1286" s="189" t="n">
        <v>34</v>
      </c>
      <c r="H1286" s="190" t="n">
        <v>1522.34682860134</v>
      </c>
      <c r="I1286" s="191" t="n">
        <v>4542090.8462055</v>
      </c>
      <c r="J1286" s="192" t="str">
        <f>IF(I1286&gt;0,H1286/I1286,0)</f>
      </c>
      <c r="K1286" s="193" t="str">
        <f>1-EXP(-J1286)</f>
      </c>
      <c r="L1286" s="194" t="str">
        <f>IF(G1286=30,1,M1285)</f>
      </c>
      <c r="M1286" s="195" t="str">
        <f>L1286*(1-K1286)</f>
      </c>
    </row>
    <row r="1287">
      <c r="A1287" t="s">
        <v>167</v>
      </c>
      <c r="B1287" t="s">
        <v>219</v>
      </c>
      <c r="C1287" s="35" t="s">
        <v>221</v>
      </c>
      <c r="D1287" t="s">
        <v>502</v>
      </c>
      <c r="E1287" t="s">
        <v>520</v>
      </c>
      <c r="F1287" s="188" t="n">
        <v>2031</v>
      </c>
      <c r="G1287" s="189" t="n">
        <v>35</v>
      </c>
      <c r="H1287" s="190" t="n">
        <v>2042.35103075254</v>
      </c>
      <c r="I1287" s="191" t="n">
        <v>4498983.61235962</v>
      </c>
      <c r="J1287" s="192" t="str">
        <f>IF(I1287&gt;0,H1287/I1287,0)</f>
      </c>
      <c r="K1287" s="193" t="str">
        <f>1-EXP(-J1287)</f>
      </c>
      <c r="L1287" s="194" t="str">
        <f>IF(G1287=30,1,M1286)</f>
      </c>
      <c r="M1287" s="195" t="str">
        <f>L1287*(1-K1287)</f>
      </c>
    </row>
    <row r="1288">
      <c r="A1288" t="s">
        <v>167</v>
      </c>
      <c r="B1288" t="s">
        <v>219</v>
      </c>
      <c r="C1288" s="35" t="s">
        <v>221</v>
      </c>
      <c r="D1288" t="s">
        <v>502</v>
      </c>
      <c r="E1288" t="s">
        <v>520</v>
      </c>
      <c r="F1288" s="188" t="n">
        <v>2031</v>
      </c>
      <c r="G1288" s="189" t="n">
        <v>36</v>
      </c>
      <c r="H1288" s="190" t="n">
        <v>2142.19564190772</v>
      </c>
      <c r="I1288" s="191" t="n">
        <v>4425182.41783007</v>
      </c>
      <c r="J1288" s="192" t="str">
        <f>IF(I1288&gt;0,H1288/I1288,0)</f>
      </c>
      <c r="K1288" s="193" t="str">
        <f>1-EXP(-J1288)</f>
      </c>
      <c r="L1288" s="194" t="str">
        <f>IF(G1288=30,1,M1287)</f>
      </c>
      <c r="M1288" s="195" t="str">
        <f>L1288*(1-K1288)</f>
      </c>
    </row>
    <row r="1289">
      <c r="A1289" t="s">
        <v>167</v>
      </c>
      <c r="B1289" t="s">
        <v>219</v>
      </c>
      <c r="C1289" s="35" t="s">
        <v>221</v>
      </c>
      <c r="D1289" t="s">
        <v>502</v>
      </c>
      <c r="E1289" t="s">
        <v>520</v>
      </c>
      <c r="F1289" s="188" t="n">
        <v>2031</v>
      </c>
      <c r="G1289" s="189" t="n">
        <v>37</v>
      </c>
      <c r="H1289" s="190" t="n">
        <v>2269.02480141548</v>
      </c>
      <c r="I1289" s="191" t="n">
        <v>4367541.30431451</v>
      </c>
      <c r="J1289" s="192" t="str">
        <f>IF(I1289&gt;0,H1289/I1289,0)</f>
      </c>
      <c r="K1289" s="193" t="str">
        <f>1-EXP(-J1289)</f>
      </c>
      <c r="L1289" s="194" t="str">
        <f>IF(G1289=30,1,M1288)</f>
      </c>
      <c r="M1289" s="195" t="str">
        <f>L1289*(1-K1289)</f>
      </c>
    </row>
    <row r="1290">
      <c r="A1290" t="s">
        <v>167</v>
      </c>
      <c r="B1290" t="s">
        <v>219</v>
      </c>
      <c r="C1290" s="35" t="s">
        <v>221</v>
      </c>
      <c r="D1290" t="s">
        <v>502</v>
      </c>
      <c r="E1290" t="s">
        <v>520</v>
      </c>
      <c r="F1290" s="188" t="n">
        <v>2031</v>
      </c>
      <c r="G1290" s="189" t="n">
        <v>38</v>
      </c>
      <c r="H1290" s="190" t="n">
        <v>2409.81363382682</v>
      </c>
      <c r="I1290" s="191" t="n">
        <v>4313427.79118581</v>
      </c>
      <c r="J1290" s="192" t="str">
        <f>IF(I1290&gt;0,H1290/I1290,0)</f>
      </c>
      <c r="K1290" s="193" t="str">
        <f>1-EXP(-J1290)</f>
      </c>
      <c r="L1290" s="194" t="str">
        <f>IF(G1290=30,1,M1289)</f>
      </c>
      <c r="M1290" s="195" t="str">
        <f>L1290*(1-K1290)</f>
      </c>
    </row>
    <row r="1291">
      <c r="A1291" t="s">
        <v>167</v>
      </c>
      <c r="B1291" t="s">
        <v>219</v>
      </c>
      <c r="C1291" s="35" t="s">
        <v>221</v>
      </c>
      <c r="D1291" t="s">
        <v>502</v>
      </c>
      <c r="E1291" t="s">
        <v>520</v>
      </c>
      <c r="F1291" s="188" t="n">
        <v>2031</v>
      </c>
      <c r="G1291" s="189" t="n">
        <v>39</v>
      </c>
      <c r="H1291" s="190" t="n">
        <v>2615.99199511006</v>
      </c>
      <c r="I1291" s="191" t="n">
        <v>4350458.50753359</v>
      </c>
      <c r="J1291" s="192" t="str">
        <f>IF(I1291&gt;0,H1291/I1291,0)</f>
      </c>
      <c r="K1291" s="193" t="str">
        <f>1-EXP(-J1291)</f>
      </c>
      <c r="L1291" s="194" t="str">
        <f>IF(G1291=30,1,M1290)</f>
      </c>
      <c r="M1291" s="195" t="str">
        <f>L1291*(1-K1291)</f>
      </c>
    </row>
    <row r="1292">
      <c r="A1292" t="s">
        <v>167</v>
      </c>
      <c r="B1292" t="s">
        <v>219</v>
      </c>
      <c r="C1292" s="35" t="s">
        <v>221</v>
      </c>
      <c r="D1292" t="s">
        <v>502</v>
      </c>
      <c r="E1292" t="s">
        <v>520</v>
      </c>
      <c r="F1292" s="188" t="n">
        <v>2031</v>
      </c>
      <c r="G1292" s="189" t="n">
        <v>40</v>
      </c>
      <c r="H1292" s="190" t="n">
        <v>3533.21962690093</v>
      </c>
      <c r="I1292" s="191" t="n">
        <v>4367725.06100437</v>
      </c>
      <c r="J1292" s="192" t="str">
        <f>IF(I1292&gt;0,H1292/I1292,0)</f>
      </c>
      <c r="K1292" s="193" t="str">
        <f>1-EXP(-J1292)</f>
      </c>
      <c r="L1292" s="194" t="str">
        <f>IF(G1292=30,1,M1291)</f>
      </c>
      <c r="M1292" s="195" t="str">
        <f>L1292*(1-K1292)</f>
      </c>
    </row>
    <row r="1293">
      <c r="A1293" t="s">
        <v>167</v>
      </c>
      <c r="B1293" t="s">
        <v>219</v>
      </c>
      <c r="C1293" s="35" t="s">
        <v>221</v>
      </c>
      <c r="D1293" t="s">
        <v>502</v>
      </c>
      <c r="E1293" t="s">
        <v>520</v>
      </c>
      <c r="F1293" s="188" t="n">
        <v>2031</v>
      </c>
      <c r="G1293" s="189" t="n">
        <v>41</v>
      </c>
      <c r="H1293" s="190" t="n">
        <v>5342.41718361556</v>
      </c>
      <c r="I1293" s="191" t="n">
        <v>6429890.16735496</v>
      </c>
      <c r="J1293" s="192" t="str">
        <f>IF(I1293&gt;0,H1293/I1293,0)</f>
      </c>
      <c r="K1293" s="193" t="str">
        <f>1-EXP(-J1293)</f>
      </c>
      <c r="L1293" s="194" t="str">
        <f>IF(G1293=30,1,M1292)</f>
      </c>
      <c r="M1293" s="195" t="str">
        <f>L1293*(1-K1293)</f>
      </c>
    </row>
    <row r="1294">
      <c r="A1294" t="s">
        <v>167</v>
      </c>
      <c r="B1294" t="s">
        <v>219</v>
      </c>
      <c r="C1294" s="35" t="s">
        <v>221</v>
      </c>
      <c r="D1294" t="s">
        <v>502</v>
      </c>
      <c r="E1294" t="s">
        <v>520</v>
      </c>
      <c r="F1294" s="188" t="n">
        <v>2031</v>
      </c>
      <c r="G1294" s="189" t="n">
        <v>42</v>
      </c>
      <c r="H1294" s="190" t="n">
        <v>4100.33557943638</v>
      </c>
      <c r="I1294" s="191" t="n">
        <v>4323877.63520853</v>
      </c>
      <c r="J1294" s="192" t="str">
        <f>IF(I1294&gt;0,H1294/I1294,0)</f>
      </c>
      <c r="K1294" s="193" t="str">
        <f>1-EXP(-J1294)</f>
      </c>
      <c r="L1294" s="194" t="str">
        <f>IF(G1294=30,1,M1293)</f>
      </c>
      <c r="M1294" s="195" t="str">
        <f>L1294*(1-K1294)</f>
      </c>
    </row>
    <row r="1295">
      <c r="A1295" t="s">
        <v>167</v>
      </c>
      <c r="B1295" t="s">
        <v>219</v>
      </c>
      <c r="C1295" s="35" t="s">
        <v>221</v>
      </c>
      <c r="D1295" t="s">
        <v>502</v>
      </c>
      <c r="E1295" t="s">
        <v>520</v>
      </c>
      <c r="F1295" s="188" t="n">
        <v>2031</v>
      </c>
      <c r="G1295" s="189" t="n">
        <v>43</v>
      </c>
      <c r="H1295" s="190" t="n">
        <v>4445.72947377215</v>
      </c>
      <c r="I1295" s="191" t="n">
        <v>4306168.02535389</v>
      </c>
      <c r="J1295" s="192" t="str">
        <f>IF(I1295&gt;0,H1295/I1295,0)</f>
      </c>
      <c r="K1295" s="193" t="str">
        <f>1-EXP(-J1295)</f>
      </c>
      <c r="L1295" s="194" t="str">
        <f>IF(G1295=30,1,M1294)</f>
      </c>
      <c r="M1295" s="195" t="str">
        <f>L1295*(1-K1295)</f>
      </c>
    </row>
    <row r="1296">
      <c r="A1296" t="s">
        <v>167</v>
      </c>
      <c r="B1296" t="s">
        <v>219</v>
      </c>
      <c r="C1296" s="35" t="s">
        <v>221</v>
      </c>
      <c r="D1296" t="s">
        <v>502</v>
      </c>
      <c r="E1296" t="s">
        <v>520</v>
      </c>
      <c r="F1296" s="188" t="n">
        <v>2031</v>
      </c>
      <c r="G1296" s="189" t="n">
        <v>44</v>
      </c>
      <c r="H1296" s="190" t="n">
        <v>4705.61401605236</v>
      </c>
      <c r="I1296" s="191" t="n">
        <v>4173128.64683746</v>
      </c>
      <c r="J1296" s="192" t="str">
        <f>IF(I1296&gt;0,H1296/I1296,0)</f>
      </c>
      <c r="K1296" s="193" t="str">
        <f>1-EXP(-J1296)</f>
      </c>
      <c r="L1296" s="194" t="str">
        <f>IF(G1296=30,1,M1295)</f>
      </c>
      <c r="M1296" s="195" t="str">
        <f>L1296*(1-K1296)</f>
      </c>
    </row>
    <row r="1297">
      <c r="A1297" t="s">
        <v>167</v>
      </c>
      <c r="B1297" t="s">
        <v>219</v>
      </c>
      <c r="C1297" s="35" t="s">
        <v>221</v>
      </c>
      <c r="D1297" t="s">
        <v>502</v>
      </c>
      <c r="E1297" t="s">
        <v>520</v>
      </c>
      <c r="F1297" s="188" t="n">
        <v>2031</v>
      </c>
      <c r="G1297" s="189" t="n">
        <v>45</v>
      </c>
      <c r="H1297" s="190" t="n">
        <v>6034.13931706578</v>
      </c>
      <c r="I1297" s="191" t="n">
        <v>4137329.88224218</v>
      </c>
      <c r="J1297" s="192" t="str">
        <f>IF(I1297&gt;0,H1297/I1297,0)</f>
      </c>
      <c r="K1297" s="193" t="str">
        <f>1-EXP(-J1297)</f>
      </c>
      <c r="L1297" s="194" t="str">
        <f>IF(G1297=30,1,M1296)</f>
      </c>
      <c r="M1297" s="195" t="str">
        <f>L1297*(1-K1297)</f>
      </c>
    </row>
    <row r="1298">
      <c r="A1298" t="s">
        <v>167</v>
      </c>
      <c r="B1298" t="s">
        <v>219</v>
      </c>
      <c r="C1298" s="35" t="s">
        <v>221</v>
      </c>
      <c r="D1298" t="s">
        <v>502</v>
      </c>
      <c r="E1298" t="s">
        <v>520</v>
      </c>
      <c r="F1298" s="188" t="n">
        <v>2031</v>
      </c>
      <c r="G1298" s="189" t="n">
        <v>46</v>
      </c>
      <c r="H1298" s="190" t="n">
        <v>6684.33539856044</v>
      </c>
      <c r="I1298" s="191" t="n">
        <v>4193556.44234661</v>
      </c>
      <c r="J1298" s="192" t="str">
        <f>IF(I1298&gt;0,H1298/I1298,0)</f>
      </c>
      <c r="K1298" s="193" t="str">
        <f>1-EXP(-J1298)</f>
      </c>
      <c r="L1298" s="194" t="str">
        <f>IF(G1298=30,1,M1297)</f>
      </c>
      <c r="M1298" s="195" t="str">
        <f>L1298*(1-K1298)</f>
      </c>
    </row>
    <row r="1299">
      <c r="A1299" t="s">
        <v>167</v>
      </c>
      <c r="B1299" t="s">
        <v>219</v>
      </c>
      <c r="C1299" s="35" t="s">
        <v>221</v>
      </c>
      <c r="D1299" t="s">
        <v>502</v>
      </c>
      <c r="E1299" t="s">
        <v>520</v>
      </c>
      <c r="F1299" s="188" t="n">
        <v>2031</v>
      </c>
      <c r="G1299" s="189" t="n">
        <v>47</v>
      </c>
      <c r="H1299" s="190" t="n">
        <v>7474.48185725275</v>
      </c>
      <c r="I1299" s="191" t="n">
        <v>4275425.53869694</v>
      </c>
      <c r="J1299" s="192" t="str">
        <f>IF(I1299&gt;0,H1299/I1299,0)</f>
      </c>
      <c r="K1299" s="193" t="str">
        <f>1-EXP(-J1299)</f>
      </c>
      <c r="L1299" s="194" t="str">
        <f>IF(G1299=30,1,M1298)</f>
      </c>
      <c r="M1299" s="195" t="str">
        <f>L1299*(1-K1299)</f>
      </c>
    </row>
    <row r="1300">
      <c r="A1300" t="s">
        <v>167</v>
      </c>
      <c r="B1300" t="s">
        <v>219</v>
      </c>
      <c r="C1300" s="35" t="s">
        <v>221</v>
      </c>
      <c r="D1300" t="s">
        <v>502</v>
      </c>
      <c r="E1300" t="s">
        <v>520</v>
      </c>
      <c r="F1300" s="188" t="n">
        <v>2031</v>
      </c>
      <c r="G1300" s="189" t="n">
        <v>48</v>
      </c>
      <c r="H1300" s="190" t="n">
        <v>8144.91089339083</v>
      </c>
      <c r="I1300" s="191" t="n">
        <v>4248650.75220546</v>
      </c>
      <c r="J1300" s="192" t="str">
        <f>IF(I1300&gt;0,H1300/I1300,0)</f>
      </c>
      <c r="K1300" s="193" t="str">
        <f>1-EXP(-J1300)</f>
      </c>
      <c r="L1300" s="194" t="str">
        <f>IF(G1300=30,1,M1299)</f>
      </c>
      <c r="M1300" s="195" t="str">
        <f>L1300*(1-K1300)</f>
      </c>
    </row>
    <row r="1301">
      <c r="A1301" t="s">
        <v>167</v>
      </c>
      <c r="B1301" t="s">
        <v>219</v>
      </c>
      <c r="C1301" s="35" t="s">
        <v>221</v>
      </c>
      <c r="D1301" t="s">
        <v>502</v>
      </c>
      <c r="E1301" t="s">
        <v>520</v>
      </c>
      <c r="F1301" s="188" t="n">
        <v>2031</v>
      </c>
      <c r="G1301" s="189" t="n">
        <v>49</v>
      </c>
      <c r="H1301" s="190" t="n">
        <v>8640.28236853305</v>
      </c>
      <c r="I1301" s="191" t="n">
        <v>4109946.53510787</v>
      </c>
      <c r="J1301" s="192" t="str">
        <f>IF(I1301&gt;0,H1301/I1301,0)</f>
      </c>
      <c r="K1301" s="193" t="str">
        <f>1-EXP(-J1301)</f>
      </c>
      <c r="L1301" s="194" t="str">
        <f>IF(G1301=30,1,M1300)</f>
      </c>
      <c r="M1301" s="195" t="str">
        <f>L1301*(1-K1301)</f>
      </c>
    </row>
    <row r="1302">
      <c r="A1302" t="s">
        <v>167</v>
      </c>
      <c r="B1302" t="s">
        <v>219</v>
      </c>
      <c r="C1302" s="35" t="s">
        <v>221</v>
      </c>
      <c r="D1302" t="s">
        <v>502</v>
      </c>
      <c r="E1302" t="s">
        <v>520</v>
      </c>
      <c r="F1302" s="188" t="n">
        <v>2031</v>
      </c>
      <c r="G1302" s="189" t="n">
        <v>50</v>
      </c>
      <c r="H1302" s="190" t="n">
        <v>9865.48773496338</v>
      </c>
      <c r="I1302" s="191" t="n">
        <v>4033015.31954814</v>
      </c>
      <c r="J1302" s="192" t="str">
        <f>IF(I1302&gt;0,H1302/I1302,0)</f>
      </c>
      <c r="K1302" s="193" t="str">
        <f>1-EXP(-J1302)</f>
      </c>
      <c r="L1302" s="194" t="str">
        <f>IF(G1302=30,1,M1301)</f>
      </c>
      <c r="M1302" s="195" t="str">
        <f>L1302*(1-K1302)</f>
      </c>
    </row>
    <row r="1303">
      <c r="A1303" t="s">
        <v>167</v>
      </c>
      <c r="B1303" t="s">
        <v>219</v>
      </c>
      <c r="C1303" s="35" t="s">
        <v>221</v>
      </c>
      <c r="D1303" t="s">
        <v>502</v>
      </c>
      <c r="E1303" t="s">
        <v>520</v>
      </c>
      <c r="F1303" s="188" t="n">
        <v>2031</v>
      </c>
      <c r="G1303" s="189" t="n">
        <v>51</v>
      </c>
      <c r="H1303" s="190" t="n">
        <v>10637.8378904993</v>
      </c>
      <c r="I1303" s="191" t="n">
        <v>3970718.12016364</v>
      </c>
      <c r="J1303" s="192" t="str">
        <f>IF(I1303&gt;0,H1303/I1303,0)</f>
      </c>
      <c r="K1303" s="193" t="str">
        <f>1-EXP(-J1303)</f>
      </c>
      <c r="L1303" s="194" t="str">
        <f>IF(G1303=30,1,M1302)</f>
      </c>
      <c r="M1303" s="195" t="str">
        <f>L1303*(1-K1303)</f>
      </c>
    </row>
    <row r="1304">
      <c r="A1304" t="s">
        <v>167</v>
      </c>
      <c r="B1304" t="s">
        <v>219</v>
      </c>
      <c r="C1304" s="35" t="s">
        <v>221</v>
      </c>
      <c r="D1304" t="s">
        <v>502</v>
      </c>
      <c r="E1304" t="s">
        <v>520</v>
      </c>
      <c r="F1304" s="188" t="n">
        <v>2031</v>
      </c>
      <c r="G1304" s="189" t="n">
        <v>52</v>
      </c>
      <c r="H1304" s="190" t="n">
        <v>11431.3820032658</v>
      </c>
      <c r="I1304" s="191" t="n">
        <v>3903565.34402535</v>
      </c>
      <c r="J1304" s="192" t="str">
        <f>IF(I1304&gt;0,H1304/I1304,0)</f>
      </c>
      <c r="K1304" s="193" t="str">
        <f>1-EXP(-J1304)</f>
      </c>
      <c r="L1304" s="194" t="str">
        <f>IF(G1304=30,1,M1303)</f>
      </c>
      <c r="M1304" s="195" t="str">
        <f>L1304*(1-K1304)</f>
      </c>
    </row>
    <row r="1305">
      <c r="A1305" t="s">
        <v>167</v>
      </c>
      <c r="B1305" t="s">
        <v>219</v>
      </c>
      <c r="C1305" s="35" t="s">
        <v>221</v>
      </c>
      <c r="D1305" t="s">
        <v>502</v>
      </c>
      <c r="E1305" t="s">
        <v>520</v>
      </c>
      <c r="F1305" s="188" t="n">
        <v>2031</v>
      </c>
      <c r="G1305" s="189" t="n">
        <v>53</v>
      </c>
      <c r="H1305" s="190" t="n">
        <v>12215.8043154901</v>
      </c>
      <c r="I1305" s="191" t="n">
        <v>3816964.50267821</v>
      </c>
      <c r="J1305" s="192" t="str">
        <f>IF(I1305&gt;0,H1305/I1305,0)</f>
      </c>
      <c r="K1305" s="193" t="str">
        <f>1-EXP(-J1305)</f>
      </c>
      <c r="L1305" s="194" t="str">
        <f>IF(G1305=30,1,M1304)</f>
      </c>
      <c r="M1305" s="195" t="str">
        <f>L1305*(1-K1305)</f>
      </c>
    </row>
    <row r="1306">
      <c r="A1306" t="s">
        <v>167</v>
      </c>
      <c r="B1306" t="s">
        <v>219</v>
      </c>
      <c r="C1306" s="35" t="s">
        <v>221</v>
      </c>
      <c r="D1306" t="s">
        <v>502</v>
      </c>
      <c r="E1306" t="s">
        <v>520</v>
      </c>
      <c r="F1306" s="188" t="n">
        <v>2031</v>
      </c>
      <c r="G1306" s="189" t="n">
        <v>54</v>
      </c>
      <c r="H1306" s="190" t="n">
        <v>13118.8822048322</v>
      </c>
      <c r="I1306" s="191" t="n">
        <v>3746975.97407946</v>
      </c>
      <c r="J1306" s="192" t="str">
        <f>IF(I1306&gt;0,H1306/I1306,0)</f>
      </c>
      <c r="K1306" s="193" t="str">
        <f>1-EXP(-J1306)</f>
      </c>
      <c r="L1306" s="194" t="str">
        <f>IF(G1306=30,1,M1305)</f>
      </c>
      <c r="M1306" s="195" t="str">
        <f>L1306*(1-K1306)</f>
      </c>
    </row>
    <row r="1307">
      <c r="A1307" t="s">
        <v>167</v>
      </c>
      <c r="B1307" t="s">
        <v>219</v>
      </c>
      <c r="C1307" s="35" t="s">
        <v>221</v>
      </c>
      <c r="D1307" t="s">
        <v>502</v>
      </c>
      <c r="E1307" t="s">
        <v>520</v>
      </c>
      <c r="F1307" s="188" t="n">
        <v>2031</v>
      </c>
      <c r="G1307" s="189" t="n">
        <v>55</v>
      </c>
      <c r="H1307" s="190" t="n">
        <v>14134.6625460897</v>
      </c>
      <c r="I1307" s="191" t="n">
        <v>3665068.55927255</v>
      </c>
      <c r="J1307" s="192" t="str">
        <f>IF(I1307&gt;0,H1307/I1307,0)</f>
      </c>
      <c r="K1307" s="193" t="str">
        <f>1-EXP(-J1307)</f>
      </c>
      <c r="L1307" s="194" t="str">
        <f>IF(G1307=30,1,M1306)</f>
      </c>
      <c r="M1307" s="195" t="str">
        <f>L1307*(1-K1307)</f>
      </c>
    </row>
    <row r="1308">
      <c r="A1308" t="s">
        <v>167</v>
      </c>
      <c r="B1308" t="s">
        <v>219</v>
      </c>
      <c r="C1308" s="35" t="s">
        <v>221</v>
      </c>
      <c r="D1308" t="s">
        <v>502</v>
      </c>
      <c r="E1308" t="s">
        <v>520</v>
      </c>
      <c r="F1308" s="188" t="n">
        <v>2031</v>
      </c>
      <c r="G1308" s="189" t="n">
        <v>56</v>
      </c>
      <c r="H1308" s="190" t="n">
        <v>15058.3455805146</v>
      </c>
      <c r="I1308" s="191" t="n">
        <v>3581739.26766642</v>
      </c>
      <c r="J1308" s="192" t="str">
        <f>IF(I1308&gt;0,H1308/I1308,0)</f>
      </c>
      <c r="K1308" s="193" t="str">
        <f>1-EXP(-J1308)</f>
      </c>
      <c r="L1308" s="194" t="str">
        <f>IF(G1308=30,1,M1307)</f>
      </c>
      <c r="M1308" s="195" t="str">
        <f>L1308*(1-K1308)</f>
      </c>
    </row>
    <row r="1309">
      <c r="A1309" t="s">
        <v>167</v>
      </c>
      <c r="B1309" t="s">
        <v>219</v>
      </c>
      <c r="C1309" s="35" t="s">
        <v>221</v>
      </c>
      <c r="D1309" t="s">
        <v>502</v>
      </c>
      <c r="E1309" t="s">
        <v>520</v>
      </c>
      <c r="F1309" s="188" t="n">
        <v>2031</v>
      </c>
      <c r="G1309" s="189" t="n">
        <v>57</v>
      </c>
      <c r="H1309" s="190" t="n">
        <v>15954.5236805856</v>
      </c>
      <c r="I1309" s="191" t="n">
        <v>3471569.27353378</v>
      </c>
      <c r="J1309" s="192" t="str">
        <f>IF(I1309&gt;0,H1309/I1309,0)</f>
      </c>
      <c r="K1309" s="193" t="str">
        <f>1-EXP(-J1309)</f>
      </c>
      <c r="L1309" s="194" t="str">
        <f>IF(G1309=30,1,M1308)</f>
      </c>
      <c r="M1309" s="195" t="str">
        <f>L1309*(1-K1309)</f>
      </c>
    </row>
    <row r="1310">
      <c r="A1310" t="s">
        <v>167</v>
      </c>
      <c r="B1310" t="s">
        <v>219</v>
      </c>
      <c r="C1310" s="35" t="s">
        <v>221</v>
      </c>
      <c r="D1310" t="s">
        <v>502</v>
      </c>
      <c r="E1310" t="s">
        <v>520</v>
      </c>
      <c r="F1310" s="188" t="n">
        <v>2031</v>
      </c>
      <c r="G1310" s="189" t="n">
        <v>58</v>
      </c>
      <c r="H1310" s="190" t="n">
        <v>17188.0396201808</v>
      </c>
      <c r="I1310" s="191" t="n">
        <v>3419932.22446093</v>
      </c>
      <c r="J1310" s="192" t="str">
        <f>IF(I1310&gt;0,H1310/I1310,0)</f>
      </c>
      <c r="K1310" s="193" t="str">
        <f>1-EXP(-J1310)</f>
      </c>
      <c r="L1310" s="194" t="str">
        <f>IF(G1310=30,1,M1309)</f>
      </c>
      <c r="M1310" s="195" t="str">
        <f>L1310*(1-K1310)</f>
      </c>
    </row>
    <row r="1311">
      <c r="A1311" t="s">
        <v>167</v>
      </c>
      <c r="B1311" t="s">
        <v>219</v>
      </c>
      <c r="C1311" s="35" t="s">
        <v>221</v>
      </c>
      <c r="D1311" t="s">
        <v>502</v>
      </c>
      <c r="E1311" t="s">
        <v>520</v>
      </c>
      <c r="F1311" s="188" t="n">
        <v>2031</v>
      </c>
      <c r="G1311" s="189" t="n">
        <v>59</v>
      </c>
      <c r="H1311" s="190" t="n">
        <v>17662.840272894</v>
      </c>
      <c r="I1311" s="191" t="n">
        <v>3208147.93304677</v>
      </c>
      <c r="J1311" s="192" t="str">
        <f>IF(I1311&gt;0,H1311/I1311,0)</f>
      </c>
      <c r="K1311" s="193" t="str">
        <f>1-EXP(-J1311)</f>
      </c>
      <c r="L1311" s="194" t="str">
        <f>IF(G1311=30,1,M1310)</f>
      </c>
      <c r="M1311" s="195" t="str">
        <f>L1311*(1-K1311)</f>
      </c>
    </row>
    <row r="1312">
      <c r="A1312" t="s">
        <v>167</v>
      </c>
      <c r="B1312" t="s">
        <v>219</v>
      </c>
      <c r="C1312" s="35" t="s">
        <v>221</v>
      </c>
      <c r="D1312" t="s">
        <v>502</v>
      </c>
      <c r="E1312" t="s">
        <v>520</v>
      </c>
      <c r="F1312" s="188" t="n">
        <v>2031</v>
      </c>
      <c r="G1312" s="189" t="n">
        <v>60</v>
      </c>
      <c r="H1312" s="190" t="n">
        <v>19061.2275851231</v>
      </c>
      <c r="I1312" s="191" t="n">
        <v>3114732.73030825</v>
      </c>
      <c r="J1312" s="192" t="str">
        <f>IF(I1312&gt;0,H1312/I1312,0)</f>
      </c>
      <c r="K1312" s="193" t="str">
        <f>1-EXP(-J1312)</f>
      </c>
      <c r="L1312" s="194" t="str">
        <f>IF(G1312=30,1,M1311)</f>
      </c>
      <c r="M1312" s="195" t="str">
        <f>L1312*(1-K1312)</f>
      </c>
    </row>
    <row r="1313">
      <c r="A1313" t="s">
        <v>167</v>
      </c>
      <c r="B1313" t="s">
        <v>219</v>
      </c>
      <c r="C1313" s="35" t="s">
        <v>221</v>
      </c>
      <c r="D1313" t="s">
        <v>502</v>
      </c>
      <c r="E1313" t="s">
        <v>520</v>
      </c>
      <c r="F1313" s="188" t="n">
        <v>2031</v>
      </c>
      <c r="G1313" s="189" t="n">
        <v>61</v>
      </c>
      <c r="H1313" s="190" t="n">
        <v>20357.6362470024</v>
      </c>
      <c r="I1313" s="191" t="n">
        <v>3024692.62580112</v>
      </c>
      <c r="J1313" s="192" t="str">
        <f>IF(I1313&gt;0,H1313/I1313,0)</f>
      </c>
      <c r="K1313" s="193" t="str">
        <f>1-EXP(-J1313)</f>
      </c>
      <c r="L1313" s="194" t="str">
        <f>IF(G1313=30,1,M1312)</f>
      </c>
      <c r="M1313" s="195" t="str">
        <f>L1313*(1-K1313)</f>
      </c>
    </row>
    <row r="1314">
      <c r="A1314" t="s">
        <v>167</v>
      </c>
      <c r="B1314" t="s">
        <v>219</v>
      </c>
      <c r="C1314" s="35" t="s">
        <v>221</v>
      </c>
      <c r="D1314" t="s">
        <v>502</v>
      </c>
      <c r="E1314" t="s">
        <v>520</v>
      </c>
      <c r="F1314" s="188" t="n">
        <v>2031</v>
      </c>
      <c r="G1314" s="189" t="n">
        <v>62</v>
      </c>
      <c r="H1314" s="190" t="n">
        <v>21550.8329056936</v>
      </c>
      <c r="I1314" s="191" t="n">
        <v>2925770.52166451</v>
      </c>
      <c r="J1314" s="192" t="str">
        <f>IF(I1314&gt;0,H1314/I1314,0)</f>
      </c>
      <c r="K1314" s="193" t="str">
        <f>1-EXP(-J1314)</f>
      </c>
      <c r="L1314" s="194" t="str">
        <f>IF(G1314=30,1,M1313)</f>
      </c>
      <c r="M1314" s="195" t="str">
        <f>L1314*(1-K1314)</f>
      </c>
    </row>
    <row r="1315">
      <c r="A1315" t="s">
        <v>167</v>
      </c>
      <c r="B1315" t="s">
        <v>219</v>
      </c>
      <c r="C1315" s="35" t="s">
        <v>221</v>
      </c>
      <c r="D1315" t="s">
        <v>502</v>
      </c>
      <c r="E1315" t="s">
        <v>520</v>
      </c>
      <c r="F1315" s="188" t="n">
        <v>2031</v>
      </c>
      <c r="G1315" s="189" t="n">
        <v>63</v>
      </c>
      <c r="H1315" s="190" t="n">
        <v>22646.5985791902</v>
      </c>
      <c r="I1315" s="191" t="n">
        <v>2807581.86819934</v>
      </c>
      <c r="J1315" s="192" t="str">
        <f>IF(I1315&gt;0,H1315/I1315,0)</f>
      </c>
      <c r="K1315" s="193" t="str">
        <f>1-EXP(-J1315)</f>
      </c>
      <c r="L1315" s="194" t="str">
        <f>IF(G1315=30,1,M1314)</f>
      </c>
      <c r="M1315" s="195" t="str">
        <f>L1315*(1-K1315)</f>
      </c>
    </row>
    <row r="1316">
      <c r="A1316" t="s">
        <v>167</v>
      </c>
      <c r="B1316" t="s">
        <v>219</v>
      </c>
      <c r="C1316" s="35" t="s">
        <v>221</v>
      </c>
      <c r="D1316" t="s">
        <v>502</v>
      </c>
      <c r="E1316" t="s">
        <v>520</v>
      </c>
      <c r="F1316" s="188" t="n">
        <v>2031</v>
      </c>
      <c r="G1316" s="189" t="n">
        <v>64</v>
      </c>
      <c r="H1316" s="190" t="n">
        <v>23527.0018709651</v>
      </c>
      <c r="I1316" s="191" t="n">
        <v>2659387.36300953</v>
      </c>
      <c r="J1316" s="192" t="str">
        <f>IF(I1316&gt;0,H1316/I1316,0)</f>
      </c>
      <c r="K1316" s="193" t="str">
        <f>1-EXP(-J1316)</f>
      </c>
      <c r="L1316" s="194" t="str">
        <f>IF(G1316=30,1,M1315)</f>
      </c>
      <c r="M1316" s="195" t="str">
        <f>L1316*(1-K1316)</f>
      </c>
    </row>
    <row r="1317">
      <c r="A1317" t="s">
        <v>167</v>
      </c>
      <c r="B1317" t="s">
        <v>219</v>
      </c>
      <c r="C1317" s="35" t="s">
        <v>221</v>
      </c>
      <c r="D1317" t="s">
        <v>502</v>
      </c>
      <c r="E1317" t="s">
        <v>520</v>
      </c>
      <c r="F1317" s="188" t="n">
        <v>2031</v>
      </c>
      <c r="G1317" s="189" t="n">
        <v>65</v>
      </c>
      <c r="H1317" s="190" t="n">
        <v>23937.3514575954</v>
      </c>
      <c r="I1317" s="191" t="n">
        <v>2546083.81579202</v>
      </c>
      <c r="J1317" s="192" t="str">
        <f>IF(I1317&gt;0,H1317/I1317,0)</f>
      </c>
      <c r="K1317" s="193" t="str">
        <f>1-EXP(-J1317)</f>
      </c>
      <c r="L1317" s="194" t="str">
        <f>IF(G1317=30,1,M1316)</f>
      </c>
      <c r="M1317" s="195" t="str">
        <f>L1317*(1-K1317)</f>
      </c>
    </row>
    <row r="1318">
      <c r="A1318" t="s">
        <v>167</v>
      </c>
      <c r="B1318" t="s">
        <v>219</v>
      </c>
      <c r="C1318" s="35" t="s">
        <v>221</v>
      </c>
      <c r="D1318" t="s">
        <v>502</v>
      </c>
      <c r="E1318" t="s">
        <v>520</v>
      </c>
      <c r="F1318" s="188" t="n">
        <v>2031</v>
      </c>
      <c r="G1318" s="189" t="n">
        <v>66</v>
      </c>
      <c r="H1318" s="190" t="n">
        <v>24852.4848159305</v>
      </c>
      <c r="I1318" s="191" t="n">
        <v>2412511.80961527</v>
      </c>
      <c r="J1318" s="192" t="str">
        <f>IF(I1318&gt;0,H1318/I1318,0)</f>
      </c>
      <c r="K1318" s="193" t="str">
        <f>1-EXP(-J1318)</f>
      </c>
      <c r="L1318" s="194" t="str">
        <f>IF(G1318=30,1,M1317)</f>
      </c>
      <c r="M1318" s="195" t="str">
        <f>L1318*(1-K1318)</f>
      </c>
    </row>
    <row r="1319">
      <c r="A1319" t="s">
        <v>167</v>
      </c>
      <c r="B1319" t="s">
        <v>219</v>
      </c>
      <c r="C1319" s="35" t="s">
        <v>221</v>
      </c>
      <c r="D1319" t="s">
        <v>502</v>
      </c>
      <c r="E1319" t="s">
        <v>520</v>
      </c>
      <c r="F1319" s="188" t="n">
        <v>2031</v>
      </c>
      <c r="G1319" s="189" t="n">
        <v>67</v>
      </c>
      <c r="H1319" s="190" t="n">
        <v>25760.4510161301</v>
      </c>
      <c r="I1319" s="191" t="n">
        <v>2279008.32385697</v>
      </c>
      <c r="J1319" s="192" t="str">
        <f>IF(I1319&gt;0,H1319/I1319,0)</f>
      </c>
      <c r="K1319" s="193" t="str">
        <f>1-EXP(-J1319)</f>
      </c>
      <c r="L1319" s="194" t="str">
        <f>IF(G1319=30,1,M1318)</f>
      </c>
      <c r="M1319" s="195" t="str">
        <f>L1319*(1-K1319)</f>
      </c>
    </row>
    <row r="1320">
      <c r="A1320" t="s">
        <v>167</v>
      </c>
      <c r="B1320" t="s">
        <v>219</v>
      </c>
      <c r="C1320" s="35" t="s">
        <v>221</v>
      </c>
      <c r="D1320" t="s">
        <v>502</v>
      </c>
      <c r="E1320" t="s">
        <v>520</v>
      </c>
      <c r="F1320" s="188" t="n">
        <v>2031</v>
      </c>
      <c r="G1320" s="189" t="n">
        <v>68</v>
      </c>
      <c r="H1320" s="190" t="n">
        <v>26686.0006267928</v>
      </c>
      <c r="I1320" s="191" t="n">
        <v>2150241.94745371</v>
      </c>
      <c r="J1320" s="192" t="str">
        <f>IF(I1320&gt;0,H1320/I1320,0)</f>
      </c>
      <c r="K1320" s="193" t="str">
        <f>1-EXP(-J1320)</f>
      </c>
      <c r="L1320" s="194" t="str">
        <f>IF(G1320=30,1,M1319)</f>
      </c>
      <c r="M1320" s="195" t="str">
        <f>L1320*(1-K1320)</f>
      </c>
    </row>
    <row r="1321">
      <c r="A1321" t="s">
        <v>167</v>
      </c>
      <c r="B1321" t="s">
        <v>219</v>
      </c>
      <c r="C1321" s="35" t="s">
        <v>221</v>
      </c>
      <c r="D1321" t="s">
        <v>502</v>
      </c>
      <c r="E1321" t="s">
        <v>520</v>
      </c>
      <c r="F1321" s="188" t="n">
        <v>2031</v>
      </c>
      <c r="G1321" s="189" t="n">
        <v>69</v>
      </c>
      <c r="H1321" s="190" t="n">
        <v>27333.1654421682</v>
      </c>
      <c r="I1321" s="191" t="n">
        <v>1997646.17919379</v>
      </c>
      <c r="J1321" s="192" t="str">
        <f>IF(I1321&gt;0,H1321/I1321,0)</f>
      </c>
      <c r="K1321" s="193" t="str">
        <f>1-EXP(-J1321)</f>
      </c>
      <c r="L1321" s="194" t="str">
        <f>IF(G1321=30,1,M1320)</f>
      </c>
      <c r="M1321" s="195" t="str">
        <f>L1321*(1-K1321)</f>
      </c>
    </row>
    <row r="1322">
      <c r="A1322" t="s">
        <v>167</v>
      </c>
      <c r="B1322" t="s">
        <v>219</v>
      </c>
      <c r="C1322" s="35" t="s">
        <v>221</v>
      </c>
      <c r="D1322" t="s">
        <v>502</v>
      </c>
      <c r="E1322" t="s">
        <v>520</v>
      </c>
      <c r="F1322" s="188" t="n">
        <v>2032</v>
      </c>
      <c r="G1322" s="189" t="n">
        <v>30</v>
      </c>
      <c r="H1322" s="190" t="n">
        <v>935.49310802642</v>
      </c>
      <c r="I1322" s="191" t="n">
        <v>4354906.52317259</v>
      </c>
      <c r="J1322" s="192" t="str">
        <f>IF(I1322&gt;0,H1322/I1322,0)</f>
      </c>
      <c r="K1322" s="193" t="str">
        <f>1-EXP(-J1322)</f>
      </c>
      <c r="L1322" s="194" t="str">
        <f>IF(G1322=30,1,M1321)</f>
      </c>
      <c r="M1322" s="195" t="str">
        <f>L1322*(1-K1322)</f>
      </c>
    </row>
    <row r="1323">
      <c r="A1323" t="s">
        <v>167</v>
      </c>
      <c r="B1323" t="s">
        <v>219</v>
      </c>
      <c r="C1323" s="35" t="s">
        <v>221</v>
      </c>
      <c r="D1323" t="s">
        <v>502</v>
      </c>
      <c r="E1323" t="s">
        <v>520</v>
      </c>
      <c r="F1323" s="188" t="n">
        <v>2032</v>
      </c>
      <c r="G1323" s="189" t="n">
        <v>31</v>
      </c>
      <c r="H1323" s="190" t="n">
        <v>1061.37332052319</v>
      </c>
      <c r="I1323" s="191" t="n">
        <v>4335208.2217027</v>
      </c>
      <c r="J1323" s="192" t="str">
        <f>IF(I1323&gt;0,H1323/I1323,0)</f>
      </c>
      <c r="K1323" s="193" t="str">
        <f>1-EXP(-J1323)</f>
      </c>
      <c r="L1323" s="194" t="str">
        <f>IF(G1323=30,1,M1322)</f>
      </c>
      <c r="M1323" s="195" t="str">
        <f>L1323*(1-K1323)</f>
      </c>
    </row>
    <row r="1324">
      <c r="A1324" t="s">
        <v>167</v>
      </c>
      <c r="B1324" t="s">
        <v>219</v>
      </c>
      <c r="C1324" s="35" t="s">
        <v>221</v>
      </c>
      <c r="D1324" t="s">
        <v>502</v>
      </c>
      <c r="E1324" t="s">
        <v>520</v>
      </c>
      <c r="F1324" s="188" t="n">
        <v>2032</v>
      </c>
      <c r="G1324" s="189" t="n">
        <v>32</v>
      </c>
      <c r="H1324" s="190" t="n">
        <v>1112.23000971616</v>
      </c>
      <c r="I1324" s="191" t="n">
        <v>4315659.59726236</v>
      </c>
      <c r="J1324" s="192" t="str">
        <f>IF(I1324&gt;0,H1324/I1324,0)</f>
      </c>
      <c r="K1324" s="193" t="str">
        <f>1-EXP(-J1324)</f>
      </c>
      <c r="L1324" s="194" t="str">
        <f>IF(G1324=30,1,M1323)</f>
      </c>
      <c r="M1324" s="195" t="str">
        <f>L1324*(1-K1324)</f>
      </c>
    </row>
    <row r="1325">
      <c r="A1325" t="s">
        <v>167</v>
      </c>
      <c r="B1325" t="s">
        <v>219</v>
      </c>
      <c r="C1325" s="35" t="s">
        <v>221</v>
      </c>
      <c r="D1325" t="s">
        <v>502</v>
      </c>
      <c r="E1325" t="s">
        <v>520</v>
      </c>
      <c r="F1325" s="188" t="n">
        <v>2032</v>
      </c>
      <c r="G1325" s="189" t="n">
        <v>33</v>
      </c>
      <c r="H1325" s="190" t="n">
        <v>1183.63335037203</v>
      </c>
      <c r="I1325" s="191" t="n">
        <v>4335952.75946595</v>
      </c>
      <c r="J1325" s="192" t="str">
        <f>IF(I1325&gt;0,H1325/I1325,0)</f>
      </c>
      <c r="K1325" s="193" t="str">
        <f>1-EXP(-J1325)</f>
      </c>
      <c r="L1325" s="194" t="str">
        <f>IF(G1325=30,1,M1324)</f>
      </c>
      <c r="M1325" s="195" t="str">
        <f>L1325*(1-K1325)</f>
      </c>
    </row>
    <row r="1326">
      <c r="A1326" t="s">
        <v>167</v>
      </c>
      <c r="B1326" t="s">
        <v>219</v>
      </c>
      <c r="C1326" s="35" t="s">
        <v>221</v>
      </c>
      <c r="D1326" t="s">
        <v>502</v>
      </c>
      <c r="E1326" t="s">
        <v>520</v>
      </c>
      <c r="F1326" s="188" t="n">
        <v>2032</v>
      </c>
      <c r="G1326" s="189" t="n">
        <v>34</v>
      </c>
      <c r="H1326" s="190" t="n">
        <v>1279.26286724122</v>
      </c>
      <c r="I1326" s="191" t="n">
        <v>4395533.04579227</v>
      </c>
      <c r="J1326" s="192" t="str">
        <f>IF(I1326&gt;0,H1326/I1326,0)</f>
      </c>
      <c r="K1326" s="193" t="str">
        <f>1-EXP(-J1326)</f>
      </c>
      <c r="L1326" s="194" t="str">
        <f>IF(G1326=30,1,M1325)</f>
      </c>
      <c r="M1326" s="195" t="str">
        <f>L1326*(1-K1326)</f>
      </c>
    </row>
    <row r="1327">
      <c r="A1327" t="s">
        <v>167</v>
      </c>
      <c r="B1327" t="s">
        <v>219</v>
      </c>
      <c r="C1327" s="35" t="s">
        <v>221</v>
      </c>
      <c r="D1327" t="s">
        <v>502</v>
      </c>
      <c r="E1327" t="s">
        <v>520</v>
      </c>
      <c r="F1327" s="188" t="n">
        <v>2032</v>
      </c>
      <c r="G1327" s="189" t="n">
        <v>35</v>
      </c>
      <c r="H1327" s="190" t="n">
        <v>2052.26382915117</v>
      </c>
      <c r="I1327" s="191" t="n">
        <v>4535016.13967206</v>
      </c>
      <c r="J1327" s="192" t="str">
        <f>IF(I1327&gt;0,H1327/I1327,0)</f>
      </c>
      <c r="K1327" s="193" t="str">
        <f>1-EXP(-J1327)</f>
      </c>
      <c r="L1327" s="194" t="str">
        <f>IF(G1327=30,1,M1326)</f>
      </c>
      <c r="M1327" s="195" t="str">
        <f>L1327*(1-K1327)</f>
      </c>
    </row>
    <row r="1328">
      <c r="A1328" t="s">
        <v>167</v>
      </c>
      <c r="B1328" t="s">
        <v>219</v>
      </c>
      <c r="C1328" s="35" t="s">
        <v>221</v>
      </c>
      <c r="D1328" t="s">
        <v>502</v>
      </c>
      <c r="E1328" t="s">
        <v>520</v>
      </c>
      <c r="F1328" s="188" t="n">
        <v>2032</v>
      </c>
      <c r="G1328" s="189" t="n">
        <v>36</v>
      </c>
      <c r="H1328" s="190" t="n">
        <v>2167.23927812948</v>
      </c>
      <c r="I1328" s="191" t="n">
        <v>4491064.748787</v>
      </c>
      <c r="J1328" s="192" t="str">
        <f>IF(I1328&gt;0,H1328/I1328,0)</f>
      </c>
      <c r="K1328" s="193" t="str">
        <f>1-EXP(-J1328)</f>
      </c>
      <c r="L1328" s="194" t="str">
        <f>IF(G1328=30,1,M1327)</f>
      </c>
      <c r="M1328" s="195" t="str">
        <f>L1328*(1-K1328)</f>
      </c>
    </row>
    <row r="1329">
      <c r="A1329" t="s">
        <v>167</v>
      </c>
      <c r="B1329" t="s">
        <v>219</v>
      </c>
      <c r="C1329" s="35" t="s">
        <v>221</v>
      </c>
      <c r="D1329" t="s">
        <v>502</v>
      </c>
      <c r="E1329" t="s">
        <v>520</v>
      </c>
      <c r="F1329" s="188" t="n">
        <v>2032</v>
      </c>
      <c r="G1329" s="189" t="n">
        <v>37</v>
      </c>
      <c r="H1329" s="190" t="n">
        <v>2287.25629696024</v>
      </c>
      <c r="I1329" s="191" t="n">
        <v>4417377.50058525</v>
      </c>
      <c r="J1329" s="192" t="str">
        <f>IF(I1329&gt;0,H1329/I1329,0)</f>
      </c>
      <c r="K1329" s="193" t="str">
        <f>1-EXP(-J1329)</f>
      </c>
      <c r="L1329" s="194" t="str">
        <f>IF(G1329=30,1,M1328)</f>
      </c>
      <c r="M1329" s="195" t="str">
        <f>L1329*(1-K1329)</f>
      </c>
    </row>
    <row r="1330">
      <c r="A1330" t="s">
        <v>167</v>
      </c>
      <c r="B1330" t="s">
        <v>219</v>
      </c>
      <c r="C1330" s="35" t="s">
        <v>221</v>
      </c>
      <c r="D1330" t="s">
        <v>502</v>
      </c>
      <c r="E1330" t="s">
        <v>520</v>
      </c>
      <c r="F1330" s="188" t="n">
        <v>2032</v>
      </c>
      <c r="G1330" s="189" t="n">
        <v>38</v>
      </c>
      <c r="H1330" s="190" t="n">
        <v>2427.56706915853</v>
      </c>
      <c r="I1330" s="191" t="n">
        <v>4359295.08921747</v>
      </c>
      <c r="J1330" s="192" t="str">
        <f>IF(I1330&gt;0,H1330/I1330,0)</f>
      </c>
      <c r="K1330" s="193" t="str">
        <f>1-EXP(-J1330)</f>
      </c>
      <c r="L1330" s="194" t="str">
        <f>IF(G1330=30,1,M1329)</f>
      </c>
      <c r="M1330" s="195" t="str">
        <f>L1330*(1-K1330)</f>
      </c>
    </row>
    <row r="1331">
      <c r="A1331" t="s">
        <v>167</v>
      </c>
      <c r="B1331" t="s">
        <v>219</v>
      </c>
      <c r="C1331" s="35" t="s">
        <v>221</v>
      </c>
      <c r="D1331" t="s">
        <v>502</v>
      </c>
      <c r="E1331" t="s">
        <v>520</v>
      </c>
      <c r="F1331" s="188" t="n">
        <v>2032</v>
      </c>
      <c r="G1331" s="189" t="n">
        <v>39</v>
      </c>
      <c r="H1331" s="190" t="n">
        <v>2582.56928785549</v>
      </c>
      <c r="I1331" s="191" t="n">
        <v>4304687.36023071</v>
      </c>
      <c r="J1331" s="192" t="str">
        <f>IF(I1331&gt;0,H1331/I1331,0)</f>
      </c>
      <c r="K1331" s="193" t="str">
        <f>1-EXP(-J1331)</f>
      </c>
      <c r="L1331" s="194" t="str">
        <f>IF(G1331=30,1,M1330)</f>
      </c>
      <c r="M1331" s="195" t="str">
        <f>L1331*(1-K1331)</f>
      </c>
    </row>
    <row r="1332">
      <c r="A1332" t="s">
        <v>167</v>
      </c>
      <c r="B1332" t="s">
        <v>219</v>
      </c>
      <c r="C1332" s="35" t="s">
        <v>221</v>
      </c>
      <c r="D1332" t="s">
        <v>502</v>
      </c>
      <c r="E1332" t="s">
        <v>520</v>
      </c>
      <c r="F1332" s="188" t="n">
        <v>2032</v>
      </c>
      <c r="G1332" s="189" t="n">
        <v>40</v>
      </c>
      <c r="H1332" s="190" t="n">
        <v>3498.65917173068</v>
      </c>
      <c r="I1332" s="191" t="n">
        <v>4340985.68087196</v>
      </c>
      <c r="J1332" s="192" t="str">
        <f>IF(I1332&gt;0,H1332/I1332,0)</f>
      </c>
      <c r="K1332" s="193" t="str">
        <f>1-EXP(-J1332)</f>
      </c>
      <c r="L1332" s="194" t="str">
        <f>IF(G1332=30,1,M1331)</f>
      </c>
      <c r="M1332" s="195" t="str">
        <f>L1332*(1-K1332)</f>
      </c>
    </row>
    <row r="1333">
      <c r="A1333" t="s">
        <v>167</v>
      </c>
      <c r="B1333" t="s">
        <v>219</v>
      </c>
      <c r="C1333" s="35" t="s">
        <v>221</v>
      </c>
      <c r="D1333" t="s">
        <v>502</v>
      </c>
      <c r="E1333" t="s">
        <v>520</v>
      </c>
      <c r="F1333" s="188" t="n">
        <v>2032</v>
      </c>
      <c r="G1333" s="189" t="n">
        <v>41</v>
      </c>
      <c r="H1333" s="190" t="n">
        <v>3790.99812094681</v>
      </c>
      <c r="I1333" s="191" t="n">
        <v>4356682.55529788</v>
      </c>
      <c r="J1333" s="192" t="str">
        <f>IF(I1333&gt;0,H1333/I1333,0)</f>
      </c>
      <c r="K1333" s="193" t="str">
        <f>1-EXP(-J1333)</f>
      </c>
      <c r="L1333" s="194" t="str">
        <f>IF(G1333=30,1,M1332)</f>
      </c>
      <c r="M1333" s="195" t="str">
        <f>L1333*(1-K1333)</f>
      </c>
    </row>
    <row r="1334">
      <c r="A1334" t="s">
        <v>167</v>
      </c>
      <c r="B1334" t="s">
        <v>219</v>
      </c>
      <c r="C1334" s="35" t="s">
        <v>221</v>
      </c>
      <c r="D1334" t="s">
        <v>502</v>
      </c>
      <c r="E1334" t="s">
        <v>520</v>
      </c>
      <c r="F1334" s="188" t="n">
        <v>2032</v>
      </c>
      <c r="G1334" s="189" t="n">
        <v>42</v>
      </c>
      <c r="H1334" s="190" t="n">
        <v>5740.94439725211</v>
      </c>
      <c r="I1334" s="191" t="n">
        <v>6414222.65857591</v>
      </c>
      <c r="J1334" s="192" t="str">
        <f>IF(I1334&gt;0,H1334/I1334,0)</f>
      </c>
      <c r="K1334" s="193" t="str">
        <f>1-EXP(-J1334)</f>
      </c>
      <c r="L1334" s="194" t="str">
        <f>IF(G1334=30,1,M1333)</f>
      </c>
      <c r="M1334" s="195" t="str">
        <f>L1334*(1-K1334)</f>
      </c>
    </row>
    <row r="1335">
      <c r="A1335" t="s">
        <v>167</v>
      </c>
      <c r="B1335" t="s">
        <v>219</v>
      </c>
      <c r="C1335" s="35" t="s">
        <v>221</v>
      </c>
      <c r="D1335" t="s">
        <v>502</v>
      </c>
      <c r="E1335" t="s">
        <v>520</v>
      </c>
      <c r="F1335" s="188" t="n">
        <v>2032</v>
      </c>
      <c r="G1335" s="189" t="n">
        <v>43</v>
      </c>
      <c r="H1335" s="190" t="n">
        <v>4431.79961357919</v>
      </c>
      <c r="I1335" s="191" t="n">
        <v>4311986.0635315</v>
      </c>
      <c r="J1335" s="192" t="str">
        <f>IF(I1335&gt;0,H1335/I1335,0)</f>
      </c>
      <c r="K1335" s="193" t="str">
        <f>1-EXP(-J1335)</f>
      </c>
      <c r="L1335" s="194" t="str">
        <f>IF(G1335=30,1,M1334)</f>
      </c>
      <c r="M1335" s="195" t="str">
        <f>L1335*(1-K1335)</f>
      </c>
    </row>
    <row r="1336">
      <c r="A1336" t="s">
        <v>167</v>
      </c>
      <c r="B1336" t="s">
        <v>219</v>
      </c>
      <c r="C1336" s="35" t="s">
        <v>221</v>
      </c>
      <c r="D1336" t="s">
        <v>502</v>
      </c>
      <c r="E1336" t="s">
        <v>520</v>
      </c>
      <c r="F1336" s="188" t="n">
        <v>2032</v>
      </c>
      <c r="G1336" s="189" t="n">
        <v>44</v>
      </c>
      <c r="H1336" s="190" t="n">
        <v>4818.20051895487</v>
      </c>
      <c r="I1336" s="191" t="n">
        <v>4293309.05404907</v>
      </c>
      <c r="J1336" s="192" t="str">
        <f>IF(I1336&gt;0,H1336/I1336,0)</f>
      </c>
      <c r="K1336" s="193" t="str">
        <f>1-EXP(-J1336)</f>
      </c>
      <c r="L1336" s="194" t="str">
        <f>IF(G1336=30,1,M1335)</f>
      </c>
      <c r="M1336" s="195" t="str">
        <f>L1336*(1-K1336)</f>
      </c>
    </row>
    <row r="1337">
      <c r="A1337" t="s">
        <v>167</v>
      </c>
      <c r="B1337" t="s">
        <v>219</v>
      </c>
      <c r="C1337" s="35" t="s">
        <v>221</v>
      </c>
      <c r="D1337" t="s">
        <v>502</v>
      </c>
      <c r="E1337" t="s">
        <v>520</v>
      </c>
      <c r="F1337" s="188" t="n">
        <v>2032</v>
      </c>
      <c r="G1337" s="189" t="n">
        <v>45</v>
      </c>
      <c r="H1337" s="190" t="n">
        <v>6035.86826651982</v>
      </c>
      <c r="I1337" s="191" t="n">
        <v>4159552.07689406</v>
      </c>
      <c r="J1337" s="192" t="str">
        <f>IF(I1337&gt;0,H1337/I1337,0)</f>
      </c>
      <c r="K1337" s="193" t="str">
        <f>1-EXP(-J1337)</f>
      </c>
      <c r="L1337" s="194" t="str">
        <f>IF(G1337=30,1,M1336)</f>
      </c>
      <c r="M1337" s="195" t="str">
        <f>L1337*(1-K1337)</f>
      </c>
    </row>
    <row r="1338">
      <c r="A1338" t="s">
        <v>167</v>
      </c>
      <c r="B1338" t="s">
        <v>219</v>
      </c>
      <c r="C1338" s="35" t="s">
        <v>221</v>
      </c>
      <c r="D1338" t="s">
        <v>502</v>
      </c>
      <c r="E1338" t="s">
        <v>520</v>
      </c>
      <c r="F1338" s="188" t="n">
        <v>2032</v>
      </c>
      <c r="G1338" s="189" t="n">
        <v>46</v>
      </c>
      <c r="H1338" s="190" t="n">
        <v>6534.45826911241</v>
      </c>
      <c r="I1338" s="191" t="n">
        <v>4121639.44078108</v>
      </c>
      <c r="J1338" s="192" t="str">
        <f>IF(I1338&gt;0,H1338/I1338,0)</f>
      </c>
      <c r="K1338" s="193" t="str">
        <f>1-EXP(-J1338)</f>
      </c>
      <c r="L1338" s="194" t="str">
        <f>IF(G1338=30,1,M1337)</f>
      </c>
      <c r="M1338" s="195" t="str">
        <f>L1338*(1-K1338)</f>
      </c>
    </row>
    <row r="1339">
      <c r="A1339" t="s">
        <v>167</v>
      </c>
      <c r="B1339" t="s">
        <v>219</v>
      </c>
      <c r="C1339" s="35" t="s">
        <v>221</v>
      </c>
      <c r="D1339" t="s">
        <v>502</v>
      </c>
      <c r="E1339" t="s">
        <v>520</v>
      </c>
      <c r="F1339" s="188" t="n">
        <v>2032</v>
      </c>
      <c r="G1339" s="189" t="n">
        <v>47</v>
      </c>
      <c r="H1339" s="190" t="n">
        <v>7264.08850167998</v>
      </c>
      <c r="I1339" s="191" t="n">
        <v>4177189.94835459</v>
      </c>
      <c r="J1339" s="192" t="str">
        <f>IF(I1339&gt;0,H1339/I1339,0)</f>
      </c>
      <c r="K1339" s="193" t="str">
        <f>1-EXP(-J1339)</f>
      </c>
      <c r="L1339" s="194" t="str">
        <f>IF(G1339=30,1,M1338)</f>
      </c>
      <c r="M1339" s="195" t="str">
        <f>L1339*(1-K1339)</f>
      </c>
    </row>
    <row r="1340">
      <c r="A1340" t="s">
        <v>167</v>
      </c>
      <c r="B1340" t="s">
        <v>219</v>
      </c>
      <c r="C1340" s="35" t="s">
        <v>221</v>
      </c>
      <c r="D1340" t="s">
        <v>502</v>
      </c>
      <c r="E1340" t="s">
        <v>520</v>
      </c>
      <c r="F1340" s="188" t="n">
        <v>2032</v>
      </c>
      <c r="G1340" s="189" t="n">
        <v>48</v>
      </c>
      <c r="H1340" s="190" t="n">
        <v>8120.0176751463</v>
      </c>
      <c r="I1340" s="191" t="n">
        <v>4257144.26151771</v>
      </c>
      <c r="J1340" s="192" t="str">
        <f>IF(I1340&gt;0,H1340/I1340,0)</f>
      </c>
      <c r="K1340" s="193" t="str">
        <f>1-EXP(-J1340)</f>
      </c>
      <c r="L1340" s="194" t="str">
        <f>IF(G1340=30,1,M1339)</f>
      </c>
      <c r="M1340" s="195" t="str">
        <f>L1340*(1-K1340)</f>
      </c>
    </row>
    <row r="1341">
      <c r="A1341" t="s">
        <v>167</v>
      </c>
      <c r="B1341" t="s">
        <v>219</v>
      </c>
      <c r="C1341" s="35" t="s">
        <v>221</v>
      </c>
      <c r="D1341" t="s">
        <v>502</v>
      </c>
      <c r="E1341" t="s">
        <v>520</v>
      </c>
      <c r="F1341" s="188" t="n">
        <v>2032</v>
      </c>
      <c r="G1341" s="189" t="n">
        <v>49</v>
      </c>
      <c r="H1341" s="190" t="n">
        <v>8841.66506876509</v>
      </c>
      <c r="I1341" s="191" t="n">
        <v>4228743.83651902</v>
      </c>
      <c r="J1341" s="192" t="str">
        <f>IF(I1341&gt;0,H1341/I1341,0)</f>
      </c>
      <c r="K1341" s="193" t="str">
        <f>1-EXP(-J1341)</f>
      </c>
      <c r="L1341" s="194" t="str">
        <f>IF(G1341=30,1,M1340)</f>
      </c>
      <c r="M1341" s="195" t="str">
        <f>L1341*(1-K1341)</f>
      </c>
    </row>
    <row r="1342">
      <c r="A1342" t="s">
        <v>167</v>
      </c>
      <c r="B1342" t="s">
        <v>219</v>
      </c>
      <c r="C1342" s="35" t="s">
        <v>221</v>
      </c>
      <c r="D1342" t="s">
        <v>502</v>
      </c>
      <c r="E1342" t="s">
        <v>520</v>
      </c>
      <c r="F1342" s="188" t="n">
        <v>2032</v>
      </c>
      <c r="G1342" s="189" t="n">
        <v>50</v>
      </c>
      <c r="H1342" s="190" t="n">
        <v>9943.5927134343</v>
      </c>
      <c r="I1342" s="191" t="n">
        <v>4088841.80154343</v>
      </c>
      <c r="J1342" s="192" t="str">
        <f>IF(I1342&gt;0,H1342/I1342,0)</f>
      </c>
      <c r="K1342" s="193" t="str">
        <f>1-EXP(-J1342)</f>
      </c>
      <c r="L1342" s="194" t="str">
        <f>IF(G1342=30,1,M1341)</f>
      </c>
      <c r="M1342" s="195" t="str">
        <f>L1342*(1-K1342)</f>
      </c>
    </row>
    <row r="1343">
      <c r="A1343" t="s">
        <v>167</v>
      </c>
      <c r="B1343" t="s">
        <v>219</v>
      </c>
      <c r="C1343" s="35" t="s">
        <v>221</v>
      </c>
      <c r="D1343" t="s">
        <v>502</v>
      </c>
      <c r="E1343" t="s">
        <v>520</v>
      </c>
      <c r="F1343" s="188" t="n">
        <v>2032</v>
      </c>
      <c r="G1343" s="189" t="n">
        <v>51</v>
      </c>
      <c r="H1343" s="190" t="n">
        <v>10682.3821906151</v>
      </c>
      <c r="I1343" s="191" t="n">
        <v>4009501.94431378</v>
      </c>
      <c r="J1343" s="192" t="str">
        <f>IF(I1343&gt;0,H1343/I1343,0)</f>
      </c>
      <c r="K1343" s="193" t="str">
        <f>1-EXP(-J1343)</f>
      </c>
      <c r="L1343" s="194" t="str">
        <f>IF(G1343=30,1,M1342)</f>
      </c>
      <c r="M1343" s="195" t="str">
        <f>L1343*(1-K1343)</f>
      </c>
    </row>
    <row r="1344">
      <c r="A1344" t="s">
        <v>167</v>
      </c>
      <c r="B1344" t="s">
        <v>219</v>
      </c>
      <c r="C1344" s="35" t="s">
        <v>221</v>
      </c>
      <c r="D1344" t="s">
        <v>502</v>
      </c>
      <c r="E1344" t="s">
        <v>520</v>
      </c>
      <c r="F1344" s="188" t="n">
        <v>2032</v>
      </c>
      <c r="G1344" s="189" t="n">
        <v>52</v>
      </c>
      <c r="H1344" s="190" t="n">
        <v>11493.0578055056</v>
      </c>
      <c r="I1344" s="191" t="n">
        <v>3946233.21580234</v>
      </c>
      <c r="J1344" s="192" t="str">
        <f>IF(I1344&gt;0,H1344/I1344,0)</f>
      </c>
      <c r="K1344" s="193" t="str">
        <f>1-EXP(-J1344)</f>
      </c>
      <c r="L1344" s="194" t="str">
        <f>IF(G1344=30,1,M1343)</f>
      </c>
      <c r="M1344" s="195" t="str">
        <f>L1344*(1-K1344)</f>
      </c>
    </row>
    <row r="1345">
      <c r="A1345" t="s">
        <v>167</v>
      </c>
      <c r="B1345" t="s">
        <v>219</v>
      </c>
      <c r="C1345" s="35" t="s">
        <v>221</v>
      </c>
      <c r="D1345" t="s">
        <v>502</v>
      </c>
      <c r="E1345" t="s">
        <v>520</v>
      </c>
      <c r="F1345" s="188" t="n">
        <v>2032</v>
      </c>
      <c r="G1345" s="189" t="n">
        <v>53</v>
      </c>
      <c r="H1345" s="190" t="n">
        <v>12341.281753124</v>
      </c>
      <c r="I1345" s="191" t="n">
        <v>3877265.81390602</v>
      </c>
      <c r="J1345" s="192" t="str">
        <f>IF(I1345&gt;0,H1345/I1345,0)</f>
      </c>
      <c r="K1345" s="193" t="str">
        <f>1-EXP(-J1345)</f>
      </c>
      <c r="L1345" s="194" t="str">
        <f>IF(G1345=30,1,M1344)</f>
      </c>
      <c r="M1345" s="195" t="str">
        <f>L1345*(1-K1345)</f>
      </c>
    </row>
    <row r="1346">
      <c r="A1346" t="s">
        <v>167</v>
      </c>
      <c r="B1346" t="s">
        <v>219</v>
      </c>
      <c r="C1346" s="35" t="s">
        <v>221</v>
      </c>
      <c r="D1346" t="s">
        <v>502</v>
      </c>
      <c r="E1346" t="s">
        <v>520</v>
      </c>
      <c r="F1346" s="188" t="n">
        <v>2032</v>
      </c>
      <c r="G1346" s="189" t="n">
        <v>54</v>
      </c>
      <c r="H1346" s="190" t="n">
        <v>13179.1020688639</v>
      </c>
      <c r="I1346" s="191" t="n">
        <v>3788875.64864694</v>
      </c>
      <c r="J1346" s="192" t="str">
        <f>IF(I1346&gt;0,H1346/I1346,0)</f>
      </c>
      <c r="K1346" s="193" t="str">
        <f>1-EXP(-J1346)</f>
      </c>
      <c r="L1346" s="194" t="str">
        <f>IF(G1346=30,1,M1345)</f>
      </c>
      <c r="M1346" s="195" t="str">
        <f>L1346*(1-K1346)</f>
      </c>
    </row>
    <row r="1347">
      <c r="A1347" t="s">
        <v>167</v>
      </c>
      <c r="B1347" t="s">
        <v>219</v>
      </c>
      <c r="C1347" s="35" t="s">
        <v>221</v>
      </c>
      <c r="D1347" t="s">
        <v>502</v>
      </c>
      <c r="E1347" t="s">
        <v>520</v>
      </c>
      <c r="F1347" s="188" t="n">
        <v>2032</v>
      </c>
      <c r="G1347" s="189" t="n">
        <v>55</v>
      </c>
      <c r="H1347" s="190" t="n">
        <v>14231.097435023</v>
      </c>
      <c r="I1347" s="191" t="n">
        <v>3716833.5201763</v>
      </c>
      <c r="J1347" s="192" t="str">
        <f>IF(I1347&gt;0,H1347/I1347,0)</f>
      </c>
      <c r="K1347" s="193" t="str">
        <f>1-EXP(-J1347)</f>
      </c>
      <c r="L1347" s="194" t="str">
        <f>IF(G1347=30,1,M1346)</f>
      </c>
      <c r="M1347" s="195" t="str">
        <f>L1347*(1-K1347)</f>
      </c>
    </row>
    <row r="1348">
      <c r="A1348" t="s">
        <v>167</v>
      </c>
      <c r="B1348" t="s">
        <v>219</v>
      </c>
      <c r="C1348" s="35" t="s">
        <v>221</v>
      </c>
      <c r="D1348" t="s">
        <v>502</v>
      </c>
      <c r="E1348" t="s">
        <v>520</v>
      </c>
      <c r="F1348" s="188" t="n">
        <v>2032</v>
      </c>
      <c r="G1348" s="189" t="n">
        <v>56</v>
      </c>
      <c r="H1348" s="190" t="n">
        <v>15159.3462931802</v>
      </c>
      <c r="I1348" s="191" t="n">
        <v>3632460.96130936</v>
      </c>
      <c r="J1348" s="192" t="str">
        <f>IF(I1348&gt;0,H1348/I1348,0)</f>
      </c>
      <c r="K1348" s="193" t="str">
        <f>1-EXP(-J1348)</f>
      </c>
      <c r="L1348" s="194" t="str">
        <f>IF(G1348=30,1,M1347)</f>
      </c>
      <c r="M1348" s="195" t="str">
        <f>L1348*(1-K1348)</f>
      </c>
    </row>
    <row r="1349">
      <c r="A1349" t="s">
        <v>167</v>
      </c>
      <c r="B1349" t="s">
        <v>219</v>
      </c>
      <c r="C1349" s="35" t="s">
        <v>221</v>
      </c>
      <c r="D1349" t="s">
        <v>502</v>
      </c>
      <c r="E1349" t="s">
        <v>520</v>
      </c>
      <c r="F1349" s="188" t="n">
        <v>2032</v>
      </c>
      <c r="G1349" s="189" t="n">
        <v>57</v>
      </c>
      <c r="H1349" s="190" t="n">
        <v>16180.6796204255</v>
      </c>
      <c r="I1349" s="191" t="n">
        <v>3547372.27373142</v>
      </c>
      <c r="J1349" s="192" t="str">
        <f>IF(I1349&gt;0,H1349/I1349,0)</f>
      </c>
      <c r="K1349" s="193" t="str">
        <f>1-EXP(-J1349)</f>
      </c>
      <c r="L1349" s="194" t="str">
        <f>IF(G1349=30,1,M1348)</f>
      </c>
      <c r="M1349" s="195" t="str">
        <f>L1349*(1-K1349)</f>
      </c>
    </row>
    <row r="1350">
      <c r="A1350" t="s">
        <v>167</v>
      </c>
      <c r="B1350" t="s">
        <v>219</v>
      </c>
      <c r="C1350" s="35" t="s">
        <v>221</v>
      </c>
      <c r="D1350" t="s">
        <v>502</v>
      </c>
      <c r="E1350" t="s">
        <v>520</v>
      </c>
      <c r="F1350" s="188" t="n">
        <v>2032</v>
      </c>
      <c r="G1350" s="189" t="n">
        <v>58</v>
      </c>
      <c r="H1350" s="190" t="n">
        <v>17136.8747576906</v>
      </c>
      <c r="I1350" s="191" t="n">
        <v>3435182.94310076</v>
      </c>
      <c r="J1350" s="192" t="str">
        <f>IF(I1350&gt;0,H1350/I1350,0)</f>
      </c>
      <c r="K1350" s="193" t="str">
        <f>1-EXP(-J1350)</f>
      </c>
      <c r="L1350" s="194" t="str">
        <f>IF(G1350=30,1,M1349)</f>
      </c>
      <c r="M1350" s="195" t="str">
        <f>L1350*(1-K1350)</f>
      </c>
    </row>
    <row r="1351">
      <c r="A1351" t="s">
        <v>167</v>
      </c>
      <c r="B1351" t="s">
        <v>219</v>
      </c>
      <c r="C1351" s="35" t="s">
        <v>221</v>
      </c>
      <c r="D1351" t="s">
        <v>502</v>
      </c>
      <c r="E1351" t="s">
        <v>520</v>
      </c>
      <c r="F1351" s="188" t="n">
        <v>2032</v>
      </c>
      <c r="G1351" s="189" t="n">
        <v>59</v>
      </c>
      <c r="H1351" s="190" t="n">
        <v>18453.9767276145</v>
      </c>
      <c r="I1351" s="191" t="n">
        <v>3380760.1273081</v>
      </c>
      <c r="J1351" s="192" t="str">
        <f>IF(I1351&gt;0,H1351/I1351,0)</f>
      </c>
      <c r="K1351" s="193" t="str">
        <f>1-EXP(-J1351)</f>
      </c>
      <c r="L1351" s="194" t="str">
        <f>IF(G1351=30,1,M1350)</f>
      </c>
      <c r="M1351" s="195" t="str">
        <f>L1351*(1-K1351)</f>
      </c>
    </row>
    <row r="1352">
      <c r="A1352" t="s">
        <v>167</v>
      </c>
      <c r="B1352" t="s">
        <v>219</v>
      </c>
      <c r="C1352" s="35" t="s">
        <v>221</v>
      </c>
      <c r="D1352" t="s">
        <v>502</v>
      </c>
      <c r="E1352" t="s">
        <v>520</v>
      </c>
      <c r="F1352" s="188" t="n">
        <v>2032</v>
      </c>
      <c r="G1352" s="189" t="n">
        <v>60</v>
      </c>
      <c r="H1352" s="190" t="n">
        <v>19205.4747828542</v>
      </c>
      <c r="I1352" s="191" t="n">
        <v>3167924.62537645</v>
      </c>
      <c r="J1352" s="192" t="str">
        <f>IF(I1352&gt;0,H1352/I1352,0)</f>
      </c>
      <c r="K1352" s="193" t="str">
        <f>1-EXP(-J1352)</f>
      </c>
      <c r="L1352" s="194" t="str">
        <f>IF(G1352=30,1,M1351)</f>
      </c>
      <c r="M1352" s="195" t="str">
        <f>L1352*(1-K1352)</f>
      </c>
    </row>
    <row r="1353">
      <c r="A1353" t="s">
        <v>167</v>
      </c>
      <c r="B1353" t="s">
        <v>219</v>
      </c>
      <c r="C1353" s="35" t="s">
        <v>221</v>
      </c>
      <c r="D1353" t="s">
        <v>502</v>
      </c>
      <c r="E1353" t="s">
        <v>520</v>
      </c>
      <c r="F1353" s="188" t="n">
        <v>2032</v>
      </c>
      <c r="G1353" s="189" t="n">
        <v>61</v>
      </c>
      <c r="H1353" s="190" t="n">
        <v>20480.3595052573</v>
      </c>
      <c r="I1353" s="191" t="n">
        <v>3071498.22005447</v>
      </c>
      <c r="J1353" s="192" t="str">
        <f>IF(I1353&gt;0,H1353/I1353,0)</f>
      </c>
      <c r="K1353" s="193" t="str">
        <f>1-EXP(-J1353)</f>
      </c>
      <c r="L1353" s="194" t="str">
        <f>IF(G1353=30,1,M1352)</f>
      </c>
      <c r="M1353" s="195" t="str">
        <f>L1353*(1-K1353)</f>
      </c>
    </row>
    <row r="1354">
      <c r="A1354" t="s">
        <v>167</v>
      </c>
      <c r="B1354" t="s">
        <v>219</v>
      </c>
      <c r="C1354" s="35" t="s">
        <v>221</v>
      </c>
      <c r="D1354" t="s">
        <v>502</v>
      </c>
      <c r="E1354" t="s">
        <v>520</v>
      </c>
      <c r="F1354" s="188" t="n">
        <v>2032</v>
      </c>
      <c r="G1354" s="189" t="n">
        <v>62</v>
      </c>
      <c r="H1354" s="190" t="n">
        <v>21744.5740538359</v>
      </c>
      <c r="I1354" s="191" t="n">
        <v>2979169.41208068</v>
      </c>
      <c r="J1354" s="192" t="str">
        <f>IF(I1354&gt;0,H1354/I1354,0)</f>
      </c>
      <c r="K1354" s="193" t="str">
        <f>1-EXP(-J1354)</f>
      </c>
      <c r="L1354" s="194" t="str">
        <f>IF(G1354=30,1,M1353)</f>
      </c>
      <c r="M1354" s="195" t="str">
        <f>L1354*(1-K1354)</f>
      </c>
    </row>
    <row r="1355">
      <c r="A1355" t="s">
        <v>167</v>
      </c>
      <c r="B1355" t="s">
        <v>219</v>
      </c>
      <c r="C1355" s="35" t="s">
        <v>221</v>
      </c>
      <c r="D1355" t="s">
        <v>502</v>
      </c>
      <c r="E1355" t="s">
        <v>520</v>
      </c>
      <c r="F1355" s="188" t="n">
        <v>2032</v>
      </c>
      <c r="G1355" s="189" t="n">
        <v>63</v>
      </c>
      <c r="H1355" s="190" t="n">
        <v>23002.3008682683</v>
      </c>
      <c r="I1355" s="191" t="n">
        <v>2877591.59675927</v>
      </c>
      <c r="J1355" s="192" t="str">
        <f>IF(I1355&gt;0,H1355/I1355,0)</f>
      </c>
      <c r="K1355" s="193" t="str">
        <f>1-EXP(-J1355)</f>
      </c>
      <c r="L1355" s="194" t="str">
        <f>IF(G1355=30,1,M1354)</f>
      </c>
      <c r="M1355" s="195" t="str">
        <f>L1355*(1-K1355)</f>
      </c>
    </row>
    <row r="1356">
      <c r="A1356" t="s">
        <v>167</v>
      </c>
      <c r="B1356" t="s">
        <v>219</v>
      </c>
      <c r="C1356" s="35" t="s">
        <v>221</v>
      </c>
      <c r="D1356" t="s">
        <v>502</v>
      </c>
      <c r="E1356" t="s">
        <v>520</v>
      </c>
      <c r="F1356" s="188" t="n">
        <v>2032</v>
      </c>
      <c r="G1356" s="189" t="n">
        <v>64</v>
      </c>
      <c r="H1356" s="190" t="n">
        <v>24147.8139900347</v>
      </c>
      <c r="I1356" s="191" t="n">
        <v>2756970.81917447</v>
      </c>
      <c r="J1356" s="192" t="str">
        <f>IF(I1356&gt;0,H1356/I1356,0)</f>
      </c>
      <c r="K1356" s="193" t="str">
        <f>1-EXP(-J1356)</f>
      </c>
      <c r="L1356" s="194" t="str">
        <f>IF(G1356=30,1,M1355)</f>
      </c>
      <c r="M1356" s="195" t="str">
        <f>L1356*(1-K1356)</f>
      </c>
    </row>
    <row r="1357">
      <c r="A1357" t="s">
        <v>167</v>
      </c>
      <c r="B1357" t="s">
        <v>219</v>
      </c>
      <c r="C1357" s="35" t="s">
        <v>221</v>
      </c>
      <c r="D1357" t="s">
        <v>502</v>
      </c>
      <c r="E1357" t="s">
        <v>520</v>
      </c>
      <c r="F1357" s="188" t="n">
        <v>2032</v>
      </c>
      <c r="G1357" s="189" t="n">
        <v>65</v>
      </c>
      <c r="H1357" s="190" t="n">
        <v>24259.0064866594</v>
      </c>
      <c r="I1357" s="191" t="n">
        <v>2606828.34945892</v>
      </c>
      <c r="J1357" s="192" t="str">
        <f>IF(I1357&gt;0,H1357/I1357,0)</f>
      </c>
      <c r="K1357" s="193" t="str">
        <f>1-EXP(-J1357)</f>
      </c>
      <c r="L1357" s="194" t="str">
        <f>IF(G1357=30,1,M1356)</f>
      </c>
      <c r="M1357" s="195" t="str">
        <f>L1357*(1-K1357)</f>
      </c>
    </row>
    <row r="1358">
      <c r="A1358" t="s">
        <v>167</v>
      </c>
      <c r="B1358" t="s">
        <v>219</v>
      </c>
      <c r="C1358" s="35" t="s">
        <v>221</v>
      </c>
      <c r="D1358" t="s">
        <v>502</v>
      </c>
      <c r="E1358" t="s">
        <v>520</v>
      </c>
      <c r="F1358" s="188" t="n">
        <v>2032</v>
      </c>
      <c r="G1358" s="189" t="n">
        <v>66</v>
      </c>
      <c r="H1358" s="190" t="n">
        <v>25407.1253289958</v>
      </c>
      <c r="I1358" s="191" t="n">
        <v>2491232.45759646</v>
      </c>
      <c r="J1358" s="192" t="str">
        <f>IF(I1358&gt;0,H1358/I1358,0)</f>
      </c>
      <c r="K1358" s="193" t="str">
        <f>1-EXP(-J1358)</f>
      </c>
      <c r="L1358" s="194" t="str">
        <f>IF(G1358=30,1,M1357)</f>
      </c>
      <c r="M1358" s="195" t="str">
        <f>L1358*(1-K1358)</f>
      </c>
    </row>
    <row r="1359">
      <c r="A1359" t="s">
        <v>167</v>
      </c>
      <c r="B1359" t="s">
        <v>219</v>
      </c>
      <c r="C1359" s="35" t="s">
        <v>221</v>
      </c>
      <c r="D1359" t="s">
        <v>502</v>
      </c>
      <c r="E1359" t="s">
        <v>520</v>
      </c>
      <c r="F1359" s="188" t="n">
        <v>2032</v>
      </c>
      <c r="G1359" s="189" t="n">
        <v>67</v>
      </c>
      <c r="H1359" s="190" t="n">
        <v>26356.2528295979</v>
      </c>
      <c r="I1359" s="191" t="n">
        <v>2355300.64506266</v>
      </c>
      <c r="J1359" s="192" t="str">
        <f>IF(I1359&gt;0,H1359/I1359,0)</f>
      </c>
      <c r="K1359" s="193" t="str">
        <f>1-EXP(-J1359)</f>
      </c>
      <c r="L1359" s="194" t="str">
        <f>IF(G1359=30,1,M1358)</f>
      </c>
      <c r="M1359" s="195" t="str">
        <f>L1359*(1-K1359)</f>
      </c>
    </row>
    <row r="1360">
      <c r="A1360" t="s">
        <v>167</v>
      </c>
      <c r="B1360" t="s">
        <v>219</v>
      </c>
      <c r="C1360" s="35" t="s">
        <v>221</v>
      </c>
      <c r="D1360" t="s">
        <v>502</v>
      </c>
      <c r="E1360" t="s">
        <v>520</v>
      </c>
      <c r="F1360" s="188" t="n">
        <v>2032</v>
      </c>
      <c r="G1360" s="189" t="n">
        <v>68</v>
      </c>
      <c r="H1360" s="190" t="n">
        <v>27275.5661885124</v>
      </c>
      <c r="I1360" s="191" t="n">
        <v>2219760.8208781</v>
      </c>
      <c r="J1360" s="192" t="str">
        <f>IF(I1360&gt;0,H1360/I1360,0)</f>
      </c>
      <c r="K1360" s="193" t="str">
        <f>1-EXP(-J1360)</f>
      </c>
      <c r="L1360" s="194" t="str">
        <f>IF(G1360=30,1,M1359)</f>
      </c>
      <c r="M1360" s="195" t="str">
        <f>L1360*(1-K1360)</f>
      </c>
    </row>
    <row r="1361">
      <c r="A1361" t="s">
        <v>167</v>
      </c>
      <c r="B1361" t="s">
        <v>219</v>
      </c>
      <c r="C1361" s="35" t="s">
        <v>221</v>
      </c>
      <c r="D1361" t="s">
        <v>502</v>
      </c>
      <c r="E1361" t="s">
        <v>520</v>
      </c>
      <c r="F1361" s="188" t="n">
        <v>2032</v>
      </c>
      <c r="G1361" s="189" t="n">
        <v>69</v>
      </c>
      <c r="H1361" s="190" t="n">
        <v>28207.9140187205</v>
      </c>
      <c r="I1361" s="191" t="n">
        <v>2088928.52130518</v>
      </c>
      <c r="J1361" s="192" t="str">
        <f>IF(I1361&gt;0,H1361/I1361,0)</f>
      </c>
      <c r="K1361" s="193" t="str">
        <f>1-EXP(-J1361)</f>
      </c>
      <c r="L1361" s="194" t="str">
        <f>IF(G1361=30,1,M1360)</f>
      </c>
      <c r="M1361" s="195" t="str">
        <f>L1361*(1-K1361)</f>
      </c>
    </row>
    <row r="1362">
      <c r="A1362" t="s">
        <v>167</v>
      </c>
      <c r="B1362" t="s">
        <v>219</v>
      </c>
      <c r="C1362" s="35" t="s">
        <v>221</v>
      </c>
      <c r="D1362" t="s">
        <v>502</v>
      </c>
      <c r="E1362" t="s">
        <v>520</v>
      </c>
      <c r="F1362" s="188" t="n">
        <v>2033</v>
      </c>
      <c r="G1362" s="189" t="n">
        <v>30</v>
      </c>
      <c r="H1362" s="190" t="n">
        <v>745.45942868012</v>
      </c>
      <c r="I1362" s="191" t="n">
        <v>4369843.90654168</v>
      </c>
      <c r="J1362" s="192" t="str">
        <f>IF(I1362&gt;0,H1362/I1362,0)</f>
      </c>
      <c r="K1362" s="193" t="str">
        <f>1-EXP(-J1362)</f>
      </c>
      <c r="L1362" s="194" t="str">
        <f>IF(G1362=30,1,M1361)</f>
      </c>
      <c r="M1362" s="195" t="str">
        <f>L1362*(1-K1362)</f>
      </c>
    </row>
    <row r="1363">
      <c r="A1363" t="s">
        <v>167</v>
      </c>
      <c r="B1363" t="s">
        <v>219</v>
      </c>
      <c r="C1363" s="35" t="s">
        <v>221</v>
      </c>
      <c r="D1363" t="s">
        <v>502</v>
      </c>
      <c r="E1363" t="s">
        <v>520</v>
      </c>
      <c r="F1363" s="188" t="n">
        <v>2033</v>
      </c>
      <c r="G1363" s="189" t="n">
        <v>31</v>
      </c>
      <c r="H1363" s="190" t="n">
        <v>1063.331419618</v>
      </c>
      <c r="I1363" s="191" t="n">
        <v>4349136.56670004</v>
      </c>
      <c r="J1363" s="192" t="str">
        <f>IF(I1363&gt;0,H1363/I1363,0)</f>
      </c>
      <c r="K1363" s="193" t="str">
        <f>1-EXP(-J1363)</f>
      </c>
      <c r="L1363" s="194" t="str">
        <f>IF(G1363=30,1,M1362)</f>
      </c>
      <c r="M1363" s="195" t="str">
        <f>L1363*(1-K1363)</f>
      </c>
    </row>
    <row r="1364">
      <c r="A1364" t="s">
        <v>167</v>
      </c>
      <c r="B1364" t="s">
        <v>219</v>
      </c>
      <c r="C1364" s="35" t="s">
        <v>221</v>
      </c>
      <c r="D1364" t="s">
        <v>502</v>
      </c>
      <c r="E1364" t="s">
        <v>520</v>
      </c>
      <c r="F1364" s="188" t="n">
        <v>2033</v>
      </c>
      <c r="G1364" s="189" t="n">
        <v>32</v>
      </c>
      <c r="H1364" s="190" t="n">
        <v>1113.45806167879</v>
      </c>
      <c r="I1364" s="191" t="n">
        <v>4329609.61676525</v>
      </c>
      <c r="J1364" s="192" t="str">
        <f>IF(I1364&gt;0,H1364/I1364,0)</f>
      </c>
      <c r="K1364" s="193" t="str">
        <f>1-EXP(-J1364)</f>
      </c>
      <c r="L1364" s="194" t="str">
        <f>IF(G1364=30,1,M1363)</f>
      </c>
      <c r="M1364" s="195" t="str">
        <f>L1364*(1-K1364)</f>
      </c>
    </row>
    <row r="1365">
      <c r="A1365" t="s">
        <v>167</v>
      </c>
      <c r="B1365" t="s">
        <v>219</v>
      </c>
      <c r="C1365" s="35" t="s">
        <v>221</v>
      </c>
      <c r="D1365" t="s">
        <v>502</v>
      </c>
      <c r="E1365" t="s">
        <v>520</v>
      </c>
      <c r="F1365" s="188" t="n">
        <v>2033</v>
      </c>
      <c r="G1365" s="189" t="n">
        <v>33</v>
      </c>
      <c r="H1365" s="190" t="n">
        <v>1174.05928352414</v>
      </c>
      <c r="I1365" s="191" t="n">
        <v>4309849.05963621</v>
      </c>
      <c r="J1365" s="192" t="str">
        <f>IF(I1365&gt;0,H1365/I1365,0)</f>
      </c>
      <c r="K1365" s="193" t="str">
        <f>1-EXP(-J1365)</f>
      </c>
      <c r="L1365" s="194" t="str">
        <f>IF(G1365=30,1,M1364)</f>
      </c>
      <c r="M1365" s="195" t="str">
        <f>L1365*(1-K1365)</f>
      </c>
    </row>
    <row r="1366">
      <c r="A1366" t="s">
        <v>167</v>
      </c>
      <c r="B1366" t="s">
        <v>219</v>
      </c>
      <c r="C1366" s="35" t="s">
        <v>221</v>
      </c>
      <c r="D1366" t="s">
        <v>502</v>
      </c>
      <c r="E1366" t="s">
        <v>520</v>
      </c>
      <c r="F1366" s="188" t="n">
        <v>2033</v>
      </c>
      <c r="G1366" s="189" t="n">
        <v>34</v>
      </c>
      <c r="H1366" s="190" t="n">
        <v>1256.77502777648</v>
      </c>
      <c r="I1366" s="191" t="n">
        <v>4329831.64957463</v>
      </c>
      <c r="J1366" s="192" t="str">
        <f>IF(I1366&gt;0,H1366/I1366,0)</f>
      </c>
      <c r="K1366" s="193" t="str">
        <f>1-EXP(-J1366)</f>
      </c>
      <c r="L1366" s="194" t="str">
        <f>IF(G1366=30,1,M1365)</f>
      </c>
      <c r="M1366" s="195" t="str">
        <f>L1366*(1-K1366)</f>
      </c>
    </row>
    <row r="1367">
      <c r="A1367" t="s">
        <v>167</v>
      </c>
      <c r="B1367" t="s">
        <v>219</v>
      </c>
      <c r="C1367" s="35" t="s">
        <v>221</v>
      </c>
      <c r="D1367" t="s">
        <v>502</v>
      </c>
      <c r="E1367" t="s">
        <v>520</v>
      </c>
      <c r="F1367" s="188" t="n">
        <v>2033</v>
      </c>
      <c r="G1367" s="189" t="n">
        <v>35</v>
      </c>
      <c r="H1367" s="190" t="n">
        <v>1729.57745488083</v>
      </c>
      <c r="I1367" s="191" t="n">
        <v>4388985.43834348</v>
      </c>
      <c r="J1367" s="192" t="str">
        <f>IF(I1367&gt;0,H1367/I1367,0)</f>
      </c>
      <c r="K1367" s="193" t="str">
        <f>1-EXP(-J1367)</f>
      </c>
      <c r="L1367" s="194" t="str">
        <f>IF(G1367=30,1,M1366)</f>
      </c>
      <c r="M1367" s="195" t="str">
        <f>L1367*(1-K1367)</f>
      </c>
    </row>
    <row r="1368">
      <c r="A1368" t="s">
        <v>167</v>
      </c>
      <c r="B1368" t="s">
        <v>219</v>
      </c>
      <c r="C1368" s="35" t="s">
        <v>221</v>
      </c>
      <c r="D1368" t="s">
        <v>502</v>
      </c>
      <c r="E1368" t="s">
        <v>520</v>
      </c>
      <c r="F1368" s="188" t="n">
        <v>2033</v>
      </c>
      <c r="G1368" s="189" t="n">
        <v>36</v>
      </c>
      <c r="H1368" s="190" t="n">
        <v>2174.91944153895</v>
      </c>
      <c r="I1368" s="191" t="n">
        <v>4527130.36903103</v>
      </c>
      <c r="J1368" s="192" t="str">
        <f>IF(I1368&gt;0,H1368/I1368,0)</f>
      </c>
      <c r="K1368" s="193" t="str">
        <f>1-EXP(-J1368)</f>
      </c>
      <c r="L1368" s="194" t="str">
        <f>IF(G1368=30,1,M1367)</f>
      </c>
      <c r="M1368" s="195" t="str">
        <f>L1368*(1-K1368)</f>
      </c>
    </row>
    <row r="1369">
      <c r="A1369" t="s">
        <v>167</v>
      </c>
      <c r="B1369" t="s">
        <v>219</v>
      </c>
      <c r="C1369" s="35" t="s">
        <v>221</v>
      </c>
      <c r="D1369" t="s">
        <v>502</v>
      </c>
      <c r="E1369" t="s">
        <v>520</v>
      </c>
      <c r="F1369" s="188" t="n">
        <v>2033</v>
      </c>
      <c r="G1369" s="189" t="n">
        <v>37</v>
      </c>
      <c r="H1369" s="190" t="n">
        <v>2311.02665757184</v>
      </c>
      <c r="I1369" s="191" t="n">
        <v>4483238.65034866</v>
      </c>
      <c r="J1369" s="192" t="str">
        <f>IF(I1369&gt;0,H1369/I1369,0)</f>
      </c>
      <c r="K1369" s="193" t="str">
        <f>1-EXP(-J1369)</f>
      </c>
      <c r="L1369" s="194" t="str">
        <f>IF(G1369=30,1,M1368)</f>
      </c>
      <c r="M1369" s="195" t="str">
        <f>L1369*(1-K1369)</f>
      </c>
    </row>
    <row r="1370">
      <c r="A1370" t="s">
        <v>167</v>
      </c>
      <c r="B1370" t="s">
        <v>219</v>
      </c>
      <c r="C1370" s="35" t="s">
        <v>221</v>
      </c>
      <c r="D1370" t="s">
        <v>502</v>
      </c>
      <c r="E1370" t="s">
        <v>520</v>
      </c>
      <c r="F1370" s="188" t="n">
        <v>2033</v>
      </c>
      <c r="G1370" s="189" t="n">
        <v>38</v>
      </c>
      <c r="H1370" s="190" t="n">
        <v>2444.2160210338</v>
      </c>
      <c r="I1370" s="191" t="n">
        <v>4409138.33395394</v>
      </c>
      <c r="J1370" s="192" t="str">
        <f>IF(I1370&gt;0,H1370/I1370,0)</f>
      </c>
      <c r="K1370" s="193" t="str">
        <f>1-EXP(-J1370)</f>
      </c>
      <c r="L1370" s="194" t="str">
        <f>IF(G1370=30,1,M1369)</f>
      </c>
      <c r="M1370" s="195" t="str">
        <f>L1370*(1-K1370)</f>
      </c>
    </row>
    <row r="1371">
      <c r="A1371" t="s">
        <v>167</v>
      </c>
      <c r="B1371" t="s">
        <v>219</v>
      </c>
      <c r="C1371" s="35" t="s">
        <v>221</v>
      </c>
      <c r="D1371" t="s">
        <v>502</v>
      </c>
      <c r="E1371" t="s">
        <v>520</v>
      </c>
      <c r="F1371" s="188" t="n">
        <v>2033</v>
      </c>
      <c r="G1371" s="189" t="n">
        <v>39</v>
      </c>
      <c r="H1371" s="190" t="n">
        <v>2598.78798575277</v>
      </c>
      <c r="I1371" s="191" t="n">
        <v>4350568.74015841</v>
      </c>
      <c r="J1371" s="192" t="str">
        <f>IF(I1371&gt;0,H1371/I1371,0)</f>
      </c>
      <c r="K1371" s="193" t="str">
        <f>1-EXP(-J1371)</f>
      </c>
      <c r="L1371" s="194" t="str">
        <f>IF(G1371=30,1,M1370)</f>
      </c>
      <c r="M1371" s="195" t="str">
        <f>L1371*(1-K1371)</f>
      </c>
    </row>
    <row r="1372">
      <c r="A1372" t="s">
        <v>167</v>
      </c>
      <c r="B1372" t="s">
        <v>219</v>
      </c>
      <c r="C1372" s="35" t="s">
        <v>221</v>
      </c>
      <c r="D1372" t="s">
        <v>502</v>
      </c>
      <c r="E1372" t="s">
        <v>520</v>
      </c>
      <c r="F1372" s="188" t="n">
        <v>2033</v>
      </c>
      <c r="G1372" s="189" t="n">
        <v>40</v>
      </c>
      <c r="H1372" s="190" t="n">
        <v>3447.62234538752</v>
      </c>
      <c r="I1372" s="191" t="n">
        <v>4295420.63522406</v>
      </c>
      <c r="J1372" s="192" t="str">
        <f>IF(I1372&gt;0,H1372/I1372,0)</f>
      </c>
      <c r="K1372" s="193" t="str">
        <f>1-EXP(-J1372)</f>
      </c>
      <c r="L1372" s="194" t="str">
        <f>IF(G1372=30,1,M1371)</f>
      </c>
      <c r="M1372" s="195" t="str">
        <f>L1372*(1-K1372)</f>
      </c>
    </row>
    <row r="1373">
      <c r="A1373" t="s">
        <v>167</v>
      </c>
      <c r="B1373" t="s">
        <v>219</v>
      </c>
      <c r="C1373" s="35" t="s">
        <v>221</v>
      </c>
      <c r="D1373" t="s">
        <v>502</v>
      </c>
      <c r="E1373" t="s">
        <v>520</v>
      </c>
      <c r="F1373" s="188" t="n">
        <v>2033</v>
      </c>
      <c r="G1373" s="189" t="n">
        <v>41</v>
      </c>
      <c r="H1373" s="190" t="n">
        <v>3746.92536818329</v>
      </c>
      <c r="I1373" s="191" t="n">
        <v>4330137.20527686</v>
      </c>
      <c r="J1373" s="192" t="str">
        <f>IF(I1373&gt;0,H1373/I1373,0)</f>
      </c>
      <c r="K1373" s="193" t="str">
        <f>1-EXP(-J1373)</f>
      </c>
      <c r="L1373" s="194" t="str">
        <f>IF(G1373=30,1,M1372)</f>
      </c>
      <c r="M1373" s="195" t="str">
        <f>L1373*(1-K1373)</f>
      </c>
    </row>
    <row r="1374">
      <c r="A1374" t="s">
        <v>167</v>
      </c>
      <c r="B1374" t="s">
        <v>219</v>
      </c>
      <c r="C1374" s="35" t="s">
        <v>221</v>
      </c>
      <c r="D1374" t="s">
        <v>502</v>
      </c>
      <c r="E1374" t="s">
        <v>520</v>
      </c>
      <c r="F1374" s="188" t="n">
        <v>2033</v>
      </c>
      <c r="G1374" s="189" t="n">
        <v>42</v>
      </c>
      <c r="H1374" s="190" t="n">
        <v>4080.44359683203</v>
      </c>
      <c r="I1374" s="191" t="n">
        <v>4345744.75202379</v>
      </c>
      <c r="J1374" s="192" t="str">
        <f>IF(I1374&gt;0,H1374/I1374,0)</f>
      </c>
      <c r="K1374" s="193" t="str">
        <f>1-EXP(-J1374)</f>
      </c>
      <c r="L1374" s="194" t="str">
        <f>IF(G1374=30,1,M1373)</f>
      </c>
      <c r="M1374" s="195" t="str">
        <f>L1374*(1-K1374)</f>
      </c>
    </row>
    <row r="1375">
      <c r="A1375" t="s">
        <v>167</v>
      </c>
      <c r="B1375" t="s">
        <v>219</v>
      </c>
      <c r="C1375" s="35" t="s">
        <v>221</v>
      </c>
      <c r="D1375" t="s">
        <v>502</v>
      </c>
      <c r="E1375" t="s">
        <v>520</v>
      </c>
      <c r="F1375" s="188" t="n">
        <v>2033</v>
      </c>
      <c r="G1375" s="189" t="n">
        <v>43</v>
      </c>
      <c r="H1375" s="190" t="n">
        <v>6182.03011275087</v>
      </c>
      <c r="I1375" s="191" t="n">
        <v>6397544.42203712</v>
      </c>
      <c r="J1375" s="192" t="str">
        <f>IF(I1375&gt;0,H1375/I1375,0)</f>
      </c>
      <c r="K1375" s="193" t="str">
        <f>1-EXP(-J1375)</f>
      </c>
      <c r="L1375" s="194" t="str">
        <f>IF(G1375=30,1,M1374)</f>
      </c>
      <c r="M1375" s="195" t="str">
        <f>L1375*(1-K1375)</f>
      </c>
    </row>
    <row r="1376">
      <c r="A1376" t="s">
        <v>167</v>
      </c>
      <c r="B1376" t="s">
        <v>219</v>
      </c>
      <c r="C1376" s="35" t="s">
        <v>221</v>
      </c>
      <c r="D1376" t="s">
        <v>502</v>
      </c>
      <c r="E1376" t="s">
        <v>520</v>
      </c>
      <c r="F1376" s="188" t="n">
        <v>2033</v>
      </c>
      <c r="G1376" s="189" t="n">
        <v>44</v>
      </c>
      <c r="H1376" s="190" t="n">
        <v>4797.23626493974</v>
      </c>
      <c r="I1376" s="191" t="n">
        <v>4299263.30262618</v>
      </c>
      <c r="J1376" s="192" t="str">
        <f>IF(I1376&gt;0,H1376/I1376,0)</f>
      </c>
      <c r="K1376" s="193" t="str">
        <f>1-EXP(-J1376)</f>
      </c>
      <c r="L1376" s="194" t="str">
        <f>IF(G1376=30,1,M1375)</f>
      </c>
      <c r="M1376" s="195" t="str">
        <f>L1376*(1-K1376)</f>
      </c>
    </row>
    <row r="1377">
      <c r="A1377" t="s">
        <v>167</v>
      </c>
      <c r="B1377" t="s">
        <v>219</v>
      </c>
      <c r="C1377" s="35" t="s">
        <v>221</v>
      </c>
      <c r="D1377" t="s">
        <v>502</v>
      </c>
      <c r="E1377" t="s">
        <v>520</v>
      </c>
      <c r="F1377" s="188" t="n">
        <v>2033</v>
      </c>
      <c r="G1377" s="189" t="n">
        <v>45</v>
      </c>
      <c r="H1377" s="190" t="n">
        <v>6168.81032669652</v>
      </c>
      <c r="I1377" s="191" t="n">
        <v>4279511.48318374</v>
      </c>
      <c r="J1377" s="192" t="str">
        <f>IF(I1377&gt;0,H1377/I1377,0)</f>
      </c>
      <c r="K1377" s="193" t="str">
        <f>1-EXP(-J1377)</f>
      </c>
      <c r="L1377" s="194" t="str">
        <f>IF(G1377=30,1,M1376)</f>
      </c>
      <c r="M1377" s="195" t="str">
        <f>L1377*(1-K1377)</f>
      </c>
    </row>
    <row r="1378">
      <c r="A1378" t="s">
        <v>167</v>
      </c>
      <c r="B1378" t="s">
        <v>219</v>
      </c>
      <c r="C1378" s="35" t="s">
        <v>221</v>
      </c>
      <c r="D1378" t="s">
        <v>502</v>
      </c>
      <c r="E1378" t="s">
        <v>520</v>
      </c>
      <c r="F1378" s="188" t="n">
        <v>2033</v>
      </c>
      <c r="G1378" s="189" t="n">
        <v>46</v>
      </c>
      <c r="H1378" s="190" t="n">
        <v>6528.10184680063</v>
      </c>
      <c r="I1378" s="191" t="n">
        <v>4143964.51809604</v>
      </c>
      <c r="J1378" s="192" t="str">
        <f>IF(I1378&gt;0,H1378/I1378,0)</f>
      </c>
      <c r="K1378" s="193" t="str">
        <f>1-EXP(-J1378)</f>
      </c>
      <c r="L1378" s="194" t="str">
        <f>IF(G1378=30,1,M1377)</f>
      </c>
      <c r="M1378" s="195" t="str">
        <f>L1378*(1-K1378)</f>
      </c>
    </row>
    <row r="1379">
      <c r="A1379" t="s">
        <v>167</v>
      </c>
      <c r="B1379" t="s">
        <v>219</v>
      </c>
      <c r="C1379" s="35" t="s">
        <v>221</v>
      </c>
      <c r="D1379" t="s">
        <v>502</v>
      </c>
      <c r="E1379" t="s">
        <v>520</v>
      </c>
      <c r="F1379" s="188" t="n">
        <v>2033</v>
      </c>
      <c r="G1379" s="189" t="n">
        <v>47</v>
      </c>
      <c r="H1379" s="190" t="n">
        <v>7093.85203357806</v>
      </c>
      <c r="I1379" s="191" t="n">
        <v>4105751.37671695</v>
      </c>
      <c r="J1379" s="192" t="str">
        <f>IF(I1379&gt;0,H1379/I1379,0)</f>
      </c>
      <c r="K1379" s="193" t="str">
        <f>1-EXP(-J1379)</f>
      </c>
      <c r="L1379" s="194" t="str">
        <f>IF(G1379=30,1,M1378)</f>
      </c>
      <c r="M1379" s="195" t="str">
        <f>L1379*(1-K1379)</f>
      </c>
    </row>
    <row r="1380">
      <c r="A1380" t="s">
        <v>167</v>
      </c>
      <c r="B1380" t="s">
        <v>219</v>
      </c>
      <c r="C1380" s="35" t="s">
        <v>221</v>
      </c>
      <c r="D1380" t="s">
        <v>502</v>
      </c>
      <c r="E1380" t="s">
        <v>520</v>
      </c>
      <c r="F1380" s="188" t="n">
        <v>2033</v>
      </c>
      <c r="G1380" s="189" t="n">
        <v>48</v>
      </c>
      <c r="H1380" s="190" t="n">
        <v>7884.32725380621</v>
      </c>
      <c r="I1380" s="191" t="n">
        <v>4159548.52186225</v>
      </c>
      <c r="J1380" s="192" t="str">
        <f>IF(I1380&gt;0,H1380/I1380,0)</f>
      </c>
      <c r="K1380" s="193" t="str">
        <f>1-EXP(-J1380)</f>
      </c>
      <c r="L1380" s="194" t="str">
        <f>IF(G1380=30,1,M1379)</f>
      </c>
      <c r="M1380" s="195" t="str">
        <f>L1380*(1-K1380)</f>
      </c>
    </row>
    <row r="1381">
      <c r="A1381" t="s">
        <v>167</v>
      </c>
      <c r="B1381" t="s">
        <v>219</v>
      </c>
      <c r="C1381" s="35" t="s">
        <v>221</v>
      </c>
      <c r="D1381" t="s">
        <v>502</v>
      </c>
      <c r="E1381" t="s">
        <v>520</v>
      </c>
      <c r="F1381" s="188" t="n">
        <v>2033</v>
      </c>
      <c r="G1381" s="189" t="n">
        <v>49</v>
      </c>
      <c r="H1381" s="190" t="n">
        <v>8807.60355962671</v>
      </c>
      <c r="I1381" s="191" t="n">
        <v>4237440.91932294</v>
      </c>
      <c r="J1381" s="192" t="str">
        <f>IF(I1381&gt;0,H1381/I1381,0)</f>
      </c>
      <c r="K1381" s="193" t="str">
        <f>1-EXP(-J1381)</f>
      </c>
      <c r="L1381" s="194" t="str">
        <f>IF(G1381=30,1,M1380)</f>
      </c>
      <c r="M1381" s="195" t="str">
        <f>L1381*(1-K1381)</f>
      </c>
    </row>
    <row r="1382">
      <c r="A1382" t="s">
        <v>167</v>
      </c>
      <c r="B1382" t="s">
        <v>219</v>
      </c>
      <c r="C1382" s="35" t="s">
        <v>221</v>
      </c>
      <c r="D1382" t="s">
        <v>502</v>
      </c>
      <c r="E1382" t="s">
        <v>520</v>
      </c>
      <c r="F1382" s="188" t="n">
        <v>2033</v>
      </c>
      <c r="G1382" s="189" t="n">
        <v>50</v>
      </c>
      <c r="H1382" s="190" t="n">
        <v>10152.1272271847</v>
      </c>
      <c r="I1382" s="191" t="n">
        <v>4207302.13281875</v>
      </c>
      <c r="J1382" s="192" t="str">
        <f>IF(I1382&gt;0,H1382/I1382,0)</f>
      </c>
      <c r="K1382" s="193" t="str">
        <f>1-EXP(-J1382)</f>
      </c>
      <c r="L1382" s="194" t="str">
        <f>IF(G1382=30,1,M1381)</f>
      </c>
      <c r="M1382" s="195" t="str">
        <f>L1382*(1-K1382)</f>
      </c>
    </row>
    <row r="1383">
      <c r="A1383" t="s">
        <v>167</v>
      </c>
      <c r="B1383" t="s">
        <v>219</v>
      </c>
      <c r="C1383" s="35" t="s">
        <v>221</v>
      </c>
      <c r="D1383" t="s">
        <v>502</v>
      </c>
      <c r="E1383" t="s">
        <v>520</v>
      </c>
      <c r="F1383" s="188" t="n">
        <v>2033</v>
      </c>
      <c r="G1383" s="189" t="n">
        <v>51</v>
      </c>
      <c r="H1383" s="190" t="n">
        <v>10759.5192731617</v>
      </c>
      <c r="I1383" s="191" t="n">
        <v>4065292.21134993</v>
      </c>
      <c r="J1383" s="192" t="str">
        <f>IF(I1383&gt;0,H1383/I1383,0)</f>
      </c>
      <c r="K1383" s="193" t="str">
        <f>1-EXP(-J1383)</f>
      </c>
      <c r="L1383" s="194" t="str">
        <f>IF(G1383=30,1,M1382)</f>
      </c>
      <c r="M1383" s="195" t="str">
        <f>L1383*(1-K1383)</f>
      </c>
    </row>
    <row r="1384">
      <c r="A1384" t="s">
        <v>167</v>
      </c>
      <c r="B1384" t="s">
        <v>219</v>
      </c>
      <c r="C1384" s="35" t="s">
        <v>221</v>
      </c>
      <c r="D1384" t="s">
        <v>502</v>
      </c>
      <c r="E1384" t="s">
        <v>520</v>
      </c>
      <c r="F1384" s="188" t="n">
        <v>2033</v>
      </c>
      <c r="G1384" s="189" t="n">
        <v>52</v>
      </c>
      <c r="H1384" s="190" t="n">
        <v>11531.4780681494</v>
      </c>
      <c r="I1384" s="191" t="n">
        <v>3985061.97322859</v>
      </c>
      <c r="J1384" s="192" t="str">
        <f>IF(I1384&gt;0,H1384/I1384,0)</f>
      </c>
      <c r="K1384" s="193" t="str">
        <f>1-EXP(-J1384)</f>
      </c>
      <c r="L1384" s="194" t="str">
        <f>IF(G1384=30,1,M1383)</f>
      </c>
      <c r="M1384" s="195" t="str">
        <f>L1384*(1-K1384)</f>
      </c>
    </row>
    <row r="1385">
      <c r="A1385" t="s">
        <v>167</v>
      </c>
      <c r="B1385" t="s">
        <v>219</v>
      </c>
      <c r="C1385" s="35" t="s">
        <v>221</v>
      </c>
      <c r="D1385" t="s">
        <v>502</v>
      </c>
      <c r="E1385" t="s">
        <v>520</v>
      </c>
      <c r="F1385" s="188" t="n">
        <v>2033</v>
      </c>
      <c r="G1385" s="189" t="n">
        <v>53</v>
      </c>
      <c r="H1385" s="190" t="n">
        <v>12396.1099378685</v>
      </c>
      <c r="I1385" s="191" t="n">
        <v>3919948.56794874</v>
      </c>
      <c r="J1385" s="192" t="str">
        <f>IF(I1385&gt;0,H1385/I1385,0)</f>
      </c>
      <c r="K1385" s="193" t="str">
        <f>1-EXP(-J1385)</f>
      </c>
      <c r="L1385" s="194" t="str">
        <f>IF(G1385=30,1,M1384)</f>
      </c>
      <c r="M1385" s="195" t="str">
        <f>L1385*(1-K1385)</f>
      </c>
    </row>
    <row r="1386">
      <c r="A1386" t="s">
        <v>167</v>
      </c>
      <c r="B1386" t="s">
        <v>219</v>
      </c>
      <c r="C1386" s="35" t="s">
        <v>221</v>
      </c>
      <c r="D1386" t="s">
        <v>502</v>
      </c>
      <c r="E1386" t="s">
        <v>520</v>
      </c>
      <c r="F1386" s="188" t="n">
        <v>2033</v>
      </c>
      <c r="G1386" s="189" t="n">
        <v>54</v>
      </c>
      <c r="H1386" s="190" t="n">
        <v>13300.5285991003</v>
      </c>
      <c r="I1386" s="191" t="n">
        <v>3849055.91620635</v>
      </c>
      <c r="J1386" s="192" t="str">
        <f>IF(I1386&gt;0,H1386/I1386,0)</f>
      </c>
      <c r="K1386" s="193" t="str">
        <f>1-EXP(-J1386)</f>
      </c>
      <c r="L1386" s="194" t="str">
        <f>IF(G1386=30,1,M1385)</f>
      </c>
      <c r="M1386" s="195" t="str">
        <f>L1386*(1-K1386)</f>
      </c>
    </row>
    <row r="1387">
      <c r="A1387" t="s">
        <v>167</v>
      </c>
      <c r="B1387" t="s">
        <v>219</v>
      </c>
      <c r="C1387" s="35" t="s">
        <v>221</v>
      </c>
      <c r="D1387" t="s">
        <v>502</v>
      </c>
      <c r="E1387" t="s">
        <v>520</v>
      </c>
      <c r="F1387" s="188" t="n">
        <v>2033</v>
      </c>
      <c r="G1387" s="189" t="n">
        <v>55</v>
      </c>
      <c r="H1387" s="190" t="n">
        <v>14254.9629465318</v>
      </c>
      <c r="I1387" s="191" t="n">
        <v>3758768.50414153</v>
      </c>
      <c r="J1387" s="192" t="str">
        <f>IF(I1387&gt;0,H1387/I1387,0)</f>
      </c>
      <c r="K1387" s="193" t="str">
        <f>1-EXP(-J1387)</f>
      </c>
      <c r="L1387" s="194" t="str">
        <f>IF(G1387=30,1,M1386)</f>
      </c>
      <c r="M1387" s="195" t="str">
        <f>L1387*(1-K1387)</f>
      </c>
    </row>
    <row r="1388">
      <c r="A1388" t="s">
        <v>167</v>
      </c>
      <c r="B1388" t="s">
        <v>219</v>
      </c>
      <c r="C1388" s="35" t="s">
        <v>221</v>
      </c>
      <c r="D1388" t="s">
        <v>502</v>
      </c>
      <c r="E1388" t="s">
        <v>520</v>
      </c>
      <c r="F1388" s="188" t="n">
        <v>2033</v>
      </c>
      <c r="G1388" s="189" t="n">
        <v>56</v>
      </c>
      <c r="H1388" s="190" t="n">
        <v>15245.7662059598</v>
      </c>
      <c r="I1388" s="191" t="n">
        <v>3684161.43326158</v>
      </c>
      <c r="J1388" s="192" t="str">
        <f>IF(I1388&gt;0,H1388/I1388,0)</f>
      </c>
      <c r="K1388" s="193" t="str">
        <f>1-EXP(-J1388)</f>
      </c>
      <c r="L1388" s="194" t="str">
        <f>IF(G1388=30,1,M1387)</f>
      </c>
      <c r="M1388" s="195" t="str">
        <f>L1388*(1-K1388)</f>
      </c>
    </row>
    <row r="1389">
      <c r="A1389" t="s">
        <v>167</v>
      </c>
      <c r="B1389" t="s">
        <v>219</v>
      </c>
      <c r="C1389" s="35" t="s">
        <v>221</v>
      </c>
      <c r="D1389" t="s">
        <v>502</v>
      </c>
      <c r="E1389" t="s">
        <v>520</v>
      </c>
      <c r="F1389" s="188" t="n">
        <v>2033</v>
      </c>
      <c r="G1389" s="189" t="n">
        <v>57</v>
      </c>
      <c r="H1389" s="190" t="n">
        <v>16273.6404874534</v>
      </c>
      <c r="I1389" s="191" t="n">
        <v>3598005.22411511</v>
      </c>
      <c r="J1389" s="192" t="str">
        <f>IF(I1389&gt;0,H1389/I1389,0)</f>
      </c>
      <c r="K1389" s="193" t="str">
        <f>1-EXP(-J1389)</f>
      </c>
      <c r="L1389" s="194" t="str">
        <f>IF(G1389=30,1,M1388)</f>
      </c>
      <c r="M1389" s="195" t="str">
        <f>L1389*(1-K1389)</f>
      </c>
    </row>
    <row r="1390">
      <c r="A1390" t="s">
        <v>167</v>
      </c>
      <c r="B1390" t="s">
        <v>219</v>
      </c>
      <c r="C1390" s="35" t="s">
        <v>221</v>
      </c>
      <c r="D1390" t="s">
        <v>502</v>
      </c>
      <c r="E1390" t="s">
        <v>520</v>
      </c>
      <c r="F1390" s="188" t="n">
        <v>2033</v>
      </c>
      <c r="G1390" s="189" t="n">
        <v>58</v>
      </c>
      <c r="H1390" s="190" t="n">
        <v>17364.7965552762</v>
      </c>
      <c r="I1390" s="191" t="n">
        <v>3510621.52745111</v>
      </c>
      <c r="J1390" s="192" t="str">
        <f>IF(I1390&gt;0,H1390/I1390,0)</f>
      </c>
      <c r="K1390" s="193" t="str">
        <f>1-EXP(-J1390)</f>
      </c>
      <c r="L1390" s="194" t="str">
        <f>IF(G1390=30,1,M1389)</f>
      </c>
      <c r="M1390" s="195" t="str">
        <f>L1390*(1-K1390)</f>
      </c>
    </row>
    <row r="1391">
      <c r="A1391" t="s">
        <v>167</v>
      </c>
      <c r="B1391" t="s">
        <v>219</v>
      </c>
      <c r="C1391" s="35" t="s">
        <v>221</v>
      </c>
      <c r="D1391" t="s">
        <v>502</v>
      </c>
      <c r="E1391" t="s">
        <v>520</v>
      </c>
      <c r="F1391" s="188" t="n">
        <v>2033</v>
      </c>
      <c r="G1391" s="189" t="n">
        <v>59</v>
      </c>
      <c r="H1391" s="190" t="n">
        <v>18384.7846289334</v>
      </c>
      <c r="I1391" s="191" t="n">
        <v>3396290.63226707</v>
      </c>
      <c r="J1391" s="192" t="str">
        <f>IF(I1391&gt;0,H1391/I1391,0)</f>
      </c>
      <c r="K1391" s="193" t="str">
        <f>1-EXP(-J1391)</f>
      </c>
      <c r="L1391" s="194" t="str">
        <f>IF(G1391=30,1,M1390)</f>
      </c>
      <c r="M1391" s="195" t="str">
        <f>L1391*(1-K1391)</f>
      </c>
    </row>
    <row r="1392">
      <c r="A1392" t="s">
        <v>167</v>
      </c>
      <c r="B1392" t="s">
        <v>219</v>
      </c>
      <c r="C1392" s="35" t="s">
        <v>221</v>
      </c>
      <c r="D1392" t="s">
        <v>502</v>
      </c>
      <c r="E1392" t="s">
        <v>520</v>
      </c>
      <c r="F1392" s="188" t="n">
        <v>2033</v>
      </c>
      <c r="G1392" s="189" t="n">
        <v>60</v>
      </c>
      <c r="H1392" s="190" t="n">
        <v>20009.1532851647</v>
      </c>
      <c r="I1392" s="191" t="n">
        <v>3338909.70483282</v>
      </c>
      <c r="J1392" s="192" t="str">
        <f>IF(I1392&gt;0,H1392/I1392,0)</f>
      </c>
      <c r="K1392" s="193" t="str">
        <f>1-EXP(-J1392)</f>
      </c>
      <c r="L1392" s="194" t="str">
        <f>IF(G1392=30,1,M1391)</f>
      </c>
      <c r="M1392" s="195" t="str">
        <f>L1392*(1-K1392)</f>
      </c>
    </row>
    <row r="1393">
      <c r="A1393" t="s">
        <v>167</v>
      </c>
      <c r="B1393" t="s">
        <v>219</v>
      </c>
      <c r="C1393" s="35" t="s">
        <v>221</v>
      </c>
      <c r="D1393" t="s">
        <v>502</v>
      </c>
      <c r="E1393" t="s">
        <v>520</v>
      </c>
      <c r="F1393" s="188" t="n">
        <v>2033</v>
      </c>
      <c r="G1393" s="189" t="n">
        <v>61</v>
      </c>
      <c r="H1393" s="190" t="n">
        <v>20620.8529700069</v>
      </c>
      <c r="I1393" s="191" t="n">
        <v>3124487.9908532</v>
      </c>
      <c r="J1393" s="192" t="str">
        <f>IF(I1393&gt;0,H1393/I1393,0)</f>
      </c>
      <c r="K1393" s="193" t="str">
        <f>1-EXP(-J1393)</f>
      </c>
      <c r="L1393" s="194" t="str">
        <f>IF(G1393=30,1,M1392)</f>
      </c>
      <c r="M1393" s="195" t="str">
        <f>L1393*(1-K1393)</f>
      </c>
    </row>
    <row r="1394">
      <c r="A1394" t="s">
        <v>167</v>
      </c>
      <c r="B1394" t="s">
        <v>219</v>
      </c>
      <c r="C1394" s="35" t="s">
        <v>221</v>
      </c>
      <c r="D1394" t="s">
        <v>502</v>
      </c>
      <c r="E1394" t="s">
        <v>520</v>
      </c>
      <c r="F1394" s="188" t="n">
        <v>2033</v>
      </c>
      <c r="G1394" s="189" t="n">
        <v>62</v>
      </c>
      <c r="H1394" s="190" t="n">
        <v>21863.4186988465</v>
      </c>
      <c r="I1394" s="191" t="n">
        <v>3025797.7185405</v>
      </c>
      <c r="J1394" s="192" t="str">
        <f>IF(I1394&gt;0,H1394/I1394,0)</f>
      </c>
      <c r="K1394" s="193" t="str">
        <f>1-EXP(-J1394)</f>
      </c>
      <c r="L1394" s="194" t="str">
        <f>IF(G1394=30,1,M1393)</f>
      </c>
      <c r="M1394" s="195" t="str">
        <f>L1394*(1-K1394)</f>
      </c>
    </row>
    <row r="1395">
      <c r="A1395" t="s">
        <v>167</v>
      </c>
      <c r="B1395" t="s">
        <v>219</v>
      </c>
      <c r="C1395" s="35" t="s">
        <v>221</v>
      </c>
      <c r="D1395" t="s">
        <v>502</v>
      </c>
      <c r="E1395" t="s">
        <v>520</v>
      </c>
      <c r="F1395" s="188" t="n">
        <v>2033</v>
      </c>
      <c r="G1395" s="189" t="n">
        <v>63</v>
      </c>
      <c r="H1395" s="190" t="n">
        <v>23195.7400613057</v>
      </c>
      <c r="I1395" s="191" t="n">
        <v>2930659.89576447</v>
      </c>
      <c r="J1395" s="192" t="str">
        <f>IF(I1395&gt;0,H1395/I1395,0)</f>
      </c>
      <c r="K1395" s="193" t="str">
        <f>1-EXP(-J1395)</f>
      </c>
      <c r="L1395" s="194" t="str">
        <f>IF(G1395=30,1,M1394)</f>
      </c>
      <c r="M1395" s="195" t="str">
        <f>L1395*(1-K1395)</f>
      </c>
    </row>
    <row r="1396">
      <c r="A1396" t="s">
        <v>167</v>
      </c>
      <c r="B1396" t="s">
        <v>219</v>
      </c>
      <c r="C1396" s="35" t="s">
        <v>221</v>
      </c>
      <c r="D1396" t="s">
        <v>502</v>
      </c>
      <c r="E1396" t="s">
        <v>520</v>
      </c>
      <c r="F1396" s="188" t="n">
        <v>2033</v>
      </c>
      <c r="G1396" s="189" t="n">
        <v>64</v>
      </c>
      <c r="H1396" s="190" t="n">
        <v>24512.8973818298</v>
      </c>
      <c r="I1396" s="191" t="n">
        <v>2826292.13426231</v>
      </c>
      <c r="J1396" s="192" t="str">
        <f>IF(I1396&gt;0,H1396/I1396,0)</f>
      </c>
      <c r="K1396" s="193" t="str">
        <f>1-EXP(-J1396)</f>
      </c>
      <c r="L1396" s="194" t="str">
        <f>IF(G1396=30,1,M1395)</f>
      </c>
      <c r="M1396" s="195" t="str">
        <f>L1396*(1-K1396)</f>
      </c>
    </row>
    <row r="1397">
      <c r="A1397" t="s">
        <v>167</v>
      </c>
      <c r="B1397" t="s">
        <v>219</v>
      </c>
      <c r="C1397" s="35" t="s">
        <v>221</v>
      </c>
      <c r="D1397" t="s">
        <v>502</v>
      </c>
      <c r="E1397" t="s">
        <v>520</v>
      </c>
      <c r="F1397" s="188" t="n">
        <v>2033</v>
      </c>
      <c r="G1397" s="189" t="n">
        <v>65</v>
      </c>
      <c r="H1397" s="190" t="n">
        <v>24857.1322652418</v>
      </c>
      <c r="I1397" s="191" t="n">
        <v>2703136.27620012</v>
      </c>
      <c r="J1397" s="192" t="str">
        <f>IF(I1397&gt;0,H1397/I1397,0)</f>
      </c>
      <c r="K1397" s="193" t="str">
        <f>1-EXP(-J1397)</f>
      </c>
      <c r="L1397" s="194" t="str">
        <f>IF(G1397=30,1,M1396)</f>
      </c>
      <c r="M1397" s="195" t="str">
        <f>L1397*(1-K1397)</f>
      </c>
    </row>
    <row r="1398">
      <c r="A1398" t="s">
        <v>167</v>
      </c>
      <c r="B1398" t="s">
        <v>219</v>
      </c>
      <c r="C1398" s="35" t="s">
        <v>221</v>
      </c>
      <c r="D1398" t="s">
        <v>502</v>
      </c>
      <c r="E1398" t="s">
        <v>520</v>
      </c>
      <c r="F1398" s="188" t="n">
        <v>2033</v>
      </c>
      <c r="G1398" s="189" t="n">
        <v>66</v>
      </c>
      <c r="H1398" s="190" t="n">
        <v>25735.7676591663</v>
      </c>
      <c r="I1398" s="191" t="n">
        <v>2551305.49090669</v>
      </c>
      <c r="J1398" s="192" t="str">
        <f>IF(I1398&gt;0,H1398/I1398,0)</f>
      </c>
      <c r="K1398" s="193" t="str">
        <f>1-EXP(-J1398)</f>
      </c>
      <c r="L1398" s="194" t="str">
        <f>IF(G1398=30,1,M1397)</f>
      </c>
      <c r="M1398" s="195" t="str">
        <f>L1398*(1-K1398)</f>
      </c>
    </row>
    <row r="1399">
      <c r="A1399" t="s">
        <v>167</v>
      </c>
      <c r="B1399" t="s">
        <v>219</v>
      </c>
      <c r="C1399" s="35" t="s">
        <v>221</v>
      </c>
      <c r="D1399" t="s">
        <v>502</v>
      </c>
      <c r="E1399" t="s">
        <v>520</v>
      </c>
      <c r="F1399" s="188" t="n">
        <v>2033</v>
      </c>
      <c r="G1399" s="189" t="n">
        <v>67</v>
      </c>
      <c r="H1399" s="190" t="n">
        <v>26932.2010250459</v>
      </c>
      <c r="I1399" s="191" t="n">
        <v>2432786.33017942</v>
      </c>
      <c r="J1399" s="192" t="str">
        <f>IF(I1399&gt;0,H1399/I1399,0)</f>
      </c>
      <c r="K1399" s="193" t="str">
        <f>1-EXP(-J1399)</f>
      </c>
      <c r="L1399" s="194" t="str">
        <f>IF(G1399=30,1,M1398)</f>
      </c>
      <c r="M1399" s="195" t="str">
        <f>L1399*(1-K1399)</f>
      </c>
    </row>
    <row r="1400">
      <c r="A1400" t="s">
        <v>167</v>
      </c>
      <c r="B1400" t="s">
        <v>219</v>
      </c>
      <c r="C1400" s="35" t="s">
        <v>221</v>
      </c>
      <c r="D1400" t="s">
        <v>502</v>
      </c>
      <c r="E1400" t="s">
        <v>520</v>
      </c>
      <c r="F1400" s="188" t="n">
        <v>2033</v>
      </c>
      <c r="G1400" s="189" t="n">
        <v>68</v>
      </c>
      <c r="H1400" s="190" t="n">
        <v>27895.319522505</v>
      </c>
      <c r="I1400" s="191" t="n">
        <v>2294727.79033598</v>
      </c>
      <c r="J1400" s="192" t="str">
        <f>IF(I1400&gt;0,H1400/I1400,0)</f>
      </c>
      <c r="K1400" s="193" t="str">
        <f>1-EXP(-J1400)</f>
      </c>
      <c r="L1400" s="194" t="str">
        <f>IF(G1400=30,1,M1399)</f>
      </c>
      <c r="M1400" s="195" t="str">
        <f>L1400*(1-K1400)</f>
      </c>
    </row>
    <row r="1401">
      <c r="A1401" t="s">
        <v>167</v>
      </c>
      <c r="B1401" t="s">
        <v>219</v>
      </c>
      <c r="C1401" s="35" t="s">
        <v>221</v>
      </c>
      <c r="D1401" t="s">
        <v>502</v>
      </c>
      <c r="E1401" t="s">
        <v>520</v>
      </c>
      <c r="F1401" s="188" t="n">
        <v>2033</v>
      </c>
      <c r="G1401" s="189" t="n">
        <v>69</v>
      </c>
      <c r="H1401" s="190" t="n">
        <v>28821.32368532</v>
      </c>
      <c r="I1401" s="191" t="n">
        <v>2157141.02564279</v>
      </c>
      <c r="J1401" s="192" t="str">
        <f>IF(I1401&gt;0,H1401/I1401,0)</f>
      </c>
      <c r="K1401" s="193" t="str">
        <f>1-EXP(-J1401)</f>
      </c>
      <c r="L1401" s="194" t="str">
        <f>IF(G1401=30,1,M1400)</f>
      </c>
      <c r="M1401" s="195" t="str">
        <f>L1401*(1-K1401)</f>
      </c>
    </row>
    <row r="1402">
      <c r="A1402" t="s">
        <v>167</v>
      </c>
      <c r="B1402" t="s">
        <v>219</v>
      </c>
      <c r="C1402" s="35" t="s">
        <v>221</v>
      </c>
      <c r="D1402" t="s">
        <v>502</v>
      </c>
      <c r="E1402" t="s">
        <v>520</v>
      </c>
      <c r="F1402" s="188" t="n">
        <v>2034</v>
      </c>
      <c r="G1402" s="189" t="n">
        <v>30</v>
      </c>
      <c r="H1402" s="190" t="n">
        <v>758.799621232105</v>
      </c>
      <c r="I1402" s="191" t="n">
        <v>4429723.334384</v>
      </c>
      <c r="J1402" s="192" t="str">
        <f>IF(I1402&gt;0,H1402/I1402,0)</f>
      </c>
      <c r="K1402" s="193" t="str">
        <f>1-EXP(-J1402)</f>
      </c>
      <c r="L1402" s="194" t="str">
        <f>IF(G1402=30,1,M1401)</f>
      </c>
      <c r="M1402" s="195" t="str">
        <f>L1402*(1-K1402)</f>
      </c>
    </row>
    <row r="1403">
      <c r="A1403" t="s">
        <v>167</v>
      </c>
      <c r="B1403" t="s">
        <v>219</v>
      </c>
      <c r="C1403" s="35" t="s">
        <v>221</v>
      </c>
      <c r="D1403" t="s">
        <v>502</v>
      </c>
      <c r="E1403" t="s">
        <v>520</v>
      </c>
      <c r="F1403" s="188" t="n">
        <v>2034</v>
      </c>
      <c r="G1403" s="189" t="n">
        <v>31</v>
      </c>
      <c r="H1403" s="190" t="n">
        <v>935.028604811405</v>
      </c>
      <c r="I1403" s="191" t="n">
        <v>4364347.73250254</v>
      </c>
      <c r="J1403" s="192" t="str">
        <f>IF(I1403&gt;0,H1403/I1403,0)</f>
      </c>
      <c r="K1403" s="193" t="str">
        <f>1-EXP(-J1403)</f>
      </c>
      <c r="L1403" s="194" t="str">
        <f>IF(G1403=30,1,M1402)</f>
      </c>
      <c r="M1403" s="195" t="str">
        <f>L1403*(1-K1403)</f>
      </c>
    </row>
    <row r="1404">
      <c r="A1404" t="s">
        <v>167</v>
      </c>
      <c r="B1404" t="s">
        <v>219</v>
      </c>
      <c r="C1404" s="35" t="s">
        <v>221</v>
      </c>
      <c r="D1404" t="s">
        <v>502</v>
      </c>
      <c r="E1404" t="s">
        <v>520</v>
      </c>
      <c r="F1404" s="188" t="n">
        <v>2034</v>
      </c>
      <c r="G1404" s="189" t="n">
        <v>32</v>
      </c>
      <c r="H1404" s="190" t="n">
        <v>1121.36097519156</v>
      </c>
      <c r="I1404" s="191" t="n">
        <v>4343595.82536657</v>
      </c>
      <c r="J1404" s="192" t="str">
        <f>IF(I1404&gt;0,H1404/I1404,0)</f>
      </c>
      <c r="K1404" s="193" t="str">
        <f>1-EXP(-J1404)</f>
      </c>
      <c r="L1404" s="194" t="str">
        <f>IF(G1404=30,1,M1403)</f>
      </c>
      <c r="M1404" s="195" t="str">
        <f>L1404*(1-K1404)</f>
      </c>
    </row>
    <row r="1405">
      <c r="A1405" t="s">
        <v>167</v>
      </c>
      <c r="B1405" t="s">
        <v>219</v>
      </c>
      <c r="C1405" s="35" t="s">
        <v>221</v>
      </c>
      <c r="D1405" t="s">
        <v>502</v>
      </c>
      <c r="E1405" t="s">
        <v>520</v>
      </c>
      <c r="F1405" s="188" t="n">
        <v>2034</v>
      </c>
      <c r="G1405" s="189" t="n">
        <v>33</v>
      </c>
      <c r="H1405" s="190" t="n">
        <v>1181.21755720783</v>
      </c>
      <c r="I1405" s="191" t="n">
        <v>4323859.50191003</v>
      </c>
      <c r="J1405" s="192" t="str">
        <f>IF(I1405&gt;0,H1405/I1405,0)</f>
      </c>
      <c r="K1405" s="193" t="str">
        <f>1-EXP(-J1405)</f>
      </c>
      <c r="L1405" s="194" t="str">
        <f>IF(G1405=30,1,M1404)</f>
      </c>
      <c r="M1405" s="195" t="str">
        <f>L1405*(1-K1405)</f>
      </c>
    </row>
    <row r="1406">
      <c r="A1406" t="s">
        <v>167</v>
      </c>
      <c r="B1406" t="s">
        <v>219</v>
      </c>
      <c r="C1406" s="35" t="s">
        <v>221</v>
      </c>
      <c r="D1406" t="s">
        <v>502</v>
      </c>
      <c r="E1406" t="s">
        <v>520</v>
      </c>
      <c r="F1406" s="188" t="n">
        <v>2034</v>
      </c>
      <c r="G1406" s="189" t="n">
        <v>34</v>
      </c>
      <c r="H1406" s="190" t="n">
        <v>1252.52715872302</v>
      </c>
      <c r="I1406" s="191" t="n">
        <v>4303847.64211264</v>
      </c>
      <c r="J1406" s="192" t="str">
        <f>IF(I1406&gt;0,H1406/I1406,0)</f>
      </c>
      <c r="K1406" s="193" t="str">
        <f>1-EXP(-J1406)</f>
      </c>
      <c r="L1406" s="194" t="str">
        <f>IF(G1406=30,1,M1405)</f>
      </c>
      <c r="M1406" s="195" t="str">
        <f>L1406*(1-K1406)</f>
      </c>
    </row>
    <row r="1407">
      <c r="A1407" t="s">
        <v>167</v>
      </c>
      <c r="B1407" t="s">
        <v>219</v>
      </c>
      <c r="C1407" s="35" t="s">
        <v>221</v>
      </c>
      <c r="D1407" t="s">
        <v>502</v>
      </c>
      <c r="E1407" t="s">
        <v>520</v>
      </c>
      <c r="F1407" s="188" t="n">
        <v>2034</v>
      </c>
      <c r="G1407" s="189" t="n">
        <v>35</v>
      </c>
      <c r="H1407" s="190" t="n">
        <v>1701.27458308955</v>
      </c>
      <c r="I1407" s="191" t="n">
        <v>4323470.72639164</v>
      </c>
      <c r="J1407" s="192" t="str">
        <f>IF(I1407&gt;0,H1407/I1407,0)</f>
      </c>
      <c r="K1407" s="193" t="str">
        <f>1-EXP(-J1407)</f>
      </c>
      <c r="L1407" s="194" t="str">
        <f>IF(G1407=30,1,M1406)</f>
      </c>
      <c r="M1407" s="195" t="str">
        <f>L1407*(1-K1407)</f>
      </c>
    </row>
    <row r="1408">
      <c r="A1408" t="s">
        <v>167</v>
      </c>
      <c r="B1408" t="s">
        <v>219</v>
      </c>
      <c r="C1408" s="35" t="s">
        <v>221</v>
      </c>
      <c r="D1408" t="s">
        <v>502</v>
      </c>
      <c r="E1408" t="s">
        <v>520</v>
      </c>
      <c r="F1408" s="188" t="n">
        <v>2034</v>
      </c>
      <c r="G1408" s="189" t="n">
        <v>36</v>
      </c>
      <c r="H1408" s="190" t="n">
        <v>1923.36232800928</v>
      </c>
      <c r="I1408" s="191" t="n">
        <v>4381736.54356158</v>
      </c>
      <c r="J1408" s="192" t="str">
        <f>IF(I1408&gt;0,H1408/I1408,0)</f>
      </c>
      <c r="K1408" s="193" t="str">
        <f>1-EXP(-J1408)</f>
      </c>
      <c r="L1408" s="194" t="str">
        <f>IF(G1408=30,1,M1407)</f>
      </c>
      <c r="M1408" s="195" t="str">
        <f>L1408*(1-K1408)</f>
      </c>
    </row>
    <row r="1409">
      <c r="A1409" t="s">
        <v>167</v>
      </c>
      <c r="B1409" t="s">
        <v>219</v>
      </c>
      <c r="C1409" s="35" t="s">
        <v>221</v>
      </c>
      <c r="D1409" t="s">
        <v>502</v>
      </c>
      <c r="E1409" t="s">
        <v>520</v>
      </c>
      <c r="F1409" s="188" t="n">
        <v>2034</v>
      </c>
      <c r="G1409" s="189" t="n">
        <v>37</v>
      </c>
      <c r="H1409" s="190" t="n">
        <v>2328.78852831687</v>
      </c>
      <c r="I1409" s="191" t="n">
        <v>4519344.90297245</v>
      </c>
      <c r="J1409" s="192" t="str">
        <f>IF(I1409&gt;0,H1409/I1409,0)</f>
      </c>
      <c r="K1409" s="193" t="str">
        <f>1-EXP(-J1409)</f>
      </c>
      <c r="L1409" s="194" t="str">
        <f>IF(G1409=30,1,M1408)</f>
      </c>
      <c r="M1409" s="195" t="str">
        <f>L1409*(1-K1409)</f>
      </c>
    </row>
    <row r="1410">
      <c r="A1410" t="s">
        <v>167</v>
      </c>
      <c r="B1410" t="s">
        <v>219</v>
      </c>
      <c r="C1410" s="35" t="s">
        <v>221</v>
      </c>
      <c r="D1410" t="s">
        <v>502</v>
      </c>
      <c r="E1410" t="s">
        <v>520</v>
      </c>
      <c r="F1410" s="188" t="n">
        <v>2034</v>
      </c>
      <c r="G1410" s="189" t="n">
        <v>38</v>
      </c>
      <c r="H1410" s="190" t="n">
        <v>2479.37051494099</v>
      </c>
      <c r="I1410" s="191" t="n">
        <v>4474986.94394544</v>
      </c>
      <c r="J1410" s="192" t="str">
        <f>IF(I1410&gt;0,H1410/I1410,0)</f>
      </c>
      <c r="K1410" s="193" t="str">
        <f>1-EXP(-J1410)</f>
      </c>
      <c r="L1410" s="194" t="str">
        <f>IF(G1410=30,1,M1409)</f>
      </c>
      <c r="M1410" s="195" t="str">
        <f>L1410*(1-K1410)</f>
      </c>
    </row>
    <row r="1411">
      <c r="A1411" t="s">
        <v>167</v>
      </c>
      <c r="B1411" t="s">
        <v>219</v>
      </c>
      <c r="C1411" s="35" t="s">
        <v>221</v>
      </c>
      <c r="D1411" t="s">
        <v>502</v>
      </c>
      <c r="E1411" t="s">
        <v>520</v>
      </c>
      <c r="F1411" s="188" t="n">
        <v>2034</v>
      </c>
      <c r="G1411" s="189" t="n">
        <v>39</v>
      </c>
      <c r="H1411" s="190" t="n">
        <v>2626.43481835085</v>
      </c>
      <c r="I1411" s="191" t="n">
        <v>4400428.8004138</v>
      </c>
      <c r="J1411" s="192" t="str">
        <f>IF(I1411&gt;0,H1411/I1411,0)</f>
      </c>
      <c r="K1411" s="193" t="str">
        <f>1-EXP(-J1411)</f>
      </c>
      <c r="L1411" s="194" t="str">
        <f>IF(G1411=30,1,M1410)</f>
      </c>
      <c r="M1411" s="195" t="str">
        <f>L1411*(1-K1411)</f>
      </c>
    </row>
    <row r="1412">
      <c r="A1412" t="s">
        <v>167</v>
      </c>
      <c r="B1412" t="s">
        <v>219</v>
      </c>
      <c r="C1412" s="35" t="s">
        <v>221</v>
      </c>
      <c r="D1412" t="s">
        <v>502</v>
      </c>
      <c r="E1412" t="s">
        <v>520</v>
      </c>
      <c r="F1412" s="188" t="n">
        <v>2034</v>
      </c>
      <c r="G1412" s="189" t="n">
        <v>40</v>
      </c>
      <c r="H1412" s="190" t="n">
        <v>3478.52584720586</v>
      </c>
      <c r="I1412" s="191" t="n">
        <v>4341325.89296325</v>
      </c>
      <c r="J1412" s="192" t="str">
        <f>IF(I1412&gt;0,H1412/I1412,0)</f>
      </c>
      <c r="K1412" s="193" t="str">
        <f>1-EXP(-J1412)</f>
      </c>
      <c r="L1412" s="194" t="str">
        <f>IF(G1412=30,1,M1411)</f>
      </c>
      <c r="M1412" s="195" t="str">
        <f>L1412*(1-K1412)</f>
      </c>
    </row>
    <row r="1413">
      <c r="A1413" t="s">
        <v>167</v>
      </c>
      <c r="B1413" t="s">
        <v>219</v>
      </c>
      <c r="C1413" s="35" t="s">
        <v>221</v>
      </c>
      <c r="D1413" t="s">
        <v>502</v>
      </c>
      <c r="E1413" t="s">
        <v>520</v>
      </c>
      <c r="F1413" s="188" t="n">
        <v>2034</v>
      </c>
      <c r="G1413" s="189" t="n">
        <v>41</v>
      </c>
      <c r="H1413" s="190" t="n">
        <v>3704.49154617549</v>
      </c>
      <c r="I1413" s="191" t="n">
        <v>4284813.76493755</v>
      </c>
      <c r="J1413" s="192" t="str">
        <f>IF(I1413&gt;0,H1413/I1413,0)</f>
      </c>
      <c r="K1413" s="193" t="str">
        <f>1-EXP(-J1413)</f>
      </c>
      <c r="L1413" s="194" t="str">
        <f>IF(G1413=30,1,M1412)</f>
      </c>
      <c r="M1413" s="195" t="str">
        <f>L1413*(1-K1413)</f>
      </c>
    </row>
    <row r="1414">
      <c r="A1414" t="s">
        <v>167</v>
      </c>
      <c r="B1414" t="s">
        <v>219</v>
      </c>
      <c r="C1414" s="35" t="s">
        <v>221</v>
      </c>
      <c r="D1414" t="s">
        <v>502</v>
      </c>
      <c r="E1414" t="s">
        <v>520</v>
      </c>
      <c r="F1414" s="188" t="n">
        <v>2034</v>
      </c>
      <c r="G1414" s="189" t="n">
        <v>42</v>
      </c>
      <c r="H1414" s="190" t="n">
        <v>4048.13653596039</v>
      </c>
      <c r="I1414" s="191" t="n">
        <v>4319407.12150893</v>
      </c>
      <c r="J1414" s="192" t="str">
        <f>IF(I1414&gt;0,H1414/I1414,0)</f>
      </c>
      <c r="K1414" s="193" t="str">
        <f>1-EXP(-J1414)</f>
      </c>
      <c r="L1414" s="194" t="str">
        <f>IF(G1414=30,1,M1413)</f>
      </c>
      <c r="M1414" s="195" t="str">
        <f>L1414*(1-K1414)</f>
      </c>
    </row>
    <row r="1415">
      <c r="A1415" t="s">
        <v>167</v>
      </c>
      <c r="B1415" t="s">
        <v>219</v>
      </c>
      <c r="C1415" s="35" t="s">
        <v>221</v>
      </c>
      <c r="D1415" t="s">
        <v>502</v>
      </c>
      <c r="E1415" t="s">
        <v>520</v>
      </c>
      <c r="F1415" s="188" t="n">
        <v>2034</v>
      </c>
      <c r="G1415" s="189" t="n">
        <v>43</v>
      </c>
      <c r="H1415" s="190" t="n">
        <v>4420.20377162503</v>
      </c>
      <c r="I1415" s="191" t="n">
        <v>4334087.04838405</v>
      </c>
      <c r="J1415" s="192" t="str">
        <f>IF(I1415&gt;0,H1415/I1415,0)</f>
      </c>
      <c r="K1415" s="193" t="str">
        <f>1-EXP(-J1415)</f>
      </c>
      <c r="L1415" s="194" t="str">
        <f>IF(G1415=30,1,M1414)</f>
      </c>
      <c r="M1415" s="195" t="str">
        <f>L1415*(1-K1415)</f>
      </c>
    </row>
    <row r="1416">
      <c r="A1416" t="s">
        <v>167</v>
      </c>
      <c r="B1416" t="s">
        <v>219</v>
      </c>
      <c r="C1416" s="35" t="s">
        <v>221</v>
      </c>
      <c r="D1416" t="s">
        <v>502</v>
      </c>
      <c r="E1416" t="s">
        <v>520</v>
      </c>
      <c r="F1416" s="188" t="n">
        <v>2034</v>
      </c>
      <c r="G1416" s="189" t="n">
        <v>44</v>
      </c>
      <c r="H1416" s="190" t="n">
        <v>6695.01096649359</v>
      </c>
      <c r="I1416" s="191" t="n">
        <v>6379754.59325053</v>
      </c>
      <c r="J1416" s="192" t="str">
        <f>IF(I1416&gt;0,H1416/I1416,0)</f>
      </c>
      <c r="K1416" s="193" t="str">
        <f>1-EXP(-J1416)</f>
      </c>
      <c r="L1416" s="194" t="str">
        <f>IF(G1416=30,1,M1415)</f>
      </c>
      <c r="M1416" s="195" t="str">
        <f>L1416*(1-K1416)</f>
      </c>
    </row>
    <row r="1417">
      <c r="A1417" t="s">
        <v>167</v>
      </c>
      <c r="B1417" t="s">
        <v>219</v>
      </c>
      <c r="C1417" s="35" t="s">
        <v>221</v>
      </c>
      <c r="D1417" t="s">
        <v>502</v>
      </c>
      <c r="E1417" t="s">
        <v>520</v>
      </c>
      <c r="F1417" s="188" t="n">
        <v>2034</v>
      </c>
      <c r="G1417" s="189" t="n">
        <v>45</v>
      </c>
      <c r="H1417" s="190" t="n">
        <v>6156.23955122275</v>
      </c>
      <c r="I1417" s="191" t="n">
        <v>4285626.44391022</v>
      </c>
      <c r="J1417" s="192" t="str">
        <f>IF(I1417&gt;0,H1417/I1417,0)</f>
      </c>
      <c r="K1417" s="193" t="str">
        <f>1-EXP(-J1417)</f>
      </c>
      <c r="L1417" s="194" t="str">
        <f>IF(G1417=30,1,M1416)</f>
      </c>
      <c r="M1417" s="195" t="str">
        <f>L1417*(1-K1417)</f>
      </c>
    </row>
    <row r="1418">
      <c r="A1418" t="s">
        <v>167</v>
      </c>
      <c r="B1418" t="s">
        <v>219</v>
      </c>
      <c r="C1418" s="35" t="s">
        <v>221</v>
      </c>
      <c r="D1418" t="s">
        <v>502</v>
      </c>
      <c r="E1418" t="s">
        <v>520</v>
      </c>
      <c r="F1418" s="188" t="n">
        <v>2034</v>
      </c>
      <c r="G1418" s="189" t="n">
        <v>46</v>
      </c>
      <c r="H1418" s="190" t="n">
        <v>6689.71033586545</v>
      </c>
      <c r="I1418" s="191" t="n">
        <v>4263685.60604842</v>
      </c>
      <c r="J1418" s="192" t="str">
        <f>IF(I1418&gt;0,H1418/I1418,0)</f>
      </c>
      <c r="K1418" s="193" t="str">
        <f>1-EXP(-J1418)</f>
      </c>
      <c r="L1418" s="194" t="str">
        <f>IF(G1418=30,1,M1417)</f>
      </c>
      <c r="M1418" s="195" t="str">
        <f>L1418*(1-K1418)</f>
      </c>
    </row>
    <row r="1419">
      <c r="A1419" t="s">
        <v>167</v>
      </c>
      <c r="B1419" t="s">
        <v>219</v>
      </c>
      <c r="C1419" s="35" t="s">
        <v>221</v>
      </c>
      <c r="D1419" t="s">
        <v>502</v>
      </c>
      <c r="E1419" t="s">
        <v>520</v>
      </c>
      <c r="F1419" s="188" t="n">
        <v>2034</v>
      </c>
      <c r="G1419" s="189" t="n">
        <v>47</v>
      </c>
      <c r="H1419" s="190" t="n">
        <v>7106.10496757606</v>
      </c>
      <c r="I1419" s="191" t="n">
        <v>4128200.67992035</v>
      </c>
      <c r="J1419" s="192" t="str">
        <f>IF(I1419&gt;0,H1419/I1419,0)</f>
      </c>
      <c r="K1419" s="193" t="str">
        <f>1-EXP(-J1419)</f>
      </c>
      <c r="L1419" s="194" t="str">
        <f>IF(G1419=30,1,M1418)</f>
      </c>
      <c r="M1419" s="195" t="str">
        <f>L1419*(1-K1419)</f>
      </c>
    </row>
    <row r="1420">
      <c r="A1420" t="s">
        <v>167</v>
      </c>
      <c r="B1420" t="s">
        <v>219</v>
      </c>
      <c r="C1420" s="35" t="s">
        <v>221</v>
      </c>
      <c r="D1420" t="s">
        <v>502</v>
      </c>
      <c r="E1420" t="s">
        <v>520</v>
      </c>
      <c r="F1420" s="188" t="n">
        <v>2034</v>
      </c>
      <c r="G1420" s="189" t="n">
        <v>48</v>
      </c>
      <c r="H1420" s="190" t="n">
        <v>7719.71708040404</v>
      </c>
      <c r="I1420" s="191" t="n">
        <v>4088642.34800334</v>
      </c>
      <c r="J1420" s="192" t="str">
        <f>IF(I1420&gt;0,H1420/I1420,0)</f>
      </c>
      <c r="K1420" s="193" t="str">
        <f>1-EXP(-J1420)</f>
      </c>
      <c r="L1420" s="194" t="str">
        <f>IF(G1420=30,1,M1419)</f>
      </c>
      <c r="M1420" s="195" t="str">
        <f>L1420*(1-K1420)</f>
      </c>
    </row>
    <row r="1421">
      <c r="A1421" t="s">
        <v>167</v>
      </c>
      <c r="B1421" t="s">
        <v>219</v>
      </c>
      <c r="C1421" s="35" t="s">
        <v>221</v>
      </c>
      <c r="D1421" t="s">
        <v>502</v>
      </c>
      <c r="E1421" t="s">
        <v>520</v>
      </c>
      <c r="F1421" s="188" t="n">
        <v>2034</v>
      </c>
      <c r="G1421" s="189" t="n">
        <v>49</v>
      </c>
      <c r="H1421" s="190" t="n">
        <v>8573.60172722835</v>
      </c>
      <c r="I1421" s="191" t="n">
        <v>4140550.96855769</v>
      </c>
      <c r="J1421" s="192" t="str">
        <f>IF(I1421&gt;0,H1421/I1421,0)</f>
      </c>
      <c r="K1421" s="193" t="str">
        <f>1-EXP(-J1421)</f>
      </c>
      <c r="L1421" s="194" t="str">
        <f>IF(G1421=30,1,M1420)</f>
      </c>
      <c r="M1421" s="195" t="str">
        <f>L1421*(1-K1421)</f>
      </c>
    </row>
    <row r="1422">
      <c r="A1422" t="s">
        <v>167</v>
      </c>
      <c r="B1422" t="s">
        <v>219</v>
      </c>
      <c r="C1422" s="35" t="s">
        <v>221</v>
      </c>
      <c r="D1422" t="s">
        <v>502</v>
      </c>
      <c r="E1422" t="s">
        <v>520</v>
      </c>
      <c r="F1422" s="188" t="n">
        <v>2034</v>
      </c>
      <c r="G1422" s="189" t="n">
        <v>50</v>
      </c>
      <c r="H1422" s="190" t="n">
        <v>10121.9210955646</v>
      </c>
      <c r="I1422" s="191" t="n">
        <v>4216234.00664601</v>
      </c>
      <c r="J1422" s="192" t="str">
        <f>IF(I1422&gt;0,H1422/I1422,0)</f>
      </c>
      <c r="K1422" s="193" t="str">
        <f>1-EXP(-J1422)</f>
      </c>
      <c r="L1422" s="194" t="str">
        <f>IF(G1422=30,1,M1421)</f>
      </c>
      <c r="M1422" s="195" t="str">
        <f>L1422*(1-K1422)</f>
      </c>
    </row>
    <row r="1423">
      <c r="A1423" t="s">
        <v>167</v>
      </c>
      <c r="B1423" t="s">
        <v>219</v>
      </c>
      <c r="C1423" s="35" t="s">
        <v>221</v>
      </c>
      <c r="D1423" t="s">
        <v>502</v>
      </c>
      <c r="E1423" t="s">
        <v>520</v>
      </c>
      <c r="F1423" s="188" t="n">
        <v>2034</v>
      </c>
      <c r="G1423" s="189" t="n">
        <v>51</v>
      </c>
      <c r="H1423" s="190" t="n">
        <v>11007.7399506522</v>
      </c>
      <c r="I1423" s="191" t="n">
        <v>4183402.46401249</v>
      </c>
      <c r="J1423" s="192" t="str">
        <f>IF(I1423&gt;0,H1423/I1423,0)</f>
      </c>
      <c r="K1423" s="193" t="str">
        <f>1-EXP(-J1423)</f>
      </c>
      <c r="L1423" s="194" t="str">
        <f>IF(G1423=30,1,M1422)</f>
      </c>
      <c r="M1423" s="195" t="str">
        <f>L1423*(1-K1423)</f>
      </c>
    </row>
    <row r="1424">
      <c r="A1424" t="s">
        <v>167</v>
      </c>
      <c r="B1424" t="s">
        <v>219</v>
      </c>
      <c r="C1424" s="35" t="s">
        <v>221</v>
      </c>
      <c r="D1424" t="s">
        <v>502</v>
      </c>
      <c r="E1424" t="s">
        <v>520</v>
      </c>
      <c r="F1424" s="188" t="n">
        <v>2034</v>
      </c>
      <c r="G1424" s="189" t="n">
        <v>52</v>
      </c>
      <c r="H1424" s="190" t="n">
        <v>11635.3449676936</v>
      </c>
      <c r="I1424" s="191" t="n">
        <v>4040819.80902184</v>
      </c>
      <c r="J1424" s="192" t="str">
        <f>IF(I1424&gt;0,H1424/I1424,0)</f>
      </c>
      <c r="K1424" s="193" t="str">
        <f>1-EXP(-J1424)</f>
      </c>
      <c r="L1424" s="194" t="str">
        <f>IF(G1424=30,1,M1423)</f>
      </c>
      <c r="M1424" s="195" t="str">
        <f>L1424*(1-K1424)</f>
      </c>
    </row>
    <row r="1425">
      <c r="A1425" t="s">
        <v>167</v>
      </c>
      <c r="B1425" t="s">
        <v>219</v>
      </c>
      <c r="C1425" s="35" t="s">
        <v>221</v>
      </c>
      <c r="D1425" t="s">
        <v>502</v>
      </c>
      <c r="E1425" t="s">
        <v>520</v>
      </c>
      <c r="F1425" s="188" t="n">
        <v>2034</v>
      </c>
      <c r="G1425" s="189" t="n">
        <v>53</v>
      </c>
      <c r="H1425" s="190" t="n">
        <v>12456.3853788537</v>
      </c>
      <c r="I1425" s="191" t="n">
        <v>3958843.61511644</v>
      </c>
      <c r="J1425" s="192" t="str">
        <f>IF(I1425&gt;0,H1425/I1425,0)</f>
      </c>
      <c r="K1425" s="193" t="str">
        <f>1-EXP(-J1425)</f>
      </c>
      <c r="L1425" s="194" t="str">
        <f>IF(G1425=30,1,M1424)</f>
      </c>
      <c r="M1425" s="195" t="str">
        <f>L1425*(1-K1425)</f>
      </c>
    </row>
    <row r="1426">
      <c r="A1426" t="s">
        <v>167</v>
      </c>
      <c r="B1426" t="s">
        <v>219</v>
      </c>
      <c r="C1426" s="35" t="s">
        <v>221</v>
      </c>
      <c r="D1426" t="s">
        <v>502</v>
      </c>
      <c r="E1426" t="s">
        <v>520</v>
      </c>
      <c r="F1426" s="188" t="n">
        <v>2034</v>
      </c>
      <c r="G1426" s="189" t="n">
        <v>54</v>
      </c>
      <c r="H1426" s="190" t="n">
        <v>13376.6179708032</v>
      </c>
      <c r="I1426" s="191" t="n">
        <v>3891776.48164717</v>
      </c>
      <c r="J1426" s="192" t="str">
        <f>IF(I1426&gt;0,H1426/I1426,0)</f>
      </c>
      <c r="K1426" s="193" t="str">
        <f>1-EXP(-J1426)</f>
      </c>
      <c r="L1426" s="194" t="str">
        <f>IF(G1426=30,1,M1425)</f>
      </c>
      <c r="M1426" s="195" t="str">
        <f>L1426*(1-K1426)</f>
      </c>
    </row>
    <row r="1427">
      <c r="A1427" t="s">
        <v>167</v>
      </c>
      <c r="B1427" t="s">
        <v>219</v>
      </c>
      <c r="C1427" s="35" t="s">
        <v>221</v>
      </c>
      <c r="D1427" t="s">
        <v>502</v>
      </c>
      <c r="E1427" t="s">
        <v>520</v>
      </c>
      <c r="F1427" s="188" t="n">
        <v>2034</v>
      </c>
      <c r="G1427" s="189" t="n">
        <v>55</v>
      </c>
      <c r="H1427" s="190" t="n">
        <v>14375.4845237108</v>
      </c>
      <c r="I1427" s="191" t="n">
        <v>3818845.43319121</v>
      </c>
      <c r="J1427" s="192" t="str">
        <f>IF(I1427&gt;0,H1427/I1427,0)</f>
      </c>
      <c r="K1427" s="193" t="str">
        <f>1-EXP(-J1427)</f>
      </c>
      <c r="L1427" s="194" t="str">
        <f>IF(G1427=30,1,M1426)</f>
      </c>
      <c r="M1427" s="195" t="str">
        <f>L1427*(1-K1427)</f>
      </c>
    </row>
    <row r="1428">
      <c r="A1428" t="s">
        <v>167</v>
      </c>
      <c r="B1428" t="s">
        <v>219</v>
      </c>
      <c r="C1428" s="35" t="s">
        <v>221</v>
      </c>
      <c r="D1428" t="s">
        <v>502</v>
      </c>
      <c r="E1428" t="s">
        <v>520</v>
      </c>
      <c r="F1428" s="188" t="n">
        <v>2034</v>
      </c>
      <c r="G1428" s="189" t="n">
        <v>56</v>
      </c>
      <c r="H1428" s="190" t="n">
        <v>15285.3131931503</v>
      </c>
      <c r="I1428" s="191" t="n">
        <v>3726189.02650208</v>
      </c>
      <c r="J1428" s="192" t="str">
        <f>IF(I1428&gt;0,H1428/I1428,0)</f>
      </c>
      <c r="K1428" s="193" t="str">
        <f>1-EXP(-J1428)</f>
      </c>
      <c r="L1428" s="194" t="str">
        <f>IF(G1428=30,1,M1427)</f>
      </c>
      <c r="M1428" s="195" t="str">
        <f>L1428*(1-K1428)</f>
      </c>
    </row>
    <row r="1429">
      <c r="A1429" t="s">
        <v>167</v>
      </c>
      <c r="B1429" t="s">
        <v>219</v>
      </c>
      <c r="C1429" s="35" t="s">
        <v>221</v>
      </c>
      <c r="D1429" t="s">
        <v>502</v>
      </c>
      <c r="E1429" t="s">
        <v>520</v>
      </c>
      <c r="F1429" s="188" t="n">
        <v>2034</v>
      </c>
      <c r="G1429" s="189" t="n">
        <v>57</v>
      </c>
      <c r="H1429" s="190" t="n">
        <v>16382.4308964913</v>
      </c>
      <c r="I1429" s="191" t="n">
        <v>3649647.2860183</v>
      </c>
      <c r="J1429" s="192" t="str">
        <f>IF(I1429&gt;0,H1429/I1429,0)</f>
      </c>
      <c r="K1429" s="193" t="str">
        <f>1-EXP(-J1429)</f>
      </c>
      <c r="L1429" s="194" t="str">
        <f>IF(G1429=30,1,M1428)</f>
      </c>
      <c r="M1429" s="195" t="str">
        <f>L1429*(1-K1429)</f>
      </c>
    </row>
    <row r="1430">
      <c r="A1430" t="s">
        <v>167</v>
      </c>
      <c r="B1430" t="s">
        <v>219</v>
      </c>
      <c r="C1430" s="35" t="s">
        <v>221</v>
      </c>
      <c r="D1430" t="s">
        <v>502</v>
      </c>
      <c r="E1430" t="s">
        <v>520</v>
      </c>
      <c r="F1430" s="188" t="n">
        <v>2034</v>
      </c>
      <c r="G1430" s="189" t="n">
        <v>58</v>
      </c>
      <c r="H1430" s="190" t="n">
        <v>17481.3030663343</v>
      </c>
      <c r="I1430" s="191" t="n">
        <v>3561192.23363644</v>
      </c>
      <c r="J1430" s="192" t="str">
        <f>IF(I1430&gt;0,H1430/I1430,0)</f>
      </c>
      <c r="K1430" s="193" t="str">
        <f>1-EXP(-J1430)</f>
      </c>
      <c r="L1430" s="194" t="str">
        <f>IF(G1430=30,1,M1429)</f>
      </c>
      <c r="M1430" s="195" t="str">
        <f>L1430*(1-K1430)</f>
      </c>
    </row>
    <row r="1431">
      <c r="A1431" t="s">
        <v>167</v>
      </c>
      <c r="B1431" t="s">
        <v>219</v>
      </c>
      <c r="C1431" s="35" t="s">
        <v>221</v>
      </c>
      <c r="D1431" t="s">
        <v>502</v>
      </c>
      <c r="E1431" t="s">
        <v>520</v>
      </c>
      <c r="F1431" s="188" t="n">
        <v>2034</v>
      </c>
      <c r="G1431" s="189" t="n">
        <v>59</v>
      </c>
      <c r="H1431" s="190" t="n">
        <v>18646.8460030285</v>
      </c>
      <c r="I1431" s="191" t="n">
        <v>3471371.18557343</v>
      </c>
      <c r="J1431" s="192" t="str">
        <f>IF(I1431&gt;0,H1431/I1431,0)</f>
      </c>
      <c r="K1431" s="193" t="str">
        <f>1-EXP(-J1431)</f>
      </c>
      <c r="L1431" s="194" t="str">
        <f>IF(G1431=30,1,M1430)</f>
      </c>
      <c r="M1431" s="195" t="str">
        <f>L1431*(1-K1431)</f>
      </c>
    </row>
    <row r="1432">
      <c r="A1432" t="s">
        <v>167</v>
      </c>
      <c r="B1432" t="s">
        <v>219</v>
      </c>
      <c r="C1432" s="35" t="s">
        <v>221</v>
      </c>
      <c r="D1432" t="s">
        <v>502</v>
      </c>
      <c r="E1432" t="s">
        <v>520</v>
      </c>
      <c r="F1432" s="188" t="n">
        <v>2034</v>
      </c>
      <c r="G1432" s="189" t="n">
        <v>60</v>
      </c>
      <c r="H1432" s="190" t="n">
        <v>19908.4264621683</v>
      </c>
      <c r="I1432" s="191" t="n">
        <v>3354768.43133535</v>
      </c>
      <c r="J1432" s="192" t="str">
        <f>IF(I1432&gt;0,H1432/I1432,0)</f>
      </c>
      <c r="K1432" s="193" t="str">
        <f>1-EXP(-J1432)</f>
      </c>
      <c r="L1432" s="194" t="str">
        <f>IF(G1432=30,1,M1431)</f>
      </c>
      <c r="M1432" s="195" t="str">
        <f>L1432*(1-K1432)</f>
      </c>
    </row>
    <row r="1433">
      <c r="A1433" t="s">
        <v>167</v>
      </c>
      <c r="B1433" t="s">
        <v>219</v>
      </c>
      <c r="C1433" s="35" t="s">
        <v>221</v>
      </c>
      <c r="D1433" t="s">
        <v>502</v>
      </c>
      <c r="E1433" t="s">
        <v>520</v>
      </c>
      <c r="F1433" s="188" t="n">
        <v>2034</v>
      </c>
      <c r="G1433" s="189" t="n">
        <v>61</v>
      </c>
      <c r="H1433" s="190" t="n">
        <v>21502.7641979394</v>
      </c>
      <c r="I1433" s="191" t="n">
        <v>3293777.83198108</v>
      </c>
      <c r="J1433" s="192" t="str">
        <f>IF(I1433&gt;0,H1433/I1433,0)</f>
      </c>
      <c r="K1433" s="193" t="str">
        <f>1-EXP(-J1433)</f>
      </c>
      <c r="L1433" s="194" t="str">
        <f>IF(G1433=30,1,M1432)</f>
      </c>
      <c r="M1433" s="195" t="str">
        <f>L1433*(1-K1433)</f>
      </c>
    </row>
    <row r="1434">
      <c r="A1434" t="s">
        <v>167</v>
      </c>
      <c r="B1434" t="s">
        <v>219</v>
      </c>
      <c r="C1434" s="35" t="s">
        <v>221</v>
      </c>
      <c r="D1434" t="s">
        <v>502</v>
      </c>
      <c r="E1434" t="s">
        <v>520</v>
      </c>
      <c r="F1434" s="188" t="n">
        <v>2034</v>
      </c>
      <c r="G1434" s="189" t="n">
        <v>62</v>
      </c>
      <c r="H1434" s="190" t="n">
        <v>22033.9244658757</v>
      </c>
      <c r="I1434" s="191" t="n">
        <v>3078567.14653341</v>
      </c>
      <c r="J1434" s="192" t="str">
        <f>IF(I1434&gt;0,H1434/I1434,0)</f>
      </c>
      <c r="K1434" s="193" t="str">
        <f>1-EXP(-J1434)</f>
      </c>
      <c r="L1434" s="194" t="str">
        <f>IF(G1434=30,1,M1433)</f>
      </c>
      <c r="M1434" s="195" t="str">
        <f>L1434*(1-K1434)</f>
      </c>
    </row>
    <row r="1435">
      <c r="A1435" t="s">
        <v>167</v>
      </c>
      <c r="B1435" t="s">
        <v>219</v>
      </c>
      <c r="C1435" s="35" t="s">
        <v>221</v>
      </c>
      <c r="D1435" t="s">
        <v>502</v>
      </c>
      <c r="E1435" t="s">
        <v>520</v>
      </c>
      <c r="F1435" s="188" t="n">
        <v>2034</v>
      </c>
      <c r="G1435" s="189" t="n">
        <v>63</v>
      </c>
      <c r="H1435" s="190" t="n">
        <v>23341.6283570119</v>
      </c>
      <c r="I1435" s="191" t="n">
        <v>2977122.94824262</v>
      </c>
      <c r="J1435" s="192" t="str">
        <f>IF(I1435&gt;0,H1435/I1435,0)</f>
      </c>
      <c r="K1435" s="193" t="str">
        <f>1-EXP(-J1435)</f>
      </c>
      <c r="L1435" s="194" t="str">
        <f>IF(G1435=30,1,M1434)</f>
      </c>
      <c r="M1435" s="195" t="str">
        <f>L1435*(1-K1435)</f>
      </c>
    </row>
    <row r="1436">
      <c r="A1436" t="s">
        <v>167</v>
      </c>
      <c r="B1436" t="s">
        <v>219</v>
      </c>
      <c r="C1436" s="35" t="s">
        <v>221</v>
      </c>
      <c r="D1436" t="s">
        <v>502</v>
      </c>
      <c r="E1436" t="s">
        <v>520</v>
      </c>
      <c r="F1436" s="188" t="n">
        <v>2034</v>
      </c>
      <c r="G1436" s="189" t="n">
        <v>64</v>
      </c>
      <c r="H1436" s="190" t="n">
        <v>24736.2547106144</v>
      </c>
      <c r="I1436" s="191" t="n">
        <v>2879033.33823218</v>
      </c>
      <c r="J1436" s="192" t="str">
        <f>IF(I1436&gt;0,H1436/I1436,0)</f>
      </c>
      <c r="K1436" s="193" t="str">
        <f>1-EXP(-J1436)</f>
      </c>
      <c r="L1436" s="194" t="str">
        <f>IF(G1436=30,1,M1435)</f>
      </c>
      <c r="M1436" s="195" t="str">
        <f>L1436*(1-K1436)</f>
      </c>
    </row>
    <row r="1437">
      <c r="A1437" t="s">
        <v>167</v>
      </c>
      <c r="B1437" t="s">
        <v>219</v>
      </c>
      <c r="C1437" s="35" t="s">
        <v>221</v>
      </c>
      <c r="D1437" t="s">
        <v>502</v>
      </c>
      <c r="E1437" t="s">
        <v>520</v>
      </c>
      <c r="F1437" s="188" t="n">
        <v>2034</v>
      </c>
      <c r="G1437" s="189" t="n">
        <v>65</v>
      </c>
      <c r="H1437" s="190" t="n">
        <v>25214.9980277831</v>
      </c>
      <c r="I1437" s="191" t="n">
        <v>2771751.8426869</v>
      </c>
      <c r="J1437" s="192" t="str">
        <f>IF(I1437&gt;0,H1437/I1437,0)</f>
      </c>
      <c r="K1437" s="193" t="str">
        <f>1-EXP(-J1437)</f>
      </c>
      <c r="L1437" s="194" t="str">
        <f>IF(G1437=30,1,M1436)</f>
      </c>
      <c r="M1437" s="195" t="str">
        <f>L1437*(1-K1437)</f>
      </c>
    </row>
    <row r="1438">
      <c r="A1438" t="s">
        <v>167</v>
      </c>
      <c r="B1438" t="s">
        <v>219</v>
      </c>
      <c r="C1438" s="35" t="s">
        <v>221</v>
      </c>
      <c r="D1438" t="s">
        <v>502</v>
      </c>
      <c r="E1438" t="s">
        <v>520</v>
      </c>
      <c r="F1438" s="188" t="n">
        <v>2034</v>
      </c>
      <c r="G1438" s="189" t="n">
        <v>66</v>
      </c>
      <c r="H1438" s="190" t="n">
        <v>26385.4210643681</v>
      </c>
      <c r="I1438" s="191" t="n">
        <v>2646315.655577</v>
      </c>
      <c r="J1438" s="192" t="str">
        <f>IF(I1438&gt;0,H1438/I1438,0)</f>
      </c>
      <c r="K1438" s="193" t="str">
        <f>1-EXP(-J1438)</f>
      </c>
      <c r="L1438" s="194" t="str">
        <f>IF(G1438=30,1,M1437)</f>
      </c>
      <c r="M1438" s="195" t="str">
        <f>L1438*(1-K1438)</f>
      </c>
    </row>
    <row r="1439">
      <c r="A1439" t="s">
        <v>167</v>
      </c>
      <c r="B1439" t="s">
        <v>219</v>
      </c>
      <c r="C1439" s="35" t="s">
        <v>221</v>
      </c>
      <c r="D1439" t="s">
        <v>502</v>
      </c>
      <c r="E1439" t="s">
        <v>520</v>
      </c>
      <c r="F1439" s="188" t="n">
        <v>2034</v>
      </c>
      <c r="G1439" s="189" t="n">
        <v>67</v>
      </c>
      <c r="H1439" s="190" t="n">
        <v>27294.0362353658</v>
      </c>
      <c r="I1439" s="191" t="n">
        <v>2492145.45268257</v>
      </c>
      <c r="J1439" s="192" t="str">
        <f>IF(I1439&gt;0,H1439/I1439,0)</f>
      </c>
      <c r="K1439" s="193" t="str">
        <f>1-EXP(-J1439)</f>
      </c>
      <c r="L1439" s="194" t="str">
        <f>IF(G1439=30,1,M1438)</f>
      </c>
      <c r="M1439" s="195" t="str">
        <f>L1439*(1-K1439)</f>
      </c>
    </row>
    <row r="1440">
      <c r="A1440" t="s">
        <v>167</v>
      </c>
      <c r="B1440" t="s">
        <v>219</v>
      </c>
      <c r="C1440" s="35" t="s">
        <v>221</v>
      </c>
      <c r="D1440" t="s">
        <v>502</v>
      </c>
      <c r="E1440" t="s">
        <v>520</v>
      </c>
      <c r="F1440" s="188" t="n">
        <v>2034</v>
      </c>
      <c r="G1440" s="189" t="n">
        <v>68</v>
      </c>
      <c r="H1440" s="190" t="n">
        <v>28517.3834724707</v>
      </c>
      <c r="I1440" s="191" t="n">
        <v>2370932.32129363</v>
      </c>
      <c r="J1440" s="192" t="str">
        <f>IF(I1440&gt;0,H1440/I1440,0)</f>
      </c>
      <c r="K1440" s="193" t="str">
        <f>1-EXP(-J1440)</f>
      </c>
      <c r="L1440" s="194" t="str">
        <f>IF(G1440=30,1,M1439)</f>
      </c>
      <c r="M1440" s="195" t="str">
        <f>L1440*(1-K1440)</f>
      </c>
    </row>
    <row r="1441">
      <c r="A1441" t="s">
        <v>167</v>
      </c>
      <c r="B1441" t="s">
        <v>219</v>
      </c>
      <c r="C1441" s="35" t="s">
        <v>221</v>
      </c>
      <c r="D1441" t="s">
        <v>502</v>
      </c>
      <c r="E1441" t="s">
        <v>520</v>
      </c>
      <c r="F1441" s="188" t="n">
        <v>2034</v>
      </c>
      <c r="G1441" s="189" t="n">
        <v>69</v>
      </c>
      <c r="H1441" s="190" t="n">
        <v>29487.9735914066</v>
      </c>
      <c r="I1441" s="191" t="n">
        <v>2230731.49238422</v>
      </c>
      <c r="J1441" s="192" t="str">
        <f>IF(I1441&gt;0,H1441/I1441,0)</f>
      </c>
      <c r="K1441" s="193" t="str">
        <f>1-EXP(-J1441)</f>
      </c>
      <c r="L1441" s="194" t="str">
        <f>IF(G1441=30,1,M1440)</f>
      </c>
      <c r="M1441" s="195" t="str">
        <f>L1441*(1-K1441)</f>
      </c>
    </row>
    <row r="1442">
      <c r="A1442" t="s">
        <v>167</v>
      </c>
      <c r="B1442" t="s">
        <v>219</v>
      </c>
      <c r="C1442" s="35" t="s">
        <v>221</v>
      </c>
      <c r="D1442" t="s">
        <v>502</v>
      </c>
      <c r="E1442" t="s">
        <v>520</v>
      </c>
      <c r="F1442" s="188" t="n">
        <v>2035</v>
      </c>
      <c r="G1442" s="189" t="n">
        <v>30</v>
      </c>
      <c r="H1442" s="190" t="n">
        <v>782.984308478638</v>
      </c>
      <c r="I1442" s="191" t="n">
        <v>4552922.45559731</v>
      </c>
      <c r="J1442" s="192" t="str">
        <f>IF(I1442&gt;0,H1442/I1442,0)</f>
      </c>
      <c r="K1442" s="193" t="str">
        <f>1-EXP(-J1442)</f>
      </c>
      <c r="L1442" s="194" t="str">
        <f>IF(G1442=30,1,M1441)</f>
      </c>
      <c r="M1442" s="195" t="str">
        <f>L1442*(1-K1442)</f>
      </c>
    </row>
    <row r="1443">
      <c r="A1443" t="s">
        <v>167</v>
      </c>
      <c r="B1443" t="s">
        <v>219</v>
      </c>
      <c r="C1443" s="35" t="s">
        <v>221</v>
      </c>
      <c r="D1443" t="s">
        <v>502</v>
      </c>
      <c r="E1443" t="s">
        <v>520</v>
      </c>
      <c r="F1443" s="188" t="n">
        <v>2035</v>
      </c>
      <c r="G1443" s="189" t="n">
        <v>31</v>
      </c>
      <c r="H1443" s="190" t="n">
        <v>952.307417445653</v>
      </c>
      <c r="I1443" s="191" t="n">
        <v>4424193.767227</v>
      </c>
      <c r="J1443" s="192" t="str">
        <f>IF(I1443&gt;0,H1443/I1443,0)</f>
      </c>
      <c r="K1443" s="193" t="str">
        <f>1-EXP(-J1443)</f>
      </c>
      <c r="L1443" s="194" t="str">
        <f>IF(G1443=30,1,M1442)</f>
      </c>
      <c r="M1443" s="195" t="str">
        <f>L1443*(1-K1443)</f>
      </c>
    </row>
    <row r="1444">
      <c r="A1444" t="s">
        <v>167</v>
      </c>
      <c r="B1444" t="s">
        <v>219</v>
      </c>
      <c r="C1444" s="35" t="s">
        <v>221</v>
      </c>
      <c r="D1444" t="s">
        <v>502</v>
      </c>
      <c r="E1444" t="s">
        <v>520</v>
      </c>
      <c r="F1444" s="188" t="n">
        <v>2035</v>
      </c>
      <c r="G1444" s="189" t="n">
        <v>32</v>
      </c>
      <c r="H1444" s="190" t="n">
        <v>989.332957409223</v>
      </c>
      <c r="I1444" s="191" t="n">
        <v>4358984.82845456</v>
      </c>
      <c r="J1444" s="192" t="str">
        <f>IF(I1444&gt;0,H1444/I1444,0)</f>
      </c>
      <c r="K1444" s="193" t="str">
        <f>1-EXP(-J1444)</f>
      </c>
      <c r="L1444" s="194" t="str">
        <f>IF(G1444=30,1,M1443)</f>
      </c>
      <c r="M1444" s="195" t="str">
        <f>L1444*(1-K1444)</f>
      </c>
    </row>
    <row r="1445">
      <c r="A1445" t="s">
        <v>167</v>
      </c>
      <c r="B1445" t="s">
        <v>219</v>
      </c>
      <c r="C1445" s="35" t="s">
        <v>221</v>
      </c>
      <c r="D1445" t="s">
        <v>502</v>
      </c>
      <c r="E1445" t="s">
        <v>520</v>
      </c>
      <c r="F1445" s="188" t="n">
        <v>2035</v>
      </c>
      <c r="G1445" s="189" t="n">
        <v>33</v>
      </c>
      <c r="H1445" s="190" t="n">
        <v>1189.01389299143</v>
      </c>
      <c r="I1445" s="191" t="n">
        <v>4337872.4154166</v>
      </c>
      <c r="J1445" s="192" t="str">
        <f>IF(I1445&gt;0,H1445/I1445,0)</f>
      </c>
      <c r="K1445" s="193" t="str">
        <f>1-EXP(-J1445)</f>
      </c>
      <c r="L1445" s="194" t="str">
        <f>IF(G1445=30,1,M1444)</f>
      </c>
      <c r="M1445" s="195" t="str">
        <f>L1445*(1-K1445)</f>
      </c>
    </row>
    <row r="1446">
      <c r="A1446" t="s">
        <v>167</v>
      </c>
      <c r="B1446" t="s">
        <v>219</v>
      </c>
      <c r="C1446" s="35" t="s">
        <v>221</v>
      </c>
      <c r="D1446" t="s">
        <v>502</v>
      </c>
      <c r="E1446" t="s">
        <v>520</v>
      </c>
      <c r="F1446" s="188" t="n">
        <v>2035</v>
      </c>
      <c r="G1446" s="189" t="n">
        <v>34</v>
      </c>
      <c r="H1446" s="190" t="n">
        <v>1259.539473469</v>
      </c>
      <c r="I1446" s="191" t="n">
        <v>4317888.0697878</v>
      </c>
      <c r="J1446" s="192" t="str">
        <f>IF(I1446&gt;0,H1446/I1446,0)</f>
      </c>
      <c r="K1446" s="193" t="str">
        <f>1-EXP(-J1446)</f>
      </c>
      <c r="L1446" s="194" t="str">
        <f>IF(G1446=30,1,M1445)</f>
      </c>
      <c r="M1446" s="195" t="str">
        <f>L1446*(1-K1446)</f>
      </c>
    </row>
    <row r="1447">
      <c r="A1447" t="s">
        <v>167</v>
      </c>
      <c r="B1447" t="s">
        <v>219</v>
      </c>
      <c r="C1447" s="35" t="s">
        <v>221</v>
      </c>
      <c r="D1447" t="s">
        <v>502</v>
      </c>
      <c r="E1447" t="s">
        <v>520</v>
      </c>
      <c r="F1447" s="188" t="n">
        <v>2035</v>
      </c>
      <c r="G1447" s="189" t="n">
        <v>35</v>
      </c>
      <c r="H1447" s="190" t="n">
        <v>1689.05900638971</v>
      </c>
      <c r="I1447" s="191" t="n">
        <v>4297578.83913302</v>
      </c>
      <c r="J1447" s="192" t="str">
        <f>IF(I1447&gt;0,H1447/I1447,0)</f>
      </c>
      <c r="K1447" s="193" t="str">
        <f>1-EXP(-J1447)</f>
      </c>
      <c r="L1447" s="194" t="str">
        <f>IF(G1447=30,1,M1446)</f>
      </c>
      <c r="M1447" s="195" t="str">
        <f>L1447*(1-K1447)</f>
      </c>
    </row>
    <row r="1448">
      <c r="A1448" t="s">
        <v>167</v>
      </c>
      <c r="B1448" t="s">
        <v>219</v>
      </c>
      <c r="C1448" s="35" t="s">
        <v>221</v>
      </c>
      <c r="D1448" t="s">
        <v>502</v>
      </c>
      <c r="E1448" t="s">
        <v>520</v>
      </c>
      <c r="F1448" s="188" t="n">
        <v>2035</v>
      </c>
      <c r="G1448" s="189" t="n">
        <v>36</v>
      </c>
      <c r="H1448" s="190" t="n">
        <v>1892.53864826827</v>
      </c>
      <c r="I1448" s="191" t="n">
        <v>4316395.47821755</v>
      </c>
      <c r="J1448" s="192" t="str">
        <f>IF(I1448&gt;0,H1448/I1448,0)</f>
      </c>
      <c r="K1448" s="193" t="str">
        <f>1-EXP(-J1448)</f>
      </c>
      <c r="L1448" s="194" t="str">
        <f>IF(G1448=30,1,M1447)</f>
      </c>
      <c r="M1448" s="195" t="str">
        <f>L1448*(1-K1448)</f>
      </c>
    </row>
    <row r="1449">
      <c r="A1449" t="s">
        <v>167</v>
      </c>
      <c r="B1449" t="s">
        <v>219</v>
      </c>
      <c r="C1449" s="35" t="s">
        <v>221</v>
      </c>
      <c r="D1449" t="s">
        <v>502</v>
      </c>
      <c r="E1449" t="s">
        <v>520</v>
      </c>
      <c r="F1449" s="188" t="n">
        <v>2035</v>
      </c>
      <c r="G1449" s="189" t="n">
        <v>37</v>
      </c>
      <c r="H1449" s="190" t="n">
        <v>2064.09283822272</v>
      </c>
      <c r="I1449" s="191" t="n">
        <v>4374471.67720944</v>
      </c>
      <c r="J1449" s="192" t="str">
        <f>IF(I1449&gt;0,H1449/I1449,0)</f>
      </c>
      <c r="K1449" s="193" t="str">
        <f>1-EXP(-J1449)</f>
      </c>
      <c r="L1449" s="194" t="str">
        <f>IF(G1449=30,1,M1448)</f>
      </c>
      <c r="M1449" s="195" t="str">
        <f>L1449*(1-K1449)</f>
      </c>
    </row>
    <row r="1450">
      <c r="A1450" t="s">
        <v>167</v>
      </c>
      <c r="B1450" t="s">
        <v>219</v>
      </c>
      <c r="C1450" s="35" t="s">
        <v>221</v>
      </c>
      <c r="D1450" t="s">
        <v>502</v>
      </c>
      <c r="E1450" t="s">
        <v>520</v>
      </c>
      <c r="F1450" s="188" t="n">
        <v>2035</v>
      </c>
      <c r="G1450" s="189" t="n">
        <v>38</v>
      </c>
      <c r="H1450" s="190" t="n">
        <v>2497.47359138974</v>
      </c>
      <c r="I1450" s="191" t="n">
        <v>4511099.78231055</v>
      </c>
      <c r="J1450" s="192" t="str">
        <f>IF(I1450&gt;0,H1450/I1450,0)</f>
      </c>
      <c r="K1450" s="193" t="str">
        <f>1-EXP(-J1450)</f>
      </c>
      <c r="L1450" s="194" t="str">
        <f>IF(G1450=30,1,M1449)</f>
      </c>
      <c r="M1450" s="195" t="str">
        <f>L1450*(1-K1450)</f>
      </c>
    </row>
    <row r="1451">
      <c r="A1451" t="s">
        <v>167</v>
      </c>
      <c r="B1451" t="s">
        <v>219</v>
      </c>
      <c r="C1451" s="35" t="s">
        <v>221</v>
      </c>
      <c r="D1451" t="s">
        <v>502</v>
      </c>
      <c r="E1451" t="s">
        <v>520</v>
      </c>
      <c r="F1451" s="188" t="n">
        <v>2035</v>
      </c>
      <c r="G1451" s="189" t="n">
        <v>39</v>
      </c>
      <c r="H1451" s="190" t="n">
        <v>2663.31818461454</v>
      </c>
      <c r="I1451" s="191" t="n">
        <v>4466227.11357392</v>
      </c>
      <c r="J1451" s="192" t="str">
        <f>IF(I1451&gt;0,H1451/I1451,0)</f>
      </c>
      <c r="K1451" s="193" t="str">
        <f>1-EXP(-J1451)</f>
      </c>
      <c r="L1451" s="194" t="str">
        <f>IF(G1451=30,1,M1450)</f>
      </c>
      <c r="M1451" s="195" t="str">
        <f>L1451*(1-K1451)</f>
      </c>
    </row>
    <row r="1452">
      <c r="A1452" t="s">
        <v>167</v>
      </c>
      <c r="B1452" t="s">
        <v>219</v>
      </c>
      <c r="C1452" s="35" t="s">
        <v>221</v>
      </c>
      <c r="D1452" t="s">
        <v>502</v>
      </c>
      <c r="E1452" t="s">
        <v>520</v>
      </c>
      <c r="F1452" s="188" t="n">
        <v>2035</v>
      </c>
      <c r="G1452" s="189" t="n">
        <v>40</v>
      </c>
      <c r="H1452" s="190" t="n">
        <v>3511.52655795817</v>
      </c>
      <c r="I1452" s="191" t="n">
        <v>4391166.28806253</v>
      </c>
      <c r="J1452" s="192" t="str">
        <f>IF(I1452&gt;0,H1452/I1452,0)</f>
      </c>
      <c r="K1452" s="193" t="str">
        <f>1-EXP(-J1452)</f>
      </c>
      <c r="L1452" s="194" t="str">
        <f>IF(G1452=30,1,M1451)</f>
      </c>
      <c r="M1452" s="195" t="str">
        <f>L1452*(1-K1452)</f>
      </c>
    </row>
    <row r="1453">
      <c r="A1453" t="s">
        <v>167</v>
      </c>
      <c r="B1453" t="s">
        <v>219</v>
      </c>
      <c r="C1453" s="35" t="s">
        <v>221</v>
      </c>
      <c r="D1453" t="s">
        <v>502</v>
      </c>
      <c r="E1453" t="s">
        <v>520</v>
      </c>
      <c r="F1453" s="188" t="n">
        <v>2035</v>
      </c>
      <c r="G1453" s="189" t="n">
        <v>41</v>
      </c>
      <c r="H1453" s="190" t="n">
        <v>3736.53895436832</v>
      </c>
      <c r="I1453" s="191" t="n">
        <v>4330702.68218082</v>
      </c>
      <c r="J1453" s="192" t="str">
        <f>IF(I1453&gt;0,H1453/I1453,0)</f>
      </c>
      <c r="K1453" s="193" t="str">
        <f>1-EXP(-J1453)</f>
      </c>
      <c r="L1453" s="194" t="str">
        <f>IF(G1453=30,1,M1452)</f>
      </c>
      <c r="M1453" s="195" t="str">
        <f>L1453*(1-K1453)</f>
      </c>
    </row>
    <row r="1454">
      <c r="A1454" t="s">
        <v>167</v>
      </c>
      <c r="B1454" t="s">
        <v>219</v>
      </c>
      <c r="C1454" s="35" t="s">
        <v>221</v>
      </c>
      <c r="D1454" t="s">
        <v>502</v>
      </c>
      <c r="E1454" t="s">
        <v>520</v>
      </c>
      <c r="F1454" s="188" t="n">
        <v>2035</v>
      </c>
      <c r="G1454" s="189" t="n">
        <v>42</v>
      </c>
      <c r="H1454" s="190" t="n">
        <v>4000.55255083817</v>
      </c>
      <c r="I1454" s="191" t="n">
        <v>4274288.24814292</v>
      </c>
      <c r="J1454" s="192" t="str">
        <f>IF(I1454&gt;0,H1454/I1454,0)</f>
      </c>
      <c r="K1454" s="193" t="str">
        <f>1-EXP(-J1454)</f>
      </c>
      <c r="L1454" s="194" t="str">
        <f>IF(G1454=30,1,M1453)</f>
      </c>
      <c r="M1454" s="195" t="str">
        <f>L1454*(1-K1454)</f>
      </c>
    </row>
    <row r="1455">
      <c r="A1455" t="s">
        <v>167</v>
      </c>
      <c r="B1455" t="s">
        <v>219</v>
      </c>
      <c r="C1455" s="35" t="s">
        <v>221</v>
      </c>
      <c r="D1455" t="s">
        <v>502</v>
      </c>
      <c r="E1455" t="s">
        <v>520</v>
      </c>
      <c r="F1455" s="188" t="n">
        <v>2035</v>
      </c>
      <c r="G1455" s="189" t="n">
        <v>43</v>
      </c>
      <c r="H1455" s="190" t="n">
        <v>4382.65443596573</v>
      </c>
      <c r="I1455" s="191" t="n">
        <v>4307930.42497435</v>
      </c>
      <c r="J1455" s="192" t="str">
        <f>IF(I1455&gt;0,H1455/I1455,0)</f>
      </c>
      <c r="K1455" s="193" t="str">
        <f>1-EXP(-J1455)</f>
      </c>
      <c r="L1455" s="194" t="str">
        <f>IF(G1455=30,1,M1454)</f>
      </c>
      <c r="M1455" s="195" t="str">
        <f>L1455*(1-K1455)</f>
      </c>
    </row>
    <row r="1456">
      <c r="A1456" t="s">
        <v>167</v>
      </c>
      <c r="B1456" t="s">
        <v>219</v>
      </c>
      <c r="C1456" s="35" t="s">
        <v>221</v>
      </c>
      <c r="D1456" t="s">
        <v>502</v>
      </c>
      <c r="E1456" t="s">
        <v>520</v>
      </c>
      <c r="F1456" s="188" t="n">
        <v>2035</v>
      </c>
      <c r="G1456" s="189" t="n">
        <v>44</v>
      </c>
      <c r="H1456" s="190" t="n">
        <v>4796.59076241264</v>
      </c>
      <c r="I1456" s="191" t="n">
        <v>4321586.97280304</v>
      </c>
      <c r="J1456" s="192" t="str">
        <f>IF(I1456&gt;0,H1456/I1456,0)</f>
      </c>
      <c r="K1456" s="193" t="str">
        <f>1-EXP(-J1456)</f>
      </c>
      <c r="L1456" s="194" t="str">
        <f>IF(G1456=30,1,M1455)</f>
      </c>
      <c r="M1456" s="195" t="str">
        <f>L1456*(1-K1456)</f>
      </c>
    </row>
    <row r="1457">
      <c r="A1457" t="s">
        <v>167</v>
      </c>
      <c r="B1457" t="s">
        <v>219</v>
      </c>
      <c r="C1457" s="35" t="s">
        <v>221</v>
      </c>
      <c r="D1457" t="s">
        <v>502</v>
      </c>
      <c r="E1457" t="s">
        <v>520</v>
      </c>
      <c r="F1457" s="188" t="n">
        <v>2035</v>
      </c>
      <c r="G1457" s="189" t="n">
        <v>45</v>
      </c>
      <c r="H1457" s="190" t="n">
        <v>8466.82775324221</v>
      </c>
      <c r="I1457" s="191" t="n">
        <v>6360669.82050285</v>
      </c>
      <c r="J1457" s="192" t="str">
        <f>IF(I1457&gt;0,H1457/I1457,0)</f>
      </c>
      <c r="K1457" s="193" t="str">
        <f>1-EXP(-J1457)</f>
      </c>
      <c r="L1457" s="194" t="str">
        <f>IF(G1457=30,1,M1456)</f>
      </c>
      <c r="M1457" s="195" t="str">
        <f>L1457*(1-K1457)</f>
      </c>
    </row>
    <row r="1458">
      <c r="A1458" t="s">
        <v>167</v>
      </c>
      <c r="B1458" t="s">
        <v>219</v>
      </c>
      <c r="C1458" s="35" t="s">
        <v>221</v>
      </c>
      <c r="D1458" t="s">
        <v>502</v>
      </c>
      <c r="E1458" t="s">
        <v>520</v>
      </c>
      <c r="F1458" s="188" t="n">
        <v>2035</v>
      </c>
      <c r="G1458" s="189" t="n">
        <v>46</v>
      </c>
      <c r="H1458" s="190" t="n">
        <v>6671.98736036243</v>
      </c>
      <c r="I1458" s="191" t="n">
        <v>4269941.23494975</v>
      </c>
      <c r="J1458" s="192" t="str">
        <f>IF(I1458&gt;0,H1458/I1458,0)</f>
      </c>
      <c r="K1458" s="193" t="str">
        <f>1-EXP(-J1458)</f>
      </c>
      <c r="L1458" s="194" t="str">
        <f>IF(G1458=30,1,M1457)</f>
      </c>
      <c r="M1458" s="195" t="str">
        <f>L1458*(1-K1458)</f>
      </c>
    </row>
    <row r="1459">
      <c r="A1459" t="s">
        <v>167</v>
      </c>
      <c r="B1459" t="s">
        <v>219</v>
      </c>
      <c r="C1459" s="35" t="s">
        <v>221</v>
      </c>
      <c r="D1459" t="s">
        <v>502</v>
      </c>
      <c r="E1459" t="s">
        <v>520</v>
      </c>
      <c r="F1459" s="188" t="n">
        <v>2035</v>
      </c>
      <c r="G1459" s="189" t="n">
        <v>47</v>
      </c>
      <c r="H1459" s="190" t="n">
        <v>7277.94988177196</v>
      </c>
      <c r="I1459" s="191" t="n">
        <v>4247644.40474841</v>
      </c>
      <c r="J1459" s="192" t="str">
        <f>IF(I1459&gt;0,H1459/I1459,0)</f>
      </c>
      <c r="K1459" s="193" t="str">
        <f>1-EXP(-J1459)</f>
      </c>
      <c r="L1459" s="194" t="str">
        <f>IF(G1459=30,1,M1458)</f>
      </c>
      <c r="M1459" s="195" t="str">
        <f>L1459*(1-K1459)</f>
      </c>
    </row>
    <row r="1460">
      <c r="A1460" t="s">
        <v>167</v>
      </c>
      <c r="B1460" t="s">
        <v>219</v>
      </c>
      <c r="C1460" s="35" t="s">
        <v>221</v>
      </c>
      <c r="D1460" t="s">
        <v>502</v>
      </c>
      <c r="E1460" t="s">
        <v>520</v>
      </c>
      <c r="F1460" s="188" t="n">
        <v>2035</v>
      </c>
      <c r="G1460" s="189" t="n">
        <v>48</v>
      </c>
      <c r="H1460" s="190" t="n">
        <v>7729.610158755</v>
      </c>
      <c r="I1460" s="191" t="n">
        <v>4111185.52245869</v>
      </c>
      <c r="J1460" s="192" t="str">
        <f>IF(I1460&gt;0,H1460/I1460,0)</f>
      </c>
      <c r="K1460" s="193" t="str">
        <f>1-EXP(-J1460)</f>
      </c>
      <c r="L1460" s="194" t="str">
        <f>IF(G1460=30,1,M1459)</f>
      </c>
      <c r="M1460" s="195" t="str">
        <f>L1460*(1-K1460)</f>
      </c>
    </row>
    <row r="1461">
      <c r="A1461" t="s">
        <v>167</v>
      </c>
      <c r="B1461" t="s">
        <v>219</v>
      </c>
      <c r="C1461" s="35" t="s">
        <v>221</v>
      </c>
      <c r="D1461" t="s">
        <v>502</v>
      </c>
      <c r="E1461" t="s">
        <v>520</v>
      </c>
      <c r="F1461" s="188" t="n">
        <v>2035</v>
      </c>
      <c r="G1461" s="189" t="n">
        <v>49</v>
      </c>
      <c r="H1461" s="190" t="n">
        <v>8391.44030392896</v>
      </c>
      <c r="I1461" s="191" t="n">
        <v>4070176.46917964</v>
      </c>
      <c r="J1461" s="192" t="str">
        <f>IF(I1461&gt;0,H1461/I1461,0)</f>
      </c>
      <c r="K1461" s="193" t="str">
        <f>1-EXP(-J1461)</f>
      </c>
      <c r="L1461" s="194" t="str">
        <f>IF(G1461=30,1,M1460)</f>
      </c>
      <c r="M1461" s="195" t="str">
        <f>L1461*(1-K1461)</f>
      </c>
    </row>
    <row r="1462">
      <c r="A1462" t="s">
        <v>167</v>
      </c>
      <c r="B1462" t="s">
        <v>219</v>
      </c>
      <c r="C1462" s="35" t="s">
        <v>221</v>
      </c>
      <c r="D1462" t="s">
        <v>502</v>
      </c>
      <c r="E1462" t="s">
        <v>520</v>
      </c>
      <c r="F1462" s="188" t="n">
        <v>2035</v>
      </c>
      <c r="G1462" s="189" t="n">
        <v>50</v>
      </c>
      <c r="H1462" s="190" t="n">
        <v>9835.08641233676</v>
      </c>
      <c r="I1462" s="191" t="n">
        <v>4120059.17446224</v>
      </c>
      <c r="J1462" s="192" t="str">
        <f>IF(I1462&gt;0,H1462/I1462,0)</f>
      </c>
      <c r="K1462" s="193" t="str">
        <f>1-EXP(-J1462)</f>
      </c>
      <c r="L1462" s="194" t="str">
        <f>IF(G1462=30,1,M1461)</f>
      </c>
      <c r="M1462" s="195" t="str">
        <f>L1462*(1-K1462)</f>
      </c>
    </row>
    <row r="1463">
      <c r="A1463" t="s">
        <v>167</v>
      </c>
      <c r="B1463" t="s">
        <v>219</v>
      </c>
      <c r="C1463" s="35" t="s">
        <v>221</v>
      </c>
      <c r="D1463" t="s">
        <v>502</v>
      </c>
      <c r="E1463" t="s">
        <v>520</v>
      </c>
      <c r="F1463" s="188" t="n">
        <v>2035</v>
      </c>
      <c r="G1463" s="189" t="n">
        <v>51</v>
      </c>
      <c r="H1463" s="190" t="n">
        <v>10971.3622409942</v>
      </c>
      <c r="I1463" s="191" t="n">
        <v>4192557.01047601</v>
      </c>
      <c r="J1463" s="192" t="str">
        <f>IF(I1463&gt;0,H1463/I1463,0)</f>
      </c>
      <c r="K1463" s="193" t="str">
        <f>1-EXP(-J1463)</f>
      </c>
      <c r="L1463" s="194" t="str">
        <f>IF(G1463=30,1,M1462)</f>
      </c>
      <c r="M1463" s="195" t="str">
        <f>L1463*(1-K1463)</f>
      </c>
    </row>
    <row r="1464">
      <c r="A1464" t="s">
        <v>167</v>
      </c>
      <c r="B1464" t="s">
        <v>219</v>
      </c>
      <c r="C1464" s="35" t="s">
        <v>221</v>
      </c>
      <c r="D1464" t="s">
        <v>502</v>
      </c>
      <c r="E1464" t="s">
        <v>520</v>
      </c>
      <c r="F1464" s="188" t="n">
        <v>2035</v>
      </c>
      <c r="G1464" s="189" t="n">
        <v>52</v>
      </c>
      <c r="H1464" s="190" t="n">
        <v>11898.3471654111</v>
      </c>
      <c r="I1464" s="191" t="n">
        <v>4158511.67865325</v>
      </c>
      <c r="J1464" s="192" t="str">
        <f>IF(I1464&gt;0,H1464/I1464,0)</f>
      </c>
      <c r="K1464" s="193" t="str">
        <f>1-EXP(-J1464)</f>
      </c>
      <c r="L1464" s="194" t="str">
        <f>IF(G1464=30,1,M1463)</f>
      </c>
      <c r="M1464" s="195" t="str">
        <f>L1464*(1-K1464)</f>
      </c>
    </row>
    <row r="1465">
      <c r="A1465" t="s">
        <v>167</v>
      </c>
      <c r="B1465" t="s">
        <v>219</v>
      </c>
      <c r="C1465" s="35" t="s">
        <v>221</v>
      </c>
      <c r="D1465" t="s">
        <v>502</v>
      </c>
      <c r="E1465" t="s">
        <v>520</v>
      </c>
      <c r="F1465" s="188" t="n">
        <v>2035</v>
      </c>
      <c r="G1465" s="189" t="n">
        <v>53</v>
      </c>
      <c r="H1465" s="190" t="n">
        <v>12561.6288150384</v>
      </c>
      <c r="I1465" s="191" t="n">
        <v>4014524.22416752</v>
      </c>
      <c r="J1465" s="192" t="str">
        <f>IF(I1465&gt;0,H1465/I1465,0)</f>
      </c>
      <c r="K1465" s="193" t="str">
        <f>1-EXP(-J1465)</f>
      </c>
      <c r="L1465" s="194" t="str">
        <f>IF(G1465=30,1,M1464)</f>
      </c>
      <c r="M1465" s="195" t="str">
        <f>L1465*(1-K1465)</f>
      </c>
    </row>
    <row r="1466">
      <c r="A1466" t="s">
        <v>167</v>
      </c>
      <c r="B1466" t="s">
        <v>219</v>
      </c>
      <c r="C1466" s="35" t="s">
        <v>221</v>
      </c>
      <c r="D1466" t="s">
        <v>502</v>
      </c>
      <c r="E1466" t="s">
        <v>520</v>
      </c>
      <c r="F1466" s="188" t="n">
        <v>2035</v>
      </c>
      <c r="G1466" s="189" t="n">
        <v>54</v>
      </c>
      <c r="H1466" s="190" t="n">
        <v>13432.5361625137</v>
      </c>
      <c r="I1466" s="191" t="n">
        <v>3930703.80904288</v>
      </c>
      <c r="J1466" s="192" t="str">
        <f>IF(I1466&gt;0,H1466/I1466,0)</f>
      </c>
      <c r="K1466" s="193" t="str">
        <f>1-EXP(-J1466)</f>
      </c>
      <c r="L1466" s="194" t="str">
        <f>IF(G1466=30,1,M1465)</f>
      </c>
      <c r="M1466" s="195" t="str">
        <f>L1466*(1-K1466)</f>
      </c>
    </row>
    <row r="1467">
      <c r="A1467" t="s">
        <v>167</v>
      </c>
      <c r="B1467" t="s">
        <v>219</v>
      </c>
      <c r="C1467" s="35" t="s">
        <v>221</v>
      </c>
      <c r="D1467" t="s">
        <v>502</v>
      </c>
      <c r="E1467" t="s">
        <v>520</v>
      </c>
      <c r="F1467" s="188" t="n">
        <v>2035</v>
      </c>
      <c r="G1467" s="189" t="n">
        <v>55</v>
      </c>
      <c r="H1467" s="190" t="n">
        <v>14420.9956216205</v>
      </c>
      <c r="I1467" s="191" t="n">
        <v>3861572.21619025</v>
      </c>
      <c r="J1467" s="192" t="str">
        <f>IF(I1467&gt;0,H1467/I1467,0)</f>
      </c>
      <c r="K1467" s="193" t="str">
        <f>1-EXP(-J1467)</f>
      </c>
      <c r="L1467" s="194" t="str">
        <f>IF(G1467=30,1,M1466)</f>
      </c>
      <c r="M1467" s="195" t="str">
        <f>L1467*(1-K1467)</f>
      </c>
    </row>
    <row r="1468">
      <c r="A1468" t="s">
        <v>167</v>
      </c>
      <c r="B1468" t="s">
        <v>219</v>
      </c>
      <c r="C1468" s="35" t="s">
        <v>221</v>
      </c>
      <c r="D1468" t="s">
        <v>502</v>
      </c>
      <c r="E1468" t="s">
        <v>520</v>
      </c>
      <c r="F1468" s="188" t="n">
        <v>2035</v>
      </c>
      <c r="G1468" s="189" t="n">
        <v>56</v>
      </c>
      <c r="H1468" s="190" t="n">
        <v>15404.3692405892</v>
      </c>
      <c r="I1468" s="191" t="n">
        <v>3786148.19161079</v>
      </c>
      <c r="J1468" s="192" t="str">
        <f>IF(I1468&gt;0,H1468/I1468,0)</f>
      </c>
      <c r="K1468" s="193" t="str">
        <f>1-EXP(-J1468)</f>
      </c>
      <c r="L1468" s="194" t="str">
        <f>IF(G1468=30,1,M1467)</f>
      </c>
      <c r="M1468" s="195" t="str">
        <f>L1468*(1-K1468)</f>
      </c>
    </row>
    <row r="1469">
      <c r="A1469" t="s">
        <v>167</v>
      </c>
      <c r="B1469" t="s">
        <v>219</v>
      </c>
      <c r="C1469" s="35" t="s">
        <v>221</v>
      </c>
      <c r="D1469" t="s">
        <v>502</v>
      </c>
      <c r="E1469" t="s">
        <v>520</v>
      </c>
      <c r="F1469" s="188" t="n">
        <v>2035</v>
      </c>
      <c r="G1469" s="189" t="n">
        <v>57</v>
      </c>
      <c r="H1469" s="190" t="n">
        <v>16414.4298983119</v>
      </c>
      <c r="I1469" s="191" t="n">
        <v>3691725.71649793</v>
      </c>
      <c r="J1469" s="192" t="str">
        <f>IF(I1469&gt;0,H1469/I1469,0)</f>
      </c>
      <c r="K1469" s="193" t="str">
        <f>1-EXP(-J1469)</f>
      </c>
      <c r="L1469" s="194" t="str">
        <f>IF(G1469=30,1,M1468)</f>
      </c>
      <c r="M1469" s="195" t="str">
        <f>L1469*(1-K1469)</f>
      </c>
    </row>
    <row r="1470">
      <c r="A1470" t="s">
        <v>167</v>
      </c>
      <c r="B1470" t="s">
        <v>219</v>
      </c>
      <c r="C1470" s="35" t="s">
        <v>221</v>
      </c>
      <c r="D1470" t="s">
        <v>502</v>
      </c>
      <c r="E1470" t="s">
        <v>520</v>
      </c>
      <c r="F1470" s="188" t="n">
        <v>2035</v>
      </c>
      <c r="G1470" s="189" t="n">
        <v>58</v>
      </c>
      <c r="H1470" s="190" t="n">
        <v>17588.8288144712</v>
      </c>
      <c r="I1470" s="191" t="n">
        <v>3612744.81286224</v>
      </c>
      <c r="J1470" s="192" t="str">
        <f>IF(I1470&gt;0,H1470/I1470,0)</f>
      </c>
      <c r="K1470" s="193" t="str">
        <f>1-EXP(-J1470)</f>
      </c>
      <c r="L1470" s="194" t="str">
        <f>IF(G1470=30,1,M1469)</f>
      </c>
      <c r="M1470" s="195" t="str">
        <f>L1470*(1-K1470)</f>
      </c>
    </row>
    <row r="1471">
      <c r="A1471" t="s">
        <v>167</v>
      </c>
      <c r="B1471" t="s">
        <v>219</v>
      </c>
      <c r="C1471" s="35" t="s">
        <v>221</v>
      </c>
      <c r="D1471" t="s">
        <v>502</v>
      </c>
      <c r="E1471" t="s">
        <v>520</v>
      </c>
      <c r="F1471" s="188" t="n">
        <v>2035</v>
      </c>
      <c r="G1471" s="189" t="n">
        <v>59</v>
      </c>
      <c r="H1471" s="190" t="n">
        <v>18763.5525167331</v>
      </c>
      <c r="I1471" s="191" t="n">
        <v>3521847.61236552</v>
      </c>
      <c r="J1471" s="192" t="str">
        <f>IF(I1471&gt;0,H1471/I1471,0)</f>
      </c>
      <c r="K1471" s="193" t="str">
        <f>1-EXP(-J1471)</f>
      </c>
      <c r="L1471" s="194" t="str">
        <f>IF(G1471=30,1,M1470)</f>
      </c>
      <c r="M1471" s="195" t="str">
        <f>L1471*(1-K1471)</f>
      </c>
    </row>
    <row r="1472">
      <c r="A1472" t="s">
        <v>167</v>
      </c>
      <c r="B1472" t="s">
        <v>219</v>
      </c>
      <c r="C1472" s="35" t="s">
        <v>221</v>
      </c>
      <c r="D1472" t="s">
        <v>502</v>
      </c>
      <c r="E1472" t="s">
        <v>520</v>
      </c>
      <c r="F1472" s="188" t="n">
        <v>2035</v>
      </c>
      <c r="G1472" s="189" t="n">
        <v>60</v>
      </c>
      <c r="H1472" s="190" t="n">
        <v>20141.2385744258</v>
      </c>
      <c r="I1472" s="191" t="n">
        <v>3429437.65404034</v>
      </c>
      <c r="J1472" s="192" t="str">
        <f>IF(I1472&gt;0,H1472/I1472,0)</f>
      </c>
      <c r="K1472" s="193" t="str">
        <f>1-EXP(-J1472)</f>
      </c>
      <c r="L1472" s="194" t="str">
        <f>IF(G1472=30,1,M1471)</f>
      </c>
      <c r="M1472" s="195" t="str">
        <f>L1472*(1-K1472)</f>
      </c>
    </row>
    <row r="1473">
      <c r="A1473" t="s">
        <v>167</v>
      </c>
      <c r="B1473" t="s">
        <v>219</v>
      </c>
      <c r="C1473" s="35" t="s">
        <v>221</v>
      </c>
      <c r="D1473" t="s">
        <v>502</v>
      </c>
      <c r="E1473" t="s">
        <v>520</v>
      </c>
      <c r="F1473" s="188" t="n">
        <v>2035</v>
      </c>
      <c r="G1473" s="189" t="n">
        <v>61</v>
      </c>
      <c r="H1473" s="190" t="n">
        <v>21390.1822789399</v>
      </c>
      <c r="I1473" s="191" t="n">
        <v>3309995.84704697</v>
      </c>
      <c r="J1473" s="192" t="str">
        <f>IF(I1473&gt;0,H1473/I1473,0)</f>
      </c>
      <c r="K1473" s="193" t="str">
        <f>1-EXP(-J1473)</f>
      </c>
      <c r="L1473" s="194" t="str">
        <f>IF(G1473=30,1,M1472)</f>
      </c>
      <c r="M1473" s="195" t="str">
        <f>L1473*(1-K1473)</f>
      </c>
    </row>
    <row r="1474">
      <c r="A1474" t="s">
        <v>167</v>
      </c>
      <c r="B1474" t="s">
        <v>219</v>
      </c>
      <c r="C1474" s="35" t="s">
        <v>221</v>
      </c>
      <c r="D1474" t="s">
        <v>502</v>
      </c>
      <c r="E1474" t="s">
        <v>520</v>
      </c>
      <c r="F1474" s="188" t="n">
        <v>2035</v>
      </c>
      <c r="G1474" s="189" t="n">
        <v>62</v>
      </c>
      <c r="H1474" s="190" t="n">
        <v>22971.2207238886</v>
      </c>
      <c r="I1474" s="191" t="n">
        <v>3246002.46133191</v>
      </c>
      <c r="J1474" s="192" t="str">
        <f>IF(I1474&gt;0,H1474/I1474,0)</f>
      </c>
      <c r="K1474" s="193" t="str">
        <f>1-EXP(-J1474)</f>
      </c>
      <c r="L1474" s="194" t="str">
        <f>IF(G1474=30,1,M1473)</f>
      </c>
      <c r="M1474" s="195" t="str">
        <f>L1474*(1-K1474)</f>
      </c>
    </row>
    <row r="1475">
      <c r="A1475" t="s">
        <v>167</v>
      </c>
      <c r="B1475" t="s">
        <v>219</v>
      </c>
      <c r="C1475" s="35" t="s">
        <v>221</v>
      </c>
      <c r="D1475" t="s">
        <v>502</v>
      </c>
      <c r="E1475" t="s">
        <v>520</v>
      </c>
      <c r="F1475" s="188" t="n">
        <v>2035</v>
      </c>
      <c r="G1475" s="189" t="n">
        <v>63</v>
      </c>
      <c r="H1475" s="190" t="n">
        <v>23517.9593957812</v>
      </c>
      <c r="I1475" s="191" t="n">
        <v>3029625.33635502</v>
      </c>
      <c r="J1475" s="192" t="str">
        <f>IF(I1475&gt;0,H1475/I1475,0)</f>
      </c>
      <c r="K1475" s="193" t="str">
        <f>1-EXP(-J1475)</f>
      </c>
      <c r="L1475" s="194" t="str">
        <f>IF(G1475=30,1,M1474)</f>
      </c>
      <c r="M1475" s="195" t="str">
        <f>L1475*(1-K1475)</f>
      </c>
    </row>
    <row r="1476">
      <c r="A1476" t="s">
        <v>167</v>
      </c>
      <c r="B1476" t="s">
        <v>219</v>
      </c>
      <c r="C1476" s="35" t="s">
        <v>221</v>
      </c>
      <c r="D1476" t="s">
        <v>502</v>
      </c>
      <c r="E1476" t="s">
        <v>520</v>
      </c>
      <c r="F1476" s="188" t="n">
        <v>2035</v>
      </c>
      <c r="G1476" s="189" t="n">
        <v>64</v>
      </c>
      <c r="H1476" s="190" t="n">
        <v>24884.9307200415</v>
      </c>
      <c r="I1476" s="191" t="n">
        <v>2925290.93952856</v>
      </c>
      <c r="J1476" s="192" t="str">
        <f>IF(I1476&gt;0,H1476/I1476,0)</f>
      </c>
      <c r="K1476" s="193" t="str">
        <f>1-EXP(-J1476)</f>
      </c>
      <c r="L1476" s="194" t="str">
        <f>IF(G1476=30,1,M1475)</f>
      </c>
      <c r="M1476" s="195" t="str">
        <f>L1476*(1-K1476)</f>
      </c>
    </row>
    <row r="1477">
      <c r="A1477" t="s">
        <v>167</v>
      </c>
      <c r="B1477" t="s">
        <v>219</v>
      </c>
      <c r="C1477" s="35" t="s">
        <v>221</v>
      </c>
      <c r="D1477" t="s">
        <v>502</v>
      </c>
      <c r="E1477" t="s">
        <v>520</v>
      </c>
      <c r="F1477" s="188" t="n">
        <v>2035</v>
      </c>
      <c r="G1477" s="189" t="n">
        <v>65</v>
      </c>
      <c r="H1477" s="190" t="n">
        <v>25404.3232165317</v>
      </c>
      <c r="I1477" s="191" t="n">
        <v>2824119.89512694</v>
      </c>
      <c r="J1477" s="192" t="str">
        <f>IF(I1477&gt;0,H1477/I1477,0)</f>
      </c>
      <c r="K1477" s="193" t="str">
        <f>1-EXP(-J1477)</f>
      </c>
      <c r="L1477" s="194" t="str">
        <f>IF(G1477=30,1,M1476)</f>
      </c>
      <c r="M1477" s="195" t="str">
        <f>L1477*(1-K1477)</f>
      </c>
    </row>
    <row r="1478">
      <c r="A1478" t="s">
        <v>167</v>
      </c>
      <c r="B1478" t="s">
        <v>219</v>
      </c>
      <c r="C1478" s="35" t="s">
        <v>221</v>
      </c>
      <c r="D1478" t="s">
        <v>502</v>
      </c>
      <c r="E1478" t="s">
        <v>520</v>
      </c>
      <c r="F1478" s="188" t="n">
        <v>2035</v>
      </c>
      <c r="G1478" s="189" t="n">
        <v>66</v>
      </c>
      <c r="H1478" s="190" t="n">
        <v>26760.7689786266</v>
      </c>
      <c r="I1478" s="191" t="n">
        <v>2714193.14821506</v>
      </c>
      <c r="J1478" s="192" t="str">
        <f>IF(I1478&gt;0,H1478/I1478,0)</f>
      </c>
      <c r="K1478" s="193" t="str">
        <f>1-EXP(-J1478)</f>
      </c>
      <c r="L1478" s="194" t="str">
        <f>IF(G1478=30,1,M1477)</f>
      </c>
      <c r="M1478" s="195" t="str">
        <f>L1478*(1-K1478)</f>
      </c>
    </row>
    <row r="1479">
      <c r="A1479" t="s">
        <v>167</v>
      </c>
      <c r="B1479" t="s">
        <v>219</v>
      </c>
      <c r="C1479" s="35" t="s">
        <v>221</v>
      </c>
      <c r="D1479" t="s">
        <v>502</v>
      </c>
      <c r="E1479" t="s">
        <v>520</v>
      </c>
      <c r="F1479" s="188" t="n">
        <v>2035</v>
      </c>
      <c r="G1479" s="189" t="n">
        <v>67</v>
      </c>
      <c r="H1479" s="190" t="n">
        <v>27979.4053237707</v>
      </c>
      <c r="I1479" s="191" t="n">
        <v>2585731.60329578</v>
      </c>
      <c r="J1479" s="192" t="str">
        <f>IF(I1479&gt;0,H1479/I1479,0)</f>
      </c>
      <c r="K1479" s="193" t="str">
        <f>1-EXP(-J1479)</f>
      </c>
      <c r="L1479" s="194" t="str">
        <f>IF(G1479=30,1,M1478)</f>
      </c>
      <c r="M1479" s="195" t="str">
        <f>L1479*(1-K1479)</f>
      </c>
    </row>
    <row r="1480">
      <c r="A1480" t="s">
        <v>167</v>
      </c>
      <c r="B1480" t="s">
        <v>219</v>
      </c>
      <c r="C1480" s="35" t="s">
        <v>221</v>
      </c>
      <c r="D1480" t="s">
        <v>502</v>
      </c>
      <c r="E1480" t="s">
        <v>520</v>
      </c>
      <c r="F1480" s="188" t="n">
        <v>2035</v>
      </c>
      <c r="G1480" s="189" t="n">
        <v>68</v>
      </c>
      <c r="H1480" s="190" t="n">
        <v>28896.9450081874</v>
      </c>
      <c r="I1480" s="191" t="n">
        <v>2429521.05279915</v>
      </c>
      <c r="J1480" s="192" t="str">
        <f>IF(I1480&gt;0,H1480/I1480,0)</f>
      </c>
      <c r="K1480" s="193" t="str">
        <f>1-EXP(-J1480)</f>
      </c>
      <c r="L1480" s="194" t="str">
        <f>IF(G1480=30,1,M1479)</f>
      </c>
      <c r="M1480" s="195" t="str">
        <f>L1480*(1-K1480)</f>
      </c>
    </row>
    <row r="1481">
      <c r="A1481" t="s">
        <v>167</v>
      </c>
      <c r="B1481" t="s">
        <v>219</v>
      </c>
      <c r="C1481" s="35" t="s">
        <v>221</v>
      </c>
      <c r="D1481" t="s">
        <v>502</v>
      </c>
      <c r="E1481" t="s">
        <v>520</v>
      </c>
      <c r="F1481" s="188" t="n">
        <v>2035</v>
      </c>
      <c r="G1481" s="189" t="n">
        <v>69</v>
      </c>
      <c r="H1481" s="190" t="n">
        <v>30143.2824904571</v>
      </c>
      <c r="I1481" s="191" t="n">
        <v>2305570.77739959</v>
      </c>
      <c r="J1481" s="192" t="str">
        <f>IF(I1481&gt;0,H1481/I1481,0)</f>
      </c>
      <c r="K1481" s="193" t="str">
        <f>1-EXP(-J1481)</f>
      </c>
      <c r="L1481" s="194" t="str">
        <f>IF(G1481=30,1,M1480)</f>
      </c>
      <c r="M1481" s="195" t="str">
        <f>L1481*(1-K1481)</f>
      </c>
    </row>
    <row r="1482">
      <c r="A1482" t="s">
        <v>167</v>
      </c>
      <c r="B1482" t="s">
        <v>219</v>
      </c>
      <c r="C1482" s="35" t="s">
        <v>221</v>
      </c>
      <c r="D1482" t="s">
        <v>502</v>
      </c>
      <c r="E1482" t="s">
        <v>520</v>
      </c>
      <c r="F1482" s="188" t="n">
        <v>2036</v>
      </c>
      <c r="G1482" s="189" t="n">
        <v>30</v>
      </c>
      <c r="H1482" s="190" t="n">
        <v>796.596101320081</v>
      </c>
      <c r="I1482" s="191" t="n">
        <v>4608239.66106017</v>
      </c>
      <c r="J1482" s="192" t="str">
        <f>IF(I1482&gt;0,H1482/I1482,0)</f>
      </c>
      <c r="K1482" s="193" t="str">
        <f>1-EXP(-J1482)</f>
      </c>
      <c r="L1482" s="194" t="str">
        <f>IF(G1482=30,1,M1481)</f>
      </c>
      <c r="M1482" s="195" t="str">
        <f>L1482*(1-K1482)</f>
      </c>
    </row>
    <row r="1483">
      <c r="A1483" t="s">
        <v>167</v>
      </c>
      <c r="B1483" t="s">
        <v>219</v>
      </c>
      <c r="C1483" s="35" t="s">
        <v>221</v>
      </c>
      <c r="D1483" t="s">
        <v>502</v>
      </c>
      <c r="E1483" t="s">
        <v>520</v>
      </c>
      <c r="F1483" s="188" t="n">
        <v>2036</v>
      </c>
      <c r="G1483" s="189" t="n">
        <v>31</v>
      </c>
      <c r="H1483" s="190" t="n">
        <v>983.179147285438</v>
      </c>
      <c r="I1483" s="191" t="n">
        <v>4547281.6120861</v>
      </c>
      <c r="J1483" s="192" t="str">
        <f>IF(I1483&gt;0,H1483/I1483,0)</f>
      </c>
      <c r="K1483" s="193" t="str">
        <f>1-EXP(-J1483)</f>
      </c>
      <c r="L1483" s="194" t="str">
        <f>IF(G1483=30,1,M1482)</f>
      </c>
      <c r="M1483" s="195" t="str">
        <f>L1483*(1-K1483)</f>
      </c>
    </row>
    <row r="1484">
      <c r="A1484" t="s">
        <v>167</v>
      </c>
      <c r="B1484" t="s">
        <v>219</v>
      </c>
      <c r="C1484" s="35" t="s">
        <v>221</v>
      </c>
      <c r="D1484" t="s">
        <v>502</v>
      </c>
      <c r="E1484" t="s">
        <v>520</v>
      </c>
      <c r="F1484" s="188" t="n">
        <v>2036</v>
      </c>
      <c r="G1484" s="189" t="n">
        <v>32</v>
      </c>
      <c r="H1484" s="190" t="n">
        <v>1007.20736111826</v>
      </c>
      <c r="I1484" s="191" t="n">
        <v>4418799.86252439</v>
      </c>
      <c r="J1484" s="192" t="str">
        <f>IF(I1484&gt;0,H1484/I1484,0)</f>
      </c>
      <c r="K1484" s="193" t="str">
        <f>1-EXP(-J1484)</f>
      </c>
      <c r="L1484" s="194" t="str">
        <f>IF(G1484=30,1,M1483)</f>
      </c>
      <c r="M1484" s="195" t="str">
        <f>L1484*(1-K1484)</f>
      </c>
    </row>
    <row r="1485">
      <c r="A1485" t="s">
        <v>167</v>
      </c>
      <c r="B1485" t="s">
        <v>219</v>
      </c>
      <c r="C1485" s="35" t="s">
        <v>221</v>
      </c>
      <c r="D1485" t="s">
        <v>502</v>
      </c>
      <c r="E1485" t="s">
        <v>520</v>
      </c>
      <c r="F1485" s="188" t="n">
        <v>2036</v>
      </c>
      <c r="G1485" s="189" t="n">
        <v>33</v>
      </c>
      <c r="H1485" s="190" t="n">
        <v>1052.62650398207</v>
      </c>
      <c r="I1485" s="191" t="n">
        <v>4353444.82266725</v>
      </c>
      <c r="J1485" s="192" t="str">
        <f>IF(I1485&gt;0,H1485/I1485,0)</f>
      </c>
      <c r="K1485" s="193" t="str">
        <f>1-EXP(-J1485)</f>
      </c>
      <c r="L1485" s="194" t="str">
        <f>IF(G1485=30,1,M1484)</f>
      </c>
      <c r="M1485" s="195" t="str">
        <f>L1485*(1-K1485)</f>
      </c>
    </row>
    <row r="1486">
      <c r="A1486" t="s">
        <v>167</v>
      </c>
      <c r="B1486" t="s">
        <v>219</v>
      </c>
      <c r="C1486" s="35" t="s">
        <v>221</v>
      </c>
      <c r="D1486" t="s">
        <v>502</v>
      </c>
      <c r="E1486" t="s">
        <v>520</v>
      </c>
      <c r="F1486" s="188" t="n">
        <v>2036</v>
      </c>
      <c r="G1486" s="189" t="n">
        <v>34</v>
      </c>
      <c r="H1486" s="190" t="n">
        <v>1267.22742949687</v>
      </c>
      <c r="I1486" s="191" t="n">
        <v>4331929.7129214</v>
      </c>
      <c r="J1486" s="192" t="str">
        <f>IF(I1486&gt;0,H1486/I1486,0)</f>
      </c>
      <c r="K1486" s="193" t="str">
        <f>1-EXP(-J1486)</f>
      </c>
      <c r="L1486" s="194" t="str">
        <f>IF(G1486=30,1,M1485)</f>
      </c>
      <c r="M1486" s="195" t="str">
        <f>L1486*(1-K1486)</f>
      </c>
    </row>
    <row r="1487">
      <c r="A1487" t="s">
        <v>167</v>
      </c>
      <c r="B1487" t="s">
        <v>219</v>
      </c>
      <c r="C1487" s="35" t="s">
        <v>221</v>
      </c>
      <c r="D1487" t="s">
        <v>502</v>
      </c>
      <c r="E1487" t="s">
        <v>520</v>
      </c>
      <c r="F1487" s="188" t="n">
        <v>2036</v>
      </c>
      <c r="G1487" s="189" t="n">
        <v>35</v>
      </c>
      <c r="H1487" s="190" t="n">
        <v>1692.23371653798</v>
      </c>
      <c r="I1487" s="191" t="n">
        <v>4311652.04522784</v>
      </c>
      <c r="J1487" s="192" t="str">
        <f>IF(I1487&gt;0,H1487/I1487,0)</f>
      </c>
      <c r="K1487" s="193" t="str">
        <f>1-EXP(-J1487)</f>
      </c>
      <c r="L1487" s="194" t="str">
        <f>IF(G1487=30,1,M1486)</f>
      </c>
      <c r="M1487" s="195" t="str">
        <f>L1487*(1-K1487)</f>
      </c>
    </row>
    <row r="1488">
      <c r="A1488" t="s">
        <v>167</v>
      </c>
      <c r="B1488" t="s">
        <v>219</v>
      </c>
      <c r="C1488" s="35" t="s">
        <v>221</v>
      </c>
      <c r="D1488" t="s">
        <v>502</v>
      </c>
      <c r="E1488" t="s">
        <v>520</v>
      </c>
      <c r="F1488" s="188" t="n">
        <v>2036</v>
      </c>
      <c r="G1488" s="189" t="n">
        <v>36</v>
      </c>
      <c r="H1488" s="190" t="n">
        <v>1879.21568509005</v>
      </c>
      <c r="I1488" s="191" t="n">
        <v>4290609.54316635</v>
      </c>
      <c r="J1488" s="192" t="str">
        <f>IF(I1488&gt;0,H1488/I1488,0)</f>
      </c>
      <c r="K1488" s="193" t="str">
        <f>1-EXP(-J1488)</f>
      </c>
      <c r="L1488" s="194" t="str">
        <f>IF(G1488=30,1,M1487)</f>
      </c>
      <c r="M1488" s="195" t="str">
        <f>L1488*(1-K1488)</f>
      </c>
    </row>
    <row r="1489">
      <c r="A1489" t="s">
        <v>167</v>
      </c>
      <c r="B1489" t="s">
        <v>219</v>
      </c>
      <c r="C1489" s="35" t="s">
        <v>221</v>
      </c>
      <c r="D1489" t="s">
        <v>502</v>
      </c>
      <c r="E1489" t="s">
        <v>520</v>
      </c>
      <c r="F1489" s="188" t="n">
        <v>2036</v>
      </c>
      <c r="G1489" s="189" t="n">
        <v>37</v>
      </c>
      <c r="H1489" s="190" t="n">
        <v>2030.32933409986</v>
      </c>
      <c r="I1489" s="191" t="n">
        <v>4309303.26818988</v>
      </c>
      <c r="J1489" s="192" t="str">
        <f>IF(I1489&gt;0,H1489/I1489,0)</f>
      </c>
      <c r="K1489" s="193" t="str">
        <f>1-EXP(-J1489)</f>
      </c>
      <c r="L1489" s="194" t="str">
        <f>IF(G1489=30,1,M1488)</f>
      </c>
      <c r="M1489" s="195" t="str">
        <f>L1489*(1-K1489)</f>
      </c>
    </row>
    <row r="1490">
      <c r="A1490" t="s">
        <v>167</v>
      </c>
      <c r="B1490" t="s">
        <v>219</v>
      </c>
      <c r="C1490" s="35" t="s">
        <v>221</v>
      </c>
      <c r="D1490" t="s">
        <v>502</v>
      </c>
      <c r="E1490" t="s">
        <v>520</v>
      </c>
      <c r="F1490" s="188" t="n">
        <v>2036</v>
      </c>
      <c r="G1490" s="189" t="n">
        <v>38</v>
      </c>
      <c r="H1490" s="190" t="n">
        <v>2219.33680559252</v>
      </c>
      <c r="I1490" s="191" t="n">
        <v>4366776.79696614</v>
      </c>
      <c r="J1490" s="192" t="str">
        <f>IF(I1490&gt;0,H1490/I1490,0)</f>
      </c>
      <c r="K1490" s="193" t="str">
        <f>1-EXP(-J1490)</f>
      </c>
      <c r="L1490" s="194" t="str">
        <f>IF(G1490=30,1,M1489)</f>
      </c>
      <c r="M1490" s="195" t="str">
        <f>L1490*(1-K1490)</f>
      </c>
    </row>
    <row r="1491">
      <c r="A1491" t="s">
        <v>167</v>
      </c>
      <c r="B1491" t="s">
        <v>219</v>
      </c>
      <c r="C1491" s="35" t="s">
        <v>221</v>
      </c>
      <c r="D1491" t="s">
        <v>502</v>
      </c>
      <c r="E1491" t="s">
        <v>520</v>
      </c>
      <c r="F1491" s="188" t="n">
        <v>2036</v>
      </c>
      <c r="G1491" s="189" t="n">
        <v>39</v>
      </c>
      <c r="H1491" s="190" t="n">
        <v>2682.32304975487</v>
      </c>
      <c r="I1491" s="191" t="n">
        <v>4502349.27344236</v>
      </c>
      <c r="J1491" s="192" t="str">
        <f>IF(I1491&gt;0,H1491/I1491,0)</f>
      </c>
      <c r="K1491" s="193" t="str">
        <f>1-EXP(-J1491)</f>
      </c>
      <c r="L1491" s="194" t="str">
        <f>IF(G1491=30,1,M1490)</f>
      </c>
      <c r="M1491" s="195" t="str">
        <f>L1491*(1-K1491)</f>
      </c>
    </row>
    <row r="1492">
      <c r="A1492" t="s">
        <v>167</v>
      </c>
      <c r="B1492" t="s">
        <v>219</v>
      </c>
      <c r="C1492" s="35" t="s">
        <v>221</v>
      </c>
      <c r="D1492" t="s">
        <v>502</v>
      </c>
      <c r="E1492" t="s">
        <v>520</v>
      </c>
      <c r="F1492" s="188" t="n">
        <v>2036</v>
      </c>
      <c r="G1492" s="189" t="n">
        <v>40</v>
      </c>
      <c r="H1492" s="190" t="n">
        <v>3557.57326921501</v>
      </c>
      <c r="I1492" s="191" t="n">
        <v>4456913.03180784</v>
      </c>
      <c r="J1492" s="192" t="str">
        <f>IF(I1492&gt;0,H1492/I1492,0)</f>
      </c>
      <c r="K1492" s="193" t="str">
        <f>1-EXP(-J1492)</f>
      </c>
      <c r="L1492" s="194" t="str">
        <f>IF(G1492=30,1,M1491)</f>
      </c>
      <c r="M1492" s="195" t="str">
        <f>L1492*(1-K1492)</f>
      </c>
    </row>
    <row r="1493">
      <c r="A1493" t="s">
        <v>167</v>
      </c>
      <c r="B1493" t="s">
        <v>219</v>
      </c>
      <c r="C1493" s="35" t="s">
        <v>221</v>
      </c>
      <c r="D1493" t="s">
        <v>502</v>
      </c>
      <c r="E1493" t="s">
        <v>520</v>
      </c>
      <c r="F1493" s="188" t="n">
        <v>2036</v>
      </c>
      <c r="G1493" s="189" t="n">
        <v>41</v>
      </c>
      <c r="H1493" s="190" t="n">
        <v>3767.9931268707</v>
      </c>
      <c r="I1493" s="191" t="n">
        <v>4380519.37316487</v>
      </c>
      <c r="J1493" s="192" t="str">
        <f>IF(I1493&gt;0,H1493/I1493,0)</f>
      </c>
      <c r="K1493" s="193" t="str">
        <f>1-EXP(-J1493)</f>
      </c>
      <c r="L1493" s="194" t="str">
        <f>IF(G1493=30,1,M1492)</f>
      </c>
      <c r="M1493" s="195" t="str">
        <f>L1493*(1-K1493)</f>
      </c>
    </row>
    <row r="1494">
      <c r="A1494" t="s">
        <v>167</v>
      </c>
      <c r="B1494" t="s">
        <v>219</v>
      </c>
      <c r="C1494" s="35" t="s">
        <v>221</v>
      </c>
      <c r="D1494" t="s">
        <v>502</v>
      </c>
      <c r="E1494" t="s">
        <v>520</v>
      </c>
      <c r="F1494" s="188" t="n">
        <v>2036</v>
      </c>
      <c r="G1494" s="189" t="n">
        <v>42</v>
      </c>
      <c r="H1494" s="190" t="n">
        <v>4030.31289012916</v>
      </c>
      <c r="I1494" s="191" t="n">
        <v>4320165.86280828</v>
      </c>
      <c r="J1494" s="192" t="str">
        <f>IF(I1494&gt;0,H1494/I1494,0)</f>
      </c>
      <c r="K1494" s="193" t="str">
        <f>1-EXP(-J1494)</f>
      </c>
      <c r="L1494" s="194" t="str">
        <f>IF(G1494=30,1,M1493)</f>
      </c>
      <c r="M1494" s="195" t="str">
        <f>L1494*(1-K1494)</f>
      </c>
    </row>
    <row r="1495">
      <c r="A1495" t="s">
        <v>167</v>
      </c>
      <c r="B1495" t="s">
        <v>219</v>
      </c>
      <c r="C1495" s="35" t="s">
        <v>221</v>
      </c>
      <c r="D1495" t="s">
        <v>502</v>
      </c>
      <c r="E1495" t="s">
        <v>520</v>
      </c>
      <c r="F1495" s="188" t="n">
        <v>2036</v>
      </c>
      <c r="G1495" s="189" t="n">
        <v>43</v>
      </c>
      <c r="H1495" s="190" t="n">
        <v>4325.83813975649</v>
      </c>
      <c r="I1495" s="191" t="n">
        <v>4263033.22637619</v>
      </c>
      <c r="J1495" s="192" t="str">
        <f>IF(I1495&gt;0,H1495/I1495,0)</f>
      </c>
      <c r="K1495" s="193" t="str">
        <f>1-EXP(-J1495)</f>
      </c>
      <c r="L1495" s="194" t="str">
        <f>IF(G1495=30,1,M1494)</f>
      </c>
      <c r="M1495" s="195" t="str">
        <f>L1495*(1-K1495)</f>
      </c>
    </row>
    <row r="1496">
      <c r="A1496" t="s">
        <v>167</v>
      </c>
      <c r="B1496" t="s">
        <v>219</v>
      </c>
      <c r="C1496" s="35" t="s">
        <v>221</v>
      </c>
      <c r="D1496" t="s">
        <v>502</v>
      </c>
      <c r="E1496" t="s">
        <v>520</v>
      </c>
      <c r="F1496" s="188" t="n">
        <v>2036</v>
      </c>
      <c r="G1496" s="189" t="n">
        <v>44</v>
      </c>
      <c r="H1496" s="190" t="n">
        <v>4749.69764760504</v>
      </c>
      <c r="I1496" s="191" t="n">
        <v>4295629.12263248</v>
      </c>
      <c r="J1496" s="192" t="str">
        <f>IF(I1496&gt;0,H1496/I1496,0)</f>
      </c>
      <c r="K1496" s="193" t="str">
        <f>1-EXP(-J1496)</f>
      </c>
      <c r="L1496" s="194" t="str">
        <f>IF(G1496=30,1,M1495)</f>
      </c>
      <c r="M1496" s="195" t="str">
        <f>L1496*(1-K1496)</f>
      </c>
    </row>
    <row r="1497">
      <c r="A1497" t="s">
        <v>167</v>
      </c>
      <c r="B1497" t="s">
        <v>219</v>
      </c>
      <c r="C1497" s="35" t="s">
        <v>221</v>
      </c>
      <c r="D1497" t="s">
        <v>502</v>
      </c>
      <c r="E1497" t="s">
        <v>520</v>
      </c>
      <c r="F1497" s="188" t="n">
        <v>2036</v>
      </c>
      <c r="G1497" s="189" t="n">
        <v>45</v>
      </c>
      <c r="H1497" s="190" t="n">
        <v>6136.42851115851</v>
      </c>
      <c r="I1497" s="191" t="n">
        <v>4308156.16897579</v>
      </c>
      <c r="J1497" s="192" t="str">
        <f>IF(I1497&gt;0,H1497/I1497,0)</f>
      </c>
      <c r="K1497" s="193" t="str">
        <f>1-EXP(-J1497)</f>
      </c>
      <c r="L1497" s="194" t="str">
        <f>IF(G1497=30,1,M1496)</f>
      </c>
      <c r="M1497" s="195" t="str">
        <f>L1497*(1-K1497)</f>
      </c>
    </row>
    <row r="1498">
      <c r="A1498" t="s">
        <v>167</v>
      </c>
      <c r="B1498" t="s">
        <v>219</v>
      </c>
      <c r="C1498" s="35" t="s">
        <v>221</v>
      </c>
      <c r="D1498" t="s">
        <v>502</v>
      </c>
      <c r="E1498" t="s">
        <v>520</v>
      </c>
      <c r="F1498" s="188" t="n">
        <v>2036</v>
      </c>
      <c r="G1498" s="189" t="n">
        <v>46</v>
      </c>
      <c r="H1498" s="190" t="n">
        <v>9136.90948205148</v>
      </c>
      <c r="I1498" s="191" t="n">
        <v>6338847.58934362</v>
      </c>
      <c r="J1498" s="192" t="str">
        <f>IF(I1498&gt;0,H1498/I1498,0)</f>
      </c>
      <c r="K1498" s="193" t="str">
        <f>1-EXP(-J1498)</f>
      </c>
      <c r="L1498" s="194" t="str">
        <f>IF(G1498=30,1,M1497)</f>
      </c>
      <c r="M1498" s="195" t="str">
        <f>L1498*(1-K1498)</f>
      </c>
    </row>
    <row r="1499">
      <c r="A1499" t="s">
        <v>167</v>
      </c>
      <c r="B1499" t="s">
        <v>219</v>
      </c>
      <c r="C1499" s="35" t="s">
        <v>221</v>
      </c>
      <c r="D1499" t="s">
        <v>502</v>
      </c>
      <c r="E1499" t="s">
        <v>520</v>
      </c>
      <c r="F1499" s="188" t="n">
        <v>2036</v>
      </c>
      <c r="G1499" s="189" t="n">
        <v>47</v>
      </c>
      <c r="H1499" s="190" t="n">
        <v>7251.03448359989</v>
      </c>
      <c r="I1499" s="191" t="n">
        <v>4254053.50810254</v>
      </c>
      <c r="J1499" s="192" t="str">
        <f>IF(I1499&gt;0,H1499/I1499,0)</f>
      </c>
      <c r="K1499" s="193" t="str">
        <f>1-EXP(-J1499)</f>
      </c>
      <c r="L1499" s="194" t="str">
        <f>IF(G1499=30,1,M1498)</f>
      </c>
      <c r="M1499" s="195" t="str">
        <f>L1499*(1-K1499)</f>
      </c>
    </row>
    <row r="1500">
      <c r="A1500" t="s">
        <v>167</v>
      </c>
      <c r="B1500" t="s">
        <v>219</v>
      </c>
      <c r="C1500" s="35" t="s">
        <v>221</v>
      </c>
      <c r="D1500" t="s">
        <v>502</v>
      </c>
      <c r="E1500" t="s">
        <v>520</v>
      </c>
      <c r="F1500" s="188" t="n">
        <v>2036</v>
      </c>
      <c r="G1500" s="189" t="n">
        <v>48</v>
      </c>
      <c r="H1500" s="190" t="n">
        <v>7909.17590694375</v>
      </c>
      <c r="I1500" s="191" t="n">
        <v>4230338.22809691</v>
      </c>
      <c r="J1500" s="192" t="str">
        <f>IF(I1500&gt;0,H1500/I1500,0)</f>
      </c>
      <c r="K1500" s="193" t="str">
        <f>1-EXP(-J1500)</f>
      </c>
      <c r="L1500" s="194" t="str">
        <f>IF(G1500=30,1,M1499)</f>
      </c>
      <c r="M1500" s="195" t="str">
        <f>L1500*(1-K1500)</f>
      </c>
    </row>
    <row r="1501">
      <c r="A1501" t="s">
        <v>167</v>
      </c>
      <c r="B1501" t="s">
        <v>219</v>
      </c>
      <c r="C1501" s="35" t="s">
        <v>221</v>
      </c>
      <c r="D1501" t="s">
        <v>502</v>
      </c>
      <c r="E1501" t="s">
        <v>520</v>
      </c>
      <c r="F1501" s="188" t="n">
        <v>2036</v>
      </c>
      <c r="G1501" s="189" t="n">
        <v>49</v>
      </c>
      <c r="H1501" s="190" t="n">
        <v>8395.51393607213</v>
      </c>
      <c r="I1501" s="191" t="n">
        <v>4092827.94547484</v>
      </c>
      <c r="J1501" s="192" t="str">
        <f>IF(I1501&gt;0,H1501/I1501,0)</f>
      </c>
      <c r="K1501" s="193" t="str">
        <f>1-EXP(-J1501)</f>
      </c>
      <c r="L1501" s="194" t="str">
        <f>IF(G1501=30,1,M1500)</f>
      </c>
      <c r="M1501" s="195" t="str">
        <f>L1501*(1-K1501)</f>
      </c>
    </row>
    <row r="1502">
      <c r="A1502" t="s">
        <v>167</v>
      </c>
      <c r="B1502" t="s">
        <v>219</v>
      </c>
      <c r="C1502" s="35" t="s">
        <v>221</v>
      </c>
      <c r="D1502" t="s">
        <v>502</v>
      </c>
      <c r="E1502" t="s">
        <v>520</v>
      </c>
      <c r="F1502" s="188" t="n">
        <v>2036</v>
      </c>
      <c r="G1502" s="189" t="n">
        <v>50</v>
      </c>
      <c r="H1502" s="190" t="n">
        <v>9605.13664641357</v>
      </c>
      <c r="I1502" s="191" t="n">
        <v>4050264.12986983</v>
      </c>
      <c r="J1502" s="192" t="str">
        <f>IF(I1502&gt;0,H1502/I1502,0)</f>
      </c>
      <c r="K1502" s="193" t="str">
        <f>1-EXP(-J1502)</f>
      </c>
      <c r="L1502" s="194" t="str">
        <f>IF(G1502=30,1,M1501)</f>
      </c>
      <c r="M1502" s="195" t="str">
        <f>L1502*(1-K1502)</f>
      </c>
    </row>
    <row r="1503">
      <c r="A1503" t="s">
        <v>167</v>
      </c>
      <c r="B1503" t="s">
        <v>219</v>
      </c>
      <c r="C1503" s="35" t="s">
        <v>221</v>
      </c>
      <c r="D1503" t="s">
        <v>502</v>
      </c>
      <c r="E1503" t="s">
        <v>520</v>
      </c>
      <c r="F1503" s="188" t="n">
        <v>2036</v>
      </c>
      <c r="G1503" s="189" t="n">
        <v>51</v>
      </c>
      <c r="H1503" s="190" t="n">
        <v>10645.8750438438</v>
      </c>
      <c r="I1503" s="191" t="n">
        <v>4097195.37236085</v>
      </c>
      <c r="J1503" s="192" t="str">
        <f>IF(I1503&gt;0,H1503/I1503,0)</f>
      </c>
      <c r="K1503" s="193" t="str">
        <f>1-EXP(-J1503)</f>
      </c>
      <c r="L1503" s="194" t="str">
        <f>IF(G1503=30,1,M1502)</f>
      </c>
      <c r="M1503" s="195" t="str">
        <f>L1503*(1-K1503)</f>
      </c>
    </row>
    <row r="1504">
      <c r="A1504" t="s">
        <v>167</v>
      </c>
      <c r="B1504" t="s">
        <v>219</v>
      </c>
      <c r="C1504" s="35" t="s">
        <v>221</v>
      </c>
      <c r="D1504" t="s">
        <v>502</v>
      </c>
      <c r="E1504" t="s">
        <v>520</v>
      </c>
      <c r="F1504" s="188" t="n">
        <v>2036</v>
      </c>
      <c r="G1504" s="189" t="n">
        <v>52</v>
      </c>
      <c r="H1504" s="190" t="n">
        <v>11841.8436854694</v>
      </c>
      <c r="I1504" s="191" t="n">
        <v>4167893.91321271</v>
      </c>
      <c r="J1504" s="192" t="str">
        <f>IF(I1504&gt;0,H1504/I1504,0)</f>
      </c>
      <c r="K1504" s="193" t="str">
        <f>1-EXP(-J1504)</f>
      </c>
      <c r="L1504" s="194" t="str">
        <f>IF(G1504=30,1,M1503)</f>
      </c>
      <c r="M1504" s="195" t="str">
        <f>L1504*(1-K1504)</f>
      </c>
    </row>
    <row r="1505">
      <c r="A1505" t="s">
        <v>167</v>
      </c>
      <c r="B1505" t="s">
        <v>219</v>
      </c>
      <c r="C1505" s="35" t="s">
        <v>221</v>
      </c>
      <c r="D1505" t="s">
        <v>502</v>
      </c>
      <c r="E1505" t="s">
        <v>520</v>
      </c>
      <c r="F1505" s="188" t="n">
        <v>2036</v>
      </c>
      <c r="G1505" s="189" t="n">
        <v>53</v>
      </c>
      <c r="H1505" s="190" t="n">
        <v>12825.2834409841</v>
      </c>
      <c r="I1505" s="191" t="n">
        <v>4131774.51155785</v>
      </c>
      <c r="J1505" s="192" t="str">
        <f>IF(I1505&gt;0,H1505/I1505,0)</f>
      </c>
      <c r="K1505" s="193" t="str">
        <f>1-EXP(-J1505)</f>
      </c>
      <c r="L1505" s="194" t="str">
        <f>IF(G1505=30,1,M1504)</f>
      </c>
      <c r="M1505" s="195" t="str">
        <f>L1505*(1-K1505)</f>
      </c>
    </row>
    <row r="1506">
      <c r="A1506" t="s">
        <v>167</v>
      </c>
      <c r="B1506" t="s">
        <v>219</v>
      </c>
      <c r="C1506" s="35" t="s">
        <v>221</v>
      </c>
      <c r="D1506" t="s">
        <v>502</v>
      </c>
      <c r="E1506" t="s">
        <v>520</v>
      </c>
      <c r="F1506" s="188" t="n">
        <v>2036</v>
      </c>
      <c r="G1506" s="189" t="n">
        <v>54</v>
      </c>
      <c r="H1506" s="190" t="n">
        <v>13523.9134208841</v>
      </c>
      <c r="I1506" s="191" t="n">
        <v>3986312.09552378</v>
      </c>
      <c r="J1506" s="192" t="str">
        <f>IF(I1506&gt;0,H1506/I1506,0)</f>
      </c>
      <c r="K1506" s="193" t="str">
        <f>1-EXP(-J1506)</f>
      </c>
      <c r="L1506" s="194" t="str">
        <f>IF(G1506=30,1,M1505)</f>
      </c>
      <c r="M1506" s="195" t="str">
        <f>L1506*(1-K1506)</f>
      </c>
    </row>
    <row r="1507">
      <c r="A1507" t="s">
        <v>167</v>
      </c>
      <c r="B1507" t="s">
        <v>219</v>
      </c>
      <c r="C1507" s="35" t="s">
        <v>221</v>
      </c>
      <c r="D1507" t="s">
        <v>502</v>
      </c>
      <c r="E1507" t="s">
        <v>520</v>
      </c>
      <c r="F1507" s="188" t="n">
        <v>2036</v>
      </c>
      <c r="G1507" s="189" t="n">
        <v>55</v>
      </c>
      <c r="H1507" s="190" t="n">
        <v>14431.7542472488</v>
      </c>
      <c r="I1507" s="191" t="n">
        <v>3900549.14551472</v>
      </c>
      <c r="J1507" s="192" t="str">
        <f>IF(I1507&gt;0,H1507/I1507,0)</f>
      </c>
      <c r="K1507" s="193" t="str">
        <f>1-EXP(-J1507)</f>
      </c>
      <c r="L1507" s="194" t="str">
        <f>IF(G1507=30,1,M1506)</f>
      </c>
      <c r="M1507" s="195" t="str">
        <f>L1507*(1-K1507)</f>
      </c>
    </row>
    <row r="1508">
      <c r="A1508" t="s">
        <v>167</v>
      </c>
      <c r="B1508" t="s">
        <v>219</v>
      </c>
      <c r="C1508" s="35" t="s">
        <v>221</v>
      </c>
      <c r="D1508" t="s">
        <v>502</v>
      </c>
      <c r="E1508" t="s">
        <v>520</v>
      </c>
      <c r="F1508" s="188" t="n">
        <v>2036</v>
      </c>
      <c r="G1508" s="189" t="n">
        <v>56</v>
      </c>
      <c r="H1508" s="190" t="n">
        <v>15429.3100064933</v>
      </c>
      <c r="I1508" s="191" t="n">
        <v>3828924.77447164</v>
      </c>
      <c r="J1508" s="192" t="str">
        <f>IF(I1508&gt;0,H1508/I1508,0)</f>
      </c>
      <c r="K1508" s="193" t="str">
        <f>1-EXP(-J1508)</f>
      </c>
      <c r="L1508" s="194" t="str">
        <f>IF(G1508=30,1,M1507)</f>
      </c>
      <c r="M1508" s="195" t="str">
        <f>L1508*(1-K1508)</f>
      </c>
    </row>
    <row r="1509">
      <c r="A1509" t="s">
        <v>167</v>
      </c>
      <c r="B1509" t="s">
        <v>219</v>
      </c>
      <c r="C1509" s="35" t="s">
        <v>221</v>
      </c>
      <c r="D1509" t="s">
        <v>502</v>
      </c>
      <c r="E1509" t="s">
        <v>520</v>
      </c>
      <c r="F1509" s="188" t="n">
        <v>2036</v>
      </c>
      <c r="G1509" s="189" t="n">
        <v>57</v>
      </c>
      <c r="H1509" s="190" t="n">
        <v>16517.7945369441</v>
      </c>
      <c r="I1509" s="191" t="n">
        <v>3751557.16961857</v>
      </c>
      <c r="J1509" s="192" t="str">
        <f>IF(I1509&gt;0,H1509/I1509,0)</f>
      </c>
      <c r="K1509" s="193" t="str">
        <f>1-EXP(-J1509)</f>
      </c>
      <c r="L1509" s="194" t="str">
        <f>IF(G1509=30,1,M1508)</f>
      </c>
      <c r="M1509" s="195" t="str">
        <f>L1509*(1-K1509)</f>
      </c>
    </row>
    <row r="1510">
      <c r="A1510" t="s">
        <v>167</v>
      </c>
      <c r="B1510" t="s">
        <v>219</v>
      </c>
      <c r="C1510" s="35" t="s">
        <v>221</v>
      </c>
      <c r="D1510" t="s">
        <v>502</v>
      </c>
      <c r="E1510" t="s">
        <v>520</v>
      </c>
      <c r="F1510" s="188" t="n">
        <v>2036</v>
      </c>
      <c r="G1510" s="189" t="n">
        <v>58</v>
      </c>
      <c r="H1510" s="190" t="n">
        <v>17598.6618546079</v>
      </c>
      <c r="I1510" s="191" t="n">
        <v>3654898.24102608</v>
      </c>
      <c r="J1510" s="192" t="str">
        <f>IF(I1510&gt;0,H1510/I1510,0)</f>
      </c>
      <c r="K1510" s="193" t="str">
        <f>1-EXP(-J1510)</f>
      </c>
      <c r="L1510" s="194" t="str">
        <f>IF(G1510=30,1,M1509)</f>
      </c>
      <c r="M1510" s="195" t="str">
        <f>L1510*(1-K1510)</f>
      </c>
    </row>
    <row r="1511">
      <c r="A1511" t="s">
        <v>167</v>
      </c>
      <c r="B1511" t="s">
        <v>219</v>
      </c>
      <c r="C1511" s="35" t="s">
        <v>221</v>
      </c>
      <c r="D1511" t="s">
        <v>502</v>
      </c>
      <c r="E1511" t="s">
        <v>520</v>
      </c>
      <c r="F1511" s="188" t="n">
        <v>2036</v>
      </c>
      <c r="G1511" s="189" t="n">
        <v>59</v>
      </c>
      <c r="H1511" s="190" t="n">
        <v>18855.3025649498</v>
      </c>
      <c r="I1511" s="191" t="n">
        <v>3573322.72138506</v>
      </c>
      <c r="J1511" s="192" t="str">
        <f>IF(I1511&gt;0,H1511/I1511,0)</f>
      </c>
      <c r="K1511" s="193" t="str">
        <f>1-EXP(-J1511)</f>
      </c>
      <c r="L1511" s="194" t="str">
        <f>IF(G1511=30,1,M1510)</f>
      </c>
      <c r="M1511" s="195" t="str">
        <f>L1511*(1-K1511)</f>
      </c>
    </row>
    <row r="1512">
      <c r="A1512" t="s">
        <v>167</v>
      </c>
      <c r="B1512" t="s">
        <v>219</v>
      </c>
      <c r="C1512" s="35" t="s">
        <v>221</v>
      </c>
      <c r="D1512" t="s">
        <v>502</v>
      </c>
      <c r="E1512" t="s">
        <v>520</v>
      </c>
      <c r="F1512" s="188" t="n">
        <v>2036</v>
      </c>
      <c r="G1512" s="189" t="n">
        <v>60</v>
      </c>
      <c r="H1512" s="190" t="n">
        <v>20200.9506581216</v>
      </c>
      <c r="I1512" s="191" t="n">
        <v>3479829.04065175</v>
      </c>
      <c r="J1512" s="192" t="str">
        <f>IF(I1512&gt;0,H1512/I1512,0)</f>
      </c>
      <c r="K1512" s="193" t="str">
        <f>1-EXP(-J1512)</f>
      </c>
      <c r="L1512" s="194" t="str">
        <f>IF(G1512=30,1,M1511)</f>
      </c>
      <c r="M1512" s="195" t="str">
        <f>L1512*(1-K1512)</f>
      </c>
    </row>
    <row r="1513">
      <c r="A1513" t="s">
        <v>167</v>
      </c>
      <c r="B1513" t="s">
        <v>219</v>
      </c>
      <c r="C1513" s="35" t="s">
        <v>221</v>
      </c>
      <c r="D1513" t="s">
        <v>502</v>
      </c>
      <c r="E1513" t="s">
        <v>520</v>
      </c>
      <c r="F1513" s="188" t="n">
        <v>2036</v>
      </c>
      <c r="G1513" s="189" t="n">
        <v>61</v>
      </c>
      <c r="H1513" s="190" t="n">
        <v>21602.8082076894</v>
      </c>
      <c r="I1513" s="191" t="n">
        <v>3384269.92883661</v>
      </c>
      <c r="J1513" s="192" t="str">
        <f>IF(I1513&gt;0,H1513/I1513,0)</f>
      </c>
      <c r="K1513" s="193" t="str">
        <f>1-EXP(-J1513)</f>
      </c>
      <c r="L1513" s="194" t="str">
        <f>IF(G1513=30,1,M1512)</f>
      </c>
      <c r="M1513" s="195" t="str">
        <f>L1513*(1-K1513)</f>
      </c>
    </row>
    <row r="1514">
      <c r="A1514" t="s">
        <v>167</v>
      </c>
      <c r="B1514" t="s">
        <v>219</v>
      </c>
      <c r="C1514" s="35" t="s">
        <v>221</v>
      </c>
      <c r="D1514" t="s">
        <v>502</v>
      </c>
      <c r="E1514" t="s">
        <v>520</v>
      </c>
      <c r="F1514" s="188" t="n">
        <v>2036</v>
      </c>
      <c r="G1514" s="189" t="n">
        <v>62</v>
      </c>
      <c r="H1514" s="190" t="n">
        <v>22811.1555529665</v>
      </c>
      <c r="I1514" s="191" t="n">
        <v>3262574.81837624</v>
      </c>
      <c r="J1514" s="192" t="str">
        <f>IF(I1514&gt;0,H1514/I1514,0)</f>
      </c>
      <c r="K1514" s="193" t="str">
        <f>1-EXP(-J1514)</f>
      </c>
      <c r="L1514" s="194" t="str">
        <f>IF(G1514=30,1,M1513)</f>
      </c>
      <c r="M1514" s="195" t="str">
        <f>L1514*(1-K1514)</f>
      </c>
    </row>
    <row r="1515">
      <c r="A1515" t="s">
        <v>167</v>
      </c>
      <c r="B1515" t="s">
        <v>219</v>
      </c>
      <c r="C1515" s="35" t="s">
        <v>221</v>
      </c>
      <c r="D1515" t="s">
        <v>502</v>
      </c>
      <c r="E1515" t="s">
        <v>520</v>
      </c>
      <c r="F1515" s="188" t="n">
        <v>2036</v>
      </c>
      <c r="G1515" s="189" t="n">
        <v>63</v>
      </c>
      <c r="H1515" s="190" t="n">
        <v>24475.9354359395</v>
      </c>
      <c r="I1515" s="191" t="n">
        <v>3195091.63200483</v>
      </c>
      <c r="J1515" s="192" t="str">
        <f>IF(I1515&gt;0,H1515/I1515,0)</f>
      </c>
      <c r="K1515" s="193" t="str">
        <f>1-EXP(-J1515)</f>
      </c>
      <c r="L1515" s="194" t="str">
        <f>IF(G1515=30,1,M1514)</f>
      </c>
      <c r="M1515" s="195" t="str">
        <f>L1515*(1-K1515)</f>
      </c>
    </row>
    <row r="1516">
      <c r="A1516" t="s">
        <v>167</v>
      </c>
      <c r="B1516" t="s">
        <v>219</v>
      </c>
      <c r="C1516" s="35" t="s">
        <v>221</v>
      </c>
      <c r="D1516" t="s">
        <v>502</v>
      </c>
      <c r="E1516" t="s">
        <v>520</v>
      </c>
      <c r="F1516" s="188" t="n">
        <v>2036</v>
      </c>
      <c r="G1516" s="189" t="n">
        <v>64</v>
      </c>
      <c r="H1516" s="190" t="n">
        <v>25028.9648809933</v>
      </c>
      <c r="I1516" s="191" t="n">
        <v>2977516.4816771</v>
      </c>
      <c r="J1516" s="192" t="str">
        <f>IF(I1516&gt;0,H1516/I1516,0)</f>
      </c>
      <c r="K1516" s="193" t="str">
        <f>1-EXP(-J1516)</f>
      </c>
      <c r="L1516" s="194" t="str">
        <f>IF(G1516=30,1,M1515)</f>
      </c>
      <c r="M1516" s="195" t="str">
        <f>L1516*(1-K1516)</f>
      </c>
    </row>
    <row r="1517">
      <c r="A1517" t="s">
        <v>167</v>
      </c>
      <c r="B1517" t="s">
        <v>219</v>
      </c>
      <c r="C1517" s="35" t="s">
        <v>221</v>
      </c>
      <c r="D1517" t="s">
        <v>502</v>
      </c>
      <c r="E1517" t="s">
        <v>520</v>
      </c>
      <c r="F1517" s="188" t="n">
        <v>2036</v>
      </c>
      <c r="G1517" s="189" t="n">
        <v>65</v>
      </c>
      <c r="H1517" s="190" t="n">
        <v>25479.3922004041</v>
      </c>
      <c r="I1517" s="191" t="n">
        <v>2870168.12214151</v>
      </c>
      <c r="J1517" s="192" t="str">
        <f>IF(I1517&gt;0,H1517/I1517,0)</f>
      </c>
      <c r="K1517" s="193" t="str">
        <f>1-EXP(-J1517)</f>
      </c>
      <c r="L1517" s="194" t="str">
        <f>IF(G1517=30,1,M1516)</f>
      </c>
      <c r="M1517" s="195" t="str">
        <f>L1517*(1-K1517)</f>
      </c>
    </row>
    <row r="1518">
      <c r="A1518" t="s">
        <v>167</v>
      </c>
      <c r="B1518" t="s">
        <v>219</v>
      </c>
      <c r="C1518" s="35" t="s">
        <v>221</v>
      </c>
      <c r="D1518" t="s">
        <v>502</v>
      </c>
      <c r="E1518" t="s">
        <v>520</v>
      </c>
      <c r="F1518" s="188" t="n">
        <v>2036</v>
      </c>
      <c r="G1518" s="189" t="n">
        <v>66</v>
      </c>
      <c r="H1518" s="190" t="n">
        <v>26917.4472584635</v>
      </c>
      <c r="I1518" s="191" t="n">
        <v>2766205.57305795</v>
      </c>
      <c r="J1518" s="192" t="str">
        <f>IF(I1518&gt;0,H1518/I1518,0)</f>
      </c>
      <c r="K1518" s="193" t="str">
        <f>1-EXP(-J1518)</f>
      </c>
      <c r="L1518" s="194" t="str">
        <f>IF(G1518=30,1,M1517)</f>
      </c>
      <c r="M1518" s="195" t="str">
        <f>L1518*(1-K1518)</f>
      </c>
    </row>
    <row r="1519">
      <c r="A1519" t="s">
        <v>167</v>
      </c>
      <c r="B1519" t="s">
        <v>219</v>
      </c>
      <c r="C1519" s="35" t="s">
        <v>221</v>
      </c>
      <c r="D1519" t="s">
        <v>502</v>
      </c>
      <c r="E1519" t="s">
        <v>520</v>
      </c>
      <c r="F1519" s="188" t="n">
        <v>2036</v>
      </c>
      <c r="G1519" s="189" t="n">
        <v>67</v>
      </c>
      <c r="H1519" s="190" t="n">
        <v>28331.2178051587</v>
      </c>
      <c r="I1519" s="191" t="n">
        <v>2652803.89019396</v>
      </c>
      <c r="J1519" s="192" t="str">
        <f>IF(I1519&gt;0,H1519/I1519,0)</f>
      </c>
      <c r="K1519" s="193" t="str">
        <f>1-EXP(-J1519)</f>
      </c>
      <c r="L1519" s="194" t="str">
        <f>IF(G1519=30,1,M1518)</f>
      </c>
      <c r="M1519" s="195" t="str">
        <f>L1519*(1-K1519)</f>
      </c>
    </row>
    <row r="1520">
      <c r="A1520" t="s">
        <v>167</v>
      </c>
      <c r="B1520" t="s">
        <v>219</v>
      </c>
      <c r="C1520" s="35" t="s">
        <v>221</v>
      </c>
      <c r="D1520" t="s">
        <v>502</v>
      </c>
      <c r="E1520" t="s">
        <v>520</v>
      </c>
      <c r="F1520" s="188" t="n">
        <v>2036</v>
      </c>
      <c r="G1520" s="189" t="n">
        <v>68</v>
      </c>
      <c r="H1520" s="190" t="n">
        <v>29577.8886779754</v>
      </c>
      <c r="I1520" s="191" t="n">
        <v>2521604.42154299</v>
      </c>
      <c r="J1520" s="192" t="str">
        <f>IF(I1520&gt;0,H1520/I1520,0)</f>
      </c>
      <c r="K1520" s="193" t="str">
        <f>1-EXP(-J1520)</f>
      </c>
      <c r="L1520" s="194" t="str">
        <f>IF(G1520=30,1,M1519)</f>
      </c>
      <c r="M1520" s="195" t="str">
        <f>L1520*(1-K1520)</f>
      </c>
    </row>
    <row r="1521">
      <c r="A1521" t="s">
        <v>167</v>
      </c>
      <c r="B1521" t="s">
        <v>219</v>
      </c>
      <c r="C1521" s="35" t="s">
        <v>221</v>
      </c>
      <c r="D1521" t="s">
        <v>502</v>
      </c>
      <c r="E1521" t="s">
        <v>520</v>
      </c>
      <c r="F1521" s="188" t="n">
        <v>2036</v>
      </c>
      <c r="G1521" s="189" t="n">
        <v>69</v>
      </c>
      <c r="H1521" s="190" t="n">
        <v>30499.4903784154</v>
      </c>
      <c r="I1521" s="191" t="n">
        <v>2363350.06267427</v>
      </c>
      <c r="J1521" s="192" t="str">
        <f>IF(I1521&gt;0,H1521/I1521,0)</f>
      </c>
      <c r="K1521" s="193" t="str">
        <f>1-EXP(-J1521)</f>
      </c>
      <c r="L1521" s="194" t="str">
        <f>IF(G1521=30,1,M1520)</f>
      </c>
      <c r="M1521" s="195" t="str">
        <f>L1521*(1-K1521)</f>
      </c>
    </row>
    <row r="1522">
      <c r="A1522" t="s">
        <v>167</v>
      </c>
      <c r="B1522" t="s">
        <v>219</v>
      </c>
      <c r="C1522" s="35" t="s">
        <v>221</v>
      </c>
      <c r="D1522" t="s">
        <v>502</v>
      </c>
      <c r="E1522" t="s">
        <v>520</v>
      </c>
      <c r="F1522" s="188" t="n">
        <v>2037</v>
      </c>
      <c r="G1522" s="189" t="n">
        <v>30</v>
      </c>
      <c r="H1522" s="190" t="n">
        <v>813.854477666826</v>
      </c>
      <c r="I1522" s="191" t="n">
        <v>4685605.28494367</v>
      </c>
      <c r="J1522" s="192" t="str">
        <f>IF(I1522&gt;0,H1522/I1522,0)</f>
      </c>
      <c r="K1522" s="193" t="str">
        <f>1-EXP(-J1522)</f>
      </c>
      <c r="L1522" s="194" t="str">
        <f>IF(G1522=30,1,M1521)</f>
      </c>
      <c r="M1522" s="195" t="str">
        <f>L1522*(1-K1522)</f>
      </c>
    </row>
    <row r="1523">
      <c r="A1523" t="s">
        <v>167</v>
      </c>
      <c r="B1523" t="s">
        <v>219</v>
      </c>
      <c r="C1523" s="35" t="s">
        <v>221</v>
      </c>
      <c r="D1523" t="s">
        <v>502</v>
      </c>
      <c r="E1523" t="s">
        <v>520</v>
      </c>
      <c r="F1523" s="188" t="n">
        <v>2037</v>
      </c>
      <c r="G1523" s="189" t="n">
        <v>31</v>
      </c>
      <c r="H1523" s="190" t="n">
        <v>999.859090751891</v>
      </c>
      <c r="I1523" s="191" t="n">
        <v>4602571.59769301</v>
      </c>
      <c r="J1523" s="192" t="str">
        <f>IF(I1523&gt;0,H1523/I1523,0)</f>
      </c>
      <c r="K1523" s="193" t="str">
        <f>1-EXP(-J1523)</f>
      </c>
      <c r="L1523" s="194" t="str">
        <f>IF(G1523=30,1,M1522)</f>
      </c>
      <c r="M1523" s="195" t="str">
        <f>L1523*(1-K1523)</f>
      </c>
    </row>
    <row r="1524">
      <c r="A1524" t="s">
        <v>167</v>
      </c>
      <c r="B1524" t="s">
        <v>219</v>
      </c>
      <c r="C1524" s="35" t="s">
        <v>221</v>
      </c>
      <c r="D1524" t="s">
        <v>502</v>
      </c>
      <c r="E1524" t="s">
        <v>520</v>
      </c>
      <c r="F1524" s="188" t="n">
        <v>2037</v>
      </c>
      <c r="G1524" s="189" t="n">
        <v>32</v>
      </c>
      <c r="H1524" s="190" t="n">
        <v>1039.19654276714</v>
      </c>
      <c r="I1524" s="191" t="n">
        <v>4541780.96608446</v>
      </c>
      <c r="J1524" s="192" t="str">
        <f>IF(I1524&gt;0,H1524/I1524,0)</f>
      </c>
      <c r="K1524" s="193" t="str">
        <f>1-EXP(-J1524)</f>
      </c>
      <c r="L1524" s="194" t="str">
        <f>IF(G1524=30,1,M1523)</f>
      </c>
      <c r="M1524" s="195" t="str">
        <f>L1524*(1-K1524)</f>
      </c>
    </row>
    <row r="1525">
      <c r="A1525" t="s">
        <v>167</v>
      </c>
      <c r="B1525" t="s">
        <v>219</v>
      </c>
      <c r="C1525" s="35" t="s">
        <v>221</v>
      </c>
      <c r="D1525" t="s">
        <v>502</v>
      </c>
      <c r="E1525" t="s">
        <v>520</v>
      </c>
      <c r="F1525" s="188" t="n">
        <v>2037</v>
      </c>
      <c r="G1525" s="189" t="n">
        <v>33</v>
      </c>
      <c r="H1525" s="190" t="n">
        <v>1070.89756154407</v>
      </c>
      <c r="I1525" s="191" t="n">
        <v>4413228.45605497</v>
      </c>
      <c r="J1525" s="192" t="str">
        <f>IF(I1525&gt;0,H1525/I1525,0)</f>
      </c>
      <c r="K1525" s="193" t="str">
        <f>1-EXP(-J1525)</f>
      </c>
      <c r="L1525" s="194" t="str">
        <f>IF(G1525=30,1,M1524)</f>
      </c>
      <c r="M1525" s="195" t="str">
        <f>L1525*(1-K1525)</f>
      </c>
    </row>
    <row r="1526">
      <c r="A1526" t="s">
        <v>167</v>
      </c>
      <c r="B1526" t="s">
        <v>219</v>
      </c>
      <c r="C1526" s="35" t="s">
        <v>221</v>
      </c>
      <c r="D1526" t="s">
        <v>502</v>
      </c>
      <c r="E1526" t="s">
        <v>520</v>
      </c>
      <c r="F1526" s="188" t="n">
        <v>2037</v>
      </c>
      <c r="G1526" s="189" t="n">
        <v>34</v>
      </c>
      <c r="H1526" s="190" t="n">
        <v>1125.92057273245</v>
      </c>
      <c r="I1526" s="191" t="n">
        <v>4347692.50749763</v>
      </c>
      <c r="J1526" s="192" t="str">
        <f>IF(I1526&gt;0,H1526/I1526,0)</f>
      </c>
      <c r="K1526" s="193" t="str">
        <f>1-EXP(-J1526)</f>
      </c>
      <c r="L1526" s="194" t="str">
        <f>IF(G1526=30,1,M1525)</f>
      </c>
      <c r="M1526" s="195" t="str">
        <f>L1526*(1-K1526)</f>
      </c>
    </row>
    <row r="1527">
      <c r="A1527" t="s">
        <v>167</v>
      </c>
      <c r="B1527" t="s">
        <v>219</v>
      </c>
      <c r="C1527" s="35" t="s">
        <v>221</v>
      </c>
      <c r="D1527" t="s">
        <v>502</v>
      </c>
      <c r="E1527" t="s">
        <v>520</v>
      </c>
      <c r="F1527" s="188" t="n">
        <v>2037</v>
      </c>
      <c r="G1527" s="189" t="n">
        <v>35</v>
      </c>
      <c r="H1527" s="190" t="n">
        <v>1695.97816185942</v>
      </c>
      <c r="I1527" s="191" t="n">
        <v>4325725.20821239</v>
      </c>
      <c r="J1527" s="192" t="str">
        <f>IF(I1527&gt;0,H1527/I1527,0)</f>
      </c>
      <c r="K1527" s="193" t="str">
        <f>1-EXP(-J1527)</f>
      </c>
      <c r="L1527" s="194" t="str">
        <f>IF(G1527=30,1,M1526)</f>
      </c>
      <c r="M1527" s="195" t="str">
        <f>L1527*(1-K1527)</f>
      </c>
    </row>
    <row r="1528">
      <c r="A1528" t="s">
        <v>167</v>
      </c>
      <c r="B1528" t="s">
        <v>219</v>
      </c>
      <c r="C1528" s="35" t="s">
        <v>221</v>
      </c>
      <c r="D1528" t="s">
        <v>502</v>
      </c>
      <c r="E1528" t="s">
        <v>520</v>
      </c>
      <c r="F1528" s="188" t="n">
        <v>2037</v>
      </c>
      <c r="G1528" s="189" t="n">
        <v>36</v>
      </c>
      <c r="H1528" s="190" t="n">
        <v>1882.38522718017</v>
      </c>
      <c r="I1528" s="191" t="n">
        <v>4304722.52006954</v>
      </c>
      <c r="J1528" s="192" t="str">
        <f>IF(I1528&gt;0,H1528/I1528,0)</f>
      </c>
      <c r="K1528" s="193" t="str">
        <f>1-EXP(-J1528)</f>
      </c>
      <c r="L1528" s="194" t="str">
        <f>IF(G1528=30,1,M1527)</f>
      </c>
      <c r="M1528" s="195" t="str">
        <f>L1528*(1-K1528)</f>
      </c>
    </row>
    <row r="1529">
      <c r="A1529" t="s">
        <v>167</v>
      </c>
      <c r="B1529" t="s">
        <v>219</v>
      </c>
      <c r="C1529" s="35" t="s">
        <v>221</v>
      </c>
      <c r="D1529" t="s">
        <v>502</v>
      </c>
      <c r="E1529" t="s">
        <v>520</v>
      </c>
      <c r="F1529" s="188" t="n">
        <v>2037</v>
      </c>
      <c r="G1529" s="189" t="n">
        <v>37</v>
      </c>
      <c r="H1529" s="190" t="n">
        <v>2014.88112814102</v>
      </c>
      <c r="I1529" s="191" t="n">
        <v>4283622.29422866</v>
      </c>
      <c r="J1529" s="192" t="str">
        <f>IF(I1529&gt;0,H1529/I1529,0)</f>
      </c>
      <c r="K1529" s="193" t="str">
        <f>1-EXP(-J1529)</f>
      </c>
      <c r="L1529" s="194" t="str">
        <f>IF(G1529=30,1,M1528)</f>
      </c>
      <c r="M1529" s="195" t="str">
        <f>L1529*(1-K1529)</f>
      </c>
    </row>
    <row r="1530">
      <c r="A1530" t="s">
        <v>167</v>
      </c>
      <c r="B1530" t="s">
        <v>219</v>
      </c>
      <c r="C1530" s="35" t="s">
        <v>221</v>
      </c>
      <c r="D1530" t="s">
        <v>502</v>
      </c>
      <c r="E1530" t="s">
        <v>520</v>
      </c>
      <c r="F1530" s="188" t="n">
        <v>2037</v>
      </c>
      <c r="G1530" s="189" t="n">
        <v>38</v>
      </c>
      <c r="H1530" s="190" t="n">
        <v>2181.95757539806</v>
      </c>
      <c r="I1530" s="191" t="n">
        <v>4301793.0719283</v>
      </c>
      <c r="J1530" s="192" t="str">
        <f>IF(I1530&gt;0,H1530/I1530,0)</f>
      </c>
      <c r="K1530" s="193" t="str">
        <f>1-EXP(-J1530)</f>
      </c>
      <c r="L1530" s="194" t="str">
        <f>IF(G1530=30,1,M1529)</f>
      </c>
      <c r="M1530" s="195" t="str">
        <f>L1530*(1-K1530)</f>
      </c>
    </row>
    <row r="1531">
      <c r="A1531" t="s">
        <v>167</v>
      </c>
      <c r="B1531" t="s">
        <v>219</v>
      </c>
      <c r="C1531" s="35" t="s">
        <v>221</v>
      </c>
      <c r="D1531" t="s">
        <v>502</v>
      </c>
      <c r="E1531" t="s">
        <v>520</v>
      </c>
      <c r="F1531" s="188" t="n">
        <v>2037</v>
      </c>
      <c r="G1531" s="189" t="n">
        <v>39</v>
      </c>
      <c r="H1531" s="190" t="n">
        <v>2389.58582838002</v>
      </c>
      <c r="I1531" s="191" t="n">
        <v>4358607.0347019</v>
      </c>
      <c r="J1531" s="192" t="str">
        <f>IF(I1531&gt;0,H1531/I1531,0)</f>
      </c>
      <c r="K1531" s="193" t="str">
        <f>1-EXP(-J1531)</f>
      </c>
      <c r="L1531" s="194" t="str">
        <f>IF(G1531=30,1,M1530)</f>
      </c>
      <c r="M1531" s="195" t="str">
        <f>L1531*(1-K1531)</f>
      </c>
    </row>
    <row r="1532">
      <c r="A1532" t="s">
        <v>167</v>
      </c>
      <c r="B1532" t="s">
        <v>219</v>
      </c>
      <c r="C1532" s="35" t="s">
        <v>221</v>
      </c>
      <c r="D1532" t="s">
        <v>502</v>
      </c>
      <c r="E1532" t="s">
        <v>520</v>
      </c>
      <c r="F1532" s="188" t="n">
        <v>2037</v>
      </c>
      <c r="G1532" s="189" t="n">
        <v>40</v>
      </c>
      <c r="H1532" s="190" t="n">
        <v>3578.7260459788</v>
      </c>
      <c r="I1532" s="191" t="n">
        <v>4493045.61090028</v>
      </c>
      <c r="J1532" s="192" t="str">
        <f>IF(I1532&gt;0,H1532/I1532,0)</f>
      </c>
      <c r="K1532" s="193" t="str">
        <f>1-EXP(-J1532)</f>
      </c>
      <c r="L1532" s="194" t="str">
        <f>IF(G1532=30,1,M1531)</f>
      </c>
      <c r="M1532" s="195" t="str">
        <f>L1532*(1-K1532)</f>
      </c>
    </row>
    <row r="1533">
      <c r="A1533" t="s">
        <v>167</v>
      </c>
      <c r="B1533" t="s">
        <v>219</v>
      </c>
      <c r="C1533" s="35" t="s">
        <v>221</v>
      </c>
      <c r="D1533" t="s">
        <v>502</v>
      </c>
      <c r="E1533" t="s">
        <v>520</v>
      </c>
      <c r="F1533" s="188" t="n">
        <v>2037</v>
      </c>
      <c r="G1533" s="189" t="n">
        <v>41</v>
      </c>
      <c r="H1533" s="190" t="n">
        <v>3811.98247232438</v>
      </c>
      <c r="I1533" s="191" t="n">
        <v>4446203.74773608</v>
      </c>
      <c r="J1533" s="192" t="str">
        <f>IF(I1533&gt;0,H1533/I1533,0)</f>
      </c>
      <c r="K1533" s="193" t="str">
        <f>1-EXP(-J1533)</f>
      </c>
      <c r="L1533" s="194" t="str">
        <f>IF(G1533=30,1,M1532)</f>
      </c>
      <c r="M1533" s="195" t="str">
        <f>L1533*(1-K1533)</f>
      </c>
    </row>
    <row r="1534">
      <c r="A1534" t="s">
        <v>167</v>
      </c>
      <c r="B1534" t="s">
        <v>219</v>
      </c>
      <c r="C1534" s="35" t="s">
        <v>221</v>
      </c>
      <c r="D1534" t="s">
        <v>502</v>
      </c>
      <c r="E1534" t="s">
        <v>520</v>
      </c>
      <c r="F1534" s="188" t="n">
        <v>2037</v>
      </c>
      <c r="G1534" s="189" t="n">
        <v>42</v>
      </c>
      <c r="H1534" s="190" t="n">
        <v>4062.14418386513</v>
      </c>
      <c r="I1534" s="191" t="n">
        <v>4369965.39225864</v>
      </c>
      <c r="J1534" s="192" t="str">
        <f>IF(I1534&gt;0,H1534/I1534,0)</f>
      </c>
      <c r="K1534" s="193" t="str">
        <f>1-EXP(-J1534)</f>
      </c>
      <c r="L1534" s="194" t="str">
        <f>IF(G1534=30,1,M1533)</f>
      </c>
      <c r="M1534" s="195" t="str">
        <f>L1534*(1-K1534)</f>
      </c>
    </row>
    <row r="1535">
      <c r="A1535" t="s">
        <v>167</v>
      </c>
      <c r="B1535" t="s">
        <v>219</v>
      </c>
      <c r="C1535" s="35" t="s">
        <v>221</v>
      </c>
      <c r="D1535" t="s">
        <v>502</v>
      </c>
      <c r="E1535" t="s">
        <v>520</v>
      </c>
      <c r="F1535" s="188" t="n">
        <v>2037</v>
      </c>
      <c r="G1535" s="189" t="n">
        <v>43</v>
      </c>
      <c r="H1535" s="190" t="n">
        <v>4355.38961990242</v>
      </c>
      <c r="I1535" s="191" t="n">
        <v>4308903.15537191</v>
      </c>
      <c r="J1535" s="192" t="str">
        <f>IF(I1535&gt;0,H1535/I1535,0)</f>
      </c>
      <c r="K1535" s="193" t="str">
        <f>1-EXP(-J1535)</f>
      </c>
      <c r="L1535" s="194" t="str">
        <f>IF(G1535=30,1,M1534)</f>
      </c>
      <c r="M1535" s="195" t="str">
        <f>L1535*(1-K1535)</f>
      </c>
    </row>
    <row r="1536">
      <c r="A1536" t="s">
        <v>167</v>
      </c>
      <c r="B1536" t="s">
        <v>219</v>
      </c>
      <c r="C1536" s="35" t="s">
        <v>221</v>
      </c>
      <c r="D1536" t="s">
        <v>502</v>
      </c>
      <c r="E1536" t="s">
        <v>520</v>
      </c>
      <c r="F1536" s="188" t="n">
        <v>2037</v>
      </c>
      <c r="G1536" s="189" t="n">
        <v>44</v>
      </c>
      <c r="H1536" s="190" t="n">
        <v>4685.23669923198</v>
      </c>
      <c r="I1536" s="191" t="n">
        <v>4250974.57637806</v>
      </c>
      <c r="J1536" s="192" t="str">
        <f>IF(I1536&gt;0,H1536/I1536,0)</f>
      </c>
      <c r="K1536" s="193" t="str">
        <f>1-EXP(-J1536)</f>
      </c>
      <c r="L1536" s="194" t="str">
        <f>IF(G1536=30,1,M1535)</f>
      </c>
      <c r="M1536" s="195" t="str">
        <f>L1536*(1-K1536)</f>
      </c>
    </row>
    <row r="1537">
      <c r="A1537" t="s">
        <v>167</v>
      </c>
      <c r="B1537" t="s">
        <v>219</v>
      </c>
      <c r="C1537" s="35" t="s">
        <v>221</v>
      </c>
      <c r="D1537" t="s">
        <v>502</v>
      </c>
      <c r="E1537" t="s">
        <v>520</v>
      </c>
      <c r="F1537" s="188" t="n">
        <v>2037</v>
      </c>
      <c r="G1537" s="189" t="n">
        <v>45</v>
      </c>
      <c r="H1537" s="190" t="n">
        <v>6069.12179941824</v>
      </c>
      <c r="I1537" s="191" t="n">
        <v>4282418.50239219</v>
      </c>
      <c r="J1537" s="192" t="str">
        <f>IF(I1537&gt;0,H1537/I1537,0)</f>
      </c>
      <c r="K1537" s="193" t="str">
        <f>1-EXP(-J1537)</f>
      </c>
      <c r="L1537" s="194" t="str">
        <f>IF(G1537=30,1,M1536)</f>
      </c>
      <c r="M1537" s="195" t="str">
        <f>L1537*(1-K1537)</f>
      </c>
    </row>
    <row r="1538">
      <c r="A1538" t="s">
        <v>167</v>
      </c>
      <c r="B1538" t="s">
        <v>219</v>
      </c>
      <c r="C1538" s="35" t="s">
        <v>221</v>
      </c>
      <c r="D1538" t="s">
        <v>502</v>
      </c>
      <c r="E1538" t="s">
        <v>520</v>
      </c>
      <c r="F1538" s="188" t="n">
        <v>2037</v>
      </c>
      <c r="G1538" s="189" t="n">
        <v>46</v>
      </c>
      <c r="H1538" s="190" t="n">
        <v>6638.62362118144</v>
      </c>
      <c r="I1538" s="191" t="n">
        <v>4292720.24362809</v>
      </c>
      <c r="J1538" s="192" t="str">
        <f>IF(I1538&gt;0,H1538/I1538,0)</f>
      </c>
      <c r="K1538" s="193" t="str">
        <f>1-EXP(-J1538)</f>
      </c>
      <c r="L1538" s="194" t="str">
        <f>IF(G1538=30,1,M1537)</f>
      </c>
      <c r="M1538" s="195" t="str">
        <f>L1538*(1-K1538)</f>
      </c>
    </row>
    <row r="1539">
      <c r="A1539" t="s">
        <v>167</v>
      </c>
      <c r="B1539" t="s">
        <v>219</v>
      </c>
      <c r="C1539" s="35" t="s">
        <v>221</v>
      </c>
      <c r="D1539" t="s">
        <v>502</v>
      </c>
      <c r="E1539" t="s">
        <v>520</v>
      </c>
      <c r="F1539" s="188" t="n">
        <v>2037</v>
      </c>
      <c r="G1539" s="189" t="n">
        <v>47</v>
      </c>
      <c r="H1539" s="190" t="n">
        <v>9889.20570705701</v>
      </c>
      <c r="I1539" s="191" t="n">
        <v>6316738.69213566</v>
      </c>
      <c r="J1539" s="192" t="str">
        <f>IF(I1539&gt;0,H1539/I1539,0)</f>
      </c>
      <c r="K1539" s="193" t="str">
        <f>1-EXP(-J1539)</f>
      </c>
      <c r="L1539" s="194" t="str">
        <f>IF(G1539=30,1,M1538)</f>
      </c>
      <c r="M1539" s="195" t="str">
        <f>L1539*(1-K1539)</f>
      </c>
    </row>
    <row r="1540">
      <c r="A1540" t="s">
        <v>167</v>
      </c>
      <c r="B1540" t="s">
        <v>219</v>
      </c>
      <c r="C1540" s="35" t="s">
        <v>221</v>
      </c>
      <c r="D1540" t="s">
        <v>502</v>
      </c>
      <c r="E1540" t="s">
        <v>520</v>
      </c>
      <c r="F1540" s="188" t="n">
        <v>2037</v>
      </c>
      <c r="G1540" s="189" t="n">
        <v>48</v>
      </c>
      <c r="H1540" s="190" t="n">
        <v>7877.16332612662</v>
      </c>
      <c r="I1540" s="191" t="n">
        <v>4236920.20967676</v>
      </c>
      <c r="J1540" s="192" t="str">
        <f>IF(I1540&gt;0,H1540/I1540,0)</f>
      </c>
      <c r="K1540" s="193" t="str">
        <f>1-EXP(-J1540)</f>
      </c>
      <c r="L1540" s="194" t="str">
        <f>IF(G1540=30,1,M1539)</f>
      </c>
      <c r="M1540" s="195" t="str">
        <f>L1540*(1-K1540)</f>
      </c>
    </row>
    <row r="1541">
      <c r="A1541" t="s">
        <v>167</v>
      </c>
      <c r="B1541" t="s">
        <v>219</v>
      </c>
      <c r="C1541" s="35" t="s">
        <v>221</v>
      </c>
      <c r="D1541" t="s">
        <v>502</v>
      </c>
      <c r="E1541" t="s">
        <v>520</v>
      </c>
      <c r="F1541" s="188" t="n">
        <v>2037</v>
      </c>
      <c r="G1541" s="189" t="n">
        <v>49</v>
      </c>
      <c r="H1541" s="190" t="n">
        <v>8588.25226770902</v>
      </c>
      <c r="I1541" s="191" t="n">
        <v>4211672.47189067</v>
      </c>
      <c r="J1541" s="192" t="str">
        <f>IF(I1541&gt;0,H1541/I1541,0)</f>
      </c>
      <c r="K1541" s="193" t="str">
        <f>1-EXP(-J1541)</f>
      </c>
      <c r="L1541" s="194" t="str">
        <f>IF(G1541=30,1,M1540)</f>
      </c>
      <c r="M1541" s="195" t="str">
        <f>L1541*(1-K1541)</f>
      </c>
    </row>
    <row r="1542">
      <c r="A1542" t="s">
        <v>167</v>
      </c>
      <c r="B1542" t="s">
        <v>219</v>
      </c>
      <c r="C1542" s="35" t="s">
        <v>221</v>
      </c>
      <c r="D1542" t="s">
        <v>502</v>
      </c>
      <c r="E1542" t="s">
        <v>520</v>
      </c>
      <c r="F1542" s="188" t="n">
        <v>2037</v>
      </c>
      <c r="G1542" s="189" t="n">
        <v>50</v>
      </c>
      <c r="H1542" s="190" t="n">
        <v>9594.17101583798</v>
      </c>
      <c r="I1542" s="191" t="n">
        <v>4073035.78248239</v>
      </c>
      <c r="J1542" s="192" t="str">
        <f>IF(I1542&gt;0,H1542/I1542,0)</f>
      </c>
      <c r="K1542" s="193" t="str">
        <f>1-EXP(-J1542)</f>
      </c>
      <c r="L1542" s="194" t="str">
        <f>IF(G1542=30,1,M1541)</f>
      </c>
      <c r="M1542" s="195" t="str">
        <f>L1542*(1-K1542)</f>
      </c>
    </row>
    <row r="1543">
      <c r="A1543" t="s">
        <v>167</v>
      </c>
      <c r="B1543" t="s">
        <v>219</v>
      </c>
      <c r="C1543" s="35" t="s">
        <v>221</v>
      </c>
      <c r="D1543" t="s">
        <v>502</v>
      </c>
      <c r="E1543" t="s">
        <v>520</v>
      </c>
      <c r="F1543" s="188" t="n">
        <v>2037</v>
      </c>
      <c r="G1543" s="189" t="n">
        <v>51</v>
      </c>
      <c r="H1543" s="190" t="n">
        <v>10387.00187868</v>
      </c>
      <c r="I1543" s="191" t="n">
        <v>4028058.00523696</v>
      </c>
      <c r="J1543" s="192" t="str">
        <f>IF(I1543&gt;0,H1543/I1543,0)</f>
      </c>
      <c r="K1543" s="193" t="str">
        <f>1-EXP(-J1543)</f>
      </c>
      <c r="L1543" s="194" t="str">
        <f>IF(G1543=30,1,M1542)</f>
      </c>
      <c r="M1543" s="195" t="str">
        <f>L1543*(1-K1543)</f>
      </c>
    </row>
    <row r="1544">
      <c r="A1544" t="s">
        <v>167</v>
      </c>
      <c r="B1544" t="s">
        <v>219</v>
      </c>
      <c r="C1544" s="35" t="s">
        <v>221</v>
      </c>
      <c r="D1544" t="s">
        <v>502</v>
      </c>
      <c r="E1544" t="s">
        <v>520</v>
      </c>
      <c r="F1544" s="188" t="n">
        <v>2037</v>
      </c>
      <c r="G1544" s="189" t="n">
        <v>52</v>
      </c>
      <c r="H1544" s="190" t="n">
        <v>11487.9799023127</v>
      </c>
      <c r="I1544" s="191" t="n">
        <v>4073378.74696627</v>
      </c>
      <c r="J1544" s="192" t="str">
        <f>IF(I1544&gt;0,H1544/I1544,0)</f>
      </c>
      <c r="K1544" s="193" t="str">
        <f>1-EXP(-J1544)</f>
      </c>
      <c r="L1544" s="194" t="str">
        <f>IF(G1544=30,1,M1543)</f>
      </c>
      <c r="M1544" s="195" t="str">
        <f>L1544*(1-K1544)</f>
      </c>
    </row>
    <row r="1545">
      <c r="A1545" t="s">
        <v>167</v>
      </c>
      <c r="B1545" t="s">
        <v>219</v>
      </c>
      <c r="C1545" s="35" t="s">
        <v>221</v>
      </c>
      <c r="D1545" t="s">
        <v>502</v>
      </c>
      <c r="E1545" t="s">
        <v>520</v>
      </c>
      <c r="F1545" s="188" t="n">
        <v>2037</v>
      </c>
      <c r="G1545" s="189" t="n">
        <v>53</v>
      </c>
      <c r="H1545" s="190" t="n">
        <v>12760.0919614155</v>
      </c>
      <c r="I1545" s="191" t="n">
        <v>4141411.66068909</v>
      </c>
      <c r="J1545" s="192" t="str">
        <f>IF(I1545&gt;0,H1545/I1545,0)</f>
      </c>
      <c r="K1545" s="193" t="str">
        <f>1-EXP(-J1545)</f>
      </c>
      <c r="L1545" s="194" t="str">
        <f>IF(G1545=30,1,M1544)</f>
      </c>
      <c r="M1545" s="195" t="str">
        <f>L1545*(1-K1545)</f>
      </c>
    </row>
    <row r="1546">
      <c r="A1546" t="s">
        <v>167</v>
      </c>
      <c r="B1546" t="s">
        <v>219</v>
      </c>
      <c r="C1546" s="35" t="s">
        <v>221</v>
      </c>
      <c r="D1546" t="s">
        <v>502</v>
      </c>
      <c r="E1546" t="s">
        <v>520</v>
      </c>
      <c r="F1546" s="188" t="n">
        <v>2037</v>
      </c>
      <c r="G1546" s="189" t="n">
        <v>54</v>
      </c>
      <c r="H1546" s="190" t="n">
        <v>13801.2850300219</v>
      </c>
      <c r="I1546" s="191" t="n">
        <v>4103102.99989706</v>
      </c>
      <c r="J1546" s="192" t="str">
        <f>IF(I1546&gt;0,H1546/I1546,0)</f>
      </c>
      <c r="K1546" s="193" t="str">
        <f>1-EXP(-J1546)</f>
      </c>
      <c r="L1546" s="194" t="str">
        <f>IF(G1546=30,1,M1545)</f>
      </c>
      <c r="M1546" s="195" t="str">
        <f>L1546*(1-K1546)</f>
      </c>
    </row>
    <row r="1547">
      <c r="A1547" t="s">
        <v>167</v>
      </c>
      <c r="B1547" t="s">
        <v>219</v>
      </c>
      <c r="C1547" s="35" t="s">
        <v>221</v>
      </c>
      <c r="D1547" t="s">
        <v>502</v>
      </c>
      <c r="E1547" t="s">
        <v>520</v>
      </c>
      <c r="F1547" s="188" t="n">
        <v>2037</v>
      </c>
      <c r="G1547" s="189" t="n">
        <v>55</v>
      </c>
      <c r="H1547" s="190" t="n">
        <v>14497.5495704855</v>
      </c>
      <c r="I1547" s="191" t="n">
        <v>3956096.88001612</v>
      </c>
      <c r="J1547" s="192" t="str">
        <f>IF(I1547&gt;0,H1547/I1547,0)</f>
      </c>
      <c r="K1547" s="193" t="str">
        <f>1-EXP(-J1547)</f>
      </c>
      <c r="L1547" s="194" t="str">
        <f>IF(G1547=30,1,M1546)</f>
      </c>
      <c r="M1547" s="195" t="str">
        <f>L1547*(1-K1547)</f>
      </c>
    </row>
    <row r="1548">
      <c r="A1548" t="s">
        <v>167</v>
      </c>
      <c r="B1548" t="s">
        <v>219</v>
      </c>
      <c r="C1548" s="35" t="s">
        <v>221</v>
      </c>
      <c r="D1548" t="s">
        <v>502</v>
      </c>
      <c r="E1548" t="s">
        <v>520</v>
      </c>
      <c r="F1548" s="188" t="n">
        <v>2037</v>
      </c>
      <c r="G1548" s="189" t="n">
        <v>56</v>
      </c>
      <c r="H1548" s="190" t="n">
        <v>15431.9520466855</v>
      </c>
      <c r="I1548" s="191" t="n">
        <v>3867998.82146047</v>
      </c>
      <c r="J1548" s="192" t="str">
        <f>IF(I1548&gt;0,H1548/I1548,0)</f>
      </c>
      <c r="K1548" s="193" t="str">
        <f>1-EXP(-J1548)</f>
      </c>
      <c r="L1548" s="194" t="str">
        <f>IF(G1548=30,1,M1547)</f>
      </c>
      <c r="M1548" s="195" t="str">
        <f>L1548*(1-K1548)</f>
      </c>
    </row>
    <row r="1549">
      <c r="A1549" t="s">
        <v>167</v>
      </c>
      <c r="B1549" t="s">
        <v>219</v>
      </c>
      <c r="C1549" s="35" t="s">
        <v>221</v>
      </c>
      <c r="D1549" t="s">
        <v>502</v>
      </c>
      <c r="E1549" t="s">
        <v>520</v>
      </c>
      <c r="F1549" s="188" t="n">
        <v>2037</v>
      </c>
      <c r="G1549" s="189" t="n">
        <v>57</v>
      </c>
      <c r="H1549" s="190" t="n">
        <v>16538.7256743572</v>
      </c>
      <c r="I1549" s="191" t="n">
        <v>3794383.38486224</v>
      </c>
      <c r="J1549" s="192" t="str">
        <f>IF(I1549&gt;0,H1549/I1549,0)</f>
      </c>
      <c r="K1549" s="193" t="str">
        <f>1-EXP(-J1549)</f>
      </c>
      <c r="L1549" s="194" t="str">
        <f>IF(G1549=30,1,M1548)</f>
      </c>
      <c r="M1549" s="195" t="str">
        <f>L1549*(1-K1549)</f>
      </c>
    </row>
    <row r="1550">
      <c r="A1550" t="s">
        <v>167</v>
      </c>
      <c r="B1550" t="s">
        <v>219</v>
      </c>
      <c r="C1550" s="35" t="s">
        <v>221</v>
      </c>
      <c r="D1550" t="s">
        <v>502</v>
      </c>
      <c r="E1550" t="s">
        <v>520</v>
      </c>
      <c r="F1550" s="188" t="n">
        <v>2037</v>
      </c>
      <c r="G1550" s="189" t="n">
        <v>58</v>
      </c>
      <c r="H1550" s="190" t="n">
        <v>17705.0818905339</v>
      </c>
      <c r="I1550" s="191" t="n">
        <v>3714612.18969341</v>
      </c>
      <c r="J1550" s="192" t="str">
        <f>IF(I1550&gt;0,H1550/I1550,0)</f>
      </c>
      <c r="K1550" s="193" t="str">
        <f>1-EXP(-J1550)</f>
      </c>
      <c r="L1550" s="194" t="str">
        <f>IF(G1550=30,1,M1549)</f>
      </c>
      <c r="M1550" s="195" t="str">
        <f>L1550*(1-K1550)</f>
      </c>
    </row>
    <row r="1551">
      <c r="A1551" t="s">
        <v>167</v>
      </c>
      <c r="B1551" t="s">
        <v>219</v>
      </c>
      <c r="C1551" s="35" t="s">
        <v>221</v>
      </c>
      <c r="D1551" t="s">
        <v>502</v>
      </c>
      <c r="E1551" t="s">
        <v>520</v>
      </c>
      <c r="F1551" s="188" t="n">
        <v>2037</v>
      </c>
      <c r="G1551" s="189" t="n">
        <v>59</v>
      </c>
      <c r="H1551" s="190" t="n">
        <v>18862.8083085153</v>
      </c>
      <c r="I1551" s="191" t="n">
        <v>3615573.58695992</v>
      </c>
      <c r="J1551" s="192" t="str">
        <f>IF(I1551&gt;0,H1551/I1551,0)</f>
      </c>
      <c r="K1551" s="193" t="str">
        <f>1-EXP(-J1551)</f>
      </c>
      <c r="L1551" s="194" t="str">
        <f>IF(G1551=30,1,M1550)</f>
      </c>
      <c r="M1551" s="195" t="str">
        <f>L1551*(1-K1551)</f>
      </c>
    </row>
    <row r="1552">
      <c r="A1552" t="s">
        <v>167</v>
      </c>
      <c r="B1552" t="s">
        <v>219</v>
      </c>
      <c r="C1552" s="35" t="s">
        <v>221</v>
      </c>
      <c r="D1552" t="s">
        <v>502</v>
      </c>
      <c r="E1552" t="s">
        <v>520</v>
      </c>
      <c r="F1552" s="188" t="n">
        <v>2037</v>
      </c>
      <c r="G1552" s="189" t="n">
        <v>60</v>
      </c>
      <c r="H1552" s="190" t="n">
        <v>20256.2487053726</v>
      </c>
      <c r="I1552" s="191" t="n">
        <v>3531234.25288813</v>
      </c>
      <c r="J1552" s="192" t="str">
        <f>IF(I1552&gt;0,H1552/I1552,0)</f>
      </c>
      <c r="K1552" s="193" t="str">
        <f>1-EXP(-J1552)</f>
      </c>
      <c r="L1552" s="194" t="str">
        <f>IF(G1552=30,1,M1551)</f>
      </c>
      <c r="M1552" s="195" t="str">
        <f>L1552*(1-K1552)</f>
      </c>
    </row>
    <row r="1553">
      <c r="A1553" t="s">
        <v>167</v>
      </c>
      <c r="B1553" t="s">
        <v>219</v>
      </c>
      <c r="C1553" s="35" t="s">
        <v>221</v>
      </c>
      <c r="D1553" t="s">
        <v>502</v>
      </c>
      <c r="E1553" t="s">
        <v>520</v>
      </c>
      <c r="F1553" s="188" t="n">
        <v>2037</v>
      </c>
      <c r="G1553" s="189" t="n">
        <v>61</v>
      </c>
      <c r="H1553" s="190" t="n">
        <v>21649.8956786795</v>
      </c>
      <c r="I1553" s="191" t="n">
        <v>3434613.85297043</v>
      </c>
      <c r="J1553" s="192" t="str">
        <f>IF(I1553&gt;0,H1553/I1553,0)</f>
      </c>
      <c r="K1553" s="193" t="str">
        <f>1-EXP(-J1553)</f>
      </c>
      <c r="L1553" s="194" t="str">
        <f>IF(G1553=30,1,M1552)</f>
      </c>
      <c r="M1553" s="195" t="str">
        <f>L1553*(1-K1553)</f>
      </c>
    </row>
    <row r="1554">
      <c r="A1554" t="s">
        <v>167</v>
      </c>
      <c r="B1554" t="s">
        <v>219</v>
      </c>
      <c r="C1554" s="35" t="s">
        <v>221</v>
      </c>
      <c r="D1554" t="s">
        <v>502</v>
      </c>
      <c r="E1554" t="s">
        <v>520</v>
      </c>
      <c r="F1554" s="188" t="n">
        <v>2037</v>
      </c>
      <c r="G1554" s="189" t="n">
        <v>62</v>
      </c>
      <c r="H1554" s="190" t="n">
        <v>23042.227900664</v>
      </c>
      <c r="I1554" s="191" t="n">
        <v>3336416.45511405</v>
      </c>
      <c r="J1554" s="192" t="str">
        <f>IF(I1554&gt;0,H1554/I1554,0)</f>
      </c>
      <c r="K1554" s="193" t="str">
        <f>1-EXP(-J1554)</f>
      </c>
      <c r="L1554" s="194" t="str">
        <f>IF(G1554=30,1,M1553)</f>
      </c>
      <c r="M1554" s="195" t="str">
        <f>L1554*(1-K1554)</f>
      </c>
    </row>
    <row r="1555">
      <c r="A1555" t="s">
        <v>167</v>
      </c>
      <c r="B1555" t="s">
        <v>219</v>
      </c>
      <c r="C1555" s="35" t="s">
        <v>221</v>
      </c>
      <c r="D1555" t="s">
        <v>502</v>
      </c>
      <c r="E1555" t="s">
        <v>520</v>
      </c>
      <c r="F1555" s="188" t="n">
        <v>2037</v>
      </c>
      <c r="G1555" s="189" t="n">
        <v>63</v>
      </c>
      <c r="H1555" s="190" t="n">
        <v>24310.0944311674</v>
      </c>
      <c r="I1555" s="191" t="n">
        <v>3212060.92314466</v>
      </c>
      <c r="J1555" s="192" t="str">
        <f>IF(I1555&gt;0,H1555/I1555,0)</f>
      </c>
      <c r="K1555" s="193" t="str">
        <f>1-EXP(-J1555)</f>
      </c>
      <c r="L1555" s="194" t="str">
        <f>IF(G1555=30,1,M1554)</f>
      </c>
      <c r="M1555" s="195" t="str">
        <f>L1555*(1-K1555)</f>
      </c>
    </row>
    <row r="1556">
      <c r="A1556" t="s">
        <v>167</v>
      </c>
      <c r="B1556" t="s">
        <v>219</v>
      </c>
      <c r="C1556" s="35" t="s">
        <v>221</v>
      </c>
      <c r="D1556" t="s">
        <v>502</v>
      </c>
      <c r="E1556" t="s">
        <v>520</v>
      </c>
      <c r="F1556" s="188" t="n">
        <v>2037</v>
      </c>
      <c r="G1556" s="189" t="n">
        <v>64</v>
      </c>
      <c r="H1556" s="190" t="n">
        <v>26053.94445237</v>
      </c>
      <c r="I1556" s="191" t="n">
        <v>3140906.64713355</v>
      </c>
      <c r="J1556" s="192" t="str">
        <f>IF(I1556&gt;0,H1556/I1556,0)</f>
      </c>
      <c r="K1556" s="193" t="str">
        <f>1-EXP(-J1556)</f>
      </c>
      <c r="L1556" s="194" t="str">
        <f>IF(G1556=30,1,M1555)</f>
      </c>
      <c r="M1556" s="195" t="str">
        <f>L1556*(1-K1556)</f>
      </c>
    </row>
    <row r="1557">
      <c r="A1557" t="s">
        <v>167</v>
      </c>
      <c r="B1557" t="s">
        <v>219</v>
      </c>
      <c r="C1557" s="35" t="s">
        <v>221</v>
      </c>
      <c r="D1557" t="s">
        <v>502</v>
      </c>
      <c r="E1557" t="s">
        <v>520</v>
      </c>
      <c r="F1557" s="188" t="n">
        <v>2037</v>
      </c>
      <c r="G1557" s="189" t="n">
        <v>65</v>
      </c>
      <c r="H1557" s="190" t="n">
        <v>25598.687334607</v>
      </c>
      <c r="I1557" s="191" t="n">
        <v>2922120.93188623</v>
      </c>
      <c r="J1557" s="192" t="str">
        <f>IF(I1557&gt;0,H1557/I1557,0)</f>
      </c>
      <c r="K1557" s="193" t="str">
        <f>1-EXP(-J1557)</f>
      </c>
      <c r="L1557" s="194" t="str">
        <f>IF(G1557=30,1,M1556)</f>
      </c>
      <c r="M1557" s="195" t="str">
        <f>L1557*(1-K1557)</f>
      </c>
    </row>
    <row r="1558">
      <c r="A1558" t="s">
        <v>167</v>
      </c>
      <c r="B1558" t="s">
        <v>219</v>
      </c>
      <c r="C1558" s="35" t="s">
        <v>221</v>
      </c>
      <c r="D1558" t="s">
        <v>502</v>
      </c>
      <c r="E1558" t="s">
        <v>520</v>
      </c>
      <c r="F1558" s="188" t="n">
        <v>2037</v>
      </c>
      <c r="G1558" s="189" t="n">
        <v>66</v>
      </c>
      <c r="H1558" s="190" t="n">
        <v>27000.9279081658</v>
      </c>
      <c r="I1558" s="191" t="n">
        <v>2812082.1461466</v>
      </c>
      <c r="J1558" s="192" t="str">
        <f>IF(I1558&gt;0,H1558/I1558,0)</f>
      </c>
      <c r="K1558" s="193" t="str">
        <f>1-EXP(-J1558)</f>
      </c>
      <c r="L1558" s="194" t="str">
        <f>IF(G1558=30,1,M1557)</f>
      </c>
      <c r="M1558" s="195" t="str">
        <f>L1558*(1-K1558)</f>
      </c>
    </row>
    <row r="1559">
      <c r="A1559" t="s">
        <v>167</v>
      </c>
      <c r="B1559" t="s">
        <v>219</v>
      </c>
      <c r="C1559" s="35" t="s">
        <v>221</v>
      </c>
      <c r="D1559" t="s">
        <v>502</v>
      </c>
      <c r="E1559" t="s">
        <v>520</v>
      </c>
      <c r="F1559" s="188" t="n">
        <v>2037</v>
      </c>
      <c r="G1559" s="189" t="n">
        <v>67</v>
      </c>
      <c r="H1559" s="190" t="n">
        <v>28506.3344833832</v>
      </c>
      <c r="I1559" s="191" t="n">
        <v>2704430.58121529</v>
      </c>
      <c r="J1559" s="192" t="str">
        <f>IF(I1559&gt;0,H1559/I1559,0)</f>
      </c>
      <c r="K1559" s="193" t="str">
        <f>1-EXP(-J1559)</f>
      </c>
      <c r="L1559" s="194" t="str">
        <f>IF(G1559=30,1,M1558)</f>
      </c>
      <c r="M1559" s="195" t="str">
        <f>L1559*(1-K1559)</f>
      </c>
    </row>
    <row r="1560">
      <c r="A1560" t="s">
        <v>167</v>
      </c>
      <c r="B1560" t="s">
        <v>219</v>
      </c>
      <c r="C1560" s="35" t="s">
        <v>221</v>
      </c>
      <c r="D1560" t="s">
        <v>502</v>
      </c>
      <c r="E1560" t="s">
        <v>520</v>
      </c>
      <c r="F1560" s="188" t="n">
        <v>2037</v>
      </c>
      <c r="G1560" s="189" t="n">
        <v>68</v>
      </c>
      <c r="H1560" s="190" t="n">
        <v>29961.7276998669</v>
      </c>
      <c r="I1560" s="191" t="n">
        <v>2587843.72401885</v>
      </c>
      <c r="J1560" s="192" t="str">
        <f>IF(I1560&gt;0,H1560/I1560,0)</f>
      </c>
      <c r="K1560" s="193" t="str">
        <f>1-EXP(-J1560)</f>
      </c>
      <c r="L1560" s="194" t="str">
        <f>IF(G1560=30,1,M1559)</f>
      </c>
      <c r="M1560" s="195" t="str">
        <f>L1560*(1-K1560)</f>
      </c>
    </row>
    <row r="1561">
      <c r="A1561" t="s">
        <v>167</v>
      </c>
      <c r="B1561" t="s">
        <v>219</v>
      </c>
      <c r="C1561" s="35" t="s">
        <v>221</v>
      </c>
      <c r="D1561" t="s">
        <v>502</v>
      </c>
      <c r="E1561" t="s">
        <v>520</v>
      </c>
      <c r="F1561" s="188" t="n">
        <v>2037</v>
      </c>
      <c r="G1561" s="189" t="n">
        <v>69</v>
      </c>
      <c r="H1561" s="190" t="n">
        <v>31234.869343476</v>
      </c>
      <c r="I1561" s="191" t="n">
        <v>2453860.35575009</v>
      </c>
      <c r="J1561" s="192" t="str">
        <f>IF(I1561&gt;0,H1561/I1561,0)</f>
      </c>
      <c r="K1561" s="193" t="str">
        <f>1-EXP(-J1561)</f>
      </c>
      <c r="L1561" s="194" t="str">
        <f>IF(G1561=30,1,M1560)</f>
      </c>
      <c r="M1561" s="195" t="str">
        <f>L1561*(1-K1561)</f>
      </c>
    </row>
    <row r="1562">
      <c r="A1562" t="s">
        <v>167</v>
      </c>
      <c r="B1562" t="s">
        <v>219</v>
      </c>
      <c r="C1562" s="35" t="s">
        <v>221</v>
      </c>
      <c r="D1562" t="s">
        <v>502</v>
      </c>
      <c r="E1562" t="s">
        <v>520</v>
      </c>
      <c r="F1562" s="188" t="n">
        <v>2038</v>
      </c>
      <c r="G1562" s="189" t="n">
        <v>30</v>
      </c>
      <c r="H1562" s="190" t="n">
        <v>751.775622558966</v>
      </c>
      <c r="I1562" s="191" t="n">
        <v>4653506.76265679</v>
      </c>
      <c r="J1562" s="192" t="str">
        <f>IF(I1562&gt;0,H1562/I1562,0)</f>
      </c>
      <c r="K1562" s="193" t="str">
        <f>1-EXP(-J1562)</f>
      </c>
      <c r="L1562" s="194" t="str">
        <f>IF(G1562=30,1,M1561)</f>
      </c>
      <c r="M1562" s="195" t="str">
        <f>L1562*(1-K1562)</f>
      </c>
    </row>
    <row r="1563">
      <c r="A1563" t="s">
        <v>167</v>
      </c>
      <c r="B1563" t="s">
        <v>219</v>
      </c>
      <c r="C1563" s="35" t="s">
        <v>221</v>
      </c>
      <c r="D1563" t="s">
        <v>502</v>
      </c>
      <c r="E1563" t="s">
        <v>520</v>
      </c>
      <c r="F1563" s="188" t="n">
        <v>2038</v>
      </c>
      <c r="G1563" s="189" t="n">
        <v>31</v>
      </c>
      <c r="H1563" s="190" t="n">
        <v>1020.99353846049</v>
      </c>
      <c r="I1563" s="191" t="n">
        <v>4679885.11567494</v>
      </c>
      <c r="J1563" s="192" t="str">
        <f>IF(I1563&gt;0,H1563/I1563,0)</f>
      </c>
      <c r="K1563" s="193" t="str">
        <f>1-EXP(-J1563)</f>
      </c>
      <c r="L1563" s="194" t="str">
        <f>IF(G1563=30,1,M1562)</f>
      </c>
      <c r="M1563" s="195" t="str">
        <f>L1563*(1-K1563)</f>
      </c>
    </row>
    <row r="1564">
      <c r="A1564" t="s">
        <v>167</v>
      </c>
      <c r="B1564" t="s">
        <v>219</v>
      </c>
      <c r="C1564" s="35" t="s">
        <v>221</v>
      </c>
      <c r="D1564" t="s">
        <v>502</v>
      </c>
      <c r="E1564" t="s">
        <v>520</v>
      </c>
      <c r="F1564" s="188" t="n">
        <v>2038</v>
      </c>
      <c r="G1564" s="189" t="n">
        <v>32</v>
      </c>
      <c r="H1564" s="190" t="n">
        <v>1056.07485382426</v>
      </c>
      <c r="I1564" s="191" t="n">
        <v>4597047.95355456</v>
      </c>
      <c r="J1564" s="192" t="str">
        <f>IF(I1564&gt;0,H1564/I1564,0)</f>
      </c>
      <c r="K1564" s="193" t="str">
        <f>1-EXP(-J1564)</f>
      </c>
      <c r="L1564" s="194" t="str">
        <f>IF(G1564=30,1,M1563)</f>
      </c>
      <c r="M1564" s="195" t="str">
        <f>L1564*(1-K1564)</f>
      </c>
    </row>
    <row r="1565">
      <c r="A1565" t="s">
        <v>167</v>
      </c>
      <c r="B1565" t="s">
        <v>219</v>
      </c>
      <c r="C1565" s="35" t="s">
        <v>221</v>
      </c>
      <c r="D1565" t="s">
        <v>502</v>
      </c>
      <c r="E1565" t="s">
        <v>520</v>
      </c>
      <c r="F1565" s="188" t="n">
        <v>2038</v>
      </c>
      <c r="G1565" s="189" t="n">
        <v>33</v>
      </c>
      <c r="H1565" s="190" t="n">
        <v>1104.06456290061</v>
      </c>
      <c r="I1565" s="191" t="n">
        <v>4536101.30337952</v>
      </c>
      <c r="J1565" s="192" t="str">
        <f>IF(I1565&gt;0,H1565/I1565,0)</f>
      </c>
      <c r="K1565" s="193" t="str">
        <f>1-EXP(-J1565)</f>
      </c>
      <c r="L1565" s="194" t="str">
        <f>IF(G1565=30,1,M1564)</f>
      </c>
      <c r="M1565" s="195" t="str">
        <f>L1565*(1-K1565)</f>
      </c>
    </row>
    <row r="1566">
      <c r="A1566" t="s">
        <v>167</v>
      </c>
      <c r="B1566" t="s">
        <v>219</v>
      </c>
      <c r="C1566" s="35" t="s">
        <v>221</v>
      </c>
      <c r="D1566" t="s">
        <v>502</v>
      </c>
      <c r="E1566" t="s">
        <v>520</v>
      </c>
      <c r="F1566" s="188" t="n">
        <v>2038</v>
      </c>
      <c r="G1566" s="189" t="n">
        <v>34</v>
      </c>
      <c r="H1566" s="190" t="n">
        <v>1144.53028036944</v>
      </c>
      <c r="I1566" s="191" t="n">
        <v>4407445.90041917</v>
      </c>
      <c r="J1566" s="192" t="str">
        <f>IF(I1566&gt;0,H1566/I1566,0)</f>
      </c>
      <c r="K1566" s="193" t="str">
        <f>1-EXP(-J1566)</f>
      </c>
      <c r="L1566" s="194" t="str">
        <f>IF(G1566=30,1,M1565)</f>
      </c>
      <c r="M1566" s="195" t="str">
        <f>L1566*(1-K1566)</f>
      </c>
    </row>
    <row r="1567">
      <c r="A1567" t="s">
        <v>167</v>
      </c>
      <c r="B1567" t="s">
        <v>219</v>
      </c>
      <c r="C1567" s="35" t="s">
        <v>221</v>
      </c>
      <c r="D1567" t="s">
        <v>502</v>
      </c>
      <c r="E1567" t="s">
        <v>520</v>
      </c>
      <c r="F1567" s="188" t="n">
        <v>2038</v>
      </c>
      <c r="G1567" s="189" t="n">
        <v>35</v>
      </c>
      <c r="H1567" s="190" t="n">
        <v>1513.94738353108</v>
      </c>
      <c r="I1567" s="191" t="n">
        <v>4341687.72816577</v>
      </c>
      <c r="J1567" s="192" t="str">
        <f>IF(I1567&gt;0,H1567/I1567,0)</f>
      </c>
      <c r="K1567" s="193" t="str">
        <f>1-EXP(-J1567)</f>
      </c>
      <c r="L1567" s="194" t="str">
        <f>IF(G1567=30,1,M1566)</f>
      </c>
      <c r="M1567" s="195" t="str">
        <f>L1567*(1-K1567)</f>
      </c>
    </row>
    <row r="1568">
      <c r="A1568" t="s">
        <v>167</v>
      </c>
      <c r="B1568" t="s">
        <v>219</v>
      </c>
      <c r="C1568" s="35" t="s">
        <v>221</v>
      </c>
      <c r="D1568" t="s">
        <v>502</v>
      </c>
      <c r="E1568" t="s">
        <v>520</v>
      </c>
      <c r="F1568" s="188" t="n">
        <v>2038</v>
      </c>
      <c r="G1568" s="189" t="n">
        <v>36</v>
      </c>
      <c r="H1568" s="190" t="n">
        <v>1885.49105553981</v>
      </c>
      <c r="I1568" s="191" t="n">
        <v>4318835.40029742</v>
      </c>
      <c r="J1568" s="192" t="str">
        <f>IF(I1568&gt;0,H1568/I1568,0)</f>
      </c>
      <c r="K1568" s="193" t="str">
        <f>1-EXP(-J1568)</f>
      </c>
      <c r="L1568" s="194" t="str">
        <f>IF(G1568=30,1,M1567)</f>
      </c>
      <c r="M1568" s="195" t="str">
        <f>L1568*(1-K1568)</f>
      </c>
    </row>
    <row r="1569">
      <c r="A1569" t="s">
        <v>167</v>
      </c>
      <c r="B1569" t="s">
        <v>219</v>
      </c>
      <c r="C1569" s="35" t="s">
        <v>221</v>
      </c>
      <c r="D1569" t="s">
        <v>502</v>
      </c>
      <c r="E1569" t="s">
        <v>520</v>
      </c>
      <c r="F1569" s="188" t="n">
        <v>2038</v>
      </c>
      <c r="G1569" s="189" t="n">
        <v>37</v>
      </c>
      <c r="H1569" s="190" t="n">
        <v>2016.91917007498</v>
      </c>
      <c r="I1569" s="191" t="n">
        <v>4297775.82540107</v>
      </c>
      <c r="J1569" s="192" t="str">
        <f>IF(I1569&gt;0,H1569/I1569,0)</f>
      </c>
      <c r="K1569" s="193" t="str">
        <f>1-EXP(-J1569)</f>
      </c>
      <c r="L1569" s="194" t="str">
        <f>IF(G1569=30,1,M1568)</f>
      </c>
      <c r="M1569" s="195" t="str">
        <f>L1569*(1-K1569)</f>
      </c>
    </row>
    <row r="1570">
      <c r="A1570" t="s">
        <v>167</v>
      </c>
      <c r="B1570" t="s">
        <v>219</v>
      </c>
      <c r="C1570" s="35" t="s">
        <v>221</v>
      </c>
      <c r="D1570" t="s">
        <v>502</v>
      </c>
      <c r="E1570" t="s">
        <v>520</v>
      </c>
      <c r="F1570" s="188" t="n">
        <v>2038</v>
      </c>
      <c r="G1570" s="189" t="n">
        <v>38</v>
      </c>
      <c r="H1570" s="190" t="n">
        <v>2164.05548455368</v>
      </c>
      <c r="I1570" s="191" t="n">
        <v>4276226.81768034</v>
      </c>
      <c r="J1570" s="192" t="str">
        <f>IF(I1570&gt;0,H1570/I1570,0)</f>
      </c>
      <c r="K1570" s="193" t="str">
        <f>1-EXP(-J1570)</f>
      </c>
      <c r="L1570" s="194" t="str">
        <f>IF(G1570=30,1,M1569)</f>
      </c>
      <c r="M1570" s="195" t="str">
        <f>L1570*(1-K1570)</f>
      </c>
    </row>
    <row r="1571">
      <c r="A1571" t="s">
        <v>167</v>
      </c>
      <c r="B1571" t="s">
        <v>219</v>
      </c>
      <c r="C1571" s="35" t="s">
        <v>221</v>
      </c>
      <c r="D1571" t="s">
        <v>502</v>
      </c>
      <c r="E1571" t="s">
        <v>520</v>
      </c>
      <c r="F1571" s="188" t="n">
        <v>2038</v>
      </c>
      <c r="G1571" s="189" t="n">
        <v>39</v>
      </c>
      <c r="H1571" s="190" t="n">
        <v>2348.07961978624</v>
      </c>
      <c r="I1571" s="191" t="n">
        <v>4293822.60051201</v>
      </c>
      <c r="J1571" s="192" t="str">
        <f>IF(I1571&gt;0,H1571/I1571,0)</f>
      </c>
      <c r="K1571" s="193" t="str">
        <f>1-EXP(-J1571)</f>
      </c>
      <c r="L1571" s="194" t="str">
        <f>IF(G1571=30,1,M1570)</f>
      </c>
      <c r="M1571" s="195" t="str">
        <f>L1571*(1-K1571)</f>
      </c>
    </row>
    <row r="1572">
      <c r="A1572" t="s">
        <v>167</v>
      </c>
      <c r="B1572" t="s">
        <v>219</v>
      </c>
      <c r="C1572" s="35" t="s">
        <v>221</v>
      </c>
      <c r="D1572" t="s">
        <v>502</v>
      </c>
      <c r="E1572" t="s">
        <v>520</v>
      </c>
      <c r="F1572" s="188" t="n">
        <v>2038</v>
      </c>
      <c r="G1572" s="189" t="n">
        <v>40</v>
      </c>
      <c r="H1572" s="190" t="n">
        <v>3200.97022010977</v>
      </c>
      <c r="I1572" s="191" t="n">
        <v>4349918.4535606</v>
      </c>
      <c r="J1572" s="192" t="str">
        <f>IF(I1572&gt;0,H1572/I1572,0)</f>
      </c>
      <c r="K1572" s="193" t="str">
        <f>1-EXP(-J1572)</f>
      </c>
      <c r="L1572" s="194" t="str">
        <f>IF(G1572=30,1,M1571)</f>
      </c>
      <c r="M1572" s="195" t="str">
        <f>L1572*(1-K1572)</f>
      </c>
    </row>
    <row r="1573">
      <c r="A1573" t="s">
        <v>167</v>
      </c>
      <c r="B1573" t="s">
        <v>219</v>
      </c>
      <c r="C1573" s="35" t="s">
        <v>221</v>
      </c>
      <c r="D1573" t="s">
        <v>502</v>
      </c>
      <c r="E1573" t="s">
        <v>520</v>
      </c>
      <c r="F1573" s="188" t="n">
        <v>2038</v>
      </c>
      <c r="G1573" s="189" t="n">
        <v>41</v>
      </c>
      <c r="H1573" s="190" t="n">
        <v>3828.89132977423</v>
      </c>
      <c r="I1573" s="191" t="n">
        <v>4482348.3529778</v>
      </c>
      <c r="J1573" s="192" t="str">
        <f>IF(I1573&gt;0,H1573/I1573,0)</f>
      </c>
      <c r="K1573" s="193" t="str">
        <f>1-EXP(-J1573)</f>
      </c>
      <c r="L1573" s="194" t="str">
        <f>IF(G1573=30,1,M1572)</f>
      </c>
      <c r="M1573" s="195" t="str">
        <f>L1573*(1-K1573)</f>
      </c>
    </row>
    <row r="1574">
      <c r="A1574" t="s">
        <v>167</v>
      </c>
      <c r="B1574" t="s">
        <v>219</v>
      </c>
      <c r="C1574" s="35" t="s">
        <v>221</v>
      </c>
      <c r="D1574" t="s">
        <v>502</v>
      </c>
      <c r="E1574" t="s">
        <v>520</v>
      </c>
      <c r="F1574" s="188" t="n">
        <v>2038</v>
      </c>
      <c r="G1574" s="189" t="n">
        <v>42</v>
      </c>
      <c r="H1574" s="190" t="n">
        <v>4107.12129354167</v>
      </c>
      <c r="I1574" s="191" t="n">
        <v>4435597.84283999</v>
      </c>
      <c r="J1574" s="192" t="str">
        <f>IF(I1574&gt;0,H1574/I1574,0)</f>
      </c>
      <c r="K1574" s="193" t="str">
        <f>1-EXP(-J1574)</f>
      </c>
      <c r="L1574" s="194" t="str">
        <f>IF(G1574=30,1,M1573)</f>
      </c>
      <c r="M1574" s="195" t="str">
        <f>L1574*(1-K1574)</f>
      </c>
    </row>
    <row r="1575">
      <c r="A1575" t="s">
        <v>167</v>
      </c>
      <c r="B1575" t="s">
        <v>219</v>
      </c>
      <c r="C1575" s="35" t="s">
        <v>221</v>
      </c>
      <c r="D1575" t="s">
        <v>502</v>
      </c>
      <c r="E1575" t="s">
        <v>520</v>
      </c>
      <c r="F1575" s="188" t="n">
        <v>2038</v>
      </c>
      <c r="G1575" s="189" t="n">
        <v>43</v>
      </c>
      <c r="H1575" s="190" t="n">
        <v>4386.88175945419</v>
      </c>
      <c r="I1575" s="191" t="n">
        <v>4358688.47553615</v>
      </c>
      <c r="J1575" s="192" t="str">
        <f>IF(I1575&gt;0,H1575/I1575,0)</f>
      </c>
      <c r="K1575" s="193" t="str">
        <f>1-EXP(-J1575)</f>
      </c>
      <c r="L1575" s="194" t="str">
        <f>IF(G1575=30,1,M1574)</f>
      </c>
      <c r="M1575" s="195" t="str">
        <f>L1575*(1-K1575)</f>
      </c>
    </row>
    <row r="1576">
      <c r="A1576" t="s">
        <v>167</v>
      </c>
      <c r="B1576" t="s">
        <v>219</v>
      </c>
      <c r="C1576" s="35" t="s">
        <v>221</v>
      </c>
      <c r="D1576" t="s">
        <v>502</v>
      </c>
      <c r="E1576" t="s">
        <v>520</v>
      </c>
      <c r="F1576" s="188" t="n">
        <v>2038</v>
      </c>
      <c r="G1576" s="189" t="n">
        <v>44</v>
      </c>
      <c r="H1576" s="190" t="n">
        <v>4713.90754727493</v>
      </c>
      <c r="I1576" s="191" t="n">
        <v>4296841.68554768</v>
      </c>
      <c r="J1576" s="192" t="str">
        <f>IF(I1576&gt;0,H1576/I1576,0)</f>
      </c>
      <c r="K1576" s="193" t="str">
        <f>1-EXP(-J1576)</f>
      </c>
      <c r="L1576" s="194" t="str">
        <f>IF(G1576=30,1,M1575)</f>
      </c>
      <c r="M1576" s="195" t="str">
        <f>L1576*(1-K1576)</f>
      </c>
    </row>
    <row r="1577">
      <c r="A1577" t="s">
        <v>167</v>
      </c>
      <c r="B1577" t="s">
        <v>219</v>
      </c>
      <c r="C1577" s="35" t="s">
        <v>221</v>
      </c>
      <c r="D1577" t="s">
        <v>502</v>
      </c>
      <c r="E1577" t="s">
        <v>520</v>
      </c>
      <c r="F1577" s="188" t="n">
        <v>2038</v>
      </c>
      <c r="G1577" s="189" t="n">
        <v>45</v>
      </c>
      <c r="H1577" s="190" t="n">
        <v>5980.6027822482</v>
      </c>
      <c r="I1577" s="191" t="n">
        <v>4238030.92907967</v>
      </c>
      <c r="J1577" s="192" t="str">
        <f>IF(I1577&gt;0,H1577/I1577,0)</f>
      </c>
      <c r="K1577" s="193" t="str">
        <f>1-EXP(-J1577)</f>
      </c>
      <c r="L1577" s="194" t="str">
        <f>IF(G1577=30,1,M1576)</f>
      </c>
      <c r="M1577" s="195" t="str">
        <f>L1577*(1-K1577)</f>
      </c>
    </row>
    <row r="1578">
      <c r="A1578" t="s">
        <v>167</v>
      </c>
      <c r="B1578" t="s">
        <v>219</v>
      </c>
      <c r="C1578" s="35" t="s">
        <v>221</v>
      </c>
      <c r="D1578" t="s">
        <v>502</v>
      </c>
      <c r="E1578" t="s">
        <v>520</v>
      </c>
      <c r="F1578" s="188" t="n">
        <v>2038</v>
      </c>
      <c r="G1578" s="189" t="n">
        <v>46</v>
      </c>
      <c r="H1578" s="190" t="n">
        <v>6561.2677005911</v>
      </c>
      <c r="I1578" s="191" t="n">
        <v>4267242.51321823</v>
      </c>
      <c r="J1578" s="192" t="str">
        <f>IF(I1578&gt;0,H1578/I1578,0)</f>
      </c>
      <c r="K1578" s="193" t="str">
        <f>1-EXP(-J1578)</f>
      </c>
      <c r="L1578" s="194" t="str">
        <f>IF(G1578=30,1,M1577)</f>
      </c>
      <c r="M1578" s="195" t="str">
        <f>L1578*(1-K1578)</f>
      </c>
    </row>
    <row r="1579">
      <c r="A1579" t="s">
        <v>167</v>
      </c>
      <c r="B1579" t="s">
        <v>219</v>
      </c>
      <c r="C1579" s="35" t="s">
        <v>221</v>
      </c>
      <c r="D1579" t="s">
        <v>502</v>
      </c>
      <c r="E1579" t="s">
        <v>520</v>
      </c>
      <c r="F1579" s="188" t="n">
        <v>2038</v>
      </c>
      <c r="G1579" s="189" t="n">
        <v>47</v>
      </c>
      <c r="H1579" s="190" t="n">
        <v>7207.8959235949</v>
      </c>
      <c r="I1579" s="191" t="n">
        <v>4277107.20977199</v>
      </c>
      <c r="J1579" s="192" t="str">
        <f>IF(I1579&gt;0,H1579/I1579,0)</f>
      </c>
      <c r="K1579" s="193" t="str">
        <f>1-EXP(-J1579)</f>
      </c>
      <c r="L1579" s="194" t="str">
        <f>IF(G1579=30,1,M1578)</f>
      </c>
      <c r="M1579" s="195" t="str">
        <f>L1579*(1-K1579)</f>
      </c>
    </row>
    <row r="1580">
      <c r="A1580" t="s">
        <v>167</v>
      </c>
      <c r="B1580" t="s">
        <v>219</v>
      </c>
      <c r="C1580" s="35" t="s">
        <v>221</v>
      </c>
      <c r="D1580" t="s">
        <v>502</v>
      </c>
      <c r="E1580" t="s">
        <v>520</v>
      </c>
      <c r="F1580" s="188" t="n">
        <v>2038</v>
      </c>
      <c r="G1580" s="189" t="n">
        <v>48</v>
      </c>
      <c r="H1580" s="190" t="n">
        <v>10697.547407874</v>
      </c>
      <c r="I1580" s="191" t="n">
        <v>6292970.93282232</v>
      </c>
      <c r="J1580" s="192" t="str">
        <f>IF(I1580&gt;0,H1580/I1580,0)</f>
      </c>
      <c r="K1580" s="193" t="str">
        <f>1-EXP(-J1580)</f>
      </c>
      <c r="L1580" s="194" t="str">
        <f>IF(G1580=30,1,M1579)</f>
      </c>
      <c r="M1580" s="195" t="str">
        <f>L1580*(1-K1580)</f>
      </c>
    </row>
    <row r="1581">
      <c r="A1581" t="s">
        <v>167</v>
      </c>
      <c r="B1581" t="s">
        <v>219</v>
      </c>
      <c r="C1581" s="35" t="s">
        <v>221</v>
      </c>
      <c r="D1581" t="s">
        <v>502</v>
      </c>
      <c r="E1581" t="s">
        <v>520</v>
      </c>
      <c r="F1581" s="188" t="n">
        <v>2038</v>
      </c>
      <c r="G1581" s="189" t="n">
        <v>49</v>
      </c>
      <c r="H1581" s="190" t="n">
        <v>8551.22078077199</v>
      </c>
      <c r="I1581" s="191" t="n">
        <v>4218447.30716655</v>
      </c>
      <c r="J1581" s="192" t="str">
        <f>IF(I1581&gt;0,H1581/I1581,0)</f>
      </c>
      <c r="K1581" s="193" t="str">
        <f>1-EXP(-J1581)</f>
      </c>
      <c r="L1581" s="194" t="str">
        <f>IF(G1581=30,1,M1580)</f>
      </c>
      <c r="M1581" s="195" t="str">
        <f>L1581*(1-K1581)</f>
      </c>
    </row>
    <row r="1582">
      <c r="A1582" t="s">
        <v>167</v>
      </c>
      <c r="B1582" t="s">
        <v>219</v>
      </c>
      <c r="C1582" s="35" t="s">
        <v>221</v>
      </c>
      <c r="D1582" t="s">
        <v>502</v>
      </c>
      <c r="E1582" t="s">
        <v>520</v>
      </c>
      <c r="F1582" s="188" t="n">
        <v>2038</v>
      </c>
      <c r="G1582" s="189" t="n">
        <v>50</v>
      </c>
      <c r="H1582" s="190" t="n">
        <v>9798.82770810438</v>
      </c>
      <c r="I1582" s="191" t="n">
        <v>4191553.14492264</v>
      </c>
      <c r="J1582" s="192" t="str">
        <f>IF(I1582&gt;0,H1582/I1582,0)</f>
      </c>
      <c r="K1582" s="193" t="str">
        <f>1-EXP(-J1582)</f>
      </c>
      <c r="L1582" s="194" t="str">
        <f>IF(G1582=30,1,M1581)</f>
      </c>
      <c r="M1582" s="195" t="str">
        <f>L1582*(1-K1582)</f>
      </c>
    </row>
    <row r="1583">
      <c r="A1583" t="s">
        <v>167</v>
      </c>
      <c r="B1583" t="s">
        <v>219</v>
      </c>
      <c r="C1583" s="35" t="s">
        <v>221</v>
      </c>
      <c r="D1583" t="s">
        <v>502</v>
      </c>
      <c r="E1583" t="s">
        <v>520</v>
      </c>
      <c r="F1583" s="188" t="n">
        <v>2038</v>
      </c>
      <c r="G1583" s="189" t="n">
        <v>51</v>
      </c>
      <c r="H1583" s="190" t="n">
        <v>10365.4676564853</v>
      </c>
      <c r="I1583" s="191" t="n">
        <v>4050976.44616846</v>
      </c>
      <c r="J1583" s="192" t="str">
        <f>IF(I1583&gt;0,H1583/I1583,0)</f>
      </c>
      <c r="K1583" s="193" t="str">
        <f>1-EXP(-J1583)</f>
      </c>
      <c r="L1583" s="194" t="str">
        <f>IF(G1583=30,1,M1582)</f>
      </c>
      <c r="M1583" s="195" t="str">
        <f>L1583*(1-K1583)</f>
      </c>
    </row>
    <row r="1584">
      <c r="A1584" t="s">
        <v>167</v>
      </c>
      <c r="B1584" t="s">
        <v>219</v>
      </c>
      <c r="C1584" s="35" t="s">
        <v>221</v>
      </c>
      <c r="D1584" t="s">
        <v>502</v>
      </c>
      <c r="E1584" t="s">
        <v>520</v>
      </c>
      <c r="F1584" s="188" t="n">
        <v>2038</v>
      </c>
      <c r="G1584" s="189" t="n">
        <v>52</v>
      </c>
      <c r="H1584" s="190" t="n">
        <v>11206.33888813</v>
      </c>
      <c r="I1584" s="191" t="n">
        <v>4004929.21408527</v>
      </c>
      <c r="J1584" s="192" t="str">
        <f>IF(I1584&gt;0,H1584/I1584,0)</f>
      </c>
      <c r="K1584" s="193" t="str">
        <f>1-EXP(-J1584)</f>
      </c>
      <c r="L1584" s="194" t="str">
        <f>IF(G1584=30,1,M1583)</f>
      </c>
      <c r="M1584" s="195" t="str">
        <f>L1584*(1-K1584)</f>
      </c>
    </row>
    <row r="1585">
      <c r="A1585" t="s">
        <v>167</v>
      </c>
      <c r="B1585" t="s">
        <v>219</v>
      </c>
      <c r="C1585" s="35" t="s">
        <v>221</v>
      </c>
      <c r="D1585" t="s">
        <v>502</v>
      </c>
      <c r="E1585" t="s">
        <v>520</v>
      </c>
      <c r="F1585" s="188" t="n">
        <v>2038</v>
      </c>
      <c r="G1585" s="189" t="n">
        <v>53</v>
      </c>
      <c r="H1585" s="190" t="n">
        <v>12374.8965498451</v>
      </c>
      <c r="I1585" s="191" t="n">
        <v>4047809.42343265</v>
      </c>
      <c r="J1585" s="192" t="str">
        <f>IF(I1585&gt;0,H1585/I1585,0)</f>
      </c>
      <c r="K1585" s="193" t="str">
        <f>1-EXP(-J1585)</f>
      </c>
      <c r="L1585" s="194" t="str">
        <f>IF(G1585=30,1,M1584)</f>
      </c>
      <c r="M1585" s="195" t="str">
        <f>L1585*(1-K1585)</f>
      </c>
    </row>
    <row r="1586">
      <c r="A1586" t="s">
        <v>167</v>
      </c>
      <c r="B1586" t="s">
        <v>219</v>
      </c>
      <c r="C1586" s="35" t="s">
        <v>221</v>
      </c>
      <c r="D1586" t="s">
        <v>502</v>
      </c>
      <c r="E1586" t="s">
        <v>520</v>
      </c>
      <c r="F1586" s="188" t="n">
        <v>2038</v>
      </c>
      <c r="G1586" s="189" t="n">
        <v>54</v>
      </c>
      <c r="H1586" s="190" t="n">
        <v>13725.5067965909</v>
      </c>
      <c r="I1586" s="191" t="n">
        <v>4113020.64951915</v>
      </c>
      <c r="J1586" s="192" t="str">
        <f>IF(I1586&gt;0,H1586/I1586,0)</f>
      </c>
      <c r="K1586" s="193" t="str">
        <f>1-EXP(-J1586)</f>
      </c>
      <c r="L1586" s="194" t="str">
        <f>IF(G1586=30,1,M1585)</f>
      </c>
      <c r="M1586" s="195" t="str">
        <f>L1586*(1-K1586)</f>
      </c>
    </row>
    <row r="1587">
      <c r="A1587" t="s">
        <v>167</v>
      </c>
      <c r="B1587" t="s">
        <v>219</v>
      </c>
      <c r="C1587" s="35" t="s">
        <v>221</v>
      </c>
      <c r="D1587" t="s">
        <v>502</v>
      </c>
      <c r="E1587" t="s">
        <v>520</v>
      </c>
      <c r="F1587" s="188" t="n">
        <v>2038</v>
      </c>
      <c r="G1587" s="189" t="n">
        <v>55</v>
      </c>
      <c r="H1587" s="190" t="n">
        <v>14764.0533476642</v>
      </c>
      <c r="I1587" s="191" t="n">
        <v>4072407.64594418</v>
      </c>
      <c r="J1587" s="192" t="str">
        <f>IF(I1587&gt;0,H1587/I1587,0)</f>
      </c>
      <c r="K1587" s="193" t="str">
        <f>1-EXP(-J1587)</f>
      </c>
      <c r="L1587" s="194" t="str">
        <f>IF(G1587=30,1,M1586)</f>
      </c>
      <c r="M1587" s="195" t="str">
        <f>L1587*(1-K1587)</f>
      </c>
    </row>
    <row r="1588">
      <c r="A1588" t="s">
        <v>167</v>
      </c>
      <c r="B1588" t="s">
        <v>219</v>
      </c>
      <c r="C1588" s="35" t="s">
        <v>221</v>
      </c>
      <c r="D1588" t="s">
        <v>502</v>
      </c>
      <c r="E1588" t="s">
        <v>520</v>
      </c>
      <c r="F1588" s="188" t="n">
        <v>2038</v>
      </c>
      <c r="G1588" s="189" t="n">
        <v>56</v>
      </c>
      <c r="H1588" s="190" t="n">
        <v>15494.3568340824</v>
      </c>
      <c r="I1588" s="191" t="n">
        <v>3923518.74910909</v>
      </c>
      <c r="J1588" s="192" t="str">
        <f>IF(I1588&gt;0,H1588/I1588,0)</f>
      </c>
      <c r="K1588" s="193" t="str">
        <f>1-EXP(-J1588)</f>
      </c>
      <c r="L1588" s="194" t="str">
        <f>IF(G1588=30,1,M1587)</f>
      </c>
      <c r="M1588" s="195" t="str">
        <f>L1588*(1-K1588)</f>
      </c>
    </row>
    <row r="1589">
      <c r="A1589" t="s">
        <v>167</v>
      </c>
      <c r="B1589" t="s">
        <v>219</v>
      </c>
      <c r="C1589" s="35" t="s">
        <v>221</v>
      </c>
      <c r="D1589" t="s">
        <v>502</v>
      </c>
      <c r="E1589" t="s">
        <v>520</v>
      </c>
      <c r="F1589" s="188" t="n">
        <v>2038</v>
      </c>
      <c r="G1589" s="189" t="n">
        <v>57</v>
      </c>
      <c r="H1589" s="190" t="n">
        <v>16536.9256013571</v>
      </c>
      <c r="I1589" s="191" t="n">
        <v>3833554.70791909</v>
      </c>
      <c r="J1589" s="192" t="str">
        <f>IF(I1589&gt;0,H1589/I1589,0)</f>
      </c>
      <c r="K1589" s="193" t="str">
        <f>1-EXP(-J1589)</f>
      </c>
      <c r="L1589" s="194" t="str">
        <f>IF(G1589=30,1,M1588)</f>
      </c>
      <c r="M1589" s="195" t="str">
        <f>L1589*(1-K1589)</f>
      </c>
    </row>
    <row r="1590">
      <c r="A1590" t="s">
        <v>167</v>
      </c>
      <c r="B1590" t="s">
        <v>219</v>
      </c>
      <c r="C1590" s="35" t="s">
        <v>221</v>
      </c>
      <c r="D1590" t="s">
        <v>502</v>
      </c>
      <c r="E1590" t="s">
        <v>520</v>
      </c>
      <c r="F1590" s="188" t="n">
        <v>2038</v>
      </c>
      <c r="G1590" s="189" t="n">
        <v>58</v>
      </c>
      <c r="H1590" s="190" t="n">
        <v>17724.3851834471</v>
      </c>
      <c r="I1590" s="191" t="n">
        <v>3757505.00549986</v>
      </c>
      <c r="J1590" s="192" t="str">
        <f>IF(I1590&gt;0,H1590/I1590,0)</f>
      </c>
      <c r="K1590" s="193" t="str">
        <f>1-EXP(-J1590)</f>
      </c>
      <c r="L1590" s="194" t="str">
        <f>IF(G1590=30,1,M1589)</f>
      </c>
      <c r="M1590" s="195" t="str">
        <f>L1590*(1-K1590)</f>
      </c>
    </row>
    <row r="1591">
      <c r="A1591" t="s">
        <v>167</v>
      </c>
      <c r="B1591" t="s">
        <v>219</v>
      </c>
      <c r="C1591" s="35" t="s">
        <v>221</v>
      </c>
      <c r="D1591" t="s">
        <v>502</v>
      </c>
      <c r="E1591" t="s">
        <v>520</v>
      </c>
      <c r="F1591" s="188" t="n">
        <v>2038</v>
      </c>
      <c r="G1591" s="189" t="n">
        <v>59</v>
      </c>
      <c r="H1591" s="190" t="n">
        <v>18975.6203077765</v>
      </c>
      <c r="I1591" s="191" t="n">
        <v>3675173.19595028</v>
      </c>
      <c r="J1591" s="192" t="str">
        <f>IF(I1591&gt;0,H1591/I1591,0)</f>
      </c>
      <c r="K1591" s="193" t="str">
        <f>1-EXP(-J1591)</f>
      </c>
      <c r="L1591" s="194" t="str">
        <f>IF(G1591=30,1,M1590)</f>
      </c>
      <c r="M1591" s="195" t="str">
        <f>L1591*(1-K1591)</f>
      </c>
    </row>
    <row r="1592">
      <c r="A1592" t="s">
        <v>167</v>
      </c>
      <c r="B1592" t="s">
        <v>219</v>
      </c>
      <c r="C1592" s="35" t="s">
        <v>221</v>
      </c>
      <c r="D1592" t="s">
        <v>502</v>
      </c>
      <c r="E1592" t="s">
        <v>520</v>
      </c>
      <c r="F1592" s="188" t="n">
        <v>2038</v>
      </c>
      <c r="G1592" s="189" t="n">
        <v>60</v>
      </c>
      <c r="H1592" s="190" t="n">
        <v>20225.886593898</v>
      </c>
      <c r="I1592" s="191" t="n">
        <v>3573597.52510049</v>
      </c>
      <c r="J1592" s="192" t="str">
        <f>IF(I1592&gt;0,H1592/I1592,0)</f>
      </c>
      <c r="K1592" s="193" t="str">
        <f>1-EXP(-J1592)</f>
      </c>
      <c r="L1592" s="194" t="str">
        <f>IF(G1592=30,1,M1591)</f>
      </c>
      <c r="M1592" s="195" t="str">
        <f>L1592*(1-K1592)</f>
      </c>
    </row>
    <row r="1593">
      <c r="A1593" t="s">
        <v>167</v>
      </c>
      <c r="B1593" t="s">
        <v>219</v>
      </c>
      <c r="C1593" s="35" t="s">
        <v>221</v>
      </c>
      <c r="D1593" t="s">
        <v>502</v>
      </c>
      <c r="E1593" t="s">
        <v>520</v>
      </c>
      <c r="F1593" s="188" t="n">
        <v>2038</v>
      </c>
      <c r="G1593" s="189" t="n">
        <v>61</v>
      </c>
      <c r="H1593" s="190" t="n">
        <v>21693.9366659657</v>
      </c>
      <c r="I1593" s="191" t="n">
        <v>3485982.26174395</v>
      </c>
      <c r="J1593" s="192" t="str">
        <f>IF(I1593&gt;0,H1593/I1593,0)</f>
      </c>
      <c r="K1593" s="193" t="str">
        <f>1-EXP(-J1593)</f>
      </c>
      <c r="L1593" s="194" t="str">
        <f>IF(G1593=30,1,M1592)</f>
      </c>
      <c r="M1593" s="195" t="str">
        <f>L1593*(1-K1593)</f>
      </c>
    </row>
    <row r="1594">
      <c r="A1594" t="s">
        <v>167</v>
      </c>
      <c r="B1594" t="s">
        <v>219</v>
      </c>
      <c r="C1594" s="35" t="s">
        <v>221</v>
      </c>
      <c r="D1594" t="s">
        <v>502</v>
      </c>
      <c r="E1594" t="s">
        <v>520</v>
      </c>
      <c r="F1594" s="188" t="n">
        <v>2038</v>
      </c>
      <c r="G1594" s="189" t="n">
        <v>62</v>
      </c>
      <c r="H1594" s="190" t="n">
        <v>23098.6248641829</v>
      </c>
      <c r="I1594" s="191" t="n">
        <v>3386693.74812767</v>
      </c>
      <c r="J1594" s="192" t="str">
        <f>IF(I1594&gt;0,H1594/I1594,0)</f>
      </c>
      <c r="K1594" s="193" t="str">
        <f>1-EXP(-J1594)</f>
      </c>
      <c r="L1594" s="194" t="str">
        <f>IF(G1594=30,1,M1593)</f>
      </c>
      <c r="M1594" s="195" t="str">
        <f>L1594*(1-K1594)</f>
      </c>
    </row>
    <row r="1595">
      <c r="A1595" t="s">
        <v>167</v>
      </c>
      <c r="B1595" t="s">
        <v>219</v>
      </c>
      <c r="C1595" s="35" t="s">
        <v>221</v>
      </c>
      <c r="D1595" t="s">
        <v>502</v>
      </c>
      <c r="E1595" t="s">
        <v>520</v>
      </c>
      <c r="F1595" s="188" t="n">
        <v>2038</v>
      </c>
      <c r="G1595" s="189" t="n">
        <v>63</v>
      </c>
      <c r="H1595" s="190" t="n">
        <v>24562.3588846597</v>
      </c>
      <c r="I1595" s="191" t="n">
        <v>3285435.59322875</v>
      </c>
      <c r="J1595" s="192" t="str">
        <f>IF(I1595&gt;0,H1595/I1595,0)</f>
      </c>
      <c r="K1595" s="193" t="str">
        <f>1-EXP(-J1595)</f>
      </c>
      <c r="L1595" s="194" t="str">
        <f>IF(G1595=30,1,M1594)</f>
      </c>
      <c r="M1595" s="195" t="str">
        <f>L1595*(1-K1595)</f>
      </c>
    </row>
    <row r="1596">
      <c r="A1596" t="s">
        <v>167</v>
      </c>
      <c r="B1596" t="s">
        <v>219</v>
      </c>
      <c r="C1596" s="35" t="s">
        <v>221</v>
      </c>
      <c r="D1596" t="s">
        <v>502</v>
      </c>
      <c r="E1596" t="s">
        <v>520</v>
      </c>
      <c r="F1596" s="188" t="n">
        <v>2038</v>
      </c>
      <c r="G1596" s="189" t="n">
        <v>64</v>
      </c>
      <c r="H1596" s="190" t="n">
        <v>25883.1647930984</v>
      </c>
      <c r="I1596" s="191" t="n">
        <v>3158291.01067359</v>
      </c>
      <c r="J1596" s="192" t="str">
        <f>IF(I1596&gt;0,H1596/I1596,0)</f>
      </c>
      <c r="K1596" s="193" t="str">
        <f>1-EXP(-J1596)</f>
      </c>
      <c r="L1596" s="194" t="str">
        <f>IF(G1596=30,1,M1595)</f>
      </c>
      <c r="M1596" s="195" t="str">
        <f>L1596*(1-K1596)</f>
      </c>
    </row>
    <row r="1597">
      <c r="A1597" t="s">
        <v>167</v>
      </c>
      <c r="B1597" t="s">
        <v>219</v>
      </c>
      <c r="C1597" s="35" t="s">
        <v>221</v>
      </c>
      <c r="D1597" t="s">
        <v>502</v>
      </c>
      <c r="E1597" t="s">
        <v>520</v>
      </c>
      <c r="F1597" s="188" t="n">
        <v>2038</v>
      </c>
      <c r="G1597" s="189" t="n">
        <v>65</v>
      </c>
      <c r="H1597" s="190" t="n">
        <v>26624.7129470871</v>
      </c>
      <c r="I1597" s="191" t="n">
        <v>3083295.68677647</v>
      </c>
      <c r="J1597" s="192" t="str">
        <f>IF(I1597&gt;0,H1597/I1597,0)</f>
      </c>
      <c r="K1597" s="193" t="str">
        <f>1-EXP(-J1597)</f>
      </c>
      <c r="L1597" s="194" t="str">
        <f>IF(G1597=30,1,M1596)</f>
      </c>
      <c r="M1597" s="195" t="str">
        <f>L1597*(1-K1597)</f>
      </c>
    </row>
    <row r="1598">
      <c r="A1598" t="s">
        <v>167</v>
      </c>
      <c r="B1598" t="s">
        <v>219</v>
      </c>
      <c r="C1598" s="35" t="s">
        <v>221</v>
      </c>
      <c r="D1598" t="s">
        <v>502</v>
      </c>
      <c r="E1598" t="s">
        <v>520</v>
      </c>
      <c r="F1598" s="188" t="n">
        <v>2038</v>
      </c>
      <c r="G1598" s="189" t="n">
        <v>66</v>
      </c>
      <c r="H1598" s="190" t="n">
        <v>27131.797459669</v>
      </c>
      <c r="I1598" s="191" t="n">
        <v>2863766.35491276</v>
      </c>
      <c r="J1598" s="192" t="str">
        <f>IF(I1598&gt;0,H1598/I1598,0)</f>
      </c>
      <c r="K1598" s="193" t="str">
        <f>1-EXP(-J1598)</f>
      </c>
      <c r="L1598" s="194" t="str">
        <f>IF(G1598=30,1,M1597)</f>
      </c>
      <c r="M1598" s="195" t="str">
        <f>L1598*(1-K1598)</f>
      </c>
    </row>
    <row r="1599">
      <c r="A1599" t="s">
        <v>167</v>
      </c>
      <c r="B1599" t="s">
        <v>219</v>
      </c>
      <c r="C1599" s="35" t="s">
        <v>221</v>
      </c>
      <c r="D1599" t="s">
        <v>502</v>
      </c>
      <c r="E1599" t="s">
        <v>520</v>
      </c>
      <c r="F1599" s="188" t="n">
        <v>2038</v>
      </c>
      <c r="G1599" s="189" t="n">
        <v>67</v>
      </c>
      <c r="H1599" s="190" t="n">
        <v>28603.8314152853</v>
      </c>
      <c r="I1599" s="191" t="n">
        <v>2750090.95572221</v>
      </c>
      <c r="J1599" s="192" t="str">
        <f>IF(I1599&gt;0,H1599/I1599,0)</f>
      </c>
      <c r="K1599" s="193" t="str">
        <f>1-EXP(-J1599)</f>
      </c>
      <c r="L1599" s="194" t="str">
        <f>IF(G1599=30,1,M1598)</f>
      </c>
      <c r="M1599" s="195" t="str">
        <f>L1599*(1-K1599)</f>
      </c>
    </row>
    <row r="1600">
      <c r="A1600" t="s">
        <v>167</v>
      </c>
      <c r="B1600" t="s">
        <v>219</v>
      </c>
      <c r="C1600" s="35" t="s">
        <v>221</v>
      </c>
      <c r="D1600" t="s">
        <v>502</v>
      </c>
      <c r="E1600" t="s">
        <v>520</v>
      </c>
      <c r="F1600" s="188" t="n">
        <v>2038</v>
      </c>
      <c r="G1600" s="189" t="n">
        <v>68</v>
      </c>
      <c r="H1600" s="190" t="n">
        <v>30157.4519533058</v>
      </c>
      <c r="I1600" s="191" t="n">
        <v>2639048.42218691</v>
      </c>
      <c r="J1600" s="192" t="str">
        <f>IF(I1600&gt;0,H1600/I1600,0)</f>
      </c>
      <c r="K1600" s="193" t="str">
        <f>1-EXP(-J1600)</f>
      </c>
      <c r="L1600" s="194" t="str">
        <f>IF(G1600=30,1,M1599)</f>
      </c>
      <c r="M1600" s="195" t="str">
        <f>L1600*(1-K1600)</f>
      </c>
    </row>
    <row r="1601">
      <c r="A1601" t="s">
        <v>167</v>
      </c>
      <c r="B1601" t="s">
        <v>219</v>
      </c>
      <c r="C1601" s="35" t="s">
        <v>221</v>
      </c>
      <c r="D1601" t="s">
        <v>502</v>
      </c>
      <c r="E1601" t="s">
        <v>520</v>
      </c>
      <c r="F1601" s="188" t="n">
        <v>2038</v>
      </c>
      <c r="G1601" s="189" t="n">
        <v>69</v>
      </c>
      <c r="H1601" s="190" t="n">
        <v>31652.8259932119</v>
      </c>
      <c r="I1601" s="191" t="n">
        <v>2519201.78344088</v>
      </c>
      <c r="J1601" s="192" t="str">
        <f>IF(I1601&gt;0,H1601/I1601,0)</f>
      </c>
      <c r="K1601" s="193" t="str">
        <f>1-EXP(-J1601)</f>
      </c>
      <c r="L1601" s="194" t="str">
        <f>IF(G1601=30,1,M1600)</f>
      </c>
      <c r="M1601" s="195" t="str">
        <f>L1601*(1-K1601)</f>
      </c>
    </row>
    <row r="1602">
      <c r="A1602" t="s">
        <v>167</v>
      </c>
      <c r="B1602" t="s">
        <v>219</v>
      </c>
      <c r="C1602" s="35" t="s">
        <v>221</v>
      </c>
      <c r="D1602" t="s">
        <v>502</v>
      </c>
      <c r="E1602" t="s">
        <v>520</v>
      </c>
      <c r="F1602" s="188" t="n">
        <v>2039</v>
      </c>
      <c r="G1602" s="189" t="n">
        <v>30</v>
      </c>
      <c r="H1602" s="190" t="n">
        <v>761.20741595671</v>
      </c>
      <c r="I1602" s="191" t="n">
        <v>4690564.73516097</v>
      </c>
      <c r="J1602" s="192" t="str">
        <f>IF(I1602&gt;0,H1602/I1602,0)</f>
      </c>
      <c r="K1602" s="193" t="str">
        <f>1-EXP(-J1602)</f>
      </c>
      <c r="L1602" s="194" t="str">
        <f>IF(G1602=30,1,M1601)</f>
      </c>
      <c r="M1602" s="195" t="str">
        <f>L1602*(1-K1602)</f>
      </c>
    </row>
    <row r="1603">
      <c r="A1603" t="s">
        <v>167</v>
      </c>
      <c r="B1603" t="s">
        <v>219</v>
      </c>
      <c r="C1603" s="35" t="s">
        <v>221</v>
      </c>
      <c r="D1603" t="s">
        <v>502</v>
      </c>
      <c r="E1603" t="s">
        <v>520</v>
      </c>
      <c r="F1603" s="188" t="n">
        <v>2039</v>
      </c>
      <c r="G1603" s="189" t="n">
        <v>31</v>
      </c>
      <c r="H1603" s="190" t="n">
        <v>970.530769964625</v>
      </c>
      <c r="I1603" s="191" t="n">
        <v>4647930.32561386</v>
      </c>
      <c r="J1603" s="192" t="str">
        <f>IF(I1603&gt;0,H1603/I1603,0)</f>
      </c>
      <c r="K1603" s="193" t="str">
        <f>1-EXP(-J1603)</f>
      </c>
      <c r="L1603" s="194" t="str">
        <f>IF(G1603=30,1,M1602)</f>
      </c>
      <c r="M1603" s="195" t="str">
        <f>L1603*(1-K1603)</f>
      </c>
    </row>
    <row r="1604">
      <c r="A1604" t="s">
        <v>167</v>
      </c>
      <c r="B1604" t="s">
        <v>219</v>
      </c>
      <c r="C1604" s="35" t="s">
        <v>221</v>
      </c>
      <c r="D1604" t="s">
        <v>502</v>
      </c>
      <c r="E1604" t="s">
        <v>520</v>
      </c>
      <c r="F1604" s="188" t="n">
        <v>2039</v>
      </c>
      <c r="G1604" s="189" t="n">
        <v>32</v>
      </c>
      <c r="H1604" s="190" t="n">
        <v>1078.01075930072</v>
      </c>
      <c r="I1604" s="191" t="n">
        <v>4674314.43571928</v>
      </c>
      <c r="J1604" s="192" t="str">
        <f>IF(I1604&gt;0,H1604/I1604,0)</f>
      </c>
      <c r="K1604" s="193" t="str">
        <f>1-EXP(-J1604)</f>
      </c>
      <c r="L1604" s="194" t="str">
        <f>IF(G1604=30,1,M1603)</f>
      </c>
      <c r="M1604" s="195" t="str">
        <f>L1604*(1-K1604)</f>
      </c>
    </row>
    <row r="1605">
      <c r="A1605" t="s">
        <v>167</v>
      </c>
      <c r="B1605" t="s">
        <v>219</v>
      </c>
      <c r="C1605" s="35" t="s">
        <v>221</v>
      </c>
      <c r="D1605" t="s">
        <v>502</v>
      </c>
      <c r="E1605" t="s">
        <v>520</v>
      </c>
      <c r="F1605" s="188" t="n">
        <v>2039</v>
      </c>
      <c r="G1605" s="189" t="n">
        <v>33</v>
      </c>
      <c r="H1605" s="190" t="n">
        <v>1121.52637825953</v>
      </c>
      <c r="I1605" s="191" t="n">
        <v>4591346.82863428</v>
      </c>
      <c r="J1605" s="192" t="str">
        <f>IF(I1605&gt;0,H1605/I1605,0)</f>
      </c>
      <c r="K1605" s="193" t="str">
        <f>1-EXP(-J1605)</f>
      </c>
      <c r="L1605" s="194" t="str">
        <f>IF(G1605=30,1,M1604)</f>
      </c>
      <c r="M1605" s="195" t="str">
        <f>L1605*(1-K1605)</f>
      </c>
    </row>
    <row r="1606">
      <c r="A1606" t="s">
        <v>167</v>
      </c>
      <c r="B1606" t="s">
        <v>219</v>
      </c>
      <c r="C1606" s="35" t="s">
        <v>221</v>
      </c>
      <c r="D1606" t="s">
        <v>502</v>
      </c>
      <c r="E1606" t="s">
        <v>520</v>
      </c>
      <c r="F1606" s="188" t="n">
        <v>2039</v>
      </c>
      <c r="G1606" s="189" t="n">
        <v>34</v>
      </c>
      <c r="H1606" s="190" t="n">
        <v>1179.47771176762</v>
      </c>
      <c r="I1606" s="191" t="n">
        <v>4530209.14303825</v>
      </c>
      <c r="J1606" s="192" t="str">
        <f>IF(I1606&gt;0,H1606/I1606,0)</f>
      </c>
      <c r="K1606" s="193" t="str">
        <f>1-EXP(-J1606)</f>
      </c>
      <c r="L1606" s="194" t="str">
        <f>IF(G1606=30,1,M1605)</f>
      </c>
      <c r="M1606" s="195" t="str">
        <f>L1606*(1-K1606)</f>
      </c>
    </row>
    <row r="1607">
      <c r="A1607" t="s">
        <v>167</v>
      </c>
      <c r="B1607" t="s">
        <v>219</v>
      </c>
      <c r="C1607" s="35" t="s">
        <v>221</v>
      </c>
      <c r="D1607" t="s">
        <v>502</v>
      </c>
      <c r="E1607" t="s">
        <v>520</v>
      </c>
      <c r="F1607" s="188" t="n">
        <v>2039</v>
      </c>
      <c r="G1607" s="189" t="n">
        <v>35</v>
      </c>
      <c r="H1607" s="190" t="n">
        <v>1533.83416629728</v>
      </c>
      <c r="I1607" s="191" t="n">
        <v>4401412.74493536</v>
      </c>
      <c r="J1607" s="192" t="str">
        <f>IF(I1607&gt;0,H1607/I1607,0)</f>
      </c>
      <c r="K1607" s="193" t="str">
        <f>1-EXP(-J1607)</f>
      </c>
      <c r="L1607" s="194" t="str">
        <f>IF(G1607=30,1,M1606)</f>
      </c>
      <c r="M1607" s="195" t="str">
        <f>L1607*(1-K1607)</f>
      </c>
    </row>
    <row r="1608">
      <c r="A1608" t="s">
        <v>167</v>
      </c>
      <c r="B1608" t="s">
        <v>219</v>
      </c>
      <c r="C1608" s="35" t="s">
        <v>221</v>
      </c>
      <c r="D1608" t="s">
        <v>502</v>
      </c>
      <c r="E1608" t="s">
        <v>520</v>
      </c>
      <c r="F1608" s="188" t="n">
        <v>2039</v>
      </c>
      <c r="G1608" s="189" t="n">
        <v>36</v>
      </c>
      <c r="H1608" s="190" t="n">
        <v>1751.16969721931</v>
      </c>
      <c r="I1608" s="191" t="n">
        <v>4335050.74162424</v>
      </c>
      <c r="J1608" s="192" t="str">
        <f>IF(I1608&gt;0,H1608/I1608,0)</f>
      </c>
      <c r="K1608" s="193" t="str">
        <f>1-EXP(-J1608)</f>
      </c>
      <c r="L1608" s="194" t="str">
        <f>IF(G1608=30,1,M1607)</f>
      </c>
      <c r="M1608" s="195" t="str">
        <f>L1608*(1-K1608)</f>
      </c>
    </row>
    <row r="1609">
      <c r="A1609" t="s">
        <v>167</v>
      </c>
      <c r="B1609" t="s">
        <v>219</v>
      </c>
      <c r="C1609" s="35" t="s">
        <v>221</v>
      </c>
      <c r="D1609" t="s">
        <v>502</v>
      </c>
      <c r="E1609" t="s">
        <v>520</v>
      </c>
      <c r="F1609" s="188" t="n">
        <v>2039</v>
      </c>
      <c r="G1609" s="189" t="n">
        <v>37</v>
      </c>
      <c r="H1609" s="190" t="n">
        <v>2019.79485709898</v>
      </c>
      <c r="I1609" s="191" t="n">
        <v>4311930.2680238</v>
      </c>
      <c r="J1609" s="192" t="str">
        <f>IF(I1609&gt;0,H1609/I1609,0)</f>
      </c>
      <c r="K1609" s="193" t="str">
        <f>1-EXP(-J1609)</f>
      </c>
      <c r="L1609" s="194" t="str">
        <f>IF(G1609=30,1,M1608)</f>
      </c>
      <c r="M1609" s="195" t="str">
        <f>L1609*(1-K1609)</f>
      </c>
    </row>
    <row r="1610">
      <c r="A1610" t="s">
        <v>167</v>
      </c>
      <c r="B1610" t="s">
        <v>219</v>
      </c>
      <c r="C1610" s="35" t="s">
        <v>221</v>
      </c>
      <c r="D1610" t="s">
        <v>502</v>
      </c>
      <c r="E1610" t="s">
        <v>520</v>
      </c>
      <c r="F1610" s="188" t="n">
        <v>2039</v>
      </c>
      <c r="G1610" s="189" t="n">
        <v>38</v>
      </c>
      <c r="H1610" s="190" t="n">
        <v>2166.00740988556</v>
      </c>
      <c r="I1610" s="191" t="n">
        <v>4290427.5605879</v>
      </c>
      <c r="J1610" s="192" t="str">
        <f>IF(I1610&gt;0,H1610/I1610,0)</f>
      </c>
      <c r="K1610" s="193" t="str">
        <f>1-EXP(-J1610)</f>
      </c>
      <c r="L1610" s="194" t="str">
        <f>IF(G1610=30,1,M1609)</f>
      </c>
      <c r="M1610" s="195" t="str">
        <f>L1610*(1-K1610)</f>
      </c>
    </row>
    <row r="1611">
      <c r="A1611" t="s">
        <v>167</v>
      </c>
      <c r="B1611" t="s">
        <v>219</v>
      </c>
      <c r="C1611" s="35" t="s">
        <v>221</v>
      </c>
      <c r="D1611" t="s">
        <v>502</v>
      </c>
      <c r="E1611" t="s">
        <v>520</v>
      </c>
      <c r="F1611" s="188" t="n">
        <v>2039</v>
      </c>
      <c r="G1611" s="189" t="n">
        <v>39</v>
      </c>
      <c r="H1611" s="190" t="n">
        <v>2328.69511392692</v>
      </c>
      <c r="I1611" s="191" t="n">
        <v>4268382.03575439</v>
      </c>
      <c r="J1611" s="192" t="str">
        <f>IF(I1611&gt;0,H1611/I1611,0)</f>
      </c>
      <c r="K1611" s="193" t="str">
        <f>1-EXP(-J1611)</f>
      </c>
      <c r="L1611" s="194" t="str">
        <f>IF(G1611=30,1,M1610)</f>
      </c>
      <c r="M1611" s="195" t="str">
        <f>L1611*(1-K1611)</f>
      </c>
    </row>
    <row r="1612">
      <c r="A1612" t="s">
        <v>167</v>
      </c>
      <c r="B1612" t="s">
        <v>219</v>
      </c>
      <c r="C1612" s="35" t="s">
        <v>221</v>
      </c>
      <c r="D1612" t="s">
        <v>502</v>
      </c>
      <c r="E1612" t="s">
        <v>520</v>
      </c>
      <c r="F1612" s="188" t="n">
        <v>2039</v>
      </c>
      <c r="G1612" s="189" t="n">
        <v>40</v>
      </c>
      <c r="H1612" s="190" t="n">
        <v>3143.20889657454</v>
      </c>
      <c r="I1612" s="191" t="n">
        <v>4285349.53965491</v>
      </c>
      <c r="J1612" s="192" t="str">
        <f>IF(I1612&gt;0,H1612/I1612,0)</f>
      </c>
      <c r="K1612" s="193" t="str">
        <f>1-EXP(-J1612)</f>
      </c>
      <c r="L1612" s="194" t="str">
        <f>IF(G1612=30,1,M1611)</f>
      </c>
      <c r="M1612" s="195" t="str">
        <f>L1612*(1-K1612)</f>
      </c>
    </row>
    <row r="1613">
      <c r="A1613" t="s">
        <v>167</v>
      </c>
      <c r="B1613" t="s">
        <v>219</v>
      </c>
      <c r="C1613" s="35" t="s">
        <v>221</v>
      </c>
      <c r="D1613" t="s">
        <v>502</v>
      </c>
      <c r="E1613" t="s">
        <v>520</v>
      </c>
      <c r="F1613" s="188" t="n">
        <v>2039</v>
      </c>
      <c r="G1613" s="189" t="n">
        <v>41</v>
      </c>
      <c r="H1613" s="190" t="n">
        <v>3504.76664598815</v>
      </c>
      <c r="I1613" s="191" t="n">
        <v>4339958.64339735</v>
      </c>
      <c r="J1613" s="192" t="str">
        <f>IF(I1613&gt;0,H1613/I1613,0)</f>
      </c>
      <c r="K1613" s="193" t="str">
        <f>1-EXP(-J1613)</f>
      </c>
      <c r="L1613" s="194" t="str">
        <f>IF(G1613=30,1,M1612)</f>
      </c>
      <c r="M1613" s="195" t="str">
        <f>L1613*(1-K1613)</f>
      </c>
    </row>
    <row r="1614">
      <c r="A1614" t="s">
        <v>167</v>
      </c>
      <c r="B1614" t="s">
        <v>219</v>
      </c>
      <c r="C1614" s="35" t="s">
        <v>221</v>
      </c>
      <c r="D1614" t="s">
        <v>502</v>
      </c>
      <c r="E1614" t="s">
        <v>520</v>
      </c>
      <c r="F1614" s="188" t="n">
        <v>2039</v>
      </c>
      <c r="G1614" s="189" t="n">
        <v>42</v>
      </c>
      <c r="H1614" s="190" t="n">
        <v>4124.98883016726</v>
      </c>
      <c r="I1614" s="191" t="n">
        <v>4471765.1265521</v>
      </c>
      <c r="J1614" s="192" t="str">
        <f>IF(I1614&gt;0,H1614/I1614,0)</f>
      </c>
      <c r="K1614" s="193" t="str">
        <f>1-EXP(-J1614)</f>
      </c>
      <c r="L1614" s="194" t="str">
        <f>IF(G1614=30,1,M1613)</f>
      </c>
      <c r="M1614" s="195" t="str">
        <f>L1614*(1-K1614)</f>
      </c>
    </row>
    <row r="1615">
      <c r="A1615" t="s">
        <v>167</v>
      </c>
      <c r="B1615" t="s">
        <v>219</v>
      </c>
      <c r="C1615" s="35" t="s">
        <v>221</v>
      </c>
      <c r="D1615" t="s">
        <v>502</v>
      </c>
      <c r="E1615" t="s">
        <v>520</v>
      </c>
      <c r="F1615" s="188" t="n">
        <v>2039</v>
      </c>
      <c r="G1615" s="189" t="n">
        <v>43</v>
      </c>
      <c r="H1615" s="190" t="n">
        <v>4434.77940930273</v>
      </c>
      <c r="I1615" s="191" t="n">
        <v>4424270.40659336</v>
      </c>
      <c r="J1615" s="192" t="str">
        <f>IF(I1615&gt;0,H1615/I1615,0)</f>
      </c>
      <c r="K1615" s="193" t="str">
        <f>1-EXP(-J1615)</f>
      </c>
      <c r="L1615" s="194" t="str">
        <f>IF(G1615=30,1,M1614)</f>
      </c>
      <c r="M1615" s="195" t="str">
        <f>L1615*(1-K1615)</f>
      </c>
    </row>
    <row r="1616">
      <c r="A1616" t="s">
        <v>167</v>
      </c>
      <c r="B1616" t="s">
        <v>219</v>
      </c>
      <c r="C1616" s="35" t="s">
        <v>221</v>
      </c>
      <c r="D1616" t="s">
        <v>502</v>
      </c>
      <c r="E1616" t="s">
        <v>520</v>
      </c>
      <c r="F1616" s="188" t="n">
        <v>2039</v>
      </c>
      <c r="G1616" s="189" t="n">
        <v>44</v>
      </c>
      <c r="H1616" s="190" t="n">
        <v>4747.12410687305</v>
      </c>
      <c r="I1616" s="191" t="n">
        <v>4346617.87843688</v>
      </c>
      <c r="J1616" s="192" t="str">
        <f>IF(I1616&gt;0,H1616/I1616,0)</f>
      </c>
      <c r="K1616" s="193" t="str">
        <f>1-EXP(-J1616)</f>
      </c>
      <c r="L1616" s="194" t="str">
        <f>IF(G1616=30,1,M1615)</f>
      </c>
      <c r="M1616" s="195" t="str">
        <f>L1616*(1-K1616)</f>
      </c>
    </row>
    <row r="1617">
      <c r="A1617" t="s">
        <v>167</v>
      </c>
      <c r="B1617" t="s">
        <v>219</v>
      </c>
      <c r="C1617" s="35" t="s">
        <v>221</v>
      </c>
      <c r="D1617" t="s">
        <v>502</v>
      </c>
      <c r="E1617" t="s">
        <v>520</v>
      </c>
      <c r="F1617" s="188" t="n">
        <v>2039</v>
      </c>
      <c r="G1617" s="189" t="n">
        <v>45</v>
      </c>
      <c r="H1617" s="190" t="n">
        <v>6012.98632455069</v>
      </c>
      <c r="I1617" s="191" t="n">
        <v>4283902.3353903</v>
      </c>
      <c r="J1617" s="192" t="str">
        <f>IF(I1617&gt;0,H1617/I1617,0)</f>
      </c>
      <c r="K1617" s="193" t="str">
        <f>1-EXP(-J1617)</f>
      </c>
      <c r="L1617" s="194" t="str">
        <f>IF(G1617=30,1,M1616)</f>
      </c>
      <c r="M1617" s="195" t="str">
        <f>L1617*(1-K1617)</f>
      </c>
    </row>
    <row r="1618">
      <c r="A1618" t="s">
        <v>167</v>
      </c>
      <c r="B1618" t="s">
        <v>219</v>
      </c>
      <c r="C1618" s="35" t="s">
        <v>221</v>
      </c>
      <c r="D1618" t="s">
        <v>502</v>
      </c>
      <c r="E1618" t="s">
        <v>520</v>
      </c>
      <c r="F1618" s="188" t="n">
        <v>2039</v>
      </c>
      <c r="G1618" s="189" t="n">
        <v>46</v>
      </c>
      <c r="H1618" s="190" t="n">
        <v>6465.04031170442</v>
      </c>
      <c r="I1618" s="191" t="n">
        <v>4223167.55159382</v>
      </c>
      <c r="J1618" s="192" t="str">
        <f>IF(I1618&gt;0,H1618/I1618,0)</f>
      </c>
      <c r="K1618" s="193" t="str">
        <f>1-EXP(-J1618)</f>
      </c>
      <c r="L1618" s="194" t="str">
        <f>IF(G1618=30,1,M1617)</f>
      </c>
      <c r="M1618" s="195" t="str">
        <f>L1618*(1-K1618)</f>
      </c>
    </row>
    <row r="1619">
      <c r="A1619" t="s">
        <v>167</v>
      </c>
      <c r="B1619" t="s">
        <v>219</v>
      </c>
      <c r="C1619" s="35" t="s">
        <v>221</v>
      </c>
      <c r="D1619" t="s">
        <v>502</v>
      </c>
      <c r="E1619" t="s">
        <v>520</v>
      </c>
      <c r="F1619" s="188" t="n">
        <v>2039</v>
      </c>
      <c r="G1619" s="189" t="n">
        <v>47</v>
      </c>
      <c r="H1619" s="190" t="n">
        <v>7124.40233590881</v>
      </c>
      <c r="I1619" s="191" t="n">
        <v>4251904.12927767</v>
      </c>
      <c r="J1619" s="192" t="str">
        <f>IF(I1619&gt;0,H1619/I1619,0)</f>
      </c>
      <c r="K1619" s="193" t="str">
        <f>1-EXP(-J1619)</f>
      </c>
      <c r="L1619" s="194" t="str">
        <f>IF(G1619=30,1,M1618)</f>
      </c>
      <c r="M1619" s="195" t="str">
        <f>L1619*(1-K1619)</f>
      </c>
    </row>
    <row r="1620">
      <c r="A1620" t="s">
        <v>167</v>
      </c>
      <c r="B1620" t="s">
        <v>219</v>
      </c>
      <c r="C1620" s="35" t="s">
        <v>221</v>
      </c>
      <c r="D1620" t="s">
        <v>502</v>
      </c>
      <c r="E1620" t="s">
        <v>520</v>
      </c>
      <c r="F1620" s="188" t="n">
        <v>2039</v>
      </c>
      <c r="G1620" s="189" t="n">
        <v>48</v>
      </c>
      <c r="H1620" s="190" t="n">
        <v>7829.00721745104</v>
      </c>
      <c r="I1620" s="191" t="n">
        <v>4260285.34607831</v>
      </c>
      <c r="J1620" s="192" t="str">
        <f>IF(I1620&gt;0,H1620/I1620,0)</f>
      </c>
      <c r="K1620" s="193" t="str">
        <f>1-EXP(-J1620)</f>
      </c>
      <c r="L1620" s="194" t="str">
        <f>IF(G1620=30,1,M1619)</f>
      </c>
      <c r="M1620" s="195" t="str">
        <f>L1620*(1-K1620)</f>
      </c>
    </row>
    <row r="1621">
      <c r="A1621" t="s">
        <v>167</v>
      </c>
      <c r="B1621" t="s">
        <v>219</v>
      </c>
      <c r="C1621" s="35" t="s">
        <v>221</v>
      </c>
      <c r="D1621" t="s">
        <v>502</v>
      </c>
      <c r="E1621" t="s">
        <v>520</v>
      </c>
      <c r="F1621" s="188" t="n">
        <v>2039</v>
      </c>
      <c r="G1621" s="189" t="n">
        <v>49</v>
      </c>
      <c r="H1621" s="190" t="n">
        <v>11568.4882652668</v>
      </c>
      <c r="I1621" s="191" t="n">
        <v>6267428.87160367</v>
      </c>
      <c r="J1621" s="192" t="str">
        <f>IF(I1621&gt;0,H1621/I1621,0)</f>
      </c>
      <c r="K1621" s="193" t="str">
        <f>1-EXP(-J1621)</f>
      </c>
      <c r="L1621" s="194" t="str">
        <f>IF(G1621=30,1,M1620)</f>
      </c>
      <c r="M1621" s="195" t="str">
        <f>L1621*(1-K1621)</f>
      </c>
    </row>
    <row r="1622">
      <c r="A1622" t="s">
        <v>167</v>
      </c>
      <c r="B1622" t="s">
        <v>219</v>
      </c>
      <c r="C1622" s="35" t="s">
        <v>221</v>
      </c>
      <c r="D1622" t="s">
        <v>502</v>
      </c>
      <c r="E1622" t="s">
        <v>520</v>
      </c>
      <c r="F1622" s="188" t="n">
        <v>2039</v>
      </c>
      <c r="G1622" s="189" t="n">
        <v>50</v>
      </c>
      <c r="H1622" s="190" t="n">
        <v>9746.9218041054</v>
      </c>
      <c r="I1622" s="191" t="n">
        <v>4198540.35601981</v>
      </c>
      <c r="J1622" s="192" t="str">
        <f>IF(I1622&gt;0,H1622/I1622,0)</f>
      </c>
      <c r="K1622" s="193" t="str">
        <f>1-EXP(-J1622)</f>
      </c>
      <c r="L1622" s="194" t="str">
        <f>IF(G1622=30,1,M1621)</f>
      </c>
      <c r="M1622" s="195" t="str">
        <f>L1622*(1-K1622)</f>
      </c>
    </row>
    <row r="1623">
      <c r="A1623" t="s">
        <v>167</v>
      </c>
      <c r="B1623" t="s">
        <v>219</v>
      </c>
      <c r="C1623" s="35" t="s">
        <v>221</v>
      </c>
      <c r="D1623" t="s">
        <v>502</v>
      </c>
      <c r="E1623" t="s">
        <v>520</v>
      </c>
      <c r="F1623" s="188" t="n">
        <v>2039</v>
      </c>
      <c r="G1623" s="189" t="n">
        <v>51</v>
      </c>
      <c r="H1623" s="190" t="n">
        <v>10582.5955601731</v>
      </c>
      <c r="I1623" s="191" t="n">
        <v>4169141.66134023</v>
      </c>
      <c r="J1623" s="192" t="str">
        <f>IF(I1623&gt;0,H1623/I1623,0)</f>
      </c>
      <c r="K1623" s="193" t="str">
        <f>1-EXP(-J1623)</f>
      </c>
      <c r="L1623" s="194" t="str">
        <f>IF(G1623=30,1,M1622)</f>
      </c>
      <c r="M1623" s="195" t="str">
        <f>L1623*(1-K1623)</f>
      </c>
    </row>
    <row r="1624">
      <c r="A1624" t="s">
        <v>167</v>
      </c>
      <c r="B1624" t="s">
        <v>219</v>
      </c>
      <c r="C1624" s="35" t="s">
        <v>221</v>
      </c>
      <c r="D1624" t="s">
        <v>502</v>
      </c>
      <c r="E1624" t="s">
        <v>520</v>
      </c>
      <c r="F1624" s="188" t="n">
        <v>2039</v>
      </c>
      <c r="G1624" s="189" t="n">
        <v>52</v>
      </c>
      <c r="H1624" s="190" t="n">
        <v>11187.4219479935</v>
      </c>
      <c r="I1624" s="191" t="n">
        <v>4028002.22292542</v>
      </c>
      <c r="J1624" s="192" t="str">
        <f>IF(I1624&gt;0,H1624/I1624,0)</f>
      </c>
      <c r="K1624" s="193" t="str">
        <f>1-EXP(-J1624)</f>
      </c>
      <c r="L1624" s="194" t="str">
        <f>IF(G1624=30,1,M1623)</f>
      </c>
      <c r="M1624" s="195" t="str">
        <f>L1624*(1-K1624)</f>
      </c>
    </row>
    <row r="1625">
      <c r="A1625" t="s">
        <v>167</v>
      </c>
      <c r="B1625" t="s">
        <v>219</v>
      </c>
      <c r="C1625" s="35" t="s">
        <v>221</v>
      </c>
      <c r="D1625" t="s">
        <v>502</v>
      </c>
      <c r="E1625" t="s">
        <v>520</v>
      </c>
      <c r="F1625" s="188" t="n">
        <v>2039</v>
      </c>
      <c r="G1625" s="189" t="n">
        <v>53</v>
      </c>
      <c r="H1625" s="190" t="n">
        <v>12074.7875650724</v>
      </c>
      <c r="I1625" s="191" t="n">
        <v>3980101.24029202</v>
      </c>
      <c r="J1625" s="192" t="str">
        <f>IF(I1625&gt;0,H1625/I1625,0)</f>
      </c>
      <c r="K1625" s="193" t="str">
        <f>1-EXP(-J1625)</f>
      </c>
      <c r="L1625" s="194" t="str">
        <f>IF(G1625=30,1,M1624)</f>
      </c>
      <c r="M1625" s="195" t="str">
        <f>L1625*(1-K1625)</f>
      </c>
    </row>
    <row r="1626">
      <c r="A1626" t="s">
        <v>167</v>
      </c>
      <c r="B1626" t="s">
        <v>219</v>
      </c>
      <c r="C1626" s="35" t="s">
        <v>221</v>
      </c>
      <c r="D1626" t="s">
        <v>502</v>
      </c>
      <c r="E1626" t="s">
        <v>520</v>
      </c>
      <c r="F1626" s="188" t="n">
        <v>2039</v>
      </c>
      <c r="G1626" s="189" t="n">
        <v>54</v>
      </c>
      <c r="H1626" s="190" t="n">
        <v>13313.5402670967</v>
      </c>
      <c r="I1626" s="191" t="n">
        <v>4020402.79366472</v>
      </c>
      <c r="J1626" s="192" t="str">
        <f>IF(I1626&gt;0,H1626/I1626,0)</f>
      </c>
      <c r="K1626" s="193" t="str">
        <f>1-EXP(-J1626)</f>
      </c>
      <c r="L1626" s="194" t="str">
        <f>IF(G1626=30,1,M1625)</f>
      </c>
      <c r="M1626" s="195" t="str">
        <f>L1626*(1-K1626)</f>
      </c>
    </row>
    <row r="1627">
      <c r="A1627" t="s">
        <v>167</v>
      </c>
      <c r="B1627" t="s">
        <v>219</v>
      </c>
      <c r="C1627" s="35" t="s">
        <v>221</v>
      </c>
      <c r="D1627" t="s">
        <v>502</v>
      </c>
      <c r="E1627" t="s">
        <v>520</v>
      </c>
      <c r="F1627" s="188" t="n">
        <v>2039</v>
      </c>
      <c r="G1627" s="189" t="n">
        <v>55</v>
      </c>
      <c r="H1627" s="190" t="n">
        <v>14660.61509266</v>
      </c>
      <c r="I1627" s="191" t="n">
        <v>4082634.87651942</v>
      </c>
      <c r="J1627" s="192" t="str">
        <f>IF(I1627&gt;0,H1627/I1627,0)</f>
      </c>
      <c r="K1627" s="193" t="str">
        <f>1-EXP(-J1627)</f>
      </c>
      <c r="L1627" s="194" t="str">
        <f>IF(G1627=30,1,M1626)</f>
      </c>
      <c r="M1627" s="195" t="str">
        <f>L1627*(1-K1627)</f>
      </c>
    </row>
    <row r="1628">
      <c r="A1628" t="s">
        <v>167</v>
      </c>
      <c r="B1628" t="s">
        <v>219</v>
      </c>
      <c r="C1628" s="35" t="s">
        <v>221</v>
      </c>
      <c r="D1628" t="s">
        <v>502</v>
      </c>
      <c r="E1628" t="s">
        <v>520</v>
      </c>
      <c r="F1628" s="188" t="n">
        <v>2039</v>
      </c>
      <c r="G1628" s="189" t="n">
        <v>56</v>
      </c>
      <c r="H1628" s="190" t="n">
        <v>15779.9681948346</v>
      </c>
      <c r="I1628" s="191" t="n">
        <v>4039346.66385602</v>
      </c>
      <c r="J1628" s="192" t="str">
        <f>IF(I1628&gt;0,H1628/I1628,0)</f>
      </c>
      <c r="K1628" s="193" t="str">
        <f>1-EXP(-J1628)</f>
      </c>
      <c r="L1628" s="194" t="str">
        <f>IF(G1628=30,1,M1627)</f>
      </c>
      <c r="M1628" s="195" t="str">
        <f>L1628*(1-K1628)</f>
      </c>
    </row>
    <row r="1629">
      <c r="A1629" t="s">
        <v>167</v>
      </c>
      <c r="B1629" t="s">
        <v>219</v>
      </c>
      <c r="C1629" s="35" t="s">
        <v>221</v>
      </c>
      <c r="D1629" t="s">
        <v>502</v>
      </c>
      <c r="E1629" t="s">
        <v>520</v>
      </c>
      <c r="F1629" s="188" t="n">
        <v>2039</v>
      </c>
      <c r="G1629" s="189" t="n">
        <v>57</v>
      </c>
      <c r="H1629" s="190" t="n">
        <v>16608.998242294</v>
      </c>
      <c r="I1629" s="191" t="n">
        <v>3889037.09654691</v>
      </c>
      <c r="J1629" s="192" t="str">
        <f>IF(I1629&gt;0,H1629/I1629,0)</f>
      </c>
      <c r="K1629" s="193" t="str">
        <f>1-EXP(-J1629)</f>
      </c>
      <c r="L1629" s="194" t="str">
        <f>IF(G1629=30,1,M1628)</f>
      </c>
      <c r="M1629" s="195" t="str">
        <f>L1629*(1-K1629)</f>
      </c>
    </row>
    <row r="1630">
      <c r="A1630" t="s">
        <v>167</v>
      </c>
      <c r="B1630" t="s">
        <v>219</v>
      </c>
      <c r="C1630" s="35" t="s">
        <v>221</v>
      </c>
      <c r="D1630" t="s">
        <v>502</v>
      </c>
      <c r="E1630" t="s">
        <v>520</v>
      </c>
      <c r="F1630" s="188" t="n">
        <v>2039</v>
      </c>
      <c r="G1630" s="189" t="n">
        <v>58</v>
      </c>
      <c r="H1630" s="190" t="n">
        <v>17729.9470714817</v>
      </c>
      <c r="I1630" s="191" t="n">
        <v>3796790.5847992</v>
      </c>
      <c r="J1630" s="192" t="str">
        <f>IF(I1630&gt;0,H1630/I1630,0)</f>
      </c>
      <c r="K1630" s="193" t="str">
        <f>1-EXP(-J1630)</f>
      </c>
      <c r="L1630" s="194" t="str">
        <f>IF(G1630=30,1,M1629)</f>
      </c>
      <c r="M1630" s="195" t="str">
        <f>L1630*(1-K1630)</f>
      </c>
    </row>
    <row r="1631">
      <c r="A1631" t="s">
        <v>167</v>
      </c>
      <c r="B1631" t="s">
        <v>219</v>
      </c>
      <c r="C1631" s="35" t="s">
        <v>221</v>
      </c>
      <c r="D1631" t="s">
        <v>502</v>
      </c>
      <c r="E1631" t="s">
        <v>520</v>
      </c>
      <c r="F1631" s="188" t="n">
        <v>2039</v>
      </c>
      <c r="G1631" s="189" t="n">
        <v>59</v>
      </c>
      <c r="H1631" s="190" t="n">
        <v>19006.3984048766</v>
      </c>
      <c r="I1631" s="191" t="n">
        <v>3718144.72659352</v>
      </c>
      <c r="J1631" s="192" t="str">
        <f>IF(I1631&gt;0,H1631/I1631,0)</f>
      </c>
      <c r="K1631" s="193" t="str">
        <f>1-EXP(-J1631)</f>
      </c>
      <c r="L1631" s="194" t="str">
        <f>IF(G1631=30,1,M1630)</f>
      </c>
      <c r="M1631" s="195" t="str">
        <f>L1631*(1-K1631)</f>
      </c>
    </row>
    <row r="1632">
      <c r="A1632" t="s">
        <v>167</v>
      </c>
      <c r="B1632" t="s">
        <v>219</v>
      </c>
      <c r="C1632" s="35" t="s">
        <v>221</v>
      </c>
      <c r="D1632" t="s">
        <v>502</v>
      </c>
      <c r="E1632" t="s">
        <v>520</v>
      </c>
      <c r="F1632" s="188" t="n">
        <v>2039</v>
      </c>
      <c r="G1632" s="189" t="n">
        <v>60</v>
      </c>
      <c r="H1632" s="190" t="n">
        <v>20318.781395497</v>
      </c>
      <c r="I1632" s="191" t="n">
        <v>3633078.69945757</v>
      </c>
      <c r="J1632" s="192" t="str">
        <f>IF(I1632&gt;0,H1632/I1632,0)</f>
      </c>
      <c r="K1632" s="193" t="str">
        <f>1-EXP(-J1632)</f>
      </c>
      <c r="L1632" s="194" t="str">
        <f>IF(G1632=30,1,M1631)</f>
      </c>
      <c r="M1632" s="195" t="str">
        <f>L1632*(1-K1632)</f>
      </c>
    </row>
    <row r="1633">
      <c r="A1633" t="s">
        <v>167</v>
      </c>
      <c r="B1633" t="s">
        <v>219</v>
      </c>
      <c r="C1633" s="35" t="s">
        <v>221</v>
      </c>
      <c r="D1633" t="s">
        <v>502</v>
      </c>
      <c r="E1633" t="s">
        <v>520</v>
      </c>
      <c r="F1633" s="188" t="n">
        <v>2039</v>
      </c>
      <c r="G1633" s="189" t="n">
        <v>61</v>
      </c>
      <c r="H1633" s="190" t="n">
        <v>21658.7439033206</v>
      </c>
      <c r="I1633" s="191" t="n">
        <v>3528497.31144345</v>
      </c>
      <c r="J1633" s="192" t="str">
        <f>IF(I1633&gt;0,H1633/I1633,0)</f>
      </c>
      <c r="K1633" s="193" t="str">
        <f>1-EXP(-J1633)</f>
      </c>
      <c r="L1633" s="194" t="str">
        <f>IF(G1633=30,1,M1632)</f>
      </c>
      <c r="M1633" s="195" t="str">
        <f>L1633*(1-K1633)</f>
      </c>
    </row>
    <row r="1634">
      <c r="A1634" t="s">
        <v>167</v>
      </c>
      <c r="B1634" t="s">
        <v>219</v>
      </c>
      <c r="C1634" s="35" t="s">
        <v>221</v>
      </c>
      <c r="D1634" t="s">
        <v>502</v>
      </c>
      <c r="E1634" t="s">
        <v>520</v>
      </c>
      <c r="F1634" s="188" t="n">
        <v>2039</v>
      </c>
      <c r="G1634" s="189" t="n">
        <v>62</v>
      </c>
      <c r="H1634" s="190" t="n">
        <v>23165.5942034282</v>
      </c>
      <c r="I1634" s="191" t="n">
        <v>3438002.39011936</v>
      </c>
      <c r="J1634" s="192" t="str">
        <f>IF(I1634&gt;0,H1634/I1634,0)</f>
      </c>
      <c r="K1634" s="193" t="str">
        <f>1-EXP(-J1634)</f>
      </c>
      <c r="L1634" s="194" t="str">
        <f>IF(G1634=30,1,M1633)</f>
      </c>
      <c r="M1634" s="195" t="str">
        <f>L1634*(1-K1634)</f>
      </c>
    </row>
    <row r="1635">
      <c r="A1635" t="s">
        <v>167</v>
      </c>
      <c r="B1635" t="s">
        <v>219</v>
      </c>
      <c r="C1635" s="35" t="s">
        <v>221</v>
      </c>
      <c r="D1635" t="s">
        <v>502</v>
      </c>
      <c r="E1635" t="s">
        <v>520</v>
      </c>
      <c r="F1635" s="188" t="n">
        <v>2039</v>
      </c>
      <c r="G1635" s="189" t="n">
        <v>63</v>
      </c>
      <c r="H1635" s="190" t="n">
        <v>24643.392228579</v>
      </c>
      <c r="I1635" s="191" t="n">
        <v>3335630.88461104</v>
      </c>
      <c r="J1635" s="192" t="str">
        <f>IF(I1635&gt;0,H1635/I1635,0)</f>
      </c>
      <c r="K1635" s="193" t="str">
        <f>1-EXP(-J1635)</f>
      </c>
      <c r="L1635" s="194" t="str">
        <f>IF(G1635=30,1,M1634)</f>
      </c>
      <c r="M1635" s="195" t="str">
        <f>L1635*(1-K1635)</f>
      </c>
    </row>
    <row r="1636">
      <c r="A1636" t="s">
        <v>167</v>
      </c>
      <c r="B1636" t="s">
        <v>219</v>
      </c>
      <c r="C1636" s="35" t="s">
        <v>221</v>
      </c>
      <c r="D1636" t="s">
        <v>502</v>
      </c>
      <c r="E1636" t="s">
        <v>520</v>
      </c>
      <c r="F1636" s="188" t="n">
        <v>2039</v>
      </c>
      <c r="G1636" s="189" t="n">
        <v>64</v>
      </c>
      <c r="H1636" s="190" t="n">
        <v>26173.1229874951</v>
      </c>
      <c r="I1636" s="191" t="n">
        <v>3231157.19406909</v>
      </c>
      <c r="J1636" s="192" t="str">
        <f>IF(I1636&gt;0,H1636/I1636,0)</f>
      </c>
      <c r="K1636" s="193" t="str">
        <f>1-EXP(-J1636)</f>
      </c>
      <c r="L1636" s="194" t="str">
        <f>IF(G1636=30,1,M1635)</f>
      </c>
      <c r="M1636" s="195" t="str">
        <f>L1636*(1-K1636)</f>
      </c>
    </row>
    <row r="1637">
      <c r="A1637" t="s">
        <v>167</v>
      </c>
      <c r="B1637" t="s">
        <v>219</v>
      </c>
      <c r="C1637" s="35" t="s">
        <v>221</v>
      </c>
      <c r="D1637" t="s">
        <v>502</v>
      </c>
      <c r="E1637" t="s">
        <v>520</v>
      </c>
      <c r="F1637" s="188" t="n">
        <v>2039</v>
      </c>
      <c r="G1637" s="189" t="n">
        <v>65</v>
      </c>
      <c r="H1637" s="190" t="n">
        <v>26438.1455381253</v>
      </c>
      <c r="I1637" s="191" t="n">
        <v>3101110.40697184</v>
      </c>
      <c r="J1637" s="192" t="str">
        <f>IF(I1637&gt;0,H1637/I1637,0)</f>
      </c>
      <c r="K1637" s="193" t="str">
        <f>1-EXP(-J1637)</f>
      </c>
      <c r="L1637" s="194" t="str">
        <f>IF(G1637=30,1,M1636)</f>
      </c>
      <c r="M1637" s="195" t="str">
        <f>L1637*(1-K1637)</f>
      </c>
    </row>
    <row r="1638">
      <c r="A1638" t="s">
        <v>167</v>
      </c>
      <c r="B1638" t="s">
        <v>219</v>
      </c>
      <c r="C1638" s="35" t="s">
        <v>221</v>
      </c>
      <c r="D1638" t="s">
        <v>502</v>
      </c>
      <c r="E1638" t="s">
        <v>520</v>
      </c>
      <c r="F1638" s="188" t="n">
        <v>2039</v>
      </c>
      <c r="G1638" s="189" t="n">
        <v>66</v>
      </c>
      <c r="H1638" s="190" t="n">
        <v>28241.3975655716</v>
      </c>
      <c r="I1638" s="191" t="n">
        <v>3022617.64450868</v>
      </c>
      <c r="J1638" s="192" t="str">
        <f>IF(I1638&gt;0,H1638/I1638,0)</f>
      </c>
      <c r="K1638" s="193" t="str">
        <f>1-EXP(-J1638)</f>
      </c>
      <c r="L1638" s="194" t="str">
        <f>IF(G1638=30,1,M1637)</f>
      </c>
      <c r="M1638" s="195" t="str">
        <f>L1638*(1-K1638)</f>
      </c>
    </row>
    <row r="1639">
      <c r="A1639" t="s">
        <v>167</v>
      </c>
      <c r="B1639" t="s">
        <v>219</v>
      </c>
      <c r="C1639" s="35" t="s">
        <v>221</v>
      </c>
      <c r="D1639" t="s">
        <v>502</v>
      </c>
      <c r="E1639" t="s">
        <v>520</v>
      </c>
      <c r="F1639" s="188" t="n">
        <v>2039</v>
      </c>
      <c r="G1639" s="189" t="n">
        <v>67</v>
      </c>
      <c r="H1639" s="190" t="n">
        <v>28768.1635253648</v>
      </c>
      <c r="I1639" s="191" t="n">
        <v>2801452.78433143</v>
      </c>
      <c r="J1639" s="192" t="str">
        <f>IF(I1639&gt;0,H1639/I1639,0)</f>
      </c>
      <c r="K1639" s="193" t="str">
        <f>1-EXP(-J1639)</f>
      </c>
      <c r="L1639" s="194" t="str">
        <f>IF(G1639=30,1,M1638)</f>
      </c>
      <c r="M1639" s="195" t="str">
        <f>L1639*(1-K1639)</f>
      </c>
    </row>
    <row r="1640">
      <c r="A1640" t="s">
        <v>167</v>
      </c>
      <c r="B1640" t="s">
        <v>219</v>
      </c>
      <c r="C1640" s="35" t="s">
        <v>221</v>
      </c>
      <c r="D1640" t="s">
        <v>502</v>
      </c>
      <c r="E1640" t="s">
        <v>520</v>
      </c>
      <c r="F1640" s="188" t="n">
        <v>2039</v>
      </c>
      <c r="G1640" s="189" t="n">
        <v>68</v>
      </c>
      <c r="H1640" s="190" t="n">
        <v>30288.8831084444</v>
      </c>
      <c r="I1640" s="191" t="n">
        <v>2684464.8560803</v>
      </c>
      <c r="J1640" s="192" t="str">
        <f>IF(I1640&gt;0,H1640/I1640,0)</f>
      </c>
      <c r="K1640" s="193" t="str">
        <f>1-EXP(-J1640)</f>
      </c>
      <c r="L1640" s="194" t="str">
        <f>IF(G1640=30,1,M1639)</f>
      </c>
      <c r="M1640" s="195" t="str">
        <f>L1640*(1-K1640)</f>
      </c>
    </row>
    <row r="1641">
      <c r="A1641" t="s">
        <v>167</v>
      </c>
      <c r="B1641" t="s">
        <v>219</v>
      </c>
      <c r="C1641" s="35" t="s">
        <v>221</v>
      </c>
      <c r="D1641" t="s">
        <v>502</v>
      </c>
      <c r="E1641" t="s">
        <v>520</v>
      </c>
      <c r="F1641" s="188" t="n">
        <v>2039</v>
      </c>
      <c r="G1641" s="189" t="n">
        <v>69</v>
      </c>
      <c r="H1641" s="190" t="n">
        <v>31890.5621493636</v>
      </c>
      <c r="I1641" s="191" t="n">
        <v>2569943.31939237</v>
      </c>
      <c r="J1641" s="192" t="str">
        <f>IF(I1641&gt;0,H1641/I1641,0)</f>
      </c>
      <c r="K1641" s="193" t="str">
        <f>1-EXP(-J1641)</f>
      </c>
      <c r="L1641" s="194" t="str">
        <f>IF(G1641=30,1,M1640)</f>
      </c>
      <c r="M1641" s="195" t="str">
        <f>L1641*(1-K1641)</f>
      </c>
    </row>
    <row r="1642">
      <c r="A1642" t="s">
        <v>167</v>
      </c>
      <c r="B1642" t="s">
        <v>219</v>
      </c>
      <c r="C1642" s="35" t="s">
        <v>221</v>
      </c>
      <c r="D1642" t="s">
        <v>502</v>
      </c>
      <c r="E1642" t="s">
        <v>520</v>
      </c>
      <c r="F1642" s="188" t="n">
        <v>2040</v>
      </c>
      <c r="G1642" s="189" t="n">
        <v>30</v>
      </c>
      <c r="H1642" s="190" t="n">
        <v>774.880673277789</v>
      </c>
      <c r="I1642" s="191" t="n">
        <v>4755845.14332635</v>
      </c>
      <c r="J1642" s="192" t="str">
        <f>IF(I1642&gt;0,H1642/I1642,0)</f>
      </c>
      <c r="K1642" s="193" t="str">
        <f>1-EXP(-J1642)</f>
      </c>
      <c r="L1642" s="194" t="str">
        <f>IF(G1642=30,1,M1641)</f>
      </c>
      <c r="M1642" s="195" t="str">
        <f>L1642*(1-K1642)</f>
      </c>
    </row>
    <row r="1643">
      <c r="A1643" t="s">
        <v>167</v>
      </c>
      <c r="B1643" t="s">
        <v>219</v>
      </c>
      <c r="C1643" s="35" t="s">
        <v>221</v>
      </c>
      <c r="D1643" t="s">
        <v>502</v>
      </c>
      <c r="E1643" t="s">
        <v>520</v>
      </c>
      <c r="F1643" s="188" t="n">
        <v>2040</v>
      </c>
      <c r="G1643" s="189" t="n">
        <v>31</v>
      </c>
      <c r="H1643" s="190" t="n">
        <v>981.792895729724</v>
      </c>
      <c r="I1643" s="191" t="n">
        <v>4684987.29817082</v>
      </c>
      <c r="J1643" s="192" t="str">
        <f>IF(I1643&gt;0,H1643/I1643,0)</f>
      </c>
      <c r="K1643" s="193" t="str">
        <f>1-EXP(-J1643)</f>
      </c>
      <c r="L1643" s="194" t="str">
        <f>IF(G1643=30,1,M1642)</f>
      </c>
      <c r="M1643" s="195" t="str">
        <f>L1643*(1-K1643)</f>
      </c>
    </row>
    <row r="1644">
      <c r="A1644" t="s">
        <v>167</v>
      </c>
      <c r="B1644" t="s">
        <v>219</v>
      </c>
      <c r="C1644" s="35" t="s">
        <v>221</v>
      </c>
      <c r="D1644" t="s">
        <v>502</v>
      </c>
      <c r="E1644" t="s">
        <v>520</v>
      </c>
      <c r="F1644" s="188" t="n">
        <v>2040</v>
      </c>
      <c r="G1644" s="189" t="n">
        <v>32</v>
      </c>
      <c r="H1644" s="190" t="n">
        <v>1025.3859070961</v>
      </c>
      <c r="I1644" s="191" t="n">
        <v>4642490.5971706</v>
      </c>
      <c r="J1644" s="192" t="str">
        <f>IF(I1644&gt;0,H1644/I1644,0)</f>
      </c>
      <c r="K1644" s="193" t="str">
        <f>1-EXP(-J1644)</f>
      </c>
      <c r="L1644" s="194" t="str">
        <f>IF(G1644=30,1,M1643)</f>
      </c>
      <c r="M1644" s="195" t="str">
        <f>L1644*(1-K1644)</f>
      </c>
    </row>
    <row r="1645">
      <c r="A1645" t="s">
        <v>167</v>
      </c>
      <c r="B1645" t="s">
        <v>219</v>
      </c>
      <c r="C1645" s="35" t="s">
        <v>221</v>
      </c>
      <c r="D1645" t="s">
        <v>502</v>
      </c>
      <c r="E1645" t="s">
        <v>520</v>
      </c>
      <c r="F1645" s="188" t="n">
        <v>2040</v>
      </c>
      <c r="G1645" s="189" t="n">
        <v>33</v>
      </c>
      <c r="H1645" s="190" t="n">
        <v>1143.67944354981</v>
      </c>
      <c r="I1645" s="191" t="n">
        <v>4668565.14061212</v>
      </c>
      <c r="J1645" s="192" t="str">
        <f>IF(I1645&gt;0,H1645/I1645,0)</f>
      </c>
      <c r="K1645" s="193" t="str">
        <f>1-EXP(-J1645)</f>
      </c>
      <c r="L1645" s="194" t="str">
        <f>IF(G1645=30,1,M1644)</f>
      </c>
      <c r="M1645" s="195" t="str">
        <f>L1645*(1-K1645)</f>
      </c>
    </row>
    <row r="1646">
      <c r="A1646" t="s">
        <v>167</v>
      </c>
      <c r="B1646" t="s">
        <v>219</v>
      </c>
      <c r="C1646" s="35" t="s">
        <v>221</v>
      </c>
      <c r="D1646" t="s">
        <v>502</v>
      </c>
      <c r="E1646" t="s">
        <v>520</v>
      </c>
      <c r="F1646" s="188" t="n">
        <v>2040</v>
      </c>
      <c r="G1646" s="189" t="n">
        <v>34</v>
      </c>
      <c r="H1646" s="190" t="n">
        <v>1196.89217725979</v>
      </c>
      <c r="I1646" s="191" t="n">
        <v>4585433.07167563</v>
      </c>
      <c r="J1646" s="192" t="str">
        <f>IF(I1646&gt;0,H1646/I1646,0)</f>
      </c>
      <c r="K1646" s="193" t="str">
        <f>1-EXP(-J1646)</f>
      </c>
      <c r="L1646" s="194" t="str">
        <f>IF(G1646=30,1,M1645)</f>
      </c>
      <c r="M1646" s="195" t="str">
        <f>L1646*(1-K1646)</f>
      </c>
    </row>
    <row r="1647">
      <c r="A1647" t="s">
        <v>167</v>
      </c>
      <c r="B1647" t="s">
        <v>219</v>
      </c>
      <c r="C1647" s="35" t="s">
        <v>221</v>
      </c>
      <c r="D1647" t="s">
        <v>502</v>
      </c>
      <c r="E1647" t="s">
        <v>520</v>
      </c>
      <c r="F1647" s="188" t="n">
        <v>2040</v>
      </c>
      <c r="G1647" s="189" t="n">
        <v>35</v>
      </c>
      <c r="H1647" s="190" t="n">
        <v>1574.54617077829</v>
      </c>
      <c r="I1647" s="191" t="n">
        <v>4524062.59193389</v>
      </c>
      <c r="J1647" s="192" t="str">
        <f>IF(I1647&gt;0,H1647/I1647,0)</f>
      </c>
      <c r="K1647" s="193" t="str">
        <f>1-EXP(-J1647)</f>
      </c>
      <c r="L1647" s="194" t="str">
        <f>IF(G1647=30,1,M1646)</f>
      </c>
      <c r="M1647" s="195" t="str">
        <f>L1647*(1-K1647)</f>
      </c>
    </row>
    <row r="1648">
      <c r="A1648" t="s">
        <v>167</v>
      </c>
      <c r="B1648" t="s">
        <v>219</v>
      </c>
      <c r="C1648" s="35" t="s">
        <v>221</v>
      </c>
      <c r="D1648" t="s">
        <v>502</v>
      </c>
      <c r="E1648" t="s">
        <v>520</v>
      </c>
      <c r="F1648" s="188" t="n">
        <v>2040</v>
      </c>
      <c r="G1648" s="189" t="n">
        <v>36</v>
      </c>
      <c r="H1648" s="190" t="n">
        <v>1772.66349815182</v>
      </c>
      <c r="I1648" s="191" t="n">
        <v>4394746.26239053</v>
      </c>
      <c r="J1648" s="192" t="str">
        <f>IF(I1648&gt;0,H1648/I1648,0)</f>
      </c>
      <c r="K1648" s="193" t="str">
        <f>1-EXP(-J1648)</f>
      </c>
      <c r="L1648" s="194" t="str">
        <f>IF(G1648=30,1,M1647)</f>
      </c>
      <c r="M1648" s="195" t="str">
        <f>L1648*(1-K1648)</f>
      </c>
    </row>
    <row r="1649">
      <c r="A1649" t="s">
        <v>167</v>
      </c>
      <c r="B1649" t="s">
        <v>219</v>
      </c>
      <c r="C1649" s="35" t="s">
        <v>221</v>
      </c>
      <c r="D1649" t="s">
        <v>502</v>
      </c>
      <c r="E1649" t="s">
        <v>520</v>
      </c>
      <c r="F1649" s="188" t="n">
        <v>2040</v>
      </c>
      <c r="G1649" s="189" t="n">
        <v>37</v>
      </c>
      <c r="H1649" s="190" t="n">
        <v>1879.22981086109</v>
      </c>
      <c r="I1649" s="191" t="n">
        <v>4328342.41850922</v>
      </c>
      <c r="J1649" s="192" t="str">
        <f>IF(I1649&gt;0,H1649/I1649,0)</f>
      </c>
      <c r="K1649" s="193" t="str">
        <f>1-EXP(-J1649)</f>
      </c>
      <c r="L1649" s="194" t="str">
        <f>IF(G1649=30,1,M1648)</f>
      </c>
      <c r="M1649" s="195" t="str">
        <f>L1649*(1-K1649)</f>
      </c>
    </row>
    <row r="1650">
      <c r="A1650" t="s">
        <v>167</v>
      </c>
      <c r="B1650" t="s">
        <v>219</v>
      </c>
      <c r="C1650" s="35" t="s">
        <v>221</v>
      </c>
      <c r="D1650" t="s">
        <v>502</v>
      </c>
      <c r="E1650" t="s">
        <v>520</v>
      </c>
      <c r="F1650" s="188" t="n">
        <v>2040</v>
      </c>
      <c r="G1650" s="189" t="n">
        <v>38</v>
      </c>
      <c r="H1650" s="190" t="n">
        <v>2167.33833447261</v>
      </c>
      <c r="I1650" s="191" t="n">
        <v>4304626.96312544</v>
      </c>
      <c r="J1650" s="192" t="str">
        <f>IF(I1650&gt;0,H1650/I1650,0)</f>
      </c>
      <c r="K1650" s="193" t="str">
        <f>1-EXP(-J1650)</f>
      </c>
      <c r="L1650" s="194" t="str">
        <f>IF(G1650=30,1,M1649)</f>
      </c>
      <c r="M1650" s="195" t="str">
        <f>L1650*(1-K1650)</f>
      </c>
    </row>
    <row r="1651">
      <c r="A1651" t="s">
        <v>167</v>
      </c>
      <c r="B1651" t="s">
        <v>219</v>
      </c>
      <c r="C1651" s="35" t="s">
        <v>221</v>
      </c>
      <c r="D1651" t="s">
        <v>502</v>
      </c>
      <c r="E1651" t="s">
        <v>520</v>
      </c>
      <c r="F1651" s="188" t="n">
        <v>2040</v>
      </c>
      <c r="G1651" s="189" t="n">
        <v>39</v>
      </c>
      <c r="H1651" s="190" t="n">
        <v>2329.07775191966</v>
      </c>
      <c r="I1651" s="191" t="n">
        <v>4282633.12482524</v>
      </c>
      <c r="J1651" s="192" t="str">
        <f>IF(I1651&gt;0,H1651/I1651,0)</f>
      </c>
      <c r="K1651" s="193" t="str">
        <f>1-EXP(-J1651)</f>
      </c>
      <c r="L1651" s="194" t="str">
        <f>IF(G1651=30,1,M1650)</f>
      </c>
      <c r="M1651" s="195" t="str">
        <f>L1651*(1-K1651)</f>
      </c>
    </row>
    <row r="1652">
      <c r="A1652" t="s">
        <v>167</v>
      </c>
      <c r="B1652" t="s">
        <v>219</v>
      </c>
      <c r="C1652" s="35" t="s">
        <v>221</v>
      </c>
      <c r="D1652" t="s">
        <v>502</v>
      </c>
      <c r="E1652" t="s">
        <v>520</v>
      </c>
      <c r="F1652" s="188" t="n">
        <v>2040</v>
      </c>
      <c r="G1652" s="189" t="n">
        <v>40</v>
      </c>
      <c r="H1652" s="190" t="n">
        <v>3112.91672166387</v>
      </c>
      <c r="I1652" s="191" t="n">
        <v>4260042.13254242</v>
      </c>
      <c r="J1652" s="192" t="str">
        <f>IF(I1652&gt;0,H1652/I1652,0)</f>
      </c>
      <c r="K1652" s="193" t="str">
        <f>1-EXP(-J1652)</f>
      </c>
      <c r="L1652" s="194" t="str">
        <f>IF(G1652=30,1,M1651)</f>
      </c>
      <c r="M1652" s="195" t="str">
        <f>L1652*(1-K1652)</f>
      </c>
    </row>
    <row r="1653">
      <c r="A1653" t="s">
        <v>167</v>
      </c>
      <c r="B1653" t="s">
        <v>219</v>
      </c>
      <c r="C1653" s="35" t="s">
        <v>221</v>
      </c>
      <c r="D1653" t="s">
        <v>502</v>
      </c>
      <c r="E1653" t="s">
        <v>520</v>
      </c>
      <c r="F1653" s="188" t="n">
        <v>2040</v>
      </c>
      <c r="G1653" s="189" t="n">
        <v>41</v>
      </c>
      <c r="H1653" s="190" t="n">
        <v>3436.6581091423</v>
      </c>
      <c r="I1653" s="191" t="n">
        <v>4275633.39282692</v>
      </c>
      <c r="J1653" s="192" t="str">
        <f>IF(I1653&gt;0,H1653/I1653,0)</f>
      </c>
      <c r="K1653" s="193" t="str">
        <f>1-EXP(-J1653)</f>
      </c>
      <c r="L1653" s="194" t="str">
        <f>IF(G1653=30,1,M1652)</f>
      </c>
      <c r="M1653" s="195" t="str">
        <f>L1653*(1-K1653)</f>
      </c>
    </row>
    <row r="1654">
      <c r="A1654" t="s">
        <v>167</v>
      </c>
      <c r="B1654" t="s">
        <v>219</v>
      </c>
      <c r="C1654" s="35" t="s">
        <v>221</v>
      </c>
      <c r="D1654" t="s">
        <v>502</v>
      </c>
      <c r="E1654" t="s">
        <v>520</v>
      </c>
      <c r="F1654" s="188" t="n">
        <v>2040</v>
      </c>
      <c r="G1654" s="189" t="n">
        <v>42</v>
      </c>
      <c r="H1654" s="190" t="n">
        <v>3780.66249124196</v>
      </c>
      <c r="I1654" s="191" t="n">
        <v>4330037.50943938</v>
      </c>
      <c r="J1654" s="192" t="str">
        <f>IF(I1654&gt;0,H1654/I1654,0)</f>
      </c>
      <c r="K1654" s="193" t="str">
        <f>1-EXP(-J1654)</f>
      </c>
      <c r="L1654" s="194" t="str">
        <f>IF(G1654=30,1,M1653)</f>
      </c>
      <c r="M1654" s="195" t="str">
        <f>L1654*(1-K1654)</f>
      </c>
    </row>
    <row r="1655">
      <c r="A1655" t="s">
        <v>167</v>
      </c>
      <c r="B1655" t="s">
        <v>219</v>
      </c>
      <c r="C1655" s="35" t="s">
        <v>221</v>
      </c>
      <c r="D1655" t="s">
        <v>502</v>
      </c>
      <c r="E1655" t="s">
        <v>520</v>
      </c>
      <c r="F1655" s="188" t="n">
        <v>2040</v>
      </c>
      <c r="G1655" s="189" t="n">
        <v>43</v>
      </c>
      <c r="H1655" s="190" t="n">
        <v>4449.93744119632</v>
      </c>
      <c r="I1655" s="191" t="n">
        <v>4460461.22650214</v>
      </c>
      <c r="J1655" s="192" t="str">
        <f>IF(I1655&gt;0,H1655/I1655,0)</f>
      </c>
      <c r="K1655" s="193" t="str">
        <f>1-EXP(-J1655)</f>
      </c>
      <c r="L1655" s="194" t="str">
        <f>IF(G1655=30,1,M1654)</f>
      </c>
      <c r="M1655" s="195" t="str">
        <f>L1655*(1-K1655)</f>
      </c>
    </row>
    <row r="1656">
      <c r="A1656" t="s">
        <v>167</v>
      </c>
      <c r="B1656" t="s">
        <v>219</v>
      </c>
      <c r="C1656" s="35" t="s">
        <v>221</v>
      </c>
      <c r="D1656" t="s">
        <v>502</v>
      </c>
      <c r="E1656" t="s">
        <v>520</v>
      </c>
      <c r="F1656" s="188" t="n">
        <v>2040</v>
      </c>
      <c r="G1656" s="189" t="n">
        <v>44</v>
      </c>
      <c r="H1656" s="190" t="n">
        <v>4794.22008142253</v>
      </c>
      <c r="I1656" s="191" t="n">
        <v>4412145.72007781</v>
      </c>
      <c r="J1656" s="192" t="str">
        <f>IF(I1656&gt;0,H1656/I1656,0)</f>
      </c>
      <c r="K1656" s="193" t="str">
        <f>1-EXP(-J1656)</f>
      </c>
      <c r="L1656" s="194" t="str">
        <f>IF(G1656=30,1,M1655)</f>
      </c>
      <c r="M1656" s="195" t="str">
        <f>L1656*(1-K1656)</f>
      </c>
    </row>
    <row r="1657">
      <c r="A1657" t="s">
        <v>167</v>
      </c>
      <c r="B1657" t="s">
        <v>219</v>
      </c>
      <c r="C1657" s="35" t="s">
        <v>221</v>
      </c>
      <c r="D1657" t="s">
        <v>502</v>
      </c>
      <c r="E1657" t="s">
        <v>520</v>
      </c>
      <c r="F1657" s="188" t="n">
        <v>2040</v>
      </c>
      <c r="G1657" s="189" t="n">
        <v>45</v>
      </c>
      <c r="H1657" s="190" t="n">
        <v>6046.14549292546</v>
      </c>
      <c r="I1657" s="191" t="n">
        <v>4333669.42224994</v>
      </c>
      <c r="J1657" s="192" t="str">
        <f>IF(I1657&gt;0,H1657/I1657,0)</f>
      </c>
      <c r="K1657" s="193" t="str">
        <f>1-EXP(-J1657)</f>
      </c>
      <c r="L1657" s="194" t="str">
        <f>IF(G1657=30,1,M1656)</f>
      </c>
      <c r="M1657" s="195" t="str">
        <f>L1657*(1-K1657)</f>
      </c>
    </row>
    <row r="1658">
      <c r="A1658" t="s">
        <v>167</v>
      </c>
      <c r="B1658" t="s">
        <v>219</v>
      </c>
      <c r="C1658" s="35" t="s">
        <v>221</v>
      </c>
      <c r="D1658" t="s">
        <v>502</v>
      </c>
      <c r="E1658" t="s">
        <v>520</v>
      </c>
      <c r="F1658" s="188" t="n">
        <v>2040</v>
      </c>
      <c r="G1658" s="189" t="n">
        <v>46</v>
      </c>
      <c r="H1658" s="190" t="n">
        <v>6493.58431195826</v>
      </c>
      <c r="I1658" s="191" t="n">
        <v>4269043.44140543</v>
      </c>
      <c r="J1658" s="192" t="str">
        <f>IF(I1658&gt;0,H1658/I1658,0)</f>
      </c>
      <c r="K1658" s="193" t="str">
        <f>1-EXP(-J1658)</f>
      </c>
      <c r="L1658" s="194" t="str">
        <f>IF(G1658=30,1,M1657)</f>
      </c>
      <c r="M1658" s="195" t="str">
        <f>L1658*(1-K1658)</f>
      </c>
    </row>
    <row r="1659">
      <c r="A1659" t="s">
        <v>167</v>
      </c>
      <c r="B1659" t="s">
        <v>219</v>
      </c>
      <c r="C1659" s="35" t="s">
        <v>221</v>
      </c>
      <c r="D1659" t="s">
        <v>502</v>
      </c>
      <c r="E1659" t="s">
        <v>520</v>
      </c>
      <c r="F1659" s="188" t="n">
        <v>2040</v>
      </c>
      <c r="G1659" s="189" t="n">
        <v>47</v>
      </c>
      <c r="H1659" s="190" t="n">
        <v>7014.54314197697</v>
      </c>
      <c r="I1659" s="191" t="n">
        <v>4208148.7429113</v>
      </c>
      <c r="J1659" s="192" t="str">
        <f>IF(I1659&gt;0,H1659/I1659,0)</f>
      </c>
      <c r="K1659" s="193" t="str">
        <f>1-EXP(-J1659)</f>
      </c>
      <c r="L1659" s="194" t="str">
        <f>IF(G1659=30,1,M1658)</f>
      </c>
      <c r="M1659" s="195" t="str">
        <f>L1659*(1-K1659)</f>
      </c>
    </row>
    <row r="1660">
      <c r="A1660" t="s">
        <v>167</v>
      </c>
      <c r="B1660" t="s">
        <v>219</v>
      </c>
      <c r="C1660" s="35" t="s">
        <v>221</v>
      </c>
      <c r="D1660" t="s">
        <v>502</v>
      </c>
      <c r="E1660" t="s">
        <v>520</v>
      </c>
      <c r="F1660" s="188" t="n">
        <v>2040</v>
      </c>
      <c r="G1660" s="189" t="n">
        <v>48</v>
      </c>
      <c r="H1660" s="190" t="n">
        <v>7732.87441327132</v>
      </c>
      <c r="I1660" s="191" t="n">
        <v>4235376.66905022</v>
      </c>
      <c r="J1660" s="192" t="str">
        <f>IF(I1660&gt;0,H1660/I1660,0)</f>
      </c>
      <c r="K1660" s="193" t="str">
        <f>1-EXP(-J1660)</f>
      </c>
      <c r="L1660" s="194" t="str">
        <f>IF(G1660=30,1,M1659)</f>
      </c>
      <c r="M1660" s="195" t="str">
        <f>L1660*(1-K1660)</f>
      </c>
    </row>
    <row r="1661">
      <c r="A1661" t="s">
        <v>167</v>
      </c>
      <c r="B1661" t="s">
        <v>219</v>
      </c>
      <c r="C1661" s="35" t="s">
        <v>221</v>
      </c>
      <c r="D1661" t="s">
        <v>502</v>
      </c>
      <c r="E1661" t="s">
        <v>520</v>
      </c>
      <c r="F1661" s="188" t="n">
        <v>2040</v>
      </c>
      <c r="G1661" s="189" t="n">
        <v>49</v>
      </c>
      <c r="H1661" s="190" t="n">
        <v>8496.4463183863</v>
      </c>
      <c r="I1661" s="191" t="n">
        <v>4242150.4319132</v>
      </c>
      <c r="J1661" s="192" t="str">
        <f>IF(I1661&gt;0,H1661/I1661,0)</f>
      </c>
      <c r="K1661" s="193" t="str">
        <f>1-EXP(-J1661)</f>
      </c>
      <c r="L1661" s="194" t="str">
        <f>IF(G1661=30,1,M1660)</f>
      </c>
      <c r="M1661" s="195" t="str">
        <f>L1661*(1-K1661)</f>
      </c>
    </row>
    <row r="1662">
      <c r="A1662" t="s">
        <v>167</v>
      </c>
      <c r="B1662" t="s">
        <v>219</v>
      </c>
      <c r="C1662" s="35" t="s">
        <v>221</v>
      </c>
      <c r="D1662" t="s">
        <v>502</v>
      </c>
      <c r="E1662" t="s">
        <v>520</v>
      </c>
      <c r="F1662" s="188" t="n">
        <v>2040</v>
      </c>
      <c r="G1662" s="189" t="n">
        <v>50</v>
      </c>
      <c r="H1662" s="190" t="n">
        <v>13187.196790366</v>
      </c>
      <c r="I1662" s="191" t="n">
        <v>6239984.44398342</v>
      </c>
      <c r="J1662" s="192" t="str">
        <f>IF(I1662&gt;0,H1662/I1662,0)</f>
      </c>
      <c r="K1662" s="193" t="str">
        <f>1-EXP(-J1662)</f>
      </c>
      <c r="L1662" s="194" t="str">
        <f>IF(G1662=30,1,M1661)</f>
      </c>
      <c r="M1662" s="195" t="str">
        <f>L1662*(1-K1662)</f>
      </c>
    </row>
    <row r="1663">
      <c r="A1663" t="s">
        <v>167</v>
      </c>
      <c r="B1663" t="s">
        <v>219</v>
      </c>
      <c r="C1663" s="35" t="s">
        <v>221</v>
      </c>
      <c r="D1663" t="s">
        <v>502</v>
      </c>
      <c r="E1663" t="s">
        <v>520</v>
      </c>
      <c r="F1663" s="188" t="n">
        <v>2040</v>
      </c>
      <c r="G1663" s="189" t="n">
        <v>51</v>
      </c>
      <c r="H1663" s="190" t="n">
        <v>10512.50239109</v>
      </c>
      <c r="I1663" s="191" t="n">
        <v>4176365.11073797</v>
      </c>
      <c r="J1663" s="192" t="str">
        <f>IF(I1663&gt;0,H1663/I1663,0)</f>
      </c>
      <c r="K1663" s="193" t="str">
        <f>1-EXP(-J1663)</f>
      </c>
      <c r="L1663" s="194" t="str">
        <f>IF(G1663=30,1,M1662)</f>
      </c>
      <c r="M1663" s="195" t="str">
        <f>L1663*(1-K1663)</f>
      </c>
    </row>
    <row r="1664">
      <c r="A1664" t="s">
        <v>167</v>
      </c>
      <c r="B1664" t="s">
        <v>219</v>
      </c>
      <c r="C1664" s="35" t="s">
        <v>221</v>
      </c>
      <c r="D1664" t="s">
        <v>502</v>
      </c>
      <c r="E1664" t="s">
        <v>520</v>
      </c>
      <c r="F1664" s="188" t="n">
        <v>2040</v>
      </c>
      <c r="G1664" s="189" t="n">
        <v>52</v>
      </c>
      <c r="H1664" s="190" t="n">
        <v>11414.9060640398</v>
      </c>
      <c r="I1664" s="191" t="n">
        <v>4145790.04719291</v>
      </c>
      <c r="J1664" s="192" t="str">
        <f>IF(I1664&gt;0,H1664/I1664,0)</f>
      </c>
      <c r="K1664" s="193" t="str">
        <f>1-EXP(-J1664)</f>
      </c>
      <c r="L1664" s="194" t="str">
        <f>IF(G1664=30,1,M1663)</f>
      </c>
      <c r="M1664" s="195" t="str">
        <f>L1664*(1-K1664)</f>
      </c>
    </row>
    <row r="1665">
      <c r="A1665" t="s">
        <v>167</v>
      </c>
      <c r="B1665" t="s">
        <v>219</v>
      </c>
      <c r="C1665" s="35" t="s">
        <v>221</v>
      </c>
      <c r="D1665" t="s">
        <v>502</v>
      </c>
      <c r="E1665" t="s">
        <v>520</v>
      </c>
      <c r="F1665" s="188" t="n">
        <v>2040</v>
      </c>
      <c r="G1665" s="189" t="n">
        <v>53</v>
      </c>
      <c r="H1665" s="190" t="n">
        <v>12045.9154651783</v>
      </c>
      <c r="I1665" s="191" t="n">
        <v>4003328.86969588</v>
      </c>
      <c r="J1665" s="192" t="str">
        <f>IF(I1665&gt;0,H1665/I1665,0)</f>
      </c>
      <c r="K1665" s="193" t="str">
        <f>1-EXP(-J1665)</f>
      </c>
      <c r="L1665" s="194" t="str">
        <f>IF(G1665=30,1,M1664)</f>
      </c>
      <c r="M1665" s="195" t="str">
        <f>L1665*(1-K1665)</f>
      </c>
    </row>
    <row r="1666">
      <c r="A1666" t="s">
        <v>167</v>
      </c>
      <c r="B1666" t="s">
        <v>219</v>
      </c>
      <c r="C1666" s="35" t="s">
        <v>221</v>
      </c>
      <c r="D1666" t="s">
        <v>502</v>
      </c>
      <c r="E1666" t="s">
        <v>520</v>
      </c>
      <c r="F1666" s="188" t="n">
        <v>2040</v>
      </c>
      <c r="G1666" s="189" t="n">
        <v>54</v>
      </c>
      <c r="H1666" s="190" t="n">
        <v>12979.9462470863</v>
      </c>
      <c r="I1666" s="191" t="n">
        <v>3953479.5647605</v>
      </c>
      <c r="J1666" s="192" t="str">
        <f>IF(I1666&gt;0,H1666/I1666,0)</f>
      </c>
      <c r="K1666" s="193" t="str">
        <f>1-EXP(-J1666)</f>
      </c>
      <c r="L1666" s="194" t="str">
        <f>IF(G1666=30,1,M1665)</f>
      </c>
      <c r="M1666" s="195" t="str">
        <f>L1666*(1-K1666)</f>
      </c>
    </row>
    <row r="1667">
      <c r="A1667" t="s">
        <v>167</v>
      </c>
      <c r="B1667" t="s">
        <v>219</v>
      </c>
      <c r="C1667" s="35" t="s">
        <v>221</v>
      </c>
      <c r="D1667" t="s">
        <v>502</v>
      </c>
      <c r="E1667" t="s">
        <v>520</v>
      </c>
      <c r="F1667" s="188" t="n">
        <v>2040</v>
      </c>
      <c r="G1667" s="189" t="n">
        <v>55</v>
      </c>
      <c r="H1667" s="190" t="n">
        <v>14184.9242187925</v>
      </c>
      <c r="I1667" s="191" t="n">
        <v>3991062.70507964</v>
      </c>
      <c r="J1667" s="192" t="str">
        <f>IF(I1667&gt;0,H1667/I1667,0)</f>
      </c>
      <c r="K1667" s="193" t="str">
        <f>1-EXP(-J1667)</f>
      </c>
      <c r="L1667" s="194" t="str">
        <f>IF(G1667=30,1,M1666)</f>
      </c>
      <c r="M1667" s="195" t="str">
        <f>L1667*(1-K1667)</f>
      </c>
    </row>
    <row r="1668">
      <c r="A1668" t="s">
        <v>167</v>
      </c>
      <c r="B1668" t="s">
        <v>219</v>
      </c>
      <c r="C1668" s="35" t="s">
        <v>221</v>
      </c>
      <c r="D1668" t="s">
        <v>502</v>
      </c>
      <c r="E1668" t="s">
        <v>520</v>
      </c>
      <c r="F1668" s="188" t="n">
        <v>2040</v>
      </c>
      <c r="G1668" s="189" t="n">
        <v>56</v>
      </c>
      <c r="H1668" s="190" t="n">
        <v>15654.1504603848</v>
      </c>
      <c r="I1668" s="191" t="n">
        <v>4049923.30194297</v>
      </c>
      <c r="J1668" s="192" t="str">
        <f>IF(I1668&gt;0,H1668/I1668,0)</f>
      </c>
      <c r="K1668" s="193" t="str">
        <f>1-EXP(-J1668)</f>
      </c>
      <c r="L1668" s="194" t="str">
        <f>IF(G1668=30,1,M1667)</f>
      </c>
      <c r="M1668" s="195" t="str">
        <f>L1668*(1-K1668)</f>
      </c>
    </row>
    <row r="1669">
      <c r="A1669" t="s">
        <v>167</v>
      </c>
      <c r="B1669" t="s">
        <v>219</v>
      </c>
      <c r="C1669" s="35" t="s">
        <v>221</v>
      </c>
      <c r="D1669" t="s">
        <v>502</v>
      </c>
      <c r="E1669" t="s">
        <v>520</v>
      </c>
      <c r="F1669" s="188" t="n">
        <v>2040</v>
      </c>
      <c r="G1669" s="189" t="n">
        <v>57</v>
      </c>
      <c r="H1669" s="190" t="n">
        <v>16902.3840066628</v>
      </c>
      <c r="I1669" s="191" t="n">
        <v>4004327.97492262</v>
      </c>
      <c r="J1669" s="192" t="str">
        <f>IF(I1669&gt;0,H1669/I1669,0)</f>
      </c>
      <c r="K1669" s="193" t="str">
        <f>1-EXP(-J1669)</f>
      </c>
      <c r="L1669" s="194" t="str">
        <f>IF(G1669=30,1,M1668)</f>
      </c>
      <c r="M1669" s="195" t="str">
        <f>L1669*(1-K1669)</f>
      </c>
    </row>
    <row r="1670">
      <c r="A1670" t="s">
        <v>167</v>
      </c>
      <c r="B1670" t="s">
        <v>219</v>
      </c>
      <c r="C1670" s="35" t="s">
        <v>221</v>
      </c>
      <c r="D1670" t="s">
        <v>502</v>
      </c>
      <c r="E1670" t="s">
        <v>520</v>
      </c>
      <c r="F1670" s="188" t="n">
        <v>2040</v>
      </c>
      <c r="G1670" s="189" t="n">
        <v>58</v>
      </c>
      <c r="H1670" s="190" t="n">
        <v>17795.8609830952</v>
      </c>
      <c r="I1670" s="191" t="n">
        <v>3852221.77390727</v>
      </c>
      <c r="J1670" s="192" t="str">
        <f>IF(I1670&gt;0,H1670/I1670,0)</f>
      </c>
      <c r="K1670" s="193" t="str">
        <f>1-EXP(-J1670)</f>
      </c>
      <c r="L1670" s="194" t="str">
        <f>IF(G1670=30,1,M1669)</f>
      </c>
      <c r="M1670" s="195" t="str">
        <f>L1670*(1-K1670)</f>
      </c>
    </row>
    <row r="1671">
      <c r="A1671" t="s">
        <v>167</v>
      </c>
      <c r="B1671" t="s">
        <v>219</v>
      </c>
      <c r="C1671" s="35" t="s">
        <v>221</v>
      </c>
      <c r="D1671" t="s">
        <v>502</v>
      </c>
      <c r="E1671" t="s">
        <v>520</v>
      </c>
      <c r="F1671" s="188" t="n">
        <v>2040</v>
      </c>
      <c r="G1671" s="189" t="n">
        <v>59</v>
      </c>
      <c r="H1671" s="190" t="n">
        <v>19002.1875851331</v>
      </c>
      <c r="I1671" s="191" t="n">
        <v>3757536.62436286</v>
      </c>
      <c r="J1671" s="192" t="str">
        <f>IF(I1671&gt;0,H1671/I1671,0)</f>
      </c>
      <c r="K1671" s="193" t="str">
        <f>1-EXP(-J1671)</f>
      </c>
      <c r="L1671" s="194" t="str">
        <f>IF(G1671=30,1,M1670)</f>
      </c>
      <c r="M1671" s="195" t="str">
        <f>L1671*(1-K1671)</f>
      </c>
    </row>
    <row r="1672">
      <c r="A1672" t="s">
        <v>167</v>
      </c>
      <c r="B1672" t="s">
        <v>219</v>
      </c>
      <c r="C1672" s="35" t="s">
        <v>221</v>
      </c>
      <c r="D1672" t="s">
        <v>502</v>
      </c>
      <c r="E1672" t="s">
        <v>520</v>
      </c>
      <c r="F1672" s="188" t="n">
        <v>2040</v>
      </c>
      <c r="G1672" s="189" t="n">
        <v>60</v>
      </c>
      <c r="H1672" s="190" t="n">
        <v>20302.5053786061</v>
      </c>
      <c r="I1672" s="191" t="n">
        <v>3676112.93452185</v>
      </c>
      <c r="J1672" s="192" t="str">
        <f>IF(I1672&gt;0,H1672/I1672,0)</f>
      </c>
      <c r="K1672" s="193" t="str">
        <f>1-EXP(-J1672)</f>
      </c>
      <c r="L1672" s="194" t="str">
        <f>IF(G1672=30,1,M1671)</f>
      </c>
      <c r="M1672" s="195" t="str">
        <f>L1672*(1-K1672)</f>
      </c>
    </row>
    <row r="1673">
      <c r="A1673" t="s">
        <v>167</v>
      </c>
      <c r="B1673" t="s">
        <v>219</v>
      </c>
      <c r="C1673" s="35" t="s">
        <v>221</v>
      </c>
      <c r="D1673" t="s">
        <v>502</v>
      </c>
      <c r="E1673" t="s">
        <v>520</v>
      </c>
      <c r="F1673" s="188" t="n">
        <v>2040</v>
      </c>
      <c r="G1673" s="189" t="n">
        <v>61</v>
      </c>
      <c r="H1673" s="190" t="n">
        <v>21732.2078181576</v>
      </c>
      <c r="I1673" s="191" t="n">
        <v>3587857.06811106</v>
      </c>
      <c r="J1673" s="192" t="str">
        <f>IF(I1673&gt;0,H1673/I1673,0)</f>
      </c>
      <c r="K1673" s="193" t="str">
        <f>1-EXP(-J1673)</f>
      </c>
      <c r="L1673" s="194" t="str">
        <f>IF(G1673=30,1,M1672)</f>
      </c>
      <c r="M1673" s="195" t="str">
        <f>L1673*(1-K1673)</f>
      </c>
    </row>
    <row r="1674">
      <c r="A1674" t="s">
        <v>167</v>
      </c>
      <c r="B1674" t="s">
        <v>219</v>
      </c>
      <c r="C1674" s="35" t="s">
        <v>221</v>
      </c>
      <c r="D1674" t="s">
        <v>502</v>
      </c>
      <c r="E1674" t="s">
        <v>520</v>
      </c>
      <c r="F1674" s="188" t="n">
        <v>2040</v>
      </c>
      <c r="G1674" s="189" t="n">
        <v>62</v>
      </c>
      <c r="H1674" s="190" t="n">
        <v>23123.2300204275</v>
      </c>
      <c r="I1674" s="191" t="n">
        <v>3480633.74332326</v>
      </c>
      <c r="J1674" s="192" t="str">
        <f>IF(I1674&gt;0,H1674/I1674,0)</f>
      </c>
      <c r="K1674" s="193" t="str">
        <f>1-EXP(-J1674)</f>
      </c>
      <c r="L1674" s="194" t="str">
        <f>IF(G1674=30,1,M1673)</f>
      </c>
      <c r="M1674" s="195" t="str">
        <f>L1674*(1-K1674)</f>
      </c>
    </row>
    <row r="1675">
      <c r="A1675" t="s">
        <v>167</v>
      </c>
      <c r="B1675" t="s">
        <v>219</v>
      </c>
      <c r="C1675" s="35" t="s">
        <v>221</v>
      </c>
      <c r="D1675" t="s">
        <v>502</v>
      </c>
      <c r="E1675" t="s">
        <v>520</v>
      </c>
      <c r="F1675" s="188" t="n">
        <v>2040</v>
      </c>
      <c r="G1675" s="189" t="n">
        <v>63</v>
      </c>
      <c r="H1675" s="190" t="n">
        <v>24709.376138796</v>
      </c>
      <c r="I1675" s="191" t="n">
        <v>3386834.0651479</v>
      </c>
      <c r="J1675" s="192" t="str">
        <f>IF(I1675&gt;0,H1675/I1675,0)</f>
      </c>
      <c r="K1675" s="193" t="str">
        <f>1-EXP(-J1675)</f>
      </c>
      <c r="L1675" s="194" t="str">
        <f>IF(G1675=30,1,M1674)</f>
      </c>
      <c r="M1675" s="195" t="str">
        <f>L1675*(1-K1675)</f>
      </c>
    </row>
    <row r="1676">
      <c r="A1676" t="s">
        <v>167</v>
      </c>
      <c r="B1676" t="s">
        <v>219</v>
      </c>
      <c r="C1676" s="35" t="s">
        <v>221</v>
      </c>
      <c r="D1676" t="s">
        <v>502</v>
      </c>
      <c r="E1676" t="s">
        <v>520</v>
      </c>
      <c r="F1676" s="188" t="n">
        <v>2040</v>
      </c>
      <c r="G1676" s="189" t="n">
        <v>64</v>
      </c>
      <c r="H1676" s="190" t="n">
        <v>26252.8837157532</v>
      </c>
      <c r="I1676" s="191" t="n">
        <v>3281220.61391014</v>
      </c>
      <c r="J1676" s="192" t="str">
        <f>IF(I1676&gt;0,H1676/I1676,0)</f>
      </c>
      <c r="K1676" s="193" t="str">
        <f>1-EXP(-J1676)</f>
      </c>
      <c r="L1676" s="194" t="str">
        <f>IF(G1676=30,1,M1675)</f>
      </c>
      <c r="M1676" s="195" t="str">
        <f>L1676*(1-K1676)</f>
      </c>
    </row>
    <row r="1677">
      <c r="A1677" t="s">
        <v>167</v>
      </c>
      <c r="B1677" t="s">
        <v>219</v>
      </c>
      <c r="C1677" s="35" t="s">
        <v>221</v>
      </c>
      <c r="D1677" t="s">
        <v>502</v>
      </c>
      <c r="E1677" t="s">
        <v>520</v>
      </c>
      <c r="F1677" s="188" t="n">
        <v>2040</v>
      </c>
      <c r="G1677" s="189" t="n">
        <v>65</v>
      </c>
      <c r="H1677" s="190" t="n">
        <v>26694.1278414869</v>
      </c>
      <c r="I1677" s="191" t="n">
        <v>3173389.69534009</v>
      </c>
      <c r="J1677" s="192" t="str">
        <f>IF(I1677&gt;0,H1677/I1677,0)</f>
      </c>
      <c r="K1677" s="193" t="str">
        <f>1-EXP(-J1677)</f>
      </c>
      <c r="L1677" s="194" t="str">
        <f>IF(G1677=30,1,M1676)</f>
      </c>
      <c r="M1677" s="195" t="str">
        <f>L1677*(1-K1677)</f>
      </c>
    </row>
    <row r="1678">
      <c r="A1678" t="s">
        <v>167</v>
      </c>
      <c r="B1678" t="s">
        <v>219</v>
      </c>
      <c r="C1678" s="35" t="s">
        <v>221</v>
      </c>
      <c r="D1678" t="s">
        <v>502</v>
      </c>
      <c r="E1678" t="s">
        <v>520</v>
      </c>
      <c r="F1678" s="188" t="n">
        <v>2040</v>
      </c>
      <c r="G1678" s="189" t="n">
        <v>66</v>
      </c>
      <c r="H1678" s="190" t="n">
        <v>28034.1730581833</v>
      </c>
      <c r="I1678" s="191" t="n">
        <v>3040864.79552407</v>
      </c>
      <c r="J1678" s="192" t="str">
        <f>IF(I1678&gt;0,H1678/I1678,0)</f>
      </c>
      <c r="K1678" s="193" t="str">
        <f>1-EXP(-J1678)</f>
      </c>
      <c r="L1678" s="194" t="str">
        <f>IF(G1678=30,1,M1677)</f>
      </c>
      <c r="M1678" s="195" t="str">
        <f>L1678*(1-K1678)</f>
      </c>
    </row>
    <row r="1679">
      <c r="A1679" t="s">
        <v>167</v>
      </c>
      <c r="B1679" t="s">
        <v>219</v>
      </c>
      <c r="C1679" s="35" t="s">
        <v>221</v>
      </c>
      <c r="D1679" t="s">
        <v>502</v>
      </c>
      <c r="E1679" t="s">
        <v>520</v>
      </c>
      <c r="F1679" s="188" t="n">
        <v>2040</v>
      </c>
      <c r="G1679" s="189" t="n">
        <v>67</v>
      </c>
      <c r="H1679" s="190" t="n">
        <v>29941.0387483338</v>
      </c>
      <c r="I1679" s="191" t="n">
        <v>2957748.83919238</v>
      </c>
      <c r="J1679" s="192" t="str">
        <f>IF(I1679&gt;0,H1679/I1679,0)</f>
      </c>
      <c r="K1679" s="193" t="str">
        <f>1-EXP(-J1679)</f>
      </c>
      <c r="L1679" s="194" t="str">
        <f>IF(G1679=30,1,M1678)</f>
      </c>
      <c r="M1679" s="195" t="str">
        <f>L1679*(1-K1679)</f>
      </c>
    </row>
    <row r="1680">
      <c r="A1680" t="s">
        <v>167</v>
      </c>
      <c r="B1680" t="s">
        <v>219</v>
      </c>
      <c r="C1680" s="35" t="s">
        <v>221</v>
      </c>
      <c r="D1680" t="s">
        <v>502</v>
      </c>
      <c r="E1680" t="s">
        <v>520</v>
      </c>
      <c r="F1680" s="188" t="n">
        <v>2040</v>
      </c>
      <c r="G1680" s="189" t="n">
        <v>68</v>
      </c>
      <c r="H1680" s="190" t="n">
        <v>30458.9877028132</v>
      </c>
      <c r="I1680" s="191" t="n">
        <v>2735429.80865491</v>
      </c>
      <c r="J1680" s="192" t="str">
        <f>IF(I1680&gt;0,H1680/I1680,0)</f>
      </c>
      <c r="K1680" s="193" t="str">
        <f>1-EXP(-J1680)</f>
      </c>
      <c r="L1680" s="194" t="str">
        <f>IF(G1680=30,1,M1679)</f>
      </c>
      <c r="M1680" s="195" t="str">
        <f>L1680*(1-K1680)</f>
      </c>
    </row>
    <row r="1681">
      <c r="A1681" t="s">
        <v>167</v>
      </c>
      <c r="B1681" t="s">
        <v>219</v>
      </c>
      <c r="C1681" s="35" t="s">
        <v>221</v>
      </c>
      <c r="D1681" t="s">
        <v>502</v>
      </c>
      <c r="E1681" t="s">
        <v>520</v>
      </c>
      <c r="F1681" s="188" t="n">
        <v>2040</v>
      </c>
      <c r="G1681" s="189" t="n">
        <v>69</v>
      </c>
      <c r="H1681" s="190" t="n">
        <v>32027.1908276215</v>
      </c>
      <c r="I1681" s="191" t="n">
        <v>2615041.41081116</v>
      </c>
      <c r="J1681" s="192" t="str">
        <f>IF(I1681&gt;0,H1681/I1681,0)</f>
      </c>
      <c r="K1681" s="193" t="str">
        <f>1-EXP(-J1681)</f>
      </c>
      <c r="L1681" s="194" t="str">
        <f>IF(G1681=30,1,M1680)</f>
      </c>
      <c r="M1681" s="195" t="str">
        <f>L1681*(1-K1681)</f>
      </c>
    </row>
    <row r="1682">
      <c r="A1682" t="s">
        <v>167</v>
      </c>
      <c r="B1682" t="s">
        <v>219</v>
      </c>
      <c r="C1682" s="35" t="s">
        <v>221</v>
      </c>
      <c r="D1682" t="s">
        <v>502</v>
      </c>
      <c r="E1682" t="s">
        <v>520</v>
      </c>
      <c r="F1682" s="188" t="n">
        <v>2041</v>
      </c>
      <c r="G1682" s="189" t="n">
        <v>30</v>
      </c>
      <c r="H1682" s="190" t="n">
        <v>798.93247639959</v>
      </c>
      <c r="I1682" s="191" t="n">
        <v>4884201.50036569</v>
      </c>
      <c r="J1682" s="192" t="str">
        <f>IF(I1682&gt;0,H1682/I1682,0)</f>
      </c>
      <c r="K1682" s="193" t="str">
        <f>1-EXP(-J1682)</f>
      </c>
      <c r="L1682" s="194" t="str">
        <f>IF(G1682=30,1,M1681)</f>
      </c>
      <c r="M1682" s="195" t="str">
        <f>L1682*(1-K1682)</f>
      </c>
    </row>
    <row r="1683">
      <c r="A1683" t="s">
        <v>167</v>
      </c>
      <c r="B1683" t="s">
        <v>219</v>
      </c>
      <c r="C1683" s="35" t="s">
        <v>221</v>
      </c>
      <c r="D1683" t="s">
        <v>502</v>
      </c>
      <c r="E1683" t="s">
        <v>520</v>
      </c>
      <c r="F1683" s="188" t="n">
        <v>2041</v>
      </c>
      <c r="G1683" s="189" t="n">
        <v>31</v>
      </c>
      <c r="H1683" s="190" t="n">
        <v>999.056066958795</v>
      </c>
      <c r="I1683" s="191" t="n">
        <v>4750236.2088362</v>
      </c>
      <c r="J1683" s="192" t="str">
        <f>IF(I1683&gt;0,H1683/I1683,0)</f>
      </c>
      <c r="K1683" s="193" t="str">
        <f>1-EXP(-J1683)</f>
      </c>
      <c r="L1683" s="194" t="str">
        <f>IF(G1683=30,1,M1682)</f>
      </c>
      <c r="M1683" s="195" t="str">
        <f>L1683*(1-K1683)</f>
      </c>
    </row>
    <row r="1684">
      <c r="A1684" t="s">
        <v>167</v>
      </c>
      <c r="B1684" t="s">
        <v>219</v>
      </c>
      <c r="C1684" s="35" t="s">
        <v>221</v>
      </c>
      <c r="D1684" t="s">
        <v>502</v>
      </c>
      <c r="E1684" t="s">
        <v>520</v>
      </c>
      <c r="F1684" s="188" t="n">
        <v>2041</v>
      </c>
      <c r="G1684" s="189" t="n">
        <v>32</v>
      </c>
      <c r="H1684" s="190" t="n">
        <v>1036.96486833634</v>
      </c>
      <c r="I1684" s="191" t="n">
        <v>4679551.49668682</v>
      </c>
      <c r="J1684" s="192" t="str">
        <f>IF(I1684&gt;0,H1684/I1684,0)</f>
      </c>
      <c r="K1684" s="193" t="str">
        <f>1-EXP(-J1684)</f>
      </c>
      <c r="L1684" s="194" t="str">
        <f>IF(G1684=30,1,M1683)</f>
      </c>
      <c r="M1684" s="195" t="str">
        <f>L1684*(1-K1684)</f>
      </c>
    </row>
    <row r="1685">
      <c r="A1685" t="s">
        <v>167</v>
      </c>
      <c r="B1685" t="s">
        <v>219</v>
      </c>
      <c r="C1685" s="35" t="s">
        <v>221</v>
      </c>
      <c r="D1685" t="s">
        <v>502</v>
      </c>
      <c r="E1685" t="s">
        <v>520</v>
      </c>
      <c r="F1685" s="188" t="n">
        <v>2041</v>
      </c>
      <c r="G1685" s="189" t="n">
        <v>33</v>
      </c>
      <c r="H1685" s="190" t="n">
        <v>1089.12070218706</v>
      </c>
      <c r="I1685" s="191" t="n">
        <v>4636879.41458143</v>
      </c>
      <c r="J1685" s="192" t="str">
        <f>IF(I1685&gt;0,H1685/I1685,0)</f>
      </c>
      <c r="K1685" s="193" t="str">
        <f>1-EXP(-J1685)</f>
      </c>
      <c r="L1685" s="194" t="str">
        <f>IF(G1685=30,1,M1684)</f>
      </c>
      <c r="M1685" s="195" t="str">
        <f>L1685*(1-K1685)</f>
      </c>
    </row>
    <row r="1686">
      <c r="A1686" t="s">
        <v>167</v>
      </c>
      <c r="B1686" t="s">
        <v>219</v>
      </c>
      <c r="C1686" s="35" t="s">
        <v>221</v>
      </c>
      <c r="D1686" t="s">
        <v>502</v>
      </c>
      <c r="E1686" t="s">
        <v>520</v>
      </c>
      <c r="F1686" s="188" t="n">
        <v>2041</v>
      </c>
      <c r="G1686" s="189" t="n">
        <v>34</v>
      </c>
      <c r="H1686" s="190" t="n">
        <v>1219.98935392009</v>
      </c>
      <c r="I1686" s="191" t="n">
        <v>4662605.48217239</v>
      </c>
      <c r="J1686" s="192" t="str">
        <f>IF(I1686&gt;0,H1686/I1686,0)</f>
      </c>
      <c r="K1686" s="193" t="str">
        <f>1-EXP(-J1686)</f>
      </c>
      <c r="L1686" s="194" t="str">
        <f>IF(G1686=30,1,M1685)</f>
      </c>
      <c r="M1686" s="195" t="str">
        <f>L1686*(1-K1686)</f>
      </c>
    </row>
    <row r="1687">
      <c r="A1687" t="s">
        <v>167</v>
      </c>
      <c r="B1687" t="s">
        <v>219</v>
      </c>
      <c r="C1687" s="35" t="s">
        <v>221</v>
      </c>
      <c r="D1687" t="s">
        <v>502</v>
      </c>
      <c r="E1687" t="s">
        <v>520</v>
      </c>
      <c r="F1687" s="188" t="n">
        <v>2041</v>
      </c>
      <c r="G1687" s="189" t="n">
        <v>35</v>
      </c>
      <c r="H1687" s="190" t="n">
        <v>1592.60430299503</v>
      </c>
      <c r="I1687" s="191" t="n">
        <v>4579268.56010332</v>
      </c>
      <c r="J1687" s="192" t="str">
        <f>IF(I1687&gt;0,H1687/I1687,0)</f>
      </c>
      <c r="K1687" s="193" t="str">
        <f>1-EXP(-J1687)</f>
      </c>
      <c r="L1687" s="194" t="str">
        <f>IF(G1687=30,1,M1686)</f>
      </c>
      <c r="M1687" s="195" t="str">
        <f>L1687*(1-K1687)</f>
      </c>
    </row>
    <row r="1688">
      <c r="A1688" t="s">
        <v>167</v>
      </c>
      <c r="B1688" t="s">
        <v>219</v>
      </c>
      <c r="C1688" s="35" t="s">
        <v>221</v>
      </c>
      <c r="D1688" t="s">
        <v>502</v>
      </c>
      <c r="E1688" t="s">
        <v>520</v>
      </c>
      <c r="F1688" s="188" t="n">
        <v>2041</v>
      </c>
      <c r="G1688" s="189" t="n">
        <v>36</v>
      </c>
      <c r="H1688" s="190" t="n">
        <v>1819.22840696738</v>
      </c>
      <c r="I1688" s="191" t="n">
        <v>4517276.77809897</v>
      </c>
      <c r="J1688" s="192" t="str">
        <f>IF(I1688&gt;0,H1688/I1688,0)</f>
      </c>
      <c r="K1688" s="193" t="str">
        <f>1-EXP(-J1688)</f>
      </c>
      <c r="L1688" s="194" t="str">
        <f>IF(G1688=30,1,M1687)</f>
      </c>
      <c r="M1688" s="195" t="str">
        <f>L1688*(1-K1688)</f>
      </c>
    </row>
    <row r="1689">
      <c r="A1689" t="s">
        <v>167</v>
      </c>
      <c r="B1689" t="s">
        <v>219</v>
      </c>
      <c r="C1689" s="35" t="s">
        <v>221</v>
      </c>
      <c r="D1689" t="s">
        <v>502</v>
      </c>
      <c r="E1689" t="s">
        <v>520</v>
      </c>
      <c r="F1689" s="188" t="n">
        <v>2041</v>
      </c>
      <c r="G1689" s="189" t="n">
        <v>37</v>
      </c>
      <c r="H1689" s="190" t="n">
        <v>1901.66913017391</v>
      </c>
      <c r="I1689" s="191" t="n">
        <v>4388010.56384186</v>
      </c>
      <c r="J1689" s="192" t="str">
        <f>IF(I1689&gt;0,H1689/I1689,0)</f>
      </c>
      <c r="K1689" s="193" t="str">
        <f>1-EXP(-J1689)</f>
      </c>
      <c r="L1689" s="194" t="str">
        <f>IF(G1689=30,1,M1688)</f>
      </c>
      <c r="M1689" s="195" t="str">
        <f>L1689*(1-K1689)</f>
      </c>
    </row>
    <row r="1690">
      <c r="A1690" t="s">
        <v>167</v>
      </c>
      <c r="B1690" t="s">
        <v>219</v>
      </c>
      <c r="C1690" s="35" t="s">
        <v>221</v>
      </c>
      <c r="D1690" t="s">
        <v>502</v>
      </c>
      <c r="E1690" t="s">
        <v>520</v>
      </c>
      <c r="F1690" s="188" t="n">
        <v>2041</v>
      </c>
      <c r="G1690" s="189" t="n">
        <v>38</v>
      </c>
      <c r="H1690" s="190" t="n">
        <v>2021.56281918308</v>
      </c>
      <c r="I1690" s="191" t="n">
        <v>4321249.50754105</v>
      </c>
      <c r="J1690" s="192" t="str">
        <f>IF(I1690&gt;0,H1690/I1690,0)</f>
      </c>
      <c r="K1690" s="193" t="str">
        <f>1-EXP(-J1690)</f>
      </c>
      <c r="L1690" s="194" t="str">
        <f>IF(G1690=30,1,M1689)</f>
      </c>
      <c r="M1690" s="195" t="str">
        <f>L1690*(1-K1690)</f>
      </c>
    </row>
    <row r="1691">
      <c r="A1691" t="s">
        <v>167</v>
      </c>
      <c r="B1691" t="s">
        <v>219</v>
      </c>
      <c r="C1691" s="35" t="s">
        <v>221</v>
      </c>
      <c r="D1691" t="s">
        <v>502</v>
      </c>
      <c r="E1691" t="s">
        <v>520</v>
      </c>
      <c r="F1691" s="188" t="n">
        <v>2041</v>
      </c>
      <c r="G1691" s="189" t="n">
        <v>39</v>
      </c>
      <c r="H1691" s="190" t="n">
        <v>2330.10744299994</v>
      </c>
      <c r="I1691" s="191" t="n">
        <v>4296885.66147685</v>
      </c>
      <c r="J1691" s="192" t="str">
        <f>IF(I1691&gt;0,H1691/I1691,0)</f>
      </c>
      <c r="K1691" s="193" t="str">
        <f>1-EXP(-J1691)</f>
      </c>
      <c r="L1691" s="194" t="str">
        <f>IF(G1691=30,1,M1690)</f>
      </c>
      <c r="M1691" s="195" t="str">
        <f>L1691*(1-K1691)</f>
      </c>
    </row>
    <row r="1692">
      <c r="A1692" t="s">
        <v>167</v>
      </c>
      <c r="B1692" t="s">
        <v>219</v>
      </c>
      <c r="C1692" s="35" t="s">
        <v>221</v>
      </c>
      <c r="D1692" t="s">
        <v>502</v>
      </c>
      <c r="E1692" t="s">
        <v>520</v>
      </c>
      <c r="F1692" s="188" t="n">
        <v>2041</v>
      </c>
      <c r="G1692" s="189" t="n">
        <v>40</v>
      </c>
      <c r="H1692" s="190" t="n">
        <v>3111.09154119141</v>
      </c>
      <c r="I1692" s="191" t="n">
        <v>4274351.97882951</v>
      </c>
      <c r="J1692" s="192" t="str">
        <f>IF(I1692&gt;0,H1692/I1692,0)</f>
      </c>
      <c r="K1692" s="193" t="str">
        <f>1-EXP(-J1692)</f>
      </c>
      <c r="L1692" s="194" t="str">
        <f>IF(G1692=30,1,M1691)</f>
      </c>
      <c r="M1692" s="195" t="str">
        <f>L1692*(1-K1692)</f>
      </c>
    </row>
    <row r="1693">
      <c r="A1693" t="s">
        <v>167</v>
      </c>
      <c r="B1693" t="s">
        <v>219</v>
      </c>
      <c r="C1693" s="35" t="s">
        <v>221</v>
      </c>
      <c r="D1693" t="s">
        <v>502</v>
      </c>
      <c r="E1693" t="s">
        <v>520</v>
      </c>
      <c r="F1693" s="188" t="n">
        <v>2041</v>
      </c>
      <c r="G1693" s="189" t="n">
        <v>41</v>
      </c>
      <c r="H1693" s="190" t="n">
        <v>3403.77592821148</v>
      </c>
      <c r="I1693" s="191" t="n">
        <v>4250481.97310531</v>
      </c>
      <c r="J1693" s="192" t="str">
        <f>IF(I1693&gt;0,H1693/I1693,0)</f>
      </c>
      <c r="K1693" s="193" t="str">
        <f>1-EXP(-J1693)</f>
      </c>
      <c r="L1693" s="194" t="str">
        <f>IF(G1693=30,1,M1692)</f>
      </c>
      <c r="M1693" s="195" t="str">
        <f>L1693*(1-K1693)</f>
      </c>
    </row>
    <row r="1694">
      <c r="A1694" t="s">
        <v>167</v>
      </c>
      <c r="B1694" t="s">
        <v>219</v>
      </c>
      <c r="C1694" s="35" t="s">
        <v>221</v>
      </c>
      <c r="D1694" t="s">
        <v>502</v>
      </c>
      <c r="E1694" t="s">
        <v>520</v>
      </c>
      <c r="F1694" s="188" t="n">
        <v>2041</v>
      </c>
      <c r="G1694" s="189" t="n">
        <v>42</v>
      </c>
      <c r="H1694" s="190" t="n">
        <v>3709.93627309245</v>
      </c>
      <c r="I1694" s="191" t="n">
        <v>4265965.53757836</v>
      </c>
      <c r="J1694" s="192" t="str">
        <f>IF(I1694&gt;0,H1694/I1694,0)</f>
      </c>
      <c r="K1694" s="193" t="str">
        <f>1-EXP(-J1694)</f>
      </c>
      <c r="L1694" s="194" t="str">
        <f>IF(G1694=30,1,M1693)</f>
      </c>
      <c r="M1694" s="195" t="str">
        <f>L1694*(1-K1694)</f>
      </c>
    </row>
    <row r="1695">
      <c r="A1695" t="s">
        <v>167</v>
      </c>
      <c r="B1695" t="s">
        <v>219</v>
      </c>
      <c r="C1695" s="35" t="s">
        <v>221</v>
      </c>
      <c r="D1695" t="s">
        <v>502</v>
      </c>
      <c r="E1695" t="s">
        <v>520</v>
      </c>
      <c r="F1695" s="188" t="n">
        <v>2041</v>
      </c>
      <c r="G1695" s="189" t="n">
        <v>43</v>
      </c>
      <c r="H1695" s="190" t="n">
        <v>4090.16650642551</v>
      </c>
      <c r="I1695" s="191" t="n">
        <v>4319441.1889849</v>
      </c>
      <c r="J1695" s="192" t="str">
        <f>IF(I1695&gt;0,H1695/I1695,0)</f>
      </c>
      <c r="K1695" s="193" t="str">
        <f>1-EXP(-J1695)</f>
      </c>
      <c r="L1695" s="194" t="str">
        <f>IF(G1695=30,1,M1694)</f>
      </c>
      <c r="M1695" s="195" t="str">
        <f>L1695*(1-K1695)</f>
      </c>
    </row>
    <row r="1696">
      <c r="A1696" t="s">
        <v>167</v>
      </c>
      <c r="B1696" t="s">
        <v>219</v>
      </c>
      <c r="C1696" s="35" t="s">
        <v>221</v>
      </c>
      <c r="D1696" t="s">
        <v>502</v>
      </c>
      <c r="E1696" t="s">
        <v>520</v>
      </c>
      <c r="F1696" s="188" t="n">
        <v>2041</v>
      </c>
      <c r="G1696" s="189" t="n">
        <v>44</v>
      </c>
      <c r="H1696" s="190" t="n">
        <v>4813.50234076136</v>
      </c>
      <c r="I1696" s="191" t="n">
        <v>4448370.93223388</v>
      </c>
      <c r="J1696" s="192" t="str">
        <f>IF(I1696&gt;0,H1696/I1696,0)</f>
      </c>
      <c r="K1696" s="193" t="str">
        <f>1-EXP(-J1696)</f>
      </c>
      <c r="L1696" s="194" t="str">
        <f>IF(G1696=30,1,M1695)</f>
      </c>
      <c r="M1696" s="195" t="str">
        <f>L1696*(1-K1696)</f>
      </c>
    </row>
    <row r="1697">
      <c r="A1697" t="s">
        <v>167</v>
      </c>
      <c r="B1697" t="s">
        <v>219</v>
      </c>
      <c r="C1697" s="35" t="s">
        <v>221</v>
      </c>
      <c r="D1697" t="s">
        <v>502</v>
      </c>
      <c r="E1697" t="s">
        <v>520</v>
      </c>
      <c r="F1697" s="188" t="n">
        <v>2041</v>
      </c>
      <c r="G1697" s="189" t="n">
        <v>45</v>
      </c>
      <c r="H1697" s="190" t="n">
        <v>6106.58130326743</v>
      </c>
      <c r="I1697" s="191" t="n">
        <v>4399150.11197879</v>
      </c>
      <c r="J1697" s="192" t="str">
        <f>IF(I1697&gt;0,H1697/I1697,0)</f>
      </c>
      <c r="K1697" s="193" t="str">
        <f>1-EXP(-J1697)</f>
      </c>
      <c r="L1697" s="194" t="str">
        <f>IF(G1697=30,1,M1696)</f>
      </c>
      <c r="M1697" s="195" t="str">
        <f>L1697*(1-K1697)</f>
      </c>
    </row>
    <row r="1698">
      <c r="A1698" t="s">
        <v>167</v>
      </c>
      <c r="B1698" t="s">
        <v>219</v>
      </c>
      <c r="C1698" s="35" t="s">
        <v>221</v>
      </c>
      <c r="D1698" t="s">
        <v>502</v>
      </c>
      <c r="E1698" t="s">
        <v>520</v>
      </c>
      <c r="F1698" s="188" t="n">
        <v>2041</v>
      </c>
      <c r="G1698" s="189" t="n">
        <v>46</v>
      </c>
      <c r="H1698" s="190" t="n">
        <v>6533.42586661647</v>
      </c>
      <c r="I1698" s="191" t="n">
        <v>4318811.67357633</v>
      </c>
      <c r="J1698" s="192" t="str">
        <f>IF(I1698&gt;0,H1698/I1698,0)</f>
      </c>
      <c r="K1698" s="193" t="str">
        <f>1-EXP(-J1698)</f>
      </c>
      <c r="L1698" s="194" t="str">
        <f>IF(G1698=30,1,M1697)</f>
      </c>
      <c r="M1698" s="195" t="str">
        <f>L1698*(1-K1698)</f>
      </c>
    </row>
    <row r="1699">
      <c r="A1699" t="s">
        <v>167</v>
      </c>
      <c r="B1699" t="s">
        <v>219</v>
      </c>
      <c r="C1699" s="35" t="s">
        <v>221</v>
      </c>
      <c r="D1699" t="s">
        <v>502</v>
      </c>
      <c r="E1699" t="s">
        <v>520</v>
      </c>
      <c r="F1699" s="188" t="n">
        <v>2041</v>
      </c>
      <c r="G1699" s="189" t="n">
        <v>47</v>
      </c>
      <c r="H1699" s="190" t="n">
        <v>7051.11627580266</v>
      </c>
      <c r="I1699" s="191" t="n">
        <v>4254045.02391163</v>
      </c>
      <c r="J1699" s="192" t="str">
        <f>IF(I1699&gt;0,H1699/I1699,0)</f>
      </c>
      <c r="K1699" s="193" t="str">
        <f>1-EXP(-J1699)</f>
      </c>
      <c r="L1699" s="194" t="str">
        <f>IF(G1699=30,1,M1698)</f>
      </c>
      <c r="M1699" s="195" t="str">
        <f>L1699*(1-K1699)</f>
      </c>
    </row>
    <row r="1700">
      <c r="A1700" t="s">
        <v>167</v>
      </c>
      <c r="B1700" t="s">
        <v>219</v>
      </c>
      <c r="C1700" s="35" t="s">
        <v>221</v>
      </c>
      <c r="D1700" t="s">
        <v>502</v>
      </c>
      <c r="E1700" t="s">
        <v>520</v>
      </c>
      <c r="F1700" s="188" t="n">
        <v>2041</v>
      </c>
      <c r="G1700" s="189" t="n">
        <v>48</v>
      </c>
      <c r="H1700" s="190" t="n">
        <v>7621.02086234923</v>
      </c>
      <c r="I1700" s="191" t="n">
        <v>4191977.47242082</v>
      </c>
      <c r="J1700" s="192" t="str">
        <f>IF(I1700&gt;0,H1700/I1700,0)</f>
      </c>
      <c r="K1700" s="193" t="str">
        <f>1-EXP(-J1700)</f>
      </c>
      <c r="L1700" s="194" t="str">
        <f>IF(G1700=30,1,M1699)</f>
      </c>
      <c r="M1700" s="195" t="str">
        <f>L1700*(1-K1700)</f>
      </c>
    </row>
    <row r="1701">
      <c r="A1701" t="s">
        <v>167</v>
      </c>
      <c r="B1701" t="s">
        <v>219</v>
      </c>
      <c r="C1701" s="35" t="s">
        <v>221</v>
      </c>
      <c r="D1701" t="s">
        <v>502</v>
      </c>
      <c r="E1701" t="s">
        <v>520</v>
      </c>
      <c r="F1701" s="188" t="n">
        <v>2041</v>
      </c>
      <c r="G1701" s="189" t="n">
        <v>49</v>
      </c>
      <c r="H1701" s="190" t="n">
        <v>8400.63414054334</v>
      </c>
      <c r="I1701" s="191" t="n">
        <v>4217571.02135248</v>
      </c>
      <c r="J1701" s="192" t="str">
        <f>IF(I1701&gt;0,H1701/I1701,0)</f>
      </c>
      <c r="K1701" s="193" t="str">
        <f>1-EXP(-J1701)</f>
      </c>
      <c r="L1701" s="194" t="str">
        <f>IF(G1701=30,1,M1700)</f>
      </c>
      <c r="M1701" s="195" t="str">
        <f>L1701*(1-K1701)</f>
      </c>
    </row>
    <row r="1702">
      <c r="A1702" t="s">
        <v>167</v>
      </c>
      <c r="B1702" t="s">
        <v>219</v>
      </c>
      <c r="C1702" s="35" t="s">
        <v>221</v>
      </c>
      <c r="D1702" t="s">
        <v>502</v>
      </c>
      <c r="E1702" t="s">
        <v>520</v>
      </c>
      <c r="F1702" s="188" t="n">
        <v>2041</v>
      </c>
      <c r="G1702" s="189" t="n">
        <v>50</v>
      </c>
      <c r="H1702" s="190" t="n">
        <v>9663.69542673317</v>
      </c>
      <c r="I1702" s="191" t="n">
        <v>4222612.15703884</v>
      </c>
      <c r="J1702" s="192" t="str">
        <f>IF(I1702&gt;0,H1702/I1702,0)</f>
      </c>
      <c r="K1702" s="193" t="str">
        <f>1-EXP(-J1702)</f>
      </c>
      <c r="L1702" s="194" t="str">
        <f>IF(G1702=30,1,M1701)</f>
      </c>
      <c r="M1702" s="195" t="str">
        <f>L1702*(1-K1702)</f>
      </c>
    </row>
    <row r="1703">
      <c r="A1703" t="s">
        <v>167</v>
      </c>
      <c r="B1703" t="s">
        <v>219</v>
      </c>
      <c r="C1703" s="35" t="s">
        <v>221</v>
      </c>
      <c r="D1703" t="s">
        <v>502</v>
      </c>
      <c r="E1703" t="s">
        <v>520</v>
      </c>
      <c r="F1703" s="188" t="n">
        <v>2041</v>
      </c>
      <c r="G1703" s="189" t="n">
        <v>51</v>
      </c>
      <c r="H1703" s="190" t="n">
        <v>14184.3863714124</v>
      </c>
      <c r="I1703" s="191" t="n">
        <v>6209479.93888069</v>
      </c>
      <c r="J1703" s="192" t="str">
        <f>IF(I1703&gt;0,H1703/I1703,0)</f>
      </c>
      <c r="K1703" s="193" t="str">
        <f>1-EXP(-J1703)</f>
      </c>
      <c r="L1703" s="194" t="str">
        <f>IF(G1703=30,1,M1702)</f>
      </c>
      <c r="M1703" s="195" t="str">
        <f>L1703*(1-K1703)</f>
      </c>
    </row>
    <row r="1704">
      <c r="A1704" t="s">
        <v>167</v>
      </c>
      <c r="B1704" t="s">
        <v>219</v>
      </c>
      <c r="C1704" s="35" t="s">
        <v>221</v>
      </c>
      <c r="D1704" t="s">
        <v>502</v>
      </c>
      <c r="E1704" t="s">
        <v>520</v>
      </c>
      <c r="F1704" s="188" t="n">
        <v>2041</v>
      </c>
      <c r="G1704" s="189" t="n">
        <v>52</v>
      </c>
      <c r="H1704" s="190" t="n">
        <v>11359.129526254</v>
      </c>
      <c r="I1704" s="191" t="n">
        <v>4153270.57371481</v>
      </c>
      <c r="J1704" s="192" t="str">
        <f>IF(I1704&gt;0,H1704/I1704,0)</f>
      </c>
      <c r="K1704" s="193" t="str">
        <f>1-EXP(-J1704)</f>
      </c>
      <c r="L1704" s="194" t="str">
        <f>IF(G1704=30,1,M1703)</f>
      </c>
      <c r="M1704" s="195" t="str">
        <f>L1704*(1-K1704)</f>
      </c>
    </row>
    <row r="1705">
      <c r="A1705" t="s">
        <v>167</v>
      </c>
      <c r="B1705" t="s">
        <v>219</v>
      </c>
      <c r="C1705" s="35" t="s">
        <v>221</v>
      </c>
      <c r="D1705" t="s">
        <v>502</v>
      </c>
      <c r="E1705" t="s">
        <v>520</v>
      </c>
      <c r="F1705" s="188" t="n">
        <v>2041</v>
      </c>
      <c r="G1705" s="189" t="n">
        <v>53</v>
      </c>
      <c r="H1705" s="190" t="n">
        <v>12310.6790513834</v>
      </c>
      <c r="I1705" s="191" t="n">
        <v>4120724.14584055</v>
      </c>
      <c r="J1705" s="192" t="str">
        <f>IF(I1705&gt;0,H1705/I1705,0)</f>
      </c>
      <c r="K1705" s="193" t="str">
        <f>1-EXP(-J1705)</f>
      </c>
      <c r="L1705" s="194" t="str">
        <f>IF(G1705=30,1,M1704)</f>
      </c>
      <c r="M1705" s="195" t="str">
        <f>L1705*(1-K1705)</f>
      </c>
    </row>
    <row r="1706">
      <c r="A1706" t="s">
        <v>167</v>
      </c>
      <c r="B1706" t="s">
        <v>219</v>
      </c>
      <c r="C1706" s="35" t="s">
        <v>221</v>
      </c>
      <c r="D1706" t="s">
        <v>502</v>
      </c>
      <c r="E1706" t="s">
        <v>520</v>
      </c>
      <c r="F1706" s="188" t="n">
        <v>2041</v>
      </c>
      <c r="G1706" s="189" t="n">
        <v>54</v>
      </c>
      <c r="H1706" s="190" t="n">
        <v>12968.480606282</v>
      </c>
      <c r="I1706" s="191" t="n">
        <v>3976888.70630209</v>
      </c>
      <c r="J1706" s="192" t="str">
        <f>IF(I1706&gt;0,H1706/I1706,0)</f>
      </c>
      <c r="K1706" s="193" t="str">
        <f>1-EXP(-J1706)</f>
      </c>
      <c r="L1706" s="194" t="str">
        <f>IF(G1706=30,1,M1705)</f>
      </c>
      <c r="M1706" s="195" t="str">
        <f>L1706*(1-K1706)</f>
      </c>
    </row>
    <row r="1707">
      <c r="A1707" t="s">
        <v>167</v>
      </c>
      <c r="B1707" t="s">
        <v>219</v>
      </c>
      <c r="C1707" s="35" t="s">
        <v>221</v>
      </c>
      <c r="D1707" t="s">
        <v>502</v>
      </c>
      <c r="E1707" t="s">
        <v>520</v>
      </c>
      <c r="F1707" s="188" t="n">
        <v>2041</v>
      </c>
      <c r="G1707" s="189" t="n">
        <v>55</v>
      </c>
      <c r="H1707" s="190" t="n">
        <v>13827.6007666976</v>
      </c>
      <c r="I1707" s="191" t="n">
        <v>3925000.19099095</v>
      </c>
      <c r="J1707" s="192" t="str">
        <f>IF(I1707&gt;0,H1707/I1707,0)</f>
      </c>
      <c r="K1707" s="193" t="str">
        <f>1-EXP(-J1707)</f>
      </c>
      <c r="L1707" s="194" t="str">
        <f>IF(G1707=30,1,M1706)</f>
      </c>
      <c r="M1707" s="195" t="str">
        <f>L1707*(1-K1707)</f>
      </c>
    </row>
    <row r="1708">
      <c r="A1708" t="s">
        <v>167</v>
      </c>
      <c r="B1708" t="s">
        <v>219</v>
      </c>
      <c r="C1708" s="35" t="s">
        <v>221</v>
      </c>
      <c r="D1708" t="s">
        <v>502</v>
      </c>
      <c r="E1708" t="s">
        <v>520</v>
      </c>
      <c r="F1708" s="188" t="n">
        <v>2041</v>
      </c>
      <c r="G1708" s="189" t="n">
        <v>56</v>
      </c>
      <c r="H1708" s="190" t="n">
        <v>15166.822826341</v>
      </c>
      <c r="I1708" s="191" t="n">
        <v>3959523.51381565</v>
      </c>
      <c r="J1708" s="192" t="str">
        <f>IF(I1708&gt;0,H1708/I1708,0)</f>
      </c>
      <c r="K1708" s="193" t="str">
        <f>1-EXP(-J1708)</f>
      </c>
      <c r="L1708" s="194" t="str">
        <f>IF(G1708=30,1,M1707)</f>
      </c>
      <c r="M1708" s="195" t="str">
        <f>L1708*(1-K1708)</f>
      </c>
    </row>
    <row r="1709">
      <c r="A1709" t="s">
        <v>167</v>
      </c>
      <c r="B1709" t="s">
        <v>219</v>
      </c>
      <c r="C1709" s="35" t="s">
        <v>221</v>
      </c>
      <c r="D1709" t="s">
        <v>502</v>
      </c>
      <c r="E1709" t="s">
        <v>520</v>
      </c>
      <c r="F1709" s="188" t="n">
        <v>2041</v>
      </c>
      <c r="G1709" s="189" t="n">
        <v>57</v>
      </c>
      <c r="H1709" s="190" t="n">
        <v>16794.3584526513</v>
      </c>
      <c r="I1709" s="191" t="n">
        <v>4015282.53131535</v>
      </c>
      <c r="J1709" s="192" t="str">
        <f>IF(I1709&gt;0,H1709/I1709,0)</f>
      </c>
      <c r="K1709" s="193" t="str">
        <f>1-EXP(-J1709)</f>
      </c>
      <c r="L1709" s="194" t="str">
        <f>IF(G1709=30,1,M1708)</f>
      </c>
      <c r="M1709" s="195" t="str">
        <f>L1709*(1-K1709)</f>
      </c>
    </row>
    <row r="1710">
      <c r="A1710" t="s">
        <v>167</v>
      </c>
      <c r="B1710" t="s">
        <v>219</v>
      </c>
      <c r="C1710" s="35" t="s">
        <v>221</v>
      </c>
      <c r="D1710" t="s">
        <v>502</v>
      </c>
      <c r="E1710" t="s">
        <v>520</v>
      </c>
      <c r="F1710" s="188" t="n">
        <v>2041</v>
      </c>
      <c r="G1710" s="189" t="n">
        <v>58</v>
      </c>
      <c r="H1710" s="190" t="n">
        <v>18140.5241067312</v>
      </c>
      <c r="I1710" s="191" t="n">
        <v>3966967.32138273</v>
      </c>
      <c r="J1710" s="192" t="str">
        <f>IF(I1710&gt;0,H1710/I1710,0)</f>
      </c>
      <c r="K1710" s="193" t="str">
        <f>1-EXP(-J1710)</f>
      </c>
      <c r="L1710" s="194" t="str">
        <f>IF(G1710=30,1,M1709)</f>
      </c>
      <c r="M1710" s="195" t="str">
        <f>L1710*(1-K1710)</f>
      </c>
    </row>
    <row r="1711">
      <c r="A1711" t="s">
        <v>167</v>
      </c>
      <c r="B1711" t="s">
        <v>219</v>
      </c>
      <c r="C1711" s="35" t="s">
        <v>221</v>
      </c>
      <c r="D1711" t="s">
        <v>502</v>
      </c>
      <c r="E1711" t="s">
        <v>520</v>
      </c>
      <c r="F1711" s="188" t="n">
        <v>2041</v>
      </c>
      <c r="G1711" s="189" t="n">
        <v>59</v>
      </c>
      <c r="H1711" s="190" t="n">
        <v>19106.9397366633</v>
      </c>
      <c r="I1711" s="191" t="n">
        <v>3812938.60255773</v>
      </c>
      <c r="J1711" s="192" t="str">
        <f>IF(I1711&gt;0,H1711/I1711,0)</f>
      </c>
      <c r="K1711" s="193" t="str">
        <f>1-EXP(-J1711)</f>
      </c>
      <c r="L1711" s="194" t="str">
        <f>IF(G1711=30,1,M1710)</f>
      </c>
      <c r="M1711" s="195" t="str">
        <f>L1711*(1-K1711)</f>
      </c>
    </row>
    <row r="1712">
      <c r="A1712" t="s">
        <v>167</v>
      </c>
      <c r="B1712" t="s">
        <v>219</v>
      </c>
      <c r="C1712" s="35" t="s">
        <v>221</v>
      </c>
      <c r="D1712" t="s">
        <v>502</v>
      </c>
      <c r="E1712" t="s">
        <v>520</v>
      </c>
      <c r="F1712" s="188" t="n">
        <v>2041</v>
      </c>
      <c r="G1712" s="189" t="n">
        <v>60</v>
      </c>
      <c r="H1712" s="190" t="n">
        <v>20296.5577338101</v>
      </c>
      <c r="I1712" s="191" t="n">
        <v>3715641.29044757</v>
      </c>
      <c r="J1712" s="192" t="str">
        <f>IF(I1712&gt;0,H1712/I1712,0)</f>
      </c>
      <c r="K1712" s="193" t="str">
        <f>1-EXP(-J1712)</f>
      </c>
      <c r="L1712" s="194" t="str">
        <f>IF(G1712=30,1,M1711)</f>
      </c>
      <c r="M1712" s="195" t="str">
        <f>L1712*(1-K1712)</f>
      </c>
    </row>
    <row r="1713">
      <c r="A1713" t="s">
        <v>167</v>
      </c>
      <c r="B1713" t="s">
        <v>219</v>
      </c>
      <c r="C1713" s="35" t="s">
        <v>221</v>
      </c>
      <c r="D1713" t="s">
        <v>502</v>
      </c>
      <c r="E1713" t="s">
        <v>520</v>
      </c>
      <c r="F1713" s="188" t="n">
        <v>2041</v>
      </c>
      <c r="G1713" s="189" t="n">
        <v>61</v>
      </c>
      <c r="H1713" s="190" t="n">
        <v>21755.8684890506</v>
      </c>
      <c r="I1713" s="191" t="n">
        <v>3631011.97680408</v>
      </c>
      <c r="J1713" s="192" t="str">
        <f>IF(I1713&gt;0,H1713/I1713,0)</f>
      </c>
      <c r="K1713" s="193" t="str">
        <f>1-EXP(-J1713)</f>
      </c>
      <c r="L1713" s="194" t="str">
        <f>IF(G1713=30,1,M1712)</f>
      </c>
      <c r="M1713" s="195" t="str">
        <f>L1713*(1-K1713)</f>
      </c>
    </row>
    <row r="1714">
      <c r="A1714" t="s">
        <v>167</v>
      </c>
      <c r="B1714" t="s">
        <v>219</v>
      </c>
      <c r="C1714" s="35" t="s">
        <v>221</v>
      </c>
      <c r="D1714" t="s">
        <v>502</v>
      </c>
      <c r="E1714" t="s">
        <v>520</v>
      </c>
      <c r="F1714" s="188" t="n">
        <v>2041</v>
      </c>
      <c r="G1714" s="189" t="n">
        <v>62</v>
      </c>
      <c r="H1714" s="190" t="n">
        <v>23268.142112313</v>
      </c>
      <c r="I1714" s="191" t="n">
        <v>3539868.1020328</v>
      </c>
      <c r="J1714" s="192" t="str">
        <f>IF(I1714&gt;0,H1714/I1714,0)</f>
      </c>
      <c r="K1714" s="193" t="str">
        <f>1-EXP(-J1714)</f>
      </c>
      <c r="L1714" s="194" t="str">
        <f>IF(G1714=30,1,M1713)</f>
      </c>
      <c r="M1714" s="195" t="str">
        <f>L1714*(1-K1714)</f>
      </c>
    </row>
    <row r="1715">
      <c r="A1715" t="s">
        <v>167</v>
      </c>
      <c r="B1715" t="s">
        <v>219</v>
      </c>
      <c r="C1715" s="35" t="s">
        <v>221</v>
      </c>
      <c r="D1715" t="s">
        <v>502</v>
      </c>
      <c r="E1715" t="s">
        <v>520</v>
      </c>
      <c r="F1715" s="188" t="n">
        <v>2041</v>
      </c>
      <c r="G1715" s="189" t="n">
        <v>63</v>
      </c>
      <c r="H1715" s="190" t="n">
        <v>24734.1781362736</v>
      </c>
      <c r="I1715" s="191" t="n">
        <v>3429602.47917328</v>
      </c>
      <c r="J1715" s="192" t="str">
        <f>IF(I1715&gt;0,H1715/I1715,0)</f>
      </c>
      <c r="K1715" s="193" t="str">
        <f>1-EXP(-J1715)</f>
      </c>
      <c r="L1715" s="194" t="str">
        <f>IF(G1715=30,1,M1714)</f>
      </c>
      <c r="M1715" s="195" t="str">
        <f>L1715*(1-K1715)</f>
      </c>
    </row>
    <row r="1716">
      <c r="A1716" t="s">
        <v>167</v>
      </c>
      <c r="B1716" t="s">
        <v>219</v>
      </c>
      <c r="C1716" s="35" t="s">
        <v>221</v>
      </c>
      <c r="D1716" t="s">
        <v>502</v>
      </c>
      <c r="E1716" t="s">
        <v>520</v>
      </c>
      <c r="F1716" s="188" t="n">
        <v>2041</v>
      </c>
      <c r="G1716" s="189" t="n">
        <v>64</v>
      </c>
      <c r="H1716" s="190" t="n">
        <v>26396.0555023664</v>
      </c>
      <c r="I1716" s="191" t="n">
        <v>3332324.81801167</v>
      </c>
      <c r="J1716" s="192" t="str">
        <f>IF(I1716&gt;0,H1716/I1716,0)</f>
      </c>
      <c r="K1716" s="193" t="str">
        <f>1-EXP(-J1716)</f>
      </c>
      <c r="L1716" s="194" t="str">
        <f>IF(G1716=30,1,M1715)</f>
      </c>
      <c r="M1716" s="195" t="str">
        <f>L1716*(1-K1716)</f>
      </c>
    </row>
    <row r="1717">
      <c r="A1717" t="s">
        <v>167</v>
      </c>
      <c r="B1717" t="s">
        <v>219</v>
      </c>
      <c r="C1717" s="35" t="s">
        <v>221</v>
      </c>
      <c r="D1717" t="s">
        <v>502</v>
      </c>
      <c r="E1717" t="s">
        <v>520</v>
      </c>
      <c r="F1717" s="188" t="n">
        <v>2041</v>
      </c>
      <c r="G1717" s="189" t="n">
        <v>65</v>
      </c>
      <c r="H1717" s="190" t="n">
        <v>26816.214275196</v>
      </c>
      <c r="I1717" s="191" t="n">
        <v>3223328.05987241</v>
      </c>
      <c r="J1717" s="192" t="str">
        <f>IF(I1717&gt;0,H1717/I1717,0)</f>
      </c>
      <c r="K1717" s="193" t="str">
        <f>1-EXP(-J1717)</f>
      </c>
      <c r="L1717" s="194" t="str">
        <f>IF(G1717=30,1,M1716)</f>
      </c>
      <c r="M1717" s="195" t="str">
        <f>L1717*(1-K1717)</f>
      </c>
    </row>
    <row r="1718">
      <c r="A1718" t="s">
        <v>167</v>
      </c>
      <c r="B1718" t="s">
        <v>219</v>
      </c>
      <c r="C1718" s="35" t="s">
        <v>221</v>
      </c>
      <c r="D1718" t="s">
        <v>502</v>
      </c>
      <c r="E1718" t="s">
        <v>520</v>
      </c>
      <c r="F1718" s="188" t="n">
        <v>2041</v>
      </c>
      <c r="G1718" s="189" t="n">
        <v>66</v>
      </c>
      <c r="H1718" s="190" t="n">
        <v>28380.2089360792</v>
      </c>
      <c r="I1718" s="191" t="n">
        <v>3112569.00720426</v>
      </c>
      <c r="J1718" s="192" t="str">
        <f>IF(I1718&gt;0,H1718/I1718,0)</f>
      </c>
      <c r="K1718" s="193" t="str">
        <f>1-EXP(-J1718)</f>
      </c>
      <c r="L1718" s="194" t="str">
        <f>IF(G1718=30,1,M1717)</f>
      </c>
      <c r="M1718" s="195" t="str">
        <f>L1718*(1-K1718)</f>
      </c>
    </row>
    <row r="1719">
      <c r="A1719" t="s">
        <v>167</v>
      </c>
      <c r="B1719" t="s">
        <v>219</v>
      </c>
      <c r="C1719" s="35" t="s">
        <v>221</v>
      </c>
      <c r="D1719" t="s">
        <v>502</v>
      </c>
      <c r="E1719" t="s">
        <v>520</v>
      </c>
      <c r="F1719" s="188" t="n">
        <v>2041</v>
      </c>
      <c r="G1719" s="189" t="n">
        <v>67</v>
      </c>
      <c r="H1719" s="190" t="n">
        <v>29803.1238100375</v>
      </c>
      <c r="I1719" s="191" t="n">
        <v>2976451.38210721</v>
      </c>
      <c r="J1719" s="192" t="str">
        <f>IF(I1719&gt;0,H1719/I1719,0)</f>
      </c>
      <c r="K1719" s="193" t="str">
        <f>1-EXP(-J1719)</f>
      </c>
      <c r="L1719" s="194" t="str">
        <f>IF(G1719=30,1,M1718)</f>
      </c>
      <c r="M1719" s="195" t="str">
        <f>L1719*(1-K1719)</f>
      </c>
    </row>
    <row r="1720">
      <c r="A1720" t="s">
        <v>167</v>
      </c>
      <c r="B1720" t="s">
        <v>219</v>
      </c>
      <c r="C1720" s="35" t="s">
        <v>221</v>
      </c>
      <c r="D1720" t="s">
        <v>502</v>
      </c>
      <c r="E1720" t="s">
        <v>520</v>
      </c>
      <c r="F1720" s="188" t="n">
        <v>2041</v>
      </c>
      <c r="G1720" s="189" t="n">
        <v>68</v>
      </c>
      <c r="H1720" s="190" t="n">
        <v>31789.9110817856</v>
      </c>
      <c r="I1720" s="191" t="n">
        <v>2889030.85236782</v>
      </c>
      <c r="J1720" s="192" t="str">
        <f>IF(I1720&gt;0,H1720/I1720,0)</f>
      </c>
      <c r="K1720" s="193" t="str">
        <f>1-EXP(-J1720)</f>
      </c>
      <c r="L1720" s="194" t="str">
        <f>IF(G1720=30,1,M1719)</f>
      </c>
      <c r="M1720" s="195" t="str">
        <f>L1720*(1-K1720)</f>
      </c>
    </row>
    <row r="1721">
      <c r="A1721" t="s">
        <v>167</v>
      </c>
      <c r="B1721" t="s">
        <v>219</v>
      </c>
      <c r="C1721" s="35" t="s">
        <v>221</v>
      </c>
      <c r="D1721" t="s">
        <v>502</v>
      </c>
      <c r="E1721" t="s">
        <v>520</v>
      </c>
      <c r="F1721" s="188" t="n">
        <v>2041</v>
      </c>
      <c r="G1721" s="189" t="n">
        <v>69</v>
      </c>
      <c r="H1721" s="190" t="n">
        <v>32295.73984281</v>
      </c>
      <c r="I1721" s="191" t="n">
        <v>2665599.63448145</v>
      </c>
      <c r="J1721" s="192" t="str">
        <f>IF(I1721&gt;0,H1721/I1721,0)</f>
      </c>
      <c r="K1721" s="193" t="str">
        <f>1-EXP(-J1721)</f>
      </c>
      <c r="L1721" s="194" t="str">
        <f>IF(G1721=30,1,M1720)</f>
      </c>
      <c r="M1721" s="195" t="str">
        <f>L1721*(1-K1721)</f>
      </c>
    </row>
    <row r="1722">
      <c r="A1722" t="s">
        <v>167</v>
      </c>
      <c r="B1722" t="s">
        <v>219</v>
      </c>
      <c r="C1722" s="35" t="s">
        <v>221</v>
      </c>
      <c r="D1722" t="s">
        <v>502</v>
      </c>
      <c r="E1722" t="s">
        <v>520</v>
      </c>
      <c r="F1722" s="188" t="n">
        <v>2042</v>
      </c>
      <c r="G1722" s="189" t="n">
        <v>30</v>
      </c>
      <c r="H1722" s="190" t="n">
        <v>805.074858954234</v>
      </c>
      <c r="I1722" s="191" t="n">
        <v>4906616.00528828</v>
      </c>
      <c r="J1722" s="192" t="str">
        <f>IF(I1722&gt;0,H1722/I1722,0)</f>
      </c>
      <c r="K1722" s="193" t="str">
        <f>1-EXP(-J1722)</f>
      </c>
      <c r="L1722" s="194" t="str">
        <f>IF(G1722=30,1,M1721)</f>
      </c>
      <c r="M1722" s="195" t="str">
        <f>L1722*(1-K1722)</f>
      </c>
    </row>
    <row r="1723">
      <c r="A1723" t="s">
        <v>167</v>
      </c>
      <c r="B1723" t="s">
        <v>219</v>
      </c>
      <c r="C1723" s="35" t="s">
        <v>221</v>
      </c>
      <c r="D1723" t="s">
        <v>502</v>
      </c>
      <c r="E1723" t="s">
        <v>520</v>
      </c>
      <c r="F1723" s="188" t="n">
        <v>2042</v>
      </c>
      <c r="G1723" s="189" t="n">
        <v>31</v>
      </c>
      <c r="H1723" s="190" t="n">
        <v>1028.93195673258</v>
      </c>
      <c r="I1723" s="191" t="n">
        <v>4878487.01749418</v>
      </c>
      <c r="J1723" s="192" t="str">
        <f>IF(I1723&gt;0,H1723/I1723,0)</f>
      </c>
      <c r="K1723" s="193" t="str">
        <f>1-EXP(-J1723)</f>
      </c>
      <c r="L1723" s="194" t="str">
        <f>IF(G1723=30,1,M1722)</f>
      </c>
      <c r="M1723" s="195" t="str">
        <f>L1723*(1-K1723)</f>
      </c>
    </row>
    <row r="1724">
      <c r="A1724" t="s">
        <v>167</v>
      </c>
      <c r="B1724" t="s">
        <v>219</v>
      </c>
      <c r="C1724" s="35" t="s">
        <v>221</v>
      </c>
      <c r="D1724" t="s">
        <v>502</v>
      </c>
      <c r="E1724" t="s">
        <v>520</v>
      </c>
      <c r="F1724" s="188" t="n">
        <v>2042</v>
      </c>
      <c r="G1724" s="189" t="n">
        <v>32</v>
      </c>
      <c r="H1724" s="190" t="n">
        <v>1054.14257208861</v>
      </c>
      <c r="I1724" s="191" t="n">
        <v>4744771.10706141</v>
      </c>
      <c r="J1724" s="192" t="str">
        <f>IF(I1724&gt;0,H1724/I1724,0)</f>
      </c>
      <c r="K1724" s="193" t="str">
        <f>1-EXP(-J1724)</f>
      </c>
      <c r="L1724" s="194" t="str">
        <f>IF(G1724=30,1,M1723)</f>
      </c>
      <c r="M1724" s="195" t="str">
        <f>L1724*(1-K1724)</f>
      </c>
    </row>
    <row r="1725">
      <c r="A1725" t="s">
        <v>167</v>
      </c>
      <c r="B1725" t="s">
        <v>219</v>
      </c>
      <c r="C1725" s="35" t="s">
        <v>221</v>
      </c>
      <c r="D1725" t="s">
        <v>502</v>
      </c>
      <c r="E1725" t="s">
        <v>520</v>
      </c>
      <c r="F1725" s="188" t="n">
        <v>2042</v>
      </c>
      <c r="G1725" s="189" t="n">
        <v>33</v>
      </c>
      <c r="H1725" s="190" t="n">
        <v>1100.25945123847</v>
      </c>
      <c r="I1725" s="191" t="n">
        <v>4673944.26726937</v>
      </c>
      <c r="J1725" s="192" t="str">
        <f>IF(I1725&gt;0,H1725/I1725,0)</f>
      </c>
      <c r="K1725" s="193" t="str">
        <f>1-EXP(-J1725)</f>
      </c>
      <c r="L1725" s="194" t="str">
        <f>IF(G1725=30,1,M1724)</f>
      </c>
      <c r="M1725" s="195" t="str">
        <f>L1725*(1-K1725)</f>
      </c>
    </row>
    <row r="1726">
      <c r="A1726" t="s">
        <v>167</v>
      </c>
      <c r="B1726" t="s">
        <v>219</v>
      </c>
      <c r="C1726" s="35" t="s">
        <v>221</v>
      </c>
      <c r="D1726" t="s">
        <v>502</v>
      </c>
      <c r="E1726" t="s">
        <v>520</v>
      </c>
      <c r="F1726" s="188" t="n">
        <v>2042</v>
      </c>
      <c r="G1726" s="189" t="n">
        <v>34</v>
      </c>
      <c r="H1726" s="190" t="n">
        <v>1162.33331384661</v>
      </c>
      <c r="I1726" s="191" t="n">
        <v>4631062.69810458</v>
      </c>
      <c r="J1726" s="192" t="str">
        <f>IF(I1726&gt;0,H1726/I1726,0)</f>
      </c>
      <c r="K1726" s="193" t="str">
        <f>1-EXP(-J1726)</f>
      </c>
      <c r="L1726" s="194" t="str">
        <f>IF(G1726=30,1,M1725)</f>
      </c>
      <c r="M1726" s="195" t="str">
        <f>L1726*(1-K1726)</f>
      </c>
    </row>
    <row r="1727">
      <c r="A1727" t="s">
        <v>167</v>
      </c>
      <c r="B1727" t="s">
        <v>219</v>
      </c>
      <c r="C1727" s="35" t="s">
        <v>221</v>
      </c>
      <c r="D1727" t="s">
        <v>502</v>
      </c>
      <c r="E1727" t="s">
        <v>520</v>
      </c>
      <c r="F1727" s="188" t="n">
        <v>2042</v>
      </c>
      <c r="G1727" s="189" t="n">
        <v>35</v>
      </c>
      <c r="H1727" s="190" t="n">
        <v>1617.19391504351</v>
      </c>
      <c r="I1727" s="191" t="n">
        <v>4656393.92240551</v>
      </c>
      <c r="J1727" s="192" t="str">
        <f>IF(I1727&gt;0,H1727/I1727,0)</f>
      </c>
      <c r="K1727" s="193" t="str">
        <f>1-EXP(-J1727)</f>
      </c>
      <c r="L1727" s="194" t="str">
        <f>IF(G1727=30,1,M1726)</f>
      </c>
      <c r="M1727" s="195" t="str">
        <f>L1727*(1-K1727)</f>
      </c>
    </row>
    <row r="1728">
      <c r="A1728" t="s">
        <v>167</v>
      </c>
      <c r="B1728" t="s">
        <v>219</v>
      </c>
      <c r="C1728" s="35" t="s">
        <v>221</v>
      </c>
      <c r="D1728" t="s">
        <v>502</v>
      </c>
      <c r="E1728" t="s">
        <v>520</v>
      </c>
      <c r="F1728" s="188" t="n">
        <v>2042</v>
      </c>
      <c r="G1728" s="189" t="n">
        <v>36</v>
      </c>
      <c r="H1728" s="190" t="n">
        <v>1838.08925890891</v>
      </c>
      <c r="I1728" s="191" t="n">
        <v>4572464.72465534</v>
      </c>
      <c r="J1728" s="192" t="str">
        <f>IF(I1728&gt;0,H1728/I1728,0)</f>
      </c>
      <c r="K1728" s="193" t="str">
        <f>1-EXP(-J1728)</f>
      </c>
      <c r="L1728" s="194" t="str">
        <f>IF(G1728=30,1,M1727)</f>
      </c>
      <c r="M1728" s="195" t="str">
        <f>L1728*(1-K1728)</f>
      </c>
    </row>
    <row r="1729">
      <c r="A1729" t="s">
        <v>167</v>
      </c>
      <c r="B1729" t="s">
        <v>219</v>
      </c>
      <c r="C1729" s="35" t="s">
        <v>221</v>
      </c>
      <c r="D1729" t="s">
        <v>502</v>
      </c>
      <c r="E1729" t="s">
        <v>520</v>
      </c>
      <c r="F1729" s="188" t="n">
        <v>2042</v>
      </c>
      <c r="G1729" s="189" t="n">
        <v>37</v>
      </c>
      <c r="H1729" s="190" t="n">
        <v>1949.89205623776</v>
      </c>
      <c r="I1729" s="191" t="n">
        <v>4510418.99262452</v>
      </c>
      <c r="J1729" s="192" t="str">
        <f>IF(I1729&gt;0,H1729/I1729,0)</f>
      </c>
      <c r="K1729" s="193" t="str">
        <f>1-EXP(-J1729)</f>
      </c>
      <c r="L1729" s="194" t="str">
        <f>IF(G1729=30,1,M1728)</f>
      </c>
      <c r="M1729" s="195" t="str">
        <f>L1729*(1-K1729)</f>
      </c>
    </row>
    <row r="1730">
      <c r="A1730" t="s">
        <v>167</v>
      </c>
      <c r="B1730" t="s">
        <v>219</v>
      </c>
      <c r="C1730" s="35" t="s">
        <v>221</v>
      </c>
      <c r="D1730" t="s">
        <v>502</v>
      </c>
      <c r="E1730" t="s">
        <v>520</v>
      </c>
      <c r="F1730" s="188" t="n">
        <v>2042</v>
      </c>
      <c r="G1730" s="189" t="n">
        <v>38</v>
      </c>
      <c r="H1730" s="190" t="n">
        <v>2044.08442576424</v>
      </c>
      <c r="I1730" s="191" t="n">
        <v>4380890.17513346</v>
      </c>
      <c r="J1730" s="192" t="str">
        <f>IF(I1730&gt;0,H1730/I1730,0)</f>
      </c>
      <c r="K1730" s="193" t="str">
        <f>1-EXP(-J1730)</f>
      </c>
      <c r="L1730" s="194" t="str">
        <f>IF(G1730=30,1,M1729)</f>
      </c>
      <c r="M1730" s="195" t="str">
        <f>L1730*(1-K1730)</f>
      </c>
    </row>
    <row r="1731">
      <c r="A1731" t="s">
        <v>167</v>
      </c>
      <c r="B1731" t="s">
        <v>219</v>
      </c>
      <c r="C1731" s="35" t="s">
        <v>221</v>
      </c>
      <c r="D1731" t="s">
        <v>502</v>
      </c>
      <c r="E1731" t="s">
        <v>520</v>
      </c>
      <c r="F1731" s="188" t="n">
        <v>2042</v>
      </c>
      <c r="G1731" s="189" t="n">
        <v>39</v>
      </c>
      <c r="H1731" s="190" t="n">
        <v>2177.99601887209</v>
      </c>
      <c r="I1731" s="191" t="n">
        <v>4313728.39161535</v>
      </c>
      <c r="J1731" s="192" t="str">
        <f>IF(I1731&gt;0,H1731/I1731,0)</f>
      </c>
      <c r="K1731" s="193" t="str">
        <f>1-EXP(-J1731)</f>
      </c>
      <c r="L1731" s="194" t="str">
        <f>IF(G1731=30,1,M1730)</f>
      </c>
      <c r="M1731" s="195" t="str">
        <f>L1731*(1-K1731)</f>
      </c>
    </row>
    <row r="1732">
      <c r="A1732" t="s">
        <v>167</v>
      </c>
      <c r="B1732" t="s">
        <v>219</v>
      </c>
      <c r="C1732" s="35" t="s">
        <v>221</v>
      </c>
      <c r="D1732" t="s">
        <v>502</v>
      </c>
      <c r="E1732" t="s">
        <v>520</v>
      </c>
      <c r="F1732" s="188" t="n">
        <v>2042</v>
      </c>
      <c r="G1732" s="189" t="n">
        <v>40</v>
      </c>
      <c r="H1732" s="190" t="n">
        <v>3108.58597217714</v>
      </c>
      <c r="I1732" s="191" t="n">
        <v>4288661.51371606</v>
      </c>
      <c r="J1732" s="192" t="str">
        <f>IF(I1732&gt;0,H1732/I1732,0)</f>
      </c>
      <c r="K1732" s="193" t="str">
        <f>1-EXP(-J1732)</f>
      </c>
      <c r="L1732" s="194" t="str">
        <f>IF(G1732=30,1,M1731)</f>
      </c>
      <c r="M1732" s="195" t="str">
        <f>L1732*(1-K1732)</f>
      </c>
    </row>
    <row r="1733">
      <c r="A1733" t="s">
        <v>167</v>
      </c>
      <c r="B1733" t="s">
        <v>219</v>
      </c>
      <c r="C1733" s="35" t="s">
        <v>221</v>
      </c>
      <c r="D1733" t="s">
        <v>502</v>
      </c>
      <c r="E1733" t="s">
        <v>520</v>
      </c>
      <c r="F1733" s="188" t="n">
        <v>2042</v>
      </c>
      <c r="G1733" s="189" t="n">
        <v>41</v>
      </c>
      <c r="H1733" s="190" t="n">
        <v>3400.32838868094</v>
      </c>
      <c r="I1733" s="191" t="n">
        <v>4264856.90376874</v>
      </c>
      <c r="J1733" s="192" t="str">
        <f>IF(I1733&gt;0,H1733/I1733,0)</f>
      </c>
      <c r="K1733" s="193" t="str">
        <f>1-EXP(-J1733)</f>
      </c>
      <c r="L1733" s="194" t="str">
        <f>IF(G1733=30,1,M1732)</f>
      </c>
      <c r="M1733" s="195" t="str">
        <f>L1733*(1-K1733)</f>
      </c>
    </row>
    <row r="1734">
      <c r="A1734" t="s">
        <v>167</v>
      </c>
      <c r="B1734" t="s">
        <v>219</v>
      </c>
      <c r="C1734" s="35" t="s">
        <v>221</v>
      </c>
      <c r="D1734" t="s">
        <v>502</v>
      </c>
      <c r="E1734" t="s">
        <v>520</v>
      </c>
      <c r="F1734" s="188" t="n">
        <v>2042</v>
      </c>
      <c r="G1734" s="189" t="n">
        <v>42</v>
      </c>
      <c r="H1734" s="190" t="n">
        <v>3671.64912587889</v>
      </c>
      <c r="I1734" s="191" t="n">
        <v>4240971.26353405</v>
      </c>
      <c r="J1734" s="192" t="str">
        <f>IF(I1734&gt;0,H1734/I1734,0)</f>
      </c>
      <c r="K1734" s="193" t="str">
        <f>1-EXP(-J1734)</f>
      </c>
      <c r="L1734" s="194" t="str">
        <f>IF(G1734=30,1,M1733)</f>
      </c>
      <c r="M1734" s="195" t="str">
        <f>L1734*(1-K1734)</f>
      </c>
    </row>
    <row r="1735">
      <c r="A1735" t="s">
        <v>167</v>
      </c>
      <c r="B1735" t="s">
        <v>219</v>
      </c>
      <c r="C1735" s="35" t="s">
        <v>221</v>
      </c>
      <c r="D1735" t="s">
        <v>502</v>
      </c>
      <c r="E1735" t="s">
        <v>520</v>
      </c>
      <c r="F1735" s="188" t="n">
        <v>2042</v>
      </c>
      <c r="G1735" s="189" t="n">
        <v>43</v>
      </c>
      <c r="H1735" s="190" t="n">
        <v>4010.32321077063</v>
      </c>
      <c r="I1735" s="191" t="n">
        <v>4255637.10112709</v>
      </c>
      <c r="J1735" s="192" t="str">
        <f>IF(I1735&gt;0,H1735/I1735,0)</f>
      </c>
      <c r="K1735" s="193" t="str">
        <f>1-EXP(-J1735)</f>
      </c>
      <c r="L1735" s="194" t="str">
        <f>IF(G1735=30,1,M1734)</f>
      </c>
      <c r="M1735" s="195" t="str">
        <f>L1735*(1-K1735)</f>
      </c>
    </row>
    <row r="1736">
      <c r="A1736" t="s">
        <v>167</v>
      </c>
      <c r="B1736" t="s">
        <v>219</v>
      </c>
      <c r="C1736" s="35" t="s">
        <v>221</v>
      </c>
      <c r="D1736" t="s">
        <v>502</v>
      </c>
      <c r="E1736" t="s">
        <v>520</v>
      </c>
      <c r="F1736" s="188" t="n">
        <v>2042</v>
      </c>
      <c r="G1736" s="189" t="n">
        <v>44</v>
      </c>
      <c r="H1736" s="190" t="n">
        <v>4430.53122521494</v>
      </c>
      <c r="I1736" s="191" t="n">
        <v>4308097.97167495</v>
      </c>
      <c r="J1736" s="192" t="str">
        <f>IF(I1736&gt;0,H1736/I1736,0)</f>
      </c>
      <c r="K1736" s="193" t="str">
        <f>1-EXP(-J1736)</f>
      </c>
      <c r="L1736" s="194" t="str">
        <f>IF(G1736=30,1,M1735)</f>
      </c>
      <c r="M1736" s="195" t="str">
        <f>L1736*(1-K1736)</f>
      </c>
    </row>
    <row r="1737">
      <c r="A1737" t="s">
        <v>167</v>
      </c>
      <c r="B1737" t="s">
        <v>219</v>
      </c>
      <c r="C1737" s="35" t="s">
        <v>221</v>
      </c>
      <c r="D1737" t="s">
        <v>502</v>
      </c>
      <c r="E1737" t="s">
        <v>520</v>
      </c>
      <c r="F1737" s="188" t="n">
        <v>2042</v>
      </c>
      <c r="G1737" s="189" t="n">
        <v>45</v>
      </c>
      <c r="H1737" s="190" t="n">
        <v>6122.8259868458</v>
      </c>
      <c r="I1737" s="191" t="n">
        <v>4435410.74435342</v>
      </c>
      <c r="J1737" s="192" t="str">
        <f>IF(I1737&gt;0,H1737/I1737,0)</f>
      </c>
      <c r="K1737" s="193" t="str">
        <f>1-EXP(-J1737)</f>
      </c>
      <c r="L1737" s="194" t="str">
        <f>IF(G1737=30,1,M1736)</f>
      </c>
      <c r="M1737" s="195" t="str">
        <f>L1737*(1-K1737)</f>
      </c>
    </row>
    <row r="1738">
      <c r="A1738" t="s">
        <v>167</v>
      </c>
      <c r="B1738" t="s">
        <v>219</v>
      </c>
      <c r="C1738" s="35" t="s">
        <v>221</v>
      </c>
      <c r="D1738" t="s">
        <v>502</v>
      </c>
      <c r="E1738" t="s">
        <v>520</v>
      </c>
      <c r="F1738" s="188" t="n">
        <v>2042</v>
      </c>
      <c r="G1738" s="189" t="n">
        <v>46</v>
      </c>
      <c r="H1738" s="190" t="n">
        <v>6593.79466799726</v>
      </c>
      <c r="I1738" s="191" t="n">
        <v>4384235.17197757</v>
      </c>
      <c r="J1738" s="192" t="str">
        <f>IF(I1738&gt;0,H1738/I1738,0)</f>
      </c>
      <c r="K1738" s="193" t="str">
        <f>1-EXP(-J1738)</f>
      </c>
      <c r="L1738" s="194" t="str">
        <f>IF(G1738=30,1,M1737)</f>
      </c>
      <c r="M1738" s="195" t="str">
        <f>L1738*(1-K1738)</f>
      </c>
    </row>
    <row r="1739">
      <c r="A1739" t="s">
        <v>167</v>
      </c>
      <c r="B1739" t="s">
        <v>219</v>
      </c>
      <c r="C1739" s="35" t="s">
        <v>221</v>
      </c>
      <c r="D1739" t="s">
        <v>502</v>
      </c>
      <c r="E1739" t="s">
        <v>520</v>
      </c>
      <c r="F1739" s="188" t="n">
        <v>2042</v>
      </c>
      <c r="G1739" s="189" t="n">
        <v>47</v>
      </c>
      <c r="H1739" s="190" t="n">
        <v>7089.90222946883</v>
      </c>
      <c r="I1739" s="191" t="n">
        <v>4303814.83675609</v>
      </c>
      <c r="J1739" s="192" t="str">
        <f>IF(I1739&gt;0,H1739/I1739,0)</f>
      </c>
      <c r="K1739" s="193" t="str">
        <f>1-EXP(-J1739)</f>
      </c>
      <c r="L1739" s="194" t="str">
        <f>IF(G1739=30,1,M1738)</f>
      </c>
      <c r="M1739" s="195" t="str">
        <f>L1739*(1-K1739)</f>
      </c>
    </row>
    <row r="1740">
      <c r="A1740" t="s">
        <v>167</v>
      </c>
      <c r="B1740" t="s">
        <v>219</v>
      </c>
      <c r="C1740" s="35" t="s">
        <v>221</v>
      </c>
      <c r="D1740" t="s">
        <v>502</v>
      </c>
      <c r="E1740" t="s">
        <v>520</v>
      </c>
      <c r="F1740" s="188" t="n">
        <v>2042</v>
      </c>
      <c r="G1740" s="189" t="n">
        <v>48</v>
      </c>
      <c r="H1740" s="190" t="n">
        <v>7656.90525402495</v>
      </c>
      <c r="I1740" s="191" t="n">
        <v>4237891.4879904</v>
      </c>
      <c r="J1740" s="192" t="str">
        <f>IF(I1740&gt;0,H1740/I1740,0)</f>
      </c>
      <c r="K1740" s="193" t="str">
        <f>1-EXP(-J1740)</f>
      </c>
      <c r="L1740" s="194" t="str">
        <f>IF(G1740=30,1,M1739)</f>
      </c>
      <c r="M1740" s="195" t="str">
        <f>L1740*(1-K1740)</f>
      </c>
    </row>
    <row r="1741">
      <c r="A1741" t="s">
        <v>167</v>
      </c>
      <c r="B1741" t="s">
        <v>219</v>
      </c>
      <c r="C1741" s="35" t="s">
        <v>221</v>
      </c>
      <c r="D1741" t="s">
        <v>502</v>
      </c>
      <c r="E1741" t="s">
        <v>520</v>
      </c>
      <c r="F1741" s="188" t="n">
        <v>2042</v>
      </c>
      <c r="G1741" s="189" t="n">
        <v>49</v>
      </c>
      <c r="H1741" s="190" t="n">
        <v>8276.37580833947</v>
      </c>
      <c r="I1741" s="191" t="n">
        <v>4174548.26002175</v>
      </c>
      <c r="J1741" s="192" t="str">
        <f>IF(I1741&gt;0,H1741/I1741,0)</f>
      </c>
      <c r="K1741" s="193" t="str">
        <f>1-EXP(-J1741)</f>
      </c>
      <c r="L1741" s="194" t="str">
        <f>IF(G1741=30,1,M1740)</f>
      </c>
      <c r="M1741" s="195" t="str">
        <f>L1741*(1-K1741)</f>
      </c>
    </row>
    <row r="1742">
      <c r="A1742" t="s">
        <v>167</v>
      </c>
      <c r="B1742" t="s">
        <v>219</v>
      </c>
      <c r="C1742" s="35" t="s">
        <v>221</v>
      </c>
      <c r="D1742" t="s">
        <v>502</v>
      </c>
      <c r="E1742" t="s">
        <v>520</v>
      </c>
      <c r="F1742" s="188" t="n">
        <v>2042</v>
      </c>
      <c r="G1742" s="189" t="n">
        <v>50</v>
      </c>
      <c r="H1742" s="190" t="n">
        <v>9539.29733516358</v>
      </c>
      <c r="I1742" s="191" t="n">
        <v>4198378.20235815</v>
      </c>
      <c r="J1742" s="192" t="str">
        <f>IF(I1742&gt;0,H1742/I1742,0)</f>
      </c>
      <c r="K1742" s="193" t="str">
        <f>1-EXP(-J1742)</f>
      </c>
      <c r="L1742" s="194" t="str">
        <f>IF(G1742=30,1,M1741)</f>
      </c>
      <c r="M1742" s="195" t="str">
        <f>L1742*(1-K1742)</f>
      </c>
    </row>
    <row r="1743">
      <c r="A1743" t="s">
        <v>167</v>
      </c>
      <c r="B1743" t="s">
        <v>219</v>
      </c>
      <c r="C1743" s="35" t="s">
        <v>221</v>
      </c>
      <c r="D1743" t="s">
        <v>502</v>
      </c>
      <c r="E1743" t="s">
        <v>520</v>
      </c>
      <c r="F1743" s="188" t="n">
        <v>2042</v>
      </c>
      <c r="G1743" s="189" t="n">
        <v>51</v>
      </c>
      <c r="H1743" s="190" t="n">
        <v>10430.2791648137</v>
      </c>
      <c r="I1743" s="191" t="n">
        <v>4200863.49125417</v>
      </c>
      <c r="J1743" s="192" t="str">
        <f>IF(I1743&gt;0,H1743/I1743,0)</f>
      </c>
      <c r="K1743" s="193" t="str">
        <f>1-EXP(-J1743)</f>
      </c>
      <c r="L1743" s="194" t="str">
        <f>IF(G1743=30,1,M1742)</f>
      </c>
      <c r="M1743" s="195" t="str">
        <f>L1743*(1-K1743)</f>
      </c>
    </row>
    <row r="1744">
      <c r="A1744" t="s">
        <v>167</v>
      </c>
      <c r="B1744" t="s">
        <v>219</v>
      </c>
      <c r="C1744" s="35" t="s">
        <v>221</v>
      </c>
      <c r="D1744" t="s">
        <v>502</v>
      </c>
      <c r="E1744" t="s">
        <v>520</v>
      </c>
      <c r="F1744" s="188" t="n">
        <v>2042</v>
      </c>
      <c r="G1744" s="189" t="n">
        <v>52</v>
      </c>
      <c r="H1744" s="190" t="n">
        <v>15267.0516485602</v>
      </c>
      <c r="I1744" s="191" t="n">
        <v>6177853.54144829</v>
      </c>
      <c r="J1744" s="192" t="str">
        <f>IF(I1744&gt;0,H1744/I1744,0)</f>
      </c>
      <c r="K1744" s="193" t="str">
        <f>1-EXP(-J1744)</f>
      </c>
      <c r="L1744" s="194" t="str">
        <f>IF(G1744=30,1,M1743)</f>
      </c>
      <c r="M1744" s="195" t="str">
        <f>L1744*(1-K1744)</f>
      </c>
    </row>
    <row r="1745">
      <c r="A1745" t="s">
        <v>167</v>
      </c>
      <c r="B1745" t="s">
        <v>219</v>
      </c>
      <c r="C1745" s="35" t="s">
        <v>221</v>
      </c>
      <c r="D1745" t="s">
        <v>502</v>
      </c>
      <c r="E1745" t="s">
        <v>520</v>
      </c>
      <c r="F1745" s="188" t="n">
        <v>2042</v>
      </c>
      <c r="G1745" s="189" t="n">
        <v>53</v>
      </c>
      <c r="H1745" s="190" t="n">
        <v>12244.4587058012</v>
      </c>
      <c r="I1745" s="191" t="n">
        <v>4128458.02646055</v>
      </c>
      <c r="J1745" s="192" t="str">
        <f>IF(I1745&gt;0,H1745/I1745,0)</f>
      </c>
      <c r="K1745" s="193" t="str">
        <f>1-EXP(-J1745)</f>
      </c>
      <c r="L1745" s="194" t="str">
        <f>IF(G1745=30,1,M1744)</f>
      </c>
      <c r="M1745" s="195" t="str">
        <f>L1745*(1-K1745)</f>
      </c>
    </row>
    <row r="1746">
      <c r="A1746" t="s">
        <v>167</v>
      </c>
      <c r="B1746" t="s">
        <v>219</v>
      </c>
      <c r="C1746" s="35" t="s">
        <v>221</v>
      </c>
      <c r="D1746" t="s">
        <v>502</v>
      </c>
      <c r="E1746" t="s">
        <v>520</v>
      </c>
      <c r="F1746" s="188" t="n">
        <v>2042</v>
      </c>
      <c r="G1746" s="189" t="n">
        <v>54</v>
      </c>
      <c r="H1746" s="190" t="n">
        <v>13245.3891151551</v>
      </c>
      <c r="I1746" s="191" t="n">
        <v>4093841.8696282</v>
      </c>
      <c r="J1746" s="192" t="str">
        <f>IF(I1746&gt;0,H1746/I1746,0)</f>
      </c>
      <c r="K1746" s="193" t="str">
        <f>1-EXP(-J1746)</f>
      </c>
      <c r="L1746" s="194" t="str">
        <f>IF(G1746=30,1,M1745)</f>
      </c>
      <c r="M1746" s="195" t="str">
        <f>L1746*(1-K1746)</f>
      </c>
    </row>
    <row r="1747">
      <c r="A1747" t="s">
        <v>167</v>
      </c>
      <c r="B1747" t="s">
        <v>219</v>
      </c>
      <c r="C1747" s="35" t="s">
        <v>221</v>
      </c>
      <c r="D1747" t="s">
        <v>502</v>
      </c>
      <c r="E1747" t="s">
        <v>520</v>
      </c>
      <c r="F1747" s="188" t="n">
        <v>2042</v>
      </c>
      <c r="G1747" s="189" t="n">
        <v>55</v>
      </c>
      <c r="H1747" s="190" t="n">
        <v>13784.6666801385</v>
      </c>
      <c r="I1747" s="191" t="n">
        <v>3948583.70961014</v>
      </c>
      <c r="J1747" s="192" t="str">
        <f>IF(I1747&gt;0,H1747/I1747,0)</f>
      </c>
      <c r="K1747" s="193" t="str">
        <f>1-EXP(-J1747)</f>
      </c>
      <c r="L1747" s="194" t="str">
        <f>IF(G1747=30,1,M1746)</f>
      </c>
      <c r="M1747" s="195" t="str">
        <f>L1747*(1-K1747)</f>
      </c>
    </row>
    <row r="1748">
      <c r="A1748" t="s">
        <v>167</v>
      </c>
      <c r="B1748" t="s">
        <v>219</v>
      </c>
      <c r="C1748" s="35" t="s">
        <v>221</v>
      </c>
      <c r="D1748" t="s">
        <v>502</v>
      </c>
      <c r="E1748" t="s">
        <v>520</v>
      </c>
      <c r="F1748" s="188" t="n">
        <v>2042</v>
      </c>
      <c r="G1748" s="189" t="n">
        <v>56</v>
      </c>
      <c r="H1748" s="190" t="n">
        <v>14776.2538623823</v>
      </c>
      <c r="I1748" s="191" t="n">
        <v>3894388.15085525</v>
      </c>
      <c r="J1748" s="192" t="str">
        <f>IF(I1748&gt;0,H1748/I1748,0)</f>
      </c>
      <c r="K1748" s="193" t="str">
        <f>1-EXP(-J1748)</f>
      </c>
      <c r="L1748" s="194" t="str">
        <f>IF(G1748=30,1,M1747)</f>
      </c>
      <c r="M1748" s="195" t="str">
        <f>L1748*(1-K1748)</f>
      </c>
    </row>
    <row r="1749">
      <c r="A1749" t="s">
        <v>167</v>
      </c>
      <c r="B1749" t="s">
        <v>219</v>
      </c>
      <c r="C1749" s="35" t="s">
        <v>221</v>
      </c>
      <c r="D1749" t="s">
        <v>502</v>
      </c>
      <c r="E1749" t="s">
        <v>520</v>
      </c>
      <c r="F1749" s="188" t="n">
        <v>2042</v>
      </c>
      <c r="G1749" s="189" t="n">
        <v>57</v>
      </c>
      <c r="H1749" s="190" t="n">
        <v>16263.4943935908</v>
      </c>
      <c r="I1749" s="191" t="n">
        <v>3926084.99180848</v>
      </c>
      <c r="J1749" s="192" t="str">
        <f>IF(I1749&gt;0,H1749/I1749,0)</f>
      </c>
      <c r="K1749" s="193" t="str">
        <f>1-EXP(-J1749)</f>
      </c>
      <c r="L1749" s="194" t="str">
        <f>IF(G1749=30,1,M1748)</f>
      </c>
      <c r="M1749" s="195" t="str">
        <f>L1749*(1-K1749)</f>
      </c>
    </row>
    <row r="1750">
      <c r="A1750" t="s">
        <v>167</v>
      </c>
      <c r="B1750" t="s">
        <v>219</v>
      </c>
      <c r="C1750" s="35" t="s">
        <v>221</v>
      </c>
      <c r="D1750" t="s">
        <v>502</v>
      </c>
      <c r="E1750" t="s">
        <v>520</v>
      </c>
      <c r="F1750" s="188" t="n">
        <v>2042</v>
      </c>
      <c r="G1750" s="189" t="n">
        <v>58</v>
      </c>
      <c r="H1750" s="190" t="n">
        <v>18017.5146860628</v>
      </c>
      <c r="I1750" s="191" t="n">
        <v>3978299.79372286</v>
      </c>
      <c r="J1750" s="192" t="str">
        <f>IF(I1750&gt;0,H1750/I1750,0)</f>
      </c>
      <c r="K1750" s="193" t="str">
        <f>1-EXP(-J1750)</f>
      </c>
      <c r="L1750" s="194" t="str">
        <f>IF(G1750=30,1,M1749)</f>
      </c>
      <c r="M1750" s="195" t="str">
        <f>L1750*(1-K1750)</f>
      </c>
    </row>
    <row r="1751">
      <c r="A1751" t="s">
        <v>167</v>
      </c>
      <c r="B1751" t="s">
        <v>219</v>
      </c>
      <c r="C1751" s="35" t="s">
        <v>221</v>
      </c>
      <c r="D1751" t="s">
        <v>502</v>
      </c>
      <c r="E1751" t="s">
        <v>520</v>
      </c>
      <c r="F1751" s="188" t="n">
        <v>2042</v>
      </c>
      <c r="G1751" s="189" t="n">
        <v>59</v>
      </c>
      <c r="H1751" s="190" t="n">
        <v>19471.0828804071</v>
      </c>
      <c r="I1751" s="191" t="n">
        <v>3927072.22566828</v>
      </c>
      <c r="J1751" s="192" t="str">
        <f>IF(I1751&gt;0,H1751/I1751,0)</f>
      </c>
      <c r="K1751" s="193" t="str">
        <f>1-EXP(-J1751)</f>
      </c>
      <c r="L1751" s="194" t="str">
        <f>IF(G1751=30,1,M1750)</f>
      </c>
      <c r="M1751" s="195" t="str">
        <f>L1751*(1-K1751)</f>
      </c>
    </row>
    <row r="1752">
      <c r="A1752" t="s">
        <v>167</v>
      </c>
      <c r="B1752" t="s">
        <v>219</v>
      </c>
      <c r="C1752" s="35" t="s">
        <v>221</v>
      </c>
      <c r="D1752" t="s">
        <v>502</v>
      </c>
      <c r="E1752" t="s">
        <v>520</v>
      </c>
      <c r="F1752" s="188" t="n">
        <v>2042</v>
      </c>
      <c r="G1752" s="189" t="n">
        <v>60</v>
      </c>
      <c r="H1752" s="190" t="n">
        <v>20365.4868511379</v>
      </c>
      <c r="I1752" s="191" t="n">
        <v>3770975.47949374</v>
      </c>
      <c r="J1752" s="192" t="str">
        <f>IF(I1752&gt;0,H1752/I1752,0)</f>
      </c>
      <c r="K1752" s="193" t="str">
        <f>1-EXP(-J1752)</f>
      </c>
      <c r="L1752" s="194" t="str">
        <f>IF(G1752=30,1,M1751)</f>
      </c>
      <c r="M1752" s="195" t="str">
        <f>L1752*(1-K1752)</f>
      </c>
    </row>
    <row r="1753">
      <c r="A1753" t="s">
        <v>167</v>
      </c>
      <c r="B1753" t="s">
        <v>219</v>
      </c>
      <c r="C1753" s="35" t="s">
        <v>221</v>
      </c>
      <c r="D1753" t="s">
        <v>502</v>
      </c>
      <c r="E1753" t="s">
        <v>520</v>
      </c>
      <c r="F1753" s="188" t="n">
        <v>2042</v>
      </c>
      <c r="G1753" s="189" t="n">
        <v>61</v>
      </c>
      <c r="H1753" s="190" t="n">
        <v>21748.851734494</v>
      </c>
      <c r="I1753" s="191" t="n">
        <v>3670675.89661012</v>
      </c>
      <c r="J1753" s="192" t="str">
        <f>IF(I1753&gt;0,H1753/I1753,0)</f>
      </c>
      <c r="K1753" s="193" t="str">
        <f>1-EXP(-J1753)</f>
      </c>
      <c r="L1753" s="194" t="str">
        <f>IF(G1753=30,1,M1752)</f>
      </c>
      <c r="M1753" s="195" t="str">
        <f>L1753*(1-K1753)</f>
      </c>
    </row>
    <row r="1754">
      <c r="A1754" t="s">
        <v>167</v>
      </c>
      <c r="B1754" t="s">
        <v>219</v>
      </c>
      <c r="C1754" s="35" t="s">
        <v>221</v>
      </c>
      <c r="D1754" t="s">
        <v>502</v>
      </c>
      <c r="E1754" t="s">
        <v>520</v>
      </c>
      <c r="F1754" s="188" t="n">
        <v>2042</v>
      </c>
      <c r="G1754" s="189" t="n">
        <v>62</v>
      </c>
      <c r="H1754" s="190" t="n">
        <v>23292.7678357395</v>
      </c>
      <c r="I1754" s="191" t="n">
        <v>3583070.23518863</v>
      </c>
      <c r="J1754" s="192" t="str">
        <f>IF(I1754&gt;0,H1754/I1754,0)</f>
      </c>
      <c r="K1754" s="193" t="str">
        <f>1-EXP(-J1754)</f>
      </c>
      <c r="L1754" s="194" t="str">
        <f>IF(G1754=30,1,M1753)</f>
      </c>
      <c r="M1754" s="195" t="str">
        <f>L1754*(1-K1754)</f>
      </c>
    </row>
    <row r="1755">
      <c r="A1755" t="s">
        <v>167</v>
      </c>
      <c r="B1755" t="s">
        <v>219</v>
      </c>
      <c r="C1755" s="35" t="s">
        <v>221</v>
      </c>
      <c r="D1755" t="s">
        <v>502</v>
      </c>
      <c r="E1755" t="s">
        <v>520</v>
      </c>
      <c r="F1755" s="188" t="n">
        <v>2042</v>
      </c>
      <c r="G1755" s="189" t="n">
        <v>63</v>
      </c>
      <c r="H1755" s="190" t="n">
        <v>24887.7314193695</v>
      </c>
      <c r="I1755" s="191" t="n">
        <v>3488625.83084977</v>
      </c>
      <c r="J1755" s="192" t="str">
        <f>IF(I1755&gt;0,H1755/I1755,0)</f>
      </c>
      <c r="K1755" s="193" t="str">
        <f>1-EXP(-J1755)</f>
      </c>
      <c r="L1755" s="194" t="str">
        <f>IF(G1755=30,1,M1754)</f>
      </c>
      <c r="M1755" s="195" t="str">
        <f>L1755*(1-K1755)</f>
      </c>
    </row>
    <row r="1756">
      <c r="A1756" t="s">
        <v>167</v>
      </c>
      <c r="B1756" t="s">
        <v>219</v>
      </c>
      <c r="C1756" s="35" t="s">
        <v>221</v>
      </c>
      <c r="D1756" t="s">
        <v>502</v>
      </c>
      <c r="E1756" t="s">
        <v>520</v>
      </c>
      <c r="F1756" s="188" t="n">
        <v>2042</v>
      </c>
      <c r="G1756" s="189" t="n">
        <v>64</v>
      </c>
      <c r="H1756" s="190" t="n">
        <v>26420.3542422423</v>
      </c>
      <c r="I1756" s="191" t="n">
        <v>3375157.40774649</v>
      </c>
      <c r="J1756" s="192" t="str">
        <f>IF(I1756&gt;0,H1756/I1756,0)</f>
      </c>
      <c r="K1756" s="193" t="str">
        <f>1-EXP(-J1756)</f>
      </c>
      <c r="L1756" s="194" t="str">
        <f>IF(G1756=30,1,M1755)</f>
      </c>
      <c r="M1756" s="195" t="str">
        <f>L1756*(1-K1756)</f>
      </c>
    </row>
    <row r="1757">
      <c r="A1757" t="s">
        <v>167</v>
      </c>
      <c r="B1757" t="s">
        <v>219</v>
      </c>
      <c r="C1757" s="35" t="s">
        <v>221</v>
      </c>
      <c r="D1757" t="s">
        <v>502</v>
      </c>
      <c r="E1757" t="s">
        <v>520</v>
      </c>
      <c r="F1757" s="188" t="n">
        <v>2042</v>
      </c>
      <c r="G1757" s="189" t="n">
        <v>65</v>
      </c>
      <c r="H1757" s="190" t="n">
        <v>26926.7605870398</v>
      </c>
      <c r="I1757" s="191" t="n">
        <v>3274241.90488123</v>
      </c>
      <c r="J1757" s="192" t="str">
        <f>IF(I1757&gt;0,H1757/I1757,0)</f>
      </c>
      <c r="K1757" s="193" t="str">
        <f>1-EXP(-J1757)</f>
      </c>
      <c r="L1757" s="194" t="str">
        <f>IF(G1757=30,1,M1756)</f>
      </c>
      <c r="M1757" s="195" t="str">
        <f>L1757*(1-K1757)</f>
      </c>
    </row>
    <row r="1758">
      <c r="A1758" t="s">
        <v>167</v>
      </c>
      <c r="B1758" t="s">
        <v>219</v>
      </c>
      <c r="C1758" s="35" t="s">
        <v>221</v>
      </c>
      <c r="D1758" t="s">
        <v>502</v>
      </c>
      <c r="E1758" t="s">
        <v>520</v>
      </c>
      <c r="F1758" s="188" t="n">
        <v>2042</v>
      </c>
      <c r="G1758" s="189" t="n">
        <v>66</v>
      </c>
      <c r="H1758" s="190" t="n">
        <v>28507.7889020292</v>
      </c>
      <c r="I1758" s="191" t="n">
        <v>3162315.79605301</v>
      </c>
      <c r="J1758" s="192" t="str">
        <f>IF(I1758&gt;0,H1758/I1758,0)</f>
      </c>
      <c r="K1758" s="193" t="str">
        <f>1-EXP(-J1758)</f>
      </c>
      <c r="L1758" s="194" t="str">
        <f>IF(G1758=30,1,M1757)</f>
      </c>
      <c r="M1758" s="195" t="str">
        <f>L1758*(1-K1758)</f>
      </c>
    </row>
    <row r="1759">
      <c r="A1759" t="s">
        <v>167</v>
      </c>
      <c r="B1759" t="s">
        <v>219</v>
      </c>
      <c r="C1759" s="35" t="s">
        <v>221</v>
      </c>
      <c r="D1759" t="s">
        <v>502</v>
      </c>
      <c r="E1759" t="s">
        <v>520</v>
      </c>
      <c r="F1759" s="188" t="n">
        <v>2042</v>
      </c>
      <c r="G1759" s="189" t="n">
        <v>67</v>
      </c>
      <c r="H1759" s="190" t="n">
        <v>30167.4393148619</v>
      </c>
      <c r="I1759" s="191" t="n">
        <v>3047426.49687539</v>
      </c>
      <c r="J1759" s="192" t="str">
        <f>IF(I1759&gt;0,H1759/I1759,0)</f>
      </c>
      <c r="K1759" s="193" t="str">
        <f>1-EXP(-J1759)</f>
      </c>
      <c r="L1759" s="194" t="str">
        <f>IF(G1759=30,1,M1758)</f>
      </c>
      <c r="M1759" s="195" t="str">
        <f>L1759*(1-K1759)</f>
      </c>
    </row>
    <row r="1760">
      <c r="A1760" t="s">
        <v>167</v>
      </c>
      <c r="B1760" t="s">
        <v>219</v>
      </c>
      <c r="C1760" s="35" t="s">
        <v>221</v>
      </c>
      <c r="D1760" t="s">
        <v>502</v>
      </c>
      <c r="E1760" t="s">
        <v>520</v>
      </c>
      <c r="F1760" s="188" t="n">
        <v>2042</v>
      </c>
      <c r="G1760" s="189" t="n">
        <v>68</v>
      </c>
      <c r="H1760" s="190" t="n">
        <v>31640.1551708336</v>
      </c>
      <c r="I1760" s="191" t="n">
        <v>2908119.47620637</v>
      </c>
      <c r="J1760" s="192" t="str">
        <f>IF(I1760&gt;0,H1760/I1760,0)</f>
      </c>
      <c r="K1760" s="193" t="str">
        <f>1-EXP(-J1760)</f>
      </c>
      <c r="L1760" s="194" t="str">
        <f>IF(G1760=30,1,M1759)</f>
      </c>
      <c r="M1760" s="195" t="str">
        <f>L1760*(1-K1760)</f>
      </c>
    </row>
    <row r="1761">
      <c r="A1761" t="s">
        <v>167</v>
      </c>
      <c r="B1761" t="s">
        <v>219</v>
      </c>
      <c r="C1761" s="35" t="s">
        <v>221</v>
      </c>
      <c r="D1761" t="s">
        <v>502</v>
      </c>
      <c r="E1761" t="s">
        <v>520</v>
      </c>
      <c r="F1761" s="188" t="n">
        <v>2042</v>
      </c>
      <c r="G1761" s="189" t="n">
        <v>69</v>
      </c>
      <c r="H1761" s="190" t="n">
        <v>33706.4661025958</v>
      </c>
      <c r="I1761" s="191" t="n">
        <v>2816243.25262746</v>
      </c>
      <c r="J1761" s="192" t="str">
        <f>IF(I1761&gt;0,H1761/I1761,0)</f>
      </c>
      <c r="K1761" s="193" t="str">
        <f>1-EXP(-J1761)</f>
      </c>
      <c r="L1761" s="194" t="str">
        <f>IF(G1761=30,1,M1760)</f>
      </c>
      <c r="M1761" s="195" t="str">
        <f>L1761*(1-K1761)</f>
      </c>
    </row>
    <row r="1762">
      <c r="A1762" t="s">
        <v>167</v>
      </c>
      <c r="B1762" t="s">
        <v>219</v>
      </c>
      <c r="C1762" s="35" t="s">
        <v>221</v>
      </c>
      <c r="D1762" t="s">
        <v>502</v>
      </c>
      <c r="E1762" t="s">
        <v>520</v>
      </c>
      <c r="F1762" s="188" t="n">
        <v>2043</v>
      </c>
      <c r="G1762" s="189" t="n">
        <v>30</v>
      </c>
      <c r="H1762" s="190" t="n">
        <v>735.318738032267</v>
      </c>
      <c r="I1762" s="191" t="n">
        <v>4787895.60258552</v>
      </c>
      <c r="J1762" s="192" t="str">
        <f>IF(I1762&gt;0,H1762/I1762,0)</f>
      </c>
      <c r="K1762" s="193" t="str">
        <f>1-EXP(-J1762)</f>
      </c>
      <c r="L1762" s="194" t="str">
        <f>IF(G1762=30,1,M1761)</f>
      </c>
      <c r="M1762" s="195" t="str">
        <f>L1762*(1-K1762)</f>
      </c>
    </row>
    <row r="1763">
      <c r="A1763" t="s">
        <v>167</v>
      </c>
      <c r="B1763" t="s">
        <v>219</v>
      </c>
      <c r="C1763" s="35" t="s">
        <v>221</v>
      </c>
      <c r="D1763" t="s">
        <v>502</v>
      </c>
      <c r="E1763" t="s">
        <v>520</v>
      </c>
      <c r="F1763" s="188" t="n">
        <v>2043</v>
      </c>
      <c r="G1763" s="189" t="n">
        <v>31</v>
      </c>
      <c r="H1763" s="190" t="n">
        <v>1035.87515307392</v>
      </c>
      <c r="I1763" s="191" t="n">
        <v>4900924.78186068</v>
      </c>
      <c r="J1763" s="192" t="str">
        <f>IF(I1763&gt;0,H1763/I1763,0)</f>
      </c>
      <c r="K1763" s="193" t="str">
        <f>1-EXP(-J1763)</f>
      </c>
      <c r="L1763" s="194" t="str">
        <f>IF(G1763=30,1,M1762)</f>
      </c>
      <c r="M1763" s="195" t="str">
        <f>L1763*(1-K1763)</f>
      </c>
    </row>
    <row r="1764">
      <c r="A1764" t="s">
        <v>167</v>
      </c>
      <c r="B1764" t="s">
        <v>219</v>
      </c>
      <c r="C1764" s="35" t="s">
        <v>221</v>
      </c>
      <c r="D1764" t="s">
        <v>502</v>
      </c>
      <c r="E1764" t="s">
        <v>520</v>
      </c>
      <c r="F1764" s="188" t="n">
        <v>2043</v>
      </c>
      <c r="G1764" s="189" t="n">
        <v>32</v>
      </c>
      <c r="H1764" s="190" t="n">
        <v>1084.76899150666</v>
      </c>
      <c r="I1764" s="191" t="n">
        <v>4872924.68429322</v>
      </c>
      <c r="J1764" s="192" t="str">
        <f>IF(I1764&gt;0,H1764/I1764,0)</f>
      </c>
      <c r="K1764" s="193" t="str">
        <f>1-EXP(-J1764)</f>
      </c>
      <c r="L1764" s="194" t="str">
        <f>IF(G1764=30,1,M1763)</f>
      </c>
      <c r="M1764" s="195" t="str">
        <f>L1764*(1-K1764)</f>
      </c>
    </row>
    <row r="1765">
      <c r="A1765" t="s">
        <v>167</v>
      </c>
      <c r="B1765" t="s">
        <v>219</v>
      </c>
      <c r="C1765" s="35" t="s">
        <v>221</v>
      </c>
      <c r="D1765" t="s">
        <v>502</v>
      </c>
      <c r="E1765" t="s">
        <v>520</v>
      </c>
      <c r="F1765" s="188" t="n">
        <v>2043</v>
      </c>
      <c r="G1765" s="189" t="n">
        <v>33</v>
      </c>
      <c r="H1765" s="190" t="n">
        <v>1117.48054916274</v>
      </c>
      <c r="I1765" s="191" t="n">
        <v>4739137.6004019</v>
      </c>
      <c r="J1765" s="192" t="str">
        <f>IF(I1765&gt;0,H1765/I1765,0)</f>
      </c>
      <c r="K1765" s="193" t="str">
        <f>1-EXP(-J1765)</f>
      </c>
      <c r="L1765" s="194" t="str">
        <f>IF(G1765=30,1,M1764)</f>
      </c>
      <c r="M1765" s="195" t="str">
        <f>L1765*(1-K1765)</f>
      </c>
    </row>
    <row r="1766">
      <c r="A1766" t="s">
        <v>167</v>
      </c>
      <c r="B1766" t="s">
        <v>219</v>
      </c>
      <c r="C1766" s="35" t="s">
        <v>221</v>
      </c>
      <c r="D1766" t="s">
        <v>502</v>
      </c>
      <c r="E1766" t="s">
        <v>520</v>
      </c>
      <c r="F1766" s="188" t="n">
        <v>2043</v>
      </c>
      <c r="G1766" s="189" t="n">
        <v>34</v>
      </c>
      <c r="H1766" s="190" t="n">
        <v>1173.11518891791</v>
      </c>
      <c r="I1766" s="191" t="n">
        <v>4668135.97573743</v>
      </c>
      <c r="J1766" s="192" t="str">
        <f>IF(I1766&gt;0,H1766/I1766,0)</f>
      </c>
      <c r="K1766" s="193" t="str">
        <f>1-EXP(-J1766)</f>
      </c>
      <c r="L1766" s="194" t="str">
        <f>IF(G1766=30,1,M1765)</f>
      </c>
      <c r="M1766" s="195" t="str">
        <f>L1766*(1-K1766)</f>
      </c>
    </row>
    <row r="1767">
      <c r="A1767" t="s">
        <v>167</v>
      </c>
      <c r="B1767" t="s">
        <v>219</v>
      </c>
      <c r="C1767" s="35" t="s">
        <v>221</v>
      </c>
      <c r="D1767" t="s">
        <v>502</v>
      </c>
      <c r="E1767" t="s">
        <v>520</v>
      </c>
      <c r="F1767" s="188" t="n">
        <v>2043</v>
      </c>
      <c r="G1767" s="189" t="n">
        <v>35</v>
      </c>
      <c r="H1767" s="190" t="n">
        <v>1533.19931441072</v>
      </c>
      <c r="I1767" s="191" t="n">
        <v>4625004.25083929</v>
      </c>
      <c r="J1767" s="192" t="str">
        <f>IF(I1767&gt;0,H1767/I1767,0)</f>
      </c>
      <c r="K1767" s="193" t="str">
        <f>1-EXP(-J1767)</f>
      </c>
      <c r="L1767" s="194" t="str">
        <f>IF(G1767=30,1,M1766)</f>
      </c>
      <c r="M1767" s="195" t="str">
        <f>L1767*(1-K1767)</f>
      </c>
    </row>
    <row r="1768">
      <c r="A1768" t="s">
        <v>167</v>
      </c>
      <c r="B1768" t="s">
        <v>219</v>
      </c>
      <c r="C1768" s="35" t="s">
        <v>221</v>
      </c>
      <c r="D1768" t="s">
        <v>502</v>
      </c>
      <c r="E1768" t="s">
        <v>520</v>
      </c>
      <c r="F1768" s="188" t="n">
        <v>2043</v>
      </c>
      <c r="G1768" s="189" t="n">
        <v>36</v>
      </c>
      <c r="H1768" s="190" t="n">
        <v>1864.64103812983</v>
      </c>
      <c r="I1768" s="191" t="n">
        <v>4649544.31475304</v>
      </c>
      <c r="J1768" s="192" t="str">
        <f>IF(I1768&gt;0,H1768/I1768,0)</f>
      </c>
      <c r="K1768" s="193" t="str">
        <f>1-EXP(-J1768)</f>
      </c>
      <c r="L1768" s="194" t="str">
        <f>IF(G1768=30,1,M1767)</f>
      </c>
      <c r="M1768" s="195" t="str">
        <f>L1768*(1-K1768)</f>
      </c>
    </row>
    <row r="1769">
      <c r="A1769" t="s">
        <v>167</v>
      </c>
      <c r="B1769" t="s">
        <v>219</v>
      </c>
      <c r="C1769" s="35" t="s">
        <v>221</v>
      </c>
      <c r="D1769" t="s">
        <v>502</v>
      </c>
      <c r="E1769" t="s">
        <v>520</v>
      </c>
      <c r="F1769" s="188" t="n">
        <v>2043</v>
      </c>
      <c r="G1769" s="189" t="n">
        <v>37</v>
      </c>
      <c r="H1769" s="190" t="n">
        <v>1968.53856467162</v>
      </c>
      <c r="I1769" s="191" t="n">
        <v>4565591.63845571</v>
      </c>
      <c r="J1769" s="192" t="str">
        <f>IF(I1769&gt;0,H1769/I1769,0)</f>
      </c>
      <c r="K1769" s="193" t="str">
        <f>1-EXP(-J1769)</f>
      </c>
      <c r="L1769" s="194" t="str">
        <f>IF(G1769=30,1,M1768)</f>
      </c>
      <c r="M1769" s="195" t="str">
        <f>L1769*(1-K1769)</f>
      </c>
    </row>
    <row r="1770">
      <c r="A1770" t="s">
        <v>167</v>
      </c>
      <c r="B1770" t="s">
        <v>219</v>
      </c>
      <c r="C1770" s="35" t="s">
        <v>221</v>
      </c>
      <c r="D1770" t="s">
        <v>502</v>
      </c>
      <c r="E1770" t="s">
        <v>520</v>
      </c>
      <c r="F1770" s="188" t="n">
        <v>2043</v>
      </c>
      <c r="G1770" s="189" t="n">
        <v>38</v>
      </c>
      <c r="H1770" s="190" t="n">
        <v>2094.42664948884</v>
      </c>
      <c r="I1770" s="191" t="n">
        <v>4503175.11063339</v>
      </c>
      <c r="J1770" s="192" t="str">
        <f>IF(I1770&gt;0,H1770/I1770,0)</f>
      </c>
      <c r="K1770" s="193" t="str">
        <f>1-EXP(-J1770)</f>
      </c>
      <c r="L1770" s="194" t="str">
        <f>IF(G1770=30,1,M1769)</f>
      </c>
      <c r="M1770" s="195" t="str">
        <f>L1770*(1-K1770)</f>
      </c>
    </row>
    <row r="1771">
      <c r="A1771" t="s">
        <v>167</v>
      </c>
      <c r="B1771" t="s">
        <v>219</v>
      </c>
      <c r="C1771" s="35" t="s">
        <v>221</v>
      </c>
      <c r="D1771" t="s">
        <v>502</v>
      </c>
      <c r="E1771" t="s">
        <v>520</v>
      </c>
      <c r="F1771" s="188" t="n">
        <v>2043</v>
      </c>
      <c r="G1771" s="189" t="n">
        <v>39</v>
      </c>
      <c r="H1771" s="190" t="n">
        <v>2200.82481834378</v>
      </c>
      <c r="I1771" s="191" t="n">
        <v>4373345.00401711</v>
      </c>
      <c r="J1771" s="192" t="str">
        <f>IF(I1771&gt;0,H1771/I1771,0)</f>
      </c>
      <c r="K1771" s="193" t="str">
        <f>1-EXP(-J1771)</f>
      </c>
      <c r="L1771" s="194" t="str">
        <f>IF(G1771=30,1,M1770)</f>
      </c>
      <c r="M1771" s="195" t="str">
        <f>L1771*(1-K1771)</f>
      </c>
    </row>
    <row r="1772">
      <c r="A1772" t="s">
        <v>167</v>
      </c>
      <c r="B1772" t="s">
        <v>219</v>
      </c>
      <c r="C1772" s="35" t="s">
        <v>221</v>
      </c>
      <c r="D1772" t="s">
        <v>502</v>
      </c>
      <c r="E1772" t="s">
        <v>520</v>
      </c>
      <c r="F1772" s="188" t="n">
        <v>2043</v>
      </c>
      <c r="G1772" s="189" t="n">
        <v>40</v>
      </c>
      <c r="H1772" s="190" t="n">
        <v>2917.54661682032</v>
      </c>
      <c r="I1772" s="191" t="n">
        <v>4305738.34926629</v>
      </c>
      <c r="J1772" s="192" t="str">
        <f>IF(I1772&gt;0,H1772/I1772,0)</f>
      </c>
      <c r="K1772" s="193" t="str">
        <f>1-EXP(-J1772)</f>
      </c>
      <c r="L1772" s="194" t="str">
        <f>IF(G1772=30,1,M1771)</f>
      </c>
      <c r="M1772" s="195" t="str">
        <f>L1772*(1-K1772)</f>
      </c>
    </row>
    <row r="1773">
      <c r="A1773" t="s">
        <v>167</v>
      </c>
      <c r="B1773" t="s">
        <v>219</v>
      </c>
      <c r="C1773" s="35" t="s">
        <v>221</v>
      </c>
      <c r="D1773" t="s">
        <v>502</v>
      </c>
      <c r="E1773" t="s">
        <v>520</v>
      </c>
      <c r="F1773" s="188" t="n">
        <v>2043</v>
      </c>
      <c r="G1773" s="189" t="n">
        <v>41</v>
      </c>
      <c r="H1773" s="190" t="n">
        <v>3395.90997791777</v>
      </c>
      <c r="I1773" s="191" t="n">
        <v>4279234.19390732</v>
      </c>
      <c r="J1773" s="192" t="str">
        <f>IF(I1773&gt;0,H1773/I1773,0)</f>
      </c>
      <c r="K1773" s="193" t="str">
        <f>1-EXP(-J1773)</f>
      </c>
      <c r="L1773" s="194" t="str">
        <f>IF(G1773=30,1,M1772)</f>
      </c>
      <c r="M1773" s="195" t="str">
        <f>L1773*(1-K1773)</f>
      </c>
    </row>
    <row r="1774">
      <c r="A1774" t="s">
        <v>167</v>
      </c>
      <c r="B1774" t="s">
        <v>219</v>
      </c>
      <c r="C1774" s="35" t="s">
        <v>221</v>
      </c>
      <c r="D1774" t="s">
        <v>502</v>
      </c>
      <c r="E1774" t="s">
        <v>520</v>
      </c>
      <c r="F1774" s="188" t="n">
        <v>2043</v>
      </c>
      <c r="G1774" s="189" t="n">
        <v>42</v>
      </c>
      <c r="H1774" s="190" t="n">
        <v>3665.34748098548</v>
      </c>
      <c r="I1774" s="191" t="n">
        <v>4255417.62985743</v>
      </c>
      <c r="J1774" s="192" t="str">
        <f>IF(I1774&gt;0,H1774/I1774,0)</f>
      </c>
      <c r="K1774" s="193" t="str">
        <f>1-EXP(-J1774)</f>
      </c>
      <c r="L1774" s="194" t="str">
        <f>IF(G1774=30,1,M1773)</f>
      </c>
      <c r="M1774" s="195" t="str">
        <f>L1774*(1-K1774)</f>
      </c>
    </row>
    <row r="1775">
      <c r="A1775" t="s">
        <v>167</v>
      </c>
      <c r="B1775" t="s">
        <v>219</v>
      </c>
      <c r="C1775" s="35" t="s">
        <v>221</v>
      </c>
      <c r="D1775" t="s">
        <v>502</v>
      </c>
      <c r="E1775" t="s">
        <v>520</v>
      </c>
      <c r="F1775" s="188" t="n">
        <v>2043</v>
      </c>
      <c r="G1775" s="189" t="n">
        <v>43</v>
      </c>
      <c r="H1775" s="190" t="n">
        <v>3965.79022780426</v>
      </c>
      <c r="I1775" s="191" t="n">
        <v>4230816.63384835</v>
      </c>
      <c r="J1775" s="192" t="str">
        <f>IF(I1775&gt;0,H1775/I1775,0)</f>
      </c>
      <c r="K1775" s="193" t="str">
        <f>1-EXP(-J1775)</f>
      </c>
      <c r="L1775" s="194" t="str">
        <f>IF(G1775=30,1,M1774)</f>
      </c>
      <c r="M1775" s="195" t="str">
        <f>L1775*(1-K1775)</f>
      </c>
    </row>
    <row r="1776">
      <c r="A1776" t="s">
        <v>167</v>
      </c>
      <c r="B1776" t="s">
        <v>219</v>
      </c>
      <c r="C1776" s="35" t="s">
        <v>221</v>
      </c>
      <c r="D1776" t="s">
        <v>502</v>
      </c>
      <c r="E1776" t="s">
        <v>520</v>
      </c>
      <c r="F1776" s="188" t="n">
        <v>2043</v>
      </c>
      <c r="G1776" s="189" t="n">
        <v>44</v>
      </c>
      <c r="H1776" s="190" t="n">
        <v>4340.38380654612</v>
      </c>
      <c r="I1776" s="191" t="n">
        <v>4244587.76167702</v>
      </c>
      <c r="J1776" s="192" t="str">
        <f>IF(I1776&gt;0,H1776/I1776,0)</f>
      </c>
      <c r="K1776" s="193" t="str">
        <f>1-EXP(-J1776)</f>
      </c>
      <c r="L1776" s="194" t="str">
        <f>IF(G1776=30,1,M1775)</f>
      </c>
      <c r="M1776" s="195" t="str">
        <f>L1776*(1-K1776)</f>
      </c>
    </row>
    <row r="1777">
      <c r="A1777" t="s">
        <v>167</v>
      </c>
      <c r="B1777" t="s">
        <v>219</v>
      </c>
      <c r="C1777" s="35" t="s">
        <v>221</v>
      </c>
      <c r="D1777" t="s">
        <v>502</v>
      </c>
      <c r="E1777" t="s">
        <v>520</v>
      </c>
      <c r="F1777" s="188" t="n">
        <v>2043</v>
      </c>
      <c r="G1777" s="189" t="n">
        <v>45</v>
      </c>
      <c r="H1777" s="190" t="n">
        <v>5652.17893180592</v>
      </c>
      <c r="I1777" s="191" t="n">
        <v>4295938.48059671</v>
      </c>
      <c r="J1777" s="192" t="str">
        <f>IF(I1777&gt;0,H1777/I1777,0)</f>
      </c>
      <c r="K1777" s="193" t="str">
        <f>1-EXP(-J1777)</f>
      </c>
      <c r="L1777" s="194" t="str">
        <f>IF(G1777=30,1,M1776)</f>
      </c>
      <c r="M1777" s="195" t="str">
        <f>L1777*(1-K1777)</f>
      </c>
    </row>
    <row r="1778">
      <c r="A1778" t="s">
        <v>167</v>
      </c>
      <c r="B1778" t="s">
        <v>219</v>
      </c>
      <c r="C1778" s="35" t="s">
        <v>221</v>
      </c>
      <c r="D1778" t="s">
        <v>502</v>
      </c>
      <c r="E1778" t="s">
        <v>520</v>
      </c>
      <c r="F1778" s="188" t="n">
        <v>2043</v>
      </c>
      <c r="G1778" s="189" t="n">
        <v>46</v>
      </c>
      <c r="H1778" s="190" t="n">
        <v>6606.50566478189</v>
      </c>
      <c r="I1778" s="191" t="n">
        <v>4420545.28208821</v>
      </c>
      <c r="J1778" s="192" t="str">
        <f>IF(I1778&gt;0,H1778/I1778,0)</f>
      </c>
      <c r="K1778" s="193" t="str">
        <f>1-EXP(-J1778)</f>
      </c>
      <c r="L1778" s="194" t="str">
        <f>IF(G1778=30,1,M1777)</f>
      </c>
      <c r="M1778" s="195" t="str">
        <f>L1778*(1-K1778)</f>
      </c>
    </row>
    <row r="1779">
      <c r="A1779" t="s">
        <v>167</v>
      </c>
      <c r="B1779" t="s">
        <v>219</v>
      </c>
      <c r="C1779" s="35" t="s">
        <v>221</v>
      </c>
      <c r="D1779" t="s">
        <v>502</v>
      </c>
      <c r="E1779" t="s">
        <v>520</v>
      </c>
      <c r="F1779" s="188" t="n">
        <v>2043</v>
      </c>
      <c r="G1779" s="189" t="n">
        <v>47</v>
      </c>
      <c r="H1779" s="190" t="n">
        <v>7150.8005687824</v>
      </c>
      <c r="I1779" s="191" t="n">
        <v>4369192.93278921</v>
      </c>
      <c r="J1779" s="192" t="str">
        <f>IF(I1779&gt;0,H1779/I1779,0)</f>
      </c>
      <c r="K1779" s="193" t="str">
        <f>1-EXP(-J1779)</f>
      </c>
      <c r="L1779" s="194" t="str">
        <f>IF(G1779=30,1,M1778)</f>
      </c>
      <c r="M1779" s="195" t="str">
        <f>L1779*(1-K1779)</f>
      </c>
    </row>
    <row r="1780">
      <c r="A1780" t="s">
        <v>167</v>
      </c>
      <c r="B1780" t="s">
        <v>219</v>
      </c>
      <c r="C1780" s="35" t="s">
        <v>221</v>
      </c>
      <c r="D1780" t="s">
        <v>502</v>
      </c>
      <c r="E1780" t="s">
        <v>520</v>
      </c>
      <c r="F1780" s="188" t="n">
        <v>2043</v>
      </c>
      <c r="G1780" s="189" t="n">
        <v>48</v>
      </c>
      <c r="H1780" s="190" t="n">
        <v>7695.01357869542</v>
      </c>
      <c r="I1780" s="191" t="n">
        <v>4287672.31231456</v>
      </c>
      <c r="J1780" s="192" t="str">
        <f>IF(I1780&gt;0,H1780/I1780,0)</f>
      </c>
      <c r="K1780" s="193" t="str">
        <f>1-EXP(-J1780)</f>
      </c>
      <c r="L1780" s="194" t="str">
        <f>IF(G1780=30,1,M1779)</f>
      </c>
      <c r="M1780" s="195" t="str">
        <f>L1780*(1-K1780)</f>
      </c>
    </row>
    <row r="1781">
      <c r="A1781" t="s">
        <v>167</v>
      </c>
      <c r="B1781" t="s">
        <v>219</v>
      </c>
      <c r="C1781" s="35" t="s">
        <v>221</v>
      </c>
      <c r="D1781" t="s">
        <v>502</v>
      </c>
      <c r="E1781" t="s">
        <v>520</v>
      </c>
      <c r="F1781" s="188" t="n">
        <v>2043</v>
      </c>
      <c r="G1781" s="189" t="n">
        <v>49</v>
      </c>
      <c r="H1781" s="190" t="n">
        <v>8311.87643809625</v>
      </c>
      <c r="I1781" s="191" t="n">
        <v>4220489.31566348</v>
      </c>
      <c r="J1781" s="192" t="str">
        <f>IF(I1781&gt;0,H1781/I1781,0)</f>
      </c>
      <c r="K1781" s="193" t="str">
        <f>1-EXP(-J1781)</f>
      </c>
      <c r="L1781" s="194" t="str">
        <f>IF(G1781=30,1,M1780)</f>
      </c>
      <c r="M1781" s="195" t="str">
        <f>L1781*(1-K1781)</f>
      </c>
    </row>
    <row r="1782">
      <c r="A1782" t="s">
        <v>167</v>
      </c>
      <c r="B1782" t="s">
        <v>219</v>
      </c>
      <c r="C1782" s="35" t="s">
        <v>221</v>
      </c>
      <c r="D1782" t="s">
        <v>502</v>
      </c>
      <c r="E1782" t="s">
        <v>520</v>
      </c>
      <c r="F1782" s="188" t="n">
        <v>2043</v>
      </c>
      <c r="G1782" s="189" t="n">
        <v>50</v>
      </c>
      <c r="H1782" s="190" t="n">
        <v>9382.59451968299</v>
      </c>
      <c r="I1782" s="191" t="n">
        <v>4155766.57893634</v>
      </c>
      <c r="J1782" s="192" t="str">
        <f>IF(I1782&gt;0,H1782/I1782,0)</f>
      </c>
      <c r="K1782" s="193" t="str">
        <f>1-EXP(-J1782)</f>
      </c>
      <c r="L1782" s="194" t="str">
        <f>IF(G1782=30,1,M1781)</f>
      </c>
      <c r="M1782" s="195" t="str">
        <f>L1782*(1-K1782)</f>
      </c>
    </row>
    <row r="1783">
      <c r="A1783" t="s">
        <v>167</v>
      </c>
      <c r="B1783" t="s">
        <v>219</v>
      </c>
      <c r="C1783" s="35" t="s">
        <v>221</v>
      </c>
      <c r="D1783" t="s">
        <v>502</v>
      </c>
      <c r="E1783" t="s">
        <v>520</v>
      </c>
      <c r="F1783" s="188" t="n">
        <v>2043</v>
      </c>
      <c r="G1783" s="189" t="n">
        <v>51</v>
      </c>
      <c r="H1783" s="190" t="n">
        <v>10292.7860642566</v>
      </c>
      <c r="I1783" s="191" t="n">
        <v>4177027.79151978</v>
      </c>
      <c r="J1783" s="192" t="str">
        <f>IF(I1783&gt;0,H1783/I1783,0)</f>
      </c>
      <c r="K1783" s="193" t="str">
        <f>1-EXP(-J1783)</f>
      </c>
      <c r="L1783" s="194" t="str">
        <f>IF(G1783=30,1,M1782)</f>
      </c>
      <c r="M1783" s="195" t="str">
        <f>L1783*(1-K1783)</f>
      </c>
    </row>
    <row r="1784">
      <c r="A1784" t="s">
        <v>167</v>
      </c>
      <c r="B1784" t="s">
        <v>219</v>
      </c>
      <c r="C1784" s="35" t="s">
        <v>221</v>
      </c>
      <c r="D1784" t="s">
        <v>502</v>
      </c>
      <c r="E1784" t="s">
        <v>520</v>
      </c>
      <c r="F1784" s="188" t="n">
        <v>2043</v>
      </c>
      <c r="G1784" s="189" t="n">
        <v>52</v>
      </c>
      <c r="H1784" s="190" t="n">
        <v>11261.3584925357</v>
      </c>
      <c r="I1784" s="191" t="n">
        <v>4178188.46172932</v>
      </c>
      <c r="J1784" s="192" t="str">
        <f>IF(I1784&gt;0,H1784/I1784,0)</f>
      </c>
      <c r="K1784" s="193" t="str">
        <f>1-EXP(-J1784)</f>
      </c>
      <c r="L1784" s="194" t="str">
        <f>IF(G1784=30,1,M1783)</f>
      </c>
      <c r="M1784" s="195" t="str">
        <f>L1784*(1-K1784)</f>
      </c>
    </row>
    <row r="1785">
      <c r="A1785" t="s">
        <v>167</v>
      </c>
      <c r="B1785" t="s">
        <v>219</v>
      </c>
      <c r="C1785" s="35" t="s">
        <v>221</v>
      </c>
      <c r="D1785" t="s">
        <v>502</v>
      </c>
      <c r="E1785" t="s">
        <v>520</v>
      </c>
      <c r="F1785" s="188" t="n">
        <v>2043</v>
      </c>
      <c r="G1785" s="189" t="n">
        <v>53</v>
      </c>
      <c r="H1785" s="190" t="n">
        <v>16395.639290494</v>
      </c>
      <c r="I1785" s="191" t="n">
        <v>6143992.09450376</v>
      </c>
      <c r="J1785" s="192" t="str">
        <f>IF(I1785&gt;0,H1785/I1785,0)</f>
      </c>
      <c r="K1785" s="193" t="str">
        <f>1-EXP(-J1785)</f>
      </c>
      <c r="L1785" s="194" t="str">
        <f>IF(G1785=30,1,M1784)</f>
      </c>
      <c r="M1785" s="195" t="str">
        <f>L1785*(1-K1785)</f>
      </c>
    </row>
    <row r="1786">
      <c r="A1786" t="s">
        <v>167</v>
      </c>
      <c r="B1786" t="s">
        <v>219</v>
      </c>
      <c r="C1786" s="35" t="s">
        <v>221</v>
      </c>
      <c r="D1786" t="s">
        <v>502</v>
      </c>
      <c r="E1786" t="s">
        <v>520</v>
      </c>
      <c r="F1786" s="188" t="n">
        <v>2043</v>
      </c>
      <c r="G1786" s="189" t="n">
        <v>54</v>
      </c>
      <c r="H1786" s="190" t="n">
        <v>13165.4413530846</v>
      </c>
      <c r="I1786" s="191" t="n">
        <v>4101856.55854218</v>
      </c>
      <c r="J1786" s="192" t="str">
        <f>IF(I1786&gt;0,H1786/I1786,0)</f>
      </c>
      <c r="K1786" s="193" t="str">
        <f>1-EXP(-J1786)</f>
      </c>
      <c r="L1786" s="194" t="str">
        <f>IF(G1786=30,1,M1785)</f>
      </c>
      <c r="M1786" s="195" t="str">
        <f>L1786*(1-K1786)</f>
      </c>
    </row>
    <row r="1787">
      <c r="A1787" t="s">
        <v>167</v>
      </c>
      <c r="B1787" t="s">
        <v>219</v>
      </c>
      <c r="C1787" s="35" t="s">
        <v>221</v>
      </c>
      <c r="D1787" t="s">
        <v>502</v>
      </c>
      <c r="E1787" t="s">
        <v>520</v>
      </c>
      <c r="F1787" s="188" t="n">
        <v>2043</v>
      </c>
      <c r="G1787" s="189" t="n">
        <v>55</v>
      </c>
      <c r="H1787" s="190" t="n">
        <v>14047.8838217707</v>
      </c>
      <c r="I1787" s="191" t="n">
        <v>4065076.76266359</v>
      </c>
      <c r="J1787" s="192" t="str">
        <f>IF(I1787&gt;0,H1787/I1787,0)</f>
      </c>
      <c r="K1787" s="193" t="str">
        <f>1-EXP(-J1787)</f>
      </c>
      <c r="L1787" s="194" t="str">
        <f>IF(G1787=30,1,M1786)</f>
      </c>
      <c r="M1787" s="195" t="str">
        <f>L1787*(1-K1787)</f>
      </c>
    </row>
    <row r="1788">
      <c r="A1788" t="s">
        <v>167</v>
      </c>
      <c r="B1788" t="s">
        <v>219</v>
      </c>
      <c r="C1788" s="35" t="s">
        <v>221</v>
      </c>
      <c r="D1788" t="s">
        <v>502</v>
      </c>
      <c r="E1788" t="s">
        <v>520</v>
      </c>
      <c r="F1788" s="188" t="n">
        <v>2043</v>
      </c>
      <c r="G1788" s="189" t="n">
        <v>56</v>
      </c>
      <c r="H1788" s="190" t="n">
        <v>14721.1908002691</v>
      </c>
      <c r="I1788" s="191" t="n">
        <v>3918195.56808782</v>
      </c>
      <c r="J1788" s="192" t="str">
        <f>IF(I1788&gt;0,H1788/I1788,0)</f>
      </c>
      <c r="K1788" s="193" t="str">
        <f>1-EXP(-J1788)</f>
      </c>
      <c r="L1788" s="194" t="str">
        <f>IF(G1788=30,1,M1787)</f>
      </c>
      <c r="M1788" s="195" t="str">
        <f>L1788*(1-K1788)</f>
      </c>
    </row>
    <row r="1789">
      <c r="A1789" t="s">
        <v>167</v>
      </c>
      <c r="B1789" t="s">
        <v>219</v>
      </c>
      <c r="C1789" s="35" t="s">
        <v>221</v>
      </c>
      <c r="D1789" t="s">
        <v>502</v>
      </c>
      <c r="E1789" t="s">
        <v>520</v>
      </c>
      <c r="F1789" s="188" t="n">
        <v>2043</v>
      </c>
      <c r="G1789" s="189" t="n">
        <v>57</v>
      </c>
      <c r="H1789" s="190" t="n">
        <v>15835.546148841</v>
      </c>
      <c r="I1789" s="191" t="n">
        <v>3861928.92720971</v>
      </c>
      <c r="J1789" s="192" t="str">
        <f>IF(I1789&gt;0,H1789/I1789,0)</f>
      </c>
      <c r="K1789" s="193" t="str">
        <f>1-EXP(-J1789)</f>
      </c>
      <c r="L1789" s="194" t="str">
        <f>IF(G1789=30,1,M1788)</f>
      </c>
      <c r="M1789" s="195" t="str">
        <f>L1789*(1-K1789)</f>
      </c>
    </row>
    <row r="1790">
      <c r="A1790" t="s">
        <v>167</v>
      </c>
      <c r="B1790" t="s">
        <v>219</v>
      </c>
      <c r="C1790" s="35" t="s">
        <v>221</v>
      </c>
      <c r="D1790" t="s">
        <v>502</v>
      </c>
      <c r="E1790" t="s">
        <v>520</v>
      </c>
      <c r="F1790" s="188" t="n">
        <v>2043</v>
      </c>
      <c r="G1790" s="189" t="n">
        <v>58</v>
      </c>
      <c r="H1790" s="190" t="n">
        <v>17439.7635809419</v>
      </c>
      <c r="I1790" s="191" t="n">
        <v>3890401.28123398</v>
      </c>
      <c r="J1790" s="192" t="str">
        <f>IF(I1790&gt;0,H1790/I1790,0)</f>
      </c>
      <c r="K1790" s="193" t="str">
        <f>1-EXP(-J1790)</f>
      </c>
      <c r="L1790" s="194" t="str">
        <f>IF(G1790=30,1,M1789)</f>
      </c>
      <c r="M1790" s="195" t="str">
        <f>L1790*(1-K1790)</f>
      </c>
    </row>
    <row r="1791">
      <c r="A1791" t="s">
        <v>167</v>
      </c>
      <c r="B1791" t="s">
        <v>219</v>
      </c>
      <c r="C1791" s="35" t="s">
        <v>221</v>
      </c>
      <c r="D1791" t="s">
        <v>502</v>
      </c>
      <c r="E1791" t="s">
        <v>520</v>
      </c>
      <c r="F1791" s="188" t="n">
        <v>2043</v>
      </c>
      <c r="G1791" s="189" t="n">
        <v>59</v>
      </c>
      <c r="H1791" s="190" t="n">
        <v>19331.9613843407</v>
      </c>
      <c r="I1791" s="191" t="n">
        <v>3938821.68919417</v>
      </c>
      <c r="J1791" s="192" t="str">
        <f>IF(I1791&gt;0,H1791/I1791,0)</f>
      </c>
      <c r="K1791" s="193" t="str">
        <f>1-EXP(-J1791)</f>
      </c>
      <c r="L1791" s="194" t="str">
        <f>IF(G1791=30,1,M1790)</f>
      </c>
      <c r="M1791" s="195" t="str">
        <f>L1791*(1-K1791)</f>
      </c>
    </row>
    <row r="1792">
      <c r="A1792" t="s">
        <v>167</v>
      </c>
      <c r="B1792" t="s">
        <v>219</v>
      </c>
      <c r="C1792" s="35" t="s">
        <v>221</v>
      </c>
      <c r="D1792" t="s">
        <v>502</v>
      </c>
      <c r="E1792" t="s">
        <v>520</v>
      </c>
      <c r="F1792" s="188" t="n">
        <v>2043</v>
      </c>
      <c r="G1792" s="189" t="n">
        <v>60</v>
      </c>
      <c r="H1792" s="190" t="n">
        <v>20711.2903930777</v>
      </c>
      <c r="I1792" s="191" t="n">
        <v>3884465.97441756</v>
      </c>
      <c r="J1792" s="192" t="str">
        <f>IF(I1792&gt;0,H1792/I1792,0)</f>
      </c>
      <c r="K1792" s="193" t="str">
        <f>1-EXP(-J1792)</f>
      </c>
      <c r="L1792" s="194" t="str">
        <f>IF(G1792=30,1,M1791)</f>
      </c>
      <c r="M1792" s="195" t="str">
        <f>L1792*(1-K1792)</f>
      </c>
    </row>
    <row r="1793">
      <c r="A1793" t="s">
        <v>167</v>
      </c>
      <c r="B1793" t="s">
        <v>219</v>
      </c>
      <c r="C1793" s="35" t="s">
        <v>221</v>
      </c>
      <c r="D1793" t="s">
        <v>502</v>
      </c>
      <c r="E1793" t="s">
        <v>520</v>
      </c>
      <c r="F1793" s="188" t="n">
        <v>2043</v>
      </c>
      <c r="G1793" s="189" t="n">
        <v>61</v>
      </c>
      <c r="H1793" s="190" t="n">
        <v>21820.5320579491</v>
      </c>
      <c r="I1793" s="191" t="n">
        <v>3725975.59729054</v>
      </c>
      <c r="J1793" s="192" t="str">
        <f>IF(I1793&gt;0,H1793/I1793,0)</f>
      </c>
      <c r="K1793" s="193" t="str">
        <f>1-EXP(-J1793)</f>
      </c>
      <c r="L1793" s="194" t="str">
        <f>IF(G1793=30,1,M1792)</f>
      </c>
      <c r="M1793" s="195" t="str">
        <f>L1793*(1-K1793)</f>
      </c>
    </row>
    <row r="1794">
      <c r="A1794" t="s">
        <v>167</v>
      </c>
      <c r="B1794" t="s">
        <v>219</v>
      </c>
      <c r="C1794" s="35" t="s">
        <v>221</v>
      </c>
      <c r="D1794" t="s">
        <v>502</v>
      </c>
      <c r="E1794" t="s">
        <v>520</v>
      </c>
      <c r="F1794" s="188" t="n">
        <v>2043</v>
      </c>
      <c r="G1794" s="189" t="n">
        <v>62</v>
      </c>
      <c r="H1794" s="190" t="n">
        <v>23282.6119878253</v>
      </c>
      <c r="I1794" s="191" t="n">
        <v>3622846.78165387</v>
      </c>
      <c r="J1794" s="192" t="str">
        <f>IF(I1794&gt;0,H1794/I1794,0)</f>
      </c>
      <c r="K1794" s="193" t="str">
        <f>1-EXP(-J1794)</f>
      </c>
      <c r="L1794" s="194" t="str">
        <f>IF(G1794=30,1,M1793)</f>
      </c>
      <c r="M1794" s="195" t="str">
        <f>L1794*(1-K1794)</f>
      </c>
    </row>
    <row r="1795">
      <c r="A1795" t="s">
        <v>167</v>
      </c>
      <c r="B1795" t="s">
        <v>219</v>
      </c>
      <c r="C1795" s="35" t="s">
        <v>221</v>
      </c>
      <c r="D1795" t="s">
        <v>502</v>
      </c>
      <c r="E1795" t="s">
        <v>520</v>
      </c>
      <c r="F1795" s="188" t="n">
        <v>2043</v>
      </c>
      <c r="G1795" s="189" t="n">
        <v>63</v>
      </c>
      <c r="H1795" s="190" t="n">
        <v>24910.995914667</v>
      </c>
      <c r="I1795" s="191" t="n">
        <v>3531876.09827119</v>
      </c>
      <c r="J1795" s="192" t="str">
        <f>IF(I1795&gt;0,H1795/I1795,0)</f>
      </c>
      <c r="K1795" s="193" t="str">
        <f>1-EXP(-J1795)</f>
      </c>
      <c r="L1795" s="194" t="str">
        <f>IF(G1795=30,1,M1794)</f>
      </c>
      <c r="M1795" s="195" t="str">
        <f>L1795*(1-K1795)</f>
      </c>
    </row>
    <row r="1796">
      <c r="A1796" t="s">
        <v>167</v>
      </c>
      <c r="B1796" t="s">
        <v>219</v>
      </c>
      <c r="C1796" s="35" t="s">
        <v>221</v>
      </c>
      <c r="D1796" t="s">
        <v>502</v>
      </c>
      <c r="E1796" t="s">
        <v>520</v>
      </c>
      <c r="F1796" s="188" t="n">
        <v>2043</v>
      </c>
      <c r="G1796" s="189" t="n">
        <v>64</v>
      </c>
      <c r="H1796" s="190" t="n">
        <v>26579.9915156892</v>
      </c>
      <c r="I1796" s="191" t="n">
        <v>3433953.29452769</v>
      </c>
      <c r="J1796" s="192" t="str">
        <f>IF(I1796&gt;0,H1796/I1796,0)</f>
      </c>
      <c r="K1796" s="193" t="str">
        <f>1-EXP(-J1796)</f>
      </c>
      <c r="L1796" s="194" t="str">
        <f>IF(G1796=30,1,M1795)</f>
      </c>
      <c r="M1796" s="195" t="str">
        <f>L1796*(1-K1796)</f>
      </c>
    </row>
    <row r="1797">
      <c r="A1797" t="s">
        <v>167</v>
      </c>
      <c r="B1797" t="s">
        <v>219</v>
      </c>
      <c r="C1797" s="35" t="s">
        <v>221</v>
      </c>
      <c r="D1797" t="s">
        <v>502</v>
      </c>
      <c r="E1797" t="s">
        <v>520</v>
      </c>
      <c r="F1797" s="188" t="n">
        <v>2043</v>
      </c>
      <c r="G1797" s="189" t="n">
        <v>65</v>
      </c>
      <c r="H1797" s="190" t="n">
        <v>26921.1606858217</v>
      </c>
      <c r="I1797" s="191" t="n">
        <v>3317141.04362462</v>
      </c>
      <c r="J1797" s="192" t="str">
        <f>IF(I1797&gt;0,H1797/I1797,0)</f>
      </c>
      <c r="K1797" s="193" t="str">
        <f>1-EXP(-J1797)</f>
      </c>
      <c r="L1797" s="194" t="str">
        <f>IF(G1797=30,1,M1796)</f>
      </c>
      <c r="M1797" s="195" t="str">
        <f>L1797*(1-K1797)</f>
      </c>
    </row>
    <row r="1798">
      <c r="A1798" t="s">
        <v>167</v>
      </c>
      <c r="B1798" t="s">
        <v>219</v>
      </c>
      <c r="C1798" s="35" t="s">
        <v>221</v>
      </c>
      <c r="D1798" t="s">
        <v>502</v>
      </c>
      <c r="E1798" t="s">
        <v>520</v>
      </c>
      <c r="F1798" s="188" t="n">
        <v>2043</v>
      </c>
      <c r="G1798" s="189" t="n">
        <v>66</v>
      </c>
      <c r="H1798" s="190" t="n">
        <v>28621.6677968709</v>
      </c>
      <c r="I1798" s="191" t="n">
        <v>3213056.67394348</v>
      </c>
      <c r="J1798" s="192" t="str">
        <f>IF(I1798&gt;0,H1798/I1798,0)</f>
      </c>
      <c r="K1798" s="193" t="str">
        <f>1-EXP(-J1798)</f>
      </c>
      <c r="L1798" s="194" t="str">
        <f>IF(G1798=30,1,M1797)</f>
      </c>
      <c r="M1798" s="195" t="str">
        <f>L1798*(1-K1798)</f>
      </c>
    </row>
    <row r="1799">
      <c r="A1799" t="s">
        <v>167</v>
      </c>
      <c r="B1799" t="s">
        <v>219</v>
      </c>
      <c r="C1799" s="35" t="s">
        <v>221</v>
      </c>
      <c r="D1799" t="s">
        <v>502</v>
      </c>
      <c r="E1799" t="s">
        <v>520</v>
      </c>
      <c r="F1799" s="188" t="n">
        <v>2043</v>
      </c>
      <c r="G1799" s="189" t="n">
        <v>67</v>
      </c>
      <c r="H1799" s="190" t="n">
        <v>30298.0509758522</v>
      </c>
      <c r="I1799" s="191" t="n">
        <v>3096940.73620508</v>
      </c>
      <c r="J1799" s="192" t="str">
        <f>IF(I1799&gt;0,H1799/I1799,0)</f>
      </c>
      <c r="K1799" s="193" t="str">
        <f>1-EXP(-J1799)</f>
      </c>
      <c r="L1799" s="194" t="str">
        <f>IF(G1799=30,1,M1798)</f>
      </c>
      <c r="M1799" s="195" t="str">
        <f>L1799*(1-K1799)</f>
      </c>
    </row>
    <row r="1800">
      <c r="A1800" t="s">
        <v>167</v>
      </c>
      <c r="B1800" t="s">
        <v>219</v>
      </c>
      <c r="C1800" s="35" t="s">
        <v>221</v>
      </c>
      <c r="D1800" t="s">
        <v>502</v>
      </c>
      <c r="E1800" t="s">
        <v>520</v>
      </c>
      <c r="F1800" s="188" t="n">
        <v>2043</v>
      </c>
      <c r="G1800" s="189" t="n">
        <v>68</v>
      </c>
      <c r="H1800" s="190" t="n">
        <v>32022.4865271979</v>
      </c>
      <c r="I1800" s="191" t="n">
        <v>2978319.61826488</v>
      </c>
      <c r="J1800" s="192" t="str">
        <f>IF(I1800&gt;0,H1800/I1800,0)</f>
      </c>
      <c r="K1800" s="193" t="str">
        <f>1-EXP(-J1800)</f>
      </c>
      <c r="L1800" s="194" t="str">
        <f>IF(G1800=30,1,M1799)</f>
      </c>
      <c r="M1800" s="195" t="str">
        <f>L1800*(1-K1800)</f>
      </c>
    </row>
    <row r="1801">
      <c r="A1801" t="s">
        <v>167</v>
      </c>
      <c r="B1801" t="s">
        <v>219</v>
      </c>
      <c r="C1801" s="35" t="s">
        <v>221</v>
      </c>
      <c r="D1801" t="s">
        <v>502</v>
      </c>
      <c r="E1801" t="s">
        <v>520</v>
      </c>
      <c r="F1801" s="188" t="n">
        <v>2043</v>
      </c>
      <c r="G1801" s="189" t="n">
        <v>69</v>
      </c>
      <c r="H1801" s="190" t="n">
        <v>33544.1933557562</v>
      </c>
      <c r="I1801" s="191" t="n">
        <v>2835738.14752405</v>
      </c>
      <c r="J1801" s="192" t="str">
        <f>IF(I1801&gt;0,H1801/I1801,0)</f>
      </c>
      <c r="K1801" s="193" t="str">
        <f>1-EXP(-J1801)</f>
      </c>
      <c r="L1801" s="194" t="str">
        <f>IF(G1801=30,1,M1800)</f>
      </c>
      <c r="M1801" s="195" t="str">
        <f>L1801*(1-K1801)</f>
      </c>
    </row>
    <row r="1802">
      <c r="A1802" t="s">
        <v>167</v>
      </c>
      <c r="B1802" t="s">
        <v>219</v>
      </c>
      <c r="C1802" s="35" t="s">
        <v>221</v>
      </c>
      <c r="D1802" t="s">
        <v>502</v>
      </c>
      <c r="E1802" t="s">
        <v>520</v>
      </c>
      <c r="F1802" s="188" t="n">
        <v>2044</v>
      </c>
      <c r="G1802" s="189" t="n">
        <v>30</v>
      </c>
      <c r="H1802" s="190" t="n">
        <v>725.755978548531</v>
      </c>
      <c r="I1802" s="191" t="n">
        <v>4714257.01616387</v>
      </c>
      <c r="J1802" s="192" t="str">
        <f>IF(I1802&gt;0,H1802/I1802,0)</f>
      </c>
      <c r="K1802" s="193" t="str">
        <f>1-EXP(-J1802)</f>
      </c>
      <c r="L1802" s="194" t="str">
        <f>IF(G1802=30,1,M1801)</f>
      </c>
      <c r="M1802" s="195" t="str">
        <f>L1802*(1-K1802)</f>
      </c>
    </row>
    <row r="1803">
      <c r="A1803" t="s">
        <v>167</v>
      </c>
      <c r="B1803" t="s">
        <v>219</v>
      </c>
      <c r="C1803" s="35" t="s">
        <v>221</v>
      </c>
      <c r="D1803" t="s">
        <v>502</v>
      </c>
      <c r="E1803" t="s">
        <v>520</v>
      </c>
      <c r="F1803" s="188" t="n">
        <v>2044</v>
      </c>
      <c r="G1803" s="189" t="n">
        <v>31</v>
      </c>
      <c r="H1803" s="190" t="n">
        <v>973.098049774566</v>
      </c>
      <c r="I1803" s="191" t="n">
        <v>4782444.96804458</v>
      </c>
      <c r="J1803" s="192" t="str">
        <f>IF(I1803&gt;0,H1803/I1803,0)</f>
      </c>
      <c r="K1803" s="193" t="str">
        <f>1-EXP(-J1803)</f>
      </c>
      <c r="L1803" s="194" t="str">
        <f>IF(G1803=30,1,M1802)</f>
      </c>
      <c r="M1803" s="195" t="str">
        <f>L1803*(1-K1803)</f>
      </c>
    </row>
    <row r="1804">
      <c r="A1804" t="s">
        <v>167</v>
      </c>
      <c r="B1804" t="s">
        <v>219</v>
      </c>
      <c r="C1804" s="35" t="s">
        <v>221</v>
      </c>
      <c r="D1804" t="s">
        <v>502</v>
      </c>
      <c r="E1804" t="s">
        <v>520</v>
      </c>
      <c r="F1804" s="188" t="n">
        <v>2044</v>
      </c>
      <c r="G1804" s="189" t="n">
        <v>32</v>
      </c>
      <c r="H1804" s="190" t="n">
        <v>1091.79902940037</v>
      </c>
      <c r="I1804" s="191" t="n">
        <v>4895389.47077466</v>
      </c>
      <c r="J1804" s="192" t="str">
        <f>IF(I1804&gt;0,H1804/I1804,0)</f>
      </c>
      <c r="K1804" s="193" t="str">
        <f>1-EXP(-J1804)</f>
      </c>
      <c r="L1804" s="194" t="str">
        <f>IF(G1804=30,1,M1803)</f>
      </c>
      <c r="M1804" s="195" t="str">
        <f>L1804*(1-K1804)</f>
      </c>
    </row>
    <row r="1805">
      <c r="A1805" t="s">
        <v>167</v>
      </c>
      <c r="B1805" t="s">
        <v>219</v>
      </c>
      <c r="C1805" s="35" t="s">
        <v>221</v>
      </c>
      <c r="D1805" t="s">
        <v>502</v>
      </c>
      <c r="E1805" t="s">
        <v>520</v>
      </c>
      <c r="F1805" s="188" t="n">
        <v>2044</v>
      </c>
      <c r="G1805" s="189" t="n">
        <v>33</v>
      </c>
      <c r="H1805" s="190" t="n">
        <v>1149.52351547834</v>
      </c>
      <c r="I1805" s="191" t="n">
        <v>4867193.88241277</v>
      </c>
      <c r="J1805" s="192" t="str">
        <f>IF(I1805&gt;0,H1805/I1805,0)</f>
      </c>
      <c r="K1805" s="193" t="str">
        <f>1-EXP(-J1805)</f>
      </c>
      <c r="L1805" s="194" t="str">
        <f>IF(G1805=30,1,M1804)</f>
      </c>
      <c r="M1805" s="195" t="str">
        <f>L1805*(1-K1805)</f>
      </c>
    </row>
    <row r="1806">
      <c r="A1806" t="s">
        <v>167</v>
      </c>
      <c r="B1806" t="s">
        <v>219</v>
      </c>
      <c r="C1806" s="35" t="s">
        <v>221</v>
      </c>
      <c r="D1806" t="s">
        <v>502</v>
      </c>
      <c r="E1806" t="s">
        <v>520</v>
      </c>
      <c r="F1806" s="188" t="n">
        <v>2044</v>
      </c>
      <c r="G1806" s="189" t="n">
        <v>34</v>
      </c>
      <c r="H1806" s="190" t="n">
        <v>1190.96919167753</v>
      </c>
      <c r="I1806" s="191" t="n">
        <v>4733305.40593732</v>
      </c>
      <c r="J1806" s="192" t="str">
        <f>IF(I1806&gt;0,H1806/I1806,0)</f>
      </c>
      <c r="K1806" s="193" t="str">
        <f>1-EXP(-J1806)</f>
      </c>
      <c r="L1806" s="194" t="str">
        <f>IF(G1806=30,1,M1805)</f>
      </c>
      <c r="M1806" s="195" t="str">
        <f>L1806*(1-K1806)</f>
      </c>
    </row>
    <row r="1807">
      <c r="A1807" t="s">
        <v>167</v>
      </c>
      <c r="B1807" t="s">
        <v>219</v>
      </c>
      <c r="C1807" s="35" t="s">
        <v>221</v>
      </c>
      <c r="D1807" t="s">
        <v>502</v>
      </c>
      <c r="E1807" t="s">
        <v>520</v>
      </c>
      <c r="F1807" s="188" t="n">
        <v>2044</v>
      </c>
      <c r="G1807" s="189" t="n">
        <v>35</v>
      </c>
      <c r="H1807" s="190" t="n">
        <v>1542.8035600079</v>
      </c>
      <c r="I1807" s="191" t="n">
        <v>4662090.07826181</v>
      </c>
      <c r="J1807" s="192" t="str">
        <f>IF(I1807&gt;0,H1807/I1807,0)</f>
      </c>
      <c r="K1807" s="193" t="str">
        <f>1-EXP(-J1807)</f>
      </c>
      <c r="L1807" s="194" t="str">
        <f>IF(G1807=30,1,M1806)</f>
      </c>
      <c r="M1807" s="195" t="str">
        <f>L1807*(1-K1807)</f>
      </c>
    </row>
    <row r="1808">
      <c r="A1808" t="s">
        <v>167</v>
      </c>
      <c r="B1808" t="s">
        <v>219</v>
      </c>
      <c r="C1808" s="35" t="s">
        <v>221</v>
      </c>
      <c r="D1808" t="s">
        <v>502</v>
      </c>
      <c r="E1808" t="s">
        <v>520</v>
      </c>
      <c r="F1808" s="188" t="n">
        <v>2044</v>
      </c>
      <c r="G1808" s="189" t="n">
        <v>36</v>
      </c>
      <c r="H1808" s="190" t="n">
        <v>1793.05217793397</v>
      </c>
      <c r="I1808" s="191" t="n">
        <v>4618341.92492785</v>
      </c>
      <c r="J1808" s="192" t="str">
        <f>IF(I1808&gt;0,H1808/I1808,0)</f>
      </c>
      <c r="K1808" s="193" t="str">
        <f>1-EXP(-J1808)</f>
      </c>
      <c r="L1808" s="194" t="str">
        <f>IF(G1808=30,1,M1807)</f>
      </c>
      <c r="M1808" s="195" t="str">
        <f>L1808*(1-K1808)</f>
      </c>
    </row>
    <row r="1809">
      <c r="A1809" t="s">
        <v>167</v>
      </c>
      <c r="B1809" t="s">
        <v>219</v>
      </c>
      <c r="C1809" s="35" t="s">
        <v>221</v>
      </c>
      <c r="D1809" t="s">
        <v>502</v>
      </c>
      <c r="E1809" t="s">
        <v>520</v>
      </c>
      <c r="F1809" s="188" t="n">
        <v>2044</v>
      </c>
      <c r="G1809" s="189" t="n">
        <v>37</v>
      </c>
      <c r="H1809" s="190" t="n">
        <v>1996.34227350051</v>
      </c>
      <c r="I1809" s="191" t="n">
        <v>4642627.05801816</v>
      </c>
      <c r="J1809" s="192" t="str">
        <f>IF(I1809&gt;0,H1809/I1809,0)</f>
      </c>
      <c r="K1809" s="193" t="str">
        <f>1-EXP(-J1809)</f>
      </c>
      <c r="L1809" s="194" t="str">
        <f>IF(G1809=30,1,M1808)</f>
      </c>
      <c r="M1809" s="195" t="str">
        <f>L1809*(1-K1809)</f>
      </c>
    </row>
    <row r="1810">
      <c r="A1810" t="s">
        <v>167</v>
      </c>
      <c r="B1810" t="s">
        <v>219</v>
      </c>
      <c r="C1810" s="35" t="s">
        <v>221</v>
      </c>
      <c r="D1810" t="s">
        <v>502</v>
      </c>
      <c r="E1810" t="s">
        <v>520</v>
      </c>
      <c r="F1810" s="188" t="n">
        <v>2044</v>
      </c>
      <c r="G1810" s="189" t="n">
        <v>38</v>
      </c>
      <c r="H1810" s="190" t="n">
        <v>2113.91815858739</v>
      </c>
      <c r="I1810" s="191" t="n">
        <v>4558336.4200377</v>
      </c>
      <c r="J1810" s="192" t="str">
        <f>IF(I1810&gt;0,H1810/I1810,0)</f>
      </c>
      <c r="K1810" s="193" t="str">
        <f>1-EXP(-J1810)</f>
      </c>
      <c r="L1810" s="194" t="str">
        <f>IF(G1810=30,1,M1809)</f>
      </c>
      <c r="M1810" s="195" t="str">
        <f>L1810*(1-K1810)</f>
      </c>
    </row>
    <row r="1811">
      <c r="A1811" t="s">
        <v>167</v>
      </c>
      <c r="B1811" t="s">
        <v>219</v>
      </c>
      <c r="C1811" s="35" t="s">
        <v>221</v>
      </c>
      <c r="D1811" t="s">
        <v>502</v>
      </c>
      <c r="E1811" t="s">
        <v>520</v>
      </c>
      <c r="F1811" s="188" t="n">
        <v>2044</v>
      </c>
      <c r="G1811" s="189" t="n">
        <v>39</v>
      </c>
      <c r="H1811" s="190" t="n">
        <v>2254.57947053071</v>
      </c>
      <c r="I1811" s="191" t="n">
        <v>4495503.59441035</v>
      </c>
      <c r="J1811" s="192" t="str">
        <f>IF(I1811&gt;0,H1811/I1811,0)</f>
      </c>
      <c r="K1811" s="193" t="str">
        <f>1-EXP(-J1811)</f>
      </c>
      <c r="L1811" s="194" t="str">
        <f>IF(G1811=30,1,M1810)</f>
      </c>
      <c r="M1811" s="195" t="str">
        <f>L1811*(1-K1811)</f>
      </c>
    </row>
    <row r="1812">
      <c r="A1812" t="s">
        <v>167</v>
      </c>
      <c r="B1812" t="s">
        <v>219</v>
      </c>
      <c r="C1812" s="35" t="s">
        <v>221</v>
      </c>
      <c r="D1812" t="s">
        <v>502</v>
      </c>
      <c r="E1812" t="s">
        <v>520</v>
      </c>
      <c r="F1812" s="188" t="n">
        <v>2044</v>
      </c>
      <c r="G1812" s="189" t="n">
        <v>40</v>
      </c>
      <c r="H1812" s="190" t="n">
        <v>2945.91419135042</v>
      </c>
      <c r="I1812" s="191" t="n">
        <v>4365333.54336329</v>
      </c>
      <c r="J1812" s="192" t="str">
        <f>IF(I1812&gt;0,H1812/I1812,0)</f>
      </c>
      <c r="K1812" s="193" t="str">
        <f>1-EXP(-J1812)</f>
      </c>
      <c r="L1812" s="194" t="str">
        <f>IF(G1812=30,1,M1811)</f>
      </c>
      <c r="M1812" s="195" t="str">
        <f>L1812*(1-K1812)</f>
      </c>
    </row>
    <row r="1813">
      <c r="A1813" t="s">
        <v>167</v>
      </c>
      <c r="B1813" t="s">
        <v>219</v>
      </c>
      <c r="C1813" s="35" t="s">
        <v>221</v>
      </c>
      <c r="D1813" t="s">
        <v>502</v>
      </c>
      <c r="E1813" t="s">
        <v>520</v>
      </c>
      <c r="F1813" s="188" t="n">
        <v>2044</v>
      </c>
      <c r="G1813" s="189" t="n">
        <v>41</v>
      </c>
      <c r="H1813" s="190" t="n">
        <v>3251.78361362299</v>
      </c>
      <c r="I1813" s="191" t="n">
        <v>4296600.41000186</v>
      </c>
      <c r="J1813" s="192" t="str">
        <f>IF(I1813&gt;0,H1813/I1813,0)</f>
      </c>
      <c r="K1813" s="193" t="str">
        <f>1-EXP(-J1813)</f>
      </c>
      <c r="L1813" s="194" t="str">
        <f>IF(G1813=30,1,M1812)</f>
      </c>
      <c r="M1813" s="195" t="str">
        <f>L1813*(1-K1813)</f>
      </c>
    </row>
    <row r="1814">
      <c r="A1814" t="s">
        <v>167</v>
      </c>
      <c r="B1814" t="s">
        <v>219</v>
      </c>
      <c r="C1814" s="35" t="s">
        <v>221</v>
      </c>
      <c r="D1814" t="s">
        <v>502</v>
      </c>
      <c r="E1814" t="s">
        <v>520</v>
      </c>
      <c r="F1814" s="188" t="n">
        <v>2044</v>
      </c>
      <c r="G1814" s="189" t="n">
        <v>42</v>
      </c>
      <c r="H1814" s="190" t="n">
        <v>3659.52447307957</v>
      </c>
      <c r="I1814" s="191" t="n">
        <v>4269868.75128627</v>
      </c>
      <c r="J1814" s="192" t="str">
        <f>IF(I1814&gt;0,H1814/I1814,0)</f>
      </c>
      <c r="K1814" s="193" t="str">
        <f>1-EXP(-J1814)</f>
      </c>
      <c r="L1814" s="194" t="str">
        <f>IF(G1814=30,1,M1813)</f>
      </c>
      <c r="M1814" s="195" t="str">
        <f>L1814*(1-K1814)</f>
      </c>
    </row>
    <row r="1815">
      <c r="A1815" t="s">
        <v>167</v>
      </c>
      <c r="B1815" t="s">
        <v>219</v>
      </c>
      <c r="C1815" s="35" t="s">
        <v>221</v>
      </c>
      <c r="D1815" t="s">
        <v>502</v>
      </c>
      <c r="E1815" t="s">
        <v>520</v>
      </c>
      <c r="F1815" s="188" t="n">
        <v>2044</v>
      </c>
      <c r="G1815" s="189" t="n">
        <v>43</v>
      </c>
      <c r="H1815" s="190" t="n">
        <v>3957.53173522144</v>
      </c>
      <c r="I1815" s="191" t="n">
        <v>4245344.71803071</v>
      </c>
      <c r="J1815" s="192" t="str">
        <f>IF(I1815&gt;0,H1815/I1815,0)</f>
      </c>
      <c r="K1815" s="193" t="str">
        <f>1-EXP(-J1815)</f>
      </c>
      <c r="L1815" s="194" t="str">
        <f>IF(G1815=30,1,M1814)</f>
      </c>
      <c r="M1815" s="195" t="str">
        <f>L1815*(1-K1815)</f>
      </c>
    </row>
    <row r="1816">
      <c r="A1816" t="s">
        <v>167</v>
      </c>
      <c r="B1816" t="s">
        <v>219</v>
      </c>
      <c r="C1816" s="35" t="s">
        <v>221</v>
      </c>
      <c r="D1816" t="s">
        <v>502</v>
      </c>
      <c r="E1816" t="s">
        <v>520</v>
      </c>
      <c r="F1816" s="188" t="n">
        <v>2044</v>
      </c>
      <c r="G1816" s="189" t="n">
        <v>44</v>
      </c>
      <c r="H1816" s="190" t="n">
        <v>4290.295056388</v>
      </c>
      <c r="I1816" s="191" t="n">
        <v>4219959.93015953</v>
      </c>
      <c r="J1816" s="192" t="str">
        <f>IF(I1816&gt;0,H1816/I1816,0)</f>
      </c>
      <c r="K1816" s="193" t="str">
        <f>1-EXP(-J1816)</f>
      </c>
      <c r="L1816" s="194" t="str">
        <f>IF(G1816=30,1,M1815)</f>
      </c>
      <c r="M1816" s="195" t="str">
        <f>L1816*(1-K1816)</f>
      </c>
    </row>
    <row r="1817">
      <c r="A1817" t="s">
        <v>167</v>
      </c>
      <c r="B1817" t="s">
        <v>219</v>
      </c>
      <c r="C1817" s="35" t="s">
        <v>221</v>
      </c>
      <c r="D1817" t="s">
        <v>502</v>
      </c>
      <c r="E1817" t="s">
        <v>520</v>
      </c>
      <c r="F1817" s="188" t="n">
        <v>2044</v>
      </c>
      <c r="G1817" s="189" t="n">
        <v>45</v>
      </c>
      <c r="H1817" s="190" t="n">
        <v>5532.24791038758</v>
      </c>
      <c r="I1817" s="191" t="n">
        <v>4232751.38061467</v>
      </c>
      <c r="J1817" s="192" t="str">
        <f>IF(I1817&gt;0,H1817/I1817,0)</f>
      </c>
      <c r="K1817" s="193" t="str">
        <f>1-EXP(-J1817)</f>
      </c>
      <c r="L1817" s="194" t="str">
        <f>IF(G1817=30,1,M1816)</f>
      </c>
      <c r="M1817" s="195" t="str">
        <f>L1817*(1-K1817)</f>
      </c>
    </row>
    <row r="1818">
      <c r="A1818" t="s">
        <v>167</v>
      </c>
      <c r="B1818" t="s">
        <v>219</v>
      </c>
      <c r="C1818" s="35" t="s">
        <v>221</v>
      </c>
      <c r="D1818" t="s">
        <v>502</v>
      </c>
      <c r="E1818" t="s">
        <v>520</v>
      </c>
      <c r="F1818" s="188" t="n">
        <v>2044</v>
      </c>
      <c r="G1818" s="189" t="n">
        <v>46</v>
      </c>
      <c r="H1818" s="190" t="n">
        <v>6182.88445828692</v>
      </c>
      <c r="I1818" s="191" t="n">
        <v>4282002.1735792</v>
      </c>
      <c r="J1818" s="192" t="str">
        <f>IF(I1818&gt;0,H1818/I1818,0)</f>
      </c>
      <c r="K1818" s="193" t="str">
        <f>1-EXP(-J1818)</f>
      </c>
      <c r="L1818" s="194" t="str">
        <f>IF(G1818=30,1,M1817)</f>
      </c>
      <c r="M1818" s="195" t="str">
        <f>L1818*(1-K1818)</f>
      </c>
    </row>
    <row r="1819">
      <c r="A1819" t="s">
        <v>167</v>
      </c>
      <c r="B1819" t="s">
        <v>219</v>
      </c>
      <c r="C1819" s="35" t="s">
        <v>221</v>
      </c>
      <c r="D1819" t="s">
        <v>502</v>
      </c>
      <c r="E1819" t="s">
        <v>520</v>
      </c>
      <c r="F1819" s="188" t="n">
        <v>2044</v>
      </c>
      <c r="G1819" s="189" t="n">
        <v>47</v>
      </c>
      <c r="H1819" s="190" t="n">
        <v>7162.56684705688</v>
      </c>
      <c r="I1819" s="191" t="n">
        <v>4405565.23157148</v>
      </c>
      <c r="J1819" s="192" t="str">
        <f>IF(I1819&gt;0,H1819/I1819,0)</f>
      </c>
      <c r="K1819" s="193" t="str">
        <f>1-EXP(-J1819)</f>
      </c>
      <c r="L1819" s="194" t="str">
        <f>IF(G1819=30,1,M1818)</f>
      </c>
      <c r="M1819" s="195" t="str">
        <f>L1819*(1-K1819)</f>
      </c>
    </row>
    <row r="1820">
      <c r="A1820" t="s">
        <v>167</v>
      </c>
      <c r="B1820" t="s">
        <v>219</v>
      </c>
      <c r="C1820" s="35" t="s">
        <v>221</v>
      </c>
      <c r="D1820" t="s">
        <v>502</v>
      </c>
      <c r="E1820" t="s">
        <v>520</v>
      </c>
      <c r="F1820" s="188" t="n">
        <v>2044</v>
      </c>
      <c r="G1820" s="189" t="n">
        <v>48</v>
      </c>
      <c r="H1820" s="190" t="n">
        <v>7759.77915366297</v>
      </c>
      <c r="I1820" s="191" t="n">
        <v>4353011.197211</v>
      </c>
      <c r="J1820" s="192" t="str">
        <f>IF(I1820&gt;0,H1820/I1820,0)</f>
      </c>
      <c r="K1820" s="193" t="str">
        <f>1-EXP(-J1820)</f>
      </c>
      <c r="L1820" s="194" t="str">
        <f>IF(G1820=30,1,M1819)</f>
      </c>
      <c r="M1820" s="195" t="str">
        <f>L1820*(1-K1820)</f>
      </c>
    </row>
    <row r="1821">
      <c r="A1821" t="s">
        <v>167</v>
      </c>
      <c r="B1821" t="s">
        <v>219</v>
      </c>
      <c r="C1821" s="35" t="s">
        <v>221</v>
      </c>
      <c r="D1821" t="s">
        <v>502</v>
      </c>
      <c r="E1821" t="s">
        <v>520</v>
      </c>
      <c r="F1821" s="188" t="n">
        <v>2044</v>
      </c>
      <c r="G1821" s="189" t="n">
        <v>49</v>
      </c>
      <c r="H1821" s="190" t="n">
        <v>8352.65168383669</v>
      </c>
      <c r="I1821" s="191" t="n">
        <v>4270290.40221731</v>
      </c>
      <c r="J1821" s="192" t="str">
        <f>IF(I1821&gt;0,H1821/I1821,0)</f>
      </c>
      <c r="K1821" s="193" t="str">
        <f>1-EXP(-J1821)</f>
      </c>
      <c r="L1821" s="194" t="str">
        <f>IF(G1821=30,1,M1820)</f>
      </c>
      <c r="M1821" s="195" t="str">
        <f>L1821*(1-K1821)</f>
      </c>
    </row>
    <row r="1822">
      <c r="A1822" t="s">
        <v>167</v>
      </c>
      <c r="B1822" t="s">
        <v>219</v>
      </c>
      <c r="C1822" s="35" t="s">
        <v>221</v>
      </c>
      <c r="D1822" t="s">
        <v>502</v>
      </c>
      <c r="E1822" t="s">
        <v>520</v>
      </c>
      <c r="F1822" s="188" t="n">
        <v>2044</v>
      </c>
      <c r="G1822" s="189" t="n">
        <v>50</v>
      </c>
      <c r="H1822" s="190" t="n">
        <v>9411.05260920923</v>
      </c>
      <c r="I1822" s="191" t="n">
        <v>4201743.75889698</v>
      </c>
      <c r="J1822" s="192" t="str">
        <f>IF(I1822&gt;0,H1822/I1822,0)</f>
      </c>
      <c r="K1822" s="193" t="str">
        <f>1-EXP(-J1822)</f>
      </c>
      <c r="L1822" s="194" t="str">
        <f>IF(G1822=30,1,M1821)</f>
      </c>
      <c r="M1822" s="195" t="str">
        <f>L1822*(1-K1822)</f>
      </c>
    </row>
    <row r="1823">
      <c r="A1823" t="s">
        <v>167</v>
      </c>
      <c r="B1823" t="s">
        <v>219</v>
      </c>
      <c r="C1823" s="35" t="s">
        <v>221</v>
      </c>
      <c r="D1823" t="s">
        <v>502</v>
      </c>
      <c r="E1823" t="s">
        <v>520</v>
      </c>
      <c r="F1823" s="188" t="n">
        <v>2044</v>
      </c>
      <c r="G1823" s="189" t="n">
        <v>51</v>
      </c>
      <c r="H1823" s="190" t="n">
        <v>10124.666337411</v>
      </c>
      <c r="I1823" s="191" t="n">
        <v>4134887.40995924</v>
      </c>
      <c r="J1823" s="192" t="str">
        <f>IF(I1823&gt;0,H1823/I1823,0)</f>
      </c>
      <c r="K1823" s="193" t="str">
        <f>1-EXP(-J1823)</f>
      </c>
      <c r="L1823" s="194" t="str">
        <f>IF(G1823=30,1,M1822)</f>
      </c>
      <c r="M1823" s="195" t="str">
        <f>L1823*(1-K1823)</f>
      </c>
    </row>
    <row r="1824">
      <c r="A1824" t="s">
        <v>167</v>
      </c>
      <c r="B1824" t="s">
        <v>219</v>
      </c>
      <c r="C1824" s="35" t="s">
        <v>221</v>
      </c>
      <c r="D1824" t="s">
        <v>502</v>
      </c>
      <c r="E1824" t="s">
        <v>520</v>
      </c>
      <c r="F1824" s="188" t="n">
        <v>2044</v>
      </c>
      <c r="G1824" s="189" t="n">
        <v>52</v>
      </c>
      <c r="H1824" s="190" t="n">
        <v>11111.8983155419</v>
      </c>
      <c r="I1824" s="191" t="n">
        <v>4154765.44613445</v>
      </c>
      <c r="J1824" s="192" t="str">
        <f>IF(I1824&gt;0,H1824/I1824,0)</f>
      </c>
      <c r="K1824" s="193" t="str">
        <f>1-EXP(-J1824)</f>
      </c>
      <c r="L1824" s="194" t="str">
        <f>IF(G1824=30,1,M1823)</f>
      </c>
      <c r="M1824" s="195" t="str">
        <f>L1824*(1-K1824)</f>
      </c>
    </row>
    <row r="1825">
      <c r="A1825" t="s">
        <v>167</v>
      </c>
      <c r="B1825" t="s">
        <v>219</v>
      </c>
      <c r="C1825" s="35" t="s">
        <v>221</v>
      </c>
      <c r="D1825" t="s">
        <v>502</v>
      </c>
      <c r="E1825" t="s">
        <v>520</v>
      </c>
      <c r="F1825" s="188" t="n">
        <v>2044</v>
      </c>
      <c r="G1825" s="189" t="n">
        <v>53</v>
      </c>
      <c r="H1825" s="190" t="n">
        <v>12129.7559538295</v>
      </c>
      <c r="I1825" s="191" t="n">
        <v>4153839.76226298</v>
      </c>
      <c r="J1825" s="192" t="str">
        <f>IF(I1825&gt;0,H1825/I1825,0)</f>
      </c>
      <c r="K1825" s="193" t="str">
        <f>1-EXP(-J1825)</f>
      </c>
      <c r="L1825" s="194" t="str">
        <f>IF(G1825=30,1,M1824)</f>
      </c>
      <c r="M1825" s="195" t="str">
        <f>L1825*(1-K1825)</f>
      </c>
    </row>
    <row r="1826">
      <c r="A1826" t="s">
        <v>167</v>
      </c>
      <c r="B1826" t="s">
        <v>219</v>
      </c>
      <c r="C1826" s="35" t="s">
        <v>221</v>
      </c>
      <c r="D1826" t="s">
        <v>502</v>
      </c>
      <c r="E1826" t="s">
        <v>520</v>
      </c>
      <c r="F1826" s="188" t="n">
        <v>2044</v>
      </c>
      <c r="G1826" s="189" t="n">
        <v>54</v>
      </c>
      <c r="H1826" s="190" t="n">
        <v>17574.8146848557</v>
      </c>
      <c r="I1826" s="191" t="n">
        <v>6107810.8775289</v>
      </c>
      <c r="J1826" s="192" t="str">
        <f>IF(I1826&gt;0,H1826/I1826,0)</f>
      </c>
      <c r="K1826" s="193" t="str">
        <f>1-EXP(-J1826)</f>
      </c>
      <c r="L1826" s="194" t="str">
        <f>IF(G1826=30,1,M1825)</f>
      </c>
      <c r="M1826" s="195" t="str">
        <f>L1826*(1-K1826)</f>
      </c>
    </row>
    <row r="1827">
      <c r="A1827" t="s">
        <v>167</v>
      </c>
      <c r="B1827" t="s">
        <v>219</v>
      </c>
      <c r="C1827" s="35" t="s">
        <v>221</v>
      </c>
      <c r="D1827" t="s">
        <v>502</v>
      </c>
      <c r="E1827" t="s">
        <v>520</v>
      </c>
      <c r="F1827" s="188" t="n">
        <v>2044</v>
      </c>
      <c r="G1827" s="189" t="n">
        <v>55</v>
      </c>
      <c r="H1827" s="190" t="n">
        <v>13936.6516910242</v>
      </c>
      <c r="I1827" s="191" t="n">
        <v>4073406.61593644</v>
      </c>
      <c r="J1827" s="192" t="str">
        <f>IF(I1827&gt;0,H1827/I1827,0)</f>
      </c>
      <c r="K1827" s="193" t="str">
        <f>1-EXP(-J1827)</f>
      </c>
      <c r="L1827" s="194" t="str">
        <f>IF(G1827=30,1,M1826)</f>
      </c>
      <c r="M1827" s="195" t="str">
        <f>L1827*(1-K1827)</f>
      </c>
    </row>
    <row r="1828">
      <c r="A1828" t="s">
        <v>167</v>
      </c>
      <c r="B1828" t="s">
        <v>219</v>
      </c>
      <c r="C1828" s="35" t="s">
        <v>221</v>
      </c>
      <c r="D1828" t="s">
        <v>502</v>
      </c>
      <c r="E1828" t="s">
        <v>520</v>
      </c>
      <c r="F1828" s="188" t="n">
        <v>2044</v>
      </c>
      <c r="G1828" s="189" t="n">
        <v>56</v>
      </c>
      <c r="H1828" s="190" t="n">
        <v>14997.6475974839</v>
      </c>
      <c r="I1828" s="191" t="n">
        <v>4034233.16737551</v>
      </c>
      <c r="J1828" s="192" t="str">
        <f>IF(I1828&gt;0,H1828/I1828,0)</f>
      </c>
      <c r="K1828" s="193" t="str">
        <f>1-EXP(-J1828)</f>
      </c>
      <c r="L1828" s="194" t="str">
        <f>IF(G1828=30,1,M1827)</f>
      </c>
      <c r="M1828" s="195" t="str">
        <f>L1828*(1-K1828)</f>
      </c>
    </row>
    <row r="1829">
      <c r="A1829" t="s">
        <v>167</v>
      </c>
      <c r="B1829" t="s">
        <v>219</v>
      </c>
      <c r="C1829" s="35" t="s">
        <v>221</v>
      </c>
      <c r="D1829" t="s">
        <v>502</v>
      </c>
      <c r="E1829" t="s">
        <v>520</v>
      </c>
      <c r="F1829" s="188" t="n">
        <v>2044</v>
      </c>
      <c r="G1829" s="189" t="n">
        <v>57</v>
      </c>
      <c r="H1829" s="190" t="n">
        <v>15772.3210875429</v>
      </c>
      <c r="I1829" s="191" t="n">
        <v>3885972.08384112</v>
      </c>
      <c r="J1829" s="192" t="str">
        <f>IF(I1829&gt;0,H1829/I1829,0)</f>
      </c>
      <c r="K1829" s="193" t="str">
        <f>1-EXP(-J1829)</f>
      </c>
      <c r="L1829" s="194" t="str">
        <f>IF(G1829=30,1,M1828)</f>
      </c>
      <c r="M1829" s="195" t="str">
        <f>L1829*(1-K1829)</f>
      </c>
    </row>
    <row r="1830">
      <c r="A1830" t="s">
        <v>167</v>
      </c>
      <c r="B1830" t="s">
        <v>219</v>
      </c>
      <c r="C1830" s="35" t="s">
        <v>221</v>
      </c>
      <c r="D1830" t="s">
        <v>502</v>
      </c>
      <c r="E1830" t="s">
        <v>520</v>
      </c>
      <c r="F1830" s="188" t="n">
        <v>2044</v>
      </c>
      <c r="G1830" s="189" t="n">
        <v>58</v>
      </c>
      <c r="H1830" s="190" t="n">
        <v>16977.9062289181</v>
      </c>
      <c r="I1830" s="191" t="n">
        <v>3827308.34456978</v>
      </c>
      <c r="J1830" s="192" t="str">
        <f>IF(I1830&gt;0,H1830/I1830,0)</f>
      </c>
      <c r="K1830" s="193" t="str">
        <f>1-EXP(-J1830)</f>
      </c>
      <c r="L1830" s="194" t="str">
        <f>IF(G1830=30,1,M1829)</f>
      </c>
      <c r="M1830" s="195" t="str">
        <f>L1830*(1-K1830)</f>
      </c>
    </row>
    <row r="1831">
      <c r="A1831" t="s">
        <v>167</v>
      </c>
      <c r="B1831" t="s">
        <v>219</v>
      </c>
      <c r="C1831" s="35" t="s">
        <v>221</v>
      </c>
      <c r="D1831" t="s">
        <v>502</v>
      </c>
      <c r="E1831" t="s">
        <v>520</v>
      </c>
      <c r="F1831" s="188" t="n">
        <v>2044</v>
      </c>
      <c r="G1831" s="189" t="n">
        <v>59</v>
      </c>
      <c r="H1831" s="190" t="n">
        <v>18710.8276338466</v>
      </c>
      <c r="I1831" s="191" t="n">
        <v>3852326.21513659</v>
      </c>
      <c r="J1831" s="192" t="str">
        <f>IF(I1831&gt;0,H1831/I1831,0)</f>
      </c>
      <c r="K1831" s="193" t="str">
        <f>1-EXP(-J1831)</f>
      </c>
      <c r="L1831" s="194" t="str">
        <f>IF(G1831=30,1,M1830)</f>
      </c>
      <c r="M1831" s="195" t="str">
        <f>L1831*(1-K1831)</f>
      </c>
    </row>
    <row r="1832">
      <c r="A1832" t="s">
        <v>167</v>
      </c>
      <c r="B1832" t="s">
        <v>219</v>
      </c>
      <c r="C1832" s="35" t="s">
        <v>221</v>
      </c>
      <c r="D1832" t="s">
        <v>502</v>
      </c>
      <c r="E1832" t="s">
        <v>520</v>
      </c>
      <c r="F1832" s="188" t="n">
        <v>2044</v>
      </c>
      <c r="G1832" s="189" t="n">
        <v>60</v>
      </c>
      <c r="H1832" s="190" t="n">
        <v>20526.4223690159</v>
      </c>
      <c r="I1832" s="191" t="n">
        <v>3896674.36113903</v>
      </c>
      <c r="J1832" s="192" t="str">
        <f>IF(I1832&gt;0,H1832/I1832,0)</f>
      </c>
      <c r="K1832" s="193" t="str">
        <f>1-EXP(-J1832)</f>
      </c>
      <c r="L1832" s="194" t="str">
        <f>IF(G1832=30,1,M1831)</f>
      </c>
      <c r="M1832" s="195" t="str">
        <f>L1832*(1-K1832)</f>
      </c>
    </row>
    <row r="1833">
      <c r="A1833" t="s">
        <v>167</v>
      </c>
      <c r="B1833" t="s">
        <v>219</v>
      </c>
      <c r="C1833" s="35" t="s">
        <v>221</v>
      </c>
      <c r="D1833" t="s">
        <v>502</v>
      </c>
      <c r="E1833" t="s">
        <v>520</v>
      </c>
      <c r="F1833" s="188" t="n">
        <v>2044</v>
      </c>
      <c r="G1833" s="189" t="n">
        <v>61</v>
      </c>
      <c r="H1833" s="190" t="n">
        <v>22195.8139683559</v>
      </c>
      <c r="I1833" s="191" t="n">
        <v>3838816.88813243</v>
      </c>
      <c r="J1833" s="192" t="str">
        <f>IF(I1833&gt;0,H1833/I1833,0)</f>
      </c>
      <c r="K1833" s="193" t="str">
        <f>1-EXP(-J1833)</f>
      </c>
      <c r="L1833" s="194" t="str">
        <f>IF(G1833=30,1,M1832)</f>
      </c>
      <c r="M1833" s="195" t="str">
        <f>L1833*(1-K1833)</f>
      </c>
    </row>
    <row r="1834">
      <c r="A1834" t="s">
        <v>167</v>
      </c>
      <c r="B1834" t="s">
        <v>219</v>
      </c>
      <c r="C1834" s="35" t="s">
        <v>221</v>
      </c>
      <c r="D1834" t="s">
        <v>502</v>
      </c>
      <c r="E1834" t="s">
        <v>520</v>
      </c>
      <c r="F1834" s="188" t="n">
        <v>2044</v>
      </c>
      <c r="G1834" s="189" t="n">
        <v>62</v>
      </c>
      <c r="H1834" s="190" t="n">
        <v>23363.961546969</v>
      </c>
      <c r="I1834" s="191" t="n">
        <v>3678082.59987226</v>
      </c>
      <c r="J1834" s="192" t="str">
        <f>IF(I1834&gt;0,H1834/I1834,0)</f>
      </c>
      <c r="K1834" s="193" t="str">
        <f>1-EXP(-J1834)</f>
      </c>
      <c r="L1834" s="194" t="str">
        <f>IF(G1834=30,1,M1833)</f>
      </c>
      <c r="M1834" s="195" t="str">
        <f>L1834*(1-K1834)</f>
      </c>
    </row>
    <row r="1835">
      <c r="A1835" t="s">
        <v>167</v>
      </c>
      <c r="B1835" t="s">
        <v>219</v>
      </c>
      <c r="C1835" s="35" t="s">
        <v>221</v>
      </c>
      <c r="D1835" t="s">
        <v>502</v>
      </c>
      <c r="E1835" t="s">
        <v>520</v>
      </c>
      <c r="F1835" s="188" t="n">
        <v>2044</v>
      </c>
      <c r="G1835" s="189" t="n">
        <v>63</v>
      </c>
      <c r="H1835" s="190" t="n">
        <v>24904.6294399735</v>
      </c>
      <c r="I1835" s="191" t="n">
        <v>3571775.37429173</v>
      </c>
      <c r="J1835" s="192" t="str">
        <f>IF(I1835&gt;0,H1835/I1835,0)</f>
      </c>
      <c r="K1835" s="193" t="str">
        <f>1-EXP(-J1835)</f>
      </c>
      <c r="L1835" s="194" t="str">
        <f>IF(G1835=30,1,M1834)</f>
      </c>
      <c r="M1835" s="195" t="str">
        <f>L1835*(1-K1835)</f>
      </c>
    </row>
    <row r="1836">
      <c r="A1836" t="s">
        <v>167</v>
      </c>
      <c r="B1836" t="s">
        <v>219</v>
      </c>
      <c r="C1836" s="35" t="s">
        <v>221</v>
      </c>
      <c r="D1836" t="s">
        <v>502</v>
      </c>
      <c r="E1836" t="s">
        <v>520</v>
      </c>
      <c r="F1836" s="188" t="n">
        <v>2044</v>
      </c>
      <c r="G1836" s="189" t="n">
        <v>64</v>
      </c>
      <c r="H1836" s="190" t="n">
        <v>26608.9012050276</v>
      </c>
      <c r="I1836" s="191" t="n">
        <v>3477257.27104347</v>
      </c>
      <c r="J1836" s="192" t="str">
        <f>IF(I1836&gt;0,H1836/I1836,0)</f>
      </c>
      <c r="K1836" s="193" t="str">
        <f>1-EXP(-J1836)</f>
      </c>
      <c r="L1836" s="194" t="str">
        <f>IF(G1836=30,1,M1835)</f>
      </c>
      <c r="M1836" s="195" t="str">
        <f>L1836*(1-K1836)</f>
      </c>
    </row>
    <row r="1837">
      <c r="A1837" t="s">
        <v>167</v>
      </c>
      <c r="B1837" t="s">
        <v>219</v>
      </c>
      <c r="C1837" s="35" t="s">
        <v>221</v>
      </c>
      <c r="D1837" t="s">
        <v>502</v>
      </c>
      <c r="E1837" t="s">
        <v>520</v>
      </c>
      <c r="F1837" s="188" t="n">
        <v>2044</v>
      </c>
      <c r="G1837" s="189" t="n">
        <v>65</v>
      </c>
      <c r="H1837" s="190" t="n">
        <v>27057.3857426923</v>
      </c>
      <c r="I1837" s="191" t="n">
        <v>3375698.50348372</v>
      </c>
      <c r="J1837" s="192" t="str">
        <f>IF(I1837&gt;0,H1837/I1837,0)</f>
      </c>
      <c r="K1837" s="193" t="str">
        <f>1-EXP(-J1837)</f>
      </c>
      <c r="L1837" s="194" t="str">
        <f>IF(G1837=30,1,M1836)</f>
      </c>
      <c r="M1837" s="195" t="str">
        <f>L1837*(1-K1837)</f>
      </c>
    </row>
    <row r="1838">
      <c r="A1838" t="s">
        <v>167</v>
      </c>
      <c r="B1838" t="s">
        <v>219</v>
      </c>
      <c r="C1838" s="35" t="s">
        <v>221</v>
      </c>
      <c r="D1838" t="s">
        <v>502</v>
      </c>
      <c r="E1838" t="s">
        <v>520</v>
      </c>
      <c r="F1838" s="188" t="n">
        <v>2044</v>
      </c>
      <c r="G1838" s="189" t="n">
        <v>66</v>
      </c>
      <c r="H1838" s="190" t="n">
        <v>28623.4492137609</v>
      </c>
      <c r="I1838" s="191" t="n">
        <v>3256052.03165976</v>
      </c>
      <c r="J1838" s="192" t="str">
        <f>IF(I1838&gt;0,H1838/I1838,0)</f>
      </c>
      <c r="K1838" s="193" t="str">
        <f>1-EXP(-J1838)</f>
      </c>
      <c r="L1838" s="194" t="str">
        <f>IF(G1838=30,1,M1837)</f>
      </c>
      <c r="M1838" s="195" t="str">
        <f>L1838*(1-K1838)</f>
      </c>
    </row>
    <row r="1839">
      <c r="A1839" t="s">
        <v>167</v>
      </c>
      <c r="B1839" t="s">
        <v>219</v>
      </c>
      <c r="C1839" s="35" t="s">
        <v>221</v>
      </c>
      <c r="D1839" t="s">
        <v>502</v>
      </c>
      <c r="E1839" t="s">
        <v>520</v>
      </c>
      <c r="F1839" s="188" t="n">
        <v>2044</v>
      </c>
      <c r="G1839" s="189" t="n">
        <v>67</v>
      </c>
      <c r="H1839" s="190" t="n">
        <v>30424.8863014312</v>
      </c>
      <c r="I1839" s="191" t="n">
        <v>3147474.66480461</v>
      </c>
      <c r="J1839" s="192" t="str">
        <f>IF(I1839&gt;0,H1839/I1839,0)</f>
      </c>
      <c r="K1839" s="193" t="str">
        <f>1-EXP(-J1839)</f>
      </c>
      <c r="L1839" s="194" t="str">
        <f>IF(G1839=30,1,M1838)</f>
      </c>
      <c r="M1839" s="195" t="str">
        <f>L1839*(1-K1839)</f>
      </c>
    </row>
    <row r="1840">
      <c r="A1840" t="s">
        <v>167</v>
      </c>
      <c r="B1840" t="s">
        <v>219</v>
      </c>
      <c r="C1840" s="35" t="s">
        <v>221</v>
      </c>
      <c r="D1840" t="s">
        <v>502</v>
      </c>
      <c r="E1840" t="s">
        <v>520</v>
      </c>
      <c r="F1840" s="188" t="n">
        <v>2044</v>
      </c>
      <c r="G1840" s="189" t="n">
        <v>68</v>
      </c>
      <c r="H1840" s="190" t="n">
        <v>32168.0134735071</v>
      </c>
      <c r="I1840" s="191" t="n">
        <v>3027591.63602313</v>
      </c>
      <c r="J1840" s="192" t="str">
        <f>IF(I1840&gt;0,H1840/I1840,0)</f>
      </c>
      <c r="K1840" s="193" t="str">
        <f>1-EXP(-J1840)</f>
      </c>
      <c r="L1840" s="194" t="str">
        <f>IF(G1840=30,1,M1839)</f>
      </c>
      <c r="M1840" s="195" t="str">
        <f>L1840*(1-K1840)</f>
      </c>
    </row>
    <row r="1841">
      <c r="A1841" t="s">
        <v>167</v>
      </c>
      <c r="B1841" t="s">
        <v>219</v>
      </c>
      <c r="C1841" s="35" t="s">
        <v>221</v>
      </c>
      <c r="D1841" t="s">
        <v>502</v>
      </c>
      <c r="E1841" t="s">
        <v>520</v>
      </c>
      <c r="F1841" s="188" t="n">
        <v>2044</v>
      </c>
      <c r="G1841" s="189" t="n">
        <v>69</v>
      </c>
      <c r="H1841" s="190" t="n">
        <v>33958.3734084045</v>
      </c>
      <c r="I1841" s="191" t="n">
        <v>2905120.63731021</v>
      </c>
      <c r="J1841" s="192" t="str">
        <f>IF(I1841&gt;0,H1841/I1841,0)</f>
      </c>
      <c r="K1841" s="193" t="str">
        <f>1-EXP(-J1841)</f>
      </c>
      <c r="L1841" s="194" t="str">
        <f>IF(G1841=30,1,M1840)</f>
      </c>
      <c r="M1841" s="195" t="str">
        <f>L1841*(1-K1841)</f>
      </c>
    </row>
    <row r="1842">
      <c r="A1842" t="s">
        <v>167</v>
      </c>
      <c r="B1842" t="s">
        <v>219</v>
      </c>
      <c r="C1842" s="35" t="s">
        <v>221</v>
      </c>
      <c r="D1842" t="s">
        <v>502</v>
      </c>
      <c r="E1842" t="s">
        <v>520</v>
      </c>
      <c r="F1842" s="188" t="n">
        <v>2045</v>
      </c>
      <c r="G1842" s="189" t="n">
        <v>30</v>
      </c>
      <c r="H1842" s="190" t="n">
        <v>716.041028728752</v>
      </c>
      <c r="I1842" s="191" t="n">
        <v>4642400.78779767</v>
      </c>
      <c r="J1842" s="192" t="str">
        <f>IF(I1842&gt;0,H1842/I1842,0)</f>
      </c>
      <c r="K1842" s="193" t="str">
        <f>1-EXP(-J1842)</f>
      </c>
      <c r="L1842" s="194" t="str">
        <f>IF(G1842=30,1,M1841)</f>
      </c>
      <c r="M1842" s="195" t="str">
        <f>L1842*(1-K1842)</f>
      </c>
    </row>
    <row r="1843">
      <c r="A1843" t="s">
        <v>167</v>
      </c>
      <c r="B1843" t="s">
        <v>219</v>
      </c>
      <c r="C1843" s="35" t="s">
        <v>221</v>
      </c>
      <c r="D1843" t="s">
        <v>502</v>
      </c>
      <c r="E1843" t="s">
        <v>520</v>
      </c>
      <c r="F1843" s="188" t="n">
        <v>2045</v>
      </c>
      <c r="G1843" s="189" t="n">
        <v>31</v>
      </c>
      <c r="H1843" s="190" t="n">
        <v>959.714120492611</v>
      </c>
      <c r="I1843" s="191" t="n">
        <v>4708938.23652826</v>
      </c>
      <c r="J1843" s="192" t="str">
        <f>IF(I1843&gt;0,H1843/I1843,0)</f>
      </c>
      <c r="K1843" s="193" t="str">
        <f>1-EXP(-J1843)</f>
      </c>
      <c r="L1843" s="194" t="str">
        <f>IF(G1843=30,1,M1842)</f>
      </c>
      <c r="M1843" s="195" t="str">
        <f>L1843*(1-K1843)</f>
      </c>
    </row>
    <row r="1844">
      <c r="A1844" t="s">
        <v>167</v>
      </c>
      <c r="B1844" t="s">
        <v>219</v>
      </c>
      <c r="C1844" s="35" t="s">
        <v>221</v>
      </c>
      <c r="D1844" t="s">
        <v>502</v>
      </c>
      <c r="E1844" t="s">
        <v>520</v>
      </c>
      <c r="F1844" s="188" t="n">
        <v>2045</v>
      </c>
      <c r="G1844" s="189" t="n">
        <v>32</v>
      </c>
      <c r="H1844" s="190" t="n">
        <v>1026.59012479053</v>
      </c>
      <c r="I1844" s="191" t="n">
        <v>4777133.62006933</v>
      </c>
      <c r="J1844" s="192" t="str">
        <f>IF(I1844&gt;0,H1844/I1844,0)</f>
      </c>
      <c r="K1844" s="193" t="str">
        <f>1-EXP(-J1844)</f>
      </c>
      <c r="L1844" s="194" t="str">
        <f>IF(G1844=30,1,M1843)</f>
      </c>
      <c r="M1844" s="195" t="str">
        <f>L1844*(1-K1844)</f>
      </c>
    </row>
    <row r="1845">
      <c r="A1845" t="s">
        <v>167</v>
      </c>
      <c r="B1845" t="s">
        <v>219</v>
      </c>
      <c r="C1845" s="35" t="s">
        <v>221</v>
      </c>
      <c r="D1845" t="s">
        <v>502</v>
      </c>
      <c r="E1845" t="s">
        <v>520</v>
      </c>
      <c r="F1845" s="188" t="n">
        <v>2045</v>
      </c>
      <c r="G1845" s="189" t="n">
        <v>33</v>
      </c>
      <c r="H1845" s="190" t="n">
        <v>1156.2159991138</v>
      </c>
      <c r="I1845" s="191" t="n">
        <v>4889686.1146381</v>
      </c>
      <c r="J1845" s="192" t="str">
        <f>IF(I1845&gt;0,H1845/I1845,0)</f>
      </c>
      <c r="K1845" s="193" t="str">
        <f>1-EXP(-J1845)</f>
      </c>
      <c r="L1845" s="194" t="str">
        <f>IF(G1845=30,1,M1844)</f>
      </c>
      <c r="M1845" s="195" t="str">
        <f>L1845*(1-K1845)</f>
      </c>
    </row>
    <row r="1846">
      <c r="A1846" t="s">
        <v>167</v>
      </c>
      <c r="B1846" t="s">
        <v>219</v>
      </c>
      <c r="C1846" s="35" t="s">
        <v>221</v>
      </c>
      <c r="D1846" t="s">
        <v>502</v>
      </c>
      <c r="E1846" t="s">
        <v>520</v>
      </c>
      <c r="F1846" s="188" t="n">
        <v>2045</v>
      </c>
      <c r="G1846" s="189" t="n">
        <v>34</v>
      </c>
      <c r="H1846" s="190" t="n">
        <v>1224.34517045857</v>
      </c>
      <c r="I1846" s="191" t="n">
        <v>4861261.03216744</v>
      </c>
      <c r="J1846" s="192" t="str">
        <f>IF(I1846&gt;0,H1846/I1846,0)</f>
      </c>
      <c r="K1846" s="193" t="str">
        <f>1-EXP(-J1846)</f>
      </c>
      <c r="L1846" s="194" t="str">
        <f>IF(G1846=30,1,M1845)</f>
      </c>
      <c r="M1846" s="195" t="str">
        <f>L1846*(1-K1846)</f>
      </c>
    </row>
    <row r="1847">
      <c r="A1847" t="s">
        <v>167</v>
      </c>
      <c r="B1847" t="s">
        <v>219</v>
      </c>
      <c r="C1847" s="35" t="s">
        <v>221</v>
      </c>
      <c r="D1847" t="s">
        <v>502</v>
      </c>
      <c r="E1847" t="s">
        <v>520</v>
      </c>
      <c r="F1847" s="188" t="n">
        <v>2045</v>
      </c>
      <c r="G1847" s="189" t="n">
        <v>35</v>
      </c>
      <c r="H1847" s="190" t="n">
        <v>1561.39290126211</v>
      </c>
      <c r="I1847" s="191" t="n">
        <v>4727235.13574883</v>
      </c>
      <c r="J1847" s="192" t="str">
        <f>IF(I1847&gt;0,H1847/I1847,0)</f>
      </c>
      <c r="K1847" s="193" t="str">
        <f>1-EXP(-J1847)</f>
      </c>
      <c r="L1847" s="194" t="str">
        <f>IF(G1847=30,1,M1846)</f>
      </c>
      <c r="M1847" s="195" t="str">
        <f>L1847*(1-K1847)</f>
      </c>
    </row>
    <row r="1848">
      <c r="A1848" t="s">
        <v>167</v>
      </c>
      <c r="B1848" t="s">
        <v>219</v>
      </c>
      <c r="C1848" s="35" t="s">
        <v>221</v>
      </c>
      <c r="D1848" t="s">
        <v>502</v>
      </c>
      <c r="E1848" t="s">
        <v>520</v>
      </c>
      <c r="F1848" s="188" t="n">
        <v>2045</v>
      </c>
      <c r="G1848" s="189" t="n">
        <v>36</v>
      </c>
      <c r="H1848" s="190" t="n">
        <v>1802.96193809539</v>
      </c>
      <c r="I1848" s="191" t="n">
        <v>4655442.95712992</v>
      </c>
      <c r="J1848" s="192" t="str">
        <f>IF(I1848&gt;0,H1848/I1848,0)</f>
      </c>
      <c r="K1848" s="193" t="str">
        <f>1-EXP(-J1848)</f>
      </c>
      <c r="L1848" s="194" t="str">
        <f>IF(G1848=30,1,M1847)</f>
      </c>
      <c r="M1848" s="195" t="str">
        <f>L1848*(1-K1848)</f>
      </c>
    </row>
    <row r="1849">
      <c r="A1849" t="s">
        <v>167</v>
      </c>
      <c r="B1849" t="s">
        <v>219</v>
      </c>
      <c r="C1849" s="35" t="s">
        <v>221</v>
      </c>
      <c r="D1849" t="s">
        <v>502</v>
      </c>
      <c r="E1849" t="s">
        <v>520</v>
      </c>
      <c r="F1849" s="188" t="n">
        <v>2045</v>
      </c>
      <c r="G1849" s="189" t="n">
        <v>37</v>
      </c>
      <c r="H1849" s="190" t="n">
        <v>1921.17693001648</v>
      </c>
      <c r="I1849" s="191" t="n">
        <v>4611596.01336978</v>
      </c>
      <c r="J1849" s="192" t="str">
        <f>IF(I1849&gt;0,H1849/I1849,0)</f>
      </c>
      <c r="K1849" s="193" t="str">
        <f>1-EXP(-J1849)</f>
      </c>
      <c r="L1849" s="194" t="str">
        <f>IF(G1849=30,1,M1848)</f>
      </c>
      <c r="M1849" s="195" t="str">
        <f>L1849*(1-K1849)</f>
      </c>
    </row>
    <row r="1850">
      <c r="A1850" t="s">
        <v>167</v>
      </c>
      <c r="B1850" t="s">
        <v>219</v>
      </c>
      <c r="C1850" s="35" t="s">
        <v>221</v>
      </c>
      <c r="D1850" t="s">
        <v>502</v>
      </c>
      <c r="E1850" t="s">
        <v>520</v>
      </c>
      <c r="F1850" s="188" t="n">
        <v>2045</v>
      </c>
      <c r="G1850" s="189" t="n">
        <v>38</v>
      </c>
      <c r="H1850" s="190" t="n">
        <v>2143.0295151891</v>
      </c>
      <c r="I1850" s="191" t="n">
        <v>4635326.52255714</v>
      </c>
      <c r="J1850" s="192" t="str">
        <f>IF(I1850&gt;0,H1850/I1850,0)</f>
      </c>
      <c r="K1850" s="193" t="str">
        <f>1-EXP(-J1850)</f>
      </c>
      <c r="L1850" s="194" t="str">
        <f>IF(G1850=30,1,M1849)</f>
      </c>
      <c r="M1850" s="195" t="str">
        <f>L1850*(1-K1850)</f>
      </c>
    </row>
    <row r="1851">
      <c r="A1851" t="s">
        <v>167</v>
      </c>
      <c r="B1851" t="s">
        <v>219</v>
      </c>
      <c r="C1851" s="35" t="s">
        <v>221</v>
      </c>
      <c r="D1851" t="s">
        <v>502</v>
      </c>
      <c r="E1851" t="s">
        <v>520</v>
      </c>
      <c r="F1851" s="188" t="n">
        <v>2045</v>
      </c>
      <c r="G1851" s="189" t="n">
        <v>39</v>
      </c>
      <c r="H1851" s="190" t="n">
        <v>2274.95492796027</v>
      </c>
      <c r="I1851" s="191" t="n">
        <v>4550653.76735589</v>
      </c>
      <c r="J1851" s="192" t="str">
        <f>IF(I1851&gt;0,H1851/I1851,0)</f>
      </c>
      <c r="K1851" s="193" t="str">
        <f>1-EXP(-J1851)</f>
      </c>
      <c r="L1851" s="194" t="str">
        <f>IF(G1851=30,1,M1850)</f>
      </c>
      <c r="M1851" s="195" t="str">
        <f>L1851*(1-K1851)</f>
      </c>
    </row>
    <row r="1852">
      <c r="A1852" t="s">
        <v>167</v>
      </c>
      <c r="B1852" t="s">
        <v>219</v>
      </c>
      <c r="C1852" s="35" t="s">
        <v>221</v>
      </c>
      <c r="D1852" t="s">
        <v>502</v>
      </c>
      <c r="E1852" t="s">
        <v>520</v>
      </c>
      <c r="F1852" s="188" t="n">
        <v>2045</v>
      </c>
      <c r="G1852" s="189" t="n">
        <v>40</v>
      </c>
      <c r="H1852" s="190" t="n">
        <v>3015.53890005853</v>
      </c>
      <c r="I1852" s="191" t="n">
        <v>4487358.39152369</v>
      </c>
      <c r="J1852" s="192" t="str">
        <f>IF(I1852&gt;0,H1852/I1852,0)</f>
      </c>
      <c r="K1852" s="193" t="str">
        <f>1-EXP(-J1852)</f>
      </c>
      <c r="L1852" s="194" t="str">
        <f>IF(G1852=30,1,M1851)</f>
      </c>
      <c r="M1852" s="195" t="str">
        <f>L1852*(1-K1852)</f>
      </c>
    </row>
    <row r="1853">
      <c r="A1853" t="s">
        <v>167</v>
      </c>
      <c r="B1853" t="s">
        <v>219</v>
      </c>
      <c r="C1853" s="35" t="s">
        <v>221</v>
      </c>
      <c r="D1853" t="s">
        <v>502</v>
      </c>
      <c r="E1853" t="s">
        <v>520</v>
      </c>
      <c r="F1853" s="188" t="n">
        <v>2045</v>
      </c>
      <c r="G1853" s="189" t="n">
        <v>41</v>
      </c>
      <c r="H1853" s="190" t="n">
        <v>3282.67268831402</v>
      </c>
      <c r="I1853" s="191" t="n">
        <v>4356168.54709323</v>
      </c>
      <c r="J1853" s="192" t="str">
        <f>IF(I1853&gt;0,H1853/I1853,0)</f>
      </c>
      <c r="K1853" s="193" t="str">
        <f>1-EXP(-J1853)</f>
      </c>
      <c r="L1853" s="194" t="str">
        <f>IF(G1853=30,1,M1852)</f>
      </c>
      <c r="M1853" s="195" t="str">
        <f>L1853*(1-K1853)</f>
      </c>
    </row>
    <row r="1854">
      <c r="A1854" t="s">
        <v>167</v>
      </c>
      <c r="B1854" t="s">
        <v>219</v>
      </c>
      <c r="C1854" s="35" t="s">
        <v>221</v>
      </c>
      <c r="D1854" t="s">
        <v>502</v>
      </c>
      <c r="E1854" t="s">
        <v>520</v>
      </c>
      <c r="F1854" s="188" t="n">
        <v>2045</v>
      </c>
      <c r="G1854" s="189" t="n">
        <v>42</v>
      </c>
      <c r="H1854" s="190" t="n">
        <v>3509.67466089651</v>
      </c>
      <c r="I1854" s="191" t="n">
        <v>4287470.84748316</v>
      </c>
      <c r="J1854" s="192" t="str">
        <f>IF(I1854&gt;0,H1854/I1854,0)</f>
      </c>
      <c r="K1854" s="193" t="str">
        <f>1-EXP(-J1854)</f>
      </c>
      <c r="L1854" s="194" t="str">
        <f>IF(G1854=30,1,M1853)</f>
      </c>
      <c r="M1854" s="195" t="str">
        <f>L1854*(1-K1854)</f>
      </c>
    </row>
    <row r="1855">
      <c r="A1855" t="s">
        <v>167</v>
      </c>
      <c r="B1855" t="s">
        <v>219</v>
      </c>
      <c r="C1855" s="35" t="s">
        <v>221</v>
      </c>
      <c r="D1855" t="s">
        <v>502</v>
      </c>
      <c r="E1855" t="s">
        <v>520</v>
      </c>
      <c r="F1855" s="188" t="n">
        <v>2045</v>
      </c>
      <c r="G1855" s="189" t="n">
        <v>43</v>
      </c>
      <c r="H1855" s="190" t="n">
        <v>3950.06289542304</v>
      </c>
      <c r="I1855" s="191" t="n">
        <v>4259875.7296367</v>
      </c>
      <c r="J1855" s="192" t="str">
        <f>IF(I1855&gt;0,H1855/I1855,0)</f>
      </c>
      <c r="K1855" s="193" t="str">
        <f>1-EXP(-J1855)</f>
      </c>
      <c r="L1855" s="194" t="str">
        <f>IF(G1855=30,1,M1854)</f>
      </c>
      <c r="M1855" s="195" t="str">
        <f>L1855*(1-K1855)</f>
      </c>
    </row>
    <row r="1856">
      <c r="A1856" t="s">
        <v>167</v>
      </c>
      <c r="B1856" t="s">
        <v>219</v>
      </c>
      <c r="C1856" s="35" t="s">
        <v>221</v>
      </c>
      <c r="D1856" t="s">
        <v>502</v>
      </c>
      <c r="E1856" t="s">
        <v>520</v>
      </c>
      <c r="F1856" s="188" t="n">
        <v>2045</v>
      </c>
      <c r="G1856" s="189" t="n">
        <v>44</v>
      </c>
      <c r="H1856" s="190" t="n">
        <v>4280.06121490965</v>
      </c>
      <c r="I1856" s="191" t="n">
        <v>4234577.40417493</v>
      </c>
      <c r="J1856" s="192" t="str">
        <f>IF(I1856&gt;0,H1856/I1856,0)</f>
      </c>
      <c r="K1856" s="193" t="str">
        <f>1-EXP(-J1856)</f>
      </c>
      <c r="L1856" s="194" t="str">
        <f>IF(G1856=30,1,M1855)</f>
      </c>
      <c r="M1856" s="195" t="str">
        <f>L1856*(1-K1856)</f>
      </c>
    </row>
    <row r="1857">
      <c r="A1857" t="s">
        <v>167</v>
      </c>
      <c r="B1857" t="s">
        <v>219</v>
      </c>
      <c r="C1857" s="35" t="s">
        <v>221</v>
      </c>
      <c r="D1857" t="s">
        <v>502</v>
      </c>
      <c r="E1857" t="s">
        <v>520</v>
      </c>
      <c r="F1857" s="188" t="n">
        <v>2045</v>
      </c>
      <c r="G1857" s="189" t="n">
        <v>45</v>
      </c>
      <c r="H1857" s="190" t="n">
        <v>5464.25770073431</v>
      </c>
      <c r="I1857" s="191" t="n">
        <v>4208333.03298164</v>
      </c>
      <c r="J1857" s="192" t="str">
        <f>IF(I1857&gt;0,H1857/I1857,0)</f>
      </c>
      <c r="K1857" s="193" t="str">
        <f>1-EXP(-J1857)</f>
      </c>
      <c r="L1857" s="194" t="str">
        <f>IF(G1857=30,1,M1856)</f>
      </c>
      <c r="M1857" s="195" t="str">
        <f>L1857*(1-K1857)</f>
      </c>
    </row>
    <row r="1858">
      <c r="A1858" t="s">
        <v>167</v>
      </c>
      <c r="B1858" t="s">
        <v>219</v>
      </c>
      <c r="C1858" s="35" t="s">
        <v>221</v>
      </c>
      <c r="D1858" t="s">
        <v>502</v>
      </c>
      <c r="E1858" t="s">
        <v>520</v>
      </c>
      <c r="F1858" s="188" t="n">
        <v>2045</v>
      </c>
      <c r="G1858" s="189" t="n">
        <v>46</v>
      </c>
      <c r="H1858" s="190" t="n">
        <v>6052.04751674172</v>
      </c>
      <c r="I1858" s="191" t="n">
        <v>4219187.76638426</v>
      </c>
      <c r="J1858" s="192" t="str">
        <f>IF(I1858&gt;0,H1858/I1858,0)</f>
      </c>
      <c r="K1858" s="193" t="str">
        <f>1-EXP(-J1858)</f>
      </c>
      <c r="L1858" s="194" t="str">
        <f>IF(G1858=30,1,M1857)</f>
      </c>
      <c r="M1858" s="195" t="str">
        <f>L1858*(1-K1858)</f>
      </c>
    </row>
    <row r="1859">
      <c r="A1859" t="s">
        <v>167</v>
      </c>
      <c r="B1859" t="s">
        <v>219</v>
      </c>
      <c r="C1859" s="35" t="s">
        <v>221</v>
      </c>
      <c r="D1859" t="s">
        <v>502</v>
      </c>
      <c r="E1859" t="s">
        <v>520</v>
      </c>
      <c r="F1859" s="188" t="n">
        <v>2045</v>
      </c>
      <c r="G1859" s="189" t="n">
        <v>47</v>
      </c>
      <c r="H1859" s="190" t="n">
        <v>6713.21525356583</v>
      </c>
      <c r="I1859" s="191" t="n">
        <v>4267885.11224336</v>
      </c>
      <c r="J1859" s="192" t="str">
        <f>IF(I1859&gt;0,H1859/I1859,0)</f>
      </c>
      <c r="K1859" s="193" t="str">
        <f>1-EXP(-J1859)</f>
      </c>
      <c r="L1859" s="194" t="str">
        <f>IF(G1859=30,1,M1858)</f>
      </c>
      <c r="M1859" s="195" t="str">
        <f>L1859*(1-K1859)</f>
      </c>
    </row>
    <row r="1860">
      <c r="A1860" t="s">
        <v>167</v>
      </c>
      <c r="B1860" t="s">
        <v>219</v>
      </c>
      <c r="C1860" s="35" t="s">
        <v>221</v>
      </c>
      <c r="D1860" t="s">
        <v>502</v>
      </c>
      <c r="E1860" t="s">
        <v>520</v>
      </c>
      <c r="F1860" s="188" t="n">
        <v>2045</v>
      </c>
      <c r="G1860" s="189" t="n">
        <v>48</v>
      </c>
      <c r="H1860" s="190" t="n">
        <v>7773.35709313561</v>
      </c>
      <c r="I1860" s="191" t="n">
        <v>4389453.76012343</v>
      </c>
      <c r="J1860" s="192" t="str">
        <f>IF(I1860&gt;0,H1860/I1860,0)</f>
      </c>
      <c r="K1860" s="193" t="str">
        <f>1-EXP(-J1860)</f>
      </c>
      <c r="L1860" s="194" t="str">
        <f>IF(G1860=30,1,M1859)</f>
      </c>
      <c r="M1860" s="195" t="str">
        <f>L1860*(1-K1860)</f>
      </c>
    </row>
    <row r="1861">
      <c r="A1861" t="s">
        <v>167</v>
      </c>
      <c r="B1861" t="s">
        <v>219</v>
      </c>
      <c r="C1861" s="35" t="s">
        <v>221</v>
      </c>
      <c r="D1861" t="s">
        <v>502</v>
      </c>
      <c r="E1861" t="s">
        <v>520</v>
      </c>
      <c r="F1861" s="188" t="n">
        <v>2045</v>
      </c>
      <c r="G1861" s="189" t="n">
        <v>49</v>
      </c>
      <c r="H1861" s="190" t="n">
        <v>8424.81570753646</v>
      </c>
      <c r="I1861" s="191" t="n">
        <v>4335588.88835093</v>
      </c>
      <c r="J1861" s="192" t="str">
        <f>IF(I1861&gt;0,H1861/I1861,0)</f>
      </c>
      <c r="K1861" s="193" t="str">
        <f>1-EXP(-J1861)</f>
      </c>
      <c r="L1861" s="194" t="str">
        <f>IF(G1861=30,1,M1860)</f>
      </c>
      <c r="M1861" s="195" t="str">
        <f>L1861*(1-K1861)</f>
      </c>
    </row>
    <row r="1862">
      <c r="A1862" t="s">
        <v>167</v>
      </c>
      <c r="B1862" t="s">
        <v>219</v>
      </c>
      <c r="C1862" s="35" t="s">
        <v>221</v>
      </c>
      <c r="D1862" t="s">
        <v>502</v>
      </c>
      <c r="E1862" t="s">
        <v>520</v>
      </c>
      <c r="F1862" s="188" t="n">
        <v>2045</v>
      </c>
      <c r="G1862" s="189" t="n">
        <v>50</v>
      </c>
      <c r="H1862" s="190" t="n">
        <v>9448.71620971609</v>
      </c>
      <c r="I1862" s="191" t="n">
        <v>4251566.62702356</v>
      </c>
      <c r="J1862" s="192" t="str">
        <f>IF(I1862&gt;0,H1862/I1862,0)</f>
      </c>
      <c r="K1862" s="193" t="str">
        <f>1-EXP(-J1862)</f>
      </c>
      <c r="L1862" s="194" t="str">
        <f>IF(G1862=30,1,M1861)</f>
      </c>
      <c r="M1862" s="195" t="str">
        <f>L1862*(1-K1862)</f>
      </c>
    </row>
    <row r="1863">
      <c r="A1863" t="s">
        <v>167</v>
      </c>
      <c r="B1863" t="s">
        <v>219</v>
      </c>
      <c r="C1863" s="35" t="s">
        <v>221</v>
      </c>
      <c r="D1863" t="s">
        <v>502</v>
      </c>
      <c r="E1863" t="s">
        <v>520</v>
      </c>
      <c r="F1863" s="188" t="n">
        <v>2045</v>
      </c>
      <c r="G1863" s="189" t="n">
        <v>51</v>
      </c>
      <c r="H1863" s="190" t="n">
        <v>10159.2544593539</v>
      </c>
      <c r="I1863" s="191" t="n">
        <v>4180911.21051036</v>
      </c>
      <c r="J1863" s="192" t="str">
        <f>IF(I1863&gt;0,H1863/I1863,0)</f>
      </c>
      <c r="K1863" s="193" t="str">
        <f>1-EXP(-J1863)</f>
      </c>
      <c r="L1863" s="194" t="str">
        <f>IF(G1863=30,1,M1862)</f>
      </c>
      <c r="M1863" s="195" t="str">
        <f>L1863*(1-K1863)</f>
      </c>
    </row>
    <row r="1864">
      <c r="A1864" t="s">
        <v>167</v>
      </c>
      <c r="B1864" t="s">
        <v>219</v>
      </c>
      <c r="C1864" s="35" t="s">
        <v>221</v>
      </c>
      <c r="D1864" t="s">
        <v>502</v>
      </c>
      <c r="E1864" t="s">
        <v>520</v>
      </c>
      <c r="F1864" s="188" t="n">
        <v>2045</v>
      </c>
      <c r="G1864" s="189" t="n">
        <v>52</v>
      </c>
      <c r="H1864" s="190" t="n">
        <v>10933.849440935</v>
      </c>
      <c r="I1864" s="191" t="n">
        <v>4113104.10653921</v>
      </c>
      <c r="J1864" s="192" t="str">
        <f>IF(I1864&gt;0,H1864/I1864,0)</f>
      </c>
      <c r="K1864" s="193" t="str">
        <f>1-EXP(-J1864)</f>
      </c>
      <c r="L1864" s="194" t="str">
        <f>IF(G1864=30,1,M1863)</f>
      </c>
      <c r="M1864" s="195" t="str">
        <f>L1864*(1-K1864)</f>
      </c>
    </row>
    <row r="1865">
      <c r="A1865" t="s">
        <v>167</v>
      </c>
      <c r="B1865" t="s">
        <v>219</v>
      </c>
      <c r="C1865" s="35" t="s">
        <v>221</v>
      </c>
      <c r="D1865" t="s">
        <v>502</v>
      </c>
      <c r="E1865" t="s">
        <v>520</v>
      </c>
      <c r="F1865" s="188" t="n">
        <v>2045</v>
      </c>
      <c r="G1865" s="189" t="n">
        <v>53</v>
      </c>
      <c r="H1865" s="190" t="n">
        <v>11970.669351541</v>
      </c>
      <c r="I1865" s="191" t="n">
        <v>4130858.51986285</v>
      </c>
      <c r="J1865" s="192" t="str">
        <f>IF(I1865&gt;0,H1865/I1865,0)</f>
      </c>
      <c r="K1865" s="193" t="str">
        <f>1-EXP(-J1865)</f>
      </c>
      <c r="L1865" s="194" t="str">
        <f>IF(G1865=30,1,M1864)</f>
      </c>
      <c r="M1865" s="195" t="str">
        <f>L1865*(1-K1865)</f>
      </c>
    </row>
    <row r="1866">
      <c r="A1866" t="s">
        <v>167</v>
      </c>
      <c r="B1866" t="s">
        <v>219</v>
      </c>
      <c r="C1866" s="35" t="s">
        <v>221</v>
      </c>
      <c r="D1866" t="s">
        <v>502</v>
      </c>
      <c r="E1866" t="s">
        <v>520</v>
      </c>
      <c r="F1866" s="188" t="n">
        <v>2045</v>
      </c>
      <c r="G1866" s="189" t="n">
        <v>54</v>
      </c>
      <c r="H1866" s="190" t="n">
        <v>13038.4283516111</v>
      </c>
      <c r="I1866" s="191" t="n">
        <v>4127747.42171695</v>
      </c>
      <c r="J1866" s="192" t="str">
        <f>IF(I1866&gt;0,H1866/I1866,0)</f>
      </c>
      <c r="K1866" s="193" t="str">
        <f>1-EXP(-J1866)</f>
      </c>
      <c r="L1866" s="194" t="str">
        <f>IF(G1866=30,1,M1865)</f>
      </c>
      <c r="M1866" s="195" t="str">
        <f>L1866*(1-K1866)</f>
      </c>
    </row>
    <row r="1867">
      <c r="A1867" t="s">
        <v>167</v>
      </c>
      <c r="B1867" t="s">
        <v>219</v>
      </c>
      <c r="C1867" s="35" t="s">
        <v>221</v>
      </c>
      <c r="D1867" t="s">
        <v>502</v>
      </c>
      <c r="E1867" t="s">
        <v>520</v>
      </c>
      <c r="F1867" s="188" t="n">
        <v>2045</v>
      </c>
      <c r="G1867" s="189" t="n">
        <v>55</v>
      </c>
      <c r="H1867" s="190" t="n">
        <v>18756.3041193635</v>
      </c>
      <c r="I1867" s="191" t="n">
        <v>6069218.30136236</v>
      </c>
      <c r="J1867" s="192" t="str">
        <f>IF(I1867&gt;0,H1867/I1867,0)</f>
      </c>
      <c r="K1867" s="193" t="str">
        <f>1-EXP(-J1867)</f>
      </c>
      <c r="L1867" s="194" t="str">
        <f>IF(G1867=30,1,M1866)</f>
      </c>
      <c r="M1867" s="195" t="str">
        <f>L1867*(1-K1867)</f>
      </c>
    </row>
    <row r="1868">
      <c r="A1868" t="s">
        <v>167</v>
      </c>
      <c r="B1868" t="s">
        <v>219</v>
      </c>
      <c r="C1868" s="35" t="s">
        <v>221</v>
      </c>
      <c r="D1868" t="s">
        <v>502</v>
      </c>
      <c r="E1868" t="s">
        <v>520</v>
      </c>
      <c r="F1868" s="188" t="n">
        <v>2045</v>
      </c>
      <c r="G1868" s="189" t="n">
        <v>56</v>
      </c>
      <c r="H1868" s="190" t="n">
        <v>14881.2673053524</v>
      </c>
      <c r="I1868" s="191" t="n">
        <v>4042928.90194834</v>
      </c>
      <c r="J1868" s="192" t="str">
        <f>IF(I1868&gt;0,H1868/I1868,0)</f>
      </c>
      <c r="K1868" s="193" t="str">
        <f>1-EXP(-J1868)</f>
      </c>
      <c r="L1868" s="194" t="str">
        <f>IF(G1868=30,1,M1867)</f>
      </c>
      <c r="M1868" s="195" t="str">
        <f>L1868*(1-K1868)</f>
      </c>
    </row>
    <row r="1869">
      <c r="A1869" t="s">
        <v>167</v>
      </c>
      <c r="B1869" t="s">
        <v>219</v>
      </c>
      <c r="C1869" s="35" t="s">
        <v>221</v>
      </c>
      <c r="D1869" t="s">
        <v>502</v>
      </c>
      <c r="E1869" t="s">
        <v>520</v>
      </c>
      <c r="F1869" s="188" t="n">
        <v>2045</v>
      </c>
      <c r="G1869" s="189" t="n">
        <v>57</v>
      </c>
      <c r="H1869" s="190" t="n">
        <v>16071.860575547</v>
      </c>
      <c r="I1869" s="191" t="n">
        <v>4001515.74420358</v>
      </c>
      <c r="J1869" s="192" t="str">
        <f>IF(I1869&gt;0,H1869/I1869,0)</f>
      </c>
      <c r="K1869" s="193" t="str">
        <f>1-EXP(-J1869)</f>
      </c>
      <c r="L1869" s="194" t="str">
        <f>IF(G1869=30,1,M1868)</f>
      </c>
      <c r="M1869" s="195" t="str">
        <f>L1869*(1-K1869)</f>
      </c>
    </row>
    <row r="1870">
      <c r="A1870" t="s">
        <v>167</v>
      </c>
      <c r="B1870" t="s">
        <v>219</v>
      </c>
      <c r="C1870" s="35" t="s">
        <v>221</v>
      </c>
      <c r="D1870" t="s">
        <v>502</v>
      </c>
      <c r="E1870" t="s">
        <v>520</v>
      </c>
      <c r="F1870" s="188" t="n">
        <v>2045</v>
      </c>
      <c r="G1870" s="189" t="n">
        <v>58</v>
      </c>
      <c r="H1870" s="190" t="n">
        <v>16915.7609639993</v>
      </c>
      <c r="I1870" s="191" t="n">
        <v>3851609.9210524</v>
      </c>
      <c r="J1870" s="192" t="str">
        <f>IF(I1870&gt;0,H1870/I1870,0)</f>
      </c>
      <c r="K1870" s="193" t="str">
        <f>1-EXP(-J1870)</f>
      </c>
      <c r="L1870" s="194" t="str">
        <f>IF(G1870=30,1,M1869)</f>
      </c>
      <c r="M1870" s="195" t="str">
        <f>L1870*(1-K1870)</f>
      </c>
    </row>
    <row r="1871">
      <c r="A1871" t="s">
        <v>167</v>
      </c>
      <c r="B1871" t="s">
        <v>219</v>
      </c>
      <c r="C1871" s="35" t="s">
        <v>221</v>
      </c>
      <c r="D1871" t="s">
        <v>502</v>
      </c>
      <c r="E1871" t="s">
        <v>520</v>
      </c>
      <c r="F1871" s="188" t="n">
        <v>2045</v>
      </c>
      <c r="G1871" s="189" t="n">
        <v>59</v>
      </c>
      <c r="H1871" s="190" t="n">
        <v>18223.461676378</v>
      </c>
      <c r="I1871" s="191" t="n">
        <v>3790372.16211623</v>
      </c>
      <c r="J1871" s="192" t="str">
        <f>IF(I1871&gt;0,H1871/I1871,0)</f>
      </c>
      <c r="K1871" s="193" t="str">
        <f>1-EXP(-J1871)</f>
      </c>
      <c r="L1871" s="194" t="str">
        <f>IF(G1871=30,1,M1870)</f>
      </c>
      <c r="M1871" s="195" t="str">
        <f>L1871*(1-K1871)</f>
      </c>
    </row>
    <row r="1872">
      <c r="A1872" t="s">
        <v>167</v>
      </c>
      <c r="B1872" t="s">
        <v>219</v>
      </c>
      <c r="C1872" s="35" t="s">
        <v>221</v>
      </c>
      <c r="D1872" t="s">
        <v>502</v>
      </c>
      <c r="E1872" t="s">
        <v>520</v>
      </c>
      <c r="F1872" s="188" t="n">
        <v>2045</v>
      </c>
      <c r="G1872" s="189" t="n">
        <v>60</v>
      </c>
      <c r="H1872" s="190" t="n">
        <v>19842.8117256308</v>
      </c>
      <c r="I1872" s="191" t="n">
        <v>3811677.3727932</v>
      </c>
      <c r="J1872" s="192" t="str">
        <f>IF(I1872&gt;0,H1872/I1872,0)</f>
      </c>
      <c r="K1872" s="193" t="str">
        <f>1-EXP(-J1872)</f>
      </c>
      <c r="L1872" s="194" t="str">
        <f>IF(G1872=30,1,M1871)</f>
      </c>
      <c r="M1872" s="195" t="str">
        <f>L1872*(1-K1872)</f>
      </c>
    </row>
    <row r="1873">
      <c r="A1873" t="s">
        <v>167</v>
      </c>
      <c r="B1873" t="s">
        <v>219</v>
      </c>
      <c r="C1873" s="35" t="s">
        <v>221</v>
      </c>
      <c r="D1873" t="s">
        <v>502</v>
      </c>
      <c r="E1873" t="s">
        <v>520</v>
      </c>
      <c r="F1873" s="188" t="n">
        <v>2045</v>
      </c>
      <c r="G1873" s="189" t="n">
        <v>61</v>
      </c>
      <c r="H1873" s="190" t="n">
        <v>22014.292351871</v>
      </c>
      <c r="I1873" s="191" t="n">
        <v>3851544.36518389</v>
      </c>
      <c r="J1873" s="192" t="str">
        <f>IF(I1873&gt;0,H1873/I1873,0)</f>
      </c>
      <c r="K1873" s="193" t="str">
        <f>1-EXP(-J1873)</f>
      </c>
      <c r="L1873" s="194" t="str">
        <f>IF(G1873=30,1,M1872)</f>
      </c>
      <c r="M1873" s="195" t="str">
        <f>L1873*(1-K1873)</f>
      </c>
    </row>
    <row r="1874">
      <c r="A1874" t="s">
        <v>167</v>
      </c>
      <c r="B1874" t="s">
        <v>219</v>
      </c>
      <c r="C1874" s="35" t="s">
        <v>221</v>
      </c>
      <c r="D1874" t="s">
        <v>502</v>
      </c>
      <c r="E1874" t="s">
        <v>520</v>
      </c>
      <c r="F1874" s="188" t="n">
        <v>2045</v>
      </c>
      <c r="G1874" s="189" t="n">
        <v>62</v>
      </c>
      <c r="H1874" s="190" t="n">
        <v>23783.3534091456</v>
      </c>
      <c r="I1874" s="191" t="n">
        <v>3790193.94028792</v>
      </c>
      <c r="J1874" s="192" t="str">
        <f>IF(I1874&gt;0,H1874/I1874,0)</f>
      </c>
      <c r="K1874" s="193" t="str">
        <f>1-EXP(-J1874)</f>
      </c>
      <c r="L1874" s="194" t="str">
        <f>IF(G1874=30,1,M1873)</f>
      </c>
      <c r="M1874" s="195" t="str">
        <f>L1874*(1-K1874)</f>
      </c>
    </row>
    <row r="1875">
      <c r="A1875" t="s">
        <v>167</v>
      </c>
      <c r="B1875" t="s">
        <v>219</v>
      </c>
      <c r="C1875" s="35" t="s">
        <v>221</v>
      </c>
      <c r="D1875" t="s">
        <v>502</v>
      </c>
      <c r="E1875" t="s">
        <v>520</v>
      </c>
      <c r="F1875" s="188" t="n">
        <v>2045</v>
      </c>
      <c r="G1875" s="189" t="n">
        <v>63</v>
      </c>
      <c r="H1875" s="190" t="n">
        <v>25009.8642861728</v>
      </c>
      <c r="I1875" s="191" t="n">
        <v>3626930.19695417</v>
      </c>
      <c r="J1875" s="192" t="str">
        <f>IF(I1875&gt;0,H1875/I1875,0)</f>
      </c>
      <c r="K1875" s="193" t="str">
        <f>1-EXP(-J1875)</f>
      </c>
      <c r="L1875" s="194" t="str">
        <f>IF(G1875=30,1,M1874)</f>
      </c>
      <c r="M1875" s="195" t="str">
        <f>L1875*(1-K1875)</f>
      </c>
    </row>
    <row r="1876">
      <c r="A1876" t="s">
        <v>167</v>
      </c>
      <c r="B1876" t="s">
        <v>219</v>
      </c>
      <c r="C1876" s="35" t="s">
        <v>221</v>
      </c>
      <c r="D1876" t="s">
        <v>502</v>
      </c>
      <c r="E1876" t="s">
        <v>520</v>
      </c>
      <c r="F1876" s="188" t="n">
        <v>2045</v>
      </c>
      <c r="G1876" s="189" t="n">
        <v>64</v>
      </c>
      <c r="H1876" s="190" t="n">
        <v>26620.8569471005</v>
      </c>
      <c r="I1876" s="191" t="n">
        <v>3517273.91717536</v>
      </c>
      <c r="J1876" s="192" t="str">
        <f>IF(I1876&gt;0,H1876/I1876,0)</f>
      </c>
      <c r="K1876" s="193" t="str">
        <f>1-EXP(-J1876)</f>
      </c>
      <c r="L1876" s="194" t="str">
        <f>IF(G1876=30,1,M1875)</f>
      </c>
      <c r="M1876" s="195" t="str">
        <f>L1876*(1-K1876)</f>
      </c>
    </row>
    <row r="1877">
      <c r="A1877" t="s">
        <v>167</v>
      </c>
      <c r="B1877" t="s">
        <v>219</v>
      </c>
      <c r="C1877" s="35" t="s">
        <v>221</v>
      </c>
      <c r="D1877" t="s">
        <v>502</v>
      </c>
      <c r="E1877" t="s">
        <v>520</v>
      </c>
      <c r="F1877" s="188" t="n">
        <v>2045</v>
      </c>
      <c r="G1877" s="189" t="n">
        <v>65</v>
      </c>
      <c r="H1877" s="190" t="n">
        <v>27076.3848449584</v>
      </c>
      <c r="I1877" s="191" t="n">
        <v>3419046.43196062</v>
      </c>
      <c r="J1877" s="192" t="str">
        <f>IF(I1877&gt;0,H1877/I1877,0)</f>
      </c>
      <c r="K1877" s="193" t="str">
        <f>1-EXP(-J1877)</f>
      </c>
      <c r="L1877" s="194" t="str">
        <f>IF(G1877=30,1,M1876)</f>
      </c>
      <c r="M1877" s="195" t="str">
        <f>L1877*(1-K1877)</f>
      </c>
    </row>
    <row r="1878">
      <c r="A1878" t="s">
        <v>167</v>
      </c>
      <c r="B1878" t="s">
        <v>219</v>
      </c>
      <c r="C1878" s="35" t="s">
        <v>221</v>
      </c>
      <c r="D1878" t="s">
        <v>502</v>
      </c>
      <c r="E1878" t="s">
        <v>520</v>
      </c>
      <c r="F1878" s="188" t="n">
        <v>2045</v>
      </c>
      <c r="G1878" s="189" t="n">
        <v>66</v>
      </c>
      <c r="H1878" s="190" t="n">
        <v>28791.1899317417</v>
      </c>
      <c r="I1878" s="191" t="n">
        <v>3314371.11739177</v>
      </c>
      <c r="J1878" s="192" t="str">
        <f>IF(I1878&gt;0,H1878/I1878,0)</f>
      </c>
      <c r="K1878" s="193" t="str">
        <f>1-EXP(-J1878)</f>
      </c>
      <c r="L1878" s="194" t="str">
        <f>IF(G1878=30,1,M1877)</f>
      </c>
      <c r="M1878" s="195" t="str">
        <f>L1878*(1-K1878)</f>
      </c>
    </row>
    <row r="1879">
      <c r="A1879" t="s">
        <v>167</v>
      </c>
      <c r="B1879" t="s">
        <v>219</v>
      </c>
      <c r="C1879" s="35" t="s">
        <v>221</v>
      </c>
      <c r="D1879" t="s">
        <v>502</v>
      </c>
      <c r="E1879" t="s">
        <v>520</v>
      </c>
      <c r="F1879" s="188" t="n">
        <v>2045</v>
      </c>
      <c r="G1879" s="189" t="n">
        <v>67</v>
      </c>
      <c r="H1879" s="190" t="n">
        <v>30451.5533720532</v>
      </c>
      <c r="I1879" s="191" t="n">
        <v>3190534.76864385</v>
      </c>
      <c r="J1879" s="192" t="str">
        <f>IF(I1879&gt;0,H1879/I1879,0)</f>
      </c>
      <c r="K1879" s="193" t="str">
        <f>1-EXP(-J1879)</f>
      </c>
      <c r="L1879" s="194" t="str">
        <f>IF(G1879=30,1,M1878)</f>
      </c>
      <c r="M1879" s="195" t="str">
        <f>L1879*(1-K1879)</f>
      </c>
    </row>
    <row r="1880">
      <c r="A1880" t="s">
        <v>167</v>
      </c>
      <c r="B1880" t="s">
        <v>219</v>
      </c>
      <c r="C1880" s="35" t="s">
        <v>221</v>
      </c>
      <c r="D1880" t="s">
        <v>502</v>
      </c>
      <c r="E1880" t="s">
        <v>520</v>
      </c>
      <c r="F1880" s="188" t="n">
        <v>2045</v>
      </c>
      <c r="G1880" s="189" t="n">
        <v>68</v>
      </c>
      <c r="H1880" s="190" t="n">
        <v>32328.0263784776</v>
      </c>
      <c r="I1880" s="191" t="n">
        <v>3077889.66622618</v>
      </c>
      <c r="J1880" s="192" t="str">
        <f>IF(I1880&gt;0,H1880/I1880,0)</f>
      </c>
      <c r="K1880" s="193" t="str">
        <f>1-EXP(-J1880)</f>
      </c>
      <c r="L1880" s="194" t="str">
        <f>IF(G1880=30,1,M1879)</f>
      </c>
      <c r="M1880" s="195" t="str">
        <f>L1880*(1-K1880)</f>
      </c>
    </row>
    <row r="1881">
      <c r="A1881" t="s">
        <v>167</v>
      </c>
      <c r="B1881" t="s">
        <v>219</v>
      </c>
      <c r="C1881" s="35" t="s">
        <v>221</v>
      </c>
      <c r="D1881" t="s">
        <v>502</v>
      </c>
      <c r="E1881" t="s">
        <v>520</v>
      </c>
      <c r="F1881" s="188" t="n">
        <v>2045</v>
      </c>
      <c r="G1881" s="189" t="n">
        <v>69</v>
      </c>
      <c r="H1881" s="190" t="n">
        <v>34140.6855864716</v>
      </c>
      <c r="I1881" s="191" t="n">
        <v>2954117.52231161</v>
      </c>
      <c r="J1881" s="192" t="str">
        <f>IF(I1881&gt;0,H1881/I1881,0)</f>
      </c>
      <c r="K1881" s="193" t="str">
        <f>1-EXP(-J1881)</f>
      </c>
      <c r="L1881" s="194" t="str">
        <f>IF(G1881=30,1,M1880)</f>
      </c>
      <c r="M1881" s="195" t="str">
        <f>L1881*(1-K1881)</f>
      </c>
    </row>
    <row r="1882">
      <c r="A1882" t="s">
        <v>167</v>
      </c>
      <c r="B1882" t="s">
        <v>219</v>
      </c>
      <c r="C1882" s="35" t="s">
        <v>221</v>
      </c>
      <c r="D1882" t="s">
        <v>502</v>
      </c>
      <c r="E1882" t="s">
        <v>520</v>
      </c>
      <c r="F1882" s="188" t="n">
        <v>2046</v>
      </c>
      <c r="G1882" s="189" t="n">
        <v>30</v>
      </c>
      <c r="H1882" s="190" t="n">
        <v>670.656592269107</v>
      </c>
      <c r="I1882" s="191" t="n">
        <v>4588383.74143275</v>
      </c>
      <c r="J1882" s="192" t="str">
        <f>IF(I1882&gt;0,H1882/I1882,0)</f>
      </c>
      <c r="K1882" s="193" t="str">
        <f>1-EXP(-J1882)</f>
      </c>
      <c r="L1882" s="194" t="str">
        <f>IF(G1882=30,1,M1881)</f>
      </c>
      <c r="M1882" s="195" t="str">
        <f>L1882*(1-K1882)</f>
      </c>
    </row>
    <row r="1883">
      <c r="A1883" t="s">
        <v>167</v>
      </c>
      <c r="B1883" t="s">
        <v>219</v>
      </c>
      <c r="C1883" s="35" t="s">
        <v>221</v>
      </c>
      <c r="D1883" t="s">
        <v>502</v>
      </c>
      <c r="E1883" t="s">
        <v>520</v>
      </c>
      <c r="F1883" s="188" t="n">
        <v>2046</v>
      </c>
      <c r="G1883" s="189" t="n">
        <v>31</v>
      </c>
      <c r="H1883" s="190" t="n">
        <v>946.750012449004</v>
      </c>
      <c r="I1883" s="191" t="n">
        <v>4637211.2821665</v>
      </c>
      <c r="J1883" s="192" t="str">
        <f>IF(I1883&gt;0,H1883/I1883,0)</f>
      </c>
      <c r="K1883" s="193" t="str">
        <f>1-EXP(-J1883)</f>
      </c>
      <c r="L1883" s="194" t="str">
        <f>IF(G1883=30,1,M1882)</f>
      </c>
      <c r="M1883" s="195" t="str">
        <f>L1883*(1-K1883)</f>
      </c>
    </row>
    <row r="1884">
      <c r="A1884" t="s">
        <v>167</v>
      </c>
      <c r="B1884" t="s">
        <v>219</v>
      </c>
      <c r="C1884" s="35" t="s">
        <v>221</v>
      </c>
      <c r="D1884" t="s">
        <v>502</v>
      </c>
      <c r="E1884" t="s">
        <v>520</v>
      </c>
      <c r="F1884" s="188" t="n">
        <v>2046</v>
      </c>
      <c r="G1884" s="189" t="n">
        <v>32</v>
      </c>
      <c r="H1884" s="190" t="n">
        <v>1012.44898661564</v>
      </c>
      <c r="I1884" s="191" t="n">
        <v>4703758.3560932</v>
      </c>
      <c r="J1884" s="192" t="str">
        <f>IF(I1884&gt;0,H1884/I1884,0)</f>
      </c>
      <c r="K1884" s="193" t="str">
        <f>1-EXP(-J1884)</f>
      </c>
      <c r="L1884" s="194" t="str">
        <f>IF(G1884=30,1,M1883)</f>
      </c>
      <c r="M1884" s="195" t="str">
        <f>L1884*(1-K1884)</f>
      </c>
    </row>
    <row r="1885">
      <c r="A1885" t="s">
        <v>167</v>
      </c>
      <c r="B1885" t="s">
        <v>219</v>
      </c>
      <c r="C1885" s="35" t="s">
        <v>221</v>
      </c>
      <c r="D1885" t="s">
        <v>502</v>
      </c>
      <c r="E1885" t="s">
        <v>520</v>
      </c>
      <c r="F1885" s="188" t="n">
        <v>2046</v>
      </c>
      <c r="G1885" s="189" t="n">
        <v>33</v>
      </c>
      <c r="H1885" s="190" t="n">
        <v>1088.6626280655</v>
      </c>
      <c r="I1885" s="191" t="n">
        <v>4771661.96133247</v>
      </c>
      <c r="J1885" s="192" t="str">
        <f>IF(I1885&gt;0,H1885/I1885,0)</f>
      </c>
      <c r="K1885" s="193" t="str">
        <f>1-EXP(-J1885)</f>
      </c>
      <c r="L1885" s="194" t="str">
        <f>IF(G1885=30,1,M1884)</f>
      </c>
      <c r="M1885" s="195" t="str">
        <f>L1885*(1-K1885)</f>
      </c>
    </row>
    <row r="1886">
      <c r="A1886" t="s">
        <v>167</v>
      </c>
      <c r="B1886" t="s">
        <v>219</v>
      </c>
      <c r="C1886" s="35" t="s">
        <v>221</v>
      </c>
      <c r="D1886" t="s">
        <v>502</v>
      </c>
      <c r="E1886" t="s">
        <v>520</v>
      </c>
      <c r="F1886" s="188" t="n">
        <v>2046</v>
      </c>
      <c r="G1886" s="189" t="n">
        <v>34</v>
      </c>
      <c r="H1886" s="190" t="n">
        <v>1231.2990161221</v>
      </c>
      <c r="I1886" s="191" t="n">
        <v>4883783.65687933</v>
      </c>
      <c r="J1886" s="192" t="str">
        <f>IF(I1886&gt;0,H1886/I1886,0)</f>
      </c>
      <c r="K1886" s="193" t="str">
        <f>1-EXP(-J1886)</f>
      </c>
      <c r="L1886" s="194" t="str">
        <f>IF(G1886=30,1,M1885)</f>
      </c>
      <c r="M1886" s="195" t="str">
        <f>L1886*(1-K1886)</f>
      </c>
    </row>
    <row r="1887">
      <c r="A1887" t="s">
        <v>167</v>
      </c>
      <c r="B1887" t="s">
        <v>219</v>
      </c>
      <c r="C1887" s="35" t="s">
        <v>221</v>
      </c>
      <c r="D1887" t="s">
        <v>502</v>
      </c>
      <c r="E1887" t="s">
        <v>520</v>
      </c>
      <c r="F1887" s="188" t="n">
        <v>2046</v>
      </c>
      <c r="G1887" s="189" t="n">
        <v>35</v>
      </c>
      <c r="H1887" s="190" t="n">
        <v>1600.90846580928</v>
      </c>
      <c r="I1887" s="191" t="n">
        <v>4855088.20842606</v>
      </c>
      <c r="J1887" s="192" t="str">
        <f>IF(I1887&gt;0,H1887/I1887,0)</f>
      </c>
      <c r="K1887" s="193" t="str">
        <f>1-EXP(-J1887)</f>
      </c>
      <c r="L1887" s="194" t="str">
        <f>IF(G1887=30,1,M1886)</f>
      </c>
      <c r="M1887" s="195" t="str">
        <f>L1887*(1-K1887)</f>
      </c>
    </row>
    <row r="1888">
      <c r="A1888" t="s">
        <v>167</v>
      </c>
      <c r="B1888" t="s">
        <v>219</v>
      </c>
      <c r="C1888" s="35" t="s">
        <v>221</v>
      </c>
      <c r="D1888" t="s">
        <v>502</v>
      </c>
      <c r="E1888" t="s">
        <v>520</v>
      </c>
      <c r="F1888" s="188" t="n">
        <v>2046</v>
      </c>
      <c r="G1888" s="189" t="n">
        <v>36</v>
      </c>
      <c r="H1888" s="190" t="n">
        <v>1824.07498239873</v>
      </c>
      <c r="I1888" s="191" t="n">
        <v>4720564.23468766</v>
      </c>
      <c r="J1888" s="192" t="str">
        <f>IF(I1888&gt;0,H1888/I1888,0)</f>
      </c>
      <c r="K1888" s="193" t="str">
        <f>1-EXP(-J1888)</f>
      </c>
      <c r="L1888" s="194" t="str">
        <f>IF(G1888=30,1,M1887)</f>
      </c>
      <c r="M1888" s="195" t="str">
        <f>L1888*(1-K1888)</f>
      </c>
    </row>
    <row r="1889">
      <c r="A1889" t="s">
        <v>167</v>
      </c>
      <c r="B1889" t="s">
        <v>219</v>
      </c>
      <c r="C1889" s="35" t="s">
        <v>221</v>
      </c>
      <c r="D1889" t="s">
        <v>502</v>
      </c>
      <c r="E1889" t="s">
        <v>520</v>
      </c>
      <c r="F1889" s="188" t="n">
        <v>2046</v>
      </c>
      <c r="G1889" s="189" t="n">
        <v>37</v>
      </c>
      <c r="H1889" s="190" t="n">
        <v>1931.61650470642</v>
      </c>
      <c r="I1889" s="191" t="n">
        <v>4648712.29392463</v>
      </c>
      <c r="J1889" s="192" t="str">
        <f>IF(I1889&gt;0,H1889/I1889,0)</f>
      </c>
      <c r="K1889" s="193" t="str">
        <f>1-EXP(-J1889)</f>
      </c>
      <c r="L1889" s="194" t="str">
        <f>IF(G1889=30,1,M1888)</f>
      </c>
      <c r="M1889" s="195" t="str">
        <f>L1889*(1-K1889)</f>
      </c>
    </row>
    <row r="1890">
      <c r="A1890" t="s">
        <v>167</v>
      </c>
      <c r="B1890" t="s">
        <v>219</v>
      </c>
      <c r="C1890" s="35" t="s">
        <v>221</v>
      </c>
      <c r="D1890" t="s">
        <v>502</v>
      </c>
      <c r="E1890" t="s">
        <v>520</v>
      </c>
      <c r="F1890" s="188" t="n">
        <v>2046</v>
      </c>
      <c r="G1890" s="189" t="n">
        <v>38</v>
      </c>
      <c r="H1890" s="190" t="n">
        <v>2064.87371272567</v>
      </c>
      <c r="I1890" s="191" t="n">
        <v>4604476.95634153</v>
      </c>
      <c r="J1890" s="192" t="str">
        <f>IF(I1890&gt;0,H1890/I1890,0)</f>
      </c>
      <c r="K1890" s="193" t="str">
        <f>1-EXP(-J1890)</f>
      </c>
      <c r="L1890" s="194" t="str">
        <f>IF(G1890=30,1,M1889)</f>
      </c>
      <c r="M1890" s="195" t="str">
        <f>L1890*(1-K1890)</f>
      </c>
    </row>
    <row r="1891">
      <c r="A1891" t="s">
        <v>167</v>
      </c>
      <c r="B1891" t="s">
        <v>219</v>
      </c>
      <c r="C1891" s="35" t="s">
        <v>221</v>
      </c>
      <c r="D1891" t="s">
        <v>502</v>
      </c>
      <c r="E1891" t="s">
        <v>520</v>
      </c>
      <c r="F1891" s="188" t="n">
        <v>2046</v>
      </c>
      <c r="G1891" s="189" t="n">
        <v>39</v>
      </c>
      <c r="H1891" s="190" t="n">
        <v>2306.37443609481</v>
      </c>
      <c r="I1891" s="191" t="n">
        <v>4627597.48585542</v>
      </c>
      <c r="J1891" s="192" t="str">
        <f>IF(I1891&gt;0,H1891/I1891,0)</f>
      </c>
      <c r="K1891" s="193" t="str">
        <f>1-EXP(-J1891)</f>
      </c>
      <c r="L1891" s="194" t="str">
        <f>IF(G1891=30,1,M1890)</f>
      </c>
      <c r="M1891" s="195" t="str">
        <f>L1891*(1-K1891)</f>
      </c>
    </row>
    <row r="1892">
      <c r="A1892" t="s">
        <v>167</v>
      </c>
      <c r="B1892" t="s">
        <v>219</v>
      </c>
      <c r="C1892" s="35" t="s">
        <v>221</v>
      </c>
      <c r="D1892" t="s">
        <v>502</v>
      </c>
      <c r="E1892" t="s">
        <v>520</v>
      </c>
      <c r="F1892" s="188" t="n">
        <v>2046</v>
      </c>
      <c r="G1892" s="189" t="n">
        <v>40</v>
      </c>
      <c r="H1892" s="190" t="n">
        <v>3041.31371528651</v>
      </c>
      <c r="I1892" s="191" t="n">
        <v>4542497.67227815</v>
      </c>
      <c r="J1892" s="192" t="str">
        <f>IF(I1892&gt;0,H1892/I1892,0)</f>
      </c>
      <c r="K1892" s="193" t="str">
        <f>1-EXP(-J1892)</f>
      </c>
      <c r="L1892" s="194" t="str">
        <f>IF(G1892=30,1,M1891)</f>
      </c>
      <c r="M1892" s="195" t="str">
        <f>L1892*(1-K1892)</f>
      </c>
    </row>
    <row r="1893">
      <c r="A1893" t="s">
        <v>167</v>
      </c>
      <c r="B1893" t="s">
        <v>219</v>
      </c>
      <c r="C1893" s="35" t="s">
        <v>221</v>
      </c>
      <c r="D1893" t="s">
        <v>502</v>
      </c>
      <c r="E1893" t="s">
        <v>520</v>
      </c>
      <c r="F1893" s="188" t="n">
        <v>2046</v>
      </c>
      <c r="G1893" s="189" t="n">
        <v>41</v>
      </c>
      <c r="H1893" s="190" t="n">
        <v>3360.42838939824</v>
      </c>
      <c r="I1893" s="191" t="n">
        <v>4478038.15421384</v>
      </c>
      <c r="J1893" s="192" t="str">
        <f>IF(I1893&gt;0,H1893/I1893,0)</f>
      </c>
      <c r="K1893" s="193" t="str">
        <f>1-EXP(-J1893)</f>
      </c>
      <c r="L1893" s="194" t="str">
        <f>IF(G1893=30,1,M1892)</f>
      </c>
      <c r="M1893" s="195" t="str">
        <f>L1893*(1-K1893)</f>
      </c>
    </row>
    <row r="1894">
      <c r="A1894" t="s">
        <v>167</v>
      </c>
      <c r="B1894" t="s">
        <v>219</v>
      </c>
      <c r="C1894" s="35" t="s">
        <v>221</v>
      </c>
      <c r="D1894" t="s">
        <v>502</v>
      </c>
      <c r="E1894" t="s">
        <v>520</v>
      </c>
      <c r="F1894" s="188" t="n">
        <v>2046</v>
      </c>
      <c r="G1894" s="189" t="n">
        <v>42</v>
      </c>
      <c r="H1894" s="190" t="n">
        <v>3542.80321936223</v>
      </c>
      <c r="I1894" s="191" t="n">
        <v>4347014.11294445</v>
      </c>
      <c r="J1894" s="192" t="str">
        <f>IF(I1894&gt;0,H1894/I1894,0)</f>
      </c>
      <c r="K1894" s="193" t="str">
        <f>1-EXP(-J1894)</f>
      </c>
      <c r="L1894" s="194" t="str">
        <f>IF(G1894=30,1,M1893)</f>
      </c>
      <c r="M1894" s="195" t="str">
        <f>L1894*(1-K1894)</f>
      </c>
    </row>
    <row r="1895">
      <c r="A1895" t="s">
        <v>167</v>
      </c>
      <c r="B1895" t="s">
        <v>219</v>
      </c>
      <c r="C1895" s="35" t="s">
        <v>221</v>
      </c>
      <c r="D1895" t="s">
        <v>502</v>
      </c>
      <c r="E1895" t="s">
        <v>520</v>
      </c>
      <c r="F1895" s="188" t="n">
        <v>2046</v>
      </c>
      <c r="G1895" s="189" t="n">
        <v>43</v>
      </c>
      <c r="H1895" s="190" t="n">
        <v>3794.92525993222</v>
      </c>
      <c r="I1895" s="191" t="n">
        <v>4277725.03998075</v>
      </c>
      <c r="J1895" s="192" t="str">
        <f>IF(I1895&gt;0,H1895/I1895,0)</f>
      </c>
      <c r="K1895" s="193" t="str">
        <f>1-EXP(-J1895)</f>
      </c>
      <c r="L1895" s="194" t="str">
        <f>IF(G1895=30,1,M1894)</f>
      </c>
      <c r="M1895" s="195" t="str">
        <f>L1895*(1-K1895)</f>
      </c>
    </row>
    <row r="1896">
      <c r="A1896" t="s">
        <v>167</v>
      </c>
      <c r="B1896" t="s">
        <v>219</v>
      </c>
      <c r="C1896" s="35" t="s">
        <v>221</v>
      </c>
      <c r="D1896" t="s">
        <v>502</v>
      </c>
      <c r="E1896" t="s">
        <v>520</v>
      </c>
      <c r="F1896" s="188" t="n">
        <v>2046</v>
      </c>
      <c r="G1896" s="189" t="n">
        <v>44</v>
      </c>
      <c r="H1896" s="190" t="n">
        <v>4271.17412481213</v>
      </c>
      <c r="I1896" s="191" t="n">
        <v>4249195.06707805</v>
      </c>
      <c r="J1896" s="192" t="str">
        <f>IF(I1896&gt;0,H1896/I1896,0)</f>
      </c>
      <c r="K1896" s="193" t="str">
        <f>1-EXP(-J1896)</f>
      </c>
      <c r="L1896" s="194" t="str">
        <f>IF(G1896=30,1,M1895)</f>
      </c>
      <c r="M1896" s="195" t="str">
        <f>L1896*(1-K1896)</f>
      </c>
    </row>
    <row r="1897">
      <c r="A1897" t="s">
        <v>167</v>
      </c>
      <c r="B1897" t="s">
        <v>219</v>
      </c>
      <c r="C1897" s="35" t="s">
        <v>221</v>
      </c>
      <c r="D1897" t="s">
        <v>502</v>
      </c>
      <c r="E1897" t="s">
        <v>520</v>
      </c>
      <c r="F1897" s="188" t="n">
        <v>2046</v>
      </c>
      <c r="G1897" s="189" t="n">
        <v>45</v>
      </c>
      <c r="H1897" s="190" t="n">
        <v>5447.57763546505</v>
      </c>
      <c r="I1897" s="191" t="n">
        <v>4223047.97071771</v>
      </c>
      <c r="J1897" s="192" t="str">
        <f>IF(I1897&gt;0,H1897/I1897,0)</f>
      </c>
      <c r="K1897" s="193" t="str">
        <f>1-EXP(-J1897)</f>
      </c>
      <c r="L1897" s="194" t="str">
        <f>IF(G1897=30,1,M1896)</f>
      </c>
      <c r="M1897" s="195" t="str">
        <f>L1897*(1-K1897)</f>
      </c>
    </row>
    <row r="1898">
      <c r="A1898" t="s">
        <v>167</v>
      </c>
      <c r="B1898" t="s">
        <v>219</v>
      </c>
      <c r="C1898" s="35" t="s">
        <v>221</v>
      </c>
      <c r="D1898" t="s">
        <v>502</v>
      </c>
      <c r="E1898" t="s">
        <v>520</v>
      </c>
      <c r="F1898" s="188" t="n">
        <v>2046</v>
      </c>
      <c r="G1898" s="189" t="n">
        <v>46</v>
      </c>
      <c r="H1898" s="190" t="n">
        <v>5977.87747525889</v>
      </c>
      <c r="I1898" s="191" t="n">
        <v>4195009.93193579</v>
      </c>
      <c r="J1898" s="192" t="str">
        <f>IF(I1898&gt;0,H1898/I1898,0)</f>
      </c>
      <c r="K1898" s="193" t="str">
        <f>1-EXP(-J1898)</f>
      </c>
      <c r="L1898" s="194" t="str">
        <f>IF(G1898=30,1,M1897)</f>
      </c>
      <c r="M1898" s="195" t="str">
        <f>L1898*(1-K1898)</f>
      </c>
    </row>
    <row r="1899">
      <c r="A1899" t="s">
        <v>167</v>
      </c>
      <c r="B1899" t="s">
        <v>219</v>
      </c>
      <c r="C1899" s="35" t="s">
        <v>221</v>
      </c>
      <c r="D1899" t="s">
        <v>502</v>
      </c>
      <c r="E1899" t="s">
        <v>520</v>
      </c>
      <c r="F1899" s="188" t="n">
        <v>2046</v>
      </c>
      <c r="G1899" s="189" t="n">
        <v>47</v>
      </c>
      <c r="H1899" s="190" t="n">
        <v>6570.73941180012</v>
      </c>
      <c r="I1899" s="191" t="n">
        <v>4205449.62463437</v>
      </c>
      <c r="J1899" s="192" t="str">
        <f>IF(I1899&gt;0,H1899/I1899,0)</f>
      </c>
      <c r="K1899" s="193" t="str">
        <f>1-EXP(-J1899)</f>
      </c>
      <c r="L1899" s="194" t="str">
        <f>IF(G1899=30,1,M1898)</f>
      </c>
      <c r="M1899" s="195" t="str">
        <f>L1899*(1-K1899)</f>
      </c>
    </row>
    <row r="1900">
      <c r="A1900" t="s">
        <v>167</v>
      </c>
      <c r="B1900" t="s">
        <v>219</v>
      </c>
      <c r="C1900" s="35" t="s">
        <v>221</v>
      </c>
      <c r="D1900" t="s">
        <v>502</v>
      </c>
      <c r="E1900" t="s">
        <v>520</v>
      </c>
      <c r="F1900" s="188" t="n">
        <v>2046</v>
      </c>
      <c r="G1900" s="189" t="n">
        <v>48</v>
      </c>
      <c r="H1900" s="190" t="n">
        <v>7297.44502726859</v>
      </c>
      <c r="I1900" s="191" t="n">
        <v>4252691.89286632</v>
      </c>
      <c r="J1900" s="192" t="str">
        <f>IF(I1900&gt;0,H1900/I1900,0)</f>
      </c>
      <c r="K1900" s="193" t="str">
        <f>1-EXP(-J1900)</f>
      </c>
      <c r="L1900" s="194" t="str">
        <f>IF(G1900=30,1,M1899)</f>
      </c>
      <c r="M1900" s="195" t="str">
        <f>L1900*(1-K1900)</f>
      </c>
    </row>
    <row r="1901">
      <c r="A1901" t="s">
        <v>167</v>
      </c>
      <c r="B1901" t="s">
        <v>219</v>
      </c>
      <c r="C1901" s="35" t="s">
        <v>221</v>
      </c>
      <c r="D1901" t="s">
        <v>502</v>
      </c>
      <c r="E1901" t="s">
        <v>520</v>
      </c>
      <c r="F1901" s="188" t="n">
        <v>2046</v>
      </c>
      <c r="G1901" s="189" t="n">
        <v>49</v>
      </c>
      <c r="H1901" s="190" t="n">
        <v>8440.79415791708</v>
      </c>
      <c r="I1901" s="191" t="n">
        <v>4372104.26917869</v>
      </c>
      <c r="J1901" s="192" t="str">
        <f>IF(I1901&gt;0,H1901/I1901,0)</f>
      </c>
      <c r="K1901" s="193" t="str">
        <f>1-EXP(-J1901)</f>
      </c>
      <c r="L1901" s="194" t="str">
        <f>IF(G1901=30,1,M1900)</f>
      </c>
      <c r="M1901" s="195" t="str">
        <f>L1901*(1-K1901)</f>
      </c>
    </row>
    <row r="1902">
      <c r="A1902" t="s">
        <v>167</v>
      </c>
      <c r="B1902" t="s">
        <v>219</v>
      </c>
      <c r="C1902" s="35" t="s">
        <v>221</v>
      </c>
      <c r="D1902" t="s">
        <v>502</v>
      </c>
      <c r="E1902" t="s">
        <v>520</v>
      </c>
      <c r="F1902" s="188" t="n">
        <v>2046</v>
      </c>
      <c r="G1902" s="189" t="n">
        <v>50</v>
      </c>
      <c r="H1902" s="190" t="n">
        <v>9521.05278263928</v>
      </c>
      <c r="I1902" s="191" t="n">
        <v>4316816.11821882</v>
      </c>
      <c r="J1902" s="192" t="str">
        <f>IF(I1902&gt;0,H1902/I1902,0)</f>
      </c>
      <c r="K1902" s="193" t="str">
        <f>1-EXP(-J1902)</f>
      </c>
      <c r="L1902" s="194" t="str">
        <f>IF(G1902=30,1,M1901)</f>
      </c>
      <c r="M1902" s="195" t="str">
        <f>L1902*(1-K1902)</f>
      </c>
    </row>
    <row r="1903">
      <c r="A1903" t="s">
        <v>167</v>
      </c>
      <c r="B1903" t="s">
        <v>219</v>
      </c>
      <c r="C1903" s="35" t="s">
        <v>221</v>
      </c>
      <c r="D1903" t="s">
        <v>502</v>
      </c>
      <c r="E1903" t="s">
        <v>520</v>
      </c>
      <c r="F1903" s="188" t="n">
        <v>2046</v>
      </c>
      <c r="G1903" s="189" t="n">
        <v>51</v>
      </c>
      <c r="H1903" s="190" t="n">
        <v>10202.7320609093</v>
      </c>
      <c r="I1903" s="191" t="n">
        <v>4230758.12011818</v>
      </c>
      <c r="J1903" s="192" t="str">
        <f>IF(I1903&gt;0,H1903/I1903,0)</f>
      </c>
      <c r="K1903" s="193" t="str">
        <f>1-EXP(-J1903)</f>
      </c>
      <c r="L1903" s="194" t="str">
        <f>IF(G1903=30,1,M1902)</f>
      </c>
      <c r="M1903" s="195" t="str">
        <f>L1903*(1-K1903)</f>
      </c>
    </row>
    <row r="1904">
      <c r="A1904" t="s">
        <v>167</v>
      </c>
      <c r="B1904" t="s">
        <v>219</v>
      </c>
      <c r="C1904" s="35" t="s">
        <v>221</v>
      </c>
      <c r="D1904" t="s">
        <v>502</v>
      </c>
      <c r="E1904" t="s">
        <v>520</v>
      </c>
      <c r="F1904" s="188" t="n">
        <v>2046</v>
      </c>
      <c r="G1904" s="189" t="n">
        <v>52</v>
      </c>
      <c r="H1904" s="190" t="n">
        <v>10972.6492029484</v>
      </c>
      <c r="I1904" s="191" t="n">
        <v>4159159.07684215</v>
      </c>
      <c r="J1904" s="192" t="str">
        <f>IF(I1904&gt;0,H1904/I1904,0)</f>
      </c>
      <c r="K1904" s="193" t="str">
        <f>1-EXP(-J1904)</f>
      </c>
      <c r="L1904" s="194" t="str">
        <f>IF(G1904=30,1,M1903)</f>
      </c>
      <c r="M1904" s="195" t="str">
        <f>L1904*(1-K1904)</f>
      </c>
    </row>
    <row r="1905">
      <c r="A1905" t="s">
        <v>167</v>
      </c>
      <c r="B1905" t="s">
        <v>219</v>
      </c>
      <c r="C1905" s="35" t="s">
        <v>221</v>
      </c>
      <c r="D1905" t="s">
        <v>502</v>
      </c>
      <c r="E1905" t="s">
        <v>520</v>
      </c>
      <c r="F1905" s="188" t="n">
        <v>2046</v>
      </c>
      <c r="G1905" s="189" t="n">
        <v>53</v>
      </c>
      <c r="H1905" s="190" t="n">
        <v>11779.3787964237</v>
      </c>
      <c r="I1905" s="191" t="n">
        <v>4089701.11052266</v>
      </c>
      <c r="J1905" s="192" t="str">
        <f>IF(I1905&gt;0,H1905/I1905,0)</f>
      </c>
      <c r="K1905" s="193" t="str">
        <f>1-EXP(-J1905)</f>
      </c>
      <c r="L1905" s="194" t="str">
        <f>IF(G1905=30,1,M1904)</f>
      </c>
      <c r="M1905" s="195" t="str">
        <f>L1905*(1-K1905)</f>
      </c>
    </row>
    <row r="1906">
      <c r="A1906" t="s">
        <v>167</v>
      </c>
      <c r="B1906" t="s">
        <v>219</v>
      </c>
      <c r="C1906" s="35" t="s">
        <v>221</v>
      </c>
      <c r="D1906" t="s">
        <v>502</v>
      </c>
      <c r="E1906" t="s">
        <v>520</v>
      </c>
      <c r="F1906" s="188" t="n">
        <v>2046</v>
      </c>
      <c r="G1906" s="189" t="n">
        <v>54</v>
      </c>
      <c r="H1906" s="190" t="n">
        <v>12865.7577714471</v>
      </c>
      <c r="I1906" s="191" t="n">
        <v>4105231.58535299</v>
      </c>
      <c r="J1906" s="192" t="str">
        <f>IF(I1906&gt;0,H1906/I1906,0)</f>
      </c>
      <c r="K1906" s="193" t="str">
        <f>1-EXP(-J1906)</f>
      </c>
      <c r="L1906" s="194" t="str">
        <f>IF(G1906=30,1,M1905)</f>
      </c>
      <c r="M1906" s="195" t="str">
        <f>L1906*(1-K1906)</f>
      </c>
    </row>
    <row r="1907">
      <c r="A1907" t="s">
        <v>167</v>
      </c>
      <c r="B1907" t="s">
        <v>219</v>
      </c>
      <c r="C1907" s="35" t="s">
        <v>221</v>
      </c>
      <c r="D1907" t="s">
        <v>502</v>
      </c>
      <c r="E1907" t="s">
        <v>520</v>
      </c>
      <c r="F1907" s="188" t="n">
        <v>2046</v>
      </c>
      <c r="G1907" s="189" t="n">
        <v>55</v>
      </c>
      <c r="H1907" s="190" t="n">
        <v>13760.1677737447</v>
      </c>
      <c r="I1907" s="191" t="n">
        <v>4099840.94934438</v>
      </c>
      <c r="J1907" s="192" t="str">
        <f>IF(I1907&gt;0,H1907/I1907,0)</f>
      </c>
      <c r="K1907" s="193" t="str">
        <f>1-EXP(-J1907)</f>
      </c>
      <c r="L1907" s="194" t="str">
        <f>IF(G1907=30,1,M1906)</f>
      </c>
      <c r="M1907" s="195" t="str">
        <f>L1907*(1-K1907)</f>
      </c>
    </row>
    <row r="1908">
      <c r="A1908" t="s">
        <v>167</v>
      </c>
      <c r="B1908" t="s">
        <v>219</v>
      </c>
      <c r="C1908" s="35" t="s">
        <v>221</v>
      </c>
      <c r="D1908" t="s">
        <v>502</v>
      </c>
      <c r="E1908" t="s">
        <v>520</v>
      </c>
      <c r="F1908" s="188" t="n">
        <v>2046</v>
      </c>
      <c r="G1908" s="189" t="n">
        <v>56</v>
      </c>
      <c r="H1908" s="190" t="n">
        <v>19988.9071699314</v>
      </c>
      <c r="I1908" s="191" t="n">
        <v>6027743.14681815</v>
      </c>
      <c r="J1908" s="192" t="str">
        <f>IF(I1908&gt;0,H1908/I1908,0)</f>
      </c>
      <c r="K1908" s="193" t="str">
        <f>1-EXP(-J1908)</f>
      </c>
      <c r="L1908" s="194" t="str">
        <f>IF(G1908=30,1,M1907)</f>
      </c>
      <c r="M1908" s="195" t="str">
        <f>L1908*(1-K1908)</f>
      </c>
    </row>
    <row r="1909">
      <c r="A1909" t="s">
        <v>167</v>
      </c>
      <c r="B1909" t="s">
        <v>219</v>
      </c>
      <c r="C1909" s="35" t="s">
        <v>221</v>
      </c>
      <c r="D1909" t="s">
        <v>502</v>
      </c>
      <c r="E1909" t="s">
        <v>520</v>
      </c>
      <c r="F1909" s="188" t="n">
        <v>2046</v>
      </c>
      <c r="G1909" s="189" t="n">
        <v>57</v>
      </c>
      <c r="H1909" s="190" t="n">
        <v>15945.8509513564</v>
      </c>
      <c r="I1909" s="191" t="n">
        <v>4010573.97433347</v>
      </c>
      <c r="J1909" s="192" t="str">
        <f>IF(I1909&gt;0,H1909/I1909,0)</f>
      </c>
      <c r="K1909" s="193" t="str">
        <f>1-EXP(-J1909)</f>
      </c>
      <c r="L1909" s="194" t="str">
        <f>IF(G1909=30,1,M1908)</f>
      </c>
      <c r="M1909" s="195" t="str">
        <f>L1909*(1-K1909)</f>
      </c>
    </row>
    <row r="1910">
      <c r="A1910" t="s">
        <v>167</v>
      </c>
      <c r="B1910" t="s">
        <v>219</v>
      </c>
      <c r="C1910" s="35" t="s">
        <v>221</v>
      </c>
      <c r="D1910" t="s">
        <v>502</v>
      </c>
      <c r="E1910" t="s">
        <v>520</v>
      </c>
      <c r="F1910" s="188" t="n">
        <v>2046</v>
      </c>
      <c r="G1910" s="189" t="n">
        <v>58</v>
      </c>
      <c r="H1910" s="190" t="n">
        <v>17237.2461455173</v>
      </c>
      <c r="I1910" s="191" t="n">
        <v>3966618.07040098</v>
      </c>
      <c r="J1910" s="192" t="str">
        <f>IF(I1910&gt;0,H1910/I1910,0)</f>
      </c>
      <c r="K1910" s="193" t="str">
        <f>1-EXP(-J1910)</f>
      </c>
      <c r="L1910" s="194" t="str">
        <f>IF(G1910=30,1,M1909)</f>
      </c>
      <c r="M1910" s="195" t="str">
        <f>L1910*(1-K1910)</f>
      </c>
    </row>
    <row r="1911">
      <c r="A1911" t="s">
        <v>167</v>
      </c>
      <c r="B1911" t="s">
        <v>219</v>
      </c>
      <c r="C1911" s="35" t="s">
        <v>221</v>
      </c>
      <c r="D1911" t="s">
        <v>502</v>
      </c>
      <c r="E1911" t="s">
        <v>520</v>
      </c>
      <c r="F1911" s="188" t="n">
        <v>2046</v>
      </c>
      <c r="G1911" s="189" t="n">
        <v>59</v>
      </c>
      <c r="H1911" s="190" t="n">
        <v>18159.144100904</v>
      </c>
      <c r="I1911" s="191" t="n">
        <v>3814936.00215932</v>
      </c>
      <c r="J1911" s="192" t="str">
        <f>IF(I1911&gt;0,H1911/I1911,0)</f>
      </c>
      <c r="K1911" s="193" t="str">
        <f>1-EXP(-J1911)</f>
      </c>
      <c r="L1911" s="194" t="str">
        <f>IF(G1911=30,1,M1910)</f>
      </c>
      <c r="M1911" s="195" t="str">
        <f>L1911*(1-K1911)</f>
      </c>
    </row>
    <row r="1912">
      <c r="A1912" t="s">
        <v>167</v>
      </c>
      <c r="B1912" t="s">
        <v>219</v>
      </c>
      <c r="C1912" s="35" t="s">
        <v>221</v>
      </c>
      <c r="D1912" t="s">
        <v>502</v>
      </c>
      <c r="E1912" t="s">
        <v>520</v>
      </c>
      <c r="F1912" s="188" t="n">
        <v>2046</v>
      </c>
      <c r="G1912" s="189" t="n">
        <v>60</v>
      </c>
      <c r="H1912" s="190" t="n">
        <v>19297.0170500648</v>
      </c>
      <c r="I1912" s="191" t="n">
        <v>3750920.15138372</v>
      </c>
      <c r="J1912" s="192" t="str">
        <f>IF(I1912&gt;0,H1912/I1912,0)</f>
      </c>
      <c r="K1912" s="193" t="str">
        <f>1-EXP(-J1912)</f>
      </c>
      <c r="L1912" s="194" t="str">
        <f>IF(G1912=30,1,M1911)</f>
      </c>
      <c r="M1912" s="195" t="str">
        <f>L1912*(1-K1912)</f>
      </c>
    </row>
    <row r="1913">
      <c r="A1913" t="s">
        <v>167</v>
      </c>
      <c r="B1913" t="s">
        <v>219</v>
      </c>
      <c r="C1913" s="35" t="s">
        <v>221</v>
      </c>
      <c r="D1913" t="s">
        <v>502</v>
      </c>
      <c r="E1913" t="s">
        <v>520</v>
      </c>
      <c r="F1913" s="188" t="n">
        <v>2046</v>
      </c>
      <c r="G1913" s="189" t="n">
        <v>61</v>
      </c>
      <c r="H1913" s="190" t="n">
        <v>21290.2257755479</v>
      </c>
      <c r="I1913" s="191" t="n">
        <v>3768155.2404538</v>
      </c>
      <c r="J1913" s="192" t="str">
        <f>IF(I1913&gt;0,H1913/I1913,0)</f>
      </c>
      <c r="K1913" s="193" t="str">
        <f>1-EXP(-J1913)</f>
      </c>
      <c r="L1913" s="194" t="str">
        <f>IF(G1913=30,1,M1912)</f>
      </c>
      <c r="M1913" s="195" t="str">
        <f>L1913*(1-K1913)</f>
      </c>
    </row>
    <row r="1914">
      <c r="A1914" t="s">
        <v>167</v>
      </c>
      <c r="B1914" t="s">
        <v>219</v>
      </c>
      <c r="C1914" s="35" t="s">
        <v>221</v>
      </c>
      <c r="D1914" t="s">
        <v>502</v>
      </c>
      <c r="E1914" t="s">
        <v>520</v>
      </c>
      <c r="F1914" s="188" t="n">
        <v>2046</v>
      </c>
      <c r="G1914" s="189" t="n">
        <v>62</v>
      </c>
      <c r="H1914" s="190" t="n">
        <v>23598.6306875499</v>
      </c>
      <c r="I1914" s="191" t="n">
        <v>3803408.15950449</v>
      </c>
      <c r="J1914" s="192" t="str">
        <f>IF(I1914&gt;0,H1914/I1914,0)</f>
      </c>
      <c r="K1914" s="193" t="str">
        <f>1-EXP(-J1914)</f>
      </c>
      <c r="L1914" s="194" t="str">
        <f>IF(G1914=30,1,M1913)</f>
      </c>
      <c r="M1914" s="195" t="str">
        <f>L1914*(1-K1914)</f>
      </c>
    </row>
    <row r="1915">
      <c r="A1915" t="s">
        <v>167</v>
      </c>
      <c r="B1915" t="s">
        <v>219</v>
      </c>
      <c r="C1915" s="35" t="s">
        <v>221</v>
      </c>
      <c r="D1915" t="s">
        <v>502</v>
      </c>
      <c r="E1915" t="s">
        <v>520</v>
      </c>
      <c r="F1915" s="188" t="n">
        <v>2046</v>
      </c>
      <c r="G1915" s="189" t="n">
        <v>63</v>
      </c>
      <c r="H1915" s="190" t="n">
        <v>25469.5462579259</v>
      </c>
      <c r="I1915" s="191" t="n">
        <v>3738221.49819803</v>
      </c>
      <c r="J1915" s="192" t="str">
        <f>IF(I1915&gt;0,H1915/I1915,0)</f>
      </c>
      <c r="K1915" s="193" t="str">
        <f>1-EXP(-J1915)</f>
      </c>
      <c r="L1915" s="194" t="str">
        <f>IF(G1915=30,1,M1914)</f>
      </c>
      <c r="M1915" s="195" t="str">
        <f>L1915*(1-K1915)</f>
      </c>
    </row>
    <row r="1916">
      <c r="A1916" t="s">
        <v>167</v>
      </c>
      <c r="B1916" t="s">
        <v>219</v>
      </c>
      <c r="C1916" s="35" t="s">
        <v>221</v>
      </c>
      <c r="D1916" t="s">
        <v>502</v>
      </c>
      <c r="E1916" t="s">
        <v>520</v>
      </c>
      <c r="F1916" s="188" t="n">
        <v>2046</v>
      </c>
      <c r="G1916" s="189" t="n">
        <v>64</v>
      </c>
      <c r="H1916" s="190" t="n">
        <v>26743.7836721477</v>
      </c>
      <c r="I1916" s="191" t="n">
        <v>3572299.32665559</v>
      </c>
      <c r="J1916" s="192" t="str">
        <f>IF(I1916&gt;0,H1916/I1916,0)</f>
      </c>
      <c r="K1916" s="193" t="str">
        <f>1-EXP(-J1916)</f>
      </c>
      <c r="L1916" s="194" t="str">
        <f>IF(G1916=30,1,M1915)</f>
      </c>
      <c r="M1916" s="195" t="str">
        <f>L1916*(1-K1916)</f>
      </c>
    </row>
    <row r="1917">
      <c r="A1917" t="s">
        <v>167</v>
      </c>
      <c r="B1917" t="s">
        <v>219</v>
      </c>
      <c r="C1917" s="35" t="s">
        <v>221</v>
      </c>
      <c r="D1917" t="s">
        <v>502</v>
      </c>
      <c r="E1917" t="s">
        <v>520</v>
      </c>
      <c r="F1917" s="188" t="n">
        <v>2046</v>
      </c>
      <c r="G1917" s="189" t="n">
        <v>65</v>
      </c>
      <c r="H1917" s="190" t="n">
        <v>27069.6984691009</v>
      </c>
      <c r="I1917" s="191" t="n">
        <v>3459143.35232328</v>
      </c>
      <c r="J1917" s="192" t="str">
        <f>IF(I1917&gt;0,H1917/I1917,0)</f>
      </c>
      <c r="K1917" s="193" t="str">
        <f>1-EXP(-J1917)</f>
      </c>
      <c r="L1917" s="194" t="str">
        <f>IF(G1917=30,1,M1916)</f>
      </c>
      <c r="M1917" s="195" t="str">
        <f>L1917*(1-K1917)</f>
      </c>
    </row>
    <row r="1918">
      <c r="A1918" t="s">
        <v>167</v>
      </c>
      <c r="B1918" t="s">
        <v>219</v>
      </c>
      <c r="C1918" s="35" t="s">
        <v>221</v>
      </c>
      <c r="D1918" t="s">
        <v>502</v>
      </c>
      <c r="E1918" t="s">
        <v>520</v>
      </c>
      <c r="F1918" s="188" t="n">
        <v>2046</v>
      </c>
      <c r="G1918" s="189" t="n">
        <v>66</v>
      </c>
      <c r="H1918" s="190" t="n">
        <v>28825.1823102438</v>
      </c>
      <c r="I1918" s="191" t="n">
        <v>3357743.45412762</v>
      </c>
      <c r="J1918" s="192" t="str">
        <f>IF(I1918&gt;0,H1918/I1918,0)</f>
      </c>
      <c r="K1918" s="193" t="str">
        <f>1-EXP(-J1918)</f>
      </c>
      <c r="L1918" s="194" t="str">
        <f>IF(G1918=30,1,M1917)</f>
      </c>
      <c r="M1918" s="195" t="str">
        <f>L1918*(1-K1918)</f>
      </c>
    </row>
    <row r="1919">
      <c r="A1919" t="s">
        <v>167</v>
      </c>
      <c r="B1919" t="s">
        <v>219</v>
      </c>
      <c r="C1919" s="35" t="s">
        <v>221</v>
      </c>
      <c r="D1919" t="s">
        <v>502</v>
      </c>
      <c r="E1919" t="s">
        <v>520</v>
      </c>
      <c r="F1919" s="188" t="n">
        <v>2046</v>
      </c>
      <c r="G1919" s="189" t="n">
        <v>67</v>
      </c>
      <c r="H1919" s="190" t="n">
        <v>30643.9515082071</v>
      </c>
      <c r="I1919" s="191" t="n">
        <v>3248521.42244192</v>
      </c>
      <c r="J1919" s="192" t="str">
        <f>IF(I1919&gt;0,H1919/I1919,0)</f>
      </c>
      <c r="K1919" s="193" t="str">
        <f>1-EXP(-J1919)</f>
      </c>
      <c r="L1919" s="194" t="str">
        <f>IF(G1919=30,1,M1918)</f>
      </c>
      <c r="M1919" s="195" t="str">
        <f>L1919*(1-K1919)</f>
      </c>
    </row>
    <row r="1920">
      <c r="A1920" t="s">
        <v>167</v>
      </c>
      <c r="B1920" t="s">
        <v>219</v>
      </c>
      <c r="C1920" s="35" t="s">
        <v>221</v>
      </c>
      <c r="D1920" t="s">
        <v>502</v>
      </c>
      <c r="E1920" t="s">
        <v>520</v>
      </c>
      <c r="F1920" s="188" t="n">
        <v>2046</v>
      </c>
      <c r="G1920" s="189" t="n">
        <v>68</v>
      </c>
      <c r="H1920" s="190" t="n">
        <v>32373.917138383</v>
      </c>
      <c r="I1920" s="191" t="n">
        <v>3120959.83634887</v>
      </c>
      <c r="J1920" s="192" t="str">
        <f>IF(I1920&gt;0,H1920/I1920,0)</f>
      </c>
      <c r="K1920" s="193" t="str">
        <f>1-EXP(-J1920)</f>
      </c>
      <c r="L1920" s="194" t="str">
        <f>IF(G1920=30,1,M1919)</f>
      </c>
      <c r="M1920" s="195" t="str">
        <f>L1920*(1-K1920)</f>
      </c>
    </row>
    <row r="1921">
      <c r="A1921" t="s">
        <v>167</v>
      </c>
      <c r="B1921" t="s">
        <v>219</v>
      </c>
      <c r="C1921" s="35" t="s">
        <v>221</v>
      </c>
      <c r="D1921" t="s">
        <v>502</v>
      </c>
      <c r="E1921" t="s">
        <v>520</v>
      </c>
      <c r="F1921" s="188" t="n">
        <v>2046</v>
      </c>
      <c r="G1921" s="189" t="n">
        <v>69</v>
      </c>
      <c r="H1921" s="190" t="n">
        <v>34328.5238562663</v>
      </c>
      <c r="I1921" s="191" t="n">
        <v>3004105.5225627</v>
      </c>
      <c r="J1921" s="192" t="str">
        <f>IF(I1921&gt;0,H1921/I1921,0)</f>
      </c>
      <c r="K1921" s="193" t="str">
        <f>1-EXP(-J1921)</f>
      </c>
      <c r="L1921" s="194" t="str">
        <f>IF(G1921=30,1,M1920)</f>
      </c>
      <c r="M1921" s="195" t="str">
        <f>L1921*(1-K1921)</f>
      </c>
    </row>
    <row r="1922">
      <c r="A1922" t="s">
        <v>167</v>
      </c>
      <c r="B1922" t="s">
        <v>219</v>
      </c>
      <c r="C1922" s="35" t="s">
        <v>221</v>
      </c>
      <c r="D1922" t="s">
        <v>502</v>
      </c>
      <c r="E1922" t="s">
        <v>520</v>
      </c>
      <c r="F1922" s="188" t="n">
        <v>2047</v>
      </c>
      <c r="G1922" s="189" t="n">
        <v>30</v>
      </c>
      <c r="H1922" s="190" t="n">
        <v>598.19924588445</v>
      </c>
      <c r="I1922" s="191" t="n">
        <v>4320557.87695838</v>
      </c>
      <c r="J1922" s="192" t="str">
        <f>IF(I1922&gt;0,H1922/I1922,0)</f>
      </c>
      <c r="K1922" s="193" t="str">
        <f>1-EXP(-J1922)</f>
      </c>
      <c r="L1922" s="194" t="str">
        <f>IF(G1922=30,1,M1921)</f>
      </c>
      <c r="M1922" s="195" t="str">
        <f>L1922*(1-K1922)</f>
      </c>
    </row>
    <row r="1923">
      <c r="A1923" t="s">
        <v>167</v>
      </c>
      <c r="B1923" t="s">
        <v>219</v>
      </c>
      <c r="C1923" s="35" t="s">
        <v>221</v>
      </c>
      <c r="D1923" t="s">
        <v>502</v>
      </c>
      <c r="E1923" t="s">
        <v>520</v>
      </c>
      <c r="F1923" s="188" t="n">
        <v>2047</v>
      </c>
      <c r="G1923" s="189" t="n">
        <v>31</v>
      </c>
      <c r="H1923" s="190" t="n">
        <v>905.578729077302</v>
      </c>
      <c r="I1923" s="191" t="n">
        <v>4583337.94389632</v>
      </c>
      <c r="J1923" s="192" t="str">
        <f>IF(I1923&gt;0,H1923/I1923,0)</f>
      </c>
      <c r="K1923" s="193" t="str">
        <f>1-EXP(-J1923)</f>
      </c>
      <c r="L1923" s="194" t="str">
        <f>IF(G1923=30,1,M1922)</f>
      </c>
      <c r="M1923" s="195" t="str">
        <f>L1923*(1-K1923)</f>
      </c>
    </row>
    <row r="1924">
      <c r="A1924" t="s">
        <v>167</v>
      </c>
      <c r="B1924" t="s">
        <v>219</v>
      </c>
      <c r="C1924" s="35" t="s">
        <v>221</v>
      </c>
      <c r="D1924" t="s">
        <v>502</v>
      </c>
      <c r="E1924" t="s">
        <v>520</v>
      </c>
      <c r="F1924" s="188" t="n">
        <v>2047</v>
      </c>
      <c r="G1924" s="189" t="n">
        <v>32</v>
      </c>
      <c r="H1924" s="190" t="n">
        <v>997.912466646275</v>
      </c>
      <c r="I1924" s="191" t="n">
        <v>4632156.99546532</v>
      </c>
      <c r="J1924" s="192" t="str">
        <f>IF(I1924&gt;0,H1924/I1924,0)</f>
      </c>
      <c r="K1924" s="193" t="str">
        <f>1-EXP(-J1924)</f>
      </c>
      <c r="L1924" s="194" t="str">
        <f>IF(G1924=30,1,M1923)</f>
      </c>
      <c r="M1924" s="195" t="str">
        <f>L1924*(1-K1924)</f>
      </c>
    </row>
    <row r="1925">
      <c r="A1925" t="s">
        <v>167</v>
      </c>
      <c r="B1925" t="s">
        <v>219</v>
      </c>
      <c r="C1925" s="35" t="s">
        <v>221</v>
      </c>
      <c r="D1925" t="s">
        <v>502</v>
      </c>
      <c r="E1925" t="s">
        <v>520</v>
      </c>
      <c r="F1925" s="188" t="n">
        <v>2047</v>
      </c>
      <c r="G1925" s="189" t="n">
        <v>33</v>
      </c>
      <c r="H1925" s="190" t="n">
        <v>1072.68926458482</v>
      </c>
      <c r="I1925" s="191" t="n">
        <v>4698420.50739976</v>
      </c>
      <c r="J1925" s="192" t="str">
        <f>IF(I1925&gt;0,H1925/I1925,0)</f>
      </c>
      <c r="K1925" s="193" t="str">
        <f>1-EXP(-J1925)</f>
      </c>
      <c r="L1925" s="194" t="str">
        <f>IF(G1925=30,1,M1924)</f>
      </c>
      <c r="M1925" s="195" t="str">
        <f>L1925*(1-K1925)</f>
      </c>
    </row>
    <row r="1926">
      <c r="A1926" t="s">
        <v>167</v>
      </c>
      <c r="B1926" t="s">
        <v>219</v>
      </c>
      <c r="C1926" s="35" t="s">
        <v>221</v>
      </c>
      <c r="D1926" t="s">
        <v>502</v>
      </c>
      <c r="E1926" t="s">
        <v>520</v>
      </c>
      <c r="F1926" s="188" t="n">
        <v>2047</v>
      </c>
      <c r="G1926" s="189" t="n">
        <v>34</v>
      </c>
      <c r="H1926" s="190" t="n">
        <v>1159.6964209051</v>
      </c>
      <c r="I1926" s="191" t="n">
        <v>4765997.29427434</v>
      </c>
      <c r="J1926" s="192" t="str">
        <f>IF(I1926&gt;0,H1926/I1926,0)</f>
      </c>
      <c r="K1926" s="193" t="str">
        <f>1-EXP(-J1926)</f>
      </c>
      <c r="L1926" s="194" t="str">
        <f>IF(G1926=30,1,M1925)</f>
      </c>
      <c r="M1926" s="195" t="str">
        <f>L1926*(1-K1926)</f>
      </c>
    </row>
    <row r="1927">
      <c r="A1927" t="s">
        <v>167</v>
      </c>
      <c r="B1927" t="s">
        <v>219</v>
      </c>
      <c r="C1927" s="35" t="s">
        <v>221</v>
      </c>
      <c r="D1927" t="s">
        <v>502</v>
      </c>
      <c r="E1927" t="s">
        <v>520</v>
      </c>
      <c r="F1927" s="188" t="n">
        <v>2047</v>
      </c>
      <c r="G1927" s="189" t="n">
        <v>35</v>
      </c>
      <c r="H1927" s="190" t="n">
        <v>1604.6542318497</v>
      </c>
      <c r="I1927" s="191" t="n">
        <v>4877641.48163697</v>
      </c>
      <c r="J1927" s="192" t="str">
        <f>IF(I1927&gt;0,H1927/I1927,0)</f>
      </c>
      <c r="K1927" s="193" t="str">
        <f>1-EXP(-J1927)</f>
      </c>
      <c r="L1927" s="194" t="str">
        <f>IF(G1927=30,1,M1926)</f>
      </c>
      <c r="M1927" s="195" t="str">
        <f>L1927*(1-K1927)</f>
      </c>
    </row>
    <row r="1928">
      <c r="A1928" t="s">
        <v>167</v>
      </c>
      <c r="B1928" t="s">
        <v>219</v>
      </c>
      <c r="C1928" s="35" t="s">
        <v>221</v>
      </c>
      <c r="D1928" t="s">
        <v>502</v>
      </c>
      <c r="E1928" t="s">
        <v>520</v>
      </c>
      <c r="F1928" s="188" t="n">
        <v>2047</v>
      </c>
      <c r="G1928" s="189" t="n">
        <v>36</v>
      </c>
      <c r="H1928" s="190" t="n">
        <v>1868.34606716567</v>
      </c>
      <c r="I1928" s="191" t="n">
        <v>4848304.47936333</v>
      </c>
      <c r="J1928" s="192" t="str">
        <f>IF(I1928&gt;0,H1928/I1928,0)</f>
      </c>
      <c r="K1928" s="193" t="str">
        <f>1-EXP(-J1928)</f>
      </c>
      <c r="L1928" s="194" t="str">
        <f>IF(G1928=30,1,M1927)</f>
      </c>
      <c r="M1928" s="195" t="str">
        <f>L1928*(1-K1928)</f>
      </c>
    </row>
    <row r="1929">
      <c r="A1929" t="s">
        <v>167</v>
      </c>
      <c r="B1929" t="s">
        <v>219</v>
      </c>
      <c r="C1929" s="35" t="s">
        <v>221</v>
      </c>
      <c r="D1929" t="s">
        <v>502</v>
      </c>
      <c r="E1929" t="s">
        <v>520</v>
      </c>
      <c r="F1929" s="188" t="n">
        <v>2047</v>
      </c>
      <c r="G1929" s="189" t="n">
        <v>37</v>
      </c>
      <c r="H1929" s="190" t="n">
        <v>1952.79322162953</v>
      </c>
      <c r="I1929" s="191" t="n">
        <v>4713806.49022812</v>
      </c>
      <c r="J1929" s="192" t="str">
        <f>IF(I1929&gt;0,H1929/I1929,0)</f>
      </c>
      <c r="K1929" s="193" t="str">
        <f>1-EXP(-J1929)</f>
      </c>
      <c r="L1929" s="194" t="str">
        <f>IF(G1929=30,1,M1928)</f>
      </c>
      <c r="M1929" s="195" t="str">
        <f>L1929*(1-K1929)</f>
      </c>
    </row>
    <row r="1930">
      <c r="A1930" t="s">
        <v>167</v>
      </c>
      <c r="B1930" t="s">
        <v>219</v>
      </c>
      <c r="C1930" s="35" t="s">
        <v>221</v>
      </c>
      <c r="D1930" t="s">
        <v>502</v>
      </c>
      <c r="E1930" t="s">
        <v>520</v>
      </c>
      <c r="F1930" s="188" t="n">
        <v>2047</v>
      </c>
      <c r="G1930" s="189" t="n">
        <v>38</v>
      </c>
      <c r="H1930" s="190" t="n">
        <v>2074.74897862367</v>
      </c>
      <c r="I1930" s="191" t="n">
        <v>4641608.89772471</v>
      </c>
      <c r="J1930" s="192" t="str">
        <f>IF(I1930&gt;0,H1930/I1930,0)</f>
      </c>
      <c r="K1930" s="193" t="str">
        <f>1-EXP(-J1930)</f>
      </c>
      <c r="L1930" s="194" t="str">
        <f>IF(G1930=30,1,M1929)</f>
      </c>
      <c r="M1930" s="195" t="str">
        <f>L1930*(1-K1930)</f>
      </c>
    </row>
    <row r="1931">
      <c r="A1931" t="s">
        <v>167</v>
      </c>
      <c r="B1931" t="s">
        <v>219</v>
      </c>
      <c r="C1931" s="35" t="s">
        <v>221</v>
      </c>
      <c r="D1931" t="s">
        <v>502</v>
      </c>
      <c r="E1931" t="s">
        <v>520</v>
      </c>
      <c r="F1931" s="188" t="n">
        <v>2047</v>
      </c>
      <c r="G1931" s="189" t="n">
        <v>39</v>
      </c>
      <c r="H1931" s="190" t="n">
        <v>2223.79756570686</v>
      </c>
      <c r="I1931" s="191" t="n">
        <v>4596937.32109168</v>
      </c>
      <c r="J1931" s="192" t="str">
        <f>IF(I1931&gt;0,H1931/I1931,0)</f>
      </c>
      <c r="K1931" s="193" t="str">
        <f>1-EXP(-J1931)</f>
      </c>
      <c r="L1931" s="194" t="str">
        <f>IF(G1931=30,1,M1930)</f>
      </c>
      <c r="M1931" s="195" t="str">
        <f>L1931*(1-K1931)</f>
      </c>
    </row>
    <row r="1932">
      <c r="A1932" t="s">
        <v>167</v>
      </c>
      <c r="B1932" t="s">
        <v>219</v>
      </c>
      <c r="C1932" s="35" t="s">
        <v>221</v>
      </c>
      <c r="D1932" t="s">
        <v>502</v>
      </c>
      <c r="E1932" t="s">
        <v>520</v>
      </c>
      <c r="F1932" s="188" t="n">
        <v>2047</v>
      </c>
      <c r="G1932" s="189" t="n">
        <v>40</v>
      </c>
      <c r="H1932" s="190" t="n">
        <v>3079.99238919329</v>
      </c>
      <c r="I1932" s="191" t="n">
        <v>4619390.5915966</v>
      </c>
      <c r="J1932" s="192" t="str">
        <f>IF(I1932&gt;0,H1932/I1932,0)</f>
      </c>
      <c r="K1932" s="193" t="str">
        <f>1-EXP(-J1932)</f>
      </c>
      <c r="L1932" s="194" t="str">
        <f>IF(G1932=30,1,M1931)</f>
      </c>
      <c r="M1932" s="195" t="str">
        <f>L1932*(1-K1932)</f>
      </c>
    </row>
    <row r="1933">
      <c r="A1933" t="s">
        <v>167</v>
      </c>
      <c r="B1933" t="s">
        <v>219</v>
      </c>
      <c r="C1933" s="35" t="s">
        <v>221</v>
      </c>
      <c r="D1933" t="s">
        <v>502</v>
      </c>
      <c r="E1933" t="s">
        <v>520</v>
      </c>
      <c r="F1933" s="188" t="n">
        <v>2047</v>
      </c>
      <c r="G1933" s="189" t="n">
        <v>41</v>
      </c>
      <c r="H1933" s="190" t="n">
        <v>3386.95895105537</v>
      </c>
      <c r="I1933" s="191" t="n">
        <v>4533160.04952949</v>
      </c>
      <c r="J1933" s="192" t="str">
        <f>IF(I1933&gt;0,H1933/I1933,0)</f>
      </c>
      <c r="K1933" s="193" t="str">
        <f>1-EXP(-J1933)</f>
      </c>
      <c r="L1933" s="194" t="str">
        <f>IF(G1933=30,1,M1932)</f>
      </c>
      <c r="M1933" s="195" t="str">
        <f>L1933*(1-K1933)</f>
      </c>
    </row>
    <row r="1934">
      <c r="A1934" t="s">
        <v>167</v>
      </c>
      <c r="B1934" t="s">
        <v>219</v>
      </c>
      <c r="C1934" s="35" t="s">
        <v>221</v>
      </c>
      <c r="D1934" t="s">
        <v>502</v>
      </c>
      <c r="E1934" t="s">
        <v>520</v>
      </c>
      <c r="F1934" s="188" t="n">
        <v>2047</v>
      </c>
      <c r="G1934" s="189" t="n">
        <v>42</v>
      </c>
      <c r="H1934" s="190" t="n">
        <v>3624.45250775957</v>
      </c>
      <c r="I1934" s="191" t="n">
        <v>4468728.40952076</v>
      </c>
      <c r="J1934" s="192" t="str">
        <f>IF(I1934&gt;0,H1934/I1934,0)</f>
      </c>
      <c r="K1934" s="193" t="str">
        <f>1-EXP(-J1934)</f>
      </c>
      <c r="L1934" s="194" t="str">
        <f>IF(G1934=30,1,M1933)</f>
      </c>
      <c r="M1934" s="195" t="str">
        <f>L1934*(1-K1934)</f>
      </c>
    </row>
    <row r="1935">
      <c r="A1935" t="s">
        <v>167</v>
      </c>
      <c r="B1935" t="s">
        <v>219</v>
      </c>
      <c r="C1935" s="35" t="s">
        <v>221</v>
      </c>
      <c r="D1935" t="s">
        <v>502</v>
      </c>
      <c r="E1935" t="s">
        <v>520</v>
      </c>
      <c r="F1935" s="188" t="n">
        <v>2047</v>
      </c>
      <c r="G1935" s="189" t="n">
        <v>43</v>
      </c>
      <c r="H1935" s="190" t="n">
        <v>3828.15294947454</v>
      </c>
      <c r="I1935" s="191" t="n">
        <v>4337240.31854768</v>
      </c>
      <c r="J1935" s="192" t="str">
        <f>IF(I1935&gt;0,H1935/I1935,0)</f>
      </c>
      <c r="K1935" s="193" t="str">
        <f>1-EXP(-J1935)</f>
      </c>
      <c r="L1935" s="194" t="str">
        <f>IF(G1935=30,1,M1934)</f>
      </c>
      <c r="M1935" s="195" t="str">
        <f>L1935*(1-K1935)</f>
      </c>
    </row>
    <row r="1936">
      <c r="A1936" t="s">
        <v>167</v>
      </c>
      <c r="B1936" t="s">
        <v>219</v>
      </c>
      <c r="C1936" s="35" t="s">
        <v>221</v>
      </c>
      <c r="D1936" t="s">
        <v>502</v>
      </c>
      <c r="E1936" t="s">
        <v>520</v>
      </c>
      <c r="F1936" s="188" t="n">
        <v>2047</v>
      </c>
      <c r="G1936" s="189" t="n">
        <v>44</v>
      </c>
      <c r="H1936" s="190" t="n">
        <v>4108.53055584786</v>
      </c>
      <c r="I1936" s="191" t="n">
        <v>4267302.02136815</v>
      </c>
      <c r="J1936" s="192" t="str">
        <f>IF(I1936&gt;0,H1936/I1936,0)</f>
      </c>
      <c r="K1936" s="193" t="str">
        <f>1-EXP(-J1936)</f>
      </c>
      <c r="L1936" s="194" t="str">
        <f>IF(G1936=30,1,M1935)</f>
      </c>
      <c r="M1936" s="195" t="str">
        <f>L1936*(1-K1936)</f>
      </c>
    </row>
    <row r="1937">
      <c r="A1937" t="s">
        <v>167</v>
      </c>
      <c r="B1937" t="s">
        <v>219</v>
      </c>
      <c r="C1937" s="35" t="s">
        <v>221</v>
      </c>
      <c r="D1937" t="s">
        <v>502</v>
      </c>
      <c r="E1937" t="s">
        <v>520</v>
      </c>
      <c r="F1937" s="188" t="n">
        <v>2047</v>
      </c>
      <c r="G1937" s="189" t="n">
        <v>45</v>
      </c>
      <c r="H1937" s="190" t="n">
        <v>5430.3860576358</v>
      </c>
      <c r="I1937" s="191" t="n">
        <v>4237758.62047583</v>
      </c>
      <c r="J1937" s="192" t="str">
        <f>IF(I1937&gt;0,H1937/I1937,0)</f>
      </c>
      <c r="K1937" s="193" t="str">
        <f>1-EXP(-J1937)</f>
      </c>
      <c r="L1937" s="194" t="str">
        <f>IF(G1937=30,1,M1936)</f>
      </c>
      <c r="M1937" s="195" t="str">
        <f>L1937*(1-K1937)</f>
      </c>
    </row>
    <row r="1938">
      <c r="A1938" t="s">
        <v>167</v>
      </c>
      <c r="B1938" t="s">
        <v>219</v>
      </c>
      <c r="C1938" s="35" t="s">
        <v>221</v>
      </c>
      <c r="D1938" t="s">
        <v>502</v>
      </c>
      <c r="E1938" t="s">
        <v>520</v>
      </c>
      <c r="F1938" s="188" t="n">
        <v>2047</v>
      </c>
      <c r="G1938" s="189" t="n">
        <v>46</v>
      </c>
      <c r="H1938" s="190" t="n">
        <v>5957.77383739219</v>
      </c>
      <c r="I1938" s="191" t="n">
        <v>4209836.01497007</v>
      </c>
      <c r="J1938" s="192" t="str">
        <f>IF(I1938&gt;0,H1938/I1938,0)</f>
      </c>
      <c r="K1938" s="193" t="str">
        <f>1-EXP(-J1938)</f>
      </c>
      <c r="L1938" s="194" t="str">
        <f>IF(G1938=30,1,M1937)</f>
      </c>
      <c r="M1938" s="195" t="str">
        <f>L1938*(1-K1938)</f>
      </c>
    </row>
    <row r="1939">
      <c r="A1939" t="s">
        <v>167</v>
      </c>
      <c r="B1939" t="s">
        <v>219</v>
      </c>
      <c r="C1939" s="35" t="s">
        <v>221</v>
      </c>
      <c r="D1939" t="s">
        <v>502</v>
      </c>
      <c r="E1939" t="s">
        <v>520</v>
      </c>
      <c r="F1939" s="188" t="n">
        <v>2047</v>
      </c>
      <c r="G1939" s="189" t="n">
        <v>47</v>
      </c>
      <c r="H1939" s="190" t="n">
        <v>6487.85349469926</v>
      </c>
      <c r="I1939" s="191" t="n">
        <v>4181516.73290035</v>
      </c>
      <c r="J1939" s="192" t="str">
        <f>IF(I1939&gt;0,H1939/I1939,0)</f>
      </c>
      <c r="K1939" s="193" t="str">
        <f>1-EXP(-J1939)</f>
      </c>
      <c r="L1939" s="194" t="str">
        <f>IF(G1939=30,1,M1938)</f>
      </c>
      <c r="M1939" s="195" t="str">
        <f>L1939*(1-K1939)</f>
      </c>
    </row>
    <row r="1940">
      <c r="A1940" t="s">
        <v>167</v>
      </c>
      <c r="B1940" t="s">
        <v>219</v>
      </c>
      <c r="C1940" s="35" t="s">
        <v>221</v>
      </c>
      <c r="D1940" t="s">
        <v>502</v>
      </c>
      <c r="E1940" t="s">
        <v>520</v>
      </c>
      <c r="F1940" s="188" t="n">
        <v>2047</v>
      </c>
      <c r="G1940" s="189" t="n">
        <v>48</v>
      </c>
      <c r="H1940" s="190" t="n">
        <v>7140.98217866629</v>
      </c>
      <c r="I1940" s="191" t="n">
        <v>4190664.22521344</v>
      </c>
      <c r="J1940" s="192" t="str">
        <f>IF(I1940&gt;0,H1940/I1940,0)</f>
      </c>
      <c r="K1940" s="193" t="str">
        <f>1-EXP(-J1940)</f>
      </c>
      <c r="L1940" s="194" t="str">
        <f>IF(G1940=30,1,M1939)</f>
      </c>
      <c r="M1940" s="195" t="str">
        <f>L1940*(1-K1940)</f>
      </c>
    </row>
    <row r="1941">
      <c r="A1941" t="s">
        <v>167</v>
      </c>
      <c r="B1941" t="s">
        <v>219</v>
      </c>
      <c r="C1941" s="35" t="s">
        <v>221</v>
      </c>
      <c r="D1941" t="s">
        <v>502</v>
      </c>
      <c r="E1941" t="s">
        <v>520</v>
      </c>
      <c r="F1941" s="188" t="n">
        <v>2047</v>
      </c>
      <c r="G1941" s="189" t="n">
        <v>49</v>
      </c>
      <c r="H1941" s="190" t="n">
        <v>7935.85444674985</v>
      </c>
      <c r="I1941" s="191" t="n">
        <v>4236318.8024997</v>
      </c>
      <c r="J1941" s="192" t="str">
        <f>IF(I1941&gt;0,H1941/I1941,0)</f>
      </c>
      <c r="K1941" s="193" t="str">
        <f>1-EXP(-J1941)</f>
      </c>
      <c r="L1941" s="194" t="str">
        <f>IF(G1941=30,1,M1940)</f>
      </c>
      <c r="M1941" s="195" t="str">
        <f>L1941*(1-K1941)</f>
      </c>
    </row>
    <row r="1942">
      <c r="A1942" t="s">
        <v>167</v>
      </c>
      <c r="B1942" t="s">
        <v>219</v>
      </c>
      <c r="C1942" s="35" t="s">
        <v>221</v>
      </c>
      <c r="D1942" t="s">
        <v>502</v>
      </c>
      <c r="E1942" t="s">
        <v>520</v>
      </c>
      <c r="F1942" s="188" t="n">
        <v>2047</v>
      </c>
      <c r="G1942" s="189" t="n">
        <v>50</v>
      </c>
      <c r="H1942" s="190" t="n">
        <v>9527.84956190289</v>
      </c>
      <c r="I1942" s="191" t="n">
        <v>4353406.29641077</v>
      </c>
      <c r="J1942" s="192" t="str">
        <f>IF(I1942&gt;0,H1942/I1942,0)</f>
      </c>
      <c r="K1942" s="193" t="str">
        <f>1-EXP(-J1942)</f>
      </c>
      <c r="L1942" s="194" t="str">
        <f>IF(G1942=30,1,M1941)</f>
      </c>
      <c r="M1942" s="195" t="str">
        <f>L1942*(1-K1942)</f>
      </c>
    </row>
    <row r="1943">
      <c r="A1943" t="s">
        <v>167</v>
      </c>
      <c r="B1943" t="s">
        <v>219</v>
      </c>
      <c r="C1943" s="35" t="s">
        <v>221</v>
      </c>
      <c r="D1943" t="s">
        <v>502</v>
      </c>
      <c r="E1943" t="s">
        <v>520</v>
      </c>
      <c r="F1943" s="188" t="n">
        <v>2047</v>
      </c>
      <c r="G1943" s="189" t="n">
        <v>51</v>
      </c>
      <c r="H1943" s="190" t="n">
        <v>10281.0592248814</v>
      </c>
      <c r="I1943" s="191" t="n">
        <v>4295955.41460852</v>
      </c>
      <c r="J1943" s="192" t="str">
        <f>IF(I1943&gt;0,H1943/I1943,0)</f>
      </c>
      <c r="K1943" s="193" t="str">
        <f>1-EXP(-J1943)</f>
      </c>
      <c r="L1943" s="194" t="str">
        <f>IF(G1943=30,1,M1942)</f>
      </c>
      <c r="M1943" s="195" t="str">
        <f>L1943*(1-K1943)</f>
      </c>
    </row>
    <row r="1944">
      <c r="A1944" t="s">
        <v>167</v>
      </c>
      <c r="B1944" t="s">
        <v>219</v>
      </c>
      <c r="C1944" s="35" t="s">
        <v>221</v>
      </c>
      <c r="D1944" t="s">
        <v>502</v>
      </c>
      <c r="E1944" t="s">
        <v>520</v>
      </c>
      <c r="F1944" s="188" t="n">
        <v>2047</v>
      </c>
      <c r="G1944" s="189" t="n">
        <v>52</v>
      </c>
      <c r="H1944" s="190" t="n">
        <v>11018.7389362702</v>
      </c>
      <c r="I1944" s="191" t="n">
        <v>4209016.47472623</v>
      </c>
      <c r="J1944" s="192" t="str">
        <f>IF(I1944&gt;0,H1944/I1944,0)</f>
      </c>
      <c r="K1944" s="193" t="str">
        <f>1-EXP(-J1944)</f>
      </c>
      <c r="L1944" s="194" t="str">
        <f>IF(G1944=30,1,M1943)</f>
      </c>
      <c r="M1944" s="195" t="str">
        <f>L1944*(1-K1944)</f>
      </c>
    </row>
    <row r="1945">
      <c r="A1945" t="s">
        <v>167</v>
      </c>
      <c r="B1945" t="s">
        <v>219</v>
      </c>
      <c r="C1945" s="35" t="s">
        <v>221</v>
      </c>
      <c r="D1945" t="s">
        <v>502</v>
      </c>
      <c r="E1945" t="s">
        <v>520</v>
      </c>
      <c r="F1945" s="188" t="n">
        <v>2047</v>
      </c>
      <c r="G1945" s="189" t="n">
        <v>53</v>
      </c>
      <c r="H1945" s="190" t="n">
        <v>11818.8529136246</v>
      </c>
      <c r="I1945" s="191" t="n">
        <v>4135783.64347195</v>
      </c>
      <c r="J1945" s="192" t="str">
        <f>IF(I1945&gt;0,H1945/I1945,0)</f>
      </c>
      <c r="K1945" s="193" t="str">
        <f>1-EXP(-J1945)</f>
      </c>
      <c r="L1945" s="194" t="str">
        <f>IF(G1945=30,1,M1944)</f>
      </c>
      <c r="M1945" s="195" t="str">
        <f>L1945*(1-K1945)</f>
      </c>
    </row>
    <row r="1946">
      <c r="A1946" t="s">
        <v>167</v>
      </c>
      <c r="B1946" t="s">
        <v>219</v>
      </c>
      <c r="C1946" s="35" t="s">
        <v>221</v>
      </c>
      <c r="D1946" t="s">
        <v>502</v>
      </c>
      <c r="E1946" t="s">
        <v>520</v>
      </c>
      <c r="F1946" s="188" t="n">
        <v>2047</v>
      </c>
      <c r="G1946" s="189" t="n">
        <v>54</v>
      </c>
      <c r="H1946" s="190" t="n">
        <v>12656.9309748159</v>
      </c>
      <c r="I1946" s="191" t="n">
        <v>4064609.70766636</v>
      </c>
      <c r="J1946" s="192" t="str">
        <f>IF(I1946&gt;0,H1946/I1946,0)</f>
      </c>
      <c r="K1946" s="193" t="str">
        <f>1-EXP(-J1946)</f>
      </c>
      <c r="L1946" s="194" t="str">
        <f>IF(G1946=30,1,M1945)</f>
      </c>
      <c r="M1946" s="195" t="str">
        <f>L1946*(1-K1946)</f>
      </c>
    </row>
    <row r="1947">
      <c r="A1947" t="s">
        <v>167</v>
      </c>
      <c r="B1947" t="s">
        <v>219</v>
      </c>
      <c r="C1947" s="35" t="s">
        <v>221</v>
      </c>
      <c r="D1947" t="s">
        <v>502</v>
      </c>
      <c r="E1947" t="s">
        <v>520</v>
      </c>
      <c r="F1947" s="188" t="n">
        <v>2047</v>
      </c>
      <c r="G1947" s="189" t="n">
        <v>55</v>
      </c>
      <c r="H1947" s="190" t="n">
        <v>13554.6470763775</v>
      </c>
      <c r="I1947" s="191" t="n">
        <v>4077822.45471764</v>
      </c>
      <c r="J1947" s="192" t="str">
        <f>IF(I1947&gt;0,H1947/I1947,0)</f>
      </c>
      <c r="K1947" s="193" t="str">
        <f>1-EXP(-J1947)</f>
      </c>
      <c r="L1947" s="194" t="str">
        <f>IF(G1947=30,1,M1946)</f>
      </c>
      <c r="M1947" s="195" t="str">
        <f>L1947*(1-K1947)</f>
      </c>
    </row>
    <row r="1948">
      <c r="A1948" t="s">
        <v>167</v>
      </c>
      <c r="B1948" t="s">
        <v>219</v>
      </c>
      <c r="C1948" s="35" t="s">
        <v>221</v>
      </c>
      <c r="D1948" t="s">
        <v>502</v>
      </c>
      <c r="E1948" t="s">
        <v>520</v>
      </c>
      <c r="F1948" s="188" t="n">
        <v>2047</v>
      </c>
      <c r="G1948" s="189" t="n">
        <v>56</v>
      </c>
      <c r="H1948" s="190" t="n">
        <v>14688.4262749804</v>
      </c>
      <c r="I1948" s="191" t="n">
        <v>4069981.39280542</v>
      </c>
      <c r="J1948" s="192" t="str">
        <f>IF(I1948&gt;0,H1948/I1948,0)</f>
      </c>
      <c r="K1948" s="193" t="str">
        <f>1-EXP(-J1948)</f>
      </c>
      <c r="L1948" s="194" t="str">
        <f>IF(G1948=30,1,M1947)</f>
      </c>
      <c r="M1948" s="195" t="str">
        <f>L1948*(1-K1948)</f>
      </c>
    </row>
    <row r="1949">
      <c r="A1949" t="s">
        <v>167</v>
      </c>
      <c r="B1949" t="s">
        <v>219</v>
      </c>
      <c r="C1949" s="35" t="s">
        <v>221</v>
      </c>
      <c r="D1949" t="s">
        <v>502</v>
      </c>
      <c r="E1949" t="s">
        <v>520</v>
      </c>
      <c r="F1949" s="188" t="n">
        <v>2047</v>
      </c>
      <c r="G1949" s="189" t="n">
        <v>57</v>
      </c>
      <c r="H1949" s="190" t="n">
        <v>21378.1649433893</v>
      </c>
      <c r="I1949" s="191" t="n">
        <v>5984011.42433555</v>
      </c>
      <c r="J1949" s="192" t="str">
        <f>IF(I1949&gt;0,H1949/I1949,0)</f>
      </c>
      <c r="K1949" s="193" t="str">
        <f>1-EXP(-J1949)</f>
      </c>
      <c r="L1949" s="194" t="str">
        <f>IF(G1949=30,1,M1948)</f>
      </c>
      <c r="M1949" s="195" t="str">
        <f>L1949*(1-K1949)</f>
      </c>
    </row>
    <row r="1950">
      <c r="A1950" t="s">
        <v>167</v>
      </c>
      <c r="B1950" t="s">
        <v>219</v>
      </c>
      <c r="C1950" s="35" t="s">
        <v>221</v>
      </c>
      <c r="D1950" t="s">
        <v>502</v>
      </c>
      <c r="E1950" t="s">
        <v>520</v>
      </c>
      <c r="F1950" s="188" t="n">
        <v>2047</v>
      </c>
      <c r="G1950" s="189" t="n">
        <v>58</v>
      </c>
      <c r="H1950" s="190" t="n">
        <v>17101.8485679595</v>
      </c>
      <c r="I1950" s="191" t="n">
        <v>3976064.23169486</v>
      </c>
      <c r="J1950" s="192" t="str">
        <f>IF(I1950&gt;0,H1950/I1950,0)</f>
      </c>
      <c r="K1950" s="193" t="str">
        <f>1-EXP(-J1950)</f>
      </c>
      <c r="L1950" s="194" t="str">
        <f>IF(G1950=30,1,M1949)</f>
      </c>
      <c r="M1950" s="195" t="str">
        <f>L1950*(1-K1950)</f>
      </c>
    </row>
    <row r="1951">
      <c r="A1951" t="s">
        <v>167</v>
      </c>
      <c r="B1951" t="s">
        <v>219</v>
      </c>
      <c r="C1951" s="35" t="s">
        <v>221</v>
      </c>
      <c r="D1951" t="s">
        <v>502</v>
      </c>
      <c r="E1951" t="s">
        <v>520</v>
      </c>
      <c r="F1951" s="188" t="n">
        <v>2047</v>
      </c>
      <c r="G1951" s="189" t="n">
        <v>59</v>
      </c>
      <c r="H1951" s="190" t="n">
        <v>18506.1416094287</v>
      </c>
      <c r="I1951" s="191" t="n">
        <v>3929371.05189665</v>
      </c>
      <c r="J1951" s="192" t="str">
        <f>IF(I1951&gt;0,H1951/I1951,0)</f>
      </c>
      <c r="K1951" s="193" t="str">
        <f>1-EXP(-J1951)</f>
      </c>
      <c r="L1951" s="194" t="str">
        <f>IF(G1951=30,1,M1950)</f>
      </c>
      <c r="M1951" s="195" t="str">
        <f>L1951*(1-K1951)</f>
      </c>
    </row>
    <row r="1952">
      <c r="A1952" t="s">
        <v>167</v>
      </c>
      <c r="B1952" t="s">
        <v>219</v>
      </c>
      <c r="C1952" s="35" t="s">
        <v>221</v>
      </c>
      <c r="D1952" t="s">
        <v>502</v>
      </c>
      <c r="E1952" t="s">
        <v>520</v>
      </c>
      <c r="F1952" s="188" t="n">
        <v>2047</v>
      </c>
      <c r="G1952" s="189" t="n">
        <v>60</v>
      </c>
      <c r="H1952" s="190" t="n">
        <v>19200.0084658761</v>
      </c>
      <c r="I1952" s="191" t="n">
        <v>3775757.93789803</v>
      </c>
      <c r="J1952" s="192" t="str">
        <f>IF(I1952&gt;0,H1952/I1952,0)</f>
      </c>
      <c r="K1952" s="193" t="str">
        <f>1-EXP(-J1952)</f>
      </c>
      <c r="L1952" s="194" t="str">
        <f>IF(G1952=30,1,M1951)</f>
      </c>
      <c r="M1952" s="195" t="str">
        <f>L1952*(1-K1952)</f>
      </c>
    </row>
    <row r="1953">
      <c r="A1953" t="s">
        <v>167</v>
      </c>
      <c r="B1953" t="s">
        <v>219</v>
      </c>
      <c r="C1953" s="35" t="s">
        <v>221</v>
      </c>
      <c r="D1953" t="s">
        <v>502</v>
      </c>
      <c r="E1953" t="s">
        <v>520</v>
      </c>
      <c r="F1953" s="188" t="n">
        <v>2047</v>
      </c>
      <c r="G1953" s="189" t="n">
        <v>61</v>
      </c>
      <c r="H1953" s="190" t="n">
        <v>20712.5168422108</v>
      </c>
      <c r="I1953" s="191" t="n">
        <v>3708696.38420905</v>
      </c>
      <c r="J1953" s="192" t="str">
        <f>IF(I1953&gt;0,H1953/I1953,0)</f>
      </c>
      <c r="K1953" s="193" t="str">
        <f>1-EXP(-J1953)</f>
      </c>
      <c r="L1953" s="194" t="str">
        <f>IF(G1953=30,1,M1952)</f>
      </c>
      <c r="M1953" s="195" t="str">
        <f>L1953*(1-K1953)</f>
      </c>
    </row>
    <row r="1954">
      <c r="A1954" t="s">
        <v>167</v>
      </c>
      <c r="B1954" t="s">
        <v>219</v>
      </c>
      <c r="C1954" s="35" t="s">
        <v>221</v>
      </c>
      <c r="D1954" t="s">
        <v>502</v>
      </c>
      <c r="E1954" t="s">
        <v>520</v>
      </c>
      <c r="F1954" s="188" t="n">
        <v>2047</v>
      </c>
      <c r="G1954" s="189" t="n">
        <v>62</v>
      </c>
      <c r="H1954" s="190" t="n">
        <v>22830.9283354539</v>
      </c>
      <c r="I1954" s="191" t="n">
        <v>3721686.26432386</v>
      </c>
      <c r="J1954" s="192" t="str">
        <f>IF(I1954&gt;0,H1954/I1954,0)</f>
      </c>
      <c r="K1954" s="193" t="str">
        <f>1-EXP(-J1954)</f>
      </c>
      <c r="L1954" s="194" t="str">
        <f>IF(G1954=30,1,M1953)</f>
      </c>
      <c r="M1954" s="195" t="str">
        <f>L1954*(1-K1954)</f>
      </c>
    </row>
    <row r="1955">
      <c r="A1955" t="s">
        <v>167</v>
      </c>
      <c r="B1955" t="s">
        <v>219</v>
      </c>
      <c r="C1955" s="35" t="s">
        <v>221</v>
      </c>
      <c r="D1955" t="s">
        <v>502</v>
      </c>
      <c r="E1955" t="s">
        <v>520</v>
      </c>
      <c r="F1955" s="188" t="n">
        <v>2047</v>
      </c>
      <c r="G1955" s="189" t="n">
        <v>63</v>
      </c>
      <c r="H1955" s="190" t="n">
        <v>25280.632478128</v>
      </c>
      <c r="I1955" s="191" t="n">
        <v>3751932.72411431</v>
      </c>
      <c r="J1955" s="192" t="str">
        <f>IF(I1955&gt;0,H1955/I1955,0)</f>
      </c>
      <c r="K1955" s="193" t="str">
        <f>1-EXP(-J1955)</f>
      </c>
      <c r="L1955" s="194" t="str">
        <f>IF(G1955=30,1,M1954)</f>
      </c>
      <c r="M1955" s="195" t="str">
        <f>L1955*(1-K1955)</f>
      </c>
    </row>
    <row r="1956">
      <c r="A1956" t="s">
        <v>167</v>
      </c>
      <c r="B1956" t="s">
        <v>219</v>
      </c>
      <c r="C1956" s="35" t="s">
        <v>221</v>
      </c>
      <c r="D1956" t="s">
        <v>502</v>
      </c>
      <c r="E1956" t="s">
        <v>520</v>
      </c>
      <c r="F1956" s="188" t="n">
        <v>2047</v>
      </c>
      <c r="G1956" s="189" t="n">
        <v>64</v>
      </c>
      <c r="H1956" s="190" t="n">
        <v>27244.4252648907</v>
      </c>
      <c r="I1956" s="191" t="n">
        <v>3682688.73378894</v>
      </c>
      <c r="J1956" s="192" t="str">
        <f>IF(I1956&gt;0,H1956/I1956,0)</f>
      </c>
      <c r="K1956" s="193" t="str">
        <f>1-EXP(-J1956)</f>
      </c>
      <c r="L1956" s="194" t="str">
        <f>IF(G1956=30,1,M1955)</f>
      </c>
      <c r="M1956" s="195" t="str">
        <f>L1956*(1-K1956)</f>
      </c>
    </row>
    <row r="1957">
      <c r="A1957" t="s">
        <v>167</v>
      </c>
      <c r="B1957" t="s">
        <v>219</v>
      </c>
      <c r="C1957" s="35" t="s">
        <v>221</v>
      </c>
      <c r="D1957" t="s">
        <v>502</v>
      </c>
      <c r="E1957" t="s">
        <v>520</v>
      </c>
      <c r="F1957" s="188" t="n">
        <v>2047</v>
      </c>
      <c r="G1957" s="189" t="n">
        <v>65</v>
      </c>
      <c r="H1957" s="190" t="n">
        <v>27174.1073168367</v>
      </c>
      <c r="I1957" s="191" t="n">
        <v>3514004.31585024</v>
      </c>
      <c r="J1957" s="192" t="str">
        <f>IF(I1957&gt;0,H1957/I1957,0)</f>
      </c>
      <c r="K1957" s="193" t="str">
        <f>1-EXP(-J1957)</f>
      </c>
      <c r="L1957" s="194" t="str">
        <f>IF(G1957=30,1,M1956)</f>
      </c>
      <c r="M1957" s="195" t="str">
        <f>L1957*(1-K1957)</f>
      </c>
    </row>
    <row r="1958">
      <c r="A1958" t="s">
        <v>167</v>
      </c>
      <c r="B1958" t="s">
        <v>219</v>
      </c>
      <c r="C1958" s="35" t="s">
        <v>221</v>
      </c>
      <c r="D1958" t="s">
        <v>502</v>
      </c>
      <c r="E1958" t="s">
        <v>520</v>
      </c>
      <c r="F1958" s="188" t="n">
        <v>2047</v>
      </c>
      <c r="G1958" s="189" t="n">
        <v>66</v>
      </c>
      <c r="H1958" s="190" t="n">
        <v>28828.9511908584</v>
      </c>
      <c r="I1958" s="191" t="n">
        <v>3397922.63334544</v>
      </c>
      <c r="J1958" s="192" t="str">
        <f>IF(I1958&gt;0,H1958/I1958,0)</f>
      </c>
      <c r="K1958" s="193" t="str">
        <f>1-EXP(-J1958)</f>
      </c>
      <c r="L1958" s="194" t="str">
        <f>IF(G1958=30,1,M1957)</f>
      </c>
      <c r="M1958" s="195" t="str">
        <f>L1958*(1-K1958)</f>
      </c>
    </row>
    <row r="1959">
      <c r="A1959" t="s">
        <v>167</v>
      </c>
      <c r="B1959" t="s">
        <v>219</v>
      </c>
      <c r="C1959" s="35" t="s">
        <v>221</v>
      </c>
      <c r="D1959" t="s">
        <v>502</v>
      </c>
      <c r="E1959" t="s">
        <v>520</v>
      </c>
      <c r="F1959" s="188" t="n">
        <v>2047</v>
      </c>
      <c r="G1959" s="189" t="n">
        <v>67</v>
      </c>
      <c r="H1959" s="190" t="n">
        <v>30691.1448479515</v>
      </c>
      <c r="I1959" s="191" t="n">
        <v>3291864.43254476</v>
      </c>
      <c r="J1959" s="192" t="str">
        <f>IF(I1959&gt;0,H1959/I1959,0)</f>
      </c>
      <c r="K1959" s="193" t="str">
        <f>1-EXP(-J1959)</f>
      </c>
      <c r="L1959" s="194" t="str">
        <f>IF(G1959=30,1,M1958)</f>
      </c>
      <c r="M1959" s="195" t="str">
        <f>L1959*(1-K1959)</f>
      </c>
    </row>
    <row r="1960">
      <c r="A1960" t="s">
        <v>167</v>
      </c>
      <c r="B1960" t="s">
        <v>219</v>
      </c>
      <c r="C1960" s="35" t="s">
        <v>221</v>
      </c>
      <c r="D1960" t="s">
        <v>502</v>
      </c>
      <c r="E1960" t="s">
        <v>520</v>
      </c>
      <c r="F1960" s="188" t="n">
        <v>2047</v>
      </c>
      <c r="G1960" s="189" t="n">
        <v>68</v>
      </c>
      <c r="H1960" s="190" t="n">
        <v>32590.7073428532</v>
      </c>
      <c r="I1960" s="191" t="n">
        <v>3178559.1141526</v>
      </c>
      <c r="J1960" s="192" t="str">
        <f>IF(I1960&gt;0,H1960/I1960,0)</f>
      </c>
      <c r="K1960" s="193" t="str">
        <f>1-EXP(-J1960)</f>
      </c>
      <c r="L1960" s="194" t="str">
        <f>IF(G1960=30,1,M1959)</f>
      </c>
      <c r="M1960" s="195" t="str">
        <f>L1960*(1-K1960)</f>
      </c>
    </row>
    <row r="1961">
      <c r="A1961" t="s">
        <v>167</v>
      </c>
      <c r="B1961" t="s">
        <v>219</v>
      </c>
      <c r="C1961" s="35" t="s">
        <v>221</v>
      </c>
      <c r="D1961" t="s">
        <v>502</v>
      </c>
      <c r="E1961" t="s">
        <v>520</v>
      </c>
      <c r="F1961" s="188" t="n">
        <v>2047</v>
      </c>
      <c r="G1961" s="189" t="n">
        <v>69</v>
      </c>
      <c r="H1961" s="190" t="n">
        <v>34393.0849990173</v>
      </c>
      <c r="I1961" s="191" t="n">
        <v>3047144.72711803</v>
      </c>
      <c r="J1961" s="192" t="str">
        <f>IF(I1961&gt;0,H1961/I1961,0)</f>
      </c>
      <c r="K1961" s="193" t="str">
        <f>1-EXP(-J1961)</f>
      </c>
      <c r="L1961" s="194" t="str">
        <f>IF(G1961=30,1,M1960)</f>
      </c>
      <c r="M1961" s="195" t="str">
        <f>L1961*(1-K1961)</f>
      </c>
    </row>
    <row r="1962">
      <c r="A1962" t="s">
        <v>167</v>
      </c>
      <c r="B1962" t="s">
        <v>219</v>
      </c>
      <c r="C1962" s="35" t="s">
        <v>221</v>
      </c>
      <c r="D1962" t="s">
        <v>502</v>
      </c>
      <c r="E1962" t="s">
        <v>520</v>
      </c>
      <c r="F1962" s="188" t="n">
        <v>2048</v>
      </c>
      <c r="G1962" s="189" t="n">
        <v>30</v>
      </c>
      <c r="H1962" s="190" t="n">
        <v>592.816129619832</v>
      </c>
      <c r="I1962" s="191" t="n">
        <v>4275339.27279585</v>
      </c>
      <c r="J1962" s="192" t="str">
        <f>IF(I1962&gt;0,H1962/I1962,0)</f>
      </c>
      <c r="K1962" s="193" t="str">
        <f>1-EXP(-J1962)</f>
      </c>
      <c r="L1962" s="194" t="str">
        <f>IF(G1962=30,1,M1961)</f>
      </c>
      <c r="M1962" s="195" t="str">
        <f>L1962*(1-K1962)</f>
      </c>
    </row>
    <row r="1963">
      <c r="A1963" t="s">
        <v>167</v>
      </c>
      <c r="B1963" t="s">
        <v>219</v>
      </c>
      <c r="C1963" s="35" t="s">
        <v>221</v>
      </c>
      <c r="D1963" t="s">
        <v>502</v>
      </c>
      <c r="E1963" t="s">
        <v>520</v>
      </c>
      <c r="F1963" s="188" t="n">
        <v>2048</v>
      </c>
      <c r="G1963" s="189" t="n">
        <v>31</v>
      </c>
      <c r="H1963" s="190" t="n">
        <v>822.838000386942</v>
      </c>
      <c r="I1963" s="191" t="n">
        <v>4315888.86602708</v>
      </c>
      <c r="J1963" s="192" t="str">
        <f>IF(I1963&gt;0,H1963/I1963,0)</f>
      </c>
      <c r="K1963" s="193" t="str">
        <f>1-EXP(-J1963)</f>
      </c>
      <c r="L1963" s="194" t="str">
        <f>IF(G1963=30,1,M1962)</f>
      </c>
      <c r="M1963" s="195" t="str">
        <f>L1963*(1-K1963)</f>
      </c>
    </row>
    <row r="1964">
      <c r="A1964" t="s">
        <v>167</v>
      </c>
      <c r="B1964" t="s">
        <v>219</v>
      </c>
      <c r="C1964" s="35" t="s">
        <v>221</v>
      </c>
      <c r="D1964" t="s">
        <v>502</v>
      </c>
      <c r="E1964" t="s">
        <v>520</v>
      </c>
      <c r="F1964" s="188" t="n">
        <v>2048</v>
      </c>
      <c r="G1964" s="189" t="n">
        <v>32</v>
      </c>
      <c r="H1964" s="190" t="n">
        <v>955.383796629646</v>
      </c>
      <c r="I1964" s="191" t="n">
        <v>4578421.34853176</v>
      </c>
      <c r="J1964" s="192" t="str">
        <f>IF(I1964&gt;0,H1964/I1964,0)</f>
      </c>
      <c r="K1964" s="193" t="str">
        <f>1-EXP(-J1964)</f>
      </c>
      <c r="L1964" s="194" t="str">
        <f>IF(G1964=30,1,M1963)</f>
      </c>
      <c r="M1964" s="195" t="str">
        <f>L1964*(1-K1964)</f>
      </c>
    </row>
    <row r="1965">
      <c r="A1965" t="s">
        <v>167</v>
      </c>
      <c r="B1965" t="s">
        <v>219</v>
      </c>
      <c r="C1965" s="35" t="s">
        <v>221</v>
      </c>
      <c r="D1965" t="s">
        <v>502</v>
      </c>
      <c r="E1965" t="s">
        <v>520</v>
      </c>
      <c r="F1965" s="188" t="n">
        <v>2048</v>
      </c>
      <c r="G1965" s="189" t="n">
        <v>33</v>
      </c>
      <c r="H1965" s="190" t="n">
        <v>1056.95608554325</v>
      </c>
      <c r="I1965" s="191" t="n">
        <v>4626951.51091336</v>
      </c>
      <c r="J1965" s="192" t="str">
        <f>IF(I1965&gt;0,H1965/I1965,0)</f>
      </c>
      <c r="K1965" s="193" t="str">
        <f>1-EXP(-J1965)</f>
      </c>
      <c r="L1965" s="194" t="str">
        <f>IF(G1965=30,1,M1964)</f>
      </c>
      <c r="M1965" s="195" t="str">
        <f>L1965*(1-K1965)</f>
      </c>
    </row>
    <row r="1966">
      <c r="A1966" t="s">
        <v>167</v>
      </c>
      <c r="B1966" t="s">
        <v>219</v>
      </c>
      <c r="C1966" s="35" t="s">
        <v>221</v>
      </c>
      <c r="D1966" t="s">
        <v>502</v>
      </c>
      <c r="E1966" t="s">
        <v>520</v>
      </c>
      <c r="F1966" s="188" t="n">
        <v>2048</v>
      </c>
      <c r="G1966" s="189" t="n">
        <v>34</v>
      </c>
      <c r="H1966" s="190" t="n">
        <v>1142.25180005051</v>
      </c>
      <c r="I1966" s="191" t="n">
        <v>4692897.72737018</v>
      </c>
      <c r="J1966" s="192" t="str">
        <f>IF(I1966&gt;0,H1966/I1966,0)</f>
      </c>
      <c r="K1966" s="193" t="str">
        <f>1-EXP(-J1966)</f>
      </c>
      <c r="L1966" s="194" t="str">
        <f>IF(G1966=30,1,M1965)</f>
      </c>
      <c r="M1966" s="195" t="str">
        <f>L1966*(1-K1966)</f>
      </c>
    </row>
    <row r="1967">
      <c r="A1967" t="s">
        <v>167</v>
      </c>
      <c r="B1967" t="s">
        <v>219</v>
      </c>
      <c r="C1967" s="35" t="s">
        <v>221</v>
      </c>
      <c r="D1967" t="s">
        <v>502</v>
      </c>
      <c r="E1967" t="s">
        <v>520</v>
      </c>
      <c r="F1967" s="188" t="n">
        <v>2048</v>
      </c>
      <c r="G1967" s="189" t="n">
        <v>35</v>
      </c>
      <c r="H1967" s="190" t="n">
        <v>1501.3389859256</v>
      </c>
      <c r="I1967" s="191" t="n">
        <v>4760105.89878378</v>
      </c>
      <c r="J1967" s="192" t="str">
        <f>IF(I1967&gt;0,H1967/I1967,0)</f>
      </c>
      <c r="K1967" s="193" t="str">
        <f>1-EXP(-J1967)</f>
      </c>
      <c r="L1967" s="194" t="str">
        <f>IF(G1967=30,1,M1966)</f>
      </c>
      <c r="M1967" s="195" t="str">
        <f>L1967*(1-K1967)</f>
      </c>
    </row>
    <row r="1968">
      <c r="A1968" t="s">
        <v>167</v>
      </c>
      <c r="B1968" t="s">
        <v>219</v>
      </c>
      <c r="C1968" s="35" t="s">
        <v>221</v>
      </c>
      <c r="D1968" t="s">
        <v>502</v>
      </c>
      <c r="E1968" t="s">
        <v>520</v>
      </c>
      <c r="F1968" s="188" t="n">
        <v>2048</v>
      </c>
      <c r="G1968" s="189" t="n">
        <v>36</v>
      </c>
      <c r="H1968" s="190" t="n">
        <v>1871.64264702487</v>
      </c>
      <c r="I1968" s="191" t="n">
        <v>4870896.46024032</v>
      </c>
      <c r="J1968" s="192" t="str">
        <f>IF(I1968&gt;0,H1968/I1968,0)</f>
      </c>
      <c r="K1968" s="193" t="str">
        <f>1-EXP(-J1968)</f>
      </c>
      <c r="L1968" s="194" t="str">
        <f>IF(G1968=30,1,M1967)</f>
      </c>
      <c r="M1968" s="195" t="str">
        <f>L1968*(1-K1968)</f>
      </c>
    </row>
    <row r="1969">
      <c r="A1969" t="s">
        <v>167</v>
      </c>
      <c r="B1969" t="s">
        <v>219</v>
      </c>
      <c r="C1969" s="35" t="s">
        <v>221</v>
      </c>
      <c r="D1969" t="s">
        <v>502</v>
      </c>
      <c r="E1969" t="s">
        <v>520</v>
      </c>
      <c r="F1969" s="188" t="n">
        <v>2048</v>
      </c>
      <c r="G1969" s="189" t="n">
        <v>37</v>
      </c>
      <c r="H1969" s="190" t="n">
        <v>1999.45901732569</v>
      </c>
      <c r="I1969" s="191" t="n">
        <v>4841434.3737237</v>
      </c>
      <c r="J1969" s="192" t="str">
        <f>IF(I1969&gt;0,H1969/I1969,0)</f>
      </c>
      <c r="K1969" s="193" t="str">
        <f>1-EXP(-J1969)</f>
      </c>
      <c r="L1969" s="194" t="str">
        <f>IF(G1969=30,1,M1968)</f>
      </c>
      <c r="M1969" s="195" t="str">
        <f>L1969*(1-K1969)</f>
      </c>
    </row>
    <row r="1970">
      <c r="A1970" t="s">
        <v>167</v>
      </c>
      <c r="B1970" t="s">
        <v>219</v>
      </c>
      <c r="C1970" s="35" t="s">
        <v>221</v>
      </c>
      <c r="D1970" t="s">
        <v>502</v>
      </c>
      <c r="E1970" t="s">
        <v>520</v>
      </c>
      <c r="F1970" s="188" t="n">
        <v>2048</v>
      </c>
      <c r="G1970" s="189" t="n">
        <v>38</v>
      </c>
      <c r="H1970" s="190" t="n">
        <v>2096.82144793212</v>
      </c>
      <c r="I1970" s="191" t="n">
        <v>4706678.88922493</v>
      </c>
      <c r="J1970" s="192" t="str">
        <f>IF(I1970&gt;0,H1970/I1970,0)</f>
      </c>
      <c r="K1970" s="193" t="str">
        <f>1-EXP(-J1970)</f>
      </c>
      <c r="L1970" s="194" t="str">
        <f>IF(G1970=30,1,M1969)</f>
      </c>
      <c r="M1970" s="195" t="str">
        <f>L1970*(1-K1970)</f>
      </c>
    </row>
    <row r="1971">
      <c r="A1971" t="s">
        <v>167</v>
      </c>
      <c r="B1971" t="s">
        <v>219</v>
      </c>
      <c r="C1971" s="35" t="s">
        <v>221</v>
      </c>
      <c r="D1971" t="s">
        <v>502</v>
      </c>
      <c r="E1971" t="s">
        <v>520</v>
      </c>
      <c r="F1971" s="188" t="n">
        <v>2048</v>
      </c>
      <c r="G1971" s="189" t="n">
        <v>39</v>
      </c>
      <c r="H1971" s="190" t="n">
        <v>2233.78539216663</v>
      </c>
      <c r="I1971" s="191" t="n">
        <v>4634089.73139124</v>
      </c>
      <c r="J1971" s="192" t="str">
        <f>IF(I1971&gt;0,H1971/I1971,0)</f>
      </c>
      <c r="K1971" s="193" t="str">
        <f>1-EXP(-J1971)</f>
      </c>
      <c r="L1971" s="194" t="str">
        <f>IF(G1971=30,1,M1970)</f>
      </c>
      <c r="M1971" s="195" t="str">
        <f>L1971*(1-K1971)</f>
      </c>
    </row>
    <row r="1972">
      <c r="A1972" t="s">
        <v>167</v>
      </c>
      <c r="B1972" t="s">
        <v>219</v>
      </c>
      <c r="C1972" s="35" t="s">
        <v>221</v>
      </c>
      <c r="D1972" t="s">
        <v>502</v>
      </c>
      <c r="E1972" t="s">
        <v>520</v>
      </c>
      <c r="F1972" s="188" t="n">
        <v>2048</v>
      </c>
      <c r="G1972" s="189" t="n">
        <v>40</v>
      </c>
      <c r="H1972" s="190" t="n">
        <v>2971.61753300495</v>
      </c>
      <c r="I1972" s="191" t="n">
        <v>4588932.93785164</v>
      </c>
      <c r="J1972" s="192" t="str">
        <f>IF(I1972&gt;0,H1972/I1972,0)</f>
      </c>
      <c r="K1972" s="193" t="str">
        <f>1-EXP(-J1972)</f>
      </c>
      <c r="L1972" s="194" t="str">
        <f>IF(G1972=30,1,M1971)</f>
      </c>
      <c r="M1972" s="195" t="str">
        <f>L1972*(1-K1972)</f>
      </c>
    </row>
    <row r="1973">
      <c r="A1973" t="s">
        <v>167</v>
      </c>
      <c r="B1973" t="s">
        <v>219</v>
      </c>
      <c r="C1973" s="35" t="s">
        <v>221</v>
      </c>
      <c r="D1973" t="s">
        <v>502</v>
      </c>
      <c r="E1973" t="s">
        <v>520</v>
      </c>
      <c r="F1973" s="188" t="n">
        <v>2048</v>
      </c>
      <c r="G1973" s="189" t="n">
        <v>41</v>
      </c>
      <c r="H1973" s="190" t="n">
        <v>3428.60800113219</v>
      </c>
      <c r="I1973" s="191" t="n">
        <v>4609995.64729998</v>
      </c>
      <c r="J1973" s="192" t="str">
        <f>IF(I1973&gt;0,H1973/I1973,0)</f>
      </c>
      <c r="K1973" s="193" t="str">
        <f>1-EXP(-J1973)</f>
      </c>
      <c r="L1973" s="194" t="str">
        <f>IF(G1973=30,1,M1972)</f>
      </c>
      <c r="M1973" s="195" t="str">
        <f>L1973*(1-K1973)</f>
      </c>
    </row>
    <row r="1974">
      <c r="A1974" t="s">
        <v>167</v>
      </c>
      <c r="B1974" t="s">
        <v>219</v>
      </c>
      <c r="C1974" s="35" t="s">
        <v>221</v>
      </c>
      <c r="D1974" t="s">
        <v>502</v>
      </c>
      <c r="E1974" t="s">
        <v>520</v>
      </c>
      <c r="F1974" s="188" t="n">
        <v>2048</v>
      </c>
      <c r="G1974" s="189" t="n">
        <v>42</v>
      </c>
      <c r="H1974" s="190" t="n">
        <v>3651.45393559263</v>
      </c>
      <c r="I1974" s="191" t="n">
        <v>4523838.53931508</v>
      </c>
      <c r="J1974" s="192" t="str">
        <f>IF(I1974&gt;0,H1974/I1974,0)</f>
      </c>
      <c r="K1974" s="193" t="str">
        <f>1-EXP(-J1974)</f>
      </c>
      <c r="L1974" s="194" t="str">
        <f>IF(G1974=30,1,M1973)</f>
      </c>
      <c r="M1974" s="195" t="str">
        <f>L1974*(1-K1974)</f>
      </c>
    </row>
    <row r="1975">
      <c r="A1975" t="s">
        <v>167</v>
      </c>
      <c r="B1975" t="s">
        <v>219</v>
      </c>
      <c r="C1975" s="35" t="s">
        <v>221</v>
      </c>
      <c r="D1975" t="s">
        <v>502</v>
      </c>
      <c r="E1975" t="s">
        <v>520</v>
      </c>
      <c r="F1975" s="188" t="n">
        <v>2048</v>
      </c>
      <c r="G1975" s="189" t="n">
        <v>43</v>
      </c>
      <c r="H1975" s="190" t="n">
        <v>3914.26096459973</v>
      </c>
      <c r="I1975" s="191" t="n">
        <v>4458793.11823854</v>
      </c>
      <c r="J1975" s="192" t="str">
        <f>IF(I1975&gt;0,H1975/I1975,0)</f>
      </c>
      <c r="K1975" s="193" t="str">
        <f>1-EXP(-J1975)</f>
      </c>
      <c r="L1975" s="194" t="str">
        <f>IF(G1975=30,1,M1974)</f>
      </c>
      <c r="M1975" s="195" t="str">
        <f>L1975*(1-K1975)</f>
      </c>
    </row>
    <row r="1976">
      <c r="A1976" t="s">
        <v>167</v>
      </c>
      <c r="B1976" t="s">
        <v>219</v>
      </c>
      <c r="C1976" s="35" t="s">
        <v>221</v>
      </c>
      <c r="D1976" t="s">
        <v>502</v>
      </c>
      <c r="E1976" t="s">
        <v>520</v>
      </c>
      <c r="F1976" s="188" t="n">
        <v>2048</v>
      </c>
      <c r="G1976" s="189" t="n">
        <v>44</v>
      </c>
      <c r="H1976" s="190" t="n">
        <v>4141.94335629601</v>
      </c>
      <c r="I1976" s="191" t="n">
        <v>4326792.45001837</v>
      </c>
      <c r="J1976" s="192" t="str">
        <f>IF(I1976&gt;0,H1976/I1976,0)</f>
      </c>
      <c r="K1976" s="193" t="str">
        <f>1-EXP(-J1976)</f>
      </c>
      <c r="L1976" s="194" t="str">
        <f>IF(G1976=30,1,M1975)</f>
      </c>
      <c r="M1976" s="195" t="str">
        <f>L1976*(1-K1976)</f>
      </c>
    </row>
    <row r="1977">
      <c r="A1977" t="s">
        <v>167</v>
      </c>
      <c r="B1977" t="s">
        <v>219</v>
      </c>
      <c r="C1977" s="35" t="s">
        <v>221</v>
      </c>
      <c r="D1977" t="s">
        <v>502</v>
      </c>
      <c r="E1977" t="s">
        <v>520</v>
      </c>
      <c r="F1977" s="188" t="n">
        <v>2048</v>
      </c>
      <c r="G1977" s="189" t="n">
        <v>45</v>
      </c>
      <c r="H1977" s="190" t="n">
        <v>5234.37715702839</v>
      </c>
      <c r="I1977" s="191" t="n">
        <v>4256140.64685728</v>
      </c>
      <c r="J1977" s="192" t="str">
        <f>IF(I1977&gt;0,H1977/I1977,0)</f>
      </c>
      <c r="K1977" s="193" t="str">
        <f>1-EXP(-J1977)</f>
      </c>
      <c r="L1977" s="194" t="str">
        <f>IF(G1977=30,1,M1976)</f>
      </c>
      <c r="M1977" s="195" t="str">
        <f>L1977*(1-K1977)</f>
      </c>
    </row>
    <row r="1978">
      <c r="A1978" t="s">
        <v>167</v>
      </c>
      <c r="B1978" t="s">
        <v>219</v>
      </c>
      <c r="C1978" s="35" t="s">
        <v>221</v>
      </c>
      <c r="D1978" t="s">
        <v>502</v>
      </c>
      <c r="E1978" t="s">
        <v>520</v>
      </c>
      <c r="F1978" s="188" t="n">
        <v>2048</v>
      </c>
      <c r="G1978" s="189" t="n">
        <v>46</v>
      </c>
      <c r="H1978" s="190" t="n">
        <v>5936.3485800324</v>
      </c>
      <c r="I1978" s="191" t="n">
        <v>4224658.43674585</v>
      </c>
      <c r="J1978" s="192" t="str">
        <f>IF(I1978&gt;0,H1978/I1978,0)</f>
      </c>
      <c r="K1978" s="193" t="str">
        <f>1-EXP(-J1978)</f>
      </c>
      <c r="L1978" s="194" t="str">
        <f>IF(G1978=30,1,M1977)</f>
      </c>
      <c r="M1978" s="195" t="str">
        <f>L1978*(1-K1978)</f>
      </c>
    </row>
    <row r="1979">
      <c r="A1979" t="s">
        <v>167</v>
      </c>
      <c r="B1979" t="s">
        <v>219</v>
      </c>
      <c r="C1979" s="35" t="s">
        <v>221</v>
      </c>
      <c r="D1979" t="s">
        <v>502</v>
      </c>
      <c r="E1979" t="s">
        <v>520</v>
      </c>
      <c r="F1979" s="188" t="n">
        <v>2048</v>
      </c>
      <c r="G1979" s="189" t="n">
        <v>47</v>
      </c>
      <c r="H1979" s="190" t="n">
        <v>6462.97583212281</v>
      </c>
      <c r="I1979" s="191" t="n">
        <v>4196461.81468931</v>
      </c>
      <c r="J1979" s="192" t="str">
        <f>IF(I1979&gt;0,H1979/I1979,0)</f>
      </c>
      <c r="K1979" s="193" t="str">
        <f>1-EXP(-J1979)</f>
      </c>
      <c r="L1979" s="194" t="str">
        <f>IF(G1979=30,1,M1978)</f>
      </c>
      <c r="M1979" s="195" t="str">
        <f>L1979*(1-K1979)</f>
      </c>
    </row>
    <row r="1980">
      <c r="A1980" t="s">
        <v>167</v>
      </c>
      <c r="B1980" t="s">
        <v>219</v>
      </c>
      <c r="C1980" s="35" t="s">
        <v>221</v>
      </c>
      <c r="D1980" t="s">
        <v>502</v>
      </c>
      <c r="E1980" t="s">
        <v>520</v>
      </c>
      <c r="F1980" s="188" t="n">
        <v>2048</v>
      </c>
      <c r="G1980" s="189" t="n">
        <v>48</v>
      </c>
      <c r="H1980" s="190" t="n">
        <v>7048.18387457078</v>
      </c>
      <c r="I1980" s="191" t="n">
        <v>4166999.56545181</v>
      </c>
      <c r="J1980" s="192" t="str">
        <f>IF(I1980&gt;0,H1980/I1980,0)</f>
      </c>
      <c r="K1980" s="193" t="str">
        <f>1-EXP(-J1980)</f>
      </c>
      <c r="L1980" s="194" t="str">
        <f>IF(G1980=30,1,M1979)</f>
      </c>
      <c r="M1980" s="195" t="str">
        <f>L1980*(1-K1980)</f>
      </c>
    </row>
    <row r="1981">
      <c r="A1981" t="s">
        <v>167</v>
      </c>
      <c r="B1981" t="s">
        <v>219</v>
      </c>
      <c r="C1981" s="35" t="s">
        <v>221</v>
      </c>
      <c r="D1981" t="s">
        <v>502</v>
      </c>
      <c r="E1981" t="s">
        <v>520</v>
      </c>
      <c r="F1981" s="188" t="n">
        <v>2048</v>
      </c>
      <c r="G1981" s="189" t="n">
        <v>49</v>
      </c>
      <c r="H1981" s="190" t="n">
        <v>7763.36325688908</v>
      </c>
      <c r="I1981" s="191" t="n">
        <v>4174733.42283982</v>
      </c>
      <c r="J1981" s="192" t="str">
        <f>IF(I1981&gt;0,H1981/I1981,0)</f>
      </c>
      <c r="K1981" s="193" t="str">
        <f>1-EXP(-J1981)</f>
      </c>
      <c r="L1981" s="194" t="str">
        <f>IF(G1981=30,1,M1980)</f>
      </c>
      <c r="M1981" s="195" t="str">
        <f>L1981*(1-K1981)</f>
      </c>
    </row>
    <row r="1982">
      <c r="A1982" t="s">
        <v>167</v>
      </c>
      <c r="B1982" t="s">
        <v>219</v>
      </c>
      <c r="C1982" s="35" t="s">
        <v>221</v>
      </c>
      <c r="D1982" t="s">
        <v>502</v>
      </c>
      <c r="E1982" t="s">
        <v>520</v>
      </c>
      <c r="F1982" s="188" t="n">
        <v>2048</v>
      </c>
      <c r="G1982" s="189" t="n">
        <v>50</v>
      </c>
      <c r="H1982" s="190" t="n">
        <v>8959.21807190003</v>
      </c>
      <c r="I1982" s="191" t="n">
        <v>4218661.67079109</v>
      </c>
      <c r="J1982" s="192" t="str">
        <f>IF(I1982&gt;0,H1982/I1982,0)</f>
      </c>
      <c r="K1982" s="193" t="str">
        <f>1-EXP(-J1982)</f>
      </c>
      <c r="L1982" s="194" t="str">
        <f>IF(G1982=30,1,M1981)</f>
      </c>
      <c r="M1982" s="195" t="str">
        <f>L1982*(1-K1982)</f>
      </c>
    </row>
    <row r="1983">
      <c r="A1983" t="s">
        <v>167</v>
      </c>
      <c r="B1983" t="s">
        <v>219</v>
      </c>
      <c r="C1983" s="35" t="s">
        <v>221</v>
      </c>
      <c r="D1983" t="s">
        <v>502</v>
      </c>
      <c r="E1983" t="s">
        <v>520</v>
      </c>
      <c r="F1983" s="188" t="n">
        <v>2048</v>
      </c>
      <c r="G1983" s="189" t="n">
        <v>51</v>
      </c>
      <c r="H1983" s="190" t="n">
        <v>10286.0447903174</v>
      </c>
      <c r="I1983" s="191" t="n">
        <v>4332635.44522825</v>
      </c>
      <c r="J1983" s="192" t="str">
        <f>IF(I1983&gt;0,H1983/I1983,0)</f>
      </c>
      <c r="K1983" s="193" t="str">
        <f>1-EXP(-J1983)</f>
      </c>
      <c r="L1983" s="194" t="str">
        <f>IF(G1983=30,1,M1982)</f>
      </c>
      <c r="M1983" s="195" t="str">
        <f>L1983*(1-K1983)</f>
      </c>
    </row>
    <row r="1984">
      <c r="A1984" t="s">
        <v>167</v>
      </c>
      <c r="B1984" t="s">
        <v>219</v>
      </c>
      <c r="C1984" s="35" t="s">
        <v>221</v>
      </c>
      <c r="D1984" t="s">
        <v>502</v>
      </c>
      <c r="E1984" t="s">
        <v>520</v>
      </c>
      <c r="F1984" s="188" t="n">
        <v>2048</v>
      </c>
      <c r="G1984" s="189" t="n">
        <v>52</v>
      </c>
      <c r="H1984" s="190" t="n">
        <v>11099.2627706877</v>
      </c>
      <c r="I1984" s="191" t="n">
        <v>4274149.58635574</v>
      </c>
      <c r="J1984" s="192" t="str">
        <f>IF(I1984&gt;0,H1984/I1984,0)</f>
      </c>
      <c r="K1984" s="193" t="str">
        <f>1-EXP(-J1984)</f>
      </c>
      <c r="L1984" s="194" t="str">
        <f>IF(G1984=30,1,M1983)</f>
      </c>
      <c r="M1984" s="195" t="str">
        <f>L1984*(1-K1984)</f>
      </c>
    </row>
    <row r="1985">
      <c r="A1985" t="s">
        <v>167</v>
      </c>
      <c r="B1985" t="s">
        <v>219</v>
      </c>
      <c r="C1985" s="35" t="s">
        <v>221</v>
      </c>
      <c r="D1985" t="s">
        <v>502</v>
      </c>
      <c r="E1985" t="s">
        <v>520</v>
      </c>
      <c r="F1985" s="188" t="n">
        <v>2048</v>
      </c>
      <c r="G1985" s="189" t="n">
        <v>53</v>
      </c>
      <c r="H1985" s="190" t="n">
        <v>11862.3834671151</v>
      </c>
      <c r="I1985" s="191" t="n">
        <v>4185651.19303932</v>
      </c>
      <c r="J1985" s="192" t="str">
        <f>IF(I1985&gt;0,H1985/I1985,0)</f>
      </c>
      <c r="K1985" s="193" t="str">
        <f>1-EXP(-J1985)</f>
      </c>
      <c r="L1985" s="194" t="str">
        <f>IF(G1985=30,1,M1984)</f>
      </c>
      <c r="M1985" s="195" t="str">
        <f>L1985*(1-K1985)</f>
      </c>
    </row>
    <row r="1986">
      <c r="A1986" t="s">
        <v>167</v>
      </c>
      <c r="B1986" t="s">
        <v>219</v>
      </c>
      <c r="C1986" s="35" t="s">
        <v>221</v>
      </c>
      <c r="D1986" t="s">
        <v>502</v>
      </c>
      <c r="E1986" t="s">
        <v>520</v>
      </c>
      <c r="F1986" s="188" t="n">
        <v>2048</v>
      </c>
      <c r="G1986" s="189" t="n">
        <v>54</v>
      </c>
      <c r="H1986" s="190" t="n">
        <v>12691.0070453982</v>
      </c>
      <c r="I1986" s="191" t="n">
        <v>4110723.08826755</v>
      </c>
      <c r="J1986" s="192" t="str">
        <f>IF(I1986&gt;0,H1986/I1986,0)</f>
      </c>
      <c r="K1986" s="193" t="str">
        <f>1-EXP(-J1986)</f>
      </c>
      <c r="L1986" s="194" t="str">
        <f>IF(G1986=30,1,M1985)</f>
      </c>
      <c r="M1986" s="195" t="str">
        <f>L1986*(1-K1986)</f>
      </c>
    </row>
    <row r="1987">
      <c r="A1987" t="s">
        <v>167</v>
      </c>
      <c r="B1987" t="s">
        <v>219</v>
      </c>
      <c r="C1987" s="35" t="s">
        <v>221</v>
      </c>
      <c r="D1987" t="s">
        <v>502</v>
      </c>
      <c r="E1987" t="s">
        <v>520</v>
      </c>
      <c r="F1987" s="188" t="n">
        <v>2048</v>
      </c>
      <c r="G1987" s="189" t="n">
        <v>55</v>
      </c>
      <c r="H1987" s="190" t="n">
        <v>13304.7255855115</v>
      </c>
      <c r="I1987" s="191" t="n">
        <v>4037776.51445401</v>
      </c>
      <c r="J1987" s="192" t="str">
        <f>IF(I1987&gt;0,H1987/I1987,0)</f>
      </c>
      <c r="K1987" s="193" t="str">
        <f>1-EXP(-J1987)</f>
      </c>
      <c r="L1987" s="194" t="str">
        <f>IF(G1987=30,1,M1986)</f>
      </c>
      <c r="M1987" s="195" t="str">
        <f>L1987*(1-K1987)</f>
      </c>
    </row>
    <row r="1988">
      <c r="A1988" t="s">
        <v>167</v>
      </c>
      <c r="B1988" t="s">
        <v>219</v>
      </c>
      <c r="C1988" s="35" t="s">
        <v>221</v>
      </c>
      <c r="D1988" t="s">
        <v>502</v>
      </c>
      <c r="E1988" t="s">
        <v>520</v>
      </c>
      <c r="F1988" s="188" t="n">
        <v>2048</v>
      </c>
      <c r="G1988" s="189" t="n">
        <v>56</v>
      </c>
      <c r="H1988" s="190" t="n">
        <v>14459.6293114509</v>
      </c>
      <c r="I1988" s="191" t="n">
        <v>4048519.6387664</v>
      </c>
      <c r="J1988" s="192" t="str">
        <f>IF(I1988&gt;0,H1988/I1988,0)</f>
      </c>
      <c r="K1988" s="193" t="str">
        <f>1-EXP(-J1988)</f>
      </c>
      <c r="L1988" s="194" t="str">
        <f>IF(G1988=30,1,M1987)</f>
      </c>
      <c r="M1988" s="195" t="str">
        <f>L1988*(1-K1988)</f>
      </c>
    </row>
    <row r="1989">
      <c r="A1989" t="s">
        <v>167</v>
      </c>
      <c r="B1989" t="s">
        <v>219</v>
      </c>
      <c r="C1989" s="35" t="s">
        <v>221</v>
      </c>
      <c r="D1989" t="s">
        <v>502</v>
      </c>
      <c r="E1989" t="s">
        <v>520</v>
      </c>
      <c r="F1989" s="188" t="n">
        <v>2048</v>
      </c>
      <c r="G1989" s="189" t="n">
        <v>57</v>
      </c>
      <c r="H1989" s="190" t="n">
        <v>15727.2993662952</v>
      </c>
      <c r="I1989" s="191" t="n">
        <v>4038252.80827362</v>
      </c>
      <c r="J1989" s="192" t="str">
        <f>IF(I1989&gt;0,H1989/I1989,0)</f>
      </c>
      <c r="K1989" s="193" t="str">
        <f>1-EXP(-J1989)</f>
      </c>
      <c r="L1989" s="194" t="str">
        <f>IF(G1989=30,1,M1988)</f>
      </c>
      <c r="M1989" s="195" t="str">
        <f>L1989*(1-K1989)</f>
      </c>
    </row>
    <row r="1990">
      <c r="A1990" t="s">
        <v>167</v>
      </c>
      <c r="B1990" t="s">
        <v>219</v>
      </c>
      <c r="C1990" s="35" t="s">
        <v>221</v>
      </c>
      <c r="D1990" t="s">
        <v>502</v>
      </c>
      <c r="E1990" t="s">
        <v>520</v>
      </c>
      <c r="F1990" s="188" t="n">
        <v>2048</v>
      </c>
      <c r="G1990" s="189" t="n">
        <v>58</v>
      </c>
      <c r="H1990" s="190" t="n">
        <v>22878.6478475821</v>
      </c>
      <c r="I1990" s="191" t="n">
        <v>5937453.01898908</v>
      </c>
      <c r="J1990" s="192" t="str">
        <f>IF(I1990&gt;0,H1990/I1990,0)</f>
      </c>
      <c r="K1990" s="193" t="str">
        <f>1-EXP(-J1990)</f>
      </c>
      <c r="L1990" s="194" t="str">
        <f>IF(G1990=30,1,M1989)</f>
      </c>
      <c r="M1990" s="195" t="str">
        <f>L1990*(1-K1990)</f>
      </c>
    </row>
    <row r="1991">
      <c r="A1991" t="s">
        <v>167</v>
      </c>
      <c r="B1991" t="s">
        <v>219</v>
      </c>
      <c r="C1991" s="35" t="s">
        <v>221</v>
      </c>
      <c r="D1991" t="s">
        <v>502</v>
      </c>
      <c r="E1991" t="s">
        <v>520</v>
      </c>
      <c r="F1991" s="188" t="n">
        <v>2048</v>
      </c>
      <c r="G1991" s="189" t="n">
        <v>59</v>
      </c>
      <c r="H1991" s="190" t="n">
        <v>18353.0124421187</v>
      </c>
      <c r="I1991" s="191" t="n">
        <v>3939230.9719212</v>
      </c>
      <c r="J1991" s="192" t="str">
        <f>IF(I1991&gt;0,H1991/I1991,0)</f>
      </c>
      <c r="K1991" s="193" t="str">
        <f>1-EXP(-J1991)</f>
      </c>
      <c r="L1991" s="194" t="str">
        <f>IF(G1991=30,1,M1990)</f>
      </c>
      <c r="M1991" s="195" t="str">
        <f>L1991*(1-K1991)</f>
      </c>
    </row>
    <row r="1992">
      <c r="A1992" t="s">
        <v>167</v>
      </c>
      <c r="B1992" t="s">
        <v>219</v>
      </c>
      <c r="C1992" s="35" t="s">
        <v>221</v>
      </c>
      <c r="D1992" t="s">
        <v>502</v>
      </c>
      <c r="E1992" t="s">
        <v>520</v>
      </c>
      <c r="F1992" s="188" t="n">
        <v>2048</v>
      </c>
      <c r="G1992" s="189" t="n">
        <v>60</v>
      </c>
      <c r="H1992" s="190" t="n">
        <v>19529.094015479</v>
      </c>
      <c r="I1992" s="191" t="n">
        <v>3889575.74490421</v>
      </c>
      <c r="J1992" s="192" t="str">
        <f>IF(I1992&gt;0,H1992/I1992,0)</f>
      </c>
      <c r="K1992" s="193" t="str">
        <f>1-EXP(-J1992)</f>
      </c>
      <c r="L1992" s="194" t="str">
        <f>IF(G1992=30,1,M1991)</f>
      </c>
      <c r="M1992" s="195" t="str">
        <f>L1992*(1-K1992)</f>
      </c>
    </row>
    <row r="1993">
      <c r="A1993" t="s">
        <v>167</v>
      </c>
      <c r="B1993" t="s">
        <v>219</v>
      </c>
      <c r="C1993" s="35" t="s">
        <v>221</v>
      </c>
      <c r="D1993" t="s">
        <v>502</v>
      </c>
      <c r="E1993" t="s">
        <v>520</v>
      </c>
      <c r="F1993" s="188" t="n">
        <v>2048</v>
      </c>
      <c r="G1993" s="189" t="n">
        <v>61</v>
      </c>
      <c r="H1993" s="190" t="n">
        <v>20605.3047829129</v>
      </c>
      <c r="I1993" s="191" t="n">
        <v>3733844.85686773</v>
      </c>
      <c r="J1993" s="192" t="str">
        <f>IF(I1993&gt;0,H1993/I1993,0)</f>
      </c>
      <c r="K1993" s="193" t="str">
        <f>1-EXP(-J1993)</f>
      </c>
      <c r="L1993" s="194" t="str">
        <f>IF(G1993=30,1,M1992)</f>
      </c>
      <c r="M1993" s="195" t="str">
        <f>L1993*(1-K1993)</f>
      </c>
    </row>
    <row r="1994">
      <c r="A1994" t="s">
        <v>167</v>
      </c>
      <c r="B1994" t="s">
        <v>219</v>
      </c>
      <c r="C1994" s="35" t="s">
        <v>221</v>
      </c>
      <c r="D1994" t="s">
        <v>502</v>
      </c>
      <c r="E1994" t="s">
        <v>520</v>
      </c>
      <c r="F1994" s="188" t="n">
        <v>2048</v>
      </c>
      <c r="G1994" s="189" t="n">
        <v>62</v>
      </c>
      <c r="H1994" s="190" t="n">
        <v>22207.9377973345</v>
      </c>
      <c r="I1994" s="191" t="n">
        <v>3663569.43872835</v>
      </c>
      <c r="J1994" s="192" t="str">
        <f>IF(I1994&gt;0,H1994/I1994,0)</f>
      </c>
      <c r="K1994" s="193" t="str">
        <f>1-EXP(-J1994)</f>
      </c>
      <c r="L1994" s="194" t="str">
        <f>IF(G1994=30,1,M1993)</f>
      </c>
      <c r="M1994" s="195" t="str">
        <f>L1994*(1-K1994)</f>
      </c>
    </row>
    <row r="1995">
      <c r="A1995" t="s">
        <v>167</v>
      </c>
      <c r="B1995" t="s">
        <v>219</v>
      </c>
      <c r="C1995" s="35" t="s">
        <v>221</v>
      </c>
      <c r="D1995" t="s">
        <v>502</v>
      </c>
      <c r="E1995" t="s">
        <v>520</v>
      </c>
      <c r="F1995" s="188" t="n">
        <v>2048</v>
      </c>
      <c r="G1995" s="189" t="n">
        <v>63</v>
      </c>
      <c r="H1995" s="190" t="n">
        <v>24454.2039939008</v>
      </c>
      <c r="I1995" s="191" t="n">
        <v>3671973.24719987</v>
      </c>
      <c r="J1995" s="192" t="str">
        <f>IF(I1995&gt;0,H1995/I1995,0)</f>
      </c>
      <c r="K1995" s="193" t="str">
        <f>1-EXP(-J1995)</f>
      </c>
      <c r="L1995" s="194" t="str">
        <f>IF(G1995=30,1,M1994)</f>
      </c>
      <c r="M1995" s="195" t="str">
        <f>L1995*(1-K1995)</f>
      </c>
    </row>
    <row r="1996">
      <c r="A1996" t="s">
        <v>167</v>
      </c>
      <c r="B1996" t="s">
        <v>219</v>
      </c>
      <c r="C1996" s="35" t="s">
        <v>221</v>
      </c>
      <c r="D1996" t="s">
        <v>502</v>
      </c>
      <c r="E1996" t="s">
        <v>520</v>
      </c>
      <c r="F1996" s="188" t="n">
        <v>2048</v>
      </c>
      <c r="G1996" s="189" t="n">
        <v>64</v>
      </c>
      <c r="H1996" s="190" t="n">
        <v>27037.1148350423</v>
      </c>
      <c r="I1996" s="191" t="n">
        <v>3696908.62588286</v>
      </c>
      <c r="J1996" s="192" t="str">
        <f>IF(I1996&gt;0,H1996/I1996,0)</f>
      </c>
      <c r="K1996" s="193" t="str">
        <f>1-EXP(-J1996)</f>
      </c>
      <c r="L1996" s="194" t="str">
        <f>IF(G1996=30,1,M1995)</f>
      </c>
      <c r="M1996" s="195" t="str">
        <f>L1996*(1-K1996)</f>
      </c>
    </row>
    <row r="1997">
      <c r="A1997" t="s">
        <v>167</v>
      </c>
      <c r="B1997" t="s">
        <v>219</v>
      </c>
      <c r="C1997" s="35" t="s">
        <v>221</v>
      </c>
      <c r="D1997" t="s">
        <v>502</v>
      </c>
      <c r="E1997" t="s">
        <v>520</v>
      </c>
      <c r="F1997" s="188" t="n">
        <v>2048</v>
      </c>
      <c r="G1997" s="189" t="n">
        <v>65</v>
      </c>
      <c r="H1997" s="190" t="n">
        <v>27653.2963666125</v>
      </c>
      <c r="I1997" s="191" t="n">
        <v>3623408.20577843</v>
      </c>
      <c r="J1997" s="192" t="str">
        <f>IF(I1997&gt;0,H1997/I1997,0)</f>
      </c>
      <c r="K1997" s="193" t="str">
        <f>1-EXP(-J1997)</f>
      </c>
      <c r="L1997" s="194" t="str">
        <f>IF(G1997=30,1,M1996)</f>
      </c>
      <c r="M1997" s="195" t="str">
        <f>L1997*(1-K1997)</f>
      </c>
    </row>
    <row r="1998">
      <c r="A1998" t="s">
        <v>167</v>
      </c>
      <c r="B1998" t="s">
        <v>219</v>
      </c>
      <c r="C1998" s="35" t="s">
        <v>221</v>
      </c>
      <c r="D1998" t="s">
        <v>502</v>
      </c>
      <c r="E1998" t="s">
        <v>520</v>
      </c>
      <c r="F1998" s="188" t="n">
        <v>2048</v>
      </c>
      <c r="G1998" s="189" t="n">
        <v>66</v>
      </c>
      <c r="H1998" s="190" t="n">
        <v>28936.6451895076</v>
      </c>
      <c r="I1998" s="191" t="n">
        <v>3452612.88220832</v>
      </c>
      <c r="J1998" s="192" t="str">
        <f>IF(I1998&gt;0,H1998/I1998,0)</f>
      </c>
      <c r="K1998" s="193" t="str">
        <f>1-EXP(-J1998)</f>
      </c>
      <c r="L1998" s="194" t="str">
        <f>IF(G1998=30,1,M1997)</f>
      </c>
      <c r="M1998" s="195" t="str">
        <f>L1998*(1-K1998)</f>
      </c>
    </row>
    <row r="1999">
      <c r="A1999" t="s">
        <v>167</v>
      </c>
      <c r="B1999" t="s">
        <v>219</v>
      </c>
      <c r="C1999" s="35" t="s">
        <v>221</v>
      </c>
      <c r="D1999" t="s">
        <v>502</v>
      </c>
      <c r="E1999" t="s">
        <v>520</v>
      </c>
      <c r="F1999" s="188" t="n">
        <v>2048</v>
      </c>
      <c r="G1999" s="189" t="n">
        <v>67</v>
      </c>
      <c r="H1999" s="190" t="n">
        <v>30691.1562182299</v>
      </c>
      <c r="I1999" s="191" t="n">
        <v>3332083.37480381</v>
      </c>
      <c r="J1999" s="192" t="str">
        <f>IF(I1999&gt;0,H1999/I1999,0)</f>
      </c>
      <c r="K1999" s="193" t="str">
        <f>1-EXP(-J1999)</f>
      </c>
      <c r="L1999" s="194" t="str">
        <f>IF(G1999=30,1,M1998)</f>
      </c>
      <c r="M1999" s="195" t="str">
        <f>L1999*(1-K1999)</f>
      </c>
    </row>
    <row r="2000">
      <c r="A2000" t="s">
        <v>167</v>
      </c>
      <c r="B2000" t="s">
        <v>219</v>
      </c>
      <c r="C2000" s="35" t="s">
        <v>221</v>
      </c>
      <c r="D2000" t="s">
        <v>502</v>
      </c>
      <c r="E2000" t="s">
        <v>520</v>
      </c>
      <c r="F2000" s="188" t="n">
        <v>2048</v>
      </c>
      <c r="G2000" s="189" t="n">
        <v>68</v>
      </c>
      <c r="H2000" s="190" t="n">
        <v>32637.8912739809</v>
      </c>
      <c r="I2000" s="191" t="n">
        <v>3221844.02900088</v>
      </c>
      <c r="J2000" s="192" t="str">
        <f>IF(I2000&gt;0,H2000/I2000,0)</f>
      </c>
      <c r="K2000" s="193" t="str">
        <f>1-EXP(-J2000)</f>
      </c>
      <c r="L2000" s="194" t="str">
        <f>IF(G2000=30,1,M1999)</f>
      </c>
      <c r="M2000" s="195" t="str">
        <f>L2000*(1-K2000)</f>
      </c>
    </row>
    <row r="2001">
      <c r="A2001" t="s">
        <v>167</v>
      </c>
      <c r="B2001" t="s">
        <v>219</v>
      </c>
      <c r="C2001" s="35" t="s">
        <v>221</v>
      </c>
      <c r="D2001" t="s">
        <v>502</v>
      </c>
      <c r="E2001" t="s">
        <v>520</v>
      </c>
      <c r="F2001" s="188" t="n">
        <v>2048</v>
      </c>
      <c r="G2001" s="189" t="n">
        <v>69</v>
      </c>
      <c r="H2001" s="190" t="n">
        <v>34621.7727882841</v>
      </c>
      <c r="I2001" s="191" t="n">
        <v>3104303.74301862</v>
      </c>
      <c r="J2001" s="192" t="str">
        <f>IF(I2001&gt;0,H2001/I2001,0)</f>
      </c>
      <c r="K2001" s="193" t="str">
        <f>1-EXP(-J2001)</f>
      </c>
      <c r="L2001" s="194" t="str">
        <f>IF(G2001=30,1,M2000)</f>
      </c>
      <c r="M2001" s="195" t="str">
        <f>L2001*(1-K2001)</f>
      </c>
    </row>
    <row r="2002">
      <c r="A2002" t="s">
        <v>167</v>
      </c>
      <c r="B2002" t="s">
        <v>219</v>
      </c>
      <c r="C2002" s="35" t="s">
        <v>221</v>
      </c>
      <c r="D2002" t="s">
        <v>502</v>
      </c>
      <c r="E2002" t="s">
        <v>520</v>
      </c>
      <c r="F2002" s="188" t="n">
        <v>2049</v>
      </c>
      <c r="G2002" s="189" t="n">
        <v>30</v>
      </c>
      <c r="H2002" s="190" t="n">
        <v>592.105393509652</v>
      </c>
      <c r="I2002" s="191" t="n">
        <v>4266635.58463956</v>
      </c>
      <c r="J2002" s="192" t="str">
        <f>IF(I2002&gt;0,H2002/I2002,0)</f>
      </c>
      <c r="K2002" s="193" t="str">
        <f>1-EXP(-J2002)</f>
      </c>
      <c r="L2002" s="194" t="str">
        <f>IF(G2002=30,1,M2001)</f>
      </c>
      <c r="M2002" s="195" t="str">
        <f>L2002*(1-K2002)</f>
      </c>
    </row>
    <row r="2003">
      <c r="A2003" t="s">
        <v>167</v>
      </c>
      <c r="B2003" t="s">
        <v>219</v>
      </c>
      <c r="C2003" s="35" t="s">
        <v>221</v>
      </c>
      <c r="D2003" t="s">
        <v>502</v>
      </c>
      <c r="E2003" t="s">
        <v>520</v>
      </c>
      <c r="F2003" s="188" t="n">
        <v>2049</v>
      </c>
      <c r="G2003" s="189" t="n">
        <v>31</v>
      </c>
      <c r="H2003" s="190" t="n">
        <v>814.756839410621</v>
      </c>
      <c r="I2003" s="191" t="n">
        <v>4270761.06660947</v>
      </c>
      <c r="J2003" s="192" t="str">
        <f>IF(I2003&gt;0,H2003/I2003,0)</f>
      </c>
      <c r="K2003" s="193" t="str">
        <f>1-EXP(-J2003)</f>
      </c>
      <c r="L2003" s="194" t="str">
        <f>IF(G2003=30,1,M2002)</f>
      </c>
      <c r="M2003" s="195" t="str">
        <f>L2003*(1-K2003)</f>
      </c>
    </row>
    <row r="2004">
      <c r="A2004" t="s">
        <v>167</v>
      </c>
      <c r="B2004" t="s">
        <v>219</v>
      </c>
      <c r="C2004" s="35" t="s">
        <v>221</v>
      </c>
      <c r="D2004" t="s">
        <v>502</v>
      </c>
      <c r="E2004" t="s">
        <v>520</v>
      </c>
      <c r="F2004" s="188" t="n">
        <v>2049</v>
      </c>
      <c r="G2004" s="189" t="n">
        <v>32</v>
      </c>
      <c r="H2004" s="190" t="n">
        <v>868.306536479867</v>
      </c>
      <c r="I2004" s="191" t="n">
        <v>4311336.78918477</v>
      </c>
      <c r="J2004" s="192" t="str">
        <f>IF(I2004&gt;0,H2004/I2004,0)</f>
      </c>
      <c r="K2004" s="193" t="str">
        <f>1-EXP(-J2004)</f>
      </c>
      <c r="L2004" s="194" t="str">
        <f>IF(G2004=30,1,M2003)</f>
      </c>
      <c r="M2004" s="195" t="str">
        <f>L2004*(1-K2004)</f>
      </c>
    </row>
    <row r="2005">
      <c r="A2005" t="s">
        <v>167</v>
      </c>
      <c r="B2005" t="s">
        <v>219</v>
      </c>
      <c r="C2005" s="35" t="s">
        <v>221</v>
      </c>
      <c r="D2005" t="s">
        <v>502</v>
      </c>
      <c r="E2005" t="s">
        <v>520</v>
      </c>
      <c r="F2005" s="188" t="n">
        <v>2049</v>
      </c>
      <c r="G2005" s="189" t="n">
        <v>33</v>
      </c>
      <c r="H2005" s="190" t="n">
        <v>1012.304250999</v>
      </c>
      <c r="I2005" s="191" t="n">
        <v>4573356.77193505</v>
      </c>
      <c r="J2005" s="192" t="str">
        <f>IF(I2005&gt;0,H2005/I2005,0)</f>
      </c>
      <c r="K2005" s="193" t="str">
        <f>1-EXP(-J2005)</f>
      </c>
      <c r="L2005" s="194" t="str">
        <f>IF(G2005=30,1,M2004)</f>
      </c>
      <c r="M2005" s="195" t="str">
        <f>L2005*(1-K2005)</f>
      </c>
    </row>
    <row r="2006">
      <c r="A2006" t="s">
        <v>167</v>
      </c>
      <c r="B2006" t="s">
        <v>219</v>
      </c>
      <c r="C2006" s="35" t="s">
        <v>221</v>
      </c>
      <c r="D2006" t="s">
        <v>502</v>
      </c>
      <c r="E2006" t="s">
        <v>520</v>
      </c>
      <c r="F2006" s="188" t="n">
        <v>2049</v>
      </c>
      <c r="G2006" s="189" t="n">
        <v>34</v>
      </c>
      <c r="H2006" s="190" t="n">
        <v>1124.68537681938</v>
      </c>
      <c r="I2006" s="191" t="n">
        <v>4621565.51254299</v>
      </c>
      <c r="J2006" s="192" t="str">
        <f>IF(I2006&gt;0,H2006/I2006,0)</f>
      </c>
      <c r="K2006" s="193" t="str">
        <f>1-EXP(-J2006)</f>
      </c>
      <c r="L2006" s="194" t="str">
        <f>IF(G2006=30,1,M2005)</f>
      </c>
      <c r="M2006" s="195" t="str">
        <f>L2006*(1-K2006)</f>
      </c>
    </row>
    <row r="2007">
      <c r="A2007" t="s">
        <v>167</v>
      </c>
      <c r="B2007" t="s">
        <v>219</v>
      </c>
      <c r="C2007" s="35" t="s">
        <v>221</v>
      </c>
      <c r="D2007" t="s">
        <v>502</v>
      </c>
      <c r="E2007" t="s">
        <v>520</v>
      </c>
      <c r="F2007" s="188" t="n">
        <v>2049</v>
      </c>
      <c r="G2007" s="189" t="n">
        <v>35</v>
      </c>
      <c r="H2007" s="190" t="n">
        <v>1474.36937163747</v>
      </c>
      <c r="I2007" s="191" t="n">
        <v>4687154.18738728</v>
      </c>
      <c r="J2007" s="192" t="str">
        <f>IF(I2007&gt;0,H2007/I2007,0)</f>
      </c>
      <c r="K2007" s="193" t="str">
        <f>1-EXP(-J2007)</f>
      </c>
      <c r="L2007" s="194" t="str">
        <f>IF(G2007=30,1,M2006)</f>
      </c>
      <c r="M2007" s="195" t="str">
        <f>L2007*(1-K2007)</f>
      </c>
    </row>
    <row r="2008">
      <c r="A2008" t="s">
        <v>167</v>
      </c>
      <c r="B2008" t="s">
        <v>219</v>
      </c>
      <c r="C2008" s="35" t="s">
        <v>221</v>
      </c>
      <c r="D2008" t="s">
        <v>502</v>
      </c>
      <c r="E2008" t="s">
        <v>520</v>
      </c>
      <c r="F2008" s="188" t="n">
        <v>2049</v>
      </c>
      <c r="G2008" s="189" t="n">
        <v>36</v>
      </c>
      <c r="H2008" s="190" t="n">
        <v>1774.44814288231</v>
      </c>
      <c r="I2008" s="191" t="n">
        <v>4753652.09060212</v>
      </c>
      <c r="J2008" s="192" t="str">
        <f>IF(I2008&gt;0,H2008/I2008,0)</f>
      </c>
      <c r="K2008" s="193" t="str">
        <f>1-EXP(-J2008)</f>
      </c>
      <c r="L2008" s="194" t="str">
        <f>IF(G2008=30,1,M2007)</f>
      </c>
      <c r="M2008" s="195" t="str">
        <f>L2008*(1-K2008)</f>
      </c>
    </row>
    <row r="2009">
      <c r="A2009" t="s">
        <v>167</v>
      </c>
      <c r="B2009" t="s">
        <v>219</v>
      </c>
      <c r="C2009" s="35" t="s">
        <v>221</v>
      </c>
      <c r="D2009" t="s">
        <v>502</v>
      </c>
      <c r="E2009" t="s">
        <v>520</v>
      </c>
      <c r="F2009" s="188" t="n">
        <v>2049</v>
      </c>
      <c r="G2009" s="189" t="n">
        <v>37</v>
      </c>
      <c r="H2009" s="190" t="n">
        <v>2001.94755909359</v>
      </c>
      <c r="I2009" s="191" t="n">
        <v>4864064.34173838</v>
      </c>
      <c r="J2009" s="192" t="str">
        <f>IF(I2009&gt;0,H2009/I2009,0)</f>
      </c>
      <c r="K2009" s="193" t="str">
        <f>1-EXP(-J2009)</f>
      </c>
      <c r="L2009" s="194" t="str">
        <f>IF(G2009=30,1,M2008)</f>
      </c>
      <c r="M2009" s="195" t="str">
        <f>L2009*(1-K2009)</f>
      </c>
    </row>
    <row r="2010">
      <c r="A2010" t="s">
        <v>167</v>
      </c>
      <c r="B2010" t="s">
        <v>219</v>
      </c>
      <c r="C2010" s="35" t="s">
        <v>221</v>
      </c>
      <c r="D2010" t="s">
        <v>502</v>
      </c>
      <c r="E2010" t="s">
        <v>520</v>
      </c>
      <c r="F2010" s="188" t="n">
        <v>2049</v>
      </c>
      <c r="G2010" s="189" t="n">
        <v>38</v>
      </c>
      <c r="H2010" s="190" t="n">
        <v>2146.03262413411</v>
      </c>
      <c r="I2010" s="191" t="n">
        <v>4834189.80610908</v>
      </c>
      <c r="J2010" s="192" t="str">
        <f>IF(I2010&gt;0,H2010/I2010,0)</f>
      </c>
      <c r="K2010" s="193" t="str">
        <f>1-EXP(-J2010)</f>
      </c>
      <c r="L2010" s="194" t="str">
        <f>IF(G2010=30,1,M2009)</f>
      </c>
      <c r="M2010" s="195" t="str">
        <f>L2010*(1-K2010)</f>
      </c>
    </row>
    <row r="2011">
      <c r="A2011" t="s">
        <v>167</v>
      </c>
      <c r="B2011" t="s">
        <v>219</v>
      </c>
      <c r="C2011" s="35" t="s">
        <v>221</v>
      </c>
      <c r="D2011" t="s">
        <v>502</v>
      </c>
      <c r="E2011" t="s">
        <v>520</v>
      </c>
      <c r="F2011" s="188" t="n">
        <v>2049</v>
      </c>
      <c r="G2011" s="189" t="n">
        <v>39</v>
      </c>
      <c r="H2011" s="190" t="n">
        <v>2256.80910792102</v>
      </c>
      <c r="I2011" s="191" t="n">
        <v>4699135.38863979</v>
      </c>
      <c r="J2011" s="192" t="str">
        <f>IF(I2011&gt;0,H2011/I2011,0)</f>
      </c>
      <c r="K2011" s="193" t="str">
        <f>1-EXP(-J2011)</f>
      </c>
      <c r="L2011" s="194" t="str">
        <f>IF(G2011=30,1,M2010)</f>
      </c>
      <c r="M2011" s="195" t="str">
        <f>L2011*(1-K2011)</f>
      </c>
    </row>
    <row r="2012">
      <c r="A2012" t="s">
        <v>167</v>
      </c>
      <c r="B2012" t="s">
        <v>219</v>
      </c>
      <c r="C2012" s="35" t="s">
        <v>221</v>
      </c>
      <c r="D2012" t="s">
        <v>502</v>
      </c>
      <c r="E2012" t="s">
        <v>520</v>
      </c>
      <c r="F2012" s="188" t="n">
        <v>2049</v>
      </c>
      <c r="G2012" s="189" t="n">
        <v>40</v>
      </c>
      <c r="H2012" s="190" t="n">
        <v>2982.6459576054</v>
      </c>
      <c r="I2012" s="191" t="n">
        <v>4626108.09377457</v>
      </c>
      <c r="J2012" s="192" t="str">
        <f>IF(I2012&gt;0,H2012/I2012,0)</f>
      </c>
      <c r="K2012" s="193" t="str">
        <f>1-EXP(-J2012)</f>
      </c>
      <c r="L2012" s="194" t="str">
        <f>IF(G2012=30,1,M2011)</f>
      </c>
      <c r="M2012" s="195" t="str">
        <f>L2012*(1-K2012)</f>
      </c>
    </row>
    <row r="2013">
      <c r="A2013" t="s">
        <v>167</v>
      </c>
      <c r="B2013" t="s">
        <v>219</v>
      </c>
      <c r="C2013" s="35" t="s">
        <v>221</v>
      </c>
      <c r="D2013" t="s">
        <v>502</v>
      </c>
      <c r="E2013" t="s">
        <v>520</v>
      </c>
      <c r="F2013" s="188" t="n">
        <v>2049</v>
      </c>
      <c r="G2013" s="189" t="n">
        <v>41</v>
      </c>
      <c r="H2013" s="190" t="n">
        <v>3332.7789538339</v>
      </c>
      <c r="I2013" s="191" t="n">
        <v>4579775.2276023</v>
      </c>
      <c r="J2013" s="192" t="str">
        <f>IF(I2013&gt;0,H2013/I2013,0)</f>
      </c>
      <c r="K2013" s="193" t="str">
        <f>1-EXP(-J2013)</f>
      </c>
      <c r="L2013" s="194" t="str">
        <f>IF(G2013=30,1,M2012)</f>
      </c>
      <c r="M2013" s="195" t="str">
        <f>L2013*(1-K2013)</f>
      </c>
    </row>
    <row r="2014">
      <c r="A2014" t="s">
        <v>167</v>
      </c>
      <c r="B2014" t="s">
        <v>219</v>
      </c>
      <c r="C2014" s="35" t="s">
        <v>221</v>
      </c>
      <c r="D2014" t="s">
        <v>502</v>
      </c>
      <c r="E2014" t="s">
        <v>520</v>
      </c>
      <c r="F2014" s="188" t="n">
        <v>2049</v>
      </c>
      <c r="G2014" s="189" t="n">
        <v>42</v>
      </c>
      <c r="H2014" s="190" t="n">
        <v>3695.1703664997</v>
      </c>
      <c r="I2014" s="191" t="n">
        <v>4600620.30757329</v>
      </c>
      <c r="J2014" s="192" t="str">
        <f>IF(I2014&gt;0,H2014/I2014,0)</f>
      </c>
      <c r="K2014" s="193" t="str">
        <f>1-EXP(-J2014)</f>
      </c>
      <c r="L2014" s="194" t="str">
        <f>IF(G2014=30,1,M2013)</f>
      </c>
      <c r="M2014" s="195" t="str">
        <f>L2014*(1-K2014)</f>
      </c>
    </row>
    <row r="2015">
      <c r="A2015" t="s">
        <v>167</v>
      </c>
      <c r="B2015" t="s">
        <v>219</v>
      </c>
      <c r="C2015" s="35" t="s">
        <v>221</v>
      </c>
      <c r="D2015" t="s">
        <v>502</v>
      </c>
      <c r="E2015" t="s">
        <v>520</v>
      </c>
      <c r="F2015" s="188" t="n">
        <v>2049</v>
      </c>
      <c r="G2015" s="189" t="n">
        <v>43</v>
      </c>
      <c r="H2015" s="190" t="n">
        <v>3942.02985383018</v>
      </c>
      <c r="I2015" s="191" t="n">
        <v>4513893.0430292</v>
      </c>
      <c r="J2015" s="192" t="str">
        <f>IF(I2015&gt;0,H2015/I2015,0)</f>
      </c>
      <c r="K2015" s="193" t="str">
        <f>1-EXP(-J2015)</f>
      </c>
      <c r="L2015" s="194" t="str">
        <f>IF(G2015=30,1,M2014)</f>
      </c>
      <c r="M2015" s="195" t="str">
        <f>L2015*(1-K2015)</f>
      </c>
    </row>
    <row r="2016">
      <c r="A2016" t="s">
        <v>167</v>
      </c>
      <c r="B2016" t="s">
        <v>219</v>
      </c>
      <c r="C2016" s="35" t="s">
        <v>221</v>
      </c>
      <c r="D2016" t="s">
        <v>502</v>
      </c>
      <c r="E2016" t="s">
        <v>520</v>
      </c>
      <c r="F2016" s="188" t="n">
        <v>2049</v>
      </c>
      <c r="G2016" s="189" t="n">
        <v>44</v>
      </c>
      <c r="H2016" s="190" t="n">
        <v>4233.65115611869</v>
      </c>
      <c r="I2016" s="191" t="n">
        <v>4448176.14165324</v>
      </c>
      <c r="J2016" s="192" t="str">
        <f>IF(I2016&gt;0,H2016/I2016,0)</f>
      </c>
      <c r="K2016" s="193" t="str">
        <f>1-EXP(-J2016)</f>
      </c>
      <c r="L2016" s="194" t="str">
        <f>IF(G2016=30,1,M2015)</f>
      </c>
      <c r="M2016" s="195" t="str">
        <f>L2016*(1-K2016)</f>
      </c>
    </row>
    <row r="2017">
      <c r="A2017" t="s">
        <v>167</v>
      </c>
      <c r="B2017" t="s">
        <v>219</v>
      </c>
      <c r="C2017" s="35" t="s">
        <v>221</v>
      </c>
      <c r="D2017" t="s">
        <v>502</v>
      </c>
      <c r="E2017" t="s">
        <v>520</v>
      </c>
      <c r="F2017" s="188" t="n">
        <v>2049</v>
      </c>
      <c r="G2017" s="189" t="n">
        <v>45</v>
      </c>
      <c r="H2017" s="190" t="n">
        <v>5272.9423897145</v>
      </c>
      <c r="I2017" s="191" t="n">
        <v>4315609.23205763</v>
      </c>
      <c r="J2017" s="192" t="str">
        <f>IF(I2017&gt;0,H2017/I2017,0)</f>
      </c>
      <c r="K2017" s="193" t="str">
        <f>1-EXP(-J2017)</f>
      </c>
      <c r="L2017" s="194" t="str">
        <f>IF(G2017=30,1,M2016)</f>
      </c>
      <c r="M2017" s="195" t="str">
        <f>L2017*(1-K2017)</f>
      </c>
    </row>
    <row r="2018">
      <c r="A2018" t="s">
        <v>167</v>
      </c>
      <c r="B2018" t="s">
        <v>219</v>
      </c>
      <c r="C2018" s="35" t="s">
        <v>221</v>
      </c>
      <c r="D2018" t="s">
        <v>502</v>
      </c>
      <c r="E2018" t="s">
        <v>520</v>
      </c>
      <c r="F2018" s="188" t="n">
        <v>2049</v>
      </c>
      <c r="G2018" s="189" t="n">
        <v>46</v>
      </c>
      <c r="H2018" s="190" t="n">
        <v>5785.77312557945</v>
      </c>
      <c r="I2018" s="191" t="n">
        <v>4243363.56515514</v>
      </c>
      <c r="J2018" s="192" t="str">
        <f>IF(I2018&gt;0,H2018/I2018,0)</f>
      </c>
      <c r="K2018" s="193" t="str">
        <f>1-EXP(-J2018)</f>
      </c>
      <c r="L2018" s="194" t="str">
        <f>IF(G2018=30,1,M2017)</f>
      </c>
      <c r="M2018" s="195" t="str">
        <f>L2018*(1-K2018)</f>
      </c>
    </row>
    <row r="2019">
      <c r="A2019" t="s">
        <v>167</v>
      </c>
      <c r="B2019" t="s">
        <v>219</v>
      </c>
      <c r="C2019" s="35" t="s">
        <v>221</v>
      </c>
      <c r="D2019" t="s">
        <v>502</v>
      </c>
      <c r="E2019" t="s">
        <v>520</v>
      </c>
      <c r="F2019" s="188" t="n">
        <v>2049</v>
      </c>
      <c r="G2019" s="189" t="n">
        <v>47</v>
      </c>
      <c r="H2019" s="190" t="n">
        <v>6439.85557850286</v>
      </c>
      <c r="I2019" s="191" t="n">
        <v>4211404.59760417</v>
      </c>
      <c r="J2019" s="192" t="str">
        <f>IF(I2019&gt;0,H2019/I2019,0)</f>
      </c>
      <c r="K2019" s="193" t="str">
        <f>1-EXP(-J2019)</f>
      </c>
      <c r="L2019" s="194" t="str">
        <f>IF(G2019=30,1,M2018)</f>
      </c>
      <c r="M2019" s="195" t="str">
        <f>L2019*(1-K2019)</f>
      </c>
    </row>
    <row r="2020">
      <c r="A2020" t="s">
        <v>167</v>
      </c>
      <c r="B2020" t="s">
        <v>219</v>
      </c>
      <c r="C2020" s="35" t="s">
        <v>221</v>
      </c>
      <c r="D2020" t="s">
        <v>502</v>
      </c>
      <c r="E2020" t="s">
        <v>520</v>
      </c>
      <c r="F2020" s="188" t="n">
        <v>2049</v>
      </c>
      <c r="G2020" s="189" t="n">
        <v>48</v>
      </c>
      <c r="H2020" s="190" t="n">
        <v>7022.45070981876</v>
      </c>
      <c r="I2020" s="191" t="n">
        <v>4182078.67240844</v>
      </c>
      <c r="J2020" s="192" t="str">
        <f>IF(I2020&gt;0,H2020/I2020,0)</f>
      </c>
      <c r="K2020" s="193" t="str">
        <f>1-EXP(-J2020)</f>
      </c>
      <c r="L2020" s="194" t="str">
        <f>IF(G2020=30,1,M2019)</f>
      </c>
      <c r="M2020" s="195" t="str">
        <f>L2020*(1-K2020)</f>
      </c>
    </row>
    <row r="2021">
      <c r="A2021" t="s">
        <v>167</v>
      </c>
      <c r="B2021" t="s">
        <v>219</v>
      </c>
      <c r="C2021" s="35" t="s">
        <v>221</v>
      </c>
      <c r="D2021" t="s">
        <v>502</v>
      </c>
      <c r="E2021" t="s">
        <v>520</v>
      </c>
      <c r="F2021" s="188" t="n">
        <v>2049</v>
      </c>
      <c r="G2021" s="189" t="n">
        <v>49</v>
      </c>
      <c r="H2021" s="190" t="n">
        <v>7664.79730391534</v>
      </c>
      <c r="I2021" s="191" t="n">
        <v>4151362.96191727</v>
      </c>
      <c r="J2021" s="192" t="str">
        <f>IF(I2021&gt;0,H2021/I2021,0)</f>
      </c>
      <c r="K2021" s="193" t="str">
        <f>1-EXP(-J2021)</f>
      </c>
      <c r="L2021" s="194" t="str">
        <f>IF(G2021=30,1,M2020)</f>
      </c>
      <c r="M2021" s="195" t="str">
        <f>L2021*(1-K2021)</f>
      </c>
    </row>
    <row r="2022">
      <c r="A2022" t="s">
        <v>167</v>
      </c>
      <c r="B2022" t="s">
        <v>219</v>
      </c>
      <c r="C2022" s="35" t="s">
        <v>221</v>
      </c>
      <c r="D2022" t="s">
        <v>502</v>
      </c>
      <c r="E2022" t="s">
        <v>520</v>
      </c>
      <c r="F2022" s="188" t="n">
        <v>2049</v>
      </c>
      <c r="G2022" s="189" t="n">
        <v>50</v>
      </c>
      <c r="H2022" s="190" t="n">
        <v>8758.07264981501</v>
      </c>
      <c r="I2022" s="191" t="n">
        <v>4157557.34582136</v>
      </c>
      <c r="J2022" s="192" t="str">
        <f>IF(I2022&gt;0,H2022/I2022,0)</f>
      </c>
      <c r="K2022" s="193" t="str">
        <f>1-EXP(-J2022)</f>
      </c>
      <c r="L2022" s="194" t="str">
        <f>IF(G2022=30,1,M2021)</f>
      </c>
      <c r="M2022" s="195" t="str">
        <f>L2022*(1-K2022)</f>
      </c>
    </row>
    <row r="2023">
      <c r="A2023" t="s">
        <v>167</v>
      </c>
      <c r="B2023" t="s">
        <v>219</v>
      </c>
      <c r="C2023" s="35" t="s">
        <v>221</v>
      </c>
      <c r="D2023" t="s">
        <v>502</v>
      </c>
      <c r="E2023" t="s">
        <v>520</v>
      </c>
      <c r="F2023" s="188" t="n">
        <v>2049</v>
      </c>
      <c r="G2023" s="189" t="n">
        <v>51</v>
      </c>
      <c r="H2023" s="190" t="n">
        <v>9747.8344265442</v>
      </c>
      <c r="I2023" s="191" t="n">
        <v>4199060.46488738</v>
      </c>
      <c r="J2023" s="192" t="str">
        <f>IF(I2023&gt;0,H2023/I2023,0)</f>
      </c>
      <c r="K2023" s="193" t="str">
        <f>1-EXP(-J2023)</f>
      </c>
      <c r="L2023" s="194" t="str">
        <f>IF(G2023=30,1,M2022)</f>
      </c>
      <c r="M2023" s="195" t="str">
        <f>L2023*(1-K2023)</f>
      </c>
    </row>
    <row r="2024">
      <c r="A2024" t="s">
        <v>167</v>
      </c>
      <c r="B2024" t="s">
        <v>219</v>
      </c>
      <c r="C2024" s="35" t="s">
        <v>221</v>
      </c>
      <c r="D2024" t="s">
        <v>502</v>
      </c>
      <c r="E2024" t="s">
        <v>520</v>
      </c>
      <c r="F2024" s="188" t="n">
        <v>2049</v>
      </c>
      <c r="G2024" s="189" t="n">
        <v>52</v>
      </c>
      <c r="H2024" s="190" t="n">
        <v>11108.6081596787</v>
      </c>
      <c r="I2024" s="191" t="n">
        <v>4310919.41760919</v>
      </c>
      <c r="J2024" s="192" t="str">
        <f>IF(I2024&gt;0,H2024/I2024,0)</f>
      </c>
      <c r="K2024" s="193" t="str">
        <f>1-EXP(-J2024)</f>
      </c>
      <c r="L2024" s="194" t="str">
        <f>IF(G2024=30,1,M2023)</f>
      </c>
      <c r="M2024" s="195" t="str">
        <f>L2024*(1-K2024)</f>
      </c>
    </row>
    <row r="2025">
      <c r="A2025" t="s">
        <v>167</v>
      </c>
      <c r="B2025" t="s">
        <v>219</v>
      </c>
      <c r="C2025" s="35" t="s">
        <v>221</v>
      </c>
      <c r="D2025" t="s">
        <v>502</v>
      </c>
      <c r="E2025" t="s">
        <v>520</v>
      </c>
      <c r="F2025" s="188" t="n">
        <v>2049</v>
      </c>
      <c r="G2025" s="189" t="n">
        <v>53</v>
      </c>
      <c r="H2025" s="190" t="n">
        <v>11952.0387882623</v>
      </c>
      <c r="I2025" s="191" t="n">
        <v>4250720.76396541</v>
      </c>
      <c r="J2025" s="192" t="str">
        <f>IF(I2025&gt;0,H2025/I2025,0)</f>
      </c>
      <c r="K2025" s="193" t="str">
        <f>1-EXP(-J2025)</f>
      </c>
      <c r="L2025" s="194" t="str">
        <f>IF(G2025=30,1,M2024)</f>
      </c>
      <c r="M2025" s="195" t="str">
        <f>L2025*(1-K2025)</f>
      </c>
    </row>
    <row r="2026">
      <c r="A2026" t="s">
        <v>167</v>
      </c>
      <c r="B2026" t="s">
        <v>219</v>
      </c>
      <c r="C2026" s="35" t="s">
        <v>221</v>
      </c>
      <c r="D2026" t="s">
        <v>502</v>
      </c>
      <c r="E2026" t="s">
        <v>520</v>
      </c>
      <c r="F2026" s="188" t="n">
        <v>2049</v>
      </c>
      <c r="G2026" s="189" t="n">
        <v>54</v>
      </c>
      <c r="H2026" s="190" t="n">
        <v>12739.7872687829</v>
      </c>
      <c r="I2026" s="191" t="n">
        <v>4160610.52572389</v>
      </c>
      <c r="J2026" s="192" t="str">
        <f>IF(I2026&gt;0,H2026/I2026,0)</f>
      </c>
      <c r="K2026" s="193" t="str">
        <f>1-EXP(-J2026)</f>
      </c>
      <c r="L2026" s="194" t="str">
        <f>IF(G2026=30,1,M2025)</f>
      </c>
      <c r="M2026" s="195" t="str">
        <f>L2026*(1-K2026)</f>
      </c>
    </row>
    <row r="2027">
      <c r="A2027" t="s">
        <v>167</v>
      </c>
      <c r="B2027" t="s">
        <v>219</v>
      </c>
      <c r="C2027" s="35" t="s">
        <v>221</v>
      </c>
      <c r="D2027" t="s">
        <v>502</v>
      </c>
      <c r="E2027" t="s">
        <v>520</v>
      </c>
      <c r="F2027" s="188" t="n">
        <v>2049</v>
      </c>
      <c r="G2027" s="189" t="n">
        <v>55</v>
      </c>
      <c r="H2027" s="190" t="n">
        <v>13324.8203838014</v>
      </c>
      <c r="I2027" s="191" t="n">
        <v>4083936.32115807</v>
      </c>
      <c r="J2027" s="192" t="str">
        <f>IF(I2027&gt;0,H2027/I2027,0)</f>
      </c>
      <c r="K2027" s="193" t="str">
        <f>1-EXP(-J2027)</f>
      </c>
      <c r="L2027" s="194" t="str">
        <f>IF(G2027=30,1,M2026)</f>
      </c>
      <c r="M2027" s="195" t="str">
        <f>L2027*(1-K2027)</f>
      </c>
    </row>
    <row r="2028">
      <c r="A2028" t="s">
        <v>167</v>
      </c>
      <c r="B2028" t="s">
        <v>219</v>
      </c>
      <c r="C2028" s="35" t="s">
        <v>221</v>
      </c>
      <c r="D2028" t="s">
        <v>502</v>
      </c>
      <c r="E2028" t="s">
        <v>520</v>
      </c>
      <c r="F2028" s="188" t="n">
        <v>2049</v>
      </c>
      <c r="G2028" s="189" t="n">
        <v>56</v>
      </c>
      <c r="H2028" s="190" t="n">
        <v>14197.3297814405</v>
      </c>
      <c r="I2028" s="191" t="n">
        <v>4009126.07958072</v>
      </c>
      <c r="J2028" s="192" t="str">
        <f>IF(I2028&gt;0,H2028/I2028,0)</f>
      </c>
      <c r="K2028" s="193" t="str">
        <f>1-EXP(-J2028)</f>
      </c>
      <c r="L2028" s="194" t="str">
        <f>IF(G2028=30,1,M2027)</f>
      </c>
      <c r="M2028" s="195" t="str">
        <f>L2028*(1-K2028)</f>
      </c>
    </row>
    <row r="2029">
      <c r="A2029" t="s">
        <v>167</v>
      </c>
      <c r="B2029" t="s">
        <v>219</v>
      </c>
      <c r="C2029" s="35" t="s">
        <v>221</v>
      </c>
      <c r="D2029" t="s">
        <v>502</v>
      </c>
      <c r="E2029" t="s">
        <v>520</v>
      </c>
      <c r="F2029" s="188" t="n">
        <v>2049</v>
      </c>
      <c r="G2029" s="189" t="n">
        <v>57</v>
      </c>
      <c r="H2029" s="190" t="n">
        <v>15487.6150912322</v>
      </c>
      <c r="I2029" s="191" t="n">
        <v>4017383.49902737</v>
      </c>
      <c r="J2029" s="192" t="str">
        <f>IF(I2029&gt;0,H2029/I2029,0)</f>
      </c>
      <c r="K2029" s="193" t="str">
        <f>1-EXP(-J2029)</f>
      </c>
      <c r="L2029" s="194" t="str">
        <f>IF(G2029=30,1,M2028)</f>
      </c>
      <c r="M2029" s="195" t="str">
        <f>L2029*(1-K2029)</f>
      </c>
    </row>
    <row r="2030">
      <c r="A2030" t="s">
        <v>167</v>
      </c>
      <c r="B2030" t="s">
        <v>219</v>
      </c>
      <c r="C2030" s="35" t="s">
        <v>221</v>
      </c>
      <c r="D2030" t="s">
        <v>502</v>
      </c>
      <c r="E2030" t="s">
        <v>520</v>
      </c>
      <c r="F2030" s="188" t="n">
        <v>2049</v>
      </c>
      <c r="G2030" s="189" t="n">
        <v>58</v>
      </c>
      <c r="H2030" s="190" t="n">
        <v>16866.5953053396</v>
      </c>
      <c r="I2030" s="191" t="n">
        <v>4004433.89302119</v>
      </c>
      <c r="J2030" s="192" t="str">
        <f>IF(I2030&gt;0,H2030/I2030,0)</f>
      </c>
      <c r="K2030" s="193" t="str">
        <f>1-EXP(-J2030)</f>
      </c>
      <c r="L2030" s="194" t="str">
        <f>IF(G2030=30,1,M2029)</f>
      </c>
      <c r="M2030" s="195" t="str">
        <f>L2030*(1-K2030)</f>
      </c>
    </row>
    <row r="2031">
      <c r="A2031" t="s">
        <v>167</v>
      </c>
      <c r="B2031" t="s">
        <v>219</v>
      </c>
      <c r="C2031" s="35" t="s">
        <v>221</v>
      </c>
      <c r="D2031" t="s">
        <v>502</v>
      </c>
      <c r="E2031" t="s">
        <v>520</v>
      </c>
      <c r="F2031" s="188" t="n">
        <v>2049</v>
      </c>
      <c r="G2031" s="189" t="n">
        <v>59</v>
      </c>
      <c r="H2031" s="190" t="n">
        <v>24531.1705404607</v>
      </c>
      <c r="I2031" s="191" t="n">
        <v>5887864.45175477</v>
      </c>
      <c r="J2031" s="192" t="str">
        <f>IF(I2031&gt;0,H2031/I2031,0)</f>
      </c>
      <c r="K2031" s="193" t="str">
        <f>1-EXP(-J2031)</f>
      </c>
      <c r="L2031" s="194" t="str">
        <f>IF(G2031=30,1,M2030)</f>
      </c>
      <c r="M2031" s="195" t="str">
        <f>L2031*(1-K2031)</f>
      </c>
    </row>
    <row r="2032">
      <c r="A2032" t="s">
        <v>167</v>
      </c>
      <c r="B2032" t="s">
        <v>219</v>
      </c>
      <c r="C2032" s="35" t="s">
        <v>221</v>
      </c>
      <c r="D2032" t="s">
        <v>502</v>
      </c>
      <c r="E2032" t="s">
        <v>520</v>
      </c>
      <c r="F2032" s="188" t="n">
        <v>2049</v>
      </c>
      <c r="G2032" s="189" t="n">
        <v>60</v>
      </c>
      <c r="H2032" s="190" t="n">
        <v>19350.2457800844</v>
      </c>
      <c r="I2032" s="191" t="n">
        <v>3899893.15818103</v>
      </c>
      <c r="J2032" s="192" t="str">
        <f>IF(I2032&gt;0,H2032/I2032,0)</f>
      </c>
      <c r="K2032" s="193" t="str">
        <f>1-EXP(-J2032)</f>
      </c>
      <c r="L2032" s="194" t="str">
        <f>IF(G2032=30,1,M2031)</f>
      </c>
      <c r="M2032" s="195" t="str">
        <f>L2032*(1-K2032)</f>
      </c>
    </row>
    <row r="2033">
      <c r="A2033" t="s">
        <v>167</v>
      </c>
      <c r="B2033" t="s">
        <v>219</v>
      </c>
      <c r="C2033" s="35" t="s">
        <v>221</v>
      </c>
      <c r="D2033" t="s">
        <v>502</v>
      </c>
      <c r="E2033" t="s">
        <v>520</v>
      </c>
      <c r="F2033" s="188" t="n">
        <v>2049</v>
      </c>
      <c r="G2033" s="189" t="n">
        <v>61</v>
      </c>
      <c r="H2033" s="190" t="n">
        <v>20977.4807691193</v>
      </c>
      <c r="I2033" s="191" t="n">
        <v>3847041.10080484</v>
      </c>
      <c r="J2033" s="192" t="str">
        <f>IF(I2033&gt;0,H2033/I2033,0)</f>
      </c>
      <c r="K2033" s="193" t="str">
        <f>1-EXP(-J2033)</f>
      </c>
      <c r="L2033" s="194" t="str">
        <f>IF(G2033=30,1,M2032)</f>
      </c>
      <c r="M2033" s="195" t="str">
        <f>L2033*(1-K2033)</f>
      </c>
    </row>
    <row r="2034">
      <c r="A2034" t="s">
        <v>167</v>
      </c>
      <c r="B2034" t="s">
        <v>219</v>
      </c>
      <c r="C2034" s="35" t="s">
        <v>221</v>
      </c>
      <c r="D2034" t="s">
        <v>502</v>
      </c>
      <c r="E2034" t="s">
        <v>520</v>
      </c>
      <c r="F2034" s="188" t="n">
        <v>2049</v>
      </c>
      <c r="G2034" s="189" t="n">
        <v>62</v>
      </c>
      <c r="H2034" s="190" t="n">
        <v>22112.8513935117</v>
      </c>
      <c r="I2034" s="191" t="n">
        <v>3689029.90566583</v>
      </c>
      <c r="J2034" s="192" t="str">
        <f>IF(I2034&gt;0,H2034/I2034,0)</f>
      </c>
      <c r="K2034" s="193" t="str">
        <f>1-EXP(-J2034)</f>
      </c>
      <c r="L2034" s="194" t="str">
        <f>IF(G2034=30,1,M2033)</f>
      </c>
      <c r="M2034" s="195" t="str">
        <f>L2034*(1-K2034)</f>
      </c>
    </row>
    <row r="2035">
      <c r="A2035" t="s">
        <v>167</v>
      </c>
      <c r="B2035" t="s">
        <v>219</v>
      </c>
      <c r="C2035" s="35" t="s">
        <v>221</v>
      </c>
      <c r="D2035" t="s">
        <v>502</v>
      </c>
      <c r="E2035" t="s">
        <v>520</v>
      </c>
      <c r="F2035" s="188" t="n">
        <v>2049</v>
      </c>
      <c r="G2035" s="189" t="n">
        <v>63</v>
      </c>
      <c r="H2035" s="190" t="n">
        <v>23808.132480123</v>
      </c>
      <c r="I2035" s="191" t="n">
        <v>3615298.10021131</v>
      </c>
      <c r="J2035" s="192" t="str">
        <f>IF(I2035&gt;0,H2035/I2035,0)</f>
      </c>
      <c r="K2035" s="193" t="str">
        <f>1-EXP(-J2035)</f>
      </c>
      <c r="L2035" s="194" t="str">
        <f>IF(G2035=30,1,M2034)</f>
      </c>
      <c r="M2035" s="195" t="str">
        <f>L2035*(1-K2035)</f>
      </c>
    </row>
    <row r="2036">
      <c r="A2036" t="s">
        <v>167</v>
      </c>
      <c r="B2036" t="s">
        <v>219</v>
      </c>
      <c r="C2036" s="35" t="s">
        <v>221</v>
      </c>
      <c r="D2036" t="s">
        <v>502</v>
      </c>
      <c r="E2036" t="s">
        <v>520</v>
      </c>
      <c r="F2036" s="188" t="n">
        <v>2049</v>
      </c>
      <c r="G2036" s="189" t="n">
        <v>64</v>
      </c>
      <c r="H2036" s="190" t="n">
        <v>26175.9807476719</v>
      </c>
      <c r="I2036" s="191" t="n">
        <v>3618839.25388435</v>
      </c>
      <c r="J2036" s="192" t="str">
        <f>IF(I2036&gt;0,H2036/I2036,0)</f>
      </c>
      <c r="K2036" s="193" t="str">
        <f>1-EXP(-J2036)</f>
      </c>
      <c r="L2036" s="194" t="str">
        <f>IF(G2036=30,1,M2035)</f>
      </c>
      <c r="M2036" s="195" t="str">
        <f>L2036*(1-K2036)</f>
      </c>
    </row>
    <row r="2037">
      <c r="A2037" t="s">
        <v>167</v>
      </c>
      <c r="B2037" t="s">
        <v>219</v>
      </c>
      <c r="C2037" s="35" t="s">
        <v>221</v>
      </c>
      <c r="D2037" t="s">
        <v>502</v>
      </c>
      <c r="E2037" t="s">
        <v>520</v>
      </c>
      <c r="F2037" s="188" t="n">
        <v>2049</v>
      </c>
      <c r="G2037" s="189" t="n">
        <v>65</v>
      </c>
      <c r="H2037" s="190" t="n">
        <v>27438.7608143248</v>
      </c>
      <c r="I2037" s="191" t="n">
        <v>3638179.15925323</v>
      </c>
      <c r="J2037" s="192" t="str">
        <f>IF(I2037&gt;0,H2037/I2037,0)</f>
      </c>
      <c r="K2037" s="193" t="str">
        <f>1-EXP(-J2037)</f>
      </c>
      <c r="L2037" s="194" t="str">
        <f>IF(G2037=30,1,M2036)</f>
      </c>
      <c r="M2037" s="195" t="str">
        <f>L2037*(1-K2037)</f>
      </c>
    </row>
    <row r="2038">
      <c r="A2038" t="s">
        <v>167</v>
      </c>
      <c r="B2038" t="s">
        <v>219</v>
      </c>
      <c r="C2038" s="35" t="s">
        <v>221</v>
      </c>
      <c r="D2038" t="s">
        <v>502</v>
      </c>
      <c r="E2038" t="s">
        <v>520</v>
      </c>
      <c r="F2038" s="188" t="n">
        <v>2049</v>
      </c>
      <c r="G2038" s="189" t="n">
        <v>66</v>
      </c>
      <c r="H2038" s="190" t="n">
        <v>29475.56243414</v>
      </c>
      <c r="I2038" s="191" t="n">
        <v>3561008.12755887</v>
      </c>
      <c r="J2038" s="192" t="str">
        <f>IF(I2038&gt;0,H2038/I2038,0)</f>
      </c>
      <c r="K2038" s="193" t="str">
        <f>1-EXP(-J2038)</f>
      </c>
      <c r="L2038" s="194" t="str">
        <f>IF(G2038=30,1,M2037)</f>
      </c>
      <c r="M2038" s="195" t="str">
        <f>L2038*(1-K2038)</f>
      </c>
    </row>
    <row r="2039">
      <c r="A2039" t="s">
        <v>167</v>
      </c>
      <c r="B2039" t="s">
        <v>219</v>
      </c>
      <c r="C2039" s="35" t="s">
        <v>221</v>
      </c>
      <c r="D2039" t="s">
        <v>502</v>
      </c>
      <c r="E2039" t="s">
        <v>520</v>
      </c>
      <c r="F2039" s="188" t="n">
        <v>2049</v>
      </c>
      <c r="G2039" s="189" t="n">
        <v>67</v>
      </c>
      <c r="H2039" s="190" t="n">
        <v>30834.0332948691</v>
      </c>
      <c r="I2039" s="191" t="n">
        <v>3386575.11827432</v>
      </c>
      <c r="J2039" s="192" t="str">
        <f>IF(I2039&gt;0,H2039/I2039,0)</f>
      </c>
      <c r="K2039" s="193" t="str">
        <f>1-EXP(-J2039)</f>
      </c>
      <c r="L2039" s="194" t="str">
        <f>IF(G2039=30,1,M2038)</f>
      </c>
      <c r="M2039" s="195" t="str">
        <f>L2039*(1-K2039)</f>
      </c>
    </row>
    <row r="2040">
      <c r="A2040" t="s">
        <v>167</v>
      </c>
      <c r="B2040" t="s">
        <v>219</v>
      </c>
      <c r="C2040" s="35" t="s">
        <v>221</v>
      </c>
      <c r="D2040" t="s">
        <v>502</v>
      </c>
      <c r="E2040" t="s">
        <v>520</v>
      </c>
      <c r="F2040" s="188" t="n">
        <v>2049</v>
      </c>
      <c r="G2040" s="189" t="n">
        <v>68</v>
      </c>
      <c r="H2040" s="190" t="n">
        <v>32668.5731069745</v>
      </c>
      <c r="I2040" s="191" t="n">
        <v>3262113.28603059</v>
      </c>
      <c r="J2040" s="192" t="str">
        <f>IF(I2040&gt;0,H2040/I2040,0)</f>
      </c>
      <c r="K2040" s="193" t="str">
        <f>1-EXP(-J2040)</f>
      </c>
      <c r="L2040" s="194" t="str">
        <f>IF(G2040=30,1,M2039)</f>
      </c>
      <c r="M2040" s="195" t="str">
        <f>L2040*(1-K2040)</f>
      </c>
    </row>
    <row r="2041">
      <c r="A2041" t="s">
        <v>167</v>
      </c>
      <c r="B2041" t="s">
        <v>219</v>
      </c>
      <c r="C2041" s="35" t="s">
        <v>221</v>
      </c>
      <c r="D2041" t="s">
        <v>502</v>
      </c>
      <c r="E2041" t="s">
        <v>520</v>
      </c>
      <c r="F2041" s="188" t="n">
        <v>2049</v>
      </c>
      <c r="G2041" s="189" t="n">
        <v>69</v>
      </c>
      <c r="H2041" s="190" t="n">
        <v>34705.6686649694</v>
      </c>
      <c r="I2041" s="191" t="n">
        <v>3147533.50519076</v>
      </c>
      <c r="J2041" s="192" t="str">
        <f>IF(I2041&gt;0,H2041/I2041,0)</f>
      </c>
      <c r="K2041" s="193" t="str">
        <f>1-EXP(-J2041)</f>
      </c>
      <c r="L2041" s="194" t="str">
        <f>IF(G2041=30,1,M2040)</f>
      </c>
      <c r="M2041" s="195" t="str">
        <f>L2041*(1-K2041)</f>
      </c>
    </row>
    <row r="2042">
      <c r="A2042" t="s">
        <v>167</v>
      </c>
      <c r="B2042" t="s">
        <v>219</v>
      </c>
      <c r="C2042" s="35" t="s">
        <v>221</v>
      </c>
      <c r="D2042" t="s">
        <v>502</v>
      </c>
      <c r="E2042" t="s">
        <v>520</v>
      </c>
      <c r="F2042" s="188" t="n">
        <v>2050</v>
      </c>
      <c r="G2042" s="189" t="n">
        <v>30</v>
      </c>
      <c r="H2042" s="190" t="n">
        <v>590.63507740748</v>
      </c>
      <c r="I2042" s="191" t="n">
        <v>4253370.62650102</v>
      </c>
      <c r="J2042" s="192" t="str">
        <f>IF(I2042&gt;0,H2042/I2042,0)</f>
      </c>
      <c r="K2042" s="193" t="str">
        <f>1-EXP(-J2042)</f>
      </c>
      <c r="L2042" s="194" t="str">
        <f>IF(G2042=30,1,M2041)</f>
      </c>
      <c r="M2042" s="195" t="str">
        <f>L2042*(1-K2042)</f>
      </c>
    </row>
    <row r="2043">
      <c r="A2043" t="s">
        <v>167</v>
      </c>
      <c r="B2043" t="s">
        <v>219</v>
      </c>
      <c r="C2043" s="35" t="s">
        <v>221</v>
      </c>
      <c r="D2043" t="s">
        <v>502</v>
      </c>
      <c r="E2043" t="s">
        <v>520</v>
      </c>
      <c r="F2043" s="188" t="n">
        <v>2050</v>
      </c>
      <c r="G2043" s="189" t="n">
        <v>31</v>
      </c>
      <c r="H2043" s="190" t="n">
        <v>813.528824625864</v>
      </c>
      <c r="I2043" s="191" t="n">
        <v>4262109.72762638</v>
      </c>
      <c r="J2043" s="192" t="str">
        <f>IF(I2043&gt;0,H2043/I2043,0)</f>
      </c>
      <c r="K2043" s="193" t="str">
        <f>1-EXP(-J2043)</f>
      </c>
      <c r="L2043" s="194" t="str">
        <f>IF(G2043=30,1,M2042)</f>
      </c>
      <c r="M2043" s="195" t="str">
        <f>L2043*(1-K2043)</f>
      </c>
    </row>
    <row r="2044">
      <c r="A2044" t="s">
        <v>167</v>
      </c>
      <c r="B2044" t="s">
        <v>219</v>
      </c>
      <c r="C2044" s="35" t="s">
        <v>221</v>
      </c>
      <c r="D2044" t="s">
        <v>502</v>
      </c>
      <c r="E2044" t="s">
        <v>520</v>
      </c>
      <c r="F2044" s="188" t="n">
        <v>2050</v>
      </c>
      <c r="G2044" s="189" t="n">
        <v>32</v>
      </c>
      <c r="H2044" s="190" t="n">
        <v>859.563031064773</v>
      </c>
      <c r="I2044" s="191" t="n">
        <v>4266300.48320233</v>
      </c>
      <c r="J2044" s="192" t="str">
        <f>IF(I2044&gt;0,H2044/I2044,0)</f>
      </c>
      <c r="K2044" s="193" t="str">
        <f>1-EXP(-J2044)</f>
      </c>
      <c r="L2044" s="194" t="str">
        <f>IF(G2044=30,1,M2043)</f>
      </c>
      <c r="M2044" s="195" t="str">
        <f>L2044*(1-K2044)</f>
      </c>
    </row>
    <row r="2045">
      <c r="A2045" t="s">
        <v>167</v>
      </c>
      <c r="B2045" t="s">
        <v>219</v>
      </c>
      <c r="C2045" s="35" t="s">
        <v>221</v>
      </c>
      <c r="D2045" t="s">
        <v>502</v>
      </c>
      <c r="E2045" t="s">
        <v>520</v>
      </c>
      <c r="F2045" s="188" t="n">
        <v>2050</v>
      </c>
      <c r="G2045" s="189" t="n">
        <v>33</v>
      </c>
      <c r="H2045" s="190" t="n">
        <v>920.587009951199</v>
      </c>
      <c r="I2045" s="191" t="n">
        <v>4306649.41026522</v>
      </c>
      <c r="J2045" s="192" t="str">
        <f>IF(I2045&gt;0,H2045/I2045,0)</f>
      </c>
      <c r="K2045" s="193" t="str">
        <f>1-EXP(-J2045)</f>
      </c>
      <c r="L2045" s="194" t="str">
        <f>IF(G2045=30,1,M2044)</f>
      </c>
      <c r="M2045" s="195" t="str">
        <f>L2045*(1-K2045)</f>
      </c>
    </row>
    <row r="2046">
      <c r="A2046" t="s">
        <v>167</v>
      </c>
      <c r="B2046" t="s">
        <v>219</v>
      </c>
      <c r="C2046" s="35" t="s">
        <v>221</v>
      </c>
      <c r="D2046" t="s">
        <v>502</v>
      </c>
      <c r="E2046" t="s">
        <v>520</v>
      </c>
      <c r="F2046" s="188" t="n">
        <v>2050</v>
      </c>
      <c r="G2046" s="189" t="n">
        <v>34</v>
      </c>
      <c r="H2046" s="190" t="n">
        <v>1078.06850179135</v>
      </c>
      <c r="I2046" s="191" t="n">
        <v>4568118.45178262</v>
      </c>
      <c r="J2046" s="192" t="str">
        <f>IF(I2046&gt;0,H2046/I2046,0)</f>
      </c>
      <c r="K2046" s="193" t="str">
        <f>1-EXP(-J2046)</f>
      </c>
      <c r="L2046" s="194" t="str">
        <f>IF(G2046=30,1,M2045)</f>
      </c>
      <c r="M2046" s="195" t="str">
        <f>L2046*(1-K2046)</f>
      </c>
    </row>
    <row r="2047">
      <c r="A2047" t="s">
        <v>167</v>
      </c>
      <c r="B2047" t="s">
        <v>219</v>
      </c>
      <c r="C2047" s="35" t="s">
        <v>221</v>
      </c>
      <c r="D2047" t="s">
        <v>502</v>
      </c>
      <c r="E2047" t="s">
        <v>520</v>
      </c>
      <c r="F2047" s="188" t="n">
        <v>2050</v>
      </c>
      <c r="G2047" s="189" t="n">
        <v>35</v>
      </c>
      <c r="H2047" s="190" t="n">
        <v>1447.92531782025</v>
      </c>
      <c r="I2047" s="191" t="n">
        <v>4615966.78517892</v>
      </c>
      <c r="J2047" s="192" t="str">
        <f>IF(I2047&gt;0,H2047/I2047,0)</f>
      </c>
      <c r="K2047" s="193" t="str">
        <f>1-EXP(-J2047)</f>
      </c>
      <c r="L2047" s="194" t="str">
        <f>IF(G2047=30,1,M2046)</f>
      </c>
      <c r="M2047" s="195" t="str">
        <f>L2047*(1-K2047)</f>
      </c>
    </row>
    <row r="2048">
      <c r="A2048" t="s">
        <v>167</v>
      </c>
      <c r="B2048" t="s">
        <v>219</v>
      </c>
      <c r="C2048" s="35" t="s">
        <v>221</v>
      </c>
      <c r="D2048" t="s">
        <v>502</v>
      </c>
      <c r="E2048" t="s">
        <v>520</v>
      </c>
      <c r="F2048" s="188" t="n">
        <v>2050</v>
      </c>
      <c r="G2048" s="189" t="n">
        <v>36</v>
      </c>
      <c r="H2048" s="190" t="n">
        <v>1741.65748857382</v>
      </c>
      <c r="I2048" s="191" t="n">
        <v>4680865.81000478</v>
      </c>
      <c r="J2048" s="192" t="str">
        <f>IF(I2048&gt;0,H2048/I2048,0)</f>
      </c>
      <c r="K2048" s="193" t="str">
        <f>1-EXP(-J2048)</f>
      </c>
      <c r="L2048" s="194" t="str">
        <f>IF(G2048=30,1,M2047)</f>
      </c>
      <c r="M2048" s="195" t="str">
        <f>L2048*(1-K2048)</f>
      </c>
    </row>
    <row r="2049">
      <c r="A2049" t="s">
        <v>167</v>
      </c>
      <c r="B2049" t="s">
        <v>219</v>
      </c>
      <c r="C2049" s="35" t="s">
        <v>221</v>
      </c>
      <c r="D2049" t="s">
        <v>502</v>
      </c>
      <c r="E2049" t="s">
        <v>520</v>
      </c>
      <c r="F2049" s="188" t="n">
        <v>2050</v>
      </c>
      <c r="G2049" s="189" t="n">
        <v>37</v>
      </c>
      <c r="H2049" s="190" t="n">
        <v>1899.32634187493</v>
      </c>
      <c r="I2049" s="191" t="n">
        <v>4747099.81095947</v>
      </c>
      <c r="J2049" s="192" t="str">
        <f>IF(I2049&gt;0,H2049/I2049,0)</f>
      </c>
      <c r="K2049" s="193" t="str">
        <f>1-EXP(-J2049)</f>
      </c>
      <c r="L2049" s="194" t="str">
        <f>IF(G2049=30,1,M2048)</f>
      </c>
      <c r="M2049" s="195" t="str">
        <f>L2049*(1-K2049)</f>
      </c>
    </row>
    <row r="2050">
      <c r="A2050" t="s">
        <v>167</v>
      </c>
      <c r="B2050" t="s">
        <v>219</v>
      </c>
      <c r="C2050" s="35" t="s">
        <v>221</v>
      </c>
      <c r="D2050" t="s">
        <v>502</v>
      </c>
      <c r="E2050" t="s">
        <v>520</v>
      </c>
      <c r="F2050" s="188" t="n">
        <v>2050</v>
      </c>
      <c r="G2050" s="189" t="n">
        <v>38</v>
      </c>
      <c r="H2050" s="190" t="n">
        <v>2148.23467044021</v>
      </c>
      <c r="I2050" s="191" t="n">
        <v>4856862.57090263</v>
      </c>
      <c r="J2050" s="192" t="str">
        <f>IF(I2050&gt;0,H2050/I2050,0)</f>
      </c>
      <c r="K2050" s="193" t="str">
        <f>1-EXP(-J2050)</f>
      </c>
      <c r="L2050" s="194" t="str">
        <f>IF(G2050=30,1,M2049)</f>
      </c>
      <c r="M2050" s="195" t="str">
        <f>L2050*(1-K2050)</f>
      </c>
    </row>
    <row r="2051">
      <c r="A2051" t="s">
        <v>167</v>
      </c>
      <c r="B2051" t="s">
        <v>219</v>
      </c>
      <c r="C2051" s="35" t="s">
        <v>221</v>
      </c>
      <c r="D2051" t="s">
        <v>502</v>
      </c>
      <c r="E2051" t="s">
        <v>520</v>
      </c>
      <c r="F2051" s="188" t="n">
        <v>2050</v>
      </c>
      <c r="G2051" s="189" t="n">
        <v>39</v>
      </c>
      <c r="H2051" s="190" t="n">
        <v>2309.3916259785</v>
      </c>
      <c r="I2051" s="191" t="n">
        <v>4826524.58964158</v>
      </c>
      <c r="J2051" s="192" t="str">
        <f>IF(I2051&gt;0,H2051/I2051,0)</f>
      </c>
      <c r="K2051" s="193" t="str">
        <f>1-EXP(-J2051)</f>
      </c>
      <c r="L2051" s="194" t="str">
        <f>IF(G2051=30,1,M2050)</f>
      </c>
      <c r="M2051" s="195" t="str">
        <f>L2051*(1-K2051)</f>
      </c>
    </row>
    <row r="2052">
      <c r="A2052" t="s">
        <v>167</v>
      </c>
      <c r="B2052" t="s">
        <v>219</v>
      </c>
      <c r="C2052" s="35" t="s">
        <v>221</v>
      </c>
      <c r="D2052" t="s">
        <v>502</v>
      </c>
      <c r="E2052" t="s">
        <v>520</v>
      </c>
      <c r="F2052" s="188" t="n">
        <v>2050</v>
      </c>
      <c r="G2052" s="189" t="n">
        <v>40</v>
      </c>
      <c r="H2052" s="190" t="n">
        <v>3011.50561573799</v>
      </c>
      <c r="I2052" s="191" t="n">
        <v>4691129.28633422</v>
      </c>
      <c r="J2052" s="192" t="str">
        <f>IF(I2052&gt;0,H2052/I2052,0)</f>
      </c>
      <c r="K2052" s="193" t="str">
        <f>1-EXP(-J2052)</f>
      </c>
      <c r="L2052" s="194" t="str">
        <f>IF(G2052=30,1,M2051)</f>
      </c>
      <c r="M2052" s="195" t="str">
        <f>L2052*(1-K2052)</f>
      </c>
    </row>
    <row r="2053">
      <c r="A2053" t="s">
        <v>167</v>
      </c>
      <c r="B2053" t="s">
        <v>219</v>
      </c>
      <c r="C2053" s="35" t="s">
        <v>221</v>
      </c>
      <c r="D2053" t="s">
        <v>502</v>
      </c>
      <c r="E2053" t="s">
        <v>520</v>
      </c>
      <c r="F2053" s="188" t="n">
        <v>2050</v>
      </c>
      <c r="G2053" s="189" t="n">
        <v>41</v>
      </c>
      <c r="H2053" s="190" t="n">
        <v>3344.22021890343</v>
      </c>
      <c r="I2053" s="191" t="n">
        <v>4616974.65767473</v>
      </c>
      <c r="J2053" s="192" t="str">
        <f>IF(I2053&gt;0,H2053/I2053,0)</f>
      </c>
      <c r="K2053" s="193" t="str">
        <f>1-EXP(-J2053)</f>
      </c>
      <c r="L2053" s="194" t="str">
        <f>IF(G2053=30,1,M2052)</f>
      </c>
      <c r="M2053" s="195" t="str">
        <f>L2053*(1-K2053)</f>
      </c>
    </row>
    <row r="2054">
      <c r="A2054" t="s">
        <v>167</v>
      </c>
      <c r="B2054" t="s">
        <v>219</v>
      </c>
      <c r="C2054" s="35" t="s">
        <v>221</v>
      </c>
      <c r="D2054" t="s">
        <v>502</v>
      </c>
      <c r="E2054" t="s">
        <v>520</v>
      </c>
      <c r="F2054" s="188" t="n">
        <v>2050</v>
      </c>
      <c r="G2054" s="189" t="n">
        <v>42</v>
      </c>
      <c r="H2054" s="190" t="n">
        <v>3594.25422565767</v>
      </c>
      <c r="I2054" s="191" t="n">
        <v>4570621.63360945</v>
      </c>
      <c r="J2054" s="192" t="str">
        <f>IF(I2054&gt;0,H2054/I2054,0)</f>
      </c>
      <c r="K2054" s="193" t="str">
        <f>1-EXP(-J2054)</f>
      </c>
      <c r="L2054" s="194" t="str">
        <f>IF(G2054=30,1,M2053)</f>
      </c>
      <c r="M2054" s="195" t="str">
        <f>L2054*(1-K2054)</f>
      </c>
    </row>
    <row r="2055">
      <c r="A2055" t="s">
        <v>167</v>
      </c>
      <c r="B2055" t="s">
        <v>219</v>
      </c>
      <c r="C2055" s="35" t="s">
        <v>221</v>
      </c>
      <c r="D2055" t="s">
        <v>502</v>
      </c>
      <c r="E2055" t="s">
        <v>520</v>
      </c>
      <c r="F2055" s="188" t="n">
        <v>2050</v>
      </c>
      <c r="G2055" s="189" t="n">
        <v>43</v>
      </c>
      <c r="H2055" s="190" t="n">
        <v>3987.93413580173</v>
      </c>
      <c r="I2055" s="191" t="n">
        <v>4590618.47490164</v>
      </c>
      <c r="J2055" s="192" t="str">
        <f>IF(I2055&gt;0,H2055/I2055,0)</f>
      </c>
      <c r="K2055" s="193" t="str">
        <f>1-EXP(-J2055)</f>
      </c>
      <c r="L2055" s="194" t="str">
        <f>IF(G2055=30,1,M2054)</f>
      </c>
      <c r="M2055" s="195" t="str">
        <f>L2055*(1-K2055)</f>
      </c>
    </row>
    <row r="2056">
      <c r="A2056" t="s">
        <v>167</v>
      </c>
      <c r="B2056" t="s">
        <v>219</v>
      </c>
      <c r="C2056" s="35" t="s">
        <v>221</v>
      </c>
      <c r="D2056" t="s">
        <v>502</v>
      </c>
      <c r="E2056" t="s">
        <v>520</v>
      </c>
      <c r="F2056" s="188" t="n">
        <v>2050</v>
      </c>
      <c r="G2056" s="189" t="n">
        <v>44</v>
      </c>
      <c r="H2056" s="190" t="n">
        <v>4262.10415344528</v>
      </c>
      <c r="I2056" s="191" t="n">
        <v>4503266.66551387</v>
      </c>
      <c r="J2056" s="192" t="str">
        <f>IF(I2056&gt;0,H2056/I2056,0)</f>
      </c>
      <c r="K2056" s="193" t="str">
        <f>1-EXP(-J2056)</f>
      </c>
      <c r="L2056" s="194" t="str">
        <f>IF(G2056=30,1,M2055)</f>
      </c>
      <c r="M2056" s="195" t="str">
        <f>L2056*(1-K2056)</f>
      </c>
    </row>
    <row r="2057">
      <c r="A2057" t="s">
        <v>167</v>
      </c>
      <c r="B2057" t="s">
        <v>219</v>
      </c>
      <c r="C2057" s="35" t="s">
        <v>221</v>
      </c>
      <c r="D2057" t="s">
        <v>502</v>
      </c>
      <c r="E2057" t="s">
        <v>520</v>
      </c>
      <c r="F2057" s="188" t="n">
        <v>2050</v>
      </c>
      <c r="G2057" s="189" t="n">
        <v>45</v>
      </c>
      <c r="H2057" s="190" t="n">
        <v>5385.29896941581</v>
      </c>
      <c r="I2057" s="191" t="n">
        <v>4436813.76186706</v>
      </c>
      <c r="J2057" s="192" t="str">
        <f>IF(I2057&gt;0,H2057/I2057,0)</f>
      </c>
      <c r="K2057" s="193" t="str">
        <f>1-EXP(-J2057)</f>
      </c>
      <c r="L2057" s="194" t="str">
        <f>IF(G2057=30,1,M2056)</f>
      </c>
      <c r="M2057" s="195" t="str">
        <f>L2057*(1-K2057)</f>
      </c>
    </row>
    <row r="2058">
      <c r="A2058" t="s">
        <v>167</v>
      </c>
      <c r="B2058" t="s">
        <v>219</v>
      </c>
      <c r="C2058" s="35" t="s">
        <v>221</v>
      </c>
      <c r="D2058" t="s">
        <v>502</v>
      </c>
      <c r="E2058" t="s">
        <v>520</v>
      </c>
      <c r="F2058" s="188" t="n">
        <v>2050</v>
      </c>
      <c r="G2058" s="189" t="n">
        <v>46</v>
      </c>
      <c r="H2058" s="190" t="n">
        <v>5827.09040735696</v>
      </c>
      <c r="I2058" s="191" t="n">
        <v>4302807.42119212</v>
      </c>
      <c r="J2058" s="192" t="str">
        <f>IF(I2058&gt;0,H2058/I2058,0)</f>
      </c>
      <c r="K2058" s="193" t="str">
        <f>1-EXP(-J2058)</f>
      </c>
      <c r="L2058" s="194" t="str">
        <f>IF(G2058=30,1,M2057)</f>
      </c>
      <c r="M2058" s="195" t="str">
        <f>L2058*(1-K2058)</f>
      </c>
    </row>
    <row r="2059">
      <c r="A2059" t="s">
        <v>167</v>
      </c>
      <c r="B2059" t="s">
        <v>219</v>
      </c>
      <c r="C2059" s="35" t="s">
        <v>221</v>
      </c>
      <c r="D2059" t="s">
        <v>502</v>
      </c>
      <c r="E2059" t="s">
        <v>520</v>
      </c>
      <c r="F2059" s="188" t="n">
        <v>2050</v>
      </c>
      <c r="G2059" s="189" t="n">
        <v>47</v>
      </c>
      <c r="H2059" s="190" t="n">
        <v>6283.36873388541</v>
      </c>
      <c r="I2059" s="191" t="n">
        <v>4230380.64970403</v>
      </c>
      <c r="J2059" s="192" t="str">
        <f>IF(I2059&gt;0,H2059/I2059,0)</f>
      </c>
      <c r="K2059" s="193" t="str">
        <f>1-EXP(-J2059)</f>
      </c>
      <c r="L2059" s="194" t="str">
        <f>IF(G2059=30,1,M2058)</f>
      </c>
      <c r="M2059" s="195" t="str">
        <f>L2059*(1-K2059)</f>
      </c>
    </row>
    <row r="2060">
      <c r="A2060" t="s">
        <v>167</v>
      </c>
      <c r="B2060" t="s">
        <v>219</v>
      </c>
      <c r="C2060" s="35" t="s">
        <v>221</v>
      </c>
      <c r="D2060" t="s">
        <v>502</v>
      </c>
      <c r="E2060" t="s">
        <v>520</v>
      </c>
      <c r="F2060" s="188" t="n">
        <v>2050</v>
      </c>
      <c r="G2060" s="189" t="n">
        <v>48</v>
      </c>
      <c r="H2060" s="190" t="n">
        <v>6997.18342867157</v>
      </c>
      <c r="I2060" s="191" t="n">
        <v>4197149.78716154</v>
      </c>
      <c r="J2060" s="192" t="str">
        <f>IF(I2060&gt;0,H2060/I2060,0)</f>
      </c>
      <c r="K2060" s="193" t="str">
        <f>1-EXP(-J2060)</f>
      </c>
      <c r="L2060" s="194" t="str">
        <f>IF(G2060=30,1,M2059)</f>
      </c>
      <c r="M2060" s="195" t="str">
        <f>L2060*(1-K2060)</f>
      </c>
    </row>
    <row r="2061">
      <c r="A2061" t="s">
        <v>167</v>
      </c>
      <c r="B2061" t="s">
        <v>219</v>
      </c>
      <c r="C2061" s="35" t="s">
        <v>221</v>
      </c>
      <c r="D2061" t="s">
        <v>502</v>
      </c>
      <c r="E2061" t="s">
        <v>520</v>
      </c>
      <c r="F2061" s="188" t="n">
        <v>2050</v>
      </c>
      <c r="G2061" s="189" t="n">
        <v>49</v>
      </c>
      <c r="H2061" s="190" t="n">
        <v>7637.44968601721</v>
      </c>
      <c r="I2061" s="191" t="n">
        <v>4166582.85406073</v>
      </c>
      <c r="J2061" s="192" t="str">
        <f>IF(I2061&gt;0,H2061/I2061,0)</f>
      </c>
      <c r="K2061" s="193" t="str">
        <f>1-EXP(-J2061)</f>
      </c>
      <c r="L2061" s="194" t="str">
        <f>IF(G2061=30,1,M2060)</f>
      </c>
      <c r="M2061" s="195" t="str">
        <f>L2061*(1-K2061)</f>
      </c>
    </row>
    <row r="2062">
      <c r="A2062" t="s">
        <v>167</v>
      </c>
      <c r="B2062" t="s">
        <v>219</v>
      </c>
      <c r="C2062" s="35" t="s">
        <v>221</v>
      </c>
      <c r="D2062" t="s">
        <v>502</v>
      </c>
      <c r="E2062" t="s">
        <v>520</v>
      </c>
      <c r="F2062" s="188" t="n">
        <v>2050</v>
      </c>
      <c r="G2062" s="189" t="n">
        <v>50</v>
      </c>
      <c r="H2062" s="190" t="n">
        <v>8638.47590956534</v>
      </c>
      <c r="I2062" s="191" t="n">
        <v>4134497.90716366</v>
      </c>
      <c r="J2062" s="192" t="str">
        <f>IF(I2062&gt;0,H2062/I2062,0)</f>
      </c>
      <c r="K2062" s="193" t="str">
        <f>1-EXP(-J2062)</f>
      </c>
      <c r="L2062" s="194" t="str">
        <f>IF(G2062=30,1,M2061)</f>
      </c>
      <c r="M2062" s="195" t="str">
        <f>L2062*(1-K2062)</f>
      </c>
    </row>
    <row r="2063">
      <c r="A2063" t="s">
        <v>167</v>
      </c>
      <c r="B2063" t="s">
        <v>219</v>
      </c>
      <c r="C2063" s="35" t="s">
        <v>221</v>
      </c>
      <c r="D2063" t="s">
        <v>502</v>
      </c>
      <c r="E2063" t="s">
        <v>520</v>
      </c>
      <c r="F2063" s="188" t="n">
        <v>2050</v>
      </c>
      <c r="G2063" s="189" t="n">
        <v>51</v>
      </c>
      <c r="H2063" s="190" t="n">
        <v>9531.73301310899</v>
      </c>
      <c r="I2063" s="191" t="n">
        <v>4138488.60414075</v>
      </c>
      <c r="J2063" s="192" t="str">
        <f>IF(I2063&gt;0,H2063/I2063,0)</f>
      </c>
      <c r="K2063" s="193" t="str">
        <f>1-EXP(-J2063)</f>
      </c>
      <c r="L2063" s="194" t="str">
        <f>IF(G2063=30,1,M2062)</f>
      </c>
      <c r="M2063" s="195" t="str">
        <f>L2063*(1-K2063)</f>
      </c>
    </row>
    <row r="2064">
      <c r="A2064" t="s">
        <v>167</v>
      </c>
      <c r="B2064" t="s">
        <v>219</v>
      </c>
      <c r="C2064" s="35" t="s">
        <v>221</v>
      </c>
      <c r="D2064" t="s">
        <v>502</v>
      </c>
      <c r="E2064" t="s">
        <v>520</v>
      </c>
      <c r="F2064" s="188" t="n">
        <v>2050</v>
      </c>
      <c r="G2064" s="189" t="n">
        <v>52</v>
      </c>
      <c r="H2064" s="190" t="n">
        <v>10538.2942664089</v>
      </c>
      <c r="I2064" s="191" t="n">
        <v>4178466.96759108</v>
      </c>
      <c r="J2064" s="192" t="str">
        <f>IF(I2064&gt;0,H2064/I2064,0)</f>
      </c>
      <c r="K2064" s="193" t="str">
        <f>1-EXP(-J2064)</f>
      </c>
      <c r="L2064" s="194" t="str">
        <f>IF(G2064=30,1,M2063)</f>
      </c>
      <c r="M2064" s="195" t="str">
        <f>L2064*(1-K2064)</f>
      </c>
    </row>
    <row r="2065">
      <c r="A2065" t="s">
        <v>167</v>
      </c>
      <c r="B2065" t="s">
        <v>219</v>
      </c>
      <c r="C2065" s="35" t="s">
        <v>221</v>
      </c>
      <c r="D2065" t="s">
        <v>502</v>
      </c>
      <c r="E2065" t="s">
        <v>520</v>
      </c>
      <c r="F2065" s="188" t="n">
        <v>2050</v>
      </c>
      <c r="G2065" s="189" t="n">
        <v>53</v>
      </c>
      <c r="H2065" s="190" t="n">
        <v>11960.9209176397</v>
      </c>
      <c r="I2065" s="191" t="n">
        <v>4287575.76940013</v>
      </c>
      <c r="J2065" s="192" t="str">
        <f>IF(I2065&gt;0,H2065/I2065,0)</f>
      </c>
      <c r="K2065" s="193" t="str">
        <f>1-EXP(-J2065)</f>
      </c>
      <c r="L2065" s="194" t="str">
        <f>IF(G2065=30,1,M2064)</f>
      </c>
      <c r="M2065" s="195" t="str">
        <f>L2065*(1-K2065)</f>
      </c>
    </row>
    <row r="2066">
      <c r="A2066" t="s">
        <v>167</v>
      </c>
      <c r="B2066" t="s">
        <v>219</v>
      </c>
      <c r="C2066" s="35" t="s">
        <v>221</v>
      </c>
      <c r="D2066" t="s">
        <v>502</v>
      </c>
      <c r="E2066" t="s">
        <v>520</v>
      </c>
      <c r="F2066" s="188" t="n">
        <v>2050</v>
      </c>
      <c r="G2066" s="189" t="n">
        <v>54</v>
      </c>
      <c r="H2066" s="190" t="n">
        <v>12833.2429240583</v>
      </c>
      <c r="I2066" s="191" t="n">
        <v>4225602.14219455</v>
      </c>
      <c r="J2066" s="192" t="str">
        <f>IF(I2066&gt;0,H2066/I2066,0)</f>
      </c>
      <c r="K2066" s="193" t="str">
        <f>1-EXP(-J2066)</f>
      </c>
      <c r="L2066" s="194" t="str">
        <f>IF(G2066=30,1,M2065)</f>
      </c>
      <c r="M2066" s="195" t="str">
        <f>L2066*(1-K2066)</f>
      </c>
    </row>
    <row r="2067">
      <c r="A2067" t="s">
        <v>167</v>
      </c>
      <c r="B2067" t="s">
        <v>219</v>
      </c>
      <c r="C2067" s="35" t="s">
        <v>221</v>
      </c>
      <c r="D2067" t="s">
        <v>502</v>
      </c>
      <c r="E2067" t="s">
        <v>520</v>
      </c>
      <c r="F2067" s="188" t="n">
        <v>2050</v>
      </c>
      <c r="G2067" s="189" t="n">
        <v>55</v>
      </c>
      <c r="H2067" s="190" t="n">
        <v>13355.207006953</v>
      </c>
      <c r="I2067" s="191" t="n">
        <v>4133837.04634747</v>
      </c>
      <c r="J2067" s="192" t="str">
        <f>IF(I2067&gt;0,H2067/I2067,0)</f>
      </c>
      <c r="K2067" s="193" t="str">
        <f>1-EXP(-J2067)</f>
      </c>
      <c r="L2067" s="194" t="str">
        <f>IF(G2067=30,1,M2066)</f>
      </c>
      <c r="M2067" s="195" t="str">
        <f>L2067*(1-K2067)</f>
      </c>
    </row>
    <row r="2068">
      <c r="A2068" t="s">
        <v>167</v>
      </c>
      <c r="B2068" t="s">
        <v>219</v>
      </c>
      <c r="C2068" s="35" t="s">
        <v>221</v>
      </c>
      <c r="D2068" t="s">
        <v>502</v>
      </c>
      <c r="E2068" t="s">
        <v>520</v>
      </c>
      <c r="F2068" s="188" t="n">
        <v>2050</v>
      </c>
      <c r="G2068" s="189" t="n">
        <v>56</v>
      </c>
      <c r="H2068" s="190" t="n">
        <v>14216.4702965846</v>
      </c>
      <c r="I2068" s="191" t="n">
        <v>4055345.59581889</v>
      </c>
      <c r="J2068" s="192" t="str">
        <f>IF(I2068&gt;0,H2068/I2068,0)</f>
      </c>
      <c r="K2068" s="193" t="str">
        <f>1-EXP(-J2068)</f>
      </c>
      <c r="L2068" s="194" t="str">
        <f>IF(G2068=30,1,M2067)</f>
      </c>
      <c r="M2068" s="195" t="str">
        <f>L2068*(1-K2068)</f>
      </c>
    </row>
    <row r="2069">
      <c r="A2069" t="s">
        <v>167</v>
      </c>
      <c r="B2069" t="s">
        <v>219</v>
      </c>
      <c r="C2069" s="35" t="s">
        <v>221</v>
      </c>
      <c r="D2069" t="s">
        <v>502</v>
      </c>
      <c r="E2069" t="s">
        <v>520</v>
      </c>
      <c r="F2069" s="188" t="n">
        <v>2050</v>
      </c>
      <c r="G2069" s="189" t="n">
        <v>57</v>
      </c>
      <c r="H2069" s="190" t="n">
        <v>15205.1989213055</v>
      </c>
      <c r="I2069" s="191" t="n">
        <v>3978653.30266815</v>
      </c>
      <c r="J2069" s="192" t="str">
        <f>IF(I2069&gt;0,H2069/I2069,0)</f>
      </c>
      <c r="K2069" s="193" t="str">
        <f>1-EXP(-J2069)</f>
      </c>
      <c r="L2069" s="194" t="str">
        <f>IF(G2069=30,1,M2068)</f>
      </c>
      <c r="M2069" s="195" t="str">
        <f>L2069*(1-K2069)</f>
      </c>
    </row>
    <row r="2070">
      <c r="A2070" t="s">
        <v>167</v>
      </c>
      <c r="B2070" t="s">
        <v>219</v>
      </c>
      <c r="C2070" s="35" t="s">
        <v>221</v>
      </c>
      <c r="D2070" t="s">
        <v>502</v>
      </c>
      <c r="E2070" t="s">
        <v>520</v>
      </c>
      <c r="F2070" s="188" t="n">
        <v>2050</v>
      </c>
      <c r="G2070" s="189" t="n">
        <v>58</v>
      </c>
      <c r="H2070" s="190" t="n">
        <v>16609.3728846173</v>
      </c>
      <c r="I2070" s="191" t="n">
        <v>3984183.73150861</v>
      </c>
      <c r="J2070" s="192" t="str">
        <f>IF(I2070&gt;0,H2070/I2070,0)</f>
      </c>
      <c r="K2070" s="193" t="str">
        <f>1-EXP(-J2070)</f>
      </c>
      <c r="L2070" s="194" t="str">
        <f>IF(G2070=30,1,M2069)</f>
      </c>
      <c r="M2070" s="195" t="str">
        <f>L2070*(1-K2070)</f>
      </c>
    </row>
    <row r="2071">
      <c r="A2071" t="s">
        <v>167</v>
      </c>
      <c r="B2071" t="s">
        <v>219</v>
      </c>
      <c r="C2071" s="35" t="s">
        <v>221</v>
      </c>
      <c r="D2071" t="s">
        <v>502</v>
      </c>
      <c r="E2071" t="s">
        <v>520</v>
      </c>
      <c r="F2071" s="188" t="n">
        <v>2050</v>
      </c>
      <c r="G2071" s="189" t="n">
        <v>59</v>
      </c>
      <c r="H2071" s="190" t="n">
        <v>18113.4760651704</v>
      </c>
      <c r="I2071" s="191" t="n">
        <v>3968338.06800095</v>
      </c>
      <c r="J2071" s="192" t="str">
        <f>IF(I2071&gt;0,H2071/I2071,0)</f>
      </c>
      <c r="K2071" s="193" t="str">
        <f>1-EXP(-J2071)</f>
      </c>
      <c r="L2071" s="194" t="str">
        <f>IF(G2071=30,1,M2070)</f>
      </c>
      <c r="M2071" s="195" t="str">
        <f>L2071*(1-K2071)</f>
      </c>
    </row>
    <row r="2072">
      <c r="A2072" t="s">
        <v>167</v>
      </c>
      <c r="B2072" t="s">
        <v>219</v>
      </c>
      <c r="C2072" s="35" t="s">
        <v>221</v>
      </c>
      <c r="D2072" t="s">
        <v>502</v>
      </c>
      <c r="E2072" t="s">
        <v>520</v>
      </c>
      <c r="F2072" s="188" t="n">
        <v>2050</v>
      </c>
      <c r="G2072" s="189" t="n">
        <v>60</v>
      </c>
      <c r="H2072" s="190" t="n">
        <v>26172.0632211404</v>
      </c>
      <c r="I2072" s="191" t="n">
        <v>5834949.20675206</v>
      </c>
      <c r="J2072" s="192" t="str">
        <f>IF(I2072&gt;0,H2072/I2072,0)</f>
      </c>
      <c r="K2072" s="193" t="str">
        <f>1-EXP(-J2072)</f>
      </c>
      <c r="L2072" s="194" t="str">
        <f>IF(G2072=30,1,M2071)</f>
      </c>
      <c r="M2072" s="195" t="str">
        <f>L2072*(1-K2072)</f>
      </c>
    </row>
    <row r="2073">
      <c r="A2073" t="s">
        <v>167</v>
      </c>
      <c r="B2073" t="s">
        <v>219</v>
      </c>
      <c r="C2073" s="35" t="s">
        <v>221</v>
      </c>
      <c r="D2073" t="s">
        <v>502</v>
      </c>
      <c r="E2073" t="s">
        <v>520</v>
      </c>
      <c r="F2073" s="188" t="n">
        <v>2050</v>
      </c>
      <c r="G2073" s="189" t="n">
        <v>61</v>
      </c>
      <c r="H2073" s="190" t="n">
        <v>20793.1158089627</v>
      </c>
      <c r="I2073" s="191" t="n">
        <v>3857842.59007491</v>
      </c>
      <c r="J2073" s="192" t="str">
        <f>IF(I2073&gt;0,H2073/I2073,0)</f>
      </c>
      <c r="K2073" s="193" t="str">
        <f>1-EXP(-J2073)</f>
      </c>
      <c r="L2073" s="194" t="str">
        <f>IF(G2073=30,1,M2072)</f>
      </c>
      <c r="M2073" s="195" t="str">
        <f>L2073*(1-K2073)</f>
      </c>
    </row>
    <row r="2074">
      <c r="A2074" t="s">
        <v>167</v>
      </c>
      <c r="B2074" t="s">
        <v>219</v>
      </c>
      <c r="C2074" s="35" t="s">
        <v>221</v>
      </c>
      <c r="D2074" t="s">
        <v>502</v>
      </c>
      <c r="E2074" t="s">
        <v>520</v>
      </c>
      <c r="F2074" s="188" t="n">
        <v>2050</v>
      </c>
      <c r="G2074" s="189" t="n">
        <v>62</v>
      </c>
      <c r="H2074" s="190" t="n">
        <v>22520.3999554613</v>
      </c>
      <c r="I2074" s="191" t="n">
        <v>3801495.61611835</v>
      </c>
      <c r="J2074" s="192" t="str">
        <f>IF(I2074&gt;0,H2074/I2074,0)</f>
      </c>
      <c r="K2074" s="193" t="str">
        <f>1-EXP(-J2074)</f>
      </c>
      <c r="L2074" s="194" t="str">
        <f>IF(G2074=30,1,M2073)</f>
      </c>
      <c r="M2074" s="195" t="str">
        <f>L2074*(1-K2074)</f>
      </c>
    </row>
    <row r="2075">
      <c r="A2075" t="s">
        <v>167</v>
      </c>
      <c r="B2075" t="s">
        <v>219</v>
      </c>
      <c r="C2075" s="35" t="s">
        <v>221</v>
      </c>
      <c r="D2075" t="s">
        <v>502</v>
      </c>
      <c r="E2075" t="s">
        <v>520</v>
      </c>
      <c r="F2075" s="188" t="n">
        <v>2050</v>
      </c>
      <c r="G2075" s="189" t="n">
        <v>63</v>
      </c>
      <c r="H2075" s="190" t="n">
        <v>23714.4007566064</v>
      </c>
      <c r="I2075" s="191" t="n">
        <v>3641047.67069271</v>
      </c>
      <c r="J2075" s="192" t="str">
        <f>IF(I2075&gt;0,H2075/I2075,0)</f>
      </c>
      <c r="K2075" s="193" t="str">
        <f>1-EXP(-J2075)</f>
      </c>
      <c r="L2075" s="194" t="str">
        <f>IF(G2075=30,1,M2074)</f>
      </c>
      <c r="M2075" s="195" t="str">
        <f>L2075*(1-K2075)</f>
      </c>
    </row>
    <row r="2076">
      <c r="A2076" t="s">
        <v>167</v>
      </c>
      <c r="B2076" t="s">
        <v>219</v>
      </c>
      <c r="C2076" s="35" t="s">
        <v>221</v>
      </c>
      <c r="D2076" t="s">
        <v>502</v>
      </c>
      <c r="E2076" t="s">
        <v>520</v>
      </c>
      <c r="F2076" s="188" t="n">
        <v>2050</v>
      </c>
      <c r="G2076" s="189" t="n">
        <v>64</v>
      </c>
      <c r="H2076" s="190" t="n">
        <v>25492.4892319975</v>
      </c>
      <c r="I2076" s="191" t="n">
        <v>3563656.64856525</v>
      </c>
      <c r="J2076" s="192" t="str">
        <f>IF(I2076&gt;0,H2076/I2076,0)</f>
      </c>
      <c r="K2076" s="193" t="str">
        <f>1-EXP(-J2076)</f>
      </c>
      <c r="L2076" s="194" t="str">
        <f>IF(G2076=30,1,M2075)</f>
      </c>
      <c r="M2076" s="195" t="str">
        <f>L2076*(1-K2076)</f>
      </c>
    </row>
    <row r="2077">
      <c r="A2077" t="s">
        <v>167</v>
      </c>
      <c r="B2077" t="s">
        <v>219</v>
      </c>
      <c r="C2077" s="35" t="s">
        <v>221</v>
      </c>
      <c r="D2077" t="s">
        <v>502</v>
      </c>
      <c r="E2077" t="s">
        <v>520</v>
      </c>
      <c r="F2077" s="188" t="n">
        <v>2050</v>
      </c>
      <c r="G2077" s="189" t="n">
        <v>65</v>
      </c>
      <c r="H2077" s="190" t="n">
        <v>26546.8132549074</v>
      </c>
      <c r="I2077" s="191" t="n">
        <v>3562074.98351652</v>
      </c>
      <c r="J2077" s="192" t="str">
        <f>IF(I2077&gt;0,H2077/I2077,0)</f>
      </c>
      <c r="K2077" s="193" t="str">
        <f>1-EXP(-J2077)</f>
      </c>
      <c r="L2077" s="194" t="str">
        <f>IF(G2077=30,1,M2076)</f>
      </c>
      <c r="M2077" s="195" t="str">
        <f>L2077*(1-K2077)</f>
      </c>
    </row>
    <row r="2078">
      <c r="A2078" t="s">
        <v>167</v>
      </c>
      <c r="B2078" t="s">
        <v>219</v>
      </c>
      <c r="C2078" s="35" t="s">
        <v>221</v>
      </c>
      <c r="D2078" t="s">
        <v>502</v>
      </c>
      <c r="E2078" t="s">
        <v>520</v>
      </c>
      <c r="F2078" s="188" t="n">
        <v>2050</v>
      </c>
      <c r="G2078" s="189" t="n">
        <v>66</v>
      </c>
      <c r="H2078" s="190" t="n">
        <v>29257.820134669</v>
      </c>
      <c r="I2078" s="191" t="n">
        <v>3576326.63312743</v>
      </c>
      <c r="J2078" s="192" t="str">
        <f>IF(I2078&gt;0,H2078/I2078,0)</f>
      </c>
      <c r="K2078" s="193" t="str">
        <f>1-EXP(-J2078)</f>
      </c>
      <c r="L2078" s="194" t="str">
        <f>IF(G2078=30,1,M2077)</f>
      </c>
      <c r="M2078" s="195" t="str">
        <f>L2078*(1-K2078)</f>
      </c>
    </row>
    <row r="2079">
      <c r="A2079" t="s">
        <v>167</v>
      </c>
      <c r="B2079" t="s">
        <v>219</v>
      </c>
      <c r="C2079" s="35" t="s">
        <v>221</v>
      </c>
      <c r="D2079" t="s">
        <v>502</v>
      </c>
      <c r="E2079" t="s">
        <v>520</v>
      </c>
      <c r="F2079" s="188" t="n">
        <v>2050</v>
      </c>
      <c r="G2079" s="189" t="n">
        <v>67</v>
      </c>
      <c r="H2079" s="190" t="n">
        <v>31420.4885205149</v>
      </c>
      <c r="I2079" s="191" t="n">
        <v>3493801.28333041</v>
      </c>
      <c r="J2079" s="192" t="str">
        <f>IF(I2079&gt;0,H2079/I2079,0)</f>
      </c>
      <c r="K2079" s="193" t="str">
        <f>1-EXP(-J2079)</f>
      </c>
      <c r="L2079" s="194" t="str">
        <f>IF(G2079=30,1,M2078)</f>
      </c>
      <c r="M2079" s="195" t="str">
        <f>L2079*(1-K2079)</f>
      </c>
    </row>
    <row r="2080">
      <c r="A2080" t="s">
        <v>167</v>
      </c>
      <c r="B2080" t="s">
        <v>219</v>
      </c>
      <c r="C2080" s="35" t="s">
        <v>221</v>
      </c>
      <c r="D2080" t="s">
        <v>502</v>
      </c>
      <c r="E2080" t="s">
        <v>520</v>
      </c>
      <c r="F2080" s="188" t="n">
        <v>2050</v>
      </c>
      <c r="G2080" s="189" t="n">
        <v>68</v>
      </c>
      <c r="H2080" s="190" t="n">
        <v>32832.988848271</v>
      </c>
      <c r="I2080" s="191" t="n">
        <v>3316328.27860229</v>
      </c>
      <c r="J2080" s="192" t="str">
        <f>IF(I2080&gt;0,H2080/I2080,0)</f>
      </c>
      <c r="K2080" s="193" t="str">
        <f>1-EXP(-J2080)</f>
      </c>
      <c r="L2080" s="194" t="str">
        <f>IF(G2080=30,1,M2079)</f>
      </c>
      <c r="M2080" s="195" t="str">
        <f>L2080*(1-K2080)</f>
      </c>
    </row>
    <row r="2081">
      <c r="A2081" t="s">
        <v>167</v>
      </c>
      <c r="B2081" t="s">
        <v>219</v>
      </c>
      <c r="C2081" s="35" t="s">
        <v>221</v>
      </c>
      <c r="D2081" t="s">
        <v>502</v>
      </c>
      <c r="E2081" t="s">
        <v>520</v>
      </c>
      <c r="F2081" s="188" t="n">
        <v>2050</v>
      </c>
      <c r="G2081" s="189" t="n">
        <v>69</v>
      </c>
      <c r="H2081" s="190" t="n">
        <v>34752.5674194433</v>
      </c>
      <c r="I2081" s="191" t="n">
        <v>3187785.4838947</v>
      </c>
      <c r="J2081" s="192" t="str">
        <f>IF(I2081&gt;0,H2081/I2081,0)</f>
      </c>
      <c r="K2081" s="193" t="str">
        <f>1-EXP(-J2081)</f>
      </c>
      <c r="L2081" s="194" t="str">
        <f>IF(G2081=30,1,M2080)</f>
      </c>
      <c r="M2081" s="195" t="str">
        <f>L2081*(1-K2081)</f>
      </c>
    </row>
    <row r="2082">
      <c r="A2082" t="s">
        <v>167</v>
      </c>
      <c r="B2082" t="s">
        <v>250</v>
      </c>
      <c r="C2082" s="35" t="s">
        <v>252</v>
      </c>
      <c r="D2082" t="s">
        <v>502</v>
      </c>
      <c r="E2082" t="s">
        <v>520</v>
      </c>
      <c r="F2082" s="188" t="n">
        <v>2025</v>
      </c>
      <c r="G2082" s="189" t="n">
        <v>30</v>
      </c>
      <c r="H2082" s="190" t="n">
        <v>1282.14808007526</v>
      </c>
      <c r="I2082" s="191" t="n">
        <v>4467259.00744984</v>
      </c>
      <c r="J2082" s="192" t="str">
        <f>IF(I2082&gt;0,H2082/I2082,0)</f>
      </c>
      <c r="K2082" s="193" t="str">
        <f>1-EXP(-J2082)</f>
      </c>
      <c r="L2082" s="194" t="str">
        <f>IF(G2082=30,1,M2081)</f>
      </c>
      <c r="M2082" s="195" t="str">
        <f>L2082*(1-K2082)</f>
      </c>
    </row>
    <row r="2083">
      <c r="A2083" t="s">
        <v>167</v>
      </c>
      <c r="B2083" t="s">
        <v>250</v>
      </c>
      <c r="C2083" s="35" t="s">
        <v>252</v>
      </c>
      <c r="D2083" t="s">
        <v>502</v>
      </c>
      <c r="E2083" t="s">
        <v>520</v>
      </c>
      <c r="F2083" s="188" t="n">
        <v>2025</v>
      </c>
      <c r="G2083" s="189" t="n">
        <v>31</v>
      </c>
      <c r="H2083" s="190" t="n">
        <v>1315.23908698248</v>
      </c>
      <c r="I2083" s="191" t="n">
        <v>4410712.39044934</v>
      </c>
      <c r="J2083" s="192" t="str">
        <f>IF(I2083&gt;0,H2083/I2083,0)</f>
      </c>
      <c r="K2083" s="193" t="str">
        <f>1-EXP(-J2083)</f>
      </c>
      <c r="L2083" s="194" t="str">
        <f>IF(G2083=30,1,M2082)</f>
      </c>
      <c r="M2083" s="195" t="str">
        <f>L2083*(1-K2083)</f>
      </c>
    </row>
    <row r="2084">
      <c r="A2084" t="s">
        <v>167</v>
      </c>
      <c r="B2084" t="s">
        <v>250</v>
      </c>
      <c r="C2084" s="35" t="s">
        <v>252</v>
      </c>
      <c r="D2084" t="s">
        <v>502</v>
      </c>
      <c r="E2084" t="s">
        <v>520</v>
      </c>
      <c r="F2084" s="188" t="n">
        <v>2025</v>
      </c>
      <c r="G2084" s="189" t="n">
        <v>32</v>
      </c>
      <c r="H2084" s="190" t="n">
        <v>1358.36874107968</v>
      </c>
      <c r="I2084" s="191" t="n">
        <v>4358505.80076359</v>
      </c>
      <c r="J2084" s="192" t="str">
        <f>IF(I2084&gt;0,H2084/I2084,0)</f>
      </c>
      <c r="K2084" s="193" t="str">
        <f>1-EXP(-J2084)</f>
      </c>
      <c r="L2084" s="194" t="str">
        <f>IF(G2084=30,1,M2083)</f>
      </c>
      <c r="M2084" s="195" t="str">
        <f>L2084*(1-K2084)</f>
      </c>
    </row>
    <row r="2085">
      <c r="A2085" t="s">
        <v>167</v>
      </c>
      <c r="B2085" t="s">
        <v>250</v>
      </c>
      <c r="C2085" s="35" t="s">
        <v>252</v>
      </c>
      <c r="D2085" t="s">
        <v>502</v>
      </c>
      <c r="E2085" t="s">
        <v>520</v>
      </c>
      <c r="F2085" s="188" t="n">
        <v>2025</v>
      </c>
      <c r="G2085" s="189" t="n">
        <v>33</v>
      </c>
      <c r="H2085" s="190" t="n">
        <v>1441.84186563352</v>
      </c>
      <c r="I2085" s="191" t="n">
        <v>4398745.92791286</v>
      </c>
      <c r="J2085" s="192" t="str">
        <f>IF(I2085&gt;0,H2085/I2085,0)</f>
      </c>
      <c r="K2085" s="193" t="str">
        <f>1-EXP(-J2085)</f>
      </c>
      <c r="L2085" s="194" t="str">
        <f>IF(G2085=30,1,M2084)</f>
      </c>
      <c r="M2085" s="195" t="str">
        <f>L2085*(1-K2085)</f>
      </c>
    </row>
    <row r="2086">
      <c r="A2086" t="s">
        <v>167</v>
      </c>
      <c r="B2086" t="s">
        <v>250</v>
      </c>
      <c r="C2086" s="35" t="s">
        <v>252</v>
      </c>
      <c r="D2086" t="s">
        <v>502</v>
      </c>
      <c r="E2086" t="s">
        <v>520</v>
      </c>
      <c r="F2086" s="188" t="n">
        <v>2025</v>
      </c>
      <c r="G2086" s="189" t="n">
        <v>34</v>
      </c>
      <c r="H2086" s="190" t="n">
        <v>1533.78714702233</v>
      </c>
      <c r="I2086" s="191" t="n">
        <v>4419468.588996</v>
      </c>
      <c r="J2086" s="192" t="str">
        <f>IF(I2086&gt;0,H2086/I2086,0)</f>
      </c>
      <c r="K2086" s="193" t="str">
        <f>1-EXP(-J2086)</f>
      </c>
      <c r="L2086" s="194" t="str">
        <f>IF(G2086=30,1,M2085)</f>
      </c>
      <c r="M2086" s="195" t="str">
        <f>L2086*(1-K2086)</f>
      </c>
    </row>
    <row r="2087">
      <c r="A2087" t="s">
        <v>167</v>
      </c>
      <c r="B2087" t="s">
        <v>250</v>
      </c>
      <c r="C2087" s="35" t="s">
        <v>252</v>
      </c>
      <c r="D2087" t="s">
        <v>502</v>
      </c>
      <c r="E2087" t="s">
        <v>520</v>
      </c>
      <c r="F2087" s="188" t="n">
        <v>2025</v>
      </c>
      <c r="G2087" s="189" t="n">
        <v>35</v>
      </c>
      <c r="H2087" s="190" t="n">
        <v>3016.10693161697</v>
      </c>
      <c r="I2087" s="191" t="n">
        <v>6509663.36688188</v>
      </c>
      <c r="J2087" s="192" t="str">
        <f>IF(I2087&gt;0,H2087/I2087,0)</f>
      </c>
      <c r="K2087" s="193" t="str">
        <f>1-EXP(-J2087)</f>
      </c>
      <c r="L2087" s="194" t="str">
        <f>IF(G2087=30,1,M2086)</f>
      </c>
      <c r="M2087" s="195" t="str">
        <f>L2087*(1-K2087)</f>
      </c>
    </row>
    <row r="2088">
      <c r="A2088" t="s">
        <v>167</v>
      </c>
      <c r="B2088" t="s">
        <v>250</v>
      </c>
      <c r="C2088" s="35" t="s">
        <v>252</v>
      </c>
      <c r="D2088" t="s">
        <v>502</v>
      </c>
      <c r="E2088" t="s">
        <v>520</v>
      </c>
      <c r="F2088" s="188" t="n">
        <v>2025</v>
      </c>
      <c r="G2088" s="189" t="n">
        <v>36</v>
      </c>
      <c r="H2088" s="190" t="n">
        <v>2254.70933318993</v>
      </c>
      <c r="I2088" s="191" t="n">
        <v>4383096.00549538</v>
      </c>
      <c r="J2088" s="192" t="str">
        <f>IF(I2088&gt;0,H2088/I2088,0)</f>
      </c>
      <c r="K2088" s="193" t="str">
        <f>1-EXP(-J2088)</f>
      </c>
      <c r="L2088" s="194" t="str">
        <f>IF(G2088=30,1,M2087)</f>
      </c>
      <c r="M2088" s="195" t="str">
        <f>L2088*(1-K2088)</f>
      </c>
    </row>
    <row r="2089">
      <c r="A2089" t="s">
        <v>167</v>
      </c>
      <c r="B2089" t="s">
        <v>250</v>
      </c>
      <c r="C2089" s="35" t="s">
        <v>252</v>
      </c>
      <c r="D2089" t="s">
        <v>502</v>
      </c>
      <c r="E2089" t="s">
        <v>520</v>
      </c>
      <c r="F2089" s="188" t="n">
        <v>2025</v>
      </c>
      <c r="G2089" s="189" t="n">
        <v>37</v>
      </c>
      <c r="H2089" s="190" t="n">
        <v>2406.72848505594</v>
      </c>
      <c r="I2089" s="191" t="n">
        <v>4369642.29305489</v>
      </c>
      <c r="J2089" s="192" t="str">
        <f>IF(I2089&gt;0,H2089/I2089,0)</f>
      </c>
      <c r="K2089" s="193" t="str">
        <f>1-EXP(-J2089)</f>
      </c>
      <c r="L2089" s="194" t="str">
        <f>IF(G2089=30,1,M2088)</f>
      </c>
      <c r="M2089" s="195" t="str">
        <f>L2089*(1-K2089)</f>
      </c>
    </row>
    <row r="2090">
      <c r="A2090" t="s">
        <v>167</v>
      </c>
      <c r="B2090" t="s">
        <v>250</v>
      </c>
      <c r="C2090" s="35" t="s">
        <v>252</v>
      </c>
      <c r="D2090" t="s">
        <v>502</v>
      </c>
      <c r="E2090" t="s">
        <v>520</v>
      </c>
      <c r="F2090" s="188" t="n">
        <v>2025</v>
      </c>
      <c r="G2090" s="189" t="n">
        <v>38</v>
      </c>
      <c r="H2090" s="190" t="n">
        <v>2504.26492550023</v>
      </c>
      <c r="I2090" s="191" t="n">
        <v>4239505.8530855</v>
      </c>
      <c r="J2090" s="192" t="str">
        <f>IF(I2090&gt;0,H2090/I2090,0)</f>
      </c>
      <c r="K2090" s="193" t="str">
        <f>1-EXP(-J2090)</f>
      </c>
      <c r="L2090" s="194" t="str">
        <f>IF(G2090=30,1,M2089)</f>
      </c>
      <c r="M2090" s="195" t="str">
        <f>L2090*(1-K2090)</f>
      </c>
    </row>
    <row r="2091">
      <c r="A2091" t="s">
        <v>167</v>
      </c>
      <c r="B2091" t="s">
        <v>250</v>
      </c>
      <c r="C2091" s="35" t="s">
        <v>252</v>
      </c>
      <c r="D2091" t="s">
        <v>502</v>
      </c>
      <c r="E2091" t="s">
        <v>520</v>
      </c>
      <c r="F2091" s="188" t="n">
        <v>2025</v>
      </c>
      <c r="G2091" s="189" t="n">
        <v>39</v>
      </c>
      <c r="H2091" s="190" t="n">
        <v>2668.85044983619</v>
      </c>
      <c r="I2091" s="191" t="n">
        <v>4208510.72085438</v>
      </c>
      <c r="J2091" s="192" t="str">
        <f>IF(I2091&gt;0,H2091/I2091,0)</f>
      </c>
      <c r="K2091" s="193" t="str">
        <f>1-EXP(-J2091)</f>
      </c>
      <c r="L2091" s="194" t="str">
        <f>IF(G2091=30,1,M2090)</f>
      </c>
      <c r="M2091" s="195" t="str">
        <f>L2091*(1-K2091)</f>
      </c>
    </row>
    <row r="2092">
      <c r="A2092" t="s">
        <v>167</v>
      </c>
      <c r="B2092" t="s">
        <v>250</v>
      </c>
      <c r="C2092" s="35" t="s">
        <v>252</v>
      </c>
      <c r="D2092" t="s">
        <v>502</v>
      </c>
      <c r="E2092" t="s">
        <v>520</v>
      </c>
      <c r="F2092" s="188" t="n">
        <v>2025</v>
      </c>
      <c r="G2092" s="189" t="n">
        <v>40</v>
      </c>
      <c r="H2092" s="190" t="n">
        <v>3657.34535610759</v>
      </c>
      <c r="I2092" s="191" t="n">
        <v>4272859.94162918</v>
      </c>
      <c r="J2092" s="192" t="str">
        <f>IF(I2092&gt;0,H2092/I2092,0)</f>
      </c>
      <c r="K2092" s="193" t="str">
        <f>1-EXP(-J2092)</f>
      </c>
      <c r="L2092" s="194" t="str">
        <f>IF(G2092=30,1,M2091)</f>
      </c>
      <c r="M2092" s="195" t="str">
        <f>L2092*(1-K2092)</f>
      </c>
    </row>
    <row r="2093">
      <c r="A2093" t="s">
        <v>167</v>
      </c>
      <c r="B2093" t="s">
        <v>250</v>
      </c>
      <c r="C2093" s="35" t="s">
        <v>252</v>
      </c>
      <c r="D2093" t="s">
        <v>502</v>
      </c>
      <c r="E2093" t="s">
        <v>520</v>
      </c>
      <c r="F2093" s="188" t="n">
        <v>2025</v>
      </c>
      <c r="G2093" s="189" t="n">
        <v>41</v>
      </c>
      <c r="H2093" s="190" t="n">
        <v>4027.13767921727</v>
      </c>
      <c r="I2093" s="191" t="n">
        <v>4362484.66303299</v>
      </c>
      <c r="J2093" s="192" t="str">
        <f>IF(I2093&gt;0,H2093/I2093,0)</f>
      </c>
      <c r="K2093" s="193" t="str">
        <f>1-EXP(-J2093)</f>
      </c>
      <c r="L2093" s="194" t="str">
        <f>IF(G2093=30,1,M2092)</f>
      </c>
      <c r="M2093" s="195" t="str">
        <f>L2093*(1-K2093)</f>
      </c>
    </row>
    <row r="2094">
      <c r="A2094" t="s">
        <v>167</v>
      </c>
      <c r="B2094" t="s">
        <v>250</v>
      </c>
      <c r="C2094" s="35" t="s">
        <v>252</v>
      </c>
      <c r="D2094" t="s">
        <v>502</v>
      </c>
      <c r="E2094" t="s">
        <v>520</v>
      </c>
      <c r="F2094" s="188" t="n">
        <v>2025</v>
      </c>
      <c r="G2094" s="189" t="n">
        <v>42</v>
      </c>
      <c r="H2094" s="190" t="n">
        <v>4338.50110850914</v>
      </c>
      <c r="I2094" s="191" t="n">
        <v>4343004.76876643</v>
      </c>
      <c r="J2094" s="192" t="str">
        <f>IF(I2094&gt;0,H2094/I2094,0)</f>
      </c>
      <c r="K2094" s="193" t="str">
        <f>1-EXP(-J2094)</f>
      </c>
      <c r="L2094" s="194" t="str">
        <f>IF(G2094=30,1,M2093)</f>
      </c>
      <c r="M2094" s="195" t="str">
        <f>L2094*(1-K2094)</f>
      </c>
    </row>
    <row r="2095">
      <c r="A2095" t="s">
        <v>167</v>
      </c>
      <c r="B2095" t="s">
        <v>250</v>
      </c>
      <c r="C2095" s="35" t="s">
        <v>252</v>
      </c>
      <c r="D2095" t="s">
        <v>502</v>
      </c>
      <c r="E2095" t="s">
        <v>520</v>
      </c>
      <c r="F2095" s="188" t="n">
        <v>2025</v>
      </c>
      <c r="G2095" s="189" t="n">
        <v>43</v>
      </c>
      <c r="H2095" s="190" t="n">
        <v>4570.23561452701</v>
      </c>
      <c r="I2095" s="191" t="n">
        <v>4209764.82229798</v>
      </c>
      <c r="J2095" s="192" t="str">
        <f>IF(I2095&gt;0,H2095/I2095,0)</f>
      </c>
      <c r="K2095" s="193" t="str">
        <f>1-EXP(-J2095)</f>
      </c>
      <c r="L2095" s="194" t="str">
        <f>IF(G2095=30,1,M2094)</f>
      </c>
      <c r="M2095" s="195" t="str">
        <f>L2095*(1-K2095)</f>
      </c>
    </row>
    <row r="2096">
      <c r="A2096" t="s">
        <v>167</v>
      </c>
      <c r="B2096" t="s">
        <v>250</v>
      </c>
      <c r="C2096" s="35" t="s">
        <v>252</v>
      </c>
      <c r="D2096" t="s">
        <v>502</v>
      </c>
      <c r="E2096" t="s">
        <v>520</v>
      </c>
      <c r="F2096" s="188" t="n">
        <v>2025</v>
      </c>
      <c r="G2096" s="189" t="n">
        <v>44</v>
      </c>
      <c r="H2096" s="190" t="n">
        <v>4899.11975851417</v>
      </c>
      <c r="I2096" s="191" t="n">
        <v>4140245.42433907</v>
      </c>
      <c r="J2096" s="192" t="str">
        <f>IF(I2096&gt;0,H2096/I2096,0)</f>
      </c>
      <c r="K2096" s="193" t="str">
        <f>1-EXP(-J2096)</f>
      </c>
      <c r="L2096" s="194" t="str">
        <f>IF(G2096=30,1,M2095)</f>
      </c>
      <c r="M2096" s="195" t="str">
        <f>L2096*(1-K2096)</f>
      </c>
    </row>
    <row r="2097">
      <c r="A2097" t="s">
        <v>167</v>
      </c>
      <c r="B2097" t="s">
        <v>250</v>
      </c>
      <c r="C2097" s="35" t="s">
        <v>252</v>
      </c>
      <c r="D2097" t="s">
        <v>502</v>
      </c>
      <c r="E2097" t="s">
        <v>520</v>
      </c>
      <c r="F2097" s="188" t="n">
        <v>2025</v>
      </c>
      <c r="G2097" s="189" t="n">
        <v>45</v>
      </c>
      <c r="H2097" s="190" t="n">
        <v>6269.58995124239</v>
      </c>
      <c r="I2097" s="191" t="n">
        <v>4087263.42645959</v>
      </c>
      <c r="J2097" s="192" t="str">
        <f>IF(I2097&gt;0,H2097/I2097,0)</f>
      </c>
      <c r="K2097" s="193" t="str">
        <f>1-EXP(-J2097)</f>
      </c>
      <c r="L2097" s="194" t="str">
        <f>IF(G2097=30,1,M2096)</f>
      </c>
      <c r="M2097" s="195" t="str">
        <f>L2097*(1-K2097)</f>
      </c>
    </row>
    <row r="2098">
      <c r="A2098" t="s">
        <v>167</v>
      </c>
      <c r="B2098" t="s">
        <v>250</v>
      </c>
      <c r="C2098" s="35" t="s">
        <v>252</v>
      </c>
      <c r="D2098" t="s">
        <v>502</v>
      </c>
      <c r="E2098" t="s">
        <v>520</v>
      </c>
      <c r="F2098" s="188" t="n">
        <v>2025</v>
      </c>
      <c r="G2098" s="189" t="n">
        <v>46</v>
      </c>
      <c r="H2098" s="190" t="n">
        <v>6759.61099672677</v>
      </c>
      <c r="I2098" s="191" t="n">
        <v>4028051.8565677</v>
      </c>
      <c r="J2098" s="192" t="str">
        <f>IF(I2098&gt;0,H2098/I2098,0)</f>
      </c>
      <c r="K2098" s="193" t="str">
        <f>1-EXP(-J2098)</f>
      </c>
      <c r="L2098" s="194" t="str">
        <f>IF(G2098=30,1,M2097)</f>
      </c>
      <c r="M2098" s="195" t="str">
        <f>L2098*(1-K2098)</f>
      </c>
    </row>
    <row r="2099">
      <c r="A2099" t="s">
        <v>167</v>
      </c>
      <c r="B2099" t="s">
        <v>250</v>
      </c>
      <c r="C2099" s="35" t="s">
        <v>252</v>
      </c>
      <c r="D2099" t="s">
        <v>502</v>
      </c>
      <c r="E2099" t="s">
        <v>520</v>
      </c>
      <c r="F2099" s="188" t="n">
        <v>2025</v>
      </c>
      <c r="G2099" s="189" t="n">
        <v>47</v>
      </c>
      <c r="H2099" s="190" t="n">
        <v>7252.18511271875</v>
      </c>
      <c r="I2099" s="191" t="n">
        <v>3950277.12889061</v>
      </c>
      <c r="J2099" s="192" t="str">
        <f>IF(I2099&gt;0,H2099/I2099,0)</f>
      </c>
      <c r="K2099" s="193" t="str">
        <f>1-EXP(-J2099)</f>
      </c>
      <c r="L2099" s="194" t="str">
        <f>IF(G2099=30,1,M2098)</f>
      </c>
      <c r="M2099" s="195" t="str">
        <f>L2099*(1-K2099)</f>
      </c>
    </row>
    <row r="2100">
      <c r="A2100" t="s">
        <v>167</v>
      </c>
      <c r="B2100" t="s">
        <v>250</v>
      </c>
      <c r="C2100" s="35" t="s">
        <v>252</v>
      </c>
      <c r="D2100" t="s">
        <v>502</v>
      </c>
      <c r="E2100" t="s">
        <v>520</v>
      </c>
      <c r="F2100" s="188" t="n">
        <v>2025</v>
      </c>
      <c r="G2100" s="189" t="n">
        <v>48</v>
      </c>
      <c r="H2100" s="190" t="n">
        <v>7813.40832117215</v>
      </c>
      <c r="I2100" s="191" t="n">
        <v>3890339.92856643</v>
      </c>
      <c r="J2100" s="192" t="str">
        <f>IF(I2100&gt;0,H2100/I2100,0)</f>
      </c>
      <c r="K2100" s="193" t="str">
        <f>1-EXP(-J2100)</f>
      </c>
      <c r="L2100" s="194" t="str">
        <f>IF(G2100=30,1,M2099)</f>
      </c>
      <c r="M2100" s="195" t="str">
        <f>L2100*(1-K2100)</f>
      </c>
    </row>
    <row r="2101">
      <c r="A2101" t="s">
        <v>167</v>
      </c>
      <c r="B2101" t="s">
        <v>250</v>
      </c>
      <c r="C2101" s="35" t="s">
        <v>252</v>
      </c>
      <c r="D2101" t="s">
        <v>502</v>
      </c>
      <c r="E2101" t="s">
        <v>520</v>
      </c>
      <c r="F2101" s="188" t="n">
        <v>2025</v>
      </c>
      <c r="G2101" s="189" t="n">
        <v>49</v>
      </c>
      <c r="H2101" s="190" t="n">
        <v>8372.78717400612</v>
      </c>
      <c r="I2101" s="191" t="n">
        <v>3818493.26996543</v>
      </c>
      <c r="J2101" s="192" t="str">
        <f>IF(I2101&gt;0,H2101/I2101,0)</f>
      </c>
      <c r="K2101" s="193" t="str">
        <f>1-EXP(-J2101)</f>
      </c>
      <c r="L2101" s="194" t="str">
        <f>IF(G2101=30,1,M2100)</f>
      </c>
      <c r="M2101" s="195" t="str">
        <f>L2101*(1-K2101)</f>
      </c>
    </row>
    <row r="2102">
      <c r="A2102" t="s">
        <v>167</v>
      </c>
      <c r="B2102" t="s">
        <v>250</v>
      </c>
      <c r="C2102" s="35" t="s">
        <v>252</v>
      </c>
      <c r="D2102" t="s">
        <v>502</v>
      </c>
      <c r="E2102" t="s">
        <v>520</v>
      </c>
      <c r="F2102" s="188" t="n">
        <v>2025</v>
      </c>
      <c r="G2102" s="189" t="n">
        <v>50</v>
      </c>
      <c r="H2102" s="190" t="n">
        <v>9615.55870918643</v>
      </c>
      <c r="I2102" s="191" t="n">
        <v>3746208.3894556</v>
      </c>
      <c r="J2102" s="192" t="str">
        <f>IF(I2102&gt;0,H2102/I2102,0)</f>
      </c>
      <c r="K2102" s="193" t="str">
        <f>1-EXP(-J2102)</f>
      </c>
      <c r="L2102" s="194" t="str">
        <f>IF(G2102=30,1,M2101)</f>
      </c>
      <c r="M2102" s="195" t="str">
        <f>L2102*(1-K2102)</f>
      </c>
    </row>
    <row r="2103">
      <c r="A2103" t="s">
        <v>167</v>
      </c>
      <c r="B2103" t="s">
        <v>250</v>
      </c>
      <c r="C2103" s="35" t="s">
        <v>252</v>
      </c>
      <c r="D2103" t="s">
        <v>502</v>
      </c>
      <c r="E2103" t="s">
        <v>520</v>
      </c>
      <c r="F2103" s="188" t="n">
        <v>2025</v>
      </c>
      <c r="G2103" s="189" t="n">
        <v>51</v>
      </c>
      <c r="H2103" s="190" t="n">
        <v>10197.7741864065</v>
      </c>
      <c r="I2103" s="191" t="n">
        <v>3645044.21523223</v>
      </c>
      <c r="J2103" s="192" t="str">
        <f>IF(I2103&gt;0,H2103/I2103,0)</f>
      </c>
      <c r="K2103" s="193" t="str">
        <f>1-EXP(-J2103)</f>
      </c>
      <c r="L2103" s="194" t="str">
        <f>IF(G2103=30,1,M2102)</f>
      </c>
      <c r="M2103" s="195" t="str">
        <f>L2103*(1-K2103)</f>
      </c>
    </row>
    <row r="2104">
      <c r="A2104" t="s">
        <v>167</v>
      </c>
      <c r="B2104" t="s">
        <v>250</v>
      </c>
      <c r="C2104" s="35" t="s">
        <v>252</v>
      </c>
      <c r="D2104" t="s">
        <v>502</v>
      </c>
      <c r="E2104" t="s">
        <v>520</v>
      </c>
      <c r="F2104" s="188" t="n">
        <v>2025</v>
      </c>
      <c r="G2104" s="189" t="n">
        <v>52</v>
      </c>
      <c r="H2104" s="190" t="n">
        <v>10999.1856381924</v>
      </c>
      <c r="I2104" s="191" t="n">
        <v>3606935.96429087</v>
      </c>
      <c r="J2104" s="192" t="str">
        <f>IF(I2104&gt;0,H2104/I2104,0)</f>
      </c>
      <c r="K2104" s="193" t="str">
        <f>1-EXP(-J2104)</f>
      </c>
      <c r="L2104" s="194" t="str">
        <f>IF(G2104=30,1,M2103)</f>
      </c>
      <c r="M2104" s="195" t="str">
        <f>L2104*(1-K2104)</f>
      </c>
    </row>
    <row r="2105">
      <c r="A2105" t="s">
        <v>167</v>
      </c>
      <c r="B2105" t="s">
        <v>250</v>
      </c>
      <c r="C2105" s="35" t="s">
        <v>252</v>
      </c>
      <c r="D2105" t="s">
        <v>502</v>
      </c>
      <c r="E2105" t="s">
        <v>520</v>
      </c>
      <c r="F2105" s="188" t="n">
        <v>2025</v>
      </c>
      <c r="G2105" s="189" t="n">
        <v>53</v>
      </c>
      <c r="H2105" s="190" t="n">
        <v>11320.211791169</v>
      </c>
      <c r="I2105" s="191" t="n">
        <v>3400438.09374049</v>
      </c>
      <c r="J2105" s="192" t="str">
        <f>IF(I2105&gt;0,H2105/I2105,0)</f>
      </c>
      <c r="K2105" s="193" t="str">
        <f>1-EXP(-J2105)</f>
      </c>
      <c r="L2105" s="194" t="str">
        <f>IF(G2105=30,1,M2104)</f>
      </c>
      <c r="M2105" s="195" t="str">
        <f>L2105*(1-K2105)</f>
      </c>
    </row>
    <row r="2106">
      <c r="A2106" t="s">
        <v>167</v>
      </c>
      <c r="B2106" t="s">
        <v>250</v>
      </c>
      <c r="C2106" s="35" t="s">
        <v>252</v>
      </c>
      <c r="D2106" t="s">
        <v>502</v>
      </c>
      <c r="E2106" t="s">
        <v>520</v>
      </c>
      <c r="F2106" s="188" t="n">
        <v>2025</v>
      </c>
      <c r="G2106" s="189" t="n">
        <v>54</v>
      </c>
      <c r="H2106" s="190" t="n">
        <v>12058.0132264927</v>
      </c>
      <c r="I2106" s="191" t="n">
        <v>3319306.02358973</v>
      </c>
      <c r="J2106" s="192" t="str">
        <f>IF(I2106&gt;0,H2106/I2106,0)</f>
      </c>
      <c r="K2106" s="193" t="str">
        <f>1-EXP(-J2106)</f>
      </c>
      <c r="L2106" s="194" t="str">
        <f>IF(G2106=30,1,M2105)</f>
      </c>
      <c r="M2106" s="195" t="str">
        <f>L2106*(1-K2106)</f>
      </c>
    </row>
    <row r="2107">
      <c r="A2107" t="s">
        <v>167</v>
      </c>
      <c r="B2107" t="s">
        <v>250</v>
      </c>
      <c r="C2107" s="35" t="s">
        <v>252</v>
      </c>
      <c r="D2107" t="s">
        <v>502</v>
      </c>
      <c r="E2107" t="s">
        <v>520</v>
      </c>
      <c r="F2107" s="188" t="n">
        <v>2025</v>
      </c>
      <c r="G2107" s="189" t="n">
        <v>55</v>
      </c>
      <c r="H2107" s="190" t="n">
        <v>13121.8630224673</v>
      </c>
      <c r="I2107" s="191" t="n">
        <v>3243129.6175784</v>
      </c>
      <c r="J2107" s="192" t="str">
        <f>IF(I2107&gt;0,H2107/I2107,0)</f>
      </c>
      <c r="K2107" s="193" t="str">
        <f>1-EXP(-J2107)</f>
      </c>
      <c r="L2107" s="194" t="str">
        <f>IF(G2107=30,1,M2106)</f>
      </c>
      <c r="M2107" s="195" t="str">
        <f>L2107*(1-K2107)</f>
      </c>
    </row>
    <row r="2108">
      <c r="A2108" t="s">
        <v>167</v>
      </c>
      <c r="B2108" t="s">
        <v>250</v>
      </c>
      <c r="C2108" s="35" t="s">
        <v>252</v>
      </c>
      <c r="D2108" t="s">
        <v>502</v>
      </c>
      <c r="E2108" t="s">
        <v>520</v>
      </c>
      <c r="F2108" s="188" t="n">
        <v>2025</v>
      </c>
      <c r="G2108" s="189" t="n">
        <v>56</v>
      </c>
      <c r="H2108" s="190" t="n">
        <v>13949.400946191</v>
      </c>
      <c r="I2108" s="191" t="n">
        <v>3157182.63240391</v>
      </c>
      <c r="J2108" s="192" t="str">
        <f>IF(I2108&gt;0,H2108/I2108,0)</f>
      </c>
      <c r="K2108" s="193" t="str">
        <f>1-EXP(-J2108)</f>
      </c>
      <c r="L2108" s="194" t="str">
        <f>IF(G2108=30,1,M2107)</f>
      </c>
      <c r="M2108" s="195" t="str">
        <f>L2108*(1-K2108)</f>
      </c>
    </row>
    <row r="2109">
      <c r="A2109" t="s">
        <v>167</v>
      </c>
      <c r="B2109" t="s">
        <v>250</v>
      </c>
      <c r="C2109" s="35" t="s">
        <v>252</v>
      </c>
      <c r="D2109" t="s">
        <v>502</v>
      </c>
      <c r="E2109" t="s">
        <v>520</v>
      </c>
      <c r="F2109" s="188" t="n">
        <v>2025</v>
      </c>
      <c r="G2109" s="189" t="n">
        <v>57</v>
      </c>
      <c r="H2109" s="190" t="n">
        <v>14724.9347216004</v>
      </c>
      <c r="I2109" s="191" t="n">
        <v>3051443.9184786</v>
      </c>
      <c r="J2109" s="192" t="str">
        <f>IF(I2109&gt;0,H2109/I2109,0)</f>
      </c>
      <c r="K2109" s="193" t="str">
        <f>1-EXP(-J2109)</f>
      </c>
      <c r="L2109" s="194" t="str">
        <f>IF(G2109=30,1,M2108)</f>
      </c>
      <c r="M2109" s="195" t="str">
        <f>L2109*(1-K2109)</f>
      </c>
    </row>
    <row r="2110">
      <c r="A2110" t="s">
        <v>167</v>
      </c>
      <c r="B2110" t="s">
        <v>250</v>
      </c>
      <c r="C2110" s="35" t="s">
        <v>252</v>
      </c>
      <c r="D2110" t="s">
        <v>502</v>
      </c>
      <c r="E2110" t="s">
        <v>520</v>
      </c>
      <c r="F2110" s="188" t="n">
        <v>2025</v>
      </c>
      <c r="G2110" s="189" t="n">
        <v>58</v>
      </c>
      <c r="H2110" s="190" t="n">
        <v>15371.2074623555</v>
      </c>
      <c r="I2110" s="191" t="n">
        <v>2913456.20780408</v>
      </c>
      <c r="J2110" s="192" t="str">
        <f>IF(I2110&gt;0,H2110/I2110,0)</f>
      </c>
      <c r="K2110" s="193" t="str">
        <f>1-EXP(-J2110)</f>
      </c>
      <c r="L2110" s="194" t="str">
        <f>IF(G2110=30,1,M2109)</f>
      </c>
      <c r="M2110" s="195" t="str">
        <f>L2110*(1-K2110)</f>
      </c>
    </row>
    <row r="2111">
      <c r="A2111" t="s">
        <v>167</v>
      </c>
      <c r="B2111" t="s">
        <v>250</v>
      </c>
      <c r="C2111" s="35" t="s">
        <v>252</v>
      </c>
      <c r="D2111" t="s">
        <v>502</v>
      </c>
      <c r="E2111" t="s">
        <v>520</v>
      </c>
      <c r="F2111" s="188" t="n">
        <v>2025</v>
      </c>
      <c r="G2111" s="189" t="n">
        <v>59</v>
      </c>
      <c r="H2111" s="190" t="n">
        <v>16213.8109625709</v>
      </c>
      <c r="I2111" s="191" t="n">
        <v>2813535.58615437</v>
      </c>
      <c r="J2111" s="192" t="str">
        <f>IF(I2111&gt;0,H2111/I2111,0)</f>
      </c>
      <c r="K2111" s="193" t="str">
        <f>1-EXP(-J2111)</f>
      </c>
      <c r="L2111" s="194" t="str">
        <f>IF(G2111=30,1,M2110)</f>
      </c>
      <c r="M2111" s="195" t="str">
        <f>L2111*(1-K2111)</f>
      </c>
    </row>
    <row r="2112">
      <c r="A2112" t="s">
        <v>167</v>
      </c>
      <c r="B2112" t="s">
        <v>250</v>
      </c>
      <c r="C2112" s="35" t="s">
        <v>252</v>
      </c>
      <c r="D2112" t="s">
        <v>502</v>
      </c>
      <c r="E2112" t="s">
        <v>520</v>
      </c>
      <c r="F2112" s="188" t="n">
        <v>2025</v>
      </c>
      <c r="G2112" s="189" t="n">
        <v>60</v>
      </c>
      <c r="H2112" s="190" t="n">
        <v>17442.466213005</v>
      </c>
      <c r="I2112" s="191" t="n">
        <v>2691047.17153736</v>
      </c>
      <c r="J2112" s="192" t="str">
        <f>IF(I2112&gt;0,H2112/I2112,0)</f>
      </c>
      <c r="K2112" s="193" t="str">
        <f>1-EXP(-J2112)</f>
      </c>
      <c r="L2112" s="194" t="str">
        <f>IF(G2112=30,1,M2111)</f>
      </c>
      <c r="M2112" s="195" t="str">
        <f>L2112*(1-K2112)</f>
      </c>
    </row>
    <row r="2113">
      <c r="A2113" t="s">
        <v>167</v>
      </c>
      <c r="B2113" t="s">
        <v>250</v>
      </c>
      <c r="C2113" s="35" t="s">
        <v>252</v>
      </c>
      <c r="D2113" t="s">
        <v>502</v>
      </c>
      <c r="E2113" t="s">
        <v>520</v>
      </c>
      <c r="F2113" s="188" t="n">
        <v>2025</v>
      </c>
      <c r="G2113" s="189" t="n">
        <v>61</v>
      </c>
      <c r="H2113" s="190" t="n">
        <v>18185.5962140586</v>
      </c>
      <c r="I2113" s="191" t="n">
        <v>2568096.94973173</v>
      </c>
      <c r="J2113" s="192" t="str">
        <f>IF(I2113&gt;0,H2113/I2113,0)</f>
      </c>
      <c r="K2113" s="193" t="str">
        <f>1-EXP(-J2113)</f>
      </c>
      <c r="L2113" s="194" t="str">
        <f>IF(G2113=30,1,M2112)</f>
      </c>
      <c r="M2113" s="195" t="str">
        <f>L2113*(1-K2113)</f>
      </c>
    </row>
    <row r="2114">
      <c r="A2114" t="s">
        <v>167</v>
      </c>
      <c r="B2114" t="s">
        <v>250</v>
      </c>
      <c r="C2114" s="35" t="s">
        <v>252</v>
      </c>
      <c r="D2114" t="s">
        <v>502</v>
      </c>
      <c r="E2114" t="s">
        <v>520</v>
      </c>
      <c r="F2114" s="188" t="n">
        <v>2025</v>
      </c>
      <c r="G2114" s="189" t="n">
        <v>62</v>
      </c>
      <c r="H2114" s="190" t="n">
        <v>18970.1376231544</v>
      </c>
      <c r="I2114" s="191" t="n">
        <v>2450910.06582199</v>
      </c>
      <c r="J2114" s="192" t="str">
        <f>IF(I2114&gt;0,H2114/I2114,0)</f>
      </c>
      <c r="K2114" s="193" t="str">
        <f>1-EXP(-J2114)</f>
      </c>
      <c r="L2114" s="194" t="str">
        <f>IF(G2114=30,1,M2113)</f>
      </c>
      <c r="M2114" s="195" t="str">
        <f>L2114*(1-K2114)</f>
      </c>
    </row>
    <row r="2115">
      <c r="A2115" t="s">
        <v>167</v>
      </c>
      <c r="B2115" t="s">
        <v>250</v>
      </c>
      <c r="C2115" s="35" t="s">
        <v>252</v>
      </c>
      <c r="D2115" t="s">
        <v>502</v>
      </c>
      <c r="E2115" t="s">
        <v>520</v>
      </c>
      <c r="F2115" s="188" t="n">
        <v>2025</v>
      </c>
      <c r="G2115" s="189" t="n">
        <v>63</v>
      </c>
      <c r="H2115" s="190" t="n">
        <v>19616.8921947261</v>
      </c>
      <c r="I2115" s="191" t="n">
        <v>2307352.6622382</v>
      </c>
      <c r="J2115" s="192" t="str">
        <f>IF(I2115&gt;0,H2115/I2115,0)</f>
      </c>
      <c r="K2115" s="193" t="str">
        <f>1-EXP(-J2115)</f>
      </c>
      <c r="L2115" s="194" t="str">
        <f>IF(G2115=30,1,M2114)</f>
      </c>
      <c r="M2115" s="195" t="str">
        <f>L2115*(1-K2115)</f>
      </c>
    </row>
    <row r="2116">
      <c r="A2116" t="s">
        <v>167</v>
      </c>
      <c r="B2116" t="s">
        <v>250</v>
      </c>
      <c r="C2116" s="35" t="s">
        <v>252</v>
      </c>
      <c r="D2116" t="s">
        <v>502</v>
      </c>
      <c r="E2116" t="s">
        <v>520</v>
      </c>
      <c r="F2116" s="188" t="n">
        <v>2025</v>
      </c>
      <c r="G2116" s="189" t="n">
        <v>64</v>
      </c>
      <c r="H2116" s="190" t="n">
        <v>20366.5260402308</v>
      </c>
      <c r="I2116" s="191" t="n">
        <v>2189442.45160812</v>
      </c>
      <c r="J2116" s="192" t="str">
        <f>IF(I2116&gt;0,H2116/I2116,0)</f>
      </c>
      <c r="K2116" s="193" t="str">
        <f>1-EXP(-J2116)</f>
      </c>
      <c r="L2116" s="194" t="str">
        <f>IF(G2116=30,1,M2115)</f>
      </c>
      <c r="M2116" s="195" t="str">
        <f>L2116*(1-K2116)</f>
      </c>
    </row>
    <row r="2117">
      <c r="A2117" t="s">
        <v>167</v>
      </c>
      <c r="B2117" t="s">
        <v>250</v>
      </c>
      <c r="C2117" s="35" t="s">
        <v>252</v>
      </c>
      <c r="D2117" t="s">
        <v>502</v>
      </c>
      <c r="E2117" t="s">
        <v>520</v>
      </c>
      <c r="F2117" s="188" t="n">
        <v>2025</v>
      </c>
      <c r="G2117" s="189" t="n">
        <v>65</v>
      </c>
      <c r="H2117" s="190" t="n">
        <v>20564.8182811925</v>
      </c>
      <c r="I2117" s="191" t="n">
        <v>2067379.29561573</v>
      </c>
      <c r="J2117" s="192" t="str">
        <f>IF(I2117&gt;0,H2117/I2117,0)</f>
      </c>
      <c r="K2117" s="193" t="str">
        <f>1-EXP(-J2117)</f>
      </c>
      <c r="L2117" s="194" t="str">
        <f>IF(G2117=30,1,M2116)</f>
      </c>
      <c r="M2117" s="195" t="str">
        <f>L2117*(1-K2117)</f>
      </c>
    </row>
    <row r="2118">
      <c r="A2118" t="s">
        <v>167</v>
      </c>
      <c r="B2118" t="s">
        <v>250</v>
      </c>
      <c r="C2118" s="35" t="s">
        <v>252</v>
      </c>
      <c r="D2118" t="s">
        <v>502</v>
      </c>
      <c r="E2118" t="s">
        <v>520</v>
      </c>
      <c r="F2118" s="188" t="n">
        <v>2025</v>
      </c>
      <c r="G2118" s="189" t="n">
        <v>66</v>
      </c>
      <c r="H2118" s="190" t="n">
        <v>21128.4842212808</v>
      </c>
      <c r="I2118" s="191" t="n">
        <v>1938977.04767675</v>
      </c>
      <c r="J2118" s="192" t="str">
        <f>IF(I2118&gt;0,H2118/I2118,0)</f>
      </c>
      <c r="K2118" s="193" t="str">
        <f>1-EXP(-J2118)</f>
      </c>
      <c r="L2118" s="194" t="str">
        <f>IF(G2118=30,1,M2117)</f>
      </c>
      <c r="M2118" s="195" t="str">
        <f>L2118*(1-K2118)</f>
      </c>
    </row>
    <row r="2119">
      <c r="A2119" t="s">
        <v>167</v>
      </c>
      <c r="B2119" t="s">
        <v>250</v>
      </c>
      <c r="C2119" s="35" t="s">
        <v>252</v>
      </c>
      <c r="D2119" t="s">
        <v>502</v>
      </c>
      <c r="E2119" t="s">
        <v>520</v>
      </c>
      <c r="F2119" s="188" t="n">
        <v>2025</v>
      </c>
      <c r="G2119" s="189" t="n">
        <v>67</v>
      </c>
      <c r="H2119" s="190" t="n">
        <v>21650.1531142985</v>
      </c>
      <c r="I2119" s="191" t="n">
        <v>1812804.58670767</v>
      </c>
      <c r="J2119" s="192" t="str">
        <f>IF(I2119&gt;0,H2119/I2119,0)</f>
      </c>
      <c r="K2119" s="193" t="str">
        <f>1-EXP(-J2119)</f>
      </c>
      <c r="L2119" s="194" t="str">
        <f>IF(G2119=30,1,M2118)</f>
      </c>
      <c r="M2119" s="195" t="str">
        <f>L2119*(1-K2119)</f>
      </c>
    </row>
    <row r="2120">
      <c r="A2120" t="s">
        <v>167</v>
      </c>
      <c r="B2120" t="s">
        <v>250</v>
      </c>
      <c r="C2120" s="35" t="s">
        <v>252</v>
      </c>
      <c r="D2120" t="s">
        <v>502</v>
      </c>
      <c r="E2120" t="s">
        <v>520</v>
      </c>
      <c r="F2120" s="188" t="n">
        <v>2025</v>
      </c>
      <c r="G2120" s="189" t="n">
        <v>68</v>
      </c>
      <c r="H2120" s="190" t="n">
        <v>22443.5912394105</v>
      </c>
      <c r="I2120" s="191" t="n">
        <v>1708817.0374287</v>
      </c>
      <c r="J2120" s="192" t="str">
        <f>IF(I2120&gt;0,H2120/I2120,0)</f>
      </c>
      <c r="K2120" s="193" t="str">
        <f>1-EXP(-J2120)</f>
      </c>
      <c r="L2120" s="194" t="str">
        <f>IF(G2120=30,1,M2119)</f>
      </c>
      <c r="M2120" s="195" t="str">
        <f>L2120*(1-K2120)</f>
      </c>
    </row>
    <row r="2121">
      <c r="A2121" t="s">
        <v>167</v>
      </c>
      <c r="B2121" t="s">
        <v>250</v>
      </c>
      <c r="C2121" s="35" t="s">
        <v>252</v>
      </c>
      <c r="D2121" t="s">
        <v>502</v>
      </c>
      <c r="E2121" t="s">
        <v>520</v>
      </c>
      <c r="F2121" s="188" t="n">
        <v>2025</v>
      </c>
      <c r="G2121" s="189" t="n">
        <v>69</v>
      </c>
      <c r="H2121" s="190" t="n">
        <v>22887.5139092692</v>
      </c>
      <c r="I2121" s="191" t="n">
        <v>1588246.5017458</v>
      </c>
      <c r="J2121" s="192" t="str">
        <f>IF(I2121&gt;0,H2121/I2121,0)</f>
      </c>
      <c r="K2121" s="193" t="str">
        <f>1-EXP(-J2121)</f>
      </c>
      <c r="L2121" s="194" t="str">
        <f>IF(G2121=30,1,M2120)</f>
      </c>
      <c r="M2121" s="195" t="str">
        <f>L2121*(1-K2121)</f>
      </c>
    </row>
    <row r="2122">
      <c r="A2122" t="s">
        <v>167</v>
      </c>
      <c r="B2122" t="s">
        <v>250</v>
      </c>
      <c r="C2122" s="35" t="s">
        <v>252</v>
      </c>
      <c r="D2122" t="s">
        <v>502</v>
      </c>
      <c r="E2122" t="s">
        <v>520</v>
      </c>
      <c r="F2122" s="188" t="n">
        <v>2026</v>
      </c>
      <c r="G2122" s="189" t="n">
        <v>30</v>
      </c>
      <c r="H2122" s="190" t="n">
        <v>1295.46617211199</v>
      </c>
      <c r="I2122" s="191" t="n">
        <v>4533066.05431128</v>
      </c>
      <c r="J2122" s="192" t="str">
        <f>IF(I2122&gt;0,H2122/I2122,0)</f>
      </c>
      <c r="K2122" s="193" t="str">
        <f>1-EXP(-J2122)</f>
      </c>
      <c r="L2122" s="194" t="str">
        <f>IF(G2122=30,1,M2121)</f>
      </c>
      <c r="M2122" s="195" t="str">
        <f>L2122*(1-K2122)</f>
      </c>
    </row>
    <row r="2123">
      <c r="A2123" t="s">
        <v>167</v>
      </c>
      <c r="B2123" t="s">
        <v>250</v>
      </c>
      <c r="C2123" s="35" t="s">
        <v>252</v>
      </c>
      <c r="D2123" t="s">
        <v>502</v>
      </c>
      <c r="E2123" t="s">
        <v>520</v>
      </c>
      <c r="F2123" s="188" t="n">
        <v>2026</v>
      </c>
      <c r="G2123" s="189" t="n">
        <v>31</v>
      </c>
      <c r="H2123" s="190" t="n">
        <v>1324.6871669548</v>
      </c>
      <c r="I2123" s="191" t="n">
        <v>4460323.13013529</v>
      </c>
      <c r="J2123" s="192" t="str">
        <f>IF(I2123&gt;0,H2123/I2123,0)</f>
      </c>
      <c r="K2123" s="193" t="str">
        <f>1-EXP(-J2123)</f>
      </c>
      <c r="L2123" s="194" t="str">
        <f>IF(G2123=30,1,M2122)</f>
      </c>
      <c r="M2123" s="195" t="str">
        <f>L2123*(1-K2123)</f>
      </c>
    </row>
    <row r="2124">
      <c r="A2124" t="s">
        <v>167</v>
      </c>
      <c r="B2124" t="s">
        <v>250</v>
      </c>
      <c r="C2124" s="35" t="s">
        <v>252</v>
      </c>
      <c r="D2124" t="s">
        <v>502</v>
      </c>
      <c r="E2124" t="s">
        <v>520</v>
      </c>
      <c r="F2124" s="188" t="n">
        <v>2026</v>
      </c>
      <c r="G2124" s="189" t="n">
        <v>32</v>
      </c>
      <c r="H2124" s="190" t="n">
        <v>1367.3501360906</v>
      </c>
      <c r="I2124" s="191" t="n">
        <v>4404105.59550118</v>
      </c>
      <c r="J2124" s="192" t="str">
        <f>IF(I2124&gt;0,H2124/I2124,0)</f>
      </c>
      <c r="K2124" s="193" t="str">
        <f>1-EXP(-J2124)</f>
      </c>
      <c r="L2124" s="194" t="str">
        <f>IF(G2124=30,1,M2123)</f>
      </c>
      <c r="M2124" s="195" t="str">
        <f>L2124*(1-K2124)</f>
      </c>
    </row>
    <row r="2125">
      <c r="A2125" t="s">
        <v>167</v>
      </c>
      <c r="B2125" t="s">
        <v>250</v>
      </c>
      <c r="C2125" s="35" t="s">
        <v>252</v>
      </c>
      <c r="D2125" t="s">
        <v>502</v>
      </c>
      <c r="E2125" t="s">
        <v>520</v>
      </c>
      <c r="F2125" s="188" t="n">
        <v>2026</v>
      </c>
      <c r="G2125" s="189" t="n">
        <v>33</v>
      </c>
      <c r="H2125" s="190" t="n">
        <v>1421.78823439065</v>
      </c>
      <c r="I2125" s="191" t="n">
        <v>4351714.92353231</v>
      </c>
      <c r="J2125" s="192" t="str">
        <f>IF(I2125&gt;0,H2125/I2125,0)</f>
      </c>
      <c r="K2125" s="193" t="str">
        <f>1-EXP(-J2125)</f>
      </c>
      <c r="L2125" s="194" t="str">
        <f>IF(G2125=30,1,M2124)</f>
      </c>
      <c r="M2125" s="195" t="str">
        <f>L2125*(1-K2125)</f>
      </c>
    </row>
    <row r="2126">
      <c r="A2126" t="s">
        <v>167</v>
      </c>
      <c r="B2126" t="s">
        <v>250</v>
      </c>
      <c r="C2126" s="35" t="s">
        <v>252</v>
      </c>
      <c r="D2126" t="s">
        <v>502</v>
      </c>
      <c r="E2126" t="s">
        <v>520</v>
      </c>
      <c r="F2126" s="188" t="n">
        <v>2026</v>
      </c>
      <c r="G2126" s="189" t="n">
        <v>34</v>
      </c>
      <c r="H2126" s="190" t="n">
        <v>1518.7212799954</v>
      </c>
      <c r="I2126" s="191" t="n">
        <v>4391577.80533736</v>
      </c>
      <c r="J2126" s="192" t="str">
        <f>IF(I2126&gt;0,H2126/I2126,0)</f>
      </c>
      <c r="K2126" s="193" t="str">
        <f>1-EXP(-J2126)</f>
      </c>
      <c r="L2126" s="194" t="str">
        <f>IF(G2126=30,1,M2125)</f>
      </c>
      <c r="M2126" s="195" t="str">
        <f>L2126*(1-K2126)</f>
      </c>
    </row>
    <row r="2127">
      <c r="A2127" t="s">
        <v>167</v>
      </c>
      <c r="B2127" t="s">
        <v>250</v>
      </c>
      <c r="C2127" s="35" t="s">
        <v>252</v>
      </c>
      <c r="D2127" t="s">
        <v>502</v>
      </c>
      <c r="E2127" t="s">
        <v>520</v>
      </c>
      <c r="F2127" s="188" t="n">
        <v>2026</v>
      </c>
      <c r="G2127" s="189" t="n">
        <v>35</v>
      </c>
      <c r="H2127" s="190" t="n">
        <v>2107.63716151277</v>
      </c>
      <c r="I2127" s="191" t="n">
        <v>4411881.63741314</v>
      </c>
      <c r="J2127" s="192" t="str">
        <f>IF(I2127&gt;0,H2127/I2127,0)</f>
      </c>
      <c r="K2127" s="193" t="str">
        <f>1-EXP(-J2127)</f>
      </c>
      <c r="L2127" s="194" t="str">
        <f>IF(G2127=30,1,M2126)</f>
      </c>
      <c r="M2127" s="195" t="str">
        <f>L2127*(1-K2127)</f>
      </c>
    </row>
    <row r="2128">
      <c r="A2128" t="s">
        <v>167</v>
      </c>
      <c r="B2128" t="s">
        <v>250</v>
      </c>
      <c r="C2128" s="35" t="s">
        <v>252</v>
      </c>
      <c r="D2128" t="s">
        <v>502</v>
      </c>
      <c r="E2128" t="s">
        <v>520</v>
      </c>
      <c r="F2128" s="188" t="n">
        <v>2026</v>
      </c>
      <c r="G2128" s="189" t="n">
        <v>36</v>
      </c>
      <c r="H2128" s="190" t="n">
        <v>3189.70015834133</v>
      </c>
      <c r="I2128" s="191" t="n">
        <v>6497474.08312581</v>
      </c>
      <c r="J2128" s="192" t="str">
        <f>IF(I2128&gt;0,H2128/I2128,0)</f>
      </c>
      <c r="K2128" s="193" t="str">
        <f>1-EXP(-J2128)</f>
      </c>
      <c r="L2128" s="194" t="str">
        <f>IF(G2128=30,1,M2127)</f>
      </c>
      <c r="M2128" s="195" t="str">
        <f>L2128*(1-K2128)</f>
      </c>
    </row>
    <row r="2129">
      <c r="A2129" t="s">
        <v>167</v>
      </c>
      <c r="B2129" t="s">
        <v>250</v>
      </c>
      <c r="C2129" s="35" t="s">
        <v>252</v>
      </c>
      <c r="D2129" t="s">
        <v>502</v>
      </c>
      <c r="E2129" t="s">
        <v>520</v>
      </c>
      <c r="F2129" s="188" t="n">
        <v>2026</v>
      </c>
      <c r="G2129" s="189" t="n">
        <v>37</v>
      </c>
      <c r="H2129" s="190" t="n">
        <v>2391.45947018397</v>
      </c>
      <c r="I2129" s="191" t="n">
        <v>4374564.95231593</v>
      </c>
      <c r="J2129" s="192" t="str">
        <f>IF(I2129&gt;0,H2129/I2129,0)</f>
      </c>
      <c r="K2129" s="193" t="str">
        <f>1-EXP(-J2129)</f>
      </c>
      <c r="L2129" s="194" t="str">
        <f>IF(G2129=30,1,M2128)</f>
      </c>
      <c r="M2129" s="195" t="str">
        <f>L2129*(1-K2129)</f>
      </c>
    </row>
    <row r="2130">
      <c r="A2130" t="s">
        <v>167</v>
      </c>
      <c r="B2130" t="s">
        <v>250</v>
      </c>
      <c r="C2130" s="35" t="s">
        <v>252</v>
      </c>
      <c r="D2130" t="s">
        <v>502</v>
      </c>
      <c r="E2130" t="s">
        <v>520</v>
      </c>
      <c r="F2130" s="188" t="n">
        <v>2026</v>
      </c>
      <c r="G2130" s="189" t="n">
        <v>38</v>
      </c>
      <c r="H2130" s="190" t="n">
        <v>2557.21527081807</v>
      </c>
      <c r="I2130" s="191" t="n">
        <v>4360550.03715021</v>
      </c>
      <c r="J2130" s="192" t="str">
        <f>IF(I2130&gt;0,H2130/I2130,0)</f>
      </c>
      <c r="K2130" s="193" t="str">
        <f>1-EXP(-J2130)</f>
      </c>
      <c r="L2130" s="194" t="str">
        <f>IF(G2130=30,1,M2129)</f>
      </c>
      <c r="M2130" s="195" t="str">
        <f>L2130*(1-K2130)</f>
      </c>
    </row>
    <row r="2131">
      <c r="A2131" t="s">
        <v>167</v>
      </c>
      <c r="B2131" t="s">
        <v>250</v>
      </c>
      <c r="C2131" s="35" t="s">
        <v>252</v>
      </c>
      <c r="D2131" t="s">
        <v>502</v>
      </c>
      <c r="E2131" t="s">
        <v>520</v>
      </c>
      <c r="F2131" s="188" t="n">
        <v>2026</v>
      </c>
      <c r="G2131" s="189" t="n">
        <v>39</v>
      </c>
      <c r="H2131" s="190" t="n">
        <v>2665.08024504434</v>
      </c>
      <c r="I2131" s="191" t="n">
        <v>4230055.14654035</v>
      </c>
      <c r="J2131" s="192" t="str">
        <f>IF(I2131&gt;0,H2131/I2131,0)</f>
      </c>
      <c r="K2131" s="193" t="str">
        <f>1-EXP(-J2131)</f>
      </c>
      <c r="L2131" s="194" t="str">
        <f>IF(G2131=30,1,M2130)</f>
      </c>
      <c r="M2131" s="195" t="str">
        <f>L2131*(1-K2131)</f>
      </c>
    </row>
    <row r="2132">
      <c r="A2132" t="s">
        <v>167</v>
      </c>
      <c r="B2132" t="s">
        <v>250</v>
      </c>
      <c r="C2132" s="35" t="s">
        <v>252</v>
      </c>
      <c r="D2132" t="s">
        <v>502</v>
      </c>
      <c r="E2132" t="s">
        <v>520</v>
      </c>
      <c r="F2132" s="188" t="n">
        <v>2026</v>
      </c>
      <c r="G2132" s="189" t="n">
        <v>40</v>
      </c>
      <c r="H2132" s="190" t="n">
        <v>3567.46549173797</v>
      </c>
      <c r="I2132" s="191" t="n">
        <v>4198447.80357072</v>
      </c>
      <c r="J2132" s="192" t="str">
        <f>IF(I2132&gt;0,H2132/I2132,0)</f>
      </c>
      <c r="K2132" s="193" t="str">
        <f>1-EXP(-J2132)</f>
      </c>
      <c r="L2132" s="194" t="str">
        <f>IF(G2132=30,1,M2131)</f>
      </c>
      <c r="M2132" s="195" t="str">
        <f>L2132*(1-K2132)</f>
      </c>
    </row>
    <row r="2133">
      <c r="A2133" t="s">
        <v>167</v>
      </c>
      <c r="B2133" t="s">
        <v>250</v>
      </c>
      <c r="C2133" s="35" t="s">
        <v>252</v>
      </c>
      <c r="D2133" t="s">
        <v>502</v>
      </c>
      <c r="E2133" t="s">
        <v>520</v>
      </c>
      <c r="F2133" s="188" t="n">
        <v>2026</v>
      </c>
      <c r="G2133" s="189" t="n">
        <v>41</v>
      </c>
      <c r="H2133" s="190" t="n">
        <v>3908.13920428437</v>
      </c>
      <c r="I2133" s="191" t="n">
        <v>4261037.22561078</v>
      </c>
      <c r="J2133" s="192" t="str">
        <f>IF(I2133&gt;0,H2133/I2133,0)</f>
      </c>
      <c r="K2133" s="193" t="str">
        <f>1-EXP(-J2133)</f>
      </c>
      <c r="L2133" s="194" t="str">
        <f>IF(G2133=30,1,M2132)</f>
      </c>
      <c r="M2133" s="195" t="str">
        <f>L2133*(1-K2133)</f>
      </c>
    </row>
    <row r="2134">
      <c r="A2134" t="s">
        <v>167</v>
      </c>
      <c r="B2134" t="s">
        <v>250</v>
      </c>
      <c r="C2134" s="35" t="s">
        <v>252</v>
      </c>
      <c r="D2134" t="s">
        <v>502</v>
      </c>
      <c r="E2134" t="s">
        <v>520</v>
      </c>
      <c r="F2134" s="188" t="n">
        <v>2026</v>
      </c>
      <c r="G2134" s="189" t="n">
        <v>42</v>
      </c>
      <c r="H2134" s="190" t="n">
        <v>4319.60084746541</v>
      </c>
      <c r="I2134" s="191" t="n">
        <v>4350355.93271131</v>
      </c>
      <c r="J2134" s="192" t="str">
        <f>IF(I2134&gt;0,H2134/I2134,0)</f>
      </c>
      <c r="K2134" s="193" t="str">
        <f>1-EXP(-J2134)</f>
      </c>
      <c r="L2134" s="194" t="str">
        <f>IF(G2134=30,1,M2133)</f>
      </c>
      <c r="M2134" s="195" t="str">
        <f>L2134*(1-K2134)</f>
      </c>
    </row>
    <row r="2135">
      <c r="A2135" t="s">
        <v>167</v>
      </c>
      <c r="B2135" t="s">
        <v>250</v>
      </c>
      <c r="C2135" s="35" t="s">
        <v>252</v>
      </c>
      <c r="D2135" t="s">
        <v>502</v>
      </c>
      <c r="E2135" t="s">
        <v>520</v>
      </c>
      <c r="F2135" s="188" t="n">
        <v>2026</v>
      </c>
      <c r="G2135" s="189" t="n">
        <v>43</v>
      </c>
      <c r="H2135" s="190" t="n">
        <v>4671.68499222313</v>
      </c>
      <c r="I2135" s="191" t="n">
        <v>4329966.95829214</v>
      </c>
      <c r="J2135" s="192" t="str">
        <f>IF(I2135&gt;0,H2135/I2135,0)</f>
      </c>
      <c r="K2135" s="193" t="str">
        <f>1-EXP(-J2135)</f>
      </c>
      <c r="L2135" s="194" t="str">
        <f>IF(G2135=30,1,M2134)</f>
      </c>
      <c r="M2135" s="195" t="str">
        <f>L2135*(1-K2135)</f>
      </c>
    </row>
    <row r="2136">
      <c r="A2136" t="s">
        <v>167</v>
      </c>
      <c r="B2136" t="s">
        <v>250</v>
      </c>
      <c r="C2136" s="35" t="s">
        <v>252</v>
      </c>
      <c r="D2136" t="s">
        <v>502</v>
      </c>
      <c r="E2136" t="s">
        <v>520</v>
      </c>
      <c r="F2136" s="188" t="n">
        <v>2026</v>
      </c>
      <c r="G2136" s="189" t="n">
        <v>44</v>
      </c>
      <c r="H2136" s="190" t="n">
        <v>4937.988368204</v>
      </c>
      <c r="I2136" s="191" t="n">
        <v>4196064.82449968</v>
      </c>
      <c r="J2136" s="192" t="str">
        <f>IF(I2136&gt;0,H2136/I2136,0)</f>
      </c>
      <c r="K2136" s="193" t="str">
        <f>1-EXP(-J2136)</f>
      </c>
      <c r="L2136" s="194" t="str">
        <f>IF(G2136=30,1,M2135)</f>
      </c>
      <c r="M2136" s="195" t="str">
        <f>L2136*(1-K2136)</f>
      </c>
    </row>
    <row r="2137">
      <c r="A2137" t="s">
        <v>167</v>
      </c>
      <c r="B2137" t="s">
        <v>250</v>
      </c>
      <c r="C2137" s="35" t="s">
        <v>252</v>
      </c>
      <c r="D2137" t="s">
        <v>502</v>
      </c>
      <c r="E2137" t="s">
        <v>520</v>
      </c>
      <c r="F2137" s="188" t="n">
        <v>2026</v>
      </c>
      <c r="G2137" s="189" t="n">
        <v>45</v>
      </c>
      <c r="H2137" s="190" t="n">
        <v>6290.71259778769</v>
      </c>
      <c r="I2137" s="191" t="n">
        <v>4125591.44550924</v>
      </c>
      <c r="J2137" s="192" t="str">
        <f>IF(I2137&gt;0,H2137/I2137,0)</f>
      </c>
      <c r="K2137" s="193" t="str">
        <f>1-EXP(-J2137)</f>
      </c>
      <c r="L2137" s="194" t="str">
        <f>IF(G2137=30,1,M2136)</f>
      </c>
      <c r="M2137" s="195" t="str">
        <f>L2137*(1-K2137)</f>
      </c>
    </row>
    <row r="2138">
      <c r="A2138" t="s">
        <v>167</v>
      </c>
      <c r="B2138" t="s">
        <v>250</v>
      </c>
      <c r="C2138" s="35" t="s">
        <v>252</v>
      </c>
      <c r="D2138" t="s">
        <v>502</v>
      </c>
      <c r="E2138" t="s">
        <v>520</v>
      </c>
      <c r="F2138" s="188" t="n">
        <v>2026</v>
      </c>
      <c r="G2138" s="189" t="n">
        <v>46</v>
      </c>
      <c r="H2138" s="190" t="n">
        <v>6791.49021049527</v>
      </c>
      <c r="I2138" s="191" t="n">
        <v>4070423.79660791</v>
      </c>
      <c r="J2138" s="192" t="str">
        <f>IF(I2138&gt;0,H2138/I2138,0)</f>
      </c>
      <c r="K2138" s="193" t="str">
        <f>1-EXP(-J2138)</f>
      </c>
      <c r="L2138" s="194" t="str">
        <f>IF(G2138=30,1,M2137)</f>
      </c>
      <c r="M2138" s="195" t="str">
        <f>L2138*(1-K2138)</f>
      </c>
    </row>
    <row r="2139">
      <c r="A2139" t="s">
        <v>167</v>
      </c>
      <c r="B2139" t="s">
        <v>250</v>
      </c>
      <c r="C2139" s="35" t="s">
        <v>252</v>
      </c>
      <c r="D2139" t="s">
        <v>502</v>
      </c>
      <c r="E2139" t="s">
        <v>520</v>
      </c>
      <c r="F2139" s="188" t="n">
        <v>2026</v>
      </c>
      <c r="G2139" s="189" t="n">
        <v>47</v>
      </c>
      <c r="H2139" s="190" t="n">
        <v>7323.67405282548</v>
      </c>
      <c r="I2139" s="191" t="n">
        <v>4010952.63156028</v>
      </c>
      <c r="J2139" s="192" t="str">
        <f>IF(I2139&gt;0,H2139/I2139,0)</f>
      </c>
      <c r="K2139" s="193" t="str">
        <f>1-EXP(-J2139)</f>
      </c>
      <c r="L2139" s="194" t="str">
        <f>IF(G2139=30,1,M2138)</f>
      </c>
      <c r="M2139" s="195" t="str">
        <f>L2139*(1-K2139)</f>
      </c>
    </row>
    <row r="2140">
      <c r="A2140" t="s">
        <v>167</v>
      </c>
      <c r="B2140" t="s">
        <v>250</v>
      </c>
      <c r="C2140" s="35" t="s">
        <v>252</v>
      </c>
      <c r="D2140" t="s">
        <v>502</v>
      </c>
      <c r="E2140" t="s">
        <v>520</v>
      </c>
      <c r="F2140" s="188" t="n">
        <v>2026</v>
      </c>
      <c r="G2140" s="189" t="n">
        <v>48</v>
      </c>
      <c r="H2140" s="190" t="n">
        <v>7851.56217952165</v>
      </c>
      <c r="I2140" s="191" t="n">
        <v>3931934.3335516</v>
      </c>
      <c r="J2140" s="192" t="str">
        <f>IF(I2140&gt;0,H2140/I2140,0)</f>
      </c>
      <c r="K2140" s="193" t="str">
        <f>1-EXP(-J2140)</f>
      </c>
      <c r="L2140" s="194" t="str">
        <f>IF(G2140=30,1,M2139)</f>
      </c>
      <c r="M2140" s="195" t="str">
        <f>L2140*(1-K2140)</f>
      </c>
    </row>
    <row r="2141">
      <c r="A2141" t="s">
        <v>167</v>
      </c>
      <c r="B2141" t="s">
        <v>250</v>
      </c>
      <c r="C2141" s="35" t="s">
        <v>252</v>
      </c>
      <c r="D2141" t="s">
        <v>502</v>
      </c>
      <c r="E2141" t="s">
        <v>520</v>
      </c>
      <c r="F2141" s="188" t="n">
        <v>2026</v>
      </c>
      <c r="G2141" s="189" t="n">
        <v>49</v>
      </c>
      <c r="H2141" s="190" t="n">
        <v>8450.91590703926</v>
      </c>
      <c r="I2141" s="191" t="n">
        <v>3870575.54514656</v>
      </c>
      <c r="J2141" s="192" t="str">
        <f>IF(I2141&gt;0,H2141/I2141,0)</f>
      </c>
      <c r="K2141" s="193" t="str">
        <f>1-EXP(-J2141)</f>
      </c>
      <c r="L2141" s="194" t="str">
        <f>IF(G2141=30,1,M2140)</f>
      </c>
      <c r="M2141" s="195" t="str">
        <f>L2141*(1-K2141)</f>
      </c>
    </row>
    <row r="2142">
      <c r="A2142" t="s">
        <v>167</v>
      </c>
      <c r="B2142" t="s">
        <v>250</v>
      </c>
      <c r="C2142" s="35" t="s">
        <v>252</v>
      </c>
      <c r="D2142" t="s">
        <v>502</v>
      </c>
      <c r="E2142" t="s">
        <v>520</v>
      </c>
      <c r="F2142" s="188" t="n">
        <v>2026</v>
      </c>
      <c r="G2142" s="189" t="n">
        <v>50</v>
      </c>
      <c r="H2142" s="190" t="n">
        <v>9694.43005354582</v>
      </c>
      <c r="I2142" s="191" t="n">
        <v>3797304.37229286</v>
      </c>
      <c r="J2142" s="192" t="str">
        <f>IF(I2142&gt;0,H2142/I2142,0)</f>
      </c>
      <c r="K2142" s="193" t="str">
        <f>1-EXP(-J2142)</f>
      </c>
      <c r="L2142" s="194" t="str">
        <f>IF(G2142=30,1,M2141)</f>
      </c>
      <c r="M2142" s="195" t="str">
        <f>L2142*(1-K2142)</f>
      </c>
    </row>
    <row r="2143">
      <c r="A2143" t="s">
        <v>167</v>
      </c>
      <c r="B2143" t="s">
        <v>250</v>
      </c>
      <c r="C2143" s="35" t="s">
        <v>252</v>
      </c>
      <c r="D2143" t="s">
        <v>502</v>
      </c>
      <c r="E2143" t="s">
        <v>520</v>
      </c>
      <c r="F2143" s="188" t="n">
        <v>2026</v>
      </c>
      <c r="G2143" s="189" t="n">
        <v>51</v>
      </c>
      <c r="H2143" s="190" t="n">
        <v>10366.4825289218</v>
      </c>
      <c r="I2143" s="191" t="n">
        <v>3722619.16466465</v>
      </c>
      <c r="J2143" s="192" t="str">
        <f>IF(I2143&gt;0,H2143/I2143,0)</f>
      </c>
      <c r="K2143" s="193" t="str">
        <f>1-EXP(-J2143)</f>
      </c>
      <c r="L2143" s="194" t="str">
        <f>IF(G2143=30,1,M2142)</f>
      </c>
      <c r="M2143" s="195" t="str">
        <f>L2143*(1-K2143)</f>
      </c>
    </row>
    <row r="2144">
      <c r="A2144" t="s">
        <v>167</v>
      </c>
      <c r="B2144" t="s">
        <v>250</v>
      </c>
      <c r="C2144" s="35" t="s">
        <v>252</v>
      </c>
      <c r="D2144" t="s">
        <v>502</v>
      </c>
      <c r="E2144" t="s">
        <v>520</v>
      </c>
      <c r="F2144" s="188" t="n">
        <v>2026</v>
      </c>
      <c r="G2144" s="189" t="n">
        <v>52</v>
      </c>
      <c r="H2144" s="190" t="n">
        <v>10995.1360272608</v>
      </c>
      <c r="I2144" s="191" t="n">
        <v>3620908.90429281</v>
      </c>
      <c r="J2144" s="192" t="str">
        <f>IF(I2144&gt;0,H2144/I2144,0)</f>
      </c>
      <c r="K2144" s="193" t="str">
        <f>1-EXP(-J2144)</f>
      </c>
      <c r="L2144" s="194" t="str">
        <f>IF(G2144=30,1,M2143)</f>
      </c>
      <c r="M2144" s="195" t="str">
        <f>L2144*(1-K2144)</f>
      </c>
    </row>
    <row r="2145">
      <c r="A2145" t="s">
        <v>167</v>
      </c>
      <c r="B2145" t="s">
        <v>250</v>
      </c>
      <c r="C2145" s="35" t="s">
        <v>252</v>
      </c>
      <c r="D2145" t="s">
        <v>502</v>
      </c>
      <c r="E2145" t="s">
        <v>520</v>
      </c>
      <c r="F2145" s="188" t="n">
        <v>2026</v>
      </c>
      <c r="G2145" s="189" t="n">
        <v>53</v>
      </c>
      <c r="H2145" s="190" t="n">
        <v>11860.5793065192</v>
      </c>
      <c r="I2145" s="191" t="n">
        <v>3580910.06551612</v>
      </c>
      <c r="J2145" s="192" t="str">
        <f>IF(I2145&gt;0,H2145/I2145,0)</f>
      </c>
      <c r="K2145" s="193" t="str">
        <f>1-EXP(-J2145)</f>
      </c>
      <c r="L2145" s="194" t="str">
        <f>IF(G2145=30,1,M2144)</f>
      </c>
      <c r="M2145" s="195" t="str">
        <f>L2145*(1-K2145)</f>
      </c>
    </row>
    <row r="2146">
      <c r="A2146" t="s">
        <v>167</v>
      </c>
      <c r="B2146" t="s">
        <v>250</v>
      </c>
      <c r="C2146" s="35" t="s">
        <v>252</v>
      </c>
      <c r="D2146" t="s">
        <v>502</v>
      </c>
      <c r="E2146" t="s">
        <v>520</v>
      </c>
      <c r="F2146" s="188" t="n">
        <v>2026</v>
      </c>
      <c r="G2146" s="189" t="n">
        <v>54</v>
      </c>
      <c r="H2146" s="190" t="n">
        <v>12208.6234310818</v>
      </c>
      <c r="I2146" s="191" t="n">
        <v>3373668.63498524</v>
      </c>
      <c r="J2146" s="192" t="str">
        <f>IF(I2146&gt;0,H2146/I2146,0)</f>
      </c>
      <c r="K2146" s="193" t="str">
        <f>1-EXP(-J2146)</f>
      </c>
      <c r="L2146" s="194" t="str">
        <f>IF(G2146=30,1,M2145)</f>
      </c>
      <c r="M2146" s="195" t="str">
        <f>L2146*(1-K2146)</f>
      </c>
    </row>
    <row r="2147">
      <c r="A2147" t="s">
        <v>167</v>
      </c>
      <c r="B2147" t="s">
        <v>250</v>
      </c>
      <c r="C2147" s="35" t="s">
        <v>252</v>
      </c>
      <c r="D2147" t="s">
        <v>502</v>
      </c>
      <c r="E2147" t="s">
        <v>520</v>
      </c>
      <c r="F2147" s="188" t="n">
        <v>2026</v>
      </c>
      <c r="G2147" s="189" t="n">
        <v>55</v>
      </c>
      <c r="H2147" s="190" t="n">
        <v>13237.2107973421</v>
      </c>
      <c r="I2147" s="191" t="n">
        <v>3290805.96393673</v>
      </c>
      <c r="J2147" s="192" t="str">
        <f>IF(I2147&gt;0,H2147/I2147,0)</f>
      </c>
      <c r="K2147" s="193" t="str">
        <f>1-EXP(-J2147)</f>
      </c>
      <c r="L2147" s="194" t="str">
        <f>IF(G2147=30,1,M2146)</f>
      </c>
      <c r="M2147" s="195" t="str">
        <f>L2147*(1-K2147)</f>
      </c>
    </row>
    <row r="2148">
      <c r="A2148" t="s">
        <v>167</v>
      </c>
      <c r="B2148" t="s">
        <v>250</v>
      </c>
      <c r="C2148" s="35" t="s">
        <v>252</v>
      </c>
      <c r="D2148" t="s">
        <v>502</v>
      </c>
      <c r="E2148" t="s">
        <v>520</v>
      </c>
      <c r="F2148" s="188" t="n">
        <v>2026</v>
      </c>
      <c r="G2148" s="189" t="n">
        <v>56</v>
      </c>
      <c r="H2148" s="190" t="n">
        <v>14110.5950559108</v>
      </c>
      <c r="I2148" s="191" t="n">
        <v>3212214.28114487</v>
      </c>
      <c r="J2148" s="192" t="str">
        <f>IF(I2148&gt;0,H2148/I2148,0)</f>
      </c>
      <c r="K2148" s="193" t="str">
        <f>1-EXP(-J2148)</f>
      </c>
      <c r="L2148" s="194" t="str">
        <f>IF(G2148=30,1,M2147)</f>
      </c>
      <c r="M2148" s="195" t="str">
        <f>L2148*(1-K2148)</f>
      </c>
    </row>
    <row r="2149">
      <c r="A2149" t="s">
        <v>167</v>
      </c>
      <c r="B2149" t="s">
        <v>250</v>
      </c>
      <c r="C2149" s="35" t="s">
        <v>252</v>
      </c>
      <c r="D2149" t="s">
        <v>502</v>
      </c>
      <c r="E2149" t="s">
        <v>520</v>
      </c>
      <c r="F2149" s="188" t="n">
        <v>2026</v>
      </c>
      <c r="G2149" s="189" t="n">
        <v>57</v>
      </c>
      <c r="H2149" s="190" t="n">
        <v>14992.8700310124</v>
      </c>
      <c r="I2149" s="191" t="n">
        <v>3124836.70281465</v>
      </c>
      <c r="J2149" s="192" t="str">
        <f>IF(I2149&gt;0,H2149/I2149,0)</f>
      </c>
      <c r="K2149" s="193" t="str">
        <f>1-EXP(-J2149)</f>
      </c>
      <c r="L2149" s="194" t="str">
        <f>IF(G2149=30,1,M2148)</f>
      </c>
      <c r="M2149" s="195" t="str">
        <f>L2149*(1-K2149)</f>
      </c>
    </row>
    <row r="2150">
      <c r="A2150" t="s">
        <v>167</v>
      </c>
      <c r="B2150" t="s">
        <v>250</v>
      </c>
      <c r="C2150" s="35" t="s">
        <v>252</v>
      </c>
      <c r="D2150" t="s">
        <v>502</v>
      </c>
      <c r="E2150" t="s">
        <v>520</v>
      </c>
      <c r="F2150" s="188" t="n">
        <v>2026</v>
      </c>
      <c r="G2150" s="189" t="n">
        <v>58</v>
      </c>
      <c r="H2150" s="190" t="n">
        <v>15814.1076390693</v>
      </c>
      <c r="I2150" s="191" t="n">
        <v>3017305.28674744</v>
      </c>
      <c r="J2150" s="192" t="str">
        <f>IF(I2150&gt;0,H2150/I2150,0)</f>
      </c>
      <c r="K2150" s="193" t="str">
        <f>1-EXP(-J2150)</f>
      </c>
      <c r="L2150" s="194" t="str">
        <f>IF(G2150=30,1,M2149)</f>
      </c>
      <c r="M2150" s="195" t="str">
        <f>L2150*(1-K2150)</f>
      </c>
    </row>
    <row r="2151">
      <c r="A2151" t="s">
        <v>167</v>
      </c>
      <c r="B2151" t="s">
        <v>250</v>
      </c>
      <c r="C2151" s="35" t="s">
        <v>252</v>
      </c>
      <c r="D2151" t="s">
        <v>502</v>
      </c>
      <c r="E2151" t="s">
        <v>520</v>
      </c>
      <c r="F2151" s="188" t="n">
        <v>2026</v>
      </c>
      <c r="G2151" s="189" t="n">
        <v>59</v>
      </c>
      <c r="H2151" s="190" t="n">
        <v>16495.1687033191</v>
      </c>
      <c r="I2151" s="191" t="n">
        <v>2877825.9895627</v>
      </c>
      <c r="J2151" s="192" t="str">
        <f>IF(I2151&gt;0,H2151/I2151,0)</f>
      </c>
      <c r="K2151" s="193" t="str">
        <f>1-EXP(-J2151)</f>
      </c>
      <c r="L2151" s="194" t="str">
        <f>IF(G2151=30,1,M2150)</f>
      </c>
      <c r="M2151" s="195" t="str">
        <f>L2151*(1-K2151)</f>
      </c>
    </row>
    <row r="2152">
      <c r="A2152" t="s">
        <v>167</v>
      </c>
      <c r="B2152" t="s">
        <v>250</v>
      </c>
      <c r="C2152" s="35" t="s">
        <v>252</v>
      </c>
      <c r="D2152" t="s">
        <v>502</v>
      </c>
      <c r="E2152" t="s">
        <v>520</v>
      </c>
      <c r="F2152" s="188" t="n">
        <v>2026</v>
      </c>
      <c r="G2152" s="189" t="n">
        <v>60</v>
      </c>
      <c r="H2152" s="190" t="n">
        <v>17861.414509561</v>
      </c>
      <c r="I2152" s="191" t="n">
        <v>2775955.73233662</v>
      </c>
      <c r="J2152" s="192" t="str">
        <f>IF(I2152&gt;0,H2152/I2152,0)</f>
      </c>
      <c r="K2152" s="193" t="str">
        <f>1-EXP(-J2152)</f>
      </c>
      <c r="L2152" s="194" t="str">
        <f>IF(G2152=30,1,M2151)</f>
      </c>
      <c r="M2152" s="195" t="str">
        <f>L2152*(1-K2152)</f>
      </c>
    </row>
    <row r="2153">
      <c r="A2153" t="s">
        <v>167</v>
      </c>
      <c r="B2153" t="s">
        <v>250</v>
      </c>
      <c r="C2153" s="35" t="s">
        <v>252</v>
      </c>
      <c r="D2153" t="s">
        <v>502</v>
      </c>
      <c r="E2153" t="s">
        <v>520</v>
      </c>
      <c r="F2153" s="188" t="n">
        <v>2026</v>
      </c>
      <c r="G2153" s="189" t="n">
        <v>61</v>
      </c>
      <c r="H2153" s="190" t="n">
        <v>18648.6564051027</v>
      </c>
      <c r="I2153" s="191" t="n">
        <v>2651125.82517609</v>
      </c>
      <c r="J2153" s="192" t="str">
        <f>IF(I2153&gt;0,H2153/I2153,0)</f>
      </c>
      <c r="K2153" s="193" t="str">
        <f>1-EXP(-J2153)</f>
      </c>
      <c r="L2153" s="194" t="str">
        <f>IF(G2153=30,1,M2152)</f>
      </c>
      <c r="M2153" s="195" t="str">
        <f>L2153*(1-K2153)</f>
      </c>
    </row>
    <row r="2154">
      <c r="A2154" t="s">
        <v>167</v>
      </c>
      <c r="B2154" t="s">
        <v>250</v>
      </c>
      <c r="C2154" s="35" t="s">
        <v>252</v>
      </c>
      <c r="D2154" t="s">
        <v>502</v>
      </c>
      <c r="E2154" t="s">
        <v>520</v>
      </c>
      <c r="F2154" s="188" t="n">
        <v>2026</v>
      </c>
      <c r="G2154" s="189" t="n">
        <v>62</v>
      </c>
      <c r="H2154" s="190" t="n">
        <v>19434.0747230523</v>
      </c>
      <c r="I2154" s="191" t="n">
        <v>2527118.34779537</v>
      </c>
      <c r="J2154" s="192" t="str">
        <f>IF(I2154&gt;0,H2154/I2154,0)</f>
      </c>
      <c r="K2154" s="193" t="str">
        <f>1-EXP(-J2154)</f>
      </c>
      <c r="L2154" s="194" t="str">
        <f>IF(G2154=30,1,M2153)</f>
      </c>
      <c r="M2154" s="195" t="str">
        <f>L2154*(1-K2154)</f>
      </c>
    </row>
    <row r="2155">
      <c r="A2155" t="s">
        <v>167</v>
      </c>
      <c r="B2155" t="s">
        <v>250</v>
      </c>
      <c r="C2155" s="35" t="s">
        <v>252</v>
      </c>
      <c r="D2155" t="s">
        <v>502</v>
      </c>
      <c r="E2155" t="s">
        <v>520</v>
      </c>
      <c r="F2155" s="188" t="n">
        <v>2026</v>
      </c>
      <c r="G2155" s="189" t="n">
        <v>63</v>
      </c>
      <c r="H2155" s="190" t="n">
        <v>20257.7738012859</v>
      </c>
      <c r="I2155" s="191" t="n">
        <v>2408174.82995322</v>
      </c>
      <c r="J2155" s="192" t="str">
        <f>IF(I2155&gt;0,H2155/I2155,0)</f>
      </c>
      <c r="K2155" s="193" t="str">
        <f>1-EXP(-J2155)</f>
      </c>
      <c r="L2155" s="194" t="str">
        <f>IF(G2155=30,1,M2154)</f>
      </c>
      <c r="M2155" s="195" t="str">
        <f>L2155*(1-K2155)</f>
      </c>
    </row>
    <row r="2156">
      <c r="A2156" t="s">
        <v>167</v>
      </c>
      <c r="B2156" t="s">
        <v>250</v>
      </c>
      <c r="C2156" s="35" t="s">
        <v>252</v>
      </c>
      <c r="D2156" t="s">
        <v>502</v>
      </c>
      <c r="E2156" t="s">
        <v>520</v>
      </c>
      <c r="F2156" s="188" t="n">
        <v>2026</v>
      </c>
      <c r="G2156" s="189" t="n">
        <v>64</v>
      </c>
      <c r="H2156" s="190" t="n">
        <v>20928.3335092576</v>
      </c>
      <c r="I2156" s="191" t="n">
        <v>2263177.14570695</v>
      </c>
      <c r="J2156" s="192" t="str">
        <f>IF(I2156&gt;0,H2156/I2156,0)</f>
      </c>
      <c r="K2156" s="193" t="str">
        <f>1-EXP(-J2156)</f>
      </c>
      <c r="L2156" s="194" t="str">
        <f>IF(G2156=30,1,M2155)</f>
      </c>
      <c r="M2156" s="195" t="str">
        <f>L2156*(1-K2156)</f>
      </c>
    </row>
    <row r="2157">
      <c r="A2157" t="s">
        <v>167</v>
      </c>
      <c r="B2157" t="s">
        <v>250</v>
      </c>
      <c r="C2157" s="35" t="s">
        <v>252</v>
      </c>
      <c r="D2157" t="s">
        <v>502</v>
      </c>
      <c r="E2157" t="s">
        <v>520</v>
      </c>
      <c r="F2157" s="188" t="n">
        <v>2026</v>
      </c>
      <c r="G2157" s="189" t="n">
        <v>65</v>
      </c>
      <c r="H2157" s="190" t="n">
        <v>21172.1887602221</v>
      </c>
      <c r="I2157" s="191" t="n">
        <v>2143592.88562047</v>
      </c>
      <c r="J2157" s="192" t="str">
        <f>IF(I2157&gt;0,H2157/I2157,0)</f>
      </c>
      <c r="K2157" s="193" t="str">
        <f>1-EXP(-J2157)</f>
      </c>
      <c r="L2157" s="194" t="str">
        <f>IF(G2157=30,1,M2156)</f>
      </c>
      <c r="M2157" s="195" t="str">
        <f>L2157*(1-K2157)</f>
      </c>
    </row>
    <row r="2158">
      <c r="A2158" t="s">
        <v>167</v>
      </c>
      <c r="B2158" t="s">
        <v>250</v>
      </c>
      <c r="C2158" s="35" t="s">
        <v>252</v>
      </c>
      <c r="D2158" t="s">
        <v>502</v>
      </c>
      <c r="E2158" t="s">
        <v>520</v>
      </c>
      <c r="F2158" s="188" t="n">
        <v>2026</v>
      </c>
      <c r="G2158" s="189" t="n">
        <v>66</v>
      </c>
      <c r="H2158" s="190" t="n">
        <v>21860.1066070804</v>
      </c>
      <c r="I2158" s="191" t="n">
        <v>2020123.65624815</v>
      </c>
      <c r="J2158" s="192" t="str">
        <f>IF(I2158&gt;0,H2158/I2158,0)</f>
      </c>
      <c r="K2158" s="193" t="str">
        <f>1-EXP(-J2158)</f>
      </c>
      <c r="L2158" s="194" t="str">
        <f>IF(G2158=30,1,M2157)</f>
      </c>
      <c r="M2158" s="195" t="str">
        <f>L2158*(1-K2158)</f>
      </c>
    </row>
    <row r="2159">
      <c r="A2159" t="s">
        <v>167</v>
      </c>
      <c r="B2159" t="s">
        <v>250</v>
      </c>
      <c r="C2159" s="35" t="s">
        <v>252</v>
      </c>
      <c r="D2159" t="s">
        <v>502</v>
      </c>
      <c r="E2159" t="s">
        <v>520</v>
      </c>
      <c r="F2159" s="188" t="n">
        <v>2026</v>
      </c>
      <c r="G2159" s="189" t="n">
        <v>67</v>
      </c>
      <c r="H2159" s="190" t="n">
        <v>22420.1457197362</v>
      </c>
      <c r="I2159" s="191" t="n">
        <v>1890337.26910044</v>
      </c>
      <c r="J2159" s="192" t="str">
        <f>IF(I2159&gt;0,H2159/I2159,0)</f>
      </c>
      <c r="K2159" s="193" t="str">
        <f>1-EXP(-J2159)</f>
      </c>
      <c r="L2159" s="194" t="str">
        <f>IF(G2159=30,1,M2158)</f>
      </c>
      <c r="M2159" s="195" t="str">
        <f>L2159*(1-K2159)</f>
      </c>
    </row>
    <row r="2160">
      <c r="A2160" t="s">
        <v>167</v>
      </c>
      <c r="B2160" t="s">
        <v>250</v>
      </c>
      <c r="C2160" s="35" t="s">
        <v>252</v>
      </c>
      <c r="D2160" t="s">
        <v>502</v>
      </c>
      <c r="E2160" t="s">
        <v>520</v>
      </c>
      <c r="F2160" s="188" t="n">
        <v>2026</v>
      </c>
      <c r="G2160" s="189" t="n">
        <v>68</v>
      </c>
      <c r="H2160" s="190" t="n">
        <v>22932.3544781023</v>
      </c>
      <c r="I2160" s="191" t="n">
        <v>1762993.47698247</v>
      </c>
      <c r="J2160" s="192" t="str">
        <f>IF(I2160&gt;0,H2160/I2160,0)</f>
      </c>
      <c r="K2160" s="193" t="str">
        <f>1-EXP(-J2160)</f>
      </c>
      <c r="L2160" s="194" t="str">
        <f>IF(G2160=30,1,M2159)</f>
      </c>
      <c r="M2160" s="195" t="str">
        <f>L2160*(1-K2160)</f>
      </c>
    </row>
    <row r="2161">
      <c r="A2161" t="s">
        <v>167</v>
      </c>
      <c r="B2161" t="s">
        <v>250</v>
      </c>
      <c r="C2161" s="35" t="s">
        <v>252</v>
      </c>
      <c r="D2161" t="s">
        <v>502</v>
      </c>
      <c r="E2161" t="s">
        <v>520</v>
      </c>
      <c r="F2161" s="188" t="n">
        <v>2026</v>
      </c>
      <c r="G2161" s="189" t="n">
        <v>69</v>
      </c>
      <c r="H2161" s="190" t="n">
        <v>23722.8528686137</v>
      </c>
      <c r="I2161" s="191" t="n">
        <v>1657190.39223472</v>
      </c>
      <c r="J2161" s="192" t="str">
        <f>IF(I2161&gt;0,H2161/I2161,0)</f>
      </c>
      <c r="K2161" s="193" t="str">
        <f>1-EXP(-J2161)</f>
      </c>
      <c r="L2161" s="194" t="str">
        <f>IF(G2161=30,1,M2160)</f>
      </c>
      <c r="M2161" s="195" t="str">
        <f>L2161*(1-K2161)</f>
      </c>
    </row>
    <row r="2162">
      <c r="A2162" t="s">
        <v>167</v>
      </c>
      <c r="B2162" t="s">
        <v>250</v>
      </c>
      <c r="C2162" s="35" t="s">
        <v>252</v>
      </c>
      <c r="D2162" t="s">
        <v>502</v>
      </c>
      <c r="E2162" t="s">
        <v>520</v>
      </c>
      <c r="F2162" s="188" t="n">
        <v>2027</v>
      </c>
      <c r="G2162" s="189" t="n">
        <v>30</v>
      </c>
      <c r="H2162" s="190" t="n">
        <v>1299.04804278075</v>
      </c>
      <c r="I2162" s="191" t="n">
        <v>4568810.13510154</v>
      </c>
      <c r="J2162" s="192" t="str">
        <f>IF(I2162&gt;0,H2162/I2162,0)</f>
      </c>
      <c r="K2162" s="193" t="str">
        <f>1-EXP(-J2162)</f>
      </c>
      <c r="L2162" s="194" t="str">
        <f>IF(G2162=30,1,M2161)</f>
      </c>
      <c r="M2162" s="195" t="str">
        <f>L2162*(1-K2162)</f>
      </c>
    </row>
    <row r="2163">
      <c r="A2163" t="s">
        <v>167</v>
      </c>
      <c r="B2163" t="s">
        <v>250</v>
      </c>
      <c r="C2163" s="35" t="s">
        <v>252</v>
      </c>
      <c r="D2163" t="s">
        <v>502</v>
      </c>
      <c r="E2163" t="s">
        <v>520</v>
      </c>
      <c r="F2163" s="188" t="n">
        <v>2027</v>
      </c>
      <c r="G2163" s="189" t="n">
        <v>31</v>
      </c>
      <c r="H2163" s="190" t="n">
        <v>1337.34692991198</v>
      </c>
      <c r="I2163" s="191" t="n">
        <v>4526144.05193086</v>
      </c>
      <c r="J2163" s="192" t="str">
        <f>IF(I2163&gt;0,H2163/I2163,0)</f>
      </c>
      <c r="K2163" s="193" t="str">
        <f>1-EXP(-J2163)</f>
      </c>
      <c r="L2163" s="194" t="str">
        <f>IF(G2163=30,1,M2162)</f>
      </c>
      <c r="M2163" s="195" t="str">
        <f>L2163*(1-K2163)</f>
      </c>
    </row>
    <row r="2164">
      <c r="A2164" t="s">
        <v>167</v>
      </c>
      <c r="B2164" t="s">
        <v>250</v>
      </c>
      <c r="C2164" s="35" t="s">
        <v>252</v>
      </c>
      <c r="D2164" t="s">
        <v>502</v>
      </c>
      <c r="E2164" t="s">
        <v>520</v>
      </c>
      <c r="F2164" s="188" t="n">
        <v>2027</v>
      </c>
      <c r="G2164" s="189" t="n">
        <v>32</v>
      </c>
      <c r="H2164" s="190" t="n">
        <v>1376.34183405584</v>
      </c>
      <c r="I2164" s="191" t="n">
        <v>4453755.5167046</v>
      </c>
      <c r="J2164" s="192" t="str">
        <f>IF(I2164&gt;0,H2164/I2164,0)</f>
      </c>
      <c r="K2164" s="193" t="str">
        <f>1-EXP(-J2164)</f>
      </c>
      <c r="L2164" s="194" t="str">
        <f>IF(G2164=30,1,M2163)</f>
      </c>
      <c r="M2164" s="195" t="str">
        <f>L2164*(1-K2164)</f>
      </c>
    </row>
    <row r="2165">
      <c r="A2165" t="s">
        <v>167</v>
      </c>
      <c r="B2165" t="s">
        <v>250</v>
      </c>
      <c r="C2165" s="35" t="s">
        <v>252</v>
      </c>
      <c r="D2165" t="s">
        <v>502</v>
      </c>
      <c r="E2165" t="s">
        <v>520</v>
      </c>
      <c r="F2165" s="188" t="n">
        <v>2027</v>
      </c>
      <c r="G2165" s="189" t="n">
        <v>33</v>
      </c>
      <c r="H2165" s="190" t="n">
        <v>1430.22043165112</v>
      </c>
      <c r="I2165" s="191" t="n">
        <v>4397358.43094623</v>
      </c>
      <c r="J2165" s="192" t="str">
        <f>IF(I2165&gt;0,H2165/I2165,0)</f>
      </c>
      <c r="K2165" s="193" t="str">
        <f>1-EXP(-J2165)</f>
      </c>
      <c r="L2165" s="194" t="str">
        <f>IF(G2165=30,1,M2164)</f>
      </c>
      <c r="M2165" s="195" t="str">
        <f>L2165*(1-K2165)</f>
      </c>
    </row>
    <row r="2166">
      <c r="A2166" t="s">
        <v>167</v>
      </c>
      <c r="B2166" t="s">
        <v>250</v>
      </c>
      <c r="C2166" s="35" t="s">
        <v>252</v>
      </c>
      <c r="D2166" t="s">
        <v>502</v>
      </c>
      <c r="E2166" t="s">
        <v>520</v>
      </c>
      <c r="F2166" s="188" t="n">
        <v>2027</v>
      </c>
      <c r="G2166" s="189" t="n">
        <v>34</v>
      </c>
      <c r="H2166" s="190" t="n">
        <v>1496.51378312077</v>
      </c>
      <c r="I2166" s="191" t="n">
        <v>4344736.31301961</v>
      </c>
      <c r="J2166" s="192" t="str">
        <f>IF(I2166&gt;0,H2166/I2166,0)</f>
      </c>
      <c r="K2166" s="193" t="str">
        <f>1-EXP(-J2166)</f>
      </c>
      <c r="L2166" s="194" t="str">
        <f>IF(G2166=30,1,M2165)</f>
      </c>
      <c r="M2166" s="195" t="str">
        <f>L2166*(1-K2166)</f>
      </c>
    </row>
    <row r="2167">
      <c r="A2167" t="s">
        <v>167</v>
      </c>
      <c r="B2167" t="s">
        <v>250</v>
      </c>
      <c r="C2167" s="35" t="s">
        <v>252</v>
      </c>
      <c r="D2167" t="s">
        <v>502</v>
      </c>
      <c r="E2167" t="s">
        <v>520</v>
      </c>
      <c r="F2167" s="188" t="n">
        <v>2027</v>
      </c>
      <c r="G2167" s="189" t="n">
        <v>35</v>
      </c>
      <c r="H2167" s="190" t="n">
        <v>2076.23895188357</v>
      </c>
      <c r="I2167" s="191" t="n">
        <v>4384162.03258196</v>
      </c>
      <c r="J2167" s="192" t="str">
        <f>IF(I2167&gt;0,H2167/I2167,0)</f>
      </c>
      <c r="K2167" s="193" t="str">
        <f>1-EXP(-J2167)</f>
      </c>
      <c r="L2167" s="194" t="str">
        <f>IF(G2167=30,1,M2166)</f>
      </c>
      <c r="M2167" s="195" t="str">
        <f>L2167*(1-K2167)</f>
      </c>
    </row>
    <row r="2168">
      <c r="A2168" t="s">
        <v>167</v>
      </c>
      <c r="B2168" t="s">
        <v>250</v>
      </c>
      <c r="C2168" s="35" t="s">
        <v>252</v>
      </c>
      <c r="D2168" t="s">
        <v>502</v>
      </c>
      <c r="E2168" t="s">
        <v>520</v>
      </c>
      <c r="F2168" s="188" t="n">
        <v>2027</v>
      </c>
      <c r="G2168" s="189" t="n">
        <v>36</v>
      </c>
      <c r="H2168" s="190" t="n">
        <v>2228.09907842092</v>
      </c>
      <c r="I2168" s="191" t="n">
        <v>4403448.45062955</v>
      </c>
      <c r="J2168" s="192" t="str">
        <f>IF(I2168&gt;0,H2168/I2168,0)</f>
      </c>
      <c r="K2168" s="193" t="str">
        <f>1-EXP(-J2168)</f>
      </c>
      <c r="L2168" s="194" t="str">
        <f>IF(G2168=30,1,M2167)</f>
      </c>
      <c r="M2168" s="195" t="str">
        <f>L2168*(1-K2168)</f>
      </c>
    </row>
    <row r="2169">
      <c r="A2169" t="s">
        <v>167</v>
      </c>
      <c r="B2169" t="s">
        <v>250</v>
      </c>
      <c r="C2169" s="35" t="s">
        <v>252</v>
      </c>
      <c r="D2169" t="s">
        <v>502</v>
      </c>
      <c r="E2169" t="s">
        <v>520</v>
      </c>
      <c r="F2169" s="188" t="n">
        <v>2027</v>
      </c>
      <c r="G2169" s="189" t="n">
        <v>37</v>
      </c>
      <c r="H2169" s="190" t="n">
        <v>3378.75935522881</v>
      </c>
      <c r="I2169" s="191" t="n">
        <v>6485443.94986531</v>
      </c>
      <c r="J2169" s="192" t="str">
        <f>IF(I2169&gt;0,H2169/I2169,0)</f>
      </c>
      <c r="K2169" s="193" t="str">
        <f>1-EXP(-J2169)</f>
      </c>
      <c r="L2169" s="194" t="str">
        <f>IF(G2169=30,1,M2168)</f>
      </c>
      <c r="M2169" s="195" t="str">
        <f>L2169*(1-K2169)</f>
      </c>
    </row>
    <row r="2170">
      <c r="A2170" t="s">
        <v>167</v>
      </c>
      <c r="B2170" t="s">
        <v>250</v>
      </c>
      <c r="C2170" s="35" t="s">
        <v>252</v>
      </c>
      <c r="D2170" t="s">
        <v>502</v>
      </c>
      <c r="E2170" t="s">
        <v>520</v>
      </c>
      <c r="F2170" s="188" t="n">
        <v>2027</v>
      </c>
      <c r="G2170" s="189" t="n">
        <v>38</v>
      </c>
      <c r="H2170" s="190" t="n">
        <v>2540.22726411221</v>
      </c>
      <c r="I2170" s="191" t="n">
        <v>4365608.0412846</v>
      </c>
      <c r="J2170" s="192" t="str">
        <f>IF(I2170&gt;0,H2170/I2170,0)</f>
      </c>
      <c r="K2170" s="193" t="str">
        <f>1-EXP(-J2170)</f>
      </c>
      <c r="L2170" s="194" t="str">
        <f>IF(G2170=30,1,M2169)</f>
      </c>
      <c r="M2170" s="195" t="str">
        <f>L2170*(1-K2170)</f>
      </c>
    </row>
    <row r="2171">
      <c r="A2171" t="s">
        <v>167</v>
      </c>
      <c r="B2171" t="s">
        <v>250</v>
      </c>
      <c r="C2171" s="35" t="s">
        <v>252</v>
      </c>
      <c r="D2171" t="s">
        <v>502</v>
      </c>
      <c r="E2171" t="s">
        <v>520</v>
      </c>
      <c r="F2171" s="188" t="n">
        <v>2027</v>
      </c>
      <c r="G2171" s="189" t="n">
        <v>39</v>
      </c>
      <c r="H2171" s="190" t="n">
        <v>2720.7729464939</v>
      </c>
      <c r="I2171" s="191" t="n">
        <v>4350982.79881111</v>
      </c>
      <c r="J2171" s="192" t="str">
        <f>IF(I2171&gt;0,H2171/I2171,0)</f>
      </c>
      <c r="K2171" s="193" t="str">
        <f>1-EXP(-J2171)</f>
      </c>
      <c r="L2171" s="194" t="str">
        <f>IF(G2171=30,1,M2170)</f>
      </c>
      <c r="M2171" s="195" t="str">
        <f>L2171*(1-K2171)</f>
      </c>
    </row>
    <row r="2172">
      <c r="A2172" t="s">
        <v>167</v>
      </c>
      <c r="B2172" t="s">
        <v>250</v>
      </c>
      <c r="C2172" s="35" t="s">
        <v>252</v>
      </c>
      <c r="D2172" t="s">
        <v>502</v>
      </c>
      <c r="E2172" t="s">
        <v>520</v>
      </c>
      <c r="F2172" s="188" t="n">
        <v>2027</v>
      </c>
      <c r="G2172" s="189" t="n">
        <v>40</v>
      </c>
      <c r="H2172" s="190" t="n">
        <v>3557.56579380161</v>
      </c>
      <c r="I2172" s="191" t="n">
        <v>4220094.01244934</v>
      </c>
      <c r="J2172" s="192" t="str">
        <f>IF(I2172&gt;0,H2172/I2172,0)</f>
      </c>
      <c r="K2172" s="193" t="str">
        <f>1-EXP(-J2172)</f>
      </c>
      <c r="L2172" s="194" t="str">
        <f>IF(G2172=30,1,M2171)</f>
      </c>
      <c r="M2172" s="195" t="str">
        <f>L2172*(1-K2172)</f>
      </c>
    </row>
    <row r="2173">
      <c r="A2173" t="s">
        <v>167</v>
      </c>
      <c r="B2173" t="s">
        <v>250</v>
      </c>
      <c r="C2173" s="35" t="s">
        <v>252</v>
      </c>
      <c r="D2173" t="s">
        <v>502</v>
      </c>
      <c r="E2173" t="s">
        <v>520</v>
      </c>
      <c r="F2173" s="188" t="n">
        <v>2027</v>
      </c>
      <c r="G2173" s="189" t="n">
        <v>41</v>
      </c>
      <c r="H2173" s="190" t="n">
        <v>3811.75597306989</v>
      </c>
      <c r="I2173" s="191" t="n">
        <v>4187000.00194225</v>
      </c>
      <c r="J2173" s="192" t="str">
        <f>IF(I2173&gt;0,H2173/I2173,0)</f>
      </c>
      <c r="K2173" s="193" t="str">
        <f>1-EXP(-J2173)</f>
      </c>
      <c r="L2173" s="194" t="str">
        <f>IF(G2173=30,1,M2172)</f>
      </c>
      <c r="M2173" s="195" t="str">
        <f>L2173*(1-K2173)</f>
      </c>
    </row>
    <row r="2174">
      <c r="A2174" t="s">
        <v>167</v>
      </c>
      <c r="B2174" t="s">
        <v>250</v>
      </c>
      <c r="C2174" s="35" t="s">
        <v>252</v>
      </c>
      <c r="D2174" t="s">
        <v>502</v>
      </c>
      <c r="E2174" t="s">
        <v>520</v>
      </c>
      <c r="F2174" s="188" t="n">
        <v>2027</v>
      </c>
      <c r="G2174" s="189" t="n">
        <v>42</v>
      </c>
      <c r="H2174" s="190" t="n">
        <v>4190.78429836294</v>
      </c>
      <c r="I2174" s="191" t="n">
        <v>4249358.75770422</v>
      </c>
      <c r="J2174" s="192" t="str">
        <f>IF(I2174&gt;0,H2174/I2174,0)</f>
      </c>
      <c r="K2174" s="193" t="str">
        <f>1-EXP(-J2174)</f>
      </c>
      <c r="L2174" s="194" t="str">
        <f>IF(G2174=30,1,M2173)</f>
      </c>
      <c r="M2174" s="195" t="str">
        <f>L2174*(1-K2174)</f>
      </c>
    </row>
    <row r="2175">
      <c r="A2175" t="s">
        <v>167</v>
      </c>
      <c r="B2175" t="s">
        <v>250</v>
      </c>
      <c r="C2175" s="35" t="s">
        <v>252</v>
      </c>
      <c r="D2175" t="s">
        <v>502</v>
      </c>
      <c r="E2175" t="s">
        <v>520</v>
      </c>
      <c r="F2175" s="188" t="n">
        <v>2027</v>
      </c>
      <c r="G2175" s="189" t="n">
        <v>43</v>
      </c>
      <c r="H2175" s="190" t="n">
        <v>4649.63025461049</v>
      </c>
      <c r="I2175" s="191" t="n">
        <v>4337475.67159568</v>
      </c>
      <c r="J2175" s="192" t="str">
        <f>IF(I2175&gt;0,H2175/I2175,0)</f>
      </c>
      <c r="K2175" s="193" t="str">
        <f>1-EXP(-J2175)</f>
      </c>
      <c r="L2175" s="194" t="str">
        <f>IF(G2175=30,1,M2174)</f>
      </c>
      <c r="M2175" s="195" t="str">
        <f>L2175*(1-K2175)</f>
      </c>
    </row>
    <row r="2176">
      <c r="A2176" t="s">
        <v>167</v>
      </c>
      <c r="B2176" t="s">
        <v>250</v>
      </c>
      <c r="C2176" s="35" t="s">
        <v>252</v>
      </c>
      <c r="D2176" t="s">
        <v>502</v>
      </c>
      <c r="E2176" t="s">
        <v>520</v>
      </c>
      <c r="F2176" s="188" t="n">
        <v>2027</v>
      </c>
      <c r="G2176" s="189" t="n">
        <v>44</v>
      </c>
      <c r="H2176" s="190" t="n">
        <v>5045.29650245352</v>
      </c>
      <c r="I2176" s="191" t="n">
        <v>4316070.18795282</v>
      </c>
      <c r="J2176" s="192" t="str">
        <f>IF(I2176&gt;0,H2176/I2176,0)</f>
      </c>
      <c r="K2176" s="193" t="str">
        <f>1-EXP(-J2176)</f>
      </c>
      <c r="L2176" s="194" t="str">
        <f>IF(G2176=30,1,M2175)</f>
      </c>
      <c r="M2176" s="195" t="str">
        <f>L2176*(1-K2176)</f>
      </c>
    </row>
    <row r="2177">
      <c r="A2177" t="s">
        <v>167</v>
      </c>
      <c r="B2177" t="s">
        <v>250</v>
      </c>
      <c r="C2177" s="35" t="s">
        <v>252</v>
      </c>
      <c r="D2177" t="s">
        <v>502</v>
      </c>
      <c r="E2177" t="s">
        <v>520</v>
      </c>
      <c r="F2177" s="188" t="n">
        <v>2027</v>
      </c>
      <c r="G2177" s="189" t="n">
        <v>45</v>
      </c>
      <c r="H2177" s="190" t="n">
        <v>6333.67055962191</v>
      </c>
      <c r="I2177" s="191" t="n">
        <v>4181408.03153485</v>
      </c>
      <c r="J2177" s="192" t="str">
        <f>IF(I2177&gt;0,H2177/I2177,0)</f>
      </c>
      <c r="K2177" s="193" t="str">
        <f>1-EXP(-J2177)</f>
      </c>
      <c r="L2177" s="194" t="str">
        <f>IF(G2177=30,1,M2176)</f>
      </c>
      <c r="M2177" s="195" t="str">
        <f>L2177*(1-K2177)</f>
      </c>
    </row>
    <row r="2178">
      <c r="A2178" t="s">
        <v>167</v>
      </c>
      <c r="B2178" t="s">
        <v>250</v>
      </c>
      <c r="C2178" s="35" t="s">
        <v>252</v>
      </c>
      <c r="D2178" t="s">
        <v>502</v>
      </c>
      <c r="E2178" t="s">
        <v>520</v>
      </c>
      <c r="F2178" s="188" t="n">
        <v>2027</v>
      </c>
      <c r="G2178" s="189" t="n">
        <v>46</v>
      </c>
      <c r="H2178" s="190" t="n">
        <v>6810.43209693893</v>
      </c>
      <c r="I2178" s="191" t="n">
        <v>4108811.27353177</v>
      </c>
      <c r="J2178" s="192" t="str">
        <f>IF(I2178&gt;0,H2178/I2178,0)</f>
      </c>
      <c r="K2178" s="193" t="str">
        <f>1-EXP(-J2178)</f>
      </c>
      <c r="L2178" s="194" t="str">
        <f>IF(G2178=30,1,M2177)</f>
      </c>
      <c r="M2178" s="195" t="str">
        <f>L2178*(1-K2178)</f>
      </c>
    </row>
    <row r="2179">
      <c r="A2179" t="s">
        <v>167</v>
      </c>
      <c r="B2179" t="s">
        <v>250</v>
      </c>
      <c r="C2179" s="35" t="s">
        <v>252</v>
      </c>
      <c r="D2179" t="s">
        <v>502</v>
      </c>
      <c r="E2179" t="s">
        <v>520</v>
      </c>
      <c r="F2179" s="188" t="n">
        <v>2027</v>
      </c>
      <c r="G2179" s="189" t="n">
        <v>47</v>
      </c>
      <c r="H2179" s="190" t="n">
        <v>7356.11521072203</v>
      </c>
      <c r="I2179" s="191" t="n">
        <v>4053365.03621624</v>
      </c>
      <c r="J2179" s="192" t="str">
        <f>IF(I2179&gt;0,H2179/I2179,0)</f>
      </c>
      <c r="K2179" s="193" t="str">
        <f>1-EXP(-J2179)</f>
      </c>
      <c r="L2179" s="194" t="str">
        <f>IF(G2179=30,1,M2178)</f>
      </c>
      <c r="M2179" s="195" t="str">
        <f>L2179*(1-K2179)</f>
      </c>
    </row>
    <row r="2180">
      <c r="A2180" t="s">
        <v>167</v>
      </c>
      <c r="B2180" t="s">
        <v>250</v>
      </c>
      <c r="C2180" s="35" t="s">
        <v>252</v>
      </c>
      <c r="D2180" t="s">
        <v>502</v>
      </c>
      <c r="E2180" t="s">
        <v>520</v>
      </c>
      <c r="F2180" s="188" t="n">
        <v>2027</v>
      </c>
      <c r="G2180" s="189" t="n">
        <v>48</v>
      </c>
      <c r="H2180" s="190" t="n">
        <v>7927.63653512797</v>
      </c>
      <c r="I2180" s="191" t="n">
        <v>3992560.91633365</v>
      </c>
      <c r="J2180" s="192" t="str">
        <f>IF(I2180&gt;0,H2180/I2180,0)</f>
      </c>
      <c r="K2180" s="193" t="str">
        <f>1-EXP(-J2180)</f>
      </c>
      <c r="L2180" s="194" t="str">
        <f>IF(G2180=30,1,M2179)</f>
      </c>
      <c r="M2180" s="195" t="str">
        <f>L2180*(1-K2180)</f>
      </c>
    </row>
    <row r="2181">
      <c r="A2181" t="s">
        <v>167</v>
      </c>
      <c r="B2181" t="s">
        <v>250</v>
      </c>
      <c r="C2181" s="35" t="s">
        <v>252</v>
      </c>
      <c r="D2181" t="s">
        <v>502</v>
      </c>
      <c r="E2181" t="s">
        <v>520</v>
      </c>
      <c r="F2181" s="188" t="n">
        <v>2027</v>
      </c>
      <c r="G2181" s="189" t="n">
        <v>49</v>
      </c>
      <c r="H2181" s="190" t="n">
        <v>8491.11552609666</v>
      </c>
      <c r="I2181" s="191" t="n">
        <v>3912213.50254548</v>
      </c>
      <c r="J2181" s="192" t="str">
        <f>IF(I2181&gt;0,H2181/I2181,0)</f>
      </c>
      <c r="K2181" s="193" t="str">
        <f>1-EXP(-J2181)</f>
      </c>
      <c r="L2181" s="194" t="str">
        <f>IF(G2181=30,1,M2180)</f>
      </c>
      <c r="M2181" s="195" t="str">
        <f>L2181*(1-K2181)</f>
      </c>
    </row>
    <row r="2182">
      <c r="A2182" t="s">
        <v>167</v>
      </c>
      <c r="B2182" t="s">
        <v>250</v>
      </c>
      <c r="C2182" s="35" t="s">
        <v>252</v>
      </c>
      <c r="D2182" t="s">
        <v>502</v>
      </c>
      <c r="E2182" t="s">
        <v>520</v>
      </c>
      <c r="F2182" s="188" t="n">
        <v>2027</v>
      </c>
      <c r="G2182" s="189" t="n">
        <v>50</v>
      </c>
      <c r="H2182" s="190" t="n">
        <v>9768.17253214871</v>
      </c>
      <c r="I2182" s="191" t="n">
        <v>3849345.55499929</v>
      </c>
      <c r="J2182" s="192" t="str">
        <f>IF(I2182&gt;0,H2182/I2182,0)</f>
      </c>
      <c r="K2182" s="193" t="str">
        <f>1-EXP(-J2182)</f>
      </c>
      <c r="L2182" s="194" t="str">
        <f>IF(G2182=30,1,M2181)</f>
      </c>
      <c r="M2182" s="195" t="str">
        <f>L2182*(1-K2182)</f>
      </c>
    </row>
    <row r="2183">
      <c r="A2183" t="s">
        <v>167</v>
      </c>
      <c r="B2183" t="s">
        <v>250</v>
      </c>
      <c r="C2183" s="35" t="s">
        <v>252</v>
      </c>
      <c r="D2183" t="s">
        <v>502</v>
      </c>
      <c r="E2183" t="s">
        <v>520</v>
      </c>
      <c r="F2183" s="188" t="n">
        <v>2027</v>
      </c>
      <c r="G2183" s="189" t="n">
        <v>51</v>
      </c>
      <c r="H2183" s="190" t="n">
        <v>10451.9762428804</v>
      </c>
      <c r="I2183" s="191" t="n">
        <v>3773666.4325821</v>
      </c>
      <c r="J2183" s="192" t="str">
        <f>IF(I2183&gt;0,H2183/I2183,0)</f>
      </c>
      <c r="K2183" s="193" t="str">
        <f>1-EXP(-J2183)</f>
      </c>
      <c r="L2183" s="194" t="str">
        <f>IF(G2183=30,1,M2182)</f>
      </c>
      <c r="M2183" s="195" t="str">
        <f>L2183*(1-K2183)</f>
      </c>
    </row>
    <row r="2184">
      <c r="A2184" t="s">
        <v>167</v>
      </c>
      <c r="B2184" t="s">
        <v>250</v>
      </c>
      <c r="C2184" s="35" t="s">
        <v>252</v>
      </c>
      <c r="D2184" t="s">
        <v>502</v>
      </c>
      <c r="E2184" t="s">
        <v>520</v>
      </c>
      <c r="F2184" s="188" t="n">
        <v>2027</v>
      </c>
      <c r="G2184" s="189" t="n">
        <v>52</v>
      </c>
      <c r="H2184" s="190" t="n">
        <v>11175.0014582543</v>
      </c>
      <c r="I2184" s="191" t="n">
        <v>3698227.75621902</v>
      </c>
      <c r="J2184" s="192" t="str">
        <f>IF(I2184&gt;0,H2184/I2184,0)</f>
      </c>
      <c r="K2184" s="193" t="str">
        <f>1-EXP(-J2184)</f>
      </c>
      <c r="L2184" s="194" t="str">
        <f>IF(G2184=30,1,M2183)</f>
      </c>
      <c r="M2184" s="195" t="str">
        <f>L2184*(1-K2184)</f>
      </c>
    </row>
    <row r="2185">
      <c r="A2185" t="s">
        <v>167</v>
      </c>
      <c r="B2185" t="s">
        <v>250</v>
      </c>
      <c r="C2185" s="35" t="s">
        <v>252</v>
      </c>
      <c r="D2185" t="s">
        <v>502</v>
      </c>
      <c r="E2185" t="s">
        <v>520</v>
      </c>
      <c r="F2185" s="188" t="n">
        <v>2027</v>
      </c>
      <c r="G2185" s="189" t="n">
        <v>53</v>
      </c>
      <c r="H2185" s="190" t="n">
        <v>11852.8769199683</v>
      </c>
      <c r="I2185" s="191" t="n">
        <v>3595043.84781804</v>
      </c>
      <c r="J2185" s="192" t="str">
        <f>IF(I2185&gt;0,H2185/I2185,0)</f>
      </c>
      <c r="K2185" s="193" t="str">
        <f>1-EXP(-J2185)</f>
      </c>
      <c r="L2185" s="194" t="str">
        <f>IF(G2185=30,1,M2184)</f>
      </c>
      <c r="M2185" s="195" t="str">
        <f>L2185*(1-K2185)</f>
      </c>
    </row>
    <row r="2186">
      <c r="A2186" t="s">
        <v>167</v>
      </c>
      <c r="B2186" t="s">
        <v>250</v>
      </c>
      <c r="C2186" s="35" t="s">
        <v>252</v>
      </c>
      <c r="D2186" t="s">
        <v>502</v>
      </c>
      <c r="E2186" t="s">
        <v>520</v>
      </c>
      <c r="F2186" s="188" t="n">
        <v>2027</v>
      </c>
      <c r="G2186" s="189" t="n">
        <v>54</v>
      </c>
      <c r="H2186" s="190" t="n">
        <v>12786.0279358058</v>
      </c>
      <c r="I2186" s="191" t="n">
        <v>3553020.07696744</v>
      </c>
      <c r="J2186" s="192" t="str">
        <f>IF(I2186&gt;0,H2186/I2186,0)</f>
      </c>
      <c r="K2186" s="193" t="str">
        <f>1-EXP(-J2186)</f>
      </c>
      <c r="L2186" s="194" t="str">
        <f>IF(G2186=30,1,M2185)</f>
      </c>
      <c r="M2186" s="195" t="str">
        <f>L2186*(1-K2186)</f>
      </c>
    </row>
    <row r="2187">
      <c r="A2187" t="s">
        <v>167</v>
      </c>
      <c r="B2187" t="s">
        <v>250</v>
      </c>
      <c r="C2187" s="35" t="s">
        <v>252</v>
      </c>
      <c r="D2187" t="s">
        <v>502</v>
      </c>
      <c r="E2187" t="s">
        <v>520</v>
      </c>
      <c r="F2187" s="188" t="n">
        <v>2027</v>
      </c>
      <c r="G2187" s="189" t="n">
        <v>55</v>
      </c>
      <c r="H2187" s="190" t="n">
        <v>13369.6203363137</v>
      </c>
      <c r="I2187" s="191" t="n">
        <v>3344977.76940024</v>
      </c>
      <c r="J2187" s="192" t="str">
        <f>IF(I2187&gt;0,H2187/I2187,0)</f>
      </c>
      <c r="K2187" s="193" t="str">
        <f>1-EXP(-J2187)</f>
      </c>
      <c r="L2187" s="194" t="str">
        <f>IF(G2187=30,1,M2186)</f>
      </c>
      <c r="M2187" s="195" t="str">
        <f>L2187*(1-K2187)</f>
      </c>
    </row>
    <row r="2188">
      <c r="A2188" t="s">
        <v>167</v>
      </c>
      <c r="B2188" t="s">
        <v>250</v>
      </c>
      <c r="C2188" s="35" t="s">
        <v>252</v>
      </c>
      <c r="D2188" t="s">
        <v>502</v>
      </c>
      <c r="E2188" t="s">
        <v>520</v>
      </c>
      <c r="F2188" s="188" t="n">
        <v>2027</v>
      </c>
      <c r="G2188" s="189" t="n">
        <v>56</v>
      </c>
      <c r="H2188" s="190" t="n">
        <v>14226.0089351933</v>
      </c>
      <c r="I2188" s="191" t="n">
        <v>3259756.32991328</v>
      </c>
      <c r="J2188" s="192" t="str">
        <f>IF(I2188&gt;0,H2188/I2188,0)</f>
      </c>
      <c r="K2188" s="193" t="str">
        <f>1-EXP(-J2188)</f>
      </c>
      <c r="L2188" s="194" t="str">
        <f>IF(G2188=30,1,M2187)</f>
      </c>
      <c r="M2188" s="195" t="str">
        <f>L2188*(1-K2188)</f>
      </c>
    </row>
    <row r="2189">
      <c r="A2189" t="s">
        <v>167</v>
      </c>
      <c r="B2189" t="s">
        <v>250</v>
      </c>
      <c r="C2189" s="35" t="s">
        <v>252</v>
      </c>
      <c r="D2189" t="s">
        <v>502</v>
      </c>
      <c r="E2189" t="s">
        <v>520</v>
      </c>
      <c r="F2189" s="188" t="n">
        <v>2027</v>
      </c>
      <c r="G2189" s="189" t="n">
        <v>57</v>
      </c>
      <c r="H2189" s="190" t="n">
        <v>15159.8529189914</v>
      </c>
      <c r="I2189" s="191" t="n">
        <v>3179614.59363209</v>
      </c>
      <c r="J2189" s="192" t="str">
        <f>IF(I2189&gt;0,H2189/I2189,0)</f>
      </c>
      <c r="K2189" s="193" t="str">
        <f>1-EXP(-J2189)</f>
      </c>
      <c r="L2189" s="194" t="str">
        <f>IF(G2189=30,1,M2188)</f>
      </c>
      <c r="M2189" s="195" t="str">
        <f>L2189*(1-K2189)</f>
      </c>
    </row>
    <row r="2190">
      <c r="A2190" t="s">
        <v>167</v>
      </c>
      <c r="B2190" t="s">
        <v>250</v>
      </c>
      <c r="C2190" s="35" t="s">
        <v>252</v>
      </c>
      <c r="D2190" t="s">
        <v>502</v>
      </c>
      <c r="E2190" t="s">
        <v>520</v>
      </c>
      <c r="F2190" s="188" t="n">
        <v>2027</v>
      </c>
      <c r="G2190" s="189" t="n">
        <v>58</v>
      </c>
      <c r="H2190" s="190" t="n">
        <v>16096.688693666</v>
      </c>
      <c r="I2190" s="191" t="n">
        <v>3090205.34883787</v>
      </c>
      <c r="J2190" s="192" t="str">
        <f>IF(I2190&gt;0,H2190/I2190,0)</f>
      </c>
      <c r="K2190" s="193" t="str">
        <f>1-EXP(-J2190)</f>
      </c>
      <c r="L2190" s="194" t="str">
        <f>IF(G2190=30,1,M2189)</f>
      </c>
      <c r="M2190" s="195" t="str">
        <f>L2190*(1-K2190)</f>
      </c>
    </row>
    <row r="2191">
      <c r="A2191" t="s">
        <v>167</v>
      </c>
      <c r="B2191" t="s">
        <v>250</v>
      </c>
      <c r="C2191" s="35" t="s">
        <v>252</v>
      </c>
      <c r="D2191" t="s">
        <v>502</v>
      </c>
      <c r="E2191" t="s">
        <v>520</v>
      </c>
      <c r="F2191" s="188" t="n">
        <v>2027</v>
      </c>
      <c r="G2191" s="189" t="n">
        <v>59</v>
      </c>
      <c r="H2191" s="190" t="n">
        <v>16966.2394910511</v>
      </c>
      <c r="I2191" s="191" t="n">
        <v>2980782.19607138</v>
      </c>
      <c r="J2191" s="192" t="str">
        <f>IF(I2191&gt;0,H2191/I2191,0)</f>
      </c>
      <c r="K2191" s="193" t="str">
        <f>1-EXP(-J2191)</f>
      </c>
      <c r="L2191" s="194" t="str">
        <f>IF(G2191=30,1,M2190)</f>
      </c>
      <c r="M2191" s="195" t="str">
        <f>L2191*(1-K2191)</f>
      </c>
    </row>
    <row r="2192">
      <c r="A2192" t="s">
        <v>167</v>
      </c>
      <c r="B2192" t="s">
        <v>250</v>
      </c>
      <c r="C2192" s="35" t="s">
        <v>252</v>
      </c>
      <c r="D2192" t="s">
        <v>502</v>
      </c>
      <c r="E2192" t="s">
        <v>520</v>
      </c>
      <c r="F2192" s="188" t="n">
        <v>2027</v>
      </c>
      <c r="G2192" s="189" t="n">
        <v>60</v>
      </c>
      <c r="H2192" s="190" t="n">
        <v>18126.0022512513</v>
      </c>
      <c r="I2192" s="191" t="n">
        <v>2839738.44979863</v>
      </c>
      <c r="J2192" s="192" t="str">
        <f>IF(I2192&gt;0,H2192/I2192,0)</f>
      </c>
      <c r="K2192" s="193" t="str">
        <f>1-EXP(-J2192)</f>
      </c>
      <c r="L2192" s="194" t="str">
        <f>IF(G2192=30,1,M2191)</f>
      </c>
      <c r="M2192" s="195" t="str">
        <f>L2192*(1-K2192)</f>
      </c>
    </row>
    <row r="2193">
      <c r="A2193" t="s">
        <v>167</v>
      </c>
      <c r="B2193" t="s">
        <v>250</v>
      </c>
      <c r="C2193" s="35" t="s">
        <v>252</v>
      </c>
      <c r="D2193" t="s">
        <v>502</v>
      </c>
      <c r="E2193" t="s">
        <v>520</v>
      </c>
      <c r="F2193" s="188" t="n">
        <v>2027</v>
      </c>
      <c r="G2193" s="189" t="n">
        <v>61</v>
      </c>
      <c r="H2193" s="190" t="n">
        <v>19102.1500136797</v>
      </c>
      <c r="I2193" s="191" t="n">
        <v>2735168.08126257</v>
      </c>
      <c r="J2193" s="192" t="str">
        <f>IF(I2193&gt;0,H2193/I2193,0)</f>
      </c>
      <c r="K2193" s="193" t="str">
        <f>1-EXP(-J2193)</f>
      </c>
      <c r="L2193" s="194" t="str">
        <f>IF(G2193=30,1,M2192)</f>
      </c>
      <c r="M2193" s="195" t="str">
        <f>L2193*(1-K2193)</f>
      </c>
    </row>
    <row r="2194">
      <c r="A2194" t="s">
        <v>167</v>
      </c>
      <c r="B2194" t="s">
        <v>250</v>
      </c>
      <c r="C2194" s="35" t="s">
        <v>252</v>
      </c>
      <c r="D2194" t="s">
        <v>502</v>
      </c>
      <c r="E2194" t="s">
        <v>520</v>
      </c>
      <c r="F2194" s="188" t="n">
        <v>2027</v>
      </c>
      <c r="G2194" s="189" t="n">
        <v>62</v>
      </c>
      <c r="H2194" s="190" t="n">
        <v>19924.8225555313</v>
      </c>
      <c r="I2194" s="191" t="n">
        <v>2609180.20148853</v>
      </c>
      <c r="J2194" s="192" t="str">
        <f>IF(I2194&gt;0,H2194/I2194,0)</f>
      </c>
      <c r="K2194" s="193" t="str">
        <f>1-EXP(-J2194)</f>
      </c>
      <c r="L2194" s="194" t="str">
        <f>IF(G2194=30,1,M2193)</f>
      </c>
      <c r="M2194" s="195" t="str">
        <f>L2194*(1-K2194)</f>
      </c>
    </row>
    <row r="2195">
      <c r="A2195" t="s">
        <v>167</v>
      </c>
      <c r="B2195" t="s">
        <v>250</v>
      </c>
      <c r="C2195" s="35" t="s">
        <v>252</v>
      </c>
      <c r="D2195" t="s">
        <v>502</v>
      </c>
      <c r="E2195" t="s">
        <v>520</v>
      </c>
      <c r="F2195" s="188" t="n">
        <v>2027</v>
      </c>
      <c r="G2195" s="189" t="n">
        <v>63</v>
      </c>
      <c r="H2195" s="190" t="n">
        <v>20748.7955648637</v>
      </c>
      <c r="I2195" s="191" t="n">
        <v>2483417.74919985</v>
      </c>
      <c r="J2195" s="192" t="str">
        <f>IF(I2195&gt;0,H2195/I2195,0)</f>
      </c>
      <c r="K2195" s="193" t="str">
        <f>1-EXP(-J2195)</f>
      </c>
      <c r="L2195" s="194" t="str">
        <f>IF(G2195=30,1,M2194)</f>
      </c>
      <c r="M2195" s="195" t="str">
        <f>L2195*(1-K2195)</f>
      </c>
    </row>
    <row r="2196">
      <c r="A2196" t="s">
        <v>167</v>
      </c>
      <c r="B2196" t="s">
        <v>250</v>
      </c>
      <c r="C2196" s="35" t="s">
        <v>252</v>
      </c>
      <c r="D2196" t="s">
        <v>502</v>
      </c>
      <c r="E2196" t="s">
        <v>520</v>
      </c>
      <c r="F2196" s="188" t="n">
        <v>2027</v>
      </c>
      <c r="G2196" s="189" t="n">
        <v>64</v>
      </c>
      <c r="H2196" s="190" t="n">
        <v>21608.8162410257</v>
      </c>
      <c r="I2196" s="191" t="n">
        <v>2362636.02283374</v>
      </c>
      <c r="J2196" s="192" t="str">
        <f>IF(I2196&gt;0,H2196/I2196,0)</f>
      </c>
      <c r="K2196" s="193" t="str">
        <f>1-EXP(-J2196)</f>
      </c>
      <c r="L2196" s="194" t="str">
        <f>IF(G2196=30,1,M2195)</f>
      </c>
      <c r="M2196" s="195" t="str">
        <f>L2196*(1-K2196)</f>
      </c>
    </row>
    <row r="2197">
      <c r="A2197" t="s">
        <v>167</v>
      </c>
      <c r="B2197" t="s">
        <v>250</v>
      </c>
      <c r="C2197" s="35" t="s">
        <v>252</v>
      </c>
      <c r="D2197" t="s">
        <v>502</v>
      </c>
      <c r="E2197" t="s">
        <v>520</v>
      </c>
      <c r="F2197" s="188" t="n">
        <v>2027</v>
      </c>
      <c r="G2197" s="189" t="n">
        <v>65</v>
      </c>
      <c r="H2197" s="190" t="n">
        <v>21720.4121467321</v>
      </c>
      <c r="I2197" s="191" t="n">
        <v>2216147.37466734</v>
      </c>
      <c r="J2197" s="192" t="str">
        <f>IF(I2197&gt;0,H2197/I2197,0)</f>
      </c>
      <c r="K2197" s="193" t="str">
        <f>1-EXP(-J2197)</f>
      </c>
      <c r="L2197" s="194" t="str">
        <f>IF(G2197=30,1,M2196)</f>
      </c>
      <c r="M2197" s="195" t="str">
        <f>L2197*(1-K2197)</f>
      </c>
    </row>
    <row r="2198">
      <c r="A2198" t="s">
        <v>167</v>
      </c>
      <c r="B2198" t="s">
        <v>250</v>
      </c>
      <c r="C2198" s="35" t="s">
        <v>252</v>
      </c>
      <c r="D2198" t="s">
        <v>502</v>
      </c>
      <c r="E2198" t="s">
        <v>520</v>
      </c>
      <c r="F2198" s="188" t="n">
        <v>2027</v>
      </c>
      <c r="G2198" s="189" t="n">
        <v>66</v>
      </c>
      <c r="H2198" s="190" t="n">
        <v>22498.3171421456</v>
      </c>
      <c r="I2198" s="191" t="n">
        <v>2094983.7375311</v>
      </c>
      <c r="J2198" s="192" t="str">
        <f>IF(I2198&gt;0,H2198/I2198,0)</f>
      </c>
      <c r="K2198" s="193" t="str">
        <f>1-EXP(-J2198)</f>
      </c>
      <c r="L2198" s="194" t="str">
        <f>IF(G2198=30,1,M2197)</f>
      </c>
      <c r="M2198" s="195" t="str">
        <f>L2198*(1-K2198)</f>
      </c>
    </row>
    <row r="2199">
      <c r="A2199" t="s">
        <v>167</v>
      </c>
      <c r="B2199" t="s">
        <v>250</v>
      </c>
      <c r="C2199" s="35" t="s">
        <v>252</v>
      </c>
      <c r="D2199" t="s">
        <v>502</v>
      </c>
      <c r="E2199" t="s">
        <v>520</v>
      </c>
      <c r="F2199" s="188" t="n">
        <v>2027</v>
      </c>
      <c r="G2199" s="189" t="n">
        <v>67</v>
      </c>
      <c r="H2199" s="190" t="n">
        <v>23190.2560713997</v>
      </c>
      <c r="I2199" s="191" t="n">
        <v>1969819.13371186</v>
      </c>
      <c r="J2199" s="192" t="str">
        <f>IF(I2199&gt;0,H2199/I2199,0)</f>
      </c>
      <c r="K2199" s="193" t="str">
        <f>1-EXP(-J2199)</f>
      </c>
      <c r="L2199" s="194" t="str">
        <f>IF(G2199=30,1,M2198)</f>
      </c>
      <c r="M2199" s="195" t="str">
        <f>L2199*(1-K2199)</f>
      </c>
    </row>
    <row r="2200">
      <c r="A2200" t="s">
        <v>167</v>
      </c>
      <c r="B2200" t="s">
        <v>250</v>
      </c>
      <c r="C2200" s="35" t="s">
        <v>252</v>
      </c>
      <c r="D2200" t="s">
        <v>502</v>
      </c>
      <c r="E2200" t="s">
        <v>520</v>
      </c>
      <c r="F2200" s="188" t="n">
        <v>2027</v>
      </c>
      <c r="G2200" s="189" t="n">
        <v>68</v>
      </c>
      <c r="H2200" s="190" t="n">
        <v>23742.3928106748</v>
      </c>
      <c r="I2200" s="191" t="n">
        <v>1838776.42314719</v>
      </c>
      <c r="J2200" s="192" t="str">
        <f>IF(I2200&gt;0,H2200/I2200,0)</f>
      </c>
      <c r="K2200" s="193" t="str">
        <f>1-EXP(-J2200)</f>
      </c>
      <c r="L2200" s="194" t="str">
        <f>IF(G2200=30,1,M2199)</f>
      </c>
      <c r="M2200" s="195" t="str">
        <f>L2200*(1-K2200)</f>
      </c>
    </row>
    <row r="2201">
      <c r="A2201" t="s">
        <v>167</v>
      </c>
      <c r="B2201" t="s">
        <v>250</v>
      </c>
      <c r="C2201" s="35" t="s">
        <v>252</v>
      </c>
      <c r="D2201" t="s">
        <v>502</v>
      </c>
      <c r="E2201" t="s">
        <v>520</v>
      </c>
      <c r="F2201" s="188" t="n">
        <v>2027</v>
      </c>
      <c r="G2201" s="189" t="n">
        <v>69</v>
      </c>
      <c r="H2201" s="190" t="n">
        <v>24239.4439607583</v>
      </c>
      <c r="I2201" s="191" t="n">
        <v>1710291.20374843</v>
      </c>
      <c r="J2201" s="192" t="str">
        <f>IF(I2201&gt;0,H2201/I2201,0)</f>
      </c>
      <c r="K2201" s="193" t="str">
        <f>1-EXP(-J2201)</f>
      </c>
      <c r="L2201" s="194" t="str">
        <f>IF(G2201=30,1,M2200)</f>
      </c>
      <c r="M2201" s="195" t="str">
        <f>L2201*(1-K2201)</f>
      </c>
    </row>
    <row r="2202">
      <c r="A2202" t="s">
        <v>167</v>
      </c>
      <c r="B2202" t="s">
        <v>250</v>
      </c>
      <c r="C2202" s="35" t="s">
        <v>252</v>
      </c>
      <c r="D2202" t="s">
        <v>502</v>
      </c>
      <c r="E2202" t="s">
        <v>520</v>
      </c>
      <c r="F2202" s="188" t="n">
        <v>2028</v>
      </c>
      <c r="G2202" s="189" t="n">
        <v>30</v>
      </c>
      <c r="H2202" s="190" t="n">
        <v>979.65017217478</v>
      </c>
      <c r="I2202" s="191" t="n">
        <v>4420057.04837299</v>
      </c>
      <c r="J2202" s="192" t="str">
        <f>IF(I2202&gt;0,H2202/I2202,0)</f>
      </c>
      <c r="K2202" s="193" t="str">
        <f>1-EXP(-J2202)</f>
      </c>
      <c r="L2202" s="194" t="str">
        <f>IF(G2202=30,1,M2201)</f>
      </c>
      <c r="M2202" s="195" t="str">
        <f>L2202*(1-K2202)</f>
      </c>
    </row>
    <row r="2203">
      <c r="A2203" t="s">
        <v>167</v>
      </c>
      <c r="B2203" t="s">
        <v>250</v>
      </c>
      <c r="C2203" s="35" t="s">
        <v>252</v>
      </c>
      <c r="D2203" t="s">
        <v>502</v>
      </c>
      <c r="E2203" t="s">
        <v>520</v>
      </c>
      <c r="F2203" s="188" t="n">
        <v>2028</v>
      </c>
      <c r="G2203" s="189" t="n">
        <v>31</v>
      </c>
      <c r="H2203" s="190" t="n">
        <v>1339.30596022227</v>
      </c>
      <c r="I2203" s="191" t="n">
        <v>4561951.95679878</v>
      </c>
      <c r="J2203" s="192" t="str">
        <f>IF(I2203&gt;0,H2203/I2203,0)</f>
      </c>
      <c r="K2203" s="193" t="str">
        <f>1-EXP(-J2203)</f>
      </c>
      <c r="L2203" s="194" t="str">
        <f>IF(G2203=30,1,M2202)</f>
      </c>
      <c r="M2203" s="195" t="str">
        <f>L2203*(1-K2203)</f>
      </c>
    </row>
    <row r="2204">
      <c r="A2204" t="s">
        <v>167</v>
      </c>
      <c r="B2204" t="s">
        <v>250</v>
      </c>
      <c r="C2204" s="35" t="s">
        <v>252</v>
      </c>
      <c r="D2204" t="s">
        <v>502</v>
      </c>
      <c r="E2204" t="s">
        <v>520</v>
      </c>
      <c r="F2204" s="188" t="n">
        <v>2028</v>
      </c>
      <c r="G2204" s="189" t="n">
        <v>32</v>
      </c>
      <c r="H2204" s="190" t="n">
        <v>1388.08583244482</v>
      </c>
      <c r="I2204" s="191" t="n">
        <v>4519596.56935614</v>
      </c>
      <c r="J2204" s="192" t="str">
        <f>IF(I2204&gt;0,H2204/I2204,0)</f>
      </c>
      <c r="K2204" s="193" t="str">
        <f>1-EXP(-J2204)</f>
      </c>
      <c r="L2204" s="194" t="str">
        <f>IF(G2204=30,1,M2203)</f>
      </c>
      <c r="M2204" s="195" t="str">
        <f>L2204*(1-K2204)</f>
      </c>
    </row>
    <row r="2205">
      <c r="A2205" t="s">
        <v>167</v>
      </c>
      <c r="B2205" t="s">
        <v>250</v>
      </c>
      <c r="C2205" s="35" t="s">
        <v>252</v>
      </c>
      <c r="D2205" t="s">
        <v>502</v>
      </c>
      <c r="E2205" t="s">
        <v>520</v>
      </c>
      <c r="F2205" s="188" t="n">
        <v>2028</v>
      </c>
      <c r="G2205" s="189" t="n">
        <v>33</v>
      </c>
      <c r="H2205" s="190" t="n">
        <v>1438.1298348791</v>
      </c>
      <c r="I2205" s="191" t="n">
        <v>4447050.03795892</v>
      </c>
      <c r="J2205" s="192" t="str">
        <f>IF(I2205&gt;0,H2205/I2205,0)</f>
      </c>
      <c r="K2205" s="193" t="str">
        <f>1-EXP(-J2205)</f>
      </c>
      <c r="L2205" s="194" t="str">
        <f>IF(G2205=30,1,M2204)</f>
      </c>
      <c r="M2205" s="195" t="str">
        <f>L2205*(1-K2205)</f>
      </c>
    </row>
    <row r="2206">
      <c r="A2206" t="s">
        <v>167</v>
      </c>
      <c r="B2206" t="s">
        <v>250</v>
      </c>
      <c r="C2206" s="35" t="s">
        <v>252</v>
      </c>
      <c r="D2206" t="s">
        <v>502</v>
      </c>
      <c r="E2206" t="s">
        <v>520</v>
      </c>
      <c r="F2206" s="188" t="n">
        <v>2028</v>
      </c>
      <c r="G2206" s="189" t="n">
        <v>34</v>
      </c>
      <c r="H2206" s="190" t="n">
        <v>1503.84687061194</v>
      </c>
      <c r="I2206" s="191" t="n">
        <v>4390426.98797552</v>
      </c>
      <c r="J2206" s="192" t="str">
        <f>IF(I2206&gt;0,H2206/I2206,0)</f>
      </c>
      <c r="K2206" s="193" t="str">
        <f>1-EXP(-J2206)</f>
      </c>
      <c r="L2206" s="194" t="str">
        <f>IF(G2206=30,1,M2205)</f>
      </c>
      <c r="M2206" s="195" t="str">
        <f>L2206*(1-K2206)</f>
      </c>
    </row>
    <row r="2207">
      <c r="A2207" t="s">
        <v>167</v>
      </c>
      <c r="B2207" t="s">
        <v>250</v>
      </c>
      <c r="C2207" s="35" t="s">
        <v>252</v>
      </c>
      <c r="D2207" t="s">
        <v>502</v>
      </c>
      <c r="E2207" t="s">
        <v>520</v>
      </c>
      <c r="F2207" s="188" t="n">
        <v>2028</v>
      </c>
      <c r="G2207" s="189" t="n">
        <v>35</v>
      </c>
      <c r="H2207" s="190" t="n">
        <v>2035.72654621558</v>
      </c>
      <c r="I2207" s="191" t="n">
        <v>4337519.45629049</v>
      </c>
      <c r="J2207" s="192" t="str">
        <f>IF(I2207&gt;0,H2207/I2207,0)</f>
      </c>
      <c r="K2207" s="193" t="str">
        <f>1-EXP(-J2207)</f>
      </c>
      <c r="L2207" s="194" t="str">
        <f>IF(G2207=30,1,M2206)</f>
      </c>
      <c r="M2207" s="195" t="str">
        <f>L2207*(1-K2207)</f>
      </c>
    </row>
    <row r="2208">
      <c r="A2208" t="s">
        <v>167</v>
      </c>
      <c r="B2208" t="s">
        <v>250</v>
      </c>
      <c r="C2208" s="35" t="s">
        <v>252</v>
      </c>
      <c r="D2208" t="s">
        <v>502</v>
      </c>
      <c r="E2208" t="s">
        <v>520</v>
      </c>
      <c r="F2208" s="188" t="n">
        <v>2028</v>
      </c>
      <c r="G2208" s="189" t="n">
        <v>36</v>
      </c>
      <c r="H2208" s="190" t="n">
        <v>2192.82300428174</v>
      </c>
      <c r="I2208" s="191" t="n">
        <v>4375925.30353689</v>
      </c>
      <c r="J2208" s="192" t="str">
        <f>IF(I2208&gt;0,H2208/I2208,0)</f>
      </c>
      <c r="K2208" s="193" t="str">
        <f>1-EXP(-J2208)</f>
      </c>
      <c r="L2208" s="194" t="str">
        <f>IF(G2208=30,1,M2207)</f>
      </c>
      <c r="M2208" s="195" t="str">
        <f>L2208*(1-K2208)</f>
      </c>
    </row>
    <row r="2209">
      <c r="A2209" t="s">
        <v>167</v>
      </c>
      <c r="B2209" t="s">
        <v>250</v>
      </c>
      <c r="C2209" s="35" t="s">
        <v>252</v>
      </c>
      <c r="D2209" t="s">
        <v>502</v>
      </c>
      <c r="E2209" t="s">
        <v>520</v>
      </c>
      <c r="F2209" s="188" t="n">
        <v>2028</v>
      </c>
      <c r="G2209" s="189" t="n">
        <v>37</v>
      </c>
      <c r="H2209" s="190" t="n">
        <v>2361.0704871653</v>
      </c>
      <c r="I2209" s="191" t="n">
        <v>4395158.81895512</v>
      </c>
      <c r="J2209" s="192" t="str">
        <f>IF(I2209&gt;0,H2209/I2209,0)</f>
      </c>
      <c r="K2209" s="193" t="str">
        <f>1-EXP(-J2209)</f>
      </c>
      <c r="L2209" s="194" t="str">
        <f>IF(G2209=30,1,M2208)</f>
      </c>
      <c r="M2209" s="195" t="str">
        <f>L2209*(1-K2209)</f>
      </c>
    </row>
    <row r="2210">
      <c r="A2210" t="s">
        <v>167</v>
      </c>
      <c r="B2210" t="s">
        <v>250</v>
      </c>
      <c r="C2210" s="35" t="s">
        <v>252</v>
      </c>
      <c r="D2210" t="s">
        <v>502</v>
      </c>
      <c r="E2210" t="s">
        <v>520</v>
      </c>
      <c r="F2210" s="188" t="n">
        <v>2028</v>
      </c>
      <c r="G2210" s="189" t="n">
        <v>38</v>
      </c>
      <c r="H2210" s="190" t="n">
        <v>3582.41779725517</v>
      </c>
      <c r="I2210" s="191" t="n">
        <v>6472825.10158</v>
      </c>
      <c r="J2210" s="192" t="str">
        <f>IF(I2210&gt;0,H2210/I2210,0)</f>
      </c>
      <c r="K2210" s="193" t="str">
        <f>1-EXP(-J2210)</f>
      </c>
      <c r="L2210" s="194" t="str">
        <f>IF(G2210=30,1,M2209)</f>
      </c>
      <c r="M2210" s="195" t="str">
        <f>L2210*(1-K2210)</f>
      </c>
    </row>
    <row r="2211">
      <c r="A2211" t="s">
        <v>167</v>
      </c>
      <c r="B2211" t="s">
        <v>250</v>
      </c>
      <c r="C2211" s="35" t="s">
        <v>252</v>
      </c>
      <c r="D2211" t="s">
        <v>502</v>
      </c>
      <c r="E2211" t="s">
        <v>520</v>
      </c>
      <c r="F2211" s="188" t="n">
        <v>2028</v>
      </c>
      <c r="G2211" s="189" t="n">
        <v>39</v>
      </c>
      <c r="H2211" s="190" t="n">
        <v>2701.99406462593</v>
      </c>
      <c r="I2211" s="191" t="n">
        <v>4356185.36117006</v>
      </c>
      <c r="J2211" s="192" t="str">
        <f>IF(I2211&gt;0,H2211/I2211,0)</f>
      </c>
      <c r="K2211" s="193" t="str">
        <f>1-EXP(-J2211)</f>
      </c>
      <c r="L2211" s="194" t="str">
        <f>IF(G2211=30,1,M2210)</f>
      </c>
      <c r="M2211" s="195" t="str">
        <f>L2211*(1-K2211)</f>
      </c>
    </row>
    <row r="2212">
      <c r="A2212" t="s">
        <v>167</v>
      </c>
      <c r="B2212" t="s">
        <v>250</v>
      </c>
      <c r="C2212" s="35" t="s">
        <v>252</v>
      </c>
      <c r="D2212" t="s">
        <v>502</v>
      </c>
      <c r="E2212" t="s">
        <v>520</v>
      </c>
      <c r="F2212" s="188" t="n">
        <v>2028</v>
      </c>
      <c r="G2212" s="189" t="n">
        <v>40</v>
      </c>
      <c r="H2212" s="190" t="n">
        <v>3627.22718551271</v>
      </c>
      <c r="I2212" s="191" t="n">
        <v>4340900.38853806</v>
      </c>
      <c r="J2212" s="192" t="str">
        <f>IF(I2212&gt;0,H2212/I2212,0)</f>
      </c>
      <c r="K2212" s="193" t="str">
        <f>1-EXP(-J2212)</f>
      </c>
      <c r="L2212" s="194" t="str">
        <f>IF(G2212=30,1,M2211)</f>
      </c>
      <c r="M2212" s="195" t="str">
        <f>L2212*(1-K2212)</f>
      </c>
    </row>
    <row r="2213">
      <c r="A2213" t="s">
        <v>167</v>
      </c>
      <c r="B2213" t="s">
        <v>250</v>
      </c>
      <c r="C2213" s="35" t="s">
        <v>252</v>
      </c>
      <c r="D2213" t="s">
        <v>502</v>
      </c>
      <c r="E2213" t="s">
        <v>520</v>
      </c>
      <c r="F2213" s="188" t="n">
        <v>2028</v>
      </c>
      <c r="G2213" s="189" t="n">
        <v>41</v>
      </c>
      <c r="H2213" s="190" t="n">
        <v>3801.16262272323</v>
      </c>
      <c r="I2213" s="191" t="n">
        <v>4208760.65319446</v>
      </c>
      <c r="J2213" s="192" t="str">
        <f>IF(I2213&gt;0,H2213/I2213,0)</f>
      </c>
      <c r="K2213" s="193" t="str">
        <f>1-EXP(-J2213)</f>
      </c>
      <c r="L2213" s="194" t="str">
        <f>IF(G2213=30,1,M2212)</f>
      </c>
      <c r="M2213" s="195" t="str">
        <f>L2213*(1-K2213)</f>
      </c>
    </row>
    <row r="2214">
      <c r="A2214" t="s">
        <v>167</v>
      </c>
      <c r="B2214" t="s">
        <v>250</v>
      </c>
      <c r="C2214" s="35" t="s">
        <v>252</v>
      </c>
      <c r="D2214" t="s">
        <v>502</v>
      </c>
      <c r="E2214" t="s">
        <v>520</v>
      </c>
      <c r="F2214" s="188" t="n">
        <v>2028</v>
      </c>
      <c r="G2214" s="189" t="n">
        <v>42</v>
      </c>
      <c r="H2214" s="190" t="n">
        <v>4086.87260066697</v>
      </c>
      <c r="I2214" s="191" t="n">
        <v>4175695.78121361</v>
      </c>
      <c r="J2214" s="192" t="str">
        <f>IF(I2214&gt;0,H2214/I2214,0)</f>
      </c>
      <c r="K2214" s="193" t="str">
        <f>1-EXP(-J2214)</f>
      </c>
      <c r="L2214" s="194" t="str">
        <f>IF(G2214=30,1,M2213)</f>
      </c>
      <c r="M2214" s="195" t="str">
        <f>L2214*(1-K2214)</f>
      </c>
    </row>
    <row r="2215">
      <c r="A2215" t="s">
        <v>167</v>
      </c>
      <c r="B2215" t="s">
        <v>250</v>
      </c>
      <c r="C2215" s="35" t="s">
        <v>252</v>
      </c>
      <c r="D2215" t="s">
        <v>502</v>
      </c>
      <c r="E2215" t="s">
        <v>520</v>
      </c>
      <c r="F2215" s="188" t="n">
        <v>2028</v>
      </c>
      <c r="G2215" s="189" t="n">
        <v>43</v>
      </c>
      <c r="H2215" s="190" t="n">
        <v>4510.1956166094</v>
      </c>
      <c r="I2215" s="191" t="n">
        <v>4236958.61388648</v>
      </c>
      <c r="J2215" s="192" t="str">
        <f>IF(I2215&gt;0,H2215/I2215,0)</f>
      </c>
      <c r="K2215" s="193" t="str">
        <f>1-EXP(-J2215)</f>
      </c>
      <c r="L2215" s="194" t="str">
        <f>IF(G2215=30,1,M2214)</f>
      </c>
      <c r="M2215" s="195" t="str">
        <f>L2215*(1-K2215)</f>
      </c>
    </row>
    <row r="2216">
      <c r="A2216" t="s">
        <v>167</v>
      </c>
      <c r="B2216" t="s">
        <v>250</v>
      </c>
      <c r="C2216" s="35" t="s">
        <v>252</v>
      </c>
      <c r="D2216" t="s">
        <v>502</v>
      </c>
      <c r="E2216" t="s">
        <v>520</v>
      </c>
      <c r="F2216" s="188" t="n">
        <v>2028</v>
      </c>
      <c r="G2216" s="189" t="n">
        <v>44</v>
      </c>
      <c r="H2216" s="190" t="n">
        <v>5020.62441125001</v>
      </c>
      <c r="I2216" s="191" t="n">
        <v>4323750.07747641</v>
      </c>
      <c r="J2216" s="192" t="str">
        <f>IF(I2216&gt;0,H2216/I2216,0)</f>
      </c>
      <c r="K2216" s="193" t="str">
        <f>1-EXP(-J2216)</f>
      </c>
      <c r="L2216" s="194" t="str">
        <f>IF(G2216=30,1,M2215)</f>
      </c>
      <c r="M2216" s="195" t="str">
        <f>L2216*(1-K2216)</f>
      </c>
    </row>
    <row r="2217">
      <c r="A2217" t="s">
        <v>167</v>
      </c>
      <c r="B2217" t="s">
        <v>250</v>
      </c>
      <c r="C2217" s="35" t="s">
        <v>252</v>
      </c>
      <c r="D2217" t="s">
        <v>502</v>
      </c>
      <c r="E2217" t="s">
        <v>520</v>
      </c>
      <c r="F2217" s="188" t="n">
        <v>2028</v>
      </c>
      <c r="G2217" s="189" t="n">
        <v>45</v>
      </c>
      <c r="H2217" s="190" t="n">
        <v>6465.52213904007</v>
      </c>
      <c r="I2217" s="191" t="n">
        <v>4301207.98117413</v>
      </c>
      <c r="J2217" s="192" t="str">
        <f>IF(I2217&gt;0,H2217/I2217,0)</f>
      </c>
      <c r="K2217" s="193" t="str">
        <f>1-EXP(-J2217)</f>
      </c>
      <c r="L2217" s="194" t="str">
        <f>IF(G2217=30,1,M2216)</f>
      </c>
      <c r="M2217" s="195" t="str">
        <f>L2217*(1-K2217)</f>
      </c>
    </row>
    <row r="2218">
      <c r="A2218" t="s">
        <v>167</v>
      </c>
      <c r="B2218" t="s">
        <v>250</v>
      </c>
      <c r="C2218" s="35" t="s">
        <v>252</v>
      </c>
      <c r="D2218" t="s">
        <v>502</v>
      </c>
      <c r="E2218" t="s">
        <v>520</v>
      </c>
      <c r="F2218" s="188" t="n">
        <v>2028</v>
      </c>
      <c r="G2218" s="189" t="n">
        <v>46</v>
      </c>
      <c r="H2218" s="190" t="n">
        <v>6855.26292864705</v>
      </c>
      <c r="I2218" s="191" t="n">
        <v>4164628.71907525</v>
      </c>
      <c r="J2218" s="192" t="str">
        <f>IF(I2218&gt;0,H2218/I2218,0)</f>
      </c>
      <c r="K2218" s="193" t="str">
        <f>1-EXP(-J2218)</f>
      </c>
      <c r="L2218" s="194" t="str">
        <f>IF(G2218=30,1,M2217)</f>
      </c>
      <c r="M2218" s="195" t="str">
        <f>L2218*(1-K2218)</f>
      </c>
    </row>
    <row r="2219">
      <c r="A2219" t="s">
        <v>167</v>
      </c>
      <c r="B2219" t="s">
        <v>250</v>
      </c>
      <c r="C2219" s="35" t="s">
        <v>252</v>
      </c>
      <c r="D2219" t="s">
        <v>502</v>
      </c>
      <c r="E2219" t="s">
        <v>520</v>
      </c>
      <c r="F2219" s="188" t="n">
        <v>2028</v>
      </c>
      <c r="G2219" s="189" t="n">
        <v>47</v>
      </c>
      <c r="H2219" s="190" t="n">
        <v>7377.51808347922</v>
      </c>
      <c r="I2219" s="191" t="n">
        <v>4091823.08060715</v>
      </c>
      <c r="J2219" s="192" t="str">
        <f>IF(I2219&gt;0,H2219/I2219,0)</f>
      </c>
      <c r="K2219" s="193" t="str">
        <f>1-EXP(-J2219)</f>
      </c>
      <c r="L2219" s="194" t="str">
        <f>IF(G2219=30,1,M2218)</f>
      </c>
      <c r="M2219" s="195" t="str">
        <f>L2219*(1-K2219)</f>
      </c>
    </row>
    <row r="2220">
      <c r="A2220" t="s">
        <v>167</v>
      </c>
      <c r="B2220" t="s">
        <v>250</v>
      </c>
      <c r="C2220" s="35" t="s">
        <v>252</v>
      </c>
      <c r="D2220" t="s">
        <v>502</v>
      </c>
      <c r="E2220" t="s">
        <v>520</v>
      </c>
      <c r="F2220" s="188" t="n">
        <v>2028</v>
      </c>
      <c r="G2220" s="189" t="n">
        <v>48</v>
      </c>
      <c r="H2220" s="190" t="n">
        <v>7964.98988000548</v>
      </c>
      <c r="I2220" s="191" t="n">
        <v>4035022.6589873</v>
      </c>
      <c r="J2220" s="192" t="str">
        <f>IF(I2220&gt;0,H2220/I2220,0)</f>
      </c>
      <c r="K2220" s="193" t="str">
        <f>1-EXP(-J2220)</f>
      </c>
      <c r="L2220" s="194" t="str">
        <f>IF(G2220=30,1,M2219)</f>
      </c>
      <c r="M2220" s="195" t="str">
        <f>L2220*(1-K2220)</f>
      </c>
    </row>
    <row r="2221">
      <c r="A2221" t="s">
        <v>167</v>
      </c>
      <c r="B2221" t="s">
        <v>250</v>
      </c>
      <c r="C2221" s="35" t="s">
        <v>252</v>
      </c>
      <c r="D2221" t="s">
        <v>502</v>
      </c>
      <c r="E2221" t="s">
        <v>520</v>
      </c>
      <c r="F2221" s="188" t="n">
        <v>2028</v>
      </c>
      <c r="G2221" s="189" t="n">
        <v>49</v>
      </c>
      <c r="H2221" s="190" t="n">
        <v>8577.04960968209</v>
      </c>
      <c r="I2221" s="191" t="n">
        <v>3972791.66772526</v>
      </c>
      <c r="J2221" s="192" t="str">
        <f>IF(I2221&gt;0,H2221/I2221,0)</f>
      </c>
      <c r="K2221" s="193" t="str">
        <f>1-EXP(-J2221)</f>
      </c>
      <c r="L2221" s="194" t="str">
        <f>IF(G2221=30,1,M2220)</f>
      </c>
      <c r="M2221" s="195" t="str">
        <f>L2221*(1-K2221)</f>
      </c>
    </row>
    <row r="2222">
      <c r="A2222" t="s">
        <v>167</v>
      </c>
      <c r="B2222" t="s">
        <v>250</v>
      </c>
      <c r="C2222" s="35" t="s">
        <v>252</v>
      </c>
      <c r="D2222" t="s">
        <v>502</v>
      </c>
      <c r="E2222" t="s">
        <v>520</v>
      </c>
      <c r="F2222" s="188" t="n">
        <v>2028</v>
      </c>
      <c r="G2222" s="189" t="n">
        <v>50</v>
      </c>
      <c r="H2222" s="190" t="n">
        <v>9802.96465807919</v>
      </c>
      <c r="I2222" s="191" t="n">
        <v>3891033.51105084</v>
      </c>
      <c r="J2222" s="192" t="str">
        <f>IF(I2222&gt;0,H2222/I2222,0)</f>
      </c>
      <c r="K2222" s="193" t="str">
        <f>1-EXP(-J2222)</f>
      </c>
      <c r="L2222" s="194" t="str">
        <f>IF(G2222=30,1,M2221)</f>
      </c>
      <c r="M2222" s="195" t="str">
        <f>L2222*(1-K2222)</f>
      </c>
    </row>
    <row r="2223">
      <c r="A2223" t="s">
        <v>167</v>
      </c>
      <c r="B2223" t="s">
        <v>250</v>
      </c>
      <c r="C2223" s="35" t="s">
        <v>252</v>
      </c>
      <c r="D2223" t="s">
        <v>502</v>
      </c>
      <c r="E2223" t="s">
        <v>520</v>
      </c>
      <c r="F2223" s="188" t="n">
        <v>2028</v>
      </c>
      <c r="G2223" s="189" t="n">
        <v>51</v>
      </c>
      <c r="H2223" s="190" t="n">
        <v>10537.706332326</v>
      </c>
      <c r="I2223" s="191" t="n">
        <v>3825672.59608957</v>
      </c>
      <c r="J2223" s="192" t="str">
        <f>IF(I2223&gt;0,H2223/I2223,0)</f>
      </c>
      <c r="K2223" s="193" t="str">
        <f>1-EXP(-J2223)</f>
      </c>
      <c r="L2223" s="194" t="str">
        <f>IF(G2223=30,1,M2222)</f>
      </c>
      <c r="M2223" s="195" t="str">
        <f>L2223*(1-K2223)</f>
      </c>
    </row>
    <row r="2224">
      <c r="A2224" t="s">
        <v>167</v>
      </c>
      <c r="B2224" t="s">
        <v>250</v>
      </c>
      <c r="C2224" s="35" t="s">
        <v>252</v>
      </c>
      <c r="D2224" t="s">
        <v>502</v>
      </c>
      <c r="E2224" t="s">
        <v>520</v>
      </c>
      <c r="F2224" s="188" t="n">
        <v>2028</v>
      </c>
      <c r="G2224" s="189" t="n">
        <v>52</v>
      </c>
      <c r="H2224" s="190" t="n">
        <v>11272.007856016</v>
      </c>
      <c r="I2224" s="191" t="n">
        <v>3749215.08588746</v>
      </c>
      <c r="J2224" s="192" t="str">
        <f>IF(I2224&gt;0,H2224/I2224,0)</f>
      </c>
      <c r="K2224" s="193" t="str">
        <f>1-EXP(-J2224)</f>
      </c>
      <c r="L2224" s="194" t="str">
        <f>IF(G2224=30,1,M2223)</f>
      </c>
      <c r="M2224" s="195" t="str">
        <f>L2224*(1-K2224)</f>
      </c>
    </row>
    <row r="2225">
      <c r="A2225" t="s">
        <v>167</v>
      </c>
      <c r="B2225" t="s">
        <v>250</v>
      </c>
      <c r="C2225" s="35" t="s">
        <v>252</v>
      </c>
      <c r="D2225" t="s">
        <v>502</v>
      </c>
      <c r="E2225" t="s">
        <v>520</v>
      </c>
      <c r="F2225" s="188" t="n">
        <v>2028</v>
      </c>
      <c r="G2225" s="189" t="n">
        <v>53</v>
      </c>
      <c r="H2225" s="190" t="n">
        <v>12051.044227658</v>
      </c>
      <c r="I2225" s="191" t="n">
        <v>3672091.83702102</v>
      </c>
      <c r="J2225" s="192" t="str">
        <f>IF(I2225&gt;0,H2225/I2225,0)</f>
      </c>
      <c r="K2225" s="193" t="str">
        <f>1-EXP(-J2225)</f>
      </c>
      <c r="L2225" s="194" t="str">
        <f>IF(G2225=30,1,M2224)</f>
      </c>
      <c r="M2225" s="195" t="str">
        <f>L2225*(1-K2225)</f>
      </c>
    </row>
    <row r="2226">
      <c r="A2226" t="s">
        <v>167</v>
      </c>
      <c r="B2226" t="s">
        <v>250</v>
      </c>
      <c r="C2226" s="35" t="s">
        <v>252</v>
      </c>
      <c r="D2226" t="s">
        <v>502</v>
      </c>
      <c r="E2226" t="s">
        <v>520</v>
      </c>
      <c r="F2226" s="188" t="n">
        <v>2028</v>
      </c>
      <c r="G2226" s="189" t="n">
        <v>54</v>
      </c>
      <c r="H2226" s="190" t="n">
        <v>12781.5287157423</v>
      </c>
      <c r="I2226" s="191" t="n">
        <v>3567332.35529705</v>
      </c>
      <c r="J2226" s="192" t="str">
        <f>IF(I2226&gt;0,H2226/I2226,0)</f>
      </c>
      <c r="K2226" s="193" t="str">
        <f>1-EXP(-J2226)</f>
      </c>
      <c r="L2226" s="194" t="str">
        <f>IF(G2226=30,1,M2225)</f>
      </c>
      <c r="M2226" s="195" t="str">
        <f>L2226*(1-K2226)</f>
      </c>
    </row>
    <row r="2227">
      <c r="A2227" t="s">
        <v>167</v>
      </c>
      <c r="B2227" t="s">
        <v>250</v>
      </c>
      <c r="C2227" s="35" t="s">
        <v>252</v>
      </c>
      <c r="D2227" t="s">
        <v>502</v>
      </c>
      <c r="E2227" t="s">
        <v>520</v>
      </c>
      <c r="F2227" s="188" t="n">
        <v>2028</v>
      </c>
      <c r="G2227" s="189" t="n">
        <v>55</v>
      </c>
      <c r="H2227" s="190" t="n">
        <v>13978.0889207776</v>
      </c>
      <c r="I2227" s="191" t="n">
        <v>3523139.04661997</v>
      </c>
      <c r="J2227" s="192" t="str">
        <f>IF(I2227&gt;0,H2227/I2227,0)</f>
      </c>
      <c r="K2227" s="193" t="str">
        <f>1-EXP(-J2227)</f>
      </c>
      <c r="L2227" s="194" t="str">
        <f>IF(G2227=30,1,M2226)</f>
      </c>
      <c r="M2227" s="195" t="str">
        <f>L2227*(1-K2227)</f>
      </c>
    </row>
    <row r="2228">
      <c r="A2228" t="s">
        <v>167</v>
      </c>
      <c r="B2228" t="s">
        <v>250</v>
      </c>
      <c r="C2228" s="35" t="s">
        <v>252</v>
      </c>
      <c r="D2228" t="s">
        <v>502</v>
      </c>
      <c r="E2228" t="s">
        <v>520</v>
      </c>
      <c r="F2228" s="188" t="n">
        <v>2028</v>
      </c>
      <c r="G2228" s="189" t="n">
        <v>56</v>
      </c>
      <c r="H2228" s="190" t="n">
        <v>14369.8967139436</v>
      </c>
      <c r="I2228" s="191" t="n">
        <v>3313756.5540291</v>
      </c>
      <c r="J2228" s="192" t="str">
        <f>IF(I2228&gt;0,H2228/I2228,0)</f>
      </c>
      <c r="K2228" s="193" t="str">
        <f>1-EXP(-J2228)</f>
      </c>
      <c r="L2228" s="194" t="str">
        <f>IF(G2228=30,1,M2227)</f>
      </c>
      <c r="M2228" s="195" t="str">
        <f>L2228*(1-K2228)</f>
      </c>
    </row>
    <row r="2229">
      <c r="A2229" t="s">
        <v>167</v>
      </c>
      <c r="B2229" t="s">
        <v>250</v>
      </c>
      <c r="C2229" s="35" t="s">
        <v>252</v>
      </c>
      <c r="D2229" t="s">
        <v>502</v>
      </c>
      <c r="E2229" t="s">
        <v>520</v>
      </c>
      <c r="F2229" s="188" t="n">
        <v>2028</v>
      </c>
      <c r="G2229" s="189" t="n">
        <v>57</v>
      </c>
      <c r="H2229" s="190" t="n">
        <v>15289.1454588885</v>
      </c>
      <c r="I2229" s="191" t="n">
        <v>3227008.72893839</v>
      </c>
      <c r="J2229" s="192" t="str">
        <f>IF(I2229&gt;0,H2229/I2229,0)</f>
      </c>
      <c r="K2229" s="193" t="str">
        <f>1-EXP(-J2229)</f>
      </c>
      <c r="L2229" s="194" t="str">
        <f>IF(G2229=30,1,M2228)</f>
      </c>
      <c r="M2229" s="195" t="str">
        <f>L2229*(1-K2229)</f>
      </c>
    </row>
    <row r="2230">
      <c r="A2230" t="s">
        <v>167</v>
      </c>
      <c r="B2230" t="s">
        <v>250</v>
      </c>
      <c r="C2230" s="35" t="s">
        <v>252</v>
      </c>
      <c r="D2230" t="s">
        <v>502</v>
      </c>
      <c r="E2230" t="s">
        <v>520</v>
      </c>
      <c r="F2230" s="188" t="n">
        <v>2028</v>
      </c>
      <c r="G2230" s="189" t="n">
        <v>58</v>
      </c>
      <c r="H2230" s="190" t="n">
        <v>16283.4116247785</v>
      </c>
      <c r="I2230" s="191" t="n">
        <v>3144727.7183308</v>
      </c>
      <c r="J2230" s="192" t="str">
        <f>IF(I2230&gt;0,H2230/I2230,0)</f>
      </c>
      <c r="K2230" s="193" t="str">
        <f>1-EXP(-J2230)</f>
      </c>
      <c r="L2230" s="194" t="str">
        <f>IF(G2230=30,1,M2229)</f>
      </c>
      <c r="M2230" s="195" t="str">
        <f>L2230*(1-K2230)</f>
      </c>
    </row>
    <row r="2231">
      <c r="A2231" t="s">
        <v>167</v>
      </c>
      <c r="B2231" t="s">
        <v>250</v>
      </c>
      <c r="C2231" s="35" t="s">
        <v>252</v>
      </c>
      <c r="D2231" t="s">
        <v>502</v>
      </c>
      <c r="E2231" t="s">
        <v>520</v>
      </c>
      <c r="F2231" s="188" t="n">
        <v>2028</v>
      </c>
      <c r="G2231" s="189" t="n">
        <v>59</v>
      </c>
      <c r="H2231" s="190" t="n">
        <v>17279.3268829775</v>
      </c>
      <c r="I2231" s="191" t="n">
        <v>3053169.50097054</v>
      </c>
      <c r="J2231" s="192" t="str">
        <f>IF(I2231&gt;0,H2231/I2231,0)</f>
      </c>
      <c r="K2231" s="193" t="str">
        <f>1-EXP(-J2231)</f>
      </c>
      <c r="L2231" s="194" t="str">
        <f>IF(G2231=30,1,M2230)</f>
      </c>
      <c r="M2231" s="195" t="str">
        <f>L2231*(1-K2231)</f>
      </c>
    </row>
    <row r="2232">
      <c r="A2232" t="s">
        <v>167</v>
      </c>
      <c r="B2232" t="s">
        <v>250</v>
      </c>
      <c r="C2232" s="35" t="s">
        <v>252</v>
      </c>
      <c r="D2232" t="s">
        <v>502</v>
      </c>
      <c r="E2232" t="s">
        <v>520</v>
      </c>
      <c r="F2232" s="188" t="n">
        <v>2028</v>
      </c>
      <c r="G2232" s="189" t="n">
        <v>60</v>
      </c>
      <c r="H2232" s="190" t="n">
        <v>18614.0684696273</v>
      </c>
      <c r="I2232" s="191" t="n">
        <v>2941752.68444555</v>
      </c>
      <c r="J2232" s="192" t="str">
        <f>IF(I2232&gt;0,H2232/I2232,0)</f>
      </c>
      <c r="K2232" s="193" t="str">
        <f>1-EXP(-J2232)</f>
      </c>
      <c r="L2232" s="194" t="str">
        <f>IF(G2232=30,1,M2231)</f>
      </c>
      <c r="M2232" s="195" t="str">
        <f>L2232*(1-K2232)</f>
      </c>
    </row>
    <row r="2233">
      <c r="A2233" t="s">
        <v>167</v>
      </c>
      <c r="B2233" t="s">
        <v>250</v>
      </c>
      <c r="C2233" s="35" t="s">
        <v>252</v>
      </c>
      <c r="D2233" t="s">
        <v>502</v>
      </c>
      <c r="E2233" t="s">
        <v>520</v>
      </c>
      <c r="F2233" s="188" t="n">
        <v>2028</v>
      </c>
      <c r="G2233" s="189" t="n">
        <v>61</v>
      </c>
      <c r="H2233" s="190" t="n">
        <v>19407.0978018349</v>
      </c>
      <c r="I2233" s="191" t="n">
        <v>2798442.14465361</v>
      </c>
      <c r="J2233" s="192" t="str">
        <f>IF(I2233&gt;0,H2233/I2233,0)</f>
      </c>
      <c r="K2233" s="193" t="str">
        <f>1-EXP(-J2233)</f>
      </c>
      <c r="L2233" s="194" t="str">
        <f>IF(G2233=30,1,M2232)</f>
      </c>
      <c r="M2233" s="195" t="str">
        <f>L2233*(1-K2233)</f>
      </c>
    </row>
    <row r="2234">
      <c r="A2234" t="s">
        <v>167</v>
      </c>
      <c r="B2234" t="s">
        <v>250</v>
      </c>
      <c r="C2234" s="35" t="s">
        <v>252</v>
      </c>
      <c r="D2234" t="s">
        <v>502</v>
      </c>
      <c r="E2234" t="s">
        <v>520</v>
      </c>
      <c r="F2234" s="188" t="n">
        <v>2028</v>
      </c>
      <c r="G2234" s="189" t="n">
        <v>62</v>
      </c>
      <c r="H2234" s="190" t="n">
        <v>20422.9099930778</v>
      </c>
      <c r="I2234" s="191" t="n">
        <v>2692280.53180452</v>
      </c>
      <c r="J2234" s="192" t="str">
        <f>IF(I2234&gt;0,H2234/I2234,0)</f>
      </c>
      <c r="K2234" s="193" t="str">
        <f>1-EXP(-J2234)</f>
      </c>
      <c r="L2234" s="194" t="str">
        <f>IF(G2234=30,1,M2233)</f>
      </c>
      <c r="M2234" s="195" t="str">
        <f>L2234*(1-K2234)</f>
      </c>
    </row>
    <row r="2235">
      <c r="A2235" t="s">
        <v>167</v>
      </c>
      <c r="B2235" t="s">
        <v>250</v>
      </c>
      <c r="C2235" s="35" t="s">
        <v>252</v>
      </c>
      <c r="D2235" t="s">
        <v>502</v>
      </c>
      <c r="E2235" t="s">
        <v>520</v>
      </c>
      <c r="F2235" s="188" t="n">
        <v>2028</v>
      </c>
      <c r="G2235" s="189" t="n">
        <v>63</v>
      </c>
      <c r="H2235" s="190" t="n">
        <v>21287.2282181796</v>
      </c>
      <c r="I2235" s="191" t="n">
        <v>2564458.98569699</v>
      </c>
      <c r="J2235" s="192" t="str">
        <f>IF(I2235&gt;0,H2235/I2235,0)</f>
      </c>
      <c r="K2235" s="193" t="str">
        <f>1-EXP(-J2235)</f>
      </c>
      <c r="L2235" s="194" t="str">
        <f>IF(G2235=30,1,M2234)</f>
      </c>
      <c r="M2235" s="195" t="str">
        <f>L2235*(1-K2235)</f>
      </c>
    </row>
    <row r="2236">
      <c r="A2236" t="s">
        <v>167</v>
      </c>
      <c r="B2236" t="s">
        <v>250</v>
      </c>
      <c r="C2236" s="35" t="s">
        <v>252</v>
      </c>
      <c r="D2236" t="s">
        <v>502</v>
      </c>
      <c r="E2236" t="s">
        <v>520</v>
      </c>
      <c r="F2236" s="188" t="n">
        <v>2028</v>
      </c>
      <c r="G2236" s="189" t="n">
        <v>64</v>
      </c>
      <c r="H2236" s="190" t="n">
        <v>22147.6009701611</v>
      </c>
      <c r="I2236" s="191" t="n">
        <v>2436861.32032516</v>
      </c>
      <c r="J2236" s="192" t="str">
        <f>IF(I2236&gt;0,H2236/I2236,0)</f>
      </c>
      <c r="K2236" s="193" t="str">
        <f>1-EXP(-J2236)</f>
      </c>
      <c r="L2236" s="194" t="str">
        <f>IF(G2236=30,1,M2235)</f>
      </c>
      <c r="M2236" s="195" t="str">
        <f>L2236*(1-K2236)</f>
      </c>
    </row>
    <row r="2237">
      <c r="A2237" t="s">
        <v>167</v>
      </c>
      <c r="B2237" t="s">
        <v>250</v>
      </c>
      <c r="C2237" s="35" t="s">
        <v>252</v>
      </c>
      <c r="D2237" t="s">
        <v>502</v>
      </c>
      <c r="E2237" t="s">
        <v>520</v>
      </c>
      <c r="F2237" s="188" t="n">
        <v>2028</v>
      </c>
      <c r="G2237" s="189" t="n">
        <v>65</v>
      </c>
      <c r="H2237" s="190" t="n">
        <v>22428.0242791444</v>
      </c>
      <c r="I2237" s="191" t="n">
        <v>2314164.70632438</v>
      </c>
      <c r="J2237" s="192" t="str">
        <f>IF(I2237&gt;0,H2237/I2237,0)</f>
      </c>
      <c r="K2237" s="193" t="str">
        <f>1-EXP(-J2237)</f>
      </c>
      <c r="L2237" s="194" t="str">
        <f>IF(G2237=30,1,M2236)</f>
      </c>
      <c r="M2237" s="195" t="str">
        <f>L2237*(1-K2237)</f>
      </c>
    </row>
    <row r="2238">
      <c r="A2238" t="s">
        <v>167</v>
      </c>
      <c r="B2238" t="s">
        <v>250</v>
      </c>
      <c r="C2238" s="35" t="s">
        <v>252</v>
      </c>
      <c r="D2238" t="s">
        <v>502</v>
      </c>
      <c r="E2238" t="s">
        <v>520</v>
      </c>
      <c r="F2238" s="188" t="n">
        <v>2028</v>
      </c>
      <c r="G2238" s="189" t="n">
        <v>66</v>
      </c>
      <c r="H2238" s="190" t="n">
        <v>23095.1388492327</v>
      </c>
      <c r="I2238" s="191" t="n">
        <v>2166325.32142376</v>
      </c>
      <c r="J2238" s="192" t="str">
        <f>IF(I2238&gt;0,H2238/I2238,0)</f>
      </c>
      <c r="K2238" s="193" t="str">
        <f>1-EXP(-J2238)</f>
      </c>
      <c r="L2238" s="194" t="str">
        <f>IF(G2238=30,1,M2237)</f>
      </c>
      <c r="M2238" s="195" t="str">
        <f>L2238*(1-K2238)</f>
      </c>
    </row>
    <row r="2239">
      <c r="A2239" t="s">
        <v>167</v>
      </c>
      <c r="B2239" t="s">
        <v>250</v>
      </c>
      <c r="C2239" s="35" t="s">
        <v>252</v>
      </c>
      <c r="D2239" t="s">
        <v>502</v>
      </c>
      <c r="E2239" t="s">
        <v>520</v>
      </c>
      <c r="F2239" s="188" t="n">
        <v>2028</v>
      </c>
      <c r="G2239" s="189" t="n">
        <v>67</v>
      </c>
      <c r="H2239" s="190" t="n">
        <v>23883.83731789</v>
      </c>
      <c r="I2239" s="191" t="n">
        <v>2043231.77428484</v>
      </c>
      <c r="J2239" s="192" t="str">
        <f>IF(I2239&gt;0,H2239/I2239,0)</f>
      </c>
      <c r="K2239" s="193" t="str">
        <f>1-EXP(-J2239)</f>
      </c>
      <c r="L2239" s="194" t="str">
        <f>IF(G2239=30,1,M2238)</f>
      </c>
      <c r="M2239" s="195" t="str">
        <f>L2239*(1-K2239)</f>
      </c>
    </row>
    <row r="2240">
      <c r="A2240" t="s">
        <v>167</v>
      </c>
      <c r="B2240" t="s">
        <v>250</v>
      </c>
      <c r="C2240" s="35" t="s">
        <v>252</v>
      </c>
      <c r="D2240" t="s">
        <v>502</v>
      </c>
      <c r="E2240" t="s">
        <v>520</v>
      </c>
      <c r="F2240" s="188" t="n">
        <v>2028</v>
      </c>
      <c r="G2240" s="189" t="n">
        <v>68</v>
      </c>
      <c r="H2240" s="190" t="n">
        <v>24575.8860974091</v>
      </c>
      <c r="I2240" s="191" t="n">
        <v>1916511.77497454</v>
      </c>
      <c r="J2240" s="192" t="str">
        <f>IF(I2240&gt;0,H2240/I2240,0)</f>
      </c>
      <c r="K2240" s="193" t="str">
        <f>1-EXP(-J2240)</f>
      </c>
      <c r="L2240" s="194" t="str">
        <f>IF(G2240=30,1,M2239)</f>
      </c>
      <c r="M2240" s="195" t="str">
        <f>L2240*(1-K2240)</f>
      </c>
    </row>
    <row r="2241">
      <c r="A2241" t="s">
        <v>167</v>
      </c>
      <c r="B2241" t="s">
        <v>250</v>
      </c>
      <c r="C2241" s="35" t="s">
        <v>252</v>
      </c>
      <c r="D2241" t="s">
        <v>502</v>
      </c>
      <c r="E2241" t="s">
        <v>520</v>
      </c>
      <c r="F2241" s="188" t="n">
        <v>2028</v>
      </c>
      <c r="G2241" s="189" t="n">
        <v>69</v>
      </c>
      <c r="H2241" s="190" t="n">
        <v>25115.3350271173</v>
      </c>
      <c r="I2241" s="191" t="n">
        <v>1784240.25858501</v>
      </c>
      <c r="J2241" s="192" t="str">
        <f>IF(I2241&gt;0,H2241/I2241,0)</f>
      </c>
      <c r="K2241" s="193" t="str">
        <f>1-EXP(-J2241)</f>
      </c>
      <c r="L2241" s="194" t="str">
        <f>IF(G2241=30,1,M2240)</f>
      </c>
      <c r="M2241" s="195" t="str">
        <f>L2241*(1-K2241)</f>
      </c>
    </row>
    <row r="2242">
      <c r="A2242" t="s">
        <v>167</v>
      </c>
      <c r="B2242" t="s">
        <v>250</v>
      </c>
      <c r="C2242" s="35" t="s">
        <v>252</v>
      </c>
      <c r="D2242" t="s">
        <v>502</v>
      </c>
      <c r="E2242" t="s">
        <v>520</v>
      </c>
      <c r="F2242" s="188" t="n">
        <v>2029</v>
      </c>
      <c r="G2242" s="189" t="n">
        <v>30</v>
      </c>
      <c r="H2242" s="190" t="n">
        <v>957.811404300768</v>
      </c>
      <c r="I2242" s="191" t="n">
        <v>4353624.99785911</v>
      </c>
      <c r="J2242" s="192" t="str">
        <f>IF(I2242&gt;0,H2242/I2242,0)</f>
      </c>
      <c r="K2242" s="193" t="str">
        <f>1-EXP(-J2242)</f>
      </c>
      <c r="L2242" s="194" t="str">
        <f>IF(G2242=30,1,M2241)</f>
      </c>
      <c r="M2242" s="195" t="str">
        <f>L2242*(1-K2242)</f>
      </c>
    </row>
    <row r="2243">
      <c r="A2243" t="s">
        <v>167</v>
      </c>
      <c r="B2243" t="s">
        <v>250</v>
      </c>
      <c r="C2243" s="35" t="s">
        <v>252</v>
      </c>
      <c r="D2243" t="s">
        <v>502</v>
      </c>
      <c r="E2243" t="s">
        <v>520</v>
      </c>
      <c r="F2243" s="188" t="n">
        <v>2029</v>
      </c>
      <c r="G2243" s="189" t="n">
        <v>31</v>
      </c>
      <c r="H2243" s="190" t="n">
        <v>1107.5633843138</v>
      </c>
      <c r="I2243" s="191" t="n">
        <v>4413841.96824714</v>
      </c>
      <c r="J2243" s="192" t="str">
        <f>IF(I2243&gt;0,H2243/I2243,0)</f>
      </c>
      <c r="K2243" s="193" t="str">
        <f>1-EXP(-J2243)</f>
      </c>
      <c r="L2243" s="194" t="str">
        <f>IF(G2243=30,1,M2242)</f>
      </c>
      <c r="M2243" s="195" t="str">
        <f>L2243*(1-K2243)</f>
      </c>
    </row>
    <row r="2244">
      <c r="A2244" t="s">
        <v>167</v>
      </c>
      <c r="B2244" t="s">
        <v>250</v>
      </c>
      <c r="C2244" s="35" t="s">
        <v>252</v>
      </c>
      <c r="D2244" t="s">
        <v>502</v>
      </c>
      <c r="E2244" t="s">
        <v>520</v>
      </c>
      <c r="F2244" s="188" t="n">
        <v>2029</v>
      </c>
      <c r="G2244" s="189" t="n">
        <v>32</v>
      </c>
      <c r="H2244" s="190" t="n">
        <v>1394.289969477</v>
      </c>
      <c r="I2244" s="191" t="n">
        <v>4555475.18292469</v>
      </c>
      <c r="J2244" s="192" t="str">
        <f>IF(I2244&gt;0,H2244/I2244,0)</f>
      </c>
      <c r="K2244" s="193" t="str">
        <f>1-EXP(-J2244)</f>
      </c>
      <c r="L2244" s="194" t="str">
        <f>IF(G2244=30,1,M2243)</f>
      </c>
      <c r="M2244" s="195" t="str">
        <f>L2244*(1-K2244)</f>
      </c>
    </row>
    <row r="2245">
      <c r="A2245" t="s">
        <v>167</v>
      </c>
      <c r="B2245" t="s">
        <v>250</v>
      </c>
      <c r="C2245" s="35" t="s">
        <v>252</v>
      </c>
      <c r="D2245" t="s">
        <v>502</v>
      </c>
      <c r="E2245" t="s">
        <v>520</v>
      </c>
      <c r="F2245" s="188" t="n">
        <v>2029</v>
      </c>
      <c r="G2245" s="189" t="n">
        <v>33</v>
      </c>
      <c r="H2245" s="190" t="n">
        <v>1454.50789044483</v>
      </c>
      <c r="I2245" s="191" t="n">
        <v>4512916.39895662</v>
      </c>
      <c r="J2245" s="192" t="str">
        <f>IF(I2245&gt;0,H2245/I2245,0)</f>
      </c>
      <c r="K2245" s="193" t="str">
        <f>1-EXP(-J2245)</f>
      </c>
      <c r="L2245" s="194" t="str">
        <f>IF(G2245=30,1,M2244)</f>
      </c>
      <c r="M2245" s="195" t="str">
        <f>L2245*(1-K2245)</f>
      </c>
    </row>
    <row r="2246">
      <c r="A2246" t="s">
        <v>167</v>
      </c>
      <c r="B2246" t="s">
        <v>250</v>
      </c>
      <c r="C2246" s="35" t="s">
        <v>252</v>
      </c>
      <c r="D2246" t="s">
        <v>502</v>
      </c>
      <c r="E2246" t="s">
        <v>520</v>
      </c>
      <c r="F2246" s="188" t="n">
        <v>2029</v>
      </c>
      <c r="G2246" s="189" t="n">
        <v>34</v>
      </c>
      <c r="H2246" s="190" t="n">
        <v>1516.23038187252</v>
      </c>
      <c r="I2246" s="191" t="n">
        <v>4440166.47134571</v>
      </c>
      <c r="J2246" s="192" t="str">
        <f>IF(I2246&gt;0,H2246/I2246,0)</f>
      </c>
      <c r="K2246" s="193" t="str">
        <f>1-EXP(-J2246)</f>
      </c>
      <c r="L2246" s="194" t="str">
        <f>IF(G2246=30,1,M2245)</f>
      </c>
      <c r="M2246" s="195" t="str">
        <f>L2246*(1-K2246)</f>
      </c>
    </row>
    <row r="2247">
      <c r="A2247" t="s">
        <v>167</v>
      </c>
      <c r="B2247" t="s">
        <v>250</v>
      </c>
      <c r="C2247" s="35" t="s">
        <v>252</v>
      </c>
      <c r="D2247" t="s">
        <v>502</v>
      </c>
      <c r="E2247" t="s">
        <v>520</v>
      </c>
      <c r="F2247" s="188" t="n">
        <v>2029</v>
      </c>
      <c r="G2247" s="189" t="n">
        <v>35</v>
      </c>
      <c r="H2247" s="190" t="n">
        <v>2042.46556216609</v>
      </c>
      <c r="I2247" s="191" t="n">
        <v>4383264.28625118</v>
      </c>
      <c r="J2247" s="192" t="str">
        <f>IF(I2247&gt;0,H2247/I2247,0)</f>
      </c>
      <c r="K2247" s="193" t="str">
        <f>1-EXP(-J2247)</f>
      </c>
      <c r="L2247" s="194" t="str">
        <f>IF(G2247=30,1,M2246)</f>
      </c>
      <c r="M2247" s="195" t="str">
        <f>L2247*(1-K2247)</f>
      </c>
    </row>
    <row r="2248">
      <c r="A2248" t="s">
        <v>167</v>
      </c>
      <c r="B2248" t="s">
        <v>250</v>
      </c>
      <c r="C2248" s="35" t="s">
        <v>252</v>
      </c>
      <c r="D2248" t="s">
        <v>502</v>
      </c>
      <c r="E2248" t="s">
        <v>520</v>
      </c>
      <c r="F2248" s="188" t="n">
        <v>2029</v>
      </c>
      <c r="G2248" s="189" t="n">
        <v>36</v>
      </c>
      <c r="H2248" s="190" t="n">
        <v>2155.2467195174</v>
      </c>
      <c r="I2248" s="191" t="n">
        <v>4329511.49168223</v>
      </c>
      <c r="J2248" s="192" t="str">
        <f>IF(I2248&gt;0,H2248/I2248,0)</f>
      </c>
      <c r="K2248" s="193" t="str">
        <f>1-EXP(-J2248)</f>
      </c>
      <c r="L2248" s="194" t="str">
        <f>IF(G2248=30,1,M2247)</f>
      </c>
      <c r="M2248" s="195" t="str">
        <f>L2248*(1-K2248)</f>
      </c>
    </row>
    <row r="2249">
      <c r="A2249" t="s">
        <v>167</v>
      </c>
      <c r="B2249" t="s">
        <v>250</v>
      </c>
      <c r="C2249" s="35" t="s">
        <v>252</v>
      </c>
      <c r="D2249" t="s">
        <v>502</v>
      </c>
      <c r="E2249" t="s">
        <v>520</v>
      </c>
      <c r="F2249" s="188" t="n">
        <v>2029</v>
      </c>
      <c r="G2249" s="189" t="n">
        <v>37</v>
      </c>
      <c r="H2249" s="190" t="n">
        <v>2329.94958730493</v>
      </c>
      <c r="I2249" s="191" t="n">
        <v>4367833.11513967</v>
      </c>
      <c r="J2249" s="192" t="str">
        <f>IF(I2249&gt;0,H2249/I2249,0)</f>
      </c>
      <c r="K2249" s="193" t="str">
        <f>1-EXP(-J2249)</f>
      </c>
      <c r="L2249" s="194" t="str">
        <f>IF(G2249=30,1,M2248)</f>
      </c>
      <c r="M2249" s="195" t="str">
        <f>L2249*(1-K2249)</f>
      </c>
    </row>
    <row r="2250">
      <c r="A2250" t="s">
        <v>167</v>
      </c>
      <c r="B2250" t="s">
        <v>250</v>
      </c>
      <c r="C2250" s="35" t="s">
        <v>252</v>
      </c>
      <c r="D2250" t="s">
        <v>502</v>
      </c>
      <c r="E2250" t="s">
        <v>520</v>
      </c>
      <c r="F2250" s="188" t="n">
        <v>2029</v>
      </c>
      <c r="G2250" s="189" t="n">
        <v>38</v>
      </c>
      <c r="H2250" s="190" t="n">
        <v>2513.69625991724</v>
      </c>
      <c r="I2250" s="191" t="n">
        <v>4386462.39583782</v>
      </c>
      <c r="J2250" s="192" t="str">
        <f>IF(I2250&gt;0,H2250/I2250,0)</f>
      </c>
      <c r="K2250" s="193" t="str">
        <f>1-EXP(-J2250)</f>
      </c>
      <c r="L2250" s="194" t="str">
        <f>IF(G2250=30,1,M2249)</f>
      </c>
      <c r="M2250" s="195" t="str">
        <f>L2250*(1-K2250)</f>
      </c>
    </row>
    <row r="2251">
      <c r="A2251" t="s">
        <v>167</v>
      </c>
      <c r="B2251" t="s">
        <v>250</v>
      </c>
      <c r="C2251" s="35" t="s">
        <v>252</v>
      </c>
      <c r="D2251" t="s">
        <v>502</v>
      </c>
      <c r="E2251" t="s">
        <v>520</v>
      </c>
      <c r="F2251" s="188" t="n">
        <v>2029</v>
      </c>
      <c r="G2251" s="189" t="n">
        <v>39</v>
      </c>
      <c r="H2251" s="190" t="n">
        <v>3813.41621046097</v>
      </c>
      <c r="I2251" s="191" t="n">
        <v>6459569.52131486</v>
      </c>
      <c r="J2251" s="192" t="str">
        <f>IF(I2251&gt;0,H2251/I2251,0)</f>
      </c>
      <c r="K2251" s="193" t="str">
        <f>1-EXP(-J2251)</f>
      </c>
      <c r="L2251" s="194" t="str">
        <f>IF(G2251=30,1,M2250)</f>
      </c>
      <c r="M2251" s="195" t="str">
        <f>L2251*(1-K2251)</f>
      </c>
    </row>
    <row r="2252">
      <c r="A2252" t="s">
        <v>167</v>
      </c>
      <c r="B2252" t="s">
        <v>250</v>
      </c>
      <c r="C2252" s="35" t="s">
        <v>252</v>
      </c>
      <c r="D2252" t="s">
        <v>502</v>
      </c>
      <c r="E2252" t="s">
        <v>520</v>
      </c>
      <c r="F2252" s="188" t="n">
        <v>2029</v>
      </c>
      <c r="G2252" s="189" t="n">
        <v>40</v>
      </c>
      <c r="H2252" s="190" t="n">
        <v>3607.51384769611</v>
      </c>
      <c r="I2252" s="191" t="n">
        <v>4346257.38271829</v>
      </c>
      <c r="J2252" s="192" t="str">
        <f>IF(I2252&gt;0,H2252/I2252,0)</f>
      </c>
      <c r="K2252" s="193" t="str">
        <f>1-EXP(-J2252)</f>
      </c>
      <c r="L2252" s="194" t="str">
        <f>IF(G2252=30,1,M2251)</f>
      </c>
      <c r="M2252" s="195" t="str">
        <f>L2252*(1-K2252)</f>
      </c>
    </row>
    <row r="2253">
      <c r="A2253" t="s">
        <v>167</v>
      </c>
      <c r="B2253" t="s">
        <v>250</v>
      </c>
      <c r="C2253" s="35" t="s">
        <v>252</v>
      </c>
      <c r="D2253" t="s">
        <v>502</v>
      </c>
      <c r="E2253" t="s">
        <v>520</v>
      </c>
      <c r="F2253" s="188" t="n">
        <v>2029</v>
      </c>
      <c r="G2253" s="189" t="n">
        <v>41</v>
      </c>
      <c r="H2253" s="190" t="n">
        <v>3884.04207520569</v>
      </c>
      <c r="I2253" s="191" t="n">
        <v>4329427.88775662</v>
      </c>
      <c r="J2253" s="192" t="str">
        <f>IF(I2253&gt;0,H2253/I2253,0)</f>
      </c>
      <c r="K2253" s="193" t="str">
        <f>1-EXP(-J2253)</f>
      </c>
      <c r="L2253" s="194" t="str">
        <f>IF(G2253=30,1,M2252)</f>
      </c>
      <c r="M2253" s="195" t="str">
        <f>L2253*(1-K2253)</f>
      </c>
    </row>
    <row r="2254">
      <c r="A2254" t="s">
        <v>167</v>
      </c>
      <c r="B2254" t="s">
        <v>250</v>
      </c>
      <c r="C2254" s="35" t="s">
        <v>252</v>
      </c>
      <c r="D2254" t="s">
        <v>502</v>
      </c>
      <c r="E2254" t="s">
        <v>520</v>
      </c>
      <c r="F2254" s="188" t="n">
        <v>2029</v>
      </c>
      <c r="G2254" s="189" t="n">
        <v>42</v>
      </c>
      <c r="H2254" s="190" t="n">
        <v>4083.3451410415</v>
      </c>
      <c r="I2254" s="191" t="n">
        <v>4197572.72273735</v>
      </c>
      <c r="J2254" s="192" t="str">
        <f>IF(I2254&gt;0,H2254/I2254,0)</f>
      </c>
      <c r="K2254" s="193" t="str">
        <f>1-EXP(-J2254)</f>
      </c>
      <c r="L2254" s="194" t="str">
        <f>IF(G2254=30,1,M2253)</f>
      </c>
      <c r="M2254" s="195" t="str">
        <f>L2254*(1-K2254)</f>
      </c>
    </row>
    <row r="2255">
      <c r="A2255" t="s">
        <v>167</v>
      </c>
      <c r="B2255" t="s">
        <v>250</v>
      </c>
      <c r="C2255" s="35" t="s">
        <v>252</v>
      </c>
      <c r="D2255" t="s">
        <v>502</v>
      </c>
      <c r="E2255" t="s">
        <v>520</v>
      </c>
      <c r="F2255" s="188" t="n">
        <v>2029</v>
      </c>
      <c r="G2255" s="189" t="n">
        <v>43</v>
      </c>
      <c r="H2255" s="190" t="n">
        <v>4405.93302802982</v>
      </c>
      <c r="I2255" s="191" t="n">
        <v>4163693.5541127</v>
      </c>
      <c r="J2255" s="192" t="str">
        <f>IF(I2255&gt;0,H2255/I2255,0)</f>
      </c>
      <c r="K2255" s="193" t="str">
        <f>1-EXP(-J2255)</f>
      </c>
      <c r="L2255" s="194" t="str">
        <f>IF(G2255=30,1,M2254)</f>
      </c>
      <c r="M2255" s="195" t="str">
        <f>L2255*(1-K2255)</f>
      </c>
    </row>
    <row r="2256">
      <c r="A2256" t="s">
        <v>167</v>
      </c>
      <c r="B2256" t="s">
        <v>250</v>
      </c>
      <c r="C2256" s="35" t="s">
        <v>252</v>
      </c>
      <c r="D2256" t="s">
        <v>502</v>
      </c>
      <c r="E2256" t="s">
        <v>520</v>
      </c>
      <c r="F2256" s="188" t="n">
        <v>2029</v>
      </c>
      <c r="G2256" s="189" t="n">
        <v>44</v>
      </c>
      <c r="H2256" s="190" t="n">
        <v>4877.66046642784</v>
      </c>
      <c r="I2256" s="191" t="n">
        <v>4223745.57080343</v>
      </c>
      <c r="J2256" s="192" t="str">
        <f>IF(I2256&gt;0,H2256/I2256,0)</f>
      </c>
      <c r="K2256" s="193" t="str">
        <f>1-EXP(-J2256)</f>
      </c>
      <c r="L2256" s="194" t="str">
        <f>IF(G2256=30,1,M2255)</f>
      </c>
      <c r="M2256" s="195" t="str">
        <f>L2256*(1-K2256)</f>
      </c>
    </row>
    <row r="2257">
      <c r="A2257" t="s">
        <v>167</v>
      </c>
      <c r="B2257" t="s">
        <v>250</v>
      </c>
      <c r="C2257" s="35" t="s">
        <v>252</v>
      </c>
      <c r="D2257" t="s">
        <v>502</v>
      </c>
      <c r="E2257" t="s">
        <v>520</v>
      </c>
      <c r="F2257" s="188" t="n">
        <v>2029</v>
      </c>
      <c r="G2257" s="189" t="n">
        <v>45</v>
      </c>
      <c r="H2257" s="190" t="n">
        <v>6439.15938149875</v>
      </c>
      <c r="I2257" s="191" t="n">
        <v>4309072.29093809</v>
      </c>
      <c r="J2257" s="192" t="str">
        <f>IF(I2257&gt;0,H2257/I2257,0)</f>
      </c>
      <c r="K2257" s="193" t="str">
        <f>1-EXP(-J2257)</f>
      </c>
      <c r="L2257" s="194" t="str">
        <f>IF(G2257=30,1,M2256)</f>
      </c>
      <c r="M2257" s="195" t="str">
        <f>L2257*(1-K2257)</f>
      </c>
    </row>
    <row r="2258">
      <c r="A2258" t="s">
        <v>167</v>
      </c>
      <c r="B2258" t="s">
        <v>250</v>
      </c>
      <c r="C2258" s="35" t="s">
        <v>252</v>
      </c>
      <c r="D2258" t="s">
        <v>502</v>
      </c>
      <c r="E2258" t="s">
        <v>520</v>
      </c>
      <c r="F2258" s="188" t="n">
        <v>2029</v>
      </c>
      <c r="G2258" s="189" t="n">
        <v>46</v>
      </c>
      <c r="H2258" s="190" t="n">
        <v>7005.87917820396</v>
      </c>
      <c r="I2258" s="191" t="n">
        <v>4284193.66827711</v>
      </c>
      <c r="J2258" s="192" t="str">
        <f>IF(I2258&gt;0,H2258/I2258,0)</f>
      </c>
      <c r="K2258" s="193" t="str">
        <f>1-EXP(-J2258)</f>
      </c>
      <c r="L2258" s="194" t="str">
        <f>IF(G2258=30,1,M2257)</f>
      </c>
      <c r="M2258" s="195" t="str">
        <f>L2258*(1-K2258)</f>
      </c>
    </row>
    <row r="2259">
      <c r="A2259" t="s">
        <v>167</v>
      </c>
      <c r="B2259" t="s">
        <v>250</v>
      </c>
      <c r="C2259" s="35" t="s">
        <v>252</v>
      </c>
      <c r="D2259" t="s">
        <v>502</v>
      </c>
      <c r="E2259" t="s">
        <v>520</v>
      </c>
      <c r="F2259" s="188" t="n">
        <v>2029</v>
      </c>
      <c r="G2259" s="189" t="n">
        <v>47</v>
      </c>
      <c r="H2259" s="190" t="n">
        <v>7436.56336059493</v>
      </c>
      <c r="I2259" s="191" t="n">
        <v>4147646.19280097</v>
      </c>
      <c r="J2259" s="192" t="str">
        <f>IF(I2259&gt;0,H2259/I2259,0)</f>
      </c>
      <c r="K2259" s="193" t="str">
        <f>1-EXP(-J2259)</f>
      </c>
      <c r="L2259" s="194" t="str">
        <f>IF(G2259=30,1,M2258)</f>
      </c>
      <c r="M2259" s="195" t="str">
        <f>L2259*(1-K2259)</f>
      </c>
    </row>
    <row r="2260">
      <c r="A2260" t="s">
        <v>167</v>
      </c>
      <c r="B2260" t="s">
        <v>250</v>
      </c>
      <c r="C2260" s="35" t="s">
        <v>252</v>
      </c>
      <c r="D2260" t="s">
        <v>502</v>
      </c>
      <c r="E2260" t="s">
        <v>520</v>
      </c>
      <c r="F2260" s="188" t="n">
        <v>2029</v>
      </c>
      <c r="G2260" s="189" t="n">
        <v>48</v>
      </c>
      <c r="H2260" s="190" t="n">
        <v>7999.6677085135</v>
      </c>
      <c r="I2260" s="191" t="n">
        <v>4073555.24088586</v>
      </c>
      <c r="J2260" s="192" t="str">
        <f>IF(I2260&gt;0,H2260/I2260,0)</f>
      </c>
      <c r="K2260" s="193" t="str">
        <f>1-EXP(-J2260)</f>
      </c>
      <c r="L2260" s="194" t="str">
        <f>IF(G2260=30,1,M2259)</f>
      </c>
      <c r="M2260" s="195" t="str">
        <f>L2260*(1-K2260)</f>
      </c>
    </row>
    <row r="2261">
      <c r="A2261" t="s">
        <v>167</v>
      </c>
      <c r="B2261" t="s">
        <v>250</v>
      </c>
      <c r="C2261" s="35" t="s">
        <v>252</v>
      </c>
      <c r="D2261" t="s">
        <v>502</v>
      </c>
      <c r="E2261" t="s">
        <v>520</v>
      </c>
      <c r="F2261" s="188" t="n">
        <v>2029</v>
      </c>
      <c r="G2261" s="189" t="n">
        <v>49</v>
      </c>
      <c r="H2261" s="190" t="n">
        <v>8629.8829104511</v>
      </c>
      <c r="I2261" s="191" t="n">
        <v>4015301.98709786</v>
      </c>
      <c r="J2261" s="192" t="str">
        <f>IF(I2261&gt;0,H2261/I2261,0)</f>
      </c>
      <c r="K2261" s="193" t="str">
        <f>1-EXP(-J2261)</f>
      </c>
      <c r="L2261" s="194" t="str">
        <f>IF(G2261=30,1,M2260)</f>
      </c>
      <c r="M2261" s="195" t="str">
        <f>L2261*(1-K2261)</f>
      </c>
    </row>
    <row r="2262">
      <c r="A2262" t="s">
        <v>167</v>
      </c>
      <c r="B2262" t="s">
        <v>250</v>
      </c>
      <c r="C2262" s="35" t="s">
        <v>252</v>
      </c>
      <c r="D2262" t="s">
        <v>502</v>
      </c>
      <c r="E2262" t="s">
        <v>520</v>
      </c>
      <c r="F2262" s="188" t="n">
        <v>2029</v>
      </c>
      <c r="G2262" s="189" t="n">
        <v>50</v>
      </c>
      <c r="H2262" s="190" t="n">
        <v>9899.72521803271</v>
      </c>
      <c r="I2262" s="191" t="n">
        <v>3951551.64345888</v>
      </c>
      <c r="J2262" s="192" t="str">
        <f>IF(I2262&gt;0,H2262/I2262,0)</f>
      </c>
      <c r="K2262" s="193" t="str">
        <f>1-EXP(-J2262)</f>
      </c>
      <c r="L2262" s="194" t="str">
        <f>IF(G2262=30,1,M2261)</f>
      </c>
      <c r="M2262" s="195" t="str">
        <f>L2262*(1-K2262)</f>
      </c>
    </row>
    <row r="2263">
      <c r="A2263" t="s">
        <v>167</v>
      </c>
      <c r="B2263" t="s">
        <v>250</v>
      </c>
      <c r="C2263" s="35" t="s">
        <v>252</v>
      </c>
      <c r="D2263" t="s">
        <v>502</v>
      </c>
      <c r="E2263" t="s">
        <v>520</v>
      </c>
      <c r="F2263" s="188" t="n">
        <v>2029</v>
      </c>
      <c r="G2263" s="189" t="n">
        <v>51</v>
      </c>
      <c r="H2263" s="190" t="n">
        <v>10589.6353797661</v>
      </c>
      <c r="I2263" s="191" t="n">
        <v>3867415.59031265</v>
      </c>
      <c r="J2263" s="192" t="str">
        <f>IF(I2263&gt;0,H2263/I2263,0)</f>
      </c>
      <c r="K2263" s="193" t="str">
        <f>1-EXP(-J2263)</f>
      </c>
      <c r="L2263" s="194" t="str">
        <f>IF(G2263=30,1,M2262)</f>
      </c>
      <c r="M2263" s="195" t="str">
        <f>L2263*(1-K2263)</f>
      </c>
    </row>
    <row r="2264">
      <c r="A2264" t="s">
        <v>167</v>
      </c>
      <c r="B2264" t="s">
        <v>250</v>
      </c>
      <c r="C2264" s="35" t="s">
        <v>252</v>
      </c>
      <c r="D2264" t="s">
        <v>502</v>
      </c>
      <c r="E2264" t="s">
        <v>520</v>
      </c>
      <c r="F2264" s="188" t="n">
        <v>2029</v>
      </c>
      <c r="G2264" s="189" t="n">
        <v>52</v>
      </c>
      <c r="H2264" s="190" t="n">
        <v>11377.7917384996</v>
      </c>
      <c r="I2264" s="191" t="n">
        <v>3801161.72206353</v>
      </c>
      <c r="J2264" s="192" t="str">
        <f>IF(I2264&gt;0,H2264/I2264,0)</f>
      </c>
      <c r="K2264" s="193" t="str">
        <f>1-EXP(-J2264)</f>
      </c>
      <c r="L2264" s="194" t="str">
        <f>IF(G2264=30,1,M2263)</f>
      </c>
      <c r="M2264" s="195" t="str">
        <f>L2264*(1-K2264)</f>
      </c>
    </row>
    <row r="2265">
      <c r="A2265" t="s">
        <v>167</v>
      </c>
      <c r="B2265" t="s">
        <v>250</v>
      </c>
      <c r="C2265" s="35" t="s">
        <v>252</v>
      </c>
      <c r="D2265" t="s">
        <v>502</v>
      </c>
      <c r="E2265" t="s">
        <v>520</v>
      </c>
      <c r="F2265" s="188" t="n">
        <v>2029</v>
      </c>
      <c r="G2265" s="189" t="n">
        <v>53</v>
      </c>
      <c r="H2265" s="190" t="n">
        <v>12167.8398469632</v>
      </c>
      <c r="I2265" s="191" t="n">
        <v>3723002.58301513</v>
      </c>
      <c r="J2265" s="192" t="str">
        <f>IF(I2265&gt;0,H2265/I2265,0)</f>
      </c>
      <c r="K2265" s="193" t="str">
        <f>1-EXP(-J2265)</f>
      </c>
      <c r="L2265" s="194" t="str">
        <f>IF(G2265=30,1,M2264)</f>
      </c>
      <c r="M2265" s="195" t="str">
        <f>L2265*(1-K2265)</f>
      </c>
    </row>
    <row r="2266">
      <c r="A2266" t="s">
        <v>167</v>
      </c>
      <c r="B2266" t="s">
        <v>250</v>
      </c>
      <c r="C2266" s="35" t="s">
        <v>252</v>
      </c>
      <c r="D2266" t="s">
        <v>502</v>
      </c>
      <c r="E2266" t="s">
        <v>520</v>
      </c>
      <c r="F2266" s="188" t="n">
        <v>2029</v>
      </c>
      <c r="G2266" s="189" t="n">
        <v>54</v>
      </c>
      <c r="H2266" s="190" t="n">
        <v>13006.0780935802</v>
      </c>
      <c r="I2266" s="191" t="n">
        <v>3644078.49384608</v>
      </c>
      <c r="J2266" s="192" t="str">
        <f>IF(I2266&gt;0,H2266/I2266,0)</f>
      </c>
      <c r="K2266" s="193" t="str">
        <f>1-EXP(-J2266)</f>
      </c>
      <c r="L2266" s="194" t="str">
        <f>IF(G2266=30,1,M2265)</f>
      </c>
      <c r="M2266" s="195" t="str">
        <f>L2266*(1-K2266)</f>
      </c>
    </row>
    <row r="2267">
      <c r="A2267" t="s">
        <v>167</v>
      </c>
      <c r="B2267" t="s">
        <v>250</v>
      </c>
      <c r="C2267" s="35" t="s">
        <v>252</v>
      </c>
      <c r="D2267" t="s">
        <v>502</v>
      </c>
      <c r="E2267" t="s">
        <v>520</v>
      </c>
      <c r="F2267" s="188" t="n">
        <v>2029</v>
      </c>
      <c r="G2267" s="189" t="n">
        <v>55</v>
      </c>
      <c r="H2267" s="190" t="n">
        <v>13955.4861252961</v>
      </c>
      <c r="I2267" s="191" t="n">
        <v>3537632.06850139</v>
      </c>
      <c r="J2267" s="192" t="str">
        <f>IF(I2267&gt;0,H2267/I2267,0)</f>
      </c>
      <c r="K2267" s="193" t="str">
        <f>1-EXP(-J2267)</f>
      </c>
      <c r="L2267" s="194" t="str">
        <f>IF(G2267=30,1,M2266)</f>
      </c>
      <c r="M2267" s="195" t="str">
        <f>L2267*(1-K2267)</f>
      </c>
    </row>
    <row r="2268">
      <c r="A2268" t="s">
        <v>167</v>
      </c>
      <c r="B2268" t="s">
        <v>250</v>
      </c>
      <c r="C2268" s="35" t="s">
        <v>252</v>
      </c>
      <c r="D2268" t="s">
        <v>502</v>
      </c>
      <c r="E2268" t="s">
        <v>520</v>
      </c>
      <c r="F2268" s="188" t="n">
        <v>2029</v>
      </c>
      <c r="G2268" s="189" t="n">
        <v>56</v>
      </c>
      <c r="H2268" s="190" t="n">
        <v>15030.1194142703</v>
      </c>
      <c r="I2268" s="191" t="n">
        <v>3490637.21396078</v>
      </c>
      <c r="J2268" s="192" t="str">
        <f>IF(I2268&gt;0,H2268/I2268,0)</f>
      </c>
      <c r="K2268" s="193" t="str">
        <f>1-EXP(-J2268)</f>
      </c>
      <c r="L2268" s="194" t="str">
        <f>IF(G2268=30,1,M2267)</f>
      </c>
      <c r="M2268" s="195" t="str">
        <f>L2268*(1-K2268)</f>
      </c>
    </row>
    <row r="2269">
      <c r="A2269" t="s">
        <v>167</v>
      </c>
      <c r="B2269" t="s">
        <v>250</v>
      </c>
      <c r="C2269" s="35" t="s">
        <v>252</v>
      </c>
      <c r="D2269" t="s">
        <v>502</v>
      </c>
      <c r="E2269" t="s">
        <v>520</v>
      </c>
      <c r="F2269" s="188" t="n">
        <v>2029</v>
      </c>
      <c r="G2269" s="189" t="n">
        <v>57</v>
      </c>
      <c r="H2269" s="190" t="n">
        <v>15453.4265764324</v>
      </c>
      <c r="I2269" s="191" t="n">
        <v>3280797.62672832</v>
      </c>
      <c r="J2269" s="192" t="str">
        <f>IF(I2269&gt;0,H2269/I2269,0)</f>
      </c>
      <c r="K2269" s="193" t="str">
        <f>1-EXP(-J2269)</f>
      </c>
      <c r="L2269" s="194" t="str">
        <f>IF(G2269=30,1,M2268)</f>
      </c>
      <c r="M2269" s="195" t="str">
        <f>L2269*(1-K2269)</f>
      </c>
    </row>
    <row r="2270">
      <c r="A2270" t="s">
        <v>167</v>
      </c>
      <c r="B2270" t="s">
        <v>250</v>
      </c>
      <c r="C2270" s="35" t="s">
        <v>252</v>
      </c>
      <c r="D2270" t="s">
        <v>502</v>
      </c>
      <c r="E2270" t="s">
        <v>520</v>
      </c>
      <c r="F2270" s="188" t="n">
        <v>2029</v>
      </c>
      <c r="G2270" s="189" t="n">
        <v>58</v>
      </c>
      <c r="H2270" s="190" t="n">
        <v>16433.212581208</v>
      </c>
      <c r="I2270" s="191" t="n">
        <v>3191953.05357365</v>
      </c>
      <c r="J2270" s="192" t="str">
        <f>IF(I2270&gt;0,H2270/I2270,0)</f>
      </c>
      <c r="K2270" s="193" t="str">
        <f>1-EXP(-J2270)</f>
      </c>
      <c r="L2270" s="194" t="str">
        <f>IF(G2270=30,1,M2269)</f>
      </c>
      <c r="M2270" s="195" t="str">
        <f>L2270*(1-K2270)</f>
      </c>
    </row>
    <row r="2271">
      <c r="A2271" t="s">
        <v>167</v>
      </c>
      <c r="B2271" t="s">
        <v>250</v>
      </c>
      <c r="C2271" s="35" t="s">
        <v>252</v>
      </c>
      <c r="D2271" t="s">
        <v>502</v>
      </c>
      <c r="E2271" t="s">
        <v>520</v>
      </c>
      <c r="F2271" s="188" t="n">
        <v>2029</v>
      </c>
      <c r="G2271" s="189" t="n">
        <v>59</v>
      </c>
      <c r="H2271" s="190" t="n">
        <v>17492.0391876848</v>
      </c>
      <c r="I2271" s="191" t="n">
        <v>3107403.72826772</v>
      </c>
      <c r="J2271" s="192" t="str">
        <f>IF(I2271&gt;0,H2271/I2271,0)</f>
      </c>
      <c r="K2271" s="193" t="str">
        <f>1-EXP(-J2271)</f>
      </c>
      <c r="L2271" s="194" t="str">
        <f>IF(G2271=30,1,M2270)</f>
      </c>
      <c r="M2271" s="195" t="str">
        <f>L2271*(1-K2271)</f>
      </c>
    </row>
    <row r="2272">
      <c r="A2272" t="s">
        <v>167</v>
      </c>
      <c r="B2272" t="s">
        <v>250</v>
      </c>
      <c r="C2272" s="35" t="s">
        <v>252</v>
      </c>
      <c r="D2272" t="s">
        <v>502</v>
      </c>
      <c r="E2272" t="s">
        <v>520</v>
      </c>
      <c r="F2272" s="188" t="n">
        <v>2029</v>
      </c>
      <c r="G2272" s="189" t="n">
        <v>60</v>
      </c>
      <c r="H2272" s="190" t="n">
        <v>18927.6188588974</v>
      </c>
      <c r="I2272" s="191" t="n">
        <v>3013571.76568329</v>
      </c>
      <c r="J2272" s="192" t="str">
        <f>IF(I2272&gt;0,H2272/I2272,0)</f>
      </c>
      <c r="K2272" s="193" t="str">
        <f>1-EXP(-J2272)</f>
      </c>
      <c r="L2272" s="194" t="str">
        <f>IF(G2272=30,1,M2271)</f>
      </c>
      <c r="M2272" s="195" t="str">
        <f>L2272*(1-K2272)</f>
      </c>
    </row>
    <row r="2273">
      <c r="A2273" t="s">
        <v>167</v>
      </c>
      <c r="B2273" t="s">
        <v>250</v>
      </c>
      <c r="C2273" s="35" t="s">
        <v>252</v>
      </c>
      <c r="D2273" t="s">
        <v>502</v>
      </c>
      <c r="E2273" t="s">
        <v>520</v>
      </c>
      <c r="F2273" s="188" t="n">
        <v>2029</v>
      </c>
      <c r="G2273" s="189" t="n">
        <v>61</v>
      </c>
      <c r="H2273" s="190" t="n">
        <v>19950.9424087093</v>
      </c>
      <c r="I2273" s="191" t="n">
        <v>2899441.78533731</v>
      </c>
      <c r="J2273" s="192" t="str">
        <f>IF(I2273&gt;0,H2273/I2273,0)</f>
      </c>
      <c r="K2273" s="193" t="str">
        <f>1-EXP(-J2273)</f>
      </c>
      <c r="L2273" s="194" t="str">
        <f>IF(G2273=30,1,M2272)</f>
      </c>
      <c r="M2273" s="195" t="str">
        <f>L2273*(1-K2273)</f>
      </c>
    </row>
    <row r="2274">
      <c r="A2274" t="s">
        <v>167</v>
      </c>
      <c r="B2274" t="s">
        <v>250</v>
      </c>
      <c r="C2274" s="35" t="s">
        <v>252</v>
      </c>
      <c r="D2274" t="s">
        <v>502</v>
      </c>
      <c r="E2274" t="s">
        <v>520</v>
      </c>
      <c r="F2274" s="188" t="n">
        <v>2029</v>
      </c>
      <c r="G2274" s="189" t="n">
        <v>62</v>
      </c>
      <c r="H2274" s="190" t="n">
        <v>20760.5223475423</v>
      </c>
      <c r="I2274" s="191" t="n">
        <v>2754950.8024905</v>
      </c>
      <c r="J2274" s="192" t="str">
        <f>IF(I2274&gt;0,H2274/I2274,0)</f>
      </c>
      <c r="K2274" s="193" t="str">
        <f>1-EXP(-J2274)</f>
      </c>
      <c r="L2274" s="194" t="str">
        <f>IF(G2274=30,1,M2273)</f>
      </c>
      <c r="M2274" s="195" t="str">
        <f>L2274*(1-K2274)</f>
      </c>
    </row>
    <row r="2275">
      <c r="A2275" t="s">
        <v>167</v>
      </c>
      <c r="B2275" t="s">
        <v>250</v>
      </c>
      <c r="C2275" s="35" t="s">
        <v>252</v>
      </c>
      <c r="D2275" t="s">
        <v>502</v>
      </c>
      <c r="E2275" t="s">
        <v>520</v>
      </c>
      <c r="F2275" s="188" t="n">
        <v>2029</v>
      </c>
      <c r="G2275" s="189" t="n">
        <v>63</v>
      </c>
      <c r="H2275" s="190" t="n">
        <v>21830.7864387789</v>
      </c>
      <c r="I2275" s="191" t="n">
        <v>2646525.71430013</v>
      </c>
      <c r="J2275" s="192" t="str">
        <f>IF(I2275&gt;0,H2275/I2275,0)</f>
      </c>
      <c r="K2275" s="193" t="str">
        <f>1-EXP(-J2275)</f>
      </c>
      <c r="L2275" s="194" t="str">
        <f>IF(G2275=30,1,M2274)</f>
      </c>
      <c r="M2275" s="195" t="str">
        <f>L2275*(1-K2275)</f>
      </c>
    </row>
    <row r="2276">
      <c r="A2276" t="s">
        <v>167</v>
      </c>
      <c r="B2276" t="s">
        <v>250</v>
      </c>
      <c r="C2276" s="35" t="s">
        <v>252</v>
      </c>
      <c r="D2276" t="s">
        <v>502</v>
      </c>
      <c r="E2276" t="s">
        <v>520</v>
      </c>
      <c r="F2276" s="188" t="n">
        <v>2029</v>
      </c>
      <c r="G2276" s="189" t="n">
        <v>64</v>
      </c>
      <c r="H2276" s="190" t="n">
        <v>22733.0382142945</v>
      </c>
      <c r="I2276" s="191" t="n">
        <v>2516783.72408139</v>
      </c>
      <c r="J2276" s="192" t="str">
        <f>IF(I2276&gt;0,H2276/I2276,0)</f>
      </c>
      <c r="K2276" s="193" t="str">
        <f>1-EXP(-J2276)</f>
      </c>
      <c r="L2276" s="194" t="str">
        <f>IF(G2276=30,1,M2275)</f>
      </c>
      <c r="M2276" s="195" t="str">
        <f>L2276*(1-K2276)</f>
      </c>
    </row>
    <row r="2277">
      <c r="A2277" t="s">
        <v>167</v>
      </c>
      <c r="B2277" t="s">
        <v>250</v>
      </c>
      <c r="C2277" s="35" t="s">
        <v>252</v>
      </c>
      <c r="D2277" t="s">
        <v>502</v>
      </c>
      <c r="E2277" t="s">
        <v>520</v>
      </c>
      <c r="F2277" s="188" t="n">
        <v>2029</v>
      </c>
      <c r="G2277" s="189" t="n">
        <v>65</v>
      </c>
      <c r="H2277" s="190" t="n">
        <v>22965.6603170985</v>
      </c>
      <c r="I2277" s="191" t="n">
        <v>2387274.06818383</v>
      </c>
      <c r="J2277" s="192" t="str">
        <f>IF(I2277&gt;0,H2277/I2277,0)</f>
      </c>
      <c r="K2277" s="193" t="str">
        <f>1-EXP(-J2277)</f>
      </c>
      <c r="L2277" s="194" t="str">
        <f>IF(G2277=30,1,M2276)</f>
      </c>
      <c r="M2277" s="195" t="str">
        <f>L2277*(1-K2277)</f>
      </c>
    </row>
    <row r="2278">
      <c r="A2278" t="s">
        <v>167</v>
      </c>
      <c r="B2278" t="s">
        <v>250</v>
      </c>
      <c r="C2278" s="35" t="s">
        <v>252</v>
      </c>
      <c r="D2278" t="s">
        <v>502</v>
      </c>
      <c r="E2278" t="s">
        <v>520</v>
      </c>
      <c r="F2278" s="188" t="n">
        <v>2029</v>
      </c>
      <c r="G2278" s="189" t="n">
        <v>66</v>
      </c>
      <c r="H2278" s="190" t="n">
        <v>23858.1206593228</v>
      </c>
      <c r="I2278" s="191" t="n">
        <v>2262789.08774069</v>
      </c>
      <c r="J2278" s="192" t="str">
        <f>IF(I2278&gt;0,H2278/I2278,0)</f>
      </c>
      <c r="K2278" s="193" t="str">
        <f>1-EXP(-J2278)</f>
      </c>
      <c r="L2278" s="194" t="str">
        <f>IF(G2278=30,1,M2277)</f>
      </c>
      <c r="M2278" s="195" t="str">
        <f>L2278*(1-K2278)</f>
      </c>
    </row>
    <row r="2279">
      <c r="A2279" t="s">
        <v>167</v>
      </c>
      <c r="B2279" t="s">
        <v>250</v>
      </c>
      <c r="C2279" s="35" t="s">
        <v>252</v>
      </c>
      <c r="D2279" t="s">
        <v>502</v>
      </c>
      <c r="E2279" t="s">
        <v>520</v>
      </c>
      <c r="F2279" s="188" t="n">
        <v>2029</v>
      </c>
      <c r="G2279" s="189" t="n">
        <v>67</v>
      </c>
      <c r="H2279" s="190" t="n">
        <v>24525.3669657554</v>
      </c>
      <c r="I2279" s="191" t="n">
        <v>2113225.29904317</v>
      </c>
      <c r="J2279" s="192" t="str">
        <f>IF(I2279&gt;0,H2279/I2279,0)</f>
      </c>
      <c r="K2279" s="193" t="str">
        <f>1-EXP(-J2279)</f>
      </c>
      <c r="L2279" s="194" t="str">
        <f>IF(G2279=30,1,M2278)</f>
      </c>
      <c r="M2279" s="195" t="str">
        <f>L2279*(1-K2279)</f>
      </c>
    </row>
    <row r="2280">
      <c r="A2280" t="s">
        <v>167</v>
      </c>
      <c r="B2280" t="s">
        <v>250</v>
      </c>
      <c r="C2280" s="35" t="s">
        <v>252</v>
      </c>
      <c r="D2280" t="s">
        <v>502</v>
      </c>
      <c r="E2280" t="s">
        <v>520</v>
      </c>
      <c r="F2280" s="188" t="n">
        <v>2029</v>
      </c>
      <c r="G2280" s="189" t="n">
        <v>68</v>
      </c>
      <c r="H2280" s="190" t="n">
        <v>25319.0241962622</v>
      </c>
      <c r="I2280" s="191" t="n">
        <v>1988356.42957607</v>
      </c>
      <c r="J2280" s="192" t="str">
        <f>IF(I2280&gt;0,H2280/I2280,0)</f>
      </c>
      <c r="K2280" s="193" t="str">
        <f>1-EXP(-J2280)</f>
      </c>
      <c r="L2280" s="194" t="str">
        <f>IF(G2280=30,1,M2279)</f>
      </c>
      <c r="M2280" s="195" t="str">
        <f>L2280*(1-K2280)</f>
      </c>
    </row>
    <row r="2281">
      <c r="A2281" t="s">
        <v>167</v>
      </c>
      <c r="B2281" t="s">
        <v>250</v>
      </c>
      <c r="C2281" s="35" t="s">
        <v>252</v>
      </c>
      <c r="D2281" t="s">
        <v>502</v>
      </c>
      <c r="E2281" t="s">
        <v>520</v>
      </c>
      <c r="F2281" s="188" t="n">
        <v>2029</v>
      </c>
      <c r="G2281" s="189" t="n">
        <v>69</v>
      </c>
      <c r="H2281" s="190" t="n">
        <v>26005.3229510217</v>
      </c>
      <c r="I2281" s="191" t="n">
        <v>1860091.46199796</v>
      </c>
      <c r="J2281" s="192" t="str">
        <f>IF(I2281&gt;0,H2281/I2281,0)</f>
      </c>
      <c r="K2281" s="193" t="str">
        <f>1-EXP(-J2281)</f>
      </c>
      <c r="L2281" s="194" t="str">
        <f>IF(G2281=30,1,M2280)</f>
      </c>
      <c r="M2281" s="195" t="str">
        <f>L2281*(1-K2281)</f>
      </c>
    </row>
    <row r="2282">
      <c r="A2282" t="s">
        <v>167</v>
      </c>
      <c r="B2282" t="s">
        <v>250</v>
      </c>
      <c r="C2282" s="35" t="s">
        <v>252</v>
      </c>
      <c r="D2282" t="s">
        <v>502</v>
      </c>
      <c r="E2282" t="s">
        <v>520</v>
      </c>
      <c r="F2282" s="188" t="n">
        <v>2030</v>
      </c>
      <c r="G2282" s="189" t="n">
        <v>30</v>
      </c>
      <c r="H2282" s="190" t="n">
        <v>944.364030929899</v>
      </c>
      <c r="I2282" s="191" t="n">
        <v>4327160.66496799</v>
      </c>
      <c r="J2282" s="192" t="str">
        <f>IF(I2282&gt;0,H2282/I2282,0)</f>
      </c>
      <c r="K2282" s="193" t="str">
        <f>1-EXP(-J2282)</f>
      </c>
      <c r="L2282" s="194" t="str">
        <f>IF(G2282=30,1,M2281)</f>
      </c>
      <c r="M2282" s="195" t="str">
        <f>L2282*(1-K2282)</f>
      </c>
    </row>
    <row r="2283">
      <c r="A2283" t="s">
        <v>167</v>
      </c>
      <c r="B2283" t="s">
        <v>250</v>
      </c>
      <c r="C2283" s="35" t="s">
        <v>252</v>
      </c>
      <c r="D2283" t="s">
        <v>502</v>
      </c>
      <c r="E2283" t="s">
        <v>520</v>
      </c>
      <c r="F2283" s="188" t="n">
        <v>2030</v>
      </c>
      <c r="G2283" s="189" t="n">
        <v>31</v>
      </c>
      <c r="H2283" s="190" t="n">
        <v>1082.55057673857</v>
      </c>
      <c r="I2283" s="191" t="n">
        <v>4347601.50044291</v>
      </c>
      <c r="J2283" s="192" t="str">
        <f>IF(I2283&gt;0,H2283/I2283,0)</f>
      </c>
      <c r="K2283" s="193" t="str">
        <f>1-EXP(-J2283)</f>
      </c>
      <c r="L2283" s="194" t="str">
        <f>IF(G2283=30,1,M2282)</f>
      </c>
      <c r="M2283" s="195" t="str">
        <f>L2283*(1-K2283)</f>
      </c>
    </row>
    <row r="2284">
      <c r="A2284" t="s">
        <v>167</v>
      </c>
      <c r="B2284" t="s">
        <v>250</v>
      </c>
      <c r="C2284" s="35" t="s">
        <v>252</v>
      </c>
      <c r="D2284" t="s">
        <v>502</v>
      </c>
      <c r="E2284" t="s">
        <v>520</v>
      </c>
      <c r="F2284" s="188" t="n">
        <v>2030</v>
      </c>
      <c r="G2284" s="189" t="n">
        <v>32</v>
      </c>
      <c r="H2284" s="190" t="n">
        <v>1155.37312651214</v>
      </c>
      <c r="I2284" s="191" t="n">
        <v>4407876.55553901</v>
      </c>
      <c r="J2284" s="192" t="str">
        <f>IF(I2284&gt;0,H2284/I2284,0)</f>
      </c>
      <c r="K2284" s="193" t="str">
        <f>1-EXP(-J2284)</f>
      </c>
      <c r="L2284" s="194" t="str">
        <f>IF(G2284=30,1,M2283)</f>
      </c>
      <c r="M2284" s="195" t="str">
        <f>L2284*(1-K2284)</f>
      </c>
    </row>
    <row r="2285">
      <c r="A2285" t="s">
        <v>167</v>
      </c>
      <c r="B2285" t="s">
        <v>250</v>
      </c>
      <c r="C2285" s="35" t="s">
        <v>252</v>
      </c>
      <c r="D2285" t="s">
        <v>502</v>
      </c>
      <c r="E2285" t="s">
        <v>520</v>
      </c>
      <c r="F2285" s="188" t="n">
        <v>2030</v>
      </c>
      <c r="G2285" s="189" t="n">
        <v>33</v>
      </c>
      <c r="H2285" s="190" t="n">
        <v>1458.08132323644</v>
      </c>
      <c r="I2285" s="191" t="n">
        <v>4548844.70308808</v>
      </c>
      <c r="J2285" s="192" t="str">
        <f>IF(I2285&gt;0,H2285/I2285,0)</f>
      </c>
      <c r="K2285" s="193" t="str">
        <f>1-EXP(-J2285)</f>
      </c>
      <c r="L2285" s="194" t="str">
        <f>IF(G2285=30,1,M2284)</f>
      </c>
      <c r="M2285" s="195" t="str">
        <f>L2285*(1-K2285)</f>
      </c>
    </row>
    <row r="2286">
      <c r="A2286" t="s">
        <v>167</v>
      </c>
      <c r="B2286" t="s">
        <v>250</v>
      </c>
      <c r="C2286" s="35" t="s">
        <v>252</v>
      </c>
      <c r="D2286" t="s">
        <v>502</v>
      </c>
      <c r="E2286" t="s">
        <v>520</v>
      </c>
      <c r="F2286" s="188" t="n">
        <v>2030</v>
      </c>
      <c r="G2286" s="189" t="n">
        <v>34</v>
      </c>
      <c r="H2286" s="190" t="n">
        <v>1530.47455417684</v>
      </c>
      <c r="I2286" s="191" t="n">
        <v>4506036.67177027</v>
      </c>
      <c r="J2286" s="192" t="str">
        <f>IF(I2286&gt;0,H2286/I2286,0)</f>
      </c>
      <c r="K2286" s="193" t="str">
        <f>1-EXP(-J2286)</f>
      </c>
      <c r="L2286" s="194" t="str">
        <f>IF(G2286=30,1,M2285)</f>
      </c>
      <c r="M2286" s="195" t="str">
        <f>L2286*(1-K2286)</f>
      </c>
    </row>
    <row r="2287">
      <c r="A2287" t="s">
        <v>167</v>
      </c>
      <c r="B2287" t="s">
        <v>250</v>
      </c>
      <c r="C2287" s="35" t="s">
        <v>252</v>
      </c>
      <c r="D2287" t="s">
        <v>502</v>
      </c>
      <c r="E2287" t="s">
        <v>520</v>
      </c>
      <c r="F2287" s="188" t="n">
        <v>2030</v>
      </c>
      <c r="G2287" s="189" t="n">
        <v>35</v>
      </c>
      <c r="H2287" s="190" t="n">
        <v>2047.12536853889</v>
      </c>
      <c r="I2287" s="191" t="n">
        <v>4433031.46290508</v>
      </c>
      <c r="J2287" s="192" t="str">
        <f>IF(I2287&gt;0,H2287/I2287,0)</f>
      </c>
      <c r="K2287" s="193" t="str">
        <f>1-EXP(-J2287)</f>
      </c>
      <c r="L2287" s="194" t="str">
        <f>IF(G2287=30,1,M2286)</f>
      </c>
      <c r="M2287" s="195" t="str">
        <f>L2287*(1-K2287)</f>
      </c>
    </row>
    <row r="2288">
      <c r="A2288" t="s">
        <v>167</v>
      </c>
      <c r="B2288" t="s">
        <v>250</v>
      </c>
      <c r="C2288" s="35" t="s">
        <v>252</v>
      </c>
      <c r="D2288" t="s">
        <v>502</v>
      </c>
      <c r="E2288" t="s">
        <v>520</v>
      </c>
      <c r="F2288" s="188" t="n">
        <v>2030</v>
      </c>
      <c r="G2288" s="189" t="n">
        <v>36</v>
      </c>
      <c r="H2288" s="190" t="n">
        <v>2158.29390890506</v>
      </c>
      <c r="I2288" s="191" t="n">
        <v>4375295.67004229</v>
      </c>
      <c r="J2288" s="192" t="str">
        <f>IF(I2288&gt;0,H2288/I2288,0)</f>
      </c>
      <c r="K2288" s="193" t="str">
        <f>1-EXP(-J2288)</f>
      </c>
      <c r="L2288" s="194" t="str">
        <f>IF(G2288=30,1,M2287)</f>
      </c>
      <c r="M2288" s="195" t="str">
        <f>L2288*(1-K2288)</f>
      </c>
    </row>
    <row r="2289">
      <c r="A2289" t="s">
        <v>167</v>
      </c>
      <c r="B2289" t="s">
        <v>250</v>
      </c>
      <c r="C2289" s="35" t="s">
        <v>252</v>
      </c>
      <c r="D2289" t="s">
        <v>502</v>
      </c>
      <c r="E2289" t="s">
        <v>520</v>
      </c>
      <c r="F2289" s="188" t="n">
        <v>2030</v>
      </c>
      <c r="G2289" s="189" t="n">
        <v>37</v>
      </c>
      <c r="H2289" s="190" t="n">
        <v>2286.75875275646</v>
      </c>
      <c r="I2289" s="191" t="n">
        <v>4321621.29340264</v>
      </c>
      <c r="J2289" s="192" t="str">
        <f>IF(I2289&gt;0,H2289/I2289,0)</f>
      </c>
      <c r="K2289" s="193" t="str">
        <f>1-EXP(-J2289)</f>
      </c>
      <c r="L2289" s="194" t="str">
        <f>IF(G2289=30,1,M2288)</f>
      </c>
      <c r="M2289" s="195" t="str">
        <f>L2289*(1-K2289)</f>
      </c>
    </row>
    <row r="2290">
      <c r="A2290" t="s">
        <v>167</v>
      </c>
      <c r="B2290" t="s">
        <v>250</v>
      </c>
      <c r="C2290" s="35" t="s">
        <v>252</v>
      </c>
      <c r="D2290" t="s">
        <v>502</v>
      </c>
      <c r="E2290" t="s">
        <v>520</v>
      </c>
      <c r="F2290" s="188" t="n">
        <v>2030</v>
      </c>
      <c r="G2290" s="189" t="n">
        <v>38</v>
      </c>
      <c r="H2290" s="190" t="n">
        <v>2477.3985724483</v>
      </c>
      <c r="I2290" s="191" t="n">
        <v>4359319.65549843</v>
      </c>
      <c r="J2290" s="192" t="str">
        <f>IF(I2290&gt;0,H2290/I2290,0)</f>
      </c>
      <c r="K2290" s="193" t="str">
        <f>1-EXP(-J2290)</f>
      </c>
      <c r="L2290" s="194" t="str">
        <f>IF(G2290=30,1,M2289)</f>
      </c>
      <c r="M2290" s="195" t="str">
        <f>L2290*(1-K2290)</f>
      </c>
    </row>
    <row r="2291">
      <c r="A2291" t="s">
        <v>167</v>
      </c>
      <c r="B2291" t="s">
        <v>250</v>
      </c>
      <c r="C2291" s="35" t="s">
        <v>252</v>
      </c>
      <c r="D2291" t="s">
        <v>502</v>
      </c>
      <c r="E2291" t="s">
        <v>520</v>
      </c>
      <c r="F2291" s="188" t="n">
        <v>2030</v>
      </c>
      <c r="G2291" s="189" t="n">
        <v>39</v>
      </c>
      <c r="H2291" s="190" t="n">
        <v>2677.75572301065</v>
      </c>
      <c r="I2291" s="191" t="n">
        <v>4377291.09670895</v>
      </c>
      <c r="J2291" s="192" t="str">
        <f>IF(I2291&gt;0,H2291/I2291,0)</f>
      </c>
      <c r="K2291" s="193" t="str">
        <f>1-EXP(-J2291)</f>
      </c>
      <c r="L2291" s="194" t="str">
        <f>IF(G2291=30,1,M2290)</f>
      </c>
      <c r="M2291" s="195" t="str">
        <f>L2291*(1-K2291)</f>
      </c>
    </row>
    <row r="2292">
      <c r="A2292" t="s">
        <v>167</v>
      </c>
      <c r="B2292" t="s">
        <v>250</v>
      </c>
      <c r="C2292" s="35" t="s">
        <v>252</v>
      </c>
      <c r="D2292" t="s">
        <v>502</v>
      </c>
      <c r="E2292" t="s">
        <v>520</v>
      </c>
      <c r="F2292" s="188" t="n">
        <v>2030</v>
      </c>
      <c r="G2292" s="189" t="n">
        <v>40</v>
      </c>
      <c r="H2292" s="190" t="n">
        <v>5063.29306034328</v>
      </c>
      <c r="I2292" s="191" t="n">
        <v>6445585.91481599</v>
      </c>
      <c r="J2292" s="192" t="str">
        <f>IF(I2292&gt;0,H2292/I2292,0)</f>
      </c>
      <c r="K2292" s="193" t="str">
        <f>1-EXP(-J2292)</f>
      </c>
      <c r="L2292" s="194" t="str">
        <f>IF(G2292=30,1,M2291)</f>
      </c>
      <c r="M2292" s="195" t="str">
        <f>L2292*(1-K2292)</f>
      </c>
    </row>
    <row r="2293">
      <c r="A2293" t="s">
        <v>167</v>
      </c>
      <c r="B2293" t="s">
        <v>250</v>
      </c>
      <c r="C2293" s="35" t="s">
        <v>252</v>
      </c>
      <c r="D2293" t="s">
        <v>502</v>
      </c>
      <c r="E2293" t="s">
        <v>520</v>
      </c>
      <c r="F2293" s="188" t="n">
        <v>2030</v>
      </c>
      <c r="G2293" s="189" t="n">
        <v>41</v>
      </c>
      <c r="H2293" s="190" t="n">
        <v>3858.18700999069</v>
      </c>
      <c r="I2293" s="191" t="n">
        <v>4334927.2457215</v>
      </c>
      <c r="J2293" s="192" t="str">
        <f>IF(I2293&gt;0,H2293/I2293,0)</f>
      </c>
      <c r="K2293" s="193" t="str">
        <f>1-EXP(-J2293)</f>
      </c>
      <c r="L2293" s="194" t="str">
        <f>IF(G2293=30,1,M2292)</f>
      </c>
      <c r="M2293" s="195" t="str">
        <f>L2293*(1-K2293)</f>
      </c>
    </row>
    <row r="2294">
      <c r="A2294" t="s">
        <v>167</v>
      </c>
      <c r="B2294" t="s">
        <v>250</v>
      </c>
      <c r="C2294" s="35" t="s">
        <v>252</v>
      </c>
      <c r="D2294" t="s">
        <v>502</v>
      </c>
      <c r="E2294" t="s">
        <v>520</v>
      </c>
      <c r="F2294" s="188" t="n">
        <v>2030</v>
      </c>
      <c r="G2294" s="189" t="n">
        <v>42</v>
      </c>
      <c r="H2294" s="190" t="n">
        <v>4168.24638851351</v>
      </c>
      <c r="I2294" s="191" t="n">
        <v>4318077.28804874</v>
      </c>
      <c r="J2294" s="192" t="str">
        <f>IF(I2294&gt;0,H2294/I2294,0)</f>
      </c>
      <c r="K2294" s="193" t="str">
        <f>1-EXP(-J2294)</f>
      </c>
      <c r="L2294" s="194" t="str">
        <f>IF(G2294=30,1,M2293)</f>
      </c>
      <c r="M2294" s="195" t="str">
        <f>L2294*(1-K2294)</f>
      </c>
    </row>
    <row r="2295">
      <c r="A2295" t="s">
        <v>167</v>
      </c>
      <c r="B2295" t="s">
        <v>250</v>
      </c>
      <c r="C2295" s="35" t="s">
        <v>252</v>
      </c>
      <c r="D2295" t="s">
        <v>502</v>
      </c>
      <c r="E2295" t="s">
        <v>520</v>
      </c>
      <c r="F2295" s="188" t="n">
        <v>2030</v>
      </c>
      <c r="G2295" s="189" t="n">
        <v>43</v>
      </c>
      <c r="H2295" s="190" t="n">
        <v>4397.79989457572</v>
      </c>
      <c r="I2295" s="191" t="n">
        <v>4185666.20760303</v>
      </c>
      <c r="J2295" s="192" t="str">
        <f>IF(I2295&gt;0,H2295/I2295,0)</f>
      </c>
      <c r="K2295" s="193" t="str">
        <f>1-EXP(-J2295)</f>
      </c>
      <c r="L2295" s="194" t="str">
        <f>IF(G2295=30,1,M2294)</f>
      </c>
      <c r="M2295" s="195" t="str">
        <f>L2295*(1-K2295)</f>
      </c>
    </row>
    <row r="2296">
      <c r="A2296" t="s">
        <v>167</v>
      </c>
      <c r="B2296" t="s">
        <v>250</v>
      </c>
      <c r="C2296" s="35" t="s">
        <v>252</v>
      </c>
      <c r="D2296" t="s">
        <v>502</v>
      </c>
      <c r="E2296" t="s">
        <v>520</v>
      </c>
      <c r="F2296" s="188" t="n">
        <v>2030</v>
      </c>
      <c r="G2296" s="189" t="n">
        <v>44</v>
      </c>
      <c r="H2296" s="190" t="n">
        <v>4760.25855965203</v>
      </c>
      <c r="I2296" s="191" t="n">
        <v>4150877.12586312</v>
      </c>
      <c r="J2296" s="192" t="str">
        <f>IF(I2296&gt;0,H2296/I2296,0)</f>
      </c>
      <c r="K2296" s="193" t="str">
        <f>1-EXP(-J2296)</f>
      </c>
      <c r="L2296" s="194" t="str">
        <f>IF(G2296=30,1,M2295)</f>
      </c>
      <c r="M2296" s="195" t="str">
        <f>L2296*(1-K2296)</f>
      </c>
    </row>
    <row r="2297">
      <c r="A2297" t="s">
        <v>167</v>
      </c>
      <c r="B2297" t="s">
        <v>250</v>
      </c>
      <c r="C2297" s="35" t="s">
        <v>252</v>
      </c>
      <c r="D2297" t="s">
        <v>502</v>
      </c>
      <c r="E2297" t="s">
        <v>520</v>
      </c>
      <c r="F2297" s="188" t="n">
        <v>2030</v>
      </c>
      <c r="G2297" s="189" t="n">
        <v>45</v>
      </c>
      <c r="H2297" s="190" t="n">
        <v>6246.16117460991</v>
      </c>
      <c r="I2297" s="191" t="n">
        <v>4209588.21944216</v>
      </c>
      <c r="J2297" s="192" t="str">
        <f>IF(I2297&gt;0,H2297/I2297,0)</f>
      </c>
      <c r="K2297" s="193" t="str">
        <f>1-EXP(-J2297)</f>
      </c>
      <c r="L2297" s="194" t="str">
        <f>IF(G2297=30,1,M2296)</f>
      </c>
      <c r="M2297" s="195" t="str">
        <f>L2297*(1-K2297)</f>
      </c>
    </row>
    <row r="2298">
      <c r="A2298" t="s">
        <v>167</v>
      </c>
      <c r="B2298" t="s">
        <v>250</v>
      </c>
      <c r="C2298" s="35" t="s">
        <v>252</v>
      </c>
      <c r="D2298" t="s">
        <v>502</v>
      </c>
      <c r="E2298" t="s">
        <v>520</v>
      </c>
      <c r="F2298" s="188" t="n">
        <v>2030</v>
      </c>
      <c r="G2298" s="189" t="n">
        <v>46</v>
      </c>
      <c r="H2298" s="190" t="n">
        <v>6969.69026806594</v>
      </c>
      <c r="I2298" s="191" t="n">
        <v>4292236.84959506</v>
      </c>
      <c r="J2298" s="192" t="str">
        <f>IF(I2298&gt;0,H2298/I2298,0)</f>
      </c>
      <c r="K2298" s="193" t="str">
        <f>1-EXP(-J2298)</f>
      </c>
      <c r="L2298" s="194" t="str">
        <f>IF(G2298=30,1,M2297)</f>
      </c>
      <c r="M2298" s="195" t="str">
        <f>L2298*(1-K2298)</f>
      </c>
    </row>
    <row r="2299">
      <c r="A2299" t="s">
        <v>167</v>
      </c>
      <c r="B2299" t="s">
        <v>250</v>
      </c>
      <c r="C2299" s="35" t="s">
        <v>252</v>
      </c>
      <c r="D2299" t="s">
        <v>502</v>
      </c>
      <c r="E2299" t="s">
        <v>520</v>
      </c>
      <c r="F2299" s="188" t="n">
        <v>2030</v>
      </c>
      <c r="G2299" s="189" t="n">
        <v>47</v>
      </c>
      <c r="H2299" s="190" t="n">
        <v>7594.706613466</v>
      </c>
      <c r="I2299" s="191" t="n">
        <v>4266948.95113384</v>
      </c>
      <c r="J2299" s="192" t="str">
        <f>IF(I2299&gt;0,H2299/I2299,0)</f>
      </c>
      <c r="K2299" s="193" t="str">
        <f>1-EXP(-J2299)</f>
      </c>
      <c r="L2299" s="194" t="str">
        <f>IF(G2299=30,1,M2298)</f>
      </c>
      <c r="M2299" s="195" t="str">
        <f>L2299*(1-K2299)</f>
      </c>
    </row>
    <row r="2300">
      <c r="A2300" t="s">
        <v>167</v>
      </c>
      <c r="B2300" t="s">
        <v>250</v>
      </c>
      <c r="C2300" s="35" t="s">
        <v>252</v>
      </c>
      <c r="D2300" t="s">
        <v>502</v>
      </c>
      <c r="E2300" t="s">
        <v>520</v>
      </c>
      <c r="F2300" s="188" t="n">
        <v>2030</v>
      </c>
      <c r="G2300" s="189" t="n">
        <v>48</v>
      </c>
      <c r="H2300" s="190" t="n">
        <v>8059.85147912718</v>
      </c>
      <c r="I2300" s="191" t="n">
        <v>4129354.49738758</v>
      </c>
      <c r="J2300" s="192" t="str">
        <f>IF(I2300&gt;0,H2300/I2300,0)</f>
      </c>
      <c r="K2300" s="193" t="str">
        <f>1-EXP(-J2300)</f>
      </c>
      <c r="L2300" s="194" t="str">
        <f>IF(G2300=30,1,M2299)</f>
      </c>
      <c r="M2300" s="195" t="str">
        <f>L2300*(1-K2300)</f>
      </c>
    </row>
    <row r="2301">
      <c r="A2301" t="s">
        <v>167</v>
      </c>
      <c r="B2301" t="s">
        <v>250</v>
      </c>
      <c r="C2301" s="35" t="s">
        <v>252</v>
      </c>
      <c r="D2301" t="s">
        <v>502</v>
      </c>
      <c r="E2301" t="s">
        <v>520</v>
      </c>
      <c r="F2301" s="188" t="n">
        <v>2030</v>
      </c>
      <c r="G2301" s="189" t="n">
        <v>49</v>
      </c>
      <c r="H2301" s="190" t="n">
        <v>8664.6225684832</v>
      </c>
      <c r="I2301" s="191" t="n">
        <v>4053882.20719822</v>
      </c>
      <c r="J2301" s="192" t="str">
        <f>IF(I2301&gt;0,H2301/I2301,0)</f>
      </c>
      <c r="K2301" s="193" t="str">
        <f>1-EXP(-J2301)</f>
      </c>
      <c r="L2301" s="194" t="str">
        <f>IF(G2301=30,1,M2300)</f>
      </c>
      <c r="M2301" s="195" t="str">
        <f>L2301*(1-K2301)</f>
      </c>
    </row>
    <row r="2302">
      <c r="A2302" t="s">
        <v>167</v>
      </c>
      <c r="B2302" t="s">
        <v>250</v>
      </c>
      <c r="C2302" s="35" t="s">
        <v>252</v>
      </c>
      <c r="D2302" t="s">
        <v>502</v>
      </c>
      <c r="E2302" t="s">
        <v>520</v>
      </c>
      <c r="F2302" s="188" t="n">
        <v>2030</v>
      </c>
      <c r="G2302" s="189" t="n">
        <v>50</v>
      </c>
      <c r="H2302" s="190" t="n">
        <v>9942.26287412779</v>
      </c>
      <c r="I2302" s="191" t="n">
        <v>3994078.85924749</v>
      </c>
      <c r="J2302" s="192" t="str">
        <f>IF(I2302&gt;0,H2302/I2302,0)</f>
      </c>
      <c r="K2302" s="193" t="str">
        <f>1-EXP(-J2302)</f>
      </c>
      <c r="L2302" s="194" t="str">
        <f>IF(G2302=30,1,M2301)</f>
      </c>
      <c r="M2302" s="195" t="str">
        <f>L2302*(1-K2302)</f>
      </c>
    </row>
    <row r="2303">
      <c r="A2303" t="s">
        <v>167</v>
      </c>
      <c r="B2303" t="s">
        <v>250</v>
      </c>
      <c r="C2303" s="35" t="s">
        <v>252</v>
      </c>
      <c r="D2303" t="s">
        <v>502</v>
      </c>
      <c r="E2303" t="s">
        <v>520</v>
      </c>
      <c r="F2303" s="188" t="n">
        <v>2030</v>
      </c>
      <c r="G2303" s="189" t="n">
        <v>51</v>
      </c>
      <c r="H2303" s="190" t="n">
        <v>10692.6872206791</v>
      </c>
      <c r="I2303" s="191" t="n">
        <v>3927838.04001045</v>
      </c>
      <c r="J2303" s="192" t="str">
        <f>IF(I2303&gt;0,H2303/I2303,0)</f>
      </c>
      <c r="K2303" s="193" t="str">
        <f>1-EXP(-J2303)</f>
      </c>
      <c r="L2303" s="194" t="str">
        <f>IF(G2303=30,1,M2302)</f>
      </c>
      <c r="M2303" s="195" t="str">
        <f>L2303*(1-K2303)</f>
      </c>
    </row>
    <row r="2304">
      <c r="A2304" t="s">
        <v>167</v>
      </c>
      <c r="B2304" t="s">
        <v>250</v>
      </c>
      <c r="C2304" s="35" t="s">
        <v>252</v>
      </c>
      <c r="D2304" t="s">
        <v>502</v>
      </c>
      <c r="E2304" t="s">
        <v>520</v>
      </c>
      <c r="F2304" s="188" t="n">
        <v>2030</v>
      </c>
      <c r="G2304" s="189" t="n">
        <v>52</v>
      </c>
      <c r="H2304" s="190" t="n">
        <v>11429.5988870053</v>
      </c>
      <c r="I2304" s="191" t="n">
        <v>3842914.59984196</v>
      </c>
      <c r="J2304" s="192" t="str">
        <f>IF(I2304&gt;0,H2304/I2304,0)</f>
      </c>
      <c r="K2304" s="193" t="str">
        <f>1-EXP(-J2304)</f>
      </c>
      <c r="L2304" s="194" t="str">
        <f>IF(G2304=30,1,M2303)</f>
      </c>
      <c r="M2304" s="195" t="str">
        <f>L2304*(1-K2304)</f>
      </c>
    </row>
    <row r="2305">
      <c r="A2305" t="s">
        <v>167</v>
      </c>
      <c r="B2305" t="s">
        <v>250</v>
      </c>
      <c r="C2305" s="35" t="s">
        <v>252</v>
      </c>
      <c r="D2305" t="s">
        <v>502</v>
      </c>
      <c r="E2305" t="s">
        <v>520</v>
      </c>
      <c r="F2305" s="188" t="n">
        <v>2030</v>
      </c>
      <c r="G2305" s="189" t="n">
        <v>53</v>
      </c>
      <c r="H2305" s="190" t="n">
        <v>12277.3342110703</v>
      </c>
      <c r="I2305" s="191" t="n">
        <v>3774848.49025625</v>
      </c>
      <c r="J2305" s="192" t="str">
        <f>IF(I2305&gt;0,H2305/I2305,0)</f>
      </c>
      <c r="K2305" s="193" t="str">
        <f>1-EXP(-J2305)</f>
      </c>
      <c r="L2305" s="194" t="str">
        <f>IF(G2305=30,1,M2304)</f>
      </c>
      <c r="M2305" s="195" t="str">
        <f>L2305*(1-K2305)</f>
      </c>
    </row>
    <row r="2306">
      <c r="A2306" t="s">
        <v>167</v>
      </c>
      <c r="B2306" t="s">
        <v>250</v>
      </c>
      <c r="C2306" s="35" t="s">
        <v>252</v>
      </c>
      <c r="D2306" t="s">
        <v>502</v>
      </c>
      <c r="E2306" t="s">
        <v>520</v>
      </c>
      <c r="F2306" s="188" t="n">
        <v>2030</v>
      </c>
      <c r="G2306" s="189" t="n">
        <v>54</v>
      </c>
      <c r="H2306" s="190" t="n">
        <v>13126.3624076597</v>
      </c>
      <c r="I2306" s="191" t="n">
        <v>3694872.11058438</v>
      </c>
      <c r="J2306" s="192" t="str">
        <f>IF(I2306&gt;0,H2306/I2306,0)</f>
      </c>
      <c r="K2306" s="193" t="str">
        <f>1-EXP(-J2306)</f>
      </c>
      <c r="L2306" s="194" t="str">
        <f>IF(G2306=30,1,M2305)</f>
      </c>
      <c r="M2306" s="195" t="str">
        <f>L2306*(1-K2306)</f>
      </c>
    </row>
    <row r="2307">
      <c r="A2307" t="s">
        <v>167</v>
      </c>
      <c r="B2307" t="s">
        <v>250</v>
      </c>
      <c r="C2307" s="35" t="s">
        <v>252</v>
      </c>
      <c r="D2307" t="s">
        <v>502</v>
      </c>
      <c r="E2307" t="s">
        <v>520</v>
      </c>
      <c r="F2307" s="188" t="n">
        <v>2030</v>
      </c>
      <c r="G2307" s="189" t="n">
        <v>55</v>
      </c>
      <c r="H2307" s="190" t="n">
        <v>14166.5584323182</v>
      </c>
      <c r="I2307" s="191" t="n">
        <v>3614022.39366526</v>
      </c>
      <c r="J2307" s="192" t="str">
        <f>IF(I2307&gt;0,H2307/I2307,0)</f>
      </c>
      <c r="K2307" s="193" t="str">
        <f>1-EXP(-J2307)</f>
      </c>
      <c r="L2307" s="194" t="str">
        <f>IF(G2307=30,1,M2306)</f>
      </c>
      <c r="M2307" s="195" t="str">
        <f>L2307*(1-K2307)</f>
      </c>
    </row>
    <row r="2308">
      <c r="A2308" t="s">
        <v>167</v>
      </c>
      <c r="B2308" t="s">
        <v>250</v>
      </c>
      <c r="C2308" s="35" t="s">
        <v>252</v>
      </c>
      <c r="D2308" t="s">
        <v>502</v>
      </c>
      <c r="E2308" t="s">
        <v>520</v>
      </c>
      <c r="F2308" s="188" t="n">
        <v>2030</v>
      </c>
      <c r="G2308" s="189" t="n">
        <v>56</v>
      </c>
      <c r="H2308" s="190" t="n">
        <v>14996.0333798589</v>
      </c>
      <c r="I2308" s="191" t="n">
        <v>3505321.35439003</v>
      </c>
      <c r="J2308" s="192" t="str">
        <f>IF(I2308&gt;0,H2308/I2308,0)</f>
      </c>
      <c r="K2308" s="193" t="str">
        <f>1-EXP(-J2308)</f>
      </c>
      <c r="L2308" s="194" t="str">
        <f>IF(G2308=30,1,M2307)</f>
      </c>
      <c r="M2308" s="195" t="str">
        <f>L2308*(1-K2308)</f>
      </c>
    </row>
    <row r="2309">
      <c r="A2309" t="s">
        <v>167</v>
      </c>
      <c r="B2309" t="s">
        <v>250</v>
      </c>
      <c r="C2309" s="35" t="s">
        <v>252</v>
      </c>
      <c r="D2309" t="s">
        <v>502</v>
      </c>
      <c r="E2309" t="s">
        <v>520</v>
      </c>
      <c r="F2309" s="188" t="n">
        <v>2030</v>
      </c>
      <c r="G2309" s="189" t="n">
        <v>57</v>
      </c>
      <c r="H2309" s="190" t="n">
        <v>16157.0131643063</v>
      </c>
      <c r="I2309" s="191" t="n">
        <v>3456279.34990193</v>
      </c>
      <c r="J2309" s="192" t="str">
        <f>IF(I2309&gt;0,H2309/I2309,0)</f>
      </c>
      <c r="K2309" s="193" t="str">
        <f>1-EXP(-J2309)</f>
      </c>
      <c r="L2309" s="194" t="str">
        <f>IF(G2309=30,1,M2308)</f>
      </c>
      <c r="M2309" s="195" t="str">
        <f>L2309*(1-K2309)</f>
      </c>
    </row>
    <row r="2310">
      <c r="A2310" t="s">
        <v>167</v>
      </c>
      <c r="B2310" t="s">
        <v>250</v>
      </c>
      <c r="C2310" s="35" t="s">
        <v>252</v>
      </c>
      <c r="D2310" t="s">
        <v>502</v>
      </c>
      <c r="E2310" t="s">
        <v>520</v>
      </c>
      <c r="F2310" s="188" t="n">
        <v>2030</v>
      </c>
      <c r="G2310" s="189" t="n">
        <v>58</v>
      </c>
      <c r="H2310" s="190" t="n">
        <v>16605.5598615891</v>
      </c>
      <c r="I2310" s="191" t="n">
        <v>3245489.28006449</v>
      </c>
      <c r="J2310" s="192" t="str">
        <f>IF(I2310&gt;0,H2310/I2310,0)</f>
      </c>
      <c r="K2310" s="193" t="str">
        <f>1-EXP(-J2310)</f>
      </c>
      <c r="L2310" s="194" t="str">
        <f>IF(G2310=30,1,M2309)</f>
      </c>
      <c r="M2310" s="195" t="str">
        <f>L2310*(1-K2310)</f>
      </c>
    </row>
    <row r="2311">
      <c r="A2311" t="s">
        <v>167</v>
      </c>
      <c r="B2311" t="s">
        <v>250</v>
      </c>
      <c r="C2311" s="35" t="s">
        <v>252</v>
      </c>
      <c r="D2311" t="s">
        <v>502</v>
      </c>
      <c r="E2311" t="s">
        <v>520</v>
      </c>
      <c r="F2311" s="188" t="n">
        <v>2030</v>
      </c>
      <c r="G2311" s="189" t="n">
        <v>59</v>
      </c>
      <c r="H2311" s="190" t="n">
        <v>17650.5043588657</v>
      </c>
      <c r="I2311" s="191" t="n">
        <v>3154419.39149133</v>
      </c>
      <c r="J2311" s="192" t="str">
        <f>IF(I2311&gt;0,H2311/I2311,0)</f>
      </c>
      <c r="K2311" s="193" t="str">
        <f>1-EXP(-J2311)</f>
      </c>
      <c r="L2311" s="194" t="str">
        <f>IF(G2311=30,1,M2310)</f>
      </c>
      <c r="M2311" s="195" t="str">
        <f>L2311*(1-K2311)</f>
      </c>
    </row>
    <row r="2312">
      <c r="A2312" t="s">
        <v>167</v>
      </c>
      <c r="B2312" t="s">
        <v>250</v>
      </c>
      <c r="C2312" s="35" t="s">
        <v>252</v>
      </c>
      <c r="D2312" t="s">
        <v>502</v>
      </c>
      <c r="E2312" t="s">
        <v>520</v>
      </c>
      <c r="F2312" s="188" t="n">
        <v>2030</v>
      </c>
      <c r="G2312" s="189" t="n">
        <v>60</v>
      </c>
      <c r="H2312" s="190" t="n">
        <v>19116.3659094786</v>
      </c>
      <c r="I2312" s="191" t="n">
        <v>3067465.48394713</v>
      </c>
      <c r="J2312" s="192" t="str">
        <f>IF(I2312&gt;0,H2312/I2312,0)</f>
      </c>
      <c r="K2312" s="193" t="str">
        <f>1-EXP(-J2312)</f>
      </c>
      <c r="L2312" s="194" t="str">
        <f>IF(G2312=30,1,M2311)</f>
      </c>
      <c r="M2312" s="195" t="str">
        <f>L2312*(1-K2312)</f>
      </c>
    </row>
    <row r="2313">
      <c r="A2313" t="s">
        <v>167</v>
      </c>
      <c r="B2313" t="s">
        <v>250</v>
      </c>
      <c r="C2313" s="35" t="s">
        <v>252</v>
      </c>
      <c r="D2313" t="s">
        <v>502</v>
      </c>
      <c r="E2313" t="s">
        <v>520</v>
      </c>
      <c r="F2313" s="188" t="n">
        <v>2030</v>
      </c>
      <c r="G2313" s="189" t="n">
        <v>61</v>
      </c>
      <c r="H2313" s="190" t="n">
        <v>20294.6357345402</v>
      </c>
      <c r="I2313" s="191" t="n">
        <v>2970643.25474716</v>
      </c>
      <c r="J2313" s="192" t="str">
        <f>IF(I2313&gt;0,H2313/I2313,0)</f>
      </c>
      <c r="K2313" s="193" t="str">
        <f>1-EXP(-J2313)</f>
      </c>
      <c r="L2313" s="194" t="str">
        <f>IF(G2313=30,1,M2312)</f>
      </c>
      <c r="M2313" s="195" t="str">
        <f>L2313*(1-K2313)</f>
      </c>
    </row>
    <row r="2314">
      <c r="A2314" t="s">
        <v>167</v>
      </c>
      <c r="B2314" t="s">
        <v>250</v>
      </c>
      <c r="C2314" s="35" t="s">
        <v>252</v>
      </c>
      <c r="D2314" t="s">
        <v>502</v>
      </c>
      <c r="E2314" t="s">
        <v>520</v>
      </c>
      <c r="F2314" s="188" t="n">
        <v>2030</v>
      </c>
      <c r="G2314" s="189" t="n">
        <v>62</v>
      </c>
      <c r="H2314" s="190" t="n">
        <v>21341.7702209297</v>
      </c>
      <c r="I2314" s="191" t="n">
        <v>2854807.42448723</v>
      </c>
      <c r="J2314" s="192" t="str">
        <f>IF(I2314&gt;0,H2314/I2314,0)</f>
      </c>
      <c r="K2314" s="193" t="str">
        <f>1-EXP(-J2314)</f>
      </c>
      <c r="L2314" s="194" t="str">
        <f>IF(G2314=30,1,M2313)</f>
      </c>
      <c r="M2314" s="195" t="str">
        <f>L2314*(1-K2314)</f>
      </c>
    </row>
    <row r="2315">
      <c r="A2315" t="s">
        <v>167</v>
      </c>
      <c r="B2315" t="s">
        <v>250</v>
      </c>
      <c r="C2315" s="35" t="s">
        <v>252</v>
      </c>
      <c r="D2315" t="s">
        <v>502</v>
      </c>
      <c r="E2315" t="s">
        <v>520</v>
      </c>
      <c r="F2315" s="188" t="n">
        <v>2030</v>
      </c>
      <c r="G2315" s="189" t="n">
        <v>63</v>
      </c>
      <c r="H2315" s="190" t="n">
        <v>22191.5147961848</v>
      </c>
      <c r="I2315" s="191" t="n">
        <v>2708518.21607078</v>
      </c>
      <c r="J2315" s="192" t="str">
        <f>IF(I2315&gt;0,H2315/I2315,0)</f>
      </c>
      <c r="K2315" s="193" t="str">
        <f>1-EXP(-J2315)</f>
      </c>
      <c r="L2315" s="194" t="str">
        <f>IF(G2315=30,1,M2314)</f>
      </c>
      <c r="M2315" s="195" t="str">
        <f>L2315*(1-K2315)</f>
      </c>
    </row>
    <row r="2316">
      <c r="A2316" t="s">
        <v>167</v>
      </c>
      <c r="B2316" t="s">
        <v>250</v>
      </c>
      <c r="C2316" s="35" t="s">
        <v>252</v>
      </c>
      <c r="D2316" t="s">
        <v>502</v>
      </c>
      <c r="E2316" t="s">
        <v>520</v>
      </c>
      <c r="F2316" s="188" t="n">
        <v>2030</v>
      </c>
      <c r="G2316" s="189" t="n">
        <v>64</v>
      </c>
      <c r="H2316" s="190" t="n">
        <v>23313.503333675</v>
      </c>
      <c r="I2316" s="191" t="n">
        <v>2597714.81451551</v>
      </c>
      <c r="J2316" s="192" t="str">
        <f>IF(I2316&gt;0,H2316/I2316,0)</f>
      </c>
      <c r="K2316" s="193" t="str">
        <f>1-EXP(-J2316)</f>
      </c>
      <c r="L2316" s="194" t="str">
        <f>IF(G2316=30,1,M2315)</f>
      </c>
      <c r="M2316" s="195" t="str">
        <f>L2316*(1-K2316)</f>
      </c>
    </row>
    <row r="2317">
      <c r="A2317" t="s">
        <v>167</v>
      </c>
      <c r="B2317" t="s">
        <v>250</v>
      </c>
      <c r="C2317" s="35" t="s">
        <v>252</v>
      </c>
      <c r="D2317" t="s">
        <v>502</v>
      </c>
      <c r="E2317" t="s">
        <v>520</v>
      </c>
      <c r="F2317" s="188" t="n">
        <v>2030</v>
      </c>
      <c r="G2317" s="189" t="n">
        <v>65</v>
      </c>
      <c r="H2317" s="190" t="n">
        <v>23542.0690501741</v>
      </c>
      <c r="I2317" s="191" t="n">
        <v>2465972.36013851</v>
      </c>
      <c r="J2317" s="192" t="str">
        <f>IF(I2317&gt;0,H2317/I2317,0)</f>
      </c>
      <c r="K2317" s="193" t="str">
        <f>1-EXP(-J2317)</f>
      </c>
      <c r="L2317" s="194" t="str">
        <f>IF(G2317=30,1,M2316)</f>
      </c>
      <c r="M2317" s="195" t="str">
        <f>L2317*(1-K2317)</f>
      </c>
    </row>
    <row r="2318">
      <c r="A2318" t="s">
        <v>167</v>
      </c>
      <c r="B2318" t="s">
        <v>250</v>
      </c>
      <c r="C2318" s="35" t="s">
        <v>252</v>
      </c>
      <c r="D2318" t="s">
        <v>502</v>
      </c>
      <c r="E2318" t="s">
        <v>520</v>
      </c>
      <c r="F2318" s="188" t="n">
        <v>2030</v>
      </c>
      <c r="G2318" s="189" t="n">
        <v>66</v>
      </c>
      <c r="H2318" s="190" t="n">
        <v>24429.2891818537</v>
      </c>
      <c r="I2318" s="191" t="n">
        <v>2334710.1684136</v>
      </c>
      <c r="J2318" s="192" t="str">
        <f>IF(I2318&gt;0,H2318/I2318,0)</f>
      </c>
      <c r="K2318" s="193" t="str">
        <f>1-EXP(-J2318)</f>
      </c>
      <c r="L2318" s="194" t="str">
        <f>IF(G2318=30,1,M2317)</f>
      </c>
      <c r="M2318" s="195" t="str">
        <f>L2318*(1-K2318)</f>
      </c>
    </row>
    <row r="2319">
      <c r="A2319" t="s">
        <v>167</v>
      </c>
      <c r="B2319" t="s">
        <v>250</v>
      </c>
      <c r="C2319" s="35" t="s">
        <v>252</v>
      </c>
      <c r="D2319" t="s">
        <v>502</v>
      </c>
      <c r="E2319" t="s">
        <v>520</v>
      </c>
      <c r="F2319" s="188" t="n">
        <v>2030</v>
      </c>
      <c r="G2319" s="189" t="n">
        <v>67</v>
      </c>
      <c r="H2319" s="190" t="n">
        <v>25342.275272802</v>
      </c>
      <c r="I2319" s="191" t="n">
        <v>2207987.38471104</v>
      </c>
      <c r="J2319" s="192" t="str">
        <f>IF(I2319&gt;0,H2319/I2319,0)</f>
      </c>
      <c r="K2319" s="193" t="str">
        <f>1-EXP(-J2319)</f>
      </c>
      <c r="L2319" s="194" t="str">
        <f>IF(G2319=30,1,M2318)</f>
      </c>
      <c r="M2319" s="195" t="str">
        <f>L2319*(1-K2319)</f>
      </c>
    </row>
    <row r="2320">
      <c r="A2320" t="s">
        <v>167</v>
      </c>
      <c r="B2320" t="s">
        <v>250</v>
      </c>
      <c r="C2320" s="35" t="s">
        <v>252</v>
      </c>
      <c r="D2320" t="s">
        <v>502</v>
      </c>
      <c r="E2320" t="s">
        <v>520</v>
      </c>
      <c r="F2320" s="188" t="n">
        <v>2030</v>
      </c>
      <c r="G2320" s="189" t="n">
        <v>68</v>
      </c>
      <c r="H2320" s="190" t="n">
        <v>26001.8647243474</v>
      </c>
      <c r="I2320" s="191" t="n">
        <v>2056894.47235775</v>
      </c>
      <c r="J2320" s="192" t="str">
        <f>IF(I2320&gt;0,H2320/I2320,0)</f>
      </c>
      <c r="K2320" s="193" t="str">
        <f>1-EXP(-J2320)</f>
      </c>
      <c r="L2320" s="194" t="str">
        <f>IF(G2320=30,1,M2319)</f>
      </c>
      <c r="M2320" s="195" t="str">
        <f>L2320*(1-K2320)</f>
      </c>
    </row>
    <row r="2321">
      <c r="A2321" t="s">
        <v>167</v>
      </c>
      <c r="B2321" t="s">
        <v>250</v>
      </c>
      <c r="C2321" s="35" t="s">
        <v>252</v>
      </c>
      <c r="D2321" t="s">
        <v>502</v>
      </c>
      <c r="E2321" t="s">
        <v>520</v>
      </c>
      <c r="F2321" s="188" t="n">
        <v>2030</v>
      </c>
      <c r="G2321" s="189" t="n">
        <v>69</v>
      </c>
      <c r="H2321" s="190" t="n">
        <v>26796.0136448034</v>
      </c>
      <c r="I2321" s="191" t="n">
        <v>1930250.44805303</v>
      </c>
      <c r="J2321" s="192" t="str">
        <f>IF(I2321&gt;0,H2321/I2321,0)</f>
      </c>
      <c r="K2321" s="193" t="str">
        <f>1-EXP(-J2321)</f>
      </c>
      <c r="L2321" s="194" t="str">
        <f>IF(G2321=30,1,M2320)</f>
      </c>
      <c r="M2321" s="195" t="str">
        <f>L2321*(1-K2321)</f>
      </c>
    </row>
    <row r="2322">
      <c r="A2322" t="s">
        <v>167</v>
      </c>
      <c r="B2322" t="s">
        <v>250</v>
      </c>
      <c r="C2322" s="35" t="s">
        <v>252</v>
      </c>
      <c r="D2322" t="s">
        <v>502</v>
      </c>
      <c r="E2322" t="s">
        <v>520</v>
      </c>
      <c r="F2322" s="188" t="n">
        <v>2031</v>
      </c>
      <c r="G2322" s="189" t="n">
        <v>30</v>
      </c>
      <c r="H2322" s="190" t="n">
        <v>947.361092035687</v>
      </c>
      <c r="I2322" s="191" t="n">
        <v>4341003.45086468</v>
      </c>
      <c r="J2322" s="192" t="str">
        <f>IF(I2322&gt;0,H2322/I2322,0)</f>
      </c>
      <c r="K2322" s="193" t="str">
        <f>1-EXP(-J2322)</f>
      </c>
      <c r="L2322" s="194" t="str">
        <f>IF(G2322=30,1,M2321)</f>
      </c>
      <c r="M2322" s="195" t="str">
        <f>L2322*(1-K2322)</f>
      </c>
    </row>
    <row r="2323">
      <c r="A2323" t="s">
        <v>167</v>
      </c>
      <c r="B2323" t="s">
        <v>250</v>
      </c>
      <c r="C2323" s="35" t="s">
        <v>252</v>
      </c>
      <c r="D2323" t="s">
        <v>502</v>
      </c>
      <c r="E2323" t="s">
        <v>520</v>
      </c>
      <c r="F2323" s="188" t="n">
        <v>2031</v>
      </c>
      <c r="G2323" s="189" t="n">
        <v>31</v>
      </c>
      <c r="H2323" s="190" t="n">
        <v>1077.11899757007</v>
      </c>
      <c r="I2323" s="191" t="n">
        <v>4321279.84519155</v>
      </c>
      <c r="J2323" s="192" t="str">
        <f>IF(I2323&gt;0,H2323/I2323,0)</f>
      </c>
      <c r="K2323" s="193" t="str">
        <f>1-EXP(-J2323)</f>
      </c>
      <c r="L2323" s="194" t="str">
        <f>IF(G2323=30,1,M2322)</f>
      </c>
      <c r="M2323" s="195" t="str">
        <f>L2323*(1-K2323)</f>
      </c>
    </row>
    <row r="2324">
      <c r="A2324" t="s">
        <v>167</v>
      </c>
      <c r="B2324" t="s">
        <v>250</v>
      </c>
      <c r="C2324" s="35" t="s">
        <v>252</v>
      </c>
      <c r="D2324" t="s">
        <v>502</v>
      </c>
      <c r="E2324" t="s">
        <v>520</v>
      </c>
      <c r="F2324" s="188" t="n">
        <v>2031</v>
      </c>
      <c r="G2324" s="189" t="n">
        <v>32</v>
      </c>
      <c r="H2324" s="190" t="n">
        <v>1138.49051185397</v>
      </c>
      <c r="I2324" s="191" t="n">
        <v>4341832.22616296</v>
      </c>
      <c r="J2324" s="192" t="str">
        <f>IF(I2324&gt;0,H2324/I2324,0)</f>
      </c>
      <c r="K2324" s="193" t="str">
        <f>1-EXP(-J2324)</f>
      </c>
      <c r="L2324" s="194" t="str">
        <f>IF(G2324=30,1,M2323)</f>
      </c>
      <c r="M2324" s="195" t="str">
        <f>L2324*(1-K2324)</f>
      </c>
    </row>
    <row r="2325">
      <c r="A2325" t="s">
        <v>167</v>
      </c>
      <c r="B2325" t="s">
        <v>250</v>
      </c>
      <c r="C2325" s="35" t="s">
        <v>252</v>
      </c>
      <c r="D2325" t="s">
        <v>502</v>
      </c>
      <c r="E2325" t="s">
        <v>520</v>
      </c>
      <c r="F2325" s="188" t="n">
        <v>2031</v>
      </c>
      <c r="G2325" s="189" t="n">
        <v>33</v>
      </c>
      <c r="H2325" s="190" t="n">
        <v>1222.58646174626</v>
      </c>
      <c r="I2325" s="191" t="n">
        <v>4401778.32149474</v>
      </c>
      <c r="J2325" s="192" t="str">
        <f>IF(I2325&gt;0,H2325/I2325,0)</f>
      </c>
      <c r="K2325" s="193" t="str">
        <f>1-EXP(-J2325)</f>
      </c>
      <c r="L2325" s="194" t="str">
        <f>IF(G2325=30,1,M2324)</f>
      </c>
      <c r="M2325" s="195" t="str">
        <f>L2325*(1-K2325)</f>
      </c>
    </row>
    <row r="2326">
      <c r="A2326" t="s">
        <v>167</v>
      </c>
      <c r="B2326" t="s">
        <v>250</v>
      </c>
      <c r="C2326" s="35" t="s">
        <v>252</v>
      </c>
      <c r="D2326" t="s">
        <v>502</v>
      </c>
      <c r="E2326" t="s">
        <v>520</v>
      </c>
      <c r="F2326" s="188" t="n">
        <v>2031</v>
      </c>
      <c r="G2326" s="189" t="n">
        <v>34</v>
      </c>
      <c r="H2326" s="190" t="n">
        <v>1545.91421725126</v>
      </c>
      <c r="I2326" s="191" t="n">
        <v>4542027.78825785</v>
      </c>
      <c r="J2326" s="192" t="str">
        <f>IF(I2326&gt;0,H2326/I2326,0)</f>
      </c>
      <c r="K2326" s="193" t="str">
        <f>1-EXP(-J2326)</f>
      </c>
      <c r="L2326" s="194" t="str">
        <f>IF(G2326=30,1,M2325)</f>
      </c>
      <c r="M2326" s="195" t="str">
        <f>L2326*(1-K2326)</f>
      </c>
    </row>
    <row r="2327">
      <c r="A2327" t="s">
        <v>167</v>
      </c>
      <c r="B2327" t="s">
        <v>250</v>
      </c>
      <c r="C2327" s="35" t="s">
        <v>252</v>
      </c>
      <c r="D2327" t="s">
        <v>502</v>
      </c>
      <c r="E2327" t="s">
        <v>520</v>
      </c>
      <c r="F2327" s="188" t="n">
        <v>2031</v>
      </c>
      <c r="G2327" s="189" t="n">
        <v>35</v>
      </c>
      <c r="H2327" s="190" t="n">
        <v>2073.4535221469</v>
      </c>
      <c r="I2327" s="191" t="n">
        <v>4498917.81085368</v>
      </c>
      <c r="J2327" s="192" t="str">
        <f>IF(I2327&gt;0,H2327/I2327,0)</f>
      </c>
      <c r="K2327" s="193" t="str">
        <f>1-EXP(-J2327)</f>
      </c>
      <c r="L2327" s="194" t="str">
        <f>IF(G2327=30,1,M2326)</f>
      </c>
      <c r="M2327" s="195" t="str">
        <f>L2327*(1-K2327)</f>
      </c>
    </row>
    <row r="2328">
      <c r="A2328" t="s">
        <v>167</v>
      </c>
      <c r="B2328" t="s">
        <v>250</v>
      </c>
      <c r="C2328" s="35" t="s">
        <v>252</v>
      </c>
      <c r="D2328" t="s">
        <v>502</v>
      </c>
      <c r="E2328" t="s">
        <v>520</v>
      </c>
      <c r="F2328" s="188" t="n">
        <v>2031</v>
      </c>
      <c r="G2328" s="189" t="n">
        <v>36</v>
      </c>
      <c r="H2328" s="190" t="n">
        <v>2178.17740630711</v>
      </c>
      <c r="I2328" s="191" t="n">
        <v>4425109.34364407</v>
      </c>
      <c r="J2328" s="192" t="str">
        <f>IF(I2328&gt;0,H2328/I2328,0)</f>
      </c>
      <c r="K2328" s="193" t="str">
        <f>1-EXP(-J2328)</f>
      </c>
      <c r="L2328" s="194" t="str">
        <f>IF(G2328=30,1,M2327)</f>
      </c>
      <c r="M2328" s="195" t="str">
        <f>L2328*(1-K2328)</f>
      </c>
    </row>
    <row r="2329">
      <c r="A2329" t="s">
        <v>167</v>
      </c>
      <c r="B2329" t="s">
        <v>250</v>
      </c>
      <c r="C2329" s="35" t="s">
        <v>252</v>
      </c>
      <c r="D2329" t="s">
        <v>502</v>
      </c>
      <c r="E2329" t="s">
        <v>520</v>
      </c>
      <c r="F2329" s="188" t="n">
        <v>2031</v>
      </c>
      <c r="G2329" s="189" t="n">
        <v>37</v>
      </c>
      <c r="H2329" s="190" t="n">
        <v>2305.98006206502</v>
      </c>
      <c r="I2329" s="191" t="n">
        <v>4367455.82743318</v>
      </c>
      <c r="J2329" s="192" t="str">
        <f>IF(I2329&gt;0,H2329/I2329,0)</f>
      </c>
      <c r="K2329" s="193" t="str">
        <f>1-EXP(-J2329)</f>
      </c>
      <c r="L2329" s="194" t="str">
        <f>IF(G2329=30,1,M2328)</f>
      </c>
      <c r="M2329" s="195" t="str">
        <f>L2329*(1-K2329)</f>
      </c>
    </row>
    <row r="2330">
      <c r="A2330" t="s">
        <v>167</v>
      </c>
      <c r="B2330" t="s">
        <v>250</v>
      </c>
      <c r="C2330" s="35" t="s">
        <v>252</v>
      </c>
      <c r="D2330" t="s">
        <v>502</v>
      </c>
      <c r="E2330" t="s">
        <v>520</v>
      </c>
      <c r="F2330" s="188" t="n">
        <v>2031</v>
      </c>
      <c r="G2330" s="189" t="n">
        <v>38</v>
      </c>
      <c r="H2330" s="190" t="n">
        <v>2447.8907521261</v>
      </c>
      <c r="I2330" s="191" t="n">
        <v>4313332.04258865</v>
      </c>
      <c r="J2330" s="192" t="str">
        <f>IF(I2330&gt;0,H2330/I2330,0)</f>
      </c>
      <c r="K2330" s="193" t="str">
        <f>1-EXP(-J2330)</f>
      </c>
      <c r="L2330" s="194" t="str">
        <f>IF(G2330=30,1,M2329)</f>
      </c>
      <c r="M2330" s="195" t="str">
        <f>L2330*(1-K2330)</f>
      </c>
    </row>
    <row r="2331">
      <c r="A2331" t="s">
        <v>167</v>
      </c>
      <c r="B2331" t="s">
        <v>250</v>
      </c>
      <c r="C2331" s="35" t="s">
        <v>252</v>
      </c>
      <c r="D2331" t="s">
        <v>502</v>
      </c>
      <c r="E2331" t="s">
        <v>520</v>
      </c>
      <c r="F2331" s="188" t="n">
        <v>2031</v>
      </c>
      <c r="G2331" s="189" t="n">
        <v>39</v>
      </c>
      <c r="H2331" s="190" t="n">
        <v>2656.12024465203</v>
      </c>
      <c r="I2331" s="191" t="n">
        <v>4350352.64682762</v>
      </c>
      <c r="J2331" s="192" t="str">
        <f>IF(I2331&gt;0,H2331/I2331,0)</f>
      </c>
      <c r="K2331" s="193" t="str">
        <f>1-EXP(-J2331)</f>
      </c>
      <c r="L2331" s="194" t="str">
        <f>IF(G2331=30,1,M2330)</f>
      </c>
      <c r="M2331" s="195" t="str">
        <f>L2331*(1-K2331)</f>
      </c>
    </row>
    <row r="2332">
      <c r="A2332" t="s">
        <v>167</v>
      </c>
      <c r="B2332" t="s">
        <v>250</v>
      </c>
      <c r="C2332" s="35" t="s">
        <v>252</v>
      </c>
      <c r="D2332" t="s">
        <v>502</v>
      </c>
      <c r="E2332" t="s">
        <v>520</v>
      </c>
      <c r="F2332" s="188" t="n">
        <v>2031</v>
      </c>
      <c r="G2332" s="189" t="n">
        <v>40</v>
      </c>
      <c r="H2332" s="190" t="n">
        <v>3586.24502048334</v>
      </c>
      <c r="I2332" s="191" t="n">
        <v>4367611.66063466</v>
      </c>
      <c r="J2332" s="192" t="str">
        <f>IF(I2332&gt;0,H2332/I2332,0)</f>
      </c>
      <c r="K2332" s="193" t="str">
        <f>1-EXP(-J2332)</f>
      </c>
      <c r="L2332" s="194" t="str">
        <f>IF(G2332=30,1,M2331)</f>
      </c>
      <c r="M2332" s="195" t="str">
        <f>L2332*(1-K2332)</f>
      </c>
    </row>
    <row r="2333">
      <c r="A2333" t="s">
        <v>167</v>
      </c>
      <c r="B2333" t="s">
        <v>250</v>
      </c>
      <c r="C2333" s="35" t="s">
        <v>252</v>
      </c>
      <c r="D2333" t="s">
        <v>502</v>
      </c>
      <c r="E2333" t="s">
        <v>520</v>
      </c>
      <c r="F2333" s="188" t="n">
        <v>2031</v>
      </c>
      <c r="G2333" s="189" t="n">
        <v>41</v>
      </c>
      <c r="H2333" s="190" t="n">
        <v>5426.37021915074</v>
      </c>
      <c r="I2333" s="191" t="n">
        <v>6429707.40196931</v>
      </c>
      <c r="J2333" s="192" t="str">
        <f>IF(I2333&gt;0,H2333/I2333,0)</f>
      </c>
      <c r="K2333" s="193" t="str">
        <f>1-EXP(-J2333)</f>
      </c>
      <c r="L2333" s="194" t="str">
        <f>IF(G2333=30,1,M2332)</f>
      </c>
      <c r="M2333" s="195" t="str">
        <f>L2333*(1-K2333)</f>
      </c>
    </row>
    <row r="2334">
      <c r="A2334" t="s">
        <v>167</v>
      </c>
      <c r="B2334" t="s">
        <v>250</v>
      </c>
      <c r="C2334" s="35" t="s">
        <v>252</v>
      </c>
      <c r="D2334" t="s">
        <v>502</v>
      </c>
      <c r="E2334" t="s">
        <v>520</v>
      </c>
      <c r="F2334" s="188" t="n">
        <v>2031</v>
      </c>
      <c r="G2334" s="189" t="n">
        <v>42</v>
      </c>
      <c r="H2334" s="190" t="n">
        <v>4160.97060666714</v>
      </c>
      <c r="I2334" s="191" t="n">
        <v>4323732.0311315</v>
      </c>
      <c r="J2334" s="192" t="str">
        <f>IF(I2334&gt;0,H2334/I2334,0)</f>
      </c>
      <c r="K2334" s="193" t="str">
        <f>1-EXP(-J2334)</f>
      </c>
      <c r="L2334" s="194" t="str">
        <f>IF(G2334=30,1,M2333)</f>
      </c>
      <c r="M2334" s="195" t="str">
        <f>L2334*(1-K2334)</f>
      </c>
    </row>
    <row r="2335">
      <c r="A2335" t="s">
        <v>167</v>
      </c>
      <c r="B2335" t="s">
        <v>250</v>
      </c>
      <c r="C2335" s="35" t="s">
        <v>252</v>
      </c>
      <c r="D2335" t="s">
        <v>502</v>
      </c>
      <c r="E2335" t="s">
        <v>520</v>
      </c>
      <c r="F2335" s="188" t="n">
        <v>2031</v>
      </c>
      <c r="G2335" s="189" t="n">
        <v>43</v>
      </c>
      <c r="H2335" s="190" t="n">
        <v>4509.29896938292</v>
      </c>
      <c r="I2335" s="191" t="n">
        <v>4306008.62295621</v>
      </c>
      <c r="J2335" s="192" t="str">
        <f>IF(I2335&gt;0,H2335/I2335,0)</f>
      </c>
      <c r="K2335" s="193" t="str">
        <f>1-EXP(-J2335)</f>
      </c>
      <c r="L2335" s="194" t="str">
        <f>IF(G2335=30,1,M2334)</f>
      </c>
      <c r="M2335" s="195" t="str">
        <f>L2335*(1-K2335)</f>
      </c>
    </row>
    <row r="2336">
      <c r="A2336" t="s">
        <v>167</v>
      </c>
      <c r="B2336" t="s">
        <v>250</v>
      </c>
      <c r="C2336" s="35" t="s">
        <v>252</v>
      </c>
      <c r="D2336" t="s">
        <v>502</v>
      </c>
      <c r="E2336" t="s">
        <v>520</v>
      </c>
      <c r="F2336" s="188" t="n">
        <v>2031</v>
      </c>
      <c r="G2336" s="189" t="n">
        <v>44</v>
      </c>
      <c r="H2336" s="190" t="n">
        <v>4770.72858548385</v>
      </c>
      <c r="I2336" s="191" t="n">
        <v>4172963.45767759</v>
      </c>
      <c r="J2336" s="192" t="str">
        <f>IF(I2336&gt;0,H2336/I2336,0)</f>
      </c>
      <c r="K2336" s="193" t="str">
        <f>1-EXP(-J2336)</f>
      </c>
      <c r="L2336" s="194" t="str">
        <f>IF(G2336=30,1,M2335)</f>
      </c>
      <c r="M2336" s="195" t="str">
        <f>L2336*(1-K2336)</f>
      </c>
    </row>
    <row r="2337">
      <c r="A2337" t="s">
        <v>167</v>
      </c>
      <c r="B2337" t="s">
        <v>250</v>
      </c>
      <c r="C2337" s="35" t="s">
        <v>252</v>
      </c>
      <c r="D2337" t="s">
        <v>502</v>
      </c>
      <c r="E2337" t="s">
        <v>520</v>
      </c>
      <c r="F2337" s="188" t="n">
        <v>2031</v>
      </c>
      <c r="G2337" s="189" t="n">
        <v>45</v>
      </c>
      <c r="H2337" s="190" t="n">
        <v>6114.29199313287</v>
      </c>
      <c r="I2337" s="191" t="n">
        <v>4137157.25981083</v>
      </c>
      <c r="J2337" s="192" t="str">
        <f>IF(I2337&gt;0,H2337/I2337,0)</f>
      </c>
      <c r="K2337" s="193" t="str">
        <f>1-EXP(-J2337)</f>
      </c>
      <c r="L2337" s="194" t="str">
        <f>IF(G2337=30,1,M2336)</f>
      </c>
      <c r="M2337" s="195" t="str">
        <f>L2337*(1-K2337)</f>
      </c>
    </row>
    <row r="2338">
      <c r="A2338" t="s">
        <v>167</v>
      </c>
      <c r="B2338" t="s">
        <v>250</v>
      </c>
      <c r="C2338" s="35" t="s">
        <v>252</v>
      </c>
      <c r="D2338" t="s">
        <v>502</v>
      </c>
      <c r="E2338" t="s">
        <v>520</v>
      </c>
      <c r="F2338" s="188" t="n">
        <v>2031</v>
      </c>
      <c r="G2338" s="189" t="n">
        <v>46</v>
      </c>
      <c r="H2338" s="190" t="n">
        <v>6781.42178794012</v>
      </c>
      <c r="I2338" s="191" t="n">
        <v>4193362.3023955</v>
      </c>
      <c r="J2338" s="192" t="str">
        <f>IF(I2338&gt;0,H2338/I2338,0)</f>
      </c>
      <c r="K2338" s="193" t="str">
        <f>1-EXP(-J2338)</f>
      </c>
      <c r="L2338" s="194" t="str">
        <f>IF(G2338=30,1,M2337)</f>
      </c>
      <c r="M2338" s="195" t="str">
        <f>L2338*(1-K2338)</f>
      </c>
    </row>
    <row r="2339">
      <c r="A2339" t="s">
        <v>167</v>
      </c>
      <c r="B2339" t="s">
        <v>250</v>
      </c>
      <c r="C2339" s="35" t="s">
        <v>252</v>
      </c>
      <c r="D2339" t="s">
        <v>502</v>
      </c>
      <c r="E2339" t="s">
        <v>520</v>
      </c>
      <c r="F2339" s="188" t="n">
        <v>2031</v>
      </c>
      <c r="G2339" s="189" t="n">
        <v>47</v>
      </c>
      <c r="H2339" s="190" t="n">
        <v>7578.97467607299</v>
      </c>
      <c r="I2339" s="191" t="n">
        <v>4275192.30826956</v>
      </c>
      <c r="J2339" s="192" t="str">
        <f>IF(I2339&gt;0,H2339/I2339,0)</f>
      </c>
      <c r="K2339" s="193" t="str">
        <f>1-EXP(-J2339)</f>
      </c>
      <c r="L2339" s="194" t="str">
        <f>IF(G2339=30,1,M2338)</f>
      </c>
      <c r="M2339" s="195" t="str">
        <f>L2339*(1-K2339)</f>
      </c>
    </row>
    <row r="2340">
      <c r="A2340" t="s">
        <v>167</v>
      </c>
      <c r="B2340" t="s">
        <v>250</v>
      </c>
      <c r="C2340" s="35" t="s">
        <v>252</v>
      </c>
      <c r="D2340" t="s">
        <v>502</v>
      </c>
      <c r="E2340" t="s">
        <v>520</v>
      </c>
      <c r="F2340" s="188" t="n">
        <v>2031</v>
      </c>
      <c r="G2340" s="189" t="n">
        <v>48</v>
      </c>
      <c r="H2340" s="190" t="n">
        <v>8254.5856125365</v>
      </c>
      <c r="I2340" s="191" t="n">
        <v>4248388.32386861</v>
      </c>
      <c r="J2340" s="192" t="str">
        <f>IF(I2340&gt;0,H2340/I2340,0)</f>
      </c>
      <c r="K2340" s="193" t="str">
        <f>1-EXP(-J2340)</f>
      </c>
      <c r="L2340" s="194" t="str">
        <f>IF(G2340=30,1,M2339)</f>
      </c>
      <c r="M2340" s="195" t="str">
        <f>L2340*(1-K2340)</f>
      </c>
    </row>
    <row r="2341">
      <c r="A2341" t="s">
        <v>167</v>
      </c>
      <c r="B2341" t="s">
        <v>250</v>
      </c>
      <c r="C2341" s="35" t="s">
        <v>252</v>
      </c>
      <c r="D2341" t="s">
        <v>502</v>
      </c>
      <c r="E2341" t="s">
        <v>520</v>
      </c>
      <c r="F2341" s="188" t="n">
        <v>2031</v>
      </c>
      <c r="G2341" s="189" t="n">
        <v>49</v>
      </c>
      <c r="H2341" s="190" t="n">
        <v>8752.73847503472</v>
      </c>
      <c r="I2341" s="191" t="n">
        <v>4109666.24110775</v>
      </c>
      <c r="J2341" s="192" t="str">
        <f>IF(I2341&gt;0,H2341/I2341,0)</f>
      </c>
      <c r="K2341" s="193" t="str">
        <f>1-EXP(-J2341)</f>
      </c>
      <c r="L2341" s="194" t="str">
        <f>IF(G2341=30,1,M2340)</f>
      </c>
      <c r="M2341" s="195" t="str">
        <f>L2341*(1-K2341)</f>
      </c>
    </row>
    <row r="2342">
      <c r="A2342" t="s">
        <v>167</v>
      </c>
      <c r="B2342" t="s">
        <v>250</v>
      </c>
      <c r="C2342" s="35" t="s">
        <v>252</v>
      </c>
      <c r="D2342" t="s">
        <v>502</v>
      </c>
      <c r="E2342" t="s">
        <v>520</v>
      </c>
      <c r="F2342" s="188" t="n">
        <v>2031</v>
      </c>
      <c r="G2342" s="189" t="n">
        <v>50</v>
      </c>
      <c r="H2342" s="190" t="n">
        <v>9989.60677535856</v>
      </c>
      <c r="I2342" s="191" t="n">
        <v>4032718.21835466</v>
      </c>
      <c r="J2342" s="192" t="str">
        <f>IF(I2342&gt;0,H2342/I2342,0)</f>
      </c>
      <c r="K2342" s="193" t="str">
        <f>1-EXP(-J2342)</f>
      </c>
      <c r="L2342" s="194" t="str">
        <f>IF(G2342=30,1,M2341)</f>
      </c>
      <c r="M2342" s="195" t="str">
        <f>L2342*(1-K2342)</f>
      </c>
    </row>
    <row r="2343">
      <c r="A2343" t="s">
        <v>167</v>
      </c>
      <c r="B2343" t="s">
        <v>250</v>
      </c>
      <c r="C2343" s="35" t="s">
        <v>252</v>
      </c>
      <c r="D2343" t="s">
        <v>502</v>
      </c>
      <c r="E2343" t="s">
        <v>520</v>
      </c>
      <c r="F2343" s="188" t="n">
        <v>2031</v>
      </c>
      <c r="G2343" s="189" t="n">
        <v>51</v>
      </c>
      <c r="H2343" s="190" t="n">
        <v>10757.8240788286</v>
      </c>
      <c r="I2343" s="191" t="n">
        <v>3970400.16720244</v>
      </c>
      <c r="J2343" s="192" t="str">
        <f>IF(I2343&gt;0,H2343/I2343,0)</f>
      </c>
      <c r="K2343" s="193" t="str">
        <f>1-EXP(-J2343)</f>
      </c>
      <c r="L2343" s="194" t="str">
        <f>IF(G2343=30,1,M2342)</f>
      </c>
      <c r="M2343" s="195" t="str">
        <f>L2343*(1-K2343)</f>
      </c>
    </row>
    <row r="2344">
      <c r="A2344" t="s">
        <v>167</v>
      </c>
      <c r="B2344" t="s">
        <v>250</v>
      </c>
      <c r="C2344" s="35" t="s">
        <v>252</v>
      </c>
      <c r="D2344" t="s">
        <v>502</v>
      </c>
      <c r="E2344" t="s">
        <v>520</v>
      </c>
      <c r="F2344" s="188" t="n">
        <v>2031</v>
      </c>
      <c r="G2344" s="189" t="n">
        <v>52</v>
      </c>
      <c r="H2344" s="190" t="n">
        <v>11555.8782208133</v>
      </c>
      <c r="I2344" s="191" t="n">
        <v>3903232.58805906</v>
      </c>
      <c r="J2344" s="192" t="str">
        <f>IF(I2344&gt;0,H2344/I2344,0)</f>
      </c>
      <c r="K2344" s="193" t="str">
        <f>1-EXP(-J2344)</f>
      </c>
      <c r="L2344" s="194" t="str">
        <f>IF(G2344=30,1,M2343)</f>
      </c>
      <c r="M2344" s="195" t="str">
        <f>L2344*(1-K2344)</f>
      </c>
    </row>
    <row r="2345">
      <c r="A2345" t="s">
        <v>167</v>
      </c>
      <c r="B2345" t="s">
        <v>250</v>
      </c>
      <c r="C2345" s="35" t="s">
        <v>252</v>
      </c>
      <c r="D2345" t="s">
        <v>502</v>
      </c>
      <c r="E2345" t="s">
        <v>520</v>
      </c>
      <c r="F2345" s="188" t="n">
        <v>2031</v>
      </c>
      <c r="G2345" s="189" t="n">
        <v>53</v>
      </c>
      <c r="H2345" s="190" t="n">
        <v>12344.0843310288</v>
      </c>
      <c r="I2345" s="191" t="n">
        <v>3816620.19171036</v>
      </c>
      <c r="J2345" s="192" t="str">
        <f>IF(I2345&gt;0,H2345/I2345,0)</f>
      </c>
      <c r="K2345" s="193" t="str">
        <f>1-EXP(-J2345)</f>
      </c>
      <c r="L2345" s="194" t="str">
        <f>IF(G2345=30,1,M2344)</f>
      </c>
      <c r="M2345" s="195" t="str">
        <f>L2345*(1-K2345)</f>
      </c>
    </row>
    <row r="2346">
      <c r="A2346" t="s">
        <v>167</v>
      </c>
      <c r="B2346" t="s">
        <v>250</v>
      </c>
      <c r="C2346" s="35" t="s">
        <v>252</v>
      </c>
      <c r="D2346" t="s">
        <v>502</v>
      </c>
      <c r="E2346" t="s">
        <v>520</v>
      </c>
      <c r="F2346" s="188" t="n">
        <v>2031</v>
      </c>
      <c r="G2346" s="189" t="n">
        <v>54</v>
      </c>
      <c r="H2346" s="190" t="n">
        <v>13251.9511258014</v>
      </c>
      <c r="I2346" s="191" t="n">
        <v>3746618.6833272</v>
      </c>
      <c r="J2346" s="192" t="str">
        <f>IF(I2346&gt;0,H2346/I2346,0)</f>
      </c>
      <c r="K2346" s="193" t="str">
        <f>1-EXP(-J2346)</f>
      </c>
      <c r="L2346" s="194" t="str">
        <f>IF(G2346=30,1,M2345)</f>
      </c>
      <c r="M2346" s="195" t="str">
        <f>L2346*(1-K2346)</f>
      </c>
    </row>
    <row r="2347">
      <c r="A2347" t="s">
        <v>167</v>
      </c>
      <c r="B2347" t="s">
        <v>250</v>
      </c>
      <c r="C2347" s="35" t="s">
        <v>252</v>
      </c>
      <c r="D2347" t="s">
        <v>502</v>
      </c>
      <c r="E2347" t="s">
        <v>520</v>
      </c>
      <c r="F2347" s="188" t="n">
        <v>2031</v>
      </c>
      <c r="G2347" s="189" t="n">
        <v>55</v>
      </c>
      <c r="H2347" s="190" t="n">
        <v>14273.4158950773</v>
      </c>
      <c r="I2347" s="191" t="n">
        <v>3664701.52079263</v>
      </c>
      <c r="J2347" s="192" t="str">
        <f>IF(I2347&gt;0,H2347/I2347,0)</f>
      </c>
      <c r="K2347" s="193" t="str">
        <f>1-EXP(-J2347)</f>
      </c>
      <c r="L2347" s="194" t="str">
        <f>IF(G2347=30,1,M2346)</f>
      </c>
      <c r="M2347" s="195" t="str">
        <f>L2347*(1-K2347)</f>
      </c>
    </row>
    <row r="2348">
      <c r="A2348" t="s">
        <v>167</v>
      </c>
      <c r="B2348" t="s">
        <v>250</v>
      </c>
      <c r="C2348" s="35" t="s">
        <v>252</v>
      </c>
      <c r="D2348" t="s">
        <v>502</v>
      </c>
      <c r="E2348" t="s">
        <v>520</v>
      </c>
      <c r="F2348" s="188" t="n">
        <v>2031</v>
      </c>
      <c r="G2348" s="189" t="n">
        <v>56</v>
      </c>
      <c r="H2348" s="190" t="n">
        <v>15219.8446799002</v>
      </c>
      <c r="I2348" s="191" t="n">
        <v>3581362.60551973</v>
      </c>
      <c r="J2348" s="192" t="str">
        <f>IF(I2348&gt;0,H2348/I2348,0)</f>
      </c>
      <c r="K2348" s="193" t="str">
        <f>1-EXP(-J2348)</f>
      </c>
      <c r="L2348" s="194" t="str">
        <f>IF(G2348=30,1,M2347)</f>
      </c>
      <c r="M2348" s="195" t="str">
        <f>L2348*(1-K2348)</f>
      </c>
    </row>
    <row r="2349">
      <c r="A2349" t="s">
        <v>167</v>
      </c>
      <c r="B2349" t="s">
        <v>250</v>
      </c>
      <c r="C2349" s="35" t="s">
        <v>252</v>
      </c>
      <c r="D2349" t="s">
        <v>502</v>
      </c>
      <c r="E2349" t="s">
        <v>520</v>
      </c>
      <c r="F2349" s="188" t="n">
        <v>2031</v>
      </c>
      <c r="G2349" s="189" t="n">
        <v>57</v>
      </c>
      <c r="H2349" s="190" t="n">
        <v>16118.6871001962</v>
      </c>
      <c r="I2349" s="191" t="n">
        <v>3471159.12790486</v>
      </c>
      <c r="J2349" s="192" t="str">
        <f>IF(I2349&gt;0,H2349/I2349,0)</f>
      </c>
      <c r="K2349" s="193" t="str">
        <f>1-EXP(-J2349)</f>
      </c>
      <c r="L2349" s="194" t="str">
        <f>IF(G2349=30,1,M2348)</f>
      </c>
      <c r="M2349" s="195" t="str">
        <f>L2349*(1-K2349)</f>
      </c>
    </row>
    <row r="2350">
      <c r="A2350" t="s">
        <v>167</v>
      </c>
      <c r="B2350" t="s">
        <v>250</v>
      </c>
      <c r="C2350" s="35" t="s">
        <v>252</v>
      </c>
      <c r="D2350" t="s">
        <v>502</v>
      </c>
      <c r="E2350" t="s">
        <v>520</v>
      </c>
      <c r="F2350" s="188" t="n">
        <v>2031</v>
      </c>
      <c r="G2350" s="189" t="n">
        <v>58</v>
      </c>
      <c r="H2350" s="190" t="n">
        <v>17357.7376850629</v>
      </c>
      <c r="I2350" s="191" t="n">
        <v>3419488.13606514</v>
      </c>
      <c r="J2350" s="192" t="str">
        <f>IF(I2350&gt;0,H2350/I2350,0)</f>
      </c>
      <c r="K2350" s="193" t="str">
        <f>1-EXP(-J2350)</f>
      </c>
      <c r="L2350" s="194" t="str">
        <f>IF(G2350=30,1,M2349)</f>
      </c>
      <c r="M2350" s="195" t="str">
        <f>L2350*(1-K2350)</f>
      </c>
    </row>
    <row r="2351">
      <c r="A2351" t="s">
        <v>167</v>
      </c>
      <c r="B2351" t="s">
        <v>250</v>
      </c>
      <c r="C2351" s="35" t="s">
        <v>252</v>
      </c>
      <c r="D2351" t="s">
        <v>502</v>
      </c>
      <c r="E2351" t="s">
        <v>520</v>
      </c>
      <c r="F2351" s="188" t="n">
        <v>2031</v>
      </c>
      <c r="G2351" s="189" t="n">
        <v>59</v>
      </c>
      <c r="H2351" s="190" t="n">
        <v>17830.4980466741</v>
      </c>
      <c r="I2351" s="191" t="n">
        <v>3207696.46559435</v>
      </c>
      <c r="J2351" s="192" t="str">
        <f>IF(I2351&gt;0,H2351/I2351,0)</f>
      </c>
      <c r="K2351" s="193" t="str">
        <f>1-EXP(-J2351)</f>
      </c>
      <c r="L2351" s="194" t="str">
        <f>IF(G2351=30,1,M2350)</f>
      </c>
      <c r="M2351" s="195" t="str">
        <f>L2351*(1-K2351)</f>
      </c>
    </row>
    <row r="2352">
      <c r="A2352" t="s">
        <v>167</v>
      </c>
      <c r="B2352" t="s">
        <v>250</v>
      </c>
      <c r="C2352" s="35" t="s">
        <v>252</v>
      </c>
      <c r="D2352" t="s">
        <v>502</v>
      </c>
      <c r="E2352" t="s">
        <v>520</v>
      </c>
      <c r="F2352" s="188" t="n">
        <v>2031</v>
      </c>
      <c r="G2352" s="189" t="n">
        <v>60</v>
      </c>
      <c r="H2352" s="190" t="n">
        <v>19238.3870104999</v>
      </c>
      <c r="I2352" s="191" t="n">
        <v>3114264.27269272</v>
      </c>
      <c r="J2352" s="192" t="str">
        <f>IF(I2352&gt;0,H2352/I2352,0)</f>
      </c>
      <c r="K2352" s="193" t="str">
        <f>1-EXP(-J2352)</f>
      </c>
      <c r="L2352" s="194" t="str">
        <f>IF(G2352=30,1,M2351)</f>
      </c>
      <c r="M2352" s="195" t="str">
        <f>L2352*(1-K2352)</f>
      </c>
    </row>
    <row r="2353">
      <c r="A2353" t="s">
        <v>167</v>
      </c>
      <c r="B2353" t="s">
        <v>250</v>
      </c>
      <c r="C2353" s="35" t="s">
        <v>252</v>
      </c>
      <c r="D2353" t="s">
        <v>502</v>
      </c>
      <c r="E2353" t="s">
        <v>520</v>
      </c>
      <c r="F2353" s="188" t="n">
        <v>2031</v>
      </c>
      <c r="G2353" s="189" t="n">
        <v>61</v>
      </c>
      <c r="H2353" s="190" t="n">
        <v>20483.0786983966</v>
      </c>
      <c r="I2353" s="191" t="n">
        <v>3024205.65720705</v>
      </c>
      <c r="J2353" s="192" t="str">
        <f>IF(I2353&gt;0,H2353/I2353,0)</f>
      </c>
      <c r="K2353" s="193" t="str">
        <f>1-EXP(-J2353)</f>
      </c>
      <c r="L2353" s="194" t="str">
        <f>IF(G2353=30,1,M2352)</f>
      </c>
      <c r="M2353" s="195" t="str">
        <f>L2353*(1-K2353)</f>
      </c>
    </row>
    <row r="2354">
      <c r="A2354" t="s">
        <v>167</v>
      </c>
      <c r="B2354" t="s">
        <v>250</v>
      </c>
      <c r="C2354" s="35" t="s">
        <v>252</v>
      </c>
      <c r="D2354" t="s">
        <v>502</v>
      </c>
      <c r="E2354" t="s">
        <v>520</v>
      </c>
      <c r="F2354" s="188" t="n">
        <v>2031</v>
      </c>
      <c r="G2354" s="189" t="n">
        <v>62</v>
      </c>
      <c r="H2354" s="190" t="n">
        <v>21683.8778137942</v>
      </c>
      <c r="I2354" s="191" t="n">
        <v>2925318.11021629</v>
      </c>
      <c r="J2354" s="192" t="str">
        <f>IF(I2354&gt;0,H2354/I2354,0)</f>
      </c>
      <c r="K2354" s="193" t="str">
        <f>1-EXP(-J2354)</f>
      </c>
      <c r="L2354" s="194" t="str">
        <f>IF(G2354=30,1,M2353)</f>
      </c>
      <c r="M2354" s="195" t="str">
        <f>L2354*(1-K2354)</f>
      </c>
    </row>
    <row r="2355">
      <c r="A2355" t="s">
        <v>167</v>
      </c>
      <c r="B2355" t="s">
        <v>250</v>
      </c>
      <c r="C2355" s="35" t="s">
        <v>252</v>
      </c>
      <c r="D2355" t="s">
        <v>502</v>
      </c>
      <c r="E2355" t="s">
        <v>520</v>
      </c>
      <c r="F2355" s="188" t="n">
        <v>2031</v>
      </c>
      <c r="G2355" s="189" t="n">
        <v>63</v>
      </c>
      <c r="H2355" s="190" t="n">
        <v>22784.2403256737</v>
      </c>
      <c r="I2355" s="191" t="n">
        <v>2807156.78113114</v>
      </c>
      <c r="J2355" s="192" t="str">
        <f>IF(I2355&gt;0,H2355/I2355,0)</f>
      </c>
      <c r="K2355" s="193" t="str">
        <f>1-EXP(-J2355)</f>
      </c>
      <c r="L2355" s="194" t="str">
        <f>IF(G2355=30,1,M2354)</f>
      </c>
      <c r="M2355" s="195" t="str">
        <f>L2355*(1-K2355)</f>
      </c>
    </row>
    <row r="2356">
      <c r="A2356" t="s">
        <v>167</v>
      </c>
      <c r="B2356" t="s">
        <v>250</v>
      </c>
      <c r="C2356" s="35" t="s">
        <v>252</v>
      </c>
      <c r="D2356" t="s">
        <v>502</v>
      </c>
      <c r="E2356" t="s">
        <v>520</v>
      </c>
      <c r="F2356" s="188" t="n">
        <v>2031</v>
      </c>
      <c r="G2356" s="189" t="n">
        <v>64</v>
      </c>
      <c r="H2356" s="190" t="n">
        <v>23666.3661001659</v>
      </c>
      <c r="I2356" s="191" t="n">
        <v>2658985.31657705</v>
      </c>
      <c r="J2356" s="192" t="str">
        <f>IF(I2356&gt;0,H2356/I2356,0)</f>
      </c>
      <c r="K2356" s="193" t="str">
        <f>1-EXP(-J2356)</f>
      </c>
      <c r="L2356" s="194" t="str">
        <f>IF(G2356=30,1,M2355)</f>
      </c>
      <c r="M2356" s="195" t="str">
        <f>L2356*(1-K2356)</f>
      </c>
    </row>
    <row r="2357">
      <c r="A2357" t="s">
        <v>167</v>
      </c>
      <c r="B2357" t="s">
        <v>250</v>
      </c>
      <c r="C2357" s="35" t="s">
        <v>252</v>
      </c>
      <c r="D2357" t="s">
        <v>502</v>
      </c>
      <c r="E2357" t="s">
        <v>520</v>
      </c>
      <c r="F2357" s="188" t="n">
        <v>2031</v>
      </c>
      <c r="G2357" s="189" t="n">
        <v>65</v>
      </c>
      <c r="H2357" s="190" t="n">
        <v>24074.9055058522</v>
      </c>
      <c r="I2357" s="191" t="n">
        <v>2545693.92224188</v>
      </c>
      <c r="J2357" s="192" t="str">
        <f>IF(I2357&gt;0,H2357/I2357,0)</f>
      </c>
      <c r="K2357" s="193" t="str">
        <f>1-EXP(-J2357)</f>
      </c>
      <c r="L2357" s="194" t="str">
        <f>IF(G2357=30,1,M2356)</f>
      </c>
      <c r="M2357" s="195" t="str">
        <f>L2357*(1-K2357)</f>
      </c>
    </row>
    <row r="2358">
      <c r="A2358" t="s">
        <v>167</v>
      </c>
      <c r="B2358" t="s">
        <v>250</v>
      </c>
      <c r="C2358" s="35" t="s">
        <v>252</v>
      </c>
      <c r="D2358" t="s">
        <v>502</v>
      </c>
      <c r="E2358" t="s">
        <v>520</v>
      </c>
      <c r="F2358" s="188" t="n">
        <v>2031</v>
      </c>
      <c r="G2358" s="189" t="n">
        <v>66</v>
      </c>
      <c r="H2358" s="190" t="n">
        <v>25001.7294669281</v>
      </c>
      <c r="I2358" s="191" t="n">
        <v>2412136.27049211</v>
      </c>
      <c r="J2358" s="192" t="str">
        <f>IF(I2358&gt;0,H2358/I2358,0)</f>
      </c>
      <c r="K2358" s="193" t="str">
        <f>1-EXP(-J2358)</f>
      </c>
      <c r="L2358" s="194" t="str">
        <f>IF(G2358=30,1,M2357)</f>
      </c>
      <c r="M2358" s="195" t="str">
        <f>L2358*(1-K2358)</f>
      </c>
    </row>
    <row r="2359">
      <c r="A2359" t="s">
        <v>167</v>
      </c>
      <c r="B2359" t="s">
        <v>250</v>
      </c>
      <c r="C2359" s="35" t="s">
        <v>252</v>
      </c>
      <c r="D2359" t="s">
        <v>502</v>
      </c>
      <c r="E2359" t="s">
        <v>520</v>
      </c>
      <c r="F2359" s="188" t="n">
        <v>2031</v>
      </c>
      <c r="G2359" s="189" t="n">
        <v>67</v>
      </c>
      <c r="H2359" s="190" t="n">
        <v>25908.7011714909</v>
      </c>
      <c r="I2359" s="191" t="n">
        <v>2278618.75521447</v>
      </c>
      <c r="J2359" s="192" t="str">
        <f>IF(I2359&gt;0,H2359/I2359,0)</f>
      </c>
      <c r="K2359" s="193" t="str">
        <f>1-EXP(-J2359)</f>
      </c>
      <c r="L2359" s="194" t="str">
        <f>IF(G2359=30,1,M2358)</f>
      </c>
      <c r="M2359" s="195" t="str">
        <f>L2359*(1-K2359)</f>
      </c>
    </row>
    <row r="2360">
      <c r="A2360" t="s">
        <v>167</v>
      </c>
      <c r="B2360" t="s">
        <v>250</v>
      </c>
      <c r="C2360" s="35" t="s">
        <v>252</v>
      </c>
      <c r="D2360" t="s">
        <v>502</v>
      </c>
      <c r="E2360" t="s">
        <v>520</v>
      </c>
      <c r="F2360" s="188" t="n">
        <v>2031</v>
      </c>
      <c r="G2360" s="189" t="n">
        <v>68</v>
      </c>
      <c r="H2360" s="190" t="n">
        <v>26832.698437165</v>
      </c>
      <c r="I2360" s="191" t="n">
        <v>2149843.39950145</v>
      </c>
      <c r="J2360" s="192" t="str">
        <f>IF(I2360&gt;0,H2360/I2360,0)</f>
      </c>
      <c r="K2360" s="193" t="str">
        <f>1-EXP(-J2360)</f>
      </c>
      <c r="L2360" s="194" t="str">
        <f>IF(G2360=30,1,M2359)</f>
      </c>
      <c r="M2360" s="195" t="str">
        <f>L2360*(1-K2360)</f>
      </c>
    </row>
    <row r="2361">
      <c r="A2361" t="s">
        <v>167</v>
      </c>
      <c r="B2361" t="s">
        <v>250</v>
      </c>
      <c r="C2361" s="35" t="s">
        <v>252</v>
      </c>
      <c r="D2361" t="s">
        <v>502</v>
      </c>
      <c r="E2361" t="s">
        <v>520</v>
      </c>
      <c r="F2361" s="188" t="n">
        <v>2031</v>
      </c>
      <c r="G2361" s="189" t="n">
        <v>69</v>
      </c>
      <c r="H2361" s="190" t="n">
        <v>27476.8737400918</v>
      </c>
      <c r="I2361" s="191" t="n">
        <v>1997247.13025423</v>
      </c>
      <c r="J2361" s="192" t="str">
        <f>IF(I2361&gt;0,H2361/I2361,0)</f>
      </c>
      <c r="K2361" s="193" t="str">
        <f>1-EXP(-J2361)</f>
      </c>
      <c r="L2361" s="194" t="str">
        <f>IF(G2361=30,1,M2360)</f>
      </c>
      <c r="M2361" s="195" t="str">
        <f>L2361*(1-K2361)</f>
      </c>
    </row>
    <row r="2362">
      <c r="A2362" t="s">
        <v>167</v>
      </c>
      <c r="B2362" t="s">
        <v>250</v>
      </c>
      <c r="C2362" s="35" t="s">
        <v>252</v>
      </c>
      <c r="D2362" t="s">
        <v>502</v>
      </c>
      <c r="E2362" t="s">
        <v>520</v>
      </c>
      <c r="F2362" s="188" t="n">
        <v>2032</v>
      </c>
      <c r="G2362" s="189" t="n">
        <v>30</v>
      </c>
      <c r="H2362" s="190" t="n">
        <v>950.533709571147</v>
      </c>
      <c r="I2362" s="191" t="n">
        <v>4354873.51159581</v>
      </c>
      <c r="J2362" s="192" t="str">
        <f>IF(I2362&gt;0,H2362/I2362,0)</f>
      </c>
      <c r="K2362" s="193" t="str">
        <f>1-EXP(-J2362)</f>
      </c>
      <c r="L2362" s="194" t="str">
        <f>IF(G2362=30,1,M2361)</f>
      </c>
      <c r="M2362" s="195" t="str">
        <f>L2362*(1-K2362)</f>
      </c>
    </row>
    <row r="2363">
      <c r="A2363" t="s">
        <v>167</v>
      </c>
      <c r="B2363" t="s">
        <v>250</v>
      </c>
      <c r="C2363" s="35" t="s">
        <v>252</v>
      </c>
      <c r="D2363" t="s">
        <v>502</v>
      </c>
      <c r="E2363" t="s">
        <v>520</v>
      </c>
      <c r="F2363" s="188" t="n">
        <v>2032</v>
      </c>
      <c r="G2363" s="189" t="n">
        <v>31</v>
      </c>
      <c r="H2363" s="190" t="n">
        <v>1080.24859385626</v>
      </c>
      <c r="I2363" s="191" t="n">
        <v>4335168.64189665</v>
      </c>
      <c r="J2363" s="192" t="str">
        <f>IF(I2363&gt;0,H2363/I2363,0)</f>
      </c>
      <c r="K2363" s="193" t="str">
        <f>1-EXP(-J2363)</f>
      </c>
      <c r="L2363" s="194" t="str">
        <f>IF(G2363=30,1,M2362)</f>
      </c>
      <c r="M2363" s="195" t="str">
        <f>L2363*(1-K2363)</f>
      </c>
    </row>
    <row r="2364">
      <c r="A2364" t="s">
        <v>167</v>
      </c>
      <c r="B2364" t="s">
        <v>250</v>
      </c>
      <c r="C2364" s="35" t="s">
        <v>252</v>
      </c>
      <c r="D2364" t="s">
        <v>502</v>
      </c>
      <c r="E2364" t="s">
        <v>520</v>
      </c>
      <c r="F2364" s="188" t="n">
        <v>2032</v>
      </c>
      <c r="G2364" s="189" t="n">
        <v>32</v>
      </c>
      <c r="H2364" s="190" t="n">
        <v>1131.42981316663</v>
      </c>
      <c r="I2364" s="191" t="n">
        <v>4315610.72847032</v>
      </c>
      <c r="J2364" s="192" t="str">
        <f>IF(I2364&gt;0,H2364/I2364,0)</f>
      </c>
      <c r="K2364" s="193" t="str">
        <f>1-EXP(-J2364)</f>
      </c>
      <c r="L2364" s="194" t="str">
        <f>IF(G2364=30,1,M2363)</f>
      </c>
      <c r="M2364" s="195" t="str">
        <f>L2364*(1-K2364)</f>
      </c>
    </row>
    <row r="2365">
      <c r="A2365" t="s">
        <v>167</v>
      </c>
      <c r="B2365" t="s">
        <v>250</v>
      </c>
      <c r="C2365" s="35" t="s">
        <v>252</v>
      </c>
      <c r="D2365" t="s">
        <v>502</v>
      </c>
      <c r="E2365" t="s">
        <v>520</v>
      </c>
      <c r="F2365" s="188" t="n">
        <v>2032</v>
      </c>
      <c r="G2365" s="189" t="n">
        <v>33</v>
      </c>
      <c r="H2365" s="190" t="n">
        <v>1203.32168158679</v>
      </c>
      <c r="I2365" s="191" t="n">
        <v>4335894.28876998</v>
      </c>
      <c r="J2365" s="192" t="str">
        <f>IF(I2365&gt;0,H2365/I2365,0)</f>
      </c>
      <c r="K2365" s="193" t="str">
        <f>1-EXP(-J2365)</f>
      </c>
      <c r="L2365" s="194" t="str">
        <f>IF(G2365=30,1,M2364)</f>
      </c>
      <c r="M2365" s="195" t="str">
        <f>L2365*(1-K2365)</f>
      </c>
    </row>
    <row r="2366">
      <c r="A2366" t="s">
        <v>167</v>
      </c>
      <c r="B2366" t="s">
        <v>250</v>
      </c>
      <c r="C2366" s="35" t="s">
        <v>252</v>
      </c>
      <c r="D2366" t="s">
        <v>502</v>
      </c>
      <c r="E2366" t="s">
        <v>520</v>
      </c>
      <c r="F2366" s="188" t="n">
        <v>2032</v>
      </c>
      <c r="G2366" s="189" t="n">
        <v>34</v>
      </c>
      <c r="H2366" s="190" t="n">
        <v>1299.78903715588</v>
      </c>
      <c r="I2366" s="191" t="n">
        <v>4395466.0421193</v>
      </c>
      <c r="J2366" s="192" t="str">
        <f>IF(I2366&gt;0,H2366/I2366,0)</f>
      </c>
      <c r="K2366" s="193" t="str">
        <f>1-EXP(-J2366)</f>
      </c>
      <c r="L2366" s="194" t="str">
        <f>IF(G2366=30,1,M2365)</f>
      </c>
      <c r="M2366" s="195" t="str">
        <f>L2366*(1-K2366)</f>
      </c>
    </row>
    <row r="2367">
      <c r="A2367" t="s">
        <v>167</v>
      </c>
      <c r="B2367" t="s">
        <v>250</v>
      </c>
      <c r="C2367" s="35" t="s">
        <v>252</v>
      </c>
      <c r="D2367" t="s">
        <v>502</v>
      </c>
      <c r="E2367" t="s">
        <v>520</v>
      </c>
      <c r="F2367" s="188" t="n">
        <v>2032</v>
      </c>
      <c r="G2367" s="189" t="n">
        <v>35</v>
      </c>
      <c r="H2367" s="190" t="n">
        <v>2083.87369148472</v>
      </c>
      <c r="I2367" s="191" t="n">
        <v>4534929.5711701</v>
      </c>
      <c r="J2367" s="192" t="str">
        <f>IF(I2367&gt;0,H2367/I2367,0)</f>
      </c>
      <c r="K2367" s="193" t="str">
        <f>1-EXP(-J2367)</f>
      </c>
      <c r="L2367" s="194" t="str">
        <f>IF(G2367=30,1,M2366)</f>
      </c>
      <c r="M2367" s="195" t="str">
        <f>L2367*(1-K2367)</f>
      </c>
    </row>
    <row r="2368">
      <c r="A2368" t="s">
        <v>167</v>
      </c>
      <c r="B2368" t="s">
        <v>250</v>
      </c>
      <c r="C2368" s="35" t="s">
        <v>252</v>
      </c>
      <c r="D2368" t="s">
        <v>502</v>
      </c>
      <c r="E2368" t="s">
        <v>520</v>
      </c>
      <c r="F2368" s="188" t="n">
        <v>2032</v>
      </c>
      <c r="G2368" s="189" t="n">
        <v>36</v>
      </c>
      <c r="H2368" s="190" t="n">
        <v>2203.84796145713</v>
      </c>
      <c r="I2368" s="191" t="n">
        <v>4490967.92402189</v>
      </c>
      <c r="J2368" s="192" t="str">
        <f>IF(I2368&gt;0,H2368/I2368,0)</f>
      </c>
      <c r="K2368" s="193" t="str">
        <f>1-EXP(-J2368)</f>
      </c>
      <c r="L2368" s="194" t="str">
        <f>IF(G2368=30,1,M2367)</f>
      </c>
      <c r="M2368" s="195" t="str">
        <f>L2368*(1-K2368)</f>
      </c>
    </row>
    <row r="2369">
      <c r="A2369" t="s">
        <v>167</v>
      </c>
      <c r="B2369" t="s">
        <v>250</v>
      </c>
      <c r="C2369" s="35" t="s">
        <v>252</v>
      </c>
      <c r="D2369" t="s">
        <v>502</v>
      </c>
      <c r="E2369" t="s">
        <v>520</v>
      </c>
      <c r="F2369" s="188" t="n">
        <v>2032</v>
      </c>
      <c r="G2369" s="189" t="n">
        <v>37</v>
      </c>
      <c r="H2369" s="190" t="n">
        <v>2324.92266625362</v>
      </c>
      <c r="I2369" s="191" t="n">
        <v>4417268.4567249</v>
      </c>
      <c r="J2369" s="192" t="str">
        <f>IF(I2369&gt;0,H2369/I2369,0)</f>
      </c>
      <c r="K2369" s="193" t="str">
        <f>1-EXP(-J2369)</f>
      </c>
      <c r="L2369" s="194" t="str">
        <f>IF(G2369=30,1,M2368)</f>
      </c>
      <c r="M2369" s="195" t="str">
        <f>L2369*(1-K2369)</f>
      </c>
    </row>
    <row r="2370">
      <c r="A2370" t="s">
        <v>167</v>
      </c>
      <c r="B2370" t="s">
        <v>250</v>
      </c>
      <c r="C2370" s="35" t="s">
        <v>252</v>
      </c>
      <c r="D2370" t="s">
        <v>502</v>
      </c>
      <c r="E2370" t="s">
        <v>520</v>
      </c>
      <c r="F2370" s="188" t="n">
        <v>2032</v>
      </c>
      <c r="G2370" s="189" t="n">
        <v>38</v>
      </c>
      <c r="H2370" s="190" t="n">
        <v>2466.27973128768</v>
      </c>
      <c r="I2370" s="191" t="n">
        <v>4359172.70528267</v>
      </c>
      <c r="J2370" s="192" t="str">
        <f>IF(I2370&gt;0,H2370/I2370,0)</f>
      </c>
      <c r="K2370" s="193" t="str">
        <f>1-EXP(-J2370)</f>
      </c>
      <c r="L2370" s="194" t="str">
        <f>IF(G2370=30,1,M2369)</f>
      </c>
      <c r="M2370" s="195" t="str">
        <f>L2370*(1-K2370)</f>
      </c>
    </row>
    <row r="2371">
      <c r="A2371" t="s">
        <v>167</v>
      </c>
      <c r="B2371" t="s">
        <v>250</v>
      </c>
      <c r="C2371" s="35" t="s">
        <v>252</v>
      </c>
      <c r="D2371" t="s">
        <v>502</v>
      </c>
      <c r="E2371" t="s">
        <v>520</v>
      </c>
      <c r="F2371" s="188" t="n">
        <v>2032</v>
      </c>
      <c r="G2371" s="189" t="n">
        <v>39</v>
      </c>
      <c r="H2371" s="190" t="n">
        <v>2622.46502938726</v>
      </c>
      <c r="I2371" s="191" t="n">
        <v>4304553.62161608</v>
      </c>
      <c r="J2371" s="192" t="str">
        <f>IF(I2371&gt;0,H2371/I2371,0)</f>
      </c>
      <c r="K2371" s="193" t="str">
        <f>1-EXP(-J2371)</f>
      </c>
      <c r="L2371" s="194" t="str">
        <f>IF(G2371=30,1,M2370)</f>
      </c>
      <c r="M2371" s="195" t="str">
        <f>L2371*(1-K2371)</f>
      </c>
    </row>
    <row r="2372">
      <c r="A2372" t="s">
        <v>167</v>
      </c>
      <c r="B2372" t="s">
        <v>250</v>
      </c>
      <c r="C2372" s="35" t="s">
        <v>252</v>
      </c>
      <c r="D2372" t="s">
        <v>502</v>
      </c>
      <c r="E2372" t="s">
        <v>520</v>
      </c>
      <c r="F2372" s="188" t="n">
        <v>2032</v>
      </c>
      <c r="G2372" s="189" t="n">
        <v>40</v>
      </c>
      <c r="H2372" s="190" t="n">
        <v>3551.36207017389</v>
      </c>
      <c r="I2372" s="191" t="n">
        <v>4340839.82340594</v>
      </c>
      <c r="J2372" s="192" t="str">
        <f>IF(I2372&gt;0,H2372/I2372,0)</f>
      </c>
      <c r="K2372" s="193" t="str">
        <f>1-EXP(-J2372)</f>
      </c>
      <c r="L2372" s="194" t="str">
        <f>IF(G2372=30,1,M2371)</f>
      </c>
      <c r="M2372" s="195" t="str">
        <f>L2372*(1-K2372)</f>
      </c>
    </row>
    <row r="2373">
      <c r="A2373" t="s">
        <v>167</v>
      </c>
      <c r="B2373" t="s">
        <v>250</v>
      </c>
      <c r="C2373" s="35" t="s">
        <v>252</v>
      </c>
      <c r="D2373" t="s">
        <v>502</v>
      </c>
      <c r="E2373" t="s">
        <v>520</v>
      </c>
      <c r="F2373" s="188" t="n">
        <v>2032</v>
      </c>
      <c r="G2373" s="189" t="n">
        <v>41</v>
      </c>
      <c r="H2373" s="190" t="n">
        <v>3850.86724370488</v>
      </c>
      <c r="I2373" s="191" t="n">
        <v>4356516.30711823</v>
      </c>
      <c r="J2373" s="192" t="str">
        <f>IF(I2373&gt;0,H2373/I2373,0)</f>
      </c>
      <c r="K2373" s="193" t="str">
        <f>1-EXP(-J2373)</f>
      </c>
      <c r="L2373" s="194" t="str">
        <f>IF(G2373=30,1,M2372)</f>
      </c>
      <c r="M2373" s="195" t="str">
        <f>L2373*(1-K2373)</f>
      </c>
    </row>
    <row r="2374">
      <c r="A2374" t="s">
        <v>167</v>
      </c>
      <c r="B2374" t="s">
        <v>250</v>
      </c>
      <c r="C2374" s="35" t="s">
        <v>252</v>
      </c>
      <c r="D2374" t="s">
        <v>502</v>
      </c>
      <c r="E2374" t="s">
        <v>520</v>
      </c>
      <c r="F2374" s="188" t="n">
        <v>2032</v>
      </c>
      <c r="G2374" s="189" t="n">
        <v>42</v>
      </c>
      <c r="H2374" s="190" t="n">
        <v>5830.71075794366</v>
      </c>
      <c r="I2374" s="191" t="n">
        <v>6413956.04573997</v>
      </c>
      <c r="J2374" s="192" t="str">
        <f>IF(I2374&gt;0,H2374/I2374,0)</f>
      </c>
      <c r="K2374" s="193" t="str">
        <f>1-EXP(-J2374)</f>
      </c>
      <c r="L2374" s="194" t="str">
        <f>IF(G2374=30,1,M2373)</f>
      </c>
      <c r="M2374" s="195" t="str">
        <f>L2374*(1-K2374)</f>
      </c>
    </row>
    <row r="2375">
      <c r="A2375" t="s">
        <v>167</v>
      </c>
      <c r="B2375" t="s">
        <v>250</v>
      </c>
      <c r="C2375" s="35" t="s">
        <v>252</v>
      </c>
      <c r="D2375" t="s">
        <v>502</v>
      </c>
      <c r="E2375" t="s">
        <v>520</v>
      </c>
      <c r="F2375" s="188" t="n">
        <v>2032</v>
      </c>
      <c r="G2375" s="189" t="n">
        <v>43</v>
      </c>
      <c r="H2375" s="190" t="n">
        <v>4497.36782287307</v>
      </c>
      <c r="I2375" s="191" t="n">
        <v>4311779.95970972</v>
      </c>
      <c r="J2375" s="192" t="str">
        <f>IF(I2375&gt;0,H2375/I2375,0)</f>
      </c>
      <c r="K2375" s="193" t="str">
        <f>1-EXP(-J2375)</f>
      </c>
      <c r="L2375" s="194" t="str">
        <f>IF(G2375=30,1,M2374)</f>
      </c>
      <c r="M2375" s="195" t="str">
        <f>L2375*(1-K2375)</f>
      </c>
    </row>
    <row r="2376">
      <c r="A2376" t="s">
        <v>167</v>
      </c>
      <c r="B2376" t="s">
        <v>250</v>
      </c>
      <c r="C2376" s="35" t="s">
        <v>252</v>
      </c>
      <c r="D2376" t="s">
        <v>502</v>
      </c>
      <c r="E2376" t="s">
        <v>520</v>
      </c>
      <c r="F2376" s="188" t="n">
        <v>2032</v>
      </c>
      <c r="G2376" s="189" t="n">
        <v>44</v>
      </c>
      <c r="H2376" s="190" t="n">
        <v>4887.0162507445</v>
      </c>
      <c r="I2376" s="191" t="n">
        <v>4293086.28820951</v>
      </c>
      <c r="J2376" s="192" t="str">
        <f>IF(I2376&gt;0,H2376/I2376,0)</f>
      </c>
      <c r="K2376" s="193" t="str">
        <f>1-EXP(-J2376)</f>
      </c>
      <c r="L2376" s="194" t="str">
        <f>IF(G2376=30,1,M2375)</f>
      </c>
      <c r="M2376" s="195" t="str">
        <f>L2376*(1-K2376)</f>
      </c>
    </row>
    <row r="2377">
      <c r="A2377" t="s">
        <v>167</v>
      </c>
      <c r="B2377" t="s">
        <v>250</v>
      </c>
      <c r="C2377" s="35" t="s">
        <v>252</v>
      </c>
      <c r="D2377" t="s">
        <v>502</v>
      </c>
      <c r="E2377" t="s">
        <v>520</v>
      </c>
      <c r="F2377" s="188" t="n">
        <v>2032</v>
      </c>
      <c r="G2377" s="189" t="n">
        <v>45</v>
      </c>
      <c r="H2377" s="190" t="n">
        <v>6118.36866709521</v>
      </c>
      <c r="I2377" s="191" t="n">
        <v>4159322.04948508</v>
      </c>
      <c r="J2377" s="192" t="str">
        <f>IF(I2377&gt;0,H2377/I2377,0)</f>
      </c>
      <c r="K2377" s="193" t="str">
        <f>1-EXP(-J2377)</f>
      </c>
      <c r="L2377" s="194" t="str">
        <f>IF(G2377=30,1,M2376)</f>
      </c>
      <c r="M2377" s="195" t="str">
        <f>L2377*(1-K2377)</f>
      </c>
    </row>
    <row r="2378">
      <c r="A2378" t="s">
        <v>167</v>
      </c>
      <c r="B2378" t="s">
        <v>250</v>
      </c>
      <c r="C2378" s="35" t="s">
        <v>252</v>
      </c>
      <c r="D2378" t="s">
        <v>502</v>
      </c>
      <c r="E2378" t="s">
        <v>520</v>
      </c>
      <c r="F2378" s="188" t="n">
        <v>2032</v>
      </c>
      <c r="G2378" s="189" t="n">
        <v>46</v>
      </c>
      <c r="H2378" s="190" t="n">
        <v>6632.07990318828</v>
      </c>
      <c r="I2378" s="191" t="n">
        <v>4121387.02607359</v>
      </c>
      <c r="J2378" s="192" t="str">
        <f>IF(I2378&gt;0,H2378/I2378,0)</f>
      </c>
      <c r="K2378" s="193" t="str">
        <f>1-EXP(-J2378)</f>
      </c>
      <c r="L2378" s="194" t="str">
        <f>IF(G2378=30,1,M2377)</f>
      </c>
      <c r="M2378" s="195" t="str">
        <f>L2378*(1-K2378)</f>
      </c>
    </row>
    <row r="2379">
      <c r="A2379" t="s">
        <v>167</v>
      </c>
      <c r="B2379" t="s">
        <v>250</v>
      </c>
      <c r="C2379" s="35" t="s">
        <v>252</v>
      </c>
      <c r="D2379" t="s">
        <v>502</v>
      </c>
      <c r="E2379" t="s">
        <v>520</v>
      </c>
      <c r="F2379" s="188" t="n">
        <v>2032</v>
      </c>
      <c r="G2379" s="189" t="n">
        <v>47</v>
      </c>
      <c r="H2379" s="190" t="n">
        <v>7368.66348126721</v>
      </c>
      <c r="I2379" s="191" t="n">
        <v>4176898.9389324</v>
      </c>
      <c r="J2379" s="192" t="str">
        <f>IF(I2379&gt;0,H2379/I2379,0)</f>
      </c>
      <c r="K2379" s="193" t="str">
        <f>1-EXP(-J2379)</f>
      </c>
      <c r="L2379" s="194" t="str">
        <f>IF(G2379=30,1,M2378)</f>
      </c>
      <c r="M2379" s="195" t="str">
        <f>L2379*(1-K2379)</f>
      </c>
    </row>
    <row r="2380">
      <c r="A2380" t="s">
        <v>167</v>
      </c>
      <c r="B2380" t="s">
        <v>250</v>
      </c>
      <c r="C2380" s="35" t="s">
        <v>252</v>
      </c>
      <c r="D2380" t="s">
        <v>502</v>
      </c>
      <c r="E2380" t="s">
        <v>520</v>
      </c>
      <c r="F2380" s="188" t="n">
        <v>2032</v>
      </c>
      <c r="G2380" s="189" t="n">
        <v>48</v>
      </c>
      <c r="H2380" s="190" t="n">
        <v>8232.27366855476</v>
      </c>
      <c r="I2380" s="191" t="n">
        <v>4256806.90974754</v>
      </c>
      <c r="J2380" s="192" t="str">
        <f>IF(I2380&gt;0,H2380/I2380,0)</f>
      </c>
      <c r="K2380" s="193" t="str">
        <f>1-EXP(-J2380)</f>
      </c>
      <c r="L2380" s="194" t="str">
        <f>IF(G2380=30,1,M2379)</f>
      </c>
      <c r="M2380" s="195" t="str">
        <f>L2380*(1-K2380)</f>
      </c>
    </row>
    <row r="2381">
      <c r="A2381" t="s">
        <v>167</v>
      </c>
      <c r="B2381" t="s">
        <v>250</v>
      </c>
      <c r="C2381" s="35" t="s">
        <v>252</v>
      </c>
      <c r="D2381" t="s">
        <v>502</v>
      </c>
      <c r="E2381" t="s">
        <v>520</v>
      </c>
      <c r="F2381" s="188" t="n">
        <v>2032</v>
      </c>
      <c r="G2381" s="189" t="n">
        <v>49</v>
      </c>
      <c r="H2381" s="190" t="n">
        <v>8959.08959416948</v>
      </c>
      <c r="I2381" s="191" t="n">
        <v>4228372.27012792</v>
      </c>
      <c r="J2381" s="192" t="str">
        <f>IF(I2381&gt;0,H2381/I2381,0)</f>
      </c>
      <c r="K2381" s="193" t="str">
        <f>1-EXP(-J2381)</f>
      </c>
      <c r="L2381" s="194" t="str">
        <f>IF(G2381=30,1,M2380)</f>
      </c>
      <c r="M2381" s="195" t="str">
        <f>L2381*(1-K2381)</f>
      </c>
    </row>
    <row r="2382">
      <c r="A2382" t="s">
        <v>167</v>
      </c>
      <c r="B2382" t="s">
        <v>250</v>
      </c>
      <c r="C2382" s="35" t="s">
        <v>252</v>
      </c>
      <c r="D2382" t="s">
        <v>502</v>
      </c>
      <c r="E2382" t="s">
        <v>520</v>
      </c>
      <c r="F2382" s="188" t="n">
        <v>2032</v>
      </c>
      <c r="G2382" s="189" t="n">
        <v>50</v>
      </c>
      <c r="H2382" s="190" t="n">
        <v>10070.6568251913</v>
      </c>
      <c r="I2382" s="191" t="n">
        <v>4088449.75481178</v>
      </c>
      <c r="J2382" s="192" t="str">
        <f>IF(I2382&gt;0,H2382/I2382,0)</f>
      </c>
      <c r="K2382" s="193" t="str">
        <f>1-EXP(-J2382)</f>
      </c>
      <c r="L2382" s="194" t="str">
        <f>IF(G2382=30,1,M2381)</f>
      </c>
      <c r="M2382" s="195" t="str">
        <f>L2382*(1-K2382)</f>
      </c>
    </row>
    <row r="2383">
      <c r="A2383" t="s">
        <v>167</v>
      </c>
      <c r="B2383" t="s">
        <v>250</v>
      </c>
      <c r="C2383" s="35" t="s">
        <v>252</v>
      </c>
      <c r="D2383" t="s">
        <v>502</v>
      </c>
      <c r="E2383" t="s">
        <v>520</v>
      </c>
      <c r="F2383" s="188" t="n">
        <v>2032</v>
      </c>
      <c r="G2383" s="189" t="n">
        <v>51</v>
      </c>
      <c r="H2383" s="190" t="n">
        <v>10804.0807133109</v>
      </c>
      <c r="I2383" s="191" t="n">
        <v>4009081.60788743</v>
      </c>
      <c r="J2383" s="192" t="str">
        <f>IF(I2383&gt;0,H2383/I2383,0)</f>
      </c>
      <c r="K2383" s="193" t="str">
        <f>1-EXP(-J2383)</f>
      </c>
      <c r="L2383" s="194" t="str">
        <f>IF(G2383=30,1,M2382)</f>
      </c>
      <c r="M2383" s="195" t="str">
        <f>L2383*(1-K2383)</f>
      </c>
    </row>
    <row r="2384">
      <c r="A2384" t="s">
        <v>167</v>
      </c>
      <c r="B2384" t="s">
        <v>250</v>
      </c>
      <c r="C2384" s="35" t="s">
        <v>252</v>
      </c>
      <c r="D2384" t="s">
        <v>502</v>
      </c>
      <c r="E2384" t="s">
        <v>520</v>
      </c>
      <c r="F2384" s="188" t="n">
        <v>2032</v>
      </c>
      <c r="G2384" s="189" t="n">
        <v>52</v>
      </c>
      <c r="H2384" s="190" t="n">
        <v>11619.9501811704</v>
      </c>
      <c r="I2384" s="191" t="n">
        <v>3945795.95245352</v>
      </c>
      <c r="J2384" s="192" t="str">
        <f>IF(I2384&gt;0,H2384/I2384,0)</f>
      </c>
      <c r="K2384" s="193" t="str">
        <f>1-EXP(-J2384)</f>
      </c>
      <c r="L2384" s="194" t="str">
        <f>IF(G2384=30,1,M2383)</f>
      </c>
      <c r="M2384" s="195" t="str">
        <f>L2384*(1-K2384)</f>
      </c>
    </row>
    <row r="2385">
      <c r="A2385" t="s">
        <v>167</v>
      </c>
      <c r="B2385" t="s">
        <v>250</v>
      </c>
      <c r="C2385" s="35" t="s">
        <v>252</v>
      </c>
      <c r="D2385" t="s">
        <v>502</v>
      </c>
      <c r="E2385" t="s">
        <v>520</v>
      </c>
      <c r="F2385" s="188" t="n">
        <v>2032</v>
      </c>
      <c r="G2385" s="189" t="n">
        <v>53</v>
      </c>
      <c r="H2385" s="190" t="n">
        <v>12472.3947386561</v>
      </c>
      <c r="I2385" s="191" t="n">
        <v>3876809.43098123</v>
      </c>
      <c r="J2385" s="192" t="str">
        <f>IF(I2385&gt;0,H2385/I2385,0)</f>
      </c>
      <c r="K2385" s="193" t="str">
        <f>1-EXP(-J2385)</f>
      </c>
      <c r="L2385" s="194" t="str">
        <f>IF(G2385=30,1,M2384)</f>
      </c>
      <c r="M2385" s="195" t="str">
        <f>L2385*(1-K2385)</f>
      </c>
    </row>
    <row r="2386">
      <c r="A2386" t="s">
        <v>167</v>
      </c>
      <c r="B2386" t="s">
        <v>250</v>
      </c>
      <c r="C2386" s="35" t="s">
        <v>252</v>
      </c>
      <c r="D2386" t="s">
        <v>502</v>
      </c>
      <c r="E2386" t="s">
        <v>520</v>
      </c>
      <c r="F2386" s="188" t="n">
        <v>2032</v>
      </c>
      <c r="G2386" s="189" t="n">
        <v>54</v>
      </c>
      <c r="H2386" s="190" t="n">
        <v>13313.6111472176</v>
      </c>
      <c r="I2386" s="191" t="n">
        <v>3788404.14163078</v>
      </c>
      <c r="J2386" s="192" t="str">
        <f>IF(I2386&gt;0,H2386/I2386,0)</f>
      </c>
      <c r="K2386" s="193" t="str">
        <f>1-EXP(-J2386)</f>
      </c>
      <c r="L2386" s="194" t="str">
        <f>IF(G2386=30,1,M2385)</f>
      </c>
      <c r="M2386" s="195" t="str">
        <f>L2386*(1-K2386)</f>
      </c>
    </row>
    <row r="2387">
      <c r="A2387" t="s">
        <v>167</v>
      </c>
      <c r="B2387" t="s">
        <v>250</v>
      </c>
      <c r="C2387" s="35" t="s">
        <v>252</v>
      </c>
      <c r="D2387" t="s">
        <v>502</v>
      </c>
      <c r="E2387" t="s">
        <v>520</v>
      </c>
      <c r="F2387" s="188" t="n">
        <v>2032</v>
      </c>
      <c r="G2387" s="189" t="n">
        <v>55</v>
      </c>
      <c r="H2387" s="190" t="n">
        <v>14371.3190081413</v>
      </c>
      <c r="I2387" s="191" t="n">
        <v>3716344.49995567</v>
      </c>
      <c r="J2387" s="192" t="str">
        <f>IF(I2387&gt;0,H2387/I2387,0)</f>
      </c>
      <c r="K2387" s="193" t="str">
        <f>1-EXP(-J2387)</f>
      </c>
      <c r="L2387" s="194" t="str">
        <f>IF(G2387=30,1,M2386)</f>
      </c>
      <c r="M2387" s="195" t="str">
        <f>L2387*(1-K2387)</f>
      </c>
    </row>
    <row r="2388">
      <c r="A2388" t="s">
        <v>167</v>
      </c>
      <c r="B2388" t="s">
        <v>250</v>
      </c>
      <c r="C2388" s="35" t="s">
        <v>252</v>
      </c>
      <c r="D2388" t="s">
        <v>502</v>
      </c>
      <c r="E2388" t="s">
        <v>520</v>
      </c>
      <c r="F2388" s="188" t="n">
        <v>2032</v>
      </c>
      <c r="G2388" s="189" t="n">
        <v>56</v>
      </c>
      <c r="H2388" s="190" t="n">
        <v>15322.9120588385</v>
      </c>
      <c r="I2388" s="191" t="n">
        <v>3631956.77803189</v>
      </c>
      <c r="J2388" s="192" t="str">
        <f>IF(I2388&gt;0,H2388/I2388,0)</f>
      </c>
      <c r="K2388" s="193" t="str">
        <f>1-EXP(-J2388)</f>
      </c>
      <c r="L2388" s="194" t="str">
        <f>IF(G2388=30,1,M2387)</f>
      </c>
      <c r="M2388" s="195" t="str">
        <f>L2388*(1-K2388)</f>
      </c>
    </row>
    <row r="2389">
      <c r="A2389" t="s">
        <v>167</v>
      </c>
      <c r="B2389" t="s">
        <v>250</v>
      </c>
      <c r="C2389" s="35" t="s">
        <v>252</v>
      </c>
      <c r="D2389" t="s">
        <v>502</v>
      </c>
      <c r="E2389" t="s">
        <v>520</v>
      </c>
      <c r="F2389" s="188" t="n">
        <v>2032</v>
      </c>
      <c r="G2389" s="189" t="n">
        <v>57</v>
      </c>
      <c r="H2389" s="190" t="n">
        <v>16348.5622809048</v>
      </c>
      <c r="I2389" s="191" t="n">
        <v>3546835.48632664</v>
      </c>
      <c r="J2389" s="192" t="str">
        <f>IF(I2389&gt;0,H2389/I2389,0)</f>
      </c>
      <c r="K2389" s="193" t="str">
        <f>1-EXP(-J2389)</f>
      </c>
      <c r="L2389" s="194" t="str">
        <f>IF(G2389=30,1,M2388)</f>
      </c>
      <c r="M2389" s="195" t="str">
        <f>L2389*(1-K2389)</f>
      </c>
    </row>
    <row r="2390">
      <c r="A2390" t="s">
        <v>167</v>
      </c>
      <c r="B2390" t="s">
        <v>250</v>
      </c>
      <c r="C2390" s="35" t="s">
        <v>252</v>
      </c>
      <c r="D2390" t="s">
        <v>502</v>
      </c>
      <c r="E2390" t="s">
        <v>520</v>
      </c>
      <c r="F2390" s="188" t="n">
        <v>2032</v>
      </c>
      <c r="G2390" s="189" t="n">
        <v>58</v>
      </c>
      <c r="H2390" s="190" t="n">
        <v>17306.8622501313</v>
      </c>
      <c r="I2390" s="191" t="n">
        <v>3434610.42514719</v>
      </c>
      <c r="J2390" s="192" t="str">
        <f>IF(I2390&gt;0,H2390/I2390,0)</f>
      </c>
      <c r="K2390" s="193" t="str">
        <f>1-EXP(-J2390)</f>
      </c>
      <c r="L2390" s="194" t="str">
        <f>IF(G2390=30,1,M2389)</f>
      </c>
      <c r="M2390" s="195" t="str">
        <f>L2390*(1-K2390)</f>
      </c>
    </row>
    <row r="2391">
      <c r="A2391" t="s">
        <v>167</v>
      </c>
      <c r="B2391" t="s">
        <v>250</v>
      </c>
      <c r="C2391" s="35" t="s">
        <v>252</v>
      </c>
      <c r="D2391" t="s">
        <v>502</v>
      </c>
      <c r="E2391" t="s">
        <v>520</v>
      </c>
      <c r="F2391" s="188" t="n">
        <v>2032</v>
      </c>
      <c r="G2391" s="189" t="n">
        <v>59</v>
      </c>
      <c r="H2391" s="190" t="n">
        <v>18628.9496191328</v>
      </c>
      <c r="I2391" s="191" t="n">
        <v>3380148.61286839</v>
      </c>
      <c r="J2391" s="192" t="str">
        <f>IF(I2391&gt;0,H2391/I2391,0)</f>
      </c>
      <c r="K2391" s="193" t="str">
        <f>1-EXP(-J2391)</f>
      </c>
      <c r="L2391" s="194" t="str">
        <f>IF(G2391=30,1,M2390)</f>
      </c>
      <c r="M2391" s="195" t="str">
        <f>L2391*(1-K2391)</f>
      </c>
    </row>
    <row r="2392">
      <c r="A2392" t="s">
        <v>167</v>
      </c>
      <c r="B2392" t="s">
        <v>250</v>
      </c>
      <c r="C2392" s="35" t="s">
        <v>252</v>
      </c>
      <c r="D2392" t="s">
        <v>502</v>
      </c>
      <c r="E2392" t="s">
        <v>520</v>
      </c>
      <c r="F2392" s="188" t="n">
        <v>2032</v>
      </c>
      <c r="G2392" s="189" t="n">
        <v>60</v>
      </c>
      <c r="H2392" s="190" t="n">
        <v>19383.5633846892</v>
      </c>
      <c r="I2392" s="191" t="n">
        <v>3167308.17585942</v>
      </c>
      <c r="J2392" s="192" t="str">
        <f>IF(I2392&gt;0,H2392/I2392,0)</f>
      </c>
      <c r="K2392" s="193" t="str">
        <f>1-EXP(-J2392)</f>
      </c>
      <c r="L2392" s="194" t="str">
        <f>IF(G2392=30,1,M2391)</f>
      </c>
      <c r="M2392" s="195" t="str">
        <f>L2392*(1-K2392)</f>
      </c>
    </row>
    <row r="2393">
      <c r="A2393" t="s">
        <v>167</v>
      </c>
      <c r="B2393" t="s">
        <v>250</v>
      </c>
      <c r="C2393" s="35" t="s">
        <v>252</v>
      </c>
      <c r="D2393" t="s">
        <v>502</v>
      </c>
      <c r="E2393" t="s">
        <v>520</v>
      </c>
      <c r="F2393" s="188" t="n">
        <v>2032</v>
      </c>
      <c r="G2393" s="189" t="n">
        <v>61</v>
      </c>
      <c r="H2393" s="190" t="n">
        <v>20607.0287552606</v>
      </c>
      <c r="I2393" s="191" t="n">
        <v>3070855.78134562</v>
      </c>
      <c r="J2393" s="192" t="str">
        <f>IF(I2393&gt;0,H2393/I2393,0)</f>
      </c>
      <c r="K2393" s="193" t="str">
        <f>1-EXP(-J2393)</f>
      </c>
      <c r="L2393" s="194" t="str">
        <f>IF(G2393=30,1,M2392)</f>
      </c>
      <c r="M2393" s="195" t="str">
        <f>L2393*(1-K2393)</f>
      </c>
    </row>
    <row r="2394">
      <c r="A2394" t="s">
        <v>167</v>
      </c>
      <c r="B2394" t="s">
        <v>250</v>
      </c>
      <c r="C2394" s="35" t="s">
        <v>252</v>
      </c>
      <c r="D2394" t="s">
        <v>502</v>
      </c>
      <c r="E2394" t="s">
        <v>520</v>
      </c>
      <c r="F2394" s="188" t="n">
        <v>2032</v>
      </c>
      <c r="G2394" s="189" t="n">
        <v>62</v>
      </c>
      <c r="H2394" s="190" t="n">
        <v>21879.5763169286</v>
      </c>
      <c r="I2394" s="191" t="n">
        <v>2978560.11815866</v>
      </c>
      <c r="J2394" s="192" t="str">
        <f>IF(I2394&gt;0,H2394/I2394,0)</f>
      </c>
      <c r="K2394" s="193" t="str">
        <f>1-EXP(-J2394)</f>
      </c>
      <c r="L2394" s="194" t="str">
        <f>IF(G2394=30,1,M2393)</f>
      </c>
      <c r="M2394" s="195" t="str">
        <f>L2394*(1-K2394)</f>
      </c>
    </row>
    <row r="2395">
      <c r="A2395" t="s">
        <v>167</v>
      </c>
      <c r="B2395" t="s">
        <v>250</v>
      </c>
      <c r="C2395" s="35" t="s">
        <v>252</v>
      </c>
      <c r="D2395" t="s">
        <v>502</v>
      </c>
      <c r="E2395" t="s">
        <v>520</v>
      </c>
      <c r="F2395" s="188" t="n">
        <v>2032</v>
      </c>
      <c r="G2395" s="189" t="n">
        <v>63</v>
      </c>
      <c r="H2395" s="190" t="n">
        <v>23143.5563006206</v>
      </c>
      <c r="I2395" s="191" t="n">
        <v>2877009.39063913</v>
      </c>
      <c r="J2395" s="192" t="str">
        <f>IF(I2395&gt;0,H2395/I2395,0)</f>
      </c>
      <c r="K2395" s="193" t="str">
        <f>1-EXP(-J2395)</f>
      </c>
      <c r="L2395" s="194" t="str">
        <f>IF(G2395=30,1,M2394)</f>
      </c>
      <c r="M2395" s="195" t="str">
        <f>L2395*(1-K2395)</f>
      </c>
    </row>
    <row r="2396">
      <c r="A2396" t="s">
        <v>167</v>
      </c>
      <c r="B2396" t="s">
        <v>250</v>
      </c>
      <c r="C2396" s="35" t="s">
        <v>252</v>
      </c>
      <c r="D2396" t="s">
        <v>502</v>
      </c>
      <c r="E2396" t="s">
        <v>520</v>
      </c>
      <c r="F2396" s="188" t="n">
        <v>2032</v>
      </c>
      <c r="G2396" s="189" t="n">
        <v>64</v>
      </c>
      <c r="H2396" s="190" t="n">
        <v>24292.3927187712</v>
      </c>
      <c r="I2396" s="191" t="n">
        <v>2756411.53628169</v>
      </c>
      <c r="J2396" s="192" t="str">
        <f>IF(I2396&gt;0,H2396/I2396,0)</f>
      </c>
      <c r="K2396" s="193" t="str">
        <f>1-EXP(-J2396)</f>
      </c>
      <c r="L2396" s="194" t="str">
        <f>IF(G2396=30,1,M2395)</f>
      </c>
      <c r="M2396" s="195" t="str">
        <f>L2396*(1-K2396)</f>
      </c>
    </row>
    <row r="2397">
      <c r="A2397" t="s">
        <v>167</v>
      </c>
      <c r="B2397" t="s">
        <v>250</v>
      </c>
      <c r="C2397" s="35" t="s">
        <v>252</v>
      </c>
      <c r="D2397" t="s">
        <v>502</v>
      </c>
      <c r="E2397" t="s">
        <v>520</v>
      </c>
      <c r="F2397" s="188" t="n">
        <v>2032</v>
      </c>
      <c r="G2397" s="189" t="n">
        <v>65</v>
      </c>
      <c r="H2397" s="190" t="n">
        <v>24400.1679328248</v>
      </c>
      <c r="I2397" s="191" t="n">
        <v>2606290.63231343</v>
      </c>
      <c r="J2397" s="192" t="str">
        <f>IF(I2397&gt;0,H2397/I2397,0)</f>
      </c>
      <c r="K2397" s="193" t="str">
        <f>1-EXP(-J2397)</f>
      </c>
      <c r="L2397" s="194" t="str">
        <f>IF(G2397=30,1,M2396)</f>
      </c>
      <c r="M2397" s="195" t="str">
        <f>L2397*(1-K2397)</f>
      </c>
    </row>
    <row r="2398">
      <c r="A2398" t="s">
        <v>167</v>
      </c>
      <c r="B2398" t="s">
        <v>250</v>
      </c>
      <c r="C2398" s="35" t="s">
        <v>252</v>
      </c>
      <c r="D2398" t="s">
        <v>502</v>
      </c>
      <c r="E2398" t="s">
        <v>520</v>
      </c>
      <c r="F2398" s="188" t="n">
        <v>2032</v>
      </c>
      <c r="G2398" s="189" t="n">
        <v>66</v>
      </c>
      <c r="H2398" s="190" t="n">
        <v>25562.1342388459</v>
      </c>
      <c r="I2398" s="191" t="n">
        <v>2490709.04672943</v>
      </c>
      <c r="J2398" s="192" t="str">
        <f>IF(I2398&gt;0,H2398/I2398,0)</f>
      </c>
      <c r="K2398" s="193" t="str">
        <f>1-EXP(-J2398)</f>
      </c>
      <c r="L2398" s="194" t="str">
        <f>IF(G2398=30,1,M2397)</f>
      </c>
      <c r="M2398" s="195" t="str">
        <f>L2398*(1-K2398)</f>
      </c>
    </row>
    <row r="2399">
      <c r="A2399" t="s">
        <v>167</v>
      </c>
      <c r="B2399" t="s">
        <v>250</v>
      </c>
      <c r="C2399" s="35" t="s">
        <v>252</v>
      </c>
      <c r="D2399" t="s">
        <v>502</v>
      </c>
      <c r="E2399" t="s">
        <v>520</v>
      </c>
      <c r="F2399" s="188" t="n">
        <v>2032</v>
      </c>
      <c r="G2399" s="189" t="n">
        <v>67</v>
      </c>
      <c r="H2399" s="190" t="n">
        <v>26510.8500870833</v>
      </c>
      <c r="I2399" s="191" t="n">
        <v>2354779.76172452</v>
      </c>
      <c r="J2399" s="192" t="str">
        <f>IF(I2399&gt;0,H2399/I2399,0)</f>
      </c>
      <c r="K2399" s="193" t="str">
        <f>1-EXP(-J2399)</f>
      </c>
      <c r="L2399" s="194" t="str">
        <f>IF(G2399=30,1,M2398)</f>
      </c>
      <c r="M2399" s="195" t="str">
        <f>L2399*(1-K2399)</f>
      </c>
    </row>
    <row r="2400">
      <c r="A2400" t="s">
        <v>167</v>
      </c>
      <c r="B2400" t="s">
        <v>250</v>
      </c>
      <c r="C2400" s="35" t="s">
        <v>252</v>
      </c>
      <c r="D2400" t="s">
        <v>502</v>
      </c>
      <c r="E2400" t="s">
        <v>520</v>
      </c>
      <c r="F2400" s="188" t="n">
        <v>2032</v>
      </c>
      <c r="G2400" s="189" t="n">
        <v>68</v>
      </c>
      <c r="H2400" s="190" t="n">
        <v>27428.3963275299</v>
      </c>
      <c r="I2400" s="191" t="n">
        <v>2219227.57213947</v>
      </c>
      <c r="J2400" s="192" t="str">
        <f>IF(I2400&gt;0,H2400/I2400,0)</f>
      </c>
      <c r="K2400" s="193" t="str">
        <f>1-EXP(-J2400)</f>
      </c>
      <c r="L2400" s="194" t="str">
        <f>IF(G2400=30,1,M2399)</f>
      </c>
      <c r="M2400" s="195" t="str">
        <f>L2400*(1-K2400)</f>
      </c>
    </row>
    <row r="2401">
      <c r="A2401" t="s">
        <v>167</v>
      </c>
      <c r="B2401" t="s">
        <v>250</v>
      </c>
      <c r="C2401" s="35" t="s">
        <v>252</v>
      </c>
      <c r="D2401" t="s">
        <v>502</v>
      </c>
      <c r="E2401" t="s">
        <v>520</v>
      </c>
      <c r="F2401" s="188" t="n">
        <v>2032</v>
      </c>
      <c r="G2401" s="189" t="n">
        <v>69</v>
      </c>
      <c r="H2401" s="190" t="n">
        <v>28358.558079843</v>
      </c>
      <c r="I2401" s="191" t="n">
        <v>2088388.53105746</v>
      </c>
      <c r="J2401" s="192" t="str">
        <f>IF(I2401&gt;0,H2401/I2401,0)</f>
      </c>
      <c r="K2401" s="193" t="str">
        <f>1-EXP(-J2401)</f>
      </c>
      <c r="L2401" s="194" t="str">
        <f>IF(G2401=30,1,M2400)</f>
      </c>
      <c r="M2401" s="195" t="str">
        <f>L2401*(1-K2401)</f>
      </c>
    </row>
    <row r="2402">
      <c r="A2402" t="s">
        <v>167</v>
      </c>
      <c r="B2402" t="s">
        <v>250</v>
      </c>
      <c r="C2402" s="35" t="s">
        <v>252</v>
      </c>
      <c r="D2402" t="s">
        <v>502</v>
      </c>
      <c r="E2402" t="s">
        <v>520</v>
      </c>
      <c r="F2402" s="188" t="n">
        <v>2033</v>
      </c>
      <c r="G2402" s="189" t="n">
        <v>30</v>
      </c>
      <c r="H2402" s="190" t="n">
        <v>758.437253292876</v>
      </c>
      <c r="I2402" s="191" t="n">
        <v>4369812.92510678</v>
      </c>
      <c r="J2402" s="192" t="str">
        <f>IF(I2402&gt;0,H2402/I2402,0)</f>
      </c>
      <c r="K2402" s="193" t="str">
        <f>1-EXP(-J2402)</f>
      </c>
      <c r="L2402" s="194" t="str">
        <f>IF(G2402=30,1,M2401)</f>
      </c>
      <c r="M2402" s="195" t="str">
        <f>L2402*(1-K2402)</f>
      </c>
    </row>
    <row r="2403">
      <c r="A2403" t="s">
        <v>167</v>
      </c>
      <c r="B2403" t="s">
        <v>250</v>
      </c>
      <c r="C2403" s="35" t="s">
        <v>252</v>
      </c>
      <c r="D2403" t="s">
        <v>502</v>
      </c>
      <c r="E2403" t="s">
        <v>520</v>
      </c>
      <c r="F2403" s="188" t="n">
        <v>2033</v>
      </c>
      <c r="G2403" s="189" t="n">
        <v>31</v>
      </c>
      <c r="H2403" s="190" t="n">
        <v>1082.5591973428</v>
      </c>
      <c r="I2403" s="191" t="n">
        <v>4349088.53034082</v>
      </c>
      <c r="J2403" s="192" t="str">
        <f>IF(I2403&gt;0,H2403/I2403,0)</f>
      </c>
      <c r="K2403" s="193" t="str">
        <f>1-EXP(-J2403)</f>
      </c>
      <c r="L2403" s="194" t="str">
        <f>IF(G2403=30,1,M2402)</f>
      </c>
      <c r="M2403" s="195" t="str">
        <f>L2403*(1-K2403)</f>
      </c>
    </row>
    <row r="2404">
      <c r="A2404" t="s">
        <v>167</v>
      </c>
      <c r="B2404" t="s">
        <v>250</v>
      </c>
      <c r="C2404" s="35" t="s">
        <v>252</v>
      </c>
      <c r="D2404" t="s">
        <v>502</v>
      </c>
      <c r="E2404" t="s">
        <v>520</v>
      </c>
      <c r="F2404" s="188" t="n">
        <v>2033</v>
      </c>
      <c r="G2404" s="189" t="n">
        <v>32</v>
      </c>
      <c r="H2404" s="190" t="n">
        <v>1132.98961751533</v>
      </c>
      <c r="I2404" s="191" t="n">
        <v>4329551.14052005</v>
      </c>
      <c r="J2404" s="192" t="str">
        <f>IF(I2404&gt;0,H2404/I2404,0)</f>
      </c>
      <c r="K2404" s="193" t="str">
        <f>1-EXP(-J2404)</f>
      </c>
      <c r="L2404" s="194" t="str">
        <f>IF(G2404=30,1,M2403)</f>
      </c>
      <c r="M2404" s="195" t="str">
        <f>L2404*(1-K2404)</f>
      </c>
    </row>
    <row r="2405">
      <c r="A2405" t="s">
        <v>167</v>
      </c>
      <c r="B2405" t="s">
        <v>250</v>
      </c>
      <c r="C2405" s="35" t="s">
        <v>252</v>
      </c>
      <c r="D2405" t="s">
        <v>502</v>
      </c>
      <c r="E2405" t="s">
        <v>520</v>
      </c>
      <c r="F2405" s="188" t="n">
        <v>2033</v>
      </c>
      <c r="G2405" s="189" t="n">
        <v>33</v>
      </c>
      <c r="H2405" s="190" t="n">
        <v>1194.041238932</v>
      </c>
      <c r="I2405" s="191" t="n">
        <v>4309780.98994822</v>
      </c>
      <c r="J2405" s="192" t="str">
        <f>IF(I2405&gt;0,H2405/I2405,0)</f>
      </c>
      <c r="K2405" s="193" t="str">
        <f>1-EXP(-J2405)</f>
      </c>
      <c r="L2405" s="194" t="str">
        <f>IF(G2405=30,1,M2404)</f>
      </c>
      <c r="M2405" s="195" t="str">
        <f>L2405*(1-K2405)</f>
      </c>
    </row>
    <row r="2406">
      <c r="A2406" t="s">
        <v>167</v>
      </c>
      <c r="B2406" t="s">
        <v>250</v>
      </c>
      <c r="C2406" s="35" t="s">
        <v>252</v>
      </c>
      <c r="D2406" t="s">
        <v>502</v>
      </c>
      <c r="E2406" t="s">
        <v>520</v>
      </c>
      <c r="F2406" s="188" t="n">
        <v>2033</v>
      </c>
      <c r="G2406" s="189" t="n">
        <v>34</v>
      </c>
      <c r="H2406" s="190" t="n">
        <v>1277.37821167571</v>
      </c>
      <c r="I2406" s="191" t="n">
        <v>4329753.51180843</v>
      </c>
      <c r="J2406" s="192" t="str">
        <f>IF(I2406&gt;0,H2406/I2406,0)</f>
      </c>
      <c r="K2406" s="193" t="str">
        <f>1-EXP(-J2406)</f>
      </c>
      <c r="L2406" s="194" t="str">
        <f>IF(G2406=30,1,M2405)</f>
      </c>
      <c r="M2406" s="195" t="str">
        <f>L2406*(1-K2406)</f>
      </c>
    </row>
    <row r="2407">
      <c r="A2407" t="s">
        <v>167</v>
      </c>
      <c r="B2407" t="s">
        <v>250</v>
      </c>
      <c r="C2407" s="35" t="s">
        <v>252</v>
      </c>
      <c r="D2407" t="s">
        <v>502</v>
      </c>
      <c r="E2407" t="s">
        <v>520</v>
      </c>
      <c r="F2407" s="188" t="n">
        <v>2033</v>
      </c>
      <c r="G2407" s="189" t="n">
        <v>35</v>
      </c>
      <c r="H2407" s="190" t="n">
        <v>1757.09618306305</v>
      </c>
      <c r="I2407" s="191" t="n">
        <v>4388897.95381678</v>
      </c>
      <c r="J2407" s="192" t="str">
        <f>IF(I2407&gt;0,H2407/I2407,0)</f>
      </c>
      <c r="K2407" s="193" t="str">
        <f>1-EXP(-J2407)</f>
      </c>
      <c r="L2407" s="194" t="str">
        <f>IF(G2407=30,1,M2406)</f>
      </c>
      <c r="M2407" s="195" t="str">
        <f>L2407*(1-K2407)</f>
      </c>
    </row>
    <row r="2408">
      <c r="A2408" t="s">
        <v>167</v>
      </c>
      <c r="B2408" t="s">
        <v>250</v>
      </c>
      <c r="C2408" s="35" t="s">
        <v>252</v>
      </c>
      <c r="D2408" t="s">
        <v>502</v>
      </c>
      <c r="E2408" t="s">
        <v>520</v>
      </c>
      <c r="F2408" s="188" t="n">
        <v>2033</v>
      </c>
      <c r="G2408" s="189" t="n">
        <v>36</v>
      </c>
      <c r="H2408" s="190" t="n">
        <v>2211.91649251065</v>
      </c>
      <c r="I2408" s="191" t="n">
        <v>4527012.27045196</v>
      </c>
      <c r="J2408" s="192" t="str">
        <f>IF(I2408&gt;0,H2408/I2408,0)</f>
      </c>
      <c r="K2408" s="193" t="str">
        <f>1-EXP(-J2408)</f>
      </c>
      <c r="L2408" s="194" t="str">
        <f>IF(G2408=30,1,M2407)</f>
      </c>
      <c r="M2408" s="195" t="str">
        <f>L2408*(1-K2408)</f>
      </c>
    </row>
    <row r="2409">
      <c r="A2409" t="s">
        <v>167</v>
      </c>
      <c r="B2409" t="s">
        <v>250</v>
      </c>
      <c r="C2409" s="35" t="s">
        <v>252</v>
      </c>
      <c r="D2409" t="s">
        <v>502</v>
      </c>
      <c r="E2409" t="s">
        <v>520</v>
      </c>
      <c r="F2409" s="188" t="n">
        <v>2033</v>
      </c>
      <c r="G2409" s="189" t="n">
        <v>37</v>
      </c>
      <c r="H2409" s="190" t="n">
        <v>2349.30592718921</v>
      </c>
      <c r="I2409" s="191" t="n">
        <v>4483105.23824216</v>
      </c>
      <c r="J2409" s="192" t="str">
        <f>IF(I2409&gt;0,H2409/I2409,0)</f>
      </c>
      <c r="K2409" s="193" t="str">
        <f>1-EXP(-J2409)</f>
      </c>
      <c r="L2409" s="194" t="str">
        <f>IF(G2409=30,1,M2408)</f>
      </c>
      <c r="M2409" s="195" t="str">
        <f>L2409*(1-K2409)</f>
      </c>
    </row>
    <row r="2410">
      <c r="A2410" t="s">
        <v>167</v>
      </c>
      <c r="B2410" t="s">
        <v>250</v>
      </c>
      <c r="C2410" s="35" t="s">
        <v>252</v>
      </c>
      <c r="D2410" t="s">
        <v>502</v>
      </c>
      <c r="E2410" t="s">
        <v>520</v>
      </c>
      <c r="F2410" s="188" t="n">
        <v>2033</v>
      </c>
      <c r="G2410" s="189" t="n">
        <v>38</v>
      </c>
      <c r="H2410" s="190" t="n">
        <v>2483.63399035373</v>
      </c>
      <c r="I2410" s="191" t="n">
        <v>4408991.68077742</v>
      </c>
      <c r="J2410" s="192" t="str">
        <f>IF(I2410&gt;0,H2410/I2410,0)</f>
      </c>
      <c r="K2410" s="193" t="str">
        <f>1-EXP(-J2410)</f>
      </c>
      <c r="L2410" s="194" t="str">
        <f>IF(G2410=30,1,M2409)</f>
      </c>
      <c r="M2410" s="195" t="str">
        <f>L2410*(1-K2410)</f>
      </c>
    </row>
    <row r="2411">
      <c r="A2411" t="s">
        <v>167</v>
      </c>
      <c r="B2411" t="s">
        <v>250</v>
      </c>
      <c r="C2411" s="35" t="s">
        <v>252</v>
      </c>
      <c r="D2411" t="s">
        <v>502</v>
      </c>
      <c r="E2411" t="s">
        <v>520</v>
      </c>
      <c r="F2411" s="188" t="n">
        <v>2033</v>
      </c>
      <c r="G2411" s="189" t="n">
        <v>39</v>
      </c>
      <c r="H2411" s="190" t="n">
        <v>2639.31479691582</v>
      </c>
      <c r="I2411" s="191" t="n">
        <v>4350407.74336925</v>
      </c>
      <c r="J2411" s="192" t="str">
        <f>IF(I2411&gt;0,H2411/I2411,0)</f>
      </c>
      <c r="K2411" s="193" t="str">
        <f>1-EXP(-J2411)</f>
      </c>
      <c r="L2411" s="194" t="str">
        <f>IF(G2411=30,1,M2410)</f>
      </c>
      <c r="M2411" s="195" t="str">
        <f>L2411*(1-K2411)</f>
      </c>
    </row>
    <row r="2412">
      <c r="A2412" t="s">
        <v>167</v>
      </c>
      <c r="B2412" t="s">
        <v>250</v>
      </c>
      <c r="C2412" s="35" t="s">
        <v>252</v>
      </c>
      <c r="D2412" t="s">
        <v>502</v>
      </c>
      <c r="E2412" t="s">
        <v>520</v>
      </c>
      <c r="F2412" s="188" t="n">
        <v>2033</v>
      </c>
      <c r="G2412" s="189" t="n">
        <v>40</v>
      </c>
      <c r="H2412" s="190" t="n">
        <v>3499.89843800784</v>
      </c>
      <c r="I2412" s="191" t="n">
        <v>4295247.14730959</v>
      </c>
      <c r="J2412" s="192" t="str">
        <f>IF(I2412&gt;0,H2412/I2412,0)</f>
      </c>
      <c r="K2412" s="193" t="str">
        <f>1-EXP(-J2412)</f>
      </c>
      <c r="L2412" s="194" t="str">
        <f>IF(G2412=30,1,M2411)</f>
      </c>
      <c r="M2412" s="195" t="str">
        <f>L2412*(1-K2412)</f>
      </c>
    </row>
    <row r="2413">
      <c r="A2413" t="s">
        <v>167</v>
      </c>
      <c r="B2413" t="s">
        <v>250</v>
      </c>
      <c r="C2413" s="35" t="s">
        <v>252</v>
      </c>
      <c r="D2413" t="s">
        <v>502</v>
      </c>
      <c r="E2413" t="s">
        <v>520</v>
      </c>
      <c r="F2413" s="188" t="n">
        <v>2033</v>
      </c>
      <c r="G2413" s="189" t="n">
        <v>41</v>
      </c>
      <c r="H2413" s="190" t="n">
        <v>3808.07139382115</v>
      </c>
      <c r="I2413" s="191" t="n">
        <v>4329938.8336858</v>
      </c>
      <c r="J2413" s="192" t="str">
        <f>IF(I2413&gt;0,H2413/I2413,0)</f>
      </c>
      <c r="K2413" s="193" t="str">
        <f>1-EXP(-J2413)</f>
      </c>
      <c r="L2413" s="194" t="str">
        <f>IF(G2413=30,1,M2412)</f>
      </c>
      <c r="M2413" s="195" t="str">
        <f>L2413*(1-K2413)</f>
      </c>
    </row>
    <row r="2414">
      <c r="A2414" t="s">
        <v>167</v>
      </c>
      <c r="B2414" t="s">
        <v>250</v>
      </c>
      <c r="C2414" s="35" t="s">
        <v>252</v>
      </c>
      <c r="D2414" t="s">
        <v>502</v>
      </c>
      <c r="E2414" t="s">
        <v>520</v>
      </c>
      <c r="F2414" s="188" t="n">
        <v>2033</v>
      </c>
      <c r="G2414" s="189" t="n">
        <v>42</v>
      </c>
      <c r="H2414" s="190" t="n">
        <v>4144.98252270693</v>
      </c>
      <c r="I2414" s="191" t="n">
        <v>4345518.73178295</v>
      </c>
      <c r="J2414" s="192" t="str">
        <f>IF(I2414&gt;0,H2414/I2414,0)</f>
      </c>
      <c r="K2414" s="193" t="str">
        <f>1-EXP(-J2414)</f>
      </c>
      <c r="L2414" s="194" t="str">
        <f>IF(G2414=30,1,M2413)</f>
      </c>
      <c r="M2414" s="195" t="str">
        <f>L2414*(1-K2414)</f>
      </c>
    </row>
    <row r="2415">
      <c r="A2415" t="s">
        <v>167</v>
      </c>
      <c r="B2415" t="s">
        <v>250</v>
      </c>
      <c r="C2415" s="35" t="s">
        <v>252</v>
      </c>
      <c r="D2415" t="s">
        <v>502</v>
      </c>
      <c r="E2415" t="s">
        <v>520</v>
      </c>
      <c r="F2415" s="188" t="n">
        <v>2033</v>
      </c>
      <c r="G2415" s="189" t="n">
        <v>43</v>
      </c>
      <c r="H2415" s="190" t="n">
        <v>6278.07469392504</v>
      </c>
      <c r="I2415" s="191" t="n">
        <v>6397188.2837479</v>
      </c>
      <c r="J2415" s="192" t="str">
        <f>IF(I2415&gt;0,H2415/I2415,0)</f>
      </c>
      <c r="K2415" s="193" t="str">
        <f>1-EXP(-J2415)</f>
      </c>
      <c r="L2415" s="194" t="str">
        <f>IF(G2415=30,1,M2414)</f>
      </c>
      <c r="M2415" s="195" t="str">
        <f>L2415*(1-K2415)</f>
      </c>
    </row>
    <row r="2416">
      <c r="A2416" t="s">
        <v>167</v>
      </c>
      <c r="B2416" t="s">
        <v>250</v>
      </c>
      <c r="C2416" s="35" t="s">
        <v>252</v>
      </c>
      <c r="D2416" t="s">
        <v>502</v>
      </c>
      <c r="E2416" t="s">
        <v>520</v>
      </c>
      <c r="F2416" s="188" t="n">
        <v>2033</v>
      </c>
      <c r="G2416" s="189" t="n">
        <v>44</v>
      </c>
      <c r="H2416" s="190" t="n">
        <v>4868.11648248389</v>
      </c>
      <c r="I2416" s="191" t="n">
        <v>4298991.87869246</v>
      </c>
      <c r="J2416" s="192" t="str">
        <f>IF(I2416&gt;0,H2416/I2416,0)</f>
      </c>
      <c r="K2416" s="193" t="str">
        <f>1-EXP(-J2416)</f>
      </c>
      <c r="L2416" s="194" t="str">
        <f>IF(G2416=30,1,M2415)</f>
      </c>
      <c r="M2416" s="195" t="str">
        <f>L2416*(1-K2416)</f>
      </c>
    </row>
    <row r="2417">
      <c r="A2417" t="s">
        <v>167</v>
      </c>
      <c r="B2417" t="s">
        <v>250</v>
      </c>
      <c r="C2417" s="35" t="s">
        <v>252</v>
      </c>
      <c r="D2417" t="s">
        <v>502</v>
      </c>
      <c r="E2417" t="s">
        <v>520</v>
      </c>
      <c r="F2417" s="188" t="n">
        <v>2033</v>
      </c>
      <c r="G2417" s="189" t="n">
        <v>45</v>
      </c>
      <c r="H2417" s="190" t="n">
        <v>6255.78443260861</v>
      </c>
      <c r="I2417" s="191" t="n">
        <v>4279220.24073638</v>
      </c>
      <c r="J2417" s="192" t="str">
        <f>IF(I2417&gt;0,H2417/I2417,0)</f>
      </c>
      <c r="K2417" s="193" t="str">
        <f>1-EXP(-J2417)</f>
      </c>
      <c r="L2417" s="194" t="str">
        <f>IF(G2417=30,1,M2416)</f>
      </c>
      <c r="M2417" s="195" t="str">
        <f>L2417*(1-K2417)</f>
      </c>
    </row>
    <row r="2418">
      <c r="A2418" t="s">
        <v>167</v>
      </c>
      <c r="B2418" t="s">
        <v>250</v>
      </c>
      <c r="C2418" s="35" t="s">
        <v>252</v>
      </c>
      <c r="D2418" t="s">
        <v>502</v>
      </c>
      <c r="E2418" t="s">
        <v>520</v>
      </c>
      <c r="F2418" s="188" t="n">
        <v>2033</v>
      </c>
      <c r="G2418" s="189" t="n">
        <v>46</v>
      </c>
      <c r="H2418" s="190" t="n">
        <v>6628.58330529775</v>
      </c>
      <c r="I2418" s="191" t="n">
        <v>4143652.41288691</v>
      </c>
      <c r="J2418" s="192" t="str">
        <f>IF(I2418&gt;0,H2418/I2418,0)</f>
      </c>
      <c r="K2418" s="193" t="str">
        <f>1-EXP(-J2418)</f>
      </c>
      <c r="L2418" s="194" t="str">
        <f>IF(G2418=30,1,M2417)</f>
      </c>
      <c r="M2418" s="195" t="str">
        <f>L2418*(1-K2418)</f>
      </c>
    </row>
    <row r="2419">
      <c r="A2419" t="s">
        <v>167</v>
      </c>
      <c r="B2419" t="s">
        <v>250</v>
      </c>
      <c r="C2419" s="35" t="s">
        <v>252</v>
      </c>
      <c r="D2419" t="s">
        <v>502</v>
      </c>
      <c r="E2419" t="s">
        <v>520</v>
      </c>
      <c r="F2419" s="188" t="n">
        <v>2033</v>
      </c>
      <c r="G2419" s="189" t="n">
        <v>47</v>
      </c>
      <c r="H2419" s="190" t="n">
        <v>7198.93212433667</v>
      </c>
      <c r="I2419" s="191" t="n">
        <v>4105401.63561448</v>
      </c>
      <c r="J2419" s="192" t="str">
        <f>IF(I2419&gt;0,H2419/I2419,0)</f>
      </c>
      <c r="K2419" s="193" t="str">
        <f>1-EXP(-J2419)</f>
      </c>
      <c r="L2419" s="194" t="str">
        <f>IF(G2419=30,1,M2418)</f>
      </c>
      <c r="M2419" s="195" t="str">
        <f>L2419*(1-K2419)</f>
      </c>
    </row>
    <row r="2420">
      <c r="A2420" t="s">
        <v>167</v>
      </c>
      <c r="B2420" t="s">
        <v>250</v>
      </c>
      <c r="C2420" s="35" t="s">
        <v>252</v>
      </c>
      <c r="D2420" t="s">
        <v>502</v>
      </c>
      <c r="E2420" t="s">
        <v>520</v>
      </c>
      <c r="F2420" s="188" t="n">
        <v>2033</v>
      </c>
      <c r="G2420" s="189" t="n">
        <v>48</v>
      </c>
      <c r="H2420" s="190" t="n">
        <v>7996.62869611286</v>
      </c>
      <c r="I2420" s="191" t="n">
        <v>4159153.38734358</v>
      </c>
      <c r="J2420" s="192" t="str">
        <f>IF(I2420&gt;0,H2420/I2420,0)</f>
      </c>
      <c r="K2420" s="193" t="str">
        <f>1-EXP(-J2420)</f>
      </c>
      <c r="L2420" s="194" t="str">
        <f>IF(G2420=30,1,M2419)</f>
      </c>
      <c r="M2420" s="195" t="str">
        <f>L2420*(1-K2420)</f>
      </c>
    </row>
    <row r="2421">
      <c r="A2421" t="s">
        <v>167</v>
      </c>
      <c r="B2421" t="s">
        <v>250</v>
      </c>
      <c r="C2421" s="35" t="s">
        <v>252</v>
      </c>
      <c r="D2421" t="s">
        <v>502</v>
      </c>
      <c r="E2421" t="s">
        <v>520</v>
      </c>
      <c r="F2421" s="188" t="n">
        <v>2033</v>
      </c>
      <c r="G2421" s="189" t="n">
        <v>49</v>
      </c>
      <c r="H2421" s="190" t="n">
        <v>8927.80030347199</v>
      </c>
      <c r="I2421" s="191" t="n">
        <v>4236991.96673066</v>
      </c>
      <c r="J2421" s="192" t="str">
        <f>IF(I2421&gt;0,H2421/I2421,0)</f>
      </c>
      <c r="K2421" s="193" t="str">
        <f>1-EXP(-J2421)</f>
      </c>
      <c r="L2421" s="194" t="str">
        <f>IF(G2421=30,1,M2420)</f>
      </c>
      <c r="M2421" s="195" t="str">
        <f>L2421*(1-K2421)</f>
      </c>
    </row>
    <row r="2422">
      <c r="A2422" t="s">
        <v>167</v>
      </c>
      <c r="B2422" t="s">
        <v>250</v>
      </c>
      <c r="C2422" s="35" t="s">
        <v>252</v>
      </c>
      <c r="D2422" t="s">
        <v>502</v>
      </c>
      <c r="E2422" t="s">
        <v>520</v>
      </c>
      <c r="F2422" s="188" t="n">
        <v>2033</v>
      </c>
      <c r="G2422" s="189" t="n">
        <v>50</v>
      </c>
      <c r="H2422" s="190" t="n">
        <v>10284.5898938855</v>
      </c>
      <c r="I2422" s="191" t="n">
        <v>4206814.01325354</v>
      </c>
      <c r="J2422" s="192" t="str">
        <f>IF(I2422&gt;0,H2422/I2422,0)</f>
      </c>
      <c r="K2422" s="193" t="str">
        <f>1-EXP(-J2422)</f>
      </c>
      <c r="L2422" s="194" t="str">
        <f>IF(G2422=30,1,M2421)</f>
      </c>
      <c r="M2422" s="195" t="str">
        <f>L2422*(1-K2422)</f>
      </c>
    </row>
    <row r="2423">
      <c r="A2423" t="s">
        <v>167</v>
      </c>
      <c r="B2423" t="s">
        <v>250</v>
      </c>
      <c r="C2423" s="35" t="s">
        <v>252</v>
      </c>
      <c r="D2423" t="s">
        <v>502</v>
      </c>
      <c r="E2423" t="s">
        <v>520</v>
      </c>
      <c r="F2423" s="188" t="n">
        <v>2033</v>
      </c>
      <c r="G2423" s="189" t="n">
        <v>51</v>
      </c>
      <c r="H2423" s="190" t="n">
        <v>10883.9463670506</v>
      </c>
      <c r="I2423" s="191" t="n">
        <v>4064774.15723629</v>
      </c>
      <c r="J2423" s="192" t="str">
        <f>IF(I2423&gt;0,H2423/I2423,0)</f>
      </c>
      <c r="K2423" s="193" t="str">
        <f>1-EXP(-J2423)</f>
      </c>
      <c r="L2423" s="194" t="str">
        <f>IF(G2423=30,1,M2422)</f>
      </c>
      <c r="M2423" s="195" t="str">
        <f>L2423*(1-K2423)</f>
      </c>
    </row>
    <row r="2424">
      <c r="A2424" t="s">
        <v>167</v>
      </c>
      <c r="B2424" t="s">
        <v>250</v>
      </c>
      <c r="C2424" s="35" t="s">
        <v>252</v>
      </c>
      <c r="D2424" t="s">
        <v>502</v>
      </c>
      <c r="E2424" t="s">
        <v>520</v>
      </c>
      <c r="F2424" s="188" t="n">
        <v>2033</v>
      </c>
      <c r="G2424" s="189" t="n">
        <v>52</v>
      </c>
      <c r="H2424" s="190" t="n">
        <v>11660.3306768383</v>
      </c>
      <c r="I2424" s="191" t="n">
        <v>3984520.84415619</v>
      </c>
      <c r="J2424" s="192" t="str">
        <f>IF(I2424&gt;0,H2424/I2424,0)</f>
      </c>
      <c r="K2424" s="193" t="str">
        <f>1-EXP(-J2424)</f>
      </c>
      <c r="L2424" s="194" t="str">
        <f>IF(G2424=30,1,M2423)</f>
      </c>
      <c r="M2424" s="195" t="str">
        <f>L2424*(1-K2424)</f>
      </c>
    </row>
    <row r="2425">
      <c r="A2425" t="s">
        <v>167</v>
      </c>
      <c r="B2425" t="s">
        <v>250</v>
      </c>
      <c r="C2425" s="35" t="s">
        <v>252</v>
      </c>
      <c r="D2425" t="s">
        <v>502</v>
      </c>
      <c r="E2425" t="s">
        <v>520</v>
      </c>
      <c r="F2425" s="188" t="n">
        <v>2033</v>
      </c>
      <c r="G2425" s="189" t="n">
        <v>53</v>
      </c>
      <c r="H2425" s="190" t="n">
        <v>12529.9403960044</v>
      </c>
      <c r="I2425" s="191" t="n">
        <v>3919385.53320949</v>
      </c>
      <c r="J2425" s="192" t="str">
        <f>IF(I2425&gt;0,H2425/I2425,0)</f>
      </c>
      <c r="K2425" s="193" t="str">
        <f>1-EXP(-J2425)</f>
      </c>
      <c r="L2425" s="194" t="str">
        <f>IF(G2425=30,1,M2424)</f>
      </c>
      <c r="M2425" s="195" t="str">
        <f>L2425*(1-K2425)</f>
      </c>
    </row>
    <row r="2426">
      <c r="A2426" t="s">
        <v>167</v>
      </c>
      <c r="B2426" t="s">
        <v>250</v>
      </c>
      <c r="C2426" s="35" t="s">
        <v>252</v>
      </c>
      <c r="D2426" t="s">
        <v>502</v>
      </c>
      <c r="E2426" t="s">
        <v>520</v>
      </c>
      <c r="F2426" s="188" t="n">
        <v>2033</v>
      </c>
      <c r="G2426" s="189" t="n">
        <v>54</v>
      </c>
      <c r="H2426" s="190" t="n">
        <v>13438.2611968507</v>
      </c>
      <c r="I2426" s="191" t="n">
        <v>3848469.80140396</v>
      </c>
      <c r="J2426" s="192" t="str">
        <f>IF(I2426&gt;0,H2426/I2426,0)</f>
      </c>
      <c r="K2426" s="193" t="str">
        <f>1-EXP(-J2426)</f>
      </c>
      <c r="L2426" s="194" t="str">
        <f>IF(G2426=30,1,M2425)</f>
      </c>
      <c r="M2426" s="195" t="str">
        <f>L2426*(1-K2426)</f>
      </c>
    </row>
    <row r="2427">
      <c r="A2427" t="s">
        <v>167</v>
      </c>
      <c r="B2427" t="s">
        <v>250</v>
      </c>
      <c r="C2427" s="35" t="s">
        <v>252</v>
      </c>
      <c r="D2427" t="s">
        <v>502</v>
      </c>
      <c r="E2427" t="s">
        <v>520</v>
      </c>
      <c r="F2427" s="188" t="n">
        <v>2033</v>
      </c>
      <c r="G2427" s="189" t="n">
        <v>55</v>
      </c>
      <c r="H2427" s="190" t="n">
        <v>14396.8924255001</v>
      </c>
      <c r="I2427" s="191" t="n">
        <v>3758164.15542688</v>
      </c>
      <c r="J2427" s="192" t="str">
        <f>IF(I2427&gt;0,H2427/I2427,0)</f>
      </c>
      <c r="K2427" s="193" t="str">
        <f>1-EXP(-J2427)</f>
      </c>
      <c r="L2427" s="194" t="str">
        <f>IF(G2427=30,1,M2426)</f>
      </c>
      <c r="M2427" s="195" t="str">
        <f>L2427*(1-K2427)</f>
      </c>
    </row>
    <row r="2428">
      <c r="A2428" t="s">
        <v>167</v>
      </c>
      <c r="B2428" t="s">
        <v>250</v>
      </c>
      <c r="C2428" s="35" t="s">
        <v>252</v>
      </c>
      <c r="D2428" t="s">
        <v>502</v>
      </c>
      <c r="E2428" t="s">
        <v>520</v>
      </c>
      <c r="F2428" s="188" t="n">
        <v>2033</v>
      </c>
      <c r="G2428" s="189" t="n">
        <v>56</v>
      </c>
      <c r="H2428" s="190" t="n">
        <v>15412.1729712395</v>
      </c>
      <c r="I2428" s="191" t="n">
        <v>3683534.16674989</v>
      </c>
      <c r="J2428" s="192" t="str">
        <f>IF(I2428&gt;0,H2428/I2428,0)</f>
      </c>
      <c r="K2428" s="193" t="str">
        <f>1-EXP(-J2428)</f>
      </c>
      <c r="L2428" s="194" t="str">
        <f>IF(G2428=30,1,M2427)</f>
      </c>
      <c r="M2428" s="195" t="str">
        <f>L2428*(1-K2428)</f>
      </c>
    </row>
    <row r="2429">
      <c r="A2429" t="s">
        <v>167</v>
      </c>
      <c r="B2429" t="s">
        <v>250</v>
      </c>
      <c r="C2429" s="35" t="s">
        <v>252</v>
      </c>
      <c r="D2429" t="s">
        <v>502</v>
      </c>
      <c r="E2429" t="s">
        <v>520</v>
      </c>
      <c r="F2429" s="188" t="n">
        <v>2033</v>
      </c>
      <c r="G2429" s="189" t="n">
        <v>57</v>
      </c>
      <c r="H2429" s="190" t="n">
        <v>16444.1263529721</v>
      </c>
      <c r="I2429" s="191" t="n">
        <v>3597339.32547479</v>
      </c>
      <c r="J2429" s="192" t="str">
        <f>IF(I2429&gt;0,H2429/I2429,0)</f>
      </c>
      <c r="K2429" s="193" t="str">
        <f>1-EXP(-J2429)</f>
      </c>
      <c r="L2429" s="194" t="str">
        <f>IF(G2429=30,1,M2428)</f>
      </c>
      <c r="M2429" s="195" t="str">
        <f>L2429*(1-K2429)</f>
      </c>
    </row>
    <row r="2430">
      <c r="A2430" t="s">
        <v>167</v>
      </c>
      <c r="B2430" t="s">
        <v>250</v>
      </c>
      <c r="C2430" s="35" t="s">
        <v>252</v>
      </c>
      <c r="D2430" t="s">
        <v>502</v>
      </c>
      <c r="E2430" t="s">
        <v>520</v>
      </c>
      <c r="F2430" s="188" t="n">
        <v>2033</v>
      </c>
      <c r="G2430" s="189" t="n">
        <v>58</v>
      </c>
      <c r="H2430" s="190" t="n">
        <v>17539.2309748398</v>
      </c>
      <c r="I2430" s="191" t="n">
        <v>3509919.15277185</v>
      </c>
      <c r="J2430" s="192" t="str">
        <f>IF(I2430&gt;0,H2430/I2430,0)</f>
      </c>
      <c r="K2430" s="193" t="str">
        <f>1-EXP(-J2430)</f>
      </c>
      <c r="L2430" s="194" t="str">
        <f>IF(G2430=30,1,M2429)</f>
      </c>
      <c r="M2430" s="195" t="str">
        <f>L2430*(1-K2430)</f>
      </c>
    </row>
    <row r="2431">
      <c r="A2431" t="s">
        <v>167</v>
      </c>
      <c r="B2431" t="s">
        <v>250</v>
      </c>
      <c r="C2431" s="35" t="s">
        <v>252</v>
      </c>
      <c r="D2431" t="s">
        <v>502</v>
      </c>
      <c r="E2431" t="s">
        <v>520</v>
      </c>
      <c r="F2431" s="188" t="n">
        <v>2033</v>
      </c>
      <c r="G2431" s="189" t="n">
        <v>59</v>
      </c>
      <c r="H2431" s="190" t="n">
        <v>18560.8377347836</v>
      </c>
      <c r="I2431" s="191" t="n">
        <v>3395550.96028397</v>
      </c>
      <c r="J2431" s="192" t="str">
        <f>IF(I2431&gt;0,H2431/I2431,0)</f>
      </c>
      <c r="K2431" s="193" t="str">
        <f>1-EXP(-J2431)</f>
      </c>
      <c r="L2431" s="194" t="str">
        <f>IF(G2431=30,1,M2430)</f>
      </c>
      <c r="M2431" s="195" t="str">
        <f>L2431*(1-K2431)</f>
      </c>
    </row>
    <row r="2432">
      <c r="A2432" t="s">
        <v>167</v>
      </c>
      <c r="B2432" t="s">
        <v>250</v>
      </c>
      <c r="C2432" s="35" t="s">
        <v>252</v>
      </c>
      <c r="D2432" t="s">
        <v>502</v>
      </c>
      <c r="E2432" t="s">
        <v>520</v>
      </c>
      <c r="F2432" s="188" t="n">
        <v>2033</v>
      </c>
      <c r="G2432" s="189" t="n">
        <v>60</v>
      </c>
      <c r="H2432" s="190" t="n">
        <v>20196.0795583625</v>
      </c>
      <c r="I2432" s="191" t="n">
        <v>3338126.6851858</v>
      </c>
      <c r="J2432" s="192" t="str">
        <f>IF(I2432&gt;0,H2432/I2432,0)</f>
      </c>
      <c r="K2432" s="193" t="str">
        <f>1-EXP(-J2432)</f>
      </c>
      <c r="L2432" s="194" t="str">
        <f>IF(G2432=30,1,M2431)</f>
      </c>
      <c r="M2432" s="195" t="str">
        <f>L2432*(1-K2432)</f>
      </c>
    </row>
    <row r="2433">
      <c r="A2433" t="s">
        <v>167</v>
      </c>
      <c r="B2433" t="s">
        <v>250</v>
      </c>
      <c r="C2433" s="35" t="s">
        <v>252</v>
      </c>
      <c r="D2433" t="s">
        <v>502</v>
      </c>
      <c r="E2433" t="s">
        <v>520</v>
      </c>
      <c r="F2433" s="188" t="n">
        <v>2033</v>
      </c>
      <c r="G2433" s="189" t="n">
        <v>61</v>
      </c>
      <c r="H2433" s="190" t="n">
        <v>20750.7233199675</v>
      </c>
      <c r="I2433" s="191" t="n">
        <v>3123697.41192051</v>
      </c>
      <c r="J2433" s="192" t="str">
        <f>IF(I2433&gt;0,H2433/I2433,0)</f>
      </c>
      <c r="K2433" s="193" t="str">
        <f>1-EXP(-J2433)</f>
      </c>
      <c r="L2433" s="194" t="str">
        <f>IF(G2433=30,1,M2432)</f>
      </c>
      <c r="M2433" s="195" t="str">
        <f>L2433*(1-K2433)</f>
      </c>
    </row>
    <row r="2434">
      <c r="A2434" t="s">
        <v>167</v>
      </c>
      <c r="B2434" t="s">
        <v>250</v>
      </c>
      <c r="C2434" s="35" t="s">
        <v>252</v>
      </c>
      <c r="D2434" t="s">
        <v>502</v>
      </c>
      <c r="E2434" t="s">
        <v>520</v>
      </c>
      <c r="F2434" s="188" t="n">
        <v>2033</v>
      </c>
      <c r="G2434" s="189" t="n">
        <v>62</v>
      </c>
      <c r="H2434" s="190" t="n">
        <v>22000.9410974116</v>
      </c>
      <c r="I2434" s="191" t="n">
        <v>3025032.70286151</v>
      </c>
      <c r="J2434" s="192" t="str">
        <f>IF(I2434&gt;0,H2434/I2434,0)</f>
      </c>
      <c r="K2434" s="193" t="str">
        <f>1-EXP(-J2434)</f>
      </c>
      <c r="L2434" s="194" t="str">
        <f>IF(G2434=30,1,M2433)</f>
      </c>
      <c r="M2434" s="195" t="str">
        <f>L2434*(1-K2434)</f>
      </c>
    </row>
    <row r="2435">
      <c r="A2435" t="s">
        <v>167</v>
      </c>
      <c r="B2435" t="s">
        <v>250</v>
      </c>
      <c r="C2435" s="35" t="s">
        <v>252</v>
      </c>
      <c r="D2435" t="s">
        <v>502</v>
      </c>
      <c r="E2435" t="s">
        <v>520</v>
      </c>
      <c r="F2435" s="188" t="n">
        <v>2033</v>
      </c>
      <c r="G2435" s="189" t="n">
        <v>63</v>
      </c>
      <c r="H2435" s="190" t="n">
        <v>23340.5555011286</v>
      </c>
      <c r="I2435" s="191" t="n">
        <v>2929919.92648124</v>
      </c>
      <c r="J2435" s="192" t="str">
        <f>IF(I2435&gt;0,H2435/I2435,0)</f>
      </c>
      <c r="K2435" s="193" t="str">
        <f>1-EXP(-J2435)</f>
      </c>
      <c r="L2435" s="194" t="str">
        <f>IF(G2435=30,1,M2434)</f>
      </c>
      <c r="M2435" s="195" t="str">
        <f>L2435*(1-K2435)</f>
      </c>
    </row>
    <row r="2436">
      <c r="A2436" t="s">
        <v>167</v>
      </c>
      <c r="B2436" t="s">
        <v>250</v>
      </c>
      <c r="C2436" s="35" t="s">
        <v>252</v>
      </c>
      <c r="D2436" t="s">
        <v>502</v>
      </c>
      <c r="E2436" t="s">
        <v>520</v>
      </c>
      <c r="F2436" s="188" t="n">
        <v>2033</v>
      </c>
      <c r="G2436" s="189" t="n">
        <v>64</v>
      </c>
      <c r="H2436" s="190" t="n">
        <v>24662.7387156971</v>
      </c>
      <c r="I2436" s="191" t="n">
        <v>2825573.30040529</v>
      </c>
      <c r="J2436" s="192" t="str">
        <f>IF(I2436&gt;0,H2436/I2436,0)</f>
      </c>
      <c r="K2436" s="193" t="str">
        <f>1-EXP(-J2436)</f>
      </c>
      <c r="L2436" s="194" t="str">
        <f>IF(G2436=30,1,M2435)</f>
      </c>
      <c r="M2436" s="195" t="str">
        <f>L2436*(1-K2436)</f>
      </c>
    </row>
    <row r="2437">
      <c r="A2437" t="s">
        <v>167</v>
      </c>
      <c r="B2437" t="s">
        <v>250</v>
      </c>
      <c r="C2437" s="35" t="s">
        <v>252</v>
      </c>
      <c r="D2437" t="s">
        <v>502</v>
      </c>
      <c r="E2437" t="s">
        <v>520</v>
      </c>
      <c r="F2437" s="188" t="n">
        <v>2033</v>
      </c>
      <c r="G2437" s="189" t="n">
        <v>65</v>
      </c>
      <c r="H2437" s="190" t="n">
        <v>25004.7447857824</v>
      </c>
      <c r="I2437" s="191" t="n">
        <v>2702437.4015101</v>
      </c>
      <c r="J2437" s="192" t="str">
        <f>IF(I2437&gt;0,H2437/I2437,0)</f>
      </c>
      <c r="K2437" s="193" t="str">
        <f>1-EXP(-J2437)</f>
      </c>
      <c r="L2437" s="194" t="str">
        <f>IF(G2437=30,1,M2436)</f>
      </c>
      <c r="M2437" s="195" t="str">
        <f>L2437*(1-K2437)</f>
      </c>
    </row>
    <row r="2438">
      <c r="A2438" t="s">
        <v>167</v>
      </c>
      <c r="B2438" t="s">
        <v>250</v>
      </c>
      <c r="C2438" s="35" t="s">
        <v>252</v>
      </c>
      <c r="D2438" t="s">
        <v>502</v>
      </c>
      <c r="E2438" t="s">
        <v>520</v>
      </c>
      <c r="F2438" s="188" t="n">
        <v>2033</v>
      </c>
      <c r="G2438" s="189" t="n">
        <v>66</v>
      </c>
      <c r="H2438" s="190" t="n">
        <v>25896.6172594496</v>
      </c>
      <c r="I2438" s="191" t="n">
        <v>2550631.9492986</v>
      </c>
      <c r="J2438" s="192" t="str">
        <f>IF(I2438&gt;0,H2438/I2438,0)</f>
      </c>
      <c r="K2438" s="193" t="str">
        <f>1-EXP(-J2438)</f>
      </c>
      <c r="L2438" s="194" t="str">
        <f>IF(G2438=30,1,M2437)</f>
      </c>
      <c r="M2438" s="195" t="str">
        <f>L2438*(1-K2438)</f>
      </c>
    </row>
    <row r="2439">
      <c r="A2439" t="s">
        <v>167</v>
      </c>
      <c r="B2439" t="s">
        <v>250</v>
      </c>
      <c r="C2439" s="35" t="s">
        <v>252</v>
      </c>
      <c r="D2439" t="s">
        <v>502</v>
      </c>
      <c r="E2439" t="s">
        <v>520</v>
      </c>
      <c r="F2439" s="188" t="n">
        <v>2033</v>
      </c>
      <c r="G2439" s="189" t="n">
        <v>67</v>
      </c>
      <c r="H2439" s="190" t="n">
        <v>27094.4843322686</v>
      </c>
      <c r="I2439" s="191" t="n">
        <v>2432113.36847479</v>
      </c>
      <c r="J2439" s="192" t="str">
        <f>IF(I2439&gt;0,H2439/I2439,0)</f>
      </c>
      <c r="K2439" s="193" t="str">
        <f>1-EXP(-J2439)</f>
      </c>
      <c r="L2439" s="194" t="str">
        <f>IF(G2439=30,1,M2438)</f>
      </c>
      <c r="M2439" s="195" t="str">
        <f>L2439*(1-K2439)</f>
      </c>
    </row>
    <row r="2440">
      <c r="A2440" t="s">
        <v>167</v>
      </c>
      <c r="B2440" t="s">
        <v>250</v>
      </c>
      <c r="C2440" s="35" t="s">
        <v>252</v>
      </c>
      <c r="D2440" t="s">
        <v>502</v>
      </c>
      <c r="E2440" t="s">
        <v>520</v>
      </c>
      <c r="F2440" s="188" t="n">
        <v>2033</v>
      </c>
      <c r="G2440" s="189" t="n">
        <v>68</v>
      </c>
      <c r="H2440" s="190" t="n">
        <v>28056.4783292193</v>
      </c>
      <c r="I2440" s="191" t="n">
        <v>2294058.35250707</v>
      </c>
      <c r="J2440" s="192" t="str">
        <f>IF(I2440&gt;0,H2440/I2440,0)</f>
      </c>
      <c r="K2440" s="193" t="str">
        <f>1-EXP(-J2440)</f>
      </c>
      <c r="L2440" s="194" t="str">
        <f>IF(G2440=30,1,M2439)</f>
      </c>
      <c r="M2440" s="195" t="str">
        <f>L2440*(1-K2440)</f>
      </c>
    </row>
    <row r="2441">
      <c r="A2441" t="s">
        <v>167</v>
      </c>
      <c r="B2441" t="s">
        <v>250</v>
      </c>
      <c r="C2441" s="35" t="s">
        <v>252</v>
      </c>
      <c r="D2441" t="s">
        <v>502</v>
      </c>
      <c r="E2441" t="s">
        <v>520</v>
      </c>
      <c r="F2441" s="188" t="n">
        <v>2033</v>
      </c>
      <c r="G2441" s="189" t="n">
        <v>69</v>
      </c>
      <c r="H2441" s="190" t="n">
        <v>28980.1425664451</v>
      </c>
      <c r="I2441" s="191" t="n">
        <v>2156461.86413579</v>
      </c>
      <c r="J2441" s="192" t="str">
        <f>IF(I2441&gt;0,H2441/I2441,0)</f>
      </c>
      <c r="K2441" s="193" t="str">
        <f>1-EXP(-J2441)</f>
      </c>
      <c r="L2441" s="194" t="str">
        <f>IF(G2441=30,1,M2440)</f>
      </c>
      <c r="M2441" s="195" t="str">
        <f>L2441*(1-K2441)</f>
      </c>
    </row>
    <row r="2442">
      <c r="A2442" t="s">
        <v>167</v>
      </c>
      <c r="B2442" t="s">
        <v>250</v>
      </c>
      <c r="C2442" s="35" t="s">
        <v>252</v>
      </c>
      <c r="D2442" t="s">
        <v>502</v>
      </c>
      <c r="E2442" t="s">
        <v>520</v>
      </c>
      <c r="F2442" s="188" t="n">
        <v>2034</v>
      </c>
      <c r="G2442" s="189" t="n">
        <v>30</v>
      </c>
      <c r="H2442" s="190" t="n">
        <v>772.611446796523</v>
      </c>
      <c r="I2442" s="191" t="n">
        <v>4429687.61294997</v>
      </c>
      <c r="J2442" s="192" t="str">
        <f>IF(I2442&gt;0,H2442/I2442,0)</f>
      </c>
      <c r="K2442" s="193" t="str">
        <f>1-EXP(-J2442)</f>
      </c>
      <c r="L2442" s="194" t="str">
        <f>IF(G2442=30,1,M2441)</f>
      </c>
      <c r="M2442" s="195" t="str">
        <f>L2442*(1-K2442)</f>
      </c>
    </row>
    <row r="2443">
      <c r="A2443" t="s">
        <v>167</v>
      </c>
      <c r="B2443" t="s">
        <v>250</v>
      </c>
      <c r="C2443" s="35" t="s">
        <v>252</v>
      </c>
      <c r="D2443" t="s">
        <v>502</v>
      </c>
      <c r="E2443" t="s">
        <v>520</v>
      </c>
      <c r="F2443" s="188" t="n">
        <v>2034</v>
      </c>
      <c r="G2443" s="189" t="n">
        <v>31</v>
      </c>
      <c r="H2443" s="190" t="n">
        <v>953.008243536255</v>
      </c>
      <c r="I2443" s="191" t="n">
        <v>4364303.7694192</v>
      </c>
      <c r="J2443" s="192" t="str">
        <f>IF(I2443&gt;0,H2443/I2443,0)</f>
      </c>
      <c r="K2443" s="193" t="str">
        <f>1-EXP(-J2443)</f>
      </c>
      <c r="L2443" s="194" t="str">
        <f>IF(G2443=30,1,M2442)</f>
      </c>
      <c r="M2443" s="195" t="str">
        <f>L2443*(1-K2443)</f>
      </c>
    </row>
    <row r="2444">
      <c r="A2444" t="s">
        <v>167</v>
      </c>
      <c r="B2444" t="s">
        <v>250</v>
      </c>
      <c r="C2444" s="35" t="s">
        <v>252</v>
      </c>
      <c r="D2444" t="s">
        <v>502</v>
      </c>
      <c r="E2444" t="s">
        <v>520</v>
      </c>
      <c r="F2444" s="188" t="n">
        <v>2034</v>
      </c>
      <c r="G2444" s="189" t="n">
        <v>32</v>
      </c>
      <c r="H2444" s="190" t="n">
        <v>1141.35690794342</v>
      </c>
      <c r="I2444" s="191" t="n">
        <v>4343528.52600398</v>
      </c>
      <c r="J2444" s="192" t="str">
        <f>IF(I2444&gt;0,H2444/I2444,0)</f>
      </c>
      <c r="K2444" s="193" t="str">
        <f>1-EXP(-J2444)</f>
      </c>
      <c r="L2444" s="194" t="str">
        <f>IF(G2444=30,1,M2443)</f>
      </c>
      <c r="M2444" s="195" t="str">
        <f>L2444*(1-K2444)</f>
      </c>
    </row>
    <row r="2445">
      <c r="A2445" t="s">
        <v>167</v>
      </c>
      <c r="B2445" t="s">
        <v>250</v>
      </c>
      <c r="C2445" s="35" t="s">
        <v>252</v>
      </c>
      <c r="D2445" t="s">
        <v>502</v>
      </c>
      <c r="E2445" t="s">
        <v>520</v>
      </c>
      <c r="F2445" s="188" t="n">
        <v>2034</v>
      </c>
      <c r="G2445" s="189" t="n">
        <v>33</v>
      </c>
      <c r="H2445" s="190" t="n">
        <v>1201.64110077337</v>
      </c>
      <c r="I2445" s="191" t="n">
        <v>4323781.49072782</v>
      </c>
      <c r="J2445" s="192" t="str">
        <f>IF(I2445&gt;0,H2445/I2445,0)</f>
      </c>
      <c r="K2445" s="193" t="str">
        <f>1-EXP(-J2445)</f>
      </c>
      <c r="L2445" s="194" t="str">
        <f>IF(G2445=30,1,M2444)</f>
      </c>
      <c r="M2445" s="195" t="str">
        <f>L2445*(1-K2445)</f>
      </c>
    </row>
    <row r="2446">
      <c r="A2446" t="s">
        <v>167</v>
      </c>
      <c r="B2446" t="s">
        <v>250</v>
      </c>
      <c r="C2446" s="35" t="s">
        <v>252</v>
      </c>
      <c r="D2446" t="s">
        <v>502</v>
      </c>
      <c r="E2446" t="s">
        <v>520</v>
      </c>
      <c r="F2446" s="188" t="n">
        <v>2034</v>
      </c>
      <c r="G2446" s="189" t="n">
        <v>34</v>
      </c>
      <c r="H2446" s="190" t="n">
        <v>1273.52907653569</v>
      </c>
      <c r="I2446" s="191" t="n">
        <v>4303759.608774</v>
      </c>
      <c r="J2446" s="192" t="str">
        <f>IF(I2446&gt;0,H2446/I2446,0)</f>
      </c>
      <c r="K2446" s="193" t="str">
        <f>1-EXP(-J2446)</f>
      </c>
      <c r="L2446" s="194" t="str">
        <f>IF(G2446=30,1,M2445)</f>
      </c>
      <c r="M2446" s="195" t="str">
        <f>L2446*(1-K2446)</f>
      </c>
    </row>
    <row r="2447">
      <c r="A2447" t="s">
        <v>167</v>
      </c>
      <c r="B2447" t="s">
        <v>250</v>
      </c>
      <c r="C2447" s="35" t="s">
        <v>252</v>
      </c>
      <c r="D2447" t="s">
        <v>502</v>
      </c>
      <c r="E2447" t="s">
        <v>520</v>
      </c>
      <c r="F2447" s="188" t="n">
        <v>2034</v>
      </c>
      <c r="G2447" s="189" t="n">
        <v>35</v>
      </c>
      <c r="H2447" s="190" t="n">
        <v>1728.87367977127</v>
      </c>
      <c r="I2447" s="191" t="n">
        <v>4323372.02847707</v>
      </c>
      <c r="J2447" s="192" t="str">
        <f>IF(I2447&gt;0,H2447/I2447,0)</f>
      </c>
      <c r="K2447" s="193" t="str">
        <f>1-EXP(-J2447)</f>
      </c>
      <c r="L2447" s="194" t="str">
        <f>IF(G2447=30,1,M2446)</f>
      </c>
      <c r="M2447" s="195" t="str">
        <f>L2447*(1-K2447)</f>
      </c>
    </row>
    <row r="2448">
      <c r="A2448" t="s">
        <v>167</v>
      </c>
      <c r="B2448" t="s">
        <v>250</v>
      </c>
      <c r="C2448" s="35" t="s">
        <v>252</v>
      </c>
      <c r="D2448" t="s">
        <v>502</v>
      </c>
      <c r="E2448" t="s">
        <v>520</v>
      </c>
      <c r="F2448" s="188" t="n">
        <v>2034</v>
      </c>
      <c r="G2448" s="189" t="n">
        <v>36</v>
      </c>
      <c r="H2448" s="190" t="n">
        <v>1957.1340370335</v>
      </c>
      <c r="I2448" s="191" t="n">
        <v>4381621.59819975</v>
      </c>
      <c r="J2448" s="192" t="str">
        <f>IF(I2448&gt;0,H2448/I2448,0)</f>
      </c>
      <c r="K2448" s="193" t="str">
        <f>1-EXP(-J2448)</f>
      </c>
      <c r="L2448" s="194" t="str">
        <f>IF(G2448=30,1,M2447)</f>
      </c>
      <c r="M2448" s="195" t="str">
        <f>L2448*(1-K2448)</f>
      </c>
    </row>
    <row r="2449">
      <c r="A2449" t="s">
        <v>167</v>
      </c>
      <c r="B2449" t="s">
        <v>250</v>
      </c>
      <c r="C2449" s="35" t="s">
        <v>252</v>
      </c>
      <c r="D2449" t="s">
        <v>502</v>
      </c>
      <c r="E2449" t="s">
        <v>520</v>
      </c>
      <c r="F2449" s="188" t="n">
        <v>2034</v>
      </c>
      <c r="G2449" s="189" t="n">
        <v>37</v>
      </c>
      <c r="H2449" s="190" t="n">
        <v>2367.6360913087</v>
      </c>
      <c r="I2449" s="191" t="n">
        <v>4519189.81856796</v>
      </c>
      <c r="J2449" s="192" t="str">
        <f>IF(I2449&gt;0,H2449/I2449,0)</f>
      </c>
      <c r="K2449" s="193" t="str">
        <f>1-EXP(-J2449)</f>
      </c>
      <c r="L2449" s="194" t="str">
        <f>IF(G2449=30,1,M2448)</f>
      </c>
      <c r="M2449" s="195" t="str">
        <f>L2449*(1-K2449)</f>
      </c>
    </row>
    <row r="2450">
      <c r="A2450" t="s">
        <v>167</v>
      </c>
      <c r="B2450" t="s">
        <v>250</v>
      </c>
      <c r="C2450" s="35" t="s">
        <v>252</v>
      </c>
      <c r="D2450" t="s">
        <v>502</v>
      </c>
      <c r="E2450" t="s">
        <v>520</v>
      </c>
      <c r="F2450" s="188" t="n">
        <v>2034</v>
      </c>
      <c r="G2450" s="189" t="n">
        <v>38</v>
      </c>
      <c r="H2450" s="190" t="n">
        <v>2519.59192930387</v>
      </c>
      <c r="I2450" s="191" t="n">
        <v>4474815.3188833</v>
      </c>
      <c r="J2450" s="192" t="str">
        <f>IF(I2450&gt;0,H2450/I2450,0)</f>
      </c>
      <c r="K2450" s="193" t="str">
        <f>1-EXP(-J2450)</f>
      </c>
      <c r="L2450" s="194" t="str">
        <f>IF(G2450=30,1,M2449)</f>
      </c>
      <c r="M2450" s="195" t="str">
        <f>L2450*(1-K2450)</f>
      </c>
    </row>
    <row r="2451">
      <c r="A2451" t="s">
        <v>167</v>
      </c>
      <c r="B2451" t="s">
        <v>250</v>
      </c>
      <c r="C2451" s="35" t="s">
        <v>252</v>
      </c>
      <c r="D2451" t="s">
        <v>502</v>
      </c>
      <c r="E2451" t="s">
        <v>520</v>
      </c>
      <c r="F2451" s="188" t="n">
        <v>2034</v>
      </c>
      <c r="G2451" s="189" t="n">
        <v>39</v>
      </c>
      <c r="H2451" s="190" t="n">
        <v>2667.85914757926</v>
      </c>
      <c r="I2451" s="191" t="n">
        <v>4400242.83798455</v>
      </c>
      <c r="J2451" s="192" t="str">
        <f>IF(I2451&gt;0,H2451/I2451,0)</f>
      </c>
      <c r="K2451" s="193" t="str">
        <f>1-EXP(-J2451)</f>
      </c>
      <c r="L2451" s="194" t="str">
        <f>IF(G2451=30,1,M2450)</f>
      </c>
      <c r="M2451" s="195" t="str">
        <f>L2451*(1-K2451)</f>
      </c>
    </row>
    <row r="2452">
      <c r="A2452" t="s">
        <v>167</v>
      </c>
      <c r="B2452" t="s">
        <v>250</v>
      </c>
      <c r="C2452" s="35" t="s">
        <v>252</v>
      </c>
      <c r="D2452" t="s">
        <v>502</v>
      </c>
      <c r="E2452" t="s">
        <v>520</v>
      </c>
      <c r="F2452" s="188" t="n">
        <v>2034</v>
      </c>
      <c r="G2452" s="189" t="n">
        <v>40</v>
      </c>
      <c r="H2452" s="190" t="n">
        <v>3531.74491358344</v>
      </c>
      <c r="I2452" s="191" t="n">
        <v>4341124.52861994</v>
      </c>
      <c r="J2452" s="192" t="str">
        <f>IF(I2452&gt;0,H2452/I2452,0)</f>
      </c>
      <c r="K2452" s="193" t="str">
        <f>1-EXP(-J2452)</f>
      </c>
      <c r="L2452" s="194" t="str">
        <f>IF(G2452=30,1,M2451)</f>
      </c>
      <c r="M2452" s="195" t="str">
        <f>L2452*(1-K2452)</f>
      </c>
    </row>
    <row r="2453">
      <c r="A2453" t="s">
        <v>167</v>
      </c>
      <c r="B2453" t="s">
        <v>250</v>
      </c>
      <c r="C2453" s="35" t="s">
        <v>252</v>
      </c>
      <c r="D2453" t="s">
        <v>502</v>
      </c>
      <c r="E2453" t="s">
        <v>520</v>
      </c>
      <c r="F2453" s="188" t="n">
        <v>2034</v>
      </c>
      <c r="G2453" s="189" t="n">
        <v>41</v>
      </c>
      <c r="H2453" s="190" t="n">
        <v>3765.1899150211</v>
      </c>
      <c r="I2453" s="191" t="n">
        <v>4284588.19453939</v>
      </c>
      <c r="J2453" s="192" t="str">
        <f>IF(I2453&gt;0,H2453/I2453,0)</f>
      </c>
      <c r="K2453" s="193" t="str">
        <f>1-EXP(-J2453)</f>
      </c>
      <c r="L2453" s="194" t="str">
        <f>IF(G2453=30,1,M2452)</f>
      </c>
      <c r="M2453" s="195" t="str">
        <f>L2453*(1-K2453)</f>
      </c>
    </row>
    <row r="2454">
      <c r="A2454" t="s">
        <v>167</v>
      </c>
      <c r="B2454" t="s">
        <v>250</v>
      </c>
      <c r="C2454" s="35" t="s">
        <v>252</v>
      </c>
      <c r="D2454" t="s">
        <v>502</v>
      </c>
      <c r="E2454" t="s">
        <v>520</v>
      </c>
      <c r="F2454" s="188" t="n">
        <v>2034</v>
      </c>
      <c r="G2454" s="189" t="n">
        <v>42</v>
      </c>
      <c r="H2454" s="190" t="n">
        <v>4112.28199504271</v>
      </c>
      <c r="I2454" s="191" t="n">
        <v>4319147.69237455</v>
      </c>
      <c r="J2454" s="192" t="str">
        <f>IF(I2454&gt;0,H2454/I2454,0)</f>
      </c>
      <c r="K2454" s="193" t="str">
        <f>1-EXP(-J2454)</f>
      </c>
      <c r="L2454" s="194" t="str">
        <f>IF(G2454=30,1,M2453)</f>
      </c>
      <c r="M2454" s="195" t="str">
        <f>L2454*(1-K2454)</f>
      </c>
    </row>
    <row r="2455">
      <c r="A2455" t="s">
        <v>167</v>
      </c>
      <c r="B2455" t="s">
        <v>250</v>
      </c>
      <c r="C2455" s="35" t="s">
        <v>252</v>
      </c>
      <c r="D2455" t="s">
        <v>502</v>
      </c>
      <c r="E2455" t="s">
        <v>520</v>
      </c>
      <c r="F2455" s="188" t="n">
        <v>2034</v>
      </c>
      <c r="G2455" s="189" t="n">
        <v>43</v>
      </c>
      <c r="H2455" s="190" t="n">
        <v>4487.93443192321</v>
      </c>
      <c r="I2455" s="191" t="n">
        <v>4333796.68462006</v>
      </c>
      <c r="J2455" s="192" t="str">
        <f>IF(I2455&gt;0,H2455/I2455,0)</f>
      </c>
      <c r="K2455" s="193" t="str">
        <f>1-EXP(-J2455)</f>
      </c>
      <c r="L2455" s="194" t="str">
        <f>IF(G2455=30,1,M2454)</f>
      </c>
      <c r="M2455" s="195" t="str">
        <f>L2455*(1-K2455)</f>
      </c>
    </row>
    <row r="2456">
      <c r="A2456" t="s">
        <v>167</v>
      </c>
      <c r="B2456" t="s">
        <v>250</v>
      </c>
      <c r="C2456" s="35" t="s">
        <v>252</v>
      </c>
      <c r="D2456" t="s">
        <v>502</v>
      </c>
      <c r="E2456" t="s">
        <v>520</v>
      </c>
      <c r="F2456" s="188" t="n">
        <v>2034</v>
      </c>
      <c r="G2456" s="189" t="n">
        <v>44</v>
      </c>
      <c r="H2456" s="190" t="n">
        <v>6795.53980956049</v>
      </c>
      <c r="I2456" s="191" t="n">
        <v>6379302.81250285</v>
      </c>
      <c r="J2456" s="192" t="str">
        <f>IF(I2456&gt;0,H2456/I2456,0)</f>
      </c>
      <c r="K2456" s="193" t="str">
        <f>1-EXP(-J2456)</f>
      </c>
      <c r="L2456" s="194" t="str">
        <f>IF(G2456=30,1,M2455)</f>
      </c>
      <c r="M2456" s="195" t="str">
        <f>L2456*(1-K2456)</f>
      </c>
    </row>
    <row r="2457">
      <c r="A2457" t="s">
        <v>167</v>
      </c>
      <c r="B2457" t="s">
        <v>250</v>
      </c>
      <c r="C2457" s="35" t="s">
        <v>252</v>
      </c>
      <c r="D2457" t="s">
        <v>502</v>
      </c>
      <c r="E2457" t="s">
        <v>520</v>
      </c>
      <c r="F2457" s="188" t="n">
        <v>2034</v>
      </c>
      <c r="G2457" s="189" t="n">
        <v>45</v>
      </c>
      <c r="H2457" s="190" t="n">
        <v>6242.91429098867</v>
      </c>
      <c r="I2457" s="191" t="n">
        <v>4285284.52461497</v>
      </c>
      <c r="J2457" s="192" t="str">
        <f>IF(I2457&gt;0,H2457/I2457,0)</f>
      </c>
      <c r="K2457" s="193" t="str">
        <f>1-EXP(-J2457)</f>
      </c>
      <c r="L2457" s="194" t="str">
        <f>IF(G2457=30,1,M2456)</f>
      </c>
      <c r="M2457" s="195" t="str">
        <f>L2457*(1-K2457)</f>
      </c>
    </row>
    <row r="2458">
      <c r="A2458" t="s">
        <v>167</v>
      </c>
      <c r="B2458" t="s">
        <v>250</v>
      </c>
      <c r="C2458" s="35" t="s">
        <v>252</v>
      </c>
      <c r="D2458" t="s">
        <v>502</v>
      </c>
      <c r="E2458" t="s">
        <v>520</v>
      </c>
      <c r="F2458" s="188" t="n">
        <v>2034</v>
      </c>
      <c r="G2458" s="189" t="n">
        <v>46</v>
      </c>
      <c r="H2458" s="190" t="n">
        <v>6792.56866014239</v>
      </c>
      <c r="I2458" s="191" t="n">
        <v>4263307.87847736</v>
      </c>
      <c r="J2458" s="192" t="str">
        <f>IF(I2458&gt;0,H2458/I2458,0)</f>
      </c>
      <c r="K2458" s="193" t="str">
        <f>1-EXP(-J2458)</f>
      </c>
      <c r="L2458" s="194" t="str">
        <f>IF(G2458=30,1,M2457)</f>
      </c>
      <c r="M2458" s="195" t="str">
        <f>L2458*(1-K2458)</f>
      </c>
    </row>
    <row r="2459">
      <c r="A2459" t="s">
        <v>167</v>
      </c>
      <c r="B2459" t="s">
        <v>250</v>
      </c>
      <c r="C2459" s="35" t="s">
        <v>252</v>
      </c>
      <c r="D2459" t="s">
        <v>502</v>
      </c>
      <c r="E2459" t="s">
        <v>520</v>
      </c>
      <c r="F2459" s="188" t="n">
        <v>2034</v>
      </c>
      <c r="G2459" s="189" t="n">
        <v>47</v>
      </c>
      <c r="H2459" s="190" t="n">
        <v>7211.00774658646</v>
      </c>
      <c r="I2459" s="191" t="n">
        <v>4127788.42290789</v>
      </c>
      <c r="J2459" s="192" t="str">
        <f>IF(I2459&gt;0,H2459/I2459,0)</f>
      </c>
      <c r="K2459" s="193" t="str">
        <f>1-EXP(-J2459)</f>
      </c>
      <c r="L2459" s="194" t="str">
        <f>IF(G2459=30,1,M2458)</f>
      </c>
      <c r="M2459" s="195" t="str">
        <f>L2459*(1-K2459)</f>
      </c>
    </row>
    <row r="2460">
      <c r="A2460" t="s">
        <v>167</v>
      </c>
      <c r="B2460" t="s">
        <v>250</v>
      </c>
      <c r="C2460" s="35" t="s">
        <v>252</v>
      </c>
      <c r="D2460" t="s">
        <v>502</v>
      </c>
      <c r="E2460" t="s">
        <v>520</v>
      </c>
      <c r="F2460" s="188" t="n">
        <v>2034</v>
      </c>
      <c r="G2460" s="189" t="n">
        <v>48</v>
      </c>
      <c r="H2460" s="190" t="n">
        <v>7829.02007735709</v>
      </c>
      <c r="I2460" s="191" t="n">
        <v>4088188.05714574</v>
      </c>
      <c r="J2460" s="192" t="str">
        <f>IF(I2460&gt;0,H2460/I2460,0)</f>
      </c>
      <c r="K2460" s="193" t="str">
        <f>1-EXP(-J2460)</f>
      </c>
      <c r="L2460" s="194" t="str">
        <f>IF(G2460=30,1,M2459)</f>
      </c>
      <c r="M2460" s="195" t="str">
        <f>L2460*(1-K2460)</f>
      </c>
    </row>
    <row r="2461">
      <c r="A2461" t="s">
        <v>167</v>
      </c>
      <c r="B2461" t="s">
        <v>250</v>
      </c>
      <c r="C2461" s="35" t="s">
        <v>252</v>
      </c>
      <c r="D2461" t="s">
        <v>502</v>
      </c>
      <c r="E2461" t="s">
        <v>520</v>
      </c>
      <c r="F2461" s="188" t="n">
        <v>2034</v>
      </c>
      <c r="G2461" s="189" t="n">
        <v>49</v>
      </c>
      <c r="H2461" s="190" t="n">
        <v>8689.90503644975</v>
      </c>
      <c r="I2461" s="191" t="n">
        <v>4140044.26658968</v>
      </c>
      <c r="J2461" s="192" t="str">
        <f>IF(I2461&gt;0,H2461/I2461,0)</f>
      </c>
      <c r="K2461" s="193" t="str">
        <f>1-EXP(-J2461)</f>
      </c>
      <c r="L2461" s="194" t="str">
        <f>IF(G2461=30,1,M2460)</f>
      </c>
      <c r="M2461" s="195" t="str">
        <f>L2461*(1-K2461)</f>
      </c>
    </row>
    <row r="2462">
      <c r="A2462" t="s">
        <v>167</v>
      </c>
      <c r="B2462" t="s">
        <v>250</v>
      </c>
      <c r="C2462" s="35" t="s">
        <v>252</v>
      </c>
      <c r="D2462" t="s">
        <v>502</v>
      </c>
      <c r="E2462" t="s">
        <v>520</v>
      </c>
      <c r="F2462" s="188" t="n">
        <v>2034</v>
      </c>
      <c r="G2462" s="189" t="n">
        <v>50</v>
      </c>
      <c r="H2462" s="190" t="n">
        <v>10252.6138383371</v>
      </c>
      <c r="I2462" s="191" t="n">
        <v>4215665.8565053</v>
      </c>
      <c r="J2462" s="192" t="str">
        <f>IF(I2462&gt;0,H2462/I2462,0)</f>
      </c>
      <c r="K2462" s="193" t="str">
        <f>1-EXP(-J2462)</f>
      </c>
      <c r="L2462" s="194" t="str">
        <f>IF(G2462=30,1,M2461)</f>
      </c>
      <c r="M2462" s="195" t="str">
        <f>L2462*(1-K2462)</f>
      </c>
    </row>
    <row r="2463">
      <c r="A2463" t="s">
        <v>167</v>
      </c>
      <c r="B2463" t="s">
        <v>250</v>
      </c>
      <c r="C2463" s="35" t="s">
        <v>252</v>
      </c>
      <c r="D2463" t="s">
        <v>502</v>
      </c>
      <c r="E2463" t="s">
        <v>520</v>
      </c>
      <c r="F2463" s="188" t="n">
        <v>2034</v>
      </c>
      <c r="G2463" s="189" t="n">
        <v>51</v>
      </c>
      <c r="H2463" s="190" t="n">
        <v>11133.4456576795</v>
      </c>
      <c r="I2463" s="191" t="n">
        <v>4182783.10399728</v>
      </c>
      <c r="J2463" s="192" t="str">
        <f>IF(I2463&gt;0,H2463/I2463,0)</f>
      </c>
      <c r="K2463" s="193" t="str">
        <f>1-EXP(-J2463)</f>
      </c>
      <c r="L2463" s="194" t="str">
        <f>IF(G2463=30,1,M2462)</f>
      </c>
      <c r="M2463" s="195" t="str">
        <f>L2463*(1-K2463)</f>
      </c>
    </row>
    <row r="2464">
      <c r="A2464" t="s">
        <v>167</v>
      </c>
      <c r="B2464" t="s">
        <v>250</v>
      </c>
      <c r="C2464" s="35" t="s">
        <v>252</v>
      </c>
      <c r="D2464" t="s">
        <v>502</v>
      </c>
      <c r="E2464" t="s">
        <v>520</v>
      </c>
      <c r="F2464" s="188" t="n">
        <v>2034</v>
      </c>
      <c r="G2464" s="189" t="n">
        <v>52</v>
      </c>
      <c r="H2464" s="190" t="n">
        <v>11763.266331494</v>
      </c>
      <c r="I2464" s="191" t="n">
        <v>4040178.36644023</v>
      </c>
      <c r="J2464" s="192" t="str">
        <f>IF(I2464&gt;0,H2464/I2464,0)</f>
      </c>
      <c r="K2464" s="193" t="str">
        <f>1-EXP(-J2464)</f>
      </c>
      <c r="L2464" s="194" t="str">
        <f>IF(G2464=30,1,M2463)</f>
      </c>
      <c r="M2464" s="195" t="str">
        <f>L2464*(1-K2464)</f>
      </c>
    </row>
    <row r="2465">
      <c r="A2465" t="s">
        <v>167</v>
      </c>
      <c r="B2465" t="s">
        <v>250</v>
      </c>
      <c r="C2465" s="35" t="s">
        <v>252</v>
      </c>
      <c r="D2465" t="s">
        <v>502</v>
      </c>
      <c r="E2465" t="s">
        <v>520</v>
      </c>
      <c r="F2465" s="188" t="n">
        <v>2034</v>
      </c>
      <c r="G2465" s="189" t="n">
        <v>53</v>
      </c>
      <c r="H2465" s="190" t="n">
        <v>12588.2209979174</v>
      </c>
      <c r="I2465" s="191" t="n">
        <v>3958174.99726963</v>
      </c>
      <c r="J2465" s="192" t="str">
        <f>IF(I2465&gt;0,H2465/I2465,0)</f>
      </c>
      <c r="K2465" s="193" t="str">
        <f>1-EXP(-J2465)</f>
      </c>
      <c r="L2465" s="194" t="str">
        <f>IF(G2465=30,1,M2464)</f>
      </c>
      <c r="M2465" s="195" t="str">
        <f>L2465*(1-K2465)</f>
      </c>
    </row>
    <row r="2466">
      <c r="A2466" t="s">
        <v>167</v>
      </c>
      <c r="B2466" t="s">
        <v>250</v>
      </c>
      <c r="C2466" s="35" t="s">
        <v>252</v>
      </c>
      <c r="D2466" t="s">
        <v>502</v>
      </c>
      <c r="E2466" t="s">
        <v>520</v>
      </c>
      <c r="F2466" s="188" t="n">
        <v>2034</v>
      </c>
      <c r="G2466" s="189" t="n">
        <v>54</v>
      </c>
      <c r="H2466" s="190" t="n">
        <v>13512.8608011708</v>
      </c>
      <c r="I2466" s="191" t="n">
        <v>3891081.26539115</v>
      </c>
      <c r="J2466" s="192" t="str">
        <f>IF(I2466&gt;0,H2466/I2466,0)</f>
      </c>
      <c r="K2466" s="193" t="str">
        <f>1-EXP(-J2466)</f>
      </c>
      <c r="L2466" s="194" t="str">
        <f>IF(G2466=30,1,M2465)</f>
      </c>
      <c r="M2466" s="195" t="str">
        <f>L2466*(1-K2466)</f>
      </c>
    </row>
    <row r="2467">
      <c r="A2467" t="s">
        <v>167</v>
      </c>
      <c r="B2467" t="s">
        <v>250</v>
      </c>
      <c r="C2467" s="35" t="s">
        <v>252</v>
      </c>
      <c r="D2467" t="s">
        <v>502</v>
      </c>
      <c r="E2467" t="s">
        <v>520</v>
      </c>
      <c r="F2467" s="188" t="n">
        <v>2034</v>
      </c>
      <c r="G2467" s="189" t="n">
        <v>55</v>
      </c>
      <c r="H2467" s="190" t="n">
        <v>14516.0149022416</v>
      </c>
      <c r="I2467" s="191" t="n">
        <v>3818123.57068187</v>
      </c>
      <c r="J2467" s="192" t="str">
        <f>IF(I2467&gt;0,H2467/I2467,0)</f>
      </c>
      <c r="K2467" s="193" t="str">
        <f>1-EXP(-J2467)</f>
      </c>
      <c r="L2467" s="194" t="str">
        <f>IF(G2467=30,1,M2466)</f>
      </c>
      <c r="M2467" s="195" t="str">
        <f>L2467*(1-K2467)</f>
      </c>
    </row>
    <row r="2468">
      <c r="A2468" t="s">
        <v>167</v>
      </c>
      <c r="B2468" t="s">
        <v>250</v>
      </c>
      <c r="C2468" s="35" t="s">
        <v>252</v>
      </c>
      <c r="D2468" t="s">
        <v>502</v>
      </c>
      <c r="E2468" t="s">
        <v>520</v>
      </c>
      <c r="F2468" s="188" t="n">
        <v>2034</v>
      </c>
      <c r="G2468" s="189" t="n">
        <v>56</v>
      </c>
      <c r="H2468" s="190" t="n">
        <v>15449.2989239769</v>
      </c>
      <c r="I2468" s="191" t="n">
        <v>3725445.04464864</v>
      </c>
      <c r="J2468" s="192" t="str">
        <f>IF(I2468&gt;0,H2468/I2468,0)</f>
      </c>
      <c r="K2468" s="193" t="str">
        <f>1-EXP(-J2468)</f>
      </c>
      <c r="L2468" s="194" t="str">
        <f>IF(G2468=30,1,M2467)</f>
      </c>
      <c r="M2468" s="195" t="str">
        <f>L2468*(1-K2468)</f>
      </c>
    </row>
    <row r="2469">
      <c r="A2469" t="s">
        <v>167</v>
      </c>
      <c r="B2469" t="s">
        <v>250</v>
      </c>
      <c r="C2469" s="35" t="s">
        <v>252</v>
      </c>
      <c r="D2469" t="s">
        <v>502</v>
      </c>
      <c r="E2469" t="s">
        <v>520</v>
      </c>
      <c r="F2469" s="188" t="n">
        <v>2034</v>
      </c>
      <c r="G2469" s="189" t="n">
        <v>57</v>
      </c>
      <c r="H2469" s="190" t="n">
        <v>16550.6449851389</v>
      </c>
      <c r="I2469" s="191" t="n">
        <v>3648855.79171217</v>
      </c>
      <c r="J2469" s="192" t="str">
        <f>IF(I2469&gt;0,H2469/I2469,0)</f>
      </c>
      <c r="K2469" s="193" t="str">
        <f>1-EXP(-J2469)</f>
      </c>
      <c r="L2469" s="194" t="str">
        <f>IF(G2469=30,1,M2468)</f>
      </c>
      <c r="M2469" s="195" t="str">
        <f>L2469*(1-K2469)</f>
      </c>
    </row>
    <row r="2470">
      <c r="A2470" t="s">
        <v>167</v>
      </c>
      <c r="B2470" t="s">
        <v>250</v>
      </c>
      <c r="C2470" s="35" t="s">
        <v>252</v>
      </c>
      <c r="D2470" t="s">
        <v>502</v>
      </c>
      <c r="E2470" t="s">
        <v>520</v>
      </c>
      <c r="F2470" s="188" t="n">
        <v>2034</v>
      </c>
      <c r="G2470" s="189" t="n">
        <v>58</v>
      </c>
      <c r="H2470" s="190" t="n">
        <v>17652.9573804619</v>
      </c>
      <c r="I2470" s="191" t="n">
        <v>3560358.64685591</v>
      </c>
      <c r="J2470" s="192" t="str">
        <f>IF(I2470&gt;0,H2470/I2470,0)</f>
      </c>
      <c r="K2470" s="193" t="str">
        <f>1-EXP(-J2470)</f>
      </c>
      <c r="L2470" s="194" t="str">
        <f>IF(G2470=30,1,M2469)</f>
      </c>
      <c r="M2470" s="195" t="str">
        <f>L2470*(1-K2470)</f>
      </c>
    </row>
    <row r="2471">
      <c r="A2471" t="s">
        <v>167</v>
      </c>
      <c r="B2471" t="s">
        <v>250</v>
      </c>
      <c r="C2471" s="35" t="s">
        <v>252</v>
      </c>
      <c r="D2471" t="s">
        <v>502</v>
      </c>
      <c r="E2471" t="s">
        <v>520</v>
      </c>
      <c r="F2471" s="188" t="n">
        <v>2034</v>
      </c>
      <c r="G2471" s="189" t="n">
        <v>59</v>
      </c>
      <c r="H2471" s="190" t="n">
        <v>18821.7509544101</v>
      </c>
      <c r="I2471" s="191" t="n">
        <v>3470497.75054666</v>
      </c>
      <c r="J2471" s="192" t="str">
        <f>IF(I2471&gt;0,H2471/I2471,0)</f>
      </c>
      <c r="K2471" s="193" t="str">
        <f>1-EXP(-J2471)</f>
      </c>
      <c r="L2471" s="194" t="str">
        <f>IF(G2471=30,1,M2470)</f>
      </c>
      <c r="M2471" s="195" t="str">
        <f>L2471*(1-K2471)</f>
      </c>
    </row>
    <row r="2472">
      <c r="A2472" t="s">
        <v>167</v>
      </c>
      <c r="B2472" t="s">
        <v>250</v>
      </c>
      <c r="C2472" s="35" t="s">
        <v>252</v>
      </c>
      <c r="D2472" t="s">
        <v>502</v>
      </c>
      <c r="E2472" t="s">
        <v>520</v>
      </c>
      <c r="F2472" s="188" t="n">
        <v>2034</v>
      </c>
      <c r="G2472" s="189" t="n">
        <v>60</v>
      </c>
      <c r="H2472" s="190" t="n">
        <v>20090.412597437</v>
      </c>
      <c r="I2472" s="191" t="n">
        <v>3353856.75514868</v>
      </c>
      <c r="J2472" s="192" t="str">
        <f>IF(I2472&gt;0,H2472/I2472,0)</f>
      </c>
      <c r="K2472" s="193" t="str">
        <f>1-EXP(-J2472)</f>
      </c>
      <c r="L2472" s="194" t="str">
        <f>IF(G2472=30,1,M2471)</f>
      </c>
      <c r="M2472" s="195" t="str">
        <f>L2472*(1-K2472)</f>
      </c>
    </row>
    <row r="2473">
      <c r="A2473" t="s">
        <v>167</v>
      </c>
      <c r="B2473" t="s">
        <v>250</v>
      </c>
      <c r="C2473" s="35" t="s">
        <v>252</v>
      </c>
      <c r="D2473" t="s">
        <v>502</v>
      </c>
      <c r="E2473" t="s">
        <v>520</v>
      </c>
      <c r="F2473" s="188" t="n">
        <v>2034</v>
      </c>
      <c r="G2473" s="189" t="n">
        <v>61</v>
      </c>
      <c r="H2473" s="190" t="n">
        <v>21633.4433510212</v>
      </c>
      <c r="I2473" s="191" t="n">
        <v>3292812.69866505</v>
      </c>
      <c r="J2473" s="192" t="str">
        <f>IF(I2473&gt;0,H2473/I2473,0)</f>
      </c>
      <c r="K2473" s="193" t="str">
        <f>1-EXP(-J2473)</f>
      </c>
      <c r="L2473" s="194" t="str">
        <f>IF(G2473=30,1,M2472)</f>
      </c>
      <c r="M2473" s="195" t="str">
        <f>L2473*(1-K2473)</f>
      </c>
    </row>
    <row r="2474">
      <c r="A2474" t="s">
        <v>167</v>
      </c>
      <c r="B2474" t="s">
        <v>250</v>
      </c>
      <c r="C2474" s="35" t="s">
        <v>252</v>
      </c>
      <c r="D2474" t="s">
        <v>502</v>
      </c>
      <c r="E2474" t="s">
        <v>520</v>
      </c>
      <c r="F2474" s="188" t="n">
        <v>2034</v>
      </c>
      <c r="G2474" s="189" t="n">
        <v>62</v>
      </c>
      <c r="H2474" s="190" t="n">
        <v>22167.1398825149</v>
      </c>
      <c r="I2474" s="191" t="n">
        <v>3077651.54212742</v>
      </c>
      <c r="J2474" s="192" t="str">
        <f>IF(I2474&gt;0,H2474/I2474,0)</f>
      </c>
      <c r="K2474" s="193" t="str">
        <f>1-EXP(-J2474)</f>
      </c>
      <c r="L2474" s="194" t="str">
        <f>IF(G2474=30,1,M2473)</f>
      </c>
      <c r="M2474" s="195" t="str">
        <f>L2474*(1-K2474)</f>
      </c>
    </row>
    <row r="2475">
      <c r="A2475" t="s">
        <v>167</v>
      </c>
      <c r="B2475" t="s">
        <v>250</v>
      </c>
      <c r="C2475" s="35" t="s">
        <v>252</v>
      </c>
      <c r="D2475" t="s">
        <v>502</v>
      </c>
      <c r="E2475" t="s">
        <v>520</v>
      </c>
      <c r="F2475" s="188" t="n">
        <v>2034</v>
      </c>
      <c r="G2475" s="189" t="n">
        <v>63</v>
      </c>
      <c r="H2475" s="190" t="n">
        <v>23481.1944313654</v>
      </c>
      <c r="I2475" s="191" t="n">
        <v>2976225.77510775</v>
      </c>
      <c r="J2475" s="192" t="str">
        <f>IF(I2475&gt;0,H2475/I2475,0)</f>
      </c>
      <c r="K2475" s="193" t="str">
        <f>1-EXP(-J2475)</f>
      </c>
      <c r="L2475" s="194" t="str">
        <f>IF(G2475=30,1,M2474)</f>
      </c>
      <c r="M2475" s="195" t="str">
        <f>L2475*(1-K2475)</f>
      </c>
    </row>
    <row r="2476">
      <c r="A2476" t="s">
        <v>167</v>
      </c>
      <c r="B2476" t="s">
        <v>250</v>
      </c>
      <c r="C2476" s="35" t="s">
        <v>252</v>
      </c>
      <c r="D2476" t="s">
        <v>502</v>
      </c>
      <c r="E2476" t="s">
        <v>520</v>
      </c>
      <c r="F2476" s="188" t="n">
        <v>2034</v>
      </c>
      <c r="G2476" s="189" t="n">
        <v>64</v>
      </c>
      <c r="H2476" s="190" t="n">
        <v>24881.6582016194</v>
      </c>
      <c r="I2476" s="191" t="n">
        <v>2878154.33411247</v>
      </c>
      <c r="J2476" s="192" t="str">
        <f>IF(I2476&gt;0,H2476/I2476,0)</f>
      </c>
      <c r="K2476" s="193" t="str">
        <f>1-EXP(-J2476)</f>
      </c>
      <c r="L2476" s="194" t="str">
        <f>IF(G2476=30,1,M2475)</f>
      </c>
      <c r="M2476" s="195" t="str">
        <f>L2476*(1-K2476)</f>
      </c>
    </row>
    <row r="2477">
      <c r="A2477" t="s">
        <v>167</v>
      </c>
      <c r="B2477" t="s">
        <v>250</v>
      </c>
      <c r="C2477" s="35" t="s">
        <v>252</v>
      </c>
      <c r="D2477" t="s">
        <v>502</v>
      </c>
      <c r="E2477" t="s">
        <v>520</v>
      </c>
      <c r="F2477" s="188" t="n">
        <v>2034</v>
      </c>
      <c r="G2477" s="189" t="n">
        <v>65</v>
      </c>
      <c r="H2477" s="190" t="n">
        <v>25359.3266979053</v>
      </c>
      <c r="I2477" s="191" t="n">
        <v>2770889.43539581</v>
      </c>
      <c r="J2477" s="192" t="str">
        <f>IF(I2477&gt;0,H2477/I2477,0)</f>
      </c>
      <c r="K2477" s="193" t="str">
        <f>1-EXP(-J2477)</f>
      </c>
      <c r="L2477" s="194" t="str">
        <f>IF(G2477=30,1,M2476)</f>
      </c>
      <c r="M2477" s="195" t="str">
        <f>L2477*(1-K2477)</f>
      </c>
    </row>
    <row r="2478">
      <c r="A2478" t="s">
        <v>167</v>
      </c>
      <c r="B2478" t="s">
        <v>250</v>
      </c>
      <c r="C2478" s="35" t="s">
        <v>252</v>
      </c>
      <c r="D2478" t="s">
        <v>502</v>
      </c>
      <c r="E2478" t="s">
        <v>520</v>
      </c>
      <c r="F2478" s="188" t="n">
        <v>2034</v>
      </c>
      <c r="G2478" s="189" t="n">
        <v>66</v>
      </c>
      <c r="H2478" s="190" t="n">
        <v>26545.1233322585</v>
      </c>
      <c r="I2478" s="191" t="n">
        <v>2645475.89198519</v>
      </c>
      <c r="J2478" s="192" t="str">
        <f>IF(I2478&gt;0,H2478/I2478,0)</f>
      </c>
      <c r="K2478" s="193" t="str">
        <f>1-EXP(-J2478)</f>
      </c>
      <c r="L2478" s="194" t="str">
        <f>IF(G2478=30,1,M2477)</f>
      </c>
      <c r="M2478" s="195" t="str">
        <f>L2478*(1-K2478)</f>
      </c>
    </row>
    <row r="2479">
      <c r="A2479" t="s">
        <v>167</v>
      </c>
      <c r="B2479" t="s">
        <v>250</v>
      </c>
      <c r="C2479" s="35" t="s">
        <v>252</v>
      </c>
      <c r="D2479" t="s">
        <v>502</v>
      </c>
      <c r="E2479" t="s">
        <v>520</v>
      </c>
      <c r="F2479" s="188" t="n">
        <v>2034</v>
      </c>
      <c r="G2479" s="189" t="n">
        <v>67</v>
      </c>
      <c r="H2479" s="190" t="n">
        <v>27453.6100679602</v>
      </c>
      <c r="I2479" s="191" t="n">
        <v>2491317.91032708</v>
      </c>
      <c r="J2479" s="192" t="str">
        <f>IF(I2479&gt;0,H2479/I2479,0)</f>
      </c>
      <c r="K2479" s="193" t="str">
        <f>1-EXP(-J2479)</f>
      </c>
      <c r="L2479" s="194" t="str">
        <f>IF(G2479=30,1,M2478)</f>
      </c>
      <c r="M2479" s="195" t="str">
        <f>L2479*(1-K2479)</f>
      </c>
    </row>
    <row r="2480">
      <c r="A2480" t="s">
        <v>167</v>
      </c>
      <c r="B2480" t="s">
        <v>250</v>
      </c>
      <c r="C2480" s="35" t="s">
        <v>252</v>
      </c>
      <c r="D2480" t="s">
        <v>502</v>
      </c>
      <c r="E2480" t="s">
        <v>520</v>
      </c>
      <c r="F2480" s="188" t="n">
        <v>2034</v>
      </c>
      <c r="G2480" s="189" t="n">
        <v>68</v>
      </c>
      <c r="H2480" s="190" t="n">
        <v>28677.4052654202</v>
      </c>
      <c r="I2480" s="191" t="n">
        <v>2370104.83207236</v>
      </c>
      <c r="J2480" s="192" t="str">
        <f>IF(I2480&gt;0,H2480/I2480,0)</f>
      </c>
      <c r="K2480" s="193" t="str">
        <f>1-EXP(-J2480)</f>
      </c>
      <c r="L2480" s="194" t="str">
        <f>IF(G2480=30,1,M2479)</f>
      </c>
      <c r="M2480" s="195" t="str">
        <f>L2480*(1-K2480)</f>
      </c>
    </row>
    <row r="2481">
      <c r="A2481" t="s">
        <v>167</v>
      </c>
      <c r="B2481" t="s">
        <v>250</v>
      </c>
      <c r="C2481" s="35" t="s">
        <v>252</v>
      </c>
      <c r="D2481" t="s">
        <v>502</v>
      </c>
      <c r="E2481" t="s">
        <v>520</v>
      </c>
      <c r="F2481" s="188" t="n">
        <v>2034</v>
      </c>
      <c r="G2481" s="189" t="n">
        <v>69</v>
      </c>
      <c r="H2481" s="190" t="n">
        <v>29646.1118144675</v>
      </c>
      <c r="I2481" s="191" t="n">
        <v>2229909.44694241</v>
      </c>
      <c r="J2481" s="192" t="str">
        <f>IF(I2481&gt;0,H2481/I2481,0)</f>
      </c>
      <c r="K2481" s="193" t="str">
        <f>1-EXP(-J2481)</f>
      </c>
      <c r="L2481" s="194" t="str">
        <f>IF(G2481=30,1,M2480)</f>
      </c>
      <c r="M2481" s="195" t="str">
        <f>L2481*(1-K2481)</f>
      </c>
    </row>
    <row r="2482">
      <c r="A2482" t="s">
        <v>167</v>
      </c>
      <c r="B2482" t="s">
        <v>250</v>
      </c>
      <c r="C2482" s="35" t="s">
        <v>252</v>
      </c>
      <c r="D2482" t="s">
        <v>502</v>
      </c>
      <c r="E2482" t="s">
        <v>520</v>
      </c>
      <c r="F2482" s="188" t="n">
        <v>2035</v>
      </c>
      <c r="G2482" s="189" t="n">
        <v>30</v>
      </c>
      <c r="H2482" s="190" t="n">
        <v>797.878385969064</v>
      </c>
      <c r="I2482" s="191" t="n">
        <v>4552882.10782983</v>
      </c>
      <c r="J2482" s="192" t="str">
        <f>IF(I2482&gt;0,H2482/I2482,0)</f>
      </c>
      <c r="K2482" s="193" t="str">
        <f>1-EXP(-J2482)</f>
      </c>
      <c r="L2482" s="194" t="str">
        <f>IF(G2482=30,1,M2481)</f>
      </c>
      <c r="M2482" s="195" t="str">
        <f>L2482*(1-K2482)</f>
      </c>
    </row>
    <row r="2483">
      <c r="A2483" t="s">
        <v>167</v>
      </c>
      <c r="B2483" t="s">
        <v>250</v>
      </c>
      <c r="C2483" s="35" t="s">
        <v>252</v>
      </c>
      <c r="D2483" t="s">
        <v>502</v>
      </c>
      <c r="E2483" t="s">
        <v>520</v>
      </c>
      <c r="F2483" s="188" t="n">
        <v>2035</v>
      </c>
      <c r="G2483" s="189" t="n">
        <v>31</v>
      </c>
      <c r="H2483" s="190" t="n">
        <v>971.01766639244</v>
      </c>
      <c r="I2483" s="191" t="n">
        <v>4424144.21809443</v>
      </c>
      <c r="J2483" s="192" t="str">
        <f>IF(I2483&gt;0,H2483/I2483,0)</f>
      </c>
      <c r="K2483" s="193" t="str">
        <f>1-EXP(-J2483)</f>
      </c>
      <c r="L2483" s="194" t="str">
        <f>IF(G2483=30,1,M2482)</f>
      </c>
      <c r="M2483" s="195" t="str">
        <f>L2483*(1-K2483)</f>
      </c>
    </row>
    <row r="2484">
      <c r="A2484" t="s">
        <v>167</v>
      </c>
      <c r="B2484" t="s">
        <v>250</v>
      </c>
      <c r="C2484" s="35" t="s">
        <v>252</v>
      </c>
      <c r="D2484" t="s">
        <v>502</v>
      </c>
      <c r="E2484" t="s">
        <v>520</v>
      </c>
      <c r="F2484" s="188" t="n">
        <v>2035</v>
      </c>
      <c r="G2484" s="189" t="n">
        <v>32</v>
      </c>
      <c r="H2484" s="190" t="n">
        <v>1008.08560811663</v>
      </c>
      <c r="I2484" s="191" t="n">
        <v>4358922.824117</v>
      </c>
      <c r="J2484" s="192" t="str">
        <f>IF(I2484&gt;0,H2484/I2484,0)</f>
      </c>
      <c r="K2484" s="193" t="str">
        <f>1-EXP(-J2484)</f>
      </c>
      <c r="L2484" s="194" t="str">
        <f>IF(G2484=30,1,M2483)</f>
      </c>
      <c r="M2484" s="195" t="str">
        <f>L2484*(1-K2484)</f>
      </c>
    </row>
    <row r="2485">
      <c r="A2485" t="s">
        <v>167</v>
      </c>
      <c r="B2485" t="s">
        <v>250</v>
      </c>
      <c r="C2485" s="35" t="s">
        <v>252</v>
      </c>
      <c r="D2485" t="s">
        <v>502</v>
      </c>
      <c r="E2485" t="s">
        <v>520</v>
      </c>
      <c r="F2485" s="188" t="n">
        <v>2035</v>
      </c>
      <c r="G2485" s="189" t="n">
        <v>33</v>
      </c>
      <c r="H2485" s="190" t="n">
        <v>1209.9075788811</v>
      </c>
      <c r="I2485" s="191" t="n">
        <v>4337785.10201908</v>
      </c>
      <c r="J2485" s="192" t="str">
        <f>IF(I2485&gt;0,H2485/I2485,0)</f>
      </c>
      <c r="K2485" s="193" t="str">
        <f>1-EXP(-J2485)</f>
      </c>
      <c r="L2485" s="194" t="str">
        <f>IF(G2485=30,1,M2484)</f>
      </c>
      <c r="M2485" s="195" t="str">
        <f>L2485*(1-K2485)</f>
      </c>
    </row>
    <row r="2486">
      <c r="A2486" t="s">
        <v>167</v>
      </c>
      <c r="B2486" t="s">
        <v>250</v>
      </c>
      <c r="C2486" s="35" t="s">
        <v>252</v>
      </c>
      <c r="D2486" t="s">
        <v>502</v>
      </c>
      <c r="E2486" t="s">
        <v>520</v>
      </c>
      <c r="F2486" s="188" t="n">
        <v>2035</v>
      </c>
      <c r="G2486" s="189" t="n">
        <v>34</v>
      </c>
      <c r="H2486" s="190" t="n">
        <v>1280.98924165769</v>
      </c>
      <c r="I2486" s="191" t="n">
        <v>4317789.65088442</v>
      </c>
      <c r="J2486" s="192" t="str">
        <f>IF(I2486&gt;0,H2486/I2486,0)</f>
      </c>
      <c r="K2486" s="193" t="str">
        <f>1-EXP(-J2486)</f>
      </c>
      <c r="L2486" s="194" t="str">
        <f>IF(G2486=30,1,M2485)</f>
      </c>
      <c r="M2486" s="195" t="str">
        <f>L2486*(1-K2486)</f>
      </c>
    </row>
    <row r="2487">
      <c r="A2487" t="s">
        <v>167</v>
      </c>
      <c r="B2487" t="s">
        <v>250</v>
      </c>
      <c r="C2487" s="35" t="s">
        <v>252</v>
      </c>
      <c r="D2487" t="s">
        <v>502</v>
      </c>
      <c r="E2487" t="s">
        <v>520</v>
      </c>
      <c r="F2487" s="188" t="n">
        <v>2035</v>
      </c>
      <c r="G2487" s="189" t="n">
        <v>35</v>
      </c>
      <c r="H2487" s="190" t="n">
        <v>1717.03044350626</v>
      </c>
      <c r="I2487" s="191" t="n">
        <v>4297469.8437917</v>
      </c>
      <c r="J2487" s="192" t="str">
        <f>IF(I2487&gt;0,H2487/I2487,0)</f>
      </c>
      <c r="K2487" s="193" t="str">
        <f>1-EXP(-J2487)</f>
      </c>
      <c r="L2487" s="194" t="str">
        <f>IF(G2487=30,1,M2486)</f>
      </c>
      <c r="M2487" s="195" t="str">
        <f>L2487*(1-K2487)</f>
      </c>
    </row>
    <row r="2488">
      <c r="A2488" t="s">
        <v>167</v>
      </c>
      <c r="B2488" t="s">
        <v>250</v>
      </c>
      <c r="C2488" s="35" t="s">
        <v>252</v>
      </c>
      <c r="D2488" t="s">
        <v>502</v>
      </c>
      <c r="E2488" t="s">
        <v>520</v>
      </c>
      <c r="F2488" s="188" t="n">
        <v>2035</v>
      </c>
      <c r="G2488" s="189" t="n">
        <v>36</v>
      </c>
      <c r="H2488" s="190" t="n">
        <v>1926.15532676422</v>
      </c>
      <c r="I2488" s="191" t="n">
        <v>4316269.23146444</v>
      </c>
      <c r="J2488" s="192" t="str">
        <f>IF(I2488&gt;0,H2488/I2488,0)</f>
      </c>
      <c r="K2488" s="193" t="str">
        <f>1-EXP(-J2488)</f>
      </c>
      <c r="L2488" s="194" t="str">
        <f>IF(G2488=30,1,M2487)</f>
      </c>
      <c r="M2488" s="195" t="str">
        <f>L2488*(1-K2488)</f>
      </c>
    </row>
    <row r="2489">
      <c r="A2489" t="s">
        <v>167</v>
      </c>
      <c r="B2489" t="s">
        <v>250</v>
      </c>
      <c r="C2489" s="35" t="s">
        <v>252</v>
      </c>
      <c r="D2489" t="s">
        <v>502</v>
      </c>
      <c r="E2489" t="s">
        <v>520</v>
      </c>
      <c r="F2489" s="188" t="n">
        <v>2035</v>
      </c>
      <c r="G2489" s="189" t="n">
        <v>37</v>
      </c>
      <c r="H2489" s="190" t="n">
        <v>2099.64405634146</v>
      </c>
      <c r="I2489" s="191" t="n">
        <v>4374322.93827193</v>
      </c>
      <c r="J2489" s="192" t="str">
        <f>IF(I2489&gt;0,H2489/I2489,0)</f>
      </c>
      <c r="K2489" s="193" t="str">
        <f>1-EXP(-J2489)</f>
      </c>
      <c r="L2489" s="194" t="str">
        <f>IF(G2489=30,1,M2488)</f>
      </c>
      <c r="M2489" s="195" t="str">
        <f>L2489*(1-K2489)</f>
      </c>
    </row>
    <row r="2490">
      <c r="A2490" t="s">
        <v>167</v>
      </c>
      <c r="B2490" t="s">
        <v>250</v>
      </c>
      <c r="C2490" s="35" t="s">
        <v>252</v>
      </c>
      <c r="D2490" t="s">
        <v>502</v>
      </c>
      <c r="E2490" t="s">
        <v>520</v>
      </c>
      <c r="F2490" s="188" t="n">
        <v>2035</v>
      </c>
      <c r="G2490" s="189" t="n">
        <v>38</v>
      </c>
      <c r="H2490" s="190" t="n">
        <v>2538.27889100151</v>
      </c>
      <c r="I2490" s="191" t="n">
        <v>4510905.90554152</v>
      </c>
      <c r="J2490" s="192" t="str">
        <f>IF(I2490&gt;0,H2490/I2490,0)</f>
      </c>
      <c r="K2490" s="193" t="str">
        <f>1-EXP(-J2490)</f>
      </c>
      <c r="L2490" s="194" t="str">
        <f>IF(G2490=30,1,M2489)</f>
      </c>
      <c r="M2490" s="195" t="str">
        <f>L2490*(1-K2490)</f>
      </c>
    </row>
    <row r="2491">
      <c r="A2491" t="s">
        <v>167</v>
      </c>
      <c r="B2491" t="s">
        <v>250</v>
      </c>
      <c r="C2491" s="35" t="s">
        <v>252</v>
      </c>
      <c r="D2491" t="s">
        <v>502</v>
      </c>
      <c r="E2491" t="s">
        <v>520</v>
      </c>
      <c r="F2491" s="188" t="n">
        <v>2035</v>
      </c>
      <c r="G2491" s="189" t="n">
        <v>39</v>
      </c>
      <c r="H2491" s="190" t="n">
        <v>2705.57650092789</v>
      </c>
      <c r="I2491" s="191" t="n">
        <v>4466015.38561502</v>
      </c>
      <c r="J2491" s="192" t="str">
        <f>IF(I2491&gt;0,H2491/I2491,0)</f>
      </c>
      <c r="K2491" s="193" t="str">
        <f>1-EXP(-J2491)</f>
      </c>
      <c r="L2491" s="194" t="str">
        <f>IF(G2491=30,1,M2490)</f>
      </c>
      <c r="M2491" s="195" t="str">
        <f>L2491*(1-K2491)</f>
      </c>
    </row>
    <row r="2492">
      <c r="A2492" t="s">
        <v>167</v>
      </c>
      <c r="B2492" t="s">
        <v>250</v>
      </c>
      <c r="C2492" s="35" t="s">
        <v>252</v>
      </c>
      <c r="D2492" t="s">
        <v>502</v>
      </c>
      <c r="E2492" t="s">
        <v>520</v>
      </c>
      <c r="F2492" s="188" t="n">
        <v>2035</v>
      </c>
      <c r="G2492" s="189" t="n">
        <v>40</v>
      </c>
      <c r="H2492" s="190" t="n">
        <v>3565.83803084284</v>
      </c>
      <c r="I2492" s="191" t="n">
        <v>4390939.07029814</v>
      </c>
      <c r="J2492" s="192" t="str">
        <f>IF(I2492&gt;0,H2492/I2492,0)</f>
      </c>
      <c r="K2492" s="193" t="str">
        <f>1-EXP(-J2492)</f>
      </c>
      <c r="L2492" s="194" t="str">
        <f>IF(G2492=30,1,M2491)</f>
      </c>
      <c r="M2492" s="195" t="str">
        <f>L2492*(1-K2492)</f>
      </c>
    </row>
    <row r="2493">
      <c r="A2493" t="s">
        <v>167</v>
      </c>
      <c r="B2493" t="s">
        <v>250</v>
      </c>
      <c r="C2493" s="35" t="s">
        <v>252</v>
      </c>
      <c r="D2493" t="s">
        <v>502</v>
      </c>
      <c r="E2493" t="s">
        <v>520</v>
      </c>
      <c r="F2493" s="188" t="n">
        <v>2035</v>
      </c>
      <c r="G2493" s="189" t="n">
        <v>41</v>
      </c>
      <c r="H2493" s="190" t="n">
        <v>3798.11538982434</v>
      </c>
      <c r="I2493" s="191" t="n">
        <v>4330448.29746828</v>
      </c>
      <c r="J2493" s="192" t="str">
        <f>IF(I2493&gt;0,H2493/I2493,0)</f>
      </c>
      <c r="K2493" s="193" t="str">
        <f>1-EXP(-J2493)</f>
      </c>
      <c r="L2493" s="194" t="str">
        <f>IF(G2493=30,1,M2492)</f>
      </c>
      <c r="M2493" s="195" t="str">
        <f>L2493*(1-K2493)</f>
      </c>
    </row>
    <row r="2494">
      <c r="A2494" t="s">
        <v>167</v>
      </c>
      <c r="B2494" t="s">
        <v>250</v>
      </c>
      <c r="C2494" s="35" t="s">
        <v>252</v>
      </c>
      <c r="D2494" t="s">
        <v>502</v>
      </c>
      <c r="E2494" t="s">
        <v>520</v>
      </c>
      <c r="F2494" s="188" t="n">
        <v>2035</v>
      </c>
      <c r="G2494" s="189" t="n">
        <v>42</v>
      </c>
      <c r="H2494" s="190" t="n">
        <v>4064.21684425453</v>
      </c>
      <c r="I2494" s="191" t="n">
        <v>4274002.05574559</v>
      </c>
      <c r="J2494" s="192" t="str">
        <f>IF(I2494&gt;0,H2494/I2494,0)</f>
      </c>
      <c r="K2494" s="193" t="str">
        <f>1-EXP(-J2494)</f>
      </c>
      <c r="L2494" s="194" t="str">
        <f>IF(G2494=30,1,M2493)</f>
      </c>
      <c r="M2494" s="195" t="str">
        <f>L2494*(1-K2494)</f>
      </c>
    </row>
    <row r="2495">
      <c r="A2495" t="s">
        <v>167</v>
      </c>
      <c r="B2495" t="s">
        <v>250</v>
      </c>
      <c r="C2495" s="35" t="s">
        <v>252</v>
      </c>
      <c r="D2495" t="s">
        <v>502</v>
      </c>
      <c r="E2495" t="s">
        <v>520</v>
      </c>
      <c r="F2495" s="188" t="n">
        <v>2035</v>
      </c>
      <c r="G2495" s="189" t="n">
        <v>43</v>
      </c>
      <c r="H2495" s="190" t="n">
        <v>4449.95603246418</v>
      </c>
      <c r="I2495" s="191" t="n">
        <v>4307607.03719346</v>
      </c>
      <c r="J2495" s="192" t="str">
        <f>IF(I2495&gt;0,H2495/I2495,0)</f>
      </c>
      <c r="K2495" s="193" t="str">
        <f>1-EXP(-J2495)</f>
      </c>
      <c r="L2495" s="194" t="str">
        <f>IF(G2495=30,1,M2494)</f>
      </c>
      <c r="M2495" s="195" t="str">
        <f>L2495*(1-K2495)</f>
      </c>
    </row>
    <row r="2496">
      <c r="A2496" t="s">
        <v>167</v>
      </c>
      <c r="B2496" t="s">
        <v>250</v>
      </c>
      <c r="C2496" s="35" t="s">
        <v>252</v>
      </c>
      <c r="D2496" t="s">
        <v>502</v>
      </c>
      <c r="E2496" t="s">
        <v>520</v>
      </c>
      <c r="F2496" s="188" t="n">
        <v>2035</v>
      </c>
      <c r="G2496" s="189" t="n">
        <v>44</v>
      </c>
      <c r="H2496" s="190" t="n">
        <v>4867.6408765905</v>
      </c>
      <c r="I2496" s="191" t="n">
        <v>4321229.1932475</v>
      </c>
      <c r="J2496" s="192" t="str">
        <f>IF(I2496&gt;0,H2496/I2496,0)</f>
      </c>
      <c r="K2496" s="193" t="str">
        <f>1-EXP(-J2496)</f>
      </c>
      <c r="L2496" s="194" t="str">
        <f>IF(G2496=30,1,M2495)</f>
      </c>
      <c r="M2496" s="195" t="str">
        <f>L2496*(1-K2496)</f>
      </c>
    </row>
    <row r="2497">
      <c r="A2497" t="s">
        <v>167</v>
      </c>
      <c r="B2497" t="s">
        <v>250</v>
      </c>
      <c r="C2497" s="35" t="s">
        <v>252</v>
      </c>
      <c r="D2497" t="s">
        <v>502</v>
      </c>
      <c r="E2497" t="s">
        <v>520</v>
      </c>
      <c r="F2497" s="188" t="n">
        <v>2035</v>
      </c>
      <c r="G2497" s="189" t="n">
        <v>45</v>
      </c>
      <c r="H2497" s="190" t="n">
        <v>8588.00048526839</v>
      </c>
      <c r="I2497" s="191" t="n">
        <v>6360118.10802451</v>
      </c>
      <c r="J2497" s="192" t="str">
        <f>IF(I2497&gt;0,H2497/I2497,0)</f>
      </c>
      <c r="K2497" s="193" t="str">
        <f>1-EXP(-J2497)</f>
      </c>
      <c r="L2497" s="194" t="str">
        <f>IF(G2497=30,1,M2496)</f>
      </c>
      <c r="M2497" s="195" t="str">
        <f>L2497*(1-K2497)</f>
      </c>
    </row>
    <row r="2498">
      <c r="A2498" t="s">
        <v>167</v>
      </c>
      <c r="B2498" t="s">
        <v>250</v>
      </c>
      <c r="C2498" s="35" t="s">
        <v>252</v>
      </c>
      <c r="D2498" t="s">
        <v>502</v>
      </c>
      <c r="E2498" t="s">
        <v>520</v>
      </c>
      <c r="F2498" s="188" t="n">
        <v>2035</v>
      </c>
      <c r="G2498" s="189" t="n">
        <v>46</v>
      </c>
      <c r="H2498" s="190" t="n">
        <v>6774.45588840901</v>
      </c>
      <c r="I2498" s="191" t="n">
        <v>4269513.177115</v>
      </c>
      <c r="J2498" s="192" t="str">
        <f>IF(I2498&gt;0,H2498/I2498,0)</f>
      </c>
      <c r="K2498" s="193" t="str">
        <f>1-EXP(-J2498)</f>
      </c>
      <c r="L2498" s="194" t="str">
        <f>IF(G2498=30,1,M2497)</f>
      </c>
      <c r="M2498" s="195" t="str">
        <f>L2498*(1-K2498)</f>
      </c>
    </row>
    <row r="2499">
      <c r="A2499" t="s">
        <v>167</v>
      </c>
      <c r="B2499" t="s">
        <v>250</v>
      </c>
      <c r="C2499" s="35" t="s">
        <v>252</v>
      </c>
      <c r="D2499" t="s">
        <v>502</v>
      </c>
      <c r="E2499" t="s">
        <v>520</v>
      </c>
      <c r="F2499" s="188" t="n">
        <v>2035</v>
      </c>
      <c r="G2499" s="189" t="n">
        <v>47</v>
      </c>
      <c r="H2499" s="190" t="n">
        <v>7385.35927393586</v>
      </c>
      <c r="I2499" s="191" t="n">
        <v>4247164.18783898</v>
      </c>
      <c r="J2499" s="192" t="str">
        <f>IF(I2499&gt;0,H2499/I2499,0)</f>
      </c>
      <c r="K2499" s="193" t="str">
        <f>1-EXP(-J2499)</f>
      </c>
      <c r="L2499" s="194" t="str">
        <f>IF(G2499=30,1,M2498)</f>
      </c>
      <c r="M2499" s="195" t="str">
        <f>L2499*(1-K2499)</f>
      </c>
    </row>
    <row r="2500">
      <c r="A2500" t="s">
        <v>167</v>
      </c>
      <c r="B2500" t="s">
        <v>250</v>
      </c>
      <c r="C2500" s="35" t="s">
        <v>252</v>
      </c>
      <c r="D2500" t="s">
        <v>502</v>
      </c>
      <c r="E2500" t="s">
        <v>520</v>
      </c>
      <c r="F2500" s="188" t="n">
        <v>2035</v>
      </c>
      <c r="G2500" s="189" t="n">
        <v>48</v>
      </c>
      <c r="H2500" s="190" t="n">
        <v>7838.78447626164</v>
      </c>
      <c r="I2500" s="191" t="n">
        <v>4110668.93314842</v>
      </c>
      <c r="J2500" s="192" t="str">
        <f>IF(I2500&gt;0,H2500/I2500,0)</f>
      </c>
      <c r="K2500" s="193" t="str">
        <f>1-EXP(-J2500)</f>
      </c>
      <c r="L2500" s="194" t="str">
        <f>IF(G2500=30,1,M2499)</f>
      </c>
      <c r="M2500" s="195" t="str">
        <f>L2500*(1-K2500)</f>
      </c>
    </row>
    <row r="2501">
      <c r="A2501" t="s">
        <v>167</v>
      </c>
      <c r="B2501" t="s">
        <v>250</v>
      </c>
      <c r="C2501" s="35" t="s">
        <v>252</v>
      </c>
      <c r="D2501" t="s">
        <v>502</v>
      </c>
      <c r="E2501" t="s">
        <v>520</v>
      </c>
      <c r="F2501" s="188" t="n">
        <v>2035</v>
      </c>
      <c r="G2501" s="189" t="n">
        <v>49</v>
      </c>
      <c r="H2501" s="190" t="n">
        <v>8504.72611812949</v>
      </c>
      <c r="I2501" s="191" t="n">
        <v>4069613.69355376</v>
      </c>
      <c r="J2501" s="192" t="str">
        <f>IF(I2501&gt;0,H2501/I2501,0)</f>
      </c>
      <c r="K2501" s="193" t="str">
        <f>1-EXP(-J2501)</f>
      </c>
      <c r="L2501" s="194" t="str">
        <f>IF(G2501=30,1,M2500)</f>
      </c>
      <c r="M2501" s="195" t="str">
        <f>L2501*(1-K2501)</f>
      </c>
    </row>
    <row r="2502">
      <c r="A2502" t="s">
        <v>167</v>
      </c>
      <c r="B2502" t="s">
        <v>250</v>
      </c>
      <c r="C2502" s="35" t="s">
        <v>252</v>
      </c>
      <c r="D2502" t="s">
        <v>502</v>
      </c>
      <c r="E2502" t="s">
        <v>520</v>
      </c>
      <c r="F2502" s="188" t="n">
        <v>2035</v>
      </c>
      <c r="G2502" s="189" t="n">
        <v>50</v>
      </c>
      <c r="H2502" s="190" t="n">
        <v>9961.45112738523</v>
      </c>
      <c r="I2502" s="191" t="n">
        <v>4119437.24952222</v>
      </c>
      <c r="J2502" s="192" t="str">
        <f>IF(I2502&gt;0,H2502/I2502,0)</f>
      </c>
      <c r="K2502" s="193" t="str">
        <f>1-EXP(-J2502)</f>
      </c>
      <c r="L2502" s="194" t="str">
        <f>IF(G2502=30,1,M2501)</f>
      </c>
      <c r="M2502" s="195" t="str">
        <f>L2502*(1-K2502)</f>
      </c>
    </row>
    <row r="2503">
      <c r="A2503" t="s">
        <v>167</v>
      </c>
      <c r="B2503" t="s">
        <v>250</v>
      </c>
      <c r="C2503" s="35" t="s">
        <v>252</v>
      </c>
      <c r="D2503" t="s">
        <v>502</v>
      </c>
      <c r="E2503" t="s">
        <v>520</v>
      </c>
      <c r="F2503" s="188" t="n">
        <v>2035</v>
      </c>
      <c r="G2503" s="189" t="n">
        <v>51</v>
      </c>
      <c r="H2503" s="190" t="n">
        <v>11095.5224127322</v>
      </c>
      <c r="I2503" s="191" t="n">
        <v>4191859.5109404</v>
      </c>
      <c r="J2503" s="192" t="str">
        <f>IF(I2503&gt;0,H2503/I2503,0)</f>
      </c>
      <c r="K2503" s="193" t="str">
        <f>1-EXP(-J2503)</f>
      </c>
      <c r="L2503" s="194" t="str">
        <f>IF(G2503=30,1,M2502)</f>
      </c>
      <c r="M2503" s="195" t="str">
        <f>L2503*(1-K2503)</f>
      </c>
    </row>
    <row r="2504">
      <c r="A2504" t="s">
        <v>167</v>
      </c>
      <c r="B2504" t="s">
        <v>250</v>
      </c>
      <c r="C2504" s="35" t="s">
        <v>252</v>
      </c>
      <c r="D2504" t="s">
        <v>502</v>
      </c>
      <c r="E2504" t="s">
        <v>520</v>
      </c>
      <c r="F2504" s="188" t="n">
        <v>2035</v>
      </c>
      <c r="G2504" s="189" t="n">
        <v>52</v>
      </c>
      <c r="H2504" s="190" t="n">
        <v>12027.7761064779</v>
      </c>
      <c r="I2504" s="191" t="n">
        <v>4157767.7824314</v>
      </c>
      <c r="J2504" s="192" t="str">
        <f>IF(I2504&gt;0,H2504/I2504,0)</f>
      </c>
      <c r="K2504" s="193" t="str">
        <f>1-EXP(-J2504)</f>
      </c>
      <c r="L2504" s="194" t="str">
        <f>IF(G2504=30,1,M2503)</f>
      </c>
      <c r="M2504" s="195" t="str">
        <f>L2504*(1-K2504)</f>
      </c>
    </row>
    <row r="2505">
      <c r="A2505" t="s">
        <v>167</v>
      </c>
      <c r="B2505" t="s">
        <v>250</v>
      </c>
      <c r="C2505" s="35" t="s">
        <v>252</v>
      </c>
      <c r="D2505" t="s">
        <v>502</v>
      </c>
      <c r="E2505" t="s">
        <v>520</v>
      </c>
      <c r="F2505" s="188" t="n">
        <v>2035</v>
      </c>
      <c r="G2505" s="189" t="n">
        <v>53</v>
      </c>
      <c r="H2505" s="190" t="n">
        <v>12692.7445940911</v>
      </c>
      <c r="I2505" s="191" t="n">
        <v>4013756.36960556</v>
      </c>
      <c r="J2505" s="192" t="str">
        <f>IF(I2505&gt;0,H2505/I2505,0)</f>
      </c>
      <c r="K2505" s="193" t="str">
        <f>1-EXP(-J2505)</f>
      </c>
      <c r="L2505" s="194" t="str">
        <f>IF(G2505=30,1,M2504)</f>
      </c>
      <c r="M2505" s="195" t="str">
        <f>L2505*(1-K2505)</f>
      </c>
    </row>
    <row r="2506">
      <c r="A2506" t="s">
        <v>167</v>
      </c>
      <c r="B2506" t="s">
        <v>250</v>
      </c>
      <c r="C2506" s="35" t="s">
        <v>252</v>
      </c>
      <c r="D2506" t="s">
        <v>502</v>
      </c>
      <c r="E2506" t="s">
        <v>520</v>
      </c>
      <c r="F2506" s="188" t="n">
        <v>2035</v>
      </c>
      <c r="G2506" s="189" t="n">
        <v>54</v>
      </c>
      <c r="H2506" s="190" t="n">
        <v>13567.0309202701</v>
      </c>
      <c r="I2506" s="191" t="n">
        <v>3929905.26441922</v>
      </c>
      <c r="J2506" s="192" t="str">
        <f>IF(I2506&gt;0,H2506/I2506,0)</f>
      </c>
      <c r="K2506" s="193" t="str">
        <f>1-EXP(-J2506)</f>
      </c>
      <c r="L2506" s="194" t="str">
        <f>IF(G2506=30,1,M2505)</f>
      </c>
      <c r="M2506" s="195" t="str">
        <f>L2506*(1-K2506)</f>
      </c>
    </row>
    <row r="2507">
      <c r="A2507" t="s">
        <v>167</v>
      </c>
      <c r="B2507" t="s">
        <v>250</v>
      </c>
      <c r="C2507" s="35" t="s">
        <v>252</v>
      </c>
      <c r="D2507" t="s">
        <v>502</v>
      </c>
      <c r="E2507" t="s">
        <v>520</v>
      </c>
      <c r="F2507" s="188" t="n">
        <v>2035</v>
      </c>
      <c r="G2507" s="189" t="n">
        <v>55</v>
      </c>
      <c r="H2507" s="190" t="n">
        <v>14560.2235232143</v>
      </c>
      <c r="I2507" s="191" t="n">
        <v>3860743.0311534</v>
      </c>
      <c r="J2507" s="192" t="str">
        <f>IF(I2507&gt;0,H2507/I2507,0)</f>
      </c>
      <c r="K2507" s="193" t="str">
        <f>1-EXP(-J2507)</f>
      </c>
      <c r="L2507" s="194" t="str">
        <f>IF(G2507=30,1,M2506)</f>
      </c>
      <c r="M2507" s="195" t="str">
        <f>L2507*(1-K2507)</f>
      </c>
    </row>
    <row r="2508">
      <c r="A2508" t="s">
        <v>167</v>
      </c>
      <c r="B2508" t="s">
        <v>250</v>
      </c>
      <c r="C2508" s="35" t="s">
        <v>252</v>
      </c>
      <c r="D2508" t="s">
        <v>502</v>
      </c>
      <c r="E2508" t="s">
        <v>520</v>
      </c>
      <c r="F2508" s="188" t="n">
        <v>2035</v>
      </c>
      <c r="G2508" s="189" t="n">
        <v>56</v>
      </c>
      <c r="H2508" s="190" t="n">
        <v>15567.4785617598</v>
      </c>
      <c r="I2508" s="191" t="n">
        <v>3785288.41754456</v>
      </c>
      <c r="J2508" s="192" t="str">
        <f>IF(I2508&gt;0,H2508/I2508,0)</f>
      </c>
      <c r="K2508" s="193" t="str">
        <f>1-EXP(-J2508)</f>
      </c>
      <c r="L2508" s="194" t="str">
        <f>IF(G2508=30,1,M2507)</f>
      </c>
      <c r="M2508" s="195" t="str">
        <f>L2508*(1-K2508)</f>
      </c>
    </row>
    <row r="2509">
      <c r="A2509" t="s">
        <v>167</v>
      </c>
      <c r="B2509" t="s">
        <v>250</v>
      </c>
      <c r="C2509" s="35" t="s">
        <v>252</v>
      </c>
      <c r="D2509" t="s">
        <v>502</v>
      </c>
      <c r="E2509" t="s">
        <v>520</v>
      </c>
      <c r="F2509" s="188" t="n">
        <v>2035</v>
      </c>
      <c r="G2509" s="189" t="n">
        <v>57</v>
      </c>
      <c r="H2509" s="190" t="n">
        <v>16580.6421818196</v>
      </c>
      <c r="I2509" s="191" t="n">
        <v>3690820.21844412</v>
      </c>
      <c r="J2509" s="192" t="str">
        <f>IF(I2509&gt;0,H2509/I2509,0)</f>
      </c>
      <c r="K2509" s="193" t="str">
        <f>1-EXP(-J2509)</f>
      </c>
      <c r="L2509" s="194" t="str">
        <f>IF(G2509=30,1,M2508)</f>
      </c>
      <c r="M2509" s="195" t="str">
        <f>L2509*(1-K2509)</f>
      </c>
    </row>
    <row r="2510">
      <c r="A2510" t="s">
        <v>167</v>
      </c>
      <c r="B2510" t="s">
        <v>250</v>
      </c>
      <c r="C2510" s="35" t="s">
        <v>252</v>
      </c>
      <c r="D2510" t="s">
        <v>502</v>
      </c>
      <c r="E2510" t="s">
        <v>520</v>
      </c>
      <c r="F2510" s="188" t="n">
        <v>2035</v>
      </c>
      <c r="G2510" s="189" t="n">
        <v>58</v>
      </c>
      <c r="H2510" s="190" t="n">
        <v>17758.759260767</v>
      </c>
      <c r="I2510" s="191" t="n">
        <v>3611788.25576102</v>
      </c>
      <c r="J2510" s="192" t="str">
        <f>IF(I2510&gt;0,H2510/I2510,0)</f>
      </c>
      <c r="K2510" s="193" t="str">
        <f>1-EXP(-J2510)</f>
      </c>
      <c r="L2510" s="194" t="str">
        <f>IF(G2510=30,1,M2509)</f>
      </c>
      <c r="M2510" s="195" t="str">
        <f>L2510*(1-K2510)</f>
      </c>
    </row>
    <row r="2511">
      <c r="A2511" t="s">
        <v>167</v>
      </c>
      <c r="B2511" t="s">
        <v>250</v>
      </c>
      <c r="C2511" s="35" t="s">
        <v>252</v>
      </c>
      <c r="D2511" t="s">
        <v>502</v>
      </c>
      <c r="E2511" t="s">
        <v>520</v>
      </c>
      <c r="F2511" s="188" t="n">
        <v>2035</v>
      </c>
      <c r="G2511" s="189" t="n">
        <v>59</v>
      </c>
      <c r="H2511" s="190" t="n">
        <v>18936.362748314</v>
      </c>
      <c r="I2511" s="191" t="n">
        <v>3520846.28145294</v>
      </c>
      <c r="J2511" s="192" t="str">
        <f>IF(I2511&gt;0,H2511/I2511,0)</f>
      </c>
      <c r="K2511" s="193" t="str">
        <f>1-EXP(-J2511)</f>
      </c>
      <c r="L2511" s="194" t="str">
        <f>IF(G2511=30,1,M2510)</f>
      </c>
      <c r="M2511" s="195" t="str">
        <f>L2511*(1-K2511)</f>
      </c>
    </row>
    <row r="2512">
      <c r="A2512" t="s">
        <v>167</v>
      </c>
      <c r="B2512" t="s">
        <v>250</v>
      </c>
      <c r="C2512" s="35" t="s">
        <v>252</v>
      </c>
      <c r="D2512" t="s">
        <v>502</v>
      </c>
      <c r="E2512" t="s">
        <v>520</v>
      </c>
      <c r="F2512" s="188" t="n">
        <v>2035</v>
      </c>
      <c r="G2512" s="189" t="n">
        <v>60</v>
      </c>
      <c r="H2512" s="190" t="n">
        <v>20322.8726256766</v>
      </c>
      <c r="I2512" s="191" t="n">
        <v>3428393.9515363</v>
      </c>
      <c r="J2512" s="192" t="str">
        <f>IF(I2512&gt;0,H2512/I2512,0)</f>
      </c>
      <c r="K2512" s="193" t="str">
        <f>1-EXP(-J2512)</f>
      </c>
      <c r="L2512" s="194" t="str">
        <f>IF(G2512=30,1,M2511)</f>
      </c>
      <c r="M2512" s="195" t="str">
        <f>L2512*(1-K2512)</f>
      </c>
    </row>
    <row r="2513">
      <c r="A2513" t="s">
        <v>167</v>
      </c>
      <c r="B2513" t="s">
        <v>250</v>
      </c>
      <c r="C2513" s="35" t="s">
        <v>252</v>
      </c>
      <c r="D2513" t="s">
        <v>502</v>
      </c>
      <c r="E2513" t="s">
        <v>520</v>
      </c>
      <c r="F2513" s="188" t="n">
        <v>2035</v>
      </c>
      <c r="G2513" s="189" t="n">
        <v>61</v>
      </c>
      <c r="H2513" s="190" t="n">
        <v>21516.901391331</v>
      </c>
      <c r="I2513" s="191" t="n">
        <v>3308907.5919842</v>
      </c>
      <c r="J2513" s="192" t="str">
        <f>IF(I2513&gt;0,H2513/I2513,0)</f>
      </c>
      <c r="K2513" s="193" t="str">
        <f>1-EXP(-J2513)</f>
      </c>
      <c r="L2513" s="194" t="str">
        <f>IF(G2513=30,1,M2512)</f>
      </c>
      <c r="M2513" s="195" t="str">
        <f>L2513*(1-K2513)</f>
      </c>
    </row>
    <row r="2514">
      <c r="A2514" t="s">
        <v>167</v>
      </c>
      <c r="B2514" t="s">
        <v>250</v>
      </c>
      <c r="C2514" s="35" t="s">
        <v>252</v>
      </c>
      <c r="D2514" t="s">
        <v>502</v>
      </c>
      <c r="E2514" t="s">
        <v>520</v>
      </c>
      <c r="F2514" s="188" t="n">
        <v>2035</v>
      </c>
      <c r="G2514" s="189" t="n">
        <v>62</v>
      </c>
      <c r="H2514" s="190" t="n">
        <v>23106.4159921861</v>
      </c>
      <c r="I2514" s="191" t="n">
        <v>3244912.36378999</v>
      </c>
      <c r="J2514" s="192" t="str">
        <f>IF(I2514&gt;0,H2514/I2514,0)</f>
      </c>
      <c r="K2514" s="193" t="str">
        <f>1-EXP(-J2514)</f>
      </c>
      <c r="L2514" s="194" t="str">
        <f>IF(G2514=30,1,M2513)</f>
      </c>
      <c r="M2514" s="195" t="str">
        <f>L2514*(1-K2514)</f>
      </c>
    </row>
    <row r="2515">
      <c r="A2515" t="s">
        <v>167</v>
      </c>
      <c r="B2515" t="s">
        <v>250</v>
      </c>
      <c r="C2515" s="35" t="s">
        <v>252</v>
      </c>
      <c r="D2515" t="s">
        <v>502</v>
      </c>
      <c r="E2515" t="s">
        <v>520</v>
      </c>
      <c r="F2515" s="188" t="n">
        <v>2035</v>
      </c>
      <c r="G2515" s="189" t="n">
        <v>63</v>
      </c>
      <c r="H2515" s="190" t="n">
        <v>23654.4568632802</v>
      </c>
      <c r="I2515" s="191" t="n">
        <v>3028582.70552393</v>
      </c>
      <c r="J2515" s="192" t="str">
        <f>IF(I2515&gt;0,H2515/I2515,0)</f>
      </c>
      <c r="K2515" s="193" t="str">
        <f>1-EXP(-J2515)</f>
      </c>
      <c r="L2515" s="194" t="str">
        <f>IF(G2515=30,1,M2514)</f>
      </c>
      <c r="M2515" s="195" t="str">
        <f>L2515*(1-K2515)</f>
      </c>
    </row>
    <row r="2516">
      <c r="A2516" t="s">
        <v>167</v>
      </c>
      <c r="B2516" t="s">
        <v>250</v>
      </c>
      <c r="C2516" s="35" t="s">
        <v>252</v>
      </c>
      <c r="D2516" t="s">
        <v>502</v>
      </c>
      <c r="E2516" t="s">
        <v>520</v>
      </c>
      <c r="F2516" s="188" t="n">
        <v>2035</v>
      </c>
      <c r="G2516" s="189" t="n">
        <v>64</v>
      </c>
      <c r="H2516" s="190" t="n">
        <v>25026.5562626862</v>
      </c>
      <c r="I2516" s="191" t="n">
        <v>2924261.10184797</v>
      </c>
      <c r="J2516" s="192" t="str">
        <f>IF(I2516&gt;0,H2516/I2516,0)</f>
      </c>
      <c r="K2516" s="193" t="str">
        <f>1-EXP(-J2516)</f>
      </c>
      <c r="L2516" s="194" t="str">
        <f>IF(G2516=30,1,M2515)</f>
      </c>
      <c r="M2516" s="195" t="str">
        <f>L2516*(1-K2516)</f>
      </c>
    </row>
    <row r="2517">
      <c r="A2517" t="s">
        <v>167</v>
      </c>
      <c r="B2517" t="s">
        <v>250</v>
      </c>
      <c r="C2517" s="35" t="s">
        <v>252</v>
      </c>
      <c r="D2517" t="s">
        <v>502</v>
      </c>
      <c r="E2517" t="s">
        <v>520</v>
      </c>
      <c r="F2517" s="188" t="n">
        <v>2035</v>
      </c>
      <c r="G2517" s="189" t="n">
        <v>65</v>
      </c>
      <c r="H2517" s="190" t="n">
        <v>25545.7939614593</v>
      </c>
      <c r="I2517" s="191" t="n">
        <v>2823103.00946516</v>
      </c>
      <c r="J2517" s="192" t="str">
        <f>IF(I2517&gt;0,H2517/I2517,0)</f>
      </c>
      <c r="K2517" s="193" t="str">
        <f>1-EXP(-J2517)</f>
      </c>
      <c r="L2517" s="194" t="str">
        <f>IF(G2517=30,1,M2516)</f>
      </c>
      <c r="M2517" s="195" t="str">
        <f>L2517*(1-K2517)</f>
      </c>
    </row>
    <row r="2518">
      <c r="A2518" t="s">
        <v>167</v>
      </c>
      <c r="B2518" t="s">
        <v>250</v>
      </c>
      <c r="C2518" s="35" t="s">
        <v>252</v>
      </c>
      <c r="D2518" t="s">
        <v>502</v>
      </c>
      <c r="E2518" t="s">
        <v>520</v>
      </c>
      <c r="F2518" s="188" t="n">
        <v>2035</v>
      </c>
      <c r="G2518" s="189" t="n">
        <v>66</v>
      </c>
      <c r="H2518" s="190" t="n">
        <v>26918.7934199051</v>
      </c>
      <c r="I2518" s="191" t="n">
        <v>2713194.51528092</v>
      </c>
      <c r="J2518" s="192" t="str">
        <f>IF(I2518&gt;0,H2518/I2518,0)</f>
      </c>
      <c r="K2518" s="193" t="str">
        <f>1-EXP(-J2518)</f>
      </c>
      <c r="L2518" s="194" t="str">
        <f>IF(G2518=30,1,M2517)</f>
      </c>
      <c r="M2518" s="195" t="str">
        <f>L2518*(1-K2518)</f>
      </c>
    </row>
    <row r="2519">
      <c r="A2519" t="s">
        <v>167</v>
      </c>
      <c r="B2519" t="s">
        <v>250</v>
      </c>
      <c r="C2519" s="35" t="s">
        <v>252</v>
      </c>
      <c r="D2519" t="s">
        <v>502</v>
      </c>
      <c r="E2519" t="s">
        <v>520</v>
      </c>
      <c r="F2519" s="188" t="n">
        <v>2035</v>
      </c>
      <c r="G2519" s="189" t="n">
        <v>67</v>
      </c>
      <c r="H2519" s="190" t="n">
        <v>28139.7098726379</v>
      </c>
      <c r="I2519" s="191" t="n">
        <v>2584740.50339312</v>
      </c>
      <c r="J2519" s="192" t="str">
        <f>IF(I2519&gt;0,H2519/I2519,0)</f>
      </c>
      <c r="K2519" s="193" t="str">
        <f>1-EXP(-J2519)</f>
      </c>
      <c r="L2519" s="194" t="str">
        <f>IF(G2519=30,1,M2518)</f>
      </c>
      <c r="M2519" s="195" t="str">
        <f>L2519*(1-K2519)</f>
      </c>
    </row>
    <row r="2520">
      <c r="A2520" t="s">
        <v>167</v>
      </c>
      <c r="B2520" t="s">
        <v>250</v>
      </c>
      <c r="C2520" s="35" t="s">
        <v>252</v>
      </c>
      <c r="D2520" t="s">
        <v>502</v>
      </c>
      <c r="E2520" t="s">
        <v>520</v>
      </c>
      <c r="F2520" s="188" t="n">
        <v>2035</v>
      </c>
      <c r="G2520" s="189" t="n">
        <v>68</v>
      </c>
      <c r="H2520" s="190" t="n">
        <v>29056.1503044519</v>
      </c>
      <c r="I2520" s="191" t="n">
        <v>2428543.23606685</v>
      </c>
      <c r="J2520" s="192" t="str">
        <f>IF(I2520&gt;0,H2520/I2520,0)</f>
      </c>
      <c r="K2520" s="193" t="str">
        <f>1-EXP(-J2520)</f>
      </c>
      <c r="L2520" s="194" t="str">
        <f>IF(G2520=30,1,M2519)</f>
      </c>
      <c r="M2520" s="195" t="str">
        <f>L2520*(1-K2520)</f>
      </c>
    </row>
    <row r="2521">
      <c r="A2521" t="s">
        <v>167</v>
      </c>
      <c r="B2521" t="s">
        <v>250</v>
      </c>
      <c r="C2521" s="35" t="s">
        <v>252</v>
      </c>
      <c r="D2521" t="s">
        <v>502</v>
      </c>
      <c r="E2521" t="s">
        <v>520</v>
      </c>
      <c r="F2521" s="188" t="n">
        <v>2035</v>
      </c>
      <c r="G2521" s="189" t="n">
        <v>69</v>
      </c>
      <c r="H2521" s="190" t="n">
        <v>30302.185707139</v>
      </c>
      <c r="I2521" s="191" t="n">
        <v>2304593.72754522</v>
      </c>
      <c r="J2521" s="192" t="str">
        <f>IF(I2521&gt;0,H2521/I2521,0)</f>
      </c>
      <c r="K2521" s="193" t="str">
        <f>1-EXP(-J2521)</f>
      </c>
      <c r="L2521" s="194" t="str">
        <f>IF(G2521=30,1,M2520)</f>
      </c>
      <c r="M2521" s="195" t="str">
        <f>L2521*(1-K2521)</f>
      </c>
    </row>
    <row r="2522">
      <c r="A2522" t="s">
        <v>167</v>
      </c>
      <c r="B2522" t="s">
        <v>250</v>
      </c>
      <c r="C2522" s="35" t="s">
        <v>252</v>
      </c>
      <c r="D2522" t="s">
        <v>502</v>
      </c>
      <c r="E2522" t="s">
        <v>520</v>
      </c>
      <c r="F2522" s="188" t="n">
        <v>2036</v>
      </c>
      <c r="G2522" s="189" t="n">
        <v>30</v>
      </c>
      <c r="H2522" s="190" t="n">
        <v>811.801903146382</v>
      </c>
      <c r="I2522" s="191" t="n">
        <v>4608197.07376053</v>
      </c>
      <c r="J2522" s="192" t="str">
        <f>IF(I2522&gt;0,H2522/I2522,0)</f>
      </c>
      <c r="K2522" s="193" t="str">
        <f>1-EXP(-J2522)</f>
      </c>
      <c r="L2522" s="194" t="str">
        <f>IF(G2522=30,1,M2521)</f>
      </c>
      <c r="M2522" s="195" t="str">
        <f>L2522*(1-K2522)</f>
      </c>
    </row>
    <row r="2523">
      <c r="A2523" t="s">
        <v>167</v>
      </c>
      <c r="B2523" t="s">
        <v>250</v>
      </c>
      <c r="C2523" s="35" t="s">
        <v>252</v>
      </c>
      <c r="D2523" t="s">
        <v>502</v>
      </c>
      <c r="E2523" t="s">
        <v>520</v>
      </c>
      <c r="F2523" s="188" t="n">
        <v>2036</v>
      </c>
      <c r="G2523" s="189" t="n">
        <v>31</v>
      </c>
      <c r="H2523" s="190" t="n">
        <v>1002.920317334</v>
      </c>
      <c r="I2523" s="191" t="n">
        <v>4547226.34152358</v>
      </c>
      <c r="J2523" s="192" t="str">
        <f>IF(I2523&gt;0,H2523/I2523,0)</f>
      </c>
      <c r="K2523" s="193" t="str">
        <f>1-EXP(-J2523)</f>
      </c>
      <c r="L2523" s="194" t="str">
        <f>IF(G2523=30,1,M2522)</f>
      </c>
      <c r="M2523" s="195" t="str">
        <f>L2523*(1-K2523)</f>
      </c>
    </row>
    <row r="2524">
      <c r="A2524" t="s">
        <v>167</v>
      </c>
      <c r="B2524" t="s">
        <v>250</v>
      </c>
      <c r="C2524" s="35" t="s">
        <v>252</v>
      </c>
      <c r="D2524" t="s">
        <v>502</v>
      </c>
      <c r="E2524" t="s">
        <v>520</v>
      </c>
      <c r="F2524" s="188" t="n">
        <v>2036</v>
      </c>
      <c r="G2524" s="189" t="n">
        <v>32</v>
      </c>
      <c r="H2524" s="190" t="n">
        <v>1026.70605400242</v>
      </c>
      <c r="I2524" s="191" t="n">
        <v>4418731.5249997</v>
      </c>
      <c r="J2524" s="192" t="str">
        <f>IF(I2524&gt;0,H2524/I2524,0)</f>
      </c>
      <c r="K2524" s="193" t="str">
        <f>1-EXP(-J2524)</f>
      </c>
      <c r="L2524" s="194" t="str">
        <f>IF(G2524=30,1,M2523)</f>
      </c>
      <c r="M2524" s="195" t="str">
        <f>L2524*(1-K2524)</f>
      </c>
    </row>
    <row r="2525">
      <c r="A2525" t="s">
        <v>167</v>
      </c>
      <c r="B2525" t="s">
        <v>250</v>
      </c>
      <c r="C2525" s="35" t="s">
        <v>252</v>
      </c>
      <c r="D2525" t="s">
        <v>502</v>
      </c>
      <c r="E2525" t="s">
        <v>520</v>
      </c>
      <c r="F2525" s="188" t="n">
        <v>2036</v>
      </c>
      <c r="G2525" s="189" t="n">
        <v>33</v>
      </c>
      <c r="H2525" s="190" t="n">
        <v>1072.27892743113</v>
      </c>
      <c r="I2525" s="191" t="n">
        <v>4353364.01868085</v>
      </c>
      <c r="J2525" s="192" t="str">
        <f>IF(I2525&gt;0,H2525/I2525,0)</f>
      </c>
      <c r="K2525" s="193" t="str">
        <f>1-EXP(-J2525)</f>
      </c>
      <c r="L2525" s="194" t="str">
        <f>IF(G2525=30,1,M2524)</f>
      </c>
      <c r="M2525" s="195" t="str">
        <f>L2525*(1-K2525)</f>
      </c>
    </row>
    <row r="2526">
      <c r="A2526" t="s">
        <v>167</v>
      </c>
      <c r="B2526" t="s">
        <v>250</v>
      </c>
      <c r="C2526" s="35" t="s">
        <v>252</v>
      </c>
      <c r="D2526" t="s">
        <v>502</v>
      </c>
      <c r="E2526" t="s">
        <v>520</v>
      </c>
      <c r="F2526" s="188" t="n">
        <v>2036</v>
      </c>
      <c r="G2526" s="189" t="n">
        <v>34</v>
      </c>
      <c r="H2526" s="190" t="n">
        <v>1289.15390650003</v>
      </c>
      <c r="I2526" s="191" t="n">
        <v>4331821.5063931</v>
      </c>
      <c r="J2526" s="192" t="str">
        <f>IF(I2526&gt;0,H2526/I2526,0)</f>
      </c>
      <c r="K2526" s="193" t="str">
        <f>1-EXP(-J2526)</f>
      </c>
      <c r="L2526" s="194" t="str">
        <f>IF(G2526=30,1,M2525)</f>
      </c>
      <c r="M2526" s="195" t="str">
        <f>L2526*(1-K2526)</f>
      </c>
    </row>
    <row r="2527">
      <c r="A2527" t="s">
        <v>167</v>
      </c>
      <c r="B2527" t="s">
        <v>250</v>
      </c>
      <c r="C2527" s="35" t="s">
        <v>252</v>
      </c>
      <c r="D2527" t="s">
        <v>502</v>
      </c>
      <c r="E2527" t="s">
        <v>520</v>
      </c>
      <c r="F2527" s="188" t="n">
        <v>2036</v>
      </c>
      <c r="G2527" s="189" t="n">
        <v>35</v>
      </c>
      <c r="H2527" s="190" t="n">
        <v>1720.65067714969</v>
      </c>
      <c r="I2527" s="191" t="n">
        <v>4311532.21388133</v>
      </c>
      <c r="J2527" s="192" t="str">
        <f>IF(I2527&gt;0,H2527/I2527,0)</f>
      </c>
      <c r="K2527" s="193" t="str">
        <f>1-EXP(-J2527)</f>
      </c>
      <c r="L2527" s="194" t="str">
        <f>IF(G2527=30,1,M2526)</f>
      </c>
      <c r="M2527" s="195" t="str">
        <f>L2527*(1-K2527)</f>
      </c>
    </row>
    <row r="2528">
      <c r="A2528" t="s">
        <v>167</v>
      </c>
      <c r="B2528" t="s">
        <v>250</v>
      </c>
      <c r="C2528" s="35" t="s">
        <v>252</v>
      </c>
      <c r="D2528" t="s">
        <v>502</v>
      </c>
      <c r="E2528" t="s">
        <v>520</v>
      </c>
      <c r="F2528" s="188" t="n">
        <v>2036</v>
      </c>
      <c r="G2528" s="189" t="n">
        <v>36</v>
      </c>
      <c r="H2528" s="190" t="n">
        <v>1913.01091398556</v>
      </c>
      <c r="I2528" s="191" t="n">
        <v>4290472.61850392</v>
      </c>
      <c r="J2528" s="192" t="str">
        <f>IF(I2528&gt;0,H2528/I2528,0)</f>
      </c>
      <c r="K2528" s="193" t="str">
        <f>1-EXP(-J2528)</f>
      </c>
      <c r="L2528" s="194" t="str">
        <f>IF(G2528=30,1,M2527)</f>
      </c>
      <c r="M2528" s="195" t="str">
        <f>L2528*(1-K2528)</f>
      </c>
    </row>
    <row r="2529">
      <c r="A2529" t="s">
        <v>167</v>
      </c>
      <c r="B2529" t="s">
        <v>250</v>
      </c>
      <c r="C2529" s="35" t="s">
        <v>252</v>
      </c>
      <c r="D2529" t="s">
        <v>502</v>
      </c>
      <c r="E2529" t="s">
        <v>520</v>
      </c>
      <c r="F2529" s="188" t="n">
        <v>2036</v>
      </c>
      <c r="G2529" s="189" t="n">
        <v>37</v>
      </c>
      <c r="H2529" s="190" t="n">
        <v>2065.70393930495</v>
      </c>
      <c r="I2529" s="191" t="n">
        <v>4309143.36832169</v>
      </c>
      <c r="J2529" s="192" t="str">
        <f>IF(I2529&gt;0,H2529/I2529,0)</f>
      </c>
      <c r="K2529" s="193" t="str">
        <f>1-EXP(-J2529)</f>
      </c>
      <c r="L2529" s="194" t="str">
        <f>IF(G2529=30,1,M2528)</f>
      </c>
      <c r="M2529" s="195" t="str">
        <f>L2529*(1-K2529)</f>
      </c>
    </row>
    <row r="2530">
      <c r="A2530" t="s">
        <v>167</v>
      </c>
      <c r="B2530" t="s">
        <v>250</v>
      </c>
      <c r="C2530" s="35" t="s">
        <v>252</v>
      </c>
      <c r="D2530" t="s">
        <v>502</v>
      </c>
      <c r="E2530" t="s">
        <v>520</v>
      </c>
      <c r="F2530" s="188" t="n">
        <v>2036</v>
      </c>
      <c r="G2530" s="189" t="n">
        <v>38</v>
      </c>
      <c r="H2530" s="190" t="n">
        <v>2256.78982820187</v>
      </c>
      <c r="I2530" s="191" t="n">
        <v>4366592.52223328</v>
      </c>
      <c r="J2530" s="192" t="str">
        <f>IF(I2530&gt;0,H2530/I2530,0)</f>
      </c>
      <c r="K2530" s="193" t="str">
        <f>1-EXP(-J2530)</f>
      </c>
      <c r="L2530" s="194" t="str">
        <f>IF(G2530=30,1,M2529)</f>
      </c>
      <c r="M2530" s="195" t="str">
        <f>L2530*(1-K2530)</f>
      </c>
    </row>
    <row r="2531">
      <c r="A2531" t="s">
        <v>167</v>
      </c>
      <c r="B2531" t="s">
        <v>250</v>
      </c>
      <c r="C2531" s="35" t="s">
        <v>252</v>
      </c>
      <c r="D2531" t="s">
        <v>502</v>
      </c>
      <c r="E2531" t="s">
        <v>520</v>
      </c>
      <c r="F2531" s="188" t="n">
        <v>2036</v>
      </c>
      <c r="G2531" s="189" t="n">
        <v>39</v>
      </c>
      <c r="H2531" s="190" t="n">
        <v>2725.19026940494</v>
      </c>
      <c r="I2531" s="191" t="n">
        <v>4502114.69776033</v>
      </c>
      <c r="J2531" s="192" t="str">
        <f>IF(I2531&gt;0,H2531/I2531,0)</f>
      </c>
      <c r="K2531" s="193" t="str">
        <f>1-EXP(-J2531)</f>
      </c>
      <c r="L2531" s="194" t="str">
        <f>IF(G2531=30,1,M2530)</f>
      </c>
      <c r="M2531" s="195" t="str">
        <f>L2531*(1-K2531)</f>
      </c>
    </row>
    <row r="2532">
      <c r="A2532" t="s">
        <v>167</v>
      </c>
      <c r="B2532" t="s">
        <v>250</v>
      </c>
      <c r="C2532" s="35" t="s">
        <v>252</v>
      </c>
      <c r="D2532" t="s">
        <v>502</v>
      </c>
      <c r="E2532" t="s">
        <v>520</v>
      </c>
      <c r="F2532" s="188" t="n">
        <v>2036</v>
      </c>
      <c r="G2532" s="189" t="n">
        <v>40</v>
      </c>
      <c r="H2532" s="190" t="n">
        <v>3612.90758428768</v>
      </c>
      <c r="I2532" s="191" t="n">
        <v>4456659.22486152</v>
      </c>
      <c r="J2532" s="192" t="str">
        <f>IF(I2532&gt;0,H2532/I2532,0)</f>
      </c>
      <c r="K2532" s="193" t="str">
        <f>1-EXP(-J2532)</f>
      </c>
      <c r="L2532" s="194" t="str">
        <f>IF(G2532=30,1,M2531)</f>
      </c>
      <c r="M2532" s="195" t="str">
        <f>L2532*(1-K2532)</f>
      </c>
    </row>
    <row r="2533">
      <c r="A2533" t="s">
        <v>167</v>
      </c>
      <c r="B2533" t="s">
        <v>250</v>
      </c>
      <c r="C2533" s="35" t="s">
        <v>252</v>
      </c>
      <c r="D2533" t="s">
        <v>502</v>
      </c>
      <c r="E2533" t="s">
        <v>520</v>
      </c>
      <c r="F2533" s="188" t="n">
        <v>2036</v>
      </c>
      <c r="G2533" s="189" t="n">
        <v>41</v>
      </c>
      <c r="H2533" s="190" t="n">
        <v>3832.75963604722</v>
      </c>
      <c r="I2533" s="191" t="n">
        <v>4380238.04458893</v>
      </c>
      <c r="J2533" s="192" t="str">
        <f>IF(I2533&gt;0,H2533/I2533,0)</f>
      </c>
      <c r="K2533" s="193" t="str">
        <f>1-EXP(-J2533)</f>
      </c>
      <c r="L2533" s="194" t="str">
        <f>IF(G2533=30,1,M2532)</f>
      </c>
      <c r="M2533" s="195" t="str">
        <f>L2533*(1-K2533)</f>
      </c>
    </row>
    <row r="2534">
      <c r="A2534" t="s">
        <v>167</v>
      </c>
      <c r="B2534" t="s">
        <v>250</v>
      </c>
      <c r="C2534" s="35" t="s">
        <v>252</v>
      </c>
      <c r="D2534" t="s">
        <v>502</v>
      </c>
      <c r="E2534" t="s">
        <v>520</v>
      </c>
      <c r="F2534" s="188" t="n">
        <v>2036</v>
      </c>
      <c r="G2534" s="189" t="n">
        <v>42</v>
      </c>
      <c r="H2534" s="190" t="n">
        <v>4097.21937008696</v>
      </c>
      <c r="I2534" s="191" t="n">
        <v>4319849.96506264</v>
      </c>
      <c r="J2534" s="192" t="str">
        <f>IF(I2534&gt;0,H2534/I2534,0)</f>
      </c>
      <c r="K2534" s="193" t="str">
        <f>1-EXP(-J2534)</f>
      </c>
      <c r="L2534" s="194" t="str">
        <f>IF(G2534=30,1,M2533)</f>
      </c>
      <c r="M2534" s="195" t="str">
        <f>L2534*(1-K2534)</f>
      </c>
    </row>
    <row r="2535">
      <c r="A2535" t="s">
        <v>167</v>
      </c>
      <c r="B2535" t="s">
        <v>250</v>
      </c>
      <c r="C2535" s="35" t="s">
        <v>252</v>
      </c>
      <c r="D2535" t="s">
        <v>502</v>
      </c>
      <c r="E2535" t="s">
        <v>520</v>
      </c>
      <c r="F2535" s="188" t="n">
        <v>2036</v>
      </c>
      <c r="G2535" s="189" t="n">
        <v>43</v>
      </c>
      <c r="H2535" s="190" t="n">
        <v>4395.12507378118</v>
      </c>
      <c r="I2535" s="191" t="n">
        <v>4262683.54089731</v>
      </c>
      <c r="J2535" s="192" t="str">
        <f>IF(I2535&gt;0,H2535/I2535,0)</f>
      </c>
      <c r="K2535" s="193" t="str">
        <f>1-EXP(-J2535)</f>
      </c>
      <c r="L2535" s="194" t="str">
        <f>IF(G2535=30,1,M2534)</f>
      </c>
      <c r="M2535" s="195" t="str">
        <f>L2535*(1-K2535)</f>
      </c>
    </row>
    <row r="2536">
      <c r="A2536" t="s">
        <v>167</v>
      </c>
      <c r="B2536" t="s">
        <v>250</v>
      </c>
      <c r="C2536" s="35" t="s">
        <v>252</v>
      </c>
      <c r="D2536" t="s">
        <v>502</v>
      </c>
      <c r="E2536" t="s">
        <v>520</v>
      </c>
      <c r="F2536" s="188" t="n">
        <v>2036</v>
      </c>
      <c r="G2536" s="189" t="n">
        <v>44</v>
      </c>
      <c r="H2536" s="190" t="n">
        <v>4823.02886692044</v>
      </c>
      <c r="I2536" s="191" t="n">
        <v>4295238.73587394</v>
      </c>
      <c r="J2536" s="192" t="str">
        <f>IF(I2536&gt;0,H2536/I2536,0)</f>
      </c>
      <c r="K2536" s="193" t="str">
        <f>1-EXP(-J2536)</f>
      </c>
      <c r="L2536" s="194" t="str">
        <f>IF(G2536=30,1,M2535)</f>
      </c>
      <c r="M2536" s="195" t="str">
        <f>L2536*(1-K2536)</f>
      </c>
    </row>
    <row r="2537">
      <c r="A2537" t="s">
        <v>167</v>
      </c>
      <c r="B2537" t="s">
        <v>250</v>
      </c>
      <c r="C2537" s="35" t="s">
        <v>252</v>
      </c>
      <c r="D2537" t="s">
        <v>502</v>
      </c>
      <c r="E2537" t="s">
        <v>520</v>
      </c>
      <c r="F2537" s="188" t="n">
        <v>2036</v>
      </c>
      <c r="G2537" s="189" t="n">
        <v>45</v>
      </c>
      <c r="H2537" s="190" t="n">
        <v>6226.56037412692</v>
      </c>
      <c r="I2537" s="191" t="n">
        <v>4307727.79531255</v>
      </c>
      <c r="J2537" s="192" t="str">
        <f>IF(I2537&gt;0,H2537/I2537,0)</f>
      </c>
      <c r="K2537" s="193" t="str">
        <f>1-EXP(-J2537)</f>
      </c>
      <c r="L2537" s="194" t="str">
        <f>IF(G2537=30,1,M2536)</f>
      </c>
      <c r="M2537" s="195" t="str">
        <f>L2537*(1-K2537)</f>
      </c>
    </row>
    <row r="2538">
      <c r="A2538" t="s">
        <v>167</v>
      </c>
      <c r="B2538" t="s">
        <v>250</v>
      </c>
      <c r="C2538" s="35" t="s">
        <v>252</v>
      </c>
      <c r="D2538" t="s">
        <v>502</v>
      </c>
      <c r="E2538" t="s">
        <v>520</v>
      </c>
      <c r="F2538" s="188" t="n">
        <v>2036</v>
      </c>
      <c r="G2538" s="189" t="n">
        <v>46</v>
      </c>
      <c r="H2538" s="190" t="n">
        <v>9284.32390471405</v>
      </c>
      <c r="I2538" s="191" t="n">
        <v>6338175.49144472</v>
      </c>
      <c r="J2538" s="192" t="str">
        <f>IF(I2538&gt;0,H2538/I2538,0)</f>
      </c>
      <c r="K2538" s="193" t="str">
        <f>1-EXP(-J2538)</f>
      </c>
      <c r="L2538" s="194" t="str">
        <f>IF(G2538=30,1,M2537)</f>
      </c>
      <c r="M2538" s="195" t="str">
        <f>L2538*(1-K2538)</f>
      </c>
    </row>
    <row r="2539">
      <c r="A2539" t="s">
        <v>167</v>
      </c>
      <c r="B2539" t="s">
        <v>250</v>
      </c>
      <c r="C2539" s="35" t="s">
        <v>252</v>
      </c>
      <c r="D2539" t="s">
        <v>502</v>
      </c>
      <c r="E2539" t="s">
        <v>520</v>
      </c>
      <c r="F2539" s="188" t="n">
        <v>2036</v>
      </c>
      <c r="G2539" s="189" t="n">
        <v>47</v>
      </c>
      <c r="H2539" s="190" t="n">
        <v>7362.25775806939</v>
      </c>
      <c r="I2539" s="191" t="n">
        <v>4253523.36866541</v>
      </c>
      <c r="J2539" s="192" t="str">
        <f>IF(I2539&gt;0,H2539/I2539,0)</f>
      </c>
      <c r="K2539" s="193" t="str">
        <f>1-EXP(-J2539)</f>
      </c>
      <c r="L2539" s="194" t="str">
        <f>IF(G2539=30,1,M2538)</f>
      </c>
      <c r="M2539" s="195" t="str">
        <f>L2539*(1-K2539)</f>
      </c>
    </row>
    <row r="2540">
      <c r="A2540" t="s">
        <v>167</v>
      </c>
      <c r="B2540" t="s">
        <v>250</v>
      </c>
      <c r="C2540" s="35" t="s">
        <v>252</v>
      </c>
      <c r="D2540" t="s">
        <v>502</v>
      </c>
      <c r="E2540" t="s">
        <v>520</v>
      </c>
      <c r="F2540" s="188" t="n">
        <v>2036</v>
      </c>
      <c r="G2540" s="189" t="n">
        <v>48</v>
      </c>
      <c r="H2540" s="190" t="n">
        <v>8025.58105904829</v>
      </c>
      <c r="I2540" s="191" t="n">
        <v>4229751.21487512</v>
      </c>
      <c r="J2540" s="192" t="str">
        <f>IF(I2540&gt;0,H2540/I2540,0)</f>
      </c>
      <c r="K2540" s="193" t="str">
        <f>1-EXP(-J2540)</f>
      </c>
      <c r="L2540" s="194" t="str">
        <f>IF(G2540=30,1,M2539)</f>
      </c>
      <c r="M2540" s="195" t="str">
        <f>L2540*(1-K2540)</f>
      </c>
    </row>
    <row r="2541">
      <c r="A2541" t="s">
        <v>167</v>
      </c>
      <c r="B2541" t="s">
        <v>250</v>
      </c>
      <c r="C2541" s="35" t="s">
        <v>252</v>
      </c>
      <c r="D2541" t="s">
        <v>502</v>
      </c>
      <c r="E2541" t="s">
        <v>520</v>
      </c>
      <c r="F2541" s="188" t="n">
        <v>2036</v>
      </c>
      <c r="G2541" s="189" t="n">
        <v>49</v>
      </c>
      <c r="H2541" s="190" t="n">
        <v>8513.58806470962</v>
      </c>
      <c r="I2541" s="191" t="n">
        <v>4092203.0375816</v>
      </c>
      <c r="J2541" s="192" t="str">
        <f>IF(I2541&gt;0,H2541/I2541,0)</f>
      </c>
      <c r="K2541" s="193" t="str">
        <f>1-EXP(-J2541)</f>
      </c>
      <c r="L2541" s="194" t="str">
        <f>IF(G2541=30,1,M2540)</f>
      </c>
      <c r="M2541" s="195" t="str">
        <f>L2541*(1-K2541)</f>
      </c>
    </row>
    <row r="2542">
      <c r="A2542" t="s">
        <v>167</v>
      </c>
      <c r="B2542" t="s">
        <v>250</v>
      </c>
      <c r="C2542" s="35" t="s">
        <v>252</v>
      </c>
      <c r="D2542" t="s">
        <v>502</v>
      </c>
      <c r="E2542" t="s">
        <v>520</v>
      </c>
      <c r="F2542" s="188" t="n">
        <v>2036</v>
      </c>
      <c r="G2542" s="189" t="n">
        <v>50</v>
      </c>
      <c r="H2542" s="190" t="n">
        <v>9733.64499196227</v>
      </c>
      <c r="I2542" s="191" t="n">
        <v>4049589.22536131</v>
      </c>
      <c r="J2542" s="192" t="str">
        <f>IF(I2542&gt;0,H2542/I2542,0)</f>
      </c>
      <c r="K2542" s="193" t="str">
        <f>1-EXP(-J2542)</f>
      </c>
      <c r="L2542" s="194" t="str">
        <f>IF(G2542=30,1,M2541)</f>
      </c>
      <c r="M2542" s="195" t="str">
        <f>L2542*(1-K2542)</f>
      </c>
    </row>
    <row r="2543">
      <c r="A2543" t="s">
        <v>167</v>
      </c>
      <c r="B2543" t="s">
        <v>250</v>
      </c>
      <c r="C2543" s="35" t="s">
        <v>252</v>
      </c>
      <c r="D2543" t="s">
        <v>502</v>
      </c>
      <c r="E2543" t="s">
        <v>520</v>
      </c>
      <c r="F2543" s="188" t="n">
        <v>2036</v>
      </c>
      <c r="G2543" s="189" t="n">
        <v>51</v>
      </c>
      <c r="H2543" s="190" t="n">
        <v>10776.3635565629</v>
      </c>
      <c r="I2543" s="191" t="n">
        <v>4096448.47825405</v>
      </c>
      <c r="J2543" s="192" t="str">
        <f>IF(I2543&gt;0,H2543/I2543,0)</f>
      </c>
      <c r="K2543" s="193" t="str">
        <f>1-EXP(-J2543)</f>
      </c>
      <c r="L2543" s="194" t="str">
        <f>IF(G2543=30,1,M2542)</f>
      </c>
      <c r="M2543" s="195" t="str">
        <f>L2543*(1-K2543)</f>
      </c>
    </row>
    <row r="2544">
      <c r="A2544" t="s">
        <v>167</v>
      </c>
      <c r="B2544" t="s">
        <v>250</v>
      </c>
      <c r="C2544" s="35" t="s">
        <v>252</v>
      </c>
      <c r="D2544" t="s">
        <v>502</v>
      </c>
      <c r="E2544" t="s">
        <v>520</v>
      </c>
      <c r="F2544" s="188" t="n">
        <v>2036</v>
      </c>
      <c r="G2544" s="189" t="n">
        <v>52</v>
      </c>
      <c r="H2544" s="190" t="n">
        <v>11981.4069018369</v>
      </c>
      <c r="I2544" s="191" t="n">
        <v>4167073.49866804</v>
      </c>
      <c r="J2544" s="192" t="str">
        <f>IF(I2544&gt;0,H2544/I2544,0)</f>
      </c>
      <c r="K2544" s="193" t="str">
        <f>1-EXP(-J2544)</f>
      </c>
      <c r="L2544" s="194" t="str">
        <f>IF(G2544=30,1,M2543)</f>
      </c>
      <c r="M2544" s="195" t="str">
        <f>L2544*(1-K2544)</f>
      </c>
    </row>
    <row r="2545">
      <c r="A2545" t="s">
        <v>167</v>
      </c>
      <c r="B2545" t="s">
        <v>250</v>
      </c>
      <c r="C2545" s="35" t="s">
        <v>252</v>
      </c>
      <c r="D2545" t="s">
        <v>502</v>
      </c>
      <c r="E2545" t="s">
        <v>520</v>
      </c>
      <c r="F2545" s="188" t="n">
        <v>2036</v>
      </c>
      <c r="G2545" s="189" t="n">
        <v>53</v>
      </c>
      <c r="H2545" s="190" t="n">
        <v>12970.6207171019</v>
      </c>
      <c r="I2545" s="191" t="n">
        <v>4130902.83191278</v>
      </c>
      <c r="J2545" s="192" t="str">
        <f>IF(I2545&gt;0,H2545/I2545,0)</f>
      </c>
      <c r="K2545" s="193" t="str">
        <f>1-EXP(-J2545)</f>
      </c>
      <c r="L2545" s="194" t="str">
        <f>IF(G2545=30,1,M2544)</f>
      </c>
      <c r="M2545" s="195" t="str">
        <f>L2545*(1-K2545)</f>
      </c>
    </row>
    <row r="2546">
      <c r="A2546" t="s">
        <v>167</v>
      </c>
      <c r="B2546" t="s">
        <v>250</v>
      </c>
      <c r="C2546" s="35" t="s">
        <v>252</v>
      </c>
      <c r="D2546" t="s">
        <v>502</v>
      </c>
      <c r="E2546" t="s">
        <v>520</v>
      </c>
      <c r="F2546" s="188" t="n">
        <v>2036</v>
      </c>
      <c r="G2546" s="189" t="n">
        <v>54</v>
      </c>
      <c r="H2546" s="190" t="n">
        <v>13671.0192145938</v>
      </c>
      <c r="I2546" s="191" t="n">
        <v>3985415.17777104</v>
      </c>
      <c r="J2546" s="192" t="str">
        <f>IF(I2546&gt;0,H2546/I2546,0)</f>
      </c>
      <c r="K2546" s="193" t="str">
        <f>1-EXP(-J2546)</f>
      </c>
      <c r="L2546" s="194" t="str">
        <f>IF(G2546=30,1,M2545)</f>
      </c>
      <c r="M2546" s="195" t="str">
        <f>L2546*(1-K2546)</f>
      </c>
    </row>
    <row r="2547">
      <c r="A2547" t="s">
        <v>167</v>
      </c>
      <c r="B2547" t="s">
        <v>250</v>
      </c>
      <c r="C2547" s="35" t="s">
        <v>252</v>
      </c>
      <c r="D2547" t="s">
        <v>502</v>
      </c>
      <c r="E2547" t="s">
        <v>520</v>
      </c>
      <c r="F2547" s="188" t="n">
        <v>2036</v>
      </c>
      <c r="G2547" s="189" t="n">
        <v>55</v>
      </c>
      <c r="H2547" s="190" t="n">
        <v>14583.2404927435</v>
      </c>
      <c r="I2547" s="191" t="n">
        <v>3899618.63941843</v>
      </c>
      <c r="J2547" s="192" t="str">
        <f>IF(I2547&gt;0,H2547/I2547,0)</f>
      </c>
      <c r="K2547" s="193" t="str">
        <f>1-EXP(-J2547)</f>
      </c>
      <c r="L2547" s="194" t="str">
        <f>IF(G2547=30,1,M2546)</f>
      </c>
      <c r="M2547" s="195" t="str">
        <f>L2547*(1-K2547)</f>
      </c>
    </row>
    <row r="2548">
      <c r="A2548" t="s">
        <v>167</v>
      </c>
      <c r="B2548" t="s">
        <v>250</v>
      </c>
      <c r="C2548" s="35" t="s">
        <v>252</v>
      </c>
      <c r="D2548" t="s">
        <v>502</v>
      </c>
      <c r="E2548" t="s">
        <v>520</v>
      </c>
      <c r="F2548" s="188" t="n">
        <v>2036</v>
      </c>
      <c r="G2548" s="189" t="n">
        <v>56</v>
      </c>
      <c r="H2548" s="190" t="n">
        <v>15606.282954612</v>
      </c>
      <c r="I2548" s="191" t="n">
        <v>3827959.25012551</v>
      </c>
      <c r="J2548" s="192" t="str">
        <f>IF(I2548&gt;0,H2548/I2548,0)</f>
      </c>
      <c r="K2548" s="193" t="str">
        <f>1-EXP(-J2548)</f>
      </c>
      <c r="L2548" s="194" t="str">
        <f>IF(G2548=30,1,M2547)</f>
      </c>
      <c r="M2548" s="195" t="str">
        <f>L2548*(1-K2548)</f>
      </c>
    </row>
    <row r="2549">
      <c r="A2549" t="s">
        <v>167</v>
      </c>
      <c r="B2549" t="s">
        <v>250</v>
      </c>
      <c r="C2549" s="35" t="s">
        <v>252</v>
      </c>
      <c r="D2549" t="s">
        <v>502</v>
      </c>
      <c r="E2549" t="s">
        <v>520</v>
      </c>
      <c r="F2549" s="188" t="n">
        <v>2036</v>
      </c>
      <c r="G2549" s="189" t="n">
        <v>57</v>
      </c>
      <c r="H2549" s="190" t="n">
        <v>16699.4004394487</v>
      </c>
      <c r="I2549" s="191" t="n">
        <v>3750537.03262726</v>
      </c>
      <c r="J2549" s="192" t="str">
        <f>IF(I2549&gt;0,H2549/I2549,0)</f>
      </c>
      <c r="K2549" s="193" t="str">
        <f>1-EXP(-J2549)</f>
      </c>
      <c r="L2549" s="194" t="str">
        <f>IF(G2549=30,1,M2548)</f>
      </c>
      <c r="M2549" s="195" t="str">
        <f>L2549*(1-K2549)</f>
      </c>
    </row>
    <row r="2550">
      <c r="A2550" t="s">
        <v>167</v>
      </c>
      <c r="B2550" t="s">
        <v>250</v>
      </c>
      <c r="C2550" s="35" t="s">
        <v>252</v>
      </c>
      <c r="D2550" t="s">
        <v>502</v>
      </c>
      <c r="E2550" t="s">
        <v>520</v>
      </c>
      <c r="F2550" s="188" t="n">
        <v>2036</v>
      </c>
      <c r="G2550" s="189" t="n">
        <v>58</v>
      </c>
      <c r="H2550" s="190" t="n">
        <v>17783.8808162883</v>
      </c>
      <c r="I2550" s="191" t="n">
        <v>3653829.96393683</v>
      </c>
      <c r="J2550" s="192" t="str">
        <f>IF(I2550&gt;0,H2550/I2550,0)</f>
      </c>
      <c r="K2550" s="193" t="str">
        <f>1-EXP(-J2550)</f>
      </c>
      <c r="L2550" s="194" t="str">
        <f>IF(G2550=30,1,M2549)</f>
      </c>
      <c r="M2550" s="195" t="str">
        <f>L2550*(1-K2550)</f>
      </c>
    </row>
    <row r="2551">
      <c r="A2551" t="s">
        <v>167</v>
      </c>
      <c r="B2551" t="s">
        <v>250</v>
      </c>
      <c r="C2551" s="35" t="s">
        <v>252</v>
      </c>
      <c r="D2551" t="s">
        <v>502</v>
      </c>
      <c r="E2551" t="s">
        <v>520</v>
      </c>
      <c r="F2551" s="188" t="n">
        <v>2036</v>
      </c>
      <c r="G2551" s="189" t="n">
        <v>59</v>
      </c>
      <c r="H2551" s="190" t="n">
        <v>19044.8868628486</v>
      </c>
      <c r="I2551" s="191" t="n">
        <v>3572200.49220974</v>
      </c>
      <c r="J2551" s="192" t="str">
        <f>IF(I2551&gt;0,H2551/I2551,0)</f>
      </c>
      <c r="K2551" s="193" t="str">
        <f>1-EXP(-J2551)</f>
      </c>
      <c r="L2551" s="194" t="str">
        <f>IF(G2551=30,1,M2550)</f>
      </c>
      <c r="M2551" s="195" t="str">
        <f>L2551*(1-K2551)</f>
      </c>
    </row>
    <row r="2552">
      <c r="A2552" t="s">
        <v>167</v>
      </c>
      <c r="B2552" t="s">
        <v>250</v>
      </c>
      <c r="C2552" s="35" t="s">
        <v>252</v>
      </c>
      <c r="D2552" t="s">
        <v>502</v>
      </c>
      <c r="E2552" t="s">
        <v>520</v>
      </c>
      <c r="F2552" s="188" t="n">
        <v>2036</v>
      </c>
      <c r="G2552" s="189" t="n">
        <v>60</v>
      </c>
      <c r="H2552" s="190" t="n">
        <v>20400.1147539649</v>
      </c>
      <c r="I2552" s="191" t="n">
        <v>3478660.07225136</v>
      </c>
      <c r="J2552" s="192" t="str">
        <f>IF(I2552&gt;0,H2552/I2552,0)</f>
      </c>
      <c r="K2552" s="193" t="str">
        <f>1-EXP(-J2552)</f>
      </c>
      <c r="L2552" s="194" t="str">
        <f>IF(G2552=30,1,M2551)</f>
      </c>
      <c r="M2552" s="195" t="str">
        <f>L2552*(1-K2552)</f>
      </c>
    </row>
    <row r="2553">
      <c r="A2553" t="s">
        <v>167</v>
      </c>
      <c r="B2553" t="s">
        <v>250</v>
      </c>
      <c r="C2553" s="35" t="s">
        <v>252</v>
      </c>
      <c r="D2553" t="s">
        <v>502</v>
      </c>
      <c r="E2553" t="s">
        <v>520</v>
      </c>
      <c r="F2553" s="188" t="n">
        <v>2036</v>
      </c>
      <c r="G2553" s="189" t="n">
        <v>61</v>
      </c>
      <c r="H2553" s="190" t="n">
        <v>21758.884051754</v>
      </c>
      <c r="I2553" s="191" t="n">
        <v>3383050.58056825</v>
      </c>
      <c r="J2553" s="192" t="str">
        <f>IF(I2553&gt;0,H2553/I2553,0)</f>
      </c>
      <c r="K2553" s="193" t="str">
        <f>1-EXP(-J2553)</f>
      </c>
      <c r="L2553" s="194" t="str">
        <f>IF(G2553=30,1,M2552)</f>
      </c>
      <c r="M2553" s="195" t="str">
        <f>L2553*(1-K2553)</f>
      </c>
    </row>
    <row r="2554">
      <c r="A2554" t="s">
        <v>167</v>
      </c>
      <c r="B2554" t="s">
        <v>250</v>
      </c>
      <c r="C2554" s="35" t="s">
        <v>252</v>
      </c>
      <c r="D2554" t="s">
        <v>502</v>
      </c>
      <c r="E2554" t="s">
        <v>520</v>
      </c>
      <c r="F2554" s="188" t="n">
        <v>2036</v>
      </c>
      <c r="G2554" s="189" t="n">
        <v>62</v>
      </c>
      <c r="H2554" s="190" t="n">
        <v>22974.5409268409</v>
      </c>
      <c r="I2554" s="191" t="n">
        <v>3261366.091423</v>
      </c>
      <c r="J2554" s="192" t="str">
        <f>IF(I2554&gt;0,H2554/I2554,0)</f>
      </c>
      <c r="K2554" s="193" t="str">
        <f>1-EXP(-J2554)</f>
      </c>
      <c r="L2554" s="194" t="str">
        <f>IF(G2554=30,1,M2553)</f>
      </c>
      <c r="M2554" s="195" t="str">
        <f>L2554*(1-K2554)</f>
      </c>
    </row>
    <row r="2555">
      <c r="A2555" t="s">
        <v>167</v>
      </c>
      <c r="B2555" t="s">
        <v>250</v>
      </c>
      <c r="C2555" s="35" t="s">
        <v>252</v>
      </c>
      <c r="D2555" t="s">
        <v>502</v>
      </c>
      <c r="E2555" t="s">
        <v>520</v>
      </c>
      <c r="F2555" s="188" t="n">
        <v>2036</v>
      </c>
      <c r="G2555" s="189" t="n">
        <v>63</v>
      </c>
      <c r="H2555" s="190" t="n">
        <v>24648.9083151399</v>
      </c>
      <c r="I2555" s="191" t="n">
        <v>3193873.44839063</v>
      </c>
      <c r="J2555" s="192" t="str">
        <f>IF(I2555&gt;0,H2555/I2555,0)</f>
      </c>
      <c r="K2555" s="193" t="str">
        <f>1-EXP(-J2555)</f>
      </c>
      <c r="L2555" s="194" t="str">
        <f>IF(G2555=30,1,M2554)</f>
      </c>
      <c r="M2555" s="195" t="str">
        <f>L2555*(1-K2555)</f>
      </c>
    </row>
    <row r="2556">
      <c r="A2556" t="s">
        <v>167</v>
      </c>
      <c r="B2556" t="s">
        <v>250</v>
      </c>
      <c r="C2556" s="35" t="s">
        <v>252</v>
      </c>
      <c r="D2556" t="s">
        <v>502</v>
      </c>
      <c r="E2556" t="s">
        <v>520</v>
      </c>
      <c r="F2556" s="188" t="n">
        <v>2036</v>
      </c>
      <c r="G2556" s="189" t="n">
        <v>64</v>
      </c>
      <c r="H2556" s="190" t="n">
        <v>25202.456371261</v>
      </c>
      <c r="I2556" s="191" t="n">
        <v>2976345.08323525</v>
      </c>
      <c r="J2556" s="192" t="str">
        <f>IF(I2556&gt;0,H2556/I2556,0)</f>
      </c>
      <c r="K2556" s="193" t="str">
        <f>1-EXP(-J2556)</f>
      </c>
      <c r="L2556" s="194" t="str">
        <f>IF(G2556=30,1,M2555)</f>
      </c>
      <c r="M2556" s="195" t="str">
        <f>L2556*(1-K2556)</f>
      </c>
    </row>
    <row r="2557">
      <c r="A2557" t="s">
        <v>167</v>
      </c>
      <c r="B2557" t="s">
        <v>250</v>
      </c>
      <c r="C2557" s="35" t="s">
        <v>252</v>
      </c>
      <c r="D2557" t="s">
        <v>502</v>
      </c>
      <c r="E2557" t="s">
        <v>520</v>
      </c>
      <c r="F2557" s="188" t="n">
        <v>2036</v>
      </c>
      <c r="G2557" s="189" t="n">
        <v>65</v>
      </c>
      <c r="H2557" s="190" t="n">
        <v>25652.575164919</v>
      </c>
      <c r="I2557" s="191" t="n">
        <v>2869005.30755025</v>
      </c>
      <c r="J2557" s="192" t="str">
        <f>IF(I2557&gt;0,H2557/I2557,0)</f>
      </c>
      <c r="K2557" s="193" t="str">
        <f>1-EXP(-J2557)</f>
      </c>
      <c r="L2557" s="194" t="str">
        <f>IF(G2557=30,1,M2556)</f>
      </c>
      <c r="M2557" s="195" t="str">
        <f>L2557*(1-K2557)</f>
      </c>
    </row>
    <row r="2558">
      <c r="A2558" t="s">
        <v>167</v>
      </c>
      <c r="B2558" t="s">
        <v>250</v>
      </c>
      <c r="C2558" s="35" t="s">
        <v>252</v>
      </c>
      <c r="D2558" t="s">
        <v>502</v>
      </c>
      <c r="E2558" t="s">
        <v>520</v>
      </c>
      <c r="F2558" s="188" t="n">
        <v>2036</v>
      </c>
      <c r="G2558" s="189" t="n">
        <v>66</v>
      </c>
      <c r="H2558" s="190" t="n">
        <v>27109.7011365577</v>
      </c>
      <c r="I2558" s="191" t="n">
        <v>2765056.56026261</v>
      </c>
      <c r="J2558" s="192" t="str">
        <f>IF(I2558&gt;0,H2558/I2558,0)</f>
      </c>
      <c r="K2558" s="193" t="str">
        <f>1-EXP(-J2558)</f>
      </c>
      <c r="L2558" s="194" t="str">
        <f>IF(G2558=30,1,M2557)</f>
      </c>
      <c r="M2558" s="195" t="str">
        <f>L2558*(1-K2558)</f>
      </c>
    </row>
    <row r="2559">
      <c r="A2559" t="s">
        <v>167</v>
      </c>
      <c r="B2559" t="s">
        <v>250</v>
      </c>
      <c r="C2559" s="35" t="s">
        <v>252</v>
      </c>
      <c r="D2559" t="s">
        <v>502</v>
      </c>
      <c r="E2559" t="s">
        <v>520</v>
      </c>
      <c r="F2559" s="188" t="n">
        <v>2036</v>
      </c>
      <c r="G2559" s="189" t="n">
        <v>67</v>
      </c>
      <c r="H2559" s="190" t="n">
        <v>28528.6178356348</v>
      </c>
      <c r="I2559" s="191" t="n">
        <v>2651657.00045108</v>
      </c>
      <c r="J2559" s="192" t="str">
        <f>IF(I2559&gt;0,H2559/I2559,0)</f>
      </c>
      <c r="K2559" s="193" t="str">
        <f>1-EXP(-J2559)</f>
      </c>
      <c r="L2559" s="194" t="str">
        <f>IF(G2559=30,1,M2558)</f>
      </c>
      <c r="M2559" s="195" t="str">
        <f>L2559*(1-K2559)</f>
      </c>
    </row>
    <row r="2560">
      <c r="A2560" t="s">
        <v>167</v>
      </c>
      <c r="B2560" t="s">
        <v>250</v>
      </c>
      <c r="C2560" s="35" t="s">
        <v>252</v>
      </c>
      <c r="D2560" t="s">
        <v>502</v>
      </c>
      <c r="E2560" t="s">
        <v>520</v>
      </c>
      <c r="F2560" s="188" t="n">
        <v>2036</v>
      </c>
      <c r="G2560" s="189" t="n">
        <v>68</v>
      </c>
      <c r="H2560" s="190" t="n">
        <v>29777.5875631969</v>
      </c>
      <c r="I2560" s="191" t="n">
        <v>2520463.89129921</v>
      </c>
      <c r="J2560" s="192" t="str">
        <f>IF(I2560&gt;0,H2560/I2560,0)</f>
      </c>
      <c r="K2560" s="193" t="str">
        <f>1-EXP(-J2560)</f>
      </c>
      <c r="L2560" s="194" t="str">
        <f>IF(G2560=30,1,M2559)</f>
      </c>
      <c r="M2560" s="195" t="str">
        <f>L2560*(1-K2560)</f>
      </c>
    </row>
    <row r="2561">
      <c r="A2561" t="s">
        <v>167</v>
      </c>
      <c r="B2561" t="s">
        <v>250</v>
      </c>
      <c r="C2561" s="35" t="s">
        <v>252</v>
      </c>
      <c r="D2561" t="s">
        <v>502</v>
      </c>
      <c r="E2561" t="s">
        <v>520</v>
      </c>
      <c r="F2561" s="188" t="n">
        <v>2036</v>
      </c>
      <c r="G2561" s="189" t="n">
        <v>69</v>
      </c>
      <c r="H2561" s="190" t="n">
        <v>30697.7150827779</v>
      </c>
      <c r="I2561" s="191" t="n">
        <v>2362225.08074919</v>
      </c>
      <c r="J2561" s="192" t="str">
        <f>IF(I2561&gt;0,H2561/I2561,0)</f>
      </c>
      <c r="K2561" s="193" t="str">
        <f>1-EXP(-J2561)</f>
      </c>
      <c r="L2561" s="194" t="str">
        <f>IF(G2561=30,1,M2560)</f>
      </c>
      <c r="M2561" s="195" t="str">
        <f>L2561*(1-K2561)</f>
      </c>
    </row>
    <row r="2562">
      <c r="A2562" t="s">
        <v>167</v>
      </c>
      <c r="B2562" t="s">
        <v>250</v>
      </c>
      <c r="C2562" s="35" t="s">
        <v>252</v>
      </c>
      <c r="D2562" t="s">
        <v>502</v>
      </c>
      <c r="E2562" t="s">
        <v>520</v>
      </c>
      <c r="F2562" s="188" t="n">
        <v>2037</v>
      </c>
      <c r="G2562" s="189" t="n">
        <v>30</v>
      </c>
      <c r="H2562" s="190" t="n">
        <v>829.435705941328</v>
      </c>
      <c r="I2562" s="191" t="n">
        <v>4685560.57154951</v>
      </c>
      <c r="J2562" s="192" t="str">
        <f>IF(I2562&gt;0,H2562/I2562,0)</f>
      </c>
      <c r="K2562" s="193" t="str">
        <f>1-EXP(-J2562)</f>
      </c>
      <c r="L2562" s="194" t="str">
        <f>IF(G2562=30,1,M2561)</f>
      </c>
      <c r="M2562" s="195" t="str">
        <f>L2562*(1-K2562)</f>
      </c>
    </row>
    <row r="2563">
      <c r="A2563" t="s">
        <v>167</v>
      </c>
      <c r="B2563" t="s">
        <v>250</v>
      </c>
      <c r="C2563" s="35" t="s">
        <v>252</v>
      </c>
      <c r="D2563" t="s">
        <v>502</v>
      </c>
      <c r="E2563" t="s">
        <v>520</v>
      </c>
      <c r="F2563" s="188" t="n">
        <v>2037</v>
      </c>
      <c r="G2563" s="189" t="n">
        <v>31</v>
      </c>
      <c r="H2563" s="190" t="n">
        <v>1019.97924160872</v>
      </c>
      <c r="I2563" s="191" t="n">
        <v>4602513.76168177</v>
      </c>
      <c r="J2563" s="192" t="str">
        <f>IF(I2563&gt;0,H2563/I2563,0)</f>
      </c>
      <c r="K2563" s="193" t="str">
        <f>1-EXP(-J2563)</f>
      </c>
      <c r="L2563" s="194" t="str">
        <f>IF(G2563=30,1,M2562)</f>
      </c>
      <c r="M2563" s="195" t="str">
        <f>L2563*(1-K2563)</f>
      </c>
    </row>
    <row r="2564">
      <c r="A2564" t="s">
        <v>167</v>
      </c>
      <c r="B2564" t="s">
        <v>250</v>
      </c>
      <c r="C2564" s="35" t="s">
        <v>252</v>
      </c>
      <c r="D2564" t="s">
        <v>502</v>
      </c>
      <c r="E2564" t="s">
        <v>520</v>
      </c>
      <c r="F2564" s="188" t="n">
        <v>2037</v>
      </c>
      <c r="G2564" s="189" t="n">
        <v>32</v>
      </c>
      <c r="H2564" s="190" t="n">
        <v>1059.74821256701</v>
      </c>
      <c r="I2564" s="191" t="n">
        <v>4541705.85823112</v>
      </c>
      <c r="J2564" s="192" t="str">
        <f>IF(I2564&gt;0,H2564/I2564,0)</f>
      </c>
      <c r="K2564" s="193" t="str">
        <f>1-EXP(-J2564)</f>
      </c>
      <c r="L2564" s="194" t="str">
        <f>IF(G2564=30,1,M2563)</f>
      </c>
      <c r="M2564" s="195" t="str">
        <f>L2564*(1-K2564)</f>
      </c>
    </row>
    <row r="2565">
      <c r="A2565" t="s">
        <v>167</v>
      </c>
      <c r="B2565" t="s">
        <v>250</v>
      </c>
      <c r="C2565" s="35" t="s">
        <v>252</v>
      </c>
      <c r="D2565" t="s">
        <v>502</v>
      </c>
      <c r="E2565" t="s">
        <v>520</v>
      </c>
      <c r="F2565" s="188" t="n">
        <v>2037</v>
      </c>
      <c r="G2565" s="189" t="n">
        <v>33</v>
      </c>
      <c r="H2565" s="190" t="n">
        <v>1091.30939045549</v>
      </c>
      <c r="I2565" s="191" t="n">
        <v>4413140.55612369</v>
      </c>
      <c r="J2565" s="192" t="str">
        <f>IF(I2565&gt;0,H2565/I2565,0)</f>
      </c>
      <c r="K2565" s="193" t="str">
        <f>1-EXP(-J2565)</f>
      </c>
      <c r="L2565" s="194" t="str">
        <f>IF(G2565=30,1,M2564)</f>
      </c>
      <c r="M2565" s="195" t="str">
        <f>L2565*(1-K2565)</f>
      </c>
    </row>
    <row r="2566">
      <c r="A2566" t="s">
        <v>167</v>
      </c>
      <c r="B2566" t="s">
        <v>250</v>
      </c>
      <c r="C2566" s="35" t="s">
        <v>252</v>
      </c>
      <c r="D2566" t="s">
        <v>502</v>
      </c>
      <c r="E2566" t="s">
        <v>520</v>
      </c>
      <c r="F2566" s="188" t="n">
        <v>2037</v>
      </c>
      <c r="G2566" s="189" t="n">
        <v>34</v>
      </c>
      <c r="H2566" s="190" t="n">
        <v>1146.60298089176</v>
      </c>
      <c r="I2566" s="191" t="n">
        <v>4347592.01996334</v>
      </c>
      <c r="J2566" s="192" t="str">
        <f>IF(I2566&gt;0,H2566/I2566,0)</f>
      </c>
      <c r="K2566" s="193" t="str">
        <f>1-EXP(-J2566)</f>
      </c>
      <c r="L2566" s="194" t="str">
        <f>IF(G2566=30,1,M2565)</f>
      </c>
      <c r="M2566" s="195" t="str">
        <f>L2566*(1-K2566)</f>
      </c>
    </row>
    <row r="2567">
      <c r="A2567" t="s">
        <v>167</v>
      </c>
      <c r="B2567" t="s">
        <v>250</v>
      </c>
      <c r="C2567" s="35" t="s">
        <v>252</v>
      </c>
      <c r="D2567" t="s">
        <v>502</v>
      </c>
      <c r="E2567" t="s">
        <v>520</v>
      </c>
      <c r="F2567" s="188" t="n">
        <v>2037</v>
      </c>
      <c r="G2567" s="189" t="n">
        <v>35</v>
      </c>
      <c r="H2567" s="190" t="n">
        <v>1724.87047519243</v>
      </c>
      <c r="I2567" s="191" t="n">
        <v>4325595.09661437</v>
      </c>
      <c r="J2567" s="192" t="str">
        <f>IF(I2567&gt;0,H2567/I2567,0)</f>
      </c>
      <c r="K2567" s="193" t="str">
        <f>1-EXP(-J2567)</f>
      </c>
      <c r="L2567" s="194" t="str">
        <f>IF(G2567=30,1,M2566)</f>
      </c>
      <c r="M2567" s="195" t="str">
        <f>L2567*(1-K2567)</f>
      </c>
    </row>
    <row r="2568">
      <c r="A2568" t="s">
        <v>167</v>
      </c>
      <c r="B2568" t="s">
        <v>250</v>
      </c>
      <c r="C2568" s="35" t="s">
        <v>252</v>
      </c>
      <c r="D2568" t="s">
        <v>502</v>
      </c>
      <c r="E2568" t="s">
        <v>520</v>
      </c>
      <c r="F2568" s="188" t="n">
        <v>2037</v>
      </c>
      <c r="G2568" s="189" t="n">
        <v>36</v>
      </c>
      <c r="H2568" s="190" t="n">
        <v>1916.53378709437</v>
      </c>
      <c r="I2568" s="191" t="n">
        <v>4304574.30640636</v>
      </c>
      <c r="J2568" s="192" t="str">
        <f>IF(I2568&gt;0,H2568/I2568,0)</f>
      </c>
      <c r="K2568" s="193" t="str">
        <f>1-EXP(-J2568)</f>
      </c>
      <c r="L2568" s="194" t="str">
        <f>IF(G2568=30,1,M2567)</f>
      </c>
      <c r="M2568" s="195" t="str">
        <f>L2568*(1-K2568)</f>
      </c>
    </row>
    <row r="2569">
      <c r="A2569" t="s">
        <v>167</v>
      </c>
      <c r="B2569" t="s">
        <v>250</v>
      </c>
      <c r="C2569" s="35" t="s">
        <v>252</v>
      </c>
      <c r="D2569" t="s">
        <v>502</v>
      </c>
      <c r="E2569" t="s">
        <v>520</v>
      </c>
      <c r="F2569" s="188" t="n">
        <v>2037</v>
      </c>
      <c r="G2569" s="189" t="n">
        <v>37</v>
      </c>
      <c r="H2569" s="190" t="n">
        <v>2050.42164603006</v>
      </c>
      <c r="I2569" s="191" t="n">
        <v>4283451.5229269</v>
      </c>
      <c r="J2569" s="192" t="str">
        <f>IF(I2569&gt;0,H2569/I2569,0)</f>
      </c>
      <c r="K2569" s="193" t="str">
        <f>1-EXP(-J2569)</f>
      </c>
      <c r="L2569" s="194" t="str">
        <f>IF(G2569=30,1,M2568)</f>
      </c>
      <c r="M2569" s="195" t="str">
        <f>L2569*(1-K2569)</f>
      </c>
    </row>
    <row r="2570">
      <c r="A2570" t="s">
        <v>167</v>
      </c>
      <c r="B2570" t="s">
        <v>250</v>
      </c>
      <c r="C2570" s="35" t="s">
        <v>252</v>
      </c>
      <c r="D2570" t="s">
        <v>502</v>
      </c>
      <c r="E2570" t="s">
        <v>520</v>
      </c>
      <c r="F2570" s="188" t="n">
        <v>2037</v>
      </c>
      <c r="G2570" s="189" t="n">
        <v>38</v>
      </c>
      <c r="H2570" s="190" t="n">
        <v>2219.20498134342</v>
      </c>
      <c r="I2570" s="191" t="n">
        <v>4301597.79650828</v>
      </c>
      <c r="J2570" s="192" t="str">
        <f>IF(I2570&gt;0,H2570/I2570,0)</f>
      </c>
      <c r="K2570" s="193" t="str">
        <f>1-EXP(-J2570)</f>
      </c>
      <c r="L2570" s="194" t="str">
        <f>IF(G2570=30,1,M2569)</f>
      </c>
      <c r="M2570" s="195" t="str">
        <f>L2570*(1-K2570)</f>
      </c>
    </row>
    <row r="2571">
      <c r="A2571" t="s">
        <v>167</v>
      </c>
      <c r="B2571" t="s">
        <v>250</v>
      </c>
      <c r="C2571" s="35" t="s">
        <v>252</v>
      </c>
      <c r="D2571" t="s">
        <v>502</v>
      </c>
      <c r="E2571" t="s">
        <v>520</v>
      </c>
      <c r="F2571" s="188" t="n">
        <v>2037</v>
      </c>
      <c r="G2571" s="189" t="n">
        <v>39</v>
      </c>
      <c r="H2571" s="190" t="n">
        <v>2429.04816171877</v>
      </c>
      <c r="I2571" s="191" t="n">
        <v>4358385.36603936</v>
      </c>
      <c r="J2571" s="192" t="str">
        <f>IF(I2571&gt;0,H2571/I2571,0)</f>
      </c>
      <c r="K2571" s="193" t="str">
        <f>1-EXP(-J2571)</f>
      </c>
      <c r="L2571" s="194" t="str">
        <f>IF(G2571=30,1,M2570)</f>
      </c>
      <c r="M2571" s="195" t="str">
        <f>L2571*(1-K2571)</f>
      </c>
    </row>
    <row r="2572">
      <c r="A2572" t="s">
        <v>167</v>
      </c>
      <c r="B2572" t="s">
        <v>250</v>
      </c>
      <c r="C2572" s="35" t="s">
        <v>252</v>
      </c>
      <c r="D2572" t="s">
        <v>502</v>
      </c>
      <c r="E2572" t="s">
        <v>520</v>
      </c>
      <c r="F2572" s="188" t="n">
        <v>2037</v>
      </c>
      <c r="G2572" s="189" t="n">
        <v>40</v>
      </c>
      <c r="H2572" s="190" t="n">
        <v>3634.7730527879</v>
      </c>
      <c r="I2572" s="191" t="n">
        <v>4492768.3341126</v>
      </c>
      <c r="J2572" s="192" t="str">
        <f>IF(I2572&gt;0,H2572/I2572,0)</f>
      </c>
      <c r="K2572" s="193" t="str">
        <f>1-EXP(-J2572)</f>
      </c>
      <c r="L2572" s="194" t="str">
        <f>IF(G2572=30,1,M2571)</f>
      </c>
      <c r="M2572" s="195" t="str">
        <f>L2572*(1-K2572)</f>
      </c>
    </row>
    <row r="2573">
      <c r="A2573" t="s">
        <v>167</v>
      </c>
      <c r="B2573" t="s">
        <v>250</v>
      </c>
      <c r="C2573" s="35" t="s">
        <v>252</v>
      </c>
      <c r="D2573" t="s">
        <v>502</v>
      </c>
      <c r="E2573" t="s">
        <v>520</v>
      </c>
      <c r="F2573" s="188" t="n">
        <v>2037</v>
      </c>
      <c r="G2573" s="189" t="n">
        <v>41</v>
      </c>
      <c r="H2573" s="190" t="n">
        <v>3880.01026163886</v>
      </c>
      <c r="I2573" s="191" t="n">
        <v>4445894.809871</v>
      </c>
      <c r="J2573" s="192" t="str">
        <f>IF(I2573&gt;0,H2573/I2573,0)</f>
      </c>
      <c r="K2573" s="193" t="str">
        <f>1-EXP(-J2573)</f>
      </c>
      <c r="L2573" s="194" t="str">
        <f>IF(G2573=30,1,M2572)</f>
      </c>
      <c r="M2573" s="195" t="str">
        <f>L2573*(1-K2573)</f>
      </c>
    </row>
    <row r="2574">
      <c r="A2574" t="s">
        <v>167</v>
      </c>
      <c r="B2574" t="s">
        <v>250</v>
      </c>
      <c r="C2574" s="35" t="s">
        <v>252</v>
      </c>
      <c r="D2574" t="s">
        <v>502</v>
      </c>
      <c r="E2574" t="s">
        <v>520</v>
      </c>
      <c r="F2574" s="188" t="n">
        <v>2037</v>
      </c>
      <c r="G2574" s="189" t="n">
        <v>42</v>
      </c>
      <c r="H2574" s="190" t="n">
        <v>4132.39380637892</v>
      </c>
      <c r="I2574" s="191" t="n">
        <v>4369619.3454727</v>
      </c>
      <c r="J2574" s="192" t="str">
        <f>IF(I2574&gt;0,H2574/I2574,0)</f>
      </c>
      <c r="K2574" s="193" t="str">
        <f>1-EXP(-J2574)</f>
      </c>
      <c r="L2574" s="194" t="str">
        <f>IF(G2574=30,1,M2573)</f>
      </c>
      <c r="M2574" s="195" t="str">
        <f>L2574*(1-K2574)</f>
      </c>
    </row>
    <row r="2575">
      <c r="A2575" t="s">
        <v>167</v>
      </c>
      <c r="B2575" t="s">
        <v>250</v>
      </c>
      <c r="C2575" s="35" t="s">
        <v>252</v>
      </c>
      <c r="D2575" t="s">
        <v>502</v>
      </c>
      <c r="E2575" t="s">
        <v>520</v>
      </c>
      <c r="F2575" s="188" t="n">
        <v>2037</v>
      </c>
      <c r="G2575" s="189" t="n">
        <v>43</v>
      </c>
      <c r="H2575" s="190" t="n">
        <v>4428.06953413</v>
      </c>
      <c r="I2575" s="191" t="n">
        <v>4308520.50791046</v>
      </c>
      <c r="J2575" s="192" t="str">
        <f>IF(I2575&gt;0,H2575/I2575,0)</f>
      </c>
      <c r="K2575" s="193" t="str">
        <f>1-EXP(-J2575)</f>
      </c>
      <c r="L2575" s="194" t="str">
        <f>IF(G2575=30,1,M2574)</f>
      </c>
      <c r="M2575" s="195" t="str">
        <f>L2575*(1-K2575)</f>
      </c>
    </row>
    <row r="2576">
      <c r="A2576" t="s">
        <v>167</v>
      </c>
      <c r="B2576" t="s">
        <v>250</v>
      </c>
      <c r="C2576" s="35" t="s">
        <v>252</v>
      </c>
      <c r="D2576" t="s">
        <v>502</v>
      </c>
      <c r="E2576" t="s">
        <v>520</v>
      </c>
      <c r="F2576" s="188" t="n">
        <v>2037</v>
      </c>
      <c r="G2576" s="189" t="n">
        <v>44</v>
      </c>
      <c r="H2576" s="190" t="n">
        <v>4760.58926731297</v>
      </c>
      <c r="I2576" s="191" t="n">
        <v>4250555.88700117</v>
      </c>
      <c r="J2576" s="192" t="str">
        <f>IF(I2576&gt;0,H2576/I2576,0)</f>
      </c>
      <c r="K2576" s="193" t="str">
        <f>1-EXP(-J2576)</f>
      </c>
      <c r="L2576" s="194" t="str">
        <f>IF(G2576=30,1,M2575)</f>
      </c>
      <c r="M2576" s="195" t="str">
        <f>L2576*(1-K2576)</f>
      </c>
    </row>
    <row r="2577">
      <c r="A2577" t="s">
        <v>167</v>
      </c>
      <c r="B2577" t="s">
        <v>250</v>
      </c>
      <c r="C2577" s="35" t="s">
        <v>252</v>
      </c>
      <c r="D2577" t="s">
        <v>502</v>
      </c>
      <c r="E2577" t="s">
        <v>520</v>
      </c>
      <c r="F2577" s="188" t="n">
        <v>2037</v>
      </c>
      <c r="G2577" s="189" t="n">
        <v>45</v>
      </c>
      <c r="H2577" s="190" t="n">
        <v>6161.88405145133</v>
      </c>
      <c r="I2577" s="191" t="n">
        <v>4281955.22397779</v>
      </c>
      <c r="J2577" s="192" t="str">
        <f>IF(I2577&gt;0,H2577/I2577,0)</f>
      </c>
      <c r="K2577" s="193" t="str">
        <f>1-EXP(-J2577)</f>
      </c>
      <c r="L2577" s="194" t="str">
        <f>IF(G2577=30,1,M2576)</f>
      </c>
      <c r="M2577" s="195" t="str">
        <f>L2577*(1-K2577)</f>
      </c>
    </row>
    <row r="2578">
      <c r="A2578" t="s">
        <v>167</v>
      </c>
      <c r="B2578" t="s">
        <v>250</v>
      </c>
      <c r="C2578" s="35" t="s">
        <v>252</v>
      </c>
      <c r="D2578" t="s">
        <v>502</v>
      </c>
      <c r="E2578" t="s">
        <v>520</v>
      </c>
      <c r="F2578" s="188" t="n">
        <v>2037</v>
      </c>
      <c r="G2578" s="189" t="n">
        <v>46</v>
      </c>
      <c r="H2578" s="190" t="n">
        <v>6748.70490304713</v>
      </c>
      <c r="I2578" s="191" t="n">
        <v>4292202.33738876</v>
      </c>
      <c r="J2578" s="192" t="str">
        <f>IF(I2578&gt;0,H2578/I2578,0)</f>
      </c>
      <c r="K2578" s="193" t="str">
        <f>1-EXP(-J2578)</f>
      </c>
      <c r="L2578" s="194" t="str">
        <f>IF(G2578=30,1,M2577)</f>
      </c>
      <c r="M2578" s="195" t="str">
        <f>L2578*(1-K2578)</f>
      </c>
    </row>
    <row r="2579">
      <c r="A2579" t="s">
        <v>167</v>
      </c>
      <c r="B2579" t="s">
        <v>250</v>
      </c>
      <c r="C2579" s="35" t="s">
        <v>252</v>
      </c>
      <c r="D2579" t="s">
        <v>502</v>
      </c>
      <c r="E2579" t="s">
        <v>520</v>
      </c>
      <c r="F2579" s="188" t="n">
        <v>2037</v>
      </c>
      <c r="G2579" s="189" t="n">
        <v>47</v>
      </c>
      <c r="H2579" s="190" t="n">
        <v>10048.3110643276</v>
      </c>
      <c r="I2579" s="191" t="n">
        <v>6315919.72669871</v>
      </c>
      <c r="J2579" s="192" t="str">
        <f>IF(I2579&gt;0,H2579/I2579,0)</f>
      </c>
      <c r="K2579" s="193" t="str">
        <f>1-EXP(-J2579)</f>
      </c>
      <c r="L2579" s="194" t="str">
        <f>IF(G2579=30,1,M2578)</f>
      </c>
      <c r="M2579" s="195" t="str">
        <f>L2579*(1-K2579)</f>
      </c>
    </row>
    <row r="2580">
      <c r="A2580" t="s">
        <v>167</v>
      </c>
      <c r="B2580" t="s">
        <v>250</v>
      </c>
      <c r="C2580" s="35" t="s">
        <v>252</v>
      </c>
      <c r="D2580" t="s">
        <v>502</v>
      </c>
      <c r="E2580" t="s">
        <v>520</v>
      </c>
      <c r="F2580" s="188" t="n">
        <v>2037</v>
      </c>
      <c r="G2580" s="189" t="n">
        <v>48</v>
      </c>
      <c r="H2580" s="190" t="n">
        <v>7997.54612773039</v>
      </c>
      <c r="I2580" s="191" t="n">
        <v>4236279.47404851</v>
      </c>
      <c r="J2580" s="192" t="str">
        <f>IF(I2580&gt;0,H2580/I2580,0)</f>
      </c>
      <c r="K2580" s="193" t="str">
        <f>1-EXP(-J2580)</f>
      </c>
      <c r="L2580" s="194" t="str">
        <f>IF(G2580=30,1,M2579)</f>
      </c>
      <c r="M2580" s="195" t="str">
        <f>L2580*(1-K2580)</f>
      </c>
    </row>
    <row r="2581">
      <c r="A2581" t="s">
        <v>167</v>
      </c>
      <c r="B2581" t="s">
        <v>250</v>
      </c>
      <c r="C2581" s="35" t="s">
        <v>252</v>
      </c>
      <c r="D2581" t="s">
        <v>502</v>
      </c>
      <c r="E2581" t="s">
        <v>520</v>
      </c>
      <c r="F2581" s="188" t="n">
        <v>2037</v>
      </c>
      <c r="G2581" s="189" t="n">
        <v>49</v>
      </c>
      <c r="H2581" s="190" t="n">
        <v>8713.98425474401</v>
      </c>
      <c r="I2581" s="191" t="n">
        <v>4210969.95594259</v>
      </c>
      <c r="J2581" s="192" t="str">
        <f>IF(I2581&gt;0,H2581/I2581,0)</f>
      </c>
      <c r="K2581" s="193" t="str">
        <f>1-EXP(-J2581)</f>
      </c>
      <c r="L2581" s="194" t="str">
        <f>IF(G2581=30,1,M2580)</f>
      </c>
      <c r="M2581" s="195" t="str">
        <f>L2581*(1-K2581)</f>
      </c>
    </row>
    <row r="2582">
      <c r="A2582" t="s">
        <v>167</v>
      </c>
      <c r="B2582" t="s">
        <v>250</v>
      </c>
      <c r="C2582" s="35" t="s">
        <v>252</v>
      </c>
      <c r="D2582" t="s">
        <v>502</v>
      </c>
      <c r="E2582" t="s">
        <v>520</v>
      </c>
      <c r="F2582" s="188" t="n">
        <v>2037</v>
      </c>
      <c r="G2582" s="189" t="n">
        <v>50</v>
      </c>
      <c r="H2582" s="190" t="n">
        <v>9727.73801052239</v>
      </c>
      <c r="I2582" s="191" t="n">
        <v>4072293.99227659</v>
      </c>
      <c r="J2582" s="192" t="str">
        <f>IF(I2582&gt;0,H2582/I2582,0)</f>
      </c>
      <c r="K2582" s="193" t="str">
        <f>1-EXP(-J2582)</f>
      </c>
      <c r="L2582" s="194" t="str">
        <f>IF(G2582=30,1,M2581)</f>
      </c>
      <c r="M2582" s="195" t="str">
        <f>L2582*(1-K2582)</f>
      </c>
    </row>
    <row r="2583">
      <c r="A2583" t="s">
        <v>167</v>
      </c>
      <c r="B2583" t="s">
        <v>250</v>
      </c>
      <c r="C2583" s="35" t="s">
        <v>252</v>
      </c>
      <c r="D2583" t="s">
        <v>502</v>
      </c>
      <c r="E2583" t="s">
        <v>520</v>
      </c>
      <c r="F2583" s="188" t="n">
        <v>2037</v>
      </c>
      <c r="G2583" s="189" t="n">
        <v>51</v>
      </c>
      <c r="H2583" s="190" t="n">
        <v>10524.44913236</v>
      </c>
      <c r="I2583" s="191" t="n">
        <v>4027256.04050043</v>
      </c>
      <c r="J2583" s="192" t="str">
        <f>IF(I2583&gt;0,H2583/I2583,0)</f>
      </c>
      <c r="K2583" s="193" t="str">
        <f>1-EXP(-J2583)</f>
      </c>
      <c r="L2583" s="194" t="str">
        <f>IF(G2583=30,1,M2582)</f>
      </c>
      <c r="M2583" s="195" t="str">
        <f>L2583*(1-K2583)</f>
      </c>
    </row>
    <row r="2584">
      <c r="A2584" t="s">
        <v>167</v>
      </c>
      <c r="B2584" t="s">
        <v>250</v>
      </c>
      <c r="C2584" s="35" t="s">
        <v>252</v>
      </c>
      <c r="D2584" t="s">
        <v>502</v>
      </c>
      <c r="E2584" t="s">
        <v>520</v>
      </c>
      <c r="F2584" s="188" t="n">
        <v>2037</v>
      </c>
      <c r="G2584" s="189" t="n">
        <v>52</v>
      </c>
      <c r="H2584" s="190" t="n">
        <v>11633.7582637255</v>
      </c>
      <c r="I2584" s="191" t="n">
        <v>4072502.62513719</v>
      </c>
      <c r="J2584" s="192" t="str">
        <f>IF(I2584&gt;0,H2584/I2584,0)</f>
      </c>
      <c r="K2584" s="193" t="str">
        <f>1-EXP(-J2584)</f>
      </c>
      <c r="L2584" s="194" t="str">
        <f>IF(G2584=30,1,M2583)</f>
      </c>
      <c r="M2584" s="195" t="str">
        <f>L2584*(1-K2584)</f>
      </c>
    </row>
    <row r="2585">
      <c r="A2585" t="s">
        <v>167</v>
      </c>
      <c r="B2585" t="s">
        <v>250</v>
      </c>
      <c r="C2585" s="35" t="s">
        <v>252</v>
      </c>
      <c r="D2585" t="s">
        <v>502</v>
      </c>
      <c r="E2585" t="s">
        <v>520</v>
      </c>
      <c r="F2585" s="188" t="n">
        <v>2037</v>
      </c>
      <c r="G2585" s="189" t="n">
        <v>53</v>
      </c>
      <c r="H2585" s="190" t="n">
        <v>12915.7947011492</v>
      </c>
      <c r="I2585" s="191" t="n">
        <v>4140453.39797598</v>
      </c>
      <c r="J2585" s="192" t="str">
        <f>IF(I2585&gt;0,H2585/I2585,0)</f>
      </c>
      <c r="K2585" s="193" t="str">
        <f>1-EXP(-J2585)</f>
      </c>
      <c r="L2585" s="194" t="str">
        <f>IF(G2585=30,1,M2584)</f>
      </c>
      <c r="M2585" s="195" t="str">
        <f>L2585*(1-K2585)</f>
      </c>
    </row>
    <row r="2586">
      <c r="A2586" t="s">
        <v>167</v>
      </c>
      <c r="B2586" t="s">
        <v>250</v>
      </c>
      <c r="C2586" s="35" t="s">
        <v>252</v>
      </c>
      <c r="D2586" t="s">
        <v>502</v>
      </c>
      <c r="E2586" t="s">
        <v>520</v>
      </c>
      <c r="F2586" s="188" t="n">
        <v>2037</v>
      </c>
      <c r="G2586" s="189" t="n">
        <v>54</v>
      </c>
      <c r="H2586" s="190" t="n">
        <v>13963.2040998709</v>
      </c>
      <c r="I2586" s="191" t="n">
        <v>4102088.17876157</v>
      </c>
      <c r="J2586" s="192" t="str">
        <f>IF(I2586&gt;0,H2586/I2586,0)</f>
      </c>
      <c r="K2586" s="193" t="str">
        <f>1-EXP(-J2586)</f>
      </c>
      <c r="L2586" s="194" t="str">
        <f>IF(G2586=30,1,M2585)</f>
      </c>
      <c r="M2586" s="195" t="str">
        <f>L2586*(1-K2586)</f>
      </c>
    </row>
    <row r="2587">
      <c r="A2587" t="s">
        <v>167</v>
      </c>
      <c r="B2587" t="s">
        <v>250</v>
      </c>
      <c r="C2587" s="35" t="s">
        <v>252</v>
      </c>
      <c r="D2587" t="s">
        <v>502</v>
      </c>
      <c r="E2587" t="s">
        <v>520</v>
      </c>
      <c r="F2587" s="188" t="n">
        <v>2037</v>
      </c>
      <c r="G2587" s="189" t="n">
        <v>55</v>
      </c>
      <c r="H2587" s="190" t="n">
        <v>14661.7376673538</v>
      </c>
      <c r="I2587" s="191" t="n">
        <v>3955055.53259762</v>
      </c>
      <c r="J2587" s="192" t="str">
        <f>IF(I2587&gt;0,H2587/I2587,0)</f>
      </c>
      <c r="K2587" s="193" t="str">
        <f>1-EXP(-J2587)</f>
      </c>
      <c r="L2587" s="194" t="str">
        <f>IF(G2587=30,1,M2586)</f>
      </c>
      <c r="M2587" s="195" t="str">
        <f>L2587*(1-K2587)</f>
      </c>
    </row>
    <row r="2588">
      <c r="A2588" t="s">
        <v>167</v>
      </c>
      <c r="B2588" t="s">
        <v>250</v>
      </c>
      <c r="C2588" s="35" t="s">
        <v>252</v>
      </c>
      <c r="D2588" t="s">
        <v>502</v>
      </c>
      <c r="E2588" t="s">
        <v>520</v>
      </c>
      <c r="F2588" s="188" t="n">
        <v>2037</v>
      </c>
      <c r="G2588" s="189" t="n">
        <v>56</v>
      </c>
      <c r="H2588" s="190" t="n">
        <v>15622.8071800273</v>
      </c>
      <c r="I2588" s="191" t="n">
        <v>3866919.9577446</v>
      </c>
      <c r="J2588" s="192" t="str">
        <f>IF(I2588&gt;0,H2588/I2588,0)</f>
      </c>
      <c r="K2588" s="193" t="str">
        <f>1-EXP(-J2588)</f>
      </c>
      <c r="L2588" s="194" t="str">
        <f>IF(G2588=30,1,M2587)</f>
      </c>
      <c r="M2588" s="195" t="str">
        <f>L2588*(1-K2588)</f>
      </c>
    </row>
    <row r="2589">
      <c r="A2589" t="s">
        <v>167</v>
      </c>
      <c r="B2589" t="s">
        <v>250</v>
      </c>
      <c r="C2589" s="35" t="s">
        <v>252</v>
      </c>
      <c r="D2589" t="s">
        <v>502</v>
      </c>
      <c r="E2589" t="s">
        <v>520</v>
      </c>
      <c r="F2589" s="188" t="n">
        <v>2037</v>
      </c>
      <c r="G2589" s="189" t="n">
        <v>57</v>
      </c>
      <c r="H2589" s="190" t="n">
        <v>16734.4765133381</v>
      </c>
      <c r="I2589" s="191" t="n">
        <v>3793243.86470237</v>
      </c>
      <c r="J2589" s="192" t="str">
        <f>IF(I2589&gt;0,H2589/I2589,0)</f>
      </c>
      <c r="K2589" s="193" t="str">
        <f>1-EXP(-J2589)</f>
      </c>
      <c r="L2589" s="194" t="str">
        <f>IF(G2589=30,1,M2588)</f>
      </c>
      <c r="M2589" s="195" t="str">
        <f>L2589*(1-K2589)</f>
      </c>
    </row>
    <row r="2590">
      <c r="A2590" t="s">
        <v>167</v>
      </c>
      <c r="B2590" t="s">
        <v>250</v>
      </c>
      <c r="C2590" s="35" t="s">
        <v>252</v>
      </c>
      <c r="D2590" t="s">
        <v>502</v>
      </c>
      <c r="E2590" t="s">
        <v>520</v>
      </c>
      <c r="F2590" s="188" t="n">
        <v>2037</v>
      </c>
      <c r="G2590" s="189" t="n">
        <v>58</v>
      </c>
      <c r="H2590" s="190" t="n">
        <v>17906.019416012</v>
      </c>
      <c r="I2590" s="191" t="n">
        <v>3713414.15868296</v>
      </c>
      <c r="J2590" s="192" t="str">
        <f>IF(I2590&gt;0,H2590/I2590,0)</f>
      </c>
      <c r="K2590" s="193" t="str">
        <f>1-EXP(-J2590)</f>
      </c>
      <c r="L2590" s="194" t="str">
        <f>IF(G2590=30,1,M2589)</f>
      </c>
      <c r="M2590" s="195" t="str">
        <f>L2590*(1-K2590)</f>
      </c>
    </row>
    <row r="2591">
      <c r="A2591" t="s">
        <v>167</v>
      </c>
      <c r="B2591" t="s">
        <v>250</v>
      </c>
      <c r="C2591" s="35" t="s">
        <v>252</v>
      </c>
      <c r="D2591" t="s">
        <v>502</v>
      </c>
      <c r="E2591" t="s">
        <v>520</v>
      </c>
      <c r="F2591" s="188" t="n">
        <v>2037</v>
      </c>
      <c r="G2591" s="189" t="n">
        <v>59</v>
      </c>
      <c r="H2591" s="190" t="n">
        <v>19067.8255607988</v>
      </c>
      <c r="I2591" s="191" t="n">
        <v>3614324.62516439</v>
      </c>
      <c r="J2591" s="192" t="str">
        <f>IF(I2591&gt;0,H2591/I2591,0)</f>
      </c>
      <c r="K2591" s="193" t="str">
        <f>1-EXP(-J2591)</f>
      </c>
      <c r="L2591" s="194" t="str">
        <f>IF(G2591=30,1,M2590)</f>
      </c>
      <c r="M2591" s="195" t="str">
        <f>L2591*(1-K2591)</f>
      </c>
    </row>
    <row r="2592">
      <c r="A2592" t="s">
        <v>167</v>
      </c>
      <c r="B2592" t="s">
        <v>250</v>
      </c>
      <c r="C2592" s="35" t="s">
        <v>252</v>
      </c>
      <c r="D2592" t="s">
        <v>502</v>
      </c>
      <c r="E2592" t="s">
        <v>520</v>
      </c>
      <c r="F2592" s="188" t="n">
        <v>2037</v>
      </c>
      <c r="G2592" s="189" t="n">
        <v>60</v>
      </c>
      <c r="H2592" s="190" t="n">
        <v>20472.2819416285</v>
      </c>
      <c r="I2592" s="191" t="n">
        <v>3529927.95992811</v>
      </c>
      <c r="J2592" s="192" t="str">
        <f>IF(I2592&gt;0,H2592/I2592,0)</f>
      </c>
      <c r="K2592" s="193" t="str">
        <f>1-EXP(-J2592)</f>
      </c>
      <c r="L2592" s="194" t="str">
        <f>IF(G2592=30,1,M2591)</f>
      </c>
      <c r="M2592" s="195" t="str">
        <f>L2592*(1-K2592)</f>
      </c>
    </row>
    <row r="2593">
      <c r="A2593" t="s">
        <v>167</v>
      </c>
      <c r="B2593" t="s">
        <v>250</v>
      </c>
      <c r="C2593" s="35" t="s">
        <v>252</v>
      </c>
      <c r="D2593" t="s">
        <v>502</v>
      </c>
      <c r="E2593" t="s">
        <v>520</v>
      </c>
      <c r="F2593" s="188" t="n">
        <v>2037</v>
      </c>
      <c r="G2593" s="189" t="n">
        <v>61</v>
      </c>
      <c r="H2593" s="190" t="n">
        <v>21834.5635940356</v>
      </c>
      <c r="I2593" s="191" t="n">
        <v>3433252.23263394</v>
      </c>
      <c r="J2593" s="192" t="str">
        <f>IF(I2593&gt;0,H2593/I2593,0)</f>
      </c>
      <c r="K2593" s="193" t="str">
        <f>1-EXP(-J2593)</f>
      </c>
      <c r="L2593" s="194" t="str">
        <f>IF(G2593=30,1,M2592)</f>
      </c>
      <c r="M2593" s="195" t="str">
        <f>L2593*(1-K2593)</f>
      </c>
    </row>
    <row r="2594">
      <c r="A2594" t="s">
        <v>167</v>
      </c>
      <c r="B2594" t="s">
        <v>250</v>
      </c>
      <c r="C2594" s="35" t="s">
        <v>252</v>
      </c>
      <c r="D2594" t="s">
        <v>502</v>
      </c>
      <c r="E2594" t="s">
        <v>520</v>
      </c>
      <c r="F2594" s="188" t="n">
        <v>2037</v>
      </c>
      <c r="G2594" s="189" t="n">
        <v>62</v>
      </c>
      <c r="H2594" s="190" t="n">
        <v>23235.0896507913</v>
      </c>
      <c r="I2594" s="191" t="n">
        <v>3335047.82589011</v>
      </c>
      <c r="J2594" s="192" t="str">
        <f>IF(I2594&gt;0,H2594/I2594,0)</f>
      </c>
      <c r="K2594" s="193" t="str">
        <f>1-EXP(-J2594)</f>
      </c>
      <c r="L2594" s="194" t="str">
        <f>IF(G2594=30,1,M2593)</f>
      </c>
      <c r="M2594" s="195" t="str">
        <f>L2594*(1-K2594)</f>
      </c>
    </row>
    <row r="2595">
      <c r="A2595" t="s">
        <v>167</v>
      </c>
      <c r="B2595" t="s">
        <v>250</v>
      </c>
      <c r="C2595" s="35" t="s">
        <v>252</v>
      </c>
      <c r="D2595" t="s">
        <v>502</v>
      </c>
      <c r="E2595" t="s">
        <v>520</v>
      </c>
      <c r="F2595" s="188" t="n">
        <v>2037</v>
      </c>
      <c r="G2595" s="189" t="n">
        <v>63</v>
      </c>
      <c r="H2595" s="190" t="n">
        <v>24510.5149358597</v>
      </c>
      <c r="I2595" s="191" t="n">
        <v>3210696.45038314</v>
      </c>
      <c r="J2595" s="192" t="str">
        <f>IF(I2595&gt;0,H2595/I2595,0)</f>
      </c>
      <c r="K2595" s="193" t="str">
        <f>1-EXP(-J2595)</f>
      </c>
      <c r="L2595" s="194" t="str">
        <f>IF(G2595=30,1,M2594)</f>
      </c>
      <c r="M2595" s="195" t="str">
        <f>L2595*(1-K2595)</f>
      </c>
    </row>
    <row r="2596">
      <c r="A2596" t="s">
        <v>167</v>
      </c>
      <c r="B2596" t="s">
        <v>250</v>
      </c>
      <c r="C2596" s="35" t="s">
        <v>252</v>
      </c>
      <c r="D2596" t="s">
        <v>502</v>
      </c>
      <c r="E2596" t="s">
        <v>520</v>
      </c>
      <c r="F2596" s="188" t="n">
        <v>2037</v>
      </c>
      <c r="G2596" s="189" t="n">
        <v>64</v>
      </c>
      <c r="H2596" s="190" t="n">
        <v>26264.6437198012</v>
      </c>
      <c r="I2596" s="191" t="n">
        <v>3139524.21041051</v>
      </c>
      <c r="J2596" s="192" t="str">
        <f>IF(I2596&gt;0,H2596/I2596,0)</f>
      </c>
      <c r="K2596" s="193" t="str">
        <f>1-EXP(-J2596)</f>
      </c>
      <c r="L2596" s="194" t="str">
        <f>IF(G2596=30,1,M2595)</f>
      </c>
      <c r="M2596" s="195" t="str">
        <f>L2596*(1-K2596)</f>
      </c>
    </row>
    <row r="2597">
      <c r="A2597" t="s">
        <v>167</v>
      </c>
      <c r="B2597" t="s">
        <v>250</v>
      </c>
      <c r="C2597" s="35" t="s">
        <v>252</v>
      </c>
      <c r="D2597" t="s">
        <v>502</v>
      </c>
      <c r="E2597" t="s">
        <v>520</v>
      </c>
      <c r="F2597" s="188" t="n">
        <v>2037</v>
      </c>
      <c r="G2597" s="189" t="n">
        <v>65</v>
      </c>
      <c r="H2597" s="190" t="n">
        <v>25801.6493996435</v>
      </c>
      <c r="I2597" s="191" t="n">
        <v>2920785.53817308</v>
      </c>
      <c r="J2597" s="192" t="str">
        <f>IF(I2597&gt;0,H2597/I2597,0)</f>
      </c>
      <c r="K2597" s="193" t="str">
        <f>1-EXP(-J2597)</f>
      </c>
      <c r="L2597" s="194" t="str">
        <f>IF(G2597=30,1,M2596)</f>
      </c>
      <c r="M2597" s="195" t="str">
        <f>L2597*(1-K2597)</f>
      </c>
    </row>
    <row r="2598">
      <c r="A2598" t="s">
        <v>167</v>
      </c>
      <c r="B2598" t="s">
        <v>250</v>
      </c>
      <c r="C2598" s="35" t="s">
        <v>252</v>
      </c>
      <c r="D2598" t="s">
        <v>502</v>
      </c>
      <c r="E2598" t="s">
        <v>520</v>
      </c>
      <c r="F2598" s="188" t="n">
        <v>2037</v>
      </c>
      <c r="G2598" s="189" t="n">
        <v>66</v>
      </c>
      <c r="H2598" s="190" t="n">
        <v>27225.9078707862</v>
      </c>
      <c r="I2598" s="191" t="n">
        <v>2810756.61376634</v>
      </c>
      <c r="J2598" s="192" t="str">
        <f>IF(I2598&gt;0,H2598/I2598,0)</f>
      </c>
      <c r="K2598" s="193" t="str">
        <f>1-EXP(-J2598)</f>
      </c>
      <c r="L2598" s="194" t="str">
        <f>IF(G2598=30,1,M2597)</f>
      </c>
      <c r="M2598" s="195" t="str">
        <f>L2598*(1-K2598)</f>
      </c>
    </row>
    <row r="2599">
      <c r="A2599" t="s">
        <v>167</v>
      </c>
      <c r="B2599" t="s">
        <v>250</v>
      </c>
      <c r="C2599" s="35" t="s">
        <v>252</v>
      </c>
      <c r="D2599" t="s">
        <v>502</v>
      </c>
      <c r="E2599" t="s">
        <v>520</v>
      </c>
      <c r="F2599" s="188" t="n">
        <v>2037</v>
      </c>
      <c r="G2599" s="189" t="n">
        <v>67</v>
      </c>
      <c r="H2599" s="190" t="n">
        <v>28736.4473286086</v>
      </c>
      <c r="I2599" s="191" t="n">
        <v>2703100.35633362</v>
      </c>
      <c r="J2599" s="192" t="str">
        <f>IF(I2599&gt;0,H2599/I2599,0)</f>
      </c>
      <c r="K2599" s="193" t="str">
        <f>1-EXP(-J2599)</f>
      </c>
      <c r="L2599" s="194" t="str">
        <f>IF(G2599=30,1,M2598)</f>
      </c>
      <c r="M2599" s="195" t="str">
        <f>L2599*(1-K2599)</f>
      </c>
    </row>
    <row r="2600">
      <c r="A2600" t="s">
        <v>167</v>
      </c>
      <c r="B2600" t="s">
        <v>250</v>
      </c>
      <c r="C2600" s="35" t="s">
        <v>252</v>
      </c>
      <c r="D2600" t="s">
        <v>502</v>
      </c>
      <c r="E2600" t="s">
        <v>520</v>
      </c>
      <c r="F2600" s="188" t="n">
        <v>2037</v>
      </c>
      <c r="G2600" s="189" t="n">
        <v>68</v>
      </c>
      <c r="H2600" s="190" t="n">
        <v>30196.5871868884</v>
      </c>
      <c r="I2600" s="191" t="n">
        <v>2586511.76565861</v>
      </c>
      <c r="J2600" s="192" t="str">
        <f>IF(I2600&gt;0,H2600/I2600,0)</f>
      </c>
      <c r="K2600" s="193" t="str">
        <f>1-EXP(-J2600)</f>
      </c>
      <c r="L2600" s="194" t="str">
        <f>IF(G2600=30,1,M2599)</f>
      </c>
      <c r="M2600" s="195" t="str">
        <f>L2600*(1-K2600)</f>
      </c>
    </row>
    <row r="2601">
      <c r="A2601" t="s">
        <v>167</v>
      </c>
      <c r="B2601" t="s">
        <v>250</v>
      </c>
      <c r="C2601" s="35" t="s">
        <v>252</v>
      </c>
      <c r="D2601" t="s">
        <v>502</v>
      </c>
      <c r="E2601" t="s">
        <v>520</v>
      </c>
      <c r="F2601" s="188" t="n">
        <v>2037</v>
      </c>
      <c r="G2601" s="189" t="n">
        <v>69</v>
      </c>
      <c r="H2601" s="190" t="n">
        <v>31471.3844072904</v>
      </c>
      <c r="I2601" s="191" t="n">
        <v>2452533.8339407</v>
      </c>
      <c r="J2601" s="192" t="str">
        <f>IF(I2601&gt;0,H2601/I2601,0)</f>
      </c>
      <c r="K2601" s="193" t="str">
        <f>1-EXP(-J2601)</f>
      </c>
      <c r="L2601" s="194" t="str">
        <f>IF(G2601=30,1,M2600)</f>
      </c>
      <c r="M2601" s="195" t="str">
        <f>L2601*(1-K2601)</f>
      </c>
    </row>
    <row r="2602">
      <c r="A2602" t="s">
        <v>167</v>
      </c>
      <c r="B2602" t="s">
        <v>250</v>
      </c>
      <c r="C2602" s="35" t="s">
        <v>252</v>
      </c>
      <c r="D2602" t="s">
        <v>502</v>
      </c>
      <c r="E2602" t="s">
        <v>520</v>
      </c>
      <c r="F2602" s="188" t="n">
        <v>2038</v>
      </c>
      <c r="G2602" s="189" t="n">
        <v>30</v>
      </c>
      <c r="H2602" s="190" t="n">
        <v>766.529811054586</v>
      </c>
      <c r="I2602" s="191" t="n">
        <v>4653465.79335969</v>
      </c>
      <c r="J2602" s="192" t="str">
        <f>IF(I2602&gt;0,H2602/I2602,0)</f>
      </c>
      <c r="K2602" s="193" t="str">
        <f>1-EXP(-J2602)</f>
      </c>
      <c r="L2602" s="194" t="str">
        <f>IF(G2602=30,1,M2601)</f>
      </c>
      <c r="M2602" s="195" t="str">
        <f>L2602*(1-K2602)</f>
      </c>
    </row>
    <row r="2603">
      <c r="A2603" t="s">
        <v>167</v>
      </c>
      <c r="B2603" t="s">
        <v>250</v>
      </c>
      <c r="C2603" s="35" t="s">
        <v>252</v>
      </c>
      <c r="D2603" t="s">
        <v>502</v>
      </c>
      <c r="E2603" t="s">
        <v>520</v>
      </c>
      <c r="F2603" s="188" t="n">
        <v>2038</v>
      </c>
      <c r="G2603" s="189" t="n">
        <v>31</v>
      </c>
      <c r="H2603" s="190" t="n">
        <v>1041.57950046616</v>
      </c>
      <c r="I2603" s="191" t="n">
        <v>4679824.76394424</v>
      </c>
      <c r="J2603" s="192" t="str">
        <f>IF(I2603&gt;0,H2603/I2603,0)</f>
      </c>
      <c r="K2603" s="193" t="str">
        <f>1-EXP(-J2603)</f>
      </c>
      <c r="L2603" s="194" t="str">
        <f>IF(G2603=30,1,M2602)</f>
      </c>
      <c r="M2603" s="195" t="str">
        <f>L2603*(1-K2603)</f>
      </c>
    </row>
    <row r="2604">
      <c r="A2604" t="s">
        <v>167</v>
      </c>
      <c r="B2604" t="s">
        <v>250</v>
      </c>
      <c r="C2604" s="35" t="s">
        <v>252</v>
      </c>
      <c r="D2604" t="s">
        <v>502</v>
      </c>
      <c r="E2604" t="s">
        <v>520</v>
      </c>
      <c r="F2604" s="188" t="n">
        <v>2038</v>
      </c>
      <c r="G2604" s="189" t="n">
        <v>32</v>
      </c>
      <c r="H2604" s="190" t="n">
        <v>1077.00341142706</v>
      </c>
      <c r="I2604" s="191" t="n">
        <v>4596969.88268637</v>
      </c>
      <c r="J2604" s="192" t="str">
        <f>IF(I2604&gt;0,H2604/I2604,0)</f>
      </c>
      <c r="K2604" s="193" t="str">
        <f>1-EXP(-J2604)</f>
      </c>
      <c r="L2604" s="194" t="str">
        <f>IF(G2604=30,1,M2603)</f>
      </c>
      <c r="M2604" s="195" t="str">
        <f>L2604*(1-K2604)</f>
      </c>
    </row>
    <row r="2605">
      <c r="A2605" t="s">
        <v>167</v>
      </c>
      <c r="B2605" t="s">
        <v>250</v>
      </c>
      <c r="C2605" s="35" t="s">
        <v>252</v>
      </c>
      <c r="D2605" t="s">
        <v>502</v>
      </c>
      <c r="E2605" t="s">
        <v>520</v>
      </c>
      <c r="F2605" s="188" t="n">
        <v>2038</v>
      </c>
      <c r="G2605" s="189" t="n">
        <v>33</v>
      </c>
      <c r="H2605" s="190" t="n">
        <v>1125.55352584046</v>
      </c>
      <c r="I2605" s="191" t="n">
        <v>4536005.56222891</v>
      </c>
      <c r="J2605" s="192" t="str">
        <f>IF(I2605&gt;0,H2605/I2605,0)</f>
      </c>
      <c r="K2605" s="193" t="str">
        <f>1-EXP(-J2605)</f>
      </c>
      <c r="L2605" s="194" t="str">
        <f>IF(G2605=30,1,M2604)</f>
      </c>
      <c r="M2605" s="195" t="str">
        <f>L2605*(1-K2605)</f>
      </c>
    </row>
    <row r="2606">
      <c r="A2606" t="s">
        <v>167</v>
      </c>
      <c r="B2606" t="s">
        <v>250</v>
      </c>
      <c r="C2606" s="35" t="s">
        <v>252</v>
      </c>
      <c r="D2606" t="s">
        <v>502</v>
      </c>
      <c r="E2606" t="s">
        <v>520</v>
      </c>
      <c r="F2606" s="188" t="n">
        <v>2038</v>
      </c>
      <c r="G2606" s="189" t="n">
        <v>34</v>
      </c>
      <c r="H2606" s="190" t="n">
        <v>1165.9858600769</v>
      </c>
      <c r="I2606" s="191" t="n">
        <v>4407337.5405587</v>
      </c>
      <c r="J2606" s="192" t="str">
        <f>IF(I2606&gt;0,H2606/I2606,0)</f>
      </c>
      <c r="K2606" s="193" t="str">
        <f>1-EXP(-J2606)</f>
      </c>
      <c r="L2606" s="194" t="str">
        <f>IF(G2606=30,1,M2605)</f>
      </c>
      <c r="M2606" s="195" t="str">
        <f>L2606*(1-K2606)</f>
      </c>
    </row>
    <row r="2607">
      <c r="A2607" t="s">
        <v>167</v>
      </c>
      <c r="B2607" t="s">
        <v>250</v>
      </c>
      <c r="C2607" s="35" t="s">
        <v>252</v>
      </c>
      <c r="D2607" t="s">
        <v>502</v>
      </c>
      <c r="E2607" t="s">
        <v>520</v>
      </c>
      <c r="F2607" s="188" t="n">
        <v>2038</v>
      </c>
      <c r="G2607" s="189" t="n">
        <v>35</v>
      </c>
      <c r="H2607" s="190" t="n">
        <v>1541.16820657597</v>
      </c>
      <c r="I2607" s="191" t="n">
        <v>4341566.54482518</v>
      </c>
      <c r="J2607" s="192" t="str">
        <f>IF(I2607&gt;0,H2607/I2607,0)</f>
      </c>
      <c r="K2607" s="193" t="str">
        <f>1-EXP(-J2607)</f>
      </c>
      <c r="L2607" s="194" t="str">
        <f>IF(G2607=30,1,M2606)</f>
      </c>
      <c r="M2607" s="195" t="str">
        <f>L2607*(1-K2607)</f>
      </c>
    </row>
    <row r="2608">
      <c r="A2608" t="s">
        <v>167</v>
      </c>
      <c r="B2608" t="s">
        <v>250</v>
      </c>
      <c r="C2608" s="35" t="s">
        <v>252</v>
      </c>
      <c r="D2608" t="s">
        <v>502</v>
      </c>
      <c r="E2608" t="s">
        <v>520</v>
      </c>
      <c r="F2608" s="188" t="n">
        <v>2038</v>
      </c>
      <c r="G2608" s="189" t="n">
        <v>36</v>
      </c>
      <c r="H2608" s="190" t="n">
        <v>1920.00507744003</v>
      </c>
      <c r="I2608" s="191" t="n">
        <v>4318676.40525107</v>
      </c>
      <c r="J2608" s="192" t="str">
        <f>IF(I2608&gt;0,H2608/I2608,0)</f>
      </c>
      <c r="K2608" s="193" t="str">
        <f>1-EXP(-J2608)</f>
      </c>
      <c r="L2608" s="194" t="str">
        <f>IF(G2608=30,1,M2607)</f>
      </c>
      <c r="M2608" s="195" t="str">
        <f>L2608*(1-K2608)</f>
      </c>
    </row>
    <row r="2609">
      <c r="A2609" t="s">
        <v>167</v>
      </c>
      <c r="B2609" t="s">
        <v>250</v>
      </c>
      <c r="C2609" s="35" t="s">
        <v>252</v>
      </c>
      <c r="D2609" t="s">
        <v>502</v>
      </c>
      <c r="E2609" t="s">
        <v>520</v>
      </c>
      <c r="F2609" s="188" t="n">
        <v>2038</v>
      </c>
      <c r="G2609" s="189" t="n">
        <v>37</v>
      </c>
      <c r="H2609" s="190" t="n">
        <v>2052.80644204626</v>
      </c>
      <c r="I2609" s="191" t="n">
        <v>4297593.39697173</v>
      </c>
      <c r="J2609" s="192" t="str">
        <f>IF(I2609&gt;0,H2609/I2609,0)</f>
      </c>
      <c r="K2609" s="193" t="str">
        <f>1-EXP(-J2609)</f>
      </c>
      <c r="L2609" s="194" t="str">
        <f>IF(G2609=30,1,M2608)</f>
      </c>
      <c r="M2609" s="195" t="str">
        <f>L2609*(1-K2609)</f>
      </c>
    </row>
    <row r="2610">
      <c r="A2610" t="s">
        <v>167</v>
      </c>
      <c r="B2610" t="s">
        <v>250</v>
      </c>
      <c r="C2610" s="35" t="s">
        <v>252</v>
      </c>
      <c r="D2610" t="s">
        <v>502</v>
      </c>
      <c r="E2610" t="s">
        <v>520</v>
      </c>
      <c r="F2610" s="188" t="n">
        <v>2038</v>
      </c>
      <c r="G2610" s="189" t="n">
        <v>38</v>
      </c>
      <c r="H2610" s="190" t="n">
        <v>2201.45353898913</v>
      </c>
      <c r="I2610" s="191" t="n">
        <v>4276020.48855676</v>
      </c>
      <c r="J2610" s="192" t="str">
        <f>IF(I2610&gt;0,H2610/I2610,0)</f>
      </c>
      <c r="K2610" s="193" t="str">
        <f>1-EXP(-J2610)</f>
      </c>
      <c r="L2610" s="194" t="str">
        <f>IF(G2610=30,1,M2609)</f>
      </c>
      <c r="M2610" s="195" t="str">
        <f>L2610*(1-K2610)</f>
      </c>
    </row>
    <row r="2611">
      <c r="A2611" t="s">
        <v>167</v>
      </c>
      <c r="B2611" t="s">
        <v>250</v>
      </c>
      <c r="C2611" s="35" t="s">
        <v>252</v>
      </c>
      <c r="D2611" t="s">
        <v>502</v>
      </c>
      <c r="E2611" t="s">
        <v>520</v>
      </c>
      <c r="F2611" s="188" t="n">
        <v>2038</v>
      </c>
      <c r="G2611" s="189" t="n">
        <v>39</v>
      </c>
      <c r="H2611" s="190" t="n">
        <v>2387.30323607852</v>
      </c>
      <c r="I2611" s="191" t="n">
        <v>4293590.11836943</v>
      </c>
      <c r="J2611" s="192" t="str">
        <f>IF(I2611&gt;0,H2611/I2611,0)</f>
      </c>
      <c r="K2611" s="193" t="str">
        <f>1-EXP(-J2611)</f>
      </c>
      <c r="L2611" s="194" t="str">
        <f>IF(G2611=30,1,M2610)</f>
      </c>
      <c r="M2611" s="195" t="str">
        <f>L2611*(1-K2611)</f>
      </c>
    </row>
    <row r="2612">
      <c r="A2612" t="s">
        <v>167</v>
      </c>
      <c r="B2612" t="s">
        <v>250</v>
      </c>
      <c r="C2612" s="35" t="s">
        <v>252</v>
      </c>
      <c r="D2612" t="s">
        <v>502</v>
      </c>
      <c r="E2612" t="s">
        <v>520</v>
      </c>
      <c r="F2612" s="188" t="n">
        <v>2038</v>
      </c>
      <c r="G2612" s="189" t="n">
        <v>40</v>
      </c>
      <c r="H2612" s="190" t="n">
        <v>3252.68001141406</v>
      </c>
      <c r="I2612" s="191" t="n">
        <v>4349657.43293418</v>
      </c>
      <c r="J2612" s="192" t="str">
        <f>IF(I2612&gt;0,H2612/I2612,0)</f>
      </c>
      <c r="K2612" s="193" t="str">
        <f>1-EXP(-J2612)</f>
      </c>
      <c r="L2612" s="194" t="str">
        <f>IF(G2612=30,1,M2611)</f>
      </c>
      <c r="M2612" s="195" t="str">
        <f>L2612*(1-K2612)</f>
      </c>
    </row>
    <row r="2613">
      <c r="A2613" t="s">
        <v>167</v>
      </c>
      <c r="B2613" t="s">
        <v>250</v>
      </c>
      <c r="C2613" s="35" t="s">
        <v>252</v>
      </c>
      <c r="D2613" t="s">
        <v>502</v>
      </c>
      <c r="E2613" t="s">
        <v>520</v>
      </c>
      <c r="F2613" s="188" t="n">
        <v>2038</v>
      </c>
      <c r="G2613" s="189" t="n">
        <v>41</v>
      </c>
      <c r="H2613" s="190" t="n">
        <v>3899.79981782514</v>
      </c>
      <c r="I2613" s="191" t="n">
        <v>4482015.20348754</v>
      </c>
      <c r="J2613" s="192" t="str">
        <f>IF(I2613&gt;0,H2613/I2613,0)</f>
      </c>
      <c r="K2613" s="193" t="str">
        <f>1-EXP(-J2613)</f>
      </c>
      <c r="L2613" s="194" t="str">
        <f>IF(G2613=30,1,M2612)</f>
      </c>
      <c r="M2613" s="195" t="str">
        <f>L2613*(1-K2613)</f>
      </c>
    </row>
    <row r="2614">
      <c r="A2614" t="s">
        <v>167</v>
      </c>
      <c r="B2614" t="s">
        <v>250</v>
      </c>
      <c r="C2614" s="35" t="s">
        <v>252</v>
      </c>
      <c r="D2614" t="s">
        <v>502</v>
      </c>
      <c r="E2614" t="s">
        <v>520</v>
      </c>
      <c r="F2614" s="188" t="n">
        <v>2038</v>
      </c>
      <c r="G2614" s="189" t="n">
        <v>42</v>
      </c>
      <c r="H2614" s="190" t="n">
        <v>4180.78827257089</v>
      </c>
      <c r="I2614" s="191" t="n">
        <v>4435220.91084586</v>
      </c>
      <c r="J2614" s="192" t="str">
        <f>IF(I2614&gt;0,H2614/I2614,0)</f>
      </c>
      <c r="K2614" s="193" t="str">
        <f>1-EXP(-J2614)</f>
      </c>
      <c r="L2614" s="194" t="str">
        <f>IF(G2614=30,1,M2613)</f>
      </c>
      <c r="M2614" s="195" t="str">
        <f>L2614*(1-K2614)</f>
      </c>
    </row>
    <row r="2615">
      <c r="A2615" t="s">
        <v>167</v>
      </c>
      <c r="B2615" t="s">
        <v>250</v>
      </c>
      <c r="C2615" s="35" t="s">
        <v>252</v>
      </c>
      <c r="D2615" t="s">
        <v>502</v>
      </c>
      <c r="E2615" t="s">
        <v>520</v>
      </c>
      <c r="F2615" s="188" t="n">
        <v>2038</v>
      </c>
      <c r="G2615" s="189" t="n">
        <v>43</v>
      </c>
      <c r="H2615" s="190" t="n">
        <v>4463.0549284491</v>
      </c>
      <c r="I2615" s="191" t="n">
        <v>4358272.32282338</v>
      </c>
      <c r="J2615" s="192" t="str">
        <f>IF(I2615&gt;0,H2615/I2615,0)</f>
      </c>
      <c r="K2615" s="193" t="str">
        <f>1-EXP(-J2615)</f>
      </c>
      <c r="L2615" s="194" t="str">
        <f>IF(G2615=30,1,M2614)</f>
      </c>
      <c r="M2615" s="195" t="str">
        <f>L2615*(1-K2615)</f>
      </c>
    </row>
    <row r="2616">
      <c r="A2616" t="s">
        <v>167</v>
      </c>
      <c r="B2616" t="s">
        <v>250</v>
      </c>
      <c r="C2616" s="35" t="s">
        <v>252</v>
      </c>
      <c r="D2616" t="s">
        <v>502</v>
      </c>
      <c r="E2616" t="s">
        <v>520</v>
      </c>
      <c r="F2616" s="188" t="n">
        <v>2038</v>
      </c>
      <c r="G2616" s="189" t="n">
        <v>44</v>
      </c>
      <c r="H2616" s="190" t="n">
        <v>4792.80192638697</v>
      </c>
      <c r="I2616" s="191" t="n">
        <v>4296386.62902638</v>
      </c>
      <c r="J2616" s="192" t="str">
        <f>IF(I2616&gt;0,H2616/I2616,0)</f>
      </c>
      <c r="K2616" s="193" t="str">
        <f>1-EXP(-J2616)</f>
      </c>
      <c r="L2616" s="194" t="str">
        <f>IF(G2616=30,1,M2615)</f>
      </c>
      <c r="M2616" s="195" t="str">
        <f>L2616*(1-K2616)</f>
      </c>
    </row>
    <row r="2617">
      <c r="A2617" t="s">
        <v>167</v>
      </c>
      <c r="B2617" t="s">
        <v>250</v>
      </c>
      <c r="C2617" s="35" t="s">
        <v>252</v>
      </c>
      <c r="D2617" t="s">
        <v>502</v>
      </c>
      <c r="E2617" t="s">
        <v>520</v>
      </c>
      <c r="F2617" s="188" t="n">
        <v>2038</v>
      </c>
      <c r="G2617" s="189" t="n">
        <v>45</v>
      </c>
      <c r="H2617" s="190" t="n">
        <v>6075.6819302559</v>
      </c>
      <c r="I2617" s="191" t="n">
        <v>4237537.3070244</v>
      </c>
      <c r="J2617" s="192" t="str">
        <f>IF(I2617&gt;0,H2617/I2617,0)</f>
      </c>
      <c r="K2617" s="193" t="str">
        <f>1-EXP(-J2617)</f>
      </c>
      <c r="L2617" s="194" t="str">
        <f>IF(G2617=30,1,M2616)</f>
      </c>
      <c r="M2617" s="195" t="str">
        <f>L2617*(1-K2617)</f>
      </c>
    </row>
    <row r="2618">
      <c r="A2618" t="s">
        <v>167</v>
      </c>
      <c r="B2618" t="s">
        <v>250</v>
      </c>
      <c r="C2618" s="35" t="s">
        <v>252</v>
      </c>
      <c r="D2618" t="s">
        <v>502</v>
      </c>
      <c r="E2618" t="s">
        <v>520</v>
      </c>
      <c r="F2618" s="188" t="n">
        <v>2038</v>
      </c>
      <c r="G2618" s="189" t="n">
        <v>46</v>
      </c>
      <c r="H2618" s="190" t="n">
        <v>6674.20509740539</v>
      </c>
      <c r="I2618" s="191" t="n">
        <v>4266687.04973849</v>
      </c>
      <c r="J2618" s="192" t="str">
        <f>IF(I2618&gt;0,H2618/I2618,0)</f>
      </c>
      <c r="K2618" s="193" t="str">
        <f>1-EXP(-J2618)</f>
      </c>
      <c r="L2618" s="194" t="str">
        <f>IF(G2618=30,1,M2617)</f>
      </c>
      <c r="M2618" s="195" t="str">
        <f>L2618*(1-K2618)</f>
      </c>
    </row>
    <row r="2619">
      <c r="A2619" t="s">
        <v>167</v>
      </c>
      <c r="B2619" t="s">
        <v>250</v>
      </c>
      <c r="C2619" s="35" t="s">
        <v>252</v>
      </c>
      <c r="D2619" t="s">
        <v>502</v>
      </c>
      <c r="E2619" t="s">
        <v>520</v>
      </c>
      <c r="F2619" s="188" t="n">
        <v>2038</v>
      </c>
      <c r="G2619" s="189" t="n">
        <v>47</v>
      </c>
      <c r="H2619" s="190" t="n">
        <v>7327.04826136469</v>
      </c>
      <c r="I2619" s="191" t="n">
        <v>4276479.62718865</v>
      </c>
      <c r="J2619" s="192" t="str">
        <f>IF(I2619&gt;0,H2619/I2619,0)</f>
      </c>
      <c r="K2619" s="193" t="str">
        <f>1-EXP(-J2619)</f>
      </c>
      <c r="L2619" s="194" t="str">
        <f>IF(G2619=30,1,M2618)</f>
      </c>
      <c r="M2619" s="195" t="str">
        <f>L2619*(1-K2619)</f>
      </c>
    </row>
    <row r="2620">
      <c r="A2620" t="s">
        <v>167</v>
      </c>
      <c r="B2620" t="s">
        <v>250</v>
      </c>
      <c r="C2620" s="35" t="s">
        <v>252</v>
      </c>
      <c r="D2620" t="s">
        <v>502</v>
      </c>
      <c r="E2620" t="s">
        <v>520</v>
      </c>
      <c r="F2620" s="188" t="n">
        <v>2038</v>
      </c>
      <c r="G2620" s="189" t="n">
        <v>48</v>
      </c>
      <c r="H2620" s="190" t="n">
        <v>10868.7891284433</v>
      </c>
      <c r="I2620" s="191" t="n">
        <v>6291993.73770597</v>
      </c>
      <c r="J2620" s="192" t="str">
        <f>IF(I2620&gt;0,H2620/I2620,0)</f>
      </c>
      <c r="K2620" s="193" t="str">
        <f>1-EXP(-J2620)</f>
      </c>
      <c r="L2620" s="194" t="str">
        <f>IF(G2620=30,1,M2619)</f>
      </c>
      <c r="M2620" s="195" t="str">
        <f>L2620*(1-K2620)</f>
      </c>
    </row>
    <row r="2621">
      <c r="A2621" t="s">
        <v>167</v>
      </c>
      <c r="B2621" t="s">
        <v>250</v>
      </c>
      <c r="C2621" s="35" t="s">
        <v>252</v>
      </c>
      <c r="D2621" t="s">
        <v>502</v>
      </c>
      <c r="E2621" t="s">
        <v>520</v>
      </c>
      <c r="F2621" s="188" t="n">
        <v>2038</v>
      </c>
      <c r="G2621" s="189" t="n">
        <v>49</v>
      </c>
      <c r="H2621" s="190" t="n">
        <v>8681.101480856</v>
      </c>
      <c r="I2621" s="191" t="n">
        <v>4217687.11020267</v>
      </c>
      <c r="J2621" s="192" t="str">
        <f>IF(I2621&gt;0,H2621/I2621,0)</f>
      </c>
      <c r="K2621" s="193" t="str">
        <f>1-EXP(-J2621)</f>
      </c>
      <c r="L2621" s="194" t="str">
        <f>IF(G2621=30,1,M2620)</f>
      </c>
      <c r="M2621" s="195" t="str">
        <f>L2621*(1-K2621)</f>
      </c>
    </row>
    <row r="2622">
      <c r="A2622" t="s">
        <v>167</v>
      </c>
      <c r="B2622" t="s">
        <v>250</v>
      </c>
      <c r="C2622" s="35" t="s">
        <v>252</v>
      </c>
      <c r="D2622" t="s">
        <v>502</v>
      </c>
      <c r="E2622" t="s">
        <v>520</v>
      </c>
      <c r="F2622" s="188" t="n">
        <v>2038</v>
      </c>
      <c r="G2622" s="189" t="n">
        <v>50</v>
      </c>
      <c r="H2622" s="190" t="n">
        <v>9940.67902897023</v>
      </c>
      <c r="I2622" s="191" t="n">
        <v>4190726.15192705</v>
      </c>
      <c r="J2622" s="192" t="str">
        <f>IF(I2622&gt;0,H2622/I2622,0)</f>
      </c>
      <c r="K2622" s="193" t="str">
        <f>1-EXP(-J2622)</f>
      </c>
      <c r="L2622" s="194" t="str">
        <f>IF(G2622=30,1,M2621)</f>
      </c>
      <c r="M2622" s="195" t="str">
        <f>L2622*(1-K2622)</f>
      </c>
    </row>
    <row r="2623">
      <c r="A2623" t="s">
        <v>167</v>
      </c>
      <c r="B2623" t="s">
        <v>250</v>
      </c>
      <c r="C2623" s="35" t="s">
        <v>252</v>
      </c>
      <c r="D2623" t="s">
        <v>502</v>
      </c>
      <c r="E2623" t="s">
        <v>520</v>
      </c>
      <c r="F2623" s="188" t="n">
        <v>2038</v>
      </c>
      <c r="G2623" s="189" t="n">
        <v>51</v>
      </c>
      <c r="H2623" s="190" t="n">
        <v>10512.8701981858</v>
      </c>
      <c r="I2623" s="191" t="n">
        <v>4050102.55115072</v>
      </c>
      <c r="J2623" s="192" t="str">
        <f>IF(I2623&gt;0,H2623/I2623,0)</f>
      </c>
      <c r="K2623" s="193" t="str">
        <f>1-EXP(-J2623)</f>
      </c>
      <c r="L2623" s="194" t="str">
        <f>IF(G2623=30,1,M2622)</f>
      </c>
      <c r="M2623" s="195" t="str">
        <f>L2623*(1-K2623)</f>
      </c>
    </row>
    <row r="2624">
      <c r="A2624" t="s">
        <v>167</v>
      </c>
      <c r="B2624" t="s">
        <v>250</v>
      </c>
      <c r="C2624" s="35" t="s">
        <v>252</v>
      </c>
      <c r="D2624" t="s">
        <v>502</v>
      </c>
      <c r="E2624" t="s">
        <v>520</v>
      </c>
      <c r="F2624" s="188" t="n">
        <v>2038</v>
      </c>
      <c r="G2624" s="189" t="n">
        <v>52</v>
      </c>
      <c r="H2624" s="190" t="n">
        <v>11359.0560063484</v>
      </c>
      <c r="I2624" s="191" t="n">
        <v>4003991.09883585</v>
      </c>
      <c r="J2624" s="192" t="str">
        <f>IF(I2624&gt;0,H2624/I2624,0)</f>
      </c>
      <c r="K2624" s="193" t="str">
        <f>1-EXP(-J2624)</f>
      </c>
      <c r="L2624" s="194" t="str">
        <f>IF(G2624=30,1,M2623)</f>
      </c>
      <c r="M2624" s="195" t="str">
        <f>L2624*(1-K2624)</f>
      </c>
    </row>
    <row r="2625">
      <c r="A2625" t="s">
        <v>167</v>
      </c>
      <c r="B2625" t="s">
        <v>250</v>
      </c>
      <c r="C2625" s="35" t="s">
        <v>252</v>
      </c>
      <c r="D2625" t="s">
        <v>502</v>
      </c>
      <c r="E2625" t="s">
        <v>520</v>
      </c>
      <c r="F2625" s="188" t="n">
        <v>2038</v>
      </c>
      <c r="G2625" s="189" t="n">
        <v>53</v>
      </c>
      <c r="H2625" s="190" t="n">
        <v>12536.6488580404</v>
      </c>
      <c r="I2625" s="191" t="n">
        <v>4046789.26943464</v>
      </c>
      <c r="J2625" s="192" t="str">
        <f>IF(I2625&gt;0,H2625/I2625,0)</f>
      </c>
      <c r="K2625" s="193" t="str">
        <f>1-EXP(-J2625)</f>
      </c>
      <c r="L2625" s="194" t="str">
        <f>IF(G2625=30,1,M2624)</f>
      </c>
      <c r="M2625" s="195" t="str">
        <f>L2625*(1-K2625)</f>
      </c>
    </row>
    <row r="2626">
      <c r="A2626" t="s">
        <v>167</v>
      </c>
      <c r="B2626" t="s">
        <v>250</v>
      </c>
      <c r="C2626" s="35" t="s">
        <v>252</v>
      </c>
      <c r="D2626" t="s">
        <v>502</v>
      </c>
      <c r="E2626" t="s">
        <v>520</v>
      </c>
      <c r="F2626" s="188" t="n">
        <v>2038</v>
      </c>
      <c r="G2626" s="189" t="n">
        <v>54</v>
      </c>
      <c r="H2626" s="190" t="n">
        <v>13897.9869862895</v>
      </c>
      <c r="I2626" s="191" t="n">
        <v>4111908.98264707</v>
      </c>
      <c r="J2626" s="192" t="str">
        <f>IF(I2626&gt;0,H2626/I2626,0)</f>
      </c>
      <c r="K2626" s="193" t="str">
        <f>1-EXP(-J2626)</f>
      </c>
      <c r="L2626" s="194" t="str">
        <f>IF(G2626=30,1,M2625)</f>
      </c>
      <c r="M2626" s="195" t="str">
        <f>L2626*(1-K2626)</f>
      </c>
    </row>
    <row r="2627">
      <c r="A2627" t="s">
        <v>167</v>
      </c>
      <c r="B2627" t="s">
        <v>250</v>
      </c>
      <c r="C2627" s="35" t="s">
        <v>252</v>
      </c>
      <c r="D2627" t="s">
        <v>502</v>
      </c>
      <c r="E2627" t="s">
        <v>520</v>
      </c>
      <c r="F2627" s="188" t="n">
        <v>2038</v>
      </c>
      <c r="G2627" s="189" t="n">
        <v>55</v>
      </c>
      <c r="H2627" s="190" t="n">
        <v>14943.4033120106</v>
      </c>
      <c r="I2627" s="191" t="n">
        <v>4071233.78048287</v>
      </c>
      <c r="J2627" s="192" t="str">
        <f>IF(I2627&gt;0,H2627/I2627,0)</f>
      </c>
      <c r="K2627" s="193" t="str">
        <f>1-EXP(-J2627)</f>
      </c>
      <c r="L2627" s="194" t="str">
        <f>IF(G2627=30,1,M2626)</f>
      </c>
      <c r="M2627" s="195" t="str">
        <f>L2627*(1-K2627)</f>
      </c>
    </row>
    <row r="2628">
      <c r="A2628" t="s">
        <v>167</v>
      </c>
      <c r="B2628" t="s">
        <v>250</v>
      </c>
      <c r="C2628" s="35" t="s">
        <v>252</v>
      </c>
      <c r="D2628" t="s">
        <v>502</v>
      </c>
      <c r="E2628" t="s">
        <v>520</v>
      </c>
      <c r="F2628" s="188" t="n">
        <v>2038</v>
      </c>
      <c r="G2628" s="189" t="n">
        <v>56</v>
      </c>
      <c r="H2628" s="190" t="n">
        <v>15699.7778322632</v>
      </c>
      <c r="I2628" s="191" t="n">
        <v>3922316.5028164</v>
      </c>
      <c r="J2628" s="192" t="str">
        <f>IF(I2628&gt;0,H2628/I2628,0)</f>
      </c>
      <c r="K2628" s="193" t="str">
        <f>1-EXP(-J2628)</f>
      </c>
      <c r="L2628" s="194" t="str">
        <f>IF(G2628=30,1,M2627)</f>
      </c>
      <c r="M2628" s="195" t="str">
        <f>L2628*(1-K2628)</f>
      </c>
    </row>
    <row r="2629">
      <c r="A2629" t="s">
        <v>167</v>
      </c>
      <c r="B2629" t="s">
        <v>250</v>
      </c>
      <c r="C2629" s="35" t="s">
        <v>252</v>
      </c>
      <c r="D2629" t="s">
        <v>502</v>
      </c>
      <c r="E2629" t="s">
        <v>520</v>
      </c>
      <c r="F2629" s="188" t="n">
        <v>2038</v>
      </c>
      <c r="G2629" s="189" t="n">
        <v>57</v>
      </c>
      <c r="H2629" s="190" t="n">
        <v>16746.8853698117</v>
      </c>
      <c r="I2629" s="191" t="n">
        <v>3832288.23113299</v>
      </c>
      <c r="J2629" s="192" t="str">
        <f>IF(I2629&gt;0,H2629/I2629,0)</f>
      </c>
      <c r="K2629" s="193" t="str">
        <f>1-EXP(-J2629)</f>
      </c>
      <c r="L2629" s="194" t="str">
        <f>IF(G2629=30,1,M2628)</f>
      </c>
      <c r="M2629" s="195" t="str">
        <f>L2629*(1-K2629)</f>
      </c>
    </row>
    <row r="2630">
      <c r="A2630" t="s">
        <v>167</v>
      </c>
      <c r="B2630" t="s">
        <v>250</v>
      </c>
      <c r="C2630" s="35" t="s">
        <v>252</v>
      </c>
      <c r="D2630" t="s">
        <v>502</v>
      </c>
      <c r="E2630" t="s">
        <v>520</v>
      </c>
      <c r="F2630" s="188" t="n">
        <v>2038</v>
      </c>
      <c r="G2630" s="189" t="n">
        <v>58</v>
      </c>
      <c r="H2630" s="190" t="n">
        <v>17939.7925536293</v>
      </c>
      <c r="I2630" s="191" t="n">
        <v>3756173.7487669</v>
      </c>
      <c r="J2630" s="192" t="str">
        <f>IF(I2630&gt;0,H2630/I2630,0)</f>
      </c>
      <c r="K2630" s="193" t="str">
        <f>1-EXP(-J2630)</f>
      </c>
      <c r="L2630" s="194" t="str">
        <f>IF(G2630=30,1,M2629)</f>
      </c>
      <c r="M2630" s="195" t="str">
        <f>L2630*(1-K2630)</f>
      </c>
    </row>
    <row r="2631">
      <c r="A2631" t="s">
        <v>167</v>
      </c>
      <c r="B2631" t="s">
        <v>250</v>
      </c>
      <c r="C2631" s="35" t="s">
        <v>252</v>
      </c>
      <c r="D2631" t="s">
        <v>502</v>
      </c>
      <c r="E2631" t="s">
        <v>520</v>
      </c>
      <c r="F2631" s="188" t="n">
        <v>2038</v>
      </c>
      <c r="G2631" s="189" t="n">
        <v>59</v>
      </c>
      <c r="H2631" s="190" t="n">
        <v>19196.7415716364</v>
      </c>
      <c r="I2631" s="191" t="n">
        <v>3673779.12883646</v>
      </c>
      <c r="J2631" s="192" t="str">
        <f>IF(I2631&gt;0,H2631/I2631,0)</f>
      </c>
      <c r="K2631" s="193" t="str">
        <f>1-EXP(-J2631)</f>
      </c>
      <c r="L2631" s="194" t="str">
        <f>IF(G2631=30,1,M2630)</f>
      </c>
      <c r="M2631" s="195" t="str">
        <f>L2631*(1-K2631)</f>
      </c>
    </row>
    <row r="2632">
      <c r="A2632" t="s">
        <v>167</v>
      </c>
      <c r="B2632" t="s">
        <v>250</v>
      </c>
      <c r="C2632" s="35" t="s">
        <v>252</v>
      </c>
      <c r="D2632" t="s">
        <v>502</v>
      </c>
      <c r="E2632" t="s">
        <v>520</v>
      </c>
      <c r="F2632" s="188" t="n">
        <v>2038</v>
      </c>
      <c r="G2632" s="189" t="n">
        <v>60</v>
      </c>
      <c r="H2632" s="190" t="n">
        <v>20457.477509054</v>
      </c>
      <c r="I2632" s="191" t="n">
        <v>3572149.43660145</v>
      </c>
      <c r="J2632" s="192" t="str">
        <f>IF(I2632&gt;0,H2632/I2632,0)</f>
      </c>
      <c r="K2632" s="193" t="str">
        <f>1-EXP(-J2632)</f>
      </c>
      <c r="L2632" s="194" t="str">
        <f>IF(G2632=30,1,M2631)</f>
      </c>
      <c r="M2632" s="195" t="str">
        <f>L2632*(1-K2632)</f>
      </c>
    </row>
    <row r="2633">
      <c r="A2633" t="s">
        <v>167</v>
      </c>
      <c r="B2633" t="s">
        <v>250</v>
      </c>
      <c r="C2633" s="35" t="s">
        <v>252</v>
      </c>
      <c r="D2633" t="s">
        <v>502</v>
      </c>
      <c r="E2633" t="s">
        <v>520</v>
      </c>
      <c r="F2633" s="188" t="n">
        <v>2038</v>
      </c>
      <c r="G2633" s="189" t="n">
        <v>61</v>
      </c>
      <c r="H2633" s="190" t="n">
        <v>21906.8620793357</v>
      </c>
      <c r="I2633" s="191" t="n">
        <v>3484466.88275281</v>
      </c>
      <c r="J2633" s="192" t="str">
        <f>IF(I2633&gt;0,H2633/I2633,0)</f>
      </c>
      <c r="K2633" s="193" t="str">
        <f>1-EXP(-J2633)</f>
      </c>
      <c r="L2633" s="194" t="str">
        <f>IF(G2633=30,1,M2632)</f>
      </c>
      <c r="M2633" s="195" t="str">
        <f>L2633*(1-K2633)</f>
      </c>
    </row>
    <row r="2634">
      <c r="A2634" t="s">
        <v>167</v>
      </c>
      <c r="B2634" t="s">
        <v>250</v>
      </c>
      <c r="C2634" s="35" t="s">
        <v>252</v>
      </c>
      <c r="D2634" t="s">
        <v>502</v>
      </c>
      <c r="E2634" t="s">
        <v>520</v>
      </c>
      <c r="F2634" s="188" t="n">
        <v>2038</v>
      </c>
      <c r="G2634" s="189" t="n">
        <v>62</v>
      </c>
      <c r="H2634" s="190" t="n">
        <v>23320.1579808478</v>
      </c>
      <c r="I2634" s="191" t="n">
        <v>3385154.87792496</v>
      </c>
      <c r="J2634" s="192" t="str">
        <f>IF(I2634&gt;0,H2634/I2634,0)</f>
      </c>
      <c r="K2634" s="193" t="str">
        <f>1-EXP(-J2634)</f>
      </c>
      <c r="L2634" s="194" t="str">
        <f>IF(G2634=30,1,M2633)</f>
      </c>
      <c r="M2634" s="195" t="str">
        <f>L2634*(1-K2634)</f>
      </c>
    </row>
    <row r="2635">
      <c r="A2635" t="s">
        <v>167</v>
      </c>
      <c r="B2635" t="s">
        <v>250</v>
      </c>
      <c r="C2635" s="35" t="s">
        <v>252</v>
      </c>
      <c r="D2635" t="s">
        <v>502</v>
      </c>
      <c r="E2635" t="s">
        <v>520</v>
      </c>
      <c r="F2635" s="188" t="n">
        <v>2038</v>
      </c>
      <c r="G2635" s="189" t="n">
        <v>63</v>
      </c>
      <c r="H2635" s="190" t="n">
        <v>24792.5795445475</v>
      </c>
      <c r="I2635" s="191" t="n">
        <v>3283882.53954421</v>
      </c>
      <c r="J2635" s="192" t="str">
        <f>IF(I2635&gt;0,H2635/I2635,0)</f>
      </c>
      <c r="K2635" s="193" t="str">
        <f>1-EXP(-J2635)</f>
      </c>
      <c r="L2635" s="194" t="str">
        <f>IF(G2635=30,1,M2634)</f>
      </c>
      <c r="M2635" s="195" t="str">
        <f>L2635*(1-K2635)</f>
      </c>
    </row>
    <row r="2636">
      <c r="A2636" t="s">
        <v>167</v>
      </c>
      <c r="B2636" t="s">
        <v>250</v>
      </c>
      <c r="C2636" s="35" t="s">
        <v>252</v>
      </c>
      <c r="D2636" t="s">
        <v>502</v>
      </c>
      <c r="E2636" t="s">
        <v>520</v>
      </c>
      <c r="F2636" s="188" t="n">
        <v>2038</v>
      </c>
      <c r="G2636" s="189" t="n">
        <v>64</v>
      </c>
      <c r="H2636" s="190" t="n">
        <v>26120.8206446712</v>
      </c>
      <c r="I2636" s="191" t="n">
        <v>3156735.62790539</v>
      </c>
      <c r="J2636" s="192" t="str">
        <f>IF(I2636&gt;0,H2636/I2636,0)</f>
      </c>
      <c r="K2636" s="193" t="str">
        <f>1-EXP(-J2636)</f>
      </c>
      <c r="L2636" s="194" t="str">
        <f>IF(G2636=30,1,M2635)</f>
      </c>
      <c r="M2636" s="195" t="str">
        <f>L2636*(1-K2636)</f>
      </c>
    </row>
    <row r="2637">
      <c r="A2637" t="s">
        <v>167</v>
      </c>
      <c r="B2637" t="s">
        <v>250</v>
      </c>
      <c r="C2637" s="35" t="s">
        <v>252</v>
      </c>
      <c r="D2637" t="s">
        <v>502</v>
      </c>
      <c r="E2637" t="s">
        <v>520</v>
      </c>
      <c r="F2637" s="188" t="n">
        <v>2038</v>
      </c>
      <c r="G2637" s="189" t="n">
        <v>65</v>
      </c>
      <c r="H2637" s="190" t="n">
        <v>26864.4529093257</v>
      </c>
      <c r="I2637" s="191" t="n">
        <v>3081713.42397377</v>
      </c>
      <c r="J2637" s="192" t="str">
        <f>IF(I2637&gt;0,H2637/I2637,0)</f>
      </c>
      <c r="K2637" s="193" t="str">
        <f>1-EXP(-J2637)</f>
      </c>
      <c r="L2637" s="194" t="str">
        <f>IF(G2637=30,1,M2636)</f>
      </c>
      <c r="M2637" s="195" t="str">
        <f>L2637*(1-K2637)</f>
      </c>
    </row>
    <row r="2638">
      <c r="A2638" t="s">
        <v>167</v>
      </c>
      <c r="B2638" t="s">
        <v>250</v>
      </c>
      <c r="C2638" s="35" t="s">
        <v>252</v>
      </c>
      <c r="D2638" t="s">
        <v>502</v>
      </c>
      <c r="E2638" t="s">
        <v>520</v>
      </c>
      <c r="F2638" s="188" t="n">
        <v>2038</v>
      </c>
      <c r="G2638" s="189" t="n">
        <v>66</v>
      </c>
      <c r="H2638" s="190" t="n">
        <v>27388.4938855083</v>
      </c>
      <c r="I2638" s="191" t="n">
        <v>2862239.62664713</v>
      </c>
      <c r="J2638" s="192" t="str">
        <f>IF(I2638&gt;0,H2638/I2638,0)</f>
      </c>
      <c r="K2638" s="193" t="str">
        <f>1-EXP(-J2638)</f>
      </c>
      <c r="L2638" s="194" t="str">
        <f>IF(G2638=30,1,M2637)</f>
      </c>
      <c r="M2638" s="195" t="str">
        <f>L2638*(1-K2638)</f>
      </c>
    </row>
    <row r="2639">
      <c r="A2639" t="s">
        <v>167</v>
      </c>
      <c r="B2639" t="s">
        <v>250</v>
      </c>
      <c r="C2639" s="35" t="s">
        <v>252</v>
      </c>
      <c r="D2639" t="s">
        <v>502</v>
      </c>
      <c r="E2639" t="s">
        <v>520</v>
      </c>
      <c r="F2639" s="188" t="n">
        <v>2038</v>
      </c>
      <c r="G2639" s="189" t="n">
        <v>67</v>
      </c>
      <c r="H2639" s="190" t="n">
        <v>28866.1824347986</v>
      </c>
      <c r="I2639" s="191" t="n">
        <v>2748553.0155937</v>
      </c>
      <c r="J2639" s="192" t="str">
        <f>IF(I2639&gt;0,H2639/I2639,0)</f>
      </c>
      <c r="K2639" s="193" t="str">
        <f>1-EXP(-J2639)</f>
      </c>
      <c r="L2639" s="194" t="str">
        <f>IF(G2639=30,1,M2638)</f>
      </c>
      <c r="M2639" s="195" t="str">
        <f>L2639*(1-K2639)</f>
      </c>
    </row>
    <row r="2640">
      <c r="A2640" t="s">
        <v>167</v>
      </c>
      <c r="B2640" t="s">
        <v>250</v>
      </c>
      <c r="C2640" s="35" t="s">
        <v>252</v>
      </c>
      <c r="D2640" t="s">
        <v>502</v>
      </c>
      <c r="E2640" t="s">
        <v>520</v>
      </c>
      <c r="F2640" s="188" t="n">
        <v>2038</v>
      </c>
      <c r="G2640" s="189" t="n">
        <v>68</v>
      </c>
      <c r="H2640" s="190" t="n">
        <v>30424.3043576297</v>
      </c>
      <c r="I2640" s="191" t="n">
        <v>2637502.17174856</v>
      </c>
      <c r="J2640" s="192" t="str">
        <f>IF(I2640&gt;0,H2640/I2640,0)</f>
      </c>
      <c r="K2640" s="193" t="str">
        <f>1-EXP(-J2640)</f>
      </c>
      <c r="L2640" s="194" t="str">
        <f>IF(G2640=30,1,M2639)</f>
      </c>
      <c r="M2640" s="195" t="str">
        <f>L2640*(1-K2640)</f>
      </c>
    </row>
    <row r="2641">
      <c r="A2641" t="s">
        <v>167</v>
      </c>
      <c r="B2641" t="s">
        <v>250</v>
      </c>
      <c r="C2641" s="35" t="s">
        <v>252</v>
      </c>
      <c r="D2641" t="s">
        <v>502</v>
      </c>
      <c r="E2641" t="s">
        <v>520</v>
      </c>
      <c r="F2641" s="188" t="n">
        <v>2038</v>
      </c>
      <c r="G2641" s="189" t="n">
        <v>69</v>
      </c>
      <c r="H2641" s="190" t="n">
        <v>31923.6644219696</v>
      </c>
      <c r="I2641" s="191" t="n">
        <v>2517650.69785946</v>
      </c>
      <c r="J2641" s="192" t="str">
        <f>IF(I2641&gt;0,H2641/I2641,0)</f>
      </c>
      <c r="K2641" s="193" t="str">
        <f>1-EXP(-J2641)</f>
      </c>
      <c r="L2641" s="194" t="str">
        <f>IF(G2641=30,1,M2640)</f>
      </c>
      <c r="M2641" s="195" t="str">
        <f>L2641*(1-K2641)</f>
      </c>
    </row>
    <row r="2642">
      <c r="A2642" t="s">
        <v>167</v>
      </c>
      <c r="B2642" t="s">
        <v>250</v>
      </c>
      <c r="C2642" s="35" t="s">
        <v>252</v>
      </c>
      <c r="D2642" t="s">
        <v>502</v>
      </c>
      <c r="E2642" t="s">
        <v>520</v>
      </c>
      <c r="F2642" s="188" t="n">
        <v>2039</v>
      </c>
      <c r="G2642" s="189" t="n">
        <v>30</v>
      </c>
      <c r="H2642" s="190" t="n">
        <v>776.176670249373</v>
      </c>
      <c r="I2642" s="191" t="n">
        <v>4690522.83412805</v>
      </c>
      <c r="J2642" s="192" t="str">
        <f>IF(I2642&gt;0,H2642/I2642,0)</f>
      </c>
      <c r="K2642" s="193" t="str">
        <f>1-EXP(-J2642)</f>
      </c>
      <c r="L2642" s="194" t="str">
        <f>IF(G2642=30,1,M2641)</f>
      </c>
      <c r="M2642" s="195" t="str">
        <f>L2642*(1-K2642)</f>
      </c>
    </row>
    <row r="2643">
      <c r="A2643" t="s">
        <v>167</v>
      </c>
      <c r="B2643" t="s">
        <v>250</v>
      </c>
      <c r="C2643" s="35" t="s">
        <v>252</v>
      </c>
      <c r="D2643" t="s">
        <v>502</v>
      </c>
      <c r="E2643" t="s">
        <v>520</v>
      </c>
      <c r="F2643" s="188" t="n">
        <v>2039</v>
      </c>
      <c r="G2643" s="189" t="n">
        <v>31</v>
      </c>
      <c r="H2643" s="190" t="n">
        <v>990.471302099884</v>
      </c>
      <c r="I2643" s="191" t="n">
        <v>4647874.5280798</v>
      </c>
      <c r="J2643" s="192" t="str">
        <f>IF(I2643&gt;0,H2643/I2643,0)</f>
      </c>
      <c r="K2643" s="193" t="str">
        <f>1-EXP(-J2643)</f>
      </c>
      <c r="L2643" s="194" t="str">
        <f>IF(G2643=30,1,M2642)</f>
      </c>
      <c r="M2643" s="195" t="str">
        <f>L2643*(1-K2643)</f>
      </c>
    </row>
    <row r="2644">
      <c r="A2644" t="s">
        <v>167</v>
      </c>
      <c r="B2644" t="s">
        <v>250</v>
      </c>
      <c r="C2644" s="35" t="s">
        <v>252</v>
      </c>
      <c r="D2644" t="s">
        <v>502</v>
      </c>
      <c r="E2644" t="s">
        <v>520</v>
      </c>
      <c r="F2644" s="188" t="n">
        <v>2039</v>
      </c>
      <c r="G2644" s="189" t="n">
        <v>32</v>
      </c>
      <c r="H2644" s="190" t="n">
        <v>1099.41348573796</v>
      </c>
      <c r="I2644" s="191" t="n">
        <v>4674233.36456352</v>
      </c>
      <c r="J2644" s="192" t="str">
        <f>IF(I2644&gt;0,H2644/I2644,0)</f>
      </c>
      <c r="K2644" s="193" t="str">
        <f>1-EXP(-J2644)</f>
      </c>
      <c r="L2644" s="194" t="str">
        <f>IF(G2644=30,1,M2643)</f>
      </c>
      <c r="M2644" s="195" t="str">
        <f>L2644*(1-K2644)</f>
      </c>
    </row>
    <row r="2645">
      <c r="A2645" t="s">
        <v>167</v>
      </c>
      <c r="B2645" t="s">
        <v>250</v>
      </c>
      <c r="C2645" s="35" t="s">
        <v>252</v>
      </c>
      <c r="D2645" t="s">
        <v>502</v>
      </c>
      <c r="E2645" t="s">
        <v>520</v>
      </c>
      <c r="F2645" s="188" t="n">
        <v>2039</v>
      </c>
      <c r="G2645" s="189" t="n">
        <v>33</v>
      </c>
      <c r="H2645" s="190" t="n">
        <v>1143.3977168125</v>
      </c>
      <c r="I2645" s="191" t="n">
        <v>4591247.72844593</v>
      </c>
      <c r="J2645" s="192" t="str">
        <f>IF(I2645&gt;0,H2645/I2645,0)</f>
      </c>
      <c r="K2645" s="193" t="str">
        <f>1-EXP(-J2645)</f>
      </c>
      <c r="L2645" s="194" t="str">
        <f>IF(G2645=30,1,M2644)</f>
      </c>
      <c r="M2645" s="195" t="str">
        <f>L2645*(1-K2645)</f>
      </c>
    </row>
    <row r="2646">
      <c r="A2646" t="s">
        <v>167</v>
      </c>
      <c r="B2646" t="s">
        <v>250</v>
      </c>
      <c r="C2646" s="35" t="s">
        <v>252</v>
      </c>
      <c r="D2646" t="s">
        <v>502</v>
      </c>
      <c r="E2646" t="s">
        <v>520</v>
      </c>
      <c r="F2646" s="188" t="n">
        <v>2039</v>
      </c>
      <c r="G2646" s="189" t="n">
        <v>34</v>
      </c>
      <c r="H2646" s="190" t="n">
        <v>1202.04698801018</v>
      </c>
      <c r="I2646" s="191" t="n">
        <v>4530091.84691598</v>
      </c>
      <c r="J2646" s="192" t="str">
        <f>IF(I2646&gt;0,H2646/I2646,0)</f>
      </c>
      <c r="K2646" s="193" t="str">
        <f>1-EXP(-J2646)</f>
      </c>
      <c r="L2646" s="194" t="str">
        <f>IF(G2646=30,1,M2645)</f>
      </c>
      <c r="M2646" s="195" t="str">
        <f>L2646*(1-K2646)</f>
      </c>
    </row>
    <row r="2647">
      <c r="A2647" t="s">
        <v>167</v>
      </c>
      <c r="B2647" t="s">
        <v>250</v>
      </c>
      <c r="C2647" s="35" t="s">
        <v>252</v>
      </c>
      <c r="D2647" t="s">
        <v>502</v>
      </c>
      <c r="E2647" t="s">
        <v>520</v>
      </c>
      <c r="F2647" s="188" t="n">
        <v>2039</v>
      </c>
      <c r="G2647" s="189" t="n">
        <v>35</v>
      </c>
      <c r="H2647" s="190" t="n">
        <v>1561.93389396434</v>
      </c>
      <c r="I2647" s="191" t="n">
        <v>4401282.89877945</v>
      </c>
      <c r="J2647" s="192" t="str">
        <f>IF(I2647&gt;0,H2647/I2647,0)</f>
      </c>
      <c r="K2647" s="193" t="str">
        <f>1-EXP(-J2647)</f>
      </c>
      <c r="L2647" s="194" t="str">
        <f>IF(G2647=30,1,M2646)</f>
      </c>
      <c r="M2647" s="195" t="str">
        <f>L2647*(1-K2647)</f>
      </c>
    </row>
    <row r="2648">
      <c r="A2648" t="s">
        <v>167</v>
      </c>
      <c r="B2648" t="s">
        <v>250</v>
      </c>
      <c r="C2648" s="35" t="s">
        <v>252</v>
      </c>
      <c r="D2648" t="s">
        <v>502</v>
      </c>
      <c r="E2648" t="s">
        <v>520</v>
      </c>
      <c r="F2648" s="188" t="n">
        <v>2039</v>
      </c>
      <c r="G2648" s="189" t="n">
        <v>36</v>
      </c>
      <c r="H2648" s="190" t="n">
        <v>1784.5644067771</v>
      </c>
      <c r="I2648" s="191" t="n">
        <v>4334902.29907309</v>
      </c>
      <c r="J2648" s="192" t="str">
        <f>IF(I2648&gt;0,H2648/I2648,0)</f>
      </c>
      <c r="K2648" s="193" t="str">
        <f>1-EXP(-J2648)</f>
      </c>
      <c r="L2648" s="194" t="str">
        <f>IF(G2648=30,1,M2647)</f>
      </c>
      <c r="M2648" s="195" t="str">
        <f>L2648*(1-K2648)</f>
      </c>
    </row>
    <row r="2649">
      <c r="A2649" t="s">
        <v>167</v>
      </c>
      <c r="B2649" t="s">
        <v>250</v>
      </c>
      <c r="C2649" s="35" t="s">
        <v>252</v>
      </c>
      <c r="D2649" t="s">
        <v>502</v>
      </c>
      <c r="E2649" t="s">
        <v>520</v>
      </c>
      <c r="F2649" s="188" t="n">
        <v>2039</v>
      </c>
      <c r="G2649" s="189" t="n">
        <v>37</v>
      </c>
      <c r="H2649" s="190" t="n">
        <v>2056.05721708655</v>
      </c>
      <c r="I2649" s="191" t="n">
        <v>4311736.66482716</v>
      </c>
      <c r="J2649" s="192" t="str">
        <f>IF(I2649&gt;0,H2649/I2649,0)</f>
      </c>
      <c r="K2649" s="193" t="str">
        <f>1-EXP(-J2649)</f>
      </c>
      <c r="L2649" s="194" t="str">
        <f>IF(G2649=30,1,M2648)</f>
      </c>
      <c r="M2649" s="195" t="str">
        <f>L2649*(1-K2649)</f>
      </c>
    </row>
    <row r="2650">
      <c r="A2650" t="s">
        <v>167</v>
      </c>
      <c r="B2650" t="s">
        <v>250</v>
      </c>
      <c r="C2650" s="35" t="s">
        <v>252</v>
      </c>
      <c r="D2650" t="s">
        <v>502</v>
      </c>
      <c r="E2650" t="s">
        <v>520</v>
      </c>
      <c r="F2650" s="188" t="n">
        <v>2039</v>
      </c>
      <c r="G2650" s="189" t="n">
        <v>38</v>
      </c>
      <c r="H2650" s="190" t="n">
        <v>2203.7657039283</v>
      </c>
      <c r="I2650" s="191" t="n">
        <v>4290209.21163504</v>
      </c>
      <c r="J2650" s="192" t="str">
        <f>IF(I2650&gt;0,H2650/I2650,0)</f>
      </c>
      <c r="K2650" s="193" t="str">
        <f>1-EXP(-J2650)</f>
      </c>
      <c r="L2650" s="194" t="str">
        <f>IF(G2650=30,1,M2649)</f>
      </c>
      <c r="M2650" s="195" t="str">
        <f>L2650*(1-K2650)</f>
      </c>
    </row>
    <row r="2651">
      <c r="A2651" t="s">
        <v>167</v>
      </c>
      <c r="B2651" t="s">
        <v>250</v>
      </c>
      <c r="C2651" s="35" t="s">
        <v>252</v>
      </c>
      <c r="D2651" t="s">
        <v>502</v>
      </c>
      <c r="E2651" t="s">
        <v>520</v>
      </c>
      <c r="F2651" s="188" t="n">
        <v>2039</v>
      </c>
      <c r="G2651" s="189" t="n">
        <v>39</v>
      </c>
      <c r="H2651" s="190" t="n">
        <v>2368.07376048008</v>
      </c>
      <c r="I2651" s="191" t="n">
        <v>4268138.33133083</v>
      </c>
      <c r="J2651" s="192" t="str">
        <f>IF(I2651&gt;0,H2651/I2651,0)</f>
      </c>
      <c r="K2651" s="193" t="str">
        <f>1-EXP(-J2651)</f>
      </c>
      <c r="L2651" s="194" t="str">
        <f>IF(G2651=30,1,M2650)</f>
      </c>
      <c r="M2651" s="195" t="str">
        <f>L2651*(1-K2651)</f>
      </c>
    </row>
    <row r="2652">
      <c r="A2652" t="s">
        <v>167</v>
      </c>
      <c r="B2652" t="s">
        <v>250</v>
      </c>
      <c r="C2652" s="35" t="s">
        <v>252</v>
      </c>
      <c r="D2652" t="s">
        <v>502</v>
      </c>
      <c r="E2652" t="s">
        <v>520</v>
      </c>
      <c r="F2652" s="188" t="n">
        <v>2039</v>
      </c>
      <c r="G2652" s="189" t="n">
        <v>40</v>
      </c>
      <c r="H2652" s="190" t="n">
        <v>3194.55425793204</v>
      </c>
      <c r="I2652" s="191" t="n">
        <v>4285077.92353277</v>
      </c>
      <c r="J2652" s="192" t="str">
        <f>IF(I2652&gt;0,H2652/I2652,0)</f>
      </c>
      <c r="K2652" s="193" t="str">
        <f>1-EXP(-J2652)</f>
      </c>
      <c r="L2652" s="194" t="str">
        <f>IF(G2652=30,1,M2651)</f>
      </c>
      <c r="M2652" s="195" t="str">
        <f>L2652*(1-K2652)</f>
      </c>
    </row>
    <row r="2653">
      <c r="A2653" t="s">
        <v>167</v>
      </c>
      <c r="B2653" t="s">
        <v>250</v>
      </c>
      <c r="C2653" s="35" t="s">
        <v>252</v>
      </c>
      <c r="D2653" t="s">
        <v>502</v>
      </c>
      <c r="E2653" t="s">
        <v>520</v>
      </c>
      <c r="F2653" s="188" t="n">
        <v>2039</v>
      </c>
      <c r="G2653" s="189" t="n">
        <v>41</v>
      </c>
      <c r="H2653" s="190" t="n">
        <v>3573.35776918604</v>
      </c>
      <c r="I2653" s="191" t="n">
        <v>4339646.0102891</v>
      </c>
      <c r="J2653" s="192" t="str">
        <f>IF(I2653&gt;0,H2653/I2653,0)</f>
      </c>
      <c r="K2653" s="193" t="str">
        <f>1-EXP(-J2653)</f>
      </c>
      <c r="L2653" s="194" t="str">
        <f>IF(G2653=30,1,M2652)</f>
      </c>
      <c r="M2653" s="195" t="str">
        <f>L2653*(1-K2653)</f>
      </c>
    </row>
    <row r="2654">
      <c r="A2654" t="s">
        <v>167</v>
      </c>
      <c r="B2654" t="s">
        <v>250</v>
      </c>
      <c r="C2654" s="35" t="s">
        <v>252</v>
      </c>
      <c r="D2654" t="s">
        <v>502</v>
      </c>
      <c r="E2654" t="s">
        <v>520</v>
      </c>
      <c r="F2654" s="188" t="n">
        <v>2039</v>
      </c>
      <c r="G2654" s="189" t="n">
        <v>42</v>
      </c>
      <c r="H2654" s="190" t="n">
        <v>4201.69187444085</v>
      </c>
      <c r="I2654" s="191" t="n">
        <v>4471361.06395797</v>
      </c>
      <c r="J2654" s="192" t="str">
        <f>IF(I2654&gt;0,H2654/I2654,0)</f>
      </c>
      <c r="K2654" s="193" t="str">
        <f>1-EXP(-J2654)</f>
      </c>
      <c r="L2654" s="194" t="str">
        <f>IF(G2654=30,1,M2653)</f>
      </c>
      <c r="M2654" s="195" t="str">
        <f>L2654*(1-K2654)</f>
      </c>
    </row>
    <row r="2655">
      <c r="A2655" t="s">
        <v>167</v>
      </c>
      <c r="B2655" t="s">
        <v>250</v>
      </c>
      <c r="C2655" s="35" t="s">
        <v>252</v>
      </c>
      <c r="D2655" t="s">
        <v>502</v>
      </c>
      <c r="E2655" t="s">
        <v>520</v>
      </c>
      <c r="F2655" s="188" t="n">
        <v>2039</v>
      </c>
      <c r="G2655" s="189" t="n">
        <v>43</v>
      </c>
      <c r="H2655" s="190" t="n">
        <v>4514.56725403345</v>
      </c>
      <c r="I2655" s="191" t="n">
        <v>4423819.93874998</v>
      </c>
      <c r="J2655" s="192" t="str">
        <f>IF(I2655&gt;0,H2655/I2655,0)</f>
      </c>
      <c r="K2655" s="193" t="str">
        <f>1-EXP(-J2655)</f>
      </c>
      <c r="L2655" s="194" t="str">
        <f>IF(G2655=30,1,M2654)</f>
      </c>
      <c r="M2655" s="195" t="str">
        <f>L2655*(1-K2655)</f>
      </c>
    </row>
    <row r="2656">
      <c r="A2656" t="s">
        <v>167</v>
      </c>
      <c r="B2656" t="s">
        <v>250</v>
      </c>
      <c r="C2656" s="35" t="s">
        <v>252</v>
      </c>
      <c r="D2656" t="s">
        <v>502</v>
      </c>
      <c r="E2656" t="s">
        <v>520</v>
      </c>
      <c r="F2656" s="188" t="n">
        <v>2039</v>
      </c>
      <c r="G2656" s="189" t="n">
        <v>44</v>
      </c>
      <c r="H2656" s="190" t="n">
        <v>4829.70432838344</v>
      </c>
      <c r="I2656" s="191" t="n">
        <v>4346125.81278079</v>
      </c>
      <c r="J2656" s="192" t="str">
        <f>IF(I2656&gt;0,H2656/I2656,0)</f>
      </c>
      <c r="K2656" s="193" t="str">
        <f>1-EXP(-J2656)</f>
      </c>
      <c r="L2656" s="194" t="str">
        <f>IF(G2656=30,1,M2655)</f>
      </c>
      <c r="M2656" s="195" t="str">
        <f>L2656*(1-K2656)</f>
      </c>
    </row>
    <row r="2657">
      <c r="A2657" t="s">
        <v>167</v>
      </c>
      <c r="B2657" t="s">
        <v>250</v>
      </c>
      <c r="C2657" s="35" t="s">
        <v>252</v>
      </c>
      <c r="D2657" t="s">
        <v>502</v>
      </c>
      <c r="E2657" t="s">
        <v>520</v>
      </c>
      <c r="F2657" s="188" t="n">
        <v>2039</v>
      </c>
      <c r="G2657" s="189" t="n">
        <v>45</v>
      </c>
      <c r="H2657" s="190" t="n">
        <v>6112.32476796567</v>
      </c>
      <c r="I2657" s="191" t="n">
        <v>4283368.79488247</v>
      </c>
      <c r="J2657" s="192" t="str">
        <f>IF(I2657&gt;0,H2657/I2657,0)</f>
      </c>
      <c r="K2657" s="193" t="str">
        <f>1-EXP(-J2657)</f>
      </c>
      <c r="L2657" s="194" t="str">
        <f>IF(G2657=30,1,M2656)</f>
      </c>
      <c r="M2657" s="195" t="str">
        <f>L2657*(1-K2657)</f>
      </c>
    </row>
    <row r="2658">
      <c r="A2658" t="s">
        <v>167</v>
      </c>
      <c r="B2658" t="s">
        <v>250</v>
      </c>
      <c r="C2658" s="35" t="s">
        <v>252</v>
      </c>
      <c r="D2658" t="s">
        <v>502</v>
      </c>
      <c r="E2658" t="s">
        <v>520</v>
      </c>
      <c r="F2658" s="188" t="n">
        <v>2039</v>
      </c>
      <c r="G2658" s="189" t="n">
        <v>46</v>
      </c>
      <c r="H2658" s="190" t="n">
        <v>6580.48000593582</v>
      </c>
      <c r="I2658" s="191" t="n">
        <v>4222579.40279436</v>
      </c>
      <c r="J2658" s="192" t="str">
        <f>IF(I2658&gt;0,H2658/I2658,0)</f>
      </c>
      <c r="K2658" s="193" t="str">
        <f>1-EXP(-J2658)</f>
      </c>
      <c r="L2658" s="194" t="str">
        <f>IF(G2658=30,1,M2657)</f>
      </c>
      <c r="M2658" s="195" t="str">
        <f>L2658*(1-K2658)</f>
      </c>
    </row>
    <row r="2659">
      <c r="A2659" t="s">
        <v>167</v>
      </c>
      <c r="B2659" t="s">
        <v>250</v>
      </c>
      <c r="C2659" s="35" t="s">
        <v>252</v>
      </c>
      <c r="D2659" t="s">
        <v>502</v>
      </c>
      <c r="E2659" t="s">
        <v>520</v>
      </c>
      <c r="F2659" s="188" t="n">
        <v>2039</v>
      </c>
      <c r="G2659" s="189" t="n">
        <v>47</v>
      </c>
      <c r="H2659" s="190" t="n">
        <v>7246.54645326468</v>
      </c>
      <c r="I2659" s="191" t="n">
        <v>4251236.10380046</v>
      </c>
      <c r="J2659" s="192" t="str">
        <f>IF(I2659&gt;0,H2659/I2659,0)</f>
      </c>
      <c r="K2659" s="193" t="str">
        <f>1-EXP(-J2659)</f>
      </c>
      <c r="L2659" s="194" t="str">
        <f>IF(G2659=30,1,M2658)</f>
      </c>
      <c r="M2659" s="195" t="str">
        <f>L2659*(1-K2659)</f>
      </c>
    </row>
    <row r="2660">
      <c r="A2660" t="s">
        <v>167</v>
      </c>
      <c r="B2660" t="s">
        <v>250</v>
      </c>
      <c r="C2660" s="35" t="s">
        <v>252</v>
      </c>
      <c r="D2660" t="s">
        <v>502</v>
      </c>
      <c r="E2660" t="s">
        <v>520</v>
      </c>
      <c r="F2660" s="188" t="n">
        <v>2039</v>
      </c>
      <c r="G2660" s="189" t="n">
        <v>48</v>
      </c>
      <c r="H2660" s="190" t="n">
        <v>7957.72614966955</v>
      </c>
      <c r="I2660" s="191" t="n">
        <v>4259539.26485485</v>
      </c>
      <c r="J2660" s="192" t="str">
        <f>IF(I2660&gt;0,H2660/I2660,0)</f>
      </c>
      <c r="K2660" s="193" t="str">
        <f>1-EXP(-J2660)</f>
      </c>
      <c r="L2660" s="194" t="str">
        <f>IF(G2660=30,1,M2659)</f>
      </c>
      <c r="M2660" s="195" t="str">
        <f>L2660*(1-K2660)</f>
      </c>
    </row>
    <row r="2661">
      <c r="A2661" t="s">
        <v>167</v>
      </c>
      <c r="B2661" t="s">
        <v>250</v>
      </c>
      <c r="C2661" s="35" t="s">
        <v>252</v>
      </c>
      <c r="D2661" t="s">
        <v>502</v>
      </c>
      <c r="E2661" t="s">
        <v>520</v>
      </c>
      <c r="F2661" s="188" t="n">
        <v>2039</v>
      </c>
      <c r="G2661" s="189" t="n">
        <v>49</v>
      </c>
      <c r="H2661" s="190" t="n">
        <v>11752.3087249863</v>
      </c>
      <c r="I2661" s="191" t="n">
        <v>6266281.70991341</v>
      </c>
      <c r="J2661" s="192" t="str">
        <f>IF(I2661&gt;0,H2661/I2661,0)</f>
      </c>
      <c r="K2661" s="193" t="str">
        <f>1-EXP(-J2661)</f>
      </c>
      <c r="L2661" s="194" t="str">
        <f>IF(G2661=30,1,M2660)</f>
      </c>
      <c r="M2661" s="195" t="str">
        <f>L2661*(1-K2661)</f>
      </c>
    </row>
    <row r="2662">
      <c r="A2662" t="s">
        <v>167</v>
      </c>
      <c r="B2662" t="s">
        <v>250</v>
      </c>
      <c r="C2662" s="35" t="s">
        <v>252</v>
      </c>
      <c r="D2662" t="s">
        <v>502</v>
      </c>
      <c r="E2662" t="s">
        <v>520</v>
      </c>
      <c r="F2662" s="188" t="n">
        <v>2039</v>
      </c>
      <c r="G2662" s="189" t="n">
        <v>50</v>
      </c>
      <c r="H2662" s="190" t="n">
        <v>9893.17519717207</v>
      </c>
      <c r="I2662" s="191" t="n">
        <v>4197651.55821579</v>
      </c>
      <c r="J2662" s="192" t="str">
        <f>IF(I2662&gt;0,H2662/I2662,0)</f>
      </c>
      <c r="K2662" s="193" t="str">
        <f>1-EXP(-J2662)</f>
      </c>
      <c r="L2662" s="194" t="str">
        <f>IF(G2662=30,1,M2661)</f>
      </c>
      <c r="M2662" s="195" t="str">
        <f>L2662*(1-K2662)</f>
      </c>
    </row>
    <row r="2663">
      <c r="A2663" t="s">
        <v>167</v>
      </c>
      <c r="B2663" t="s">
        <v>250</v>
      </c>
      <c r="C2663" s="35" t="s">
        <v>252</v>
      </c>
      <c r="D2663" t="s">
        <v>502</v>
      </c>
      <c r="E2663" t="s">
        <v>520</v>
      </c>
      <c r="F2663" s="188" t="n">
        <v>2039</v>
      </c>
      <c r="G2663" s="189" t="n">
        <v>51</v>
      </c>
      <c r="H2663" s="190" t="n">
        <v>10743.670635268</v>
      </c>
      <c r="I2663" s="191" t="n">
        <v>4168174.32872161</v>
      </c>
      <c r="J2663" s="192" t="str">
        <f>IF(I2663&gt;0,H2663/I2663,0)</f>
      </c>
      <c r="K2663" s="193" t="str">
        <f>1-EXP(-J2663)</f>
      </c>
      <c r="L2663" s="194" t="str">
        <f>IF(G2663=30,1,M2662)</f>
      </c>
      <c r="M2663" s="195" t="str">
        <f>L2663*(1-K2663)</f>
      </c>
    </row>
    <row r="2664">
      <c r="A2664" t="s">
        <v>167</v>
      </c>
      <c r="B2664" t="s">
        <v>250</v>
      </c>
      <c r="C2664" s="35" t="s">
        <v>252</v>
      </c>
      <c r="D2664" t="s">
        <v>502</v>
      </c>
      <c r="E2664" t="s">
        <v>520</v>
      </c>
      <c r="F2664" s="188" t="n">
        <v>2039</v>
      </c>
      <c r="G2664" s="189" t="n">
        <v>52</v>
      </c>
      <c r="H2664" s="190" t="n">
        <v>11350.5091485508</v>
      </c>
      <c r="I2664" s="191" t="n">
        <v>4026982.23057178</v>
      </c>
      <c r="J2664" s="192" t="str">
        <f>IF(I2664&gt;0,H2664/I2664,0)</f>
      </c>
      <c r="K2664" s="193" t="str">
        <f>1-EXP(-J2664)</f>
      </c>
      <c r="L2664" s="194" t="str">
        <f>IF(G2664=30,1,M2663)</f>
      </c>
      <c r="M2664" s="195" t="str">
        <f>L2664*(1-K2664)</f>
      </c>
    </row>
    <row r="2665">
      <c r="A2665" t="s">
        <v>167</v>
      </c>
      <c r="B2665" t="s">
        <v>250</v>
      </c>
      <c r="C2665" s="35" t="s">
        <v>252</v>
      </c>
      <c r="D2665" t="s">
        <v>502</v>
      </c>
      <c r="E2665" t="s">
        <v>520</v>
      </c>
      <c r="F2665" s="188" t="n">
        <v>2039</v>
      </c>
      <c r="G2665" s="189" t="n">
        <v>53</v>
      </c>
      <c r="H2665" s="190" t="n">
        <v>12243.4935756569</v>
      </c>
      <c r="I2665" s="191" t="n">
        <v>3979012.20847313</v>
      </c>
      <c r="J2665" s="192" t="str">
        <f>IF(I2665&gt;0,H2665/I2665,0)</f>
      </c>
      <c r="K2665" s="193" t="str">
        <f>1-EXP(-J2665)</f>
      </c>
      <c r="L2665" s="194" t="str">
        <f>IF(G2665=30,1,M2664)</f>
      </c>
      <c r="M2665" s="195" t="str">
        <f>L2665*(1-K2665)</f>
      </c>
    </row>
    <row r="2666">
      <c r="A2666" t="s">
        <v>167</v>
      </c>
      <c r="B2666" t="s">
        <v>250</v>
      </c>
      <c r="C2666" s="35" t="s">
        <v>252</v>
      </c>
      <c r="D2666" t="s">
        <v>502</v>
      </c>
      <c r="E2666" t="s">
        <v>520</v>
      </c>
      <c r="F2666" s="188" t="n">
        <v>2039</v>
      </c>
      <c r="G2666" s="189" t="n">
        <v>54</v>
      </c>
      <c r="H2666" s="190" t="n">
        <v>13491.9421771895</v>
      </c>
      <c r="I2666" s="191" t="n">
        <v>4019223.23373811</v>
      </c>
      <c r="J2666" s="192" t="str">
        <f>IF(I2666&gt;0,H2666/I2666,0)</f>
      </c>
      <c r="K2666" s="193" t="str">
        <f>1-EXP(-J2666)</f>
      </c>
      <c r="L2666" s="194" t="str">
        <f>IF(G2666=30,1,M2665)</f>
      </c>
      <c r="M2666" s="195" t="str">
        <f>L2666*(1-K2666)</f>
      </c>
    </row>
    <row r="2667">
      <c r="A2667" t="s">
        <v>167</v>
      </c>
      <c r="B2667" t="s">
        <v>250</v>
      </c>
      <c r="C2667" s="35" t="s">
        <v>252</v>
      </c>
      <c r="D2667" t="s">
        <v>502</v>
      </c>
      <c r="E2667" t="s">
        <v>520</v>
      </c>
      <c r="F2667" s="188" t="n">
        <v>2039</v>
      </c>
      <c r="G2667" s="189" t="n">
        <v>55</v>
      </c>
      <c r="H2667" s="190" t="n">
        <v>14850.5091661969</v>
      </c>
      <c r="I2667" s="191" t="n">
        <v>4081353.74442416</v>
      </c>
      <c r="J2667" s="192" t="str">
        <f>IF(I2667&gt;0,H2667/I2667,0)</f>
      </c>
      <c r="K2667" s="193" t="str">
        <f>1-EXP(-J2667)</f>
      </c>
      <c r="L2667" s="194" t="str">
        <f>IF(G2667=30,1,M2666)</f>
      </c>
      <c r="M2667" s="195" t="str">
        <f>L2667*(1-K2667)</f>
      </c>
    </row>
    <row r="2668">
      <c r="A2668" t="s">
        <v>167</v>
      </c>
      <c r="B2668" t="s">
        <v>250</v>
      </c>
      <c r="C2668" s="35" t="s">
        <v>252</v>
      </c>
      <c r="D2668" t="s">
        <v>502</v>
      </c>
      <c r="E2668" t="s">
        <v>520</v>
      </c>
      <c r="F2668" s="188" t="n">
        <v>2039</v>
      </c>
      <c r="G2668" s="189" t="n">
        <v>56</v>
      </c>
      <c r="H2668" s="190" t="n">
        <v>16003.1778823423</v>
      </c>
      <c r="I2668" s="191" t="n">
        <v>4037996.96282276</v>
      </c>
      <c r="J2668" s="192" t="str">
        <f>IF(I2668&gt;0,H2668/I2668,0)</f>
      </c>
      <c r="K2668" s="193" t="str">
        <f>1-EXP(-J2668)</f>
      </c>
      <c r="L2668" s="194" t="str">
        <f>IF(G2668=30,1,M2667)</f>
      </c>
      <c r="M2668" s="195" t="str">
        <f>L2668*(1-K2668)</f>
      </c>
    </row>
    <row r="2669">
      <c r="A2669" t="s">
        <v>167</v>
      </c>
      <c r="B2669" t="s">
        <v>250</v>
      </c>
      <c r="C2669" s="35" t="s">
        <v>252</v>
      </c>
      <c r="D2669" t="s">
        <v>502</v>
      </c>
      <c r="E2669" t="s">
        <v>520</v>
      </c>
      <c r="F2669" s="188" t="n">
        <v>2039</v>
      </c>
      <c r="G2669" s="189" t="n">
        <v>57</v>
      </c>
      <c r="H2669" s="190" t="n">
        <v>16834.0822262071</v>
      </c>
      <c r="I2669" s="191" t="n">
        <v>3887632.8769364</v>
      </c>
      <c r="J2669" s="192" t="str">
        <f>IF(I2669&gt;0,H2669/I2669,0)</f>
      </c>
      <c r="K2669" s="193" t="str">
        <f>1-EXP(-J2669)</f>
      </c>
      <c r="L2669" s="194" t="str">
        <f>IF(G2669=30,1,M2668)</f>
      </c>
      <c r="M2669" s="195" t="str">
        <f>L2669*(1-K2669)</f>
      </c>
    </row>
    <row r="2670">
      <c r="A2670" t="s">
        <v>167</v>
      </c>
      <c r="B2670" t="s">
        <v>250</v>
      </c>
      <c r="C2670" s="35" t="s">
        <v>252</v>
      </c>
      <c r="D2670" t="s">
        <v>502</v>
      </c>
      <c r="E2670" t="s">
        <v>520</v>
      </c>
      <c r="F2670" s="188" t="n">
        <v>2039</v>
      </c>
      <c r="G2670" s="189" t="n">
        <v>58</v>
      </c>
      <c r="H2670" s="190" t="n">
        <v>17960.0396139459</v>
      </c>
      <c r="I2670" s="191" t="n">
        <v>3795318.49955886</v>
      </c>
      <c r="J2670" s="192" t="str">
        <f>IF(I2670&gt;0,H2670/I2670,0)</f>
      </c>
      <c r="K2670" s="193" t="str">
        <f>1-EXP(-J2670)</f>
      </c>
      <c r="L2670" s="194" t="str">
        <f>IF(G2670=30,1,M2669)</f>
      </c>
      <c r="M2670" s="195" t="str">
        <f>L2670*(1-K2670)</f>
      </c>
    </row>
    <row r="2671">
      <c r="A2671" t="s">
        <v>167</v>
      </c>
      <c r="B2671" t="s">
        <v>250</v>
      </c>
      <c r="C2671" s="35" t="s">
        <v>252</v>
      </c>
      <c r="D2671" t="s">
        <v>502</v>
      </c>
      <c r="E2671" t="s">
        <v>520</v>
      </c>
      <c r="F2671" s="188" t="n">
        <v>2039</v>
      </c>
      <c r="G2671" s="189" t="n">
        <v>59</v>
      </c>
      <c r="H2671" s="190" t="n">
        <v>19242.4777172154</v>
      </c>
      <c r="I2671" s="191" t="n">
        <v>3716603.3473353</v>
      </c>
      <c r="J2671" s="192" t="str">
        <f>IF(I2671&gt;0,H2671/I2671,0)</f>
      </c>
      <c r="K2671" s="193" t="str">
        <f>1-EXP(-J2671)</f>
      </c>
      <c r="L2671" s="194" t="str">
        <f>IF(G2671=30,1,M2670)</f>
      </c>
      <c r="M2671" s="195" t="str">
        <f>L2671*(1-K2671)</f>
      </c>
    </row>
    <row r="2672">
      <c r="A2672" t="s">
        <v>167</v>
      </c>
      <c r="B2672" t="s">
        <v>250</v>
      </c>
      <c r="C2672" s="35" t="s">
        <v>252</v>
      </c>
      <c r="D2672" t="s">
        <v>502</v>
      </c>
      <c r="E2672" t="s">
        <v>520</v>
      </c>
      <c r="F2672" s="188" t="n">
        <v>2039</v>
      </c>
      <c r="G2672" s="189" t="n">
        <v>60</v>
      </c>
      <c r="H2672" s="190" t="n">
        <v>20566.9322893759</v>
      </c>
      <c r="I2672" s="191" t="n">
        <v>3631469.86973554</v>
      </c>
      <c r="J2672" s="192" t="str">
        <f>IF(I2672&gt;0,H2672/I2672,0)</f>
      </c>
      <c r="K2672" s="193" t="str">
        <f>1-EXP(-J2672)</f>
      </c>
      <c r="L2672" s="194" t="str">
        <f>IF(G2672=30,1,M2671)</f>
      </c>
      <c r="M2672" s="195" t="str">
        <f>L2672*(1-K2672)</f>
      </c>
    </row>
    <row r="2673">
      <c r="A2673" t="s">
        <v>167</v>
      </c>
      <c r="B2673" t="s">
        <v>250</v>
      </c>
      <c r="C2673" s="35" t="s">
        <v>252</v>
      </c>
      <c r="D2673" t="s">
        <v>502</v>
      </c>
      <c r="E2673" t="s">
        <v>520</v>
      </c>
      <c r="F2673" s="188" t="n">
        <v>2039</v>
      </c>
      <c r="G2673" s="189" t="n">
        <v>61</v>
      </c>
      <c r="H2673" s="190" t="n">
        <v>21898.9335829102</v>
      </c>
      <c r="I2673" s="191" t="n">
        <v>3526825.02533355</v>
      </c>
      <c r="J2673" s="192" t="str">
        <f>IF(I2673&gt;0,H2673/I2673,0)</f>
      </c>
      <c r="K2673" s="193" t="str">
        <f>1-EXP(-J2673)</f>
      </c>
      <c r="L2673" s="194" t="str">
        <f>IF(G2673=30,1,M2672)</f>
      </c>
      <c r="M2673" s="195" t="str">
        <f>L2673*(1-K2673)</f>
      </c>
    </row>
    <row r="2674">
      <c r="A2674" t="s">
        <v>167</v>
      </c>
      <c r="B2674" t="s">
        <v>250</v>
      </c>
      <c r="C2674" s="35" t="s">
        <v>252</v>
      </c>
      <c r="D2674" t="s">
        <v>502</v>
      </c>
      <c r="E2674" t="s">
        <v>520</v>
      </c>
      <c r="F2674" s="188" t="n">
        <v>2039</v>
      </c>
      <c r="G2674" s="189" t="n">
        <v>62</v>
      </c>
      <c r="H2674" s="190" t="n">
        <v>23415.7643317369</v>
      </c>
      <c r="I2674" s="191" t="n">
        <v>3436282.05874856</v>
      </c>
      <c r="J2674" s="192" t="str">
        <f>IF(I2674&gt;0,H2674/I2674,0)</f>
      </c>
      <c r="K2674" s="193" t="str">
        <f>1-EXP(-J2674)</f>
      </c>
      <c r="L2674" s="194" t="str">
        <f>IF(G2674=30,1,M2673)</f>
      </c>
      <c r="M2674" s="195" t="str">
        <f>L2674*(1-K2674)</f>
      </c>
    </row>
    <row r="2675">
      <c r="A2675" t="s">
        <v>167</v>
      </c>
      <c r="B2675" t="s">
        <v>250</v>
      </c>
      <c r="C2675" s="35" t="s">
        <v>252</v>
      </c>
      <c r="D2675" t="s">
        <v>502</v>
      </c>
      <c r="E2675" t="s">
        <v>520</v>
      </c>
      <c r="F2675" s="188" t="n">
        <v>2039</v>
      </c>
      <c r="G2675" s="189" t="n">
        <v>63</v>
      </c>
      <c r="H2675" s="190" t="n">
        <v>24902.6593504592</v>
      </c>
      <c r="I2675" s="191" t="n">
        <v>3333879.78585447</v>
      </c>
      <c r="J2675" s="192" t="str">
        <f>IF(I2675&gt;0,H2675/I2675,0)</f>
      </c>
      <c r="K2675" s="193" t="str">
        <f>1-EXP(-J2675)</f>
      </c>
      <c r="L2675" s="194" t="str">
        <f>IF(G2675=30,1,M2674)</f>
      </c>
      <c r="M2675" s="195" t="str">
        <f>L2675*(1-K2675)</f>
      </c>
    </row>
    <row r="2676">
      <c r="A2676" t="s">
        <v>167</v>
      </c>
      <c r="B2676" t="s">
        <v>250</v>
      </c>
      <c r="C2676" s="35" t="s">
        <v>252</v>
      </c>
      <c r="D2676" t="s">
        <v>502</v>
      </c>
      <c r="E2676" t="s">
        <v>520</v>
      </c>
      <c r="F2676" s="188" t="n">
        <v>2039</v>
      </c>
      <c r="G2676" s="189" t="n">
        <v>64</v>
      </c>
      <c r="H2676" s="190" t="n">
        <v>26441.219866379</v>
      </c>
      <c r="I2676" s="191" t="n">
        <v>3229384.51124988</v>
      </c>
      <c r="J2676" s="192" t="str">
        <f>IF(I2676&gt;0,H2676/I2676,0)</f>
      </c>
      <c r="K2676" s="193" t="str">
        <f>1-EXP(-J2676)</f>
      </c>
      <c r="L2676" s="194" t="str">
        <f>IF(G2676=30,1,M2675)</f>
      </c>
      <c r="M2676" s="195" t="str">
        <f>L2676*(1-K2676)</f>
      </c>
    </row>
    <row r="2677">
      <c r="A2677" t="s">
        <v>167</v>
      </c>
      <c r="B2677" t="s">
        <v>250</v>
      </c>
      <c r="C2677" s="35" t="s">
        <v>252</v>
      </c>
      <c r="D2677" t="s">
        <v>502</v>
      </c>
      <c r="E2677" t="s">
        <v>520</v>
      </c>
      <c r="F2677" s="188" t="n">
        <v>2039</v>
      </c>
      <c r="G2677" s="189" t="n">
        <v>65</v>
      </c>
      <c r="H2677" s="190" t="n">
        <v>26703.5151961095</v>
      </c>
      <c r="I2677" s="191" t="n">
        <v>3099329.31867467</v>
      </c>
      <c r="J2677" s="192" t="str">
        <f>IF(I2677&gt;0,H2677/I2677,0)</f>
      </c>
      <c r="K2677" s="193" t="str">
        <f>1-EXP(-J2677)</f>
      </c>
      <c r="L2677" s="194" t="str">
        <f>IF(G2677=30,1,M2676)</f>
      </c>
      <c r="M2677" s="195" t="str">
        <f>L2677*(1-K2677)</f>
      </c>
    </row>
    <row r="2678">
      <c r="A2678" t="s">
        <v>167</v>
      </c>
      <c r="B2678" t="s">
        <v>250</v>
      </c>
      <c r="C2678" s="35" t="s">
        <v>252</v>
      </c>
      <c r="D2678" t="s">
        <v>502</v>
      </c>
      <c r="E2678" t="s">
        <v>520</v>
      </c>
      <c r="F2678" s="188" t="n">
        <v>2039</v>
      </c>
      <c r="G2678" s="189" t="n">
        <v>66</v>
      </c>
      <c r="H2678" s="190" t="n">
        <v>28539.4430310829</v>
      </c>
      <c r="I2678" s="191" t="n">
        <v>3020809.02980801</v>
      </c>
      <c r="J2678" s="192" t="str">
        <f>IF(I2678&gt;0,H2678/I2678,0)</f>
      </c>
      <c r="K2678" s="193" t="str">
        <f>1-EXP(-J2678)</f>
      </c>
      <c r="L2678" s="194" t="str">
        <f>IF(G2678=30,1,M2677)</f>
      </c>
      <c r="M2678" s="195" t="str">
        <f>L2678*(1-K2678)</f>
      </c>
    </row>
    <row r="2679">
      <c r="A2679" t="s">
        <v>167</v>
      </c>
      <c r="B2679" t="s">
        <v>250</v>
      </c>
      <c r="C2679" s="35" t="s">
        <v>252</v>
      </c>
      <c r="D2679" t="s">
        <v>502</v>
      </c>
      <c r="E2679" t="s">
        <v>520</v>
      </c>
      <c r="F2679" s="188" t="n">
        <v>2039</v>
      </c>
      <c r="G2679" s="189" t="n">
        <v>67</v>
      </c>
      <c r="H2679" s="190" t="n">
        <v>29062.5971230529</v>
      </c>
      <c r="I2679" s="191" t="n">
        <v>2799683.51673207</v>
      </c>
      <c r="J2679" s="192" t="str">
        <f>IF(I2679&gt;0,H2679/I2679,0)</f>
      </c>
      <c r="K2679" s="193" t="str">
        <f>1-EXP(-J2679)</f>
      </c>
      <c r="L2679" s="194" t="str">
        <f>IF(G2679=30,1,M2678)</f>
      </c>
      <c r="M2679" s="195" t="str">
        <f>L2679*(1-K2679)</f>
      </c>
    </row>
    <row r="2680">
      <c r="A2680" t="s">
        <v>167</v>
      </c>
      <c r="B2680" t="s">
        <v>250</v>
      </c>
      <c r="C2680" s="35" t="s">
        <v>252</v>
      </c>
      <c r="D2680" t="s">
        <v>502</v>
      </c>
      <c r="E2680" t="s">
        <v>520</v>
      </c>
      <c r="F2680" s="188" t="n">
        <v>2039</v>
      </c>
      <c r="G2680" s="189" t="n">
        <v>68</v>
      </c>
      <c r="H2680" s="190" t="n">
        <v>30588.0787801968</v>
      </c>
      <c r="I2680" s="191" t="n">
        <v>2682680.65574548</v>
      </c>
      <c r="J2680" s="192" t="str">
        <f>IF(I2680&gt;0,H2680/I2680,0)</f>
      </c>
      <c r="K2680" s="193" t="str">
        <f>1-EXP(-J2680)</f>
      </c>
      <c r="L2680" s="194" t="str">
        <f>IF(G2680=30,1,M2679)</f>
      </c>
      <c r="M2680" s="195" t="str">
        <f>L2680*(1-K2680)</f>
      </c>
    </row>
    <row r="2681">
      <c r="A2681" t="s">
        <v>167</v>
      </c>
      <c r="B2681" t="s">
        <v>250</v>
      </c>
      <c r="C2681" s="35" t="s">
        <v>252</v>
      </c>
      <c r="D2681" t="s">
        <v>502</v>
      </c>
      <c r="E2681" t="s">
        <v>520</v>
      </c>
      <c r="F2681" s="188" t="n">
        <v>2039</v>
      </c>
      <c r="G2681" s="189" t="n">
        <v>69</v>
      </c>
      <c r="H2681" s="190" t="n">
        <v>32193.4107766027</v>
      </c>
      <c r="I2681" s="191" t="n">
        <v>2568148.22538209</v>
      </c>
      <c r="J2681" s="192" t="str">
        <f>IF(I2681&gt;0,H2681/I2681,0)</f>
      </c>
      <c r="K2681" s="193" t="str">
        <f>1-EXP(-J2681)</f>
      </c>
      <c r="L2681" s="194" t="str">
        <f>IF(G2681=30,1,M2680)</f>
      </c>
      <c r="M2681" s="195" t="str">
        <f>L2681*(1-K2681)</f>
      </c>
    </row>
    <row r="2682">
      <c r="A2682" t="s">
        <v>167</v>
      </c>
      <c r="B2682" t="s">
        <v>250</v>
      </c>
      <c r="C2682" s="35" t="s">
        <v>252</v>
      </c>
      <c r="D2682" t="s">
        <v>502</v>
      </c>
      <c r="E2682" t="s">
        <v>520</v>
      </c>
      <c r="F2682" s="188" t="n">
        <v>2040</v>
      </c>
      <c r="G2682" s="189" t="n">
        <v>30</v>
      </c>
      <c r="H2682" s="190" t="n">
        <v>790.137934519148</v>
      </c>
      <c r="I2682" s="191" t="n">
        <v>4755802.31102447</v>
      </c>
      <c r="J2682" s="192" t="str">
        <f>IF(I2682&gt;0,H2682/I2682,0)</f>
      </c>
      <c r="K2682" s="193" t="str">
        <f>1-EXP(-J2682)</f>
      </c>
      <c r="L2682" s="194" t="str">
        <f>IF(G2682=30,1,M2681)</f>
      </c>
      <c r="M2682" s="195" t="str">
        <f>L2682*(1-K2682)</f>
      </c>
    </row>
    <row r="2683">
      <c r="A2683" t="s">
        <v>167</v>
      </c>
      <c r="B2683" t="s">
        <v>250</v>
      </c>
      <c r="C2683" s="35" t="s">
        <v>252</v>
      </c>
      <c r="D2683" t="s">
        <v>502</v>
      </c>
      <c r="E2683" t="s">
        <v>520</v>
      </c>
      <c r="F2683" s="188" t="n">
        <v>2040</v>
      </c>
      <c r="G2683" s="189" t="n">
        <v>31</v>
      </c>
      <c r="H2683" s="190" t="n">
        <v>1001.99634238709</v>
      </c>
      <c r="I2683" s="191" t="n">
        <v>4684930.34080643</v>
      </c>
      <c r="J2683" s="192" t="str">
        <f>IF(I2683&gt;0,H2683/I2683,0)</f>
      </c>
      <c r="K2683" s="193" t="str">
        <f>1-EXP(-J2683)</f>
      </c>
      <c r="L2683" s="194" t="str">
        <f>IF(G2683=30,1,M2682)</f>
      </c>
      <c r="M2683" s="195" t="str">
        <f>L2683*(1-K2683)</f>
      </c>
    </row>
    <row r="2684">
      <c r="A2684" t="s">
        <v>167</v>
      </c>
      <c r="B2684" t="s">
        <v>250</v>
      </c>
      <c r="C2684" s="35" t="s">
        <v>252</v>
      </c>
      <c r="D2684" t="s">
        <v>502</v>
      </c>
      <c r="E2684" t="s">
        <v>520</v>
      </c>
      <c r="F2684" s="188" t="n">
        <v>2040</v>
      </c>
      <c r="G2684" s="189" t="n">
        <v>32</v>
      </c>
      <c r="H2684" s="190" t="n">
        <v>1046.12727696032</v>
      </c>
      <c r="I2684" s="191" t="n">
        <v>4642414.70563187</v>
      </c>
      <c r="J2684" s="192" t="str">
        <f>IF(I2684&gt;0,H2684/I2684,0)</f>
      </c>
      <c r="K2684" s="193" t="str">
        <f>1-EXP(-J2684)</f>
      </c>
      <c r="L2684" s="194" t="str">
        <f>IF(G2684=30,1,M2683)</f>
      </c>
      <c r="M2684" s="195" t="str">
        <f>L2684*(1-K2684)</f>
      </c>
    </row>
    <row r="2685">
      <c r="A2685" t="s">
        <v>167</v>
      </c>
      <c r="B2685" t="s">
        <v>250</v>
      </c>
      <c r="C2685" s="35" t="s">
        <v>252</v>
      </c>
      <c r="D2685" t="s">
        <v>502</v>
      </c>
      <c r="E2685" t="s">
        <v>520</v>
      </c>
      <c r="F2685" s="188" t="n">
        <v>2040</v>
      </c>
      <c r="G2685" s="189" t="n">
        <v>33</v>
      </c>
      <c r="H2685" s="190" t="n">
        <v>1166.02166329762</v>
      </c>
      <c r="I2685" s="191" t="n">
        <v>4668462.54670902</v>
      </c>
      <c r="J2685" s="192" t="str">
        <f>IF(I2685&gt;0,H2685/I2685,0)</f>
      </c>
      <c r="K2685" s="193" t="str">
        <f>1-EXP(-J2685)</f>
      </c>
      <c r="L2685" s="194" t="str">
        <f>IF(G2685=30,1,M2684)</f>
      </c>
      <c r="M2685" s="195" t="str">
        <f>L2685*(1-K2685)</f>
      </c>
    </row>
    <row r="2686">
      <c r="A2686" t="s">
        <v>167</v>
      </c>
      <c r="B2686" t="s">
        <v>250</v>
      </c>
      <c r="C2686" s="35" t="s">
        <v>252</v>
      </c>
      <c r="D2686" t="s">
        <v>502</v>
      </c>
      <c r="E2686" t="s">
        <v>520</v>
      </c>
      <c r="F2686" s="188" t="n">
        <v>2040</v>
      </c>
      <c r="G2686" s="189" t="n">
        <v>34</v>
      </c>
      <c r="H2686" s="190" t="n">
        <v>1219.8371339957</v>
      </c>
      <c r="I2686" s="191" t="n">
        <v>4585312.01429261</v>
      </c>
      <c r="J2686" s="192" t="str">
        <f>IF(I2686&gt;0,H2686/I2686,0)</f>
      </c>
      <c r="K2686" s="193" t="str">
        <f>1-EXP(-J2686)</f>
      </c>
      <c r="L2686" s="194" t="str">
        <f>IF(G2686=30,1,M2685)</f>
      </c>
      <c r="M2686" s="195" t="str">
        <f>L2686*(1-K2686)</f>
      </c>
    </row>
    <row r="2687">
      <c r="A2687" t="s">
        <v>167</v>
      </c>
      <c r="B2687" t="s">
        <v>250</v>
      </c>
      <c r="C2687" s="35" t="s">
        <v>252</v>
      </c>
      <c r="D2687" t="s">
        <v>502</v>
      </c>
      <c r="E2687" t="s">
        <v>520</v>
      </c>
      <c r="F2687" s="188" t="n">
        <v>2040</v>
      </c>
      <c r="G2687" s="189" t="n">
        <v>35</v>
      </c>
      <c r="H2687" s="190" t="n">
        <v>1603.94584346282</v>
      </c>
      <c r="I2687" s="191" t="n">
        <v>4523922.67782873</v>
      </c>
      <c r="J2687" s="192" t="str">
        <f>IF(I2687&gt;0,H2687/I2687,0)</f>
      </c>
      <c r="K2687" s="193" t="str">
        <f>1-EXP(-J2687)</f>
      </c>
      <c r="L2687" s="194" t="str">
        <f>IF(G2687=30,1,M2686)</f>
      </c>
      <c r="M2687" s="195" t="str">
        <f>L2687*(1-K2687)</f>
      </c>
    </row>
    <row r="2688">
      <c r="A2688" t="s">
        <v>167</v>
      </c>
      <c r="B2688" t="s">
        <v>250</v>
      </c>
      <c r="C2688" s="35" t="s">
        <v>252</v>
      </c>
      <c r="D2688" t="s">
        <v>502</v>
      </c>
      <c r="E2688" t="s">
        <v>520</v>
      </c>
      <c r="F2688" s="188" t="n">
        <v>2040</v>
      </c>
      <c r="G2688" s="189" t="n">
        <v>36</v>
      </c>
      <c r="H2688" s="190" t="n">
        <v>1806.84848166337</v>
      </c>
      <c r="I2688" s="191" t="n">
        <v>4394588.25159639</v>
      </c>
      <c r="J2688" s="192" t="str">
        <f>IF(I2688&gt;0,H2688/I2688,0)</f>
      </c>
      <c r="K2688" s="193" t="str">
        <f>1-EXP(-J2688)</f>
      </c>
      <c r="L2688" s="194" t="str">
        <f>IF(G2688=30,1,M2687)</f>
      </c>
      <c r="M2688" s="195" t="str">
        <f>L2688*(1-K2688)</f>
      </c>
    </row>
    <row r="2689">
      <c r="A2689" t="s">
        <v>167</v>
      </c>
      <c r="B2689" t="s">
        <v>250</v>
      </c>
      <c r="C2689" s="35" t="s">
        <v>252</v>
      </c>
      <c r="D2689" t="s">
        <v>502</v>
      </c>
      <c r="E2689" t="s">
        <v>520</v>
      </c>
      <c r="F2689" s="188" t="n">
        <v>2040</v>
      </c>
      <c r="G2689" s="189" t="n">
        <v>37</v>
      </c>
      <c r="H2689" s="190" t="n">
        <v>1914.36687549186</v>
      </c>
      <c r="I2689" s="191" t="n">
        <v>4328160.43527289</v>
      </c>
      <c r="J2689" s="192" t="str">
        <f>IF(I2689&gt;0,H2689/I2689,0)</f>
      </c>
      <c r="K2689" s="193" t="str">
        <f>1-EXP(-J2689)</f>
      </c>
      <c r="L2689" s="194" t="str">
        <f>IF(G2689=30,1,M2688)</f>
      </c>
      <c r="M2689" s="195" t="str">
        <f>L2689*(1-K2689)</f>
      </c>
    </row>
    <row r="2690">
      <c r="A2690" t="s">
        <v>167</v>
      </c>
      <c r="B2690" t="s">
        <v>250</v>
      </c>
      <c r="C2690" s="35" t="s">
        <v>252</v>
      </c>
      <c r="D2690" t="s">
        <v>502</v>
      </c>
      <c r="E2690" t="s">
        <v>520</v>
      </c>
      <c r="F2690" s="188" t="n">
        <v>2040</v>
      </c>
      <c r="G2690" s="189" t="n">
        <v>38</v>
      </c>
      <c r="H2690" s="190" t="n">
        <v>2205.45980445776</v>
      </c>
      <c r="I2690" s="191" t="n">
        <v>4304397.03450645</v>
      </c>
      <c r="J2690" s="192" t="str">
        <f>IF(I2690&gt;0,H2690/I2690,0)</f>
      </c>
      <c r="K2690" s="193" t="str">
        <f>1-EXP(-J2690)</f>
      </c>
      <c r="L2690" s="194" t="str">
        <f>IF(G2690=30,1,M2689)</f>
      </c>
      <c r="M2690" s="195" t="str">
        <f>L2690*(1-K2690)</f>
      </c>
    </row>
    <row r="2691">
      <c r="A2691" t="s">
        <v>167</v>
      </c>
      <c r="B2691" t="s">
        <v>250</v>
      </c>
      <c r="C2691" s="35" t="s">
        <v>252</v>
      </c>
      <c r="D2691" t="s">
        <v>502</v>
      </c>
      <c r="E2691" t="s">
        <v>520</v>
      </c>
      <c r="F2691" s="188" t="n">
        <v>2040</v>
      </c>
      <c r="G2691" s="189" t="n">
        <v>39</v>
      </c>
      <c r="H2691" s="190" t="n">
        <v>2368.8063127606</v>
      </c>
      <c r="I2691" s="191" t="n">
        <v>4282377.02305658</v>
      </c>
      <c r="J2691" s="192" t="str">
        <f>IF(I2691&gt;0,H2691/I2691,0)</f>
      </c>
      <c r="K2691" s="193" t="str">
        <f>1-EXP(-J2691)</f>
      </c>
      <c r="L2691" s="194" t="str">
        <f>IF(G2691=30,1,M2690)</f>
      </c>
      <c r="M2691" s="195" t="str">
        <f>L2691*(1-K2691)</f>
      </c>
    </row>
    <row r="2692">
      <c r="A2692" t="s">
        <v>167</v>
      </c>
      <c r="B2692" t="s">
        <v>250</v>
      </c>
      <c r="C2692" s="35" t="s">
        <v>252</v>
      </c>
      <c r="D2692" t="s">
        <v>502</v>
      </c>
      <c r="E2692" t="s">
        <v>520</v>
      </c>
      <c r="F2692" s="188" t="n">
        <v>2040</v>
      </c>
      <c r="G2692" s="189" t="n">
        <v>40</v>
      </c>
      <c r="H2692" s="190" t="n">
        <v>3164.3785206365</v>
      </c>
      <c r="I2692" s="191" t="n">
        <v>4259759.11942279</v>
      </c>
      <c r="J2692" s="192" t="str">
        <f>IF(I2692&gt;0,H2692/I2692,0)</f>
      </c>
      <c r="K2692" s="193" t="str">
        <f>1-EXP(-J2692)</f>
      </c>
      <c r="L2692" s="194" t="str">
        <f>IF(G2692=30,1,M2691)</f>
      </c>
      <c r="M2692" s="195" t="str">
        <f>L2692*(1-K2692)</f>
      </c>
    </row>
    <row r="2693">
      <c r="A2693" t="s">
        <v>167</v>
      </c>
      <c r="B2693" t="s">
        <v>250</v>
      </c>
      <c r="C2693" s="35" t="s">
        <v>252</v>
      </c>
      <c r="D2693" t="s">
        <v>502</v>
      </c>
      <c r="E2693" t="s">
        <v>520</v>
      </c>
      <c r="F2693" s="188" t="n">
        <v>2040</v>
      </c>
      <c r="G2693" s="189" t="n">
        <v>41</v>
      </c>
      <c r="H2693" s="190" t="n">
        <v>3506.41538211575</v>
      </c>
      <c r="I2693" s="191" t="n">
        <v>4275310.4945781</v>
      </c>
      <c r="J2693" s="192" t="str">
        <f>IF(I2693&gt;0,H2693/I2693,0)</f>
      </c>
      <c r="K2693" s="193" t="str">
        <f>1-EXP(-J2693)</f>
      </c>
      <c r="L2693" s="194" t="str">
        <f>IF(G2693=30,1,M2692)</f>
      </c>
      <c r="M2693" s="195" t="str">
        <f>L2693*(1-K2693)</f>
      </c>
    </row>
    <row r="2694">
      <c r="A2694" t="s">
        <v>167</v>
      </c>
      <c r="B2694" t="s">
        <v>250</v>
      </c>
      <c r="C2694" s="35" t="s">
        <v>252</v>
      </c>
      <c r="D2694" t="s">
        <v>502</v>
      </c>
      <c r="E2694" t="s">
        <v>520</v>
      </c>
      <c r="F2694" s="188" t="n">
        <v>2040</v>
      </c>
      <c r="G2694" s="189" t="n">
        <v>42</v>
      </c>
      <c r="H2694" s="190" t="n">
        <v>3854.85546078248</v>
      </c>
      <c r="I2694" s="191" t="n">
        <v>4329656.19783612</v>
      </c>
      <c r="J2694" s="192" t="str">
        <f>IF(I2694&gt;0,H2694/I2694,0)</f>
      </c>
      <c r="K2694" s="193" t="str">
        <f>1-EXP(-J2694)</f>
      </c>
      <c r="L2694" s="194" t="str">
        <f>IF(G2694=30,1,M2693)</f>
      </c>
      <c r="M2694" s="195" t="str">
        <f>L2694*(1-K2694)</f>
      </c>
    </row>
    <row r="2695">
      <c r="A2695" t="s">
        <v>167</v>
      </c>
      <c r="B2695" t="s">
        <v>250</v>
      </c>
      <c r="C2695" s="35" t="s">
        <v>252</v>
      </c>
      <c r="D2695" t="s">
        <v>502</v>
      </c>
      <c r="E2695" t="s">
        <v>520</v>
      </c>
      <c r="F2695" s="188" t="n">
        <v>2040</v>
      </c>
      <c r="G2695" s="189" t="n">
        <v>43</v>
      </c>
      <c r="H2695" s="190" t="n">
        <v>4532.85875015265</v>
      </c>
      <c r="I2695" s="191" t="n">
        <v>4459980.55368721</v>
      </c>
      <c r="J2695" s="192" t="str">
        <f>IF(I2695&gt;0,H2695/I2695,0)</f>
      </c>
      <c r="K2695" s="193" t="str">
        <f>1-EXP(-J2695)</f>
      </c>
      <c r="L2695" s="194" t="str">
        <f>IF(G2695=30,1,M2694)</f>
      </c>
      <c r="M2695" s="195" t="str">
        <f>L2695*(1-K2695)</f>
      </c>
    </row>
    <row r="2696">
      <c r="A2696" t="s">
        <v>167</v>
      </c>
      <c r="B2696" t="s">
        <v>250</v>
      </c>
      <c r="C2696" s="35" t="s">
        <v>252</v>
      </c>
      <c r="D2696" t="s">
        <v>502</v>
      </c>
      <c r="E2696" t="s">
        <v>520</v>
      </c>
      <c r="F2696" s="188" t="n">
        <v>2040</v>
      </c>
      <c r="G2696" s="189" t="n">
        <v>44</v>
      </c>
      <c r="H2696" s="190" t="n">
        <v>4880.55478586064</v>
      </c>
      <c r="I2696" s="191" t="n">
        <v>4411615.71462262</v>
      </c>
      <c r="J2696" s="192" t="str">
        <f>IF(I2696&gt;0,H2696/I2696,0)</f>
      </c>
      <c r="K2696" s="193" t="str">
        <f>1-EXP(-J2696)</f>
      </c>
      <c r="L2696" s="194" t="str">
        <f>IF(G2696=30,1,M2695)</f>
      </c>
      <c r="M2696" s="195" t="str">
        <f>L2696*(1-K2696)</f>
      </c>
    </row>
    <row r="2697">
      <c r="A2697" t="s">
        <v>167</v>
      </c>
      <c r="B2697" t="s">
        <v>250</v>
      </c>
      <c r="C2697" s="35" t="s">
        <v>252</v>
      </c>
      <c r="D2697" t="s">
        <v>502</v>
      </c>
      <c r="E2697" t="s">
        <v>520</v>
      </c>
      <c r="F2697" s="188" t="n">
        <v>2040</v>
      </c>
      <c r="G2697" s="189" t="n">
        <v>45</v>
      </c>
      <c r="H2697" s="190" t="n">
        <v>6149.83410879347</v>
      </c>
      <c r="I2697" s="191" t="n">
        <v>4333095.17918587</v>
      </c>
      <c r="J2697" s="192" t="str">
        <f>IF(I2697&gt;0,H2697/I2697,0)</f>
      </c>
      <c r="K2697" s="193" t="str">
        <f>1-EXP(-J2697)</f>
      </c>
      <c r="L2697" s="194" t="str">
        <f>IF(G2697=30,1,M2696)</f>
      </c>
      <c r="M2697" s="195" t="str">
        <f>L2697*(1-K2697)</f>
      </c>
    </row>
    <row r="2698">
      <c r="A2698" t="s">
        <v>167</v>
      </c>
      <c r="B2698" t="s">
        <v>250</v>
      </c>
      <c r="C2698" s="35" t="s">
        <v>252</v>
      </c>
      <c r="D2698" t="s">
        <v>502</v>
      </c>
      <c r="E2698" t="s">
        <v>520</v>
      </c>
      <c r="F2698" s="188" t="n">
        <v>2040</v>
      </c>
      <c r="G2698" s="189" t="n">
        <v>46</v>
      </c>
      <c r="H2698" s="190" t="n">
        <v>6613.76188554885</v>
      </c>
      <c r="I2698" s="191" t="n">
        <v>4268411.10366936</v>
      </c>
      <c r="J2698" s="192" t="str">
        <f>IF(I2698&gt;0,H2698/I2698,0)</f>
      </c>
      <c r="K2698" s="193" t="str">
        <f>1-EXP(-J2698)</f>
      </c>
      <c r="L2698" s="194" t="str">
        <f>IF(G2698=30,1,M2697)</f>
      </c>
      <c r="M2698" s="195" t="str">
        <f>L2698*(1-K2698)</f>
      </c>
    </row>
    <row r="2699">
      <c r="A2699" t="s">
        <v>167</v>
      </c>
      <c r="B2699" t="s">
        <v>250</v>
      </c>
      <c r="C2699" s="35" t="s">
        <v>252</v>
      </c>
      <c r="D2699" t="s">
        <v>502</v>
      </c>
      <c r="E2699" t="s">
        <v>520</v>
      </c>
      <c r="F2699" s="188" t="n">
        <v>2040</v>
      </c>
      <c r="G2699" s="189" t="n">
        <v>47</v>
      </c>
      <c r="H2699" s="190" t="n">
        <v>7139.19435813435</v>
      </c>
      <c r="I2699" s="191" t="n">
        <v>4207445.49966264</v>
      </c>
      <c r="J2699" s="192" t="str">
        <f>IF(I2699&gt;0,H2699/I2699,0)</f>
      </c>
      <c r="K2699" s="193" t="str">
        <f>1-EXP(-J2699)</f>
      </c>
      <c r="L2699" s="194" t="str">
        <f>IF(G2699=30,1,M2698)</f>
      </c>
      <c r="M2699" s="195" t="str">
        <f>L2699*(1-K2699)</f>
      </c>
    </row>
    <row r="2700">
      <c r="A2700" t="s">
        <v>167</v>
      </c>
      <c r="B2700" t="s">
        <v>250</v>
      </c>
      <c r="C2700" s="35" t="s">
        <v>252</v>
      </c>
      <c r="D2700" t="s">
        <v>502</v>
      </c>
      <c r="E2700" t="s">
        <v>520</v>
      </c>
      <c r="F2700" s="188" t="n">
        <v>2040</v>
      </c>
      <c r="G2700" s="189" t="n">
        <v>48</v>
      </c>
      <c r="H2700" s="190" t="n">
        <v>7864.62468592963</v>
      </c>
      <c r="I2700" s="191" t="n">
        <v>4234587.12335002</v>
      </c>
      <c r="J2700" s="192" t="str">
        <f>IF(I2700&gt;0,H2700/I2700,0)</f>
      </c>
      <c r="K2700" s="193" t="str">
        <f>1-EXP(-J2700)</f>
      </c>
      <c r="L2700" s="194" t="str">
        <f>IF(G2700=30,1,M2699)</f>
      </c>
      <c r="M2700" s="195" t="str">
        <f>L2700*(1-K2700)</f>
      </c>
    </row>
    <row r="2701">
      <c r="A2701" t="s">
        <v>167</v>
      </c>
      <c r="B2701" t="s">
        <v>250</v>
      </c>
      <c r="C2701" s="35" t="s">
        <v>252</v>
      </c>
      <c r="D2701" t="s">
        <v>502</v>
      </c>
      <c r="E2701" t="s">
        <v>520</v>
      </c>
      <c r="F2701" s="188" t="n">
        <v>2040</v>
      </c>
      <c r="G2701" s="189" t="n">
        <v>49</v>
      </c>
      <c r="H2701" s="190" t="n">
        <v>8635.04982725488</v>
      </c>
      <c r="I2701" s="191" t="n">
        <v>4241276.5902346</v>
      </c>
      <c r="J2701" s="192" t="str">
        <f>IF(I2701&gt;0,H2701/I2701,0)</f>
      </c>
      <c r="K2701" s="193" t="str">
        <f>1-EXP(-J2701)</f>
      </c>
      <c r="L2701" s="194" t="str">
        <f>IF(G2701=30,1,M2700)</f>
      </c>
      <c r="M2701" s="195" t="str">
        <f>L2701*(1-K2701)</f>
      </c>
    </row>
    <row r="2702">
      <c r="A2702" t="s">
        <v>167</v>
      </c>
      <c r="B2702" t="s">
        <v>250</v>
      </c>
      <c r="C2702" s="35" t="s">
        <v>252</v>
      </c>
      <c r="D2702" t="s">
        <v>502</v>
      </c>
      <c r="E2702" t="s">
        <v>520</v>
      </c>
      <c r="F2702" s="188" t="n">
        <v>2040</v>
      </c>
      <c r="G2702" s="189" t="n">
        <v>50</v>
      </c>
      <c r="H2702" s="190" t="n">
        <v>13394.1180610836</v>
      </c>
      <c r="I2702" s="191" t="n">
        <v>6238655.21983425</v>
      </c>
      <c r="J2702" s="192" t="str">
        <f>IF(I2702&gt;0,H2702/I2702,0)</f>
      </c>
      <c r="K2702" s="193" t="str">
        <f>1-EXP(-J2702)</f>
      </c>
      <c r="L2702" s="194" t="str">
        <f>IF(G2702=30,1,M2701)</f>
      </c>
      <c r="M2702" s="195" t="str">
        <f>L2702*(1-K2702)</f>
      </c>
    </row>
    <row r="2703">
      <c r="A2703" t="s">
        <v>167</v>
      </c>
      <c r="B2703" t="s">
        <v>250</v>
      </c>
      <c r="C2703" s="35" t="s">
        <v>252</v>
      </c>
      <c r="D2703" t="s">
        <v>502</v>
      </c>
      <c r="E2703" t="s">
        <v>520</v>
      </c>
      <c r="F2703" s="188" t="n">
        <v>2040</v>
      </c>
      <c r="G2703" s="189" t="n">
        <v>51</v>
      </c>
      <c r="H2703" s="190" t="n">
        <v>10682.8966438874</v>
      </c>
      <c r="I2703" s="191" t="n">
        <v>4175331.57642241</v>
      </c>
      <c r="J2703" s="192" t="str">
        <f>IF(I2703&gt;0,H2703/I2703,0)</f>
      </c>
      <c r="K2703" s="193" t="str">
        <f>1-EXP(-J2703)</f>
      </c>
      <c r="L2703" s="194" t="str">
        <f>IF(G2703=30,1,M2702)</f>
      </c>
      <c r="M2703" s="195" t="str">
        <f>L2703*(1-K2703)</f>
      </c>
    </row>
    <row r="2704">
      <c r="A2704" t="s">
        <v>167</v>
      </c>
      <c r="B2704" t="s">
        <v>250</v>
      </c>
      <c r="C2704" s="35" t="s">
        <v>252</v>
      </c>
      <c r="D2704" t="s">
        <v>502</v>
      </c>
      <c r="E2704" t="s">
        <v>520</v>
      </c>
      <c r="F2704" s="188" t="n">
        <v>2040</v>
      </c>
      <c r="G2704" s="189" t="n">
        <v>52</v>
      </c>
      <c r="H2704" s="190" t="n">
        <v>11592.2978576543</v>
      </c>
      <c r="I2704" s="191" t="n">
        <v>4144662.98713683</v>
      </c>
      <c r="J2704" s="192" t="str">
        <f>IF(I2704&gt;0,H2704/I2704,0)</f>
      </c>
      <c r="K2704" s="193" t="str">
        <f>1-EXP(-J2704)</f>
      </c>
      <c r="L2704" s="194" t="str">
        <f>IF(G2704=30,1,M2703)</f>
      </c>
      <c r="M2704" s="195" t="str">
        <f>L2704*(1-K2704)</f>
      </c>
    </row>
    <row r="2705">
      <c r="A2705" t="s">
        <v>167</v>
      </c>
      <c r="B2705" t="s">
        <v>250</v>
      </c>
      <c r="C2705" s="35" t="s">
        <v>252</v>
      </c>
      <c r="D2705" t="s">
        <v>502</v>
      </c>
      <c r="E2705" t="s">
        <v>520</v>
      </c>
      <c r="F2705" s="188" t="n">
        <v>2040</v>
      </c>
      <c r="G2705" s="189" t="n">
        <v>53</v>
      </c>
      <c r="H2705" s="190" t="n">
        <v>12225.2177036359</v>
      </c>
      <c r="I2705" s="191" t="n">
        <v>4002147.62539549</v>
      </c>
      <c r="J2705" s="192" t="str">
        <f>IF(I2705&gt;0,H2705/I2705,0)</f>
      </c>
      <c r="K2705" s="193" t="str">
        <f>1-EXP(-J2705)</f>
      </c>
      <c r="L2705" s="194" t="str">
        <f>IF(G2705=30,1,M2704)</f>
      </c>
      <c r="M2705" s="195" t="str">
        <f>L2705*(1-K2705)</f>
      </c>
    </row>
    <row r="2706">
      <c r="A2706" t="s">
        <v>167</v>
      </c>
      <c r="B2706" t="s">
        <v>250</v>
      </c>
      <c r="C2706" s="35" t="s">
        <v>252</v>
      </c>
      <c r="D2706" t="s">
        <v>502</v>
      </c>
      <c r="E2706" t="s">
        <v>520</v>
      </c>
      <c r="F2706" s="188" t="n">
        <v>2040</v>
      </c>
      <c r="G2706" s="189" t="n">
        <v>54</v>
      </c>
      <c r="H2706" s="190" t="n">
        <v>13165.1053929434</v>
      </c>
      <c r="I2706" s="191" t="n">
        <v>3952224.24920107</v>
      </c>
      <c r="J2706" s="192" t="str">
        <f>IF(I2706&gt;0,H2706/I2706,0)</f>
      </c>
      <c r="K2706" s="193" t="str">
        <f>1-EXP(-J2706)</f>
      </c>
      <c r="L2706" s="194" t="str">
        <f>IF(G2706=30,1,M2705)</f>
      </c>
      <c r="M2706" s="195" t="str">
        <f>L2706*(1-K2706)</f>
      </c>
    </row>
    <row r="2707">
      <c r="A2707" t="s">
        <v>167</v>
      </c>
      <c r="B2707" t="s">
        <v>250</v>
      </c>
      <c r="C2707" s="35" t="s">
        <v>252</v>
      </c>
      <c r="D2707" t="s">
        <v>502</v>
      </c>
      <c r="E2707" t="s">
        <v>520</v>
      </c>
      <c r="F2707" s="188" t="n">
        <v>2040</v>
      </c>
      <c r="G2707" s="189" t="n">
        <v>55</v>
      </c>
      <c r="H2707" s="190" t="n">
        <v>14380.1030202564</v>
      </c>
      <c r="I2707" s="191" t="n">
        <v>3989707.82493202</v>
      </c>
      <c r="J2707" s="192" t="str">
        <f>IF(I2707&gt;0,H2707/I2707,0)</f>
      </c>
      <c r="K2707" s="193" t="str">
        <f>1-EXP(-J2707)</f>
      </c>
      <c r="L2707" s="194" t="str">
        <f>IF(G2707=30,1,M2706)</f>
      </c>
      <c r="M2707" s="195" t="str">
        <f>L2707*(1-K2707)</f>
      </c>
    </row>
    <row r="2708">
      <c r="A2708" t="s">
        <v>167</v>
      </c>
      <c r="B2708" t="s">
        <v>250</v>
      </c>
      <c r="C2708" s="35" t="s">
        <v>252</v>
      </c>
      <c r="D2708" t="s">
        <v>502</v>
      </c>
      <c r="E2708" t="s">
        <v>520</v>
      </c>
      <c r="F2708" s="188" t="n">
        <v>2040</v>
      </c>
      <c r="G2708" s="189" t="n">
        <v>56</v>
      </c>
      <c r="H2708" s="190" t="n">
        <v>15889.3253359429</v>
      </c>
      <c r="I2708" s="191" t="n">
        <v>4048455.94324694</v>
      </c>
      <c r="J2708" s="192" t="str">
        <f>IF(I2708&gt;0,H2708/I2708,0)</f>
      </c>
      <c r="K2708" s="193" t="str">
        <f>1-EXP(-J2708)</f>
      </c>
      <c r="L2708" s="194" t="str">
        <f>IF(G2708=30,1,M2707)</f>
      </c>
      <c r="M2708" s="195" t="str">
        <f>L2708*(1-K2708)</f>
      </c>
    </row>
    <row r="2709">
      <c r="A2709" t="s">
        <v>167</v>
      </c>
      <c r="B2709" t="s">
        <v>250</v>
      </c>
      <c r="C2709" s="35" t="s">
        <v>252</v>
      </c>
      <c r="D2709" t="s">
        <v>502</v>
      </c>
      <c r="E2709" t="s">
        <v>520</v>
      </c>
      <c r="F2709" s="188" t="n">
        <v>2040</v>
      </c>
      <c r="G2709" s="189" t="n">
        <v>57</v>
      </c>
      <c r="H2709" s="190" t="n">
        <v>17145.9030213097</v>
      </c>
      <c r="I2709" s="191" t="n">
        <v>4002758.7887925</v>
      </c>
      <c r="J2709" s="192" t="str">
        <f>IF(I2709&gt;0,H2709/I2709,0)</f>
      </c>
      <c r="K2709" s="193" t="str">
        <f>1-EXP(-J2709)</f>
      </c>
      <c r="L2709" s="194" t="str">
        <f>IF(G2709=30,1,M2708)</f>
      </c>
      <c r="M2709" s="195" t="str">
        <f>L2709*(1-K2709)</f>
      </c>
    </row>
    <row r="2710">
      <c r="A2710" t="s">
        <v>167</v>
      </c>
      <c r="B2710" t="s">
        <v>250</v>
      </c>
      <c r="C2710" s="35" t="s">
        <v>252</v>
      </c>
      <c r="D2710" t="s">
        <v>502</v>
      </c>
      <c r="E2710" t="s">
        <v>520</v>
      </c>
      <c r="F2710" s="188" t="n">
        <v>2040</v>
      </c>
      <c r="G2710" s="189" t="n">
        <v>58</v>
      </c>
      <c r="H2710" s="190" t="n">
        <v>18041.4552523232</v>
      </c>
      <c r="I2710" s="191" t="n">
        <v>3850597.10048158</v>
      </c>
      <c r="J2710" s="192" t="str">
        <f>IF(I2710&gt;0,H2710/I2710,0)</f>
      </c>
      <c r="K2710" s="193" t="str">
        <f>1-EXP(-J2710)</f>
      </c>
      <c r="L2710" s="194" t="str">
        <f>IF(G2710=30,1,M2709)</f>
      </c>
      <c r="M2710" s="195" t="str">
        <f>L2710*(1-K2710)</f>
      </c>
    </row>
    <row r="2711">
      <c r="A2711" t="s">
        <v>167</v>
      </c>
      <c r="B2711" t="s">
        <v>250</v>
      </c>
      <c r="C2711" s="35" t="s">
        <v>252</v>
      </c>
      <c r="D2711" t="s">
        <v>502</v>
      </c>
      <c r="E2711" t="s">
        <v>520</v>
      </c>
      <c r="F2711" s="188" t="n">
        <v>2040</v>
      </c>
      <c r="G2711" s="189" t="n">
        <v>59</v>
      </c>
      <c r="H2711" s="190" t="n">
        <v>19253.2479471996</v>
      </c>
      <c r="I2711" s="191" t="n">
        <v>3755840.15355203</v>
      </c>
      <c r="J2711" s="192" t="str">
        <f>IF(I2711&gt;0,H2711/I2711,0)</f>
      </c>
      <c r="K2711" s="193" t="str">
        <f>1-EXP(-J2711)</f>
      </c>
      <c r="L2711" s="194" t="str">
        <f>IF(G2711=30,1,M2710)</f>
      </c>
      <c r="M2711" s="195" t="str">
        <f>L2711*(1-K2711)</f>
      </c>
    </row>
    <row r="2712">
      <c r="A2712" t="s">
        <v>167</v>
      </c>
      <c r="B2712" t="s">
        <v>250</v>
      </c>
      <c r="C2712" s="35" t="s">
        <v>252</v>
      </c>
      <c r="D2712" t="s">
        <v>502</v>
      </c>
      <c r="E2712" t="s">
        <v>520</v>
      </c>
      <c r="F2712" s="188" t="n">
        <v>2040</v>
      </c>
      <c r="G2712" s="189" t="n">
        <v>60</v>
      </c>
      <c r="H2712" s="190" t="n">
        <v>20565.7503780405</v>
      </c>
      <c r="I2712" s="191" t="n">
        <v>3674342.31443068</v>
      </c>
      <c r="J2712" s="192" t="str">
        <f>IF(I2712&gt;0,H2712/I2712,0)</f>
      </c>
      <c r="K2712" s="193" t="str">
        <f>1-EXP(-J2712)</f>
      </c>
      <c r="L2712" s="194" t="str">
        <f>IF(G2712=30,1,M2711)</f>
      </c>
      <c r="M2712" s="195" t="str">
        <f>L2712*(1-K2712)</f>
      </c>
    </row>
    <row r="2713">
      <c r="A2713" t="s">
        <v>167</v>
      </c>
      <c r="B2713" t="s">
        <v>250</v>
      </c>
      <c r="C2713" s="35" t="s">
        <v>252</v>
      </c>
      <c r="D2713" t="s">
        <v>502</v>
      </c>
      <c r="E2713" t="s">
        <v>520</v>
      </c>
      <c r="F2713" s="188" t="n">
        <v>2040</v>
      </c>
      <c r="G2713" s="189" t="n">
        <v>61</v>
      </c>
      <c r="H2713" s="190" t="n">
        <v>22000.7310270164</v>
      </c>
      <c r="I2713" s="191" t="n">
        <v>3586008.03846453</v>
      </c>
      <c r="J2713" s="192" t="str">
        <f>IF(I2713&gt;0,H2713/I2713,0)</f>
      </c>
      <c r="K2713" s="193" t="str">
        <f>1-EXP(-J2713)</f>
      </c>
      <c r="L2713" s="194" t="str">
        <f>IF(G2713=30,1,M2712)</f>
      </c>
      <c r="M2713" s="195" t="str">
        <f>L2713*(1-K2713)</f>
      </c>
    </row>
    <row r="2714">
      <c r="A2714" t="s">
        <v>167</v>
      </c>
      <c r="B2714" t="s">
        <v>250</v>
      </c>
      <c r="C2714" s="35" t="s">
        <v>252</v>
      </c>
      <c r="D2714" t="s">
        <v>502</v>
      </c>
      <c r="E2714" t="s">
        <v>520</v>
      </c>
      <c r="F2714" s="188" t="n">
        <v>2040</v>
      </c>
      <c r="G2714" s="189" t="n">
        <v>62</v>
      </c>
      <c r="H2714" s="190" t="n">
        <v>23400.8112816471</v>
      </c>
      <c r="I2714" s="191" t="n">
        <v>3478729.80646433</v>
      </c>
      <c r="J2714" s="192" t="str">
        <f>IF(I2714&gt;0,H2714/I2714,0)</f>
      </c>
      <c r="K2714" s="193" t="str">
        <f>1-EXP(-J2714)</f>
      </c>
      <c r="L2714" s="194" t="str">
        <f>IF(G2714=30,1,M2713)</f>
      </c>
      <c r="M2714" s="195" t="str">
        <f>L2714*(1-K2714)</f>
      </c>
    </row>
    <row r="2715">
      <c r="A2715" t="s">
        <v>167</v>
      </c>
      <c r="B2715" t="s">
        <v>250</v>
      </c>
      <c r="C2715" s="35" t="s">
        <v>252</v>
      </c>
      <c r="D2715" t="s">
        <v>502</v>
      </c>
      <c r="E2715" t="s">
        <v>520</v>
      </c>
      <c r="F2715" s="188" t="n">
        <v>2040</v>
      </c>
      <c r="G2715" s="189" t="n">
        <v>63</v>
      </c>
      <c r="H2715" s="190" t="n">
        <v>24997.5788628658</v>
      </c>
      <c r="I2715" s="191" t="n">
        <v>3384873.66366018</v>
      </c>
      <c r="J2715" s="192" t="str">
        <f>IF(I2715&gt;0,H2715/I2715,0)</f>
      </c>
      <c r="K2715" s="193" t="str">
        <f>1-EXP(-J2715)</f>
      </c>
      <c r="L2715" s="194" t="str">
        <f>IF(G2715=30,1,M2714)</f>
      </c>
      <c r="M2715" s="195" t="str">
        <f>L2715*(1-K2715)</f>
      </c>
    </row>
    <row r="2716">
      <c r="A2716" t="s">
        <v>167</v>
      </c>
      <c r="B2716" t="s">
        <v>250</v>
      </c>
      <c r="C2716" s="35" t="s">
        <v>252</v>
      </c>
      <c r="D2716" t="s">
        <v>502</v>
      </c>
      <c r="E2716" t="s">
        <v>520</v>
      </c>
      <c r="F2716" s="188" t="n">
        <v>2040</v>
      </c>
      <c r="G2716" s="189" t="n">
        <v>64</v>
      </c>
      <c r="H2716" s="190" t="n">
        <v>26550.3223964009</v>
      </c>
      <c r="I2716" s="191" t="n">
        <v>3279221.99045138</v>
      </c>
      <c r="J2716" s="192" t="str">
        <f>IF(I2716&gt;0,H2716/I2716,0)</f>
      </c>
      <c r="K2716" s="193" t="str">
        <f>1-EXP(-J2716)</f>
      </c>
      <c r="L2716" s="194" t="str">
        <f>IF(G2716=30,1,M2715)</f>
      </c>
      <c r="M2716" s="195" t="str">
        <f>L2716*(1-K2716)</f>
      </c>
    </row>
    <row r="2717">
      <c r="A2717" t="s">
        <v>167</v>
      </c>
      <c r="B2717" t="s">
        <v>250</v>
      </c>
      <c r="C2717" s="35" t="s">
        <v>252</v>
      </c>
      <c r="D2717" t="s">
        <v>502</v>
      </c>
      <c r="E2717" t="s">
        <v>520</v>
      </c>
      <c r="F2717" s="188" t="n">
        <v>2040</v>
      </c>
      <c r="G2717" s="189" t="n">
        <v>65</v>
      </c>
      <c r="H2717" s="190" t="n">
        <v>26989.1017843046</v>
      </c>
      <c r="I2717" s="191" t="n">
        <v>3171362.2769033</v>
      </c>
      <c r="J2717" s="192" t="str">
        <f>IF(I2717&gt;0,H2717/I2717,0)</f>
      </c>
      <c r="K2717" s="193" t="str">
        <f>1-EXP(-J2717)</f>
      </c>
      <c r="L2717" s="194" t="str">
        <f>IF(G2717=30,1,M2716)</f>
      </c>
      <c r="M2717" s="195" t="str">
        <f>L2717*(1-K2717)</f>
      </c>
    </row>
    <row r="2718">
      <c r="A2718" t="s">
        <v>167</v>
      </c>
      <c r="B2718" t="s">
        <v>250</v>
      </c>
      <c r="C2718" s="35" t="s">
        <v>252</v>
      </c>
      <c r="D2718" t="s">
        <v>502</v>
      </c>
      <c r="E2718" t="s">
        <v>520</v>
      </c>
      <c r="F2718" s="188" t="n">
        <v>2040</v>
      </c>
      <c r="G2718" s="189" t="n">
        <v>66</v>
      </c>
      <c r="H2718" s="190" t="n">
        <v>28359.9696212537</v>
      </c>
      <c r="I2718" s="191" t="n">
        <v>3038833.08264269</v>
      </c>
      <c r="J2718" s="192" t="str">
        <f>IF(I2718&gt;0,H2718/I2718,0)</f>
      </c>
      <c r="K2718" s="193" t="str">
        <f>1-EXP(-J2718)</f>
      </c>
      <c r="L2718" s="194" t="str">
        <f>IF(G2718=30,1,M2717)</f>
      </c>
      <c r="M2718" s="195" t="str">
        <f>L2718*(1-K2718)</f>
      </c>
    </row>
    <row r="2719">
      <c r="A2719" t="s">
        <v>167</v>
      </c>
      <c r="B2719" t="s">
        <v>250</v>
      </c>
      <c r="C2719" s="35" t="s">
        <v>252</v>
      </c>
      <c r="D2719" t="s">
        <v>502</v>
      </c>
      <c r="E2719" t="s">
        <v>520</v>
      </c>
      <c r="F2719" s="188" t="n">
        <v>2040</v>
      </c>
      <c r="G2719" s="189" t="n">
        <v>67</v>
      </c>
      <c r="H2719" s="190" t="n">
        <v>30278.7404417183</v>
      </c>
      <c r="I2719" s="191" t="n">
        <v>2955658.63060016</v>
      </c>
      <c r="J2719" s="192" t="str">
        <f>IF(I2719&gt;0,H2719/I2719,0)</f>
      </c>
      <c r="K2719" s="193" t="str">
        <f>1-EXP(-J2719)</f>
      </c>
      <c r="L2719" s="194" t="str">
        <f>IF(G2719=30,1,M2718)</f>
      </c>
      <c r="M2719" s="195" t="str">
        <f>L2719*(1-K2719)</f>
      </c>
    </row>
    <row r="2720">
      <c r="A2720" t="s">
        <v>167</v>
      </c>
      <c r="B2720" t="s">
        <v>250</v>
      </c>
      <c r="C2720" s="35" t="s">
        <v>252</v>
      </c>
      <c r="D2720" t="s">
        <v>502</v>
      </c>
      <c r="E2720" t="s">
        <v>520</v>
      </c>
      <c r="F2720" s="188" t="n">
        <v>2040</v>
      </c>
      <c r="G2720" s="189" t="n">
        <v>68</v>
      </c>
      <c r="H2720" s="190" t="n">
        <v>30790.674560423</v>
      </c>
      <c r="I2720" s="191" t="n">
        <v>2733384.25868832</v>
      </c>
      <c r="J2720" s="192" t="str">
        <f>IF(I2720&gt;0,H2720/I2720,0)</f>
      </c>
      <c r="K2720" s="193" t="str">
        <f>1-EXP(-J2720)</f>
      </c>
      <c r="L2720" s="194" t="str">
        <f>IF(G2720=30,1,M2719)</f>
      </c>
      <c r="M2720" s="195" t="str">
        <f>L2720*(1-K2720)</f>
      </c>
    </row>
    <row r="2721">
      <c r="A2721" t="s">
        <v>167</v>
      </c>
      <c r="B2721" t="s">
        <v>250</v>
      </c>
      <c r="C2721" s="35" t="s">
        <v>252</v>
      </c>
      <c r="D2721" t="s">
        <v>502</v>
      </c>
      <c r="E2721" t="s">
        <v>520</v>
      </c>
      <c r="F2721" s="188" t="n">
        <v>2040</v>
      </c>
      <c r="G2721" s="189" t="n">
        <v>69</v>
      </c>
      <c r="H2721" s="190" t="n">
        <v>32362.6091382467</v>
      </c>
      <c r="I2721" s="191" t="n">
        <v>2612978.56472006</v>
      </c>
      <c r="J2721" s="192" t="str">
        <f>IF(I2721&gt;0,H2721/I2721,0)</f>
      </c>
      <c r="K2721" s="193" t="str">
        <f>1-EXP(-J2721)</f>
      </c>
      <c r="L2721" s="194" t="str">
        <f>IF(G2721=30,1,M2720)</f>
      </c>
      <c r="M2721" s="195" t="str">
        <f>L2721*(1-K2721)</f>
      </c>
    </row>
    <row r="2722">
      <c r="A2722" t="s">
        <v>167</v>
      </c>
      <c r="B2722" t="s">
        <v>250</v>
      </c>
      <c r="C2722" s="35" t="s">
        <v>252</v>
      </c>
      <c r="D2722" t="s">
        <v>502</v>
      </c>
      <c r="E2722" t="s">
        <v>520</v>
      </c>
      <c r="F2722" s="188" t="n">
        <v>2041</v>
      </c>
      <c r="G2722" s="189" t="n">
        <v>30</v>
      </c>
      <c r="H2722" s="190" t="n">
        <v>814.682370455052</v>
      </c>
      <c r="I2722" s="191" t="n">
        <v>4884157.16965975</v>
      </c>
      <c r="J2722" s="192" t="str">
        <f>IF(I2722&gt;0,H2722/I2722,0)</f>
      </c>
      <c r="K2722" s="193" t="str">
        <f>1-EXP(-J2722)</f>
      </c>
      <c r="L2722" s="194" t="str">
        <f>IF(G2722=30,1,M2721)</f>
      </c>
      <c r="M2722" s="195" t="str">
        <f>L2722*(1-K2722)</f>
      </c>
    </row>
    <row r="2723">
      <c r="A2723" t="s">
        <v>167</v>
      </c>
      <c r="B2723" t="s">
        <v>250</v>
      </c>
      <c r="C2723" s="35" t="s">
        <v>252</v>
      </c>
      <c r="D2723" t="s">
        <v>502</v>
      </c>
      <c r="E2723" t="s">
        <v>520</v>
      </c>
      <c r="F2723" s="188" t="n">
        <v>2041</v>
      </c>
      <c r="G2723" s="189" t="n">
        <v>31</v>
      </c>
      <c r="H2723" s="190" t="n">
        <v>1019.64010193359</v>
      </c>
      <c r="I2723" s="191" t="n">
        <v>4750178.01899996</v>
      </c>
      <c r="J2723" s="192" t="str">
        <f>IF(I2723&gt;0,H2723/I2723,0)</f>
      </c>
      <c r="K2723" s="193" t="str">
        <f>1-EXP(-J2723)</f>
      </c>
      <c r="L2723" s="194" t="str">
        <f>IF(G2723=30,1,M2722)</f>
      </c>
      <c r="M2723" s="195" t="str">
        <f>L2723*(1-K2723)</f>
      </c>
    </row>
    <row r="2724">
      <c r="A2724" t="s">
        <v>167</v>
      </c>
      <c r="B2724" t="s">
        <v>250</v>
      </c>
      <c r="C2724" s="35" t="s">
        <v>252</v>
      </c>
      <c r="D2724" t="s">
        <v>502</v>
      </c>
      <c r="E2724" t="s">
        <v>520</v>
      </c>
      <c r="F2724" s="188" t="n">
        <v>2041</v>
      </c>
      <c r="G2724" s="189" t="n">
        <v>32</v>
      </c>
      <c r="H2724" s="190" t="n">
        <v>1057.97125500527</v>
      </c>
      <c r="I2724" s="191" t="n">
        <v>4679474.16592864</v>
      </c>
      <c r="J2724" s="192" t="str">
        <f>IF(I2724&gt;0,H2724/I2724,0)</f>
      </c>
      <c r="K2724" s="193" t="str">
        <f>1-EXP(-J2724)</f>
      </c>
      <c r="L2724" s="194" t="str">
        <f>IF(G2724=30,1,M2723)</f>
      </c>
      <c r="M2724" s="195" t="str">
        <f>L2724*(1-K2724)</f>
      </c>
    </row>
    <row r="2725">
      <c r="A2725" t="s">
        <v>167</v>
      </c>
      <c r="B2725" t="s">
        <v>250</v>
      </c>
      <c r="C2725" s="35" t="s">
        <v>252</v>
      </c>
      <c r="D2725" t="s">
        <v>502</v>
      </c>
      <c r="E2725" t="s">
        <v>520</v>
      </c>
      <c r="F2725" s="188" t="n">
        <v>2041</v>
      </c>
      <c r="G2725" s="189" t="n">
        <v>33</v>
      </c>
      <c r="H2725" s="190" t="n">
        <v>1110.79537106629</v>
      </c>
      <c r="I2725" s="191" t="n">
        <v>4636782.64021474</v>
      </c>
      <c r="J2725" s="192" t="str">
        <f>IF(I2725&gt;0,H2725/I2725,0)</f>
      </c>
      <c r="K2725" s="193" t="str">
        <f>1-EXP(-J2725)</f>
      </c>
      <c r="L2725" s="194" t="str">
        <f>IF(G2725=30,1,M2724)</f>
      </c>
      <c r="M2725" s="195" t="str">
        <f>L2725*(1-K2725)</f>
      </c>
    </row>
    <row r="2726">
      <c r="A2726" t="s">
        <v>167</v>
      </c>
      <c r="B2726" t="s">
        <v>250</v>
      </c>
      <c r="C2726" s="35" t="s">
        <v>252</v>
      </c>
      <c r="D2726" t="s">
        <v>502</v>
      </c>
      <c r="E2726" t="s">
        <v>520</v>
      </c>
      <c r="F2726" s="188" t="n">
        <v>2041</v>
      </c>
      <c r="G2726" s="189" t="n">
        <v>34</v>
      </c>
      <c r="H2726" s="190" t="n">
        <v>1243.41612152121</v>
      </c>
      <c r="I2726" s="191" t="n">
        <v>4662480.44038572</v>
      </c>
      <c r="J2726" s="192" t="str">
        <f>IF(I2726&gt;0,H2726/I2726,0)</f>
      </c>
      <c r="K2726" s="193" t="str">
        <f>1-EXP(-J2726)</f>
      </c>
      <c r="L2726" s="194" t="str">
        <f>IF(G2726=30,1,M2725)</f>
      </c>
      <c r="M2726" s="195" t="str">
        <f>L2726*(1-K2726)</f>
      </c>
    </row>
    <row r="2727">
      <c r="A2727" t="s">
        <v>167</v>
      </c>
      <c r="B2727" t="s">
        <v>250</v>
      </c>
      <c r="C2727" s="35" t="s">
        <v>252</v>
      </c>
      <c r="D2727" t="s">
        <v>502</v>
      </c>
      <c r="E2727" t="s">
        <v>520</v>
      </c>
      <c r="F2727" s="188" t="n">
        <v>2041</v>
      </c>
      <c r="G2727" s="189" t="n">
        <v>35</v>
      </c>
      <c r="H2727" s="190" t="n">
        <v>1622.38108497479</v>
      </c>
      <c r="I2727" s="191" t="n">
        <v>4579124.48840155</v>
      </c>
      <c r="J2727" s="192" t="str">
        <f>IF(I2727&gt;0,H2727/I2727,0)</f>
      </c>
      <c r="K2727" s="193" t="str">
        <f>1-EXP(-J2727)</f>
      </c>
      <c r="L2727" s="194" t="str">
        <f>IF(G2727=30,1,M2726)</f>
      </c>
      <c r="M2727" s="195" t="str">
        <f>L2727*(1-K2727)</f>
      </c>
    </row>
    <row r="2728">
      <c r="A2728" t="s">
        <v>167</v>
      </c>
      <c r="B2728" t="s">
        <v>250</v>
      </c>
      <c r="C2728" s="35" t="s">
        <v>252</v>
      </c>
      <c r="D2728" t="s">
        <v>502</v>
      </c>
      <c r="E2728" t="s">
        <v>520</v>
      </c>
      <c r="F2728" s="188" t="n">
        <v>2041</v>
      </c>
      <c r="G2728" s="189" t="n">
        <v>36</v>
      </c>
      <c r="H2728" s="190" t="n">
        <v>1854.71548455978</v>
      </c>
      <c r="I2728" s="191" t="n">
        <v>4517107.37198937</v>
      </c>
      <c r="J2728" s="192" t="str">
        <f>IF(I2728&gt;0,H2728/I2728,0)</f>
      </c>
      <c r="K2728" s="193" t="str">
        <f>1-EXP(-J2728)</f>
      </c>
      <c r="L2728" s="194" t="str">
        <f>IF(G2728=30,1,M2727)</f>
      </c>
      <c r="M2728" s="195" t="str">
        <f>L2728*(1-K2728)</f>
      </c>
    </row>
    <row r="2729">
      <c r="A2729" t="s">
        <v>167</v>
      </c>
      <c r="B2729" t="s">
        <v>250</v>
      </c>
      <c r="C2729" s="35" t="s">
        <v>252</v>
      </c>
      <c r="D2729" t="s">
        <v>502</v>
      </c>
      <c r="E2729" t="s">
        <v>520</v>
      </c>
      <c r="F2729" s="188" t="n">
        <v>2041</v>
      </c>
      <c r="G2729" s="189" t="n">
        <v>37</v>
      </c>
      <c r="H2729" s="190" t="n">
        <v>1937.62291912817</v>
      </c>
      <c r="I2729" s="191" t="n">
        <v>4387818.19298673</v>
      </c>
      <c r="J2729" s="192" t="str">
        <f>IF(I2729&gt;0,H2729/I2729,0)</f>
      </c>
      <c r="K2729" s="193" t="str">
        <f>1-EXP(-J2729)</f>
      </c>
      <c r="L2729" s="194" t="str">
        <f>IF(G2729=30,1,M2728)</f>
      </c>
      <c r="M2729" s="195" t="str">
        <f>L2729*(1-K2729)</f>
      </c>
    </row>
    <row r="2730">
      <c r="A2730" t="s">
        <v>167</v>
      </c>
      <c r="B2730" t="s">
        <v>250</v>
      </c>
      <c r="C2730" s="35" t="s">
        <v>252</v>
      </c>
      <c r="D2730" t="s">
        <v>502</v>
      </c>
      <c r="E2730" t="s">
        <v>520</v>
      </c>
      <c r="F2730" s="188" t="n">
        <v>2041</v>
      </c>
      <c r="G2730" s="189" t="n">
        <v>38</v>
      </c>
      <c r="H2730" s="190" t="n">
        <v>2058.58386997507</v>
      </c>
      <c r="I2730" s="191" t="n">
        <v>4321032.26756271</v>
      </c>
      <c r="J2730" s="192" t="str">
        <f>IF(I2730&gt;0,H2730/I2730,0)</f>
      </c>
      <c r="K2730" s="193" t="str">
        <f>1-EXP(-J2730)</f>
      </c>
      <c r="L2730" s="194" t="str">
        <f>IF(G2730=30,1,M2729)</f>
      </c>
      <c r="M2730" s="195" t="str">
        <f>L2730*(1-K2730)</f>
      </c>
    </row>
    <row r="2731">
      <c r="A2731" t="s">
        <v>167</v>
      </c>
      <c r="B2731" t="s">
        <v>250</v>
      </c>
      <c r="C2731" s="35" t="s">
        <v>252</v>
      </c>
      <c r="D2731" t="s">
        <v>502</v>
      </c>
      <c r="E2731" t="s">
        <v>520</v>
      </c>
      <c r="F2731" s="188" t="n">
        <v>2041</v>
      </c>
      <c r="G2731" s="189" t="n">
        <v>39</v>
      </c>
      <c r="H2731" s="190" t="n">
        <v>2370.21098752106</v>
      </c>
      <c r="I2731" s="191" t="n">
        <v>4296617.58499031</v>
      </c>
      <c r="J2731" s="192" t="str">
        <f>IF(I2731&gt;0,H2731/I2731,0)</f>
      </c>
      <c r="K2731" s="193" t="str">
        <f>1-EXP(-J2731)</f>
      </c>
      <c r="L2731" s="194" t="str">
        <f>IF(G2731=30,1,M2730)</f>
      </c>
      <c r="M2731" s="195" t="str">
        <f>L2731*(1-K2731)</f>
      </c>
    </row>
    <row r="2732">
      <c r="A2732" t="s">
        <v>167</v>
      </c>
      <c r="B2732" t="s">
        <v>250</v>
      </c>
      <c r="C2732" s="35" t="s">
        <v>252</v>
      </c>
      <c r="D2732" t="s">
        <v>502</v>
      </c>
      <c r="E2732" t="s">
        <v>520</v>
      </c>
      <c r="F2732" s="188" t="n">
        <v>2041</v>
      </c>
      <c r="G2732" s="189" t="n">
        <v>40</v>
      </c>
      <c r="H2732" s="190" t="n">
        <v>3162.9589437192</v>
      </c>
      <c r="I2732" s="191" t="n">
        <v>4274056.19969628</v>
      </c>
      <c r="J2732" s="192" t="str">
        <f>IF(I2732&gt;0,H2732/I2732,0)</f>
      </c>
      <c r="K2732" s="193" t="str">
        <f>1-EXP(-J2732)</f>
      </c>
      <c r="L2732" s="194" t="str">
        <f>IF(G2732=30,1,M2731)</f>
      </c>
      <c r="M2732" s="195" t="str">
        <f>L2732*(1-K2732)</f>
      </c>
    </row>
    <row r="2733">
      <c r="A2733" t="s">
        <v>167</v>
      </c>
      <c r="B2733" t="s">
        <v>250</v>
      </c>
      <c r="C2733" s="35" t="s">
        <v>252</v>
      </c>
      <c r="D2733" t="s">
        <v>502</v>
      </c>
      <c r="E2733" t="s">
        <v>520</v>
      </c>
      <c r="F2733" s="188" t="n">
        <v>2041</v>
      </c>
      <c r="G2733" s="189" t="n">
        <v>41</v>
      </c>
      <c r="H2733" s="190" t="n">
        <v>3473.33426698856</v>
      </c>
      <c r="I2733" s="191" t="n">
        <v>4250147.5294118</v>
      </c>
      <c r="J2733" s="192" t="str">
        <f>IF(I2733&gt;0,H2733/I2733,0)</f>
      </c>
      <c r="K2733" s="193" t="str">
        <f>1-EXP(-J2733)</f>
      </c>
      <c r="L2733" s="194" t="str">
        <f>IF(G2733=30,1,M2732)</f>
      </c>
      <c r="M2733" s="195" t="str">
        <f>L2733*(1-K2733)</f>
      </c>
    </row>
    <row r="2734">
      <c r="A2734" t="s">
        <v>167</v>
      </c>
      <c r="B2734" t="s">
        <v>250</v>
      </c>
      <c r="C2734" s="35" t="s">
        <v>252</v>
      </c>
      <c r="D2734" t="s">
        <v>502</v>
      </c>
      <c r="E2734" t="s">
        <v>520</v>
      </c>
      <c r="F2734" s="188" t="n">
        <v>2041</v>
      </c>
      <c r="G2734" s="189" t="n">
        <v>42</v>
      </c>
      <c r="H2734" s="190" t="n">
        <v>3783.14585375169</v>
      </c>
      <c r="I2734" s="191" t="n">
        <v>4265572.75757916</v>
      </c>
      <c r="J2734" s="192" t="str">
        <f>IF(I2734&gt;0,H2734/I2734,0)</f>
      </c>
      <c r="K2734" s="193" t="str">
        <f>1-EXP(-J2734)</f>
      </c>
      <c r="L2734" s="194" t="str">
        <f>IF(G2734=30,1,M2733)</f>
      </c>
      <c r="M2734" s="195" t="str">
        <f>L2734*(1-K2734)</f>
      </c>
    </row>
    <row r="2735">
      <c r="A2735" t="s">
        <v>167</v>
      </c>
      <c r="B2735" t="s">
        <v>250</v>
      </c>
      <c r="C2735" s="35" t="s">
        <v>252</v>
      </c>
      <c r="D2735" t="s">
        <v>502</v>
      </c>
      <c r="E2735" t="s">
        <v>520</v>
      </c>
      <c r="F2735" s="188" t="n">
        <v>2041</v>
      </c>
      <c r="G2735" s="189" t="n">
        <v>43</v>
      </c>
      <c r="H2735" s="190" t="n">
        <v>4168.05271292711</v>
      </c>
      <c r="I2735" s="191" t="n">
        <v>4318985.68427158</v>
      </c>
      <c r="J2735" s="192" t="str">
        <f>IF(I2735&gt;0,H2735/I2735,0)</f>
      </c>
      <c r="K2735" s="193" t="str">
        <f>1-EXP(-J2735)</f>
      </c>
      <c r="L2735" s="194" t="str">
        <f>IF(G2735=30,1,M2734)</f>
      </c>
      <c r="M2735" s="195" t="str">
        <f>L2735*(1-K2735)</f>
      </c>
    </row>
    <row r="2736">
      <c r="A2736" t="s">
        <v>167</v>
      </c>
      <c r="B2736" t="s">
        <v>250</v>
      </c>
      <c r="C2736" s="35" t="s">
        <v>252</v>
      </c>
      <c r="D2736" t="s">
        <v>502</v>
      </c>
      <c r="E2736" t="s">
        <v>520</v>
      </c>
      <c r="F2736" s="188" t="n">
        <v>2041</v>
      </c>
      <c r="G2736" s="189" t="n">
        <v>44</v>
      </c>
      <c r="H2736" s="190" t="n">
        <v>4900.32399899863</v>
      </c>
      <c r="I2736" s="191" t="n">
        <v>4447807.55012323</v>
      </c>
      <c r="J2736" s="192" t="str">
        <f>IF(I2736&gt;0,H2736/I2736,0)</f>
      </c>
      <c r="K2736" s="193" t="str">
        <f>1-EXP(-J2736)</f>
      </c>
      <c r="L2736" s="194" t="str">
        <f>IF(G2736=30,1,M2735)</f>
      </c>
      <c r="M2736" s="195" t="str">
        <f>L2736*(1-K2736)</f>
      </c>
    </row>
    <row r="2737">
      <c r="A2737" t="s">
        <v>167</v>
      </c>
      <c r="B2737" t="s">
        <v>250</v>
      </c>
      <c r="C2737" s="35" t="s">
        <v>252</v>
      </c>
      <c r="D2737" t="s">
        <v>502</v>
      </c>
      <c r="E2737" t="s">
        <v>520</v>
      </c>
      <c r="F2737" s="188" t="n">
        <v>2041</v>
      </c>
      <c r="G2737" s="189" t="n">
        <v>45</v>
      </c>
      <c r="H2737" s="190" t="n">
        <v>6211.25118532573</v>
      </c>
      <c r="I2737" s="191" t="n">
        <v>4398534.16753812</v>
      </c>
      <c r="J2737" s="192" t="str">
        <f>IF(I2737&gt;0,H2737/I2737,0)</f>
      </c>
      <c r="K2737" s="193" t="str">
        <f>1-EXP(-J2737)</f>
      </c>
      <c r="L2737" s="194" t="str">
        <f>IF(G2737=30,1,M2736)</f>
      </c>
      <c r="M2737" s="195" t="str">
        <f>L2737*(1-K2737)</f>
      </c>
    </row>
    <row r="2738">
      <c r="A2738" t="s">
        <v>167</v>
      </c>
      <c r="B2738" t="s">
        <v>250</v>
      </c>
      <c r="C2738" s="35" t="s">
        <v>252</v>
      </c>
      <c r="D2738" t="s">
        <v>502</v>
      </c>
      <c r="E2738" t="s">
        <v>520</v>
      </c>
      <c r="F2738" s="188" t="n">
        <v>2041</v>
      </c>
      <c r="G2738" s="189" t="n">
        <v>46</v>
      </c>
      <c r="H2738" s="190" t="n">
        <v>6654.71866625769</v>
      </c>
      <c r="I2738" s="191" t="n">
        <v>4318134.27425731</v>
      </c>
      <c r="J2738" s="192" t="str">
        <f>IF(I2738&gt;0,H2738/I2738,0)</f>
      </c>
      <c r="K2738" s="193" t="str">
        <f>1-EXP(-J2738)</f>
      </c>
      <c r="L2738" s="194" t="str">
        <f>IF(G2738=30,1,M2737)</f>
      </c>
      <c r="M2738" s="195" t="str">
        <f>L2738*(1-K2738)</f>
      </c>
    </row>
    <row r="2739">
      <c r="A2739" t="s">
        <v>167</v>
      </c>
      <c r="B2739" t="s">
        <v>250</v>
      </c>
      <c r="C2739" s="35" t="s">
        <v>252</v>
      </c>
      <c r="D2739" t="s">
        <v>502</v>
      </c>
      <c r="E2739" t="s">
        <v>520</v>
      </c>
      <c r="F2739" s="188" t="n">
        <v>2041</v>
      </c>
      <c r="G2739" s="189" t="n">
        <v>47</v>
      </c>
      <c r="H2739" s="190" t="n">
        <v>7176.67835226866</v>
      </c>
      <c r="I2739" s="191" t="n">
        <v>4253292.83366385</v>
      </c>
      <c r="J2739" s="192" t="str">
        <f>IF(I2739&gt;0,H2739/I2739,0)</f>
      </c>
      <c r="K2739" s="193" t="str">
        <f>1-EXP(-J2739)</f>
      </c>
      <c r="L2739" s="194" t="str">
        <f>IF(G2739=30,1,M2738)</f>
      </c>
      <c r="M2739" s="195" t="str">
        <f>L2739*(1-K2739)</f>
      </c>
    </row>
    <row r="2740">
      <c r="A2740" t="s">
        <v>167</v>
      </c>
      <c r="B2740" t="s">
        <v>250</v>
      </c>
      <c r="C2740" s="35" t="s">
        <v>252</v>
      </c>
      <c r="D2740" t="s">
        <v>502</v>
      </c>
      <c r="E2740" t="s">
        <v>520</v>
      </c>
      <c r="F2740" s="188" t="n">
        <v>2041</v>
      </c>
      <c r="G2740" s="189" t="n">
        <v>48</v>
      </c>
      <c r="H2740" s="190" t="n">
        <v>7750.96755156807</v>
      </c>
      <c r="I2740" s="191" t="n">
        <v>4191150.17027543</v>
      </c>
      <c r="J2740" s="192" t="str">
        <f>IF(I2740&gt;0,H2740/I2740,0)</f>
      </c>
      <c r="K2740" s="193" t="str">
        <f>1-EXP(-J2740)</f>
      </c>
      <c r="L2740" s="194" t="str">
        <f>IF(G2740=30,1,M2739)</f>
      </c>
      <c r="M2740" s="195" t="str">
        <f>L2740*(1-K2740)</f>
      </c>
    </row>
    <row r="2741">
      <c r="A2741" t="s">
        <v>167</v>
      </c>
      <c r="B2741" t="s">
        <v>250</v>
      </c>
      <c r="C2741" s="35" t="s">
        <v>252</v>
      </c>
      <c r="D2741" t="s">
        <v>502</v>
      </c>
      <c r="E2741" t="s">
        <v>520</v>
      </c>
      <c r="F2741" s="188" t="n">
        <v>2041</v>
      </c>
      <c r="G2741" s="189" t="n">
        <v>49</v>
      </c>
      <c r="H2741" s="190" t="n">
        <v>8537.55825881307</v>
      </c>
      <c r="I2741" s="191" t="n">
        <v>4216650.6533431</v>
      </c>
      <c r="J2741" s="192" t="str">
        <f>IF(I2741&gt;0,H2741/I2741,0)</f>
      </c>
      <c r="K2741" s="193" t="str">
        <f>1-EXP(-J2741)</f>
      </c>
      <c r="L2741" s="194" t="str">
        <f>IF(G2741=30,1,M2740)</f>
      </c>
      <c r="M2741" s="195" t="str">
        <f>L2741*(1-K2741)</f>
      </c>
    </row>
    <row r="2742">
      <c r="A2742" t="s">
        <v>167</v>
      </c>
      <c r="B2742" t="s">
        <v>250</v>
      </c>
      <c r="C2742" s="35" t="s">
        <v>252</v>
      </c>
      <c r="D2742" t="s">
        <v>502</v>
      </c>
      <c r="E2742" t="s">
        <v>520</v>
      </c>
      <c r="F2742" s="188" t="n">
        <v>2041</v>
      </c>
      <c r="G2742" s="189" t="n">
        <v>50</v>
      </c>
      <c r="H2742" s="190" t="n">
        <v>9813.48530360204</v>
      </c>
      <c r="I2742" s="191" t="n">
        <v>4221601.04091747</v>
      </c>
      <c r="J2742" s="192" t="str">
        <f>IF(I2742&gt;0,H2742/I2742,0)</f>
      </c>
      <c r="K2742" s="193" t="str">
        <f>1-EXP(-J2742)</f>
      </c>
      <c r="L2742" s="194" t="str">
        <f>IF(G2742=30,1,M2741)</f>
      </c>
      <c r="M2742" s="195" t="str">
        <f>L2742*(1-K2742)</f>
      </c>
    </row>
    <row r="2743">
      <c r="A2743" t="s">
        <v>167</v>
      </c>
      <c r="B2743" t="s">
        <v>250</v>
      </c>
      <c r="C2743" s="35" t="s">
        <v>252</v>
      </c>
      <c r="D2743" t="s">
        <v>502</v>
      </c>
      <c r="E2743" t="s">
        <v>520</v>
      </c>
      <c r="F2743" s="188" t="n">
        <v>2041</v>
      </c>
      <c r="G2743" s="189" t="n">
        <v>51</v>
      </c>
      <c r="H2743" s="190" t="n">
        <v>14415.5686654251</v>
      </c>
      <c r="I2743" s="191" t="n">
        <v>6207945.81791554</v>
      </c>
      <c r="J2743" s="192" t="str">
        <f>IF(I2743&gt;0,H2743/I2743,0)</f>
      </c>
      <c r="K2743" s="193" t="str">
        <f>1-EXP(-J2743)</f>
      </c>
      <c r="L2743" s="194" t="str">
        <f>IF(G2743=30,1,M2742)</f>
      </c>
      <c r="M2743" s="195" t="str">
        <f>L2743*(1-K2743)</f>
      </c>
    </row>
    <row r="2744">
      <c r="A2744" t="s">
        <v>167</v>
      </c>
      <c r="B2744" t="s">
        <v>250</v>
      </c>
      <c r="C2744" s="35" t="s">
        <v>252</v>
      </c>
      <c r="D2744" t="s">
        <v>502</v>
      </c>
      <c r="E2744" t="s">
        <v>520</v>
      </c>
      <c r="F2744" s="188" t="n">
        <v>2041</v>
      </c>
      <c r="G2744" s="189" t="n">
        <v>52</v>
      </c>
      <c r="H2744" s="190" t="n">
        <v>11534.9760109987</v>
      </c>
      <c r="I2744" s="191" t="n">
        <v>4152067.99427185</v>
      </c>
      <c r="J2744" s="192" t="str">
        <f>IF(I2744&gt;0,H2744/I2744,0)</f>
      </c>
      <c r="K2744" s="193" t="str">
        <f>1-EXP(-J2744)</f>
      </c>
      <c r="L2744" s="194" t="str">
        <f>IF(G2744=30,1,M2743)</f>
      </c>
      <c r="M2744" s="195" t="str">
        <f>L2744*(1-K2744)</f>
      </c>
    </row>
    <row r="2745">
      <c r="A2745" t="s">
        <v>167</v>
      </c>
      <c r="B2745" t="s">
        <v>250</v>
      </c>
      <c r="C2745" s="35" t="s">
        <v>252</v>
      </c>
      <c r="D2745" t="s">
        <v>502</v>
      </c>
      <c r="E2745" t="s">
        <v>520</v>
      </c>
      <c r="F2745" s="188" t="n">
        <v>2041</v>
      </c>
      <c r="G2745" s="189" t="n">
        <v>53</v>
      </c>
      <c r="H2745" s="190" t="n">
        <v>12492.921143843</v>
      </c>
      <c r="I2745" s="191" t="n">
        <v>4119421.60862964</v>
      </c>
      <c r="J2745" s="192" t="str">
        <f>IF(I2745&gt;0,H2745/I2745,0)</f>
      </c>
      <c r="K2745" s="193" t="str">
        <f>1-EXP(-J2745)</f>
      </c>
      <c r="L2745" s="194" t="str">
        <f>IF(G2745=30,1,M2744)</f>
      </c>
      <c r="M2745" s="195" t="str">
        <f>L2745*(1-K2745)</f>
      </c>
    </row>
    <row r="2746">
      <c r="A2746" t="s">
        <v>167</v>
      </c>
      <c r="B2746" t="s">
        <v>250</v>
      </c>
      <c r="C2746" s="35" t="s">
        <v>252</v>
      </c>
      <c r="D2746" t="s">
        <v>502</v>
      </c>
      <c r="E2746" t="s">
        <v>520</v>
      </c>
      <c r="F2746" s="188" t="n">
        <v>2041</v>
      </c>
      <c r="G2746" s="189" t="n">
        <v>54</v>
      </c>
      <c r="H2746" s="190" t="n">
        <v>13151.852044605</v>
      </c>
      <c r="I2746" s="191" t="n">
        <v>3975530.64571614</v>
      </c>
      <c r="J2746" s="192" t="str">
        <f>IF(I2746&gt;0,H2746/I2746,0)</f>
      </c>
      <c r="K2746" s="193" t="str">
        <f>1-EXP(-J2746)</f>
      </c>
      <c r="L2746" s="194" t="str">
        <f>IF(G2746=30,1,M2745)</f>
      </c>
      <c r="M2746" s="195" t="str">
        <f>L2746*(1-K2746)</f>
      </c>
    </row>
    <row r="2747">
      <c r="A2747" t="s">
        <v>167</v>
      </c>
      <c r="B2747" t="s">
        <v>250</v>
      </c>
      <c r="C2747" s="35" t="s">
        <v>252</v>
      </c>
      <c r="D2747" t="s">
        <v>502</v>
      </c>
      <c r="E2747" t="s">
        <v>520</v>
      </c>
      <c r="F2747" s="188" t="n">
        <v>2041</v>
      </c>
      <c r="G2747" s="189" t="n">
        <v>55</v>
      </c>
      <c r="H2747" s="190" t="n">
        <v>14015.6586590591</v>
      </c>
      <c r="I2747" s="191" t="n">
        <v>3923562.89457807</v>
      </c>
      <c r="J2747" s="192" t="str">
        <f>IF(I2747&gt;0,H2747/I2747,0)</f>
      </c>
      <c r="K2747" s="193" t="str">
        <f>1-EXP(-J2747)</f>
      </c>
      <c r="L2747" s="194" t="str">
        <f>IF(G2747=30,1,M2746)</f>
      </c>
      <c r="M2747" s="195" t="str">
        <f>L2747*(1-K2747)</f>
      </c>
    </row>
    <row r="2748">
      <c r="A2748" t="s">
        <v>167</v>
      </c>
      <c r="B2748" t="s">
        <v>250</v>
      </c>
      <c r="C2748" s="35" t="s">
        <v>252</v>
      </c>
      <c r="D2748" t="s">
        <v>502</v>
      </c>
      <c r="E2748" t="s">
        <v>520</v>
      </c>
      <c r="F2748" s="188" t="n">
        <v>2041</v>
      </c>
      <c r="G2748" s="189" t="n">
        <v>56</v>
      </c>
      <c r="H2748" s="190" t="n">
        <v>15392.8639939472</v>
      </c>
      <c r="I2748" s="191" t="n">
        <v>3957977.18248086</v>
      </c>
      <c r="J2748" s="192" t="str">
        <f>IF(I2748&gt;0,H2748/I2748,0)</f>
      </c>
      <c r="K2748" s="193" t="str">
        <f>1-EXP(-J2748)</f>
      </c>
      <c r="L2748" s="194" t="str">
        <f>IF(G2748=30,1,M2747)</f>
      </c>
      <c r="M2748" s="195" t="str">
        <f>L2748*(1-K2748)</f>
      </c>
    </row>
    <row r="2749">
      <c r="A2749" t="s">
        <v>167</v>
      </c>
      <c r="B2749" t="s">
        <v>250</v>
      </c>
      <c r="C2749" s="35" t="s">
        <v>252</v>
      </c>
      <c r="D2749" t="s">
        <v>502</v>
      </c>
      <c r="E2749" t="s">
        <v>520</v>
      </c>
      <c r="F2749" s="188" t="n">
        <v>2041</v>
      </c>
      <c r="G2749" s="189" t="n">
        <v>57</v>
      </c>
      <c r="H2749" s="190" t="n">
        <v>17033.8413408516</v>
      </c>
      <c r="I2749" s="191" t="n">
        <v>4013583.92138302</v>
      </c>
      <c r="J2749" s="192" t="str">
        <f>IF(I2749&gt;0,H2749/I2749,0)</f>
      </c>
      <c r="K2749" s="193" t="str">
        <f>1-EXP(-J2749)</f>
      </c>
      <c r="L2749" s="194" t="str">
        <f>IF(G2749=30,1,M2748)</f>
      </c>
      <c r="M2749" s="195" t="str">
        <f>L2749*(1-K2749)</f>
      </c>
    </row>
    <row r="2750">
      <c r="A2750" t="s">
        <v>167</v>
      </c>
      <c r="B2750" t="s">
        <v>250</v>
      </c>
      <c r="C2750" s="35" t="s">
        <v>252</v>
      </c>
      <c r="D2750" t="s">
        <v>502</v>
      </c>
      <c r="E2750" t="s">
        <v>520</v>
      </c>
      <c r="F2750" s="188" t="n">
        <v>2041</v>
      </c>
      <c r="G2750" s="189" t="n">
        <v>58</v>
      </c>
      <c r="H2750" s="190" t="n">
        <v>18387.8716009919</v>
      </c>
      <c r="I2750" s="191" t="n">
        <v>3965159.60858075</v>
      </c>
      <c r="J2750" s="192" t="str">
        <f>IF(I2750&gt;0,H2750/I2750,0)</f>
      </c>
      <c r="K2750" s="193" t="str">
        <f>1-EXP(-J2750)</f>
      </c>
      <c r="L2750" s="194" t="str">
        <f>IF(G2750=30,1,M2749)</f>
      </c>
      <c r="M2750" s="195" t="str">
        <f>L2750*(1-K2750)</f>
      </c>
    </row>
    <row r="2751">
      <c r="A2751" t="s">
        <v>167</v>
      </c>
      <c r="B2751" t="s">
        <v>250</v>
      </c>
      <c r="C2751" s="35" t="s">
        <v>252</v>
      </c>
      <c r="D2751" t="s">
        <v>502</v>
      </c>
      <c r="E2751" t="s">
        <v>520</v>
      </c>
      <c r="F2751" s="188" t="n">
        <v>2041</v>
      </c>
      <c r="G2751" s="189" t="n">
        <v>59</v>
      </c>
      <c r="H2751" s="190" t="n">
        <v>19355.7097704736</v>
      </c>
      <c r="I2751" s="191" t="n">
        <v>3811074.39996291</v>
      </c>
      <c r="J2751" s="192" t="str">
        <f>IF(I2751&gt;0,H2751/I2751,0)</f>
      </c>
      <c r="K2751" s="193" t="str">
        <f>1-EXP(-J2751)</f>
      </c>
      <c r="L2751" s="194" t="str">
        <f>IF(G2751=30,1,M2750)</f>
      </c>
      <c r="M2751" s="195" t="str">
        <f>L2751*(1-K2751)</f>
      </c>
    </row>
    <row r="2752">
      <c r="A2752" t="s">
        <v>167</v>
      </c>
      <c r="B2752" t="s">
        <v>250</v>
      </c>
      <c r="C2752" s="35" t="s">
        <v>252</v>
      </c>
      <c r="D2752" t="s">
        <v>502</v>
      </c>
      <c r="E2752" t="s">
        <v>520</v>
      </c>
      <c r="F2752" s="188" t="n">
        <v>2041</v>
      </c>
      <c r="G2752" s="189" t="n">
        <v>60</v>
      </c>
      <c r="H2752" s="190" t="n">
        <v>20555.6644913789</v>
      </c>
      <c r="I2752" s="191" t="n">
        <v>3713701.11108676</v>
      </c>
      <c r="J2752" s="192" t="str">
        <f>IF(I2752&gt;0,H2752/I2752,0)</f>
      </c>
      <c r="K2752" s="193" t="str">
        <f>1-EXP(-J2752)</f>
      </c>
      <c r="L2752" s="194" t="str">
        <f>IF(G2752=30,1,M2751)</f>
      </c>
      <c r="M2752" s="195" t="str">
        <f>L2752*(1-K2752)</f>
      </c>
    </row>
    <row r="2753">
      <c r="A2753" t="s">
        <v>167</v>
      </c>
      <c r="B2753" t="s">
        <v>250</v>
      </c>
      <c r="C2753" s="35" t="s">
        <v>252</v>
      </c>
      <c r="D2753" t="s">
        <v>502</v>
      </c>
      <c r="E2753" t="s">
        <v>520</v>
      </c>
      <c r="F2753" s="188" t="n">
        <v>2041</v>
      </c>
      <c r="G2753" s="189" t="n">
        <v>61</v>
      </c>
      <c r="H2753" s="190" t="n">
        <v>22020.853736532</v>
      </c>
      <c r="I2753" s="191" t="n">
        <v>3628986.61598534</v>
      </c>
      <c r="J2753" s="192" t="str">
        <f>IF(I2753&gt;0,H2753/I2753,0)</f>
      </c>
      <c r="K2753" s="193" t="str">
        <f>1-EXP(-J2753)</f>
      </c>
      <c r="L2753" s="194" t="str">
        <f>IF(G2753=30,1,M2752)</f>
      </c>
      <c r="M2753" s="195" t="str">
        <f>L2753*(1-K2753)</f>
      </c>
    </row>
    <row r="2754">
      <c r="A2754" t="s">
        <v>167</v>
      </c>
      <c r="B2754" t="s">
        <v>250</v>
      </c>
      <c r="C2754" s="35" t="s">
        <v>252</v>
      </c>
      <c r="D2754" t="s">
        <v>502</v>
      </c>
      <c r="E2754" t="s">
        <v>520</v>
      </c>
      <c r="F2754" s="188" t="n">
        <v>2041</v>
      </c>
      <c r="G2754" s="189" t="n">
        <v>62</v>
      </c>
      <c r="H2754" s="190" t="n">
        <v>23542.0909958615</v>
      </c>
      <c r="I2754" s="191" t="n">
        <v>3537759.77249919</v>
      </c>
      <c r="J2754" s="192" t="str">
        <f>IF(I2754&gt;0,H2754/I2754,0)</f>
      </c>
      <c r="K2754" s="193" t="str">
        <f>1-EXP(-J2754)</f>
      </c>
      <c r="L2754" s="194" t="str">
        <f>IF(G2754=30,1,M2753)</f>
      </c>
      <c r="M2754" s="195" t="str">
        <f>L2754*(1-K2754)</f>
      </c>
    </row>
    <row r="2755">
      <c r="A2755" t="s">
        <v>167</v>
      </c>
      <c r="B2755" t="s">
        <v>250</v>
      </c>
      <c r="C2755" s="35" t="s">
        <v>252</v>
      </c>
      <c r="D2755" t="s">
        <v>502</v>
      </c>
      <c r="E2755" t="s">
        <v>520</v>
      </c>
      <c r="F2755" s="188" t="n">
        <v>2041</v>
      </c>
      <c r="G2755" s="189" t="n">
        <v>63</v>
      </c>
      <c r="H2755" s="190" t="n">
        <v>25015.8391218559</v>
      </c>
      <c r="I2755" s="191" t="n">
        <v>3427431.84248101</v>
      </c>
      <c r="J2755" s="192" t="str">
        <f>IF(I2755&gt;0,H2755/I2755,0)</f>
      </c>
      <c r="K2755" s="193" t="str">
        <f>1-EXP(-J2755)</f>
      </c>
      <c r="L2755" s="194" t="str">
        <f>IF(G2755=30,1,M2754)</f>
      </c>
      <c r="M2755" s="195" t="str">
        <f>L2755*(1-K2755)</f>
      </c>
    </row>
    <row r="2756">
      <c r="A2756" t="s">
        <v>167</v>
      </c>
      <c r="B2756" t="s">
        <v>250</v>
      </c>
      <c r="C2756" s="35" t="s">
        <v>252</v>
      </c>
      <c r="D2756" t="s">
        <v>502</v>
      </c>
      <c r="E2756" t="s">
        <v>520</v>
      </c>
      <c r="F2756" s="188" t="n">
        <v>2041</v>
      </c>
      <c r="G2756" s="189" t="n">
        <v>64</v>
      </c>
      <c r="H2756" s="190" t="n">
        <v>26686.6197892507</v>
      </c>
      <c r="I2756" s="191" t="n">
        <v>3330089.01524144</v>
      </c>
      <c r="J2756" s="192" t="str">
        <f>IF(I2756&gt;0,H2756/I2756,0)</f>
      </c>
      <c r="K2756" s="193" t="str">
        <f>1-EXP(-J2756)</f>
      </c>
      <c r="L2756" s="194" t="str">
        <f>IF(G2756=30,1,M2755)</f>
      </c>
      <c r="M2756" s="195" t="str">
        <f>L2756*(1-K2756)</f>
      </c>
    </row>
    <row r="2757">
      <c r="A2757" t="s">
        <v>167</v>
      </c>
      <c r="B2757" t="s">
        <v>250</v>
      </c>
      <c r="C2757" s="35" t="s">
        <v>252</v>
      </c>
      <c r="D2757" t="s">
        <v>502</v>
      </c>
      <c r="E2757" t="s">
        <v>520</v>
      </c>
      <c r="F2757" s="188" t="n">
        <v>2041</v>
      </c>
      <c r="G2757" s="189" t="n">
        <v>65</v>
      </c>
      <c r="H2757" s="190" t="n">
        <v>27102.7439728804</v>
      </c>
      <c r="I2757" s="191" t="n">
        <v>3221046.81848973</v>
      </c>
      <c r="J2757" s="192" t="str">
        <f>IF(I2757&gt;0,H2757/I2757,0)</f>
      </c>
      <c r="K2757" s="193" t="str">
        <f>1-EXP(-J2757)</f>
      </c>
      <c r="L2757" s="194" t="str">
        <f>IF(G2757=30,1,M2756)</f>
      </c>
      <c r="M2757" s="195" t="str">
        <f>L2757*(1-K2757)</f>
      </c>
    </row>
    <row r="2758">
      <c r="A2758" t="s">
        <v>167</v>
      </c>
      <c r="B2758" t="s">
        <v>250</v>
      </c>
      <c r="C2758" s="35" t="s">
        <v>252</v>
      </c>
      <c r="D2758" t="s">
        <v>502</v>
      </c>
      <c r="E2758" t="s">
        <v>520</v>
      </c>
      <c r="F2758" s="188" t="n">
        <v>2041</v>
      </c>
      <c r="G2758" s="189" t="n">
        <v>66</v>
      </c>
      <c r="H2758" s="190" t="n">
        <v>28700.4596217454</v>
      </c>
      <c r="I2758" s="191" t="n">
        <v>3110263.08085564</v>
      </c>
      <c r="J2758" s="192" t="str">
        <f>IF(I2758&gt;0,H2758/I2758,0)</f>
      </c>
      <c r="K2758" s="193" t="str">
        <f>1-EXP(-J2758)</f>
      </c>
      <c r="L2758" s="194" t="str">
        <f>IF(G2758=30,1,M2757)</f>
      </c>
      <c r="M2758" s="195" t="str">
        <f>L2758*(1-K2758)</f>
      </c>
    </row>
    <row r="2759">
      <c r="A2759" t="s">
        <v>167</v>
      </c>
      <c r="B2759" t="s">
        <v>250</v>
      </c>
      <c r="C2759" s="35" t="s">
        <v>252</v>
      </c>
      <c r="D2759" t="s">
        <v>502</v>
      </c>
      <c r="E2759" t="s">
        <v>520</v>
      </c>
      <c r="F2759" s="188" t="n">
        <v>2041</v>
      </c>
      <c r="G2759" s="189" t="n">
        <v>67</v>
      </c>
      <c r="H2759" s="190" t="n">
        <v>30128.8901560609</v>
      </c>
      <c r="I2759" s="191" t="n">
        <v>2974112.08276717</v>
      </c>
      <c r="J2759" s="192" t="str">
        <f>IF(I2759&gt;0,H2759/I2759,0)</f>
      </c>
      <c r="K2759" s="193" t="str">
        <f>1-EXP(-J2759)</f>
      </c>
      <c r="L2759" s="194" t="str">
        <f>IF(G2759=30,1,M2758)</f>
      </c>
      <c r="M2759" s="195" t="str">
        <f>L2759*(1-K2759)</f>
      </c>
    </row>
    <row r="2760">
      <c r="A2760" t="s">
        <v>167</v>
      </c>
      <c r="B2760" t="s">
        <v>250</v>
      </c>
      <c r="C2760" s="35" t="s">
        <v>252</v>
      </c>
      <c r="D2760" t="s">
        <v>502</v>
      </c>
      <c r="E2760" t="s">
        <v>520</v>
      </c>
      <c r="F2760" s="188" t="n">
        <v>2041</v>
      </c>
      <c r="G2760" s="189" t="n">
        <v>68</v>
      </c>
      <c r="H2760" s="190" t="n">
        <v>32124.7967960858</v>
      </c>
      <c r="I2760" s="191" t="n">
        <v>2886623.99373987</v>
      </c>
      <c r="J2760" s="192" t="str">
        <f>IF(I2760&gt;0,H2760/I2760,0)</f>
      </c>
      <c r="K2760" s="193" t="str">
        <f>1-EXP(-J2760)</f>
      </c>
      <c r="L2760" s="194" t="str">
        <f>IF(G2760=30,1,M2759)</f>
      </c>
      <c r="M2760" s="195" t="str">
        <f>L2760*(1-K2760)</f>
      </c>
    </row>
    <row r="2761">
      <c r="A2761" t="s">
        <v>167</v>
      </c>
      <c r="B2761" t="s">
        <v>250</v>
      </c>
      <c r="C2761" s="35" t="s">
        <v>252</v>
      </c>
      <c r="D2761" t="s">
        <v>502</v>
      </c>
      <c r="E2761" t="s">
        <v>520</v>
      </c>
      <c r="F2761" s="188" t="n">
        <v>2041</v>
      </c>
      <c r="G2761" s="189" t="n">
        <v>69</v>
      </c>
      <c r="H2761" s="190" t="n">
        <v>32622.1186132189</v>
      </c>
      <c r="I2761" s="191" t="n">
        <v>2663245.52529673</v>
      </c>
      <c r="J2761" s="192" t="str">
        <f>IF(I2761&gt;0,H2761/I2761,0)</f>
      </c>
      <c r="K2761" s="193" t="str">
        <f>1-EXP(-J2761)</f>
      </c>
      <c r="L2761" s="194" t="str">
        <f>IF(G2761=30,1,M2760)</f>
      </c>
      <c r="M2761" s="195" t="str">
        <f>L2761*(1-K2761)</f>
      </c>
    </row>
    <row r="2762">
      <c r="A2762" t="s">
        <v>167</v>
      </c>
      <c r="B2762" t="s">
        <v>250</v>
      </c>
      <c r="C2762" s="35" t="s">
        <v>252</v>
      </c>
      <c r="D2762" t="s">
        <v>502</v>
      </c>
      <c r="E2762" t="s">
        <v>520</v>
      </c>
      <c r="F2762" s="188" t="n">
        <v>2042</v>
      </c>
      <c r="G2762" s="189" t="n">
        <v>30</v>
      </c>
      <c r="H2762" s="190" t="n">
        <v>820.964184961836</v>
      </c>
      <c r="I2762" s="191" t="n">
        <v>4906571.13780163</v>
      </c>
      <c r="J2762" s="192" t="str">
        <f>IF(I2762&gt;0,H2762/I2762,0)</f>
      </c>
      <c r="K2762" s="193" t="str">
        <f>1-EXP(-J2762)</f>
      </c>
      <c r="L2762" s="194" t="str">
        <f>IF(G2762=30,1,M2761)</f>
      </c>
      <c r="M2762" s="195" t="str">
        <f>L2762*(1-K2762)</f>
      </c>
    </row>
    <row r="2763">
      <c r="A2763" t="s">
        <v>167</v>
      </c>
      <c r="B2763" t="s">
        <v>250</v>
      </c>
      <c r="C2763" s="35" t="s">
        <v>252</v>
      </c>
      <c r="D2763" t="s">
        <v>502</v>
      </c>
      <c r="E2763" t="s">
        <v>520</v>
      </c>
      <c r="F2763" s="188" t="n">
        <v>2042</v>
      </c>
      <c r="G2763" s="189" t="n">
        <v>31</v>
      </c>
      <c r="H2763" s="190" t="n">
        <v>1050.15659564357</v>
      </c>
      <c r="I2763" s="191" t="n">
        <v>4878426.82241127</v>
      </c>
      <c r="J2763" s="192" t="str">
        <f>IF(I2763&gt;0,H2763/I2763,0)</f>
      </c>
      <c r="K2763" s="193" t="str">
        <f>1-EXP(-J2763)</f>
      </c>
      <c r="L2763" s="194" t="str">
        <f>IF(G2763=30,1,M2762)</f>
      </c>
      <c r="M2763" s="195" t="str">
        <f>L2763*(1-K2763)</f>
      </c>
    </row>
    <row r="2764">
      <c r="A2764" t="s">
        <v>167</v>
      </c>
      <c r="B2764" t="s">
        <v>250</v>
      </c>
      <c r="C2764" s="35" t="s">
        <v>252</v>
      </c>
      <c r="D2764" t="s">
        <v>502</v>
      </c>
      <c r="E2764" t="s">
        <v>520</v>
      </c>
      <c r="F2764" s="188" t="n">
        <v>2042</v>
      </c>
      <c r="G2764" s="189" t="n">
        <v>32</v>
      </c>
      <c r="H2764" s="190" t="n">
        <v>1075.52129665623</v>
      </c>
      <c r="I2764" s="191" t="n">
        <v>4744692.14616797</v>
      </c>
      <c r="J2764" s="192" t="str">
        <f>IF(I2764&gt;0,H2764/I2764,0)</f>
      </c>
      <c r="K2764" s="193" t="str">
        <f>1-EXP(-J2764)</f>
      </c>
      <c r="L2764" s="194" t="str">
        <f>IF(G2764=30,1,M2763)</f>
      </c>
      <c r="M2764" s="195" t="str">
        <f>L2764*(1-K2764)</f>
      </c>
    </row>
    <row r="2765">
      <c r="A2765" t="s">
        <v>167</v>
      </c>
      <c r="B2765" t="s">
        <v>250</v>
      </c>
      <c r="C2765" s="35" t="s">
        <v>252</v>
      </c>
      <c r="D2765" t="s">
        <v>502</v>
      </c>
      <c r="E2765" t="s">
        <v>520</v>
      </c>
      <c r="F2765" s="188" t="n">
        <v>2042</v>
      </c>
      <c r="G2765" s="189" t="n">
        <v>33</v>
      </c>
      <c r="H2765" s="190" t="n">
        <v>1122.18612752227</v>
      </c>
      <c r="I2765" s="191" t="n">
        <v>4673845.77161587</v>
      </c>
      <c r="J2765" s="192" t="str">
        <f>IF(I2765&gt;0,H2765/I2765,0)</f>
      </c>
      <c r="K2765" s="193" t="str">
        <f>1-EXP(-J2765)</f>
      </c>
      <c r="L2765" s="194" t="str">
        <f>IF(G2765=30,1,M2764)</f>
      </c>
      <c r="M2765" s="195" t="str">
        <f>L2765*(1-K2765)</f>
      </c>
    </row>
    <row r="2766">
      <c r="A2766" t="s">
        <v>167</v>
      </c>
      <c r="B2766" t="s">
        <v>250</v>
      </c>
      <c r="C2766" s="35" t="s">
        <v>252</v>
      </c>
      <c r="D2766" t="s">
        <v>502</v>
      </c>
      <c r="E2766" t="s">
        <v>520</v>
      </c>
      <c r="F2766" s="188" t="n">
        <v>2042</v>
      </c>
      <c r="G2766" s="189" t="n">
        <v>34</v>
      </c>
      <c r="H2766" s="190" t="n">
        <v>1185.06926584491</v>
      </c>
      <c r="I2766" s="191" t="n">
        <v>4630944.1202636</v>
      </c>
      <c r="J2766" s="192" t="str">
        <f>IF(I2766&gt;0,H2766/I2766,0)</f>
      </c>
      <c r="K2766" s="193" t="str">
        <f>1-EXP(-J2766)</f>
      </c>
      <c r="L2766" s="194" t="str">
        <f>IF(G2766=30,1,M2765)</f>
      </c>
      <c r="M2766" s="195" t="str">
        <f>L2766*(1-K2766)</f>
      </c>
    </row>
    <row r="2767">
      <c r="A2767" t="s">
        <v>167</v>
      </c>
      <c r="B2767" t="s">
        <v>250</v>
      </c>
      <c r="C2767" s="35" t="s">
        <v>252</v>
      </c>
      <c r="D2767" t="s">
        <v>502</v>
      </c>
      <c r="E2767" t="s">
        <v>520</v>
      </c>
      <c r="F2767" s="188" t="n">
        <v>2042</v>
      </c>
      <c r="G2767" s="189" t="n">
        <v>35</v>
      </c>
      <c r="H2767" s="190" t="n">
        <v>1647.46792111796</v>
      </c>
      <c r="I2767" s="191" t="n">
        <v>4656245.36393122</v>
      </c>
      <c r="J2767" s="192" t="str">
        <f>IF(I2767&gt;0,H2767/I2767,0)</f>
      </c>
      <c r="K2767" s="193" t="str">
        <f>1-EXP(-J2767)</f>
      </c>
      <c r="L2767" s="194" t="str">
        <f>IF(G2767=30,1,M2766)</f>
      </c>
      <c r="M2767" s="195" t="str">
        <f>L2767*(1-K2767)</f>
      </c>
    </row>
    <row r="2768">
      <c r="A2768" t="s">
        <v>167</v>
      </c>
      <c r="B2768" t="s">
        <v>250</v>
      </c>
      <c r="C2768" s="35" t="s">
        <v>252</v>
      </c>
      <c r="D2768" t="s">
        <v>502</v>
      </c>
      <c r="E2768" t="s">
        <v>520</v>
      </c>
      <c r="F2768" s="188" t="n">
        <v>2042</v>
      </c>
      <c r="G2768" s="189" t="n">
        <v>36</v>
      </c>
      <c r="H2768" s="190" t="n">
        <v>1873.98489449748</v>
      </c>
      <c r="I2768" s="191" t="n">
        <v>4572290.75396253</v>
      </c>
      <c r="J2768" s="192" t="str">
        <f>IF(I2768&gt;0,H2768/I2768,0)</f>
      </c>
      <c r="K2768" s="193" t="str">
        <f>1-EXP(-J2768)</f>
      </c>
      <c r="L2768" s="194" t="str">
        <f>IF(G2768=30,1,M2767)</f>
      </c>
      <c r="M2768" s="195" t="str">
        <f>L2768*(1-K2768)</f>
      </c>
    </row>
    <row r="2769">
      <c r="A2769" t="s">
        <v>167</v>
      </c>
      <c r="B2769" t="s">
        <v>250</v>
      </c>
      <c r="C2769" s="35" t="s">
        <v>252</v>
      </c>
      <c r="D2769" t="s">
        <v>502</v>
      </c>
      <c r="E2769" t="s">
        <v>520</v>
      </c>
      <c r="F2769" s="188" t="n">
        <v>2042</v>
      </c>
      <c r="G2769" s="189" t="n">
        <v>37</v>
      </c>
      <c r="H2769" s="190" t="n">
        <v>1987.1791507738</v>
      </c>
      <c r="I2769" s="191" t="n">
        <v>4510213.89291454</v>
      </c>
      <c r="J2769" s="192" t="str">
        <f>IF(I2769&gt;0,H2769/I2769,0)</f>
      </c>
      <c r="K2769" s="193" t="str">
        <f>1-EXP(-J2769)</f>
      </c>
      <c r="L2769" s="194" t="str">
        <f>IF(G2769=30,1,M2768)</f>
      </c>
      <c r="M2769" s="195" t="str">
        <f>L2769*(1-K2769)</f>
      </c>
    </row>
    <row r="2770">
      <c r="A2770" t="s">
        <v>167</v>
      </c>
      <c r="B2770" t="s">
        <v>250</v>
      </c>
      <c r="C2770" s="35" t="s">
        <v>252</v>
      </c>
      <c r="D2770" t="s">
        <v>502</v>
      </c>
      <c r="E2770" t="s">
        <v>520</v>
      </c>
      <c r="F2770" s="188" t="n">
        <v>2042</v>
      </c>
      <c r="G2770" s="189" t="n">
        <v>38</v>
      </c>
      <c r="H2770" s="190" t="n">
        <v>2081.93309397075</v>
      </c>
      <c r="I2770" s="191" t="n">
        <v>4380661.70030212</v>
      </c>
      <c r="J2770" s="192" t="str">
        <f>IF(I2770&gt;0,H2770/I2770,0)</f>
      </c>
      <c r="K2770" s="193" t="str">
        <f>1-EXP(-J2770)</f>
      </c>
      <c r="L2770" s="194" t="str">
        <f>IF(G2770=30,1,M2769)</f>
      </c>
      <c r="M2770" s="195" t="str">
        <f>L2770*(1-K2770)</f>
      </c>
    </row>
    <row r="2771">
      <c r="A2771" t="s">
        <v>167</v>
      </c>
      <c r="B2771" t="s">
        <v>250</v>
      </c>
      <c r="C2771" s="35" t="s">
        <v>252</v>
      </c>
      <c r="D2771" t="s">
        <v>502</v>
      </c>
      <c r="E2771" t="s">
        <v>520</v>
      </c>
      <c r="F2771" s="188" t="n">
        <v>2042</v>
      </c>
      <c r="G2771" s="189" t="n">
        <v>39</v>
      </c>
      <c r="H2771" s="190" t="n">
        <v>2217.01619057464</v>
      </c>
      <c r="I2771" s="191" t="n">
        <v>4313474.04218487</v>
      </c>
      <c r="J2771" s="192" t="str">
        <f>IF(I2771&gt;0,H2771/I2771,0)</f>
      </c>
      <c r="K2771" s="193" t="str">
        <f>1-EXP(-J2771)</f>
      </c>
      <c r="L2771" s="194" t="str">
        <f>IF(G2771=30,1,M2770)</f>
      </c>
      <c r="M2771" s="195" t="str">
        <f>L2771*(1-K2771)</f>
      </c>
    </row>
    <row r="2772">
      <c r="A2772" t="s">
        <v>167</v>
      </c>
      <c r="B2772" t="s">
        <v>250</v>
      </c>
      <c r="C2772" s="35" t="s">
        <v>252</v>
      </c>
      <c r="D2772" t="s">
        <v>502</v>
      </c>
      <c r="E2772" t="s">
        <v>520</v>
      </c>
      <c r="F2772" s="188" t="n">
        <v>2042</v>
      </c>
      <c r="G2772" s="189" t="n">
        <v>40</v>
      </c>
      <c r="H2772" s="190" t="n">
        <v>3160.86582064586</v>
      </c>
      <c r="I2772" s="191" t="n">
        <v>4288353.35067726</v>
      </c>
      <c r="J2772" s="192" t="str">
        <f>IF(I2772&gt;0,H2772/I2772,0)</f>
      </c>
      <c r="K2772" s="193" t="str">
        <f>1-EXP(-J2772)</f>
      </c>
      <c r="L2772" s="194" t="str">
        <f>IF(G2772=30,1,M2771)</f>
      </c>
      <c r="M2772" s="195" t="str">
        <f>L2772*(1-K2772)</f>
      </c>
    </row>
    <row r="2773">
      <c r="A2773" t="s">
        <v>167</v>
      </c>
      <c r="B2773" t="s">
        <v>250</v>
      </c>
      <c r="C2773" s="35" t="s">
        <v>252</v>
      </c>
      <c r="D2773" t="s">
        <v>502</v>
      </c>
      <c r="E2773" t="s">
        <v>520</v>
      </c>
      <c r="F2773" s="188" t="n">
        <v>2042</v>
      </c>
      <c r="G2773" s="189" t="n">
        <v>41</v>
      </c>
      <c r="H2773" s="190" t="n">
        <v>3470.16134964639</v>
      </c>
      <c r="I2773" s="191" t="n">
        <v>4264509.25775617</v>
      </c>
      <c r="J2773" s="192" t="str">
        <f>IF(I2773&gt;0,H2773/I2773,0)</f>
      </c>
      <c r="K2773" s="193" t="str">
        <f>1-EXP(-J2773)</f>
      </c>
      <c r="L2773" s="194" t="str">
        <f>IF(G2773=30,1,M2772)</f>
      </c>
      <c r="M2773" s="195" t="str">
        <f>L2773*(1-K2773)</f>
      </c>
    </row>
    <row r="2774">
      <c r="A2774" t="s">
        <v>167</v>
      </c>
      <c r="B2774" t="s">
        <v>250</v>
      </c>
      <c r="C2774" s="35" t="s">
        <v>252</v>
      </c>
      <c r="D2774" t="s">
        <v>502</v>
      </c>
      <c r="E2774" t="s">
        <v>520</v>
      </c>
      <c r="F2774" s="188" t="n">
        <v>2042</v>
      </c>
      <c r="G2774" s="189" t="n">
        <v>42</v>
      </c>
      <c r="H2774" s="190" t="n">
        <v>3744.60259092927</v>
      </c>
      <c r="I2774" s="191" t="n">
        <v>4240567.1010543</v>
      </c>
      <c r="J2774" s="192" t="str">
        <f>IF(I2774&gt;0,H2774/I2774,0)</f>
      </c>
      <c r="K2774" s="193" t="str">
        <f>1-EXP(-J2774)</f>
      </c>
      <c r="L2774" s="194" t="str">
        <f>IF(G2774=30,1,M2773)</f>
      </c>
      <c r="M2774" s="195" t="str">
        <f>L2774*(1-K2774)</f>
      </c>
    </row>
    <row r="2775">
      <c r="A2775" t="s">
        <v>167</v>
      </c>
      <c r="B2775" t="s">
        <v>250</v>
      </c>
      <c r="C2775" s="35" t="s">
        <v>252</v>
      </c>
      <c r="D2775" t="s">
        <v>502</v>
      </c>
      <c r="E2775" t="s">
        <v>520</v>
      </c>
      <c r="F2775" s="188" t="n">
        <v>2042</v>
      </c>
      <c r="G2775" s="189" t="n">
        <v>43</v>
      </c>
      <c r="H2775" s="190" t="n">
        <v>4087.12490499942</v>
      </c>
      <c r="I2775" s="191" t="n">
        <v>4255171.07207902</v>
      </c>
      <c r="J2775" s="192" t="str">
        <f>IF(I2775&gt;0,H2775/I2775,0)</f>
      </c>
      <c r="K2775" s="193" t="str">
        <f>1-EXP(-J2775)</f>
      </c>
      <c r="L2775" s="194" t="str">
        <f>IF(G2775=30,1,M2774)</f>
      </c>
      <c r="M2775" s="195" t="str">
        <f>L2775*(1-K2775)</f>
      </c>
    </row>
    <row r="2776">
      <c r="A2776" t="s">
        <v>167</v>
      </c>
      <c r="B2776" t="s">
        <v>250</v>
      </c>
      <c r="C2776" s="35" t="s">
        <v>252</v>
      </c>
      <c r="D2776" t="s">
        <v>502</v>
      </c>
      <c r="E2776" t="s">
        <v>520</v>
      </c>
      <c r="F2776" s="188" t="n">
        <v>2042</v>
      </c>
      <c r="G2776" s="189" t="n">
        <v>44</v>
      </c>
      <c r="H2776" s="190" t="n">
        <v>4512.2384905151</v>
      </c>
      <c r="I2776" s="191" t="n">
        <v>4307564.68802136</v>
      </c>
      <c r="J2776" s="192" t="str">
        <f>IF(I2776&gt;0,H2776/I2776,0)</f>
      </c>
      <c r="K2776" s="193" t="str">
        <f>1-EXP(-J2776)</f>
      </c>
      <c r="L2776" s="194" t="str">
        <f>IF(G2776=30,1,M2775)</f>
      </c>
      <c r="M2776" s="195" t="str">
        <f>L2776*(1-K2776)</f>
      </c>
    </row>
    <row r="2777">
      <c r="A2777" t="s">
        <v>167</v>
      </c>
      <c r="B2777" t="s">
        <v>250</v>
      </c>
      <c r="C2777" s="35" t="s">
        <v>252</v>
      </c>
      <c r="D2777" t="s">
        <v>502</v>
      </c>
      <c r="E2777" t="s">
        <v>520</v>
      </c>
      <c r="F2777" s="188" t="n">
        <v>2042</v>
      </c>
      <c r="G2777" s="189" t="n">
        <v>45</v>
      </c>
      <c r="H2777" s="190" t="n">
        <v>6227.92654098055</v>
      </c>
      <c r="I2777" s="191" t="n">
        <v>4434760.89834989</v>
      </c>
      <c r="J2777" s="192" t="str">
        <f>IF(I2777&gt;0,H2777/I2777,0)</f>
      </c>
      <c r="K2777" s="193" t="str">
        <f>1-EXP(-J2777)</f>
      </c>
      <c r="L2777" s="194" t="str">
        <f>IF(G2777=30,1,M2776)</f>
      </c>
      <c r="M2777" s="195" t="str">
        <f>L2777*(1-K2777)</f>
      </c>
    </row>
    <row r="2778">
      <c r="A2778" t="s">
        <v>167</v>
      </c>
      <c r="B2778" t="s">
        <v>250</v>
      </c>
      <c r="C2778" s="35" t="s">
        <v>252</v>
      </c>
      <c r="D2778" t="s">
        <v>502</v>
      </c>
      <c r="E2778" t="s">
        <v>520</v>
      </c>
      <c r="F2778" s="188" t="n">
        <v>2042</v>
      </c>
      <c r="G2778" s="189" t="n">
        <v>46</v>
      </c>
      <c r="H2778" s="190" t="n">
        <v>6716.17782694667</v>
      </c>
      <c r="I2778" s="191" t="n">
        <v>4383515.08223312</v>
      </c>
      <c r="J2778" s="192" t="str">
        <f>IF(I2778&gt;0,H2778/I2778,0)</f>
      </c>
      <c r="K2778" s="193" t="str">
        <f>1-EXP(-J2778)</f>
      </c>
      <c r="L2778" s="194" t="str">
        <f>IF(G2778=30,1,M2777)</f>
      </c>
      <c r="M2778" s="195" t="str">
        <f>L2778*(1-K2778)</f>
      </c>
    </row>
    <row r="2779">
      <c r="A2779" t="s">
        <v>167</v>
      </c>
      <c r="B2779" t="s">
        <v>250</v>
      </c>
      <c r="C2779" s="35" t="s">
        <v>252</v>
      </c>
      <c r="D2779" t="s">
        <v>502</v>
      </c>
      <c r="E2779" t="s">
        <v>520</v>
      </c>
      <c r="F2779" s="188" t="n">
        <v>2042</v>
      </c>
      <c r="G2779" s="189" t="n">
        <v>47</v>
      </c>
      <c r="H2779" s="190" t="n">
        <v>7216.60575604142</v>
      </c>
      <c r="I2779" s="191" t="n">
        <v>4303016.45243952</v>
      </c>
      <c r="J2779" s="192" t="str">
        <f>IF(I2779&gt;0,H2779/I2779,0)</f>
      </c>
      <c r="K2779" s="193" t="str">
        <f>1-EXP(-J2779)</f>
      </c>
      <c r="L2779" s="194" t="str">
        <f>IF(G2779=30,1,M2778)</f>
      </c>
      <c r="M2779" s="195" t="str">
        <f>L2779*(1-K2779)</f>
      </c>
    </row>
    <row r="2780">
      <c r="A2780" t="s">
        <v>167</v>
      </c>
      <c r="B2780" t="s">
        <v>250</v>
      </c>
      <c r="C2780" s="35" t="s">
        <v>252</v>
      </c>
      <c r="D2780" t="s">
        <v>502</v>
      </c>
      <c r="E2780" t="s">
        <v>520</v>
      </c>
      <c r="F2780" s="188" t="n">
        <v>2042</v>
      </c>
      <c r="G2780" s="189" t="n">
        <v>48</v>
      </c>
      <c r="H2780" s="190" t="n">
        <v>7787.80425172017</v>
      </c>
      <c r="I2780" s="191" t="n">
        <v>4237014.31138661</v>
      </c>
      <c r="J2780" s="192" t="str">
        <f>IF(I2780&gt;0,H2780/I2780,0)</f>
      </c>
      <c r="K2780" s="193" t="str">
        <f>1-EXP(-J2780)</f>
      </c>
      <c r="L2780" s="194" t="str">
        <f>IF(G2780=30,1,M2779)</f>
      </c>
      <c r="M2780" s="195" t="str">
        <f>L2780*(1-K2780)</f>
      </c>
    </row>
    <row r="2781">
      <c r="A2781" t="s">
        <v>167</v>
      </c>
      <c r="B2781" t="s">
        <v>250</v>
      </c>
      <c r="C2781" s="35" t="s">
        <v>252</v>
      </c>
      <c r="D2781" t="s">
        <v>502</v>
      </c>
      <c r="E2781" t="s">
        <v>520</v>
      </c>
      <c r="F2781" s="188" t="n">
        <v>2042</v>
      </c>
      <c r="G2781" s="189" t="n">
        <v>49</v>
      </c>
      <c r="H2781" s="190" t="n">
        <v>8411.46313585167</v>
      </c>
      <c r="I2781" s="191" t="n">
        <v>4173591.90617335</v>
      </c>
      <c r="J2781" s="192" t="str">
        <f>IF(I2781&gt;0,H2781/I2781,0)</f>
      </c>
      <c r="K2781" s="193" t="str">
        <f>1-EXP(-J2781)</f>
      </c>
      <c r="L2781" s="194" t="str">
        <f>IF(G2781=30,1,M2780)</f>
      </c>
      <c r="M2781" s="195" t="str">
        <f>L2781*(1-K2781)</f>
      </c>
    </row>
    <row r="2782">
      <c r="A2782" t="s">
        <v>167</v>
      </c>
      <c r="B2782" t="s">
        <v>250</v>
      </c>
      <c r="C2782" s="35" t="s">
        <v>252</v>
      </c>
      <c r="D2782" t="s">
        <v>502</v>
      </c>
      <c r="E2782" t="s">
        <v>520</v>
      </c>
      <c r="F2782" s="188" t="n">
        <v>2042</v>
      </c>
      <c r="G2782" s="189" t="n">
        <v>50</v>
      </c>
      <c r="H2782" s="190" t="n">
        <v>9687.12835779398</v>
      </c>
      <c r="I2782" s="191" t="n">
        <v>4197322.20857624</v>
      </c>
      <c r="J2782" s="192" t="str">
        <f>IF(I2782&gt;0,H2782/I2782,0)</f>
      </c>
      <c r="K2782" s="193" t="str">
        <f>1-EXP(-J2782)</f>
      </c>
      <c r="L2782" s="194" t="str">
        <f>IF(G2782=30,1,M2781)</f>
      </c>
      <c r="M2782" s="195" t="str">
        <f>L2782*(1-K2782)</f>
      </c>
    </row>
    <row r="2783">
      <c r="A2783" t="s">
        <v>167</v>
      </c>
      <c r="B2783" t="s">
        <v>250</v>
      </c>
      <c r="C2783" s="35" t="s">
        <v>252</v>
      </c>
      <c r="D2783" t="s">
        <v>502</v>
      </c>
      <c r="E2783" t="s">
        <v>520</v>
      </c>
      <c r="F2783" s="188" t="n">
        <v>2042</v>
      </c>
      <c r="G2783" s="189" t="n">
        <v>51</v>
      </c>
      <c r="H2783" s="190" t="n">
        <v>10598.8352598378</v>
      </c>
      <c r="I2783" s="191" t="n">
        <v>4199704.11517982</v>
      </c>
      <c r="J2783" s="192" t="str">
        <f>IF(I2783&gt;0,H2783/I2783,0)</f>
      </c>
      <c r="K2783" s="193" t="str">
        <f>1-EXP(-J2783)</f>
      </c>
      <c r="L2783" s="194" t="str">
        <f>IF(G2783=30,1,M2782)</f>
      </c>
      <c r="M2783" s="195" t="str">
        <f>L2783*(1-K2783)</f>
      </c>
    </row>
    <row r="2784">
      <c r="A2784" t="s">
        <v>167</v>
      </c>
      <c r="B2784" t="s">
        <v>250</v>
      </c>
      <c r="C2784" s="35" t="s">
        <v>252</v>
      </c>
      <c r="D2784" t="s">
        <v>502</v>
      </c>
      <c r="E2784" t="s">
        <v>520</v>
      </c>
      <c r="F2784" s="188" t="n">
        <v>2042</v>
      </c>
      <c r="G2784" s="189" t="n">
        <v>52</v>
      </c>
      <c r="H2784" s="190" t="n">
        <v>15504.9998693418</v>
      </c>
      <c r="I2784" s="191" t="n">
        <v>6176089.98303306</v>
      </c>
      <c r="J2784" s="192" t="str">
        <f>IF(I2784&gt;0,H2784/I2784,0)</f>
      </c>
      <c r="K2784" s="193" t="str">
        <f>1-EXP(-J2784)</f>
      </c>
      <c r="L2784" s="194" t="str">
        <f>IF(G2784=30,1,M2783)</f>
      </c>
      <c r="M2784" s="195" t="str">
        <f>L2784*(1-K2784)</f>
      </c>
    </row>
    <row r="2785">
      <c r="A2785" t="s">
        <v>167</v>
      </c>
      <c r="B2785" t="s">
        <v>250</v>
      </c>
      <c r="C2785" s="35" t="s">
        <v>252</v>
      </c>
      <c r="D2785" t="s">
        <v>502</v>
      </c>
      <c r="E2785" t="s">
        <v>520</v>
      </c>
      <c r="F2785" s="188" t="n">
        <v>2042</v>
      </c>
      <c r="G2785" s="189" t="n">
        <v>53</v>
      </c>
      <c r="H2785" s="190" t="n">
        <v>12425.2370101717</v>
      </c>
      <c r="I2785" s="191" t="n">
        <v>4127081.53788896</v>
      </c>
      <c r="J2785" s="192" t="str">
        <f>IF(I2785&gt;0,H2785/I2785,0)</f>
      </c>
      <c r="K2785" s="193" t="str">
        <f>1-EXP(-J2785)</f>
      </c>
      <c r="L2785" s="194" t="str">
        <f>IF(G2785=30,1,M2784)</f>
      </c>
      <c r="M2785" s="195" t="str">
        <f>L2785*(1-K2785)</f>
      </c>
    </row>
    <row r="2786">
      <c r="A2786" t="s">
        <v>167</v>
      </c>
      <c r="B2786" t="s">
        <v>250</v>
      </c>
      <c r="C2786" s="35" t="s">
        <v>252</v>
      </c>
      <c r="D2786" t="s">
        <v>502</v>
      </c>
      <c r="E2786" t="s">
        <v>520</v>
      </c>
      <c r="F2786" s="188" t="n">
        <v>2042</v>
      </c>
      <c r="G2786" s="189" t="n">
        <v>54</v>
      </c>
      <c r="H2786" s="190" t="n">
        <v>13431.9362678131</v>
      </c>
      <c r="I2786" s="191" t="n">
        <v>4092359.70035054</v>
      </c>
      <c r="J2786" s="192" t="str">
        <f>IF(I2786&gt;0,H2786/I2786,0)</f>
      </c>
      <c r="K2786" s="193" t="str">
        <f>1-EXP(-J2786)</f>
      </c>
      <c r="L2786" s="194" t="str">
        <f>IF(G2786=30,1,M2785)</f>
      </c>
      <c r="M2786" s="195" t="str">
        <f>L2786*(1-K2786)</f>
      </c>
    </row>
    <row r="2787">
      <c r="A2787" t="s">
        <v>167</v>
      </c>
      <c r="B2787" t="s">
        <v>250</v>
      </c>
      <c r="C2787" s="35" t="s">
        <v>252</v>
      </c>
      <c r="D2787" t="s">
        <v>502</v>
      </c>
      <c r="E2787" t="s">
        <v>520</v>
      </c>
      <c r="F2787" s="188" t="n">
        <v>2042</v>
      </c>
      <c r="G2787" s="189" t="n">
        <v>55</v>
      </c>
      <c r="H2787" s="190" t="n">
        <v>13970.9503246546</v>
      </c>
      <c r="I2787" s="191" t="n">
        <v>3947045.55370905</v>
      </c>
      <c r="J2787" s="192" t="str">
        <f>IF(I2787&gt;0,H2787/I2787,0)</f>
      </c>
      <c r="K2787" s="193" t="str">
        <f>1-EXP(-J2787)</f>
      </c>
      <c r="L2787" s="194" t="str">
        <f>IF(G2787=30,1,M2786)</f>
      </c>
      <c r="M2787" s="195" t="str">
        <f>L2787*(1-K2787)</f>
      </c>
    </row>
    <row r="2788">
      <c r="A2788" t="s">
        <v>167</v>
      </c>
      <c r="B2788" t="s">
        <v>250</v>
      </c>
      <c r="C2788" s="35" t="s">
        <v>252</v>
      </c>
      <c r="D2788" t="s">
        <v>502</v>
      </c>
      <c r="E2788" t="s">
        <v>520</v>
      </c>
      <c r="F2788" s="188" t="n">
        <v>2042</v>
      </c>
      <c r="G2788" s="189" t="n">
        <v>56</v>
      </c>
      <c r="H2788" s="190" t="n">
        <v>14994.694850331</v>
      </c>
      <c r="I2788" s="191" t="n">
        <v>3892766.6225748</v>
      </c>
      <c r="J2788" s="192" t="str">
        <f>IF(I2788&gt;0,H2788/I2788,0)</f>
      </c>
      <c r="K2788" s="193" t="str">
        <f>1-EXP(-J2788)</f>
      </c>
      <c r="L2788" s="194" t="str">
        <f>IF(G2788=30,1,M2787)</f>
      </c>
      <c r="M2788" s="195" t="str">
        <f>L2788*(1-K2788)</f>
      </c>
    </row>
    <row r="2789">
      <c r="A2789" t="s">
        <v>167</v>
      </c>
      <c r="B2789" t="s">
        <v>250</v>
      </c>
      <c r="C2789" s="35" t="s">
        <v>252</v>
      </c>
      <c r="D2789" t="s">
        <v>502</v>
      </c>
      <c r="E2789" t="s">
        <v>520</v>
      </c>
      <c r="F2789" s="188" t="n">
        <v>2042</v>
      </c>
      <c r="G2789" s="189" t="n">
        <v>57</v>
      </c>
      <c r="H2789" s="190" t="n">
        <v>16494.0719922221</v>
      </c>
      <c r="I2789" s="191" t="n">
        <v>3924316.64460321</v>
      </c>
      <c r="J2789" s="192" t="str">
        <f>IF(I2789&gt;0,H2789/I2789,0)</f>
      </c>
      <c r="K2789" s="193" t="str">
        <f>1-EXP(-J2789)</f>
      </c>
      <c r="L2789" s="194" t="str">
        <f>IF(G2789=30,1,M2788)</f>
      </c>
      <c r="M2789" s="195" t="str">
        <f>L2789*(1-K2789)</f>
      </c>
    </row>
    <row r="2790">
      <c r="A2790" t="s">
        <v>167</v>
      </c>
      <c r="B2790" t="s">
        <v>250</v>
      </c>
      <c r="C2790" s="35" t="s">
        <v>252</v>
      </c>
      <c r="D2790" t="s">
        <v>502</v>
      </c>
      <c r="E2790" t="s">
        <v>520</v>
      </c>
      <c r="F2790" s="188" t="n">
        <v>2042</v>
      </c>
      <c r="G2790" s="189" t="n">
        <v>58</v>
      </c>
      <c r="H2790" s="190" t="n">
        <v>18261.3009727435</v>
      </c>
      <c r="I2790" s="191" t="n">
        <v>3976366.94673882</v>
      </c>
      <c r="J2790" s="192" t="str">
        <f>IF(I2790&gt;0,H2790/I2790,0)</f>
      </c>
      <c r="K2790" s="193" t="str">
        <f>1-EXP(-J2790)</f>
      </c>
      <c r="L2790" s="194" t="str">
        <f>IF(G2790=30,1,M2789)</f>
      </c>
      <c r="M2790" s="195" t="str">
        <f>L2790*(1-K2790)</f>
      </c>
    </row>
    <row r="2791">
      <c r="A2791" t="s">
        <v>167</v>
      </c>
      <c r="B2791" t="s">
        <v>250</v>
      </c>
      <c r="C2791" s="35" t="s">
        <v>252</v>
      </c>
      <c r="D2791" t="s">
        <v>502</v>
      </c>
      <c r="E2791" t="s">
        <v>520</v>
      </c>
      <c r="F2791" s="188" t="n">
        <v>2042</v>
      </c>
      <c r="G2791" s="189" t="n">
        <v>59</v>
      </c>
      <c r="H2791" s="190" t="n">
        <v>19722.3225182631</v>
      </c>
      <c r="I2791" s="191" t="n">
        <v>3925023.69361529</v>
      </c>
      <c r="J2791" s="192" t="str">
        <f>IF(I2791&gt;0,H2791/I2791,0)</f>
      </c>
      <c r="K2791" s="193" t="str">
        <f>1-EXP(-J2791)</f>
      </c>
      <c r="L2791" s="194" t="str">
        <f>IF(G2791=30,1,M2790)</f>
      </c>
      <c r="M2791" s="195" t="str">
        <f>L2791*(1-K2791)</f>
      </c>
    </row>
    <row r="2792">
      <c r="A2792" t="s">
        <v>167</v>
      </c>
      <c r="B2792" t="s">
        <v>250</v>
      </c>
      <c r="C2792" s="35" t="s">
        <v>252</v>
      </c>
      <c r="D2792" t="s">
        <v>502</v>
      </c>
      <c r="E2792" t="s">
        <v>520</v>
      </c>
      <c r="F2792" s="188" t="n">
        <v>2042</v>
      </c>
      <c r="G2792" s="189" t="n">
        <v>60</v>
      </c>
      <c r="H2792" s="190" t="n">
        <v>20622.9567482965</v>
      </c>
      <c r="I2792" s="191" t="n">
        <v>3768870.31118703</v>
      </c>
      <c r="J2792" s="192" t="str">
        <f>IF(I2792&gt;0,H2792/I2792,0)</f>
      </c>
      <c r="K2792" s="193" t="str">
        <f>1-EXP(-J2792)</f>
      </c>
      <c r="L2792" s="194" t="str">
        <f>IF(G2792=30,1,M2791)</f>
      </c>
      <c r="M2792" s="195" t="str">
        <f>L2792*(1-K2792)</f>
      </c>
    </row>
    <row r="2793">
      <c r="A2793" t="s">
        <v>167</v>
      </c>
      <c r="B2793" t="s">
        <v>250</v>
      </c>
      <c r="C2793" s="35" t="s">
        <v>252</v>
      </c>
      <c r="D2793" t="s">
        <v>502</v>
      </c>
      <c r="E2793" t="s">
        <v>520</v>
      </c>
      <c r="F2793" s="188" t="n">
        <v>2042</v>
      </c>
      <c r="G2793" s="189" t="n">
        <v>61</v>
      </c>
      <c r="H2793" s="190" t="n">
        <v>22010.4175246929</v>
      </c>
      <c r="I2793" s="191" t="n">
        <v>3668485.70736789</v>
      </c>
      <c r="J2793" s="192" t="str">
        <f>IF(I2793&gt;0,H2793/I2793,0)</f>
      </c>
      <c r="K2793" s="193" t="str">
        <f>1-EXP(-J2793)</f>
      </c>
      <c r="L2793" s="194" t="str">
        <f>IF(G2793=30,1,M2792)</f>
      </c>
      <c r="M2793" s="195" t="str">
        <f>L2793*(1-K2793)</f>
      </c>
    </row>
    <row r="2794">
      <c r="A2794" t="s">
        <v>167</v>
      </c>
      <c r="B2794" t="s">
        <v>250</v>
      </c>
      <c r="C2794" s="35" t="s">
        <v>252</v>
      </c>
      <c r="D2794" t="s">
        <v>502</v>
      </c>
      <c r="E2794" t="s">
        <v>520</v>
      </c>
      <c r="F2794" s="188" t="n">
        <v>2042</v>
      </c>
      <c r="G2794" s="189" t="n">
        <v>62</v>
      </c>
      <c r="H2794" s="190" t="n">
        <v>23564.23849248</v>
      </c>
      <c r="I2794" s="191" t="n">
        <v>3580789.79552898</v>
      </c>
      <c r="J2794" s="192" t="str">
        <f>IF(I2794&gt;0,H2794/I2794,0)</f>
      </c>
      <c r="K2794" s="193" t="str">
        <f>1-EXP(-J2794)</f>
      </c>
      <c r="L2794" s="194" t="str">
        <f>IF(G2794=30,1,M2793)</f>
      </c>
      <c r="M2794" s="195" t="str">
        <f>L2794*(1-K2794)</f>
      </c>
    </row>
    <row r="2795">
      <c r="A2795" t="s">
        <v>167</v>
      </c>
      <c r="B2795" t="s">
        <v>250</v>
      </c>
      <c r="C2795" s="35" t="s">
        <v>252</v>
      </c>
      <c r="D2795" t="s">
        <v>502</v>
      </c>
      <c r="E2795" t="s">
        <v>520</v>
      </c>
      <c r="F2795" s="188" t="n">
        <v>2042</v>
      </c>
      <c r="G2795" s="189" t="n">
        <v>63</v>
      </c>
      <c r="H2795" s="190" t="n">
        <v>25167.1829295394</v>
      </c>
      <c r="I2795" s="191" t="n">
        <v>3486255.35246171</v>
      </c>
      <c r="J2795" s="192" t="str">
        <f>IF(I2795&gt;0,H2795/I2795,0)</f>
      </c>
      <c r="K2795" s="193" t="str">
        <f>1-EXP(-J2795)</f>
      </c>
      <c r="L2795" s="194" t="str">
        <f>IF(G2795=30,1,M2794)</f>
      </c>
      <c r="M2795" s="195" t="str">
        <f>L2795*(1-K2795)</f>
      </c>
    </row>
    <row r="2796">
      <c r="A2796" t="s">
        <v>167</v>
      </c>
      <c r="B2796" t="s">
        <v>250</v>
      </c>
      <c r="C2796" s="35" t="s">
        <v>252</v>
      </c>
      <c r="D2796" t="s">
        <v>502</v>
      </c>
      <c r="E2796" t="s">
        <v>520</v>
      </c>
      <c r="F2796" s="188" t="n">
        <v>2042</v>
      </c>
      <c r="G2796" s="189" t="n">
        <v>64</v>
      </c>
      <c r="H2796" s="190" t="n">
        <v>26706.1805086373</v>
      </c>
      <c r="I2796" s="191" t="n">
        <v>3372718.94389838</v>
      </c>
      <c r="J2796" s="192" t="str">
        <f>IF(I2796&gt;0,H2796/I2796,0)</f>
      </c>
      <c r="K2796" s="193" t="str">
        <f>1-EXP(-J2796)</f>
      </c>
      <c r="L2796" s="194" t="str">
        <f>IF(G2796=30,1,M2795)</f>
      </c>
      <c r="M2796" s="195" t="str">
        <f>L2796*(1-K2796)</f>
      </c>
    </row>
    <row r="2797">
      <c r="A2797" t="s">
        <v>167</v>
      </c>
      <c r="B2797" t="s">
        <v>250</v>
      </c>
      <c r="C2797" s="35" t="s">
        <v>252</v>
      </c>
      <c r="D2797" t="s">
        <v>502</v>
      </c>
      <c r="E2797" t="s">
        <v>520</v>
      </c>
      <c r="F2797" s="188" t="n">
        <v>2042</v>
      </c>
      <c r="G2797" s="189" t="n">
        <v>65</v>
      </c>
      <c r="H2797" s="190" t="n">
        <v>27208.4928249421</v>
      </c>
      <c r="I2797" s="191" t="n">
        <v>3271731.72422659</v>
      </c>
      <c r="J2797" s="192" t="str">
        <f>IF(I2797&gt;0,H2797/I2797,0)</f>
      </c>
      <c r="K2797" s="193" t="str">
        <f>1-EXP(-J2797)</f>
      </c>
      <c r="L2797" s="194" t="str">
        <f>IF(G2797=30,1,M2796)</f>
      </c>
      <c r="M2797" s="195" t="str">
        <f>L2797*(1-K2797)</f>
      </c>
    </row>
    <row r="2798">
      <c r="A2798" t="s">
        <v>167</v>
      </c>
      <c r="B2798" t="s">
        <v>250</v>
      </c>
      <c r="C2798" s="35" t="s">
        <v>252</v>
      </c>
      <c r="D2798" t="s">
        <v>502</v>
      </c>
      <c r="E2798" t="s">
        <v>520</v>
      </c>
      <c r="F2798" s="188" t="n">
        <v>2042</v>
      </c>
      <c r="G2798" s="189" t="n">
        <v>66</v>
      </c>
      <c r="H2798" s="190" t="n">
        <v>28822.1439961243</v>
      </c>
      <c r="I2798" s="191" t="n">
        <v>3159766.26020323</v>
      </c>
      <c r="J2798" s="192" t="str">
        <f>IF(I2798&gt;0,H2798/I2798,0)</f>
      </c>
      <c r="K2798" s="193" t="str">
        <f>1-EXP(-J2798)</f>
      </c>
      <c r="L2798" s="194" t="str">
        <f>IF(G2798=30,1,M2797)</f>
      </c>
      <c r="M2798" s="195" t="str">
        <f>L2798*(1-K2798)</f>
      </c>
    </row>
    <row r="2799">
      <c r="A2799" t="s">
        <v>167</v>
      </c>
      <c r="B2799" t="s">
        <v>250</v>
      </c>
      <c r="C2799" s="35" t="s">
        <v>252</v>
      </c>
      <c r="D2799" t="s">
        <v>502</v>
      </c>
      <c r="E2799" t="s">
        <v>520</v>
      </c>
      <c r="F2799" s="188" t="n">
        <v>2042</v>
      </c>
      <c r="G2799" s="189" t="n">
        <v>67</v>
      </c>
      <c r="H2799" s="190" t="n">
        <v>30491.2177265198</v>
      </c>
      <c r="I2799" s="191" t="n">
        <v>3044820.7280026</v>
      </c>
      <c r="J2799" s="192" t="str">
        <f>IF(I2799&gt;0,H2799/I2799,0)</f>
      </c>
      <c r="K2799" s="193" t="str">
        <f>1-EXP(-J2799)</f>
      </c>
      <c r="L2799" s="194" t="str">
        <f>IF(G2799=30,1,M2798)</f>
      </c>
      <c r="M2799" s="195" t="str">
        <f>L2799*(1-K2799)</f>
      </c>
    </row>
    <row r="2800">
      <c r="A2800" t="s">
        <v>167</v>
      </c>
      <c r="B2800" t="s">
        <v>250</v>
      </c>
      <c r="C2800" s="35" t="s">
        <v>252</v>
      </c>
      <c r="D2800" t="s">
        <v>502</v>
      </c>
      <c r="E2800" t="s">
        <v>520</v>
      </c>
      <c r="F2800" s="188" t="n">
        <v>2042</v>
      </c>
      <c r="G2800" s="189" t="n">
        <v>68</v>
      </c>
      <c r="H2800" s="190" t="n">
        <v>31967.1788125252</v>
      </c>
      <c r="I2800" s="191" t="n">
        <v>2905477.63734431</v>
      </c>
      <c r="J2800" s="192" t="str">
        <f>IF(I2800&gt;0,H2800/I2800,0)</f>
      </c>
      <c r="K2800" s="193" t="str">
        <f>1-EXP(-J2800)</f>
      </c>
      <c r="L2800" s="194" t="str">
        <f>IF(G2800=30,1,M2799)</f>
      </c>
      <c r="M2800" s="195" t="str">
        <f>L2800*(1-K2800)</f>
      </c>
    </row>
    <row r="2801">
      <c r="A2801" t="s">
        <v>167</v>
      </c>
      <c r="B2801" t="s">
        <v>250</v>
      </c>
      <c r="C2801" s="35" t="s">
        <v>252</v>
      </c>
      <c r="D2801" t="s">
        <v>502</v>
      </c>
      <c r="E2801" t="s">
        <v>520</v>
      </c>
      <c r="F2801" s="188" t="n">
        <v>2042</v>
      </c>
      <c r="G2801" s="189" t="n">
        <v>69</v>
      </c>
      <c r="H2801" s="190" t="n">
        <v>34040.5157864544</v>
      </c>
      <c r="I2801" s="191" t="n">
        <v>2813528.24983969</v>
      </c>
      <c r="J2801" s="192" t="str">
        <f>IF(I2801&gt;0,H2801/I2801,0)</f>
      </c>
      <c r="K2801" s="193" t="str">
        <f>1-EXP(-J2801)</f>
      </c>
      <c r="L2801" s="194" t="str">
        <f>IF(G2801=30,1,M2800)</f>
      </c>
      <c r="M2801" s="195" t="str">
        <f>L2801*(1-K2801)</f>
      </c>
    </row>
    <row r="2802">
      <c r="A2802" t="s">
        <v>167</v>
      </c>
      <c r="B2802" t="s">
        <v>250</v>
      </c>
      <c r="C2802" s="35" t="s">
        <v>252</v>
      </c>
      <c r="D2802" t="s">
        <v>502</v>
      </c>
      <c r="E2802" t="s">
        <v>520</v>
      </c>
      <c r="F2802" s="188" t="n">
        <v>2043</v>
      </c>
      <c r="G2802" s="189" t="n">
        <v>30</v>
      </c>
      <c r="H2802" s="190" t="n">
        <v>750.071968335988</v>
      </c>
      <c r="I2802" s="191" t="n">
        <v>4787856.08051847</v>
      </c>
      <c r="J2802" s="192" t="str">
        <f>IF(I2802&gt;0,H2802/I2802,0)</f>
      </c>
      <c r="K2802" s="193" t="str">
        <f>1-EXP(-J2802)</f>
      </c>
      <c r="L2802" s="194" t="str">
        <f>IF(G2802=30,1,M2801)</f>
      </c>
      <c r="M2802" s="195" t="str">
        <f>L2802*(1-K2802)</f>
      </c>
    </row>
    <row r="2803">
      <c r="A2803" t="s">
        <v>167</v>
      </c>
      <c r="B2803" t="s">
        <v>250</v>
      </c>
      <c r="C2803" s="35" t="s">
        <v>252</v>
      </c>
      <c r="D2803" t="s">
        <v>502</v>
      </c>
      <c r="E2803" t="s">
        <v>520</v>
      </c>
      <c r="F2803" s="188" t="n">
        <v>2043</v>
      </c>
      <c r="G2803" s="189" t="n">
        <v>31</v>
      </c>
      <c r="H2803" s="190" t="n">
        <v>1057.26736688644</v>
      </c>
      <c r="I2803" s="191" t="n">
        <v>4900863.89936221</v>
      </c>
      <c r="J2803" s="192" t="str">
        <f>IF(I2803&gt;0,H2803/I2803,0)</f>
      </c>
      <c r="K2803" s="193" t="str">
        <f>1-EXP(-J2803)</f>
      </c>
      <c r="L2803" s="194" t="str">
        <f>IF(G2803=30,1,M2802)</f>
      </c>
      <c r="M2803" s="195" t="str">
        <f>L2803*(1-K2803)</f>
      </c>
    </row>
    <row r="2804">
      <c r="A2804" t="s">
        <v>167</v>
      </c>
      <c r="B2804" t="s">
        <v>250</v>
      </c>
      <c r="C2804" s="35" t="s">
        <v>252</v>
      </c>
      <c r="D2804" t="s">
        <v>502</v>
      </c>
      <c r="E2804" t="s">
        <v>520</v>
      </c>
      <c r="F2804" s="188" t="n">
        <v>2043</v>
      </c>
      <c r="G2804" s="189" t="n">
        <v>32</v>
      </c>
      <c r="H2804" s="190" t="n">
        <v>1106.79331934627</v>
      </c>
      <c r="I2804" s="191" t="n">
        <v>4872843.05853195</v>
      </c>
      <c r="J2804" s="192" t="str">
        <f>IF(I2804&gt;0,H2804/I2804,0)</f>
      </c>
      <c r="K2804" s="193" t="str">
        <f>1-EXP(-J2804)</f>
      </c>
      <c r="L2804" s="194" t="str">
        <f>IF(G2804=30,1,M2803)</f>
      </c>
      <c r="M2804" s="195" t="str">
        <f>L2804*(1-K2804)</f>
      </c>
    </row>
    <row r="2805">
      <c r="A2805" t="s">
        <v>167</v>
      </c>
      <c r="B2805" t="s">
        <v>250</v>
      </c>
      <c r="C2805" s="35" t="s">
        <v>252</v>
      </c>
      <c r="D2805" t="s">
        <v>502</v>
      </c>
      <c r="E2805" t="s">
        <v>520</v>
      </c>
      <c r="F2805" s="188" t="n">
        <v>2043</v>
      </c>
      <c r="G2805" s="189" t="n">
        <v>33</v>
      </c>
      <c r="H2805" s="190" t="n">
        <v>1139.77456449539</v>
      </c>
      <c r="I2805" s="191" t="n">
        <v>4739037.08484719</v>
      </c>
      <c r="J2805" s="192" t="str">
        <f>IF(I2805&gt;0,H2805/I2805,0)</f>
      </c>
      <c r="K2805" s="193" t="str">
        <f>1-EXP(-J2805)</f>
      </c>
      <c r="L2805" s="194" t="str">
        <f>IF(G2805=30,1,M2804)</f>
      </c>
      <c r="M2805" s="195" t="str">
        <f>L2805*(1-K2805)</f>
      </c>
    </row>
    <row r="2806">
      <c r="A2806" t="s">
        <v>167</v>
      </c>
      <c r="B2806" t="s">
        <v>250</v>
      </c>
      <c r="C2806" s="35" t="s">
        <v>252</v>
      </c>
      <c r="D2806" t="s">
        <v>502</v>
      </c>
      <c r="E2806" t="s">
        <v>520</v>
      </c>
      <c r="F2806" s="188" t="n">
        <v>2043</v>
      </c>
      <c r="G2806" s="189" t="n">
        <v>34</v>
      </c>
      <c r="H2806" s="190" t="n">
        <v>1196.09283083909</v>
      </c>
      <c r="I2806" s="191" t="n">
        <v>4668015.4069797</v>
      </c>
      <c r="J2806" s="192" t="str">
        <f>IF(I2806&gt;0,H2806/I2806,0)</f>
      </c>
      <c r="K2806" s="193" t="str">
        <f>1-EXP(-J2806)</f>
      </c>
      <c r="L2806" s="194" t="str">
        <f>IF(G2806=30,1,M2805)</f>
      </c>
      <c r="M2806" s="195" t="str">
        <f>L2806*(1-K2806)</f>
      </c>
    </row>
    <row r="2807">
      <c r="A2807" t="s">
        <v>167</v>
      </c>
      <c r="B2807" t="s">
        <v>250</v>
      </c>
      <c r="C2807" s="35" t="s">
        <v>252</v>
      </c>
      <c r="D2807" t="s">
        <v>502</v>
      </c>
      <c r="E2807" t="s">
        <v>520</v>
      </c>
      <c r="F2807" s="188" t="n">
        <v>2043</v>
      </c>
      <c r="G2807" s="189" t="n">
        <v>35</v>
      </c>
      <c r="H2807" s="190" t="n">
        <v>1562.430225769</v>
      </c>
      <c r="I2807" s="191" t="n">
        <v>4624862.82213443</v>
      </c>
      <c r="J2807" s="192" t="str">
        <f>IF(I2807&gt;0,H2807/I2807,0)</f>
      </c>
      <c r="K2807" s="193" t="str">
        <f>1-EXP(-J2807)</f>
      </c>
      <c r="L2807" s="194" t="str">
        <f>IF(G2807=30,1,M2806)</f>
      </c>
      <c r="M2807" s="195" t="str">
        <f>L2807*(1-K2807)</f>
      </c>
    </row>
    <row r="2808">
      <c r="A2808" t="s">
        <v>167</v>
      </c>
      <c r="B2808" t="s">
        <v>250</v>
      </c>
      <c r="C2808" s="35" t="s">
        <v>252</v>
      </c>
      <c r="D2808" t="s">
        <v>502</v>
      </c>
      <c r="E2808" t="s">
        <v>520</v>
      </c>
      <c r="F2808" s="188" t="n">
        <v>2043</v>
      </c>
      <c r="G2808" s="189" t="n">
        <v>36</v>
      </c>
      <c r="H2808" s="190" t="n">
        <v>1901.09495422413</v>
      </c>
      <c r="I2808" s="191" t="n">
        <v>4649365.33046369</v>
      </c>
      <c r="J2808" s="192" t="str">
        <f>IF(I2808&gt;0,H2808/I2808,0)</f>
      </c>
      <c r="K2808" s="193" t="str">
        <f>1-EXP(-J2808)</f>
      </c>
      <c r="L2808" s="194" t="str">
        <f>IF(G2808=30,1,M2807)</f>
      </c>
      <c r="M2808" s="195" t="str">
        <f>L2808*(1-K2808)</f>
      </c>
    </row>
    <row r="2809">
      <c r="A2809" t="s">
        <v>167</v>
      </c>
      <c r="B2809" t="s">
        <v>250</v>
      </c>
      <c r="C2809" s="35" t="s">
        <v>252</v>
      </c>
      <c r="D2809" t="s">
        <v>502</v>
      </c>
      <c r="E2809" t="s">
        <v>520</v>
      </c>
      <c r="F2809" s="188" t="n">
        <v>2043</v>
      </c>
      <c r="G2809" s="189" t="n">
        <v>37</v>
      </c>
      <c r="H2809" s="190" t="n">
        <v>2006.22577094082</v>
      </c>
      <c r="I2809" s="191" t="n">
        <v>4565381.53326617</v>
      </c>
      <c r="J2809" s="192" t="str">
        <f>IF(I2809&gt;0,H2809/I2809,0)</f>
      </c>
      <c r="K2809" s="193" t="str">
        <f>1-EXP(-J2809)</f>
      </c>
      <c r="L2809" s="194" t="str">
        <f>IF(G2809=30,1,M2808)</f>
      </c>
      <c r="M2809" s="195" t="str">
        <f>L2809*(1-K2809)</f>
      </c>
    </row>
    <row r="2810">
      <c r="A2810" t="s">
        <v>167</v>
      </c>
      <c r="B2810" t="s">
        <v>250</v>
      </c>
      <c r="C2810" s="35" t="s">
        <v>252</v>
      </c>
      <c r="D2810" t="s">
        <v>502</v>
      </c>
      <c r="E2810" t="s">
        <v>520</v>
      </c>
      <c r="F2810" s="188" t="n">
        <v>2043</v>
      </c>
      <c r="G2810" s="189" t="n">
        <v>38</v>
      </c>
      <c r="H2810" s="190" t="n">
        <v>2133.6482161495</v>
      </c>
      <c r="I2810" s="191" t="n">
        <v>4502932.54129636</v>
      </c>
      <c r="J2810" s="192" t="str">
        <f>IF(I2810&gt;0,H2810/I2810,0)</f>
      </c>
      <c r="K2810" s="193" t="str">
        <f>1-EXP(-J2810)</f>
      </c>
      <c r="L2810" s="194" t="str">
        <f>IF(G2810=30,1,M2809)</f>
      </c>
      <c r="M2810" s="195" t="str">
        <f>L2810*(1-K2810)</f>
      </c>
    </row>
    <row r="2811">
      <c r="A2811" t="s">
        <v>167</v>
      </c>
      <c r="B2811" t="s">
        <v>250</v>
      </c>
      <c r="C2811" s="35" t="s">
        <v>252</v>
      </c>
      <c r="D2811" t="s">
        <v>502</v>
      </c>
      <c r="E2811" t="s">
        <v>520</v>
      </c>
      <c r="F2811" s="188" t="n">
        <v>2043</v>
      </c>
      <c r="G2811" s="189" t="n">
        <v>39</v>
      </c>
      <c r="H2811" s="190" t="n">
        <v>2240.68869214986</v>
      </c>
      <c r="I2811" s="191" t="n">
        <v>4373078.56011493</v>
      </c>
      <c r="J2811" s="192" t="str">
        <f>IF(I2811&gt;0,H2811/I2811,0)</f>
      </c>
      <c r="K2811" s="193" t="str">
        <f>1-EXP(-J2811)</f>
      </c>
      <c r="L2811" s="194" t="str">
        <f>IF(G2811=30,1,M2810)</f>
      </c>
      <c r="M2811" s="195" t="str">
        <f>L2811*(1-K2811)</f>
      </c>
    </row>
    <row r="2812">
      <c r="A2812" t="s">
        <v>167</v>
      </c>
      <c r="B2812" t="s">
        <v>250</v>
      </c>
      <c r="C2812" s="35" t="s">
        <v>252</v>
      </c>
      <c r="D2812" t="s">
        <v>502</v>
      </c>
      <c r="E2812" t="s">
        <v>520</v>
      </c>
      <c r="F2812" s="188" t="n">
        <v>2043</v>
      </c>
      <c r="G2812" s="189" t="n">
        <v>40</v>
      </c>
      <c r="H2812" s="190" t="n">
        <v>2968.48808650115</v>
      </c>
      <c r="I2812" s="191" t="n">
        <v>4305444.92873307</v>
      </c>
      <c r="J2812" s="192" t="str">
        <f>IF(I2812&gt;0,H2812/I2812,0)</f>
      </c>
      <c r="K2812" s="193" t="str">
        <f>1-EXP(-J2812)</f>
      </c>
      <c r="L2812" s="194" t="str">
        <f>IF(G2812=30,1,M2811)</f>
      </c>
      <c r="M2812" s="195" t="str">
        <f>L2812*(1-K2812)</f>
      </c>
    </row>
    <row r="2813">
      <c r="A2813" t="s">
        <v>167</v>
      </c>
      <c r="B2813" t="s">
        <v>250</v>
      </c>
      <c r="C2813" s="35" t="s">
        <v>252</v>
      </c>
      <c r="D2813" t="s">
        <v>502</v>
      </c>
      <c r="E2813" t="s">
        <v>520</v>
      </c>
      <c r="F2813" s="188" t="n">
        <v>2043</v>
      </c>
      <c r="G2813" s="189" t="n">
        <v>41</v>
      </c>
      <c r="H2813" s="190" t="n">
        <v>3466.00977659858</v>
      </c>
      <c r="I2813" s="191" t="n">
        <v>4278873.69962138</v>
      </c>
      <c r="J2813" s="192" t="str">
        <f>IF(I2813&gt;0,H2813/I2813,0)</f>
      </c>
      <c r="K2813" s="193" t="str">
        <f>1-EXP(-J2813)</f>
      </c>
      <c r="L2813" s="194" t="str">
        <f>IF(G2813=30,1,M2812)</f>
      </c>
      <c r="M2813" s="195" t="str">
        <f>L2813*(1-K2813)</f>
      </c>
    </row>
    <row r="2814">
      <c r="A2814" t="s">
        <v>167</v>
      </c>
      <c r="B2814" t="s">
        <v>250</v>
      </c>
      <c r="C2814" s="35" t="s">
        <v>252</v>
      </c>
      <c r="D2814" t="s">
        <v>502</v>
      </c>
      <c r="E2814" t="s">
        <v>520</v>
      </c>
      <c r="F2814" s="188" t="n">
        <v>2043</v>
      </c>
      <c r="G2814" s="189" t="n">
        <v>42</v>
      </c>
      <c r="H2814" s="190" t="n">
        <v>3738.54640228238</v>
      </c>
      <c r="I2814" s="191" t="n">
        <v>4254999.95436198</v>
      </c>
      <c r="J2814" s="192" t="str">
        <f>IF(I2814&gt;0,H2814/I2814,0)</f>
      </c>
      <c r="K2814" s="193" t="str">
        <f>1-EXP(-J2814)</f>
      </c>
      <c r="L2814" s="194" t="str">
        <f>IF(G2814=30,1,M2813)</f>
      </c>
      <c r="M2814" s="195" t="str">
        <f>L2814*(1-K2814)</f>
      </c>
    </row>
    <row r="2815">
      <c r="A2815" t="s">
        <v>167</v>
      </c>
      <c r="B2815" t="s">
        <v>250</v>
      </c>
      <c r="C2815" s="35" t="s">
        <v>252</v>
      </c>
      <c r="D2815" t="s">
        <v>502</v>
      </c>
      <c r="E2815" t="s">
        <v>520</v>
      </c>
      <c r="F2815" s="188" t="n">
        <v>2043</v>
      </c>
      <c r="G2815" s="189" t="n">
        <v>43</v>
      </c>
      <c r="H2815" s="190" t="n">
        <v>4042.27248627046</v>
      </c>
      <c r="I2815" s="191" t="n">
        <v>4230339.43828921</v>
      </c>
      <c r="J2815" s="192" t="str">
        <f>IF(I2815&gt;0,H2815/I2815,0)</f>
      </c>
      <c r="K2815" s="193" t="str">
        <f>1-EXP(-J2815)</f>
      </c>
      <c r="L2815" s="194" t="str">
        <f>IF(G2815=30,1,M2814)</f>
      </c>
      <c r="M2815" s="195" t="str">
        <f>L2815*(1-K2815)</f>
      </c>
    </row>
    <row r="2816">
      <c r="A2816" t="s">
        <v>167</v>
      </c>
      <c r="B2816" t="s">
        <v>250</v>
      </c>
      <c r="C2816" s="35" t="s">
        <v>252</v>
      </c>
      <c r="D2816" t="s">
        <v>502</v>
      </c>
      <c r="E2816" t="s">
        <v>520</v>
      </c>
      <c r="F2816" s="188" t="n">
        <v>2043</v>
      </c>
      <c r="G2816" s="189" t="n">
        <v>44</v>
      </c>
      <c r="H2816" s="190" t="n">
        <v>4420.89962664023</v>
      </c>
      <c r="I2816" s="191" t="n">
        <v>4244044.99289376</v>
      </c>
      <c r="J2816" s="192" t="str">
        <f>IF(I2816&gt;0,H2816/I2816,0)</f>
      </c>
      <c r="K2816" s="193" t="str">
        <f>1-EXP(-J2816)</f>
      </c>
      <c r="L2816" s="194" t="str">
        <f>IF(G2816=30,1,M2815)</f>
      </c>
      <c r="M2816" s="195" t="str">
        <f>L2816*(1-K2816)</f>
      </c>
    </row>
    <row r="2817">
      <c r="A2817" t="s">
        <v>167</v>
      </c>
      <c r="B2817" t="s">
        <v>250</v>
      </c>
      <c r="C2817" s="35" t="s">
        <v>252</v>
      </c>
      <c r="D2817" t="s">
        <v>502</v>
      </c>
      <c r="E2817" t="s">
        <v>520</v>
      </c>
      <c r="F2817" s="188" t="n">
        <v>2043</v>
      </c>
      <c r="G2817" s="189" t="n">
        <v>45</v>
      </c>
      <c r="H2817" s="190" t="n">
        <v>5751.24050118426</v>
      </c>
      <c r="I2817" s="191" t="n">
        <v>4295323.7249077</v>
      </c>
      <c r="J2817" s="192" t="str">
        <f>IF(I2817&gt;0,H2817/I2817,0)</f>
      </c>
      <c r="K2817" s="193" t="str">
        <f>1-EXP(-J2817)</f>
      </c>
      <c r="L2817" s="194" t="str">
        <f>IF(G2817=30,1,M2816)</f>
      </c>
      <c r="M2817" s="195" t="str">
        <f>L2817*(1-K2817)</f>
      </c>
    </row>
    <row r="2818">
      <c r="A2818" t="s">
        <v>167</v>
      </c>
      <c r="B2818" t="s">
        <v>250</v>
      </c>
      <c r="C2818" s="35" t="s">
        <v>252</v>
      </c>
      <c r="D2818" t="s">
        <v>502</v>
      </c>
      <c r="E2818" t="s">
        <v>520</v>
      </c>
      <c r="F2818" s="188" t="n">
        <v>2043</v>
      </c>
      <c r="G2818" s="189" t="n">
        <v>46</v>
      </c>
      <c r="H2818" s="190" t="n">
        <v>6729.25063494439</v>
      </c>
      <c r="I2818" s="191" t="n">
        <v>4419790.8114835</v>
      </c>
      <c r="J2818" s="192" t="str">
        <f>IF(I2818&gt;0,H2818/I2818,0)</f>
      </c>
      <c r="K2818" s="193" t="str">
        <f>1-EXP(-J2818)</f>
      </c>
      <c r="L2818" s="194" t="str">
        <f>IF(G2818=30,1,M2817)</f>
      </c>
      <c r="M2818" s="195" t="str">
        <f>L2818*(1-K2818)</f>
      </c>
    </row>
    <row r="2819">
      <c r="A2819" t="s">
        <v>167</v>
      </c>
      <c r="B2819" t="s">
        <v>250</v>
      </c>
      <c r="C2819" s="35" t="s">
        <v>252</v>
      </c>
      <c r="D2819" t="s">
        <v>502</v>
      </c>
      <c r="E2819" t="s">
        <v>520</v>
      </c>
      <c r="F2819" s="188" t="n">
        <v>2043</v>
      </c>
      <c r="G2819" s="189" t="n">
        <v>47</v>
      </c>
      <c r="H2819" s="190" t="n">
        <v>7278.6111783252</v>
      </c>
      <c r="I2819" s="191" t="n">
        <v>4368350.74417488</v>
      </c>
      <c r="J2819" s="192" t="str">
        <f>IF(I2819&gt;0,H2819/I2819,0)</f>
      </c>
      <c r="K2819" s="193" t="str">
        <f>1-EXP(-J2819)</f>
      </c>
      <c r="L2819" s="194" t="str">
        <f>IF(G2819=30,1,M2818)</f>
      </c>
      <c r="M2819" s="195" t="str">
        <f>L2819*(1-K2819)</f>
      </c>
    </row>
    <row r="2820">
      <c r="A2820" t="s">
        <v>167</v>
      </c>
      <c r="B2820" t="s">
        <v>250</v>
      </c>
      <c r="C2820" s="35" t="s">
        <v>252</v>
      </c>
      <c r="D2820" t="s">
        <v>502</v>
      </c>
      <c r="E2820" t="s">
        <v>520</v>
      </c>
      <c r="F2820" s="188" t="n">
        <v>2043</v>
      </c>
      <c r="G2820" s="189" t="n">
        <v>48</v>
      </c>
      <c r="H2820" s="190" t="n">
        <v>7827.09582846911</v>
      </c>
      <c r="I2820" s="191" t="n">
        <v>4286747.77905452</v>
      </c>
      <c r="J2820" s="192" t="str">
        <f>IF(I2820&gt;0,H2820/I2820,0)</f>
      </c>
      <c r="K2820" s="193" t="str">
        <f>1-EXP(-J2820)</f>
      </c>
      <c r="L2820" s="194" t="str">
        <f>IF(G2820=30,1,M2819)</f>
      </c>
      <c r="M2820" s="195" t="str">
        <f>L2820*(1-K2820)</f>
      </c>
    </row>
    <row r="2821">
      <c r="A2821" t="s">
        <v>167</v>
      </c>
      <c r="B2821" t="s">
        <v>250</v>
      </c>
      <c r="C2821" s="35" t="s">
        <v>252</v>
      </c>
      <c r="D2821" t="s">
        <v>502</v>
      </c>
      <c r="E2821" t="s">
        <v>520</v>
      </c>
      <c r="F2821" s="188" t="n">
        <v>2043</v>
      </c>
      <c r="G2821" s="189" t="n">
        <v>49</v>
      </c>
      <c r="H2821" s="190" t="n">
        <v>8447.97133003089</v>
      </c>
      <c r="I2821" s="191" t="n">
        <v>4219482.11373525</v>
      </c>
      <c r="J2821" s="192" t="str">
        <f>IF(I2821&gt;0,H2821/I2821,0)</f>
      </c>
      <c r="K2821" s="193" t="str">
        <f>1-EXP(-J2821)</f>
      </c>
      <c r="L2821" s="194" t="str">
        <f>IF(G2821=30,1,M2820)</f>
      </c>
      <c r="M2821" s="195" t="str">
        <f>L2821*(1-K2821)</f>
      </c>
    </row>
    <row r="2822">
      <c r="A2822" t="s">
        <v>167</v>
      </c>
      <c r="B2822" t="s">
        <v>250</v>
      </c>
      <c r="C2822" s="35" t="s">
        <v>252</v>
      </c>
      <c r="D2822" t="s">
        <v>502</v>
      </c>
      <c r="E2822" t="s">
        <v>520</v>
      </c>
      <c r="F2822" s="188" t="n">
        <v>2043</v>
      </c>
      <c r="G2822" s="189" t="n">
        <v>50</v>
      </c>
      <c r="H2822" s="190" t="n">
        <v>9528.27926637293</v>
      </c>
      <c r="I2822" s="191" t="n">
        <v>4154676.39078887</v>
      </c>
      <c r="J2822" s="192" t="str">
        <f>IF(I2822&gt;0,H2822/I2822,0)</f>
      </c>
      <c r="K2822" s="193" t="str">
        <f>1-EXP(-J2822)</f>
      </c>
      <c r="L2822" s="194" t="str">
        <f>IF(G2822=30,1,M2821)</f>
      </c>
      <c r="M2822" s="195" t="str">
        <f>L2822*(1-K2822)</f>
      </c>
    </row>
    <row r="2823">
      <c r="A2823" t="s">
        <v>167</v>
      </c>
      <c r="B2823" t="s">
        <v>250</v>
      </c>
      <c r="C2823" s="35" t="s">
        <v>252</v>
      </c>
      <c r="D2823" t="s">
        <v>502</v>
      </c>
      <c r="E2823" t="s">
        <v>520</v>
      </c>
      <c r="F2823" s="188" t="n">
        <v>2043</v>
      </c>
      <c r="G2823" s="189" t="n">
        <v>51</v>
      </c>
      <c r="H2823" s="190" t="n">
        <v>10459.0812791554</v>
      </c>
      <c r="I2823" s="191" t="n">
        <v>4175825.42079322</v>
      </c>
      <c r="J2823" s="192" t="str">
        <f>IF(I2823&gt;0,H2823/I2823,0)</f>
      </c>
      <c r="K2823" s="193" t="str">
        <f>1-EXP(-J2823)</f>
      </c>
      <c r="L2823" s="194" t="str">
        <f>IF(G2823=30,1,M2822)</f>
      </c>
      <c r="M2823" s="195" t="str">
        <f>L2823*(1-K2823)</f>
      </c>
    </row>
    <row r="2824">
      <c r="A2824" t="s">
        <v>167</v>
      </c>
      <c r="B2824" t="s">
        <v>250</v>
      </c>
      <c r="C2824" s="35" t="s">
        <v>252</v>
      </c>
      <c r="D2824" t="s">
        <v>502</v>
      </c>
      <c r="E2824" t="s">
        <v>520</v>
      </c>
      <c r="F2824" s="188" t="n">
        <v>2043</v>
      </c>
      <c r="G2824" s="189" t="n">
        <v>52</v>
      </c>
      <c r="H2824" s="190" t="n">
        <v>11435.4655317713</v>
      </c>
      <c r="I2824" s="191" t="n">
        <v>4176861.873896</v>
      </c>
      <c r="J2824" s="192" t="str">
        <f>IF(I2824&gt;0,H2824/I2824,0)</f>
      </c>
      <c r="K2824" s="193" t="str">
        <f>1-EXP(-J2824)</f>
      </c>
      <c r="L2824" s="194" t="str">
        <f>IF(G2824=30,1,M2823)</f>
      </c>
      <c r="M2824" s="195" t="str">
        <f>L2824*(1-K2824)</f>
      </c>
    </row>
    <row r="2825">
      <c r="A2825" t="s">
        <v>167</v>
      </c>
      <c r="B2825" t="s">
        <v>250</v>
      </c>
      <c r="C2825" s="35" t="s">
        <v>252</v>
      </c>
      <c r="D2825" t="s">
        <v>502</v>
      </c>
      <c r="E2825" t="s">
        <v>520</v>
      </c>
      <c r="F2825" s="188" t="n">
        <v>2043</v>
      </c>
      <c r="G2825" s="189" t="n">
        <v>53</v>
      </c>
      <c r="H2825" s="190" t="n">
        <v>16639.6653596597</v>
      </c>
      <c r="I2825" s="191" t="n">
        <v>6141993.07712745</v>
      </c>
      <c r="J2825" s="192" t="str">
        <f>IF(I2825&gt;0,H2825/I2825,0)</f>
      </c>
      <c r="K2825" s="193" t="str">
        <f>1-EXP(-J2825)</f>
      </c>
      <c r="L2825" s="194" t="str">
        <f>IF(G2825=30,1,M2824)</f>
      </c>
      <c r="M2825" s="195" t="str">
        <f>L2825*(1-K2825)</f>
      </c>
    </row>
    <row r="2826">
      <c r="A2826" t="s">
        <v>167</v>
      </c>
      <c r="B2826" t="s">
        <v>250</v>
      </c>
      <c r="C2826" s="35" t="s">
        <v>252</v>
      </c>
      <c r="D2826" t="s">
        <v>502</v>
      </c>
      <c r="E2826" t="s">
        <v>520</v>
      </c>
      <c r="F2826" s="188" t="n">
        <v>2043</v>
      </c>
      <c r="G2826" s="189" t="n">
        <v>54</v>
      </c>
      <c r="H2826" s="190" t="n">
        <v>13350.5885612396</v>
      </c>
      <c r="I2826" s="191" t="n">
        <v>4100301.91174439</v>
      </c>
      <c r="J2826" s="192" t="str">
        <f>IF(I2826&gt;0,H2826/I2826,0)</f>
      </c>
      <c r="K2826" s="193" t="str">
        <f>1-EXP(-J2826)</f>
      </c>
      <c r="L2826" s="194" t="str">
        <f>IF(G2826=30,1,M2825)</f>
      </c>
      <c r="M2826" s="195" t="str">
        <f>L2826*(1-K2826)</f>
      </c>
    </row>
    <row r="2827">
      <c r="A2827" t="s">
        <v>167</v>
      </c>
      <c r="B2827" t="s">
        <v>250</v>
      </c>
      <c r="C2827" s="35" t="s">
        <v>252</v>
      </c>
      <c r="D2827" t="s">
        <v>502</v>
      </c>
      <c r="E2827" t="s">
        <v>520</v>
      </c>
      <c r="F2827" s="188" t="n">
        <v>2043</v>
      </c>
      <c r="G2827" s="189" t="n">
        <v>55</v>
      </c>
      <c r="H2827" s="190" t="n">
        <v>14237.3449445986</v>
      </c>
      <c r="I2827" s="191" t="n">
        <v>4063411.45410362</v>
      </c>
      <c r="J2827" s="192" t="str">
        <f>IF(I2827&gt;0,H2827/I2827,0)</f>
      </c>
      <c r="K2827" s="193" t="str">
        <f>1-EXP(-J2827)</f>
      </c>
      <c r="L2827" s="194" t="str">
        <f>IF(G2827=30,1,M2826)</f>
      </c>
      <c r="M2827" s="195" t="str">
        <f>L2827*(1-K2827)</f>
      </c>
    </row>
    <row r="2828">
      <c r="A2828" t="s">
        <v>167</v>
      </c>
      <c r="B2828" t="s">
        <v>250</v>
      </c>
      <c r="C2828" s="35" t="s">
        <v>252</v>
      </c>
      <c r="D2828" t="s">
        <v>502</v>
      </c>
      <c r="E2828" t="s">
        <v>520</v>
      </c>
      <c r="F2828" s="188" t="n">
        <v>2043</v>
      </c>
      <c r="G2828" s="189" t="n">
        <v>56</v>
      </c>
      <c r="H2828" s="190" t="n">
        <v>14937.8420223263</v>
      </c>
      <c r="I2828" s="191" t="n">
        <v>3916475.00238028</v>
      </c>
      <c r="J2828" s="192" t="str">
        <f>IF(I2828&gt;0,H2828/I2828,0)</f>
      </c>
      <c r="K2828" s="193" t="str">
        <f>1-EXP(-J2828)</f>
      </c>
      <c r="L2828" s="194" t="str">
        <f>IF(G2828=30,1,M2827)</f>
      </c>
      <c r="M2828" s="195" t="str">
        <f>L2828*(1-K2828)</f>
      </c>
    </row>
    <row r="2829">
      <c r="A2829" t="s">
        <v>167</v>
      </c>
      <c r="B2829" t="s">
        <v>250</v>
      </c>
      <c r="C2829" s="35" t="s">
        <v>252</v>
      </c>
      <c r="D2829" t="s">
        <v>502</v>
      </c>
      <c r="E2829" t="s">
        <v>520</v>
      </c>
      <c r="F2829" s="188" t="n">
        <v>2043</v>
      </c>
      <c r="G2829" s="189" t="n">
        <v>57</v>
      </c>
      <c r="H2829" s="190" t="n">
        <v>16058.6362985162</v>
      </c>
      <c r="I2829" s="191" t="n">
        <v>3860093.06875104</v>
      </c>
      <c r="J2829" s="192" t="str">
        <f>IF(I2829&gt;0,H2829/I2829,0)</f>
      </c>
      <c r="K2829" s="193" t="str">
        <f>1-EXP(-J2829)</f>
      </c>
      <c r="L2829" s="194" t="str">
        <f>IF(G2829=30,1,M2828)</f>
      </c>
      <c r="M2829" s="195" t="str">
        <f>L2829*(1-K2829)</f>
      </c>
    </row>
    <row r="2830">
      <c r="A2830" t="s">
        <v>167</v>
      </c>
      <c r="B2830" t="s">
        <v>250</v>
      </c>
      <c r="C2830" s="35" t="s">
        <v>252</v>
      </c>
      <c r="D2830" t="s">
        <v>502</v>
      </c>
      <c r="E2830" t="s">
        <v>520</v>
      </c>
      <c r="F2830" s="188" t="n">
        <v>2043</v>
      </c>
      <c r="G2830" s="189" t="n">
        <v>58</v>
      </c>
      <c r="H2830" s="190" t="n">
        <v>17674.8703580558</v>
      </c>
      <c r="I2830" s="191" t="n">
        <v>3888407.65174363</v>
      </c>
      <c r="J2830" s="192" t="str">
        <f>IF(I2830&gt;0,H2830/I2830,0)</f>
      </c>
      <c r="K2830" s="193" t="str">
        <f>1-EXP(-J2830)</f>
      </c>
      <c r="L2830" s="194" t="str">
        <f>IF(G2830=30,1,M2829)</f>
      </c>
      <c r="M2830" s="195" t="str">
        <f>L2830*(1-K2830)</f>
      </c>
    </row>
    <row r="2831">
      <c r="A2831" t="s">
        <v>167</v>
      </c>
      <c r="B2831" t="s">
        <v>250</v>
      </c>
      <c r="C2831" s="35" t="s">
        <v>252</v>
      </c>
      <c r="D2831" t="s">
        <v>502</v>
      </c>
      <c r="E2831" t="s">
        <v>520</v>
      </c>
      <c r="F2831" s="188" t="n">
        <v>2043</v>
      </c>
      <c r="G2831" s="189" t="n">
        <v>59</v>
      </c>
      <c r="H2831" s="190" t="n">
        <v>19580.099483773</v>
      </c>
      <c r="I2831" s="191" t="n">
        <v>3936651.81453225</v>
      </c>
      <c r="J2831" s="192" t="str">
        <f>IF(I2831&gt;0,H2831/I2831,0)</f>
      </c>
      <c r="K2831" s="193" t="str">
        <f>1-EXP(-J2831)</f>
      </c>
      <c r="L2831" s="194" t="str">
        <f>IF(G2831=30,1,M2830)</f>
      </c>
      <c r="M2831" s="195" t="str">
        <f>L2831*(1-K2831)</f>
      </c>
    </row>
    <row r="2832">
      <c r="A2832" t="s">
        <v>167</v>
      </c>
      <c r="B2832" t="s">
        <v>250</v>
      </c>
      <c r="C2832" s="35" t="s">
        <v>252</v>
      </c>
      <c r="D2832" t="s">
        <v>502</v>
      </c>
      <c r="E2832" t="s">
        <v>520</v>
      </c>
      <c r="F2832" s="188" t="n">
        <v>2043</v>
      </c>
      <c r="G2832" s="189" t="n">
        <v>60</v>
      </c>
      <c r="H2832" s="190" t="n">
        <v>20971.7690459039</v>
      </c>
      <c r="I2832" s="191" t="n">
        <v>3882174.48830701</v>
      </c>
      <c r="J2832" s="192" t="str">
        <f>IF(I2832&gt;0,H2832/I2832,0)</f>
      </c>
      <c r="K2832" s="193" t="str">
        <f>1-EXP(-J2832)</f>
      </c>
      <c r="L2832" s="194" t="str">
        <f>IF(G2832=30,1,M2831)</f>
      </c>
      <c r="M2832" s="195" t="str">
        <f>L2832*(1-K2832)</f>
      </c>
    </row>
    <row r="2833">
      <c r="A2833" t="s">
        <v>167</v>
      </c>
      <c r="B2833" t="s">
        <v>250</v>
      </c>
      <c r="C2833" s="35" t="s">
        <v>252</v>
      </c>
      <c r="D2833" t="s">
        <v>502</v>
      </c>
      <c r="E2833" t="s">
        <v>520</v>
      </c>
      <c r="F2833" s="188" t="n">
        <v>2043</v>
      </c>
      <c r="G2833" s="189" t="n">
        <v>61</v>
      </c>
      <c r="H2833" s="190" t="n">
        <v>22080.8623245231</v>
      </c>
      <c r="I2833" s="191" t="n">
        <v>3723622.46160133</v>
      </c>
      <c r="J2833" s="192" t="str">
        <f>IF(I2833&gt;0,H2833/I2833,0)</f>
      </c>
      <c r="K2833" s="193" t="str">
        <f>1-EXP(-J2833)</f>
      </c>
      <c r="L2833" s="194" t="str">
        <f>IF(G2833=30,1,M2832)</f>
      </c>
      <c r="M2833" s="195" t="str">
        <f>L2833*(1-K2833)</f>
      </c>
    </row>
    <row r="2834">
      <c r="A2834" t="s">
        <v>167</v>
      </c>
      <c r="B2834" t="s">
        <v>250</v>
      </c>
      <c r="C2834" s="35" t="s">
        <v>252</v>
      </c>
      <c r="D2834" t="s">
        <v>502</v>
      </c>
      <c r="E2834" t="s">
        <v>520</v>
      </c>
      <c r="F2834" s="188" t="n">
        <v>2043</v>
      </c>
      <c r="G2834" s="189" t="n">
        <v>62</v>
      </c>
      <c r="H2834" s="190" t="n">
        <v>23551.4190464606</v>
      </c>
      <c r="I2834" s="191" t="n">
        <v>3620405.53235529</v>
      </c>
      <c r="J2834" s="192" t="str">
        <f>IF(I2834&gt;0,H2834/I2834,0)</f>
      </c>
      <c r="K2834" s="193" t="str">
        <f>1-EXP(-J2834)</f>
      </c>
      <c r="L2834" s="194" t="str">
        <f>IF(G2834=30,1,M2833)</f>
      </c>
      <c r="M2834" s="195" t="str">
        <f>L2834*(1-K2834)</f>
      </c>
    </row>
    <row r="2835">
      <c r="A2835" t="s">
        <v>167</v>
      </c>
      <c r="B2835" t="s">
        <v>250</v>
      </c>
      <c r="C2835" s="35" t="s">
        <v>252</v>
      </c>
      <c r="D2835" t="s">
        <v>502</v>
      </c>
      <c r="E2835" t="s">
        <v>520</v>
      </c>
      <c r="F2835" s="188" t="n">
        <v>2043</v>
      </c>
      <c r="G2835" s="189" t="n">
        <v>63</v>
      </c>
      <c r="H2835" s="190" t="n">
        <v>25188.8973030108</v>
      </c>
      <c r="I2835" s="191" t="n">
        <v>3529336.67134756</v>
      </c>
      <c r="J2835" s="192" t="str">
        <f>IF(I2835&gt;0,H2835/I2835,0)</f>
      </c>
      <c r="K2835" s="193" t="str">
        <f>1-EXP(-J2835)</f>
      </c>
      <c r="L2835" s="194" t="str">
        <f>IF(G2835=30,1,M2834)</f>
      </c>
      <c r="M2835" s="195" t="str">
        <f>L2835*(1-K2835)</f>
      </c>
    </row>
    <row r="2836">
      <c r="A2836" t="s">
        <v>167</v>
      </c>
      <c r="B2836" t="s">
        <v>250</v>
      </c>
      <c r="C2836" s="35" t="s">
        <v>252</v>
      </c>
      <c r="D2836" t="s">
        <v>502</v>
      </c>
      <c r="E2836" t="s">
        <v>520</v>
      </c>
      <c r="F2836" s="188" t="n">
        <v>2043</v>
      </c>
      <c r="G2836" s="189" t="n">
        <v>64</v>
      </c>
      <c r="H2836" s="190" t="n">
        <v>26864.8185051275</v>
      </c>
      <c r="I2836" s="191" t="n">
        <v>3431318.13000685</v>
      </c>
      <c r="J2836" s="192" t="str">
        <f>IF(I2836&gt;0,H2836/I2836,0)</f>
      </c>
      <c r="K2836" s="193" t="str">
        <f>1-EXP(-J2836)</f>
      </c>
      <c r="L2836" s="194" t="str">
        <f>IF(G2836=30,1,M2835)</f>
      </c>
      <c r="M2836" s="195" t="str">
        <f>L2836*(1-K2836)</f>
      </c>
    </row>
    <row r="2837">
      <c r="A2837" t="s">
        <v>167</v>
      </c>
      <c r="B2837" t="s">
        <v>250</v>
      </c>
      <c r="C2837" s="35" t="s">
        <v>252</v>
      </c>
      <c r="D2837" t="s">
        <v>502</v>
      </c>
      <c r="E2837" t="s">
        <v>520</v>
      </c>
      <c r="F2837" s="188" t="n">
        <v>2043</v>
      </c>
      <c r="G2837" s="189" t="n">
        <v>65</v>
      </c>
      <c r="H2837" s="190" t="n">
        <v>27199.4636409818</v>
      </c>
      <c r="I2837" s="191" t="n">
        <v>3314433.96089611</v>
      </c>
      <c r="J2837" s="192" t="str">
        <f>IF(I2837&gt;0,H2837/I2837,0)</f>
      </c>
      <c r="K2837" s="193" t="str">
        <f>1-EXP(-J2837)</f>
      </c>
      <c r="L2837" s="194" t="str">
        <f>IF(G2837=30,1,M2836)</f>
      </c>
      <c r="M2837" s="195" t="str">
        <f>L2837*(1-K2837)</f>
      </c>
    </row>
    <row r="2838">
      <c r="A2838" t="s">
        <v>167</v>
      </c>
      <c r="B2838" t="s">
        <v>250</v>
      </c>
      <c r="C2838" s="35" t="s">
        <v>252</v>
      </c>
      <c r="D2838" t="s">
        <v>502</v>
      </c>
      <c r="E2838" t="s">
        <v>520</v>
      </c>
      <c r="F2838" s="188" t="n">
        <v>2043</v>
      </c>
      <c r="G2838" s="189" t="n">
        <v>66</v>
      </c>
      <c r="H2838" s="190" t="n">
        <v>28932.7802294236</v>
      </c>
      <c r="I2838" s="191" t="n">
        <v>3210284.29985966</v>
      </c>
      <c r="J2838" s="192" t="str">
        <f>IF(I2838&gt;0,H2838/I2838,0)</f>
      </c>
      <c r="K2838" s="193" t="str">
        <f>1-EXP(-J2838)</f>
      </c>
      <c r="L2838" s="194" t="str">
        <f>IF(G2838=30,1,M2837)</f>
      </c>
      <c r="M2838" s="195" t="str">
        <f>L2838*(1-K2838)</f>
      </c>
    </row>
    <row r="2839">
      <c r="A2839" t="s">
        <v>167</v>
      </c>
      <c r="B2839" t="s">
        <v>250</v>
      </c>
      <c r="C2839" s="35" t="s">
        <v>252</v>
      </c>
      <c r="D2839" t="s">
        <v>502</v>
      </c>
      <c r="E2839" t="s">
        <v>520</v>
      </c>
      <c r="F2839" s="188" t="n">
        <v>2043</v>
      </c>
      <c r="G2839" s="189" t="n">
        <v>67</v>
      </c>
      <c r="H2839" s="190" t="n">
        <v>30618.1807464148</v>
      </c>
      <c r="I2839" s="191" t="n">
        <v>3094099.11220664</v>
      </c>
      <c r="J2839" s="192" t="str">
        <f>IF(I2839&gt;0,H2839/I2839,0)</f>
      </c>
      <c r="K2839" s="193" t="str">
        <f>1-EXP(-J2839)</f>
      </c>
      <c r="L2839" s="194" t="str">
        <f>IF(G2839=30,1,M2838)</f>
      </c>
      <c r="M2839" s="195" t="str">
        <f>L2839*(1-K2839)</f>
      </c>
    </row>
    <row r="2840">
      <c r="A2840" t="s">
        <v>167</v>
      </c>
      <c r="B2840" t="s">
        <v>250</v>
      </c>
      <c r="C2840" s="35" t="s">
        <v>252</v>
      </c>
      <c r="D2840" t="s">
        <v>502</v>
      </c>
      <c r="E2840" t="s">
        <v>520</v>
      </c>
      <c r="F2840" s="188" t="n">
        <v>2043</v>
      </c>
      <c r="G2840" s="189" t="n">
        <v>68</v>
      </c>
      <c r="H2840" s="190" t="n">
        <v>32350.1019442773</v>
      </c>
      <c r="I2840" s="191" t="n">
        <v>2975415.5520531</v>
      </c>
      <c r="J2840" s="192" t="str">
        <f>IF(I2840&gt;0,H2840/I2840,0)</f>
      </c>
      <c r="K2840" s="193" t="str">
        <f>1-EXP(-J2840)</f>
      </c>
      <c r="L2840" s="194" t="str">
        <f>IF(G2840=30,1,M2839)</f>
      </c>
      <c r="M2840" s="195" t="str">
        <f>L2840*(1-K2840)</f>
      </c>
    </row>
    <row r="2841">
      <c r="A2841" t="s">
        <v>167</v>
      </c>
      <c r="B2841" t="s">
        <v>250</v>
      </c>
      <c r="C2841" s="35" t="s">
        <v>252</v>
      </c>
      <c r="D2841" t="s">
        <v>502</v>
      </c>
      <c r="E2841" t="s">
        <v>520</v>
      </c>
      <c r="F2841" s="188" t="n">
        <v>2043</v>
      </c>
      <c r="G2841" s="189" t="n">
        <v>69</v>
      </c>
      <c r="H2841" s="190" t="n">
        <v>33873.1220976905</v>
      </c>
      <c r="I2841" s="191" t="n">
        <v>2832798.16535064</v>
      </c>
      <c r="J2841" s="192" t="str">
        <f>IF(I2841&gt;0,H2841/I2841,0)</f>
      </c>
      <c r="K2841" s="193" t="str">
        <f>1-EXP(-J2841)</f>
      </c>
      <c r="L2841" s="194" t="str">
        <f>IF(G2841=30,1,M2840)</f>
      </c>
      <c r="M2841" s="195" t="str">
        <f>L2841*(1-K2841)</f>
      </c>
    </row>
    <row r="2842">
      <c r="A2842" t="s">
        <v>167</v>
      </c>
      <c r="B2842" t="s">
        <v>250</v>
      </c>
      <c r="C2842" s="35" t="s">
        <v>252</v>
      </c>
      <c r="D2842" t="s">
        <v>502</v>
      </c>
      <c r="E2842" t="s">
        <v>520</v>
      </c>
      <c r="F2842" s="188" t="n">
        <v>2044</v>
      </c>
      <c r="G2842" s="189" t="n">
        <v>30</v>
      </c>
      <c r="H2842" s="190" t="n">
        <v>740.334519297993</v>
      </c>
      <c r="I2842" s="191" t="n">
        <v>4714217.8455446</v>
      </c>
      <c r="J2842" s="192" t="str">
        <f>IF(I2842&gt;0,H2842/I2842,0)</f>
      </c>
      <c r="K2842" s="193" t="str">
        <f>1-EXP(-J2842)</f>
      </c>
      <c r="L2842" s="194" t="str">
        <f>IF(G2842=30,1,M2841)</f>
      </c>
      <c r="M2842" s="195" t="str">
        <f>L2842*(1-K2842)</f>
      </c>
    </row>
    <row r="2843">
      <c r="A2843" t="s">
        <v>167</v>
      </c>
      <c r="B2843" t="s">
        <v>250</v>
      </c>
      <c r="C2843" s="35" t="s">
        <v>252</v>
      </c>
      <c r="D2843" t="s">
        <v>502</v>
      </c>
      <c r="E2843" t="s">
        <v>520</v>
      </c>
      <c r="F2843" s="188" t="n">
        <v>2044</v>
      </c>
      <c r="G2843" s="189" t="n">
        <v>31</v>
      </c>
      <c r="H2843" s="190" t="n">
        <v>993.430567176917</v>
      </c>
      <c r="I2843" s="191" t="n">
        <v>4782390.55613435</v>
      </c>
      <c r="J2843" s="192" t="str">
        <f>IF(I2843&gt;0,H2843/I2843,0)</f>
      </c>
      <c r="K2843" s="193" t="str">
        <f>1-EXP(-J2843)</f>
      </c>
      <c r="L2843" s="194" t="str">
        <f>IF(G2843=30,1,M2842)</f>
      </c>
      <c r="M2843" s="195" t="str">
        <f>L2843*(1-K2843)</f>
      </c>
    </row>
    <row r="2844">
      <c r="A2844" t="s">
        <v>167</v>
      </c>
      <c r="B2844" t="s">
        <v>250</v>
      </c>
      <c r="C2844" s="35" t="s">
        <v>252</v>
      </c>
      <c r="D2844" t="s">
        <v>502</v>
      </c>
      <c r="E2844" t="s">
        <v>520</v>
      </c>
      <c r="F2844" s="188" t="n">
        <v>2044</v>
      </c>
      <c r="G2844" s="189" t="n">
        <v>32</v>
      </c>
      <c r="H2844" s="190" t="n">
        <v>1113.99004908855</v>
      </c>
      <c r="I2844" s="191" t="n">
        <v>4895306.97612861</v>
      </c>
      <c r="J2844" s="192" t="str">
        <f>IF(I2844&gt;0,H2844/I2844,0)</f>
      </c>
      <c r="K2844" s="193" t="str">
        <f>1-EXP(-J2844)</f>
      </c>
      <c r="L2844" s="194" t="str">
        <f>IF(G2844=30,1,M2843)</f>
      </c>
      <c r="M2844" s="195" t="str">
        <f>L2844*(1-K2844)</f>
      </c>
    </row>
    <row r="2845">
      <c r="A2845" t="s">
        <v>167</v>
      </c>
      <c r="B2845" t="s">
        <v>250</v>
      </c>
      <c r="C2845" s="35" t="s">
        <v>252</v>
      </c>
      <c r="D2845" t="s">
        <v>502</v>
      </c>
      <c r="E2845" t="s">
        <v>520</v>
      </c>
      <c r="F2845" s="188" t="n">
        <v>2044</v>
      </c>
      <c r="G2845" s="189" t="n">
        <v>33</v>
      </c>
      <c r="H2845" s="190" t="n">
        <v>1172.4815283562</v>
      </c>
      <c r="I2845" s="191" t="n">
        <v>4867090.03714574</v>
      </c>
      <c r="J2845" s="192" t="str">
        <f>IF(I2845&gt;0,H2845/I2845,0)</f>
      </c>
      <c r="K2845" s="193" t="str">
        <f>1-EXP(-J2845)</f>
      </c>
      <c r="L2845" s="194" t="str">
        <f>IF(G2845=30,1,M2844)</f>
      </c>
      <c r="M2845" s="195" t="str">
        <f>L2845*(1-K2845)</f>
      </c>
    </row>
    <row r="2846">
      <c r="A2846" t="s">
        <v>167</v>
      </c>
      <c r="B2846" t="s">
        <v>250</v>
      </c>
      <c r="C2846" s="35" t="s">
        <v>252</v>
      </c>
      <c r="D2846" t="s">
        <v>502</v>
      </c>
      <c r="E2846" t="s">
        <v>520</v>
      </c>
      <c r="F2846" s="188" t="n">
        <v>2044</v>
      </c>
      <c r="G2846" s="189" t="n">
        <v>34</v>
      </c>
      <c r="H2846" s="190" t="n">
        <v>1214.32118324116</v>
      </c>
      <c r="I2846" s="191" t="n">
        <v>4733182.43201056</v>
      </c>
      <c r="J2846" s="192" t="str">
        <f>IF(I2846&gt;0,H2846/I2846,0)</f>
      </c>
      <c r="K2846" s="193" t="str">
        <f>1-EXP(-J2846)</f>
      </c>
      <c r="L2846" s="194" t="str">
        <f>IF(G2846=30,1,M2845)</f>
      </c>
      <c r="M2846" s="195" t="str">
        <f>L2846*(1-K2846)</f>
      </c>
    </row>
    <row r="2847">
      <c r="A2847" t="s">
        <v>167</v>
      </c>
      <c r="B2847" t="s">
        <v>250</v>
      </c>
      <c r="C2847" s="35" t="s">
        <v>252</v>
      </c>
      <c r="D2847" t="s">
        <v>502</v>
      </c>
      <c r="E2847" t="s">
        <v>520</v>
      </c>
      <c r="F2847" s="188" t="n">
        <v>2044</v>
      </c>
      <c r="G2847" s="189" t="n">
        <v>35</v>
      </c>
      <c r="H2847" s="190" t="n">
        <v>1572.2498239218</v>
      </c>
      <c r="I2847" s="191" t="n">
        <v>4661946.39858574</v>
      </c>
      <c r="J2847" s="192" t="str">
        <f>IF(I2847&gt;0,H2847/I2847,0)</f>
      </c>
      <c r="K2847" s="193" t="str">
        <f>1-EXP(-J2847)</f>
      </c>
      <c r="L2847" s="194" t="str">
        <f>IF(G2847=30,1,M2846)</f>
      </c>
      <c r="M2847" s="195" t="str">
        <f>L2847*(1-K2847)</f>
      </c>
    </row>
    <row r="2848">
      <c r="A2848" t="s">
        <v>167</v>
      </c>
      <c r="B2848" t="s">
        <v>250</v>
      </c>
      <c r="C2848" s="35" t="s">
        <v>252</v>
      </c>
      <c r="D2848" t="s">
        <v>502</v>
      </c>
      <c r="E2848" t="s">
        <v>520</v>
      </c>
      <c r="F2848" s="188" t="n">
        <v>2044</v>
      </c>
      <c r="G2848" s="189" t="n">
        <v>36</v>
      </c>
      <c r="H2848" s="190" t="n">
        <v>1828.62413198371</v>
      </c>
      <c r="I2848" s="191" t="n">
        <v>4618171.08044187</v>
      </c>
      <c r="J2848" s="192" t="str">
        <f>IF(I2848&gt;0,H2848/I2848,0)</f>
      </c>
      <c r="K2848" s="193" t="str">
        <f>1-EXP(-J2848)</f>
      </c>
      <c r="L2848" s="194" t="str">
        <f>IF(G2848=30,1,M2847)</f>
      </c>
      <c r="M2848" s="195" t="str">
        <f>L2848*(1-K2848)</f>
      </c>
    </row>
    <row r="2849">
      <c r="A2849" t="s">
        <v>167</v>
      </c>
      <c r="B2849" t="s">
        <v>250</v>
      </c>
      <c r="C2849" s="35" t="s">
        <v>252</v>
      </c>
      <c r="D2849" t="s">
        <v>502</v>
      </c>
      <c r="E2849" t="s">
        <v>520</v>
      </c>
      <c r="F2849" s="188" t="n">
        <v>2044</v>
      </c>
      <c r="G2849" s="189" t="n">
        <v>37</v>
      </c>
      <c r="H2849" s="190" t="n">
        <v>2034.60445049171</v>
      </c>
      <c r="I2849" s="191" t="n">
        <v>4642411.3484759</v>
      </c>
      <c r="J2849" s="192" t="str">
        <f>IF(I2849&gt;0,H2849/I2849,0)</f>
      </c>
      <c r="K2849" s="193" t="str">
        <f>1-EXP(-J2849)</f>
      </c>
      <c r="L2849" s="194" t="str">
        <f>IF(G2849=30,1,M2848)</f>
      </c>
      <c r="M2849" s="195" t="str">
        <f>L2849*(1-K2849)</f>
      </c>
    </row>
    <row r="2850">
      <c r="A2850" t="s">
        <v>167</v>
      </c>
      <c r="B2850" t="s">
        <v>250</v>
      </c>
      <c r="C2850" s="35" t="s">
        <v>252</v>
      </c>
      <c r="D2850" t="s">
        <v>502</v>
      </c>
      <c r="E2850" t="s">
        <v>520</v>
      </c>
      <c r="F2850" s="188" t="n">
        <v>2044</v>
      </c>
      <c r="G2850" s="189" t="n">
        <v>38</v>
      </c>
      <c r="H2850" s="190" t="n">
        <v>2153.55190613175</v>
      </c>
      <c r="I2850" s="191" t="n">
        <v>4558088.41090078</v>
      </c>
      <c r="J2850" s="192" t="str">
        <f>IF(I2850&gt;0,H2850/I2850,0)</f>
      </c>
      <c r="K2850" s="193" t="str">
        <f>1-EXP(-J2850)</f>
      </c>
      <c r="L2850" s="194" t="str">
        <f>IF(G2850=30,1,M2849)</f>
      </c>
      <c r="M2850" s="195" t="str">
        <f>L2850*(1-K2850)</f>
      </c>
    </row>
    <row r="2851">
      <c r="A2851" t="s">
        <v>167</v>
      </c>
      <c r="B2851" t="s">
        <v>250</v>
      </c>
      <c r="C2851" s="35" t="s">
        <v>252</v>
      </c>
      <c r="D2851" t="s">
        <v>502</v>
      </c>
      <c r="E2851" t="s">
        <v>520</v>
      </c>
      <c r="F2851" s="188" t="n">
        <v>2044</v>
      </c>
      <c r="G2851" s="189" t="n">
        <v>39</v>
      </c>
      <c r="H2851" s="190" t="n">
        <v>2295.87835271215</v>
      </c>
      <c r="I2851" s="191" t="n">
        <v>4495221.64971909</v>
      </c>
      <c r="J2851" s="192" t="str">
        <f>IF(I2851&gt;0,H2851/I2851,0)</f>
      </c>
      <c r="K2851" s="193" t="str">
        <f>1-EXP(-J2851)</f>
      </c>
      <c r="L2851" s="194" t="str">
        <f>IF(G2851=30,1,M2850)</f>
      </c>
      <c r="M2851" s="195" t="str">
        <f>L2851*(1-K2851)</f>
      </c>
    </row>
    <row r="2852">
      <c r="A2852" t="s">
        <v>167</v>
      </c>
      <c r="B2852" t="s">
        <v>250</v>
      </c>
      <c r="C2852" s="35" t="s">
        <v>252</v>
      </c>
      <c r="D2852" t="s">
        <v>502</v>
      </c>
      <c r="E2852" t="s">
        <v>520</v>
      </c>
      <c r="F2852" s="188" t="n">
        <v>2044</v>
      </c>
      <c r="G2852" s="189" t="n">
        <v>40</v>
      </c>
      <c r="H2852" s="190" t="n">
        <v>2997.90589819164</v>
      </c>
      <c r="I2852" s="191" t="n">
        <v>4365027.15097544</v>
      </c>
      <c r="J2852" s="192" t="str">
        <f>IF(I2852&gt;0,H2852/I2852,0)</f>
      </c>
      <c r="K2852" s="193" t="str">
        <f>1-EXP(-J2852)</f>
      </c>
      <c r="L2852" s="194" t="str">
        <f>IF(G2852=30,1,M2851)</f>
      </c>
      <c r="M2852" s="195" t="str">
        <f>L2852*(1-K2852)</f>
      </c>
    </row>
    <row r="2853">
      <c r="A2853" t="s">
        <v>167</v>
      </c>
      <c r="B2853" t="s">
        <v>250</v>
      </c>
      <c r="C2853" s="35" t="s">
        <v>252</v>
      </c>
      <c r="D2853" t="s">
        <v>502</v>
      </c>
      <c r="E2853" t="s">
        <v>520</v>
      </c>
      <c r="F2853" s="188" t="n">
        <v>2044</v>
      </c>
      <c r="G2853" s="189" t="n">
        <v>41</v>
      </c>
      <c r="H2853" s="190" t="n">
        <v>3320.6023824713</v>
      </c>
      <c r="I2853" s="191" t="n">
        <v>4296255.90715071</v>
      </c>
      <c r="J2853" s="192" t="str">
        <f>IF(I2853&gt;0,H2853/I2853,0)</f>
      </c>
      <c r="K2853" s="193" t="str">
        <f>1-EXP(-J2853)</f>
      </c>
      <c r="L2853" s="194" t="str">
        <f>IF(G2853=30,1,M2852)</f>
      </c>
      <c r="M2853" s="195" t="str">
        <f>L2853*(1-K2853)</f>
      </c>
    </row>
    <row r="2854">
      <c r="A2854" t="s">
        <v>167</v>
      </c>
      <c r="B2854" t="s">
        <v>250</v>
      </c>
      <c r="C2854" s="35" t="s">
        <v>252</v>
      </c>
      <c r="D2854" t="s">
        <v>502</v>
      </c>
      <c r="E2854" t="s">
        <v>520</v>
      </c>
      <c r="F2854" s="188" t="n">
        <v>2044</v>
      </c>
      <c r="G2854" s="189" t="n">
        <v>42</v>
      </c>
      <c r="H2854" s="190" t="n">
        <v>3732.99081886039</v>
      </c>
      <c r="I2854" s="191" t="n">
        <v>4269437.90894572</v>
      </c>
      <c r="J2854" s="192" t="str">
        <f>IF(I2854&gt;0,H2854/I2854,0)</f>
      </c>
      <c r="K2854" s="193" t="str">
        <f>1-EXP(-J2854)</f>
      </c>
      <c r="L2854" s="194" t="str">
        <f>IF(G2854=30,1,M2853)</f>
      </c>
      <c r="M2854" s="195" t="str">
        <f>L2854*(1-K2854)</f>
      </c>
    </row>
    <row r="2855">
      <c r="A2855" t="s">
        <v>167</v>
      </c>
      <c r="B2855" t="s">
        <v>250</v>
      </c>
      <c r="C2855" s="35" t="s">
        <v>252</v>
      </c>
      <c r="D2855" t="s">
        <v>502</v>
      </c>
      <c r="E2855" t="s">
        <v>520</v>
      </c>
      <c r="F2855" s="188" t="n">
        <v>2044</v>
      </c>
      <c r="G2855" s="189" t="n">
        <v>43</v>
      </c>
      <c r="H2855" s="190" t="n">
        <v>4034.25401262202</v>
      </c>
      <c r="I2855" s="191" t="n">
        <v>4244853.72439464</v>
      </c>
      <c r="J2855" s="192" t="str">
        <f>IF(I2855&gt;0,H2855/I2855,0)</f>
      </c>
      <c r="K2855" s="193" t="str">
        <f>1-EXP(-J2855)</f>
      </c>
      <c r="L2855" s="194" t="str">
        <f>IF(G2855=30,1,M2854)</f>
      </c>
      <c r="M2855" s="195" t="str">
        <f>L2855*(1-K2855)</f>
      </c>
    </row>
    <row r="2856">
      <c r="A2856" t="s">
        <v>167</v>
      </c>
      <c r="B2856" t="s">
        <v>250</v>
      </c>
      <c r="C2856" s="35" t="s">
        <v>252</v>
      </c>
      <c r="D2856" t="s">
        <v>502</v>
      </c>
      <c r="E2856" t="s">
        <v>520</v>
      </c>
      <c r="F2856" s="188" t="n">
        <v>2044</v>
      </c>
      <c r="G2856" s="189" t="n">
        <v>44</v>
      </c>
      <c r="H2856" s="190" t="n">
        <v>4370.45277295338</v>
      </c>
      <c r="I2856" s="191" t="n">
        <v>4219406.26928826</v>
      </c>
      <c r="J2856" s="192" t="str">
        <f>IF(I2856&gt;0,H2856/I2856,0)</f>
      </c>
      <c r="K2856" s="193" t="str">
        <f>1-EXP(-J2856)</f>
      </c>
      <c r="L2856" s="194" t="str">
        <f>IF(G2856=30,1,M2855)</f>
      </c>
      <c r="M2856" s="195" t="str">
        <f>L2856*(1-K2856)</f>
      </c>
    </row>
    <row r="2857">
      <c r="A2857" t="s">
        <v>167</v>
      </c>
      <c r="B2857" t="s">
        <v>250</v>
      </c>
      <c r="C2857" s="35" t="s">
        <v>252</v>
      </c>
      <c r="D2857" t="s">
        <v>502</v>
      </c>
      <c r="E2857" t="s">
        <v>520</v>
      </c>
      <c r="F2857" s="188" t="n">
        <v>2044</v>
      </c>
      <c r="G2857" s="189" t="n">
        <v>45</v>
      </c>
      <c r="H2857" s="190" t="n">
        <v>5629.76459194226</v>
      </c>
      <c r="I2857" s="191" t="n">
        <v>4232128.27887743</v>
      </c>
      <c r="J2857" s="192" t="str">
        <f>IF(I2857&gt;0,H2857/I2857,0)</f>
      </c>
      <c r="K2857" s="193" t="str">
        <f>1-EXP(-J2857)</f>
      </c>
      <c r="L2857" s="194" t="str">
        <f>IF(G2857=30,1,M2856)</f>
      </c>
      <c r="M2857" s="195" t="str">
        <f>L2857*(1-K2857)</f>
      </c>
    </row>
    <row r="2858">
      <c r="A2858" t="s">
        <v>167</v>
      </c>
      <c r="B2858" t="s">
        <v>250</v>
      </c>
      <c r="C2858" s="35" t="s">
        <v>252</v>
      </c>
      <c r="D2858" t="s">
        <v>502</v>
      </c>
      <c r="E2858" t="s">
        <v>520</v>
      </c>
      <c r="F2858" s="188" t="n">
        <v>2044</v>
      </c>
      <c r="G2858" s="189" t="n">
        <v>46</v>
      </c>
      <c r="H2858" s="190" t="n">
        <v>6299.79014638658</v>
      </c>
      <c r="I2858" s="191" t="n">
        <v>4281288.68679549</v>
      </c>
      <c r="J2858" s="192" t="str">
        <f>IF(I2858&gt;0,H2858/I2858,0)</f>
      </c>
      <c r="K2858" s="193" t="str">
        <f>1-EXP(-J2858)</f>
      </c>
      <c r="L2858" s="194" t="str">
        <f>IF(G2858=30,1,M2857)</f>
      </c>
      <c r="M2858" s="195" t="str">
        <f>L2858*(1-K2858)</f>
      </c>
    </row>
    <row r="2859">
      <c r="A2859" t="s">
        <v>167</v>
      </c>
      <c r="B2859" t="s">
        <v>250</v>
      </c>
      <c r="C2859" s="35" t="s">
        <v>252</v>
      </c>
      <c r="D2859" t="s">
        <v>502</v>
      </c>
      <c r="E2859" t="s">
        <v>520</v>
      </c>
      <c r="F2859" s="188" t="n">
        <v>2044</v>
      </c>
      <c r="G2859" s="189" t="n">
        <v>47</v>
      </c>
      <c r="H2859" s="190" t="n">
        <v>7290.76547586906</v>
      </c>
      <c r="I2859" s="191" t="n">
        <v>4404688.24487121</v>
      </c>
      <c r="J2859" s="192" t="str">
        <f>IF(I2859&gt;0,H2859/I2859,0)</f>
      </c>
      <c r="K2859" s="193" t="str">
        <f>1-EXP(-J2859)</f>
      </c>
      <c r="L2859" s="194" t="str">
        <f>IF(G2859=30,1,M2858)</f>
      </c>
      <c r="M2859" s="195" t="str">
        <f>L2859*(1-K2859)</f>
      </c>
    </row>
    <row r="2860">
      <c r="A2860" t="s">
        <v>167</v>
      </c>
      <c r="B2860" t="s">
        <v>250</v>
      </c>
      <c r="C2860" s="35" t="s">
        <v>252</v>
      </c>
      <c r="D2860" t="s">
        <v>502</v>
      </c>
      <c r="E2860" t="s">
        <v>520</v>
      </c>
      <c r="F2860" s="188" t="n">
        <v>2044</v>
      </c>
      <c r="G2860" s="189" t="n">
        <v>48</v>
      </c>
      <c r="H2860" s="190" t="n">
        <v>7893.04881170472</v>
      </c>
      <c r="I2860" s="191" t="n">
        <v>4352041.72458038</v>
      </c>
      <c r="J2860" s="192" t="str">
        <f>IF(I2860&gt;0,H2860/I2860,0)</f>
      </c>
      <c r="K2860" s="193" t="str">
        <f>1-EXP(-J2860)</f>
      </c>
      <c r="L2860" s="194" t="str">
        <f>IF(G2860=30,1,M2859)</f>
      </c>
      <c r="M2860" s="195" t="str">
        <f>L2860*(1-K2860)</f>
      </c>
    </row>
    <row r="2861">
      <c r="A2861" t="s">
        <v>167</v>
      </c>
      <c r="B2861" t="s">
        <v>250</v>
      </c>
      <c r="C2861" s="35" t="s">
        <v>252</v>
      </c>
      <c r="D2861" t="s">
        <v>502</v>
      </c>
      <c r="E2861" t="s">
        <v>520</v>
      </c>
      <c r="F2861" s="188" t="n">
        <v>2044</v>
      </c>
      <c r="G2861" s="189" t="n">
        <v>49</v>
      </c>
      <c r="H2861" s="190" t="n">
        <v>8490.0338566447</v>
      </c>
      <c r="I2861" s="191" t="n">
        <v>4269234.63464421</v>
      </c>
      <c r="J2861" s="192" t="str">
        <f>IF(I2861&gt;0,H2861/I2861,0)</f>
      </c>
      <c r="K2861" s="193" t="str">
        <f>1-EXP(-J2861)</f>
      </c>
      <c r="L2861" s="194" t="str">
        <f>IF(G2861=30,1,M2860)</f>
      </c>
      <c r="M2861" s="195" t="str">
        <f>L2861*(1-K2861)</f>
      </c>
    </row>
    <row r="2862">
      <c r="A2862" t="s">
        <v>167</v>
      </c>
      <c r="B2862" t="s">
        <v>250</v>
      </c>
      <c r="C2862" s="35" t="s">
        <v>252</v>
      </c>
      <c r="D2862" t="s">
        <v>502</v>
      </c>
      <c r="E2862" t="s">
        <v>520</v>
      </c>
      <c r="F2862" s="188" t="n">
        <v>2044</v>
      </c>
      <c r="G2862" s="189" t="n">
        <v>50</v>
      </c>
      <c r="H2862" s="190" t="n">
        <v>9557.71439013775</v>
      </c>
      <c r="I2862" s="191" t="n">
        <v>4200601.68837427</v>
      </c>
      <c r="J2862" s="192" t="str">
        <f>IF(I2862&gt;0,H2862/I2862,0)</f>
      </c>
      <c r="K2862" s="193" t="str">
        <f>1-EXP(-J2862)</f>
      </c>
      <c r="L2862" s="194" t="str">
        <f>IF(G2862=30,1,M2861)</f>
      </c>
      <c r="M2862" s="195" t="str">
        <f>L2862*(1-K2862)</f>
      </c>
    </row>
    <row r="2863">
      <c r="A2863" t="s">
        <v>167</v>
      </c>
      <c r="B2863" t="s">
        <v>250</v>
      </c>
      <c r="C2863" s="35" t="s">
        <v>252</v>
      </c>
      <c r="D2863" t="s">
        <v>502</v>
      </c>
      <c r="E2863" t="s">
        <v>520</v>
      </c>
      <c r="F2863" s="188" t="n">
        <v>2044</v>
      </c>
      <c r="G2863" s="189" t="n">
        <v>51</v>
      </c>
      <c r="H2863" s="190" t="n">
        <v>10288.4482016623</v>
      </c>
      <c r="I2863" s="191" t="n">
        <v>4133652.90372415</v>
      </c>
      <c r="J2863" s="192" t="str">
        <f>IF(I2863&gt;0,H2863/I2863,0)</f>
      </c>
      <c r="K2863" s="193" t="str">
        <f>1-EXP(-J2863)</f>
      </c>
      <c r="L2863" s="194" t="str">
        <f>IF(G2863=30,1,M2862)</f>
      </c>
      <c r="M2863" s="195" t="str">
        <f>L2863*(1-K2863)</f>
      </c>
    </row>
    <row r="2864">
      <c r="A2864" t="s">
        <v>167</v>
      </c>
      <c r="B2864" t="s">
        <v>250</v>
      </c>
      <c r="C2864" s="35" t="s">
        <v>252</v>
      </c>
      <c r="D2864" t="s">
        <v>502</v>
      </c>
      <c r="E2864" t="s">
        <v>520</v>
      </c>
      <c r="F2864" s="188" t="n">
        <v>2044</v>
      </c>
      <c r="G2864" s="189" t="n">
        <v>52</v>
      </c>
      <c r="H2864" s="190" t="n">
        <v>11283.772345049</v>
      </c>
      <c r="I2864" s="191" t="n">
        <v>4153398.04543477</v>
      </c>
      <c r="J2864" s="192" t="str">
        <f>IF(I2864&gt;0,H2864/I2864,0)</f>
      </c>
      <c r="K2864" s="193" t="str">
        <f>1-EXP(-J2864)</f>
      </c>
      <c r="L2864" s="194" t="str">
        <f>IF(G2864=30,1,M2863)</f>
      </c>
      <c r="M2864" s="195" t="str">
        <f>L2864*(1-K2864)</f>
      </c>
    </row>
    <row r="2865">
      <c r="A2865" t="s">
        <v>167</v>
      </c>
      <c r="B2865" t="s">
        <v>250</v>
      </c>
      <c r="C2865" s="35" t="s">
        <v>252</v>
      </c>
      <c r="D2865" t="s">
        <v>502</v>
      </c>
      <c r="E2865" t="s">
        <v>520</v>
      </c>
      <c r="F2865" s="188" t="n">
        <v>2044</v>
      </c>
      <c r="G2865" s="189" t="n">
        <v>53</v>
      </c>
      <c r="H2865" s="190" t="n">
        <v>12308.9173931392</v>
      </c>
      <c r="I2865" s="191" t="n">
        <v>4152340.97781891</v>
      </c>
      <c r="J2865" s="192" t="str">
        <f>IF(I2865&gt;0,H2865/I2865,0)</f>
      </c>
      <c r="K2865" s="193" t="str">
        <f>1-EXP(-J2865)</f>
      </c>
      <c r="L2865" s="194" t="str">
        <f>IF(G2865=30,1,M2864)</f>
      </c>
      <c r="M2865" s="195" t="str">
        <f>L2865*(1-K2865)</f>
      </c>
    </row>
    <row r="2866">
      <c r="A2866" t="s">
        <v>167</v>
      </c>
      <c r="B2866" t="s">
        <v>250</v>
      </c>
      <c r="C2866" s="35" t="s">
        <v>252</v>
      </c>
      <c r="D2866" t="s">
        <v>502</v>
      </c>
      <c r="E2866" t="s">
        <v>520</v>
      </c>
      <c r="F2866" s="188" t="n">
        <v>2044</v>
      </c>
      <c r="G2866" s="189" t="n">
        <v>54</v>
      </c>
      <c r="H2866" s="190" t="n">
        <v>17824.2969179951</v>
      </c>
      <c r="I2866" s="191" t="n">
        <v>6105571.18148196</v>
      </c>
      <c r="J2866" s="192" t="str">
        <f>IF(I2866&gt;0,H2866/I2866,0)</f>
      </c>
      <c r="K2866" s="193" t="str">
        <f>1-EXP(-J2866)</f>
      </c>
      <c r="L2866" s="194" t="str">
        <f>IF(G2866=30,1,M2865)</f>
      </c>
      <c r="M2866" s="195" t="str">
        <f>L2866*(1-K2866)</f>
      </c>
    </row>
    <row r="2867">
      <c r="A2867" t="s">
        <v>167</v>
      </c>
      <c r="B2867" t="s">
        <v>250</v>
      </c>
      <c r="C2867" s="35" t="s">
        <v>252</v>
      </c>
      <c r="D2867" t="s">
        <v>502</v>
      </c>
      <c r="E2867" t="s">
        <v>520</v>
      </c>
      <c r="F2867" s="188" t="n">
        <v>2044</v>
      </c>
      <c r="G2867" s="189" t="n">
        <v>55</v>
      </c>
      <c r="H2867" s="190" t="n">
        <v>14124.6322334393</v>
      </c>
      <c r="I2867" s="191" t="n">
        <v>4071670.22456198</v>
      </c>
      <c r="J2867" s="192" t="str">
        <f>IF(I2867&gt;0,H2867/I2867,0)</f>
      </c>
      <c r="K2867" s="193" t="str">
        <f>1-EXP(-J2867)</f>
      </c>
      <c r="L2867" s="194" t="str">
        <f>IF(G2867=30,1,M2866)</f>
      </c>
      <c r="M2867" s="195" t="str">
        <f>L2867*(1-K2867)</f>
      </c>
    </row>
    <row r="2868">
      <c r="A2868" t="s">
        <v>167</v>
      </c>
      <c r="B2868" t="s">
        <v>250</v>
      </c>
      <c r="C2868" s="35" t="s">
        <v>252</v>
      </c>
      <c r="D2868" t="s">
        <v>502</v>
      </c>
      <c r="E2868" t="s">
        <v>520</v>
      </c>
      <c r="F2868" s="188" t="n">
        <v>2044</v>
      </c>
      <c r="G2868" s="189" t="n">
        <v>56</v>
      </c>
      <c r="H2868" s="190" t="n">
        <v>15218.0306391903</v>
      </c>
      <c r="I2868" s="191" t="n">
        <v>4032382.36808026</v>
      </c>
      <c r="J2868" s="192" t="str">
        <f>IF(I2868&gt;0,H2868/I2868,0)</f>
      </c>
      <c r="K2868" s="193" t="str">
        <f>1-EXP(-J2868)</f>
      </c>
      <c r="L2868" s="194" t="str">
        <f>IF(G2868=30,1,M2867)</f>
      </c>
      <c r="M2868" s="195" t="str">
        <f>L2868*(1-K2868)</f>
      </c>
    </row>
    <row r="2869">
      <c r="A2869" t="s">
        <v>167</v>
      </c>
      <c r="B2869" t="s">
        <v>250</v>
      </c>
      <c r="C2869" s="35" t="s">
        <v>252</v>
      </c>
      <c r="D2869" t="s">
        <v>502</v>
      </c>
      <c r="E2869" t="s">
        <v>520</v>
      </c>
      <c r="F2869" s="188" t="n">
        <v>2044</v>
      </c>
      <c r="G2869" s="189" t="n">
        <v>57</v>
      </c>
      <c r="H2869" s="190" t="n">
        <v>15993.8397689572</v>
      </c>
      <c r="I2869" s="191" t="n">
        <v>3884039.03417112</v>
      </c>
      <c r="J2869" s="192" t="str">
        <f>IF(I2869&gt;0,H2869/I2869,0)</f>
      </c>
      <c r="K2869" s="193" t="str">
        <f>1-EXP(-J2869)</f>
      </c>
      <c r="L2869" s="194" t="str">
        <f>IF(G2869=30,1,M2868)</f>
      </c>
      <c r="M2869" s="195" t="str">
        <f>L2869*(1-K2869)</f>
      </c>
    </row>
    <row r="2870">
      <c r="A2870" t="s">
        <v>167</v>
      </c>
      <c r="B2870" t="s">
        <v>250</v>
      </c>
      <c r="C2870" s="35" t="s">
        <v>252</v>
      </c>
      <c r="D2870" t="s">
        <v>502</v>
      </c>
      <c r="E2870" t="s">
        <v>520</v>
      </c>
      <c r="F2870" s="188" t="n">
        <v>2044</v>
      </c>
      <c r="G2870" s="189" t="n">
        <v>58</v>
      </c>
      <c r="H2870" s="190" t="n">
        <v>17205.7212688924</v>
      </c>
      <c r="I2870" s="191" t="n">
        <v>3825254.73100114</v>
      </c>
      <c r="J2870" s="192" t="str">
        <f>IF(I2870&gt;0,H2870/I2870,0)</f>
      </c>
      <c r="K2870" s="193" t="str">
        <f>1-EXP(-J2870)</f>
      </c>
      <c r="L2870" s="194" t="str">
        <f>IF(G2870=30,1,M2869)</f>
      </c>
      <c r="M2870" s="195" t="str">
        <f>L2870*(1-K2870)</f>
      </c>
    </row>
    <row r="2871">
      <c r="A2871" t="s">
        <v>167</v>
      </c>
      <c r="B2871" t="s">
        <v>250</v>
      </c>
      <c r="C2871" s="35" t="s">
        <v>252</v>
      </c>
      <c r="D2871" t="s">
        <v>502</v>
      </c>
      <c r="E2871" t="s">
        <v>520</v>
      </c>
      <c r="F2871" s="188" t="n">
        <v>2044</v>
      </c>
      <c r="G2871" s="189" t="n">
        <v>59</v>
      </c>
      <c r="H2871" s="190" t="n">
        <v>18950.5862490459</v>
      </c>
      <c r="I2871" s="191" t="n">
        <v>3850104.22696007</v>
      </c>
      <c r="J2871" s="192" t="str">
        <f>IF(I2871&gt;0,H2871/I2871,0)</f>
      </c>
      <c r="K2871" s="193" t="str">
        <f>1-EXP(-J2871)</f>
      </c>
      <c r="L2871" s="194" t="str">
        <f>IF(G2871=30,1,M2870)</f>
      </c>
      <c r="M2871" s="195" t="str">
        <f>L2871*(1-K2871)</f>
      </c>
    </row>
    <row r="2872">
      <c r="A2872" t="s">
        <v>167</v>
      </c>
      <c r="B2872" t="s">
        <v>250</v>
      </c>
      <c r="C2872" s="35" t="s">
        <v>252</v>
      </c>
      <c r="D2872" t="s">
        <v>502</v>
      </c>
      <c r="E2872" t="s">
        <v>520</v>
      </c>
      <c r="F2872" s="188" t="n">
        <v>2044</v>
      </c>
      <c r="G2872" s="189" t="n">
        <v>60</v>
      </c>
      <c r="H2872" s="190" t="n">
        <v>20783.9826489877</v>
      </c>
      <c r="I2872" s="191" t="n">
        <v>3894264.83867707</v>
      </c>
      <c r="J2872" s="192" t="str">
        <f>IF(I2872&gt;0,H2872/I2872,0)</f>
      </c>
      <c r="K2872" s="193" t="str">
        <f>1-EXP(-J2872)</f>
      </c>
      <c r="L2872" s="194" t="str">
        <f>IF(G2872=30,1,M2871)</f>
      </c>
      <c r="M2872" s="195" t="str">
        <f>L2872*(1-K2872)</f>
      </c>
    </row>
    <row r="2873">
      <c r="A2873" t="s">
        <v>167</v>
      </c>
      <c r="B2873" t="s">
        <v>250</v>
      </c>
      <c r="C2873" s="35" t="s">
        <v>252</v>
      </c>
      <c r="D2873" t="s">
        <v>502</v>
      </c>
      <c r="E2873" t="s">
        <v>520</v>
      </c>
      <c r="F2873" s="188" t="n">
        <v>2044</v>
      </c>
      <c r="G2873" s="189" t="n">
        <v>61</v>
      </c>
      <c r="H2873" s="190" t="n">
        <v>22459.4478514686</v>
      </c>
      <c r="I2873" s="191" t="n">
        <v>3836274.8837278</v>
      </c>
      <c r="J2873" s="192" t="str">
        <f>IF(I2873&gt;0,H2873/I2873,0)</f>
      </c>
      <c r="K2873" s="193" t="str">
        <f>1-EXP(-J2873)</f>
      </c>
      <c r="L2873" s="194" t="str">
        <f>IF(G2873=30,1,M2872)</f>
      </c>
      <c r="M2873" s="195" t="str">
        <f>L2873*(1-K2873)</f>
      </c>
    </row>
    <row r="2874">
      <c r="A2874" t="s">
        <v>167</v>
      </c>
      <c r="B2874" t="s">
        <v>250</v>
      </c>
      <c r="C2874" s="35" t="s">
        <v>252</v>
      </c>
      <c r="D2874" t="s">
        <v>502</v>
      </c>
      <c r="E2874" t="s">
        <v>520</v>
      </c>
      <c r="F2874" s="188" t="n">
        <v>2044</v>
      </c>
      <c r="G2874" s="189" t="n">
        <v>62</v>
      </c>
      <c r="H2874" s="190" t="n">
        <v>23632.2136001255</v>
      </c>
      <c r="I2874" s="191" t="n">
        <v>3675480.07810907</v>
      </c>
      <c r="J2874" s="192" t="str">
        <f>IF(I2874&gt;0,H2874/I2874,0)</f>
      </c>
      <c r="K2874" s="193" t="str">
        <f>1-EXP(-J2874)</f>
      </c>
      <c r="L2874" s="194" t="str">
        <f>IF(G2874=30,1,M2873)</f>
      </c>
      <c r="M2874" s="195" t="str">
        <f>L2874*(1-K2874)</f>
      </c>
    </row>
    <row r="2875">
      <c r="A2875" t="s">
        <v>167</v>
      </c>
      <c r="B2875" t="s">
        <v>250</v>
      </c>
      <c r="C2875" s="35" t="s">
        <v>252</v>
      </c>
      <c r="D2875" t="s">
        <v>502</v>
      </c>
      <c r="E2875" t="s">
        <v>520</v>
      </c>
      <c r="F2875" s="188" t="n">
        <v>2044</v>
      </c>
      <c r="G2875" s="189" t="n">
        <v>63</v>
      </c>
      <c r="H2875" s="190" t="n">
        <v>25180.6211963418</v>
      </c>
      <c r="I2875" s="191" t="n">
        <v>3569078.39518092</v>
      </c>
      <c r="J2875" s="192" t="str">
        <f>IF(I2875&gt;0,H2875/I2875,0)</f>
      </c>
      <c r="K2875" s="193" t="str">
        <f>1-EXP(-J2875)</f>
      </c>
      <c r="L2875" s="194" t="str">
        <f>IF(G2875=30,1,M2874)</f>
      </c>
      <c r="M2875" s="195" t="str">
        <f>L2875*(1-K2875)</f>
      </c>
    </row>
    <row r="2876">
      <c r="A2876" t="s">
        <v>167</v>
      </c>
      <c r="B2876" t="s">
        <v>250</v>
      </c>
      <c r="C2876" s="35" t="s">
        <v>252</v>
      </c>
      <c r="D2876" t="s">
        <v>502</v>
      </c>
      <c r="E2876" t="s">
        <v>520</v>
      </c>
      <c r="F2876" s="188" t="n">
        <v>2044</v>
      </c>
      <c r="G2876" s="189" t="n">
        <v>64</v>
      </c>
      <c r="H2876" s="190" t="n">
        <v>26893.0532685456</v>
      </c>
      <c r="I2876" s="191" t="n">
        <v>3474455.39526352</v>
      </c>
      <c r="J2876" s="192" t="str">
        <f>IF(I2876&gt;0,H2876/I2876,0)</f>
      </c>
      <c r="K2876" s="193" t="str">
        <f>1-EXP(-J2876)</f>
      </c>
      <c r="L2876" s="194" t="str">
        <f>IF(G2876=30,1,M2875)</f>
      </c>
      <c r="M2876" s="195" t="str">
        <f>L2876*(1-K2876)</f>
      </c>
    </row>
    <row r="2877">
      <c r="A2877" t="s">
        <v>167</v>
      </c>
      <c r="B2877" t="s">
        <v>250</v>
      </c>
      <c r="C2877" s="35" t="s">
        <v>252</v>
      </c>
      <c r="D2877" t="s">
        <v>502</v>
      </c>
      <c r="E2877" t="s">
        <v>520</v>
      </c>
      <c r="F2877" s="188" t="n">
        <v>2044</v>
      </c>
      <c r="G2877" s="189" t="n">
        <v>65</v>
      </c>
      <c r="H2877" s="190" t="n">
        <v>27335.4549732885</v>
      </c>
      <c r="I2877" s="191" t="n">
        <v>3372796.67066835</v>
      </c>
      <c r="J2877" s="192" t="str">
        <f>IF(I2877&gt;0,H2877/I2877,0)</f>
      </c>
      <c r="K2877" s="193" t="str">
        <f>1-EXP(-J2877)</f>
      </c>
      <c r="L2877" s="194" t="str">
        <f>IF(G2877=30,1,M2876)</f>
      </c>
      <c r="M2877" s="195" t="str">
        <f>L2877*(1-K2877)</f>
      </c>
    </row>
    <row r="2878">
      <c r="A2878" t="s">
        <v>167</v>
      </c>
      <c r="B2878" t="s">
        <v>250</v>
      </c>
      <c r="C2878" s="35" t="s">
        <v>252</v>
      </c>
      <c r="D2878" t="s">
        <v>502</v>
      </c>
      <c r="E2878" t="s">
        <v>520</v>
      </c>
      <c r="F2878" s="188" t="n">
        <v>2044</v>
      </c>
      <c r="G2878" s="189" t="n">
        <v>66</v>
      </c>
      <c r="H2878" s="190" t="n">
        <v>28931.9735089853</v>
      </c>
      <c r="I2878" s="191" t="n">
        <v>3253087.13946041</v>
      </c>
      <c r="J2878" s="192" t="str">
        <f>IF(I2878&gt;0,H2878/I2878,0)</f>
      </c>
      <c r="K2878" s="193" t="str">
        <f>1-EXP(-J2878)</f>
      </c>
      <c r="L2878" s="194" t="str">
        <f>IF(G2878=30,1,M2877)</f>
      </c>
      <c r="M2878" s="195" t="str">
        <f>L2878*(1-K2878)</f>
      </c>
    </row>
    <row r="2879">
      <c r="A2879" t="s">
        <v>167</v>
      </c>
      <c r="B2879" t="s">
        <v>250</v>
      </c>
      <c r="C2879" s="35" t="s">
        <v>252</v>
      </c>
      <c r="D2879" t="s">
        <v>502</v>
      </c>
      <c r="E2879" t="s">
        <v>520</v>
      </c>
      <c r="F2879" s="188" t="n">
        <v>2044</v>
      </c>
      <c r="G2879" s="189" t="n">
        <v>67</v>
      </c>
      <c r="H2879" s="190" t="n">
        <v>30743.3470596047</v>
      </c>
      <c r="I2879" s="191" t="n">
        <v>3144414.86095174</v>
      </c>
      <c r="J2879" s="192" t="str">
        <f>IF(I2879&gt;0,H2879/I2879,0)</f>
      </c>
      <c r="K2879" s="193" t="str">
        <f>1-EXP(-J2879)</f>
      </c>
      <c r="L2879" s="194" t="str">
        <f>IF(G2879=30,1,M2878)</f>
      </c>
      <c r="M2879" s="195" t="str">
        <f>L2879*(1-K2879)</f>
      </c>
    </row>
    <row r="2880">
      <c r="A2880" t="s">
        <v>167</v>
      </c>
      <c r="B2880" t="s">
        <v>250</v>
      </c>
      <c r="C2880" s="35" t="s">
        <v>252</v>
      </c>
      <c r="D2880" t="s">
        <v>502</v>
      </c>
      <c r="E2880" t="s">
        <v>520</v>
      </c>
      <c r="F2880" s="188" t="n">
        <v>2044</v>
      </c>
      <c r="G2880" s="189" t="n">
        <v>68</v>
      </c>
      <c r="H2880" s="190" t="n">
        <v>32493.7036900506</v>
      </c>
      <c r="I2880" s="191" t="n">
        <v>3024457.2466632</v>
      </c>
      <c r="J2880" s="192" t="str">
        <f>IF(I2880&gt;0,H2880/I2880,0)</f>
      </c>
      <c r="K2880" s="193" t="str">
        <f>1-EXP(-J2880)</f>
      </c>
      <c r="L2880" s="194" t="str">
        <f>IF(G2880=30,1,M2879)</f>
      </c>
      <c r="M2880" s="195" t="str">
        <f>L2880*(1-K2880)</f>
      </c>
    </row>
    <row r="2881">
      <c r="A2881" t="s">
        <v>167</v>
      </c>
      <c r="B2881" t="s">
        <v>250</v>
      </c>
      <c r="C2881" s="35" t="s">
        <v>252</v>
      </c>
      <c r="D2881" t="s">
        <v>502</v>
      </c>
      <c r="E2881" t="s">
        <v>520</v>
      </c>
      <c r="F2881" s="188" t="n">
        <v>2044</v>
      </c>
      <c r="G2881" s="189" t="n">
        <v>69</v>
      </c>
      <c r="H2881" s="190" t="n">
        <v>34289.7405271772</v>
      </c>
      <c r="I2881" s="191" t="n">
        <v>2901920.17922451</v>
      </c>
      <c r="J2881" s="192" t="str">
        <f>IF(I2881&gt;0,H2881/I2881,0)</f>
      </c>
      <c r="K2881" s="193" t="str">
        <f>1-EXP(-J2881)</f>
      </c>
      <c r="L2881" s="194" t="str">
        <f>IF(G2881=30,1,M2880)</f>
      </c>
      <c r="M2881" s="195" t="str">
        <f>L2881*(1-K2881)</f>
      </c>
    </row>
    <row r="2882">
      <c r="A2882" t="s">
        <v>167</v>
      </c>
      <c r="B2882" t="s">
        <v>250</v>
      </c>
      <c r="C2882" s="35" t="s">
        <v>252</v>
      </c>
      <c r="D2882" t="s">
        <v>502</v>
      </c>
      <c r="E2882" t="s">
        <v>520</v>
      </c>
      <c r="F2882" s="188" t="n">
        <v>2045</v>
      </c>
      <c r="G2882" s="189" t="n">
        <v>30</v>
      </c>
      <c r="H2882" s="190" t="n">
        <v>730.440775196237</v>
      </c>
      <c r="I2882" s="191" t="n">
        <v>4642361.9844198</v>
      </c>
      <c r="J2882" s="192" t="str">
        <f>IF(I2882&gt;0,H2882/I2882,0)</f>
      </c>
      <c r="K2882" s="193" t="str">
        <f>1-EXP(-J2882)</f>
      </c>
      <c r="L2882" s="194" t="str">
        <f>IF(G2882=30,1,M2881)</f>
      </c>
      <c r="M2882" s="195" t="str">
        <f>L2882*(1-K2882)</f>
      </c>
    </row>
    <row r="2883">
      <c r="A2883" t="s">
        <v>167</v>
      </c>
      <c r="B2883" t="s">
        <v>250</v>
      </c>
      <c r="C2883" s="35" t="s">
        <v>252</v>
      </c>
      <c r="D2883" t="s">
        <v>502</v>
      </c>
      <c r="E2883" t="s">
        <v>520</v>
      </c>
      <c r="F2883" s="188" t="n">
        <v>2045</v>
      </c>
      <c r="G2883" s="189" t="n">
        <v>31</v>
      </c>
      <c r="H2883" s="190" t="n">
        <v>979.789331596655</v>
      </c>
      <c r="I2883" s="191" t="n">
        <v>4708884.34405105</v>
      </c>
      <c r="J2883" s="192" t="str">
        <f>IF(I2883&gt;0,H2883/I2883,0)</f>
      </c>
      <c r="K2883" s="193" t="str">
        <f>1-EXP(-J2883)</f>
      </c>
      <c r="L2883" s="194" t="str">
        <f>IF(G2883=30,1,M2882)</f>
      </c>
      <c r="M2883" s="195" t="str">
        <f>L2883*(1-K2883)</f>
      </c>
    </row>
    <row r="2884">
      <c r="A2884" t="s">
        <v>167</v>
      </c>
      <c r="B2884" t="s">
        <v>250</v>
      </c>
      <c r="C2884" s="35" t="s">
        <v>252</v>
      </c>
      <c r="D2884" t="s">
        <v>502</v>
      </c>
      <c r="E2884" t="s">
        <v>520</v>
      </c>
      <c r="F2884" s="188" t="n">
        <v>2045</v>
      </c>
      <c r="G2884" s="189" t="n">
        <v>32</v>
      </c>
      <c r="H2884" s="190" t="n">
        <v>1047.70029992688</v>
      </c>
      <c r="I2884" s="191" t="n">
        <v>4777058.6445348</v>
      </c>
      <c r="J2884" s="192" t="str">
        <f>IF(I2884&gt;0,H2884/I2884,0)</f>
      </c>
      <c r="K2884" s="193" t="str">
        <f>1-EXP(-J2884)</f>
      </c>
      <c r="L2884" s="194" t="str">
        <f>IF(G2884=30,1,M2883)</f>
      </c>
      <c r="M2884" s="195" t="str">
        <f>L2884*(1-K2884)</f>
      </c>
    </row>
    <row r="2885">
      <c r="A2885" t="s">
        <v>167</v>
      </c>
      <c r="B2885" t="s">
        <v>250</v>
      </c>
      <c r="C2885" s="35" t="s">
        <v>252</v>
      </c>
      <c r="D2885" t="s">
        <v>502</v>
      </c>
      <c r="E2885" t="s">
        <v>520</v>
      </c>
      <c r="F2885" s="188" t="n">
        <v>2045</v>
      </c>
      <c r="G2885" s="189" t="n">
        <v>33</v>
      </c>
      <c r="H2885" s="190" t="n">
        <v>1179.33172755047</v>
      </c>
      <c r="I2885" s="191" t="n">
        <v>4889581.21934432</v>
      </c>
      <c r="J2885" s="192" t="str">
        <f>IF(I2885&gt;0,H2885/I2885,0)</f>
      </c>
      <c r="K2885" s="193" t="str">
        <f>1-EXP(-J2885)</f>
      </c>
      <c r="L2885" s="194" t="str">
        <f>IF(G2885=30,1,M2884)</f>
      </c>
      <c r="M2885" s="195" t="str">
        <f>L2885*(1-K2885)</f>
      </c>
    </row>
    <row r="2886">
      <c r="A2886" t="s">
        <v>167</v>
      </c>
      <c r="B2886" t="s">
        <v>250</v>
      </c>
      <c r="C2886" s="35" t="s">
        <v>252</v>
      </c>
      <c r="D2886" t="s">
        <v>502</v>
      </c>
      <c r="E2886" t="s">
        <v>520</v>
      </c>
      <c r="F2886" s="188" t="n">
        <v>2045</v>
      </c>
      <c r="G2886" s="189" t="n">
        <v>34</v>
      </c>
      <c r="H2886" s="190" t="n">
        <v>1248.37571046729</v>
      </c>
      <c r="I2886" s="191" t="n">
        <v>4861134.04486914</v>
      </c>
      <c r="J2886" s="192" t="str">
        <f>IF(I2886&gt;0,H2886/I2886,0)</f>
      </c>
      <c r="K2886" s="193" t="str">
        <f>1-EXP(-J2886)</f>
      </c>
      <c r="L2886" s="194" t="str">
        <f>IF(G2886=30,1,M2885)</f>
      </c>
      <c r="M2886" s="195" t="str">
        <f>L2886*(1-K2886)</f>
      </c>
    </row>
    <row r="2887">
      <c r="A2887" t="s">
        <v>167</v>
      </c>
      <c r="B2887" t="s">
        <v>250</v>
      </c>
      <c r="C2887" s="35" t="s">
        <v>252</v>
      </c>
      <c r="D2887" t="s">
        <v>502</v>
      </c>
      <c r="E2887" t="s">
        <v>520</v>
      </c>
      <c r="F2887" s="188" t="n">
        <v>2045</v>
      </c>
      <c r="G2887" s="189" t="n">
        <v>35</v>
      </c>
      <c r="H2887" s="190" t="n">
        <v>1591.21958330945</v>
      </c>
      <c r="I2887" s="191" t="n">
        <v>4727088.65791888</v>
      </c>
      <c r="J2887" s="192" t="str">
        <f>IF(I2887&gt;0,H2887/I2887,0)</f>
      </c>
      <c r="K2887" s="193" t="str">
        <f>1-EXP(-J2887)</f>
      </c>
      <c r="L2887" s="194" t="str">
        <f>IF(G2887=30,1,M2886)</f>
      </c>
      <c r="M2887" s="195" t="str">
        <f>L2887*(1-K2887)</f>
      </c>
    </row>
    <row r="2888">
      <c r="A2888" t="s">
        <v>167</v>
      </c>
      <c r="B2888" t="s">
        <v>250</v>
      </c>
      <c r="C2888" s="35" t="s">
        <v>252</v>
      </c>
      <c r="D2888" t="s">
        <v>502</v>
      </c>
      <c r="E2888" t="s">
        <v>520</v>
      </c>
      <c r="F2888" s="188" t="n">
        <v>2045</v>
      </c>
      <c r="G2888" s="189" t="n">
        <v>36</v>
      </c>
      <c r="H2888" s="190" t="n">
        <v>1838.76657404965</v>
      </c>
      <c r="I2888" s="191" t="n">
        <v>4655269.62029329</v>
      </c>
      <c r="J2888" s="192" t="str">
        <f>IF(I2888&gt;0,H2888/I2888,0)</f>
      </c>
      <c r="K2888" s="193" t="str">
        <f>1-EXP(-J2888)</f>
      </c>
      <c r="L2888" s="194" t="str">
        <f>IF(G2888=30,1,M2887)</f>
      </c>
      <c r="M2888" s="195" t="str">
        <f>L2888*(1-K2888)</f>
      </c>
    </row>
    <row r="2889">
      <c r="A2889" t="s">
        <v>167</v>
      </c>
      <c r="B2889" t="s">
        <v>250</v>
      </c>
      <c r="C2889" s="35" t="s">
        <v>252</v>
      </c>
      <c r="D2889" t="s">
        <v>502</v>
      </c>
      <c r="E2889" t="s">
        <v>520</v>
      </c>
      <c r="F2889" s="188" t="n">
        <v>2045</v>
      </c>
      <c r="G2889" s="189" t="n">
        <v>37</v>
      </c>
      <c r="H2889" s="190" t="n">
        <v>1958.54480182832</v>
      </c>
      <c r="I2889" s="191" t="n">
        <v>4611389.29183355</v>
      </c>
      <c r="J2889" s="192" t="str">
        <f>IF(I2889&gt;0,H2889/I2889,0)</f>
      </c>
      <c r="K2889" s="193" t="str">
        <f>1-EXP(-J2889)</f>
      </c>
      <c r="L2889" s="194" t="str">
        <f>IF(G2889=30,1,M2888)</f>
      </c>
      <c r="M2889" s="195" t="str">
        <f>L2889*(1-K2889)</f>
      </c>
    </row>
    <row r="2890">
      <c r="A2890" t="s">
        <v>167</v>
      </c>
      <c r="B2890" t="s">
        <v>250</v>
      </c>
      <c r="C2890" s="35" t="s">
        <v>252</v>
      </c>
      <c r="D2890" t="s">
        <v>502</v>
      </c>
      <c r="E2890" t="s">
        <v>520</v>
      </c>
      <c r="F2890" s="188" t="n">
        <v>2045</v>
      </c>
      <c r="G2890" s="189" t="n">
        <v>38</v>
      </c>
      <c r="H2890" s="190" t="n">
        <v>2183.25509253975</v>
      </c>
      <c r="I2890" s="191" t="n">
        <v>4635072.29981022</v>
      </c>
      <c r="J2890" s="192" t="str">
        <f>IF(I2890&gt;0,H2890/I2890,0)</f>
      </c>
      <c r="K2890" s="193" t="str">
        <f>1-EXP(-J2890)</f>
      </c>
      <c r="L2890" s="194" t="str">
        <f>IF(G2890=30,1,M2889)</f>
      </c>
      <c r="M2890" s="195" t="str">
        <f>L2890*(1-K2890)</f>
      </c>
    </row>
    <row r="2891">
      <c r="A2891" t="s">
        <v>167</v>
      </c>
      <c r="B2891" t="s">
        <v>250</v>
      </c>
      <c r="C2891" s="35" t="s">
        <v>252</v>
      </c>
      <c r="D2891" t="s">
        <v>502</v>
      </c>
      <c r="E2891" t="s">
        <v>520</v>
      </c>
      <c r="F2891" s="188" t="n">
        <v>2045</v>
      </c>
      <c r="G2891" s="189" t="n">
        <v>39</v>
      </c>
      <c r="H2891" s="190" t="n">
        <v>2316.67835047586</v>
      </c>
      <c r="I2891" s="191" t="n">
        <v>4550365.93424339</v>
      </c>
      <c r="J2891" s="192" t="str">
        <f>IF(I2891&gt;0,H2891/I2891,0)</f>
      </c>
      <c r="K2891" s="193" t="str">
        <f>1-EXP(-J2891)</f>
      </c>
      <c r="L2891" s="194" t="str">
        <f>IF(G2891=30,1,M2890)</f>
      </c>
      <c r="M2891" s="195" t="str">
        <f>L2891*(1-K2891)</f>
      </c>
    </row>
    <row r="2892">
      <c r="A2892" t="s">
        <v>167</v>
      </c>
      <c r="B2892" t="s">
        <v>250</v>
      </c>
      <c r="C2892" s="35" t="s">
        <v>252</v>
      </c>
      <c r="D2892" t="s">
        <v>502</v>
      </c>
      <c r="E2892" t="s">
        <v>520</v>
      </c>
      <c r="F2892" s="188" t="n">
        <v>2045</v>
      </c>
      <c r="G2892" s="189" t="n">
        <v>40</v>
      </c>
      <c r="H2892" s="190" t="n">
        <v>3069.34867728541</v>
      </c>
      <c r="I2892" s="191" t="n">
        <v>4487035.02877376</v>
      </c>
      <c r="J2892" s="192" t="str">
        <f>IF(I2892&gt;0,H2892/I2892,0)</f>
      </c>
      <c r="K2892" s="193" t="str">
        <f>1-EXP(-J2892)</f>
      </c>
      <c r="L2892" s="194" t="str">
        <f>IF(G2892=30,1,M2891)</f>
      </c>
      <c r="M2892" s="195" t="str">
        <f>L2892*(1-K2892)</f>
      </c>
    </row>
    <row r="2893">
      <c r="A2893" t="s">
        <v>167</v>
      </c>
      <c r="B2893" t="s">
        <v>250</v>
      </c>
      <c r="C2893" s="35" t="s">
        <v>252</v>
      </c>
      <c r="D2893" t="s">
        <v>502</v>
      </c>
      <c r="E2893" t="s">
        <v>520</v>
      </c>
      <c r="F2893" s="188" t="n">
        <v>2045</v>
      </c>
      <c r="G2893" s="189" t="n">
        <v>41</v>
      </c>
      <c r="H2893" s="190" t="n">
        <v>3352.57276440734</v>
      </c>
      <c r="I2893" s="191" t="n">
        <v>4355809.97204144</v>
      </c>
      <c r="J2893" s="192" t="str">
        <f>IF(I2893&gt;0,H2893/I2893,0)</f>
      </c>
      <c r="K2893" s="193" t="str">
        <f>1-EXP(-J2893)</f>
      </c>
      <c r="L2893" s="194" t="str">
        <f>IF(G2893=30,1,M2892)</f>
      </c>
      <c r="M2893" s="195" t="str">
        <f>L2893*(1-K2893)</f>
      </c>
    </row>
    <row r="2894">
      <c r="A2894" t="s">
        <v>167</v>
      </c>
      <c r="B2894" t="s">
        <v>250</v>
      </c>
      <c r="C2894" s="35" t="s">
        <v>252</v>
      </c>
      <c r="D2894" t="s">
        <v>502</v>
      </c>
      <c r="E2894" t="s">
        <v>520</v>
      </c>
      <c r="F2894" s="188" t="n">
        <v>2045</v>
      </c>
      <c r="G2894" s="189" t="n">
        <v>42</v>
      </c>
      <c r="H2894" s="190" t="n">
        <v>3581.91625628864</v>
      </c>
      <c r="I2894" s="191" t="n">
        <v>4287057.18633469</v>
      </c>
      <c r="J2894" s="192" t="str">
        <f>IF(I2894&gt;0,H2894/I2894,0)</f>
      </c>
      <c r="K2894" s="193" t="str">
        <f>1-EXP(-J2894)</f>
      </c>
      <c r="L2894" s="194" t="str">
        <f>IF(G2894=30,1,M2893)</f>
      </c>
      <c r="M2894" s="195" t="str">
        <f>L2894*(1-K2894)</f>
      </c>
    </row>
    <row r="2895">
      <c r="A2895" t="s">
        <v>167</v>
      </c>
      <c r="B2895" t="s">
        <v>250</v>
      </c>
      <c r="C2895" s="35" t="s">
        <v>252</v>
      </c>
      <c r="D2895" t="s">
        <v>502</v>
      </c>
      <c r="E2895" t="s">
        <v>520</v>
      </c>
      <c r="F2895" s="188" t="n">
        <v>2045</v>
      </c>
      <c r="G2895" s="189" t="n">
        <v>43</v>
      </c>
      <c r="H2895" s="190" t="n">
        <v>4027.0532284323</v>
      </c>
      <c r="I2895" s="191" t="n">
        <v>4259371.24546842</v>
      </c>
      <c r="J2895" s="192" t="str">
        <f>IF(I2895&gt;0,H2895/I2895,0)</f>
      </c>
      <c r="K2895" s="193" t="str">
        <f>1-EXP(-J2895)</f>
      </c>
      <c r="L2895" s="194" t="str">
        <f>IF(G2895=30,1,M2894)</f>
      </c>
      <c r="M2895" s="195" t="str">
        <f>L2895*(1-K2895)</f>
      </c>
    </row>
    <row r="2896">
      <c r="A2896" t="s">
        <v>167</v>
      </c>
      <c r="B2896" t="s">
        <v>250</v>
      </c>
      <c r="C2896" s="35" t="s">
        <v>252</v>
      </c>
      <c r="D2896" t="s">
        <v>502</v>
      </c>
      <c r="E2896" t="s">
        <v>520</v>
      </c>
      <c r="F2896" s="188" t="n">
        <v>2045</v>
      </c>
      <c r="G2896" s="189" t="n">
        <v>44</v>
      </c>
      <c r="H2896" s="190" t="n">
        <v>4360.45904651355</v>
      </c>
      <c r="I2896" s="191" t="n">
        <v>4234009.66154324</v>
      </c>
      <c r="J2896" s="192" t="str">
        <f>IF(I2896&gt;0,H2896/I2896,0)</f>
      </c>
      <c r="K2896" s="193" t="str">
        <f>1-EXP(-J2896)</f>
      </c>
      <c r="L2896" s="194" t="str">
        <f>IF(G2896=30,1,M2895)</f>
      </c>
      <c r="M2896" s="195" t="str">
        <f>L2896*(1-K2896)</f>
      </c>
    </row>
    <row r="2897">
      <c r="A2897" t="s">
        <v>167</v>
      </c>
      <c r="B2897" t="s">
        <v>250</v>
      </c>
      <c r="C2897" s="35" t="s">
        <v>252</v>
      </c>
      <c r="D2897" t="s">
        <v>502</v>
      </c>
      <c r="E2897" t="s">
        <v>520</v>
      </c>
      <c r="F2897" s="188" t="n">
        <v>2045</v>
      </c>
      <c r="G2897" s="189" t="n">
        <v>45</v>
      </c>
      <c r="H2897" s="190" t="n">
        <v>5561.2558545961</v>
      </c>
      <c r="I2897" s="191" t="n">
        <v>4207699.34661735</v>
      </c>
      <c r="J2897" s="192" t="str">
        <f>IF(I2897&gt;0,H2897/I2897,0)</f>
      </c>
      <c r="K2897" s="193" t="str">
        <f>1-EXP(-J2897)</f>
      </c>
      <c r="L2897" s="194" t="str">
        <f>IF(G2897=30,1,M2896)</f>
      </c>
      <c r="M2897" s="195" t="str">
        <f>L2897*(1-K2897)</f>
      </c>
    </row>
    <row r="2898">
      <c r="A2898" t="s">
        <v>167</v>
      </c>
      <c r="B2898" t="s">
        <v>250</v>
      </c>
      <c r="C2898" s="35" t="s">
        <v>252</v>
      </c>
      <c r="D2898" t="s">
        <v>502</v>
      </c>
      <c r="E2898" t="s">
        <v>520</v>
      </c>
      <c r="F2898" s="188" t="n">
        <v>2045</v>
      </c>
      <c r="G2898" s="189" t="n">
        <v>46</v>
      </c>
      <c r="H2898" s="190" t="n">
        <v>6166.90693754462</v>
      </c>
      <c r="I2898" s="191" t="n">
        <v>4218467.41522981</v>
      </c>
      <c r="J2898" s="192" t="str">
        <f>IF(I2898&gt;0,H2898/I2898,0)</f>
      </c>
      <c r="K2898" s="193" t="str">
        <f>1-EXP(-J2898)</f>
      </c>
      <c r="L2898" s="194" t="str">
        <f>IF(G2898=30,1,M2897)</f>
      </c>
      <c r="M2898" s="195" t="str">
        <f>L2898*(1-K2898)</f>
      </c>
    </row>
    <row r="2899">
      <c r="A2899" t="s">
        <v>167</v>
      </c>
      <c r="B2899" t="s">
        <v>250</v>
      </c>
      <c r="C2899" s="35" t="s">
        <v>252</v>
      </c>
      <c r="D2899" t="s">
        <v>502</v>
      </c>
      <c r="E2899" t="s">
        <v>520</v>
      </c>
      <c r="F2899" s="188" t="n">
        <v>2045</v>
      </c>
      <c r="G2899" s="189" t="n">
        <v>47</v>
      </c>
      <c r="H2899" s="190" t="n">
        <v>6835.54669010333</v>
      </c>
      <c r="I2899" s="191" t="n">
        <v>4267054.80182951</v>
      </c>
      <c r="J2899" s="192" t="str">
        <f>IF(I2899&gt;0,H2899/I2899,0)</f>
      </c>
      <c r="K2899" s="193" t="str">
        <f>1-EXP(-J2899)</f>
      </c>
      <c r="L2899" s="194" t="str">
        <f>IF(G2899=30,1,M2898)</f>
      </c>
      <c r="M2899" s="195" t="str">
        <f>L2899*(1-K2899)</f>
      </c>
    </row>
    <row r="2900">
      <c r="A2900" t="s">
        <v>167</v>
      </c>
      <c r="B2900" t="s">
        <v>250</v>
      </c>
      <c r="C2900" s="35" t="s">
        <v>252</v>
      </c>
      <c r="D2900" t="s">
        <v>502</v>
      </c>
      <c r="E2900" t="s">
        <v>520</v>
      </c>
      <c r="F2900" s="188" t="n">
        <v>2045</v>
      </c>
      <c r="G2900" s="189" t="n">
        <v>48</v>
      </c>
      <c r="H2900" s="190" t="n">
        <v>7907.09467383011</v>
      </c>
      <c r="I2900" s="191" t="n">
        <v>4388449.03816804</v>
      </c>
      <c r="J2900" s="192" t="str">
        <f>IF(I2900&gt;0,H2900/I2900,0)</f>
      </c>
      <c r="K2900" s="193" t="str">
        <f>1-EXP(-J2900)</f>
      </c>
      <c r="L2900" s="194" t="str">
        <f>IF(G2900=30,1,M2899)</f>
      </c>
      <c r="M2900" s="195" t="str">
        <f>L2900*(1-K2900)</f>
      </c>
    </row>
    <row r="2901">
      <c r="A2901" t="s">
        <v>167</v>
      </c>
      <c r="B2901" t="s">
        <v>250</v>
      </c>
      <c r="C2901" s="35" t="s">
        <v>252</v>
      </c>
      <c r="D2901" t="s">
        <v>502</v>
      </c>
      <c r="E2901" t="s">
        <v>520</v>
      </c>
      <c r="F2901" s="188" t="n">
        <v>2045</v>
      </c>
      <c r="G2901" s="189" t="n">
        <v>49</v>
      </c>
      <c r="H2901" s="190" t="n">
        <v>8563.52234352561</v>
      </c>
      <c r="I2901" s="191" t="n">
        <v>4334486.96099216</v>
      </c>
      <c r="J2901" s="192" t="str">
        <f>IF(I2901&gt;0,H2901/I2901,0)</f>
      </c>
      <c r="K2901" s="193" t="str">
        <f>1-EXP(-J2901)</f>
      </c>
      <c r="L2901" s="194" t="str">
        <f>IF(G2901=30,1,M2900)</f>
      </c>
      <c r="M2901" s="195" t="str">
        <f>L2901*(1-K2901)</f>
      </c>
    </row>
    <row r="2902">
      <c r="A2902" t="s">
        <v>167</v>
      </c>
      <c r="B2902" t="s">
        <v>250</v>
      </c>
      <c r="C2902" s="35" t="s">
        <v>252</v>
      </c>
      <c r="D2902" t="s">
        <v>502</v>
      </c>
      <c r="E2902" t="s">
        <v>520</v>
      </c>
      <c r="F2902" s="188" t="n">
        <v>2045</v>
      </c>
      <c r="G2902" s="189" t="n">
        <v>50</v>
      </c>
      <c r="H2902" s="190" t="n">
        <v>9596.69658561974</v>
      </c>
      <c r="I2902" s="191" t="n">
        <v>4250374.67297175</v>
      </c>
      <c r="J2902" s="192" t="str">
        <f>IF(I2902&gt;0,H2902/I2902,0)</f>
      </c>
      <c r="K2902" s="193" t="str">
        <f>1-EXP(-J2902)</f>
      </c>
      <c r="L2902" s="194" t="str">
        <f>IF(G2902=30,1,M2901)</f>
      </c>
      <c r="M2902" s="195" t="str">
        <f>L2902*(1-K2902)</f>
      </c>
    </row>
    <row r="2903">
      <c r="A2903" t="s">
        <v>167</v>
      </c>
      <c r="B2903" t="s">
        <v>250</v>
      </c>
      <c r="C2903" s="35" t="s">
        <v>252</v>
      </c>
      <c r="D2903" t="s">
        <v>502</v>
      </c>
      <c r="E2903" t="s">
        <v>520</v>
      </c>
      <c r="F2903" s="188" t="n">
        <v>2045</v>
      </c>
      <c r="G2903" s="189" t="n">
        <v>51</v>
      </c>
      <c r="H2903" s="190" t="n">
        <v>10323.99146218</v>
      </c>
      <c r="I2903" s="191" t="n">
        <v>4179623.78086712</v>
      </c>
      <c r="J2903" s="192" t="str">
        <f>IF(I2903&gt;0,H2903/I2903,0)</f>
      </c>
      <c r="K2903" s="193" t="str">
        <f>1-EXP(-J2903)</f>
      </c>
      <c r="L2903" s="194" t="str">
        <f>IF(G2903=30,1,M2902)</f>
      </c>
      <c r="M2903" s="195" t="str">
        <f>L2903*(1-K2903)</f>
      </c>
    </row>
    <row r="2904">
      <c r="A2904" t="s">
        <v>167</v>
      </c>
      <c r="B2904" t="s">
        <v>250</v>
      </c>
      <c r="C2904" s="35" t="s">
        <v>252</v>
      </c>
      <c r="D2904" t="s">
        <v>502</v>
      </c>
      <c r="E2904" t="s">
        <v>520</v>
      </c>
      <c r="F2904" s="188" t="n">
        <v>2045</v>
      </c>
      <c r="G2904" s="189" t="n">
        <v>52</v>
      </c>
      <c r="H2904" s="190" t="n">
        <v>11103.2769316038</v>
      </c>
      <c r="I2904" s="191" t="n">
        <v>4111706.9955319</v>
      </c>
      <c r="J2904" s="192" t="str">
        <f>IF(I2904&gt;0,H2904/I2904,0)</f>
      </c>
      <c r="K2904" s="193" t="str">
        <f>1-EXP(-J2904)</f>
      </c>
      <c r="L2904" s="194" t="str">
        <f>IF(G2904=30,1,M2903)</f>
      </c>
      <c r="M2904" s="195" t="str">
        <f>L2904*(1-K2904)</f>
      </c>
    </row>
    <row r="2905">
      <c r="A2905" t="s">
        <v>167</v>
      </c>
      <c r="B2905" t="s">
        <v>250</v>
      </c>
      <c r="C2905" s="35" t="s">
        <v>252</v>
      </c>
      <c r="D2905" t="s">
        <v>502</v>
      </c>
      <c r="E2905" t="s">
        <v>520</v>
      </c>
      <c r="F2905" s="188" t="n">
        <v>2045</v>
      </c>
      <c r="G2905" s="189" t="n">
        <v>53</v>
      </c>
      <c r="H2905" s="190" t="n">
        <v>12147.6790601146</v>
      </c>
      <c r="I2905" s="191" t="n">
        <v>4129321.05727435</v>
      </c>
      <c r="J2905" s="192" t="str">
        <f>IF(I2905&gt;0,H2905/I2905,0)</f>
      </c>
      <c r="K2905" s="193" t="str">
        <f>1-EXP(-J2905)</f>
      </c>
      <c r="L2905" s="194" t="str">
        <f>IF(G2905=30,1,M2904)</f>
      </c>
      <c r="M2905" s="195" t="str">
        <f>L2905*(1-K2905)</f>
      </c>
    </row>
    <row r="2906">
      <c r="A2906" t="s">
        <v>167</v>
      </c>
      <c r="B2906" t="s">
        <v>250</v>
      </c>
      <c r="C2906" s="35" t="s">
        <v>252</v>
      </c>
      <c r="D2906" t="s">
        <v>502</v>
      </c>
      <c r="E2906" t="s">
        <v>520</v>
      </c>
      <c r="F2906" s="188" t="n">
        <v>2045</v>
      </c>
      <c r="G2906" s="189" t="n">
        <v>54</v>
      </c>
      <c r="H2906" s="190" t="n">
        <v>13222.1803133197</v>
      </c>
      <c r="I2906" s="191" t="n">
        <v>4126072.04383447</v>
      </c>
      <c r="J2906" s="192" t="str">
        <f>IF(I2906&gt;0,H2906/I2906,0)</f>
      </c>
      <c r="K2906" s="193" t="str">
        <f>1-EXP(-J2906)</f>
      </c>
      <c r="L2906" s="194" t="str">
        <f>IF(G2906=30,1,M2905)</f>
      </c>
      <c r="M2906" s="195" t="str">
        <f>L2906*(1-K2906)</f>
      </c>
    </row>
    <row r="2907">
      <c r="A2907" t="s">
        <v>167</v>
      </c>
      <c r="B2907" t="s">
        <v>250</v>
      </c>
      <c r="C2907" s="35" t="s">
        <v>252</v>
      </c>
      <c r="D2907" t="s">
        <v>502</v>
      </c>
      <c r="E2907" t="s">
        <v>520</v>
      </c>
      <c r="F2907" s="188" t="n">
        <v>2045</v>
      </c>
      <c r="G2907" s="189" t="n">
        <v>55</v>
      </c>
      <c r="H2907" s="190" t="n">
        <v>19011.9484629318</v>
      </c>
      <c r="I2907" s="191" t="n">
        <v>6066733.45017465</v>
      </c>
      <c r="J2907" s="192" t="str">
        <f>IF(I2907&gt;0,H2907/I2907,0)</f>
      </c>
      <c r="K2907" s="193" t="str">
        <f>1-EXP(-J2907)</f>
      </c>
      <c r="L2907" s="194" t="str">
        <f>IF(G2907=30,1,M2906)</f>
      </c>
      <c r="M2907" s="195" t="str">
        <f>L2907*(1-K2907)</f>
      </c>
    </row>
    <row r="2908">
      <c r="A2908" t="s">
        <v>167</v>
      </c>
      <c r="B2908" t="s">
        <v>250</v>
      </c>
      <c r="C2908" s="35" t="s">
        <v>252</v>
      </c>
      <c r="D2908" t="s">
        <v>502</v>
      </c>
      <c r="E2908" t="s">
        <v>520</v>
      </c>
      <c r="F2908" s="188" t="n">
        <v>2045</v>
      </c>
      <c r="G2908" s="189" t="n">
        <v>56</v>
      </c>
      <c r="H2908" s="190" t="n">
        <v>15099.9394089727</v>
      </c>
      <c r="I2908" s="191" t="n">
        <v>4041008.44582837</v>
      </c>
      <c r="J2908" s="192" t="str">
        <f>IF(I2908&gt;0,H2908/I2908,0)</f>
      </c>
      <c r="K2908" s="193" t="str">
        <f>1-EXP(-J2908)</f>
      </c>
      <c r="L2908" s="194" t="str">
        <f>IF(G2908=30,1,M2907)</f>
      </c>
      <c r="M2908" s="195" t="str">
        <f>L2908*(1-K2908)</f>
      </c>
    </row>
    <row r="2909">
      <c r="A2909" t="s">
        <v>167</v>
      </c>
      <c r="B2909" t="s">
        <v>250</v>
      </c>
      <c r="C2909" s="35" t="s">
        <v>252</v>
      </c>
      <c r="D2909" t="s">
        <v>502</v>
      </c>
      <c r="E2909" t="s">
        <v>520</v>
      </c>
      <c r="F2909" s="188" t="n">
        <v>2045</v>
      </c>
      <c r="G2909" s="189" t="n">
        <v>57</v>
      </c>
      <c r="H2909" s="190" t="n">
        <v>16297.4952710442</v>
      </c>
      <c r="I2909" s="191" t="n">
        <v>3999448.84158188</v>
      </c>
      <c r="J2909" s="192" t="str">
        <f>IF(I2909&gt;0,H2909/I2909,0)</f>
      </c>
      <c r="K2909" s="193" t="str">
        <f>1-EXP(-J2909)</f>
      </c>
      <c r="L2909" s="194" t="str">
        <f>IF(G2909=30,1,M2908)</f>
      </c>
      <c r="M2909" s="195" t="str">
        <f>L2909*(1-K2909)</f>
      </c>
    </row>
    <row r="2910">
      <c r="A2910" t="s">
        <v>167</v>
      </c>
      <c r="B2910" t="s">
        <v>250</v>
      </c>
      <c r="C2910" s="35" t="s">
        <v>252</v>
      </c>
      <c r="D2910" t="s">
        <v>502</v>
      </c>
      <c r="E2910" t="s">
        <v>520</v>
      </c>
      <c r="F2910" s="188" t="n">
        <v>2045</v>
      </c>
      <c r="G2910" s="189" t="n">
        <v>58</v>
      </c>
      <c r="H2910" s="190" t="n">
        <v>17142.34248087</v>
      </c>
      <c r="I2910" s="191" t="n">
        <v>3849460.72451197</v>
      </c>
      <c r="J2910" s="192" t="str">
        <f>IF(I2910&gt;0,H2910/I2910,0)</f>
      </c>
      <c r="K2910" s="193" t="str">
        <f>1-EXP(-J2910)</f>
      </c>
      <c r="L2910" s="194" t="str">
        <f>IF(G2910=30,1,M2909)</f>
      </c>
      <c r="M2910" s="195" t="str">
        <f>L2910*(1-K2910)</f>
      </c>
    </row>
    <row r="2911">
      <c r="A2911" t="s">
        <v>167</v>
      </c>
      <c r="B2911" t="s">
        <v>250</v>
      </c>
      <c r="C2911" s="35" t="s">
        <v>252</v>
      </c>
      <c r="D2911" t="s">
        <v>502</v>
      </c>
      <c r="E2911" t="s">
        <v>520</v>
      </c>
      <c r="F2911" s="188" t="n">
        <v>2045</v>
      </c>
      <c r="G2911" s="189" t="n">
        <v>59</v>
      </c>
      <c r="H2911" s="190" t="n">
        <v>18456.2407682445</v>
      </c>
      <c r="I2911" s="191" t="n">
        <v>3788097.46960858</v>
      </c>
      <c r="J2911" s="192" t="str">
        <f>IF(I2911&gt;0,H2911/I2911,0)</f>
      </c>
      <c r="K2911" s="193" t="str">
        <f>1-EXP(-J2911)</f>
      </c>
      <c r="L2911" s="194" t="str">
        <f>IF(G2911=30,1,M2910)</f>
      </c>
      <c r="M2911" s="195" t="str">
        <f>L2911*(1-K2911)</f>
      </c>
    </row>
    <row r="2912">
      <c r="A2912" t="s">
        <v>167</v>
      </c>
      <c r="B2912" t="s">
        <v>250</v>
      </c>
      <c r="C2912" s="35" t="s">
        <v>252</v>
      </c>
      <c r="D2912" t="s">
        <v>502</v>
      </c>
      <c r="E2912" t="s">
        <v>520</v>
      </c>
      <c r="F2912" s="188" t="n">
        <v>2045</v>
      </c>
      <c r="G2912" s="189" t="n">
        <v>60</v>
      </c>
      <c r="H2912" s="190" t="n">
        <v>20091.9237771582</v>
      </c>
      <c r="I2912" s="191" t="n">
        <v>3809224.0393827</v>
      </c>
      <c r="J2912" s="192" t="str">
        <f>IF(I2912&gt;0,H2912/I2912,0)</f>
      </c>
      <c r="K2912" s="193" t="str">
        <f>1-EXP(-J2912)</f>
      </c>
      <c r="L2912" s="194" t="str">
        <f>IF(G2912=30,1,M2911)</f>
      </c>
      <c r="M2912" s="195" t="str">
        <f>L2912*(1-K2912)</f>
      </c>
    </row>
    <row r="2913">
      <c r="A2913" t="s">
        <v>167</v>
      </c>
      <c r="B2913" t="s">
        <v>250</v>
      </c>
      <c r="C2913" s="35" t="s">
        <v>252</v>
      </c>
      <c r="D2913" t="s">
        <v>502</v>
      </c>
      <c r="E2913" t="s">
        <v>520</v>
      </c>
      <c r="F2913" s="188" t="n">
        <v>2045</v>
      </c>
      <c r="G2913" s="189" t="n">
        <v>61</v>
      </c>
      <c r="H2913" s="190" t="n">
        <v>22275.2131934017</v>
      </c>
      <c r="I2913" s="191" t="n">
        <v>3848887.38519028</v>
      </c>
      <c r="J2913" s="192" t="str">
        <f>IF(I2913&gt;0,H2913/I2913,0)</f>
      </c>
      <c r="K2913" s="193" t="str">
        <f>1-EXP(-J2913)</f>
      </c>
      <c r="L2913" s="194" t="str">
        <f>IF(G2913=30,1,M2912)</f>
      </c>
      <c r="M2913" s="195" t="str">
        <f>L2913*(1-K2913)</f>
      </c>
    </row>
    <row r="2914">
      <c r="A2914" t="s">
        <v>167</v>
      </c>
      <c r="B2914" t="s">
        <v>250</v>
      </c>
      <c r="C2914" s="35" t="s">
        <v>252</v>
      </c>
      <c r="D2914" t="s">
        <v>502</v>
      </c>
      <c r="E2914" t="s">
        <v>520</v>
      </c>
      <c r="F2914" s="188" t="n">
        <v>2045</v>
      </c>
      <c r="G2914" s="189" t="n">
        <v>62</v>
      </c>
      <c r="H2914" s="190" t="n">
        <v>24055.7167845972</v>
      </c>
      <c r="I2914" s="191" t="n">
        <v>3787399.75753471</v>
      </c>
      <c r="J2914" s="192" t="str">
        <f>IF(I2914&gt;0,H2914/I2914,0)</f>
      </c>
      <c r="K2914" s="193" t="str">
        <f>1-EXP(-J2914)</f>
      </c>
      <c r="L2914" s="194" t="str">
        <f>IF(G2914=30,1,M2913)</f>
      </c>
      <c r="M2914" s="195" t="str">
        <f>L2914*(1-K2914)</f>
      </c>
    </row>
    <row r="2915">
      <c r="A2915" t="s">
        <v>167</v>
      </c>
      <c r="B2915" t="s">
        <v>250</v>
      </c>
      <c r="C2915" s="35" t="s">
        <v>252</v>
      </c>
      <c r="D2915" t="s">
        <v>502</v>
      </c>
      <c r="E2915" t="s">
        <v>520</v>
      </c>
      <c r="F2915" s="188" t="n">
        <v>2045</v>
      </c>
      <c r="G2915" s="189" t="n">
        <v>63</v>
      </c>
      <c r="H2915" s="190" t="n">
        <v>25286.0573113706</v>
      </c>
      <c r="I2915" s="191" t="n">
        <v>3624072.941701</v>
      </c>
      <c r="J2915" s="192" t="str">
        <f>IF(I2915&gt;0,H2915/I2915,0)</f>
      </c>
      <c r="K2915" s="193" t="str">
        <f>1-EXP(-J2915)</f>
      </c>
      <c r="L2915" s="194" t="str">
        <f>IF(G2915=30,1,M2914)</f>
      </c>
      <c r="M2915" s="195" t="str">
        <f>L2915*(1-K2915)</f>
      </c>
    </row>
    <row r="2916">
      <c r="A2916" t="s">
        <v>167</v>
      </c>
      <c r="B2916" t="s">
        <v>250</v>
      </c>
      <c r="C2916" s="35" t="s">
        <v>252</v>
      </c>
      <c r="D2916" t="s">
        <v>502</v>
      </c>
      <c r="E2916" t="s">
        <v>520</v>
      </c>
      <c r="F2916" s="188" t="n">
        <v>2045</v>
      </c>
      <c r="G2916" s="189" t="n">
        <v>64</v>
      </c>
      <c r="H2916" s="190" t="n">
        <v>26903.8985410257</v>
      </c>
      <c r="I2916" s="191" t="n">
        <v>3514316.99075611</v>
      </c>
      <c r="J2916" s="192" t="str">
        <f>IF(I2916&gt;0,H2916/I2916,0)</f>
      </c>
      <c r="K2916" s="193" t="str">
        <f>1-EXP(-J2916)</f>
      </c>
      <c r="L2916" s="194" t="str">
        <f>IF(G2916=30,1,M2915)</f>
      </c>
      <c r="M2916" s="195" t="str">
        <f>L2916*(1-K2916)</f>
      </c>
    </row>
    <row r="2917">
      <c r="A2917" t="s">
        <v>167</v>
      </c>
      <c r="B2917" t="s">
        <v>250</v>
      </c>
      <c r="C2917" s="35" t="s">
        <v>252</v>
      </c>
      <c r="D2917" t="s">
        <v>502</v>
      </c>
      <c r="E2917" t="s">
        <v>520</v>
      </c>
      <c r="F2917" s="188" t="n">
        <v>2045</v>
      </c>
      <c r="G2917" s="189" t="n">
        <v>65</v>
      </c>
      <c r="H2917" s="190" t="n">
        <v>27354.3520328123</v>
      </c>
      <c r="I2917" s="191" t="n">
        <v>3415979.25973463</v>
      </c>
      <c r="J2917" s="192" t="str">
        <f>IF(I2917&gt;0,H2917/I2917,0)</f>
      </c>
      <c r="K2917" s="193" t="str">
        <f>1-EXP(-J2917)</f>
      </c>
      <c r="L2917" s="194" t="str">
        <f>IF(G2917=30,1,M2916)</f>
      </c>
      <c r="M2917" s="195" t="str">
        <f>L2917*(1-K2917)</f>
      </c>
    </row>
    <row r="2918">
      <c r="A2918" t="s">
        <v>167</v>
      </c>
      <c r="B2918" t="s">
        <v>250</v>
      </c>
      <c r="C2918" s="35" t="s">
        <v>252</v>
      </c>
      <c r="D2918" t="s">
        <v>502</v>
      </c>
      <c r="E2918" t="s">
        <v>520</v>
      </c>
      <c r="F2918" s="188" t="n">
        <v>2045</v>
      </c>
      <c r="G2918" s="189" t="n">
        <v>66</v>
      </c>
      <c r="H2918" s="190" t="n">
        <v>29100.2520751378</v>
      </c>
      <c r="I2918" s="191" t="n">
        <v>3311212.62765613</v>
      </c>
      <c r="J2918" s="192" t="str">
        <f>IF(I2918&gt;0,H2918/I2918,0)</f>
      </c>
      <c r="K2918" s="193" t="str">
        <f>1-EXP(-J2918)</f>
      </c>
      <c r="L2918" s="194" t="str">
        <f>IF(G2918=30,1,M2917)</f>
      </c>
      <c r="M2918" s="195" t="str">
        <f>L2918*(1-K2918)</f>
      </c>
    </row>
    <row r="2919">
      <c r="A2919" t="s">
        <v>167</v>
      </c>
      <c r="B2919" t="s">
        <v>250</v>
      </c>
      <c r="C2919" s="35" t="s">
        <v>252</v>
      </c>
      <c r="D2919" t="s">
        <v>502</v>
      </c>
      <c r="E2919" t="s">
        <v>520</v>
      </c>
      <c r="F2919" s="188" t="n">
        <v>2045</v>
      </c>
      <c r="G2919" s="189" t="n">
        <v>67</v>
      </c>
      <c r="H2919" s="190" t="n">
        <v>30768.6878200528</v>
      </c>
      <c r="I2919" s="191" t="n">
        <v>3187286.07688777</v>
      </c>
      <c r="J2919" s="192" t="str">
        <f>IF(I2919&gt;0,H2919/I2919,0)</f>
      </c>
      <c r="K2919" s="193" t="str">
        <f>1-EXP(-J2919)</f>
      </c>
      <c r="L2919" s="194" t="str">
        <f>IF(G2919=30,1,M2918)</f>
      </c>
      <c r="M2919" s="195" t="str">
        <f>L2919*(1-K2919)</f>
      </c>
    </row>
    <row r="2920">
      <c r="A2920" t="s">
        <v>167</v>
      </c>
      <c r="B2920" t="s">
        <v>250</v>
      </c>
      <c r="C2920" s="35" t="s">
        <v>252</v>
      </c>
      <c r="D2920" t="s">
        <v>502</v>
      </c>
      <c r="E2920" t="s">
        <v>520</v>
      </c>
      <c r="F2920" s="188" t="n">
        <v>2045</v>
      </c>
      <c r="G2920" s="189" t="n">
        <v>68</v>
      </c>
      <c r="H2920" s="190" t="n">
        <v>32653.3894030481</v>
      </c>
      <c r="I2920" s="191" t="n">
        <v>3074540.21371738</v>
      </c>
      <c r="J2920" s="192" t="str">
        <f>IF(I2920&gt;0,H2920/I2920,0)</f>
      </c>
      <c r="K2920" s="193" t="str">
        <f>1-EXP(-J2920)</f>
      </c>
      <c r="L2920" s="194" t="str">
        <f>IF(G2920=30,1,M2919)</f>
      </c>
      <c r="M2920" s="195" t="str">
        <f>L2920*(1-K2920)</f>
      </c>
    </row>
    <row r="2921">
      <c r="A2921" t="s">
        <v>167</v>
      </c>
      <c r="B2921" t="s">
        <v>250</v>
      </c>
      <c r="C2921" s="35" t="s">
        <v>252</v>
      </c>
      <c r="D2921" t="s">
        <v>502</v>
      </c>
      <c r="E2921" t="s">
        <v>520</v>
      </c>
      <c r="F2921" s="188" t="n">
        <v>2045</v>
      </c>
      <c r="G2921" s="189" t="n">
        <v>69</v>
      </c>
      <c r="H2921" s="190" t="n">
        <v>34471.5006745045</v>
      </c>
      <c r="I2921" s="191" t="n">
        <v>2950690.5942096</v>
      </c>
      <c r="J2921" s="192" t="str">
        <f>IF(I2921&gt;0,H2921/I2921,0)</f>
      </c>
      <c r="K2921" s="193" t="str">
        <f>1-EXP(-J2921)</f>
      </c>
      <c r="L2921" s="194" t="str">
        <f>IF(G2921=30,1,M2920)</f>
      </c>
      <c r="M2921" s="195" t="str">
        <f>L2921*(1-K2921)</f>
      </c>
    </row>
    <row r="2922">
      <c r="A2922" t="s">
        <v>167</v>
      </c>
      <c r="B2922" t="s">
        <v>250</v>
      </c>
      <c r="C2922" s="35" t="s">
        <v>252</v>
      </c>
      <c r="D2922" t="s">
        <v>502</v>
      </c>
      <c r="E2922" t="s">
        <v>520</v>
      </c>
      <c r="F2922" s="188" t="n">
        <v>2046</v>
      </c>
      <c r="G2922" s="189" t="n">
        <v>30</v>
      </c>
      <c r="H2922" s="190" t="n">
        <v>684.434180731945</v>
      </c>
      <c r="I2922" s="191" t="n">
        <v>4588348.05723785</v>
      </c>
      <c r="J2922" s="192" t="str">
        <f>IF(I2922&gt;0,H2922/I2922,0)</f>
      </c>
      <c r="K2922" s="193" t="str">
        <f>1-EXP(-J2922)</f>
      </c>
      <c r="L2922" s="194" t="str">
        <f>IF(G2922=30,1,M2921)</f>
      </c>
      <c r="M2922" s="195" t="str">
        <f>L2922*(1-K2922)</f>
      </c>
    </row>
    <row r="2923">
      <c r="A2923" t="s">
        <v>167</v>
      </c>
      <c r="B2923" t="s">
        <v>250</v>
      </c>
      <c r="C2923" s="35" t="s">
        <v>252</v>
      </c>
      <c r="D2923" t="s">
        <v>502</v>
      </c>
      <c r="E2923" t="s">
        <v>520</v>
      </c>
      <c r="F2923" s="188" t="n">
        <v>2046</v>
      </c>
      <c r="G2923" s="189" t="n">
        <v>31</v>
      </c>
      <c r="H2923" s="190" t="n">
        <v>966.575475823159</v>
      </c>
      <c r="I2923" s="191" t="n">
        <v>4637157.92990985</v>
      </c>
      <c r="J2923" s="192" t="str">
        <f>IF(I2923&gt;0,H2923/I2923,0)</f>
      </c>
      <c r="K2923" s="193" t="str">
        <f>1-EXP(-J2923)</f>
      </c>
      <c r="L2923" s="194" t="str">
        <f>IF(G2923=30,1,M2922)</f>
      </c>
      <c r="M2923" s="195" t="str">
        <f>L2923*(1-K2923)</f>
      </c>
    </row>
    <row r="2924">
      <c r="A2924" t="s">
        <v>167</v>
      </c>
      <c r="B2924" t="s">
        <v>250</v>
      </c>
      <c r="C2924" s="35" t="s">
        <v>252</v>
      </c>
      <c r="D2924" t="s">
        <v>502</v>
      </c>
      <c r="E2924" t="s">
        <v>520</v>
      </c>
      <c r="F2924" s="188" t="n">
        <v>2046</v>
      </c>
      <c r="G2924" s="189" t="n">
        <v>32</v>
      </c>
      <c r="H2924" s="190" t="n">
        <v>1033.29037238777</v>
      </c>
      <c r="I2924" s="191" t="n">
        <v>4703684.15020281</v>
      </c>
      <c r="J2924" s="192" t="str">
        <f>IF(I2924&gt;0,H2924/I2924,0)</f>
      </c>
      <c r="K2924" s="193" t="str">
        <f>1-EXP(-J2924)</f>
      </c>
      <c r="L2924" s="194" t="str">
        <f>IF(G2924=30,1,M2923)</f>
      </c>
      <c r="M2924" s="195" t="str">
        <f>L2924*(1-K2924)</f>
      </c>
    </row>
    <row r="2925">
      <c r="A2925" t="s">
        <v>167</v>
      </c>
      <c r="B2925" t="s">
        <v>250</v>
      </c>
      <c r="C2925" s="35" t="s">
        <v>252</v>
      </c>
      <c r="D2925" t="s">
        <v>502</v>
      </c>
      <c r="E2925" t="s">
        <v>520</v>
      </c>
      <c r="F2925" s="188" t="n">
        <v>2046</v>
      </c>
      <c r="G2925" s="189" t="n">
        <v>33</v>
      </c>
      <c r="H2925" s="190" t="n">
        <v>1110.68305956799</v>
      </c>
      <c r="I2925" s="191" t="n">
        <v>4771565.65345029</v>
      </c>
      <c r="J2925" s="192" t="str">
        <f>IF(I2925&gt;0,H2925/I2925,0)</f>
      </c>
      <c r="K2925" s="193" t="str">
        <f>1-EXP(-J2925)</f>
      </c>
      <c r="L2925" s="194" t="str">
        <f>IF(G2925=30,1,M2924)</f>
      </c>
      <c r="M2925" s="195" t="str">
        <f>L2925*(1-K2925)</f>
      </c>
    </row>
    <row r="2926">
      <c r="A2926" t="s">
        <v>167</v>
      </c>
      <c r="B2926" t="s">
        <v>250</v>
      </c>
      <c r="C2926" s="35" t="s">
        <v>252</v>
      </c>
      <c r="D2926" t="s">
        <v>502</v>
      </c>
      <c r="E2926" t="s">
        <v>520</v>
      </c>
      <c r="F2926" s="188" t="n">
        <v>2046</v>
      </c>
      <c r="G2926" s="189" t="n">
        <v>34</v>
      </c>
      <c r="H2926" s="190" t="n">
        <v>1255.48969235468</v>
      </c>
      <c r="I2926" s="191" t="n">
        <v>4883655.44682455</v>
      </c>
      <c r="J2926" s="192" t="str">
        <f>IF(I2926&gt;0,H2926/I2926,0)</f>
      </c>
      <c r="K2926" s="193" t="str">
        <f>1-EXP(-J2926)</f>
      </c>
      <c r="L2926" s="194" t="str">
        <f>IF(G2926=30,1,M2925)</f>
      </c>
      <c r="M2926" s="195" t="str">
        <f>L2926*(1-K2926)</f>
      </c>
    </row>
    <row r="2927">
      <c r="A2927" t="s">
        <v>167</v>
      </c>
      <c r="B2927" t="s">
        <v>250</v>
      </c>
      <c r="C2927" s="35" t="s">
        <v>252</v>
      </c>
      <c r="D2927" t="s">
        <v>502</v>
      </c>
      <c r="E2927" t="s">
        <v>520</v>
      </c>
      <c r="F2927" s="188" t="n">
        <v>2046</v>
      </c>
      <c r="G2927" s="189" t="n">
        <v>35</v>
      </c>
      <c r="H2927" s="190" t="n">
        <v>1631.51654882892</v>
      </c>
      <c r="I2927" s="191" t="n">
        <v>4854937.01855288</v>
      </c>
      <c r="J2927" s="192" t="str">
        <f>IF(I2927&gt;0,H2927/I2927,0)</f>
      </c>
      <c r="K2927" s="193" t="str">
        <f>1-EXP(-J2927)</f>
      </c>
      <c r="L2927" s="194" t="str">
        <f>IF(G2927=30,1,M2926)</f>
      </c>
      <c r="M2927" s="195" t="str">
        <f>L2927*(1-K2927)</f>
      </c>
    </row>
    <row r="2928">
      <c r="A2928" t="s">
        <v>167</v>
      </c>
      <c r="B2928" t="s">
        <v>250</v>
      </c>
      <c r="C2928" s="35" t="s">
        <v>252</v>
      </c>
      <c r="D2928" t="s">
        <v>502</v>
      </c>
      <c r="E2928" t="s">
        <v>520</v>
      </c>
      <c r="F2928" s="188" t="n">
        <v>2046</v>
      </c>
      <c r="G2928" s="189" t="n">
        <v>36</v>
      </c>
      <c r="H2928" s="190" t="n">
        <v>1860.33065887844</v>
      </c>
      <c r="I2928" s="191" t="n">
        <v>4720387.69291013</v>
      </c>
      <c r="J2928" s="192" t="str">
        <f>IF(I2928&gt;0,H2928/I2928,0)</f>
      </c>
      <c r="K2928" s="193" t="str">
        <f>1-EXP(-J2928)</f>
      </c>
      <c r="L2928" s="194" t="str">
        <f>IF(G2928=30,1,M2927)</f>
      </c>
      <c r="M2928" s="195" t="str">
        <f>L2928*(1-K2928)</f>
      </c>
    </row>
    <row r="2929">
      <c r="A2929" t="s">
        <v>167</v>
      </c>
      <c r="B2929" t="s">
        <v>250</v>
      </c>
      <c r="C2929" s="35" t="s">
        <v>252</v>
      </c>
      <c r="D2929" t="s">
        <v>502</v>
      </c>
      <c r="E2929" t="s">
        <v>520</v>
      </c>
      <c r="F2929" s="188" t="n">
        <v>2046</v>
      </c>
      <c r="G2929" s="189" t="n">
        <v>37</v>
      </c>
      <c r="H2929" s="190" t="n">
        <v>1969.22612114152</v>
      </c>
      <c r="I2929" s="191" t="n">
        <v>4648502.81968253</v>
      </c>
      <c r="J2929" s="192" t="str">
        <f>IF(I2929&gt;0,H2929/I2929,0)</f>
      </c>
      <c r="K2929" s="193" t="str">
        <f>1-EXP(-J2929)</f>
      </c>
      <c r="L2929" s="194" t="str">
        <f>IF(G2929=30,1,M2928)</f>
      </c>
      <c r="M2929" s="195" t="str">
        <f>L2929*(1-K2929)</f>
      </c>
    </row>
    <row r="2930">
      <c r="A2930" t="s">
        <v>167</v>
      </c>
      <c r="B2930" t="s">
        <v>250</v>
      </c>
      <c r="C2930" s="35" t="s">
        <v>252</v>
      </c>
      <c r="D2930" t="s">
        <v>502</v>
      </c>
      <c r="E2930" t="s">
        <v>520</v>
      </c>
      <c r="F2930" s="188" t="n">
        <v>2046</v>
      </c>
      <c r="G2930" s="189" t="n">
        <v>38</v>
      </c>
      <c r="H2930" s="190" t="n">
        <v>2104.21080792247</v>
      </c>
      <c r="I2930" s="191" t="n">
        <v>4604232.57894468</v>
      </c>
      <c r="J2930" s="192" t="str">
        <f>IF(I2930&gt;0,H2930/I2930,0)</f>
      </c>
      <c r="K2930" s="193" t="str">
        <f>1-EXP(-J2930)</f>
      </c>
      <c r="L2930" s="194" t="str">
        <f>IF(G2930=30,1,M2929)</f>
      </c>
      <c r="M2930" s="195" t="str">
        <f>L2930*(1-K2930)</f>
      </c>
    </row>
    <row r="2931">
      <c r="A2931" t="s">
        <v>167</v>
      </c>
      <c r="B2931" t="s">
        <v>250</v>
      </c>
      <c r="C2931" s="35" t="s">
        <v>252</v>
      </c>
      <c r="D2931" t="s">
        <v>502</v>
      </c>
      <c r="E2931" t="s">
        <v>520</v>
      </c>
      <c r="F2931" s="188" t="n">
        <v>2046</v>
      </c>
      <c r="G2931" s="189" t="n">
        <v>39</v>
      </c>
      <c r="H2931" s="190" t="n">
        <v>2348.72420320473</v>
      </c>
      <c r="I2931" s="191" t="n">
        <v>4627302.81101345</v>
      </c>
      <c r="J2931" s="192" t="str">
        <f>IF(I2931&gt;0,H2931/I2931,0)</f>
      </c>
      <c r="K2931" s="193" t="str">
        <f>1-EXP(-J2931)</f>
      </c>
      <c r="L2931" s="194" t="str">
        <f>IF(G2931=30,1,M2930)</f>
      </c>
      <c r="M2931" s="195" t="str">
        <f>L2931*(1-K2931)</f>
      </c>
    </row>
    <row r="2932">
      <c r="A2932" t="s">
        <v>167</v>
      </c>
      <c r="B2932" t="s">
        <v>250</v>
      </c>
      <c r="C2932" s="35" t="s">
        <v>252</v>
      </c>
      <c r="D2932" t="s">
        <v>502</v>
      </c>
      <c r="E2932" t="s">
        <v>520</v>
      </c>
      <c r="F2932" s="188" t="n">
        <v>2046</v>
      </c>
      <c r="G2932" s="189" t="n">
        <v>40</v>
      </c>
      <c r="H2932" s="190" t="n">
        <v>3095.64809895427</v>
      </c>
      <c r="I2932" s="191" t="n">
        <v>4542167.95765956</v>
      </c>
      <c r="J2932" s="192" t="str">
        <f>IF(I2932&gt;0,H2932/I2932,0)</f>
      </c>
      <c r="K2932" s="193" t="str">
        <f>1-EXP(-J2932)</f>
      </c>
      <c r="L2932" s="194" t="str">
        <f>IF(G2932=30,1,M2931)</f>
      </c>
      <c r="M2932" s="195" t="str">
        <f>L2932*(1-K2932)</f>
      </c>
    </row>
    <row r="2933">
      <c r="A2933" t="s">
        <v>167</v>
      </c>
      <c r="B2933" t="s">
        <v>250</v>
      </c>
      <c r="C2933" s="35" t="s">
        <v>252</v>
      </c>
      <c r="D2933" t="s">
        <v>502</v>
      </c>
      <c r="E2933" t="s">
        <v>520</v>
      </c>
      <c r="F2933" s="188" t="n">
        <v>2046</v>
      </c>
      <c r="G2933" s="189" t="n">
        <v>41</v>
      </c>
      <c r="H2933" s="190" t="n">
        <v>3432.43746837248</v>
      </c>
      <c r="I2933" s="191" t="n">
        <v>4477660.73887489</v>
      </c>
      <c r="J2933" s="192" t="str">
        <f>IF(I2933&gt;0,H2933/I2933,0)</f>
      </c>
      <c r="K2933" s="193" t="str">
        <f>1-EXP(-J2933)</f>
      </c>
      <c r="L2933" s="194" t="str">
        <f>IF(G2933=30,1,M2932)</f>
      </c>
      <c r="M2933" s="195" t="str">
        <f>L2933*(1-K2933)</f>
      </c>
    </row>
    <row r="2934">
      <c r="A2934" t="s">
        <v>167</v>
      </c>
      <c r="B2934" t="s">
        <v>250</v>
      </c>
      <c r="C2934" s="35" t="s">
        <v>252</v>
      </c>
      <c r="D2934" t="s">
        <v>502</v>
      </c>
      <c r="E2934" t="s">
        <v>520</v>
      </c>
      <c r="F2934" s="188" t="n">
        <v>2046</v>
      </c>
      <c r="G2934" s="189" t="n">
        <v>42</v>
      </c>
      <c r="H2934" s="190" t="n">
        <v>3616.18149833199</v>
      </c>
      <c r="I2934" s="191" t="n">
        <v>4346585.24676053</v>
      </c>
      <c r="J2934" s="192" t="str">
        <f>IF(I2934&gt;0,H2934/I2934,0)</f>
      </c>
      <c r="K2934" s="193" t="str">
        <f>1-EXP(-J2934)</f>
      </c>
      <c r="L2934" s="194" t="str">
        <f>IF(G2934=30,1,M2933)</f>
      </c>
      <c r="M2934" s="195" t="str">
        <f>L2934*(1-K2934)</f>
      </c>
    </row>
    <row r="2935">
      <c r="A2935" t="s">
        <v>167</v>
      </c>
      <c r="B2935" t="s">
        <v>250</v>
      </c>
      <c r="C2935" s="35" t="s">
        <v>252</v>
      </c>
      <c r="D2935" t="s">
        <v>502</v>
      </c>
      <c r="E2935" t="s">
        <v>520</v>
      </c>
      <c r="F2935" s="188" t="n">
        <v>2046</v>
      </c>
      <c r="G2935" s="189" t="n">
        <v>43</v>
      </c>
      <c r="H2935" s="190" t="n">
        <v>3870.77188326744</v>
      </c>
      <c r="I2935" s="191" t="n">
        <v>4277238.86145573</v>
      </c>
      <c r="J2935" s="192" t="str">
        <f>IF(I2935&gt;0,H2935/I2935,0)</f>
      </c>
      <c r="K2935" s="193" t="str">
        <f>1-EXP(-J2935)</f>
      </c>
      <c r="L2935" s="194" t="str">
        <f>IF(G2935=30,1,M2934)</f>
      </c>
      <c r="M2935" s="195" t="str">
        <f>L2935*(1-K2935)</f>
      </c>
    </row>
    <row r="2936">
      <c r="A2936" t="s">
        <v>167</v>
      </c>
      <c r="B2936" t="s">
        <v>250</v>
      </c>
      <c r="C2936" s="35" t="s">
        <v>252</v>
      </c>
      <c r="D2936" t="s">
        <v>502</v>
      </c>
      <c r="E2936" t="s">
        <v>520</v>
      </c>
      <c r="F2936" s="188" t="n">
        <v>2046</v>
      </c>
      <c r="G2936" s="189" t="n">
        <v>44</v>
      </c>
      <c r="H2936" s="190" t="n">
        <v>4351.84888241524</v>
      </c>
      <c r="I2936" s="191" t="n">
        <v>4248613.50455803</v>
      </c>
      <c r="J2936" s="192" t="str">
        <f>IF(I2936&gt;0,H2936/I2936,0)</f>
      </c>
      <c r="K2936" s="193" t="str">
        <f>1-EXP(-J2936)</f>
      </c>
      <c r="L2936" s="194" t="str">
        <f>IF(G2936=30,1,M2935)</f>
      </c>
      <c r="M2936" s="195" t="str">
        <f>L2936*(1-K2936)</f>
      </c>
    </row>
    <row r="2937">
      <c r="A2937" t="s">
        <v>167</v>
      </c>
      <c r="B2937" t="s">
        <v>250</v>
      </c>
      <c r="C2937" s="35" t="s">
        <v>252</v>
      </c>
      <c r="D2937" t="s">
        <v>502</v>
      </c>
      <c r="E2937" t="s">
        <v>520</v>
      </c>
      <c r="F2937" s="188" t="n">
        <v>2046</v>
      </c>
      <c r="G2937" s="189" t="n">
        <v>45</v>
      </c>
      <c r="H2937" s="190" t="n">
        <v>5544.79223258312</v>
      </c>
      <c r="I2937" s="191" t="n">
        <v>4222399.91418016</v>
      </c>
      <c r="J2937" s="192" t="str">
        <f>IF(I2937&gt;0,H2937/I2937,0)</f>
      </c>
      <c r="K2937" s="193" t="str">
        <f>1-EXP(-J2937)</f>
      </c>
      <c r="L2937" s="194" t="str">
        <f>IF(G2937=30,1,M2936)</f>
      </c>
      <c r="M2937" s="195" t="str">
        <f>L2937*(1-K2937)</f>
      </c>
    </row>
    <row r="2938">
      <c r="A2938" t="s">
        <v>167</v>
      </c>
      <c r="B2938" t="s">
        <v>250</v>
      </c>
      <c r="C2938" s="35" t="s">
        <v>252</v>
      </c>
      <c r="D2938" t="s">
        <v>502</v>
      </c>
      <c r="E2938" t="s">
        <v>520</v>
      </c>
      <c r="F2938" s="188" t="n">
        <v>2046</v>
      </c>
      <c r="G2938" s="189" t="n">
        <v>46</v>
      </c>
      <c r="H2938" s="190" t="n">
        <v>6091.84945714762</v>
      </c>
      <c r="I2938" s="191" t="n">
        <v>4194279.45494651</v>
      </c>
      <c r="J2938" s="192" t="str">
        <f>IF(I2938&gt;0,H2938/I2938,0)</f>
      </c>
      <c r="K2938" s="193" t="str">
        <f>1-EXP(-J2938)</f>
      </c>
      <c r="L2938" s="194" t="str">
        <f>IF(G2938=30,1,M2937)</f>
      </c>
      <c r="M2938" s="195" t="str">
        <f>L2938*(1-K2938)</f>
      </c>
    </row>
    <row r="2939">
      <c r="A2939" t="s">
        <v>167</v>
      </c>
      <c r="B2939" t="s">
        <v>250</v>
      </c>
      <c r="C2939" s="35" t="s">
        <v>252</v>
      </c>
      <c r="D2939" t="s">
        <v>502</v>
      </c>
      <c r="E2939" t="s">
        <v>520</v>
      </c>
      <c r="F2939" s="188" t="n">
        <v>2046</v>
      </c>
      <c r="G2939" s="189" t="n">
        <v>47</v>
      </c>
      <c r="H2939" s="190" t="n">
        <v>6690.95355111264</v>
      </c>
      <c r="I2939" s="191" t="n">
        <v>4204614.43398251</v>
      </c>
      <c r="J2939" s="192" t="str">
        <f>IF(I2939&gt;0,H2939/I2939,0)</f>
      </c>
      <c r="K2939" s="193" t="str">
        <f>1-EXP(-J2939)</f>
      </c>
      <c r="L2939" s="194" t="str">
        <f>IF(G2939=30,1,M2938)</f>
      </c>
      <c r="M2939" s="195" t="str">
        <f>L2939*(1-K2939)</f>
      </c>
    </row>
    <row r="2940">
      <c r="A2940" t="s">
        <v>167</v>
      </c>
      <c r="B2940" t="s">
        <v>250</v>
      </c>
      <c r="C2940" s="35" t="s">
        <v>252</v>
      </c>
      <c r="D2940" t="s">
        <v>502</v>
      </c>
      <c r="E2940" t="s">
        <v>520</v>
      </c>
      <c r="F2940" s="188" t="n">
        <v>2046</v>
      </c>
      <c r="G2940" s="189" t="n">
        <v>48</v>
      </c>
      <c r="H2940" s="190" t="n">
        <v>7425.3227673518</v>
      </c>
      <c r="I2940" s="191" t="n">
        <v>4251739.54253004</v>
      </c>
      <c r="J2940" s="192" t="str">
        <f>IF(I2940&gt;0,H2940/I2940,0)</f>
      </c>
      <c r="K2940" s="193" t="str">
        <f>1-EXP(-J2940)</f>
      </c>
      <c r="L2940" s="194" t="str">
        <f>IF(G2940=30,1,M2939)</f>
      </c>
      <c r="M2940" s="195" t="str">
        <f>L2940*(1-K2940)</f>
      </c>
    </row>
    <row r="2941">
      <c r="A2941" t="s">
        <v>167</v>
      </c>
      <c r="B2941" t="s">
        <v>250</v>
      </c>
      <c r="C2941" s="35" t="s">
        <v>252</v>
      </c>
      <c r="D2941" t="s">
        <v>502</v>
      </c>
      <c r="E2941" t="s">
        <v>520</v>
      </c>
      <c r="F2941" s="188" t="n">
        <v>2046</v>
      </c>
      <c r="G2941" s="189" t="n">
        <v>49</v>
      </c>
      <c r="H2941" s="190" t="n">
        <v>8580.05861949003</v>
      </c>
      <c r="I2941" s="191" t="n">
        <v>4370966.55265814</v>
      </c>
      <c r="J2941" s="192" t="str">
        <f>IF(I2941&gt;0,H2941/I2941,0)</f>
      </c>
      <c r="K2941" s="193" t="str">
        <f>1-EXP(-J2941)</f>
      </c>
      <c r="L2941" s="194" t="str">
        <f>IF(G2941=30,1,M2940)</f>
      </c>
      <c r="M2941" s="195" t="str">
        <f>L2941*(1-K2941)</f>
      </c>
    </row>
    <row r="2942">
      <c r="A2942" t="s">
        <v>167</v>
      </c>
      <c r="B2942" t="s">
        <v>250</v>
      </c>
      <c r="C2942" s="35" t="s">
        <v>252</v>
      </c>
      <c r="D2942" t="s">
        <v>502</v>
      </c>
      <c r="E2942" t="s">
        <v>520</v>
      </c>
      <c r="F2942" s="188" t="n">
        <v>2046</v>
      </c>
      <c r="G2942" s="189" t="n">
        <v>50</v>
      </c>
      <c r="H2942" s="190" t="n">
        <v>9670.38006769567</v>
      </c>
      <c r="I2942" s="191" t="n">
        <v>4315576.64169521</v>
      </c>
      <c r="J2942" s="192" t="str">
        <f>IF(I2942&gt;0,H2942/I2942,0)</f>
      </c>
      <c r="K2942" s="193" t="str">
        <f>1-EXP(-J2942)</f>
      </c>
      <c r="L2942" s="194" t="str">
        <f>IF(G2942=30,1,M2941)</f>
      </c>
      <c r="M2942" s="195" t="str">
        <f>L2942*(1-K2942)</f>
      </c>
    </row>
    <row r="2943">
      <c r="A2943" t="s">
        <v>167</v>
      </c>
      <c r="B2943" t="s">
        <v>250</v>
      </c>
      <c r="C2943" s="35" t="s">
        <v>252</v>
      </c>
      <c r="D2943" t="s">
        <v>502</v>
      </c>
      <c r="E2943" t="s">
        <v>520</v>
      </c>
      <c r="F2943" s="188" t="n">
        <v>2046</v>
      </c>
      <c r="G2943" s="189" t="n">
        <v>51</v>
      </c>
      <c r="H2943" s="190" t="n">
        <v>10368.7196686816</v>
      </c>
      <c r="I2943" s="191" t="n">
        <v>4229419.42257302</v>
      </c>
      <c r="J2943" s="192" t="str">
        <f>IF(I2943&gt;0,H2943/I2943,0)</f>
      </c>
      <c r="K2943" s="193" t="str">
        <f>1-EXP(-J2943)</f>
      </c>
      <c r="L2943" s="194" t="str">
        <f>IF(G2943=30,1,M2942)</f>
      </c>
      <c r="M2943" s="195" t="str">
        <f>L2943*(1-K2943)</f>
      </c>
    </row>
    <row r="2944">
      <c r="A2944" t="s">
        <v>167</v>
      </c>
      <c r="B2944" t="s">
        <v>250</v>
      </c>
      <c r="C2944" s="35" t="s">
        <v>252</v>
      </c>
      <c r="D2944" t="s">
        <v>502</v>
      </c>
      <c r="E2944" t="s">
        <v>520</v>
      </c>
      <c r="F2944" s="188" t="n">
        <v>2046</v>
      </c>
      <c r="G2944" s="189" t="n">
        <v>52</v>
      </c>
      <c r="H2944" s="190" t="n">
        <v>11143.173488638</v>
      </c>
      <c r="I2944" s="191" t="n">
        <v>4157708.01935344</v>
      </c>
      <c r="J2944" s="192" t="str">
        <f>IF(I2944&gt;0,H2944/I2944,0)</f>
      </c>
      <c r="K2944" s="193" t="str">
        <f>1-EXP(-J2944)</f>
      </c>
      <c r="L2944" s="194" t="str">
        <f>IF(G2944=30,1,M2943)</f>
      </c>
      <c r="M2944" s="195" t="str">
        <f>L2944*(1-K2944)</f>
      </c>
    </row>
    <row r="2945">
      <c r="A2945" t="s">
        <v>167</v>
      </c>
      <c r="B2945" t="s">
        <v>250</v>
      </c>
      <c r="C2945" s="35" t="s">
        <v>252</v>
      </c>
      <c r="D2945" t="s">
        <v>502</v>
      </c>
      <c r="E2945" t="s">
        <v>520</v>
      </c>
      <c r="F2945" s="188" t="n">
        <v>2046</v>
      </c>
      <c r="G2945" s="189" t="n">
        <v>53</v>
      </c>
      <c r="H2945" s="190" t="n">
        <v>11953.9740542334</v>
      </c>
      <c r="I2945" s="191" t="n">
        <v>4088136.27665772</v>
      </c>
      <c r="J2945" s="192" t="str">
        <f>IF(I2945&gt;0,H2945/I2945,0)</f>
      </c>
      <c r="K2945" s="193" t="str">
        <f>1-EXP(-J2945)</f>
      </c>
      <c r="L2945" s="194" t="str">
        <f>IF(G2945=30,1,M2944)</f>
      </c>
      <c r="M2945" s="195" t="str">
        <f>L2945*(1-K2945)</f>
      </c>
    </row>
    <row r="2946">
      <c r="A2946" t="s">
        <v>167</v>
      </c>
      <c r="B2946" t="s">
        <v>250</v>
      </c>
      <c r="C2946" s="35" t="s">
        <v>252</v>
      </c>
      <c r="D2946" t="s">
        <v>502</v>
      </c>
      <c r="E2946" t="s">
        <v>520</v>
      </c>
      <c r="F2946" s="188" t="n">
        <v>2046</v>
      </c>
      <c r="G2946" s="189" t="n">
        <v>54</v>
      </c>
      <c r="H2946" s="190" t="n">
        <v>13047.3975892753</v>
      </c>
      <c r="I2946" s="191" t="n">
        <v>4103519.56212739</v>
      </c>
      <c r="J2946" s="192" t="str">
        <f>IF(I2946&gt;0,H2946/I2946,0)</f>
      </c>
      <c r="K2946" s="193" t="str">
        <f>1-EXP(-J2946)</f>
      </c>
      <c r="L2946" s="194" t="str">
        <f>IF(G2946=30,1,M2945)</f>
      </c>
      <c r="M2946" s="195" t="str">
        <f>L2946*(1-K2946)</f>
      </c>
    </row>
    <row r="2947">
      <c r="A2947" t="s">
        <v>167</v>
      </c>
      <c r="B2947" t="s">
        <v>250</v>
      </c>
      <c r="C2947" s="35" t="s">
        <v>252</v>
      </c>
      <c r="D2947" t="s">
        <v>502</v>
      </c>
      <c r="E2947" t="s">
        <v>520</v>
      </c>
      <c r="F2947" s="188" t="n">
        <v>2046</v>
      </c>
      <c r="G2947" s="189" t="n">
        <v>55</v>
      </c>
      <c r="H2947" s="190" t="n">
        <v>13946.5901803192</v>
      </c>
      <c r="I2947" s="191" t="n">
        <v>4097985.14252671</v>
      </c>
      <c r="J2947" s="192" t="str">
        <f>IF(I2947&gt;0,H2947/I2947,0)</f>
      </c>
      <c r="K2947" s="193" t="str">
        <f>1-EXP(-J2947)</f>
      </c>
      <c r="L2947" s="194" t="str">
        <f>IF(G2947=30,1,M2946)</f>
      </c>
      <c r="M2947" s="195" t="str">
        <f>L2947*(1-K2947)</f>
      </c>
    </row>
    <row r="2948">
      <c r="A2948" t="s">
        <v>167</v>
      </c>
      <c r="B2948" t="s">
        <v>250</v>
      </c>
      <c r="C2948" s="35" t="s">
        <v>252</v>
      </c>
      <c r="D2948" t="s">
        <v>502</v>
      </c>
      <c r="E2948" t="s">
        <v>520</v>
      </c>
      <c r="F2948" s="188" t="n">
        <v>2046</v>
      </c>
      <c r="G2948" s="189" t="n">
        <v>56</v>
      </c>
      <c r="H2948" s="190" t="n">
        <v>20284.1656826942</v>
      </c>
      <c r="I2948" s="191" t="n">
        <v>6025007.5115698</v>
      </c>
      <c r="J2948" s="192" t="str">
        <f>IF(I2948&gt;0,H2948/I2948,0)</f>
      </c>
      <c r="K2948" s="193" t="str">
        <f>1-EXP(-J2948)</f>
      </c>
      <c r="L2948" s="194" t="str">
        <f>IF(G2948=30,1,M2947)</f>
      </c>
      <c r="M2948" s="195" t="str">
        <f>L2948*(1-K2948)</f>
      </c>
    </row>
    <row r="2949">
      <c r="A2949" t="s">
        <v>167</v>
      </c>
      <c r="B2949" t="s">
        <v>250</v>
      </c>
      <c r="C2949" s="35" t="s">
        <v>252</v>
      </c>
      <c r="D2949" t="s">
        <v>502</v>
      </c>
      <c r="E2949" t="s">
        <v>520</v>
      </c>
      <c r="F2949" s="188" t="n">
        <v>2046</v>
      </c>
      <c r="G2949" s="189" t="n">
        <v>57</v>
      </c>
      <c r="H2949" s="190" t="n">
        <v>16169.9201473376</v>
      </c>
      <c r="I2949" s="191" t="n">
        <v>4008439.07879069</v>
      </c>
      <c r="J2949" s="192" t="str">
        <f>IF(I2949&gt;0,H2949/I2949,0)</f>
      </c>
      <c r="K2949" s="193" t="str">
        <f>1-EXP(-J2949)</f>
      </c>
      <c r="L2949" s="194" t="str">
        <f>IF(G2949=30,1,M2948)</f>
      </c>
      <c r="M2949" s="195" t="str">
        <f>L2949*(1-K2949)</f>
      </c>
    </row>
    <row r="2950">
      <c r="A2950" t="s">
        <v>167</v>
      </c>
      <c r="B2950" t="s">
        <v>250</v>
      </c>
      <c r="C2950" s="35" t="s">
        <v>252</v>
      </c>
      <c r="D2950" t="s">
        <v>502</v>
      </c>
      <c r="E2950" t="s">
        <v>520</v>
      </c>
      <c r="F2950" s="188" t="n">
        <v>2046</v>
      </c>
      <c r="G2950" s="189" t="n">
        <v>58</v>
      </c>
      <c r="H2950" s="190" t="n">
        <v>17468.2842556454</v>
      </c>
      <c r="I2950" s="191" t="n">
        <v>3964331.02706179</v>
      </c>
      <c r="J2950" s="192" t="str">
        <f>IF(I2950&gt;0,H2950/I2950,0)</f>
      </c>
      <c r="K2950" s="193" t="str">
        <f>1-EXP(-J2950)</f>
      </c>
      <c r="L2950" s="194" t="str">
        <f>IF(G2950=30,1,M2949)</f>
      </c>
      <c r="M2950" s="195" t="str">
        <f>L2950*(1-K2950)</f>
      </c>
    </row>
    <row r="2951">
      <c r="A2951" t="s">
        <v>167</v>
      </c>
      <c r="B2951" t="s">
        <v>250</v>
      </c>
      <c r="C2951" s="35" t="s">
        <v>252</v>
      </c>
      <c r="D2951" t="s">
        <v>502</v>
      </c>
      <c r="E2951" t="s">
        <v>520</v>
      </c>
      <c r="F2951" s="188" t="n">
        <v>2046</v>
      </c>
      <c r="G2951" s="189" t="n">
        <v>59</v>
      </c>
      <c r="H2951" s="190" t="n">
        <v>18390.9736826533</v>
      </c>
      <c r="I2951" s="191" t="n">
        <v>3812566.97815867</v>
      </c>
      <c r="J2951" s="192" t="str">
        <f>IF(I2951&gt;0,H2951/I2951,0)</f>
      </c>
      <c r="K2951" s="193" t="str">
        <f>1-EXP(-J2951)</f>
      </c>
      <c r="L2951" s="194" t="str">
        <f>IF(G2951=30,1,M2950)</f>
      </c>
      <c r="M2951" s="195" t="str">
        <f>L2951*(1-K2951)</f>
      </c>
    </row>
    <row r="2952">
      <c r="A2952" t="s">
        <v>167</v>
      </c>
      <c r="B2952" t="s">
        <v>250</v>
      </c>
      <c r="C2952" s="35" t="s">
        <v>252</v>
      </c>
      <c r="D2952" t="s">
        <v>502</v>
      </c>
      <c r="E2952" t="s">
        <v>520</v>
      </c>
      <c r="F2952" s="188" t="n">
        <v>2046</v>
      </c>
      <c r="G2952" s="189" t="n">
        <v>60</v>
      </c>
      <c r="H2952" s="190" t="n">
        <v>19538.9437439053</v>
      </c>
      <c r="I2952" s="191" t="n">
        <v>3748421.02723234</v>
      </c>
      <c r="J2952" s="192" t="str">
        <f>IF(I2952&gt;0,H2952/I2952,0)</f>
      </c>
      <c r="K2952" s="193" t="str">
        <f>1-EXP(-J2952)</f>
      </c>
      <c r="L2952" s="194" t="str">
        <f>IF(G2952=30,1,M2951)</f>
      </c>
      <c r="M2952" s="195" t="str">
        <f>L2952*(1-K2952)</f>
      </c>
    </row>
    <row r="2953">
      <c r="A2953" t="s">
        <v>167</v>
      </c>
      <c r="B2953" t="s">
        <v>250</v>
      </c>
      <c r="C2953" s="35" t="s">
        <v>252</v>
      </c>
      <c r="D2953" t="s">
        <v>502</v>
      </c>
      <c r="E2953" t="s">
        <v>520</v>
      </c>
      <c r="F2953" s="188" t="n">
        <v>2046</v>
      </c>
      <c r="G2953" s="189" t="n">
        <v>61</v>
      </c>
      <c r="H2953" s="190" t="n">
        <v>21542.6012909093</v>
      </c>
      <c r="I2953" s="191" t="n">
        <v>3765462.7272962</v>
      </c>
      <c r="J2953" s="192" t="str">
        <f>IF(I2953&gt;0,H2953/I2953,0)</f>
      </c>
      <c r="K2953" s="193" t="str">
        <f>1-EXP(-J2953)</f>
      </c>
      <c r="L2953" s="194" t="str">
        <f>IF(G2953=30,1,M2952)</f>
      </c>
      <c r="M2953" s="195" t="str">
        <f>L2953*(1-K2953)</f>
      </c>
    </row>
    <row r="2954">
      <c r="A2954" t="s">
        <v>167</v>
      </c>
      <c r="B2954" t="s">
        <v>250</v>
      </c>
      <c r="C2954" s="35" t="s">
        <v>252</v>
      </c>
      <c r="D2954" t="s">
        <v>502</v>
      </c>
      <c r="E2954" t="s">
        <v>520</v>
      </c>
      <c r="F2954" s="188" t="n">
        <v>2046</v>
      </c>
      <c r="G2954" s="189" t="n">
        <v>62</v>
      </c>
      <c r="H2954" s="190" t="n">
        <v>23868.7059797883</v>
      </c>
      <c r="I2954" s="191" t="n">
        <v>3800501.88181075</v>
      </c>
      <c r="J2954" s="192" t="str">
        <f>IF(I2954&gt;0,H2954/I2954,0)</f>
      </c>
      <c r="K2954" s="193" t="str">
        <f>1-EXP(-J2954)</f>
      </c>
      <c r="L2954" s="194" t="str">
        <f>IF(G2954=30,1,M2953)</f>
      </c>
      <c r="M2954" s="195" t="str">
        <f>L2954*(1-K2954)</f>
      </c>
    </row>
    <row r="2955">
      <c r="A2955" t="s">
        <v>167</v>
      </c>
      <c r="B2955" t="s">
        <v>250</v>
      </c>
      <c r="C2955" s="35" t="s">
        <v>252</v>
      </c>
      <c r="D2955" t="s">
        <v>502</v>
      </c>
      <c r="E2955" t="s">
        <v>520</v>
      </c>
      <c r="F2955" s="188" t="n">
        <v>2046</v>
      </c>
      <c r="G2955" s="189" t="n">
        <v>63</v>
      </c>
      <c r="H2955" s="190" t="n">
        <v>25750.5474601065</v>
      </c>
      <c r="I2955" s="191" t="n">
        <v>3735169.0272155</v>
      </c>
      <c r="J2955" s="192" t="str">
        <f>IF(I2955&gt;0,H2955/I2955,0)</f>
      </c>
      <c r="K2955" s="193" t="str">
        <f>1-EXP(-J2955)</f>
      </c>
      <c r="L2955" s="194" t="str">
        <f>IF(G2955=30,1,M2954)</f>
      </c>
      <c r="M2955" s="195" t="str">
        <f>L2955*(1-K2955)</f>
      </c>
    </row>
    <row r="2956">
      <c r="A2956" t="s">
        <v>167</v>
      </c>
      <c r="B2956" t="s">
        <v>250</v>
      </c>
      <c r="C2956" s="35" t="s">
        <v>252</v>
      </c>
      <c r="D2956" t="s">
        <v>502</v>
      </c>
      <c r="E2956" t="s">
        <v>520</v>
      </c>
      <c r="F2956" s="188" t="n">
        <v>2046</v>
      </c>
      <c r="G2956" s="189" t="n">
        <v>64</v>
      </c>
      <c r="H2956" s="190" t="n">
        <v>27027.6453031646</v>
      </c>
      <c r="I2956" s="191" t="n">
        <v>3569182.37999676</v>
      </c>
      <c r="J2956" s="192" t="str">
        <f>IF(I2956&gt;0,H2956/I2956,0)</f>
      </c>
      <c r="K2956" s="193" t="str">
        <f>1-EXP(-J2956)</f>
      </c>
      <c r="L2956" s="194" t="str">
        <f>IF(G2956=30,1,M2955)</f>
      </c>
      <c r="M2956" s="195" t="str">
        <f>L2956*(1-K2956)</f>
      </c>
    </row>
    <row r="2957">
      <c r="A2957" t="s">
        <v>167</v>
      </c>
      <c r="B2957" t="s">
        <v>250</v>
      </c>
      <c r="C2957" s="35" t="s">
        <v>252</v>
      </c>
      <c r="D2957" t="s">
        <v>502</v>
      </c>
      <c r="E2957" t="s">
        <v>520</v>
      </c>
      <c r="F2957" s="188" t="n">
        <v>2046</v>
      </c>
      <c r="G2957" s="189" t="n">
        <v>65</v>
      </c>
      <c r="H2957" s="190" t="n">
        <v>27346.9376279402</v>
      </c>
      <c r="I2957" s="191" t="n">
        <v>3455922.8430123</v>
      </c>
      <c r="J2957" s="192" t="str">
        <f>IF(I2957&gt;0,H2957/I2957,0)</f>
      </c>
      <c r="K2957" s="193" t="str">
        <f>1-EXP(-J2957)</f>
      </c>
      <c r="L2957" s="194" t="str">
        <f>IF(G2957=30,1,M2956)</f>
      </c>
      <c r="M2957" s="195" t="str">
        <f>L2957*(1-K2957)</f>
      </c>
    </row>
    <row r="2958">
      <c r="A2958" t="s">
        <v>167</v>
      </c>
      <c r="B2958" t="s">
        <v>250</v>
      </c>
      <c r="C2958" s="35" t="s">
        <v>252</v>
      </c>
      <c r="D2958" t="s">
        <v>502</v>
      </c>
      <c r="E2958" t="s">
        <v>520</v>
      </c>
      <c r="F2958" s="188" t="n">
        <v>2046</v>
      </c>
      <c r="G2958" s="189" t="n">
        <v>66</v>
      </c>
      <c r="H2958" s="190" t="n">
        <v>29134.4063753327</v>
      </c>
      <c r="I2958" s="191" t="n">
        <v>3354420.39372241</v>
      </c>
      <c r="J2958" s="192" t="str">
        <f>IF(I2958&gt;0,H2958/I2958,0)</f>
      </c>
      <c r="K2958" s="193" t="str">
        <f>1-EXP(-J2958)</f>
      </c>
      <c r="L2958" s="194" t="str">
        <f>IF(G2958=30,1,M2957)</f>
      </c>
      <c r="M2958" s="195" t="str">
        <f>L2958*(1-K2958)</f>
      </c>
    </row>
    <row r="2959">
      <c r="A2959" t="s">
        <v>167</v>
      </c>
      <c r="B2959" t="s">
        <v>250</v>
      </c>
      <c r="C2959" s="35" t="s">
        <v>252</v>
      </c>
      <c r="D2959" t="s">
        <v>502</v>
      </c>
      <c r="E2959" t="s">
        <v>520</v>
      </c>
      <c r="F2959" s="188" t="n">
        <v>2046</v>
      </c>
      <c r="G2959" s="189" t="n">
        <v>67</v>
      </c>
      <c r="H2959" s="190" t="n">
        <v>30962.5417658741</v>
      </c>
      <c r="I2959" s="191" t="n">
        <v>3245079.64761176</v>
      </c>
      <c r="J2959" s="192" t="str">
        <f>IF(I2959&gt;0,H2959/I2959,0)</f>
      </c>
      <c r="K2959" s="193" t="str">
        <f>1-EXP(-J2959)</f>
      </c>
      <c r="L2959" s="194" t="str">
        <f>IF(G2959=30,1,M2958)</f>
      </c>
      <c r="M2959" s="195" t="str">
        <f>L2959*(1-K2959)</f>
      </c>
    </row>
    <row r="2960">
      <c r="A2960" t="s">
        <v>167</v>
      </c>
      <c r="B2960" t="s">
        <v>250</v>
      </c>
      <c r="C2960" s="35" t="s">
        <v>252</v>
      </c>
      <c r="D2960" t="s">
        <v>502</v>
      </c>
      <c r="E2960" t="s">
        <v>520</v>
      </c>
      <c r="F2960" s="188" t="n">
        <v>2046</v>
      </c>
      <c r="G2960" s="189" t="n">
        <v>68</v>
      </c>
      <c r="H2960" s="190" t="n">
        <v>32698.9099751647</v>
      </c>
      <c r="I2960" s="191" t="n">
        <v>3117423.89004174</v>
      </c>
      <c r="J2960" s="192" t="str">
        <f>IF(I2960&gt;0,H2960/I2960,0)</f>
      </c>
      <c r="K2960" s="193" t="str">
        <f>1-EXP(-J2960)</f>
      </c>
      <c r="L2960" s="194" t="str">
        <f>IF(G2960=30,1,M2959)</f>
      </c>
      <c r="M2960" s="195" t="str">
        <f>L2960*(1-K2960)</f>
      </c>
    </row>
    <row r="2961">
      <c r="A2961" t="s">
        <v>167</v>
      </c>
      <c r="B2961" t="s">
        <v>250</v>
      </c>
      <c r="C2961" s="35" t="s">
        <v>252</v>
      </c>
      <c r="D2961" t="s">
        <v>502</v>
      </c>
      <c r="E2961" t="s">
        <v>520</v>
      </c>
      <c r="F2961" s="188" t="n">
        <v>2046</v>
      </c>
      <c r="G2961" s="189" t="n">
        <v>69</v>
      </c>
      <c r="H2961" s="190" t="n">
        <v>34659.981913463</v>
      </c>
      <c r="I2961" s="191" t="n">
        <v>3000465.37169174</v>
      </c>
      <c r="J2961" s="192" t="str">
        <f>IF(I2961&gt;0,H2961/I2961,0)</f>
      </c>
      <c r="K2961" s="193" t="str">
        <f>1-EXP(-J2961)</f>
      </c>
      <c r="L2961" s="194" t="str">
        <f>IF(G2961=30,1,M2960)</f>
      </c>
      <c r="M2961" s="195" t="str">
        <f>L2961*(1-K2961)</f>
      </c>
    </row>
    <row r="2962">
      <c r="A2962" t="s">
        <v>167</v>
      </c>
      <c r="B2962" t="s">
        <v>250</v>
      </c>
      <c r="C2962" s="35" t="s">
        <v>252</v>
      </c>
      <c r="D2962" t="s">
        <v>502</v>
      </c>
      <c r="E2962" t="s">
        <v>520</v>
      </c>
      <c r="F2962" s="188" t="n">
        <v>2047</v>
      </c>
      <c r="G2962" s="189" t="n">
        <v>30</v>
      </c>
      <c r="H2962" s="190" t="n">
        <v>610.917341252286</v>
      </c>
      <c r="I2962" s="191" t="n">
        <v>4320525.71028105</v>
      </c>
      <c r="J2962" s="192" t="str">
        <f>IF(I2962&gt;0,H2962/I2962,0)</f>
      </c>
      <c r="K2962" s="193" t="str">
        <f>1-EXP(-J2962)</f>
      </c>
      <c r="L2962" s="194" t="str">
        <f>IF(G2962=30,1,M2961)</f>
      </c>
      <c r="M2962" s="195" t="str">
        <f>L2962*(1-K2962)</f>
      </c>
    </row>
    <row r="2963">
      <c r="A2963" t="s">
        <v>167</v>
      </c>
      <c r="B2963" t="s">
        <v>250</v>
      </c>
      <c r="C2963" s="35" t="s">
        <v>252</v>
      </c>
      <c r="D2963" t="s">
        <v>502</v>
      </c>
      <c r="E2963" t="s">
        <v>520</v>
      </c>
      <c r="F2963" s="188" t="n">
        <v>2047</v>
      </c>
      <c r="G2963" s="189" t="n">
        <v>31</v>
      </c>
      <c r="H2963" s="190" t="n">
        <v>924.839384595937</v>
      </c>
      <c r="I2963" s="191" t="n">
        <v>4583288.32469175</v>
      </c>
      <c r="J2963" s="192" t="str">
        <f>IF(I2963&gt;0,H2963/I2963,0)</f>
      </c>
      <c r="K2963" s="193" t="str">
        <f>1-EXP(-J2963)</f>
      </c>
      <c r="L2963" s="194" t="str">
        <f>IF(G2963=30,1,M2962)</f>
      </c>
      <c r="M2963" s="195" t="str">
        <f>L2963*(1-K2963)</f>
      </c>
    </row>
    <row r="2964">
      <c r="A2964" t="s">
        <v>167</v>
      </c>
      <c r="B2964" t="s">
        <v>250</v>
      </c>
      <c r="C2964" s="35" t="s">
        <v>252</v>
      </c>
      <c r="D2964" t="s">
        <v>502</v>
      </c>
      <c r="E2964" t="s">
        <v>520</v>
      </c>
      <c r="F2964" s="188" t="n">
        <v>2047</v>
      </c>
      <c r="G2964" s="189" t="n">
        <v>32</v>
      </c>
      <c r="H2964" s="190" t="n">
        <v>1018.4758284522</v>
      </c>
      <c r="I2964" s="191" t="n">
        <v>4632083.57337363</v>
      </c>
      <c r="J2964" s="192" t="str">
        <f>IF(I2964&gt;0,H2964/I2964,0)</f>
      </c>
      <c r="K2964" s="193" t="str">
        <f>1-EXP(-J2964)</f>
      </c>
      <c r="L2964" s="194" t="str">
        <f>IF(G2964=30,1,M2963)</f>
      </c>
      <c r="M2964" s="195" t="str">
        <f>L2964*(1-K2964)</f>
      </c>
    </row>
    <row r="2965">
      <c r="A2965" t="s">
        <v>167</v>
      </c>
      <c r="B2965" t="s">
        <v>250</v>
      </c>
      <c r="C2965" s="35" t="s">
        <v>252</v>
      </c>
      <c r="D2965" t="s">
        <v>502</v>
      </c>
      <c r="E2965" t="s">
        <v>520</v>
      </c>
      <c r="F2965" s="188" t="n">
        <v>2047</v>
      </c>
      <c r="G2965" s="189" t="n">
        <v>33</v>
      </c>
      <c r="H2965" s="190" t="n">
        <v>1094.40862035808</v>
      </c>
      <c r="I2965" s="191" t="n">
        <v>4698325.23016167</v>
      </c>
      <c r="J2965" s="192" t="str">
        <f>IF(I2965&gt;0,H2965/I2965,0)</f>
      </c>
      <c r="K2965" s="193" t="str">
        <f>1-EXP(-J2965)</f>
      </c>
      <c r="L2965" s="194" t="str">
        <f>IF(G2965=30,1,M2964)</f>
      </c>
      <c r="M2965" s="195" t="str">
        <f>L2965*(1-K2965)</f>
      </c>
    </row>
    <row r="2966">
      <c r="A2966" t="s">
        <v>167</v>
      </c>
      <c r="B2966" t="s">
        <v>250</v>
      </c>
      <c r="C2966" s="35" t="s">
        <v>252</v>
      </c>
      <c r="D2966" t="s">
        <v>502</v>
      </c>
      <c r="E2966" t="s">
        <v>520</v>
      </c>
      <c r="F2966" s="188" t="n">
        <v>2047</v>
      </c>
      <c r="G2966" s="189" t="n">
        <v>34</v>
      </c>
      <c r="H2966" s="190" t="n">
        <v>1182.75487286638</v>
      </c>
      <c r="I2966" s="191" t="n">
        <v>4765878.75274582</v>
      </c>
      <c r="J2966" s="192" t="str">
        <f>IF(I2966&gt;0,H2966/I2966,0)</f>
      </c>
      <c r="K2966" s="193" t="str">
        <f>1-EXP(-J2966)</f>
      </c>
      <c r="L2966" s="194" t="str">
        <f>IF(G2966=30,1,M2965)</f>
      </c>
      <c r="M2966" s="195" t="str">
        <f>L2966*(1-K2966)</f>
      </c>
    </row>
    <row r="2967">
      <c r="A2967" t="s">
        <v>167</v>
      </c>
      <c r="B2967" t="s">
        <v>250</v>
      </c>
      <c r="C2967" s="35" t="s">
        <v>252</v>
      </c>
      <c r="D2967" t="s">
        <v>502</v>
      </c>
      <c r="E2967" t="s">
        <v>520</v>
      </c>
      <c r="F2967" s="188" t="n">
        <v>2047</v>
      </c>
      <c r="G2967" s="189" t="n">
        <v>35</v>
      </c>
      <c r="H2967" s="190" t="n">
        <v>1635.36058746664</v>
      </c>
      <c r="I2967" s="191" t="n">
        <v>4877488.89306953</v>
      </c>
      <c r="J2967" s="192" t="str">
        <f>IF(I2967&gt;0,H2967/I2967,0)</f>
      </c>
      <c r="K2967" s="193" t="str">
        <f>1-EXP(-J2967)</f>
      </c>
      <c r="L2967" s="194" t="str">
        <f>IF(G2967=30,1,M2966)</f>
      </c>
      <c r="M2967" s="195" t="str">
        <f>L2967*(1-K2967)</f>
      </c>
    </row>
    <row r="2968">
      <c r="A2968" t="s">
        <v>167</v>
      </c>
      <c r="B2968" t="s">
        <v>250</v>
      </c>
      <c r="C2968" s="35" t="s">
        <v>252</v>
      </c>
      <c r="D2968" t="s">
        <v>502</v>
      </c>
      <c r="E2968" t="s">
        <v>520</v>
      </c>
      <c r="F2968" s="188" t="n">
        <v>2047</v>
      </c>
      <c r="G2968" s="189" t="n">
        <v>36</v>
      </c>
      <c r="H2968" s="190" t="n">
        <v>1905.51429462906</v>
      </c>
      <c r="I2968" s="191" t="n">
        <v>4848122.41527449</v>
      </c>
      <c r="J2968" s="192" t="str">
        <f>IF(I2968&gt;0,H2968/I2968,0)</f>
      </c>
      <c r="K2968" s="193" t="str">
        <f>1-EXP(-J2968)</f>
      </c>
      <c r="L2968" s="194" t="str">
        <f>IF(G2968=30,1,M2967)</f>
      </c>
      <c r="M2968" s="195" t="str">
        <f>L2968*(1-K2968)</f>
      </c>
    </row>
    <row r="2969">
      <c r="A2969" t="s">
        <v>167</v>
      </c>
      <c r="B2969" t="s">
        <v>250</v>
      </c>
      <c r="C2969" s="35" t="s">
        <v>252</v>
      </c>
      <c r="D2969" t="s">
        <v>502</v>
      </c>
      <c r="E2969" t="s">
        <v>520</v>
      </c>
      <c r="F2969" s="188" t="n">
        <v>2047</v>
      </c>
      <c r="G2969" s="189" t="n">
        <v>37</v>
      </c>
      <c r="H2969" s="190" t="n">
        <v>1990.84944894649</v>
      </c>
      <c r="I2969" s="191" t="n">
        <v>4713593.33119513</v>
      </c>
      <c r="J2969" s="192" t="str">
        <f>IF(I2969&gt;0,H2969/I2969,0)</f>
      </c>
      <c r="K2969" s="193" t="str">
        <f>1-EXP(-J2969)</f>
      </c>
      <c r="L2969" s="194" t="str">
        <f>IF(G2969=30,1,M2968)</f>
      </c>
      <c r="M2969" s="195" t="str">
        <f>L2969*(1-K2969)</f>
      </c>
    </row>
    <row r="2970">
      <c r="A2970" t="s">
        <v>167</v>
      </c>
      <c r="B2970" t="s">
        <v>250</v>
      </c>
      <c r="C2970" s="35" t="s">
        <v>252</v>
      </c>
      <c r="D2970" t="s">
        <v>502</v>
      </c>
      <c r="E2970" t="s">
        <v>520</v>
      </c>
      <c r="F2970" s="188" t="n">
        <v>2047</v>
      </c>
      <c r="G2970" s="189" t="n">
        <v>38</v>
      </c>
      <c r="H2970" s="190" t="n">
        <v>2114.31617675327</v>
      </c>
      <c r="I2970" s="191" t="n">
        <v>4641361.49634353</v>
      </c>
      <c r="J2970" s="192" t="str">
        <f>IF(I2970&gt;0,H2970/I2970,0)</f>
      </c>
      <c r="K2970" s="193" t="str">
        <f>1-EXP(-J2970)</f>
      </c>
      <c r="L2970" s="194" t="str">
        <f>IF(G2970=30,1,M2969)</f>
      </c>
      <c r="M2970" s="195" t="str">
        <f>L2970*(1-K2970)</f>
      </c>
    </row>
    <row r="2971">
      <c r="A2971" t="s">
        <v>167</v>
      </c>
      <c r="B2971" t="s">
        <v>250</v>
      </c>
      <c r="C2971" s="35" t="s">
        <v>252</v>
      </c>
      <c r="D2971" t="s">
        <v>502</v>
      </c>
      <c r="E2971" t="s">
        <v>520</v>
      </c>
      <c r="F2971" s="188" t="n">
        <v>2047</v>
      </c>
      <c r="G2971" s="189" t="n">
        <v>39</v>
      </c>
      <c r="H2971" s="190" t="n">
        <v>2265.24493408238</v>
      </c>
      <c r="I2971" s="191" t="n">
        <v>4596653.33938317</v>
      </c>
      <c r="J2971" s="192" t="str">
        <f>IF(I2971&gt;0,H2971/I2971,0)</f>
      </c>
      <c r="K2971" s="193" t="str">
        <f>1-EXP(-J2971)</f>
      </c>
      <c r="L2971" s="194" t="str">
        <f>IF(G2971=30,1,M2970)</f>
      </c>
      <c r="M2971" s="195" t="str">
        <f>L2971*(1-K2971)</f>
      </c>
    </row>
    <row r="2972">
      <c r="A2972" t="s">
        <v>167</v>
      </c>
      <c r="B2972" t="s">
        <v>250</v>
      </c>
      <c r="C2972" s="35" t="s">
        <v>252</v>
      </c>
      <c r="D2972" t="s">
        <v>502</v>
      </c>
      <c r="E2972" t="s">
        <v>520</v>
      </c>
      <c r="F2972" s="188" t="n">
        <v>2047</v>
      </c>
      <c r="G2972" s="189" t="n">
        <v>40</v>
      </c>
      <c r="H2972" s="190" t="n">
        <v>3135.08192193891</v>
      </c>
      <c r="I2972" s="191" t="n">
        <v>4619053.37030716</v>
      </c>
      <c r="J2972" s="192" t="str">
        <f>IF(I2972&gt;0,H2972/I2972,0)</f>
      </c>
      <c r="K2972" s="193" t="str">
        <f>1-EXP(-J2972)</f>
      </c>
      <c r="L2972" s="194" t="str">
        <f>IF(G2972=30,1,M2971)</f>
      </c>
      <c r="M2972" s="195" t="str">
        <f>L2972*(1-K2972)</f>
      </c>
    </row>
    <row r="2973">
      <c r="A2973" t="s">
        <v>167</v>
      </c>
      <c r="B2973" t="s">
        <v>250</v>
      </c>
      <c r="C2973" s="35" t="s">
        <v>252</v>
      </c>
      <c r="D2973" t="s">
        <v>502</v>
      </c>
      <c r="E2973" t="s">
        <v>520</v>
      </c>
      <c r="F2973" s="188" t="n">
        <v>2047</v>
      </c>
      <c r="G2973" s="189" t="n">
        <v>41</v>
      </c>
      <c r="H2973" s="190" t="n">
        <v>3459.60652857685</v>
      </c>
      <c r="I2973" s="191" t="n">
        <v>4532775.70291248</v>
      </c>
      <c r="J2973" s="192" t="str">
        <f>IF(I2973&gt;0,H2973/I2973,0)</f>
      </c>
      <c r="K2973" s="193" t="str">
        <f>1-EXP(-J2973)</f>
      </c>
      <c r="L2973" s="194" t="str">
        <f>IF(G2973=30,1,M2972)</f>
      </c>
      <c r="M2973" s="195" t="str">
        <f>L2973*(1-K2973)</f>
      </c>
    </row>
    <row r="2974">
      <c r="A2974" t="s">
        <v>167</v>
      </c>
      <c r="B2974" t="s">
        <v>250</v>
      </c>
      <c r="C2974" s="35" t="s">
        <v>252</v>
      </c>
      <c r="D2974" t="s">
        <v>502</v>
      </c>
      <c r="E2974" t="s">
        <v>520</v>
      </c>
      <c r="F2974" s="188" t="n">
        <v>2047</v>
      </c>
      <c r="G2974" s="189" t="n">
        <v>42</v>
      </c>
      <c r="H2974" s="190" t="n">
        <v>3700.00371573847</v>
      </c>
      <c r="I2974" s="191" t="n">
        <v>4468278.53792309</v>
      </c>
      <c r="J2974" s="192" t="str">
        <f>IF(I2974&gt;0,H2974/I2974,0)</f>
      </c>
      <c r="K2974" s="193" t="str">
        <f>1-EXP(-J2974)</f>
      </c>
      <c r="L2974" s="194" t="str">
        <f>IF(G2974=30,1,M2973)</f>
      </c>
      <c r="M2974" s="195" t="str">
        <f>L2974*(1-K2974)</f>
      </c>
    </row>
    <row r="2975">
      <c r="A2975" t="s">
        <v>167</v>
      </c>
      <c r="B2975" t="s">
        <v>250</v>
      </c>
      <c r="C2975" s="35" t="s">
        <v>252</v>
      </c>
      <c r="D2975" t="s">
        <v>502</v>
      </c>
      <c r="E2975" t="s">
        <v>520</v>
      </c>
      <c r="F2975" s="188" t="n">
        <v>2047</v>
      </c>
      <c r="G2975" s="189" t="n">
        <v>43</v>
      </c>
      <c r="H2975" s="190" t="n">
        <v>3905.14809775589</v>
      </c>
      <c r="I2975" s="191" t="n">
        <v>4336737.74333301</v>
      </c>
      <c r="J2975" s="192" t="str">
        <f>IF(I2975&gt;0,H2975/I2975,0)</f>
      </c>
      <c r="K2975" s="193" t="str">
        <f>1-EXP(-J2975)</f>
      </c>
      <c r="L2975" s="194" t="str">
        <f>IF(G2975=30,1,M2974)</f>
      </c>
      <c r="M2975" s="195" t="str">
        <f>L2975*(1-K2975)</f>
      </c>
    </row>
    <row r="2976">
      <c r="A2976" t="s">
        <v>167</v>
      </c>
      <c r="B2976" t="s">
        <v>250</v>
      </c>
      <c r="C2976" s="35" t="s">
        <v>252</v>
      </c>
      <c r="D2976" t="s">
        <v>502</v>
      </c>
      <c r="E2976" t="s">
        <v>520</v>
      </c>
      <c r="F2976" s="188" t="n">
        <v>2047</v>
      </c>
      <c r="G2976" s="189" t="n">
        <v>44</v>
      </c>
      <c r="H2976" s="190" t="n">
        <v>4188.11811023482</v>
      </c>
      <c r="I2976" s="191" t="n">
        <v>4266739.79790474</v>
      </c>
      <c r="J2976" s="192" t="str">
        <f>IF(I2976&gt;0,H2976/I2976,0)</f>
      </c>
      <c r="K2976" s="193" t="str">
        <f>1-EXP(-J2976)</f>
      </c>
      <c r="L2976" s="194" t="str">
        <f>IF(G2976=30,1,M2975)</f>
      </c>
      <c r="M2976" s="195" t="str">
        <f>L2976*(1-K2976)</f>
      </c>
    </row>
    <row r="2977">
      <c r="A2977" t="s">
        <v>167</v>
      </c>
      <c r="B2977" t="s">
        <v>250</v>
      </c>
      <c r="C2977" s="35" t="s">
        <v>252</v>
      </c>
      <c r="D2977" t="s">
        <v>502</v>
      </c>
      <c r="E2977" t="s">
        <v>520</v>
      </c>
      <c r="F2977" s="188" t="n">
        <v>2047</v>
      </c>
      <c r="G2977" s="189" t="n">
        <v>45</v>
      </c>
      <c r="H2977" s="190" t="n">
        <v>5527.82223461042</v>
      </c>
      <c r="I2977" s="191" t="n">
        <v>4237096.40015547</v>
      </c>
      <c r="J2977" s="192" t="str">
        <f>IF(I2977&gt;0,H2977/I2977,0)</f>
      </c>
      <c r="K2977" s="193" t="str">
        <f>1-EXP(-J2977)</f>
      </c>
      <c r="L2977" s="194" t="str">
        <f>IF(G2977=30,1,M2976)</f>
      </c>
      <c r="M2977" s="195" t="str">
        <f>L2977*(1-K2977)</f>
      </c>
    </row>
    <row r="2978">
      <c r="A2978" t="s">
        <v>167</v>
      </c>
      <c r="B2978" t="s">
        <v>250</v>
      </c>
      <c r="C2978" s="35" t="s">
        <v>252</v>
      </c>
      <c r="D2978" t="s">
        <v>502</v>
      </c>
      <c r="E2978" t="s">
        <v>520</v>
      </c>
      <c r="F2978" s="188" t="n">
        <v>2047</v>
      </c>
      <c r="G2978" s="189" t="n">
        <v>46</v>
      </c>
      <c r="H2978" s="190" t="n">
        <v>6071.7701389376</v>
      </c>
      <c r="I2978" s="191" t="n">
        <v>4209090.89520662</v>
      </c>
      <c r="J2978" s="192" t="str">
        <f>IF(I2978&gt;0,H2978/I2978,0)</f>
      </c>
      <c r="K2978" s="193" t="str">
        <f>1-EXP(-J2978)</f>
      </c>
      <c r="L2978" s="194" t="str">
        <f>IF(G2978=30,1,M2977)</f>
      </c>
      <c r="M2978" s="195" t="str">
        <f>L2978*(1-K2978)</f>
      </c>
    </row>
    <row r="2979">
      <c r="A2979" t="s">
        <v>167</v>
      </c>
      <c r="B2979" t="s">
        <v>250</v>
      </c>
      <c r="C2979" s="35" t="s">
        <v>252</v>
      </c>
      <c r="D2979" t="s">
        <v>502</v>
      </c>
      <c r="E2979" t="s">
        <v>520</v>
      </c>
      <c r="F2979" s="188" t="n">
        <v>2047</v>
      </c>
      <c r="G2979" s="189" t="n">
        <v>47</v>
      </c>
      <c r="H2979" s="190" t="n">
        <v>6607.12460950089</v>
      </c>
      <c r="I2979" s="191" t="n">
        <v>4180672.24375794</v>
      </c>
      <c r="J2979" s="192" t="str">
        <f>IF(I2979&gt;0,H2979/I2979,0)</f>
      </c>
      <c r="K2979" s="193" t="str">
        <f>1-EXP(-J2979)</f>
      </c>
      <c r="L2979" s="194" t="str">
        <f>IF(G2979=30,1,M2978)</f>
      </c>
      <c r="M2979" s="195" t="str">
        <f>L2979*(1-K2979)</f>
      </c>
    </row>
    <row r="2980">
      <c r="A2980" t="s">
        <v>167</v>
      </c>
      <c r="B2980" t="s">
        <v>250</v>
      </c>
      <c r="C2980" s="35" t="s">
        <v>252</v>
      </c>
      <c r="D2980" t="s">
        <v>502</v>
      </c>
      <c r="E2980" t="s">
        <v>520</v>
      </c>
      <c r="F2980" s="188" t="n">
        <v>2047</v>
      </c>
      <c r="G2980" s="189" t="n">
        <v>48</v>
      </c>
      <c r="H2980" s="190" t="n">
        <v>7266.65359206123</v>
      </c>
      <c r="I2980" s="191" t="n">
        <v>4189709.03792897</v>
      </c>
      <c r="J2980" s="192" t="str">
        <f>IF(I2980&gt;0,H2980/I2980,0)</f>
      </c>
      <c r="K2980" s="193" t="str">
        <f>1-EXP(-J2980)</f>
      </c>
      <c r="L2980" s="194" t="str">
        <f>IF(G2980=30,1,M2979)</f>
      </c>
      <c r="M2980" s="195" t="str">
        <f>L2980*(1-K2980)</f>
      </c>
    </row>
    <row r="2981">
      <c r="A2981" t="s">
        <v>167</v>
      </c>
      <c r="B2981" t="s">
        <v>250</v>
      </c>
      <c r="C2981" s="35" t="s">
        <v>252</v>
      </c>
      <c r="D2981" t="s">
        <v>502</v>
      </c>
      <c r="E2981" t="s">
        <v>520</v>
      </c>
      <c r="F2981" s="188" t="n">
        <v>2047</v>
      </c>
      <c r="G2981" s="189" t="n">
        <v>49</v>
      </c>
      <c r="H2981" s="190" t="n">
        <v>8069.27683912256</v>
      </c>
      <c r="I2981" s="191" t="n">
        <v>4235239.11734864</v>
      </c>
      <c r="J2981" s="192" t="str">
        <f>IF(I2981&gt;0,H2981/I2981,0)</f>
      </c>
      <c r="K2981" s="193" t="str">
        <f>1-EXP(-J2981)</f>
      </c>
      <c r="L2981" s="194" t="str">
        <f>IF(G2981=30,1,M2980)</f>
      </c>
      <c r="M2981" s="195" t="str">
        <f>L2981*(1-K2981)</f>
      </c>
    </row>
    <row r="2982">
      <c r="A2982" t="s">
        <v>167</v>
      </c>
      <c r="B2982" t="s">
        <v>250</v>
      </c>
      <c r="C2982" s="35" t="s">
        <v>252</v>
      </c>
      <c r="D2982" t="s">
        <v>502</v>
      </c>
      <c r="E2982" t="s">
        <v>520</v>
      </c>
      <c r="F2982" s="188" t="n">
        <v>2047</v>
      </c>
      <c r="G2982" s="189" t="n">
        <v>50</v>
      </c>
      <c r="H2982" s="190" t="n">
        <v>9677.66185111981</v>
      </c>
      <c r="I2982" s="191" t="n">
        <v>4352130.39157453</v>
      </c>
      <c r="J2982" s="192" t="str">
        <f>IF(I2982&gt;0,H2982/I2982,0)</f>
      </c>
      <c r="K2982" s="193" t="str">
        <f>1-EXP(-J2982)</f>
      </c>
      <c r="L2982" s="194" t="str">
        <f>IF(G2982=30,1,M2981)</f>
      </c>
      <c r="M2982" s="195" t="str">
        <f>L2982*(1-K2982)</f>
      </c>
    </row>
    <row r="2983">
      <c r="A2983" t="s">
        <v>167</v>
      </c>
      <c r="B2983" t="s">
        <v>250</v>
      </c>
      <c r="C2983" s="35" t="s">
        <v>252</v>
      </c>
      <c r="D2983" t="s">
        <v>502</v>
      </c>
      <c r="E2983" t="s">
        <v>520</v>
      </c>
      <c r="F2983" s="188" t="n">
        <v>2047</v>
      </c>
      <c r="G2983" s="189" t="n">
        <v>51</v>
      </c>
      <c r="H2983" s="190" t="n">
        <v>10448.5044573588</v>
      </c>
      <c r="I2983" s="191" t="n">
        <v>4294567.77375777</v>
      </c>
      <c r="J2983" s="192" t="str">
        <f>IF(I2983&gt;0,H2983/I2983,0)</f>
      </c>
      <c r="K2983" s="193" t="str">
        <f>1-EXP(-J2983)</f>
      </c>
      <c r="L2983" s="194" t="str">
        <f>IF(G2983=30,1,M2982)</f>
      </c>
      <c r="M2983" s="195" t="str">
        <f>L2983*(1-K2983)</f>
      </c>
    </row>
    <row r="2984">
      <c r="A2984" t="s">
        <v>167</v>
      </c>
      <c r="B2984" t="s">
        <v>250</v>
      </c>
      <c r="C2984" s="35" t="s">
        <v>252</v>
      </c>
      <c r="D2984" t="s">
        <v>502</v>
      </c>
      <c r="E2984" t="s">
        <v>520</v>
      </c>
      <c r="F2984" s="188" t="n">
        <v>2047</v>
      </c>
      <c r="G2984" s="189" t="n">
        <v>52</v>
      </c>
      <c r="H2984" s="190" t="n">
        <v>11190.6232804675</v>
      </c>
      <c r="I2984" s="191" t="n">
        <v>4207512.82949911</v>
      </c>
      <c r="J2984" s="192" t="str">
        <f>IF(I2984&gt;0,H2984/I2984,0)</f>
      </c>
      <c r="K2984" s="193" t="str">
        <f>1-EXP(-J2984)</f>
      </c>
      <c r="L2984" s="194" t="str">
        <f>IF(G2984=30,1,M2983)</f>
      </c>
      <c r="M2984" s="195" t="str">
        <f>L2984*(1-K2984)</f>
      </c>
    </row>
    <row r="2985">
      <c r="A2985" t="s">
        <v>167</v>
      </c>
      <c r="B2985" t="s">
        <v>250</v>
      </c>
      <c r="C2985" s="35" t="s">
        <v>252</v>
      </c>
      <c r="D2985" t="s">
        <v>502</v>
      </c>
      <c r="E2985" t="s">
        <v>520</v>
      </c>
      <c r="F2985" s="188" t="n">
        <v>2047</v>
      </c>
      <c r="G2985" s="189" t="n">
        <v>53</v>
      </c>
      <c r="H2985" s="190" t="n">
        <v>11994.632955253</v>
      </c>
      <c r="I2985" s="191" t="n">
        <v>4134163.68969105</v>
      </c>
      <c r="J2985" s="192" t="str">
        <f>IF(I2985&gt;0,H2985/I2985,0)</f>
      </c>
      <c r="K2985" s="193" t="str">
        <f>1-EXP(-J2985)</f>
      </c>
      <c r="L2985" s="194" t="str">
        <f>IF(G2985=30,1,M2984)</f>
      </c>
      <c r="M2985" s="195" t="str">
        <f>L2985*(1-K2985)</f>
      </c>
    </row>
    <row r="2986">
      <c r="A2986" t="s">
        <v>167</v>
      </c>
      <c r="B2986" t="s">
        <v>250</v>
      </c>
      <c r="C2986" s="35" t="s">
        <v>252</v>
      </c>
      <c r="D2986" t="s">
        <v>502</v>
      </c>
      <c r="E2986" t="s">
        <v>520</v>
      </c>
      <c r="F2986" s="188" t="n">
        <v>2047</v>
      </c>
      <c r="G2986" s="189" t="n">
        <v>54</v>
      </c>
      <c r="H2986" s="190" t="n">
        <v>12836.1480564747</v>
      </c>
      <c r="I2986" s="191" t="n">
        <v>4062872.59889772</v>
      </c>
      <c r="J2986" s="192" t="str">
        <f>IF(I2986&gt;0,H2986/I2986,0)</f>
      </c>
      <c r="K2986" s="193" t="str">
        <f>1-EXP(-J2986)</f>
      </c>
      <c r="L2986" s="194" t="str">
        <f>IF(G2986=30,1,M2985)</f>
      </c>
      <c r="M2986" s="195" t="str">
        <f>L2986*(1-K2986)</f>
      </c>
    </row>
    <row r="2987">
      <c r="A2987" t="s">
        <v>167</v>
      </c>
      <c r="B2987" t="s">
        <v>250</v>
      </c>
      <c r="C2987" s="35" t="s">
        <v>252</v>
      </c>
      <c r="D2987" t="s">
        <v>502</v>
      </c>
      <c r="E2987" t="s">
        <v>520</v>
      </c>
      <c r="F2987" s="188" t="n">
        <v>2047</v>
      </c>
      <c r="G2987" s="189" t="n">
        <v>55</v>
      </c>
      <c r="H2987" s="190" t="n">
        <v>13738.7831933145</v>
      </c>
      <c r="I2987" s="191" t="n">
        <v>4075931.9727495</v>
      </c>
      <c r="J2987" s="192" t="str">
        <f>IF(I2987&gt;0,H2987/I2987,0)</f>
      </c>
      <c r="K2987" s="193" t="str">
        <f>1-EXP(-J2987)</f>
      </c>
      <c r="L2987" s="194" t="str">
        <f>IF(G2987=30,1,M2986)</f>
      </c>
      <c r="M2987" s="195" t="str">
        <f>L2987*(1-K2987)</f>
      </c>
    </row>
    <row r="2988">
      <c r="A2988" t="s">
        <v>167</v>
      </c>
      <c r="B2988" t="s">
        <v>250</v>
      </c>
      <c r="C2988" s="35" t="s">
        <v>252</v>
      </c>
      <c r="D2988" t="s">
        <v>502</v>
      </c>
      <c r="E2988" t="s">
        <v>520</v>
      </c>
      <c r="F2988" s="188" t="n">
        <v>2047</v>
      </c>
      <c r="G2988" s="189" t="n">
        <v>56</v>
      </c>
      <c r="H2988" s="190" t="n">
        <v>14904.9275023522</v>
      </c>
      <c r="I2988" s="191" t="n">
        <v>4067942.91087183</v>
      </c>
      <c r="J2988" s="192" t="str">
        <f>IF(I2988&gt;0,H2988/I2988,0)</f>
      </c>
      <c r="K2988" s="193" t="str">
        <f>1-EXP(-J2988)</f>
      </c>
      <c r="L2988" s="194" t="str">
        <f>IF(G2988=30,1,M2987)</f>
      </c>
      <c r="M2988" s="195" t="str">
        <f>L2988*(1-K2988)</f>
      </c>
    </row>
    <row r="2989">
      <c r="A2989" t="s">
        <v>167</v>
      </c>
      <c r="B2989" t="s">
        <v>250</v>
      </c>
      <c r="C2989" s="35" t="s">
        <v>252</v>
      </c>
      <c r="D2989" t="s">
        <v>502</v>
      </c>
      <c r="E2989" t="s">
        <v>520</v>
      </c>
      <c r="F2989" s="188" t="n">
        <v>2047</v>
      </c>
      <c r="G2989" s="189" t="n">
        <v>57</v>
      </c>
      <c r="H2989" s="190" t="n">
        <v>21680.4112262307</v>
      </c>
      <c r="I2989" s="191" t="n">
        <v>5980985.61612953</v>
      </c>
      <c r="J2989" s="192" t="str">
        <f>IF(I2989&gt;0,H2989/I2989,0)</f>
      </c>
      <c r="K2989" s="193" t="str">
        <f>1-EXP(-J2989)</f>
      </c>
      <c r="L2989" s="194" t="str">
        <f>IF(G2989=30,1,M2988)</f>
      </c>
      <c r="M2989" s="195" t="str">
        <f>L2989*(1-K2989)</f>
      </c>
    </row>
    <row r="2990">
      <c r="A2990" t="s">
        <v>167</v>
      </c>
      <c r="B2990" t="s">
        <v>250</v>
      </c>
      <c r="C2990" s="35" t="s">
        <v>252</v>
      </c>
      <c r="D2990" t="s">
        <v>502</v>
      </c>
      <c r="E2990" t="s">
        <v>520</v>
      </c>
      <c r="F2990" s="188" t="n">
        <v>2047</v>
      </c>
      <c r="G2990" s="189" t="n">
        <v>58</v>
      </c>
      <c r="H2990" s="190" t="n">
        <v>17331.4766963989</v>
      </c>
      <c r="I2990" s="191" t="n">
        <v>3973710.68947207</v>
      </c>
      <c r="J2990" s="192" t="str">
        <f>IF(I2990&gt;0,H2990/I2990,0)</f>
      </c>
      <c r="K2990" s="193" t="str">
        <f>1-EXP(-J2990)</f>
      </c>
      <c r="L2990" s="194" t="str">
        <f>IF(G2990=30,1,M2989)</f>
      </c>
      <c r="M2990" s="195" t="str">
        <f>L2990*(1-K2990)</f>
      </c>
    </row>
    <row r="2991">
      <c r="A2991" t="s">
        <v>167</v>
      </c>
      <c r="B2991" t="s">
        <v>250</v>
      </c>
      <c r="C2991" s="35" t="s">
        <v>252</v>
      </c>
      <c r="D2991" t="s">
        <v>502</v>
      </c>
      <c r="E2991" t="s">
        <v>520</v>
      </c>
      <c r="F2991" s="188" t="n">
        <v>2047</v>
      </c>
      <c r="G2991" s="189" t="n">
        <v>59</v>
      </c>
      <c r="H2991" s="190" t="n">
        <v>18742.7845982058</v>
      </c>
      <c r="I2991" s="191" t="n">
        <v>3926859.8582279</v>
      </c>
      <c r="J2991" s="192" t="str">
        <f>IF(I2991&gt;0,H2991/I2991,0)</f>
      </c>
      <c r="K2991" s="193" t="str">
        <f>1-EXP(-J2991)</f>
      </c>
      <c r="L2991" s="194" t="str">
        <f>IF(G2991=30,1,M2990)</f>
      </c>
      <c r="M2991" s="195" t="str">
        <f>L2991*(1-K2991)</f>
      </c>
    </row>
    <row r="2992">
      <c r="A2992" t="s">
        <v>167</v>
      </c>
      <c r="B2992" t="s">
        <v>250</v>
      </c>
      <c r="C2992" s="35" t="s">
        <v>252</v>
      </c>
      <c r="D2992" t="s">
        <v>502</v>
      </c>
      <c r="E2992" t="s">
        <v>520</v>
      </c>
      <c r="F2992" s="188" t="n">
        <v>2047</v>
      </c>
      <c r="G2992" s="189" t="n">
        <v>60</v>
      </c>
      <c r="H2992" s="190" t="n">
        <v>19440.9070450728</v>
      </c>
      <c r="I2992" s="191" t="n">
        <v>3773165.42914273</v>
      </c>
      <c r="J2992" s="192" t="str">
        <f>IF(I2992&gt;0,H2992/I2992,0)</f>
      </c>
      <c r="K2992" s="193" t="str">
        <f>1-EXP(-J2992)</f>
      </c>
      <c r="L2992" s="194" t="str">
        <f>IF(G2992=30,1,M2991)</f>
      </c>
      <c r="M2992" s="195" t="str">
        <f>L2992*(1-K2992)</f>
      </c>
    </row>
    <row r="2993">
      <c r="A2993" t="s">
        <v>167</v>
      </c>
      <c r="B2993" t="s">
        <v>250</v>
      </c>
      <c r="C2993" s="35" t="s">
        <v>252</v>
      </c>
      <c r="D2993" t="s">
        <v>502</v>
      </c>
      <c r="E2993" t="s">
        <v>520</v>
      </c>
      <c r="F2993" s="188" t="n">
        <v>2047</v>
      </c>
      <c r="G2993" s="189" t="n">
        <v>61</v>
      </c>
      <c r="H2993" s="190" t="n">
        <v>20957.7666587602</v>
      </c>
      <c r="I2993" s="191" t="n">
        <v>3705965.11435011</v>
      </c>
      <c r="J2993" s="192" t="str">
        <f>IF(I2993&gt;0,H2993/I2993,0)</f>
      </c>
      <c r="K2993" s="193" t="str">
        <f>1-EXP(-J2993)</f>
      </c>
      <c r="L2993" s="194" t="str">
        <f>IF(G2993=30,1,M2992)</f>
      </c>
      <c r="M2993" s="195" t="str">
        <f>L2993*(1-K2993)</f>
      </c>
    </row>
    <row r="2994">
      <c r="A2994" t="s">
        <v>167</v>
      </c>
      <c r="B2994" t="s">
        <v>250</v>
      </c>
      <c r="C2994" s="35" t="s">
        <v>252</v>
      </c>
      <c r="D2994" t="s">
        <v>502</v>
      </c>
      <c r="E2994" t="s">
        <v>520</v>
      </c>
      <c r="F2994" s="188" t="n">
        <v>2047</v>
      </c>
      <c r="G2994" s="189" t="n">
        <v>62</v>
      </c>
      <c r="H2994" s="190" t="n">
        <v>23092.5645975831</v>
      </c>
      <c r="I2994" s="191" t="n">
        <v>3718752.81308993</v>
      </c>
      <c r="J2994" s="192" t="str">
        <f>IF(I2994&gt;0,H2994/I2994,0)</f>
      </c>
      <c r="K2994" s="193" t="str">
        <f>1-EXP(-J2994)</f>
      </c>
      <c r="L2994" s="194" t="str">
        <f>IF(G2994=30,1,M2993)</f>
      </c>
      <c r="M2994" s="195" t="str">
        <f>L2994*(1-K2994)</f>
      </c>
    </row>
    <row r="2995">
      <c r="A2995" t="s">
        <v>167</v>
      </c>
      <c r="B2995" t="s">
        <v>250</v>
      </c>
      <c r="C2995" s="35" t="s">
        <v>252</v>
      </c>
      <c r="D2995" t="s">
        <v>502</v>
      </c>
      <c r="E2995" t="s">
        <v>520</v>
      </c>
      <c r="F2995" s="188" t="n">
        <v>2047</v>
      </c>
      <c r="G2995" s="189" t="n">
        <v>63</v>
      </c>
      <c r="H2995" s="190" t="n">
        <v>25559.7304355984</v>
      </c>
      <c r="I2995" s="191" t="n">
        <v>3748770.59240103</v>
      </c>
      <c r="J2995" s="192" t="str">
        <f>IF(I2995&gt;0,H2995/I2995,0)</f>
      </c>
      <c r="K2995" s="193" t="str">
        <f>1-EXP(-J2995)</f>
      </c>
      <c r="L2995" s="194" t="str">
        <f>IF(G2995=30,1,M2994)</f>
      </c>
      <c r="M2995" s="195" t="str">
        <f>L2995*(1-K2995)</f>
      </c>
    </row>
    <row r="2996">
      <c r="A2996" t="s">
        <v>167</v>
      </c>
      <c r="B2996" t="s">
        <v>250</v>
      </c>
      <c r="C2996" s="35" t="s">
        <v>252</v>
      </c>
      <c r="D2996" t="s">
        <v>502</v>
      </c>
      <c r="E2996" t="s">
        <v>520</v>
      </c>
      <c r="F2996" s="188" t="n">
        <v>2047</v>
      </c>
      <c r="G2996" s="189" t="n">
        <v>64</v>
      </c>
      <c r="H2996" s="190" t="n">
        <v>27533.7231377063</v>
      </c>
      <c r="I2996" s="191" t="n">
        <v>3679372.37386739</v>
      </c>
      <c r="J2996" s="192" t="str">
        <f>IF(I2996&gt;0,H2996/I2996,0)</f>
      </c>
      <c r="K2996" s="193" t="str">
        <f>1-EXP(-J2996)</f>
      </c>
      <c r="L2996" s="194" t="str">
        <f>IF(G2996=30,1,M2995)</f>
      </c>
      <c r="M2996" s="195" t="str">
        <f>L2996*(1-K2996)</f>
      </c>
    </row>
    <row r="2997">
      <c r="A2997" t="s">
        <v>167</v>
      </c>
      <c r="B2997" t="s">
        <v>250</v>
      </c>
      <c r="C2997" s="35" t="s">
        <v>252</v>
      </c>
      <c r="D2997" t="s">
        <v>502</v>
      </c>
      <c r="E2997" t="s">
        <v>520</v>
      </c>
      <c r="F2997" s="188" t="n">
        <v>2047</v>
      </c>
      <c r="G2997" s="189" t="n">
        <v>65</v>
      </c>
      <c r="H2997" s="190" t="n">
        <v>27452.3675066931</v>
      </c>
      <c r="I2997" s="191" t="n">
        <v>3510623.44271838</v>
      </c>
      <c r="J2997" s="192" t="str">
        <f>IF(I2997&gt;0,H2997/I2997,0)</f>
      </c>
      <c r="K2997" s="193" t="str">
        <f>1-EXP(-J2997)</f>
      </c>
      <c r="L2997" s="194" t="str">
        <f>IF(G2997=30,1,M2996)</f>
      </c>
      <c r="M2997" s="195" t="str">
        <f>L2997*(1-K2997)</f>
      </c>
    </row>
    <row r="2998">
      <c r="A2998" t="s">
        <v>167</v>
      </c>
      <c r="B2998" t="s">
        <v>250</v>
      </c>
      <c r="C2998" s="35" t="s">
        <v>252</v>
      </c>
      <c r="D2998" t="s">
        <v>502</v>
      </c>
      <c r="E2998" t="s">
        <v>520</v>
      </c>
      <c r="F2998" s="188" t="n">
        <v>2047</v>
      </c>
      <c r="G2998" s="189" t="n">
        <v>66</v>
      </c>
      <c r="H2998" s="190" t="n">
        <v>29137.7441590779</v>
      </c>
      <c r="I2998" s="191" t="n">
        <v>3394447.52544673</v>
      </c>
      <c r="J2998" s="192" t="str">
        <f>IF(I2998&gt;0,H2998/I2998,0)</f>
      </c>
      <c r="K2998" s="193" t="str">
        <f>1-EXP(-J2998)</f>
      </c>
      <c r="L2998" s="194" t="str">
        <f>IF(G2998=30,1,M2997)</f>
      </c>
      <c r="M2998" s="195" t="str">
        <f>L2998*(1-K2998)</f>
      </c>
    </row>
    <row r="2999">
      <c r="A2999" t="s">
        <v>167</v>
      </c>
      <c r="B2999" t="s">
        <v>250</v>
      </c>
      <c r="C2999" s="35" t="s">
        <v>252</v>
      </c>
      <c r="D2999" t="s">
        <v>502</v>
      </c>
      <c r="E2999" t="s">
        <v>520</v>
      </c>
      <c r="F2999" s="188" t="n">
        <v>2047</v>
      </c>
      <c r="G2999" s="189" t="n">
        <v>67</v>
      </c>
      <c r="H2999" s="190" t="n">
        <v>31010.5383975216</v>
      </c>
      <c r="I2999" s="191" t="n">
        <v>3288258.69765329</v>
      </c>
      <c r="J2999" s="192" t="str">
        <f>IF(I2999&gt;0,H2999/I2999,0)</f>
      </c>
      <c r="K2999" s="193" t="str">
        <f>1-EXP(-J2999)</f>
      </c>
      <c r="L2999" s="194" t="str">
        <f>IF(G2999=30,1,M2998)</f>
      </c>
      <c r="M2999" s="195" t="str">
        <f>L2999*(1-K2999)</f>
      </c>
    </row>
    <row r="3000">
      <c r="A3000" t="s">
        <v>167</v>
      </c>
      <c r="B3000" t="s">
        <v>250</v>
      </c>
      <c r="C3000" s="35" t="s">
        <v>252</v>
      </c>
      <c r="D3000" t="s">
        <v>502</v>
      </c>
      <c r="E3000" t="s">
        <v>520</v>
      </c>
      <c r="F3000" s="188" t="n">
        <v>2047</v>
      </c>
      <c r="G3000" s="189" t="n">
        <v>68</v>
      </c>
      <c r="H3000" s="190" t="n">
        <v>32917.8752853557</v>
      </c>
      <c r="I3000" s="191" t="n">
        <v>3174829.74024071</v>
      </c>
      <c r="J3000" s="192" t="str">
        <f>IF(I3000&gt;0,H3000/I3000,0)</f>
      </c>
      <c r="K3000" s="193" t="str">
        <f>1-EXP(-J3000)</f>
      </c>
      <c r="L3000" s="194" t="str">
        <f>IF(G3000=30,1,M2999)</f>
      </c>
      <c r="M3000" s="195" t="str">
        <f>L3000*(1-K3000)</f>
      </c>
    </row>
    <row r="3001">
      <c r="A3001" t="s">
        <v>167</v>
      </c>
      <c r="B3001" t="s">
        <v>250</v>
      </c>
      <c r="C3001" s="35" t="s">
        <v>252</v>
      </c>
      <c r="D3001" t="s">
        <v>502</v>
      </c>
      <c r="E3001" t="s">
        <v>520</v>
      </c>
      <c r="F3001" s="188" t="n">
        <v>2047</v>
      </c>
      <c r="G3001" s="189" t="n">
        <v>69</v>
      </c>
      <c r="H3001" s="190" t="n">
        <v>34724.8852571622</v>
      </c>
      <c r="I3001" s="191" t="n">
        <v>3043319.55307844</v>
      </c>
      <c r="J3001" s="192" t="str">
        <f>IF(I3001&gt;0,H3001/I3001,0)</f>
      </c>
      <c r="K3001" s="193" t="str">
        <f>1-EXP(-J3001)</f>
      </c>
      <c r="L3001" s="194" t="str">
        <f>IF(G3001=30,1,M3000)</f>
      </c>
      <c r="M3001" s="195" t="str">
        <f>L3001*(1-K3001)</f>
      </c>
    </row>
    <row r="3002">
      <c r="A3002" t="s">
        <v>167</v>
      </c>
      <c r="B3002" t="s">
        <v>250</v>
      </c>
      <c r="C3002" s="35" t="s">
        <v>252</v>
      </c>
      <c r="D3002" t="s">
        <v>502</v>
      </c>
      <c r="E3002" t="s">
        <v>520</v>
      </c>
      <c r="F3002" s="188" t="n">
        <v>2048</v>
      </c>
      <c r="G3002" s="189" t="n">
        <v>30</v>
      </c>
      <c r="H3002" s="190" t="n">
        <v>605.431941222739</v>
      </c>
      <c r="I3002" s="191" t="n">
        <v>4275307.30096642</v>
      </c>
      <c r="J3002" s="192" t="str">
        <f>IF(I3002&gt;0,H3002/I3002,0)</f>
      </c>
      <c r="K3002" s="193" t="str">
        <f>1-EXP(-J3002)</f>
      </c>
      <c r="L3002" s="194" t="str">
        <f>IF(G3002=30,1,M3001)</f>
      </c>
      <c r="M3002" s="195" t="str">
        <f>L3002*(1-K3002)</f>
      </c>
    </row>
    <row r="3003">
      <c r="A3003" t="s">
        <v>167</v>
      </c>
      <c r="B3003" t="s">
        <v>250</v>
      </c>
      <c r="C3003" s="35" t="s">
        <v>252</v>
      </c>
      <c r="D3003" t="s">
        <v>502</v>
      </c>
      <c r="E3003" t="s">
        <v>520</v>
      </c>
      <c r="F3003" s="188" t="n">
        <v>2048</v>
      </c>
      <c r="G3003" s="189" t="n">
        <v>31</v>
      </c>
      <c r="H3003" s="190" t="n">
        <v>840.789286396202</v>
      </c>
      <c r="I3003" s="191" t="n">
        <v>4315843.82545717</v>
      </c>
      <c r="J3003" s="192" t="str">
        <f>IF(I3003&gt;0,H3003/I3003,0)</f>
      </c>
      <c r="K3003" s="193" t="str">
        <f>1-EXP(-J3003)</f>
      </c>
      <c r="L3003" s="194" t="str">
        <f>IF(G3003=30,1,M3002)</f>
      </c>
      <c r="M3003" s="195" t="str">
        <f>L3003*(1-K3003)</f>
      </c>
    </row>
    <row r="3004">
      <c r="A3004" t="s">
        <v>167</v>
      </c>
      <c r="B3004" t="s">
        <v>250</v>
      </c>
      <c r="C3004" s="35" t="s">
        <v>252</v>
      </c>
      <c r="D3004" t="s">
        <v>502</v>
      </c>
      <c r="E3004" t="s">
        <v>520</v>
      </c>
      <c r="F3004" s="188" t="n">
        <v>2048</v>
      </c>
      <c r="G3004" s="189" t="n">
        <v>32</v>
      </c>
      <c r="H3004" s="190" t="n">
        <v>975.377338034832</v>
      </c>
      <c r="I3004" s="191" t="n">
        <v>4578352.2154234</v>
      </c>
      <c r="J3004" s="192" t="str">
        <f>IF(I3004&gt;0,H3004/I3004,0)</f>
      </c>
      <c r="K3004" s="193" t="str">
        <f>1-EXP(-J3004)</f>
      </c>
      <c r="L3004" s="194" t="str">
        <f>IF(G3004=30,1,M3003)</f>
      </c>
      <c r="M3004" s="195" t="str">
        <f>L3004*(1-K3004)</f>
      </c>
    </row>
    <row r="3005">
      <c r="A3005" t="s">
        <v>167</v>
      </c>
      <c r="B3005" t="s">
        <v>250</v>
      </c>
      <c r="C3005" s="35" t="s">
        <v>252</v>
      </c>
      <c r="D3005" t="s">
        <v>502</v>
      </c>
      <c r="E3005" t="s">
        <v>520</v>
      </c>
      <c r="F3005" s="188" t="n">
        <v>2048</v>
      </c>
      <c r="G3005" s="189" t="n">
        <v>33</v>
      </c>
      <c r="H3005" s="190" t="n">
        <v>1078.37841070477</v>
      </c>
      <c r="I3005" s="191" t="n">
        <v>4626857.28888432</v>
      </c>
      <c r="J3005" s="192" t="str">
        <f>IF(I3005&gt;0,H3005/I3005,0)</f>
      </c>
      <c r="K3005" s="193" t="str">
        <f>1-EXP(-J3005)</f>
      </c>
      <c r="L3005" s="194" t="str">
        <f>IF(G3005=30,1,M3004)</f>
      </c>
      <c r="M3005" s="195" t="str">
        <f>L3005*(1-K3005)</f>
      </c>
    </row>
    <row r="3006">
      <c r="A3006" t="s">
        <v>167</v>
      </c>
      <c r="B3006" t="s">
        <v>250</v>
      </c>
      <c r="C3006" s="35" t="s">
        <v>252</v>
      </c>
      <c r="D3006" t="s">
        <v>502</v>
      </c>
      <c r="E3006" t="s">
        <v>520</v>
      </c>
      <c r="F3006" s="188" t="n">
        <v>2048</v>
      </c>
      <c r="G3006" s="189" t="n">
        <v>34</v>
      </c>
      <c r="H3006" s="190" t="n">
        <v>1164.98565791898</v>
      </c>
      <c r="I3006" s="191" t="n">
        <v>4692780.50919649</v>
      </c>
      <c r="J3006" s="192" t="str">
        <f>IF(I3006&gt;0,H3006/I3006,0)</f>
      </c>
      <c r="K3006" s="193" t="str">
        <f>1-EXP(-J3006)</f>
      </c>
      <c r="L3006" s="194" t="str">
        <f>IF(G3006=30,1,M3005)</f>
      </c>
      <c r="M3006" s="195" t="str">
        <f>L3006*(1-K3006)</f>
      </c>
    </row>
    <row r="3007">
      <c r="A3007" t="s">
        <v>167</v>
      </c>
      <c r="B3007" t="s">
        <v>250</v>
      </c>
      <c r="C3007" s="35" t="s">
        <v>252</v>
      </c>
      <c r="D3007" t="s">
        <v>502</v>
      </c>
      <c r="E3007" t="s">
        <v>520</v>
      </c>
      <c r="F3007" s="188" t="n">
        <v>2048</v>
      </c>
      <c r="G3007" s="189" t="n">
        <v>35</v>
      </c>
      <c r="H3007" s="190" t="n">
        <v>1530.49322909579</v>
      </c>
      <c r="I3007" s="191" t="n">
        <v>4759964.09512806</v>
      </c>
      <c r="J3007" s="192" t="str">
        <f>IF(I3007&gt;0,H3007/I3007,0)</f>
      </c>
      <c r="K3007" s="193" t="str">
        <f>1-EXP(-J3007)</f>
      </c>
      <c r="L3007" s="194" t="str">
        <f>IF(G3007=30,1,M3006)</f>
      </c>
      <c r="M3007" s="195" t="str">
        <f>L3007*(1-K3007)</f>
      </c>
    </row>
    <row r="3008">
      <c r="A3008" t="s">
        <v>167</v>
      </c>
      <c r="B3008" t="s">
        <v>250</v>
      </c>
      <c r="C3008" s="35" t="s">
        <v>252</v>
      </c>
      <c r="D3008" t="s">
        <v>502</v>
      </c>
      <c r="E3008" t="s">
        <v>520</v>
      </c>
      <c r="F3008" s="188" t="n">
        <v>2048</v>
      </c>
      <c r="G3008" s="189" t="n">
        <v>36</v>
      </c>
      <c r="H3008" s="190" t="n">
        <v>1908.90902813006</v>
      </c>
      <c r="I3008" s="191" t="n">
        <v>4870712.87714443</v>
      </c>
      <c r="J3008" s="192" t="str">
        <f>IF(I3008&gt;0,H3008/I3008,0)</f>
      </c>
      <c r="K3008" s="193" t="str">
        <f>1-EXP(-J3008)</f>
      </c>
      <c r="L3008" s="194" t="str">
        <f>IF(G3008=30,1,M3007)</f>
      </c>
      <c r="M3008" s="195" t="str">
        <f>L3008*(1-K3008)</f>
      </c>
    </row>
    <row r="3009">
      <c r="A3009" t="s">
        <v>167</v>
      </c>
      <c r="B3009" t="s">
        <v>250</v>
      </c>
      <c r="C3009" s="35" t="s">
        <v>252</v>
      </c>
      <c r="D3009" t="s">
        <v>502</v>
      </c>
      <c r="E3009" t="s">
        <v>520</v>
      </c>
      <c r="F3009" s="188" t="n">
        <v>2048</v>
      </c>
      <c r="G3009" s="189" t="n">
        <v>37</v>
      </c>
      <c r="H3009" s="190" t="n">
        <v>2038.46017213361</v>
      </c>
      <c r="I3009" s="191" t="n">
        <v>4841214.74715024</v>
      </c>
      <c r="J3009" s="192" t="str">
        <f>IF(I3009&gt;0,H3009/I3009,0)</f>
      </c>
      <c r="K3009" s="193" t="str">
        <f>1-EXP(-J3009)</f>
      </c>
      <c r="L3009" s="194" t="str">
        <f>IF(G3009=30,1,M3008)</f>
      </c>
      <c r="M3009" s="195" t="str">
        <f>L3009*(1-K3009)</f>
      </c>
    </row>
    <row r="3010">
      <c r="A3010" t="s">
        <v>167</v>
      </c>
      <c r="B3010" t="s">
        <v>250</v>
      </c>
      <c r="C3010" s="35" t="s">
        <v>252</v>
      </c>
      <c r="D3010" t="s">
        <v>502</v>
      </c>
      <c r="E3010" t="s">
        <v>520</v>
      </c>
      <c r="F3010" s="188" t="n">
        <v>2048</v>
      </c>
      <c r="G3010" s="189" t="n">
        <v>38</v>
      </c>
      <c r="H3010" s="190" t="n">
        <v>2136.84722578923</v>
      </c>
      <c r="I3010" s="191" t="n">
        <v>4706427.32615444</v>
      </c>
      <c r="J3010" s="192" t="str">
        <f>IF(I3010&gt;0,H3010/I3010,0)</f>
      </c>
      <c r="K3010" s="193" t="str">
        <f>1-EXP(-J3010)</f>
      </c>
      <c r="L3010" s="194" t="str">
        <f>IF(G3010=30,1,M3009)</f>
      </c>
      <c r="M3010" s="195" t="str">
        <f>L3010*(1-K3010)</f>
      </c>
    </row>
    <row r="3011">
      <c r="A3011" t="s">
        <v>167</v>
      </c>
      <c r="B3011" t="s">
        <v>250</v>
      </c>
      <c r="C3011" s="35" t="s">
        <v>252</v>
      </c>
      <c r="D3011" t="s">
        <v>502</v>
      </c>
      <c r="E3011" t="s">
        <v>520</v>
      </c>
      <c r="F3011" s="188" t="n">
        <v>2048</v>
      </c>
      <c r="G3011" s="189" t="n">
        <v>39</v>
      </c>
      <c r="H3011" s="190" t="n">
        <v>2275.46504810985</v>
      </c>
      <c r="I3011" s="191" t="n">
        <v>4633802.46414218</v>
      </c>
      <c r="J3011" s="192" t="str">
        <f>IF(I3011&gt;0,H3011/I3011,0)</f>
      </c>
      <c r="K3011" s="193" t="str">
        <f>1-EXP(-J3011)</f>
      </c>
      <c r="L3011" s="194" t="str">
        <f>IF(G3011=30,1,M3010)</f>
      </c>
      <c r="M3011" s="195" t="str">
        <f>L3011*(1-K3011)</f>
      </c>
    </row>
    <row r="3012">
      <c r="A3012" t="s">
        <v>167</v>
      </c>
      <c r="B3012" t="s">
        <v>250</v>
      </c>
      <c r="C3012" s="35" t="s">
        <v>252</v>
      </c>
      <c r="D3012" t="s">
        <v>502</v>
      </c>
      <c r="E3012" t="s">
        <v>520</v>
      </c>
      <c r="F3012" s="188" t="n">
        <v>2048</v>
      </c>
      <c r="G3012" s="189" t="n">
        <v>40</v>
      </c>
      <c r="H3012" s="190" t="n">
        <v>3025.55016567477</v>
      </c>
      <c r="I3012" s="191" t="n">
        <v>4588607.26737523</v>
      </c>
      <c r="J3012" s="192" t="str">
        <f>IF(I3012&gt;0,H3012/I3012,0)</f>
      </c>
      <c r="K3012" s="193" t="str">
        <f>1-EXP(-J3012)</f>
      </c>
      <c r="L3012" s="194" t="str">
        <f>IF(G3012=30,1,M3011)</f>
      </c>
      <c r="M3012" s="195" t="str">
        <f>L3012*(1-K3012)</f>
      </c>
    </row>
    <row r="3013">
      <c r="A3013" t="s">
        <v>167</v>
      </c>
      <c r="B3013" t="s">
        <v>250</v>
      </c>
      <c r="C3013" s="35" t="s">
        <v>252</v>
      </c>
      <c r="D3013" t="s">
        <v>502</v>
      </c>
      <c r="E3013" t="s">
        <v>520</v>
      </c>
      <c r="F3013" s="188" t="n">
        <v>2048</v>
      </c>
      <c r="G3013" s="189" t="n">
        <v>41</v>
      </c>
      <c r="H3013" s="190" t="n">
        <v>3502.21872967482</v>
      </c>
      <c r="I3013" s="191" t="n">
        <v>4609602.98466325</v>
      </c>
      <c r="J3013" s="192" t="str">
        <f>IF(I3013&gt;0,H3013/I3013,0)</f>
      </c>
      <c r="K3013" s="193" t="str">
        <f>1-EXP(-J3013)</f>
      </c>
      <c r="L3013" s="194" t="str">
        <f>IF(G3013=30,1,M3012)</f>
      </c>
      <c r="M3013" s="195" t="str">
        <f>L3013*(1-K3013)</f>
      </c>
    </row>
    <row r="3014">
      <c r="A3014" t="s">
        <v>167</v>
      </c>
      <c r="B3014" t="s">
        <v>250</v>
      </c>
      <c r="C3014" s="35" t="s">
        <v>252</v>
      </c>
      <c r="D3014" t="s">
        <v>502</v>
      </c>
      <c r="E3014" t="s">
        <v>520</v>
      </c>
      <c r="F3014" s="188" t="n">
        <v>2048</v>
      </c>
      <c r="G3014" s="189" t="n">
        <v>42</v>
      </c>
      <c r="H3014" s="190" t="n">
        <v>3727.65038824494</v>
      </c>
      <c r="I3014" s="191" t="n">
        <v>4523381.04200901</v>
      </c>
      <c r="J3014" s="192" t="str">
        <f>IF(I3014&gt;0,H3014/I3014,0)</f>
      </c>
      <c r="K3014" s="193" t="str">
        <f>1-EXP(-J3014)</f>
      </c>
      <c r="L3014" s="194" t="str">
        <f>IF(G3014=30,1,M3013)</f>
      </c>
      <c r="M3014" s="195" t="str">
        <f>L3014*(1-K3014)</f>
      </c>
    </row>
    <row r="3015">
      <c r="A3015" t="s">
        <v>167</v>
      </c>
      <c r="B3015" t="s">
        <v>250</v>
      </c>
      <c r="C3015" s="35" t="s">
        <v>252</v>
      </c>
      <c r="D3015" t="s">
        <v>502</v>
      </c>
      <c r="E3015" t="s">
        <v>520</v>
      </c>
      <c r="F3015" s="188" t="n">
        <v>2048</v>
      </c>
      <c r="G3015" s="189" t="n">
        <v>43</v>
      </c>
      <c r="H3015" s="190" t="n">
        <v>3993.50066620429</v>
      </c>
      <c r="I3015" s="191" t="n">
        <v>4458267.30628916</v>
      </c>
      <c r="J3015" s="192" t="str">
        <f>IF(I3015&gt;0,H3015/I3015,0)</f>
      </c>
      <c r="K3015" s="193" t="str">
        <f>1-EXP(-J3015)</f>
      </c>
      <c r="L3015" s="194" t="str">
        <f>IF(G3015=30,1,M3014)</f>
      </c>
      <c r="M3015" s="195" t="str">
        <f>L3015*(1-K3015)</f>
      </c>
    </row>
    <row r="3016">
      <c r="A3016" t="s">
        <v>167</v>
      </c>
      <c r="B3016" t="s">
        <v>250</v>
      </c>
      <c r="C3016" s="35" t="s">
        <v>252</v>
      </c>
      <c r="D3016" t="s">
        <v>502</v>
      </c>
      <c r="E3016" t="s">
        <v>520</v>
      </c>
      <c r="F3016" s="188" t="n">
        <v>2048</v>
      </c>
      <c r="G3016" s="189" t="n">
        <v>44</v>
      </c>
      <c r="H3016" s="190" t="n">
        <v>4222.69504512519</v>
      </c>
      <c r="I3016" s="191" t="n">
        <v>4326212.6228057</v>
      </c>
      <c r="J3016" s="192" t="str">
        <f>IF(I3016&gt;0,H3016/I3016,0)</f>
      </c>
      <c r="K3016" s="193" t="str">
        <f>1-EXP(-J3016)</f>
      </c>
      <c r="L3016" s="194" t="str">
        <f>IF(G3016=30,1,M3015)</f>
      </c>
      <c r="M3016" s="195" t="str">
        <f>L3016*(1-K3016)</f>
      </c>
    </row>
    <row r="3017">
      <c r="A3017" t="s">
        <v>167</v>
      </c>
      <c r="B3017" t="s">
        <v>250</v>
      </c>
      <c r="C3017" s="35" t="s">
        <v>252</v>
      </c>
      <c r="D3017" t="s">
        <v>502</v>
      </c>
      <c r="E3017" t="s">
        <v>520</v>
      </c>
      <c r="F3017" s="188" t="n">
        <v>2048</v>
      </c>
      <c r="G3017" s="189" t="n">
        <v>45</v>
      </c>
      <c r="H3017" s="190" t="n">
        <v>5330.57629609149</v>
      </c>
      <c r="I3017" s="191" t="n">
        <v>4255498.73150192</v>
      </c>
      <c r="J3017" s="192" t="str">
        <f>IF(I3017&gt;0,H3017/I3017,0)</f>
      </c>
      <c r="K3017" s="193" t="str">
        <f>1-EXP(-J3017)</f>
      </c>
      <c r="L3017" s="194" t="str">
        <f>IF(G3017=30,1,M3016)</f>
      </c>
      <c r="M3017" s="195" t="str">
        <f>L3017*(1-K3017)</f>
      </c>
    </row>
    <row r="3018">
      <c r="A3018" t="s">
        <v>167</v>
      </c>
      <c r="B3018" t="s">
        <v>250</v>
      </c>
      <c r="C3018" s="35" t="s">
        <v>252</v>
      </c>
      <c r="D3018" t="s">
        <v>502</v>
      </c>
      <c r="E3018" t="s">
        <v>520</v>
      </c>
      <c r="F3018" s="188" t="n">
        <v>2048</v>
      </c>
      <c r="G3018" s="189" t="n">
        <v>46</v>
      </c>
      <c r="H3018" s="190" t="n">
        <v>6050.35262247771</v>
      </c>
      <c r="I3018" s="191" t="n">
        <v>4223898.85450833</v>
      </c>
      <c r="J3018" s="192" t="str">
        <f>IF(I3018&gt;0,H3018/I3018,0)</f>
      </c>
      <c r="K3018" s="193" t="str">
        <f>1-EXP(-J3018)</f>
      </c>
      <c r="L3018" s="194" t="str">
        <f>IF(G3018=30,1,M3017)</f>
      </c>
      <c r="M3018" s="195" t="str">
        <f>L3018*(1-K3018)</f>
      </c>
    </row>
    <row r="3019">
      <c r="A3019" t="s">
        <v>167</v>
      </c>
      <c r="B3019" t="s">
        <v>250</v>
      </c>
      <c r="C3019" s="35" t="s">
        <v>252</v>
      </c>
      <c r="D3019" t="s">
        <v>502</v>
      </c>
      <c r="E3019" t="s">
        <v>520</v>
      </c>
      <c r="F3019" s="188" t="n">
        <v>2048</v>
      </c>
      <c r="G3019" s="189" t="n">
        <v>47</v>
      </c>
      <c r="H3019" s="190" t="n">
        <v>6582.24541275727</v>
      </c>
      <c r="I3019" s="191" t="n">
        <v>4195602.59966158</v>
      </c>
      <c r="J3019" s="192" t="str">
        <f>IF(I3019&gt;0,H3019/I3019,0)</f>
      </c>
      <c r="K3019" s="193" t="str">
        <f>1-EXP(-J3019)</f>
      </c>
      <c r="L3019" s="194" t="str">
        <f>IF(G3019=30,1,M3018)</f>
      </c>
      <c r="M3019" s="195" t="str">
        <f>L3019*(1-K3019)</f>
      </c>
    </row>
    <row r="3020">
      <c r="A3020" t="s">
        <v>167</v>
      </c>
      <c r="B3020" t="s">
        <v>250</v>
      </c>
      <c r="C3020" s="35" t="s">
        <v>252</v>
      </c>
      <c r="D3020" t="s">
        <v>502</v>
      </c>
      <c r="E3020" t="s">
        <v>520</v>
      </c>
      <c r="F3020" s="188" t="n">
        <v>2048</v>
      </c>
      <c r="G3020" s="189" t="n">
        <v>48</v>
      </c>
      <c r="H3020" s="190" t="n">
        <v>7172.85367611886</v>
      </c>
      <c r="I3020" s="191" t="n">
        <v>4166035.9529822</v>
      </c>
      <c r="J3020" s="192" t="str">
        <f>IF(I3020&gt;0,H3020/I3020,0)</f>
      </c>
      <c r="K3020" s="193" t="str">
        <f>1-EXP(-J3020)</f>
      </c>
      <c r="L3020" s="194" t="str">
        <f>IF(G3020=30,1,M3019)</f>
      </c>
      <c r="M3020" s="195" t="str">
        <f>L3020*(1-K3020)</f>
      </c>
    </row>
    <row r="3021">
      <c r="A3021" t="s">
        <v>167</v>
      </c>
      <c r="B3021" t="s">
        <v>250</v>
      </c>
      <c r="C3021" s="35" t="s">
        <v>252</v>
      </c>
      <c r="D3021" t="s">
        <v>502</v>
      </c>
      <c r="E3021" t="s">
        <v>520</v>
      </c>
      <c r="F3021" s="188" t="n">
        <v>2048</v>
      </c>
      <c r="G3021" s="189" t="n">
        <v>49</v>
      </c>
      <c r="H3021" s="190" t="n">
        <v>7894.48237675619</v>
      </c>
      <c r="I3021" s="191" t="n">
        <v>4173653.01924017</v>
      </c>
      <c r="J3021" s="192" t="str">
        <f>IF(I3021&gt;0,H3021/I3021,0)</f>
      </c>
      <c r="K3021" s="193" t="str">
        <f>1-EXP(-J3021)</f>
      </c>
      <c r="L3021" s="194" t="str">
        <f>IF(G3021=30,1,M3020)</f>
      </c>
      <c r="M3021" s="195" t="str">
        <f>L3021*(1-K3021)</f>
      </c>
    </row>
    <row r="3022">
      <c r="A3022" t="s">
        <v>167</v>
      </c>
      <c r="B3022" t="s">
        <v>250</v>
      </c>
      <c r="C3022" s="35" t="s">
        <v>252</v>
      </c>
      <c r="D3022" t="s">
        <v>502</v>
      </c>
      <c r="E3022" t="s">
        <v>520</v>
      </c>
      <c r="F3022" s="188" t="n">
        <v>2048</v>
      </c>
      <c r="G3022" s="189" t="n">
        <v>50</v>
      </c>
      <c r="H3022" s="190" t="n">
        <v>9102.77396122315</v>
      </c>
      <c r="I3022" s="191" t="n">
        <v>4217449.40736325</v>
      </c>
      <c r="J3022" s="192" t="str">
        <f>IF(I3022&gt;0,H3022/I3022,0)</f>
      </c>
      <c r="K3022" s="193" t="str">
        <f>1-EXP(-J3022)</f>
      </c>
      <c r="L3022" s="194" t="str">
        <f>IF(G3022=30,1,M3021)</f>
      </c>
      <c r="M3022" s="195" t="str">
        <f>L3022*(1-K3022)</f>
      </c>
    </row>
    <row r="3023">
      <c r="A3023" t="s">
        <v>167</v>
      </c>
      <c r="B3023" t="s">
        <v>250</v>
      </c>
      <c r="C3023" s="35" t="s">
        <v>252</v>
      </c>
      <c r="D3023" t="s">
        <v>502</v>
      </c>
      <c r="E3023" t="s">
        <v>520</v>
      </c>
      <c r="F3023" s="188" t="n">
        <v>2048</v>
      </c>
      <c r="G3023" s="189" t="n">
        <v>51</v>
      </c>
      <c r="H3023" s="190" t="n">
        <v>10453.8830257036</v>
      </c>
      <c r="I3023" s="191" t="n">
        <v>4331210.76361257</v>
      </c>
      <c r="J3023" s="192" t="str">
        <f>IF(I3023&gt;0,H3023/I3023,0)</f>
      </c>
      <c r="K3023" s="193" t="str">
        <f>1-EXP(-J3023)</f>
      </c>
      <c r="L3023" s="194" t="str">
        <f>IF(G3023=30,1,M3022)</f>
      </c>
      <c r="M3023" s="195" t="str">
        <f>L3023*(1-K3023)</f>
      </c>
    </row>
    <row r="3024">
      <c r="A3024" t="s">
        <v>167</v>
      </c>
      <c r="B3024" t="s">
        <v>250</v>
      </c>
      <c r="C3024" s="35" t="s">
        <v>252</v>
      </c>
      <c r="D3024" t="s">
        <v>502</v>
      </c>
      <c r="E3024" t="s">
        <v>520</v>
      </c>
      <c r="F3024" s="188" t="n">
        <v>2048</v>
      </c>
      <c r="G3024" s="189" t="n">
        <v>52</v>
      </c>
      <c r="H3024" s="190" t="n">
        <v>11272.6678668694</v>
      </c>
      <c r="I3024" s="191" t="n">
        <v>4272595.46020568</v>
      </c>
      <c r="J3024" s="192" t="str">
        <f>IF(I3024&gt;0,H3024/I3024,0)</f>
      </c>
      <c r="K3024" s="193" t="str">
        <f>1-EXP(-J3024)</f>
      </c>
      <c r="L3024" s="194" t="str">
        <f>IF(G3024=30,1,M3023)</f>
      </c>
      <c r="M3024" s="195" t="str">
        <f>L3024*(1-K3024)</f>
      </c>
    </row>
    <row r="3025">
      <c r="A3025" t="s">
        <v>167</v>
      </c>
      <c r="B3025" t="s">
        <v>250</v>
      </c>
      <c r="C3025" s="35" t="s">
        <v>252</v>
      </c>
      <c r="D3025" t="s">
        <v>502</v>
      </c>
      <c r="E3025" t="s">
        <v>520</v>
      </c>
      <c r="F3025" s="188" t="n">
        <v>2048</v>
      </c>
      <c r="G3025" s="189" t="n">
        <v>53</v>
      </c>
      <c r="H3025" s="190" t="n">
        <v>12039.5576837931</v>
      </c>
      <c r="I3025" s="191" t="n">
        <v>4183977.213905</v>
      </c>
      <c r="J3025" s="192" t="str">
        <f>IF(I3025&gt;0,H3025/I3025,0)</f>
      </c>
      <c r="K3025" s="193" t="str">
        <f>1-EXP(-J3025)</f>
      </c>
      <c r="L3025" s="194" t="str">
        <f>IF(G3025=30,1,M3024)</f>
      </c>
      <c r="M3025" s="195" t="str">
        <f>L3025*(1-K3025)</f>
      </c>
    </row>
    <row r="3026">
      <c r="A3026" t="s">
        <v>167</v>
      </c>
      <c r="B3026" t="s">
        <v>250</v>
      </c>
      <c r="C3026" s="35" t="s">
        <v>252</v>
      </c>
      <c r="D3026" t="s">
        <v>502</v>
      </c>
      <c r="E3026" t="s">
        <v>520</v>
      </c>
      <c r="F3026" s="188" t="n">
        <v>2048</v>
      </c>
      <c r="G3026" s="189" t="n">
        <v>54</v>
      </c>
      <c r="H3026" s="190" t="n">
        <v>12871.4164248572</v>
      </c>
      <c r="I3026" s="191" t="n">
        <v>4108929.58871587</v>
      </c>
      <c r="J3026" s="192" t="str">
        <f>IF(I3026&gt;0,H3026/I3026,0)</f>
      </c>
      <c r="K3026" s="193" t="str">
        <f>1-EXP(-J3026)</f>
      </c>
      <c r="L3026" s="194" t="str">
        <f>IF(G3026=30,1,M3025)</f>
      </c>
      <c r="M3026" s="195" t="str">
        <f>L3026*(1-K3026)</f>
      </c>
    </row>
    <row r="3027">
      <c r="A3027" t="s">
        <v>167</v>
      </c>
      <c r="B3027" t="s">
        <v>250</v>
      </c>
      <c r="C3027" s="35" t="s">
        <v>252</v>
      </c>
      <c r="D3027" t="s">
        <v>502</v>
      </c>
      <c r="E3027" t="s">
        <v>520</v>
      </c>
      <c r="F3027" s="188" t="n">
        <v>2048</v>
      </c>
      <c r="G3027" s="189" t="n">
        <v>55</v>
      </c>
      <c r="H3027" s="190" t="n">
        <v>13486.1511539224</v>
      </c>
      <c r="I3027" s="191" t="n">
        <v>4035863.21663577</v>
      </c>
      <c r="J3027" s="192" t="str">
        <f>IF(I3027&gt;0,H3027/I3027,0)</f>
      </c>
      <c r="K3027" s="193" t="str">
        <f>1-EXP(-J3027)</f>
      </c>
      <c r="L3027" s="194" t="str">
        <f>IF(G3027=30,1,M3026)</f>
      </c>
      <c r="M3027" s="195" t="str">
        <f>L3027*(1-K3027)</f>
      </c>
    </row>
    <row r="3028">
      <c r="A3028" t="s">
        <v>167</v>
      </c>
      <c r="B3028" t="s">
        <v>250</v>
      </c>
      <c r="C3028" s="35" t="s">
        <v>252</v>
      </c>
      <c r="D3028" t="s">
        <v>502</v>
      </c>
      <c r="E3028" t="s">
        <v>520</v>
      </c>
      <c r="F3028" s="188" t="n">
        <v>2048</v>
      </c>
      <c r="G3028" s="189" t="n">
        <v>56</v>
      </c>
      <c r="H3028" s="190" t="n">
        <v>14673.1821762051</v>
      </c>
      <c r="I3028" s="191" t="n">
        <v>4046448.5668019</v>
      </c>
      <c r="J3028" s="192" t="str">
        <f>IF(I3028&gt;0,H3028/I3028,0)</f>
      </c>
      <c r="K3028" s="193" t="str">
        <f>1-EXP(-J3028)</f>
      </c>
      <c r="L3028" s="194" t="str">
        <f>IF(G3028=30,1,M3027)</f>
      </c>
      <c r="M3028" s="195" t="str">
        <f>L3028*(1-K3028)</f>
      </c>
    </row>
    <row r="3029">
      <c r="A3029" t="s">
        <v>167</v>
      </c>
      <c r="B3029" t="s">
        <v>250</v>
      </c>
      <c r="C3029" s="35" t="s">
        <v>252</v>
      </c>
      <c r="D3029" t="s">
        <v>502</v>
      </c>
      <c r="E3029" t="s">
        <v>520</v>
      </c>
      <c r="F3029" s="188" t="n">
        <v>2048</v>
      </c>
      <c r="G3029" s="189" t="n">
        <v>57</v>
      </c>
      <c r="H3029" s="190" t="n">
        <v>15949.2955962119</v>
      </c>
      <c r="I3029" s="191" t="n">
        <v>4036001.90083083</v>
      </c>
      <c r="J3029" s="192" t="str">
        <f>IF(I3029&gt;0,H3029/I3029,0)</f>
      </c>
      <c r="K3029" s="193" t="str">
        <f>1-EXP(-J3029)</f>
      </c>
      <c r="L3029" s="194" t="str">
        <f>IF(G3029=30,1,M3028)</f>
      </c>
      <c r="M3029" s="195" t="str">
        <f>L3029*(1-K3029)</f>
      </c>
    </row>
    <row r="3030">
      <c r="A3030" t="s">
        <v>167</v>
      </c>
      <c r="B3030" t="s">
        <v>250</v>
      </c>
      <c r="C3030" s="35" t="s">
        <v>252</v>
      </c>
      <c r="D3030" t="s">
        <v>502</v>
      </c>
      <c r="E3030" t="s">
        <v>520</v>
      </c>
      <c r="F3030" s="188" t="n">
        <v>2048</v>
      </c>
      <c r="G3030" s="189" t="n">
        <v>58</v>
      </c>
      <c r="H3030" s="190" t="n">
        <v>23188.011144699</v>
      </c>
      <c r="I3030" s="191" t="n">
        <v>5934131.50456003</v>
      </c>
      <c r="J3030" s="192" t="str">
        <f>IF(I3030&gt;0,H3030/I3030,0)</f>
      </c>
      <c r="K3030" s="193" t="str">
        <f>1-EXP(-J3030)</f>
      </c>
      <c r="L3030" s="194" t="str">
        <f>IF(G3030=30,1,M3029)</f>
      </c>
      <c r="M3030" s="195" t="str">
        <f>L3030*(1-K3030)</f>
      </c>
    </row>
    <row r="3031">
      <c r="A3031" t="s">
        <v>167</v>
      </c>
      <c r="B3031" t="s">
        <v>250</v>
      </c>
      <c r="C3031" s="35" t="s">
        <v>252</v>
      </c>
      <c r="D3031" t="s">
        <v>502</v>
      </c>
      <c r="E3031" t="s">
        <v>520</v>
      </c>
      <c r="F3031" s="188" t="n">
        <v>2048</v>
      </c>
      <c r="G3031" s="189" t="n">
        <v>59</v>
      </c>
      <c r="H3031" s="190" t="n">
        <v>18588.3069755058</v>
      </c>
      <c r="I3031" s="191" t="n">
        <v>3936654.58993763</v>
      </c>
      <c r="J3031" s="192" t="str">
        <f>IF(I3031&gt;0,H3031/I3031,0)</f>
      </c>
      <c r="K3031" s="193" t="str">
        <f>1-EXP(-J3031)</f>
      </c>
      <c r="L3031" s="194" t="str">
        <f>IF(G3031=30,1,M3030)</f>
      </c>
      <c r="M3031" s="195" t="str">
        <f>L3031*(1-K3031)</f>
      </c>
    </row>
    <row r="3032">
      <c r="A3032" t="s">
        <v>167</v>
      </c>
      <c r="B3032" t="s">
        <v>250</v>
      </c>
      <c r="C3032" s="35" t="s">
        <v>252</v>
      </c>
      <c r="D3032" t="s">
        <v>502</v>
      </c>
      <c r="E3032" t="s">
        <v>520</v>
      </c>
      <c r="F3032" s="188" t="n">
        <v>2048</v>
      </c>
      <c r="G3032" s="189" t="n">
        <v>60</v>
      </c>
      <c r="H3032" s="190" t="n">
        <v>19774.7633951642</v>
      </c>
      <c r="I3032" s="191" t="n">
        <v>3886836.40117459</v>
      </c>
      <c r="J3032" s="192" t="str">
        <f>IF(I3032&gt;0,H3032/I3032,0)</f>
      </c>
      <c r="K3032" s="193" t="str">
        <f>1-EXP(-J3032)</f>
      </c>
      <c r="L3032" s="194" t="str">
        <f>IF(G3032=30,1,M3031)</f>
      </c>
      <c r="M3032" s="195" t="str">
        <f>L3032*(1-K3032)</f>
      </c>
    </row>
    <row r="3033">
      <c r="A3033" t="s">
        <v>167</v>
      </c>
      <c r="B3033" t="s">
        <v>250</v>
      </c>
      <c r="C3033" s="35" t="s">
        <v>252</v>
      </c>
      <c r="D3033" t="s">
        <v>502</v>
      </c>
      <c r="E3033" t="s">
        <v>520</v>
      </c>
      <c r="F3033" s="188" t="n">
        <v>2048</v>
      </c>
      <c r="G3033" s="189" t="n">
        <v>61</v>
      </c>
      <c r="H3033" s="190" t="n">
        <v>20849.4419530695</v>
      </c>
      <c r="I3033" s="191" t="n">
        <v>3731021.16337301</v>
      </c>
      <c r="J3033" s="192" t="str">
        <f>IF(I3033&gt;0,H3033/I3033,0)</f>
      </c>
      <c r="K3033" s="193" t="str">
        <f>1-EXP(-J3033)</f>
      </c>
      <c r="L3033" s="194" t="str">
        <f>IF(G3033=30,1,M3032)</f>
      </c>
      <c r="M3033" s="195" t="str">
        <f>L3033*(1-K3033)</f>
      </c>
    </row>
    <row r="3034">
      <c r="A3034" t="s">
        <v>167</v>
      </c>
      <c r="B3034" t="s">
        <v>250</v>
      </c>
      <c r="C3034" s="35" t="s">
        <v>252</v>
      </c>
      <c r="D3034" t="s">
        <v>502</v>
      </c>
      <c r="E3034" t="s">
        <v>520</v>
      </c>
      <c r="F3034" s="188" t="n">
        <v>2048</v>
      </c>
      <c r="G3034" s="189" t="n">
        <v>62</v>
      </c>
      <c r="H3034" s="190" t="n">
        <v>22462.4038876656</v>
      </c>
      <c r="I3034" s="191" t="n">
        <v>3660604.19147979</v>
      </c>
      <c r="J3034" s="192" t="str">
        <f>IF(I3034&gt;0,H3034/I3034,0)</f>
      </c>
      <c r="K3034" s="193" t="str">
        <f>1-EXP(-J3034)</f>
      </c>
      <c r="L3034" s="194" t="str">
        <f>IF(G3034=30,1,M3033)</f>
      </c>
      <c r="M3034" s="195" t="str">
        <f>L3034*(1-K3034)</f>
      </c>
    </row>
    <row r="3035">
      <c r="A3035" t="s">
        <v>167</v>
      </c>
      <c r="B3035" t="s">
        <v>250</v>
      </c>
      <c r="C3035" s="35" t="s">
        <v>252</v>
      </c>
      <c r="D3035" t="s">
        <v>502</v>
      </c>
      <c r="E3035" t="s">
        <v>520</v>
      </c>
      <c r="F3035" s="188" t="n">
        <v>2048</v>
      </c>
      <c r="G3035" s="189" t="n">
        <v>63</v>
      </c>
      <c r="H3035" s="190" t="n">
        <v>24724.8282739183</v>
      </c>
      <c r="I3035" s="191" t="n">
        <v>3668792.10863786</v>
      </c>
      <c r="J3035" s="192" t="str">
        <f>IF(I3035&gt;0,H3035/I3035,0)</f>
      </c>
      <c r="K3035" s="193" t="str">
        <f>1-EXP(-J3035)</f>
      </c>
      <c r="L3035" s="194" t="str">
        <f>IF(G3035=30,1,M3034)</f>
      </c>
      <c r="M3035" s="195" t="str">
        <f>L3035*(1-K3035)</f>
      </c>
    </row>
    <row r="3036">
      <c r="A3036" t="s">
        <v>167</v>
      </c>
      <c r="B3036" t="s">
        <v>250</v>
      </c>
      <c r="C3036" s="35" t="s">
        <v>252</v>
      </c>
      <c r="D3036" t="s">
        <v>502</v>
      </c>
      <c r="E3036" t="s">
        <v>520</v>
      </c>
      <c r="F3036" s="188" t="n">
        <v>2048</v>
      </c>
      <c r="G3036" s="189" t="n">
        <v>64</v>
      </c>
      <c r="H3036" s="190" t="n">
        <v>27324.7314956578</v>
      </c>
      <c r="I3036" s="191" t="n">
        <v>3693484.63175979</v>
      </c>
      <c r="J3036" s="192" t="str">
        <f>IF(I3036&gt;0,H3036/I3036,0)</f>
      </c>
      <c r="K3036" s="193" t="str">
        <f>1-EXP(-J3036)</f>
      </c>
      <c r="L3036" s="194" t="str">
        <f>IF(G3036=30,1,M3035)</f>
      </c>
      <c r="M3036" s="195" t="str">
        <f>L3036*(1-K3036)</f>
      </c>
    </row>
    <row r="3037">
      <c r="A3037" t="s">
        <v>167</v>
      </c>
      <c r="B3037" t="s">
        <v>250</v>
      </c>
      <c r="C3037" s="35" t="s">
        <v>252</v>
      </c>
      <c r="D3037" t="s">
        <v>502</v>
      </c>
      <c r="E3037" t="s">
        <v>520</v>
      </c>
      <c r="F3037" s="188" t="n">
        <v>2048</v>
      </c>
      <c r="G3037" s="189" t="n">
        <v>65</v>
      </c>
      <c r="H3037" s="190" t="n">
        <v>27936.9344551712</v>
      </c>
      <c r="I3037" s="191" t="n">
        <v>3619823.15727129</v>
      </c>
      <c r="J3037" s="192" t="str">
        <f>IF(I3037&gt;0,H3037/I3037,0)</f>
      </c>
      <c r="K3037" s="193" t="str">
        <f>1-EXP(-J3037)</f>
      </c>
      <c r="L3037" s="194" t="str">
        <f>IF(G3037=30,1,M3036)</f>
      </c>
      <c r="M3037" s="195" t="str">
        <f>L3037*(1-K3037)</f>
      </c>
    </row>
    <row r="3038">
      <c r="A3038" t="s">
        <v>167</v>
      </c>
      <c r="B3038" t="s">
        <v>250</v>
      </c>
      <c r="C3038" s="35" t="s">
        <v>252</v>
      </c>
      <c r="D3038" t="s">
        <v>502</v>
      </c>
      <c r="E3038" t="s">
        <v>520</v>
      </c>
      <c r="F3038" s="188" t="n">
        <v>2048</v>
      </c>
      <c r="G3038" s="189" t="n">
        <v>66</v>
      </c>
      <c r="H3038" s="190" t="n">
        <v>29246.6175825844</v>
      </c>
      <c r="I3038" s="191" t="n">
        <v>3448976.81331497</v>
      </c>
      <c r="J3038" s="192" t="str">
        <f>IF(I3038&gt;0,H3038/I3038,0)</f>
      </c>
      <c r="K3038" s="193" t="str">
        <f>1-EXP(-J3038)</f>
      </c>
      <c r="L3038" s="194" t="str">
        <f>IF(G3038=30,1,M3037)</f>
      </c>
      <c r="M3038" s="195" t="str">
        <f>L3038*(1-K3038)</f>
      </c>
    </row>
    <row r="3039">
      <c r="A3039" t="s">
        <v>167</v>
      </c>
      <c r="B3039" t="s">
        <v>250</v>
      </c>
      <c r="C3039" s="35" t="s">
        <v>252</v>
      </c>
      <c r="D3039" t="s">
        <v>502</v>
      </c>
      <c r="E3039" t="s">
        <v>520</v>
      </c>
      <c r="F3039" s="188" t="n">
        <v>2048</v>
      </c>
      <c r="G3039" s="189" t="n">
        <v>67</v>
      </c>
      <c r="H3039" s="190" t="n">
        <v>31010.5200890786</v>
      </c>
      <c r="I3039" s="191" t="n">
        <v>3328326.67054835</v>
      </c>
      <c r="J3039" s="192" t="str">
        <f>IF(I3039&gt;0,H3039/I3039,0)</f>
      </c>
      <c r="K3039" s="193" t="str">
        <f>1-EXP(-J3039)</f>
      </c>
      <c r="L3039" s="194" t="str">
        <f>IF(G3039=30,1,M3038)</f>
      </c>
      <c r="M3039" s="195" t="str">
        <f>L3039*(1-K3039)</f>
      </c>
    </row>
    <row r="3040">
      <c r="A3040" t="s">
        <v>167</v>
      </c>
      <c r="B3040" t="s">
        <v>250</v>
      </c>
      <c r="C3040" s="35" t="s">
        <v>252</v>
      </c>
      <c r="D3040" t="s">
        <v>502</v>
      </c>
      <c r="E3040" t="s">
        <v>520</v>
      </c>
      <c r="F3040" s="188" t="n">
        <v>2048</v>
      </c>
      <c r="G3040" s="189" t="n">
        <v>68</v>
      </c>
      <c r="H3040" s="190" t="n">
        <v>32966.278280154</v>
      </c>
      <c r="I3040" s="191" t="n">
        <v>3217950.69469803</v>
      </c>
      <c r="J3040" s="192" t="str">
        <f>IF(I3040&gt;0,H3040/I3040,0)</f>
      </c>
      <c r="K3040" s="193" t="str">
        <f>1-EXP(-J3040)</f>
      </c>
      <c r="L3040" s="194" t="str">
        <f>IF(G3040=30,1,M3039)</f>
      </c>
      <c r="M3040" s="195" t="str">
        <f>L3040*(1-K3040)</f>
      </c>
    </row>
    <row r="3041">
      <c r="A3041" t="s">
        <v>167</v>
      </c>
      <c r="B3041" t="s">
        <v>250</v>
      </c>
      <c r="C3041" s="35" t="s">
        <v>252</v>
      </c>
      <c r="D3041" t="s">
        <v>502</v>
      </c>
      <c r="E3041" t="s">
        <v>520</v>
      </c>
      <c r="F3041" s="188" t="n">
        <v>2048</v>
      </c>
      <c r="G3041" s="189" t="n">
        <v>69</v>
      </c>
      <c r="H3041" s="190" t="n">
        <v>34956.2149446294</v>
      </c>
      <c r="I3041" s="191" t="n">
        <v>3100284.14463858</v>
      </c>
      <c r="J3041" s="192" t="str">
        <f>IF(I3041&gt;0,H3041/I3041,0)</f>
      </c>
      <c r="K3041" s="193" t="str">
        <f>1-EXP(-J3041)</f>
      </c>
      <c r="L3041" s="194" t="str">
        <f>IF(G3041=30,1,M3040)</f>
      </c>
      <c r="M3041" s="195" t="str">
        <f>L3041*(1-K3041)</f>
      </c>
    </row>
    <row r="3042">
      <c r="A3042" t="s">
        <v>167</v>
      </c>
      <c r="B3042" t="s">
        <v>250</v>
      </c>
      <c r="C3042" s="35" t="s">
        <v>252</v>
      </c>
      <c r="D3042" t="s">
        <v>502</v>
      </c>
      <c r="E3042" t="s">
        <v>520</v>
      </c>
      <c r="F3042" s="188" t="n">
        <v>2049</v>
      </c>
      <c r="G3042" s="189" t="n">
        <v>30</v>
      </c>
      <c r="H3042" s="190" t="n">
        <v>604.718008500583</v>
      </c>
      <c r="I3042" s="191" t="n">
        <v>4266603.55071245</v>
      </c>
      <c r="J3042" s="192" t="str">
        <f>IF(I3042&gt;0,H3042/I3042,0)</f>
      </c>
      <c r="K3042" s="193" t="str">
        <f>1-EXP(-J3042)</f>
      </c>
      <c r="L3042" s="194" t="str">
        <f>IF(G3042=30,1,M3041)</f>
      </c>
      <c r="M3042" s="195" t="str">
        <f>L3042*(1-K3042)</f>
      </c>
    </row>
    <row r="3043">
      <c r="A3043" t="s">
        <v>167</v>
      </c>
      <c r="B3043" t="s">
        <v>250</v>
      </c>
      <c r="C3043" s="35" t="s">
        <v>252</v>
      </c>
      <c r="D3043" t="s">
        <v>502</v>
      </c>
      <c r="E3043" t="s">
        <v>520</v>
      </c>
      <c r="F3043" s="188" t="n">
        <v>2049</v>
      </c>
      <c r="G3043" s="189" t="n">
        <v>31</v>
      </c>
      <c r="H3043" s="190" t="n">
        <v>832.548086067774</v>
      </c>
      <c r="I3043" s="191" t="n">
        <v>4270716.31895195</v>
      </c>
      <c r="J3043" s="192" t="str">
        <f>IF(I3043&gt;0,H3043/I3043,0)</f>
      </c>
      <c r="K3043" s="193" t="str">
        <f>1-EXP(-J3043)</f>
      </c>
      <c r="L3043" s="194" t="str">
        <f>IF(G3043=30,1,M3042)</f>
      </c>
      <c r="M3043" s="195" t="str">
        <f>L3043*(1-K3043)</f>
      </c>
    </row>
    <row r="3044">
      <c r="A3044" t="s">
        <v>167</v>
      </c>
      <c r="B3044" t="s">
        <v>250</v>
      </c>
      <c r="C3044" s="35" t="s">
        <v>252</v>
      </c>
      <c r="D3044" t="s">
        <v>502</v>
      </c>
      <c r="E3044" t="s">
        <v>520</v>
      </c>
      <c r="F3044" s="188" t="n">
        <v>2049</v>
      </c>
      <c r="G3044" s="189" t="n">
        <v>32</v>
      </c>
      <c r="H3044" s="190" t="n">
        <v>886.939208251076</v>
      </c>
      <c r="I3044" s="191" t="n">
        <v>4311273.54989347</v>
      </c>
      <c r="J3044" s="192" t="str">
        <f>IF(I3044&gt;0,H3044/I3044,0)</f>
      </c>
      <c r="K3044" s="193" t="str">
        <f>1-EXP(-J3044)</f>
      </c>
      <c r="L3044" s="194" t="str">
        <f>IF(G3044=30,1,M3043)</f>
      </c>
      <c r="M3044" s="195" t="str">
        <f>L3044*(1-K3044)</f>
      </c>
    </row>
    <row r="3045">
      <c r="A3045" t="s">
        <v>167</v>
      </c>
      <c r="B3045" t="s">
        <v>250</v>
      </c>
      <c r="C3045" s="35" t="s">
        <v>252</v>
      </c>
      <c r="D3045" t="s">
        <v>502</v>
      </c>
      <c r="E3045" t="s">
        <v>520</v>
      </c>
      <c r="F3045" s="188" t="n">
        <v>2049</v>
      </c>
      <c r="G3045" s="189" t="n">
        <v>33</v>
      </c>
      <c r="H3045" s="190" t="n">
        <v>1033.13885947041</v>
      </c>
      <c r="I3045" s="191" t="n">
        <v>4573267.39889776</v>
      </c>
      <c r="J3045" s="192" t="str">
        <f>IF(I3045&gt;0,H3045/I3045,0)</f>
      </c>
      <c r="K3045" s="193" t="str">
        <f>1-EXP(-J3045)</f>
      </c>
      <c r="L3045" s="194" t="str">
        <f>IF(G3045=30,1,M3044)</f>
      </c>
      <c r="M3045" s="195" t="str">
        <f>L3045*(1-K3045)</f>
      </c>
    </row>
    <row r="3046">
      <c r="A3046" t="s">
        <v>167</v>
      </c>
      <c r="B3046" t="s">
        <v>250</v>
      </c>
      <c r="C3046" s="35" t="s">
        <v>252</v>
      </c>
      <c r="D3046" t="s">
        <v>502</v>
      </c>
      <c r="E3046" t="s">
        <v>520</v>
      </c>
      <c r="F3046" s="188" t="n">
        <v>2049</v>
      </c>
      <c r="G3046" s="189" t="n">
        <v>34</v>
      </c>
      <c r="H3046" s="190" t="n">
        <v>1147.09103646714</v>
      </c>
      <c r="I3046" s="191" t="n">
        <v>4621449.63932924</v>
      </c>
      <c r="J3046" s="192" t="str">
        <f>IF(I3046&gt;0,H3046/I3046,0)</f>
      </c>
      <c r="K3046" s="193" t="str">
        <f>1-EXP(-J3046)</f>
      </c>
      <c r="L3046" s="194" t="str">
        <f>IF(G3046=30,1,M3045)</f>
      </c>
      <c r="M3046" s="195" t="str">
        <f>L3046*(1-K3046)</f>
      </c>
    </row>
    <row r="3047">
      <c r="A3047" t="s">
        <v>167</v>
      </c>
      <c r="B3047" t="s">
        <v>250</v>
      </c>
      <c r="C3047" s="35" t="s">
        <v>252</v>
      </c>
      <c r="D3047" t="s">
        <v>502</v>
      </c>
      <c r="E3047" t="s">
        <v>520</v>
      </c>
      <c r="F3047" s="188" t="n">
        <v>2049</v>
      </c>
      <c r="G3047" s="189" t="n">
        <v>35</v>
      </c>
      <c r="H3047" s="190" t="n">
        <v>1503.02491268956</v>
      </c>
      <c r="I3047" s="191" t="n">
        <v>4687014.02250456</v>
      </c>
      <c r="J3047" s="192" t="str">
        <f>IF(I3047&gt;0,H3047/I3047,0)</f>
      </c>
      <c r="K3047" s="193" t="str">
        <f>1-EXP(-J3047)</f>
      </c>
      <c r="L3047" s="194" t="str">
        <f>IF(G3047=30,1,M3046)</f>
      </c>
      <c r="M3047" s="195" t="str">
        <f>L3047*(1-K3047)</f>
      </c>
    </row>
    <row r="3048">
      <c r="A3048" t="s">
        <v>167</v>
      </c>
      <c r="B3048" t="s">
        <v>250</v>
      </c>
      <c r="C3048" s="35" t="s">
        <v>252</v>
      </c>
      <c r="D3048" t="s">
        <v>502</v>
      </c>
      <c r="E3048" t="s">
        <v>520</v>
      </c>
      <c r="F3048" s="188" t="n">
        <v>2049</v>
      </c>
      <c r="G3048" s="189" t="n">
        <v>36</v>
      </c>
      <c r="H3048" s="190" t="n">
        <v>1810.18124147059</v>
      </c>
      <c r="I3048" s="191" t="n">
        <v>4753480.8249221</v>
      </c>
      <c r="J3048" s="192" t="str">
        <f>IF(I3048&gt;0,H3048/I3048,0)</f>
      </c>
      <c r="K3048" s="193" t="str">
        <f>1-EXP(-J3048)</f>
      </c>
      <c r="L3048" s="194" t="str">
        <f>IF(G3048=30,1,M3047)</f>
      </c>
      <c r="M3048" s="195" t="str">
        <f>L3048*(1-K3048)</f>
      </c>
    </row>
    <row r="3049">
      <c r="A3049" t="s">
        <v>167</v>
      </c>
      <c r="B3049" t="s">
        <v>250</v>
      </c>
      <c r="C3049" s="35" t="s">
        <v>252</v>
      </c>
      <c r="D3049" t="s">
        <v>502</v>
      </c>
      <c r="E3049" t="s">
        <v>520</v>
      </c>
      <c r="F3049" s="188" t="n">
        <v>2049</v>
      </c>
      <c r="G3049" s="189" t="n">
        <v>37</v>
      </c>
      <c r="H3049" s="190" t="n">
        <v>2041.03251345698</v>
      </c>
      <c r="I3049" s="191" t="n">
        <v>4863843.07488591</v>
      </c>
      <c r="J3049" s="192" t="str">
        <f>IF(I3049&gt;0,H3049/I3049,0)</f>
      </c>
      <c r="K3049" s="193" t="str">
        <f>1-EXP(-J3049)</f>
      </c>
      <c r="L3049" s="194" t="str">
        <f>IF(G3049=30,1,M3048)</f>
      </c>
      <c r="M3049" s="195" t="str">
        <f>L3049*(1-K3049)</f>
      </c>
    </row>
    <row r="3050">
      <c r="A3050" t="s">
        <v>167</v>
      </c>
      <c r="B3050" t="s">
        <v>250</v>
      </c>
      <c r="C3050" s="35" t="s">
        <v>252</v>
      </c>
      <c r="D3050" t="s">
        <v>502</v>
      </c>
      <c r="E3050" t="s">
        <v>520</v>
      </c>
      <c r="F3050" s="188" t="n">
        <v>2049</v>
      </c>
      <c r="G3050" s="189" t="n">
        <v>38</v>
      </c>
      <c r="H3050" s="190" t="n">
        <v>2187.03655390106</v>
      </c>
      <c r="I3050" s="191" t="n">
        <v>4833930.79650704</v>
      </c>
      <c r="J3050" s="192" t="str">
        <f>IF(I3050&gt;0,H3050/I3050,0)</f>
      </c>
      <c r="K3050" s="193" t="str">
        <f>1-EXP(-J3050)</f>
      </c>
      <c r="L3050" s="194" t="str">
        <f>IF(G3050=30,1,M3049)</f>
      </c>
      <c r="M3050" s="195" t="str">
        <f>L3050*(1-K3050)</f>
      </c>
    </row>
    <row r="3051">
      <c r="A3051" t="s">
        <v>167</v>
      </c>
      <c r="B3051" t="s">
        <v>250</v>
      </c>
      <c r="C3051" s="35" t="s">
        <v>252</v>
      </c>
      <c r="D3051" t="s">
        <v>502</v>
      </c>
      <c r="E3051" t="s">
        <v>520</v>
      </c>
      <c r="F3051" s="188" t="n">
        <v>2049</v>
      </c>
      <c r="G3051" s="189" t="n">
        <v>39</v>
      </c>
      <c r="H3051" s="190" t="n">
        <v>2298.95978923582</v>
      </c>
      <c r="I3051" s="191" t="n">
        <v>4698843.46899328</v>
      </c>
      <c r="J3051" s="192" t="str">
        <f>IF(I3051&gt;0,H3051/I3051,0)</f>
      </c>
      <c r="K3051" s="193" t="str">
        <f>1-EXP(-J3051)</f>
      </c>
      <c r="L3051" s="194" t="str">
        <f>IF(G3051=30,1,M3050)</f>
      </c>
      <c r="M3051" s="195" t="str">
        <f>L3051*(1-K3051)</f>
      </c>
    </row>
    <row r="3052">
      <c r="A3052" t="s">
        <v>167</v>
      </c>
      <c r="B3052" t="s">
        <v>250</v>
      </c>
      <c r="C3052" s="35" t="s">
        <v>252</v>
      </c>
      <c r="D3052" t="s">
        <v>502</v>
      </c>
      <c r="E3052" t="s">
        <v>520</v>
      </c>
      <c r="F3052" s="188" t="n">
        <v>2049</v>
      </c>
      <c r="G3052" s="189" t="n">
        <v>40</v>
      </c>
      <c r="H3052" s="190" t="n">
        <v>3036.83932153117</v>
      </c>
      <c r="I3052" s="191" t="n">
        <v>4625778.87173901</v>
      </c>
      <c r="J3052" s="192" t="str">
        <f>IF(I3052&gt;0,H3052/I3052,0)</f>
      </c>
      <c r="K3052" s="193" t="str">
        <f>1-EXP(-J3052)</f>
      </c>
      <c r="L3052" s="194" t="str">
        <f>IF(G3052=30,1,M3051)</f>
      </c>
      <c r="M3052" s="195" t="str">
        <f>L3052*(1-K3052)</f>
      </c>
    </row>
    <row r="3053">
      <c r="A3053" t="s">
        <v>167</v>
      </c>
      <c r="B3053" t="s">
        <v>250</v>
      </c>
      <c r="C3053" s="35" t="s">
        <v>252</v>
      </c>
      <c r="D3053" t="s">
        <v>502</v>
      </c>
      <c r="E3053" t="s">
        <v>520</v>
      </c>
      <c r="F3053" s="188" t="n">
        <v>2049</v>
      </c>
      <c r="G3053" s="189" t="n">
        <v>41</v>
      </c>
      <c r="H3053" s="190" t="n">
        <v>3405.05335000314</v>
      </c>
      <c r="I3053" s="191" t="n">
        <v>4579395.21541739</v>
      </c>
      <c r="J3053" s="192" t="str">
        <f>IF(I3053&gt;0,H3053/I3053,0)</f>
      </c>
      <c r="K3053" s="193" t="str">
        <f>1-EXP(-J3053)</f>
      </c>
      <c r="L3053" s="194" t="str">
        <f>IF(G3053=30,1,M3052)</f>
      </c>
      <c r="M3053" s="195" t="str">
        <f>L3053*(1-K3053)</f>
      </c>
    </row>
    <row r="3054">
      <c r="A3054" t="s">
        <v>167</v>
      </c>
      <c r="B3054" t="s">
        <v>250</v>
      </c>
      <c r="C3054" s="35" t="s">
        <v>252</v>
      </c>
      <c r="D3054" t="s">
        <v>502</v>
      </c>
      <c r="E3054" t="s">
        <v>520</v>
      </c>
      <c r="F3054" s="188" t="n">
        <v>2049</v>
      </c>
      <c r="G3054" s="189" t="n">
        <v>42</v>
      </c>
      <c r="H3054" s="190" t="n">
        <v>3772.36235941414</v>
      </c>
      <c r="I3054" s="191" t="n">
        <v>4600153.47476934</v>
      </c>
      <c r="J3054" s="192" t="str">
        <f>IF(I3054&gt;0,H3054/I3054,0)</f>
      </c>
      <c r="K3054" s="193" t="str">
        <f>1-EXP(-J3054)</f>
      </c>
      <c r="L3054" s="194" t="str">
        <f>IF(G3054=30,1,M3053)</f>
      </c>
      <c r="M3054" s="195" t="str">
        <f>L3054*(1-K3054)</f>
      </c>
    </row>
    <row r="3055">
      <c r="A3055" t="s">
        <v>167</v>
      </c>
      <c r="B3055" t="s">
        <v>250</v>
      </c>
      <c r="C3055" s="35" t="s">
        <v>252</v>
      </c>
      <c r="D3055" t="s">
        <v>502</v>
      </c>
      <c r="E3055" t="s">
        <v>520</v>
      </c>
      <c r="F3055" s="188" t="n">
        <v>2049</v>
      </c>
      <c r="G3055" s="189" t="n">
        <v>43</v>
      </c>
      <c r="H3055" s="190" t="n">
        <v>4021.92984039819</v>
      </c>
      <c r="I3055" s="191" t="n">
        <v>4513358.9000671</v>
      </c>
      <c r="J3055" s="192" t="str">
        <f>IF(I3055&gt;0,H3055/I3055,0)</f>
      </c>
      <c r="K3055" s="193" t="str">
        <f>1-EXP(-J3055)</f>
      </c>
      <c r="L3055" s="194" t="str">
        <f>IF(G3055=30,1,M3054)</f>
      </c>
      <c r="M3055" s="195" t="str">
        <f>L3055*(1-K3055)</f>
      </c>
    </row>
    <row r="3056">
      <c r="A3056" t="s">
        <v>167</v>
      </c>
      <c r="B3056" t="s">
        <v>250</v>
      </c>
      <c r="C3056" s="35" t="s">
        <v>252</v>
      </c>
      <c r="D3056" t="s">
        <v>502</v>
      </c>
      <c r="E3056" t="s">
        <v>520</v>
      </c>
      <c r="F3056" s="188" t="n">
        <v>2049</v>
      </c>
      <c r="G3056" s="189" t="n">
        <v>44</v>
      </c>
      <c r="H3056" s="190" t="n">
        <v>4316.73806818067</v>
      </c>
      <c r="I3056" s="191" t="n">
        <v>4447570.77231226</v>
      </c>
      <c r="J3056" s="192" t="str">
        <f>IF(I3056&gt;0,H3056/I3056,0)</f>
      </c>
      <c r="K3056" s="193" t="str">
        <f>1-EXP(-J3056)</f>
      </c>
      <c r="L3056" s="194" t="str">
        <f>IF(G3056=30,1,M3055)</f>
      </c>
      <c r="M3056" s="195" t="str">
        <f>L3056*(1-K3056)</f>
      </c>
    </row>
    <row r="3057">
      <c r="A3057" t="s">
        <v>167</v>
      </c>
      <c r="B3057" t="s">
        <v>250</v>
      </c>
      <c r="C3057" s="35" t="s">
        <v>252</v>
      </c>
      <c r="D3057" t="s">
        <v>502</v>
      </c>
      <c r="E3057" t="s">
        <v>520</v>
      </c>
      <c r="F3057" s="188" t="n">
        <v>2049</v>
      </c>
      <c r="G3057" s="189" t="n">
        <v>45</v>
      </c>
      <c r="H3057" s="190" t="n">
        <v>5370.46646893699</v>
      </c>
      <c r="I3057" s="191" t="n">
        <v>4314948.48626862</v>
      </c>
      <c r="J3057" s="192" t="str">
        <f>IF(I3057&gt;0,H3057/I3057,0)</f>
      </c>
      <c r="K3057" s="193" t="str">
        <f>1-EXP(-J3057)</f>
      </c>
      <c r="L3057" s="194" t="str">
        <f>IF(G3057=30,1,M3056)</f>
      </c>
      <c r="M3057" s="195" t="str">
        <f>L3057*(1-K3057)</f>
      </c>
    </row>
    <row r="3058">
      <c r="A3058" t="s">
        <v>167</v>
      </c>
      <c r="B3058" t="s">
        <v>250</v>
      </c>
      <c r="C3058" s="35" t="s">
        <v>252</v>
      </c>
      <c r="D3058" t="s">
        <v>502</v>
      </c>
      <c r="E3058" t="s">
        <v>520</v>
      </c>
      <c r="F3058" s="188" t="n">
        <v>2049</v>
      </c>
      <c r="G3058" s="189" t="n">
        <v>46</v>
      </c>
      <c r="H3058" s="190" t="n">
        <v>5898.96721920655</v>
      </c>
      <c r="I3058" s="191" t="n">
        <v>4242625.38779612</v>
      </c>
      <c r="J3058" s="192" t="str">
        <f>IF(I3058&gt;0,H3058/I3058,0)</f>
      </c>
      <c r="K3058" s="193" t="str">
        <f>1-EXP(-J3058)</f>
      </c>
      <c r="L3058" s="194" t="str">
        <f>IF(G3058=30,1,M3057)</f>
      </c>
      <c r="M3058" s="195" t="str">
        <f>L3058*(1-K3058)</f>
      </c>
    </row>
    <row r="3059">
      <c r="A3059" t="s">
        <v>167</v>
      </c>
      <c r="B3059" t="s">
        <v>250</v>
      </c>
      <c r="C3059" s="35" t="s">
        <v>252</v>
      </c>
      <c r="D3059" t="s">
        <v>502</v>
      </c>
      <c r="E3059" t="s">
        <v>520</v>
      </c>
      <c r="F3059" s="188" t="n">
        <v>2049</v>
      </c>
      <c r="G3059" s="189" t="n">
        <v>47</v>
      </c>
      <c r="H3059" s="190" t="n">
        <v>6559.16434055667</v>
      </c>
      <c r="I3059" s="191" t="n">
        <v>4210530.83792393</v>
      </c>
      <c r="J3059" s="192" t="str">
        <f>IF(I3059&gt;0,H3059/I3059,0)</f>
      </c>
      <c r="K3059" s="193" t="str">
        <f>1-EXP(-J3059)</f>
      </c>
      <c r="L3059" s="194" t="str">
        <f>IF(G3059=30,1,M3058)</f>
      </c>
      <c r="M3059" s="195" t="str">
        <f>L3059*(1-K3059)</f>
      </c>
    </row>
    <row r="3060">
      <c r="A3060" t="s">
        <v>167</v>
      </c>
      <c r="B3060" t="s">
        <v>250</v>
      </c>
      <c r="C3060" s="35" t="s">
        <v>252</v>
      </c>
      <c r="D3060" t="s">
        <v>502</v>
      </c>
      <c r="E3060" t="s">
        <v>520</v>
      </c>
      <c r="F3060" s="188" t="n">
        <v>2049</v>
      </c>
      <c r="G3060" s="189" t="n">
        <v>48</v>
      </c>
      <c r="H3060" s="190" t="n">
        <v>7147.17332420671</v>
      </c>
      <c r="I3060" s="191" t="n">
        <v>4181100.26897183</v>
      </c>
      <c r="J3060" s="192" t="str">
        <f>IF(I3060&gt;0,H3060/I3060,0)</f>
      </c>
      <c r="K3060" s="193" t="str">
        <f>1-EXP(-J3060)</f>
      </c>
      <c r="L3060" s="194" t="str">
        <f>IF(G3060=30,1,M3059)</f>
      </c>
      <c r="M3060" s="195" t="str">
        <f>L3060*(1-K3060)</f>
      </c>
    </row>
    <row r="3061">
      <c r="A3061" t="s">
        <v>167</v>
      </c>
      <c r="B3061" t="s">
        <v>250</v>
      </c>
      <c r="C3061" s="35" t="s">
        <v>252</v>
      </c>
      <c r="D3061" t="s">
        <v>502</v>
      </c>
      <c r="E3061" t="s">
        <v>520</v>
      </c>
      <c r="F3061" s="188" t="n">
        <v>2049</v>
      </c>
      <c r="G3061" s="189" t="n">
        <v>49</v>
      </c>
      <c r="H3061" s="190" t="n">
        <v>7794.9439921823</v>
      </c>
      <c r="I3061" s="191" t="n">
        <v>4150275.05391446</v>
      </c>
      <c r="J3061" s="192" t="str">
        <f>IF(I3061&gt;0,H3061/I3061,0)</f>
      </c>
      <c r="K3061" s="193" t="str">
        <f>1-EXP(-J3061)</f>
      </c>
      <c r="L3061" s="194" t="str">
        <f>IF(G3061=30,1,M3060)</f>
      </c>
      <c r="M3061" s="195" t="str">
        <f>L3061*(1-K3061)</f>
      </c>
    </row>
    <row r="3062">
      <c r="A3062" t="s">
        <v>167</v>
      </c>
      <c r="B3062" t="s">
        <v>250</v>
      </c>
      <c r="C3062" s="35" t="s">
        <v>252</v>
      </c>
      <c r="D3062" t="s">
        <v>502</v>
      </c>
      <c r="E3062" t="s">
        <v>520</v>
      </c>
      <c r="F3062" s="188" t="n">
        <v>2049</v>
      </c>
      <c r="G3062" s="189" t="n">
        <v>50</v>
      </c>
      <c r="H3062" s="190" t="n">
        <v>8899.09418039428</v>
      </c>
      <c r="I3062" s="191" t="n">
        <v>4156346.56346696</v>
      </c>
      <c r="J3062" s="192" t="str">
        <f>IF(I3062&gt;0,H3062/I3062,0)</f>
      </c>
      <c r="K3062" s="193" t="str">
        <f>1-EXP(-J3062)</f>
      </c>
      <c r="L3062" s="194" t="str">
        <f>IF(G3062=30,1,M3061)</f>
      </c>
      <c r="M3062" s="195" t="str">
        <f>L3062*(1-K3062)</f>
      </c>
    </row>
    <row r="3063">
      <c r="A3063" t="s">
        <v>167</v>
      </c>
      <c r="B3063" t="s">
        <v>250</v>
      </c>
      <c r="C3063" s="35" t="s">
        <v>252</v>
      </c>
      <c r="D3063" t="s">
        <v>502</v>
      </c>
      <c r="E3063" t="s">
        <v>520</v>
      </c>
      <c r="F3063" s="188" t="n">
        <v>2049</v>
      </c>
      <c r="G3063" s="189" t="n">
        <v>51</v>
      </c>
      <c r="H3063" s="190" t="n">
        <v>9909.4529937035</v>
      </c>
      <c r="I3063" s="191" t="n">
        <v>4197705.39290437</v>
      </c>
      <c r="J3063" s="192" t="str">
        <f>IF(I3063&gt;0,H3063/I3063,0)</f>
      </c>
      <c r="K3063" s="193" t="str">
        <f>1-EXP(-J3063)</f>
      </c>
      <c r="L3063" s="194" t="str">
        <f>IF(G3063=30,1,M3062)</f>
      </c>
      <c r="M3063" s="195" t="str">
        <f>L3063*(1-K3063)</f>
      </c>
    </row>
    <row r="3064">
      <c r="A3064" t="s">
        <v>167</v>
      </c>
      <c r="B3064" t="s">
        <v>250</v>
      </c>
      <c r="C3064" s="35" t="s">
        <v>252</v>
      </c>
      <c r="D3064" t="s">
        <v>502</v>
      </c>
      <c r="E3064" t="s">
        <v>520</v>
      </c>
      <c r="F3064" s="188" t="n">
        <v>2049</v>
      </c>
      <c r="G3064" s="189" t="n">
        <v>52</v>
      </c>
      <c r="H3064" s="190" t="n">
        <v>11282.5478328125</v>
      </c>
      <c r="I3064" s="191" t="n">
        <v>4309327.73338684</v>
      </c>
      <c r="J3064" s="192" t="str">
        <f>IF(I3064&gt;0,H3064/I3064,0)</f>
      </c>
      <c r="K3064" s="193" t="str">
        <f>1-EXP(-J3064)</f>
      </c>
      <c r="L3064" s="194" t="str">
        <f>IF(G3064=30,1,M3063)</f>
      </c>
      <c r="M3064" s="195" t="str">
        <f>L3064*(1-K3064)</f>
      </c>
    </row>
    <row r="3065">
      <c r="A3065" t="s">
        <v>167</v>
      </c>
      <c r="B3065" t="s">
        <v>250</v>
      </c>
      <c r="C3065" s="35" t="s">
        <v>252</v>
      </c>
      <c r="D3065" t="s">
        <v>502</v>
      </c>
      <c r="E3065" t="s">
        <v>520</v>
      </c>
      <c r="F3065" s="188" t="n">
        <v>2049</v>
      </c>
      <c r="G3065" s="189" t="n">
        <v>53</v>
      </c>
      <c r="H3065" s="190" t="n">
        <v>12130.8983385067</v>
      </c>
      <c r="I3065" s="191" t="n">
        <v>4248994.69418864</v>
      </c>
      <c r="J3065" s="192" t="str">
        <f>IF(I3065&gt;0,H3065/I3065,0)</f>
      </c>
      <c r="K3065" s="193" t="str">
        <f>1-EXP(-J3065)</f>
      </c>
      <c r="L3065" s="194" t="str">
        <f>IF(G3065=30,1,M3064)</f>
      </c>
      <c r="M3065" s="195" t="str">
        <f>L3065*(1-K3065)</f>
      </c>
    </row>
    <row r="3066">
      <c r="A3066" t="s">
        <v>167</v>
      </c>
      <c r="B3066" t="s">
        <v>250</v>
      </c>
      <c r="C3066" s="35" t="s">
        <v>252</v>
      </c>
      <c r="D3066" t="s">
        <v>502</v>
      </c>
      <c r="E3066" t="s">
        <v>520</v>
      </c>
      <c r="F3066" s="188" t="n">
        <v>2049</v>
      </c>
      <c r="G3066" s="189" t="n">
        <v>54</v>
      </c>
      <c r="H3066" s="190" t="n">
        <v>12921.7361532653</v>
      </c>
      <c r="I3066" s="191" t="n">
        <v>4158761.51986317</v>
      </c>
      <c r="J3066" s="192" t="str">
        <f>IF(I3066&gt;0,H3066/I3066,0)</f>
      </c>
      <c r="K3066" s="193" t="str">
        <f>1-EXP(-J3066)</f>
      </c>
      <c r="L3066" s="194" t="str">
        <f>IF(G3066=30,1,M3065)</f>
      </c>
      <c r="M3066" s="195" t="str">
        <f>L3066*(1-K3066)</f>
      </c>
    </row>
    <row r="3067">
      <c r="A3067" t="s">
        <v>167</v>
      </c>
      <c r="B3067" t="s">
        <v>250</v>
      </c>
      <c r="C3067" s="35" t="s">
        <v>252</v>
      </c>
      <c r="D3067" t="s">
        <v>502</v>
      </c>
      <c r="E3067" t="s">
        <v>520</v>
      </c>
      <c r="F3067" s="188" t="n">
        <v>2049</v>
      </c>
      <c r="G3067" s="189" t="n">
        <v>55</v>
      </c>
      <c r="H3067" s="190" t="n">
        <v>13507.3680887159</v>
      </c>
      <c r="I3067" s="191" t="n">
        <v>4081965.34294477</v>
      </c>
      <c r="J3067" s="192" t="str">
        <f>IF(I3067&gt;0,H3067/I3067,0)</f>
      </c>
      <c r="K3067" s="193" t="str">
        <f>1-EXP(-J3067)</f>
      </c>
      <c r="L3067" s="194" t="str">
        <f>IF(G3067=30,1,M3066)</f>
      </c>
      <c r="M3067" s="195" t="str">
        <f>L3067*(1-K3067)</f>
      </c>
    </row>
    <row r="3068">
      <c r="A3068" t="s">
        <v>167</v>
      </c>
      <c r="B3068" t="s">
        <v>250</v>
      </c>
      <c r="C3068" s="35" t="s">
        <v>252</v>
      </c>
      <c r="D3068" t="s">
        <v>502</v>
      </c>
      <c r="E3068" t="s">
        <v>520</v>
      </c>
      <c r="F3068" s="188" t="n">
        <v>2049</v>
      </c>
      <c r="G3068" s="189" t="n">
        <v>56</v>
      </c>
      <c r="H3068" s="190" t="n">
        <v>14407.5776105438</v>
      </c>
      <c r="I3068" s="191" t="n">
        <v>4007034.69303537</v>
      </c>
      <c r="J3068" s="192" t="str">
        <f>IF(I3068&gt;0,H3068/I3068,0)</f>
      </c>
      <c r="K3068" s="193" t="str">
        <f>1-EXP(-J3068)</f>
      </c>
      <c r="L3068" s="194" t="str">
        <f>IF(G3068=30,1,M3067)</f>
      </c>
      <c r="M3068" s="195" t="str">
        <f>L3068*(1-K3068)</f>
      </c>
    </row>
    <row r="3069">
      <c r="A3069" t="s">
        <v>167</v>
      </c>
      <c r="B3069" t="s">
        <v>250</v>
      </c>
      <c r="C3069" s="35" t="s">
        <v>252</v>
      </c>
      <c r="D3069" t="s">
        <v>502</v>
      </c>
      <c r="E3069" t="s">
        <v>520</v>
      </c>
      <c r="F3069" s="188" t="n">
        <v>2049</v>
      </c>
      <c r="G3069" s="189" t="n">
        <v>57</v>
      </c>
      <c r="H3069" s="190" t="n">
        <v>15706.7890418935</v>
      </c>
      <c r="I3069" s="191" t="n">
        <v>4015102.75871565</v>
      </c>
      <c r="J3069" s="192" t="str">
        <f>IF(I3069&gt;0,H3069/I3069,0)</f>
      </c>
      <c r="K3069" s="193" t="str">
        <f>1-EXP(-J3069)</f>
      </c>
      <c r="L3069" s="194" t="str">
        <f>IF(G3069=30,1,M3068)</f>
      </c>
      <c r="M3069" s="195" t="str">
        <f>L3069*(1-K3069)</f>
      </c>
    </row>
    <row r="3070">
      <c r="A3070" t="s">
        <v>167</v>
      </c>
      <c r="B3070" t="s">
        <v>250</v>
      </c>
      <c r="C3070" s="35" t="s">
        <v>252</v>
      </c>
      <c r="D3070" t="s">
        <v>502</v>
      </c>
      <c r="E3070" t="s">
        <v>520</v>
      </c>
      <c r="F3070" s="188" t="n">
        <v>2049</v>
      </c>
      <c r="G3070" s="189" t="n">
        <v>58</v>
      </c>
      <c r="H3070" s="190" t="n">
        <v>17094.3896506119</v>
      </c>
      <c r="I3070" s="191" t="n">
        <v>4001966.20438119</v>
      </c>
      <c r="J3070" s="192" t="str">
        <f>IF(I3070&gt;0,H3070/I3070,0)</f>
      </c>
      <c r="K3070" s="193" t="str">
        <f>1-EXP(-J3070)</f>
      </c>
      <c r="L3070" s="194" t="str">
        <f>IF(G3070=30,1,M3069)</f>
      </c>
      <c r="M3070" s="195" t="str">
        <f>L3070*(1-K3070)</f>
      </c>
    </row>
    <row r="3071">
      <c r="A3071" t="s">
        <v>167</v>
      </c>
      <c r="B3071" t="s">
        <v>250</v>
      </c>
      <c r="C3071" s="35" t="s">
        <v>252</v>
      </c>
      <c r="D3071" t="s">
        <v>502</v>
      </c>
      <c r="E3071" t="s">
        <v>520</v>
      </c>
      <c r="F3071" s="188" t="n">
        <v>2049</v>
      </c>
      <c r="G3071" s="189" t="n">
        <v>59</v>
      </c>
      <c r="H3071" s="190" t="n">
        <v>24848.1495797466</v>
      </c>
      <c r="I3071" s="191" t="n">
        <v>5884241.77514532</v>
      </c>
      <c r="J3071" s="192" t="str">
        <f>IF(I3071&gt;0,H3071/I3071,0)</f>
      </c>
      <c r="K3071" s="193" t="str">
        <f>1-EXP(-J3071)</f>
      </c>
      <c r="L3071" s="194" t="str">
        <f>IF(G3071=30,1,M3070)</f>
      </c>
      <c r="M3071" s="195" t="str">
        <f>L3071*(1-K3071)</f>
      </c>
    </row>
    <row r="3072">
      <c r="A3072" t="s">
        <v>167</v>
      </c>
      <c r="B3072" t="s">
        <v>250</v>
      </c>
      <c r="C3072" s="35" t="s">
        <v>252</v>
      </c>
      <c r="D3072" t="s">
        <v>502</v>
      </c>
      <c r="E3072" t="s">
        <v>520</v>
      </c>
      <c r="F3072" s="188" t="n">
        <v>2049</v>
      </c>
      <c r="G3072" s="189" t="n">
        <v>60</v>
      </c>
      <c r="H3072" s="190" t="n">
        <v>19594.4596549028</v>
      </c>
      <c r="I3072" s="191" t="n">
        <v>3897089.84053733</v>
      </c>
      <c r="J3072" s="192" t="str">
        <f>IF(I3072&gt;0,H3072/I3072,0)</f>
      </c>
      <c r="K3072" s="193" t="str">
        <f>1-EXP(-J3072)</f>
      </c>
      <c r="L3072" s="194" t="str">
        <f>IF(G3072=30,1,M3071)</f>
      </c>
      <c r="M3072" s="195" t="str">
        <f>L3072*(1-K3072)</f>
      </c>
    </row>
    <row r="3073">
      <c r="A3073" t="s">
        <v>167</v>
      </c>
      <c r="B3073" t="s">
        <v>250</v>
      </c>
      <c r="C3073" s="35" t="s">
        <v>252</v>
      </c>
      <c r="D3073" t="s">
        <v>502</v>
      </c>
      <c r="E3073" t="s">
        <v>520</v>
      </c>
      <c r="F3073" s="188" t="n">
        <v>2049</v>
      </c>
      <c r="G3073" s="189" t="n">
        <v>61</v>
      </c>
      <c r="H3073" s="190" t="n">
        <v>21226.5369843304</v>
      </c>
      <c r="I3073" s="191" t="n">
        <v>3844065.91046194</v>
      </c>
      <c r="J3073" s="192" t="str">
        <f>IF(I3073&gt;0,H3073/I3073,0)</f>
      </c>
      <c r="K3073" s="193" t="str">
        <f>1-EXP(-J3073)</f>
      </c>
      <c r="L3073" s="194" t="str">
        <f>IF(G3073=30,1,M3072)</f>
      </c>
      <c r="M3073" s="195" t="str">
        <f>L3073*(1-K3073)</f>
      </c>
    </row>
    <row r="3074">
      <c r="A3074" t="s">
        <v>167</v>
      </c>
      <c r="B3074" t="s">
        <v>250</v>
      </c>
      <c r="C3074" s="35" t="s">
        <v>252</v>
      </c>
      <c r="D3074" t="s">
        <v>502</v>
      </c>
      <c r="E3074" t="s">
        <v>520</v>
      </c>
      <c r="F3074" s="188" t="n">
        <v>2049</v>
      </c>
      <c r="G3074" s="189" t="n">
        <v>62</v>
      </c>
      <c r="H3074" s="190" t="n">
        <v>22366.5687754008</v>
      </c>
      <c r="I3074" s="191" t="n">
        <v>3685973.30754371</v>
      </c>
      <c r="J3074" s="192" t="str">
        <f>IF(I3074&gt;0,H3074/I3074,0)</f>
      </c>
      <c r="K3074" s="193" t="str">
        <f>1-EXP(-J3074)</f>
      </c>
      <c r="L3074" s="194" t="str">
        <f>IF(G3074=30,1,M3073)</f>
      </c>
      <c r="M3074" s="195" t="str">
        <f>L3074*(1-K3074)</f>
      </c>
    </row>
    <row r="3075">
      <c r="A3075" t="s">
        <v>167</v>
      </c>
      <c r="B3075" t="s">
        <v>250</v>
      </c>
      <c r="C3075" s="35" t="s">
        <v>252</v>
      </c>
      <c r="D3075" t="s">
        <v>502</v>
      </c>
      <c r="E3075" t="s">
        <v>520</v>
      </c>
      <c r="F3075" s="188" t="n">
        <v>2049</v>
      </c>
      <c r="G3075" s="189" t="n">
        <v>63</v>
      </c>
      <c r="H3075" s="190" t="n">
        <v>24071.7799241588</v>
      </c>
      <c r="I3075" s="191" t="n">
        <v>3612092.08839688</v>
      </c>
      <c r="J3075" s="192" t="str">
        <f>IF(I3075&gt;0,H3075/I3075,0)</f>
      </c>
      <c r="K3075" s="193" t="str">
        <f>1-EXP(-J3075)</f>
      </c>
      <c r="L3075" s="194" t="str">
        <f>IF(G3075=30,1,M3074)</f>
      </c>
      <c r="M3075" s="195" t="str">
        <f>L3075*(1-K3075)</f>
      </c>
    </row>
    <row r="3076">
      <c r="A3076" t="s">
        <v>167</v>
      </c>
      <c r="B3076" t="s">
        <v>250</v>
      </c>
      <c r="C3076" s="35" t="s">
        <v>252</v>
      </c>
      <c r="D3076" t="s">
        <v>502</v>
      </c>
      <c r="E3076" t="s">
        <v>520</v>
      </c>
      <c r="F3076" s="188" t="n">
        <v>2049</v>
      </c>
      <c r="G3076" s="189" t="n">
        <v>64</v>
      </c>
      <c r="H3076" s="190" t="n">
        <v>26455.3288756618</v>
      </c>
      <c r="I3076" s="191" t="n">
        <v>3615404.34746172</v>
      </c>
      <c r="J3076" s="192" t="str">
        <f>IF(I3076&gt;0,H3076/I3076,0)</f>
      </c>
      <c r="K3076" s="193" t="str">
        <f>1-EXP(-J3076)</f>
      </c>
      <c r="L3076" s="194" t="str">
        <f>IF(G3076=30,1,M3075)</f>
      </c>
      <c r="M3076" s="195" t="str">
        <f>L3076*(1-K3076)</f>
      </c>
    </row>
    <row r="3077">
      <c r="A3077" t="s">
        <v>167</v>
      </c>
      <c r="B3077" t="s">
        <v>250</v>
      </c>
      <c r="C3077" s="35" t="s">
        <v>252</v>
      </c>
      <c r="D3077" t="s">
        <v>502</v>
      </c>
      <c r="E3077" t="s">
        <v>520</v>
      </c>
      <c r="F3077" s="188" t="n">
        <v>2049</v>
      </c>
      <c r="G3077" s="189" t="n">
        <v>65</v>
      </c>
      <c r="H3077" s="190" t="n">
        <v>27720.9576733656</v>
      </c>
      <c r="I3077" s="191" t="n">
        <v>3634488.24605795</v>
      </c>
      <c r="J3077" s="192" t="str">
        <f>IF(I3077&gt;0,H3077/I3077,0)</f>
      </c>
      <c r="K3077" s="193" t="str">
        <f>1-EXP(-J3077)</f>
      </c>
      <c r="L3077" s="194" t="str">
        <f>IF(G3077=30,1,M3076)</f>
      </c>
      <c r="M3077" s="195" t="str">
        <f>L3077*(1-K3077)</f>
      </c>
    </row>
    <row r="3078">
      <c r="A3078" t="s">
        <v>167</v>
      </c>
      <c r="B3078" t="s">
        <v>250</v>
      </c>
      <c r="C3078" s="35" t="s">
        <v>252</v>
      </c>
      <c r="D3078" t="s">
        <v>502</v>
      </c>
      <c r="E3078" t="s">
        <v>520</v>
      </c>
      <c r="F3078" s="188" t="n">
        <v>2049</v>
      </c>
      <c r="G3078" s="189" t="n">
        <v>66</v>
      </c>
      <c r="H3078" s="190" t="n">
        <v>29791.6493152016</v>
      </c>
      <c r="I3078" s="191" t="n">
        <v>3557163.15689254</v>
      </c>
      <c r="J3078" s="192" t="str">
        <f>IF(I3078&gt;0,H3078/I3078,0)</f>
      </c>
      <c r="K3078" s="193" t="str">
        <f>1-EXP(-J3078)</f>
      </c>
      <c r="L3078" s="194" t="str">
        <f>IF(G3078=30,1,M3077)</f>
      </c>
      <c r="M3078" s="195" t="str">
        <f>L3078*(1-K3078)</f>
      </c>
    </row>
    <row r="3079">
      <c r="A3079" t="s">
        <v>167</v>
      </c>
      <c r="B3079" t="s">
        <v>250</v>
      </c>
      <c r="C3079" s="35" t="s">
        <v>252</v>
      </c>
      <c r="D3079" t="s">
        <v>502</v>
      </c>
      <c r="E3079" t="s">
        <v>520</v>
      </c>
      <c r="F3079" s="188" t="n">
        <v>2049</v>
      </c>
      <c r="G3079" s="189" t="n">
        <v>67</v>
      </c>
      <c r="H3079" s="190" t="n">
        <v>31155.2182178854</v>
      </c>
      <c r="I3079" s="191" t="n">
        <v>3382656.79890838</v>
      </c>
      <c r="J3079" s="192" t="str">
        <f>IF(I3079&gt;0,H3079/I3079,0)</f>
      </c>
      <c r="K3079" s="193" t="str">
        <f>1-EXP(-J3079)</f>
      </c>
      <c r="L3079" s="194" t="str">
        <f>IF(G3079=30,1,M3078)</f>
      </c>
      <c r="M3079" s="195" t="str">
        <f>L3079*(1-K3079)</f>
      </c>
    </row>
    <row r="3080">
      <c r="A3080" t="s">
        <v>167</v>
      </c>
      <c r="B3080" t="s">
        <v>250</v>
      </c>
      <c r="C3080" s="35" t="s">
        <v>252</v>
      </c>
      <c r="D3080" t="s">
        <v>502</v>
      </c>
      <c r="E3080" t="s">
        <v>520</v>
      </c>
      <c r="F3080" s="188" t="n">
        <v>2049</v>
      </c>
      <c r="G3080" s="189" t="n">
        <v>68</v>
      </c>
      <c r="H3080" s="190" t="n">
        <v>32997.5202399127</v>
      </c>
      <c r="I3080" s="191" t="n">
        <v>3258069.6569991</v>
      </c>
      <c r="J3080" s="192" t="str">
        <f>IF(I3080&gt;0,H3080/I3080,0)</f>
      </c>
      <c r="K3080" s="193" t="str">
        <f>1-EXP(-J3080)</f>
      </c>
      <c r="L3080" s="194" t="str">
        <f>IF(G3080=30,1,M3079)</f>
      </c>
      <c r="M3080" s="195" t="str">
        <f>L3080*(1-K3080)</f>
      </c>
    </row>
    <row r="3081">
      <c r="A3081" t="s">
        <v>167</v>
      </c>
      <c r="B3081" t="s">
        <v>250</v>
      </c>
      <c r="C3081" s="35" t="s">
        <v>252</v>
      </c>
      <c r="D3081" t="s">
        <v>502</v>
      </c>
      <c r="E3081" t="s">
        <v>520</v>
      </c>
      <c r="F3081" s="188" t="n">
        <v>2049</v>
      </c>
      <c r="G3081" s="189" t="n">
        <v>69</v>
      </c>
      <c r="H3081" s="190" t="n">
        <v>35041.9064102997</v>
      </c>
      <c r="I3081" s="191" t="n">
        <v>3143349.54814985</v>
      </c>
      <c r="J3081" s="192" t="str">
        <f>IF(I3081&gt;0,H3081/I3081,0)</f>
      </c>
      <c r="K3081" s="193" t="str">
        <f>1-EXP(-J3081)</f>
      </c>
      <c r="L3081" s="194" t="str">
        <f>IF(G3081=30,1,M3080)</f>
      </c>
      <c r="M3081" s="195" t="str">
        <f>L3081*(1-K3081)</f>
      </c>
    </row>
    <row r="3082">
      <c r="A3082" t="s">
        <v>167</v>
      </c>
      <c r="B3082" t="s">
        <v>250</v>
      </c>
      <c r="C3082" s="35" t="s">
        <v>252</v>
      </c>
      <c r="D3082" t="s">
        <v>502</v>
      </c>
      <c r="E3082" t="s">
        <v>520</v>
      </c>
      <c r="F3082" s="188" t="n">
        <v>2050</v>
      </c>
      <c r="G3082" s="189" t="n">
        <v>30</v>
      </c>
      <c r="H3082" s="190" t="n">
        <v>603.228066203053</v>
      </c>
      <c r="I3082" s="191" t="n">
        <v>4253338.58182459</v>
      </c>
      <c r="J3082" s="192" t="str">
        <f>IF(I3082&gt;0,H3082/I3082,0)</f>
      </c>
      <c r="K3082" s="193" t="str">
        <f>1-EXP(-J3082)</f>
      </c>
      <c r="L3082" s="194" t="str">
        <f>IF(G3082=30,1,M3081)</f>
      </c>
      <c r="M3082" s="195" t="str">
        <f>L3082*(1-K3082)</f>
      </c>
    </row>
    <row r="3083">
      <c r="A3083" t="s">
        <v>167</v>
      </c>
      <c r="B3083" t="s">
        <v>250</v>
      </c>
      <c r="C3083" s="35" t="s">
        <v>252</v>
      </c>
      <c r="D3083" t="s">
        <v>502</v>
      </c>
      <c r="E3083" t="s">
        <v>520</v>
      </c>
      <c r="F3083" s="188" t="n">
        <v>2050</v>
      </c>
      <c r="G3083" s="189" t="n">
        <v>31</v>
      </c>
      <c r="H3083" s="190" t="n">
        <v>831.309392746003</v>
      </c>
      <c r="I3083" s="191" t="n">
        <v>4262064.91607157</v>
      </c>
      <c r="J3083" s="192" t="str">
        <f>IF(I3083&gt;0,H3083/I3083,0)</f>
      </c>
      <c r="K3083" s="193" t="str">
        <f>1-EXP(-J3083)</f>
      </c>
      <c r="L3083" s="194" t="str">
        <f>IF(G3083=30,1,M3082)</f>
      </c>
      <c r="M3083" s="195" t="str">
        <f>L3083*(1-K3083)</f>
      </c>
    </row>
    <row r="3084">
      <c r="A3084" t="s">
        <v>167</v>
      </c>
      <c r="B3084" t="s">
        <v>250</v>
      </c>
      <c r="C3084" s="35" t="s">
        <v>252</v>
      </c>
      <c r="D3084" t="s">
        <v>502</v>
      </c>
      <c r="E3084" t="s">
        <v>520</v>
      </c>
      <c r="F3084" s="188" t="n">
        <v>2050</v>
      </c>
      <c r="G3084" s="189" t="n">
        <v>32</v>
      </c>
      <c r="H3084" s="190" t="n">
        <v>878.024424050269</v>
      </c>
      <c r="I3084" s="191" t="n">
        <v>4266237.69247742</v>
      </c>
      <c r="J3084" s="192" t="str">
        <f>IF(I3084&gt;0,H3084/I3084,0)</f>
      </c>
      <c r="K3084" s="193" t="str">
        <f>1-EXP(-J3084)</f>
      </c>
      <c r="L3084" s="194" t="str">
        <f>IF(G3084=30,1,M3083)</f>
      </c>
      <c r="M3084" s="195" t="str">
        <f>L3084*(1-K3084)</f>
      </c>
    </row>
    <row r="3085">
      <c r="A3085" t="s">
        <v>167</v>
      </c>
      <c r="B3085" t="s">
        <v>250</v>
      </c>
      <c r="C3085" s="35" t="s">
        <v>252</v>
      </c>
      <c r="D3085" t="s">
        <v>502</v>
      </c>
      <c r="E3085" t="s">
        <v>520</v>
      </c>
      <c r="F3085" s="188" t="n">
        <v>2050</v>
      </c>
      <c r="G3085" s="189" t="n">
        <v>33</v>
      </c>
      <c r="H3085" s="190" t="n">
        <v>940.009513083772</v>
      </c>
      <c r="I3085" s="191" t="n">
        <v>4306567.29684273</v>
      </c>
      <c r="J3085" s="192" t="str">
        <f>IF(I3085&gt;0,H3085/I3085,0)</f>
      </c>
      <c r="K3085" s="193" t="str">
        <f>1-EXP(-J3085)</f>
      </c>
      <c r="L3085" s="194" t="str">
        <f>IF(G3085=30,1,M3084)</f>
      </c>
      <c r="M3085" s="195" t="str">
        <f>L3085*(1-K3085)</f>
      </c>
    </row>
    <row r="3086">
      <c r="A3086" t="s">
        <v>167</v>
      </c>
      <c r="B3086" t="s">
        <v>250</v>
      </c>
      <c r="C3086" s="35" t="s">
        <v>252</v>
      </c>
      <c r="D3086" t="s">
        <v>502</v>
      </c>
      <c r="E3086" t="s">
        <v>520</v>
      </c>
      <c r="F3086" s="188" t="n">
        <v>2050</v>
      </c>
      <c r="G3086" s="189" t="n">
        <v>34</v>
      </c>
      <c r="H3086" s="190" t="n">
        <v>1099.87422199385</v>
      </c>
      <c r="I3086" s="191" t="n">
        <v>4568008.00458609</v>
      </c>
      <c r="J3086" s="192" t="str">
        <f>IF(I3086&gt;0,H3086/I3086,0)</f>
      </c>
      <c r="K3086" s="193" t="str">
        <f>1-EXP(-J3086)</f>
      </c>
      <c r="L3086" s="194" t="str">
        <f>IF(G3086=30,1,M3085)</f>
      </c>
      <c r="M3086" s="195" t="str">
        <f>L3086*(1-K3086)</f>
      </c>
    </row>
    <row r="3087">
      <c r="A3087" t="s">
        <v>167</v>
      </c>
      <c r="B3087" t="s">
        <v>250</v>
      </c>
      <c r="C3087" s="35" t="s">
        <v>252</v>
      </c>
      <c r="D3087" t="s">
        <v>502</v>
      </c>
      <c r="E3087" t="s">
        <v>520</v>
      </c>
      <c r="F3087" s="188" t="n">
        <v>2050</v>
      </c>
      <c r="G3087" s="189" t="n">
        <v>35</v>
      </c>
      <c r="H3087" s="190" t="n">
        <v>1476.09170017679</v>
      </c>
      <c r="I3087" s="191" t="n">
        <v>4615828.28552509</v>
      </c>
      <c r="J3087" s="192" t="str">
        <f>IF(I3087&gt;0,H3087/I3087,0)</f>
      </c>
      <c r="K3087" s="193" t="str">
        <f>1-EXP(-J3087)</f>
      </c>
      <c r="L3087" s="194" t="str">
        <f>IF(G3087=30,1,M3086)</f>
      </c>
      <c r="M3087" s="195" t="str">
        <f>L3087*(1-K3087)</f>
      </c>
    </row>
    <row r="3088">
      <c r="A3088" t="s">
        <v>167</v>
      </c>
      <c r="B3088" t="s">
        <v>250</v>
      </c>
      <c r="C3088" s="35" t="s">
        <v>252</v>
      </c>
      <c r="D3088" t="s">
        <v>502</v>
      </c>
      <c r="E3088" t="s">
        <v>520</v>
      </c>
      <c r="F3088" s="188" t="n">
        <v>2050</v>
      </c>
      <c r="G3088" s="189" t="n">
        <v>36</v>
      </c>
      <c r="H3088" s="190" t="n">
        <v>1776.76008823322</v>
      </c>
      <c r="I3088" s="191" t="n">
        <v>4680696.66950371</v>
      </c>
      <c r="J3088" s="192" t="str">
        <f>IF(I3088&gt;0,H3088/I3088,0)</f>
      </c>
      <c r="K3088" s="193" t="str">
        <f>1-EXP(-J3088)</f>
      </c>
      <c r="L3088" s="194" t="str">
        <f>IF(G3088=30,1,M3087)</f>
      </c>
      <c r="M3088" s="195" t="str">
        <f>L3088*(1-K3088)</f>
      </c>
    </row>
    <row r="3089">
      <c r="A3089" t="s">
        <v>167</v>
      </c>
      <c r="B3089" t="s">
        <v>250</v>
      </c>
      <c r="C3089" s="35" t="s">
        <v>252</v>
      </c>
      <c r="D3089" t="s">
        <v>502</v>
      </c>
      <c r="E3089" t="s">
        <v>520</v>
      </c>
      <c r="F3089" s="188" t="n">
        <v>2050</v>
      </c>
      <c r="G3089" s="189" t="n">
        <v>37</v>
      </c>
      <c r="H3089" s="190" t="n">
        <v>1936.84009621829</v>
      </c>
      <c r="I3089" s="191" t="n">
        <v>4746892.37751309</v>
      </c>
      <c r="J3089" s="192" t="str">
        <f>IF(I3089&gt;0,H3089/I3089,0)</f>
      </c>
      <c r="K3089" s="193" t="str">
        <f>1-EXP(-J3089)</f>
      </c>
      <c r="L3089" s="194" t="str">
        <f>IF(G3089=30,1,M3088)</f>
      </c>
      <c r="M3089" s="195" t="str">
        <f>L3089*(1-K3089)</f>
      </c>
    </row>
    <row r="3090">
      <c r="A3090" t="s">
        <v>167</v>
      </c>
      <c r="B3090" t="s">
        <v>250</v>
      </c>
      <c r="C3090" s="35" t="s">
        <v>252</v>
      </c>
      <c r="D3090" t="s">
        <v>502</v>
      </c>
      <c r="E3090" t="s">
        <v>520</v>
      </c>
      <c r="F3090" s="188" t="n">
        <v>2050</v>
      </c>
      <c r="G3090" s="189" t="n">
        <v>38</v>
      </c>
      <c r="H3090" s="190" t="n">
        <v>2189.31954664745</v>
      </c>
      <c r="I3090" s="191" t="n">
        <v>4856601.81260821</v>
      </c>
      <c r="J3090" s="192" t="str">
        <f>IF(I3090&gt;0,H3090/I3090,0)</f>
      </c>
      <c r="K3090" s="193" t="str">
        <f>1-EXP(-J3090)</f>
      </c>
      <c r="L3090" s="194" t="str">
        <f>IF(G3090=30,1,M3089)</f>
      </c>
      <c r="M3090" s="195" t="str">
        <f>L3090*(1-K3090)</f>
      </c>
    </row>
    <row r="3091">
      <c r="A3091" t="s">
        <v>167</v>
      </c>
      <c r="B3091" t="s">
        <v>250</v>
      </c>
      <c r="C3091" s="35" t="s">
        <v>252</v>
      </c>
      <c r="D3091" t="s">
        <v>502</v>
      </c>
      <c r="E3091" t="s">
        <v>520</v>
      </c>
      <c r="F3091" s="188" t="n">
        <v>2050</v>
      </c>
      <c r="G3091" s="189" t="n">
        <v>39</v>
      </c>
      <c r="H3091" s="190" t="n">
        <v>2352.56737281714</v>
      </c>
      <c r="I3091" s="191" t="n">
        <v>4826224.20974627</v>
      </c>
      <c r="J3091" s="192" t="str">
        <f>IF(I3091&gt;0,H3091/I3091,0)</f>
      </c>
      <c r="K3091" s="193" t="str">
        <f>1-EXP(-J3091)</f>
      </c>
      <c r="L3091" s="194" t="str">
        <f>IF(G3091=30,1,M3090)</f>
      </c>
      <c r="M3091" s="195" t="str">
        <f>L3091*(1-K3091)</f>
      </c>
    </row>
    <row r="3092">
      <c r="A3092" t="s">
        <v>167</v>
      </c>
      <c r="B3092" t="s">
        <v>250</v>
      </c>
      <c r="C3092" s="35" t="s">
        <v>252</v>
      </c>
      <c r="D3092" t="s">
        <v>502</v>
      </c>
      <c r="E3092" t="s">
        <v>520</v>
      </c>
      <c r="F3092" s="188" t="n">
        <v>2050</v>
      </c>
      <c r="G3092" s="189" t="n">
        <v>40</v>
      </c>
      <c r="H3092" s="190" t="n">
        <v>3066.27838468393</v>
      </c>
      <c r="I3092" s="191" t="n">
        <v>4690794.90671397</v>
      </c>
      <c r="J3092" s="192" t="str">
        <f>IF(I3092&gt;0,H3092/I3092,0)</f>
      </c>
      <c r="K3092" s="193" t="str">
        <f>1-EXP(-J3092)</f>
      </c>
      <c r="L3092" s="194" t="str">
        <f>IF(G3092=30,1,M3091)</f>
      </c>
      <c r="M3092" s="195" t="str">
        <f>L3092*(1-K3092)</f>
      </c>
    </row>
    <row r="3093">
      <c r="A3093" t="s">
        <v>167</v>
      </c>
      <c r="B3093" t="s">
        <v>250</v>
      </c>
      <c r="C3093" s="35" t="s">
        <v>252</v>
      </c>
      <c r="D3093" t="s">
        <v>502</v>
      </c>
      <c r="E3093" t="s">
        <v>520</v>
      </c>
      <c r="F3093" s="188" t="n">
        <v>2050</v>
      </c>
      <c r="G3093" s="189" t="n">
        <v>41</v>
      </c>
      <c r="H3093" s="190" t="n">
        <v>3416.80920744088</v>
      </c>
      <c r="I3093" s="191" t="n">
        <v>4616590.78702158</v>
      </c>
      <c r="J3093" s="192" t="str">
        <f>IF(I3093&gt;0,H3093/I3093,0)</f>
      </c>
      <c r="K3093" s="193" t="str">
        <f>1-EXP(-J3093)</f>
      </c>
      <c r="L3093" s="194" t="str">
        <f>IF(G3093=30,1,M3092)</f>
      </c>
      <c r="M3093" s="195" t="str">
        <f>L3093*(1-K3093)</f>
      </c>
    </row>
    <row r="3094">
      <c r="A3094" t="s">
        <v>167</v>
      </c>
      <c r="B3094" t="s">
        <v>250</v>
      </c>
      <c r="C3094" s="35" t="s">
        <v>252</v>
      </c>
      <c r="D3094" t="s">
        <v>502</v>
      </c>
      <c r="E3094" t="s">
        <v>520</v>
      </c>
      <c r="F3094" s="188" t="n">
        <v>2050</v>
      </c>
      <c r="G3094" s="189" t="n">
        <v>42</v>
      </c>
      <c r="H3094" s="190" t="n">
        <v>3670.10734554545</v>
      </c>
      <c r="I3094" s="191" t="n">
        <v>4570168.73299953</v>
      </c>
      <c r="J3094" s="192" t="str">
        <f>IF(I3094&gt;0,H3094/I3094,0)</f>
      </c>
      <c r="K3094" s="193" t="str">
        <f>1-EXP(-J3094)</f>
      </c>
      <c r="L3094" s="194" t="str">
        <f>IF(G3094=30,1,M3093)</f>
      </c>
      <c r="M3094" s="195" t="str">
        <f>L3094*(1-K3094)</f>
      </c>
    </row>
    <row r="3095">
      <c r="A3095" t="s">
        <v>167</v>
      </c>
      <c r="B3095" t="s">
        <v>250</v>
      </c>
      <c r="C3095" s="35" t="s">
        <v>252</v>
      </c>
      <c r="D3095" t="s">
        <v>502</v>
      </c>
      <c r="E3095" t="s">
        <v>520</v>
      </c>
      <c r="F3095" s="188" t="n">
        <v>2050</v>
      </c>
      <c r="G3095" s="189" t="n">
        <v>43</v>
      </c>
      <c r="H3095" s="190" t="n">
        <v>4068.8626219732</v>
      </c>
      <c r="I3095" s="191" t="n">
        <v>4590073.94083268</v>
      </c>
      <c r="J3095" s="192" t="str">
        <f>IF(I3095&gt;0,H3095/I3095,0)</f>
      </c>
      <c r="K3095" s="193" t="str">
        <f>1-EXP(-J3095)</f>
      </c>
      <c r="L3095" s="194" t="str">
        <f>IF(G3095=30,1,M3094)</f>
      </c>
      <c r="M3095" s="195" t="str">
        <f>L3095*(1-K3095)</f>
      </c>
    </row>
    <row r="3096">
      <c r="A3096" t="s">
        <v>167</v>
      </c>
      <c r="B3096" t="s">
        <v>250</v>
      </c>
      <c r="C3096" s="35" t="s">
        <v>252</v>
      </c>
      <c r="D3096" t="s">
        <v>502</v>
      </c>
      <c r="E3096" t="s">
        <v>520</v>
      </c>
      <c r="F3096" s="188" t="n">
        <v>2050</v>
      </c>
      <c r="G3096" s="189" t="n">
        <v>44</v>
      </c>
      <c r="H3096" s="190" t="n">
        <v>4345.86506319107</v>
      </c>
      <c r="I3096" s="191" t="n">
        <v>4502652.24023283</v>
      </c>
      <c r="J3096" s="192" t="str">
        <f>IF(I3096&gt;0,H3096/I3096,0)</f>
      </c>
      <c r="K3096" s="193" t="str">
        <f>1-EXP(-J3096)</f>
      </c>
      <c r="L3096" s="194" t="str">
        <f>IF(G3096=30,1,M3095)</f>
      </c>
      <c r="M3096" s="195" t="str">
        <f>L3096*(1-K3096)</f>
      </c>
    </row>
    <row r="3097">
      <c r="A3097" t="s">
        <v>167</v>
      </c>
      <c r="B3097" t="s">
        <v>250</v>
      </c>
      <c r="C3097" s="35" t="s">
        <v>252</v>
      </c>
      <c r="D3097" t="s">
        <v>502</v>
      </c>
      <c r="E3097" t="s">
        <v>520</v>
      </c>
      <c r="F3097" s="188" t="n">
        <v>2050</v>
      </c>
      <c r="G3097" s="189" t="n">
        <v>45</v>
      </c>
      <c r="H3097" s="190" t="n">
        <v>5485.55215078715</v>
      </c>
      <c r="I3097" s="191" t="n">
        <v>4436125.07518802</v>
      </c>
      <c r="J3097" s="192" t="str">
        <f>IF(I3097&gt;0,H3097/I3097,0)</f>
      </c>
      <c r="K3097" s="193" t="str">
        <f>1-EXP(-J3097)</f>
      </c>
      <c r="L3097" s="194" t="str">
        <f>IF(G3097=30,1,M3096)</f>
      </c>
      <c r="M3097" s="195" t="str">
        <f>L3097*(1-K3097)</f>
      </c>
    </row>
    <row r="3098">
      <c r="A3098" t="s">
        <v>167</v>
      </c>
      <c r="B3098" t="s">
        <v>250</v>
      </c>
      <c r="C3098" s="35" t="s">
        <v>252</v>
      </c>
      <c r="D3098" t="s">
        <v>502</v>
      </c>
      <c r="E3098" t="s">
        <v>520</v>
      </c>
      <c r="F3098" s="188" t="n">
        <v>2050</v>
      </c>
      <c r="G3098" s="189" t="n">
        <v>46</v>
      </c>
      <c r="H3098" s="190" t="n">
        <v>5941.56656017615</v>
      </c>
      <c r="I3098" s="191" t="n">
        <v>4302049.0179966</v>
      </c>
      <c r="J3098" s="192" t="str">
        <f>IF(I3098&gt;0,H3098/I3098,0)</f>
      </c>
      <c r="K3098" s="193" t="str">
        <f>1-EXP(-J3098)</f>
      </c>
      <c r="L3098" s="194" t="str">
        <f>IF(G3098=30,1,M3097)</f>
      </c>
      <c r="M3098" s="195" t="str">
        <f>L3098*(1-K3098)</f>
      </c>
    </row>
    <row r="3099">
      <c r="A3099" t="s">
        <v>167</v>
      </c>
      <c r="B3099" t="s">
        <v>250</v>
      </c>
      <c r="C3099" s="35" t="s">
        <v>252</v>
      </c>
      <c r="D3099" t="s">
        <v>502</v>
      </c>
      <c r="E3099" t="s">
        <v>520</v>
      </c>
      <c r="F3099" s="188" t="n">
        <v>2050</v>
      </c>
      <c r="G3099" s="189" t="n">
        <v>47</v>
      </c>
      <c r="H3099" s="190" t="n">
        <v>6401.98068628114</v>
      </c>
      <c r="I3099" s="191" t="n">
        <v>4229528.96754768</v>
      </c>
      <c r="J3099" s="192" t="str">
        <f>IF(I3099&gt;0,H3099/I3099,0)</f>
      </c>
      <c r="K3099" s="193" t="str">
        <f>1-EXP(-J3099)</f>
      </c>
      <c r="L3099" s="194" t="str">
        <f>IF(G3099=30,1,M3098)</f>
      </c>
      <c r="M3099" s="195" t="str">
        <f>L3099*(1-K3099)</f>
      </c>
    </row>
    <row r="3100">
      <c r="A3100" t="s">
        <v>167</v>
      </c>
      <c r="B3100" t="s">
        <v>250</v>
      </c>
      <c r="C3100" s="35" t="s">
        <v>252</v>
      </c>
      <c r="D3100" t="s">
        <v>502</v>
      </c>
      <c r="E3100" t="s">
        <v>520</v>
      </c>
      <c r="F3100" s="188" t="n">
        <v>2050</v>
      </c>
      <c r="G3100" s="189" t="n">
        <v>48</v>
      </c>
      <c r="H3100" s="190" t="n">
        <v>7121.9742885715</v>
      </c>
      <c r="I3100" s="191" t="n">
        <v>4196156.71651684</v>
      </c>
      <c r="J3100" s="192" t="str">
        <f>IF(I3100&gt;0,H3100/I3100,0)</f>
      </c>
      <c r="K3100" s="193" t="str">
        <f>1-EXP(-J3100)</f>
      </c>
      <c r="L3100" s="194" t="str">
        <f>IF(G3100=30,1,M3099)</f>
      </c>
      <c r="M3100" s="195" t="str">
        <f>L3100*(1-K3100)</f>
      </c>
    </row>
    <row r="3101">
      <c r="A3101" t="s">
        <v>167</v>
      </c>
      <c r="B3101" t="s">
        <v>250</v>
      </c>
      <c r="C3101" s="35" t="s">
        <v>252</v>
      </c>
      <c r="D3101" t="s">
        <v>502</v>
      </c>
      <c r="E3101" t="s">
        <v>520</v>
      </c>
      <c r="F3101" s="188" t="n">
        <v>2050</v>
      </c>
      <c r="G3101" s="189" t="n">
        <v>49</v>
      </c>
      <c r="H3101" s="190" t="n">
        <v>7767.69438083132</v>
      </c>
      <c r="I3101" s="191" t="n">
        <v>4165480.02662081</v>
      </c>
      <c r="J3101" s="192" t="str">
        <f>IF(I3101&gt;0,H3101/I3101,0)</f>
      </c>
      <c r="K3101" s="193" t="str">
        <f>1-EXP(-J3101)</f>
      </c>
      <c r="L3101" s="194" t="str">
        <f>IF(G3101=30,1,M3100)</f>
      </c>
      <c r="M3101" s="195" t="str">
        <f>L3101*(1-K3101)</f>
      </c>
    </row>
    <row r="3102">
      <c r="A3102" t="s">
        <v>167</v>
      </c>
      <c r="B3102" t="s">
        <v>250</v>
      </c>
      <c r="C3102" s="35" t="s">
        <v>252</v>
      </c>
      <c r="D3102" t="s">
        <v>502</v>
      </c>
      <c r="E3102" t="s">
        <v>520</v>
      </c>
      <c r="F3102" s="188" t="n">
        <v>2050</v>
      </c>
      <c r="G3102" s="189" t="n">
        <v>50</v>
      </c>
      <c r="H3102" s="190" t="n">
        <v>8778.35893155852</v>
      </c>
      <c r="I3102" s="191" t="n">
        <v>4133280.49948767</v>
      </c>
      <c r="J3102" s="192" t="str">
        <f>IF(I3102&gt;0,H3102/I3102,0)</f>
      </c>
      <c r="K3102" s="193" t="str">
        <f>1-EXP(-J3102)</f>
      </c>
      <c r="L3102" s="194" t="str">
        <f>IF(G3102=30,1,M3101)</f>
      </c>
      <c r="M3102" s="195" t="str">
        <f>L3102*(1-K3102)</f>
      </c>
    </row>
    <row r="3103">
      <c r="A3103" t="s">
        <v>167</v>
      </c>
      <c r="B3103" t="s">
        <v>250</v>
      </c>
      <c r="C3103" s="35" t="s">
        <v>252</v>
      </c>
      <c r="D3103" t="s">
        <v>502</v>
      </c>
      <c r="E3103" t="s">
        <v>520</v>
      </c>
      <c r="F3103" s="188" t="n">
        <v>2050</v>
      </c>
      <c r="G3103" s="189" t="n">
        <v>51</v>
      </c>
      <c r="H3103" s="190" t="n">
        <v>9690.31696802304</v>
      </c>
      <c r="I3103" s="191" t="n">
        <v>4137137.40625796</v>
      </c>
      <c r="J3103" s="192" t="str">
        <f>IF(I3103&gt;0,H3103/I3103,0)</f>
      </c>
      <c r="K3103" s="193" t="str">
        <f>1-EXP(-J3103)</f>
      </c>
      <c r="L3103" s="194" t="str">
        <f>IF(G3103=30,1,M3102)</f>
      </c>
      <c r="M3103" s="195" t="str">
        <f>L3103*(1-K3103)</f>
      </c>
    </row>
    <row r="3104">
      <c r="A3104" t="s">
        <v>167</v>
      </c>
      <c r="B3104" t="s">
        <v>250</v>
      </c>
      <c r="C3104" s="35" t="s">
        <v>252</v>
      </c>
      <c r="D3104" t="s">
        <v>502</v>
      </c>
      <c r="E3104" t="s">
        <v>520</v>
      </c>
      <c r="F3104" s="188" t="n">
        <v>2050</v>
      </c>
      <c r="G3104" s="189" t="n">
        <v>52</v>
      </c>
      <c r="H3104" s="190" t="n">
        <v>10706.0048845399</v>
      </c>
      <c r="I3104" s="191" t="n">
        <v>4176950.82454453</v>
      </c>
      <c r="J3104" s="192" t="str">
        <f>IF(I3104&gt;0,H3104/I3104,0)</f>
      </c>
      <c r="K3104" s="193" t="str">
        <f>1-EXP(-J3104)</f>
      </c>
      <c r="L3104" s="194" t="str">
        <f>IF(G3104=30,1,M3103)</f>
      </c>
      <c r="M3104" s="195" t="str">
        <f>L3104*(1-K3104)</f>
      </c>
    </row>
    <row r="3105">
      <c r="A3105" t="s">
        <v>167</v>
      </c>
      <c r="B3105" t="s">
        <v>250</v>
      </c>
      <c r="C3105" s="35" t="s">
        <v>252</v>
      </c>
      <c r="D3105" t="s">
        <v>502</v>
      </c>
      <c r="E3105" t="s">
        <v>520</v>
      </c>
      <c r="F3105" s="188" t="n">
        <v>2050</v>
      </c>
      <c r="G3105" s="189" t="n">
        <v>53</v>
      </c>
      <c r="H3105" s="190" t="n">
        <v>12140.3811009671</v>
      </c>
      <c r="I3105" s="191" t="n">
        <v>4285811.46877603</v>
      </c>
      <c r="J3105" s="192" t="str">
        <f>IF(I3105&gt;0,H3105/I3105,0)</f>
      </c>
      <c r="K3105" s="193" t="str">
        <f>1-EXP(-J3105)</f>
      </c>
      <c r="L3105" s="194" t="str">
        <f>IF(G3105=30,1,M3104)</f>
      </c>
      <c r="M3105" s="195" t="str">
        <f>L3105*(1-K3105)</f>
      </c>
    </row>
    <row r="3106">
      <c r="A3106" t="s">
        <v>167</v>
      </c>
      <c r="B3106" t="s">
        <v>250</v>
      </c>
      <c r="C3106" s="35" t="s">
        <v>252</v>
      </c>
      <c r="D3106" t="s">
        <v>502</v>
      </c>
      <c r="E3106" t="s">
        <v>520</v>
      </c>
      <c r="F3106" s="188" t="n">
        <v>2050</v>
      </c>
      <c r="G3106" s="189" t="n">
        <v>54</v>
      </c>
      <c r="H3106" s="190" t="n">
        <v>13016.957890034</v>
      </c>
      <c r="I3106" s="191" t="n">
        <v>4223699.26291985</v>
      </c>
      <c r="J3106" s="192" t="str">
        <f>IF(I3106&gt;0,H3106/I3106,0)</f>
      </c>
      <c r="K3106" s="193" t="str">
        <f>1-EXP(-J3106)</f>
      </c>
      <c r="L3106" s="194" t="str">
        <f>IF(G3106=30,1,M3105)</f>
      </c>
      <c r="M3106" s="195" t="str">
        <f>L3106*(1-K3106)</f>
      </c>
    </row>
    <row r="3107">
      <c r="A3107" t="s">
        <v>167</v>
      </c>
      <c r="B3107" t="s">
        <v>250</v>
      </c>
      <c r="C3107" s="35" t="s">
        <v>252</v>
      </c>
      <c r="D3107" t="s">
        <v>502</v>
      </c>
      <c r="E3107" t="s">
        <v>520</v>
      </c>
      <c r="F3107" s="188" t="n">
        <v>2050</v>
      </c>
      <c r="G3107" s="189" t="n">
        <v>55</v>
      </c>
      <c r="H3107" s="190" t="n">
        <v>13539.1459301963</v>
      </c>
      <c r="I3107" s="191" t="n">
        <v>4131808.92682342</v>
      </c>
      <c r="J3107" s="192" t="str">
        <f>IF(I3107&gt;0,H3107/I3107,0)</f>
      </c>
      <c r="K3107" s="193" t="str">
        <f>1-EXP(-J3107)</f>
      </c>
      <c r="L3107" s="194" t="str">
        <f>IF(G3107=30,1,M3106)</f>
      </c>
      <c r="M3107" s="195" t="str">
        <f>L3107*(1-K3107)</f>
      </c>
    </row>
    <row r="3108">
      <c r="A3108" t="s">
        <v>167</v>
      </c>
      <c r="B3108" t="s">
        <v>250</v>
      </c>
      <c r="C3108" s="35" t="s">
        <v>252</v>
      </c>
      <c r="D3108" t="s">
        <v>502</v>
      </c>
      <c r="E3108" t="s">
        <v>520</v>
      </c>
      <c r="F3108" s="188" t="n">
        <v>2050</v>
      </c>
      <c r="G3108" s="189" t="n">
        <v>56</v>
      </c>
      <c r="H3108" s="190" t="n">
        <v>14427.6963427522</v>
      </c>
      <c r="I3108" s="191" t="n">
        <v>4053195.26359206</v>
      </c>
      <c r="J3108" s="192" t="str">
        <f>IF(I3108&gt;0,H3108/I3108,0)</f>
      </c>
      <c r="K3108" s="193" t="str">
        <f>1-EXP(-J3108)</f>
      </c>
      <c r="L3108" s="194" t="str">
        <f>IF(G3108=30,1,M3107)</f>
      </c>
      <c r="M3108" s="195" t="str">
        <f>L3108*(1-K3108)</f>
      </c>
    </row>
    <row r="3109">
      <c r="A3109" t="s">
        <v>167</v>
      </c>
      <c r="B3109" t="s">
        <v>250</v>
      </c>
      <c r="C3109" s="35" t="s">
        <v>252</v>
      </c>
      <c r="D3109" t="s">
        <v>502</v>
      </c>
      <c r="E3109" t="s">
        <v>520</v>
      </c>
      <c r="F3109" s="188" t="n">
        <v>2050</v>
      </c>
      <c r="G3109" s="189" t="n">
        <v>57</v>
      </c>
      <c r="H3109" s="190" t="n">
        <v>15421.074009779</v>
      </c>
      <c r="I3109" s="191" t="n">
        <v>3976355.35645232</v>
      </c>
      <c r="J3109" s="192" t="str">
        <f>IF(I3109&gt;0,H3109/I3109,0)</f>
      </c>
      <c r="K3109" s="193" t="str">
        <f>1-EXP(-J3109)</f>
      </c>
      <c r="L3109" s="194" t="str">
        <f>IF(G3109=30,1,M3108)</f>
      </c>
      <c r="M3109" s="195" t="str">
        <f>L3109*(1-K3109)</f>
      </c>
    </row>
    <row r="3110">
      <c r="A3110" t="s">
        <v>167</v>
      </c>
      <c r="B3110" t="s">
        <v>250</v>
      </c>
      <c r="C3110" s="35" t="s">
        <v>252</v>
      </c>
      <c r="D3110" t="s">
        <v>502</v>
      </c>
      <c r="E3110" t="s">
        <v>520</v>
      </c>
      <c r="F3110" s="188" t="n">
        <v>2050</v>
      </c>
      <c r="G3110" s="189" t="n">
        <v>58</v>
      </c>
      <c r="H3110" s="190" t="n">
        <v>16834.3927717204</v>
      </c>
      <c r="I3110" s="191" t="n">
        <v>3981688.80522334</v>
      </c>
      <c r="J3110" s="192" t="str">
        <f>IF(I3110&gt;0,H3110/I3110,0)</f>
      </c>
      <c r="K3110" s="193" t="str">
        <f>1-EXP(-J3110)</f>
      </c>
      <c r="L3110" s="194" t="str">
        <f>IF(G3110=30,1,M3109)</f>
      </c>
      <c r="M3110" s="195" t="str">
        <f>L3110*(1-K3110)</f>
      </c>
    </row>
    <row r="3111">
      <c r="A3111" t="s">
        <v>167</v>
      </c>
      <c r="B3111" t="s">
        <v>250</v>
      </c>
      <c r="C3111" s="35" t="s">
        <v>252</v>
      </c>
      <c r="D3111" t="s">
        <v>502</v>
      </c>
      <c r="E3111" t="s">
        <v>520</v>
      </c>
      <c r="F3111" s="188" t="n">
        <v>2050</v>
      </c>
      <c r="G3111" s="189" t="n">
        <v>59</v>
      </c>
      <c r="H3111" s="190" t="n">
        <v>18347.3315071941</v>
      </c>
      <c r="I3111" s="191" t="n">
        <v>3965649.11091096</v>
      </c>
      <c r="J3111" s="192" t="str">
        <f>IF(I3111&gt;0,H3111/I3111,0)</f>
      </c>
      <c r="K3111" s="193" t="str">
        <f>1-EXP(-J3111)</f>
      </c>
      <c r="L3111" s="194" t="str">
        <f>IF(G3111=30,1,M3110)</f>
      </c>
      <c r="M3111" s="195" t="str">
        <f>L3111*(1-K3111)</f>
      </c>
    </row>
    <row r="3112">
      <c r="A3112" t="s">
        <v>167</v>
      </c>
      <c r="B3112" t="s">
        <v>250</v>
      </c>
      <c r="C3112" s="35" t="s">
        <v>252</v>
      </c>
      <c r="D3112" t="s">
        <v>502</v>
      </c>
      <c r="E3112" t="s">
        <v>520</v>
      </c>
      <c r="F3112" s="188" t="n">
        <v>2050</v>
      </c>
      <c r="G3112" s="189" t="n">
        <v>60</v>
      </c>
      <c r="H3112" s="190" t="n">
        <v>26503.5111399734</v>
      </c>
      <c r="I3112" s="191" t="n">
        <v>5831019.66642908</v>
      </c>
      <c r="J3112" s="192" t="str">
        <f>IF(I3112&gt;0,H3112/I3112,0)</f>
      </c>
      <c r="K3112" s="193" t="str">
        <f>1-EXP(-J3112)</f>
      </c>
      <c r="L3112" s="194" t="str">
        <f>IF(G3112=30,1,M3111)</f>
      </c>
      <c r="M3112" s="195" t="str">
        <f>L3112*(1-K3112)</f>
      </c>
    </row>
    <row r="3113">
      <c r="A3113" t="s">
        <v>167</v>
      </c>
      <c r="B3113" t="s">
        <v>250</v>
      </c>
      <c r="C3113" s="35" t="s">
        <v>252</v>
      </c>
      <c r="D3113" t="s">
        <v>502</v>
      </c>
      <c r="E3113" t="s">
        <v>520</v>
      </c>
      <c r="F3113" s="188" t="n">
        <v>2050</v>
      </c>
      <c r="G3113" s="189" t="n">
        <v>61</v>
      </c>
      <c r="H3113" s="190" t="n">
        <v>21040.6513188415</v>
      </c>
      <c r="I3113" s="191" t="n">
        <v>3854804.67961909</v>
      </c>
      <c r="J3113" s="192" t="str">
        <f>IF(I3113&gt;0,H3113/I3113,0)</f>
      </c>
      <c r="K3113" s="193" t="str">
        <f>1-EXP(-J3113)</f>
      </c>
      <c r="L3113" s="194" t="str">
        <f>IF(G3113=30,1,M3112)</f>
      </c>
      <c r="M3113" s="195" t="str">
        <f>L3113*(1-K3113)</f>
      </c>
    </row>
    <row r="3114">
      <c r="A3114" t="s">
        <v>167</v>
      </c>
      <c r="B3114" t="s">
        <v>250</v>
      </c>
      <c r="C3114" s="35" t="s">
        <v>252</v>
      </c>
      <c r="D3114" t="s">
        <v>502</v>
      </c>
      <c r="E3114" t="s">
        <v>520</v>
      </c>
      <c r="F3114" s="188" t="n">
        <v>2050</v>
      </c>
      <c r="G3114" s="189" t="n">
        <v>62</v>
      </c>
      <c r="H3114" s="190" t="n">
        <v>22779.477144022</v>
      </c>
      <c r="I3114" s="191" t="n">
        <v>3798282.78032415</v>
      </c>
      <c r="J3114" s="192" t="str">
        <f>IF(I3114&gt;0,H3114/I3114,0)</f>
      </c>
      <c r="K3114" s="193" t="str">
        <f>1-EXP(-J3114)</f>
      </c>
      <c r="L3114" s="194" t="str">
        <f>IF(G3114=30,1,M3113)</f>
      </c>
      <c r="M3114" s="195" t="str">
        <f>L3114*(1-K3114)</f>
      </c>
    </row>
    <row r="3115">
      <c r="A3115" t="s">
        <v>167</v>
      </c>
      <c r="B3115" t="s">
        <v>250</v>
      </c>
      <c r="C3115" s="35" t="s">
        <v>252</v>
      </c>
      <c r="D3115" t="s">
        <v>502</v>
      </c>
      <c r="E3115" t="s">
        <v>520</v>
      </c>
      <c r="F3115" s="188" t="n">
        <v>2050</v>
      </c>
      <c r="G3115" s="189" t="n">
        <v>63</v>
      </c>
      <c r="H3115" s="190" t="n">
        <v>23977.5391709111</v>
      </c>
      <c r="I3115" s="191" t="n">
        <v>3637750.9997287</v>
      </c>
      <c r="J3115" s="192" t="str">
        <f>IF(I3115&gt;0,H3115/I3115,0)</f>
      </c>
      <c r="K3115" s="193" t="str">
        <f>1-EXP(-J3115)</f>
      </c>
      <c r="L3115" s="194" t="str">
        <f>IF(G3115=30,1,M3114)</f>
      </c>
      <c r="M3115" s="195" t="str">
        <f>L3115*(1-K3115)</f>
      </c>
    </row>
    <row r="3116">
      <c r="A3116" t="s">
        <v>167</v>
      </c>
      <c r="B3116" t="s">
        <v>250</v>
      </c>
      <c r="C3116" s="35" t="s">
        <v>252</v>
      </c>
      <c r="D3116" t="s">
        <v>502</v>
      </c>
      <c r="E3116" t="s">
        <v>520</v>
      </c>
      <c r="F3116" s="188" t="n">
        <v>2050</v>
      </c>
      <c r="G3116" s="189" t="n">
        <v>64</v>
      </c>
      <c r="H3116" s="190" t="n">
        <v>25764.923972676</v>
      </c>
      <c r="I3116" s="191" t="n">
        <v>3560203.52037912</v>
      </c>
      <c r="J3116" s="192" t="str">
        <f>IF(I3116&gt;0,H3116/I3116,0)</f>
      </c>
      <c r="K3116" s="193" t="str">
        <f>1-EXP(-J3116)</f>
      </c>
      <c r="L3116" s="194" t="str">
        <f>IF(G3116=30,1,M3115)</f>
      </c>
      <c r="M3116" s="195" t="str">
        <f>L3116*(1-K3116)</f>
      </c>
    </row>
    <row r="3117">
      <c r="A3117" t="s">
        <v>167</v>
      </c>
      <c r="B3117" t="s">
        <v>250</v>
      </c>
      <c r="C3117" s="35" t="s">
        <v>252</v>
      </c>
      <c r="D3117" t="s">
        <v>502</v>
      </c>
      <c r="E3117" t="s">
        <v>520</v>
      </c>
      <c r="F3117" s="188" t="n">
        <v>2050</v>
      </c>
      <c r="G3117" s="189" t="n">
        <v>65</v>
      </c>
      <c r="H3117" s="190" t="n">
        <v>26820.9287555456</v>
      </c>
      <c r="I3117" s="191" t="n">
        <v>3558380.94533161</v>
      </c>
      <c r="J3117" s="192" t="str">
        <f>IF(I3117&gt;0,H3117/I3117,0)</f>
      </c>
      <c r="K3117" s="193" t="str">
        <f>1-EXP(-J3117)</f>
      </c>
      <c r="L3117" s="194" t="str">
        <f>IF(G3117=30,1,M3116)</f>
      </c>
      <c r="M3117" s="195" t="str">
        <f>L3117*(1-K3117)</f>
      </c>
    </row>
    <row r="3118">
      <c r="A3118" t="s">
        <v>167</v>
      </c>
      <c r="B3118" t="s">
        <v>250</v>
      </c>
      <c r="C3118" s="35" t="s">
        <v>252</v>
      </c>
      <c r="D3118" t="s">
        <v>502</v>
      </c>
      <c r="E3118" t="s">
        <v>520</v>
      </c>
      <c r="F3118" s="188" t="n">
        <v>2050</v>
      </c>
      <c r="G3118" s="189" t="n">
        <v>66</v>
      </c>
      <c r="H3118" s="190" t="n">
        <v>29572.2219131641</v>
      </c>
      <c r="I3118" s="191" t="n">
        <v>3572377.2507644</v>
      </c>
      <c r="J3118" s="192" t="str">
        <f>IF(I3118&gt;0,H3118/I3118,0)</f>
      </c>
      <c r="K3118" s="193" t="str">
        <f>1-EXP(-J3118)</f>
      </c>
      <c r="L3118" s="194" t="str">
        <f>IF(G3118=30,1,M3117)</f>
      </c>
      <c r="M3118" s="195" t="str">
        <f>L3118*(1-K3118)</f>
      </c>
    </row>
    <row r="3119">
      <c r="A3119" t="s">
        <v>167</v>
      </c>
      <c r="B3119" t="s">
        <v>250</v>
      </c>
      <c r="C3119" s="35" t="s">
        <v>252</v>
      </c>
      <c r="D3119" t="s">
        <v>502</v>
      </c>
      <c r="E3119" t="s">
        <v>520</v>
      </c>
      <c r="F3119" s="188" t="n">
        <v>2050</v>
      </c>
      <c r="G3119" s="189" t="n">
        <v>67</v>
      </c>
      <c r="H3119" s="190" t="n">
        <v>31748.4513698129</v>
      </c>
      <c r="I3119" s="191" t="n">
        <v>3489668.78301249</v>
      </c>
      <c r="J3119" s="192" t="str">
        <f>IF(I3119&gt;0,H3119/I3119,0)</f>
      </c>
      <c r="K3119" s="193" t="str">
        <f>1-EXP(-J3119)</f>
      </c>
      <c r="L3119" s="194" t="str">
        <f>IF(G3119=30,1,M3118)</f>
      </c>
      <c r="M3119" s="195" t="str">
        <f>L3119*(1-K3119)</f>
      </c>
    </row>
    <row r="3120">
      <c r="A3120" t="s">
        <v>167</v>
      </c>
      <c r="B3120" t="s">
        <v>250</v>
      </c>
      <c r="C3120" s="35" t="s">
        <v>252</v>
      </c>
      <c r="D3120" t="s">
        <v>502</v>
      </c>
      <c r="E3120" t="s">
        <v>520</v>
      </c>
      <c r="F3120" s="188" t="n">
        <v>2050</v>
      </c>
      <c r="G3120" s="189" t="n">
        <v>68</v>
      </c>
      <c r="H3120" s="190" t="n">
        <v>33164.2179879592</v>
      </c>
      <c r="I3120" s="191" t="n">
        <v>3312121.78403117</v>
      </c>
      <c r="J3120" s="192" t="str">
        <f>IF(I3120&gt;0,H3120/I3120,0)</f>
      </c>
      <c r="K3120" s="193" t="str">
        <f>1-EXP(-J3120)</f>
      </c>
      <c r="L3120" s="194" t="str">
        <f>IF(G3120=30,1,M3119)</f>
      </c>
      <c r="M3120" s="195" t="str">
        <f>L3120*(1-K3120)</f>
      </c>
    </row>
    <row r="3121">
      <c r="A3121" t="s">
        <v>167</v>
      </c>
      <c r="B3121" t="s">
        <v>250</v>
      </c>
      <c r="C3121" s="35" t="s">
        <v>252</v>
      </c>
      <c r="D3121" t="s">
        <v>502</v>
      </c>
      <c r="E3121" t="s">
        <v>520</v>
      </c>
      <c r="F3121" s="188" t="n">
        <v>2050</v>
      </c>
      <c r="G3121" s="189" t="n">
        <v>69</v>
      </c>
      <c r="H3121" s="190" t="n">
        <v>35089.7812631316</v>
      </c>
      <c r="I3121" s="191" t="n">
        <v>3183451.35185323</v>
      </c>
      <c r="J3121" s="192" t="str">
        <f>IF(I3121&gt;0,H3121/I3121,0)</f>
      </c>
      <c r="K3121" s="193" t="str">
        <f>1-EXP(-J3121)</f>
      </c>
      <c r="L3121" s="194" t="str">
        <f>IF(G3121=30,1,M3120)</f>
      </c>
      <c r="M3121" s="195" t="str">
        <f>L3121*(1-K3121)</f>
      </c>
    </row>
    <row r="3122">
      <c r="A3122" t="s">
        <v>167</v>
      </c>
      <c r="B3122" t="s">
        <v>262</v>
      </c>
      <c r="C3122" s="35" t="s">
        <v>264</v>
      </c>
      <c r="D3122" t="s">
        <v>502</v>
      </c>
      <c r="E3122" t="s">
        <v>520</v>
      </c>
      <c r="F3122" s="188" t="n">
        <v>2025</v>
      </c>
      <c r="G3122" s="189" t="n">
        <v>30</v>
      </c>
      <c r="H3122" s="190" t="n">
        <v>1282.14808007526</v>
      </c>
      <c r="I3122" s="191" t="n">
        <v>4467259.00744984</v>
      </c>
      <c r="J3122" s="192" t="str">
        <f>IF(I3122&gt;0,H3122/I3122,0)</f>
      </c>
      <c r="K3122" s="193" t="str">
        <f>1-EXP(-J3122)</f>
      </c>
      <c r="L3122" s="194" t="str">
        <f>IF(G3122=30,1,M3121)</f>
      </c>
      <c r="M3122" s="195" t="str">
        <f>L3122*(1-K3122)</f>
      </c>
    </row>
    <row r="3123">
      <c r="A3123" t="s">
        <v>167</v>
      </c>
      <c r="B3123" t="s">
        <v>262</v>
      </c>
      <c r="C3123" s="35" t="s">
        <v>264</v>
      </c>
      <c r="D3123" t="s">
        <v>502</v>
      </c>
      <c r="E3123" t="s">
        <v>520</v>
      </c>
      <c r="F3123" s="188" t="n">
        <v>2025</v>
      </c>
      <c r="G3123" s="189" t="n">
        <v>31</v>
      </c>
      <c r="H3123" s="190" t="n">
        <v>1315.23908698248</v>
      </c>
      <c r="I3123" s="191" t="n">
        <v>4410712.39044934</v>
      </c>
      <c r="J3123" s="192" t="str">
        <f>IF(I3123&gt;0,H3123/I3123,0)</f>
      </c>
      <c r="K3123" s="193" t="str">
        <f>1-EXP(-J3123)</f>
      </c>
      <c r="L3123" s="194" t="str">
        <f>IF(G3123=30,1,M3122)</f>
      </c>
      <c r="M3123" s="195" t="str">
        <f>L3123*(1-K3123)</f>
      </c>
    </row>
    <row r="3124">
      <c r="A3124" t="s">
        <v>167</v>
      </c>
      <c r="B3124" t="s">
        <v>262</v>
      </c>
      <c r="C3124" s="35" t="s">
        <v>264</v>
      </c>
      <c r="D3124" t="s">
        <v>502</v>
      </c>
      <c r="E3124" t="s">
        <v>520</v>
      </c>
      <c r="F3124" s="188" t="n">
        <v>2025</v>
      </c>
      <c r="G3124" s="189" t="n">
        <v>32</v>
      </c>
      <c r="H3124" s="190" t="n">
        <v>1358.36874107968</v>
      </c>
      <c r="I3124" s="191" t="n">
        <v>4358505.80076359</v>
      </c>
      <c r="J3124" s="192" t="str">
        <f>IF(I3124&gt;0,H3124/I3124,0)</f>
      </c>
      <c r="K3124" s="193" t="str">
        <f>1-EXP(-J3124)</f>
      </c>
      <c r="L3124" s="194" t="str">
        <f>IF(G3124=30,1,M3123)</f>
      </c>
      <c r="M3124" s="195" t="str">
        <f>L3124*(1-K3124)</f>
      </c>
    </row>
    <row r="3125">
      <c r="A3125" t="s">
        <v>167</v>
      </c>
      <c r="B3125" t="s">
        <v>262</v>
      </c>
      <c r="C3125" s="35" t="s">
        <v>264</v>
      </c>
      <c r="D3125" t="s">
        <v>502</v>
      </c>
      <c r="E3125" t="s">
        <v>520</v>
      </c>
      <c r="F3125" s="188" t="n">
        <v>2025</v>
      </c>
      <c r="G3125" s="189" t="n">
        <v>33</v>
      </c>
      <c r="H3125" s="190" t="n">
        <v>1441.84186563352</v>
      </c>
      <c r="I3125" s="191" t="n">
        <v>4398745.92791286</v>
      </c>
      <c r="J3125" s="192" t="str">
        <f>IF(I3125&gt;0,H3125/I3125,0)</f>
      </c>
      <c r="K3125" s="193" t="str">
        <f>1-EXP(-J3125)</f>
      </c>
      <c r="L3125" s="194" t="str">
        <f>IF(G3125=30,1,M3124)</f>
      </c>
      <c r="M3125" s="195" t="str">
        <f>L3125*(1-K3125)</f>
      </c>
    </row>
    <row r="3126">
      <c r="A3126" t="s">
        <v>167</v>
      </c>
      <c r="B3126" t="s">
        <v>262</v>
      </c>
      <c r="C3126" s="35" t="s">
        <v>264</v>
      </c>
      <c r="D3126" t="s">
        <v>502</v>
      </c>
      <c r="E3126" t="s">
        <v>520</v>
      </c>
      <c r="F3126" s="188" t="n">
        <v>2025</v>
      </c>
      <c r="G3126" s="189" t="n">
        <v>34</v>
      </c>
      <c r="H3126" s="190" t="n">
        <v>1533.78714702233</v>
      </c>
      <c r="I3126" s="191" t="n">
        <v>4419468.588996</v>
      </c>
      <c r="J3126" s="192" t="str">
        <f>IF(I3126&gt;0,H3126/I3126,0)</f>
      </c>
      <c r="K3126" s="193" t="str">
        <f>1-EXP(-J3126)</f>
      </c>
      <c r="L3126" s="194" t="str">
        <f>IF(G3126=30,1,M3125)</f>
      </c>
      <c r="M3126" s="195" t="str">
        <f>L3126*(1-K3126)</f>
      </c>
    </row>
    <row r="3127">
      <c r="A3127" t="s">
        <v>167</v>
      </c>
      <c r="B3127" t="s">
        <v>262</v>
      </c>
      <c r="C3127" s="35" t="s">
        <v>264</v>
      </c>
      <c r="D3127" t="s">
        <v>502</v>
      </c>
      <c r="E3127" t="s">
        <v>520</v>
      </c>
      <c r="F3127" s="188" t="n">
        <v>2025</v>
      </c>
      <c r="G3127" s="189" t="n">
        <v>35</v>
      </c>
      <c r="H3127" s="190" t="n">
        <v>3016.10693161697</v>
      </c>
      <c r="I3127" s="191" t="n">
        <v>6509663.36688188</v>
      </c>
      <c r="J3127" s="192" t="str">
        <f>IF(I3127&gt;0,H3127/I3127,0)</f>
      </c>
      <c r="K3127" s="193" t="str">
        <f>1-EXP(-J3127)</f>
      </c>
      <c r="L3127" s="194" t="str">
        <f>IF(G3127=30,1,M3126)</f>
      </c>
      <c r="M3127" s="195" t="str">
        <f>L3127*(1-K3127)</f>
      </c>
    </row>
    <row r="3128">
      <c r="A3128" t="s">
        <v>167</v>
      </c>
      <c r="B3128" t="s">
        <v>262</v>
      </c>
      <c r="C3128" s="35" t="s">
        <v>264</v>
      </c>
      <c r="D3128" t="s">
        <v>502</v>
      </c>
      <c r="E3128" t="s">
        <v>520</v>
      </c>
      <c r="F3128" s="188" t="n">
        <v>2025</v>
      </c>
      <c r="G3128" s="189" t="n">
        <v>36</v>
      </c>
      <c r="H3128" s="190" t="n">
        <v>2254.70933318993</v>
      </c>
      <c r="I3128" s="191" t="n">
        <v>4383096.00549538</v>
      </c>
      <c r="J3128" s="192" t="str">
        <f>IF(I3128&gt;0,H3128/I3128,0)</f>
      </c>
      <c r="K3128" s="193" t="str">
        <f>1-EXP(-J3128)</f>
      </c>
      <c r="L3128" s="194" t="str">
        <f>IF(G3128=30,1,M3127)</f>
      </c>
      <c r="M3128" s="195" t="str">
        <f>L3128*(1-K3128)</f>
      </c>
    </row>
    <row r="3129">
      <c r="A3129" t="s">
        <v>167</v>
      </c>
      <c r="B3129" t="s">
        <v>262</v>
      </c>
      <c r="C3129" s="35" t="s">
        <v>264</v>
      </c>
      <c r="D3129" t="s">
        <v>502</v>
      </c>
      <c r="E3129" t="s">
        <v>520</v>
      </c>
      <c r="F3129" s="188" t="n">
        <v>2025</v>
      </c>
      <c r="G3129" s="189" t="n">
        <v>37</v>
      </c>
      <c r="H3129" s="190" t="n">
        <v>2406.72848505594</v>
      </c>
      <c r="I3129" s="191" t="n">
        <v>4369642.29305489</v>
      </c>
      <c r="J3129" s="192" t="str">
        <f>IF(I3129&gt;0,H3129/I3129,0)</f>
      </c>
      <c r="K3129" s="193" t="str">
        <f>1-EXP(-J3129)</f>
      </c>
      <c r="L3129" s="194" t="str">
        <f>IF(G3129=30,1,M3128)</f>
      </c>
      <c r="M3129" s="195" t="str">
        <f>L3129*(1-K3129)</f>
      </c>
    </row>
    <row r="3130">
      <c r="A3130" t="s">
        <v>167</v>
      </c>
      <c r="B3130" t="s">
        <v>262</v>
      </c>
      <c r="C3130" s="35" t="s">
        <v>264</v>
      </c>
      <c r="D3130" t="s">
        <v>502</v>
      </c>
      <c r="E3130" t="s">
        <v>520</v>
      </c>
      <c r="F3130" s="188" t="n">
        <v>2025</v>
      </c>
      <c r="G3130" s="189" t="n">
        <v>38</v>
      </c>
      <c r="H3130" s="190" t="n">
        <v>2504.26492550023</v>
      </c>
      <c r="I3130" s="191" t="n">
        <v>4239505.8530855</v>
      </c>
      <c r="J3130" s="192" t="str">
        <f>IF(I3130&gt;0,H3130/I3130,0)</f>
      </c>
      <c r="K3130" s="193" t="str">
        <f>1-EXP(-J3130)</f>
      </c>
      <c r="L3130" s="194" t="str">
        <f>IF(G3130=30,1,M3129)</f>
      </c>
      <c r="M3130" s="195" t="str">
        <f>L3130*(1-K3130)</f>
      </c>
    </row>
    <row r="3131">
      <c r="A3131" t="s">
        <v>167</v>
      </c>
      <c r="B3131" t="s">
        <v>262</v>
      </c>
      <c r="C3131" s="35" t="s">
        <v>264</v>
      </c>
      <c r="D3131" t="s">
        <v>502</v>
      </c>
      <c r="E3131" t="s">
        <v>520</v>
      </c>
      <c r="F3131" s="188" t="n">
        <v>2025</v>
      </c>
      <c r="G3131" s="189" t="n">
        <v>39</v>
      </c>
      <c r="H3131" s="190" t="n">
        <v>2668.85044983619</v>
      </c>
      <c r="I3131" s="191" t="n">
        <v>4208510.72085438</v>
      </c>
      <c r="J3131" s="192" t="str">
        <f>IF(I3131&gt;0,H3131/I3131,0)</f>
      </c>
      <c r="K3131" s="193" t="str">
        <f>1-EXP(-J3131)</f>
      </c>
      <c r="L3131" s="194" t="str">
        <f>IF(G3131=30,1,M3130)</f>
      </c>
      <c r="M3131" s="195" t="str">
        <f>L3131*(1-K3131)</f>
      </c>
    </row>
    <row r="3132">
      <c r="A3132" t="s">
        <v>167</v>
      </c>
      <c r="B3132" t="s">
        <v>262</v>
      </c>
      <c r="C3132" s="35" t="s">
        <v>264</v>
      </c>
      <c r="D3132" t="s">
        <v>502</v>
      </c>
      <c r="E3132" t="s">
        <v>520</v>
      </c>
      <c r="F3132" s="188" t="n">
        <v>2025</v>
      </c>
      <c r="G3132" s="189" t="n">
        <v>40</v>
      </c>
      <c r="H3132" s="190" t="n">
        <v>3657.34535610759</v>
      </c>
      <c r="I3132" s="191" t="n">
        <v>4272859.94162918</v>
      </c>
      <c r="J3132" s="192" t="str">
        <f>IF(I3132&gt;0,H3132/I3132,0)</f>
      </c>
      <c r="K3132" s="193" t="str">
        <f>1-EXP(-J3132)</f>
      </c>
      <c r="L3132" s="194" t="str">
        <f>IF(G3132=30,1,M3131)</f>
      </c>
      <c r="M3132" s="195" t="str">
        <f>L3132*(1-K3132)</f>
      </c>
    </row>
    <row r="3133">
      <c r="A3133" t="s">
        <v>167</v>
      </c>
      <c r="B3133" t="s">
        <v>262</v>
      </c>
      <c r="C3133" s="35" t="s">
        <v>264</v>
      </c>
      <c r="D3133" t="s">
        <v>502</v>
      </c>
      <c r="E3133" t="s">
        <v>520</v>
      </c>
      <c r="F3133" s="188" t="n">
        <v>2025</v>
      </c>
      <c r="G3133" s="189" t="n">
        <v>41</v>
      </c>
      <c r="H3133" s="190" t="n">
        <v>4027.13767921727</v>
      </c>
      <c r="I3133" s="191" t="n">
        <v>4362484.66303299</v>
      </c>
      <c r="J3133" s="192" t="str">
        <f>IF(I3133&gt;0,H3133/I3133,0)</f>
      </c>
      <c r="K3133" s="193" t="str">
        <f>1-EXP(-J3133)</f>
      </c>
      <c r="L3133" s="194" t="str">
        <f>IF(G3133=30,1,M3132)</f>
      </c>
      <c r="M3133" s="195" t="str">
        <f>L3133*(1-K3133)</f>
      </c>
    </row>
    <row r="3134">
      <c r="A3134" t="s">
        <v>167</v>
      </c>
      <c r="B3134" t="s">
        <v>262</v>
      </c>
      <c r="C3134" s="35" t="s">
        <v>264</v>
      </c>
      <c r="D3134" t="s">
        <v>502</v>
      </c>
      <c r="E3134" t="s">
        <v>520</v>
      </c>
      <c r="F3134" s="188" t="n">
        <v>2025</v>
      </c>
      <c r="G3134" s="189" t="n">
        <v>42</v>
      </c>
      <c r="H3134" s="190" t="n">
        <v>4338.50110850914</v>
      </c>
      <c r="I3134" s="191" t="n">
        <v>4343004.76876643</v>
      </c>
      <c r="J3134" s="192" t="str">
        <f>IF(I3134&gt;0,H3134/I3134,0)</f>
      </c>
      <c r="K3134" s="193" t="str">
        <f>1-EXP(-J3134)</f>
      </c>
      <c r="L3134" s="194" t="str">
        <f>IF(G3134=30,1,M3133)</f>
      </c>
      <c r="M3134" s="195" t="str">
        <f>L3134*(1-K3134)</f>
      </c>
    </row>
    <row r="3135">
      <c r="A3135" t="s">
        <v>167</v>
      </c>
      <c r="B3135" t="s">
        <v>262</v>
      </c>
      <c r="C3135" s="35" t="s">
        <v>264</v>
      </c>
      <c r="D3135" t="s">
        <v>502</v>
      </c>
      <c r="E3135" t="s">
        <v>520</v>
      </c>
      <c r="F3135" s="188" t="n">
        <v>2025</v>
      </c>
      <c r="G3135" s="189" t="n">
        <v>43</v>
      </c>
      <c r="H3135" s="190" t="n">
        <v>4570.23561452701</v>
      </c>
      <c r="I3135" s="191" t="n">
        <v>4209764.82229798</v>
      </c>
      <c r="J3135" s="192" t="str">
        <f>IF(I3135&gt;0,H3135/I3135,0)</f>
      </c>
      <c r="K3135" s="193" t="str">
        <f>1-EXP(-J3135)</f>
      </c>
      <c r="L3135" s="194" t="str">
        <f>IF(G3135=30,1,M3134)</f>
      </c>
      <c r="M3135" s="195" t="str">
        <f>L3135*(1-K3135)</f>
      </c>
    </row>
    <row r="3136">
      <c r="A3136" t="s">
        <v>167</v>
      </c>
      <c r="B3136" t="s">
        <v>262</v>
      </c>
      <c r="C3136" s="35" t="s">
        <v>264</v>
      </c>
      <c r="D3136" t="s">
        <v>502</v>
      </c>
      <c r="E3136" t="s">
        <v>520</v>
      </c>
      <c r="F3136" s="188" t="n">
        <v>2025</v>
      </c>
      <c r="G3136" s="189" t="n">
        <v>44</v>
      </c>
      <c r="H3136" s="190" t="n">
        <v>4899.11975851417</v>
      </c>
      <c r="I3136" s="191" t="n">
        <v>4140245.42433907</v>
      </c>
      <c r="J3136" s="192" t="str">
        <f>IF(I3136&gt;0,H3136/I3136,0)</f>
      </c>
      <c r="K3136" s="193" t="str">
        <f>1-EXP(-J3136)</f>
      </c>
      <c r="L3136" s="194" t="str">
        <f>IF(G3136=30,1,M3135)</f>
      </c>
      <c r="M3136" s="195" t="str">
        <f>L3136*(1-K3136)</f>
      </c>
    </row>
    <row r="3137">
      <c r="A3137" t="s">
        <v>167</v>
      </c>
      <c r="B3137" t="s">
        <v>262</v>
      </c>
      <c r="C3137" s="35" t="s">
        <v>264</v>
      </c>
      <c r="D3137" t="s">
        <v>502</v>
      </c>
      <c r="E3137" t="s">
        <v>520</v>
      </c>
      <c r="F3137" s="188" t="n">
        <v>2025</v>
      </c>
      <c r="G3137" s="189" t="n">
        <v>45</v>
      </c>
      <c r="H3137" s="190" t="n">
        <v>6269.58995124239</v>
      </c>
      <c r="I3137" s="191" t="n">
        <v>4087263.42645959</v>
      </c>
      <c r="J3137" s="192" t="str">
        <f>IF(I3137&gt;0,H3137/I3137,0)</f>
      </c>
      <c r="K3137" s="193" t="str">
        <f>1-EXP(-J3137)</f>
      </c>
      <c r="L3137" s="194" t="str">
        <f>IF(G3137=30,1,M3136)</f>
      </c>
      <c r="M3137" s="195" t="str">
        <f>L3137*(1-K3137)</f>
      </c>
    </row>
    <row r="3138">
      <c r="A3138" t="s">
        <v>167</v>
      </c>
      <c r="B3138" t="s">
        <v>262</v>
      </c>
      <c r="C3138" s="35" t="s">
        <v>264</v>
      </c>
      <c r="D3138" t="s">
        <v>502</v>
      </c>
      <c r="E3138" t="s">
        <v>520</v>
      </c>
      <c r="F3138" s="188" t="n">
        <v>2025</v>
      </c>
      <c r="G3138" s="189" t="n">
        <v>46</v>
      </c>
      <c r="H3138" s="190" t="n">
        <v>6759.61099672677</v>
      </c>
      <c r="I3138" s="191" t="n">
        <v>4028051.8565677</v>
      </c>
      <c r="J3138" s="192" t="str">
        <f>IF(I3138&gt;0,H3138/I3138,0)</f>
      </c>
      <c r="K3138" s="193" t="str">
        <f>1-EXP(-J3138)</f>
      </c>
      <c r="L3138" s="194" t="str">
        <f>IF(G3138=30,1,M3137)</f>
      </c>
      <c r="M3138" s="195" t="str">
        <f>L3138*(1-K3138)</f>
      </c>
    </row>
    <row r="3139">
      <c r="A3139" t="s">
        <v>167</v>
      </c>
      <c r="B3139" t="s">
        <v>262</v>
      </c>
      <c r="C3139" s="35" t="s">
        <v>264</v>
      </c>
      <c r="D3139" t="s">
        <v>502</v>
      </c>
      <c r="E3139" t="s">
        <v>520</v>
      </c>
      <c r="F3139" s="188" t="n">
        <v>2025</v>
      </c>
      <c r="G3139" s="189" t="n">
        <v>47</v>
      </c>
      <c r="H3139" s="190" t="n">
        <v>7252.18511271875</v>
      </c>
      <c r="I3139" s="191" t="n">
        <v>3950277.12889061</v>
      </c>
      <c r="J3139" s="192" t="str">
        <f>IF(I3139&gt;0,H3139/I3139,0)</f>
      </c>
      <c r="K3139" s="193" t="str">
        <f>1-EXP(-J3139)</f>
      </c>
      <c r="L3139" s="194" t="str">
        <f>IF(G3139=30,1,M3138)</f>
      </c>
      <c r="M3139" s="195" t="str">
        <f>L3139*(1-K3139)</f>
      </c>
    </row>
    <row r="3140">
      <c r="A3140" t="s">
        <v>167</v>
      </c>
      <c r="B3140" t="s">
        <v>262</v>
      </c>
      <c r="C3140" s="35" t="s">
        <v>264</v>
      </c>
      <c r="D3140" t="s">
        <v>502</v>
      </c>
      <c r="E3140" t="s">
        <v>520</v>
      </c>
      <c r="F3140" s="188" t="n">
        <v>2025</v>
      </c>
      <c r="G3140" s="189" t="n">
        <v>48</v>
      </c>
      <c r="H3140" s="190" t="n">
        <v>7813.40832117215</v>
      </c>
      <c r="I3140" s="191" t="n">
        <v>3890339.92856643</v>
      </c>
      <c r="J3140" s="192" t="str">
        <f>IF(I3140&gt;0,H3140/I3140,0)</f>
      </c>
      <c r="K3140" s="193" t="str">
        <f>1-EXP(-J3140)</f>
      </c>
      <c r="L3140" s="194" t="str">
        <f>IF(G3140=30,1,M3139)</f>
      </c>
      <c r="M3140" s="195" t="str">
        <f>L3140*(1-K3140)</f>
      </c>
    </row>
    <row r="3141">
      <c r="A3141" t="s">
        <v>167</v>
      </c>
      <c r="B3141" t="s">
        <v>262</v>
      </c>
      <c r="C3141" s="35" t="s">
        <v>264</v>
      </c>
      <c r="D3141" t="s">
        <v>502</v>
      </c>
      <c r="E3141" t="s">
        <v>520</v>
      </c>
      <c r="F3141" s="188" t="n">
        <v>2025</v>
      </c>
      <c r="G3141" s="189" t="n">
        <v>49</v>
      </c>
      <c r="H3141" s="190" t="n">
        <v>8372.78717400612</v>
      </c>
      <c r="I3141" s="191" t="n">
        <v>3818493.26996543</v>
      </c>
      <c r="J3141" s="192" t="str">
        <f>IF(I3141&gt;0,H3141/I3141,0)</f>
      </c>
      <c r="K3141" s="193" t="str">
        <f>1-EXP(-J3141)</f>
      </c>
      <c r="L3141" s="194" t="str">
        <f>IF(G3141=30,1,M3140)</f>
      </c>
      <c r="M3141" s="195" t="str">
        <f>L3141*(1-K3141)</f>
      </c>
    </row>
    <row r="3142">
      <c r="A3142" t="s">
        <v>167</v>
      </c>
      <c r="B3142" t="s">
        <v>262</v>
      </c>
      <c r="C3142" s="35" t="s">
        <v>264</v>
      </c>
      <c r="D3142" t="s">
        <v>502</v>
      </c>
      <c r="E3142" t="s">
        <v>520</v>
      </c>
      <c r="F3142" s="188" t="n">
        <v>2025</v>
      </c>
      <c r="G3142" s="189" t="n">
        <v>50</v>
      </c>
      <c r="H3142" s="190" t="n">
        <v>9615.55870918643</v>
      </c>
      <c r="I3142" s="191" t="n">
        <v>3746208.3894556</v>
      </c>
      <c r="J3142" s="192" t="str">
        <f>IF(I3142&gt;0,H3142/I3142,0)</f>
      </c>
      <c r="K3142" s="193" t="str">
        <f>1-EXP(-J3142)</f>
      </c>
      <c r="L3142" s="194" t="str">
        <f>IF(G3142=30,1,M3141)</f>
      </c>
      <c r="M3142" s="195" t="str">
        <f>L3142*(1-K3142)</f>
      </c>
    </row>
    <row r="3143">
      <c r="A3143" t="s">
        <v>167</v>
      </c>
      <c r="B3143" t="s">
        <v>262</v>
      </c>
      <c r="C3143" s="35" t="s">
        <v>264</v>
      </c>
      <c r="D3143" t="s">
        <v>502</v>
      </c>
      <c r="E3143" t="s">
        <v>520</v>
      </c>
      <c r="F3143" s="188" t="n">
        <v>2025</v>
      </c>
      <c r="G3143" s="189" t="n">
        <v>51</v>
      </c>
      <c r="H3143" s="190" t="n">
        <v>10197.7741864065</v>
      </c>
      <c r="I3143" s="191" t="n">
        <v>3645044.21523223</v>
      </c>
      <c r="J3143" s="192" t="str">
        <f>IF(I3143&gt;0,H3143/I3143,0)</f>
      </c>
      <c r="K3143" s="193" t="str">
        <f>1-EXP(-J3143)</f>
      </c>
      <c r="L3143" s="194" t="str">
        <f>IF(G3143=30,1,M3142)</f>
      </c>
      <c r="M3143" s="195" t="str">
        <f>L3143*(1-K3143)</f>
      </c>
    </row>
    <row r="3144">
      <c r="A3144" t="s">
        <v>167</v>
      </c>
      <c r="B3144" t="s">
        <v>262</v>
      </c>
      <c r="C3144" s="35" t="s">
        <v>264</v>
      </c>
      <c r="D3144" t="s">
        <v>502</v>
      </c>
      <c r="E3144" t="s">
        <v>520</v>
      </c>
      <c r="F3144" s="188" t="n">
        <v>2025</v>
      </c>
      <c r="G3144" s="189" t="n">
        <v>52</v>
      </c>
      <c r="H3144" s="190" t="n">
        <v>10999.1856381924</v>
      </c>
      <c r="I3144" s="191" t="n">
        <v>3606935.96429087</v>
      </c>
      <c r="J3144" s="192" t="str">
        <f>IF(I3144&gt;0,H3144/I3144,0)</f>
      </c>
      <c r="K3144" s="193" t="str">
        <f>1-EXP(-J3144)</f>
      </c>
      <c r="L3144" s="194" t="str">
        <f>IF(G3144=30,1,M3143)</f>
      </c>
      <c r="M3144" s="195" t="str">
        <f>L3144*(1-K3144)</f>
      </c>
    </row>
    <row r="3145">
      <c r="A3145" t="s">
        <v>167</v>
      </c>
      <c r="B3145" t="s">
        <v>262</v>
      </c>
      <c r="C3145" s="35" t="s">
        <v>264</v>
      </c>
      <c r="D3145" t="s">
        <v>502</v>
      </c>
      <c r="E3145" t="s">
        <v>520</v>
      </c>
      <c r="F3145" s="188" t="n">
        <v>2025</v>
      </c>
      <c r="G3145" s="189" t="n">
        <v>53</v>
      </c>
      <c r="H3145" s="190" t="n">
        <v>11320.211791169</v>
      </c>
      <c r="I3145" s="191" t="n">
        <v>3400438.09374049</v>
      </c>
      <c r="J3145" s="192" t="str">
        <f>IF(I3145&gt;0,H3145/I3145,0)</f>
      </c>
      <c r="K3145" s="193" t="str">
        <f>1-EXP(-J3145)</f>
      </c>
      <c r="L3145" s="194" t="str">
        <f>IF(G3145=30,1,M3144)</f>
      </c>
      <c r="M3145" s="195" t="str">
        <f>L3145*(1-K3145)</f>
      </c>
    </row>
    <row r="3146">
      <c r="A3146" t="s">
        <v>167</v>
      </c>
      <c r="B3146" t="s">
        <v>262</v>
      </c>
      <c r="C3146" s="35" t="s">
        <v>264</v>
      </c>
      <c r="D3146" t="s">
        <v>502</v>
      </c>
      <c r="E3146" t="s">
        <v>520</v>
      </c>
      <c r="F3146" s="188" t="n">
        <v>2025</v>
      </c>
      <c r="G3146" s="189" t="n">
        <v>54</v>
      </c>
      <c r="H3146" s="190" t="n">
        <v>12058.0132264927</v>
      </c>
      <c r="I3146" s="191" t="n">
        <v>3319306.02358973</v>
      </c>
      <c r="J3146" s="192" t="str">
        <f>IF(I3146&gt;0,H3146/I3146,0)</f>
      </c>
      <c r="K3146" s="193" t="str">
        <f>1-EXP(-J3146)</f>
      </c>
      <c r="L3146" s="194" t="str">
        <f>IF(G3146=30,1,M3145)</f>
      </c>
      <c r="M3146" s="195" t="str">
        <f>L3146*(1-K3146)</f>
      </c>
    </row>
    <row r="3147">
      <c r="A3147" t="s">
        <v>167</v>
      </c>
      <c r="B3147" t="s">
        <v>262</v>
      </c>
      <c r="C3147" s="35" t="s">
        <v>264</v>
      </c>
      <c r="D3147" t="s">
        <v>502</v>
      </c>
      <c r="E3147" t="s">
        <v>520</v>
      </c>
      <c r="F3147" s="188" t="n">
        <v>2025</v>
      </c>
      <c r="G3147" s="189" t="n">
        <v>55</v>
      </c>
      <c r="H3147" s="190" t="n">
        <v>13121.8630224673</v>
      </c>
      <c r="I3147" s="191" t="n">
        <v>3243129.6175784</v>
      </c>
      <c r="J3147" s="192" t="str">
        <f>IF(I3147&gt;0,H3147/I3147,0)</f>
      </c>
      <c r="K3147" s="193" t="str">
        <f>1-EXP(-J3147)</f>
      </c>
      <c r="L3147" s="194" t="str">
        <f>IF(G3147=30,1,M3146)</f>
      </c>
      <c r="M3147" s="195" t="str">
        <f>L3147*(1-K3147)</f>
      </c>
    </row>
    <row r="3148">
      <c r="A3148" t="s">
        <v>167</v>
      </c>
      <c r="B3148" t="s">
        <v>262</v>
      </c>
      <c r="C3148" s="35" t="s">
        <v>264</v>
      </c>
      <c r="D3148" t="s">
        <v>502</v>
      </c>
      <c r="E3148" t="s">
        <v>520</v>
      </c>
      <c r="F3148" s="188" t="n">
        <v>2025</v>
      </c>
      <c r="G3148" s="189" t="n">
        <v>56</v>
      </c>
      <c r="H3148" s="190" t="n">
        <v>13949.400946191</v>
      </c>
      <c r="I3148" s="191" t="n">
        <v>3157182.63240391</v>
      </c>
      <c r="J3148" s="192" t="str">
        <f>IF(I3148&gt;0,H3148/I3148,0)</f>
      </c>
      <c r="K3148" s="193" t="str">
        <f>1-EXP(-J3148)</f>
      </c>
      <c r="L3148" s="194" t="str">
        <f>IF(G3148=30,1,M3147)</f>
      </c>
      <c r="M3148" s="195" t="str">
        <f>L3148*(1-K3148)</f>
      </c>
    </row>
    <row r="3149">
      <c r="A3149" t="s">
        <v>167</v>
      </c>
      <c r="B3149" t="s">
        <v>262</v>
      </c>
      <c r="C3149" s="35" t="s">
        <v>264</v>
      </c>
      <c r="D3149" t="s">
        <v>502</v>
      </c>
      <c r="E3149" t="s">
        <v>520</v>
      </c>
      <c r="F3149" s="188" t="n">
        <v>2025</v>
      </c>
      <c r="G3149" s="189" t="n">
        <v>57</v>
      </c>
      <c r="H3149" s="190" t="n">
        <v>14724.9347216004</v>
      </c>
      <c r="I3149" s="191" t="n">
        <v>3051443.9184786</v>
      </c>
      <c r="J3149" s="192" t="str">
        <f>IF(I3149&gt;0,H3149/I3149,0)</f>
      </c>
      <c r="K3149" s="193" t="str">
        <f>1-EXP(-J3149)</f>
      </c>
      <c r="L3149" s="194" t="str">
        <f>IF(G3149=30,1,M3148)</f>
      </c>
      <c r="M3149" s="195" t="str">
        <f>L3149*(1-K3149)</f>
      </c>
    </row>
    <row r="3150">
      <c r="A3150" t="s">
        <v>167</v>
      </c>
      <c r="B3150" t="s">
        <v>262</v>
      </c>
      <c r="C3150" s="35" t="s">
        <v>264</v>
      </c>
      <c r="D3150" t="s">
        <v>502</v>
      </c>
      <c r="E3150" t="s">
        <v>520</v>
      </c>
      <c r="F3150" s="188" t="n">
        <v>2025</v>
      </c>
      <c r="G3150" s="189" t="n">
        <v>58</v>
      </c>
      <c r="H3150" s="190" t="n">
        <v>15371.2074623555</v>
      </c>
      <c r="I3150" s="191" t="n">
        <v>2913456.20780408</v>
      </c>
      <c r="J3150" s="192" t="str">
        <f>IF(I3150&gt;0,H3150/I3150,0)</f>
      </c>
      <c r="K3150" s="193" t="str">
        <f>1-EXP(-J3150)</f>
      </c>
      <c r="L3150" s="194" t="str">
        <f>IF(G3150=30,1,M3149)</f>
      </c>
      <c r="M3150" s="195" t="str">
        <f>L3150*(1-K3150)</f>
      </c>
    </row>
    <row r="3151">
      <c r="A3151" t="s">
        <v>167</v>
      </c>
      <c r="B3151" t="s">
        <v>262</v>
      </c>
      <c r="C3151" s="35" t="s">
        <v>264</v>
      </c>
      <c r="D3151" t="s">
        <v>502</v>
      </c>
      <c r="E3151" t="s">
        <v>520</v>
      </c>
      <c r="F3151" s="188" t="n">
        <v>2025</v>
      </c>
      <c r="G3151" s="189" t="n">
        <v>59</v>
      </c>
      <c r="H3151" s="190" t="n">
        <v>16213.8109625709</v>
      </c>
      <c r="I3151" s="191" t="n">
        <v>2813535.58615437</v>
      </c>
      <c r="J3151" s="192" t="str">
        <f>IF(I3151&gt;0,H3151/I3151,0)</f>
      </c>
      <c r="K3151" s="193" t="str">
        <f>1-EXP(-J3151)</f>
      </c>
      <c r="L3151" s="194" t="str">
        <f>IF(G3151=30,1,M3150)</f>
      </c>
      <c r="M3151" s="195" t="str">
        <f>L3151*(1-K3151)</f>
      </c>
    </row>
    <row r="3152">
      <c r="A3152" t="s">
        <v>167</v>
      </c>
      <c r="B3152" t="s">
        <v>262</v>
      </c>
      <c r="C3152" s="35" t="s">
        <v>264</v>
      </c>
      <c r="D3152" t="s">
        <v>502</v>
      </c>
      <c r="E3152" t="s">
        <v>520</v>
      </c>
      <c r="F3152" s="188" t="n">
        <v>2025</v>
      </c>
      <c r="G3152" s="189" t="n">
        <v>60</v>
      </c>
      <c r="H3152" s="190" t="n">
        <v>17442.466213005</v>
      </c>
      <c r="I3152" s="191" t="n">
        <v>2691047.17153736</v>
      </c>
      <c r="J3152" s="192" t="str">
        <f>IF(I3152&gt;0,H3152/I3152,0)</f>
      </c>
      <c r="K3152" s="193" t="str">
        <f>1-EXP(-J3152)</f>
      </c>
      <c r="L3152" s="194" t="str">
        <f>IF(G3152=30,1,M3151)</f>
      </c>
      <c r="M3152" s="195" t="str">
        <f>L3152*(1-K3152)</f>
      </c>
    </row>
    <row r="3153">
      <c r="A3153" t="s">
        <v>167</v>
      </c>
      <c r="B3153" t="s">
        <v>262</v>
      </c>
      <c r="C3153" s="35" t="s">
        <v>264</v>
      </c>
      <c r="D3153" t="s">
        <v>502</v>
      </c>
      <c r="E3153" t="s">
        <v>520</v>
      </c>
      <c r="F3153" s="188" t="n">
        <v>2025</v>
      </c>
      <c r="G3153" s="189" t="n">
        <v>61</v>
      </c>
      <c r="H3153" s="190" t="n">
        <v>18185.5962140586</v>
      </c>
      <c r="I3153" s="191" t="n">
        <v>2568096.94973173</v>
      </c>
      <c r="J3153" s="192" t="str">
        <f>IF(I3153&gt;0,H3153/I3153,0)</f>
      </c>
      <c r="K3153" s="193" t="str">
        <f>1-EXP(-J3153)</f>
      </c>
      <c r="L3153" s="194" t="str">
        <f>IF(G3153=30,1,M3152)</f>
      </c>
      <c r="M3153" s="195" t="str">
        <f>L3153*(1-K3153)</f>
      </c>
    </row>
    <row r="3154">
      <c r="A3154" t="s">
        <v>167</v>
      </c>
      <c r="B3154" t="s">
        <v>262</v>
      </c>
      <c r="C3154" s="35" t="s">
        <v>264</v>
      </c>
      <c r="D3154" t="s">
        <v>502</v>
      </c>
      <c r="E3154" t="s">
        <v>520</v>
      </c>
      <c r="F3154" s="188" t="n">
        <v>2025</v>
      </c>
      <c r="G3154" s="189" t="n">
        <v>62</v>
      </c>
      <c r="H3154" s="190" t="n">
        <v>18970.1376231544</v>
      </c>
      <c r="I3154" s="191" t="n">
        <v>2450910.06582199</v>
      </c>
      <c r="J3154" s="192" t="str">
        <f>IF(I3154&gt;0,H3154/I3154,0)</f>
      </c>
      <c r="K3154" s="193" t="str">
        <f>1-EXP(-J3154)</f>
      </c>
      <c r="L3154" s="194" t="str">
        <f>IF(G3154=30,1,M3153)</f>
      </c>
      <c r="M3154" s="195" t="str">
        <f>L3154*(1-K3154)</f>
      </c>
    </row>
    <row r="3155">
      <c r="A3155" t="s">
        <v>167</v>
      </c>
      <c r="B3155" t="s">
        <v>262</v>
      </c>
      <c r="C3155" s="35" t="s">
        <v>264</v>
      </c>
      <c r="D3155" t="s">
        <v>502</v>
      </c>
      <c r="E3155" t="s">
        <v>520</v>
      </c>
      <c r="F3155" s="188" t="n">
        <v>2025</v>
      </c>
      <c r="G3155" s="189" t="n">
        <v>63</v>
      </c>
      <c r="H3155" s="190" t="n">
        <v>19616.8921947261</v>
      </c>
      <c r="I3155" s="191" t="n">
        <v>2307352.6622382</v>
      </c>
      <c r="J3155" s="192" t="str">
        <f>IF(I3155&gt;0,H3155/I3155,0)</f>
      </c>
      <c r="K3155" s="193" t="str">
        <f>1-EXP(-J3155)</f>
      </c>
      <c r="L3155" s="194" t="str">
        <f>IF(G3155=30,1,M3154)</f>
      </c>
      <c r="M3155" s="195" t="str">
        <f>L3155*(1-K3155)</f>
      </c>
    </row>
    <row r="3156">
      <c r="A3156" t="s">
        <v>167</v>
      </c>
      <c r="B3156" t="s">
        <v>262</v>
      </c>
      <c r="C3156" s="35" t="s">
        <v>264</v>
      </c>
      <c r="D3156" t="s">
        <v>502</v>
      </c>
      <c r="E3156" t="s">
        <v>520</v>
      </c>
      <c r="F3156" s="188" t="n">
        <v>2025</v>
      </c>
      <c r="G3156" s="189" t="n">
        <v>64</v>
      </c>
      <c r="H3156" s="190" t="n">
        <v>20366.5260402308</v>
      </c>
      <c r="I3156" s="191" t="n">
        <v>2189442.45160812</v>
      </c>
      <c r="J3156" s="192" t="str">
        <f>IF(I3156&gt;0,H3156/I3156,0)</f>
      </c>
      <c r="K3156" s="193" t="str">
        <f>1-EXP(-J3156)</f>
      </c>
      <c r="L3156" s="194" t="str">
        <f>IF(G3156=30,1,M3155)</f>
      </c>
      <c r="M3156" s="195" t="str">
        <f>L3156*(1-K3156)</f>
      </c>
    </row>
    <row r="3157">
      <c r="A3157" t="s">
        <v>167</v>
      </c>
      <c r="B3157" t="s">
        <v>262</v>
      </c>
      <c r="C3157" s="35" t="s">
        <v>264</v>
      </c>
      <c r="D3157" t="s">
        <v>502</v>
      </c>
      <c r="E3157" t="s">
        <v>520</v>
      </c>
      <c r="F3157" s="188" t="n">
        <v>2025</v>
      </c>
      <c r="G3157" s="189" t="n">
        <v>65</v>
      </c>
      <c r="H3157" s="190" t="n">
        <v>20564.8182811925</v>
      </c>
      <c r="I3157" s="191" t="n">
        <v>2067379.29561573</v>
      </c>
      <c r="J3157" s="192" t="str">
        <f>IF(I3157&gt;0,H3157/I3157,0)</f>
      </c>
      <c r="K3157" s="193" t="str">
        <f>1-EXP(-J3157)</f>
      </c>
      <c r="L3157" s="194" t="str">
        <f>IF(G3157=30,1,M3156)</f>
      </c>
      <c r="M3157" s="195" t="str">
        <f>L3157*(1-K3157)</f>
      </c>
    </row>
    <row r="3158">
      <c r="A3158" t="s">
        <v>167</v>
      </c>
      <c r="B3158" t="s">
        <v>262</v>
      </c>
      <c r="C3158" s="35" t="s">
        <v>264</v>
      </c>
      <c r="D3158" t="s">
        <v>502</v>
      </c>
      <c r="E3158" t="s">
        <v>520</v>
      </c>
      <c r="F3158" s="188" t="n">
        <v>2025</v>
      </c>
      <c r="G3158" s="189" t="n">
        <v>66</v>
      </c>
      <c r="H3158" s="190" t="n">
        <v>21128.4842212808</v>
      </c>
      <c r="I3158" s="191" t="n">
        <v>1938977.04767675</v>
      </c>
      <c r="J3158" s="192" t="str">
        <f>IF(I3158&gt;0,H3158/I3158,0)</f>
      </c>
      <c r="K3158" s="193" t="str">
        <f>1-EXP(-J3158)</f>
      </c>
      <c r="L3158" s="194" t="str">
        <f>IF(G3158=30,1,M3157)</f>
      </c>
      <c r="M3158" s="195" t="str">
        <f>L3158*(1-K3158)</f>
      </c>
    </row>
    <row r="3159">
      <c r="A3159" t="s">
        <v>167</v>
      </c>
      <c r="B3159" t="s">
        <v>262</v>
      </c>
      <c r="C3159" s="35" t="s">
        <v>264</v>
      </c>
      <c r="D3159" t="s">
        <v>502</v>
      </c>
      <c r="E3159" t="s">
        <v>520</v>
      </c>
      <c r="F3159" s="188" t="n">
        <v>2025</v>
      </c>
      <c r="G3159" s="189" t="n">
        <v>67</v>
      </c>
      <c r="H3159" s="190" t="n">
        <v>21650.1531142985</v>
      </c>
      <c r="I3159" s="191" t="n">
        <v>1812804.58670767</v>
      </c>
      <c r="J3159" s="192" t="str">
        <f>IF(I3159&gt;0,H3159/I3159,0)</f>
      </c>
      <c r="K3159" s="193" t="str">
        <f>1-EXP(-J3159)</f>
      </c>
      <c r="L3159" s="194" t="str">
        <f>IF(G3159=30,1,M3158)</f>
      </c>
      <c r="M3159" s="195" t="str">
        <f>L3159*(1-K3159)</f>
      </c>
    </row>
    <row r="3160">
      <c r="A3160" t="s">
        <v>167</v>
      </c>
      <c r="B3160" t="s">
        <v>262</v>
      </c>
      <c r="C3160" s="35" t="s">
        <v>264</v>
      </c>
      <c r="D3160" t="s">
        <v>502</v>
      </c>
      <c r="E3160" t="s">
        <v>520</v>
      </c>
      <c r="F3160" s="188" t="n">
        <v>2025</v>
      </c>
      <c r="G3160" s="189" t="n">
        <v>68</v>
      </c>
      <c r="H3160" s="190" t="n">
        <v>22443.5912394105</v>
      </c>
      <c r="I3160" s="191" t="n">
        <v>1708817.0374287</v>
      </c>
      <c r="J3160" s="192" t="str">
        <f>IF(I3160&gt;0,H3160/I3160,0)</f>
      </c>
      <c r="K3160" s="193" t="str">
        <f>1-EXP(-J3160)</f>
      </c>
      <c r="L3160" s="194" t="str">
        <f>IF(G3160=30,1,M3159)</f>
      </c>
      <c r="M3160" s="195" t="str">
        <f>L3160*(1-K3160)</f>
      </c>
    </row>
    <row r="3161">
      <c r="A3161" t="s">
        <v>167</v>
      </c>
      <c r="B3161" t="s">
        <v>262</v>
      </c>
      <c r="C3161" s="35" t="s">
        <v>264</v>
      </c>
      <c r="D3161" t="s">
        <v>502</v>
      </c>
      <c r="E3161" t="s">
        <v>520</v>
      </c>
      <c r="F3161" s="188" t="n">
        <v>2025</v>
      </c>
      <c r="G3161" s="189" t="n">
        <v>69</v>
      </c>
      <c r="H3161" s="190" t="n">
        <v>22887.5139092692</v>
      </c>
      <c r="I3161" s="191" t="n">
        <v>1588246.5017458</v>
      </c>
      <c r="J3161" s="192" t="str">
        <f>IF(I3161&gt;0,H3161/I3161,0)</f>
      </c>
      <c r="K3161" s="193" t="str">
        <f>1-EXP(-J3161)</f>
      </c>
      <c r="L3161" s="194" t="str">
        <f>IF(G3161=30,1,M3160)</f>
      </c>
      <c r="M3161" s="195" t="str">
        <f>L3161*(1-K3161)</f>
      </c>
    </row>
    <row r="3162">
      <c r="A3162" t="s">
        <v>167</v>
      </c>
      <c r="B3162" t="s">
        <v>262</v>
      </c>
      <c r="C3162" s="35" t="s">
        <v>264</v>
      </c>
      <c r="D3162" t="s">
        <v>502</v>
      </c>
      <c r="E3162" t="s">
        <v>520</v>
      </c>
      <c r="F3162" s="188" t="n">
        <v>2026</v>
      </c>
      <c r="G3162" s="189" t="n">
        <v>30</v>
      </c>
      <c r="H3162" s="190" t="n">
        <v>1294.41848405706</v>
      </c>
      <c r="I3162" s="191" t="n">
        <v>4533066.05431128</v>
      </c>
      <c r="J3162" s="192" t="str">
        <f>IF(I3162&gt;0,H3162/I3162,0)</f>
      </c>
      <c r="K3162" s="193" t="str">
        <f>1-EXP(-J3162)</f>
      </c>
      <c r="L3162" s="194" t="str">
        <f>IF(G3162=30,1,M3161)</f>
      </c>
      <c r="M3162" s="195" t="str">
        <f>L3162*(1-K3162)</f>
      </c>
    </row>
    <row r="3163">
      <c r="A3163" t="s">
        <v>167</v>
      </c>
      <c r="B3163" t="s">
        <v>262</v>
      </c>
      <c r="C3163" s="35" t="s">
        <v>264</v>
      </c>
      <c r="D3163" t="s">
        <v>502</v>
      </c>
      <c r="E3163" t="s">
        <v>520</v>
      </c>
      <c r="F3163" s="188" t="n">
        <v>2026</v>
      </c>
      <c r="G3163" s="189" t="n">
        <v>31</v>
      </c>
      <c r="H3163" s="190" t="n">
        <v>1323.61042402455</v>
      </c>
      <c r="I3163" s="191" t="n">
        <v>4460323.13013529</v>
      </c>
      <c r="J3163" s="192" t="str">
        <f>IF(I3163&gt;0,H3163/I3163,0)</f>
      </c>
      <c r="K3163" s="193" t="str">
        <f>1-EXP(-J3163)</f>
      </c>
      <c r="L3163" s="194" t="str">
        <f>IF(G3163=30,1,M3162)</f>
      </c>
      <c r="M3163" s="195" t="str">
        <f>L3163*(1-K3163)</f>
      </c>
    </row>
    <row r="3164">
      <c r="A3164" t="s">
        <v>167</v>
      </c>
      <c r="B3164" t="s">
        <v>262</v>
      </c>
      <c r="C3164" s="35" t="s">
        <v>264</v>
      </c>
      <c r="D3164" t="s">
        <v>502</v>
      </c>
      <c r="E3164" t="s">
        <v>520</v>
      </c>
      <c r="F3164" s="188" t="n">
        <v>2026</v>
      </c>
      <c r="G3164" s="189" t="n">
        <v>32</v>
      </c>
      <c r="H3164" s="190" t="n">
        <v>1366.23933221377</v>
      </c>
      <c r="I3164" s="191" t="n">
        <v>4404105.59550118</v>
      </c>
      <c r="J3164" s="192" t="str">
        <f>IF(I3164&gt;0,H3164/I3164,0)</f>
      </c>
      <c r="K3164" s="193" t="str">
        <f>1-EXP(-J3164)</f>
      </c>
      <c r="L3164" s="194" t="str">
        <f>IF(G3164=30,1,M3163)</f>
      </c>
      <c r="M3164" s="195" t="str">
        <f>L3164*(1-K3164)</f>
      </c>
    </row>
    <row r="3165">
      <c r="A3165" t="s">
        <v>167</v>
      </c>
      <c r="B3165" t="s">
        <v>262</v>
      </c>
      <c r="C3165" s="35" t="s">
        <v>264</v>
      </c>
      <c r="D3165" t="s">
        <v>502</v>
      </c>
      <c r="E3165" t="s">
        <v>520</v>
      </c>
      <c r="F3165" s="188" t="n">
        <v>2026</v>
      </c>
      <c r="G3165" s="189" t="n">
        <v>33</v>
      </c>
      <c r="H3165" s="190" t="n">
        <v>1420.63397359257</v>
      </c>
      <c r="I3165" s="191" t="n">
        <v>4351714.92353231</v>
      </c>
      <c r="J3165" s="192" t="str">
        <f>IF(I3165&gt;0,H3165/I3165,0)</f>
      </c>
      <c r="K3165" s="193" t="str">
        <f>1-EXP(-J3165)</f>
      </c>
      <c r="L3165" s="194" t="str">
        <f>IF(G3165=30,1,M3164)</f>
      </c>
      <c r="M3165" s="195" t="str">
        <f>L3165*(1-K3165)</f>
      </c>
    </row>
    <row r="3166">
      <c r="A3166" t="s">
        <v>167</v>
      </c>
      <c r="B3166" t="s">
        <v>262</v>
      </c>
      <c r="C3166" s="35" t="s">
        <v>264</v>
      </c>
      <c r="D3166" t="s">
        <v>502</v>
      </c>
      <c r="E3166" t="s">
        <v>520</v>
      </c>
      <c r="F3166" s="188" t="n">
        <v>2026</v>
      </c>
      <c r="G3166" s="189" t="n">
        <v>34</v>
      </c>
      <c r="H3166" s="190" t="n">
        <v>1517.48931509262</v>
      </c>
      <c r="I3166" s="191" t="n">
        <v>4391577.80533736</v>
      </c>
      <c r="J3166" s="192" t="str">
        <f>IF(I3166&gt;0,H3166/I3166,0)</f>
      </c>
      <c r="K3166" s="193" t="str">
        <f>1-EXP(-J3166)</f>
      </c>
      <c r="L3166" s="194" t="str">
        <f>IF(G3166=30,1,M3165)</f>
      </c>
      <c r="M3166" s="195" t="str">
        <f>L3166*(1-K3166)</f>
      </c>
    </row>
    <row r="3167">
      <c r="A3167" t="s">
        <v>167</v>
      </c>
      <c r="B3167" t="s">
        <v>262</v>
      </c>
      <c r="C3167" s="35" t="s">
        <v>264</v>
      </c>
      <c r="D3167" t="s">
        <v>502</v>
      </c>
      <c r="E3167" t="s">
        <v>520</v>
      </c>
      <c r="F3167" s="188" t="n">
        <v>2026</v>
      </c>
      <c r="G3167" s="189" t="n">
        <v>35</v>
      </c>
      <c r="H3167" s="190" t="n">
        <v>2105.89881229641</v>
      </c>
      <c r="I3167" s="191" t="n">
        <v>4411881.63741314</v>
      </c>
      <c r="J3167" s="192" t="str">
        <f>IF(I3167&gt;0,H3167/I3167,0)</f>
      </c>
      <c r="K3167" s="193" t="str">
        <f>1-EXP(-J3167)</f>
      </c>
      <c r="L3167" s="194" t="str">
        <f>IF(G3167=30,1,M3166)</f>
      </c>
      <c r="M3167" s="195" t="str">
        <f>L3167*(1-K3167)</f>
      </c>
    </row>
    <row r="3168">
      <c r="A3168" t="s">
        <v>167</v>
      </c>
      <c r="B3168" t="s">
        <v>262</v>
      </c>
      <c r="C3168" s="35" t="s">
        <v>264</v>
      </c>
      <c r="D3168" t="s">
        <v>502</v>
      </c>
      <c r="E3168" t="s">
        <v>520</v>
      </c>
      <c r="F3168" s="188" t="n">
        <v>2026</v>
      </c>
      <c r="G3168" s="189" t="n">
        <v>36</v>
      </c>
      <c r="H3168" s="190" t="n">
        <v>3187.04844489145</v>
      </c>
      <c r="I3168" s="191" t="n">
        <v>6497474.08312581</v>
      </c>
      <c r="J3168" s="192" t="str">
        <f>IF(I3168&gt;0,H3168/I3168,0)</f>
      </c>
      <c r="K3168" s="193" t="str">
        <f>1-EXP(-J3168)</f>
      </c>
      <c r="L3168" s="194" t="str">
        <f>IF(G3168=30,1,M3167)</f>
      </c>
      <c r="M3168" s="195" t="str">
        <f>L3168*(1-K3168)</f>
      </c>
    </row>
    <row r="3169">
      <c r="A3169" t="s">
        <v>167</v>
      </c>
      <c r="B3169" t="s">
        <v>262</v>
      </c>
      <c r="C3169" s="35" t="s">
        <v>264</v>
      </c>
      <c r="D3169" t="s">
        <v>502</v>
      </c>
      <c r="E3169" t="s">
        <v>520</v>
      </c>
      <c r="F3169" s="188" t="n">
        <v>2026</v>
      </c>
      <c r="G3169" s="189" t="n">
        <v>37</v>
      </c>
      <c r="H3169" s="190" t="n">
        <v>2389.4794808243</v>
      </c>
      <c r="I3169" s="191" t="n">
        <v>4374564.95231593</v>
      </c>
      <c r="J3169" s="192" t="str">
        <f>IF(I3169&gt;0,H3169/I3169,0)</f>
      </c>
      <c r="K3169" s="193" t="str">
        <f>1-EXP(-J3169)</f>
      </c>
      <c r="L3169" s="194" t="str">
        <f>IF(G3169=30,1,M3168)</f>
      </c>
      <c r="M3169" s="195" t="str">
        <f>L3169*(1-K3169)</f>
      </c>
    </row>
    <row r="3170">
      <c r="A3170" t="s">
        <v>167</v>
      </c>
      <c r="B3170" t="s">
        <v>262</v>
      </c>
      <c r="C3170" s="35" t="s">
        <v>264</v>
      </c>
      <c r="D3170" t="s">
        <v>502</v>
      </c>
      <c r="E3170" t="s">
        <v>520</v>
      </c>
      <c r="F3170" s="188" t="n">
        <v>2026</v>
      </c>
      <c r="G3170" s="189" t="n">
        <v>38</v>
      </c>
      <c r="H3170" s="190" t="n">
        <v>2555.10070922709</v>
      </c>
      <c r="I3170" s="191" t="n">
        <v>4360550.03715021</v>
      </c>
      <c r="J3170" s="192" t="str">
        <f>IF(I3170&gt;0,H3170/I3170,0)</f>
      </c>
      <c r="K3170" s="193" t="str">
        <f>1-EXP(-J3170)</f>
      </c>
      <c r="L3170" s="194" t="str">
        <f>IF(G3170=30,1,M3169)</f>
      </c>
      <c r="M3170" s="195" t="str">
        <f>L3170*(1-K3170)</f>
      </c>
    </row>
    <row r="3171">
      <c r="A3171" t="s">
        <v>167</v>
      </c>
      <c r="B3171" t="s">
        <v>262</v>
      </c>
      <c r="C3171" s="35" t="s">
        <v>264</v>
      </c>
      <c r="D3171" t="s">
        <v>502</v>
      </c>
      <c r="E3171" t="s">
        <v>520</v>
      </c>
      <c r="F3171" s="188" t="n">
        <v>2026</v>
      </c>
      <c r="G3171" s="189" t="n">
        <v>39</v>
      </c>
      <c r="H3171" s="190" t="n">
        <v>2662.87959946601</v>
      </c>
      <c r="I3171" s="191" t="n">
        <v>4230055.14654035</v>
      </c>
      <c r="J3171" s="192" t="str">
        <f>IF(I3171&gt;0,H3171/I3171,0)</f>
      </c>
      <c r="K3171" s="193" t="str">
        <f>1-EXP(-J3171)</f>
      </c>
      <c r="L3171" s="194" t="str">
        <f>IF(G3171=30,1,M3170)</f>
      </c>
      <c r="M3171" s="195" t="str">
        <f>L3171*(1-K3171)</f>
      </c>
    </row>
    <row r="3172">
      <c r="A3172" t="s">
        <v>167</v>
      </c>
      <c r="B3172" t="s">
        <v>262</v>
      </c>
      <c r="C3172" s="35" t="s">
        <v>264</v>
      </c>
      <c r="D3172" t="s">
        <v>502</v>
      </c>
      <c r="E3172" t="s">
        <v>520</v>
      </c>
      <c r="F3172" s="188" t="n">
        <v>2026</v>
      </c>
      <c r="G3172" s="189" t="n">
        <v>40</v>
      </c>
      <c r="H3172" s="190" t="n">
        <v>3564.49500815283</v>
      </c>
      <c r="I3172" s="191" t="n">
        <v>4198447.80357072</v>
      </c>
      <c r="J3172" s="192" t="str">
        <f>IF(I3172&gt;0,H3172/I3172,0)</f>
      </c>
      <c r="K3172" s="193" t="str">
        <f>1-EXP(-J3172)</f>
      </c>
      <c r="L3172" s="194" t="str">
        <f>IF(G3172=30,1,M3171)</f>
      </c>
      <c r="M3172" s="195" t="str">
        <f>L3172*(1-K3172)</f>
      </c>
    </row>
    <row r="3173">
      <c r="A3173" t="s">
        <v>167</v>
      </c>
      <c r="B3173" t="s">
        <v>262</v>
      </c>
      <c r="C3173" s="35" t="s">
        <v>264</v>
      </c>
      <c r="D3173" t="s">
        <v>502</v>
      </c>
      <c r="E3173" t="s">
        <v>520</v>
      </c>
      <c r="F3173" s="188" t="n">
        <v>2026</v>
      </c>
      <c r="G3173" s="189" t="n">
        <v>41</v>
      </c>
      <c r="H3173" s="190" t="n">
        <v>3905.40110501509</v>
      </c>
      <c r="I3173" s="191" t="n">
        <v>4261037.22561078</v>
      </c>
      <c r="J3173" s="192" t="str">
        <f>IF(I3173&gt;0,H3173/I3173,0)</f>
      </c>
      <c r="K3173" s="193" t="str">
        <f>1-EXP(-J3173)</f>
      </c>
      <c r="L3173" s="194" t="str">
        <f>IF(G3173=30,1,M3172)</f>
      </c>
      <c r="M3173" s="195" t="str">
        <f>L3173*(1-K3173)</f>
      </c>
    </row>
    <row r="3174">
      <c r="A3174" t="s">
        <v>167</v>
      </c>
      <c r="B3174" t="s">
        <v>262</v>
      </c>
      <c r="C3174" s="35" t="s">
        <v>264</v>
      </c>
      <c r="D3174" t="s">
        <v>502</v>
      </c>
      <c r="E3174" t="s">
        <v>520</v>
      </c>
      <c r="F3174" s="188" t="n">
        <v>2026</v>
      </c>
      <c r="G3174" s="189" t="n">
        <v>42</v>
      </c>
      <c r="H3174" s="190" t="n">
        <v>4316.58214012016</v>
      </c>
      <c r="I3174" s="191" t="n">
        <v>4350355.93271131</v>
      </c>
      <c r="J3174" s="192" t="str">
        <f>IF(I3174&gt;0,H3174/I3174,0)</f>
      </c>
      <c r="K3174" s="193" t="str">
        <f>1-EXP(-J3174)</f>
      </c>
      <c r="L3174" s="194" t="str">
        <f>IF(G3174=30,1,M3173)</f>
      </c>
      <c r="M3174" s="195" t="str">
        <f>L3174*(1-K3174)</f>
      </c>
    </row>
    <row r="3175">
      <c r="A3175" t="s">
        <v>167</v>
      </c>
      <c r="B3175" t="s">
        <v>262</v>
      </c>
      <c r="C3175" s="35" t="s">
        <v>264</v>
      </c>
      <c r="D3175" t="s">
        <v>502</v>
      </c>
      <c r="E3175" t="s">
        <v>520</v>
      </c>
      <c r="F3175" s="188" t="n">
        <v>2026</v>
      </c>
      <c r="G3175" s="189" t="n">
        <v>43</v>
      </c>
      <c r="H3175" s="190" t="n">
        <v>4668.42911160302</v>
      </c>
      <c r="I3175" s="191" t="n">
        <v>4329966.95829214</v>
      </c>
      <c r="J3175" s="192" t="str">
        <f>IF(I3175&gt;0,H3175/I3175,0)</f>
      </c>
      <c r="K3175" s="193" t="str">
        <f>1-EXP(-J3175)</f>
      </c>
      <c r="L3175" s="194" t="str">
        <f>IF(G3175=30,1,M3174)</f>
      </c>
      <c r="M3175" s="195" t="str">
        <f>L3175*(1-K3175)</f>
      </c>
    </row>
    <row r="3176">
      <c r="A3176" t="s">
        <v>167</v>
      </c>
      <c r="B3176" t="s">
        <v>262</v>
      </c>
      <c r="C3176" s="35" t="s">
        <v>264</v>
      </c>
      <c r="D3176" t="s">
        <v>502</v>
      </c>
      <c r="E3176" t="s">
        <v>520</v>
      </c>
      <c r="F3176" s="188" t="n">
        <v>2026</v>
      </c>
      <c r="G3176" s="189" t="n">
        <v>44</v>
      </c>
      <c r="H3176" s="190" t="n">
        <v>4934.55911621019</v>
      </c>
      <c r="I3176" s="191" t="n">
        <v>4196064.82449968</v>
      </c>
      <c r="J3176" s="192" t="str">
        <f>IF(I3176&gt;0,H3176/I3176,0)</f>
      </c>
      <c r="K3176" s="193" t="str">
        <f>1-EXP(-J3176)</f>
      </c>
      <c r="L3176" s="194" t="str">
        <f>IF(G3176=30,1,M3175)</f>
      </c>
      <c r="M3176" s="195" t="str">
        <f>L3176*(1-K3176)</f>
      </c>
    </row>
    <row r="3177">
      <c r="A3177" t="s">
        <v>167</v>
      </c>
      <c r="B3177" t="s">
        <v>262</v>
      </c>
      <c r="C3177" s="35" t="s">
        <v>264</v>
      </c>
      <c r="D3177" t="s">
        <v>502</v>
      </c>
      <c r="E3177" t="s">
        <v>520</v>
      </c>
      <c r="F3177" s="188" t="n">
        <v>2026</v>
      </c>
      <c r="G3177" s="189" t="n">
        <v>45</v>
      </c>
      <c r="H3177" s="190" t="n">
        <v>6286.37934532158</v>
      </c>
      <c r="I3177" s="191" t="n">
        <v>4125591.44550924</v>
      </c>
      <c r="J3177" s="192" t="str">
        <f>IF(I3177&gt;0,H3177/I3177,0)</f>
      </c>
      <c r="K3177" s="193" t="str">
        <f>1-EXP(-J3177)</f>
      </c>
      <c r="L3177" s="194" t="str">
        <f>IF(G3177=30,1,M3176)</f>
      </c>
      <c r="M3177" s="195" t="str">
        <f>L3177*(1-K3177)</f>
      </c>
    </row>
    <row r="3178">
      <c r="A3178" t="s">
        <v>167</v>
      </c>
      <c r="B3178" t="s">
        <v>262</v>
      </c>
      <c r="C3178" s="35" t="s">
        <v>264</v>
      </c>
      <c r="D3178" t="s">
        <v>502</v>
      </c>
      <c r="E3178" t="s">
        <v>520</v>
      </c>
      <c r="F3178" s="188" t="n">
        <v>2026</v>
      </c>
      <c r="G3178" s="189" t="n">
        <v>46</v>
      </c>
      <c r="H3178" s="190" t="n">
        <v>6786.78204410637</v>
      </c>
      <c r="I3178" s="191" t="n">
        <v>4070423.79660791</v>
      </c>
      <c r="J3178" s="192" t="str">
        <f>IF(I3178&gt;0,H3178/I3178,0)</f>
      </c>
      <c r="K3178" s="193" t="str">
        <f>1-EXP(-J3178)</f>
      </c>
      <c r="L3178" s="194" t="str">
        <f>IF(G3178=30,1,M3177)</f>
      </c>
      <c r="M3178" s="195" t="str">
        <f>L3178*(1-K3178)</f>
      </c>
    </row>
    <row r="3179">
      <c r="A3179" t="s">
        <v>167</v>
      </c>
      <c r="B3179" t="s">
        <v>262</v>
      </c>
      <c r="C3179" s="35" t="s">
        <v>264</v>
      </c>
      <c r="D3179" t="s">
        <v>502</v>
      </c>
      <c r="E3179" t="s">
        <v>520</v>
      </c>
      <c r="F3179" s="188" t="n">
        <v>2026</v>
      </c>
      <c r="G3179" s="189" t="n">
        <v>47</v>
      </c>
      <c r="H3179" s="190" t="n">
        <v>7318.61677326894</v>
      </c>
      <c r="I3179" s="191" t="n">
        <v>4010952.63156028</v>
      </c>
      <c r="J3179" s="192" t="str">
        <f>IF(I3179&gt;0,H3179/I3179,0)</f>
      </c>
      <c r="K3179" s="193" t="str">
        <f>1-EXP(-J3179)</f>
      </c>
      <c r="L3179" s="194" t="str">
        <f>IF(G3179=30,1,M3178)</f>
      </c>
      <c r="M3179" s="195" t="str">
        <f>L3179*(1-K3179)</f>
      </c>
    </row>
    <row r="3180">
      <c r="A3180" t="s">
        <v>167</v>
      </c>
      <c r="B3180" t="s">
        <v>262</v>
      </c>
      <c r="C3180" s="35" t="s">
        <v>264</v>
      </c>
      <c r="D3180" t="s">
        <v>502</v>
      </c>
      <c r="E3180" t="s">
        <v>520</v>
      </c>
      <c r="F3180" s="188" t="n">
        <v>2026</v>
      </c>
      <c r="G3180" s="189" t="n">
        <v>48</v>
      </c>
      <c r="H3180" s="190" t="n">
        <v>7846.16406545389</v>
      </c>
      <c r="I3180" s="191" t="n">
        <v>3931934.3335516</v>
      </c>
      <c r="J3180" s="192" t="str">
        <f>IF(I3180&gt;0,H3180/I3180,0)</f>
      </c>
      <c r="K3180" s="193" t="str">
        <f>1-EXP(-J3180)</f>
      </c>
      <c r="L3180" s="194" t="str">
        <f>IF(G3180=30,1,M3179)</f>
      </c>
      <c r="M3180" s="195" t="str">
        <f>L3180*(1-K3180)</f>
      </c>
    </row>
    <row r="3181">
      <c r="A3181" t="s">
        <v>167</v>
      </c>
      <c r="B3181" t="s">
        <v>262</v>
      </c>
      <c r="C3181" s="35" t="s">
        <v>264</v>
      </c>
      <c r="D3181" t="s">
        <v>502</v>
      </c>
      <c r="E3181" t="s">
        <v>520</v>
      </c>
      <c r="F3181" s="188" t="n">
        <v>2026</v>
      </c>
      <c r="G3181" s="189" t="n">
        <v>49</v>
      </c>
      <c r="H3181" s="190" t="n">
        <v>8445.13801066813</v>
      </c>
      <c r="I3181" s="191" t="n">
        <v>3870575.54514656</v>
      </c>
      <c r="J3181" s="192" t="str">
        <f>IF(I3181&gt;0,H3181/I3181,0)</f>
      </c>
      <c r="K3181" s="193" t="str">
        <f>1-EXP(-J3181)</f>
      </c>
      <c r="L3181" s="194" t="str">
        <f>IF(G3181=30,1,M3180)</f>
      </c>
      <c r="M3181" s="195" t="str">
        <f>L3181*(1-K3181)</f>
      </c>
    </row>
    <row r="3182">
      <c r="A3182" t="s">
        <v>167</v>
      </c>
      <c r="B3182" t="s">
        <v>262</v>
      </c>
      <c r="C3182" s="35" t="s">
        <v>264</v>
      </c>
      <c r="D3182" t="s">
        <v>502</v>
      </c>
      <c r="E3182" t="s">
        <v>520</v>
      </c>
      <c r="F3182" s="188" t="n">
        <v>2026</v>
      </c>
      <c r="G3182" s="189" t="n">
        <v>50</v>
      </c>
      <c r="H3182" s="190" t="n">
        <v>9687.83020796105</v>
      </c>
      <c r="I3182" s="191" t="n">
        <v>3797304.37229286</v>
      </c>
      <c r="J3182" s="192" t="str">
        <f>IF(I3182&gt;0,H3182/I3182,0)</f>
      </c>
      <c r="K3182" s="193" t="str">
        <f>1-EXP(-J3182)</f>
      </c>
      <c r="L3182" s="194" t="str">
        <f>IF(G3182=30,1,M3181)</f>
      </c>
      <c r="M3182" s="195" t="str">
        <f>L3182*(1-K3182)</f>
      </c>
    </row>
    <row r="3183">
      <c r="A3183" t="s">
        <v>167</v>
      </c>
      <c r="B3183" t="s">
        <v>262</v>
      </c>
      <c r="C3183" s="35" t="s">
        <v>264</v>
      </c>
      <c r="D3183" t="s">
        <v>502</v>
      </c>
      <c r="E3183" t="s">
        <v>520</v>
      </c>
      <c r="F3183" s="188" t="n">
        <v>2026</v>
      </c>
      <c r="G3183" s="189" t="n">
        <v>51</v>
      </c>
      <c r="H3183" s="190" t="n">
        <v>10360.5675385748</v>
      </c>
      <c r="I3183" s="191" t="n">
        <v>3722619.16466465</v>
      </c>
      <c r="J3183" s="192" t="str">
        <f>IF(I3183&gt;0,H3183/I3183,0)</f>
      </c>
      <c r="K3183" s="193" t="str">
        <f>1-EXP(-J3183)</f>
      </c>
      <c r="L3183" s="194" t="str">
        <f>IF(G3183=30,1,M3182)</f>
      </c>
      <c r="M3183" s="195" t="str">
        <f>L3183*(1-K3183)</f>
      </c>
    </row>
    <row r="3184">
      <c r="A3184" t="s">
        <v>167</v>
      </c>
      <c r="B3184" t="s">
        <v>262</v>
      </c>
      <c r="C3184" s="35" t="s">
        <v>264</v>
      </c>
      <c r="D3184" t="s">
        <v>502</v>
      </c>
      <c r="E3184" t="s">
        <v>520</v>
      </c>
      <c r="F3184" s="188" t="n">
        <v>2026</v>
      </c>
      <c r="G3184" s="189" t="n">
        <v>52</v>
      </c>
      <c r="H3184" s="190" t="n">
        <v>10988.8917630538</v>
      </c>
      <c r="I3184" s="191" t="n">
        <v>3620908.90429281</v>
      </c>
      <c r="J3184" s="192" t="str">
        <f>IF(I3184&gt;0,H3184/I3184,0)</f>
      </c>
      <c r="K3184" s="193" t="str">
        <f>1-EXP(-J3184)</f>
      </c>
      <c r="L3184" s="194" t="str">
        <f>IF(G3184=30,1,M3183)</f>
      </c>
      <c r="M3184" s="195" t="str">
        <f>L3184*(1-K3184)</f>
      </c>
    </row>
    <row r="3185">
      <c r="A3185" t="s">
        <v>167</v>
      </c>
      <c r="B3185" t="s">
        <v>262</v>
      </c>
      <c r="C3185" s="35" t="s">
        <v>264</v>
      </c>
      <c r="D3185" t="s">
        <v>502</v>
      </c>
      <c r="E3185" t="s">
        <v>520</v>
      </c>
      <c r="F3185" s="188" t="n">
        <v>2026</v>
      </c>
      <c r="G3185" s="189" t="n">
        <v>53</v>
      </c>
      <c r="H3185" s="190" t="n">
        <v>11853.8772357392</v>
      </c>
      <c r="I3185" s="191" t="n">
        <v>3580910.06551612</v>
      </c>
      <c r="J3185" s="192" t="str">
        <f>IF(I3185&gt;0,H3185/I3185,0)</f>
      </c>
      <c r="K3185" s="193" t="str">
        <f>1-EXP(-J3185)</f>
      </c>
      <c r="L3185" s="194" t="str">
        <f>IF(G3185=30,1,M3184)</f>
      </c>
      <c r="M3185" s="195" t="str">
        <f>L3185*(1-K3185)</f>
      </c>
    </row>
    <row r="3186">
      <c r="A3186" t="s">
        <v>167</v>
      </c>
      <c r="B3186" t="s">
        <v>262</v>
      </c>
      <c r="C3186" s="35" t="s">
        <v>264</v>
      </c>
      <c r="D3186" t="s">
        <v>502</v>
      </c>
      <c r="E3186" t="s">
        <v>520</v>
      </c>
      <c r="F3186" s="188" t="n">
        <v>2026</v>
      </c>
      <c r="G3186" s="189" t="n">
        <v>54</v>
      </c>
      <c r="H3186" s="190" t="n">
        <v>12201.7656919771</v>
      </c>
      <c r="I3186" s="191" t="n">
        <v>3373668.63498524</v>
      </c>
      <c r="J3186" s="192" t="str">
        <f>IF(I3186&gt;0,H3186/I3186,0)</f>
      </c>
      <c r="K3186" s="193" t="str">
        <f>1-EXP(-J3186)</f>
      </c>
      <c r="L3186" s="194" t="str">
        <f>IF(G3186=30,1,M3185)</f>
      </c>
      <c r="M3186" s="195" t="str">
        <f>L3186*(1-K3186)</f>
      </c>
    </row>
    <row r="3187">
      <c r="A3187" t="s">
        <v>167</v>
      </c>
      <c r="B3187" t="s">
        <v>262</v>
      </c>
      <c r="C3187" s="35" t="s">
        <v>264</v>
      </c>
      <c r="D3187" t="s">
        <v>502</v>
      </c>
      <c r="E3187" t="s">
        <v>520</v>
      </c>
      <c r="F3187" s="188" t="n">
        <v>2026</v>
      </c>
      <c r="G3187" s="189" t="n">
        <v>55</v>
      </c>
      <c r="H3187" s="190" t="n">
        <v>13229.8244615652</v>
      </c>
      <c r="I3187" s="191" t="n">
        <v>3290805.96393673</v>
      </c>
      <c r="J3187" s="192" t="str">
        <f>IF(I3187&gt;0,H3187/I3187,0)</f>
      </c>
      <c r="K3187" s="193" t="str">
        <f>1-EXP(-J3187)</f>
      </c>
      <c r="L3187" s="194" t="str">
        <f>IF(G3187=30,1,M3186)</f>
      </c>
      <c r="M3187" s="195" t="str">
        <f>L3187*(1-K3187)</f>
      </c>
    </row>
    <row r="3188">
      <c r="A3188" t="s">
        <v>167</v>
      </c>
      <c r="B3188" t="s">
        <v>262</v>
      </c>
      <c r="C3188" s="35" t="s">
        <v>264</v>
      </c>
      <c r="D3188" t="s">
        <v>502</v>
      </c>
      <c r="E3188" t="s">
        <v>520</v>
      </c>
      <c r="F3188" s="188" t="n">
        <v>2026</v>
      </c>
      <c r="G3188" s="189" t="n">
        <v>56</v>
      </c>
      <c r="H3188" s="190" t="n">
        <v>14102.6904523718</v>
      </c>
      <c r="I3188" s="191" t="n">
        <v>3212214.28114487</v>
      </c>
      <c r="J3188" s="192" t="str">
        <f>IF(I3188&gt;0,H3188/I3188,0)</f>
      </c>
      <c r="K3188" s="193" t="str">
        <f>1-EXP(-J3188)</f>
      </c>
      <c r="L3188" s="194" t="str">
        <f>IF(G3188=30,1,M3187)</f>
      </c>
      <c r="M3188" s="195" t="str">
        <f>L3188*(1-K3188)</f>
      </c>
    </row>
    <row r="3189">
      <c r="A3189" t="s">
        <v>167</v>
      </c>
      <c r="B3189" t="s">
        <v>262</v>
      </c>
      <c r="C3189" s="35" t="s">
        <v>264</v>
      </c>
      <c r="D3189" t="s">
        <v>502</v>
      </c>
      <c r="E3189" t="s">
        <v>520</v>
      </c>
      <c r="F3189" s="188" t="n">
        <v>2026</v>
      </c>
      <c r="G3189" s="189" t="n">
        <v>57</v>
      </c>
      <c r="H3189" s="190" t="n">
        <v>14984.5215339186</v>
      </c>
      <c r="I3189" s="191" t="n">
        <v>3124836.70281465</v>
      </c>
      <c r="J3189" s="192" t="str">
        <f>IF(I3189&gt;0,H3189/I3189,0)</f>
      </c>
      <c r="K3189" s="193" t="str">
        <f>1-EXP(-J3189)</f>
      </c>
      <c r="L3189" s="194" t="str">
        <f>IF(G3189=30,1,M3188)</f>
      </c>
      <c r="M3189" s="195" t="str">
        <f>L3189*(1-K3189)</f>
      </c>
    </row>
    <row r="3190">
      <c r="A3190" t="s">
        <v>167</v>
      </c>
      <c r="B3190" t="s">
        <v>262</v>
      </c>
      <c r="C3190" s="35" t="s">
        <v>264</v>
      </c>
      <c r="D3190" t="s">
        <v>502</v>
      </c>
      <c r="E3190" t="s">
        <v>520</v>
      </c>
      <c r="F3190" s="188" t="n">
        <v>2026</v>
      </c>
      <c r="G3190" s="189" t="n">
        <v>58</v>
      </c>
      <c r="H3190" s="190" t="n">
        <v>15805.3601426063</v>
      </c>
      <c r="I3190" s="191" t="n">
        <v>3017305.28674744</v>
      </c>
      <c r="J3190" s="192" t="str">
        <f>IF(I3190&gt;0,H3190/I3190,0)</f>
      </c>
      <c r="K3190" s="193" t="str">
        <f>1-EXP(-J3190)</f>
      </c>
      <c r="L3190" s="194" t="str">
        <f>IF(G3190=30,1,M3189)</f>
      </c>
      <c r="M3190" s="195" t="str">
        <f>L3190*(1-K3190)</f>
      </c>
    </row>
    <row r="3191">
      <c r="A3191" t="s">
        <v>167</v>
      </c>
      <c r="B3191" t="s">
        <v>262</v>
      </c>
      <c r="C3191" s="35" t="s">
        <v>264</v>
      </c>
      <c r="D3191" t="s">
        <v>502</v>
      </c>
      <c r="E3191" t="s">
        <v>520</v>
      </c>
      <c r="F3191" s="188" t="n">
        <v>2026</v>
      </c>
      <c r="G3191" s="189" t="n">
        <v>59</v>
      </c>
      <c r="H3191" s="190" t="n">
        <v>16486.1154085883</v>
      </c>
      <c r="I3191" s="191" t="n">
        <v>2877825.9895627</v>
      </c>
      <c r="J3191" s="192" t="str">
        <f>IF(I3191&gt;0,H3191/I3191,0)</f>
      </c>
      <c r="K3191" s="193" t="str">
        <f>1-EXP(-J3191)</f>
      </c>
      <c r="L3191" s="194" t="str">
        <f>IF(G3191=30,1,M3190)</f>
      </c>
      <c r="M3191" s="195" t="str">
        <f>L3191*(1-K3191)</f>
      </c>
    </row>
    <row r="3192">
      <c r="A3192" t="s">
        <v>167</v>
      </c>
      <c r="B3192" t="s">
        <v>262</v>
      </c>
      <c r="C3192" s="35" t="s">
        <v>264</v>
      </c>
      <c r="D3192" t="s">
        <v>502</v>
      </c>
      <c r="E3192" t="s">
        <v>520</v>
      </c>
      <c r="F3192" s="188" t="n">
        <v>2026</v>
      </c>
      <c r="G3192" s="189" t="n">
        <v>60</v>
      </c>
      <c r="H3192" s="190" t="n">
        <v>17851.6434523824</v>
      </c>
      <c r="I3192" s="191" t="n">
        <v>2775955.73233662</v>
      </c>
      <c r="J3192" s="192" t="str">
        <f>IF(I3192&gt;0,H3192/I3192,0)</f>
      </c>
      <c r="K3192" s="193" t="str">
        <f>1-EXP(-J3192)</f>
      </c>
      <c r="L3192" s="194" t="str">
        <f>IF(G3192=30,1,M3191)</f>
      </c>
      <c r="M3192" s="195" t="str">
        <f>L3192*(1-K3192)</f>
      </c>
    </row>
    <row r="3193">
      <c r="A3193" t="s">
        <v>167</v>
      </c>
      <c r="B3193" t="s">
        <v>262</v>
      </c>
      <c r="C3193" s="35" t="s">
        <v>264</v>
      </c>
      <c r="D3193" t="s">
        <v>502</v>
      </c>
      <c r="E3193" t="s">
        <v>520</v>
      </c>
      <c r="F3193" s="188" t="n">
        <v>2026</v>
      </c>
      <c r="G3193" s="189" t="n">
        <v>61</v>
      </c>
      <c r="H3193" s="190" t="n">
        <v>18642.3222201891</v>
      </c>
      <c r="I3193" s="191" t="n">
        <v>2651125.82517609</v>
      </c>
      <c r="J3193" s="192" t="str">
        <f>IF(I3193&gt;0,H3193/I3193,0)</f>
      </c>
      <c r="K3193" s="193" t="str">
        <f>1-EXP(-J3193)</f>
      </c>
      <c r="L3193" s="194" t="str">
        <f>IF(G3193=30,1,M3192)</f>
      </c>
      <c r="M3193" s="195" t="str">
        <f>L3193*(1-K3193)</f>
      </c>
    </row>
    <row r="3194">
      <c r="A3194" t="s">
        <v>167</v>
      </c>
      <c r="B3194" t="s">
        <v>262</v>
      </c>
      <c r="C3194" s="35" t="s">
        <v>264</v>
      </c>
      <c r="D3194" t="s">
        <v>502</v>
      </c>
      <c r="E3194" t="s">
        <v>520</v>
      </c>
      <c r="F3194" s="188" t="n">
        <v>2026</v>
      </c>
      <c r="G3194" s="189" t="n">
        <v>62</v>
      </c>
      <c r="H3194" s="190" t="n">
        <v>19427.5269939492</v>
      </c>
      <c r="I3194" s="191" t="n">
        <v>2527118.34779537</v>
      </c>
      <c r="J3194" s="192" t="str">
        <f>IF(I3194&gt;0,H3194/I3194,0)</f>
      </c>
      <c r="K3194" s="193" t="str">
        <f>1-EXP(-J3194)</f>
      </c>
      <c r="L3194" s="194" t="str">
        <f>IF(G3194=30,1,M3193)</f>
      </c>
      <c r="M3194" s="195" t="str">
        <f>L3194*(1-K3194)</f>
      </c>
    </row>
    <row r="3195">
      <c r="A3195" t="s">
        <v>167</v>
      </c>
      <c r="B3195" t="s">
        <v>262</v>
      </c>
      <c r="C3195" s="35" t="s">
        <v>264</v>
      </c>
      <c r="D3195" t="s">
        <v>502</v>
      </c>
      <c r="E3195" t="s">
        <v>520</v>
      </c>
      <c r="F3195" s="188" t="n">
        <v>2026</v>
      </c>
      <c r="G3195" s="189" t="n">
        <v>63</v>
      </c>
      <c r="H3195" s="190" t="n">
        <v>20251.0091725711</v>
      </c>
      <c r="I3195" s="191" t="n">
        <v>2408174.82995322</v>
      </c>
      <c r="J3195" s="192" t="str">
        <f>IF(I3195&gt;0,H3195/I3195,0)</f>
      </c>
      <c r="K3195" s="193" t="str">
        <f>1-EXP(-J3195)</f>
      </c>
      <c r="L3195" s="194" t="str">
        <f>IF(G3195=30,1,M3194)</f>
      </c>
      <c r="M3195" s="195" t="str">
        <f>L3195*(1-K3195)</f>
      </c>
    </row>
    <row r="3196">
      <c r="A3196" t="s">
        <v>167</v>
      </c>
      <c r="B3196" t="s">
        <v>262</v>
      </c>
      <c r="C3196" s="35" t="s">
        <v>264</v>
      </c>
      <c r="D3196" t="s">
        <v>502</v>
      </c>
      <c r="E3196" t="s">
        <v>520</v>
      </c>
      <c r="F3196" s="188" t="n">
        <v>2026</v>
      </c>
      <c r="G3196" s="189" t="n">
        <v>64</v>
      </c>
      <c r="H3196" s="190" t="n">
        <v>20921.4293618742</v>
      </c>
      <c r="I3196" s="191" t="n">
        <v>2263177.14570695</v>
      </c>
      <c r="J3196" s="192" t="str">
        <f>IF(I3196&gt;0,H3196/I3196,0)</f>
      </c>
      <c r="K3196" s="193" t="str">
        <f>1-EXP(-J3196)</f>
      </c>
      <c r="L3196" s="194" t="str">
        <f>IF(G3196=30,1,M3195)</f>
      </c>
      <c r="M3196" s="195" t="str">
        <f>L3196*(1-K3196)</f>
      </c>
    </row>
    <row r="3197">
      <c r="A3197" t="s">
        <v>167</v>
      </c>
      <c r="B3197" t="s">
        <v>262</v>
      </c>
      <c r="C3197" s="35" t="s">
        <v>264</v>
      </c>
      <c r="D3197" t="s">
        <v>502</v>
      </c>
      <c r="E3197" t="s">
        <v>520</v>
      </c>
      <c r="F3197" s="188" t="n">
        <v>2026</v>
      </c>
      <c r="G3197" s="189" t="n">
        <v>65</v>
      </c>
      <c r="H3197" s="190" t="n">
        <v>21165.2277285095</v>
      </c>
      <c r="I3197" s="191" t="n">
        <v>2143592.88562047</v>
      </c>
      <c r="J3197" s="192" t="str">
        <f>IF(I3197&gt;0,H3197/I3197,0)</f>
      </c>
      <c r="K3197" s="193" t="str">
        <f>1-EXP(-J3197)</f>
      </c>
      <c r="L3197" s="194" t="str">
        <f>IF(G3197=30,1,M3196)</f>
      </c>
      <c r="M3197" s="195" t="str">
        <f>L3197*(1-K3197)</f>
      </c>
    </row>
    <row r="3198">
      <c r="A3198" t="s">
        <v>167</v>
      </c>
      <c r="B3198" t="s">
        <v>262</v>
      </c>
      <c r="C3198" s="35" t="s">
        <v>264</v>
      </c>
      <c r="D3198" t="s">
        <v>502</v>
      </c>
      <c r="E3198" t="s">
        <v>520</v>
      </c>
      <c r="F3198" s="188" t="n">
        <v>2026</v>
      </c>
      <c r="G3198" s="189" t="n">
        <v>66</v>
      </c>
      <c r="H3198" s="190" t="n">
        <v>21852.9907267552</v>
      </c>
      <c r="I3198" s="191" t="n">
        <v>2020123.65624815</v>
      </c>
      <c r="J3198" s="192" t="str">
        <f>IF(I3198&gt;0,H3198/I3198,0)</f>
      </c>
      <c r="K3198" s="193" t="str">
        <f>1-EXP(-J3198)</f>
      </c>
      <c r="L3198" s="194" t="str">
        <f>IF(G3198=30,1,M3197)</f>
      </c>
      <c r="M3198" s="195" t="str">
        <f>L3198*(1-K3198)</f>
      </c>
    </row>
    <row r="3199">
      <c r="A3199" t="s">
        <v>167</v>
      </c>
      <c r="B3199" t="s">
        <v>262</v>
      </c>
      <c r="C3199" s="35" t="s">
        <v>264</v>
      </c>
      <c r="D3199" t="s">
        <v>502</v>
      </c>
      <c r="E3199" t="s">
        <v>520</v>
      </c>
      <c r="F3199" s="188" t="n">
        <v>2026</v>
      </c>
      <c r="G3199" s="189" t="n">
        <v>67</v>
      </c>
      <c r="H3199" s="190" t="n">
        <v>22412.9502808462</v>
      </c>
      <c r="I3199" s="191" t="n">
        <v>1890337.26910044</v>
      </c>
      <c r="J3199" s="192" t="str">
        <f>IF(I3199&gt;0,H3199/I3199,0)</f>
      </c>
      <c r="K3199" s="193" t="str">
        <f>1-EXP(-J3199)</f>
      </c>
      <c r="L3199" s="194" t="str">
        <f>IF(G3199=30,1,M3198)</f>
      </c>
      <c r="M3199" s="195" t="str">
        <f>L3199*(1-K3199)</f>
      </c>
    </row>
    <row r="3200">
      <c r="A3200" t="s">
        <v>167</v>
      </c>
      <c r="B3200" t="s">
        <v>262</v>
      </c>
      <c r="C3200" s="35" t="s">
        <v>264</v>
      </c>
      <c r="D3200" t="s">
        <v>502</v>
      </c>
      <c r="E3200" t="s">
        <v>520</v>
      </c>
      <c r="F3200" s="188" t="n">
        <v>2026</v>
      </c>
      <c r="G3200" s="189" t="n">
        <v>68</v>
      </c>
      <c r="H3200" s="190" t="n">
        <v>22925.1170400378</v>
      </c>
      <c r="I3200" s="191" t="n">
        <v>1762993.47698247</v>
      </c>
      <c r="J3200" s="192" t="str">
        <f>IF(I3200&gt;0,H3200/I3200,0)</f>
      </c>
      <c r="K3200" s="193" t="str">
        <f>1-EXP(-J3200)</f>
      </c>
      <c r="L3200" s="194" t="str">
        <f>IF(G3200=30,1,M3199)</f>
      </c>
      <c r="M3200" s="195" t="str">
        <f>L3200*(1-K3200)</f>
      </c>
    </row>
    <row r="3201">
      <c r="A3201" t="s">
        <v>167</v>
      </c>
      <c r="B3201" t="s">
        <v>262</v>
      </c>
      <c r="C3201" s="35" t="s">
        <v>264</v>
      </c>
      <c r="D3201" t="s">
        <v>502</v>
      </c>
      <c r="E3201" t="s">
        <v>520</v>
      </c>
      <c r="F3201" s="188" t="n">
        <v>2026</v>
      </c>
      <c r="G3201" s="189" t="n">
        <v>69</v>
      </c>
      <c r="H3201" s="190" t="n">
        <v>23715.5269319604</v>
      </c>
      <c r="I3201" s="191" t="n">
        <v>1657190.39223472</v>
      </c>
      <c r="J3201" s="192" t="str">
        <f>IF(I3201&gt;0,H3201/I3201,0)</f>
      </c>
      <c r="K3201" s="193" t="str">
        <f>1-EXP(-J3201)</f>
      </c>
      <c r="L3201" s="194" t="str">
        <f>IF(G3201=30,1,M3200)</f>
      </c>
      <c r="M3201" s="195" t="str">
        <f>L3201*(1-K3201)</f>
      </c>
    </row>
    <row r="3202">
      <c r="A3202" t="s">
        <v>167</v>
      </c>
      <c r="B3202" t="s">
        <v>262</v>
      </c>
      <c r="C3202" s="35" t="s">
        <v>264</v>
      </c>
      <c r="D3202" t="s">
        <v>502</v>
      </c>
      <c r="E3202" t="s">
        <v>520</v>
      </c>
      <c r="F3202" s="188" t="n">
        <v>2027</v>
      </c>
      <c r="G3202" s="189" t="n">
        <v>30</v>
      </c>
      <c r="H3202" s="190" t="n">
        <v>1296.94984684465</v>
      </c>
      <c r="I3202" s="191" t="n">
        <v>4568810.76687442</v>
      </c>
      <c r="J3202" s="192" t="str">
        <f>IF(I3202&gt;0,H3202/I3202,0)</f>
      </c>
      <c r="K3202" s="193" t="str">
        <f>1-EXP(-J3202)</f>
      </c>
      <c r="L3202" s="194" t="str">
        <f>IF(G3202=30,1,M3201)</f>
      </c>
      <c r="M3202" s="195" t="str">
        <f>L3202*(1-K3202)</f>
      </c>
    </row>
    <row r="3203">
      <c r="A3203" t="s">
        <v>167</v>
      </c>
      <c r="B3203" t="s">
        <v>262</v>
      </c>
      <c r="C3203" s="35" t="s">
        <v>264</v>
      </c>
      <c r="D3203" t="s">
        <v>502</v>
      </c>
      <c r="E3203" t="s">
        <v>520</v>
      </c>
      <c r="F3203" s="188" t="n">
        <v>2027</v>
      </c>
      <c r="G3203" s="189" t="n">
        <v>31</v>
      </c>
      <c r="H3203" s="190" t="n">
        <v>1335.03669021083</v>
      </c>
      <c r="I3203" s="191" t="n">
        <v>4526145.09961891</v>
      </c>
      <c r="J3203" s="192" t="str">
        <f>IF(I3203&gt;0,H3203/I3203,0)</f>
      </c>
      <c r="K3203" s="193" t="str">
        <f>1-EXP(-J3203)</f>
      </c>
      <c r="L3203" s="194" t="str">
        <f>IF(G3203=30,1,M3202)</f>
      </c>
      <c r="M3203" s="195" t="str">
        <f>L3203*(1-K3203)</f>
      </c>
    </row>
    <row r="3204">
      <c r="A3204" t="s">
        <v>167</v>
      </c>
      <c r="B3204" t="s">
        <v>262</v>
      </c>
      <c r="C3204" s="35" t="s">
        <v>264</v>
      </c>
      <c r="D3204" t="s">
        <v>502</v>
      </c>
      <c r="E3204" t="s">
        <v>520</v>
      </c>
      <c r="F3204" s="188" t="n">
        <v>2027</v>
      </c>
      <c r="G3204" s="189" t="n">
        <v>32</v>
      </c>
      <c r="H3204" s="190" t="n">
        <v>1374.11254344706</v>
      </c>
      <c r="I3204" s="191" t="n">
        <v>4453756.59344753</v>
      </c>
      <c r="J3204" s="192" t="str">
        <f>IF(I3204&gt;0,H3204/I3204,0)</f>
      </c>
      <c r="K3204" s="193" t="str">
        <f>1-EXP(-J3204)</f>
      </c>
      <c r="L3204" s="194" t="str">
        <f>IF(G3204=30,1,M3203)</f>
      </c>
      <c r="M3204" s="195" t="str">
        <f>L3204*(1-K3204)</f>
      </c>
    </row>
    <row r="3205">
      <c r="A3205" t="s">
        <v>167</v>
      </c>
      <c r="B3205" t="s">
        <v>262</v>
      </c>
      <c r="C3205" s="35" t="s">
        <v>264</v>
      </c>
      <c r="D3205" t="s">
        <v>502</v>
      </c>
      <c r="E3205" t="s">
        <v>520</v>
      </c>
      <c r="F3205" s="188" t="n">
        <v>2027</v>
      </c>
      <c r="G3205" s="189" t="n">
        <v>33</v>
      </c>
      <c r="H3205" s="190" t="n">
        <v>1427.90613448847</v>
      </c>
      <c r="I3205" s="191" t="n">
        <v>4397359.54175011</v>
      </c>
      <c r="J3205" s="192" t="str">
        <f>IF(I3205&gt;0,H3205/I3205,0)</f>
      </c>
      <c r="K3205" s="193" t="str">
        <f>1-EXP(-J3205)</f>
      </c>
      <c r="L3205" s="194" t="str">
        <f>IF(G3205=30,1,M3204)</f>
      </c>
      <c r="M3205" s="195" t="str">
        <f>L3205*(1-K3205)</f>
      </c>
    </row>
    <row r="3206">
      <c r="A3206" t="s">
        <v>167</v>
      </c>
      <c r="B3206" t="s">
        <v>262</v>
      </c>
      <c r="C3206" s="35" t="s">
        <v>264</v>
      </c>
      <c r="D3206" t="s">
        <v>502</v>
      </c>
      <c r="E3206" t="s">
        <v>520</v>
      </c>
      <c r="F3206" s="188" t="n">
        <v>2027</v>
      </c>
      <c r="G3206" s="189" t="n">
        <v>34</v>
      </c>
      <c r="H3206" s="190" t="n">
        <v>1494.09508623155</v>
      </c>
      <c r="I3206" s="191" t="n">
        <v>4344737.46728041</v>
      </c>
      <c r="J3206" s="192" t="str">
        <f>IF(I3206&gt;0,H3206/I3206,0)</f>
      </c>
      <c r="K3206" s="193" t="str">
        <f>1-EXP(-J3206)</f>
      </c>
      <c r="L3206" s="194" t="str">
        <f>IF(G3206=30,1,M3205)</f>
      </c>
      <c r="M3206" s="195" t="str">
        <f>L3206*(1-K3206)</f>
      </c>
    </row>
    <row r="3207">
      <c r="A3207" t="s">
        <v>167</v>
      </c>
      <c r="B3207" t="s">
        <v>262</v>
      </c>
      <c r="C3207" s="35" t="s">
        <v>264</v>
      </c>
      <c r="D3207" t="s">
        <v>502</v>
      </c>
      <c r="E3207" t="s">
        <v>520</v>
      </c>
      <c r="F3207" s="188" t="n">
        <v>2027</v>
      </c>
      <c r="G3207" s="189" t="n">
        <v>35</v>
      </c>
      <c r="H3207" s="190" t="n">
        <v>2072.83153435492</v>
      </c>
      <c r="I3207" s="191" t="n">
        <v>4384163.26454687</v>
      </c>
      <c r="J3207" s="192" t="str">
        <f>IF(I3207&gt;0,H3207/I3207,0)</f>
      </c>
      <c r="K3207" s="193" t="str">
        <f>1-EXP(-J3207)</f>
      </c>
      <c r="L3207" s="194" t="str">
        <f>IF(G3207=30,1,M3206)</f>
      </c>
      <c r="M3207" s="195" t="str">
        <f>L3207*(1-K3207)</f>
      </c>
    </row>
    <row r="3208">
      <c r="A3208" t="s">
        <v>167</v>
      </c>
      <c r="B3208" t="s">
        <v>262</v>
      </c>
      <c r="C3208" s="35" t="s">
        <v>264</v>
      </c>
      <c r="D3208" t="s">
        <v>502</v>
      </c>
      <c r="E3208" t="s">
        <v>520</v>
      </c>
      <c r="F3208" s="188" t="n">
        <v>2027</v>
      </c>
      <c r="G3208" s="189" t="n">
        <v>36</v>
      </c>
      <c r="H3208" s="190" t="n">
        <v>2224.22004650693</v>
      </c>
      <c r="I3208" s="191" t="n">
        <v>4403450.18897876</v>
      </c>
      <c r="J3208" s="192" t="str">
        <f>IF(I3208&gt;0,H3208/I3208,0)</f>
      </c>
      <c r="K3208" s="193" t="str">
        <f>1-EXP(-J3208)</f>
      </c>
      <c r="L3208" s="194" t="str">
        <f>IF(G3208=30,1,M3207)</f>
      </c>
      <c r="M3208" s="195" t="str">
        <f>L3208*(1-K3208)</f>
      </c>
    </row>
    <row r="3209">
      <c r="A3209" t="s">
        <v>167</v>
      </c>
      <c r="B3209" t="s">
        <v>262</v>
      </c>
      <c r="C3209" s="35" t="s">
        <v>264</v>
      </c>
      <c r="D3209" t="s">
        <v>502</v>
      </c>
      <c r="E3209" t="s">
        <v>520</v>
      </c>
      <c r="F3209" s="188" t="n">
        <v>2027</v>
      </c>
      <c r="G3209" s="189" t="n">
        <v>37</v>
      </c>
      <c r="H3209" s="190" t="n">
        <v>3373.18477287038</v>
      </c>
      <c r="I3209" s="191" t="n">
        <v>6485446.60157876</v>
      </c>
      <c r="J3209" s="192" t="str">
        <f>IF(I3209&gt;0,H3209/I3209,0)</f>
      </c>
      <c r="K3209" s="193" t="str">
        <f>1-EXP(-J3209)</f>
      </c>
      <c r="L3209" s="194" t="str">
        <f>IF(G3209=30,1,M3208)</f>
      </c>
      <c r="M3209" s="195" t="str">
        <f>L3209*(1-K3209)</f>
      </c>
    </row>
    <row r="3210">
      <c r="A3210" t="s">
        <v>167</v>
      </c>
      <c r="B3210" t="s">
        <v>262</v>
      </c>
      <c r="C3210" s="35" t="s">
        <v>264</v>
      </c>
      <c r="D3210" t="s">
        <v>502</v>
      </c>
      <c r="E3210" t="s">
        <v>520</v>
      </c>
      <c r="F3210" s="188" t="n">
        <v>2027</v>
      </c>
      <c r="G3210" s="189" t="n">
        <v>38</v>
      </c>
      <c r="H3210" s="190" t="n">
        <v>2536.05738330115</v>
      </c>
      <c r="I3210" s="191" t="n">
        <v>4365610.02127397</v>
      </c>
      <c r="J3210" s="192" t="str">
        <f>IF(I3210&gt;0,H3210/I3210,0)</f>
      </c>
      <c r="K3210" s="193" t="str">
        <f>1-EXP(-J3210)</f>
      </c>
      <c r="L3210" s="194" t="str">
        <f>IF(G3210=30,1,M3209)</f>
      </c>
      <c r="M3210" s="195" t="str">
        <f>L3210*(1-K3210)</f>
      </c>
    </row>
    <row r="3211">
      <c r="A3211" t="s">
        <v>167</v>
      </c>
      <c r="B3211" t="s">
        <v>262</v>
      </c>
      <c r="C3211" s="35" t="s">
        <v>264</v>
      </c>
      <c r="D3211" t="s">
        <v>502</v>
      </c>
      <c r="E3211" t="s">
        <v>520</v>
      </c>
      <c r="F3211" s="188" t="n">
        <v>2027</v>
      </c>
      <c r="G3211" s="189" t="n">
        <v>39</v>
      </c>
      <c r="H3211" s="190" t="n">
        <v>2716.31656556119</v>
      </c>
      <c r="I3211" s="191" t="n">
        <v>4350984.9133727</v>
      </c>
      <c r="J3211" s="192" t="str">
        <f>IF(I3211&gt;0,H3211/I3211,0)</f>
      </c>
      <c r="K3211" s="193" t="str">
        <f>1-EXP(-J3211)</f>
      </c>
      <c r="L3211" s="194" t="str">
        <f>IF(G3211=30,1,M3210)</f>
      </c>
      <c r="M3211" s="195" t="str">
        <f>L3211*(1-K3211)</f>
      </c>
    </row>
    <row r="3212">
      <c r="A3212" t="s">
        <v>167</v>
      </c>
      <c r="B3212" t="s">
        <v>262</v>
      </c>
      <c r="C3212" s="35" t="s">
        <v>264</v>
      </c>
      <c r="D3212" t="s">
        <v>502</v>
      </c>
      <c r="E3212" t="s">
        <v>520</v>
      </c>
      <c r="F3212" s="188" t="n">
        <v>2027</v>
      </c>
      <c r="G3212" s="189" t="n">
        <v>40</v>
      </c>
      <c r="H3212" s="190" t="n">
        <v>3551.69883584912</v>
      </c>
      <c r="I3212" s="191" t="n">
        <v>4220096.21309492</v>
      </c>
      <c r="J3212" s="192" t="str">
        <f>IF(I3212&gt;0,H3212/I3212,0)</f>
      </c>
      <c r="K3212" s="193" t="str">
        <f>1-EXP(-J3212)</f>
      </c>
      <c r="L3212" s="194" t="str">
        <f>IF(G3212=30,1,M3211)</f>
      </c>
      <c r="M3212" s="195" t="str">
        <f>L3212*(1-K3212)</f>
      </c>
    </row>
    <row r="3213">
      <c r="A3213" t="s">
        <v>167</v>
      </c>
      <c r="B3213" t="s">
        <v>262</v>
      </c>
      <c r="C3213" s="35" t="s">
        <v>264</v>
      </c>
      <c r="D3213" t="s">
        <v>502</v>
      </c>
      <c r="E3213" t="s">
        <v>520</v>
      </c>
      <c r="F3213" s="188" t="n">
        <v>2027</v>
      </c>
      <c r="G3213" s="189" t="n">
        <v>41</v>
      </c>
      <c r="H3213" s="190" t="n">
        <v>3806.15693430997</v>
      </c>
      <c r="I3213" s="191" t="n">
        <v>4187002.97242584</v>
      </c>
      <c r="J3213" s="192" t="str">
        <f>IF(I3213&gt;0,H3213/I3213,0)</f>
      </c>
      <c r="K3213" s="193" t="str">
        <f>1-EXP(-J3213)</f>
      </c>
      <c r="L3213" s="194" t="str">
        <f>IF(G3213=30,1,M3212)</f>
      </c>
      <c r="M3213" s="195" t="str">
        <f>L3213*(1-K3213)</f>
      </c>
    </row>
    <row r="3214">
      <c r="A3214" t="s">
        <v>167</v>
      </c>
      <c r="B3214" t="s">
        <v>262</v>
      </c>
      <c r="C3214" s="35" t="s">
        <v>264</v>
      </c>
      <c r="D3214" t="s">
        <v>502</v>
      </c>
      <c r="E3214" t="s">
        <v>520</v>
      </c>
      <c r="F3214" s="188" t="n">
        <v>2027</v>
      </c>
      <c r="G3214" s="189" t="n">
        <v>42</v>
      </c>
      <c r="H3214" s="190" t="n">
        <v>4185.00542104825</v>
      </c>
      <c r="I3214" s="191" t="n">
        <v>4249361.49580349</v>
      </c>
      <c r="J3214" s="192" t="str">
        <f>IF(I3214&gt;0,H3214/I3214,0)</f>
      </c>
      <c r="K3214" s="193" t="str">
        <f>1-EXP(-J3214)</f>
      </c>
      <c r="L3214" s="194" t="str">
        <f>IF(G3214=30,1,M3213)</f>
      </c>
      <c r="M3214" s="195" t="str">
        <f>L3214*(1-K3214)</f>
      </c>
    </row>
    <row r="3215">
      <c r="A3215" t="s">
        <v>167</v>
      </c>
      <c r="B3215" t="s">
        <v>262</v>
      </c>
      <c r="C3215" s="35" t="s">
        <v>264</v>
      </c>
      <c r="D3215" t="s">
        <v>502</v>
      </c>
      <c r="E3215" t="s">
        <v>520</v>
      </c>
      <c r="F3215" s="188" t="n">
        <v>2027</v>
      </c>
      <c r="G3215" s="189" t="n">
        <v>43</v>
      </c>
      <c r="H3215" s="190" t="n">
        <v>4643.24406734769</v>
      </c>
      <c r="I3215" s="191" t="n">
        <v>4337478.69030302</v>
      </c>
      <c r="J3215" s="192" t="str">
        <f>IF(I3215&gt;0,H3215/I3215,0)</f>
      </c>
      <c r="K3215" s="193" t="str">
        <f>1-EXP(-J3215)</f>
      </c>
      <c r="L3215" s="194" t="str">
        <f>IF(G3215=30,1,M3214)</f>
      </c>
      <c r="M3215" s="195" t="str">
        <f>L3215*(1-K3215)</f>
      </c>
    </row>
    <row r="3216">
      <c r="A3216" t="s">
        <v>167</v>
      </c>
      <c r="B3216" t="s">
        <v>262</v>
      </c>
      <c r="C3216" s="35" t="s">
        <v>264</v>
      </c>
      <c r="D3216" t="s">
        <v>502</v>
      </c>
      <c r="E3216" t="s">
        <v>520</v>
      </c>
      <c r="F3216" s="188" t="n">
        <v>2027</v>
      </c>
      <c r="G3216" s="189" t="n">
        <v>44</v>
      </c>
      <c r="H3216" s="190" t="n">
        <v>5038.39732803807</v>
      </c>
      <c r="I3216" s="191" t="n">
        <v>4316073.44383344</v>
      </c>
      <c r="J3216" s="192" t="str">
        <f>IF(I3216&gt;0,H3216/I3216,0)</f>
      </c>
      <c r="K3216" s="193" t="str">
        <f>1-EXP(-J3216)</f>
      </c>
      <c r="L3216" s="194" t="str">
        <f>IF(G3216=30,1,M3215)</f>
      </c>
      <c r="M3216" s="195" t="str">
        <f>L3216*(1-K3216)</f>
      </c>
    </row>
    <row r="3217">
      <c r="A3217" t="s">
        <v>167</v>
      </c>
      <c r="B3217" t="s">
        <v>262</v>
      </c>
      <c r="C3217" s="35" t="s">
        <v>264</v>
      </c>
      <c r="D3217" t="s">
        <v>502</v>
      </c>
      <c r="E3217" t="s">
        <v>520</v>
      </c>
      <c r="F3217" s="188" t="n">
        <v>2027</v>
      </c>
      <c r="G3217" s="189" t="n">
        <v>45</v>
      </c>
      <c r="H3217" s="190" t="n">
        <v>6325.10774277736</v>
      </c>
      <c r="I3217" s="191" t="n">
        <v>4181411.46078684</v>
      </c>
      <c r="J3217" s="192" t="str">
        <f>IF(I3217&gt;0,H3217/I3217,0)</f>
      </c>
      <c r="K3217" s="193" t="str">
        <f>1-EXP(-J3217)</f>
      </c>
      <c r="L3217" s="194" t="str">
        <f>IF(G3217=30,1,M3216)</f>
      </c>
      <c r="M3217" s="195" t="str">
        <f>L3217*(1-K3217)</f>
      </c>
    </row>
    <row r="3218">
      <c r="A3218" t="s">
        <v>167</v>
      </c>
      <c r="B3218" t="s">
        <v>262</v>
      </c>
      <c r="C3218" s="35" t="s">
        <v>264</v>
      </c>
      <c r="D3218" t="s">
        <v>502</v>
      </c>
      <c r="E3218" t="s">
        <v>520</v>
      </c>
      <c r="F3218" s="188" t="n">
        <v>2027</v>
      </c>
      <c r="G3218" s="189" t="n">
        <v>46</v>
      </c>
      <c r="H3218" s="190" t="n">
        <v>6800.74170214832</v>
      </c>
      <c r="I3218" s="191" t="n">
        <v>4108815.60678423</v>
      </c>
      <c r="J3218" s="192" t="str">
        <f>IF(I3218&gt;0,H3218/I3218,0)</f>
      </c>
      <c r="K3218" s="193" t="str">
        <f>1-EXP(-J3218)</f>
      </c>
      <c r="L3218" s="194" t="str">
        <f>IF(G3218=30,1,M3217)</f>
      </c>
      <c r="M3218" s="195" t="str">
        <f>L3218*(1-K3218)</f>
      </c>
    </row>
    <row r="3219">
      <c r="A3219" t="s">
        <v>167</v>
      </c>
      <c r="B3219" t="s">
        <v>262</v>
      </c>
      <c r="C3219" s="35" t="s">
        <v>264</v>
      </c>
      <c r="D3219" t="s">
        <v>502</v>
      </c>
      <c r="E3219" t="s">
        <v>520</v>
      </c>
      <c r="F3219" s="188" t="n">
        <v>2027</v>
      </c>
      <c r="G3219" s="189" t="n">
        <v>47</v>
      </c>
      <c r="H3219" s="190" t="n">
        <v>7346.16501663044</v>
      </c>
      <c r="I3219" s="191" t="n">
        <v>4053369.74438263</v>
      </c>
      <c r="J3219" s="192" t="str">
        <f>IF(I3219&gt;0,H3219/I3219,0)</f>
      </c>
      <c r="K3219" s="193" t="str">
        <f>1-EXP(-J3219)</f>
      </c>
      <c r="L3219" s="194" t="str">
        <f>IF(G3219=30,1,M3218)</f>
      </c>
      <c r="M3219" s="195" t="str">
        <f>L3219*(1-K3219)</f>
      </c>
    </row>
    <row r="3220">
      <c r="A3220" t="s">
        <v>167</v>
      </c>
      <c r="B3220" t="s">
        <v>262</v>
      </c>
      <c r="C3220" s="35" t="s">
        <v>264</v>
      </c>
      <c r="D3220" t="s">
        <v>502</v>
      </c>
      <c r="E3220" t="s">
        <v>520</v>
      </c>
      <c r="F3220" s="188" t="n">
        <v>2027</v>
      </c>
      <c r="G3220" s="189" t="n">
        <v>48</v>
      </c>
      <c r="H3220" s="190" t="n">
        <v>7916.9814045603</v>
      </c>
      <c r="I3220" s="191" t="n">
        <v>3992565.97361321</v>
      </c>
      <c r="J3220" s="192" t="str">
        <f>IF(I3220&gt;0,H3220/I3220,0)</f>
      </c>
      <c r="K3220" s="193" t="str">
        <f>1-EXP(-J3220)</f>
      </c>
      <c r="L3220" s="194" t="str">
        <f>IF(G3220=30,1,M3219)</f>
      </c>
      <c r="M3220" s="195" t="str">
        <f>L3220*(1-K3220)</f>
      </c>
    </row>
    <row r="3221">
      <c r="A3221" t="s">
        <v>167</v>
      </c>
      <c r="B3221" t="s">
        <v>262</v>
      </c>
      <c r="C3221" s="35" t="s">
        <v>264</v>
      </c>
      <c r="D3221" t="s">
        <v>502</v>
      </c>
      <c r="E3221" t="s">
        <v>520</v>
      </c>
      <c r="F3221" s="188" t="n">
        <v>2027</v>
      </c>
      <c r="G3221" s="189" t="n">
        <v>49</v>
      </c>
      <c r="H3221" s="190" t="n">
        <v>8479.7832303843</v>
      </c>
      <c r="I3221" s="191" t="n">
        <v>3912218.90065955</v>
      </c>
      <c r="J3221" s="192" t="str">
        <f>IF(I3221&gt;0,H3221/I3221,0)</f>
      </c>
      <c r="K3221" s="193" t="str">
        <f>1-EXP(-J3221)</f>
      </c>
      <c r="L3221" s="194" t="str">
        <f>IF(G3221=30,1,M3220)</f>
      </c>
      <c r="M3221" s="195" t="str">
        <f>L3221*(1-K3221)</f>
      </c>
    </row>
    <row r="3222">
      <c r="A3222" t="s">
        <v>167</v>
      </c>
      <c r="B3222" t="s">
        <v>262</v>
      </c>
      <c r="C3222" s="35" t="s">
        <v>264</v>
      </c>
      <c r="D3222" t="s">
        <v>502</v>
      </c>
      <c r="E3222" t="s">
        <v>520</v>
      </c>
      <c r="F3222" s="188" t="n">
        <v>2027</v>
      </c>
      <c r="G3222" s="189" t="n">
        <v>50</v>
      </c>
      <c r="H3222" s="190" t="n">
        <v>9755.23638499409</v>
      </c>
      <c r="I3222" s="191" t="n">
        <v>3849351.33289567</v>
      </c>
      <c r="J3222" s="192" t="str">
        <f>IF(I3222&gt;0,H3222/I3222,0)</f>
      </c>
      <c r="K3222" s="193" t="str">
        <f>1-EXP(-J3222)</f>
      </c>
      <c r="L3222" s="194" t="str">
        <f>IF(G3222=30,1,M3221)</f>
      </c>
      <c r="M3222" s="195" t="str">
        <f>L3222*(1-K3222)</f>
      </c>
    </row>
    <row r="3223">
      <c r="A3223" t="s">
        <v>167</v>
      </c>
      <c r="B3223" t="s">
        <v>262</v>
      </c>
      <c r="C3223" s="35" t="s">
        <v>264</v>
      </c>
      <c r="D3223" t="s">
        <v>502</v>
      </c>
      <c r="E3223" t="s">
        <v>520</v>
      </c>
      <c r="F3223" s="188" t="n">
        <v>2027</v>
      </c>
      <c r="G3223" s="189" t="n">
        <v>51</v>
      </c>
      <c r="H3223" s="190" t="n">
        <v>10439.8222896771</v>
      </c>
      <c r="I3223" s="191" t="n">
        <v>3773673.03242768</v>
      </c>
      <c r="J3223" s="192" t="str">
        <f>IF(I3223&gt;0,H3223/I3223,0)</f>
      </c>
      <c r="K3223" s="193" t="str">
        <f>1-EXP(-J3223)</f>
      </c>
      <c r="L3223" s="194" t="str">
        <f>IF(G3223=30,1,M3222)</f>
      </c>
      <c r="M3223" s="195" t="str">
        <f>L3223*(1-K3223)</f>
      </c>
    </row>
    <row r="3224">
      <c r="A3224" t="s">
        <v>167</v>
      </c>
      <c r="B3224" t="s">
        <v>262</v>
      </c>
      <c r="C3224" s="35" t="s">
        <v>264</v>
      </c>
      <c r="D3224" t="s">
        <v>502</v>
      </c>
      <c r="E3224" t="s">
        <v>520</v>
      </c>
      <c r="F3224" s="188" t="n">
        <v>2027</v>
      </c>
      <c r="G3224" s="189" t="n">
        <v>52</v>
      </c>
      <c r="H3224" s="190" t="n">
        <v>11162.6627385589</v>
      </c>
      <c r="I3224" s="191" t="n">
        <v>3698233.67120936</v>
      </c>
      <c r="J3224" s="192" t="str">
        <f>IF(I3224&gt;0,H3224/I3224,0)</f>
      </c>
      <c r="K3224" s="193" t="str">
        <f>1-EXP(-J3224)</f>
      </c>
      <c r="L3224" s="194" t="str">
        <f>IF(G3224=30,1,M3223)</f>
      </c>
      <c r="M3224" s="195" t="str">
        <f>L3224*(1-K3224)</f>
      </c>
    </row>
    <row r="3225">
      <c r="A3225" t="s">
        <v>167</v>
      </c>
      <c r="B3225" t="s">
        <v>262</v>
      </c>
      <c r="C3225" s="35" t="s">
        <v>264</v>
      </c>
      <c r="D3225" t="s">
        <v>502</v>
      </c>
      <c r="E3225" t="s">
        <v>520</v>
      </c>
      <c r="F3225" s="188" t="n">
        <v>2027</v>
      </c>
      <c r="G3225" s="189" t="n">
        <v>53</v>
      </c>
      <c r="H3225" s="190" t="n">
        <v>11839.8887547104</v>
      </c>
      <c r="I3225" s="191" t="n">
        <v>3595050.09208225</v>
      </c>
      <c r="J3225" s="192" t="str">
        <f>IF(I3225&gt;0,H3225/I3225,0)</f>
      </c>
      <c r="K3225" s="193" t="str">
        <f>1-EXP(-J3225)</f>
      </c>
      <c r="L3225" s="194" t="str">
        <f>IF(G3225=30,1,M3224)</f>
      </c>
      <c r="M3225" s="195" t="str">
        <f>L3225*(1-K3225)</f>
      </c>
    </row>
    <row r="3226">
      <c r="A3226" t="s">
        <v>167</v>
      </c>
      <c r="B3226" t="s">
        <v>262</v>
      </c>
      <c r="C3226" s="35" t="s">
        <v>264</v>
      </c>
      <c r="D3226" t="s">
        <v>502</v>
      </c>
      <c r="E3226" t="s">
        <v>520</v>
      </c>
      <c r="F3226" s="188" t="n">
        <v>2027</v>
      </c>
      <c r="G3226" s="189" t="n">
        <v>54</v>
      </c>
      <c r="H3226" s="190" t="n">
        <v>12772.1323031591</v>
      </c>
      <c r="I3226" s="191" t="n">
        <v>3553026.77903822</v>
      </c>
      <c r="J3226" s="192" t="str">
        <f>IF(I3226&gt;0,H3226/I3226,0)</f>
      </c>
      <c r="K3226" s="193" t="str">
        <f>1-EXP(-J3226)</f>
      </c>
      <c r="L3226" s="194" t="str">
        <f>IF(G3226=30,1,M3225)</f>
      </c>
      <c r="M3226" s="195" t="str">
        <f>L3226*(1-K3226)</f>
      </c>
    </row>
    <row r="3227">
      <c r="A3227" t="s">
        <v>167</v>
      </c>
      <c r="B3227" t="s">
        <v>262</v>
      </c>
      <c r="C3227" s="35" t="s">
        <v>264</v>
      </c>
      <c r="D3227" t="s">
        <v>502</v>
      </c>
      <c r="E3227" t="s">
        <v>520</v>
      </c>
      <c r="F3227" s="188" t="n">
        <v>2027</v>
      </c>
      <c r="G3227" s="189" t="n">
        <v>55</v>
      </c>
      <c r="H3227" s="190" t="n">
        <v>13355.229211992</v>
      </c>
      <c r="I3227" s="191" t="n">
        <v>3344984.62713935</v>
      </c>
      <c r="J3227" s="192" t="str">
        <f>IF(I3227&gt;0,H3227/I3227,0)</f>
      </c>
      <c r="K3227" s="193" t="str">
        <f>1-EXP(-J3227)</f>
      </c>
      <c r="L3227" s="194" t="str">
        <f>IF(G3227=30,1,M3226)</f>
      </c>
      <c r="M3227" s="195" t="str">
        <f>L3227*(1-K3227)</f>
      </c>
    </row>
    <row r="3228">
      <c r="A3228" t="s">
        <v>167</v>
      </c>
      <c r="B3228" t="s">
        <v>262</v>
      </c>
      <c r="C3228" s="35" t="s">
        <v>264</v>
      </c>
      <c r="D3228" t="s">
        <v>502</v>
      </c>
      <c r="E3228" t="s">
        <v>520</v>
      </c>
      <c r="F3228" s="188" t="n">
        <v>2027</v>
      </c>
      <c r="G3228" s="189" t="n">
        <v>56</v>
      </c>
      <c r="H3228" s="190" t="n">
        <v>14209.9705627874</v>
      </c>
      <c r="I3228" s="191" t="n">
        <v>3259763.71624905</v>
      </c>
      <c r="J3228" s="192" t="str">
        <f>IF(I3228&gt;0,H3228/I3228,0)</f>
      </c>
      <c r="K3228" s="193" t="str">
        <f>1-EXP(-J3228)</f>
      </c>
      <c r="L3228" s="194" t="str">
        <f>IF(G3228=30,1,M3227)</f>
      </c>
      <c r="M3228" s="195" t="str">
        <f>L3228*(1-K3228)</f>
      </c>
    </row>
    <row r="3229">
      <c r="A3229" t="s">
        <v>167</v>
      </c>
      <c r="B3229" t="s">
        <v>262</v>
      </c>
      <c r="C3229" s="35" t="s">
        <v>264</v>
      </c>
      <c r="D3229" t="s">
        <v>502</v>
      </c>
      <c r="E3229" t="s">
        <v>520</v>
      </c>
      <c r="F3229" s="188" t="n">
        <v>2027</v>
      </c>
      <c r="G3229" s="189" t="n">
        <v>57</v>
      </c>
      <c r="H3229" s="190" t="n">
        <v>15143.590839862</v>
      </c>
      <c r="I3229" s="191" t="n">
        <v>3179622.49823563</v>
      </c>
      <c r="J3229" s="192" t="str">
        <f>IF(I3229&gt;0,H3229/I3229,0)</f>
      </c>
      <c r="K3229" s="193" t="str">
        <f>1-EXP(-J3229)</f>
      </c>
      <c r="L3229" s="194" t="str">
        <f>IF(G3229=30,1,M3228)</f>
      </c>
      <c r="M3229" s="195" t="str">
        <f>L3229*(1-K3229)</f>
      </c>
    </row>
    <row r="3230">
      <c r="A3230" t="s">
        <v>167</v>
      </c>
      <c r="B3230" t="s">
        <v>262</v>
      </c>
      <c r="C3230" s="35" t="s">
        <v>264</v>
      </c>
      <c r="D3230" t="s">
        <v>502</v>
      </c>
      <c r="E3230" t="s">
        <v>520</v>
      </c>
      <c r="F3230" s="188" t="n">
        <v>2027</v>
      </c>
      <c r="G3230" s="189" t="n">
        <v>58</v>
      </c>
      <c r="H3230" s="190" t="n">
        <v>16079.5937773299</v>
      </c>
      <c r="I3230" s="191" t="n">
        <v>3090213.69733496</v>
      </c>
      <c r="J3230" s="192" t="str">
        <f>IF(I3230&gt;0,H3230/I3230,0)</f>
      </c>
      <c r="K3230" s="193" t="str">
        <f>1-EXP(-J3230)</f>
      </c>
      <c r="L3230" s="194" t="str">
        <f>IF(G3230=30,1,M3229)</f>
      </c>
      <c r="M3230" s="195" t="str">
        <f>L3230*(1-K3230)</f>
      </c>
    </row>
    <row r="3231">
      <c r="A3231" t="s">
        <v>167</v>
      </c>
      <c r="B3231" t="s">
        <v>262</v>
      </c>
      <c r="C3231" s="35" t="s">
        <v>264</v>
      </c>
      <c r="D3231" t="s">
        <v>502</v>
      </c>
      <c r="E3231" t="s">
        <v>520</v>
      </c>
      <c r="F3231" s="188" t="n">
        <v>2027</v>
      </c>
      <c r="G3231" s="189" t="n">
        <v>59</v>
      </c>
      <c r="H3231" s="190" t="n">
        <v>16948.4188788624</v>
      </c>
      <c r="I3231" s="191" t="n">
        <v>2980790.94356784</v>
      </c>
      <c r="J3231" s="192" t="str">
        <f>IF(I3231&gt;0,H3231/I3231,0)</f>
      </c>
      <c r="K3231" s="193" t="str">
        <f>1-EXP(-J3231)</f>
      </c>
      <c r="L3231" s="194" t="str">
        <f>IF(G3231=30,1,M3230)</f>
      </c>
      <c r="M3231" s="195" t="str">
        <f>L3231*(1-K3231)</f>
      </c>
    </row>
    <row r="3232">
      <c r="A3232" t="s">
        <v>167</v>
      </c>
      <c r="B3232" t="s">
        <v>262</v>
      </c>
      <c r="C3232" s="35" t="s">
        <v>264</v>
      </c>
      <c r="D3232" t="s">
        <v>502</v>
      </c>
      <c r="E3232" t="s">
        <v>520</v>
      </c>
      <c r="F3232" s="188" t="n">
        <v>2027</v>
      </c>
      <c r="G3232" s="189" t="n">
        <v>60</v>
      </c>
      <c r="H3232" s="190" t="n">
        <v>18107.0526849057</v>
      </c>
      <c r="I3232" s="191" t="n">
        <v>2839747.50309336</v>
      </c>
      <c r="J3232" s="192" t="str">
        <f>IF(I3232&gt;0,H3232/I3232,0)</f>
      </c>
      <c r="K3232" s="193" t="str">
        <f>1-EXP(-J3232)</f>
      </c>
      <c r="L3232" s="194" t="str">
        <f>IF(G3232=30,1,M3231)</f>
      </c>
      <c r="M3232" s="195" t="str">
        <f>L3232*(1-K3232)</f>
      </c>
    </row>
    <row r="3233">
      <c r="A3233" t="s">
        <v>167</v>
      </c>
      <c r="B3233" t="s">
        <v>262</v>
      </c>
      <c r="C3233" s="35" t="s">
        <v>264</v>
      </c>
      <c r="D3233" t="s">
        <v>502</v>
      </c>
      <c r="E3233" t="s">
        <v>520</v>
      </c>
      <c r="F3233" s="188" t="n">
        <v>2027</v>
      </c>
      <c r="G3233" s="189" t="n">
        <v>61</v>
      </c>
      <c r="H3233" s="190" t="n">
        <v>19089.4029757588</v>
      </c>
      <c r="I3233" s="191" t="n">
        <v>2735177.85231975</v>
      </c>
      <c r="J3233" s="192" t="str">
        <f>IF(I3233&gt;0,H3233/I3233,0)</f>
      </c>
      <c r="K3233" s="193" t="str">
        <f>1-EXP(-J3233)</f>
      </c>
      <c r="L3233" s="194" t="str">
        <f>IF(G3233=30,1,M3232)</f>
      </c>
      <c r="M3233" s="195" t="str">
        <f>L3233*(1-K3233)</f>
      </c>
    </row>
    <row r="3234">
      <c r="A3234" t="s">
        <v>167</v>
      </c>
      <c r="B3234" t="s">
        <v>262</v>
      </c>
      <c r="C3234" s="35" t="s">
        <v>264</v>
      </c>
      <c r="D3234" t="s">
        <v>502</v>
      </c>
      <c r="E3234" t="s">
        <v>520</v>
      </c>
      <c r="F3234" s="188" t="n">
        <v>2027</v>
      </c>
      <c r="G3234" s="189" t="n">
        <v>62</v>
      </c>
      <c r="H3234" s="190" t="n">
        <v>19912.0321435464</v>
      </c>
      <c r="I3234" s="191" t="n">
        <v>2609186.53567344</v>
      </c>
      <c r="J3234" s="192" t="str">
        <f>IF(I3234&gt;0,H3234/I3234,0)</f>
      </c>
      <c r="K3234" s="193" t="str">
        <f>1-EXP(-J3234)</f>
      </c>
      <c r="L3234" s="194" t="str">
        <f>IF(G3234=30,1,M3233)</f>
      </c>
      <c r="M3234" s="195" t="str">
        <f>L3234*(1-K3234)</f>
      </c>
    </row>
    <row r="3235">
      <c r="A3235" t="s">
        <v>167</v>
      </c>
      <c r="B3235" t="s">
        <v>262</v>
      </c>
      <c r="C3235" s="35" t="s">
        <v>264</v>
      </c>
      <c r="D3235" t="s">
        <v>502</v>
      </c>
      <c r="E3235" t="s">
        <v>520</v>
      </c>
      <c r="F3235" s="188" t="n">
        <v>2027</v>
      </c>
      <c r="G3235" s="189" t="n">
        <v>63</v>
      </c>
      <c r="H3235" s="190" t="n">
        <v>20735.6477447693</v>
      </c>
      <c r="I3235" s="191" t="n">
        <v>2483424.29692895</v>
      </c>
      <c r="J3235" s="192" t="str">
        <f>IF(I3235&gt;0,H3235/I3235,0)</f>
      </c>
      <c r="K3235" s="193" t="str">
        <f>1-EXP(-J3235)</f>
      </c>
      <c r="L3235" s="194" t="str">
        <f>IF(G3235=30,1,M3234)</f>
      </c>
      <c r="M3235" s="195" t="str">
        <f>L3235*(1-K3235)</f>
      </c>
    </row>
    <row r="3236">
      <c r="A3236" t="s">
        <v>167</v>
      </c>
      <c r="B3236" t="s">
        <v>262</v>
      </c>
      <c r="C3236" s="35" t="s">
        <v>264</v>
      </c>
      <c r="D3236" t="s">
        <v>502</v>
      </c>
      <c r="E3236" t="s">
        <v>520</v>
      </c>
      <c r="F3236" s="188" t="n">
        <v>2027</v>
      </c>
      <c r="G3236" s="189" t="n">
        <v>64</v>
      </c>
      <c r="H3236" s="190" t="n">
        <v>21595.3179891884</v>
      </c>
      <c r="I3236" s="191" t="n">
        <v>2362642.78746245</v>
      </c>
      <c r="J3236" s="192" t="str">
        <f>IF(I3236&gt;0,H3236/I3236,0)</f>
      </c>
      <c r="K3236" s="193" t="str">
        <f>1-EXP(-J3236)</f>
      </c>
      <c r="L3236" s="194" t="str">
        <f>IF(G3236=30,1,M3235)</f>
      </c>
      <c r="M3236" s="195" t="str">
        <f>L3236*(1-K3236)</f>
      </c>
    </row>
    <row r="3237">
      <c r="A3237" t="s">
        <v>167</v>
      </c>
      <c r="B3237" t="s">
        <v>262</v>
      </c>
      <c r="C3237" s="35" t="s">
        <v>264</v>
      </c>
      <c r="D3237" t="s">
        <v>502</v>
      </c>
      <c r="E3237" t="s">
        <v>520</v>
      </c>
      <c r="F3237" s="188" t="n">
        <v>2027</v>
      </c>
      <c r="G3237" s="189" t="n">
        <v>65</v>
      </c>
      <c r="H3237" s="190" t="n">
        <v>21706.9847923558</v>
      </c>
      <c r="I3237" s="191" t="n">
        <v>2216154.27881473</v>
      </c>
      <c r="J3237" s="192" t="str">
        <f>IF(I3237&gt;0,H3237/I3237,0)</f>
      </c>
      <c r="K3237" s="193" t="str">
        <f>1-EXP(-J3237)</f>
      </c>
      <c r="L3237" s="194" t="str">
        <f>IF(G3237=30,1,M3236)</f>
      </c>
      <c r="M3237" s="195" t="str">
        <f>L3237*(1-K3237)</f>
      </c>
    </row>
    <row r="3238">
      <c r="A3238" t="s">
        <v>167</v>
      </c>
      <c r="B3238" t="s">
        <v>262</v>
      </c>
      <c r="C3238" s="35" t="s">
        <v>264</v>
      </c>
      <c r="D3238" t="s">
        <v>502</v>
      </c>
      <c r="E3238" t="s">
        <v>520</v>
      </c>
      <c r="F3238" s="188" t="n">
        <v>2027</v>
      </c>
      <c r="G3238" s="189" t="n">
        <v>66</v>
      </c>
      <c r="H3238" s="190" t="n">
        <v>22484.1213306836</v>
      </c>
      <c r="I3238" s="191" t="n">
        <v>2094990.69856282</v>
      </c>
      <c r="J3238" s="192" t="str">
        <f>IF(I3238&gt;0,H3238/I3238,0)</f>
      </c>
      <c r="K3238" s="193" t="str">
        <f>1-EXP(-J3238)</f>
      </c>
      <c r="L3238" s="194" t="str">
        <f>IF(G3238=30,1,M3237)</f>
      </c>
      <c r="M3238" s="195" t="str">
        <f>L3238*(1-K3238)</f>
      </c>
    </row>
    <row r="3239">
      <c r="A3239" t="s">
        <v>167</v>
      </c>
      <c r="B3239" t="s">
        <v>262</v>
      </c>
      <c r="C3239" s="35" t="s">
        <v>264</v>
      </c>
      <c r="D3239" t="s">
        <v>502</v>
      </c>
      <c r="E3239" t="s">
        <v>520</v>
      </c>
      <c r="F3239" s="188" t="n">
        <v>2027</v>
      </c>
      <c r="G3239" s="189" t="n">
        <v>67</v>
      </c>
      <c r="H3239" s="190" t="n">
        <v>23176.3705210981</v>
      </c>
      <c r="I3239" s="191" t="n">
        <v>1969826.24959218</v>
      </c>
      <c r="J3239" s="192" t="str">
        <f>IF(I3239&gt;0,H3239/I3239,0)</f>
      </c>
      <c r="K3239" s="193" t="str">
        <f>1-EXP(-J3239)</f>
      </c>
      <c r="L3239" s="194" t="str">
        <f>IF(G3239=30,1,M3238)</f>
      </c>
      <c r="M3239" s="195" t="str">
        <f>L3239*(1-K3239)</f>
      </c>
    </row>
    <row r="3240">
      <c r="A3240" t="s">
        <v>167</v>
      </c>
      <c r="B3240" t="s">
        <v>262</v>
      </c>
      <c r="C3240" s="35" t="s">
        <v>264</v>
      </c>
      <c r="D3240" t="s">
        <v>502</v>
      </c>
      <c r="E3240" t="s">
        <v>520</v>
      </c>
      <c r="F3240" s="188" t="n">
        <v>2027</v>
      </c>
      <c r="G3240" s="189" t="n">
        <v>68</v>
      </c>
      <c r="H3240" s="190" t="n">
        <v>23728.4826070198</v>
      </c>
      <c r="I3240" s="191" t="n">
        <v>1838783.61858608</v>
      </c>
      <c r="J3240" s="192" t="str">
        <f>IF(I3240&gt;0,H3240/I3240,0)</f>
      </c>
      <c r="K3240" s="193" t="str">
        <f>1-EXP(-J3240)</f>
      </c>
      <c r="L3240" s="194" t="str">
        <f>IF(G3240=30,1,M3239)</f>
      </c>
      <c r="M3240" s="195" t="str">
        <f>L3240*(1-K3240)</f>
      </c>
    </row>
    <row r="3241">
      <c r="A3241" t="s">
        <v>167</v>
      </c>
      <c r="B3241" t="s">
        <v>262</v>
      </c>
      <c r="C3241" s="35" t="s">
        <v>264</v>
      </c>
      <c r="D3241" t="s">
        <v>502</v>
      </c>
      <c r="E3241" t="s">
        <v>520</v>
      </c>
      <c r="F3241" s="188" t="n">
        <v>2027</v>
      </c>
      <c r="G3241" s="189" t="n">
        <v>69</v>
      </c>
      <c r="H3241" s="190" t="n">
        <v>24225.5930234764</v>
      </c>
      <c r="I3241" s="191" t="n">
        <v>1710298.44118649</v>
      </c>
      <c r="J3241" s="192" t="str">
        <f>IF(I3241&gt;0,H3241/I3241,0)</f>
      </c>
      <c r="K3241" s="193" t="str">
        <f>1-EXP(-J3241)</f>
      </c>
      <c r="L3241" s="194" t="str">
        <f>IF(G3241=30,1,M3240)</f>
      </c>
      <c r="M3241" s="195" t="str">
        <f>L3241*(1-K3241)</f>
      </c>
    </row>
    <row r="3242">
      <c r="A3242" t="s">
        <v>167</v>
      </c>
      <c r="B3242" t="s">
        <v>262</v>
      </c>
      <c r="C3242" s="35" t="s">
        <v>264</v>
      </c>
      <c r="D3242" t="s">
        <v>502</v>
      </c>
      <c r="E3242" t="s">
        <v>520</v>
      </c>
      <c r="F3242" s="188" t="n">
        <v>2028</v>
      </c>
      <c r="G3242" s="189" t="n">
        <v>30</v>
      </c>
      <c r="H3242" s="190" t="n">
        <v>977.266514992362</v>
      </c>
      <c r="I3242" s="191" t="n">
        <v>4420058.45944782</v>
      </c>
      <c r="J3242" s="192" t="str">
        <f>IF(I3242&gt;0,H3242/I3242,0)</f>
      </c>
      <c r="K3242" s="193" t="str">
        <f>1-EXP(-J3242)</f>
      </c>
      <c r="L3242" s="194" t="str">
        <f>IF(G3242=30,1,M3241)</f>
      </c>
      <c r="M3242" s="195" t="str">
        <f>L3242*(1-K3242)</f>
      </c>
    </row>
    <row r="3243">
      <c r="A3243" t="s">
        <v>167</v>
      </c>
      <c r="B3243" t="s">
        <v>262</v>
      </c>
      <c r="C3243" s="35" t="s">
        <v>264</v>
      </c>
      <c r="D3243" t="s">
        <v>502</v>
      </c>
      <c r="E3243" t="s">
        <v>520</v>
      </c>
      <c r="F3243" s="188" t="n">
        <v>2028</v>
      </c>
      <c r="G3243" s="189" t="n">
        <v>31</v>
      </c>
      <c r="H3243" s="190" t="n">
        <v>1335.76599909809</v>
      </c>
      <c r="I3243" s="191" t="n">
        <v>4561954.68601532</v>
      </c>
      <c r="J3243" s="192" t="str">
        <f>IF(I3243&gt;0,H3243/I3243,0)</f>
      </c>
      <c r="K3243" s="193" t="str">
        <f>1-EXP(-J3243)</f>
      </c>
      <c r="L3243" s="194" t="str">
        <f>IF(G3243=30,1,M3242)</f>
      </c>
      <c r="M3243" s="195" t="str">
        <f>L3243*(1-K3243)</f>
      </c>
    </row>
    <row r="3244">
      <c r="A3244" t="s">
        <v>167</v>
      </c>
      <c r="B3244" t="s">
        <v>262</v>
      </c>
      <c r="C3244" s="35" t="s">
        <v>264</v>
      </c>
      <c r="D3244" t="s">
        <v>502</v>
      </c>
      <c r="E3244" t="s">
        <v>520</v>
      </c>
      <c r="F3244" s="188" t="n">
        <v>2028</v>
      </c>
      <c r="G3244" s="189" t="n">
        <v>32</v>
      </c>
      <c r="H3244" s="190" t="n">
        <v>1384.57826153744</v>
      </c>
      <c r="I3244" s="191" t="n">
        <v>4519599.92609358</v>
      </c>
      <c r="J3244" s="192" t="str">
        <f>IF(I3244&gt;0,H3244/I3244,0)</f>
      </c>
      <c r="K3244" s="193" t="str">
        <f>1-EXP(-J3244)</f>
      </c>
      <c r="L3244" s="194" t="str">
        <f>IF(G3244=30,1,M3243)</f>
      </c>
      <c r="M3244" s="195" t="str">
        <f>L3244*(1-K3244)</f>
      </c>
    </row>
    <row r="3245">
      <c r="A3245" t="s">
        <v>167</v>
      </c>
      <c r="B3245" t="s">
        <v>262</v>
      </c>
      <c r="C3245" s="35" t="s">
        <v>264</v>
      </c>
      <c r="D3245" t="s">
        <v>502</v>
      </c>
      <c r="E3245" t="s">
        <v>520</v>
      </c>
      <c r="F3245" s="188" t="n">
        <v>2028</v>
      </c>
      <c r="G3245" s="189" t="n">
        <v>33</v>
      </c>
      <c r="H3245" s="190" t="n">
        <v>1434.6499403948</v>
      </c>
      <c r="I3245" s="191" t="n">
        <v>4447053.34272268</v>
      </c>
      <c r="J3245" s="192" t="str">
        <f>IF(I3245&gt;0,H3245/I3245,0)</f>
      </c>
      <c r="K3245" s="193" t="str">
        <f>1-EXP(-J3245)</f>
      </c>
      <c r="L3245" s="194" t="str">
        <f>IF(G3245=30,1,M3244)</f>
      </c>
      <c r="M3245" s="195" t="str">
        <f>L3245*(1-K3245)</f>
      </c>
    </row>
    <row r="3246">
      <c r="A3246" t="s">
        <v>167</v>
      </c>
      <c r="B3246" t="s">
        <v>262</v>
      </c>
      <c r="C3246" s="35" t="s">
        <v>264</v>
      </c>
      <c r="D3246" t="s">
        <v>502</v>
      </c>
      <c r="E3246" t="s">
        <v>520</v>
      </c>
      <c r="F3246" s="188" t="n">
        <v>2028</v>
      </c>
      <c r="G3246" s="189" t="n">
        <v>34</v>
      </c>
      <c r="H3246" s="190" t="n">
        <v>1500.21348171758</v>
      </c>
      <c r="I3246" s="191" t="n">
        <v>4390430.41170878</v>
      </c>
      <c r="J3246" s="192" t="str">
        <f>IF(I3246&gt;0,H3246/I3246,0)</f>
      </c>
      <c r="K3246" s="193" t="str">
        <f>1-EXP(-J3246)</f>
      </c>
      <c r="L3246" s="194" t="str">
        <f>IF(G3246=30,1,M3245)</f>
      </c>
      <c r="M3246" s="195" t="str">
        <f>L3246*(1-K3246)</f>
      </c>
    </row>
    <row r="3247">
      <c r="A3247" t="s">
        <v>167</v>
      </c>
      <c r="B3247" t="s">
        <v>262</v>
      </c>
      <c r="C3247" s="35" t="s">
        <v>264</v>
      </c>
      <c r="D3247" t="s">
        <v>502</v>
      </c>
      <c r="E3247" t="s">
        <v>520</v>
      </c>
      <c r="F3247" s="188" t="n">
        <v>2028</v>
      </c>
      <c r="G3247" s="189" t="n">
        <v>35</v>
      </c>
      <c r="H3247" s="190" t="n">
        <v>2030.73842166056</v>
      </c>
      <c r="I3247" s="191" t="n">
        <v>4337523.0277541</v>
      </c>
      <c r="J3247" s="192" t="str">
        <f>IF(I3247&gt;0,H3247/I3247,0)</f>
      </c>
      <c r="K3247" s="193" t="str">
        <f>1-EXP(-J3247)</f>
      </c>
      <c r="L3247" s="194" t="str">
        <f>IF(G3247=30,1,M3246)</f>
      </c>
      <c r="M3247" s="195" t="str">
        <f>L3247*(1-K3247)</f>
      </c>
    </row>
    <row r="3248">
      <c r="A3248" t="s">
        <v>167</v>
      </c>
      <c r="B3248" t="s">
        <v>262</v>
      </c>
      <c r="C3248" s="35" t="s">
        <v>264</v>
      </c>
      <c r="D3248" t="s">
        <v>502</v>
      </c>
      <c r="E3248" t="s">
        <v>520</v>
      </c>
      <c r="F3248" s="188" t="n">
        <v>2028</v>
      </c>
      <c r="G3248" s="189" t="n">
        <v>36</v>
      </c>
      <c r="H3248" s="190" t="n">
        <v>2187.01288988107</v>
      </c>
      <c r="I3248" s="191" t="n">
        <v>4375929.94123343</v>
      </c>
      <c r="J3248" s="192" t="str">
        <f>IF(I3248&gt;0,H3248/I3248,0)</f>
      </c>
      <c r="K3248" s="193" t="str">
        <f>1-EXP(-J3248)</f>
      </c>
      <c r="L3248" s="194" t="str">
        <f>IF(G3248=30,1,M3247)</f>
      </c>
      <c r="M3248" s="195" t="str">
        <f>L3248*(1-K3248)</f>
      </c>
    </row>
    <row r="3249">
      <c r="A3249" t="s">
        <v>167</v>
      </c>
      <c r="B3249" t="s">
        <v>262</v>
      </c>
      <c r="C3249" s="35" t="s">
        <v>264</v>
      </c>
      <c r="D3249" t="s">
        <v>502</v>
      </c>
      <c r="E3249" t="s">
        <v>520</v>
      </c>
      <c r="F3249" s="188" t="n">
        <v>2028</v>
      </c>
      <c r="G3249" s="189" t="n">
        <v>37</v>
      </c>
      <c r="H3249" s="190" t="n">
        <v>2355.06516338643</v>
      </c>
      <c r="I3249" s="191" t="n">
        <v>4395164.43401009</v>
      </c>
      <c r="J3249" s="192" t="str">
        <f>IF(I3249&gt;0,H3249/I3249,0)</f>
      </c>
      <c r="K3249" s="193" t="str">
        <f>1-EXP(-J3249)</f>
      </c>
      <c r="L3249" s="194" t="str">
        <f>IF(G3249=30,1,M3248)</f>
      </c>
      <c r="M3249" s="195" t="str">
        <f>L3249*(1-K3249)</f>
      </c>
    </row>
    <row r="3250">
      <c r="A3250" t="s">
        <v>167</v>
      </c>
      <c r="B3250" t="s">
        <v>262</v>
      </c>
      <c r="C3250" s="35" t="s">
        <v>264</v>
      </c>
      <c r="D3250" t="s">
        <v>502</v>
      </c>
      <c r="E3250" t="s">
        <v>520</v>
      </c>
      <c r="F3250" s="188" t="n">
        <v>2028</v>
      </c>
      <c r="G3250" s="189" t="n">
        <v>38</v>
      </c>
      <c r="H3250" s="190" t="n">
        <v>3573.62659909043</v>
      </c>
      <c r="I3250" s="191" t="n">
        <v>6472833.32419875</v>
      </c>
      <c r="J3250" s="192" t="str">
        <f>IF(I3250&gt;0,H3250/I3250,0)</f>
      </c>
      <c r="K3250" s="193" t="str">
        <f>1-EXP(-J3250)</f>
      </c>
      <c r="L3250" s="194" t="str">
        <f>IF(G3250=30,1,M3249)</f>
      </c>
      <c r="M3250" s="195" t="str">
        <f>L3250*(1-K3250)</f>
      </c>
    </row>
    <row r="3251">
      <c r="A3251" t="s">
        <v>167</v>
      </c>
      <c r="B3251" t="s">
        <v>262</v>
      </c>
      <c r="C3251" s="35" t="s">
        <v>264</v>
      </c>
      <c r="D3251" t="s">
        <v>502</v>
      </c>
      <c r="E3251" t="s">
        <v>520</v>
      </c>
      <c r="F3251" s="188" t="n">
        <v>2028</v>
      </c>
      <c r="G3251" s="189" t="n">
        <v>39</v>
      </c>
      <c r="H3251" s="190" t="n">
        <v>2695.40414760528</v>
      </c>
      <c r="I3251" s="191" t="n">
        <v>4356191.50800831</v>
      </c>
      <c r="J3251" s="192" t="str">
        <f>IF(I3251&gt;0,H3251/I3251,0)</f>
      </c>
      <c r="K3251" s="193" t="str">
        <f>1-EXP(-J3251)</f>
      </c>
      <c r="L3251" s="194" t="str">
        <f>IF(G3251=30,1,M3250)</f>
      </c>
      <c r="M3251" s="195" t="str">
        <f>L3251*(1-K3251)</f>
      </c>
    </row>
    <row r="3252">
      <c r="A3252" t="s">
        <v>167</v>
      </c>
      <c r="B3252" t="s">
        <v>262</v>
      </c>
      <c r="C3252" s="35" t="s">
        <v>264</v>
      </c>
      <c r="D3252" t="s">
        <v>502</v>
      </c>
      <c r="E3252" t="s">
        <v>520</v>
      </c>
      <c r="F3252" s="188" t="n">
        <v>2028</v>
      </c>
      <c r="G3252" s="189" t="n">
        <v>40</v>
      </c>
      <c r="H3252" s="190" t="n">
        <v>3618.33190337329</v>
      </c>
      <c r="I3252" s="191" t="n">
        <v>4340906.95600525</v>
      </c>
      <c r="J3252" s="192" t="str">
        <f>IF(I3252&gt;0,H3252/I3252,0)</f>
      </c>
      <c r="K3252" s="193" t="str">
        <f>1-EXP(-J3252)</f>
      </c>
      <c r="L3252" s="194" t="str">
        <f>IF(G3252=30,1,M3251)</f>
      </c>
      <c r="M3252" s="195" t="str">
        <f>L3252*(1-K3252)</f>
      </c>
    </row>
    <row r="3253">
      <c r="A3253" t="s">
        <v>167</v>
      </c>
      <c r="B3253" t="s">
        <v>262</v>
      </c>
      <c r="C3253" s="35" t="s">
        <v>264</v>
      </c>
      <c r="D3253" t="s">
        <v>502</v>
      </c>
      <c r="E3253" t="s">
        <v>520</v>
      </c>
      <c r="F3253" s="188" t="n">
        <v>2028</v>
      </c>
      <c r="G3253" s="189" t="n">
        <v>41</v>
      </c>
      <c r="H3253" s="190" t="n">
        <v>3792.70327488691</v>
      </c>
      <c r="I3253" s="191" t="n">
        <v>4208768.71690902</v>
      </c>
      <c r="J3253" s="192" t="str">
        <f>IF(I3253&gt;0,H3253/I3253,0)</f>
      </c>
      <c r="K3253" s="193" t="str">
        <f>1-EXP(-J3253)</f>
      </c>
      <c r="L3253" s="194" t="str">
        <f>IF(G3253=30,1,M3252)</f>
      </c>
      <c r="M3253" s="195" t="str">
        <f>L3253*(1-K3253)</f>
      </c>
    </row>
    <row r="3254">
      <c r="A3254" t="s">
        <v>167</v>
      </c>
      <c r="B3254" t="s">
        <v>262</v>
      </c>
      <c r="C3254" s="35" t="s">
        <v>264</v>
      </c>
      <c r="D3254" t="s">
        <v>502</v>
      </c>
      <c r="E3254" t="s">
        <v>520</v>
      </c>
      <c r="F3254" s="188" t="n">
        <v>2028</v>
      </c>
      <c r="G3254" s="189" t="n">
        <v>42</v>
      </c>
      <c r="H3254" s="190" t="n">
        <v>4078.18468132092</v>
      </c>
      <c r="I3254" s="191" t="n">
        <v>4175704.34567454</v>
      </c>
      <c r="J3254" s="192" t="str">
        <f>IF(I3254&gt;0,H3254/I3254,0)</f>
      </c>
      <c r="K3254" s="193" t="str">
        <f>1-EXP(-J3254)</f>
      </c>
      <c r="L3254" s="194" t="str">
        <f>IF(G3254=30,1,M3253)</f>
      </c>
      <c r="M3254" s="195" t="str">
        <f>L3254*(1-K3254)</f>
      </c>
    </row>
    <row r="3255">
      <c r="A3255" t="s">
        <v>167</v>
      </c>
      <c r="B3255" t="s">
        <v>262</v>
      </c>
      <c r="C3255" s="35" t="s">
        <v>264</v>
      </c>
      <c r="D3255" t="s">
        <v>502</v>
      </c>
      <c r="E3255" t="s">
        <v>520</v>
      </c>
      <c r="F3255" s="188" t="n">
        <v>2028</v>
      </c>
      <c r="G3255" s="189" t="n">
        <v>43</v>
      </c>
      <c r="H3255" s="190" t="n">
        <v>4501.0262100414</v>
      </c>
      <c r="I3255" s="191" t="n">
        <v>4236967.1258898</v>
      </c>
      <c r="J3255" s="192" t="str">
        <f>IF(I3255&gt;0,H3255/I3255,0)</f>
      </c>
      <c r="K3255" s="193" t="str">
        <f>1-EXP(-J3255)</f>
      </c>
      <c r="L3255" s="194" t="str">
        <f>IF(G3255=30,1,M3254)</f>
      </c>
      <c r="M3255" s="195" t="str">
        <f>L3255*(1-K3255)</f>
      </c>
    </row>
    <row r="3256">
      <c r="A3256" t="s">
        <v>167</v>
      </c>
      <c r="B3256" t="s">
        <v>262</v>
      </c>
      <c r="C3256" s="35" t="s">
        <v>264</v>
      </c>
      <c r="D3256" t="s">
        <v>502</v>
      </c>
      <c r="E3256" t="s">
        <v>520</v>
      </c>
      <c r="F3256" s="188" t="n">
        <v>2028</v>
      </c>
      <c r="G3256" s="189" t="n">
        <v>44</v>
      </c>
      <c r="H3256" s="190" t="n">
        <v>5010.4748340429</v>
      </c>
      <c r="I3256" s="191" t="n">
        <v>4323759.47643235</v>
      </c>
      <c r="J3256" s="192" t="str">
        <f>IF(I3256&gt;0,H3256/I3256,0)</f>
      </c>
      <c r="K3256" s="193" t="str">
        <f>1-EXP(-J3256)</f>
      </c>
      <c r="L3256" s="194" t="str">
        <f>IF(G3256=30,1,M3255)</f>
      </c>
      <c r="M3256" s="195" t="str">
        <f>L3256*(1-K3256)</f>
      </c>
    </row>
    <row r="3257">
      <c r="A3257" t="s">
        <v>167</v>
      </c>
      <c r="B3257" t="s">
        <v>262</v>
      </c>
      <c r="C3257" s="35" t="s">
        <v>264</v>
      </c>
      <c r="D3257" t="s">
        <v>502</v>
      </c>
      <c r="E3257" t="s">
        <v>520</v>
      </c>
      <c r="F3257" s="188" t="n">
        <v>2028</v>
      </c>
      <c r="G3257" s="189" t="n">
        <v>45</v>
      </c>
      <c r="H3257" s="190" t="n">
        <v>6452.62274630713</v>
      </c>
      <c r="I3257" s="191" t="n">
        <v>4301218.12926608</v>
      </c>
      <c r="J3257" s="192" t="str">
        <f>IF(I3257&gt;0,H3257/I3257,0)</f>
      </c>
      <c r="K3257" s="193" t="str">
        <f>1-EXP(-J3257)</f>
      </c>
      <c r="L3257" s="194" t="str">
        <f>IF(G3257=30,1,M3256)</f>
      </c>
      <c r="M3257" s="195" t="str">
        <f>L3257*(1-K3257)</f>
      </c>
    </row>
    <row r="3258">
      <c r="A3258" t="s">
        <v>167</v>
      </c>
      <c r="B3258" t="s">
        <v>262</v>
      </c>
      <c r="C3258" s="35" t="s">
        <v>264</v>
      </c>
      <c r="D3258" t="s">
        <v>502</v>
      </c>
      <c r="E3258" t="s">
        <v>520</v>
      </c>
      <c r="F3258" s="188" t="n">
        <v>2028</v>
      </c>
      <c r="G3258" s="189" t="n">
        <v>46</v>
      </c>
      <c r="H3258" s="190" t="n">
        <v>6840.6192367784</v>
      </c>
      <c r="I3258" s="191" t="n">
        <v>4164640.70314214</v>
      </c>
      <c r="J3258" s="192" t="str">
        <f>IF(I3258&gt;0,H3258/I3258,0)</f>
      </c>
      <c r="K3258" s="193" t="str">
        <f>1-EXP(-J3258)</f>
      </c>
      <c r="L3258" s="194" t="str">
        <f>IF(G3258=30,1,M3257)</f>
      </c>
      <c r="M3258" s="195" t="str">
        <f>L3258*(1-K3258)</f>
      </c>
    </row>
    <row r="3259">
      <c r="A3259" t="s">
        <v>167</v>
      </c>
      <c r="B3259" t="s">
        <v>262</v>
      </c>
      <c r="C3259" s="35" t="s">
        <v>264</v>
      </c>
      <c r="D3259" t="s">
        <v>502</v>
      </c>
      <c r="E3259" t="s">
        <v>520</v>
      </c>
      <c r="F3259" s="188" t="n">
        <v>2028</v>
      </c>
      <c r="G3259" s="189" t="n">
        <v>47</v>
      </c>
      <c r="H3259" s="190" t="n">
        <v>7362.38310502949</v>
      </c>
      <c r="I3259" s="191" t="n">
        <v>4091837.09427415</v>
      </c>
      <c r="J3259" s="192" t="str">
        <f>IF(I3259&gt;0,H3259/I3259,0)</f>
      </c>
      <c r="K3259" s="193" t="str">
        <f>1-EXP(-J3259)</f>
      </c>
      <c r="L3259" s="194" t="str">
        <f>IF(G3259=30,1,M3258)</f>
      </c>
      <c r="M3259" s="195" t="str">
        <f>L3259*(1-K3259)</f>
      </c>
    </row>
    <row r="3260">
      <c r="A3260" t="s">
        <v>167</v>
      </c>
      <c r="B3260" t="s">
        <v>262</v>
      </c>
      <c r="C3260" s="35" t="s">
        <v>264</v>
      </c>
      <c r="D3260" t="s">
        <v>502</v>
      </c>
      <c r="E3260" t="s">
        <v>520</v>
      </c>
      <c r="F3260" s="188" t="n">
        <v>2028</v>
      </c>
      <c r="G3260" s="189" t="n">
        <v>48</v>
      </c>
      <c r="H3260" s="190" t="n">
        <v>7949.25552360713</v>
      </c>
      <c r="I3260" s="191" t="n">
        <v>4035037.30547494</v>
      </c>
      <c r="J3260" s="192" t="str">
        <f>IF(I3260&gt;0,H3260/I3260,0)</f>
      </c>
      <c r="K3260" s="193" t="str">
        <f>1-EXP(-J3260)</f>
      </c>
      <c r="L3260" s="194" t="str">
        <f>IF(G3260=30,1,M3259)</f>
      </c>
      <c r="M3260" s="195" t="str">
        <f>L3260*(1-K3260)</f>
      </c>
    </row>
    <row r="3261">
      <c r="A3261" t="s">
        <v>167</v>
      </c>
      <c r="B3261" t="s">
        <v>262</v>
      </c>
      <c r="C3261" s="35" t="s">
        <v>264</v>
      </c>
      <c r="D3261" t="s">
        <v>502</v>
      </c>
      <c r="E3261" t="s">
        <v>520</v>
      </c>
      <c r="F3261" s="188" t="n">
        <v>2028</v>
      </c>
      <c r="G3261" s="189" t="n">
        <v>49</v>
      </c>
      <c r="H3261" s="190" t="n">
        <v>8560.25727344433</v>
      </c>
      <c r="I3261" s="191" t="n">
        <v>3972807.36616954</v>
      </c>
      <c r="J3261" s="192" t="str">
        <f>IF(I3261&gt;0,H3261/I3261,0)</f>
      </c>
      <c r="K3261" s="193" t="str">
        <f>1-EXP(-J3261)</f>
      </c>
      <c r="L3261" s="194" t="str">
        <f>IF(G3261=30,1,M3260)</f>
      </c>
      <c r="M3261" s="195" t="str">
        <f>L3261*(1-K3261)</f>
      </c>
    </row>
    <row r="3262">
      <c r="A3262" t="s">
        <v>167</v>
      </c>
      <c r="B3262" t="s">
        <v>262</v>
      </c>
      <c r="C3262" s="35" t="s">
        <v>264</v>
      </c>
      <c r="D3262" t="s">
        <v>502</v>
      </c>
      <c r="E3262" t="s">
        <v>520</v>
      </c>
      <c r="F3262" s="188" t="n">
        <v>2028</v>
      </c>
      <c r="G3262" s="189" t="n">
        <v>50</v>
      </c>
      <c r="H3262" s="190" t="n">
        <v>9783.94837355365</v>
      </c>
      <c r="I3262" s="191" t="n">
        <v>3891050.22514255</v>
      </c>
      <c r="J3262" s="192" t="str">
        <f>IF(I3262&gt;0,H3262/I3262,0)</f>
      </c>
      <c r="K3262" s="193" t="str">
        <f>1-EXP(-J3262)</f>
      </c>
      <c r="L3262" s="194" t="str">
        <f>IF(G3262=30,1,M3261)</f>
      </c>
      <c r="M3262" s="195" t="str">
        <f>L3262*(1-K3262)</f>
      </c>
    </row>
    <row r="3263">
      <c r="A3263" t="s">
        <v>167</v>
      </c>
      <c r="B3263" t="s">
        <v>262</v>
      </c>
      <c r="C3263" s="35" t="s">
        <v>264</v>
      </c>
      <c r="D3263" t="s">
        <v>502</v>
      </c>
      <c r="E3263" t="s">
        <v>520</v>
      </c>
      <c r="F3263" s="188" t="n">
        <v>2028</v>
      </c>
      <c r="G3263" s="189" t="n">
        <v>51</v>
      </c>
      <c r="H3263" s="190" t="n">
        <v>10519.4771498339</v>
      </c>
      <c r="I3263" s="191" t="n">
        <v>3825691.29101751</v>
      </c>
      <c r="J3263" s="192" t="str">
        <f>IF(I3263&gt;0,H3263/I3263,0)</f>
      </c>
      <c r="K3263" s="193" t="str">
        <f>1-EXP(-J3263)</f>
      </c>
      <c r="L3263" s="194" t="str">
        <f>IF(G3263=30,1,M3262)</f>
      </c>
      <c r="M3263" s="195" t="str">
        <f>L3263*(1-K3263)</f>
      </c>
    </row>
    <row r="3264">
      <c r="A3264" t="s">
        <v>167</v>
      </c>
      <c r="B3264" t="s">
        <v>262</v>
      </c>
      <c r="C3264" s="35" t="s">
        <v>264</v>
      </c>
      <c r="D3264" t="s">
        <v>502</v>
      </c>
      <c r="E3264" t="s">
        <v>520</v>
      </c>
      <c r="F3264" s="188" t="n">
        <v>2028</v>
      </c>
      <c r="G3264" s="189" t="n">
        <v>52</v>
      </c>
      <c r="H3264" s="190" t="n">
        <v>11253.25091288</v>
      </c>
      <c r="I3264" s="191" t="n">
        <v>3749233.81738186</v>
      </c>
      <c r="J3264" s="192" t="str">
        <f>IF(I3264&gt;0,H3264/I3264,0)</f>
      </c>
      <c r="K3264" s="193" t="str">
        <f>1-EXP(-J3264)</f>
      </c>
      <c r="L3264" s="194" t="str">
        <f>IF(G3264=30,1,M3263)</f>
      </c>
      <c r="M3264" s="195" t="str">
        <f>L3264*(1-K3264)</f>
      </c>
    </row>
    <row r="3265">
      <c r="A3265" t="s">
        <v>167</v>
      </c>
      <c r="B3265" t="s">
        <v>262</v>
      </c>
      <c r="C3265" s="35" t="s">
        <v>264</v>
      </c>
      <c r="D3265" t="s">
        <v>502</v>
      </c>
      <c r="E3265" t="s">
        <v>520</v>
      </c>
      <c r="F3265" s="188" t="n">
        <v>2028</v>
      </c>
      <c r="G3265" s="189" t="n">
        <v>53</v>
      </c>
      <c r="H3265" s="190" t="n">
        <v>12031.7687679852</v>
      </c>
      <c r="I3265" s="191" t="n">
        <v>3672110.06868201</v>
      </c>
      <c r="J3265" s="192" t="str">
        <f>IF(I3265&gt;0,H3265/I3265,0)</f>
      </c>
      <c r="K3265" s="193" t="str">
        <f>1-EXP(-J3265)</f>
      </c>
      <c r="L3265" s="194" t="str">
        <f>IF(G3265=30,1,M3264)</f>
      </c>
      <c r="M3265" s="195" t="str">
        <f>L3265*(1-K3265)</f>
      </c>
    </row>
    <row r="3266">
      <c r="A3266" t="s">
        <v>167</v>
      </c>
      <c r="B3266" t="s">
        <v>262</v>
      </c>
      <c r="C3266" s="35" t="s">
        <v>264</v>
      </c>
      <c r="D3266" t="s">
        <v>502</v>
      </c>
      <c r="E3266" t="s">
        <v>520</v>
      </c>
      <c r="F3266" s="188" t="n">
        <v>2028</v>
      </c>
      <c r="G3266" s="189" t="n">
        <v>54</v>
      </c>
      <c r="H3266" s="190" t="n">
        <v>12761.3005065618</v>
      </c>
      <c r="I3266" s="191" t="n">
        <v>3567351.56228746</v>
      </c>
      <c r="J3266" s="192" t="str">
        <f>IF(I3266&gt;0,H3266/I3266,0)</f>
      </c>
      <c r="K3266" s="193" t="str">
        <f>1-EXP(-J3266)</f>
      </c>
      <c r="L3266" s="194" t="str">
        <f>IF(G3266=30,1,M3265)</f>
      </c>
      <c r="M3266" s="195" t="str">
        <f>L3266*(1-K3266)</f>
      </c>
    </row>
    <row r="3267">
      <c r="A3267" t="s">
        <v>167</v>
      </c>
      <c r="B3267" t="s">
        <v>262</v>
      </c>
      <c r="C3267" s="35" t="s">
        <v>264</v>
      </c>
      <c r="D3267" t="s">
        <v>502</v>
      </c>
      <c r="E3267" t="s">
        <v>520</v>
      </c>
      <c r="F3267" s="188" t="n">
        <v>2028</v>
      </c>
      <c r="G3267" s="189" t="n">
        <v>55</v>
      </c>
      <c r="H3267" s="190" t="n">
        <v>13956.2076720383</v>
      </c>
      <c r="I3267" s="191" t="n">
        <v>3523159.61447728</v>
      </c>
      <c r="J3267" s="192" t="str">
        <f>IF(I3267&gt;0,H3267/I3267,0)</f>
      </c>
      <c r="K3267" s="193" t="str">
        <f>1-EXP(-J3267)</f>
      </c>
      <c r="L3267" s="194" t="str">
        <f>IF(G3267=30,1,M3266)</f>
      </c>
      <c r="M3267" s="195" t="str">
        <f>L3267*(1-K3267)</f>
      </c>
    </row>
    <row r="3268">
      <c r="A3268" t="s">
        <v>167</v>
      </c>
      <c r="B3268" t="s">
        <v>262</v>
      </c>
      <c r="C3268" s="35" t="s">
        <v>264</v>
      </c>
      <c r="D3268" t="s">
        <v>502</v>
      </c>
      <c r="E3268" t="s">
        <v>520</v>
      </c>
      <c r="F3268" s="188" t="n">
        <v>2028</v>
      </c>
      <c r="G3268" s="189" t="n">
        <v>56</v>
      </c>
      <c r="H3268" s="190" t="n">
        <v>14345.9398529359</v>
      </c>
      <c r="I3268" s="191" t="n">
        <v>3313777.76947142</v>
      </c>
      <c r="J3268" s="192" t="str">
        <f>IF(I3268&gt;0,H3268/I3268,0)</f>
      </c>
      <c r="K3268" s="193" t="str">
        <f>1-EXP(-J3268)</f>
      </c>
      <c r="L3268" s="194" t="str">
        <f>IF(G3268=30,1,M3267)</f>
      </c>
      <c r="M3268" s="195" t="str">
        <f>L3268*(1-K3268)</f>
      </c>
    </row>
    <row r="3269">
      <c r="A3269" t="s">
        <v>167</v>
      </c>
      <c r="B3269" t="s">
        <v>262</v>
      </c>
      <c r="C3269" s="35" t="s">
        <v>264</v>
      </c>
      <c r="D3269" t="s">
        <v>502</v>
      </c>
      <c r="E3269" t="s">
        <v>520</v>
      </c>
      <c r="F3269" s="188" t="n">
        <v>2028</v>
      </c>
      <c r="G3269" s="189" t="n">
        <v>57</v>
      </c>
      <c r="H3269" s="190" t="n">
        <v>15264.6766616051</v>
      </c>
      <c r="I3269" s="191" t="n">
        <v>3227032.11536032</v>
      </c>
      <c r="J3269" s="192" t="str">
        <f>IF(I3269&gt;0,H3269/I3269,0)</f>
      </c>
      <c r="K3269" s="193" t="str">
        <f>1-EXP(-J3269)</f>
      </c>
      <c r="L3269" s="194" t="str">
        <f>IF(G3269=30,1,M3268)</f>
      </c>
      <c r="M3269" s="195" t="str">
        <f>L3269*(1-K3269)</f>
      </c>
    </row>
    <row r="3270">
      <c r="A3270" t="s">
        <v>167</v>
      </c>
      <c r="B3270" t="s">
        <v>262</v>
      </c>
      <c r="C3270" s="35" t="s">
        <v>264</v>
      </c>
      <c r="D3270" t="s">
        <v>502</v>
      </c>
      <c r="E3270" t="s">
        <v>520</v>
      </c>
      <c r="F3270" s="188" t="n">
        <v>2028</v>
      </c>
      <c r="G3270" s="189" t="n">
        <v>58</v>
      </c>
      <c r="H3270" s="190" t="n">
        <v>16258.3642367881</v>
      </c>
      <c r="I3270" s="191" t="n">
        <v>3144751.84016693</v>
      </c>
      <c r="J3270" s="192" t="str">
        <f>IF(I3270&gt;0,H3270/I3270,0)</f>
      </c>
      <c r="K3270" s="193" t="str">
        <f>1-EXP(-J3270)</f>
      </c>
      <c r="L3270" s="194" t="str">
        <f>IF(G3270=30,1,M3269)</f>
      </c>
      <c r="M3270" s="195" t="str">
        <f>L3270*(1-K3270)</f>
      </c>
    </row>
    <row r="3271">
      <c r="A3271" t="s">
        <v>167</v>
      </c>
      <c r="B3271" t="s">
        <v>262</v>
      </c>
      <c r="C3271" s="35" t="s">
        <v>264</v>
      </c>
      <c r="D3271" t="s">
        <v>502</v>
      </c>
      <c r="E3271" t="s">
        <v>520</v>
      </c>
      <c r="F3271" s="188" t="n">
        <v>2028</v>
      </c>
      <c r="G3271" s="189" t="n">
        <v>59</v>
      </c>
      <c r="H3271" s="190" t="n">
        <v>17253.1141720423</v>
      </c>
      <c r="I3271" s="191" t="n">
        <v>3053194.89255057</v>
      </c>
      <c r="J3271" s="192" t="str">
        <f>IF(I3271&gt;0,H3271/I3271,0)</f>
      </c>
      <c r="K3271" s="193" t="str">
        <f>1-EXP(-J3271)</f>
      </c>
      <c r="L3271" s="194" t="str">
        <f>IF(G3271=30,1,M3270)</f>
      </c>
      <c r="M3271" s="195" t="str">
        <f>L3271*(1-K3271)</f>
      </c>
    </row>
    <row r="3272">
      <c r="A3272" t="s">
        <v>167</v>
      </c>
      <c r="B3272" t="s">
        <v>262</v>
      </c>
      <c r="C3272" s="35" t="s">
        <v>264</v>
      </c>
      <c r="D3272" t="s">
        <v>502</v>
      </c>
      <c r="E3272" t="s">
        <v>520</v>
      </c>
      <c r="F3272" s="188" t="n">
        <v>2028</v>
      </c>
      <c r="G3272" s="189" t="n">
        <v>60</v>
      </c>
      <c r="H3272" s="190" t="n">
        <v>18585.9634196165</v>
      </c>
      <c r="I3272" s="191" t="n">
        <v>2941779.19310775</v>
      </c>
      <c r="J3272" s="192" t="str">
        <f>IF(I3272&gt;0,H3272/I3272,0)</f>
      </c>
      <c r="K3272" s="193" t="str">
        <f>1-EXP(-J3272)</f>
      </c>
      <c r="L3272" s="194" t="str">
        <f>IF(G3272=30,1,M3271)</f>
      </c>
      <c r="M3272" s="195" t="str">
        <f>L3272*(1-K3272)</f>
      </c>
    </row>
    <row r="3273">
      <c r="A3273" t="s">
        <v>167</v>
      </c>
      <c r="B3273" t="s">
        <v>262</v>
      </c>
      <c r="C3273" s="35" t="s">
        <v>264</v>
      </c>
      <c r="D3273" t="s">
        <v>502</v>
      </c>
      <c r="E3273" t="s">
        <v>520</v>
      </c>
      <c r="F3273" s="188" t="n">
        <v>2028</v>
      </c>
      <c r="G3273" s="189" t="n">
        <v>61</v>
      </c>
      <c r="H3273" s="190" t="n">
        <v>19388.4777464662</v>
      </c>
      <c r="I3273" s="191" t="n">
        <v>2798470.08010476</v>
      </c>
      <c r="J3273" s="192" t="str">
        <f>IF(I3273&gt;0,H3273/I3273,0)</f>
      </c>
      <c r="K3273" s="193" t="str">
        <f>1-EXP(-J3273)</f>
      </c>
      <c r="L3273" s="194" t="str">
        <f>IF(G3273=30,1,M3272)</f>
      </c>
      <c r="M3273" s="195" t="str">
        <f>L3273*(1-K3273)</f>
      </c>
    </row>
    <row r="3274">
      <c r="A3274" t="s">
        <v>167</v>
      </c>
      <c r="B3274" t="s">
        <v>262</v>
      </c>
      <c r="C3274" s="35" t="s">
        <v>264</v>
      </c>
      <c r="D3274" t="s">
        <v>502</v>
      </c>
      <c r="E3274" t="s">
        <v>520</v>
      </c>
      <c r="F3274" s="188" t="n">
        <v>2028</v>
      </c>
      <c r="G3274" s="189" t="n">
        <v>62</v>
      </c>
      <c r="H3274" s="190" t="n">
        <v>20403.6067193985</v>
      </c>
      <c r="I3274" s="191" t="n">
        <v>2692302.97253258</v>
      </c>
      <c r="J3274" s="192" t="str">
        <f>IF(I3274&gt;0,H3274/I3274,0)</f>
      </c>
      <c r="K3274" s="193" t="str">
        <f>1-EXP(-J3274)</f>
      </c>
      <c r="L3274" s="194" t="str">
        <f>IF(G3274=30,1,M3273)</f>
      </c>
      <c r="M3274" s="195" t="str">
        <f>L3274*(1-K3274)</f>
      </c>
    </row>
    <row r="3275">
      <c r="A3275" t="s">
        <v>167</v>
      </c>
      <c r="B3275" t="s">
        <v>262</v>
      </c>
      <c r="C3275" s="35" t="s">
        <v>264</v>
      </c>
      <c r="D3275" t="s">
        <v>502</v>
      </c>
      <c r="E3275" t="s">
        <v>520</v>
      </c>
      <c r="F3275" s="188" t="n">
        <v>2028</v>
      </c>
      <c r="G3275" s="189" t="n">
        <v>63</v>
      </c>
      <c r="H3275" s="190" t="n">
        <v>21267.8504870801</v>
      </c>
      <c r="I3275" s="191" t="n">
        <v>2564478.05561206</v>
      </c>
      <c r="J3275" s="192" t="str">
        <f>IF(I3275&gt;0,H3275/I3275,0)</f>
      </c>
      <c r="K3275" s="193" t="str">
        <f>1-EXP(-J3275)</f>
      </c>
      <c r="L3275" s="194" t="str">
        <f>IF(G3275=30,1,M3274)</f>
      </c>
      <c r="M3275" s="195" t="str">
        <f>L3275*(1-K3275)</f>
      </c>
    </row>
    <row r="3276">
      <c r="A3276" t="s">
        <v>167</v>
      </c>
      <c r="B3276" t="s">
        <v>262</v>
      </c>
      <c r="C3276" s="35" t="s">
        <v>264</v>
      </c>
      <c r="D3276" t="s">
        <v>502</v>
      </c>
      <c r="E3276" t="s">
        <v>520</v>
      </c>
      <c r="F3276" s="188" t="n">
        <v>2028</v>
      </c>
      <c r="G3276" s="189" t="n">
        <v>64</v>
      </c>
      <c r="H3276" s="190" t="n">
        <v>22127.7853832168</v>
      </c>
      <c r="I3276" s="191" t="n">
        <v>2436880.95399988</v>
      </c>
      <c r="J3276" s="192" t="str">
        <f>IF(I3276&gt;0,H3276/I3276,0)</f>
      </c>
      <c r="K3276" s="193" t="str">
        <f>1-EXP(-J3276)</f>
      </c>
      <c r="L3276" s="194" t="str">
        <f>IF(G3276=30,1,M3275)</f>
      </c>
      <c r="M3276" s="195" t="str">
        <f>L3276*(1-K3276)</f>
      </c>
    </row>
    <row r="3277">
      <c r="A3277" t="s">
        <v>167</v>
      </c>
      <c r="B3277" t="s">
        <v>262</v>
      </c>
      <c r="C3277" s="35" t="s">
        <v>264</v>
      </c>
      <c r="D3277" t="s">
        <v>502</v>
      </c>
      <c r="E3277" t="s">
        <v>520</v>
      </c>
      <c r="F3277" s="188" t="n">
        <v>2028</v>
      </c>
      <c r="G3277" s="189" t="n">
        <v>65</v>
      </c>
      <c r="H3277" s="190" t="n">
        <v>22408.1861009987</v>
      </c>
      <c r="I3277" s="191" t="n">
        <v>2314184.89923696</v>
      </c>
      <c r="J3277" s="192" t="str">
        <f>IF(I3277&gt;0,H3277/I3277,0)</f>
      </c>
      <c r="K3277" s="193" t="str">
        <f>1-EXP(-J3277)</f>
      </c>
      <c r="L3277" s="194" t="str">
        <f>IF(G3277=30,1,M3276)</f>
      </c>
      <c r="M3277" s="195" t="str">
        <f>L3277*(1-K3277)</f>
      </c>
    </row>
    <row r="3278">
      <c r="A3278" t="s">
        <v>167</v>
      </c>
      <c r="B3278" t="s">
        <v>262</v>
      </c>
      <c r="C3278" s="35" t="s">
        <v>264</v>
      </c>
      <c r="D3278" t="s">
        <v>502</v>
      </c>
      <c r="E3278" t="s">
        <v>520</v>
      </c>
      <c r="F3278" s="188" t="n">
        <v>2028</v>
      </c>
      <c r="G3278" s="189" t="n">
        <v>66</v>
      </c>
      <c r="H3278" s="190" t="n">
        <v>23074.0917964208</v>
      </c>
      <c r="I3278" s="191" t="n">
        <v>2166345.57444286</v>
      </c>
      <c r="J3278" s="192" t="str">
        <f>IF(I3278&gt;0,H3278/I3278,0)</f>
      </c>
      <c r="K3278" s="193" t="str">
        <f>1-EXP(-J3278)</f>
      </c>
      <c r="L3278" s="194" t="str">
        <f>IF(G3278=30,1,M3277)</f>
      </c>
      <c r="M3278" s="195" t="str">
        <f>L3278*(1-K3278)</f>
      </c>
    </row>
    <row r="3279">
      <c r="A3279" t="s">
        <v>167</v>
      </c>
      <c r="B3279" t="s">
        <v>262</v>
      </c>
      <c r="C3279" s="35" t="s">
        <v>264</v>
      </c>
      <c r="D3279" t="s">
        <v>502</v>
      </c>
      <c r="E3279" t="s">
        <v>520</v>
      </c>
      <c r="F3279" s="188" t="n">
        <v>2028</v>
      </c>
      <c r="G3279" s="189" t="n">
        <v>67</v>
      </c>
      <c r="H3279" s="190" t="n">
        <v>23863.0147045954</v>
      </c>
      <c r="I3279" s="191" t="n">
        <v>2043252.84445515</v>
      </c>
      <c r="J3279" s="192" t="str">
        <f>IF(I3279&gt;0,H3279/I3279,0)</f>
      </c>
      <c r="K3279" s="193" t="str">
        <f>1-EXP(-J3279)</f>
      </c>
      <c r="L3279" s="194" t="str">
        <f>IF(G3279=30,1,M3278)</f>
      </c>
      <c r="M3279" s="195" t="str">
        <f>L3279*(1-K3279)</f>
      </c>
    </row>
    <row r="3280">
      <c r="A3280" t="s">
        <v>167</v>
      </c>
      <c r="B3280" t="s">
        <v>262</v>
      </c>
      <c r="C3280" s="35" t="s">
        <v>264</v>
      </c>
      <c r="D3280" t="s">
        <v>502</v>
      </c>
      <c r="E3280" t="s">
        <v>520</v>
      </c>
      <c r="F3280" s="188" t="n">
        <v>2028</v>
      </c>
      <c r="G3280" s="189" t="n">
        <v>68</v>
      </c>
      <c r="H3280" s="190" t="n">
        <v>24555.4529316423</v>
      </c>
      <c r="I3280" s="191" t="n">
        <v>1916532.67938052</v>
      </c>
      <c r="J3280" s="192" t="str">
        <f>IF(I3280&gt;0,H3280/I3280,0)</f>
      </c>
      <c r="K3280" s="193" t="str">
        <f>1-EXP(-J3280)</f>
      </c>
      <c r="L3280" s="194" t="str">
        <f>IF(G3280=30,1,M3279)</f>
      </c>
      <c r="M3280" s="195" t="str">
        <f>L3280*(1-K3280)</f>
      </c>
    </row>
    <row r="3281">
      <c r="A3281" t="s">
        <v>167</v>
      </c>
      <c r="B3281" t="s">
        <v>262</v>
      </c>
      <c r="C3281" s="35" t="s">
        <v>264</v>
      </c>
      <c r="D3281" t="s">
        <v>502</v>
      </c>
      <c r="E3281" t="s">
        <v>520</v>
      </c>
      <c r="F3281" s="188" t="n">
        <v>2028</v>
      </c>
      <c r="G3281" s="189" t="n">
        <v>69</v>
      </c>
      <c r="H3281" s="190" t="n">
        <v>25095.0122326272</v>
      </c>
      <c r="I3281" s="191" t="n">
        <v>1784261.25691158</v>
      </c>
      <c r="J3281" s="192" t="str">
        <f>IF(I3281&gt;0,H3281/I3281,0)</f>
      </c>
      <c r="K3281" s="193" t="str">
        <f>1-EXP(-J3281)</f>
      </c>
      <c r="L3281" s="194" t="str">
        <f>IF(G3281=30,1,M3280)</f>
      </c>
      <c r="M3281" s="195" t="str">
        <f>L3281*(1-K3281)</f>
      </c>
    </row>
    <row r="3282">
      <c r="A3282" t="s">
        <v>167</v>
      </c>
      <c r="B3282" t="s">
        <v>262</v>
      </c>
      <c r="C3282" s="35" t="s">
        <v>264</v>
      </c>
      <c r="D3282" t="s">
        <v>502</v>
      </c>
      <c r="E3282" t="s">
        <v>520</v>
      </c>
      <c r="F3282" s="188" t="n">
        <v>2029</v>
      </c>
      <c r="G3282" s="189" t="n">
        <v>30</v>
      </c>
      <c r="H3282" s="190" t="n">
        <v>954.70580502892</v>
      </c>
      <c r="I3282" s="191" t="n">
        <v>4353627.72491456</v>
      </c>
      <c r="J3282" s="192" t="str">
        <f>IF(I3282&gt;0,H3282/I3282,0)</f>
      </c>
      <c r="K3282" s="193" t="str">
        <f>1-EXP(-J3282)</f>
      </c>
      <c r="L3282" s="194" t="str">
        <f>IF(G3282=30,1,M3281)</f>
      </c>
      <c r="M3282" s="195" t="str">
        <f>L3282*(1-K3282)</f>
      </c>
    </row>
    <row r="3283">
      <c r="A3283" t="s">
        <v>167</v>
      </c>
      <c r="B3283" t="s">
        <v>262</v>
      </c>
      <c r="C3283" s="35" t="s">
        <v>264</v>
      </c>
      <c r="D3283" t="s">
        <v>502</v>
      </c>
      <c r="E3283" t="s">
        <v>520</v>
      </c>
      <c r="F3283" s="188" t="n">
        <v>2029</v>
      </c>
      <c r="G3283" s="189" t="n">
        <v>31</v>
      </c>
      <c r="H3283" s="190" t="n">
        <v>1103.53058721517</v>
      </c>
      <c r="I3283" s="191" t="n">
        <v>4413845.76141321</v>
      </c>
      <c r="J3283" s="192" t="str">
        <f>IF(I3283&gt;0,H3283/I3283,0)</f>
      </c>
      <c r="K3283" s="193" t="str">
        <f>1-EXP(-J3283)</f>
      </c>
      <c r="L3283" s="194" t="str">
        <f>IF(G3283=30,1,M3282)</f>
      </c>
      <c r="M3283" s="195" t="str">
        <f>L3283*(1-K3283)</f>
      </c>
    </row>
    <row r="3284">
      <c r="A3284" t="s">
        <v>167</v>
      </c>
      <c r="B3284" t="s">
        <v>262</v>
      </c>
      <c r="C3284" s="35" t="s">
        <v>264</v>
      </c>
      <c r="D3284" t="s">
        <v>502</v>
      </c>
      <c r="E3284" t="s">
        <v>520</v>
      </c>
      <c r="F3284" s="188" t="n">
        <v>2029</v>
      </c>
      <c r="G3284" s="189" t="n">
        <v>32</v>
      </c>
      <c r="H3284" s="190" t="n">
        <v>1389.5004050808</v>
      </c>
      <c r="I3284" s="191" t="n">
        <v>4555481.4530545</v>
      </c>
      <c r="J3284" s="192" t="str">
        <f>IF(I3284&gt;0,H3284/I3284,0)</f>
      </c>
      <c r="K3284" s="193" t="str">
        <f>1-EXP(-J3284)</f>
      </c>
      <c r="L3284" s="194" t="str">
        <f>IF(G3284=30,1,M3283)</f>
      </c>
      <c r="M3284" s="195" t="str">
        <f>L3284*(1-K3284)</f>
      </c>
    </row>
    <row r="3285">
      <c r="A3285" t="s">
        <v>167</v>
      </c>
      <c r="B3285" t="s">
        <v>262</v>
      </c>
      <c r="C3285" s="35" t="s">
        <v>264</v>
      </c>
      <c r="D3285" t="s">
        <v>502</v>
      </c>
      <c r="E3285" t="s">
        <v>520</v>
      </c>
      <c r="F3285" s="188" t="n">
        <v>2029</v>
      </c>
      <c r="G3285" s="189" t="n">
        <v>33</v>
      </c>
      <c r="H3285" s="190" t="n">
        <v>1449.68035245934</v>
      </c>
      <c r="I3285" s="191" t="n">
        <v>4512923.25947449</v>
      </c>
      <c r="J3285" s="192" t="str">
        <f>IF(I3285&gt;0,H3285/I3285,0)</f>
      </c>
      <c r="K3285" s="193" t="str">
        <f>1-EXP(-J3285)</f>
      </c>
      <c r="L3285" s="194" t="str">
        <f>IF(G3285=30,1,M3284)</f>
      </c>
      <c r="M3285" s="195" t="str">
        <f>L3285*(1-K3285)</f>
      </c>
    </row>
    <row r="3286">
      <c r="A3286" t="s">
        <v>167</v>
      </c>
      <c r="B3286" t="s">
        <v>262</v>
      </c>
      <c r="C3286" s="35" t="s">
        <v>264</v>
      </c>
      <c r="D3286" t="s">
        <v>502</v>
      </c>
      <c r="E3286" t="s">
        <v>520</v>
      </c>
      <c r="F3286" s="188" t="n">
        <v>2029</v>
      </c>
      <c r="G3286" s="189" t="n">
        <v>34</v>
      </c>
      <c r="H3286" s="190" t="n">
        <v>1511.36114887318</v>
      </c>
      <c r="I3286" s="191" t="n">
        <v>4440173.25211276</v>
      </c>
      <c r="J3286" s="192" t="str">
        <f>IF(I3286&gt;0,H3286/I3286,0)</f>
      </c>
      <c r="K3286" s="193" t="str">
        <f>1-EXP(-J3286)</f>
      </c>
      <c r="L3286" s="194" t="str">
        <f>IF(G3286=30,1,M3285)</f>
      </c>
      <c r="M3286" s="195" t="str">
        <f>L3286*(1-K3286)</f>
      </c>
    </row>
    <row r="3287">
      <c r="A3287" t="s">
        <v>167</v>
      </c>
      <c r="B3287" t="s">
        <v>262</v>
      </c>
      <c r="C3287" s="35" t="s">
        <v>264</v>
      </c>
      <c r="D3287" t="s">
        <v>502</v>
      </c>
      <c r="E3287" t="s">
        <v>520</v>
      </c>
      <c r="F3287" s="188" t="n">
        <v>2029</v>
      </c>
      <c r="G3287" s="189" t="n">
        <v>35</v>
      </c>
      <c r="H3287" s="190" t="n">
        <v>2035.8206354046</v>
      </c>
      <c r="I3287" s="191" t="n">
        <v>4383271.33913168</v>
      </c>
      <c r="J3287" s="192" t="str">
        <f>IF(I3287&gt;0,H3287/I3287,0)</f>
      </c>
      <c r="K3287" s="193" t="str">
        <f>1-EXP(-J3287)</f>
      </c>
      <c r="L3287" s="194" t="str">
        <f>IF(G3287=30,1,M3286)</f>
      </c>
      <c r="M3287" s="195" t="str">
        <f>L3287*(1-K3287)</f>
      </c>
    </row>
    <row r="3288">
      <c r="A3288" t="s">
        <v>167</v>
      </c>
      <c r="B3288" t="s">
        <v>262</v>
      </c>
      <c r="C3288" s="35" t="s">
        <v>264</v>
      </c>
      <c r="D3288" t="s">
        <v>502</v>
      </c>
      <c r="E3288" t="s">
        <v>520</v>
      </c>
      <c r="F3288" s="188" t="n">
        <v>2029</v>
      </c>
      <c r="G3288" s="189" t="n">
        <v>36</v>
      </c>
      <c r="H3288" s="190" t="n">
        <v>2147.58352799505</v>
      </c>
      <c r="I3288" s="191" t="n">
        <v>4329520.0466199</v>
      </c>
      <c r="J3288" s="192" t="str">
        <f>IF(I3288&gt;0,H3288/I3288,0)</f>
      </c>
      <c r="K3288" s="193" t="str">
        <f>1-EXP(-J3288)</f>
      </c>
      <c r="L3288" s="194" t="str">
        <f>IF(G3288=30,1,M3287)</f>
      </c>
      <c r="M3288" s="195" t="str">
        <f>L3288*(1-K3288)</f>
      </c>
    </row>
    <row r="3289">
      <c r="A3289" t="s">
        <v>167</v>
      </c>
      <c r="B3289" t="s">
        <v>262</v>
      </c>
      <c r="C3289" s="35" t="s">
        <v>264</v>
      </c>
      <c r="D3289" t="s">
        <v>502</v>
      </c>
      <c r="E3289" t="s">
        <v>520</v>
      </c>
      <c r="F3289" s="188" t="n">
        <v>2029</v>
      </c>
      <c r="G3289" s="189" t="n">
        <v>37</v>
      </c>
      <c r="H3289" s="190" t="n">
        <v>2321.93636424203</v>
      </c>
      <c r="I3289" s="191" t="n">
        <v>4367843.56265023</v>
      </c>
      <c r="J3289" s="192" t="str">
        <f>IF(I3289&gt;0,H3289/I3289,0)</f>
      </c>
      <c r="K3289" s="193" t="str">
        <f>1-EXP(-J3289)</f>
      </c>
      <c r="L3289" s="194" t="str">
        <f>IF(G3289=30,1,M3288)</f>
      </c>
      <c r="M3289" s="195" t="str">
        <f>L3289*(1-K3289)</f>
      </c>
    </row>
    <row r="3290">
      <c r="A3290" t="s">
        <v>167</v>
      </c>
      <c r="B3290" t="s">
        <v>262</v>
      </c>
      <c r="C3290" s="35" t="s">
        <v>264</v>
      </c>
      <c r="D3290" t="s">
        <v>502</v>
      </c>
      <c r="E3290" t="s">
        <v>520</v>
      </c>
      <c r="F3290" s="188" t="n">
        <v>2029</v>
      </c>
      <c r="G3290" s="189" t="n">
        <v>38</v>
      </c>
      <c r="H3290" s="190" t="n">
        <v>2505.3235198412</v>
      </c>
      <c r="I3290" s="191" t="n">
        <v>4386474.00851573</v>
      </c>
      <c r="J3290" s="192" t="str">
        <f>IF(I3290&gt;0,H3290/I3290,0)</f>
      </c>
      <c r="K3290" s="193" t="str">
        <f>1-EXP(-J3290)</f>
      </c>
      <c r="L3290" s="194" t="str">
        <f>IF(G3290=30,1,M3289)</f>
      </c>
      <c r="M3290" s="195" t="str">
        <f>L3290*(1-K3290)</f>
      </c>
    </row>
    <row r="3291">
      <c r="A3291" t="s">
        <v>167</v>
      </c>
      <c r="B3291" t="s">
        <v>262</v>
      </c>
      <c r="C3291" s="35" t="s">
        <v>264</v>
      </c>
      <c r="D3291" t="s">
        <v>502</v>
      </c>
      <c r="E3291" t="s">
        <v>520</v>
      </c>
      <c r="F3291" s="188" t="n">
        <v>2029</v>
      </c>
      <c r="G3291" s="189" t="n">
        <v>39</v>
      </c>
      <c r="H3291" s="190" t="n">
        <v>3801.05483521678</v>
      </c>
      <c r="I3291" s="191" t="n">
        <v>6459586.5234142</v>
      </c>
      <c r="J3291" s="192" t="str">
        <f>IF(I3291&gt;0,H3291/I3291,0)</f>
      </c>
      <c r="K3291" s="193" t="str">
        <f>1-EXP(-J3291)</f>
      </c>
      <c r="L3291" s="194" t="str">
        <f>IF(G3291=30,1,M3290)</f>
      </c>
      <c r="M3291" s="195" t="str">
        <f>L3291*(1-K3291)</f>
      </c>
    </row>
    <row r="3292">
      <c r="A3292" t="s">
        <v>167</v>
      </c>
      <c r="B3292" t="s">
        <v>262</v>
      </c>
      <c r="C3292" s="35" t="s">
        <v>264</v>
      </c>
      <c r="D3292" t="s">
        <v>502</v>
      </c>
      <c r="E3292" t="s">
        <v>520</v>
      </c>
      <c r="F3292" s="188" t="n">
        <v>2029</v>
      </c>
      <c r="G3292" s="189" t="n">
        <v>40</v>
      </c>
      <c r="H3292" s="190" t="n">
        <v>3595.80964043994</v>
      </c>
      <c r="I3292" s="191" t="n">
        <v>4346270.10976872</v>
      </c>
      <c r="J3292" s="192" t="str">
        <f>IF(I3292&gt;0,H3292/I3292,0)</f>
      </c>
      <c r="K3292" s="193" t="str">
        <f>1-EXP(-J3292)</f>
      </c>
      <c r="L3292" s="194" t="str">
        <f>IF(G3292=30,1,M3291)</f>
      </c>
      <c r="M3292" s="195" t="str">
        <f>L3292*(1-K3292)</f>
      </c>
    </row>
    <row r="3293">
      <c r="A3293" t="s">
        <v>167</v>
      </c>
      <c r="B3293" t="s">
        <v>262</v>
      </c>
      <c r="C3293" s="35" t="s">
        <v>264</v>
      </c>
      <c r="D3293" t="s">
        <v>502</v>
      </c>
      <c r="E3293" t="s">
        <v>520</v>
      </c>
      <c r="F3293" s="188" t="n">
        <v>2029</v>
      </c>
      <c r="G3293" s="189" t="n">
        <v>41</v>
      </c>
      <c r="H3293" s="190" t="n">
        <v>3872.00336935134</v>
      </c>
      <c r="I3293" s="191" t="n">
        <v>4329443.33941871</v>
      </c>
      <c r="J3293" s="192" t="str">
        <f>IF(I3293&gt;0,H3293/I3293,0)</f>
      </c>
      <c r="K3293" s="193" t="str">
        <f>1-EXP(-J3293)</f>
      </c>
      <c r="L3293" s="194" t="str">
        <f>IF(G3293=30,1,M3292)</f>
      </c>
      <c r="M3293" s="195" t="str">
        <f>L3293*(1-K3293)</f>
      </c>
    </row>
    <row r="3294">
      <c r="A3294" t="s">
        <v>167</v>
      </c>
      <c r="B3294" t="s">
        <v>262</v>
      </c>
      <c r="C3294" s="35" t="s">
        <v>264</v>
      </c>
      <c r="D3294" t="s">
        <v>502</v>
      </c>
      <c r="E3294" t="s">
        <v>520</v>
      </c>
      <c r="F3294" s="188" t="n">
        <v>2029</v>
      </c>
      <c r="G3294" s="189" t="n">
        <v>42</v>
      </c>
      <c r="H3294" s="190" t="n">
        <v>4071.14152884868</v>
      </c>
      <c r="I3294" s="191" t="n">
        <v>4197589.24187235</v>
      </c>
      <c r="J3294" s="192" t="str">
        <f>IF(I3294&gt;0,H3294/I3294,0)</f>
      </c>
      <c r="K3294" s="193" t="str">
        <f>1-EXP(-J3294)</f>
      </c>
      <c r="L3294" s="194" t="str">
        <f>IF(G3294=30,1,M3293)</f>
      </c>
      <c r="M3294" s="195" t="str">
        <f>L3294*(1-K3294)</f>
      </c>
    </row>
    <row r="3295">
      <c r="A3295" t="s">
        <v>167</v>
      </c>
      <c r="B3295" t="s">
        <v>262</v>
      </c>
      <c r="C3295" s="35" t="s">
        <v>264</v>
      </c>
      <c r="D3295" t="s">
        <v>502</v>
      </c>
      <c r="E3295" t="s">
        <v>520</v>
      </c>
      <c r="F3295" s="188" t="n">
        <v>2029</v>
      </c>
      <c r="G3295" s="189" t="n">
        <v>43</v>
      </c>
      <c r="H3295" s="190" t="n">
        <v>4393.22300883017</v>
      </c>
      <c r="I3295" s="191" t="n">
        <v>4163710.79151148</v>
      </c>
      <c r="J3295" s="192" t="str">
        <f>IF(I3295&gt;0,H3295/I3295,0)</f>
      </c>
      <c r="K3295" s="193" t="str">
        <f>1-EXP(-J3295)</f>
      </c>
      <c r="L3295" s="194" t="str">
        <f>IF(G3295=30,1,M3294)</f>
      </c>
      <c r="M3295" s="195" t="str">
        <f>L3295*(1-K3295)</f>
      </c>
    </row>
    <row r="3296">
      <c r="A3296" t="s">
        <v>167</v>
      </c>
      <c r="B3296" t="s">
        <v>262</v>
      </c>
      <c r="C3296" s="35" t="s">
        <v>264</v>
      </c>
      <c r="D3296" t="s">
        <v>502</v>
      </c>
      <c r="E3296" t="s">
        <v>520</v>
      </c>
      <c r="F3296" s="188" t="n">
        <v>2029</v>
      </c>
      <c r="G3296" s="189" t="n">
        <v>44</v>
      </c>
      <c r="H3296" s="190" t="n">
        <v>4864.06683744212</v>
      </c>
      <c r="I3296" s="191" t="n">
        <v>4223763.23619704</v>
      </c>
      <c r="J3296" s="192" t="str">
        <f>IF(I3296&gt;0,H3296/I3296,0)</f>
      </c>
      <c r="K3296" s="193" t="str">
        <f>1-EXP(-J3296)</f>
      </c>
      <c r="L3296" s="194" t="str">
        <f>IF(G3296=30,1,M3295)</f>
      </c>
      <c r="M3296" s="195" t="str">
        <f>L3296*(1-K3296)</f>
      </c>
    </row>
    <row r="3297">
      <c r="A3297" t="s">
        <v>167</v>
      </c>
      <c r="B3297" t="s">
        <v>262</v>
      </c>
      <c r="C3297" s="35" t="s">
        <v>264</v>
      </c>
      <c r="D3297" t="s">
        <v>502</v>
      </c>
      <c r="E3297" t="s">
        <v>520</v>
      </c>
      <c r="F3297" s="188" t="n">
        <v>2029</v>
      </c>
      <c r="G3297" s="189" t="n">
        <v>45</v>
      </c>
      <c r="H3297" s="190" t="n">
        <v>6421.46836261516</v>
      </c>
      <c r="I3297" s="191" t="n">
        <v>4309091.82021105</v>
      </c>
      <c r="J3297" s="192" t="str">
        <f>IF(I3297&gt;0,H3297/I3297,0)</f>
      </c>
      <c r="K3297" s="193" t="str">
        <f>1-EXP(-J3297)</f>
      </c>
      <c r="L3297" s="194" t="str">
        <f>IF(G3297=30,1,M3296)</f>
      </c>
      <c r="M3297" s="195" t="str">
        <f>L3297*(1-K3297)</f>
      </c>
    </row>
    <row r="3298">
      <c r="A3298" t="s">
        <v>167</v>
      </c>
      <c r="B3298" t="s">
        <v>262</v>
      </c>
      <c r="C3298" s="35" t="s">
        <v>264</v>
      </c>
      <c r="D3298" t="s">
        <v>502</v>
      </c>
      <c r="E3298" t="s">
        <v>520</v>
      </c>
      <c r="F3298" s="188" t="n">
        <v>2029</v>
      </c>
      <c r="G3298" s="189" t="n">
        <v>46</v>
      </c>
      <c r="H3298" s="190" t="n">
        <v>6985.0970596695</v>
      </c>
      <c r="I3298" s="191" t="n">
        <v>4284216.69309406</v>
      </c>
      <c r="J3298" s="192" t="str">
        <f>IF(I3298&gt;0,H3298/I3298,0)</f>
      </c>
      <c r="K3298" s="193" t="str">
        <f>1-EXP(-J3298)</f>
      </c>
      <c r="L3298" s="194" t="str">
        <f>IF(G3298=30,1,M3297)</f>
      </c>
      <c r="M3298" s="195" t="str">
        <f>L3298*(1-K3298)</f>
      </c>
    </row>
    <row r="3299">
      <c r="A3299" t="s">
        <v>167</v>
      </c>
      <c r="B3299" t="s">
        <v>262</v>
      </c>
      <c r="C3299" s="35" t="s">
        <v>264</v>
      </c>
      <c r="D3299" t="s">
        <v>502</v>
      </c>
      <c r="E3299" t="s">
        <v>520</v>
      </c>
      <c r="F3299" s="188" t="n">
        <v>2029</v>
      </c>
      <c r="G3299" s="189" t="n">
        <v>47</v>
      </c>
      <c r="H3299" s="190" t="n">
        <v>7415.25804810408</v>
      </c>
      <c r="I3299" s="191" t="n">
        <v>4147672.80817503</v>
      </c>
      <c r="J3299" s="192" t="str">
        <f>IF(I3299&gt;0,H3299/I3299,0)</f>
      </c>
      <c r="K3299" s="193" t="str">
        <f>1-EXP(-J3299)</f>
      </c>
      <c r="L3299" s="194" t="str">
        <f>IF(G3299=30,1,M3298)</f>
      </c>
      <c r="M3299" s="195" t="str">
        <f>L3299*(1-K3299)</f>
      </c>
    </row>
    <row r="3300">
      <c r="A3300" t="s">
        <v>167</v>
      </c>
      <c r="B3300" t="s">
        <v>262</v>
      </c>
      <c r="C3300" s="35" t="s">
        <v>264</v>
      </c>
      <c r="D3300" t="s">
        <v>502</v>
      </c>
      <c r="E3300" t="s">
        <v>520</v>
      </c>
      <c r="F3300" s="188" t="n">
        <v>2029</v>
      </c>
      <c r="G3300" s="189" t="n">
        <v>48</v>
      </c>
      <c r="H3300" s="190" t="n">
        <v>7977.48739303631</v>
      </c>
      <c r="I3300" s="191" t="n">
        <v>4073584.35551569</v>
      </c>
      <c r="J3300" s="192" t="str">
        <f>IF(I3300&gt;0,H3300/I3300,0)</f>
      </c>
      <c r="K3300" s="193" t="str">
        <f>1-EXP(-J3300)</f>
      </c>
      <c r="L3300" s="194" t="str">
        <f>IF(G3300=30,1,M3299)</f>
      </c>
      <c r="M3300" s="195" t="str">
        <f>L3300*(1-K3300)</f>
      </c>
    </row>
    <row r="3301">
      <c r="A3301" t="s">
        <v>167</v>
      </c>
      <c r="B3301" t="s">
        <v>262</v>
      </c>
      <c r="C3301" s="35" t="s">
        <v>264</v>
      </c>
      <c r="D3301" t="s">
        <v>502</v>
      </c>
      <c r="E3301" t="s">
        <v>520</v>
      </c>
      <c r="F3301" s="188" t="n">
        <v>2029</v>
      </c>
      <c r="G3301" s="189" t="n">
        <v>49</v>
      </c>
      <c r="H3301" s="190" t="n">
        <v>8606.6860983808</v>
      </c>
      <c r="I3301" s="191" t="n">
        <v>4015332.32900484</v>
      </c>
      <c r="J3301" s="192" t="str">
        <f>IF(I3301&gt;0,H3301/I3301,0)</f>
      </c>
      <c r="K3301" s="193" t="str">
        <f>1-EXP(-J3301)</f>
      </c>
      <c r="L3301" s="194" t="str">
        <f>IF(G3301=30,1,M3300)</f>
      </c>
      <c r="M3301" s="195" t="str">
        <f>L3301*(1-K3301)</f>
      </c>
    </row>
    <row r="3302">
      <c r="A3302" t="s">
        <v>167</v>
      </c>
      <c r="B3302" t="s">
        <v>262</v>
      </c>
      <c r="C3302" s="35" t="s">
        <v>264</v>
      </c>
      <c r="D3302" t="s">
        <v>502</v>
      </c>
      <c r="E3302" t="s">
        <v>520</v>
      </c>
      <c r="F3302" s="188" t="n">
        <v>2029</v>
      </c>
      <c r="G3302" s="189" t="n">
        <v>50</v>
      </c>
      <c r="H3302" s="190" t="n">
        <v>9873.40328631219</v>
      </c>
      <c r="I3302" s="191" t="n">
        <v>3951584.08847986</v>
      </c>
      <c r="J3302" s="192" t="str">
        <f>IF(I3302&gt;0,H3302/I3302,0)</f>
      </c>
      <c r="K3302" s="193" t="str">
        <f>1-EXP(-J3302)</f>
      </c>
      <c r="L3302" s="194" t="str">
        <f>IF(G3302=30,1,M3301)</f>
      </c>
      <c r="M3302" s="195" t="str">
        <f>L3302*(1-K3302)</f>
      </c>
    </row>
    <row r="3303">
      <c r="A3303" t="s">
        <v>167</v>
      </c>
      <c r="B3303" t="s">
        <v>262</v>
      </c>
      <c r="C3303" s="35" t="s">
        <v>264</v>
      </c>
      <c r="D3303" t="s">
        <v>502</v>
      </c>
      <c r="E3303" t="s">
        <v>520</v>
      </c>
      <c r="F3303" s="188" t="n">
        <v>2029</v>
      </c>
      <c r="G3303" s="189" t="n">
        <v>51</v>
      </c>
      <c r="H3303" s="190" t="n">
        <v>10564.4958575884</v>
      </c>
      <c r="I3303" s="191" t="n">
        <v>3867451.26755747</v>
      </c>
      <c r="J3303" s="192" t="str">
        <f>IF(I3303&gt;0,H3303/I3303,0)</f>
      </c>
      <c r="K3303" s="193" t="str">
        <f>1-EXP(-J3303)</f>
      </c>
      <c r="L3303" s="194" t="str">
        <f>IF(G3303=30,1,M3302)</f>
      </c>
      <c r="M3303" s="195" t="str">
        <f>L3303*(1-K3303)</f>
      </c>
    </row>
    <row r="3304">
      <c r="A3304" t="s">
        <v>167</v>
      </c>
      <c r="B3304" t="s">
        <v>262</v>
      </c>
      <c r="C3304" s="35" t="s">
        <v>264</v>
      </c>
      <c r="D3304" t="s">
        <v>502</v>
      </c>
      <c r="E3304" t="s">
        <v>520</v>
      </c>
      <c r="F3304" s="188" t="n">
        <v>2029</v>
      </c>
      <c r="G3304" s="189" t="n">
        <v>52</v>
      </c>
      <c r="H3304" s="190" t="n">
        <v>11351.6480729383</v>
      </c>
      <c r="I3304" s="191" t="n">
        <v>3801198.60771987</v>
      </c>
      <c r="J3304" s="192" t="str">
        <f>IF(I3304&gt;0,H3304/I3304,0)</f>
      </c>
      <c r="K3304" s="193" t="str">
        <f>1-EXP(-J3304)</f>
      </c>
      <c r="L3304" s="194" t="str">
        <f>IF(G3304=30,1,M3303)</f>
      </c>
      <c r="M3304" s="195" t="str">
        <f>L3304*(1-K3304)</f>
      </c>
    </row>
    <row r="3305">
      <c r="A3305" t="s">
        <v>167</v>
      </c>
      <c r="B3305" t="s">
        <v>262</v>
      </c>
      <c r="C3305" s="35" t="s">
        <v>264</v>
      </c>
      <c r="D3305" t="s">
        <v>502</v>
      </c>
      <c r="E3305" t="s">
        <v>520</v>
      </c>
      <c r="F3305" s="188" t="n">
        <v>2029</v>
      </c>
      <c r="G3305" s="189" t="n">
        <v>53</v>
      </c>
      <c r="H3305" s="190" t="n">
        <v>12140.7827019089</v>
      </c>
      <c r="I3305" s="191" t="n">
        <v>3723040.00442116</v>
      </c>
      <c r="J3305" s="192" t="str">
        <f>IF(I3305&gt;0,H3305/I3305,0)</f>
      </c>
      <c r="K3305" s="193" t="str">
        <f>1-EXP(-J3305)</f>
      </c>
      <c r="L3305" s="194" t="str">
        <f>IF(G3305=30,1,M3304)</f>
      </c>
      <c r="M3305" s="195" t="str">
        <f>L3305*(1-K3305)</f>
      </c>
    </row>
    <row r="3306">
      <c r="A3306" t="s">
        <v>167</v>
      </c>
      <c r="B3306" t="s">
        <v>262</v>
      </c>
      <c r="C3306" s="35" t="s">
        <v>264</v>
      </c>
      <c r="D3306" t="s">
        <v>502</v>
      </c>
      <c r="E3306" t="s">
        <v>520</v>
      </c>
      <c r="F3306" s="188" t="n">
        <v>2029</v>
      </c>
      <c r="G3306" s="189" t="n">
        <v>54</v>
      </c>
      <c r="H3306" s="190" t="n">
        <v>12978.1090351249</v>
      </c>
      <c r="I3306" s="191" t="n">
        <v>3644115.92950472</v>
      </c>
      <c r="J3306" s="192" t="str">
        <f>IF(I3306&gt;0,H3306/I3306,0)</f>
      </c>
      <c r="K3306" s="193" t="str">
        <f>1-EXP(-J3306)</f>
      </c>
      <c r="L3306" s="194" t="str">
        <f>IF(G3306=30,1,M3305)</f>
      </c>
      <c r="M3306" s="195" t="str">
        <f>L3306*(1-K3306)</f>
      </c>
    </row>
    <row r="3307">
      <c r="A3307" t="s">
        <v>167</v>
      </c>
      <c r="B3307" t="s">
        <v>262</v>
      </c>
      <c r="C3307" s="35" t="s">
        <v>264</v>
      </c>
      <c r="D3307" t="s">
        <v>502</v>
      </c>
      <c r="E3307" t="s">
        <v>520</v>
      </c>
      <c r="F3307" s="188" t="n">
        <v>2029</v>
      </c>
      <c r="G3307" s="189" t="n">
        <v>55</v>
      </c>
      <c r="H3307" s="190" t="n">
        <v>13925.8390337429</v>
      </c>
      <c r="I3307" s="191" t="n">
        <v>3537671.42127633</v>
      </c>
      <c r="J3307" s="192" t="str">
        <f>IF(I3307&gt;0,H3307/I3307,0)</f>
      </c>
      <c r="K3307" s="193" t="str">
        <f>1-EXP(-J3307)</f>
      </c>
      <c r="L3307" s="194" t="str">
        <f>IF(G3307=30,1,M3306)</f>
      </c>
      <c r="M3307" s="195" t="str">
        <f>L3307*(1-K3307)</f>
      </c>
    </row>
    <row r="3308">
      <c r="A3308" t="s">
        <v>167</v>
      </c>
      <c r="B3308" t="s">
        <v>262</v>
      </c>
      <c r="C3308" s="35" t="s">
        <v>264</v>
      </c>
      <c r="D3308" t="s">
        <v>502</v>
      </c>
      <c r="E3308" t="s">
        <v>520</v>
      </c>
      <c r="F3308" s="188" t="n">
        <v>2029</v>
      </c>
      <c r="G3308" s="189" t="n">
        <v>56</v>
      </c>
      <c r="H3308" s="190" t="n">
        <v>14995.8269810547</v>
      </c>
      <c r="I3308" s="191" t="n">
        <v>3490679.56674339</v>
      </c>
      <c r="J3308" s="192" t="str">
        <f>IF(I3308&gt;0,H3308/I3308,0)</f>
      </c>
      <c r="K3308" s="193" t="str">
        <f>1-EXP(-J3308)</f>
      </c>
      <c r="L3308" s="194" t="str">
        <f>IF(G3308=30,1,M3307)</f>
      </c>
      <c r="M3308" s="195" t="str">
        <f>L3308*(1-K3308)</f>
      </c>
    </row>
    <row r="3309">
      <c r="A3309" t="s">
        <v>167</v>
      </c>
      <c r="B3309" t="s">
        <v>262</v>
      </c>
      <c r="C3309" s="35" t="s">
        <v>264</v>
      </c>
      <c r="D3309" t="s">
        <v>502</v>
      </c>
      <c r="E3309" t="s">
        <v>520</v>
      </c>
      <c r="F3309" s="188" t="n">
        <v>2029</v>
      </c>
      <c r="G3309" s="189" t="n">
        <v>57</v>
      </c>
      <c r="H3309" s="190" t="n">
        <v>15419.4322886298</v>
      </c>
      <c r="I3309" s="191" t="n">
        <v>3280842.72209333</v>
      </c>
      <c r="J3309" s="192" t="str">
        <f>IF(I3309&gt;0,H3309/I3309,0)</f>
      </c>
      <c r="K3309" s="193" t="str">
        <f>1-EXP(-J3309)</f>
      </c>
      <c r="L3309" s="194" t="str">
        <f>IF(G3309=30,1,M3308)</f>
      </c>
      <c r="M3309" s="195" t="str">
        <f>L3309*(1-K3309)</f>
      </c>
    </row>
    <row r="3310">
      <c r="A3310" t="s">
        <v>167</v>
      </c>
      <c r="B3310" t="s">
        <v>262</v>
      </c>
      <c r="C3310" s="35" t="s">
        <v>264</v>
      </c>
      <c r="D3310" t="s">
        <v>502</v>
      </c>
      <c r="E3310" t="s">
        <v>520</v>
      </c>
      <c r="F3310" s="188" t="n">
        <v>2029</v>
      </c>
      <c r="G3310" s="189" t="n">
        <v>58</v>
      </c>
      <c r="H3310" s="190" t="n">
        <v>16398.3177675518</v>
      </c>
      <c r="I3310" s="191" t="n">
        <v>3192000.78063932</v>
      </c>
      <c r="J3310" s="192" t="str">
        <f>IF(I3310&gt;0,H3310/I3310,0)</f>
      </c>
      <c r="K3310" s="193" t="str">
        <f>1-EXP(-J3310)</f>
      </c>
      <c r="L3310" s="194" t="str">
        <f>IF(G3310=30,1,M3309)</f>
      </c>
      <c r="M3310" s="195" t="str">
        <f>L3310*(1-K3310)</f>
      </c>
    </row>
    <row r="3311">
      <c r="A3311" t="s">
        <v>167</v>
      </c>
      <c r="B3311" t="s">
        <v>262</v>
      </c>
      <c r="C3311" s="35" t="s">
        <v>264</v>
      </c>
      <c r="D3311" t="s">
        <v>502</v>
      </c>
      <c r="E3311" t="s">
        <v>520</v>
      </c>
      <c r="F3311" s="188" t="n">
        <v>2029</v>
      </c>
      <c r="G3311" s="189" t="n">
        <v>59</v>
      </c>
      <c r="H3311" s="190" t="n">
        <v>17456.1682676056</v>
      </c>
      <c r="I3311" s="191" t="n">
        <v>3107452.75285837</v>
      </c>
      <c r="J3311" s="192" t="str">
        <f>IF(I3311&gt;0,H3311/I3311,0)</f>
      </c>
      <c r="K3311" s="193" t="str">
        <f>1-EXP(-J3311)</f>
      </c>
      <c r="L3311" s="194" t="str">
        <f>IF(G3311=30,1,M3310)</f>
      </c>
      <c r="M3311" s="195" t="str">
        <f>L3311*(1-K3311)</f>
      </c>
    </row>
    <row r="3312">
      <c r="A3312" t="s">
        <v>167</v>
      </c>
      <c r="B3312" t="s">
        <v>262</v>
      </c>
      <c r="C3312" s="35" t="s">
        <v>264</v>
      </c>
      <c r="D3312" t="s">
        <v>502</v>
      </c>
      <c r="E3312" t="s">
        <v>520</v>
      </c>
      <c r="F3312" s="188" t="n">
        <v>2029</v>
      </c>
      <c r="G3312" s="189" t="n">
        <v>60</v>
      </c>
      <c r="H3312" s="190" t="n">
        <v>18888.9914354153</v>
      </c>
      <c r="I3312" s="191" t="n">
        <v>3013623.20313153</v>
      </c>
      <c r="J3312" s="192" t="str">
        <f>IF(I3312&gt;0,H3312/I3312,0)</f>
      </c>
      <c r="K3312" s="193" t="str">
        <f>1-EXP(-J3312)</f>
      </c>
      <c r="L3312" s="194" t="str">
        <f>IF(G3312=30,1,M3311)</f>
      </c>
      <c r="M3312" s="195" t="str">
        <f>L3312*(1-K3312)</f>
      </c>
    </row>
    <row r="3313">
      <c r="A3313" t="s">
        <v>167</v>
      </c>
      <c r="B3313" t="s">
        <v>262</v>
      </c>
      <c r="C3313" s="35" t="s">
        <v>264</v>
      </c>
      <c r="D3313" t="s">
        <v>502</v>
      </c>
      <c r="E3313" t="s">
        <v>520</v>
      </c>
      <c r="F3313" s="188" t="n">
        <v>2029</v>
      </c>
      <c r="G3313" s="189" t="n">
        <v>61</v>
      </c>
      <c r="H3313" s="190" t="n">
        <v>19924.3776410905</v>
      </c>
      <c r="I3313" s="191" t="n">
        <v>2899496.20840679</v>
      </c>
      <c r="J3313" s="192" t="str">
        <f>IF(I3313&gt;0,H3313/I3313,0)</f>
      </c>
      <c r="K3313" s="193" t="str">
        <f>1-EXP(-J3313)</f>
      </c>
      <c r="L3313" s="194" t="str">
        <f>IF(G3313=30,1,M3312)</f>
      </c>
      <c r="M3313" s="195" t="str">
        <f>L3313*(1-K3313)</f>
      </c>
    </row>
    <row r="3314">
      <c r="A3314" t="s">
        <v>167</v>
      </c>
      <c r="B3314" t="s">
        <v>262</v>
      </c>
      <c r="C3314" s="35" t="s">
        <v>264</v>
      </c>
      <c r="D3314" t="s">
        <v>502</v>
      </c>
      <c r="E3314" t="s">
        <v>520</v>
      </c>
      <c r="F3314" s="188" t="n">
        <v>2029</v>
      </c>
      <c r="G3314" s="189" t="n">
        <v>62</v>
      </c>
      <c r="H3314" s="190" t="n">
        <v>20733.0022659877</v>
      </c>
      <c r="I3314" s="191" t="n">
        <v>2754997.17559554</v>
      </c>
      <c r="J3314" s="192" t="str">
        <f>IF(I3314&gt;0,H3314/I3314,0)</f>
      </c>
      <c r="K3314" s="193" t="str">
        <f>1-EXP(-J3314)</f>
      </c>
      <c r="L3314" s="194" t="str">
        <f>IF(G3314=30,1,M3313)</f>
      </c>
      <c r="M3314" s="195" t="str">
        <f>L3314*(1-K3314)</f>
      </c>
    </row>
    <row r="3315">
      <c r="A3315" t="s">
        <v>167</v>
      </c>
      <c r="B3315" t="s">
        <v>262</v>
      </c>
      <c r="C3315" s="35" t="s">
        <v>264</v>
      </c>
      <c r="D3315" t="s">
        <v>502</v>
      </c>
      <c r="E3315" t="s">
        <v>520</v>
      </c>
      <c r="F3315" s="188" t="n">
        <v>2029</v>
      </c>
      <c r="G3315" s="189" t="n">
        <v>63</v>
      </c>
      <c r="H3315" s="190" t="n">
        <v>21802.4952921779</v>
      </c>
      <c r="I3315" s="191" t="n">
        <v>2646567.27078598</v>
      </c>
      <c r="J3315" s="192" t="str">
        <f>IF(I3315&gt;0,H3315/I3315,0)</f>
      </c>
      <c r="K3315" s="193" t="str">
        <f>1-EXP(-J3315)</f>
      </c>
      <c r="L3315" s="194" t="str">
        <f>IF(G3315=30,1,M3314)</f>
      </c>
      <c r="M3315" s="195" t="str">
        <f>L3315*(1-K3315)</f>
      </c>
    </row>
    <row r="3316">
      <c r="A3316" t="s">
        <v>167</v>
      </c>
      <c r="B3316" t="s">
        <v>262</v>
      </c>
      <c r="C3316" s="35" t="s">
        <v>264</v>
      </c>
      <c r="D3316" t="s">
        <v>502</v>
      </c>
      <c r="E3316" t="s">
        <v>520</v>
      </c>
      <c r="F3316" s="188" t="n">
        <v>2029</v>
      </c>
      <c r="G3316" s="189" t="n">
        <v>64</v>
      </c>
      <c r="H3316" s="190" t="n">
        <v>22704.6163433386</v>
      </c>
      <c r="I3316" s="191" t="n">
        <v>2516821.99856047</v>
      </c>
      <c r="J3316" s="192" t="str">
        <f>IF(I3316&gt;0,H3316/I3316,0)</f>
      </c>
      <c r="K3316" s="193" t="str">
        <f>1-EXP(-J3316)</f>
      </c>
      <c r="L3316" s="194" t="str">
        <f>IF(G3316=30,1,M3315)</f>
      </c>
      <c r="M3316" s="195" t="str">
        <f>L3316*(1-K3316)</f>
      </c>
    </row>
    <row r="3317">
      <c r="A3317" t="s">
        <v>167</v>
      </c>
      <c r="B3317" t="s">
        <v>262</v>
      </c>
      <c r="C3317" s="35" t="s">
        <v>264</v>
      </c>
      <c r="D3317" t="s">
        <v>502</v>
      </c>
      <c r="E3317" t="s">
        <v>520</v>
      </c>
      <c r="F3317" s="188" t="n">
        <v>2029</v>
      </c>
      <c r="G3317" s="189" t="n">
        <v>65</v>
      </c>
      <c r="H3317" s="190" t="n">
        <v>22937.3400641891</v>
      </c>
      <c r="I3317" s="191" t="n">
        <v>2387313.32198128</v>
      </c>
      <c r="J3317" s="192" t="str">
        <f>IF(I3317&gt;0,H3317/I3317,0)</f>
      </c>
      <c r="K3317" s="193" t="str">
        <f>1-EXP(-J3317)</f>
      </c>
      <c r="L3317" s="194" t="str">
        <f>IF(G3317=30,1,M3316)</f>
      </c>
      <c r="M3317" s="195" t="str">
        <f>L3317*(1-K3317)</f>
      </c>
    </row>
    <row r="3318">
      <c r="A3318" t="s">
        <v>167</v>
      </c>
      <c r="B3318" t="s">
        <v>262</v>
      </c>
      <c r="C3318" s="35" t="s">
        <v>264</v>
      </c>
      <c r="D3318" t="s">
        <v>502</v>
      </c>
      <c r="E3318" t="s">
        <v>520</v>
      </c>
      <c r="F3318" s="188" t="n">
        <v>2029</v>
      </c>
      <c r="G3318" s="189" t="n">
        <v>66</v>
      </c>
      <c r="H3318" s="190" t="n">
        <v>23827.6564010853</v>
      </c>
      <c r="I3318" s="191" t="n">
        <v>2262828.89922189</v>
      </c>
      <c r="J3318" s="192" t="str">
        <f>IF(I3318&gt;0,H3318/I3318,0)</f>
      </c>
      <c r="K3318" s="193" t="str">
        <f>1-EXP(-J3318)</f>
      </c>
      <c r="L3318" s="194" t="str">
        <f>IF(G3318=30,1,M3317)</f>
      </c>
      <c r="M3318" s="195" t="str">
        <f>L3318*(1-K3318)</f>
      </c>
    </row>
    <row r="3319">
      <c r="A3319" t="s">
        <v>167</v>
      </c>
      <c r="B3319" t="s">
        <v>262</v>
      </c>
      <c r="C3319" s="35" t="s">
        <v>264</v>
      </c>
      <c r="D3319" t="s">
        <v>502</v>
      </c>
      <c r="E3319" t="s">
        <v>520</v>
      </c>
      <c r="F3319" s="188" t="n">
        <v>2029</v>
      </c>
      <c r="G3319" s="189" t="n">
        <v>67</v>
      </c>
      <c r="H3319" s="190" t="n">
        <v>24495.2725264309</v>
      </c>
      <c r="I3319" s="191" t="n">
        <v>2113266.38456729</v>
      </c>
      <c r="J3319" s="192" t="str">
        <f>IF(I3319&gt;0,H3319/I3319,0)</f>
      </c>
      <c r="K3319" s="193" t="str">
        <f>1-EXP(-J3319)</f>
      </c>
      <c r="L3319" s="194" t="str">
        <f>IF(G3319=30,1,M3318)</f>
      </c>
      <c r="M3319" s="195" t="str">
        <f>L3319*(1-K3319)</f>
      </c>
    </row>
    <row r="3320">
      <c r="A3320" t="s">
        <v>167</v>
      </c>
      <c r="B3320" t="s">
        <v>262</v>
      </c>
      <c r="C3320" s="35" t="s">
        <v>264</v>
      </c>
      <c r="D3320" t="s">
        <v>502</v>
      </c>
      <c r="E3320" t="s">
        <v>520</v>
      </c>
      <c r="F3320" s="188" t="n">
        <v>2029</v>
      </c>
      <c r="G3320" s="189" t="n">
        <v>68</v>
      </c>
      <c r="H3320" s="190" t="n">
        <v>25289.2176365422</v>
      </c>
      <c r="I3320" s="191" t="n">
        <v>1988398.04516532</v>
      </c>
      <c r="J3320" s="192" t="str">
        <f>IF(I3320&gt;0,H3320/I3320,0)</f>
      </c>
      <c r="K3320" s="193" t="str">
        <f>1-EXP(-J3320)</f>
      </c>
      <c r="L3320" s="194" t="str">
        <f>IF(G3320=30,1,M3319)</f>
      </c>
      <c r="M3320" s="195" t="str">
        <f>L3320*(1-K3320)</f>
      </c>
    </row>
    <row r="3321">
      <c r="A3321" t="s">
        <v>167</v>
      </c>
      <c r="B3321" t="s">
        <v>262</v>
      </c>
      <c r="C3321" s="35" t="s">
        <v>264</v>
      </c>
      <c r="D3321" t="s">
        <v>502</v>
      </c>
      <c r="E3321" t="s">
        <v>520</v>
      </c>
      <c r="F3321" s="188" t="n">
        <v>2029</v>
      </c>
      <c r="G3321" s="189" t="n">
        <v>69</v>
      </c>
      <c r="H3321" s="190" t="n">
        <v>25976.0252862014</v>
      </c>
      <c r="I3321" s="191" t="n">
        <v>1860132.49859734</v>
      </c>
      <c r="J3321" s="192" t="str">
        <f>IF(I3321&gt;0,H3321/I3321,0)</f>
      </c>
      <c r="K3321" s="193" t="str">
        <f>1-EXP(-J3321)</f>
      </c>
      <c r="L3321" s="194" t="str">
        <f>IF(G3321=30,1,M3320)</f>
      </c>
      <c r="M3321" s="195" t="str">
        <f>L3321*(1-K3321)</f>
      </c>
    </row>
    <row r="3322">
      <c r="A3322" t="s">
        <v>167</v>
      </c>
      <c r="B3322" t="s">
        <v>262</v>
      </c>
      <c r="C3322" s="35" t="s">
        <v>264</v>
      </c>
      <c r="D3322" t="s">
        <v>502</v>
      </c>
      <c r="E3322" t="s">
        <v>520</v>
      </c>
      <c r="F3322" s="188" t="n">
        <v>2030</v>
      </c>
      <c r="G3322" s="189" t="n">
        <v>30</v>
      </c>
      <c r="H3322" s="190" t="n">
        <v>940.537656081471</v>
      </c>
      <c r="I3322" s="191" t="n">
        <v>4327165.11167872</v>
      </c>
      <c r="J3322" s="192" t="str">
        <f>IF(I3322&gt;0,H3322/I3322,0)</f>
      </c>
      <c r="K3322" s="193" t="str">
        <f>1-EXP(-J3322)</f>
      </c>
      <c r="L3322" s="194" t="str">
        <f>IF(G3322=30,1,M3321)</f>
      </c>
      <c r="M3322" s="195" t="str">
        <f>L3322*(1-K3322)</f>
      </c>
    </row>
    <row r="3323">
      <c r="A3323" t="s">
        <v>167</v>
      </c>
      <c r="B3323" t="s">
        <v>262</v>
      </c>
      <c r="C3323" s="35" t="s">
        <v>264</v>
      </c>
      <c r="D3323" t="s">
        <v>502</v>
      </c>
      <c r="E3323" t="s">
        <v>520</v>
      </c>
      <c r="F3323" s="188" t="n">
        <v>2030</v>
      </c>
      <c r="G3323" s="189" t="n">
        <v>31</v>
      </c>
      <c r="H3323" s="190" t="n">
        <v>1077.58374444435</v>
      </c>
      <c r="I3323" s="191" t="n">
        <v>4347607.33020049</v>
      </c>
      <c r="J3323" s="192" t="str">
        <f>IF(I3323&gt;0,H3323/I3323,0)</f>
      </c>
      <c r="K3323" s="193" t="str">
        <f>1-EXP(-J3323)</f>
      </c>
      <c r="L3323" s="194" t="str">
        <f>IF(G3323=30,1,M3322)</f>
      </c>
      <c r="M3323" s="195" t="str">
        <f>L3323*(1-K3323)</f>
      </c>
    </row>
    <row r="3324">
      <c r="A3324" t="s">
        <v>167</v>
      </c>
      <c r="B3324" t="s">
        <v>262</v>
      </c>
      <c r="C3324" s="35" t="s">
        <v>264</v>
      </c>
      <c r="D3324" t="s">
        <v>502</v>
      </c>
      <c r="E3324" t="s">
        <v>520</v>
      </c>
      <c r="F3324" s="188" t="n">
        <v>2030</v>
      </c>
      <c r="G3324" s="189" t="n">
        <v>32</v>
      </c>
      <c r="H3324" s="190" t="n">
        <v>1150.25562651673</v>
      </c>
      <c r="I3324" s="191" t="n">
        <v>4407884.38490576</v>
      </c>
      <c r="J3324" s="192" t="str">
        <f>IF(I3324&gt;0,H3324/I3324,0)</f>
      </c>
      <c r="K3324" s="193" t="str">
        <f>1-EXP(-J3324)</f>
      </c>
      <c r="L3324" s="194" t="str">
        <f>IF(G3324=30,1,M3323)</f>
      </c>
      <c r="M3324" s="195" t="str">
        <f>L3324*(1-K3324)</f>
      </c>
    </row>
    <row r="3325">
      <c r="A3325" t="s">
        <v>167</v>
      </c>
      <c r="B3325" t="s">
        <v>262</v>
      </c>
      <c r="C3325" s="35" t="s">
        <v>264</v>
      </c>
      <c r="D3325" t="s">
        <v>502</v>
      </c>
      <c r="E3325" t="s">
        <v>520</v>
      </c>
      <c r="F3325" s="188" t="n">
        <v>2030</v>
      </c>
      <c r="G3325" s="189" t="n">
        <v>33</v>
      </c>
      <c r="H3325" s="190" t="n">
        <v>1451.92891288833</v>
      </c>
      <c r="I3325" s="191" t="n">
        <v>4548855.75993685</v>
      </c>
      <c r="J3325" s="192" t="str">
        <f>IF(I3325&gt;0,H3325/I3325,0)</f>
      </c>
      <c r="K3325" s="193" t="str">
        <f>1-EXP(-J3325)</f>
      </c>
      <c r="L3325" s="194" t="str">
        <f>IF(G3325=30,1,M3324)</f>
      </c>
      <c r="M3325" s="195" t="str">
        <f>L3325*(1-K3325)</f>
      </c>
    </row>
    <row r="3326">
      <c r="A3326" t="s">
        <v>167</v>
      </c>
      <c r="B3326" t="s">
        <v>262</v>
      </c>
      <c r="C3326" s="35" t="s">
        <v>264</v>
      </c>
      <c r="D3326" t="s">
        <v>502</v>
      </c>
      <c r="E3326" t="s">
        <v>520</v>
      </c>
      <c r="F3326" s="188" t="n">
        <v>2030</v>
      </c>
      <c r="G3326" s="189" t="n">
        <v>34</v>
      </c>
      <c r="H3326" s="190" t="n">
        <v>1524.19595159104</v>
      </c>
      <c r="I3326" s="191" t="n">
        <v>4506048.3519644</v>
      </c>
      <c r="J3326" s="192" t="str">
        <f>IF(I3326&gt;0,H3326/I3326,0)</f>
      </c>
      <c r="K3326" s="193" t="str">
        <f>1-EXP(-J3326)</f>
      </c>
      <c r="L3326" s="194" t="str">
        <f>IF(G3326=30,1,M3325)</f>
      </c>
      <c r="M3326" s="195" t="str">
        <f>L3326*(1-K3326)</f>
      </c>
    </row>
    <row r="3327">
      <c r="A3327" t="s">
        <v>167</v>
      </c>
      <c r="B3327" t="s">
        <v>262</v>
      </c>
      <c r="C3327" s="35" t="s">
        <v>264</v>
      </c>
      <c r="D3327" t="s">
        <v>502</v>
      </c>
      <c r="E3327" t="s">
        <v>520</v>
      </c>
      <c r="F3327" s="188" t="n">
        <v>2030</v>
      </c>
      <c r="G3327" s="189" t="n">
        <v>35</v>
      </c>
      <c r="H3327" s="190" t="n">
        <v>2038.83184310763</v>
      </c>
      <c r="I3327" s="191" t="n">
        <v>4433043.10474731</v>
      </c>
      <c r="J3327" s="192" t="str">
        <f>IF(I3327&gt;0,H3327/I3327,0)</f>
      </c>
      <c r="K3327" s="193" t="str">
        <f>1-EXP(-J3327)</f>
      </c>
      <c r="L3327" s="194" t="str">
        <f>IF(G3327=30,1,M3326)</f>
      </c>
      <c r="M3327" s="195" t="str">
        <f>L3327*(1-K3327)</f>
      </c>
    </row>
    <row r="3328">
      <c r="A3328" t="s">
        <v>167</v>
      </c>
      <c r="B3328" t="s">
        <v>262</v>
      </c>
      <c r="C3328" s="35" t="s">
        <v>264</v>
      </c>
      <c r="D3328" t="s">
        <v>502</v>
      </c>
      <c r="E3328" t="s">
        <v>520</v>
      </c>
      <c r="F3328" s="188" t="n">
        <v>2030</v>
      </c>
      <c r="G3328" s="189" t="n">
        <v>36</v>
      </c>
      <c r="H3328" s="190" t="n">
        <v>2148.66881999103</v>
      </c>
      <c r="I3328" s="191" t="n">
        <v>4375309.35896248</v>
      </c>
      <c r="J3328" s="192" t="str">
        <f>IF(I3328&gt;0,H3328/I3328,0)</f>
      </c>
      <c r="K3328" s="193" t="str">
        <f>1-EXP(-J3328)</f>
      </c>
      <c r="L3328" s="194" t="str">
        <f>IF(G3328=30,1,M3327)</f>
      </c>
      <c r="M3328" s="195" t="str">
        <f>L3328*(1-K3328)</f>
      </c>
    </row>
    <row r="3329">
      <c r="A3329" t="s">
        <v>167</v>
      </c>
      <c r="B3329" t="s">
        <v>262</v>
      </c>
      <c r="C3329" s="35" t="s">
        <v>264</v>
      </c>
      <c r="D3329" t="s">
        <v>502</v>
      </c>
      <c r="E3329" t="s">
        <v>520</v>
      </c>
      <c r="F3329" s="188" t="n">
        <v>2030</v>
      </c>
      <c r="G3329" s="189" t="n">
        <v>37</v>
      </c>
      <c r="H3329" s="190" t="n">
        <v>2276.85054535094</v>
      </c>
      <c r="I3329" s="191" t="n">
        <v>4321637.51164156</v>
      </c>
      <c r="J3329" s="192" t="str">
        <f>IF(I3329&gt;0,H3329/I3329,0)</f>
      </c>
      <c r="K3329" s="193" t="str">
        <f>1-EXP(-J3329)</f>
      </c>
      <c r="L3329" s="194" t="str">
        <f>IF(G3329=30,1,M3328)</f>
      </c>
      <c r="M3329" s="195" t="str">
        <f>L3329*(1-K3329)</f>
      </c>
    </row>
    <row r="3330">
      <c r="A3330" t="s">
        <v>167</v>
      </c>
      <c r="B3330" t="s">
        <v>262</v>
      </c>
      <c r="C3330" s="35" t="s">
        <v>264</v>
      </c>
      <c r="D3330" t="s">
        <v>502</v>
      </c>
      <c r="E3330" t="s">
        <v>520</v>
      </c>
      <c r="F3330" s="188" t="n">
        <v>2030</v>
      </c>
      <c r="G3330" s="189" t="n">
        <v>38</v>
      </c>
      <c r="H3330" s="190" t="n">
        <v>2466.96050774437</v>
      </c>
      <c r="I3330" s="191" t="n">
        <v>4359338.10826025</v>
      </c>
      <c r="J3330" s="192" t="str">
        <f>IF(I3330&gt;0,H3330/I3330,0)</f>
      </c>
      <c r="K3330" s="193" t="str">
        <f>1-EXP(-J3330)</f>
      </c>
      <c r="L3330" s="194" t="str">
        <f>IF(G3330=30,1,M3329)</f>
      </c>
      <c r="M3330" s="195" t="str">
        <f>L3330*(1-K3330)</f>
      </c>
    </row>
    <row r="3331">
      <c r="A3331" t="s">
        <v>167</v>
      </c>
      <c r="B3331" t="s">
        <v>262</v>
      </c>
      <c r="C3331" s="35" t="s">
        <v>264</v>
      </c>
      <c r="D3331" t="s">
        <v>502</v>
      </c>
      <c r="E3331" t="s">
        <v>520</v>
      </c>
      <c r="F3331" s="188" t="n">
        <v>2030</v>
      </c>
      <c r="G3331" s="189" t="n">
        <v>39</v>
      </c>
      <c r="H3331" s="190" t="n">
        <v>2666.77409061149</v>
      </c>
      <c r="I3331" s="191" t="n">
        <v>4377311.06552147</v>
      </c>
      <c r="J3331" s="192" t="str">
        <f>IF(I3331&gt;0,H3331/I3331,0)</f>
      </c>
      <c r="K3331" s="193" t="str">
        <f>1-EXP(-J3331)</f>
      </c>
      <c r="L3331" s="194" t="str">
        <f>IF(G3331=30,1,M3330)</f>
      </c>
      <c r="M3331" s="195" t="str">
        <f>L3331*(1-K3331)</f>
      </c>
    </row>
    <row r="3332">
      <c r="A3332" t="s">
        <v>167</v>
      </c>
      <c r="B3332" t="s">
        <v>262</v>
      </c>
      <c r="C3332" s="35" t="s">
        <v>264</v>
      </c>
      <c r="D3332" t="s">
        <v>502</v>
      </c>
      <c r="E3332" t="s">
        <v>520</v>
      </c>
      <c r="F3332" s="188" t="n">
        <v>2030</v>
      </c>
      <c r="G3332" s="189" t="n">
        <v>40</v>
      </c>
      <c r="H3332" s="190" t="n">
        <v>5042.7693271007</v>
      </c>
      <c r="I3332" s="191" t="n">
        <v>6445615.25298353</v>
      </c>
      <c r="J3332" s="192" t="str">
        <f>IF(I3332&gt;0,H3332/I3332,0)</f>
      </c>
      <c r="K3332" s="193" t="str">
        <f>1-EXP(-J3332)</f>
      </c>
      <c r="L3332" s="194" t="str">
        <f>IF(G3332=30,1,M3331)</f>
      </c>
      <c r="M3332" s="195" t="str">
        <f>L3332*(1-K3332)</f>
      </c>
    </row>
    <row r="3333">
      <c r="A3333" t="s">
        <v>167</v>
      </c>
      <c r="B3333" t="s">
        <v>262</v>
      </c>
      <c r="C3333" s="35" t="s">
        <v>264</v>
      </c>
      <c r="D3333" t="s">
        <v>502</v>
      </c>
      <c r="E3333" t="s">
        <v>520</v>
      </c>
      <c r="F3333" s="188" t="n">
        <v>2030</v>
      </c>
      <c r="G3333" s="189" t="n">
        <v>41</v>
      </c>
      <c r="H3333" s="190" t="n">
        <v>3842.88137936607</v>
      </c>
      <c r="I3333" s="191" t="n">
        <v>4334951.65614004</v>
      </c>
      <c r="J3333" s="192" t="str">
        <f>IF(I3333&gt;0,H3333/I3333,0)</f>
      </c>
      <c r="K3333" s="193" t="str">
        <f>1-EXP(-J3333)</f>
      </c>
      <c r="L3333" s="194" t="str">
        <f>IF(G3333=30,1,M3332)</f>
      </c>
      <c r="M3333" s="195" t="str">
        <f>L3333*(1-K3333)</f>
      </c>
    </row>
    <row r="3334">
      <c r="A3334" t="s">
        <v>167</v>
      </c>
      <c r="B3334" t="s">
        <v>262</v>
      </c>
      <c r="C3334" s="35" t="s">
        <v>264</v>
      </c>
      <c r="D3334" t="s">
        <v>502</v>
      </c>
      <c r="E3334" t="s">
        <v>520</v>
      </c>
      <c r="F3334" s="188" t="n">
        <v>2030</v>
      </c>
      <c r="G3334" s="189" t="n">
        <v>42</v>
      </c>
      <c r="H3334" s="190" t="n">
        <v>4152.23307902633</v>
      </c>
      <c r="I3334" s="191" t="n">
        <v>4318104.77215653</v>
      </c>
      <c r="J3334" s="192" t="str">
        <f>IF(I3334&gt;0,H3334/I3334,0)</f>
      </c>
      <c r="K3334" s="193" t="str">
        <f>1-EXP(-J3334)</f>
      </c>
      <c r="L3334" s="194" t="str">
        <f>IF(G3334=30,1,M3333)</f>
      </c>
      <c r="M3334" s="195" t="str">
        <f>L3334*(1-K3334)</f>
      </c>
    </row>
    <row r="3335">
      <c r="A3335" t="s">
        <v>167</v>
      </c>
      <c r="B3335" t="s">
        <v>262</v>
      </c>
      <c r="C3335" s="35" t="s">
        <v>264</v>
      </c>
      <c r="D3335" t="s">
        <v>502</v>
      </c>
      <c r="E3335" t="s">
        <v>520</v>
      </c>
      <c r="F3335" s="188" t="n">
        <v>2030</v>
      </c>
      <c r="G3335" s="189" t="n">
        <v>43</v>
      </c>
      <c r="H3335" s="190" t="n">
        <v>4381.4188737829</v>
      </c>
      <c r="I3335" s="191" t="n">
        <v>4185694.91206224</v>
      </c>
      <c r="J3335" s="192" t="str">
        <f>IF(I3335&gt;0,H3335/I3335,0)</f>
      </c>
      <c r="K3335" s="193" t="str">
        <f>1-EXP(-J3335)</f>
      </c>
      <c r="L3335" s="194" t="str">
        <f>IF(G3335=30,1,M3334)</f>
      </c>
      <c r="M3335" s="195" t="str">
        <f>L3335*(1-K3335)</f>
      </c>
    </row>
    <row r="3336">
      <c r="A3336" t="s">
        <v>167</v>
      </c>
      <c r="B3336" t="s">
        <v>262</v>
      </c>
      <c r="C3336" s="35" t="s">
        <v>264</v>
      </c>
      <c r="D3336" t="s">
        <v>502</v>
      </c>
      <c r="E3336" t="s">
        <v>520</v>
      </c>
      <c r="F3336" s="188" t="n">
        <v>2030</v>
      </c>
      <c r="G3336" s="189" t="n">
        <v>44</v>
      </c>
      <c r="H3336" s="190" t="n">
        <v>4743.05509378849</v>
      </c>
      <c r="I3336" s="191" t="n">
        <v>4150907.04161542</v>
      </c>
      <c r="J3336" s="192" t="str">
        <f>IF(I3336&gt;0,H3336/I3336,0)</f>
      </c>
      <c r="K3336" s="193" t="str">
        <f>1-EXP(-J3336)</f>
      </c>
      <c r="L3336" s="194" t="str">
        <f>IF(G3336=30,1,M3335)</f>
      </c>
      <c r="M3336" s="195" t="str">
        <f>L3336*(1-K3336)</f>
      </c>
    </row>
    <row r="3337">
      <c r="A3337" t="s">
        <v>167</v>
      </c>
      <c r="B3337" t="s">
        <v>262</v>
      </c>
      <c r="C3337" s="35" t="s">
        <v>264</v>
      </c>
      <c r="D3337" t="s">
        <v>502</v>
      </c>
      <c r="E3337" t="s">
        <v>520</v>
      </c>
      <c r="F3337" s="188" t="n">
        <v>2030</v>
      </c>
      <c r="G3337" s="189" t="n">
        <v>45</v>
      </c>
      <c r="H3337" s="190" t="n">
        <v>6224.41038542862</v>
      </c>
      <c r="I3337" s="191" t="n">
        <v>4209619.44331631</v>
      </c>
      <c r="J3337" s="192" t="str">
        <f>IF(I3337&gt;0,H3337/I3337,0)</f>
      </c>
      <c r="K3337" s="193" t="str">
        <f>1-EXP(-J3337)</f>
      </c>
      <c r="L3337" s="194" t="str">
        <f>IF(G3337=30,1,M3336)</f>
      </c>
      <c r="M3337" s="195" t="str">
        <f>L3337*(1-K3337)</f>
      </c>
    </row>
    <row r="3338">
      <c r="A3338" t="s">
        <v>167</v>
      </c>
      <c r="B3338" t="s">
        <v>262</v>
      </c>
      <c r="C3338" s="35" t="s">
        <v>264</v>
      </c>
      <c r="D3338" t="s">
        <v>502</v>
      </c>
      <c r="E3338" t="s">
        <v>520</v>
      </c>
      <c r="F3338" s="188" t="n">
        <v>2030</v>
      </c>
      <c r="G3338" s="189" t="n">
        <v>46</v>
      </c>
      <c r="H3338" s="190" t="n">
        <v>6943.24515589737</v>
      </c>
      <c r="I3338" s="191" t="n">
        <v>4292274.02753967</v>
      </c>
      <c r="J3338" s="192" t="str">
        <f>IF(I3338&gt;0,H3338/I3338,0)</f>
      </c>
      <c r="K3338" s="193" t="str">
        <f>1-EXP(-J3338)</f>
      </c>
      <c r="L3338" s="194" t="str">
        <f>IF(G3338=30,1,M3337)</f>
      </c>
      <c r="M3338" s="195" t="str">
        <f>L3338*(1-K3338)</f>
      </c>
    </row>
    <row r="3339">
      <c r="A3339" t="s">
        <v>167</v>
      </c>
      <c r="B3339" t="s">
        <v>262</v>
      </c>
      <c r="C3339" s="35" t="s">
        <v>264</v>
      </c>
      <c r="D3339" t="s">
        <v>502</v>
      </c>
      <c r="E3339" t="s">
        <v>520</v>
      </c>
      <c r="F3339" s="188" t="n">
        <v>2030</v>
      </c>
      <c r="G3339" s="189" t="n">
        <v>47</v>
      </c>
      <c r="H3339" s="190" t="n">
        <v>7566.87400623348</v>
      </c>
      <c r="I3339" s="191" t="n">
        <v>4266992.73640356</v>
      </c>
      <c r="J3339" s="192" t="str">
        <f>IF(I3339&gt;0,H3339/I3339,0)</f>
      </c>
      <c r="K3339" s="193" t="str">
        <f>1-EXP(-J3339)</f>
      </c>
      <c r="L3339" s="194" t="str">
        <f>IF(G3339=30,1,M3338)</f>
      </c>
      <c r="M3339" s="195" t="str">
        <f>L3339*(1-K3339)</f>
      </c>
    </row>
    <row r="3340">
      <c r="A3340" t="s">
        <v>167</v>
      </c>
      <c r="B3340" t="s">
        <v>262</v>
      </c>
      <c r="C3340" s="35" t="s">
        <v>264</v>
      </c>
      <c r="D3340" t="s">
        <v>502</v>
      </c>
      <c r="E3340" t="s">
        <v>520</v>
      </c>
      <c r="F3340" s="188" t="n">
        <v>2030</v>
      </c>
      <c r="G3340" s="189" t="n">
        <v>48</v>
      </c>
      <c r="H3340" s="190" t="n">
        <v>8031.21174757022</v>
      </c>
      <c r="I3340" s="191" t="n">
        <v>4129402.37034152</v>
      </c>
      <c r="J3340" s="192" t="str">
        <f>IF(I3340&gt;0,H3340/I3340,0)</f>
      </c>
      <c r="K3340" s="193" t="str">
        <f>1-EXP(-J3340)</f>
      </c>
      <c r="L3340" s="194" t="str">
        <f>IF(G3340=30,1,M3339)</f>
      </c>
      <c r="M3340" s="195" t="str">
        <f>L3340*(1-K3340)</f>
      </c>
    </row>
    <row r="3341">
      <c r="A3341" t="s">
        <v>167</v>
      </c>
      <c r="B3341" t="s">
        <v>262</v>
      </c>
      <c r="C3341" s="35" t="s">
        <v>264</v>
      </c>
      <c r="D3341" t="s">
        <v>502</v>
      </c>
      <c r="E3341" t="s">
        <v>520</v>
      </c>
      <c r="F3341" s="188" t="n">
        <v>2030</v>
      </c>
      <c r="G3341" s="189" t="n">
        <v>49</v>
      </c>
      <c r="H3341" s="190" t="n">
        <v>8634.72744752922</v>
      </c>
      <c r="I3341" s="191" t="n">
        <v>4053933.42669959</v>
      </c>
      <c r="J3341" s="192" t="str">
        <f>IF(I3341&gt;0,H3341/I3341,0)</f>
      </c>
      <c r="K3341" s="193" t="str">
        <f>1-EXP(-J3341)</f>
      </c>
      <c r="L3341" s="194" t="str">
        <f>IF(G3341=30,1,M3340)</f>
      </c>
      <c r="M3341" s="195" t="str">
        <f>L3341*(1-K3341)</f>
      </c>
    </row>
    <row r="3342">
      <c r="A3342" t="s">
        <v>167</v>
      </c>
      <c r="B3342" t="s">
        <v>262</v>
      </c>
      <c r="C3342" s="35" t="s">
        <v>264</v>
      </c>
      <c r="D3342" t="s">
        <v>502</v>
      </c>
      <c r="E3342" t="s">
        <v>520</v>
      </c>
      <c r="F3342" s="188" t="n">
        <v>2030</v>
      </c>
      <c r="G3342" s="189" t="n">
        <v>50</v>
      </c>
      <c r="H3342" s="190" t="n">
        <v>9908.92306588967</v>
      </c>
      <c r="I3342" s="191" t="n">
        <v>3994132.31181286</v>
      </c>
      <c r="J3342" s="192" t="str">
        <f>IF(I3342&gt;0,H3342/I3342,0)</f>
      </c>
      <c r="K3342" s="193" t="str">
        <f>1-EXP(-J3342)</f>
      </c>
      <c r="L3342" s="194" t="str">
        <f>IF(G3342=30,1,M3341)</f>
      </c>
      <c r="M3342" s="195" t="str">
        <f>L3342*(1-K3342)</f>
      </c>
    </row>
    <row r="3343">
      <c r="A3343" t="s">
        <v>167</v>
      </c>
      <c r="B3343" t="s">
        <v>262</v>
      </c>
      <c r="C3343" s="35" t="s">
        <v>264</v>
      </c>
      <c r="D3343" t="s">
        <v>502</v>
      </c>
      <c r="E3343" t="s">
        <v>520</v>
      </c>
      <c r="F3343" s="188" t="n">
        <v>2030</v>
      </c>
      <c r="G3343" s="189" t="n">
        <v>51</v>
      </c>
      <c r="H3343" s="190" t="n">
        <v>10660.5359818235</v>
      </c>
      <c r="I3343" s="191" t="n">
        <v>3927896.70664295</v>
      </c>
      <c r="J3343" s="192" t="str">
        <f>IF(I3343&gt;0,H3343/I3343,0)</f>
      </c>
      <c r="K3343" s="193" t="str">
        <f>1-EXP(-J3343)</f>
      </c>
      <c r="L3343" s="194" t="str">
        <f>IF(G3343=30,1,M3342)</f>
      </c>
      <c r="M3343" s="195" t="str">
        <f>L3343*(1-K3343)</f>
      </c>
    </row>
    <row r="3344">
      <c r="A3344" t="s">
        <v>167</v>
      </c>
      <c r="B3344" t="s">
        <v>262</v>
      </c>
      <c r="C3344" s="35" t="s">
        <v>264</v>
      </c>
      <c r="D3344" t="s">
        <v>502</v>
      </c>
      <c r="E3344" t="s">
        <v>520</v>
      </c>
      <c r="F3344" s="188" t="n">
        <v>2030</v>
      </c>
      <c r="G3344" s="189" t="n">
        <v>52</v>
      </c>
      <c r="H3344" s="190" t="n">
        <v>11396.3286743099</v>
      </c>
      <c r="I3344" s="191" t="n">
        <v>3842975.34669549</v>
      </c>
      <c r="J3344" s="192" t="str">
        <f>IF(I3344&gt;0,H3344/I3344,0)</f>
      </c>
      <c r="K3344" s="193" t="str">
        <f>1-EXP(-J3344)</f>
      </c>
      <c r="L3344" s="194" t="str">
        <f>IF(G3344=30,1,M3343)</f>
      </c>
      <c r="M3344" s="195" t="str">
        <f>L3344*(1-K3344)</f>
      </c>
    </row>
    <row r="3345">
      <c r="A3345" t="s">
        <v>167</v>
      </c>
      <c r="B3345" t="s">
        <v>262</v>
      </c>
      <c r="C3345" s="35" t="s">
        <v>264</v>
      </c>
      <c r="D3345" t="s">
        <v>502</v>
      </c>
      <c r="E3345" t="s">
        <v>520</v>
      </c>
      <c r="F3345" s="188" t="n">
        <v>2030</v>
      </c>
      <c r="G3345" s="189" t="n">
        <v>53</v>
      </c>
      <c r="H3345" s="190" t="n">
        <v>12242.6616894747</v>
      </c>
      <c r="I3345" s="191" t="n">
        <v>3774911.41490201</v>
      </c>
      <c r="J3345" s="192" t="str">
        <f>IF(I3345&gt;0,H3345/I3345,0)</f>
      </c>
      <c r="K3345" s="193" t="str">
        <f>1-EXP(-J3345)</f>
      </c>
      <c r="L3345" s="194" t="str">
        <f>IF(G3345=30,1,M3344)</f>
      </c>
      <c r="M3345" s="195" t="str">
        <f>L3345*(1-K3345)</f>
      </c>
    </row>
    <row r="3346">
      <c r="A3346" t="s">
        <v>167</v>
      </c>
      <c r="B3346" t="s">
        <v>262</v>
      </c>
      <c r="C3346" s="35" t="s">
        <v>264</v>
      </c>
      <c r="D3346" t="s">
        <v>502</v>
      </c>
      <c r="E3346" t="s">
        <v>520</v>
      </c>
      <c r="F3346" s="188" t="n">
        <v>2030</v>
      </c>
      <c r="G3346" s="189" t="n">
        <v>54</v>
      </c>
      <c r="H3346" s="190" t="n">
        <v>13090.4073511644</v>
      </c>
      <c r="I3346" s="191" t="n">
        <v>3694936.44616208</v>
      </c>
      <c r="J3346" s="192" t="str">
        <f>IF(I3346&gt;0,H3346/I3346,0)</f>
      </c>
      <c r="K3346" s="193" t="str">
        <f>1-EXP(-J3346)</f>
      </c>
      <c r="L3346" s="194" t="str">
        <f>IF(G3346=30,1,M3345)</f>
      </c>
      <c r="M3346" s="195" t="str">
        <f>L3346*(1-K3346)</f>
      </c>
    </row>
    <row r="3347">
      <c r="A3347" t="s">
        <v>167</v>
      </c>
      <c r="B3347" t="s">
        <v>262</v>
      </c>
      <c r="C3347" s="35" t="s">
        <v>264</v>
      </c>
      <c r="D3347" t="s">
        <v>502</v>
      </c>
      <c r="E3347" t="s">
        <v>520</v>
      </c>
      <c r="F3347" s="188" t="n">
        <v>2030</v>
      </c>
      <c r="G3347" s="189" t="n">
        <v>55</v>
      </c>
      <c r="H3347" s="190" t="n">
        <v>14128.8889880619</v>
      </c>
      <c r="I3347" s="191" t="n">
        <v>3614087.64180446</v>
      </c>
      <c r="J3347" s="192" t="str">
        <f>IF(I3347&gt;0,H3347/I3347,0)</f>
      </c>
      <c r="K3347" s="193" t="str">
        <f>1-EXP(-J3347)</f>
      </c>
      <c r="L3347" s="194" t="str">
        <f>IF(G3347=30,1,M3346)</f>
      </c>
      <c r="M3347" s="195" t="str">
        <f>L3347*(1-K3347)</f>
      </c>
    </row>
    <row r="3348">
      <c r="A3348" t="s">
        <v>167</v>
      </c>
      <c r="B3348" t="s">
        <v>262</v>
      </c>
      <c r="C3348" s="35" t="s">
        <v>264</v>
      </c>
      <c r="D3348" t="s">
        <v>502</v>
      </c>
      <c r="E3348" t="s">
        <v>520</v>
      </c>
      <c r="F3348" s="188" t="n">
        <v>2030</v>
      </c>
      <c r="G3348" s="189" t="n">
        <v>56</v>
      </c>
      <c r="H3348" s="190" t="n">
        <v>14952.8290393656</v>
      </c>
      <c r="I3348" s="191" t="n">
        <v>3505390.17481234</v>
      </c>
      <c r="J3348" s="192" t="str">
        <f>IF(I3348&gt;0,H3348/I3348,0)</f>
      </c>
      <c r="K3348" s="193" t="str">
        <f>1-EXP(-J3348)</f>
      </c>
      <c r="L3348" s="194" t="str">
        <f>IF(G3348=30,1,M3347)</f>
      </c>
      <c r="M3348" s="195" t="str">
        <f>L3348*(1-K3348)</f>
      </c>
    </row>
    <row r="3349">
      <c r="A3349" t="s">
        <v>167</v>
      </c>
      <c r="B3349" t="s">
        <v>262</v>
      </c>
      <c r="C3349" s="35" t="s">
        <v>264</v>
      </c>
      <c r="D3349" t="s">
        <v>502</v>
      </c>
      <c r="E3349" t="s">
        <v>520</v>
      </c>
      <c r="F3349" s="188" t="n">
        <v>2030</v>
      </c>
      <c r="G3349" s="189" t="n">
        <v>57</v>
      </c>
      <c r="H3349" s="190" t="n">
        <v>16112.1393846141</v>
      </c>
      <c r="I3349" s="191" t="n">
        <v>3456355.84696028</v>
      </c>
      <c r="J3349" s="192" t="str">
        <f>IF(I3349&gt;0,H3349/I3349,0)</f>
      </c>
      <c r="K3349" s="193" t="str">
        <f>1-EXP(-J3349)</f>
      </c>
      <c r="L3349" s="194" t="str">
        <f>IF(G3349=30,1,M3348)</f>
      </c>
      <c r="M3349" s="195" t="str">
        <f>L3349*(1-K3349)</f>
      </c>
    </row>
    <row r="3350">
      <c r="A3350" t="s">
        <v>167</v>
      </c>
      <c r="B3350" t="s">
        <v>262</v>
      </c>
      <c r="C3350" s="35" t="s">
        <v>264</v>
      </c>
      <c r="D3350" t="s">
        <v>502</v>
      </c>
      <c r="E3350" t="s">
        <v>520</v>
      </c>
      <c r="F3350" s="188" t="n">
        <v>2030</v>
      </c>
      <c r="G3350" s="189" t="n">
        <v>58</v>
      </c>
      <c r="H3350" s="190" t="n">
        <v>16560.9887781571</v>
      </c>
      <c r="I3350" s="191" t="n">
        <v>3245568.15918574</v>
      </c>
      <c r="J3350" s="192" t="str">
        <f>IF(I3350&gt;0,H3350/I3350,0)</f>
      </c>
      <c r="K3350" s="193" t="str">
        <f>1-EXP(-J3350)</f>
      </c>
      <c r="L3350" s="194" t="str">
        <f>IF(G3350=30,1,M3349)</f>
      </c>
      <c r="M3350" s="195" t="str">
        <f>L3350*(1-K3350)</f>
      </c>
    </row>
    <row r="3351">
      <c r="A3351" t="s">
        <v>167</v>
      </c>
      <c r="B3351" t="s">
        <v>262</v>
      </c>
      <c r="C3351" s="35" t="s">
        <v>264</v>
      </c>
      <c r="D3351" t="s">
        <v>502</v>
      </c>
      <c r="E3351" t="s">
        <v>520</v>
      </c>
      <c r="F3351" s="188" t="n">
        <v>2030</v>
      </c>
      <c r="G3351" s="189" t="n">
        <v>59</v>
      </c>
      <c r="H3351" s="190" t="n">
        <v>17604.6913460201</v>
      </c>
      <c r="I3351" s="191" t="n">
        <v>3154501.7334864</v>
      </c>
      <c r="J3351" s="192" t="str">
        <f>IF(I3351&gt;0,H3351/I3351,0)</f>
      </c>
      <c r="K3351" s="193" t="str">
        <f>1-EXP(-J3351)</f>
      </c>
      <c r="L3351" s="194" t="str">
        <f>IF(G3351=30,1,M3350)</f>
      </c>
      <c r="M3351" s="195" t="str">
        <f>L3351*(1-K3351)</f>
      </c>
    </row>
    <row r="3352">
      <c r="A3352" t="s">
        <v>167</v>
      </c>
      <c r="B3352" t="s">
        <v>262</v>
      </c>
      <c r="C3352" s="35" t="s">
        <v>264</v>
      </c>
      <c r="D3352" t="s">
        <v>502</v>
      </c>
      <c r="E3352" t="s">
        <v>520</v>
      </c>
      <c r="F3352" s="188" t="n">
        <v>2030</v>
      </c>
      <c r="G3352" s="189" t="n">
        <v>60</v>
      </c>
      <c r="H3352" s="190" t="n">
        <v>19067.7087670255</v>
      </c>
      <c r="I3352" s="191" t="n">
        <v>3067550.06471518</v>
      </c>
      <c r="J3352" s="192" t="str">
        <f>IF(I3352&gt;0,H3352/I3352,0)</f>
      </c>
      <c r="K3352" s="193" t="str">
        <f>1-EXP(-J3352)</f>
      </c>
      <c r="L3352" s="194" t="str">
        <f>IF(G3352=30,1,M3351)</f>
      </c>
      <c r="M3352" s="195" t="str">
        <f>L3352*(1-K3352)</f>
      </c>
    </row>
    <row r="3353">
      <c r="A3353" t="s">
        <v>167</v>
      </c>
      <c r="B3353" t="s">
        <v>262</v>
      </c>
      <c r="C3353" s="35" t="s">
        <v>264</v>
      </c>
      <c r="D3353" t="s">
        <v>502</v>
      </c>
      <c r="E3353" t="s">
        <v>520</v>
      </c>
      <c r="F3353" s="188" t="n">
        <v>2030</v>
      </c>
      <c r="G3353" s="189" t="n">
        <v>61</v>
      </c>
      <c r="H3353" s="190" t="n">
        <v>20260.482249543</v>
      </c>
      <c r="I3353" s="191" t="n">
        <v>2970732.95822097</v>
      </c>
      <c r="J3353" s="192" t="str">
        <f>IF(I3353&gt;0,H3353/I3353,0)</f>
      </c>
      <c r="K3353" s="193" t="str">
        <f>1-EXP(-J3353)</f>
      </c>
      <c r="L3353" s="194" t="str">
        <f>IF(G3353=30,1,M3352)</f>
      </c>
      <c r="M3353" s="195" t="str">
        <f>L3353*(1-K3353)</f>
      </c>
    </row>
    <row r="3354">
      <c r="A3354" t="s">
        <v>167</v>
      </c>
      <c r="B3354" t="s">
        <v>262</v>
      </c>
      <c r="C3354" s="35" t="s">
        <v>264</v>
      </c>
      <c r="D3354" t="s">
        <v>502</v>
      </c>
      <c r="E3354" t="s">
        <v>520</v>
      </c>
      <c r="F3354" s="188" t="n">
        <v>2030</v>
      </c>
      <c r="G3354" s="189" t="n">
        <v>62</v>
      </c>
      <c r="H3354" s="190" t="n">
        <v>21305.9695028404</v>
      </c>
      <c r="I3354" s="191" t="n">
        <v>2854888.0662156</v>
      </c>
      <c r="J3354" s="192" t="str">
        <f>IF(I3354&gt;0,H3354/I3354,0)</f>
      </c>
      <c r="K3354" s="193" t="str">
        <f>1-EXP(-J3354)</f>
      </c>
      <c r="L3354" s="194" t="str">
        <f>IF(G3354=30,1,M3353)</f>
      </c>
      <c r="M3354" s="195" t="str">
        <f>L3354*(1-K3354)</f>
      </c>
    </row>
    <row r="3355">
      <c r="A3355" t="s">
        <v>167</v>
      </c>
      <c r="B3355" t="s">
        <v>262</v>
      </c>
      <c r="C3355" s="35" t="s">
        <v>264</v>
      </c>
      <c r="D3355" t="s">
        <v>502</v>
      </c>
      <c r="E3355" t="s">
        <v>520</v>
      </c>
      <c r="F3355" s="188" t="n">
        <v>2030</v>
      </c>
      <c r="G3355" s="189" t="n">
        <v>63</v>
      </c>
      <c r="H3355" s="190" t="n">
        <v>22154.8697911496</v>
      </c>
      <c r="I3355" s="191" t="n">
        <v>2708591.76326442</v>
      </c>
      <c r="J3355" s="192" t="str">
        <f>IF(I3355&gt;0,H3355/I3355,0)</f>
      </c>
      <c r="K3355" s="193" t="str">
        <f>1-EXP(-J3355)</f>
      </c>
      <c r="L3355" s="194" t="str">
        <f>IF(G3355=30,1,M3354)</f>
      </c>
      <c r="M3355" s="195" t="str">
        <f>L3355*(1-K3355)</f>
      </c>
    </row>
    <row r="3356">
      <c r="A3356" t="s">
        <v>167</v>
      </c>
      <c r="B3356" t="s">
        <v>262</v>
      </c>
      <c r="C3356" s="35" t="s">
        <v>264</v>
      </c>
      <c r="D3356" t="s">
        <v>502</v>
      </c>
      <c r="E3356" t="s">
        <v>520</v>
      </c>
      <c r="F3356" s="188" t="n">
        <v>2030</v>
      </c>
      <c r="G3356" s="189" t="n">
        <v>64</v>
      </c>
      <c r="H3356" s="190" t="n">
        <v>23276.055002924</v>
      </c>
      <c r="I3356" s="191" t="n">
        <v>2597784.29143842</v>
      </c>
      <c r="J3356" s="192" t="str">
        <f>IF(I3356&gt;0,H3356/I3356,0)</f>
      </c>
      <c r="K3356" s="193" t="str">
        <f>1-EXP(-J3356)</f>
      </c>
      <c r="L3356" s="194" t="str">
        <f>IF(G3356=30,1,M3355)</f>
      </c>
      <c r="M3356" s="195" t="str">
        <f>L3356*(1-K3356)</f>
      </c>
    </row>
    <row r="3357">
      <c r="A3357" t="s">
        <v>167</v>
      </c>
      <c r="B3357" t="s">
        <v>262</v>
      </c>
      <c r="C3357" s="35" t="s">
        <v>264</v>
      </c>
      <c r="D3357" t="s">
        <v>502</v>
      </c>
      <c r="E3357" t="s">
        <v>520</v>
      </c>
      <c r="F3357" s="188" t="n">
        <v>2030</v>
      </c>
      <c r="G3357" s="189" t="n">
        <v>65</v>
      </c>
      <c r="H3357" s="190" t="n">
        <v>23505.3730346598</v>
      </c>
      <c r="I3357" s="191" t="n">
        <v>2466038.68461741</v>
      </c>
      <c r="J3357" s="192" t="str">
        <f>IF(I3357&gt;0,H3357/I3357,0)</f>
      </c>
      <c r="K3357" s="193" t="str">
        <f>1-EXP(-J3357)</f>
      </c>
      <c r="L3357" s="194" t="str">
        <f>IF(G3357=30,1,M3356)</f>
      </c>
      <c r="M3357" s="195" t="str">
        <f>L3357*(1-K3357)</f>
      </c>
    </row>
    <row r="3358">
      <c r="A3358" t="s">
        <v>167</v>
      </c>
      <c r="B3358" t="s">
        <v>262</v>
      </c>
      <c r="C3358" s="35" t="s">
        <v>264</v>
      </c>
      <c r="D3358" t="s">
        <v>502</v>
      </c>
      <c r="E3358" t="s">
        <v>520</v>
      </c>
      <c r="F3358" s="188" t="n">
        <v>2030</v>
      </c>
      <c r="G3358" s="189" t="n">
        <v>66</v>
      </c>
      <c r="H3358" s="190" t="n">
        <v>24389.5909809529</v>
      </c>
      <c r="I3358" s="191" t="n">
        <v>2334777.32620107</v>
      </c>
      <c r="J3358" s="192" t="str">
        <f>IF(I3358&gt;0,H3358/I3358,0)</f>
      </c>
      <c r="K3358" s="193" t="str">
        <f>1-EXP(-J3358)</f>
      </c>
      <c r="L3358" s="194" t="str">
        <f>IF(G3358=30,1,M3357)</f>
      </c>
      <c r="M3358" s="195" t="str">
        <f>L3358*(1-K3358)</f>
      </c>
    </row>
    <row r="3359">
      <c r="A3359" t="s">
        <v>167</v>
      </c>
      <c r="B3359" t="s">
        <v>262</v>
      </c>
      <c r="C3359" s="35" t="s">
        <v>264</v>
      </c>
      <c r="D3359" t="s">
        <v>502</v>
      </c>
      <c r="E3359" t="s">
        <v>520</v>
      </c>
      <c r="F3359" s="188" t="n">
        <v>2030</v>
      </c>
      <c r="G3359" s="189" t="n">
        <v>67</v>
      </c>
      <c r="H3359" s="190" t="n">
        <v>25302.7065619364</v>
      </c>
      <c r="I3359" s="191" t="n">
        <v>2208057.25124844</v>
      </c>
      <c r="J3359" s="192" t="str">
        <f>IF(I3359&gt;0,H3359/I3359,0)</f>
      </c>
      <c r="K3359" s="193" t="str">
        <f>1-EXP(-J3359)</f>
      </c>
      <c r="L3359" s="194" t="str">
        <f>IF(G3359=30,1,M3358)</f>
      </c>
      <c r="M3359" s="195" t="str">
        <f>L3359*(1-K3359)</f>
      </c>
    </row>
    <row r="3360">
      <c r="A3360" t="s">
        <v>167</v>
      </c>
      <c r="B3360" t="s">
        <v>262</v>
      </c>
      <c r="C3360" s="35" t="s">
        <v>264</v>
      </c>
      <c r="D3360" t="s">
        <v>502</v>
      </c>
      <c r="E3360" t="s">
        <v>520</v>
      </c>
      <c r="F3360" s="188" t="n">
        <v>2030</v>
      </c>
      <c r="G3360" s="189" t="n">
        <v>68</v>
      </c>
      <c r="H3360" s="190" t="n">
        <v>25962.8515984224</v>
      </c>
      <c r="I3360" s="191" t="n">
        <v>2056965.15307158</v>
      </c>
      <c r="J3360" s="192" t="str">
        <f>IF(I3360&gt;0,H3360/I3360,0)</f>
      </c>
      <c r="K3360" s="193" t="str">
        <f>1-EXP(-J3360)</f>
      </c>
      <c r="L3360" s="194" t="str">
        <f>IF(G3360=30,1,M3359)</f>
      </c>
      <c r="M3360" s="195" t="str">
        <f>L3360*(1-K3360)</f>
      </c>
    </row>
    <row r="3361">
      <c r="A3361" t="s">
        <v>167</v>
      </c>
      <c r="B3361" t="s">
        <v>262</v>
      </c>
      <c r="C3361" s="35" t="s">
        <v>264</v>
      </c>
      <c r="D3361" t="s">
        <v>502</v>
      </c>
      <c r="E3361" t="s">
        <v>520</v>
      </c>
      <c r="F3361" s="188" t="n">
        <v>2030</v>
      </c>
      <c r="G3361" s="189" t="n">
        <v>69</v>
      </c>
      <c r="H3361" s="190" t="n">
        <v>26757.4345894278</v>
      </c>
      <c r="I3361" s="191" t="n">
        <v>1930321.28302187</v>
      </c>
      <c r="J3361" s="192" t="str">
        <f>IF(I3361&gt;0,H3361/I3361,0)</f>
      </c>
      <c r="K3361" s="193" t="str">
        <f>1-EXP(-J3361)</f>
      </c>
      <c r="L3361" s="194" t="str">
        <f>IF(G3361=30,1,M3360)</f>
      </c>
      <c r="M3361" s="195" t="str">
        <f>L3361*(1-K3361)</f>
      </c>
    </row>
    <row r="3362">
      <c r="A3362" t="s">
        <v>167</v>
      </c>
      <c r="B3362" t="s">
        <v>262</v>
      </c>
      <c r="C3362" s="35" t="s">
        <v>264</v>
      </c>
      <c r="D3362" t="s">
        <v>502</v>
      </c>
      <c r="E3362" t="s">
        <v>520</v>
      </c>
      <c r="F3362" s="188" t="n">
        <v>2031</v>
      </c>
      <c r="G3362" s="189" t="n">
        <v>30</v>
      </c>
      <c r="H3362" s="190" t="n">
        <v>943.400278747225</v>
      </c>
      <c r="I3362" s="191" t="n">
        <v>4341010.29309053</v>
      </c>
      <c r="J3362" s="192" t="str">
        <f>IF(I3362&gt;0,H3362/I3362,0)</f>
      </c>
      <c r="K3362" s="193" t="str">
        <f>1-EXP(-J3362)</f>
      </c>
      <c r="L3362" s="194" t="str">
        <f>IF(G3362=30,1,M3361)</f>
      </c>
      <c r="M3362" s="195" t="str">
        <f>L3362*(1-K3362)</f>
      </c>
    </row>
    <row r="3363">
      <c r="A3363" t="s">
        <v>167</v>
      </c>
      <c r="B3363" t="s">
        <v>262</v>
      </c>
      <c r="C3363" s="35" t="s">
        <v>264</v>
      </c>
      <c r="D3363" t="s">
        <v>502</v>
      </c>
      <c r="E3363" t="s">
        <v>520</v>
      </c>
      <c r="F3363" s="188" t="n">
        <v>2031</v>
      </c>
      <c r="G3363" s="189" t="n">
        <v>31</v>
      </c>
      <c r="H3363" s="190" t="n">
        <v>1072.06031724208</v>
      </c>
      <c r="I3363" s="191" t="n">
        <v>4321288.11371131</v>
      </c>
      <c r="J3363" s="192" t="str">
        <f>IF(I3363&gt;0,H3363/I3363,0)</f>
      </c>
      <c r="K3363" s="193" t="str">
        <f>1-EXP(-J3363)</f>
      </c>
      <c r="L3363" s="194" t="str">
        <f>IF(G3363=30,1,M3362)</f>
      </c>
      <c r="M3363" s="195" t="str">
        <f>L3363*(1-K3363)</f>
      </c>
    </row>
    <row r="3364">
      <c r="A3364" t="s">
        <v>167</v>
      </c>
      <c r="B3364" t="s">
        <v>262</v>
      </c>
      <c r="C3364" s="35" t="s">
        <v>264</v>
      </c>
      <c r="D3364" t="s">
        <v>502</v>
      </c>
      <c r="E3364" t="s">
        <v>520</v>
      </c>
      <c r="F3364" s="188" t="n">
        <v>2031</v>
      </c>
      <c r="G3364" s="189" t="n">
        <v>32</v>
      </c>
      <c r="H3364" s="190" t="n">
        <v>1133.33588420628</v>
      </c>
      <c r="I3364" s="191" t="n">
        <v>4341843.02731232</v>
      </c>
      <c r="J3364" s="192" t="str">
        <f>IF(I3364&gt;0,H3364/I3364,0)</f>
      </c>
      <c r="K3364" s="193" t="str">
        <f>1-EXP(-J3364)</f>
      </c>
      <c r="L3364" s="194" t="str">
        <f>IF(G3364=30,1,M3363)</f>
      </c>
      <c r="M3364" s="195" t="str">
        <f>L3364*(1-K3364)</f>
      </c>
    </row>
    <row r="3365">
      <c r="A3365" t="s">
        <v>167</v>
      </c>
      <c r="B3365" t="s">
        <v>262</v>
      </c>
      <c r="C3365" s="35" t="s">
        <v>264</v>
      </c>
      <c r="D3365" t="s">
        <v>502</v>
      </c>
      <c r="E3365" t="s">
        <v>520</v>
      </c>
      <c r="F3365" s="188" t="n">
        <v>2031</v>
      </c>
      <c r="G3365" s="189" t="n">
        <v>33</v>
      </c>
      <c r="H3365" s="190" t="n">
        <v>1217.24402251223</v>
      </c>
      <c r="I3365" s="191" t="n">
        <v>4401791.26761987</v>
      </c>
      <c r="J3365" s="192" t="str">
        <f>IF(I3365&gt;0,H3365/I3365,0)</f>
      </c>
      <c r="K3365" s="193" t="str">
        <f>1-EXP(-J3365)</f>
      </c>
      <c r="L3365" s="194" t="str">
        <f>IF(G3365=30,1,M3364)</f>
      </c>
      <c r="M3365" s="195" t="str">
        <f>L3365*(1-K3365)</f>
      </c>
    </row>
    <row r="3366">
      <c r="A3366" t="s">
        <v>167</v>
      </c>
      <c r="B3366" t="s">
        <v>262</v>
      </c>
      <c r="C3366" s="35" t="s">
        <v>264</v>
      </c>
      <c r="D3366" t="s">
        <v>502</v>
      </c>
      <c r="E3366" t="s">
        <v>520</v>
      </c>
      <c r="F3366" s="188" t="n">
        <v>2031</v>
      </c>
      <c r="G3366" s="189" t="n">
        <v>34</v>
      </c>
      <c r="H3366" s="190" t="n">
        <v>1539.48736082133</v>
      </c>
      <c r="I3366" s="191" t="n">
        <v>4542044.98933418</v>
      </c>
      <c r="J3366" s="192" t="str">
        <f>IF(I3366&gt;0,H3366/I3366,0)</f>
      </c>
      <c r="K3366" s="193" t="str">
        <f>1-EXP(-J3366)</f>
      </c>
      <c r="L3366" s="194" t="str">
        <f>IF(G3366=30,1,M3365)</f>
      </c>
      <c r="M3366" s="195" t="str">
        <f>L3366*(1-K3366)</f>
      </c>
    </row>
    <row r="3367">
      <c r="A3367" t="s">
        <v>167</v>
      </c>
      <c r="B3367" t="s">
        <v>262</v>
      </c>
      <c r="C3367" s="35" t="s">
        <v>264</v>
      </c>
      <c r="D3367" t="s">
        <v>502</v>
      </c>
      <c r="E3367" t="s">
        <v>520</v>
      </c>
      <c r="F3367" s="188" t="n">
        <v>2031</v>
      </c>
      <c r="G3367" s="189" t="n">
        <v>35</v>
      </c>
      <c r="H3367" s="190" t="n">
        <v>2064.97575922731</v>
      </c>
      <c r="I3367" s="191" t="n">
        <v>4498935.75592874</v>
      </c>
      <c r="J3367" s="192" t="str">
        <f>IF(I3367&gt;0,H3367/I3367,0)</f>
      </c>
      <c r="K3367" s="193" t="str">
        <f>1-EXP(-J3367)</f>
      </c>
      <c r="L3367" s="194" t="str">
        <f>IF(G3367=30,1,M3366)</f>
      </c>
      <c r="M3367" s="195" t="str">
        <f>L3367*(1-K3367)</f>
      </c>
    </row>
    <row r="3368">
      <c r="A3368" t="s">
        <v>167</v>
      </c>
      <c r="B3368" t="s">
        <v>262</v>
      </c>
      <c r="C3368" s="35" t="s">
        <v>264</v>
      </c>
      <c r="D3368" t="s">
        <v>502</v>
      </c>
      <c r="E3368" t="s">
        <v>520</v>
      </c>
      <c r="F3368" s="188" t="n">
        <v>2031</v>
      </c>
      <c r="G3368" s="189" t="n">
        <v>36</v>
      </c>
      <c r="H3368" s="190" t="n">
        <v>2168.35752899282</v>
      </c>
      <c r="I3368" s="191" t="n">
        <v>4425129.26475265</v>
      </c>
      <c r="J3368" s="192" t="str">
        <f>IF(I3368&gt;0,H3368/I3368,0)</f>
      </c>
      <c r="K3368" s="193" t="str">
        <f>1-EXP(-J3368)</f>
      </c>
      <c r="L3368" s="194" t="str">
        <f>IF(G3368=30,1,M3367)</f>
      </c>
      <c r="M3368" s="195" t="str">
        <f>L3368*(1-K3368)</f>
      </c>
    </row>
    <row r="3369">
      <c r="A3369" t="s">
        <v>167</v>
      </c>
      <c r="B3369" t="s">
        <v>262</v>
      </c>
      <c r="C3369" s="35" t="s">
        <v>264</v>
      </c>
      <c r="D3369" t="s">
        <v>502</v>
      </c>
      <c r="E3369" t="s">
        <v>520</v>
      </c>
      <c r="F3369" s="188" t="n">
        <v>2031</v>
      </c>
      <c r="G3369" s="189" t="n">
        <v>37</v>
      </c>
      <c r="H3369" s="190" t="n">
        <v>2295.89847558288</v>
      </c>
      <c r="I3369" s="191" t="n">
        <v>4367479.14052038</v>
      </c>
      <c r="J3369" s="192" t="str">
        <f>IF(I3369&gt;0,H3369/I3369,0)</f>
      </c>
      <c r="K3369" s="193" t="str">
        <f>1-EXP(-J3369)</f>
      </c>
      <c r="L3369" s="194" t="str">
        <f>IF(G3369=30,1,M3368)</f>
      </c>
      <c r="M3369" s="195" t="str">
        <f>L3369*(1-K3369)</f>
      </c>
    </row>
    <row r="3370">
      <c r="A3370" t="s">
        <v>167</v>
      </c>
      <c r="B3370" t="s">
        <v>262</v>
      </c>
      <c r="C3370" s="35" t="s">
        <v>264</v>
      </c>
      <c r="D3370" t="s">
        <v>502</v>
      </c>
      <c r="E3370" t="s">
        <v>520</v>
      </c>
      <c r="F3370" s="188" t="n">
        <v>2031</v>
      </c>
      <c r="G3370" s="189" t="n">
        <v>38</v>
      </c>
      <c r="H3370" s="190" t="n">
        <v>2437.50705642408</v>
      </c>
      <c r="I3370" s="191" t="n">
        <v>4313358.15929237</v>
      </c>
      <c r="J3370" s="192" t="str">
        <f>IF(I3370&gt;0,H3370/I3370,0)</f>
      </c>
      <c r="K3370" s="193" t="str">
        <f>1-EXP(-J3370)</f>
      </c>
      <c r="L3370" s="194" t="str">
        <f>IF(G3370=30,1,M3369)</f>
      </c>
      <c r="M3370" s="195" t="str">
        <f>L3370*(1-K3370)</f>
      </c>
    </row>
    <row r="3371">
      <c r="A3371" t="s">
        <v>167</v>
      </c>
      <c r="B3371" t="s">
        <v>262</v>
      </c>
      <c r="C3371" s="35" t="s">
        <v>264</v>
      </c>
      <c r="D3371" t="s">
        <v>502</v>
      </c>
      <c r="E3371" t="s">
        <v>520</v>
      </c>
      <c r="F3371" s="188" t="n">
        <v>2031</v>
      </c>
      <c r="G3371" s="189" t="n">
        <v>39</v>
      </c>
      <c r="H3371" s="190" t="n">
        <v>2645.18121024045</v>
      </c>
      <c r="I3371" s="191" t="n">
        <v>4350381.51820269</v>
      </c>
      <c r="J3371" s="192" t="str">
        <f>IF(I3371&gt;0,H3371/I3371,0)</f>
      </c>
      <c r="K3371" s="193" t="str">
        <f>1-EXP(-J3371)</f>
      </c>
      <c r="L3371" s="194" t="str">
        <f>IF(G3371=30,1,M3370)</f>
      </c>
      <c r="M3371" s="195" t="str">
        <f>L3371*(1-K3371)</f>
      </c>
    </row>
    <row r="3372">
      <c r="A3372" t="s">
        <v>167</v>
      </c>
      <c r="B3372" t="s">
        <v>262</v>
      </c>
      <c r="C3372" s="35" t="s">
        <v>264</v>
      </c>
      <c r="D3372" t="s">
        <v>502</v>
      </c>
      <c r="E3372" t="s">
        <v>520</v>
      </c>
      <c r="F3372" s="188" t="n">
        <v>2031</v>
      </c>
      <c r="G3372" s="189" t="n">
        <v>40</v>
      </c>
      <c r="H3372" s="190" t="n">
        <v>3571.79664438723</v>
      </c>
      <c r="I3372" s="191" t="n">
        <v>4367642.58112489</v>
      </c>
      <c r="J3372" s="192" t="str">
        <f>IF(I3372&gt;0,H3372/I3372,0)</f>
      </c>
      <c r="K3372" s="193" t="str">
        <f>1-EXP(-J3372)</f>
      </c>
      <c r="L3372" s="194" t="str">
        <f>IF(G3372=30,1,M3371)</f>
      </c>
      <c r="M3372" s="195" t="str">
        <f>L3372*(1-K3372)</f>
      </c>
    </row>
    <row r="3373">
      <c r="A3373" t="s">
        <v>167</v>
      </c>
      <c r="B3373" t="s">
        <v>262</v>
      </c>
      <c r="C3373" s="35" t="s">
        <v>264</v>
      </c>
      <c r="D3373" t="s">
        <v>502</v>
      </c>
      <c r="E3373" t="s">
        <v>520</v>
      </c>
      <c r="F3373" s="188" t="n">
        <v>2031</v>
      </c>
      <c r="G3373" s="189" t="n">
        <v>41</v>
      </c>
      <c r="H3373" s="190" t="n">
        <v>5403.46702393108</v>
      </c>
      <c r="I3373" s="191" t="n">
        <v>6429757.21851969</v>
      </c>
      <c r="J3373" s="192" t="str">
        <f>IF(I3373&gt;0,H3373/I3373,0)</f>
      </c>
      <c r="K3373" s="193" t="str">
        <f>1-EXP(-J3373)</f>
      </c>
      <c r="L3373" s="194" t="str">
        <f>IF(G3373=30,1,M3372)</f>
      </c>
      <c r="M3373" s="195" t="str">
        <f>L3373*(1-K3373)</f>
      </c>
    </row>
    <row r="3374">
      <c r="A3374" t="s">
        <v>167</v>
      </c>
      <c r="B3374" t="s">
        <v>262</v>
      </c>
      <c r="C3374" s="35" t="s">
        <v>264</v>
      </c>
      <c r="D3374" t="s">
        <v>502</v>
      </c>
      <c r="E3374" t="s">
        <v>520</v>
      </c>
      <c r="F3374" s="188" t="n">
        <v>2031</v>
      </c>
      <c r="G3374" s="189" t="n">
        <v>42</v>
      </c>
      <c r="H3374" s="190" t="n">
        <v>4144.43460911744</v>
      </c>
      <c r="I3374" s="191" t="n">
        <v>4323771.73574612</v>
      </c>
      <c r="J3374" s="192" t="str">
        <f>IF(I3374&gt;0,H3374/I3374,0)</f>
      </c>
      <c r="K3374" s="193" t="str">
        <f>1-EXP(-J3374)</f>
      </c>
      <c r="L3374" s="194" t="str">
        <f>IF(G3374=30,1,M3373)</f>
      </c>
      <c r="M3374" s="195" t="str">
        <f>L3374*(1-K3374)</f>
      </c>
    </row>
    <row r="3375">
      <c r="A3375" t="s">
        <v>167</v>
      </c>
      <c r="B3375" t="s">
        <v>262</v>
      </c>
      <c r="C3375" s="35" t="s">
        <v>264</v>
      </c>
      <c r="D3375" t="s">
        <v>502</v>
      </c>
      <c r="E3375" t="s">
        <v>520</v>
      </c>
      <c r="F3375" s="188" t="n">
        <v>2031</v>
      </c>
      <c r="G3375" s="189" t="n">
        <v>43</v>
      </c>
      <c r="H3375" s="190" t="n">
        <v>4491.96950988103</v>
      </c>
      <c r="I3375" s="191" t="n">
        <v>4306052.09401397</v>
      </c>
      <c r="J3375" s="192" t="str">
        <f>IF(I3375&gt;0,H3375/I3375,0)</f>
      </c>
      <c r="K3375" s="193" t="str">
        <f>1-EXP(-J3375)</f>
      </c>
      <c r="L3375" s="194" t="str">
        <f>IF(G3375=30,1,M3374)</f>
      </c>
      <c r="M3375" s="195" t="str">
        <f>L3375*(1-K3375)</f>
      </c>
    </row>
    <row r="3376">
      <c r="A3376" t="s">
        <v>167</v>
      </c>
      <c r="B3376" t="s">
        <v>262</v>
      </c>
      <c r="C3376" s="35" t="s">
        <v>264</v>
      </c>
      <c r="D3376" t="s">
        <v>502</v>
      </c>
      <c r="E3376" t="s">
        <v>520</v>
      </c>
      <c r="F3376" s="188" t="n">
        <v>2031</v>
      </c>
      <c r="G3376" s="189" t="n">
        <v>44</v>
      </c>
      <c r="H3376" s="190" t="n">
        <v>4752.98454055112</v>
      </c>
      <c r="I3376" s="191" t="n">
        <v>4173008.50201053</v>
      </c>
      <c r="J3376" s="192" t="str">
        <f>IF(I3376&gt;0,H3376/I3376,0)</f>
      </c>
      <c r="K3376" s="193" t="str">
        <f>1-EXP(-J3376)</f>
      </c>
      <c r="L3376" s="194" t="str">
        <f>IF(G3376=30,1,M3375)</f>
      </c>
      <c r="M3376" s="195" t="str">
        <f>L3376*(1-K3376)</f>
      </c>
    </row>
    <row r="3377">
      <c r="A3377" t="s">
        <v>167</v>
      </c>
      <c r="B3377" t="s">
        <v>262</v>
      </c>
      <c r="C3377" s="35" t="s">
        <v>264</v>
      </c>
      <c r="D3377" t="s">
        <v>502</v>
      </c>
      <c r="E3377" t="s">
        <v>520</v>
      </c>
      <c r="F3377" s="188" t="n">
        <v>2031</v>
      </c>
      <c r="G3377" s="189" t="n">
        <v>45</v>
      </c>
      <c r="H3377" s="190" t="n">
        <v>6092.46022297629</v>
      </c>
      <c r="I3377" s="191" t="n">
        <v>4137204.32060348</v>
      </c>
      <c r="J3377" s="192" t="str">
        <f>IF(I3377&gt;0,H3377/I3377,0)</f>
      </c>
      <c r="K3377" s="193" t="str">
        <f>1-EXP(-J3377)</f>
      </c>
      <c r="L3377" s="194" t="str">
        <f>IF(G3377=30,1,M3376)</f>
      </c>
      <c r="M3377" s="195" t="str">
        <f>L3377*(1-K3377)</f>
      </c>
    </row>
    <row r="3378">
      <c r="A3378" t="s">
        <v>167</v>
      </c>
      <c r="B3378" t="s">
        <v>262</v>
      </c>
      <c r="C3378" s="35" t="s">
        <v>264</v>
      </c>
      <c r="D3378" t="s">
        <v>502</v>
      </c>
      <c r="E3378" t="s">
        <v>520</v>
      </c>
      <c r="F3378" s="188" t="n">
        <v>2031</v>
      </c>
      <c r="G3378" s="189" t="n">
        <v>46</v>
      </c>
      <c r="H3378" s="190" t="n">
        <v>6754.9482989072</v>
      </c>
      <c r="I3378" s="191" t="n">
        <v>4193415.21090774</v>
      </c>
      <c r="J3378" s="192" t="str">
        <f>IF(I3378&gt;0,H3378/I3378,0)</f>
      </c>
      <c r="K3378" s="193" t="str">
        <f>1-EXP(-J3378)</f>
      </c>
      <c r="L3378" s="194" t="str">
        <f>IF(G3378=30,1,M3377)</f>
      </c>
      <c r="M3378" s="195" t="str">
        <f>L3378*(1-K3378)</f>
      </c>
    </row>
    <row r="3379">
      <c r="A3379" t="s">
        <v>167</v>
      </c>
      <c r="B3379" t="s">
        <v>262</v>
      </c>
      <c r="C3379" s="35" t="s">
        <v>264</v>
      </c>
      <c r="D3379" t="s">
        <v>502</v>
      </c>
      <c r="E3379" t="s">
        <v>520</v>
      </c>
      <c r="F3379" s="188" t="n">
        <v>2031</v>
      </c>
      <c r="G3379" s="189" t="n">
        <v>47</v>
      </c>
      <c r="H3379" s="190" t="n">
        <v>7550.4945788428</v>
      </c>
      <c r="I3379" s="191" t="n">
        <v>4275255.89324872</v>
      </c>
      <c r="J3379" s="192" t="str">
        <f>IF(I3379&gt;0,H3379/I3379,0)</f>
      </c>
      <c r="K3379" s="193" t="str">
        <f>1-EXP(-J3379)</f>
      </c>
      <c r="L3379" s="194" t="str">
        <f>IF(G3379=30,1,M3378)</f>
      </c>
      <c r="M3379" s="195" t="str">
        <f>L3379*(1-K3379)</f>
      </c>
    </row>
    <row r="3380">
      <c r="A3380" t="s">
        <v>167</v>
      </c>
      <c r="B3380" t="s">
        <v>262</v>
      </c>
      <c r="C3380" s="35" t="s">
        <v>264</v>
      </c>
      <c r="D3380" t="s">
        <v>502</v>
      </c>
      <c r="E3380" t="s">
        <v>520</v>
      </c>
      <c r="F3380" s="188" t="n">
        <v>2031</v>
      </c>
      <c r="G3380" s="189" t="n">
        <v>48</v>
      </c>
      <c r="H3380" s="190" t="n">
        <v>8224.70592537979</v>
      </c>
      <c r="I3380" s="191" t="n">
        <v>4248459.87039881</v>
      </c>
      <c r="J3380" s="192" t="str">
        <f>IF(I3380&gt;0,H3380/I3380,0)</f>
      </c>
      <c r="K3380" s="193" t="str">
        <f>1-EXP(-J3380)</f>
      </c>
      <c r="L3380" s="194" t="str">
        <f>IF(G3380=30,1,M3379)</f>
      </c>
      <c r="M3380" s="195" t="str">
        <f>L3380*(1-K3380)</f>
      </c>
    </row>
    <row r="3381">
      <c r="A3381" t="s">
        <v>167</v>
      </c>
      <c r="B3381" t="s">
        <v>262</v>
      </c>
      <c r="C3381" s="35" t="s">
        <v>264</v>
      </c>
      <c r="D3381" t="s">
        <v>502</v>
      </c>
      <c r="E3381" t="s">
        <v>520</v>
      </c>
      <c r="F3381" s="188" t="n">
        <v>2031</v>
      </c>
      <c r="G3381" s="189" t="n">
        <v>49</v>
      </c>
      <c r="H3381" s="190" t="n">
        <v>8722.11232863816</v>
      </c>
      <c r="I3381" s="191" t="n">
        <v>4109742.64850646</v>
      </c>
      <c r="J3381" s="192" t="str">
        <f>IF(I3381&gt;0,H3381/I3381,0)</f>
      </c>
      <c r="K3381" s="193" t="str">
        <f>1-EXP(-J3381)</f>
      </c>
      <c r="L3381" s="194" t="str">
        <f>IF(G3381=30,1,M3380)</f>
      </c>
      <c r="M3381" s="195" t="str">
        <f>L3381*(1-K3381)</f>
      </c>
    </row>
    <row r="3382">
      <c r="A3382" t="s">
        <v>167</v>
      </c>
      <c r="B3382" t="s">
        <v>262</v>
      </c>
      <c r="C3382" s="35" t="s">
        <v>264</v>
      </c>
      <c r="D3382" t="s">
        <v>502</v>
      </c>
      <c r="E3382" t="s">
        <v>520</v>
      </c>
      <c r="F3382" s="188" t="n">
        <v>2031</v>
      </c>
      <c r="G3382" s="189" t="n">
        <v>50</v>
      </c>
      <c r="H3382" s="190" t="n">
        <v>9955.81815103821</v>
      </c>
      <c r="I3382" s="191" t="n">
        <v>4032799.1903513</v>
      </c>
      <c r="J3382" s="192" t="str">
        <f>IF(I3382&gt;0,H3382/I3382,0)</f>
      </c>
      <c r="K3382" s="193" t="str">
        <f>1-EXP(-J3382)</f>
      </c>
      <c r="L3382" s="194" t="str">
        <f>IF(G3382=30,1,M3381)</f>
      </c>
      <c r="M3382" s="195" t="str">
        <f>L3382*(1-K3382)</f>
      </c>
    </row>
    <row r="3383">
      <c r="A3383" t="s">
        <v>167</v>
      </c>
      <c r="B3383" t="s">
        <v>262</v>
      </c>
      <c r="C3383" s="35" t="s">
        <v>264</v>
      </c>
      <c r="D3383" t="s">
        <v>502</v>
      </c>
      <c r="E3383" t="s">
        <v>520</v>
      </c>
      <c r="F3383" s="188" t="n">
        <v>2031</v>
      </c>
      <c r="G3383" s="189" t="n">
        <v>51</v>
      </c>
      <c r="H3383" s="190" t="n">
        <v>10725.1167891551</v>
      </c>
      <c r="I3383" s="191" t="n">
        <v>3970486.79778768</v>
      </c>
      <c r="J3383" s="192" t="str">
        <f>IF(I3383&gt;0,H3383/I3383,0)</f>
      </c>
      <c r="K3383" s="193" t="str">
        <f>1-EXP(-J3383)</f>
      </c>
      <c r="L3383" s="194" t="str">
        <f>IF(G3383=30,1,M3382)</f>
      </c>
      <c r="M3383" s="195" t="str">
        <f>L3383*(1-K3383)</f>
      </c>
    </row>
    <row r="3384">
      <c r="A3384" t="s">
        <v>167</v>
      </c>
      <c r="B3384" t="s">
        <v>262</v>
      </c>
      <c r="C3384" s="35" t="s">
        <v>264</v>
      </c>
      <c r="D3384" t="s">
        <v>502</v>
      </c>
      <c r="E3384" t="s">
        <v>520</v>
      </c>
      <c r="F3384" s="188" t="n">
        <v>2031</v>
      </c>
      <c r="G3384" s="189" t="n">
        <v>52</v>
      </c>
      <c r="H3384" s="190" t="n">
        <v>11521.9544257869</v>
      </c>
      <c r="I3384" s="191" t="n">
        <v>3903323.28629951</v>
      </c>
      <c r="J3384" s="192" t="str">
        <f>IF(I3384&gt;0,H3384/I3384,0)</f>
      </c>
      <c r="K3384" s="193" t="str">
        <f>1-EXP(-J3384)</f>
      </c>
      <c r="L3384" s="194" t="str">
        <f>IF(G3384=30,1,M3383)</f>
      </c>
      <c r="M3384" s="195" t="str">
        <f>L3384*(1-K3384)</f>
      </c>
    </row>
    <row r="3385">
      <c r="A3385" t="s">
        <v>167</v>
      </c>
      <c r="B3385" t="s">
        <v>262</v>
      </c>
      <c r="C3385" s="35" t="s">
        <v>264</v>
      </c>
      <c r="D3385" t="s">
        <v>502</v>
      </c>
      <c r="E3385" t="s">
        <v>520</v>
      </c>
      <c r="F3385" s="188" t="n">
        <v>2031</v>
      </c>
      <c r="G3385" s="189" t="n">
        <v>53</v>
      </c>
      <c r="H3385" s="190" t="n">
        <v>12309.1419131409</v>
      </c>
      <c r="I3385" s="191" t="n">
        <v>3816714.04768233</v>
      </c>
      <c r="J3385" s="192" t="str">
        <f>IF(I3385&gt;0,H3385/I3385,0)</f>
      </c>
      <c r="K3385" s="193" t="str">
        <f>1-EXP(-J3385)</f>
      </c>
      <c r="L3385" s="194" t="str">
        <f>IF(G3385=30,1,M3384)</f>
      </c>
      <c r="M3385" s="195" t="str">
        <f>L3385*(1-K3385)</f>
      </c>
    </row>
    <row r="3386">
      <c r="A3386" t="s">
        <v>167</v>
      </c>
      <c r="B3386" t="s">
        <v>262</v>
      </c>
      <c r="C3386" s="35" t="s">
        <v>264</v>
      </c>
      <c r="D3386" t="s">
        <v>502</v>
      </c>
      <c r="E3386" t="s">
        <v>520</v>
      </c>
      <c r="F3386" s="188" t="n">
        <v>2031</v>
      </c>
      <c r="G3386" s="189" t="n">
        <v>54</v>
      </c>
      <c r="H3386" s="190" t="n">
        <v>13215.7153970108</v>
      </c>
      <c r="I3386" s="191" t="n">
        <v>3746716.07040585</v>
      </c>
      <c r="J3386" s="192" t="str">
        <f>IF(I3386&gt;0,H3386/I3386,0)</f>
      </c>
      <c r="K3386" s="193" t="str">
        <f>1-EXP(-J3386)</f>
      </c>
      <c r="L3386" s="194" t="str">
        <f>IF(G3386=30,1,M3385)</f>
      </c>
      <c r="M3386" s="195" t="str">
        <f>L3386*(1-K3386)</f>
      </c>
    </row>
    <row r="3387">
      <c r="A3387" t="s">
        <v>167</v>
      </c>
      <c r="B3387" t="s">
        <v>262</v>
      </c>
      <c r="C3387" s="35" t="s">
        <v>264</v>
      </c>
      <c r="D3387" t="s">
        <v>502</v>
      </c>
      <c r="E3387" t="s">
        <v>520</v>
      </c>
      <c r="F3387" s="188" t="n">
        <v>2031</v>
      </c>
      <c r="G3387" s="189" t="n">
        <v>55</v>
      </c>
      <c r="H3387" s="190" t="n">
        <v>14235.6428179748</v>
      </c>
      <c r="I3387" s="191" t="n">
        <v>3664801.54756463</v>
      </c>
      <c r="J3387" s="192" t="str">
        <f>IF(I3387&gt;0,H3387/I3387,0)</f>
      </c>
      <c r="K3387" s="193" t="str">
        <f>1-EXP(-J3387)</f>
      </c>
      <c r="L3387" s="194" t="str">
        <f>IF(G3387=30,1,M3386)</f>
      </c>
      <c r="M3387" s="195" t="str">
        <f>L3387*(1-K3387)</f>
      </c>
    </row>
    <row r="3388">
      <c r="A3388" t="s">
        <v>167</v>
      </c>
      <c r="B3388" t="s">
        <v>262</v>
      </c>
      <c r="C3388" s="35" t="s">
        <v>264</v>
      </c>
      <c r="D3388" t="s">
        <v>502</v>
      </c>
      <c r="E3388" t="s">
        <v>520</v>
      </c>
      <c r="F3388" s="188" t="n">
        <v>2031</v>
      </c>
      <c r="G3388" s="189" t="n">
        <v>56</v>
      </c>
      <c r="H3388" s="190" t="n">
        <v>15175.837420481</v>
      </c>
      <c r="I3388" s="191" t="n">
        <v>3581465.23184597</v>
      </c>
      <c r="J3388" s="192" t="str">
        <f>IF(I3388&gt;0,H3388/I3388,0)</f>
      </c>
      <c r="K3388" s="193" t="str">
        <f>1-EXP(-J3388)</f>
      </c>
      <c r="L3388" s="194" t="str">
        <f>IF(G3388=30,1,M3387)</f>
      </c>
      <c r="M3388" s="195" t="str">
        <f>L3388*(1-K3388)</f>
      </c>
    </row>
    <row r="3389">
      <c r="A3389" t="s">
        <v>167</v>
      </c>
      <c r="B3389" t="s">
        <v>262</v>
      </c>
      <c r="C3389" s="35" t="s">
        <v>264</v>
      </c>
      <c r="D3389" t="s">
        <v>502</v>
      </c>
      <c r="E3389" t="s">
        <v>520</v>
      </c>
      <c r="F3389" s="188" t="n">
        <v>2031</v>
      </c>
      <c r="G3389" s="189" t="n">
        <v>57</v>
      </c>
      <c r="H3389" s="190" t="n">
        <v>16073.9717320466</v>
      </c>
      <c r="I3389" s="191" t="n">
        <v>3471270.90701924</v>
      </c>
      <c r="J3389" s="192" t="str">
        <f>IF(I3389&gt;0,H3389/I3389,0)</f>
      </c>
      <c r="K3389" s="193" t="str">
        <f>1-EXP(-J3389)</f>
      </c>
      <c r="L3389" s="194" t="str">
        <f>IF(G3389=30,1,M3388)</f>
      </c>
      <c r="M3389" s="195" t="str">
        <f>L3389*(1-K3389)</f>
      </c>
    </row>
    <row r="3390">
      <c r="A3390" t="s">
        <v>167</v>
      </c>
      <c r="B3390" t="s">
        <v>262</v>
      </c>
      <c r="C3390" s="35" t="s">
        <v>264</v>
      </c>
      <c r="D3390" t="s">
        <v>502</v>
      </c>
      <c r="E3390" t="s">
        <v>520</v>
      </c>
      <c r="F3390" s="188" t="n">
        <v>2031</v>
      </c>
      <c r="G3390" s="189" t="n">
        <v>58</v>
      </c>
      <c r="H3390" s="190" t="n">
        <v>17311.5316046403</v>
      </c>
      <c r="I3390" s="191" t="n">
        <v>3419609.16712223</v>
      </c>
      <c r="J3390" s="192" t="str">
        <f>IF(I3390&gt;0,H3390/I3390,0)</f>
      </c>
      <c r="K3390" s="193" t="str">
        <f>1-EXP(-J3390)</f>
      </c>
      <c r="L3390" s="194" t="str">
        <f>IF(G3390=30,1,M3389)</f>
      </c>
      <c r="M3390" s="195" t="str">
        <f>L3390*(1-K3390)</f>
      </c>
    </row>
    <row r="3391">
      <c r="A3391" t="s">
        <v>167</v>
      </c>
      <c r="B3391" t="s">
        <v>262</v>
      </c>
      <c r="C3391" s="35" t="s">
        <v>264</v>
      </c>
      <c r="D3391" t="s">
        <v>502</v>
      </c>
      <c r="E3391" t="s">
        <v>520</v>
      </c>
      <c r="F3391" s="188" t="n">
        <v>2031</v>
      </c>
      <c r="G3391" s="189" t="n">
        <v>59</v>
      </c>
      <c r="H3391" s="190" t="n">
        <v>17784.8617969215</v>
      </c>
      <c r="I3391" s="191" t="n">
        <v>3207819.49405737</v>
      </c>
      <c r="J3391" s="192" t="str">
        <f>IF(I3391&gt;0,H3391/I3391,0)</f>
      </c>
      <c r="K3391" s="193" t="str">
        <f>1-EXP(-J3391)</f>
      </c>
      <c r="L3391" s="194" t="str">
        <f>IF(G3391=30,1,M3390)</f>
      </c>
      <c r="M3391" s="195" t="str">
        <f>L3391*(1-K3391)</f>
      </c>
    </row>
    <row r="3392">
      <c r="A3392" t="s">
        <v>167</v>
      </c>
      <c r="B3392" t="s">
        <v>262</v>
      </c>
      <c r="C3392" s="35" t="s">
        <v>264</v>
      </c>
      <c r="D3392" t="s">
        <v>502</v>
      </c>
      <c r="E3392" t="s">
        <v>520</v>
      </c>
      <c r="F3392" s="188" t="n">
        <v>2031</v>
      </c>
      <c r="G3392" s="189" t="n">
        <v>60</v>
      </c>
      <c r="H3392" s="190" t="n">
        <v>19190.1714387904</v>
      </c>
      <c r="I3392" s="191" t="n">
        <v>3114391.90787409</v>
      </c>
      <c r="J3392" s="192" t="str">
        <f>IF(I3392&gt;0,H3392/I3392,0)</f>
      </c>
      <c r="K3392" s="193" t="str">
        <f>1-EXP(-J3392)</f>
      </c>
      <c r="L3392" s="194" t="str">
        <f>IF(G3392=30,1,M3391)</f>
      </c>
      <c r="M3392" s="195" t="str">
        <f>L3392*(1-K3392)</f>
      </c>
    </row>
    <row r="3393">
      <c r="A3393" t="s">
        <v>167</v>
      </c>
      <c r="B3393" t="s">
        <v>262</v>
      </c>
      <c r="C3393" s="35" t="s">
        <v>264</v>
      </c>
      <c r="D3393" t="s">
        <v>502</v>
      </c>
      <c r="E3393" t="s">
        <v>520</v>
      </c>
      <c r="F3393" s="188" t="n">
        <v>2031</v>
      </c>
      <c r="G3393" s="189" t="n">
        <v>61</v>
      </c>
      <c r="H3393" s="190" t="n">
        <v>20448.8933742345</v>
      </c>
      <c r="I3393" s="191" t="n">
        <v>3024338.31165014</v>
      </c>
      <c r="J3393" s="192" t="str">
        <f>IF(I3393&gt;0,H3393/I3393,0)</f>
      </c>
      <c r="K3393" s="193" t="str">
        <f>1-EXP(-J3393)</f>
      </c>
      <c r="L3393" s="194" t="str">
        <f>IF(G3393=30,1,M3392)</f>
      </c>
      <c r="M3393" s="195" t="str">
        <f>L3393*(1-K3393)</f>
      </c>
    </row>
    <row r="3394">
      <c r="A3394" t="s">
        <v>167</v>
      </c>
      <c r="B3394" t="s">
        <v>262</v>
      </c>
      <c r="C3394" s="35" t="s">
        <v>264</v>
      </c>
      <c r="D3394" t="s">
        <v>502</v>
      </c>
      <c r="E3394" t="s">
        <v>520</v>
      </c>
      <c r="F3394" s="188" t="n">
        <v>2031</v>
      </c>
      <c r="G3394" s="189" t="n">
        <v>62</v>
      </c>
      <c r="H3394" s="190" t="n">
        <v>21647.6282256952</v>
      </c>
      <c r="I3394" s="191" t="n">
        <v>2925441.39504514</v>
      </c>
      <c r="J3394" s="192" t="str">
        <f>IF(I3394&gt;0,H3394/I3394,0)</f>
      </c>
      <c r="K3394" s="193" t="str">
        <f>1-EXP(-J3394)</f>
      </c>
      <c r="L3394" s="194" t="str">
        <f>IF(G3394=30,1,M3393)</f>
      </c>
      <c r="M3394" s="195" t="str">
        <f>L3394*(1-K3394)</f>
      </c>
    </row>
    <row r="3395">
      <c r="A3395" t="s">
        <v>167</v>
      </c>
      <c r="B3395" t="s">
        <v>262</v>
      </c>
      <c r="C3395" s="35" t="s">
        <v>264</v>
      </c>
      <c r="D3395" t="s">
        <v>502</v>
      </c>
      <c r="E3395" t="s">
        <v>520</v>
      </c>
      <c r="F3395" s="188" t="n">
        <v>2031</v>
      </c>
      <c r="G3395" s="189" t="n">
        <v>63</v>
      </c>
      <c r="H3395" s="190" t="n">
        <v>22746.7460095009</v>
      </c>
      <c r="I3395" s="191" t="n">
        <v>2807272.63857175</v>
      </c>
      <c r="J3395" s="192" t="str">
        <f>IF(I3395&gt;0,H3395/I3395,0)</f>
      </c>
      <c r="K3395" s="193" t="str">
        <f>1-EXP(-J3395)</f>
      </c>
      <c r="L3395" s="194" t="str">
        <f>IF(G3395=30,1,M3394)</f>
      </c>
      <c r="M3395" s="195" t="str">
        <f>L3395*(1-K3395)</f>
      </c>
    </row>
    <row r="3396">
      <c r="A3396" t="s">
        <v>167</v>
      </c>
      <c r="B3396" t="s">
        <v>262</v>
      </c>
      <c r="C3396" s="35" t="s">
        <v>264</v>
      </c>
      <c r="D3396" t="s">
        <v>502</v>
      </c>
      <c r="E3396" t="s">
        <v>520</v>
      </c>
      <c r="F3396" s="188" t="n">
        <v>2031</v>
      </c>
      <c r="G3396" s="189" t="n">
        <v>64</v>
      </c>
      <c r="H3396" s="190" t="n">
        <v>23628.409499333</v>
      </c>
      <c r="I3396" s="191" t="n">
        <v>2659094.89563058</v>
      </c>
      <c r="J3396" s="192" t="str">
        <f>IF(I3396&gt;0,H3396/I3396,0)</f>
      </c>
      <c r="K3396" s="193" t="str">
        <f>1-EXP(-J3396)</f>
      </c>
      <c r="L3396" s="194" t="str">
        <f>IF(G3396=30,1,M3395)</f>
      </c>
      <c r="M3396" s="195" t="str">
        <f>L3396*(1-K3396)</f>
      </c>
    </row>
    <row r="3397">
      <c r="A3397" t="s">
        <v>167</v>
      </c>
      <c r="B3397" t="s">
        <v>262</v>
      </c>
      <c r="C3397" s="35" t="s">
        <v>264</v>
      </c>
      <c r="D3397" t="s">
        <v>502</v>
      </c>
      <c r="E3397" t="s">
        <v>520</v>
      </c>
      <c r="F3397" s="188" t="n">
        <v>2031</v>
      </c>
      <c r="G3397" s="189" t="n">
        <v>65</v>
      </c>
      <c r="H3397" s="190" t="n">
        <v>24037.4489167371</v>
      </c>
      <c r="I3397" s="191" t="n">
        <v>2545800.17842986</v>
      </c>
      <c r="J3397" s="192" t="str">
        <f>IF(I3397&gt;0,H3397/I3397,0)</f>
      </c>
      <c r="K3397" s="193" t="str">
        <f>1-EXP(-J3397)</f>
      </c>
      <c r="L3397" s="194" t="str">
        <f>IF(G3397=30,1,M3396)</f>
      </c>
      <c r="M3397" s="195" t="str">
        <f>L3397*(1-K3397)</f>
      </c>
    </row>
    <row r="3398">
      <c r="A3398" t="s">
        <v>167</v>
      </c>
      <c r="B3398" t="s">
        <v>262</v>
      </c>
      <c r="C3398" s="35" t="s">
        <v>264</v>
      </c>
      <c r="D3398" t="s">
        <v>502</v>
      </c>
      <c r="E3398" t="s">
        <v>520</v>
      </c>
      <c r="F3398" s="188" t="n">
        <v>2031</v>
      </c>
      <c r="G3398" s="189" t="n">
        <v>66</v>
      </c>
      <c r="H3398" s="190" t="n">
        <v>24961.0692549014</v>
      </c>
      <c r="I3398" s="191" t="n">
        <v>2412238.5979284</v>
      </c>
      <c r="J3398" s="192" t="str">
        <f>IF(I3398&gt;0,H3398/I3398,0)</f>
      </c>
      <c r="K3398" s="193" t="str">
        <f>1-EXP(-J3398)</f>
      </c>
      <c r="L3398" s="194" t="str">
        <f>IF(G3398=30,1,M3397)</f>
      </c>
      <c r="M3398" s="195" t="str">
        <f>L3398*(1-K3398)</f>
      </c>
    </row>
    <row r="3399">
      <c r="A3399" t="s">
        <v>167</v>
      </c>
      <c r="B3399" t="s">
        <v>262</v>
      </c>
      <c r="C3399" s="35" t="s">
        <v>264</v>
      </c>
      <c r="D3399" t="s">
        <v>502</v>
      </c>
      <c r="E3399" t="s">
        <v>520</v>
      </c>
      <c r="F3399" s="188" t="n">
        <v>2031</v>
      </c>
      <c r="G3399" s="189" t="n">
        <v>67</v>
      </c>
      <c r="H3399" s="190" t="n">
        <v>25868.3182409477</v>
      </c>
      <c r="I3399" s="191" t="n">
        <v>2278724.91751042</v>
      </c>
      <c r="J3399" s="192" t="str">
        <f>IF(I3399&gt;0,H3399/I3399,0)</f>
      </c>
      <c r="K3399" s="193" t="str">
        <f>1-EXP(-J3399)</f>
      </c>
      <c r="L3399" s="194" t="str">
        <f>IF(G3399=30,1,M3398)</f>
      </c>
      <c r="M3399" s="195" t="str">
        <f>L3399*(1-K3399)</f>
      </c>
    </row>
    <row r="3400">
      <c r="A3400" t="s">
        <v>167</v>
      </c>
      <c r="B3400" t="s">
        <v>262</v>
      </c>
      <c r="C3400" s="35" t="s">
        <v>264</v>
      </c>
      <c r="D3400" t="s">
        <v>502</v>
      </c>
      <c r="E3400" t="s">
        <v>520</v>
      </c>
      <c r="F3400" s="188" t="n">
        <v>2031</v>
      </c>
      <c r="G3400" s="189" t="n">
        <v>68</v>
      </c>
      <c r="H3400" s="190" t="n">
        <v>26792.7445063259</v>
      </c>
      <c r="I3400" s="191" t="n">
        <v>2149952.00797739</v>
      </c>
      <c r="J3400" s="192" t="str">
        <f>IF(I3400&gt;0,H3400/I3400,0)</f>
      </c>
      <c r="K3400" s="193" t="str">
        <f>1-EXP(-J3400)</f>
      </c>
      <c r="L3400" s="194" t="str">
        <f>IF(G3400=30,1,M3399)</f>
      </c>
      <c r="M3400" s="195" t="str">
        <f>L3400*(1-K3400)</f>
      </c>
    </row>
    <row r="3401">
      <c r="A3401" t="s">
        <v>167</v>
      </c>
      <c r="B3401" t="s">
        <v>262</v>
      </c>
      <c r="C3401" s="35" t="s">
        <v>264</v>
      </c>
      <c r="D3401" t="s">
        <v>502</v>
      </c>
      <c r="E3401" t="s">
        <v>520</v>
      </c>
      <c r="F3401" s="188" t="n">
        <v>2031</v>
      </c>
      <c r="G3401" s="189" t="n">
        <v>69</v>
      </c>
      <c r="H3401" s="190" t="n">
        <v>27437.7379216423</v>
      </c>
      <c r="I3401" s="191" t="n">
        <v>1997355.86854317</v>
      </c>
      <c r="J3401" s="192" t="str">
        <f>IF(I3401&gt;0,H3401/I3401,0)</f>
      </c>
      <c r="K3401" s="193" t="str">
        <f>1-EXP(-J3401)</f>
      </c>
      <c r="L3401" s="194" t="str">
        <f>IF(G3401=30,1,M3400)</f>
      </c>
      <c r="M3401" s="195" t="str">
        <f>L3401*(1-K3401)</f>
      </c>
    </row>
    <row r="3402">
      <c r="A3402" t="s">
        <v>167</v>
      </c>
      <c r="B3402" t="s">
        <v>262</v>
      </c>
      <c r="C3402" s="35" t="s">
        <v>264</v>
      </c>
      <c r="D3402" t="s">
        <v>502</v>
      </c>
      <c r="E3402" t="s">
        <v>520</v>
      </c>
      <c r="F3402" s="188" t="n">
        <v>2032</v>
      </c>
      <c r="G3402" s="189" t="n">
        <v>30</v>
      </c>
      <c r="H3402" s="190" t="n">
        <v>946.430431885271</v>
      </c>
      <c r="I3402" s="191" t="n">
        <v>4354882.52027917</v>
      </c>
      <c r="J3402" s="192" t="str">
        <f>IF(I3402&gt;0,H3402/I3402,0)</f>
      </c>
      <c r="K3402" s="193" t="str">
        <f>1-EXP(-J3402)</f>
      </c>
      <c r="L3402" s="194" t="str">
        <f>IF(G3402=30,1,M3401)</f>
      </c>
      <c r="M3402" s="195" t="str">
        <f>L3402*(1-K3402)</f>
      </c>
    </row>
    <row r="3403">
      <c r="A3403" t="s">
        <v>167</v>
      </c>
      <c r="B3403" t="s">
        <v>262</v>
      </c>
      <c r="C3403" s="35" t="s">
        <v>264</v>
      </c>
      <c r="D3403" t="s">
        <v>502</v>
      </c>
      <c r="E3403" t="s">
        <v>520</v>
      </c>
      <c r="F3403" s="188" t="n">
        <v>2032</v>
      </c>
      <c r="G3403" s="189" t="n">
        <v>31</v>
      </c>
      <c r="H3403" s="190" t="n">
        <v>1075.09311558761</v>
      </c>
      <c r="I3403" s="191" t="n">
        <v>4335179.43802447</v>
      </c>
      <c r="J3403" s="192" t="str">
        <f>IF(I3403&gt;0,H3403/I3403,0)</f>
      </c>
      <c r="K3403" s="193" t="str">
        <f>1-EXP(-J3403)</f>
      </c>
      <c r="L3403" s="194" t="str">
        <f>IF(G3403=30,1,M3402)</f>
      </c>
      <c r="M3403" s="195" t="str">
        <f>L3403*(1-K3403)</f>
      </c>
    </row>
    <row r="3404">
      <c r="A3404" t="s">
        <v>167</v>
      </c>
      <c r="B3404" t="s">
        <v>262</v>
      </c>
      <c r="C3404" s="35" t="s">
        <v>264</v>
      </c>
      <c r="D3404" t="s">
        <v>502</v>
      </c>
      <c r="E3404" t="s">
        <v>520</v>
      </c>
      <c r="F3404" s="188" t="n">
        <v>2032</v>
      </c>
      <c r="G3404" s="189" t="n">
        <v>32</v>
      </c>
      <c r="H3404" s="190" t="n">
        <v>1126.18751211157</v>
      </c>
      <c r="I3404" s="191" t="n">
        <v>4315624.0608811</v>
      </c>
      <c r="J3404" s="192" t="str">
        <f>IF(I3404&gt;0,H3404/I3404,0)</f>
      </c>
      <c r="K3404" s="193" t="str">
        <f>1-EXP(-J3404)</f>
      </c>
      <c r="L3404" s="194" t="str">
        <f>IF(G3404=30,1,M3403)</f>
      </c>
      <c r="M3404" s="195" t="str">
        <f>L3404*(1-K3404)</f>
      </c>
    </row>
    <row r="3405">
      <c r="A3405" t="s">
        <v>167</v>
      </c>
      <c r="B3405" t="s">
        <v>262</v>
      </c>
      <c r="C3405" s="35" t="s">
        <v>264</v>
      </c>
      <c r="D3405" t="s">
        <v>502</v>
      </c>
      <c r="E3405" t="s">
        <v>520</v>
      </c>
      <c r="F3405" s="188" t="n">
        <v>2032</v>
      </c>
      <c r="G3405" s="189" t="n">
        <v>33</v>
      </c>
      <c r="H3405" s="190" t="n">
        <v>1197.94839651707</v>
      </c>
      <c r="I3405" s="191" t="n">
        <v>4335910.24412289</v>
      </c>
      <c r="J3405" s="192" t="str">
        <f>IF(I3405&gt;0,H3405/I3405,0)</f>
      </c>
      <c r="K3405" s="193" t="str">
        <f>1-EXP(-J3405)</f>
      </c>
      <c r="L3405" s="194" t="str">
        <f>IF(G3405=30,1,M3404)</f>
      </c>
      <c r="M3405" s="195" t="str">
        <f>L3405*(1-K3405)</f>
      </c>
    </row>
    <row r="3406">
      <c r="A3406" t="s">
        <v>167</v>
      </c>
      <c r="B3406" t="s">
        <v>262</v>
      </c>
      <c r="C3406" s="35" t="s">
        <v>264</v>
      </c>
      <c r="D3406" t="s">
        <v>502</v>
      </c>
      <c r="E3406" t="s">
        <v>520</v>
      </c>
      <c r="F3406" s="188" t="n">
        <v>2032</v>
      </c>
      <c r="G3406" s="189" t="n">
        <v>34</v>
      </c>
      <c r="H3406" s="190" t="n">
        <v>1294.18951200058</v>
      </c>
      <c r="I3406" s="191" t="n">
        <v>4395484.32442236</v>
      </c>
      <c r="J3406" s="192" t="str">
        <f>IF(I3406&gt;0,H3406/I3406,0)</f>
      </c>
      <c r="K3406" s="193" t="str">
        <f>1-EXP(-J3406)</f>
      </c>
      <c r="L3406" s="194" t="str">
        <f>IF(G3406=30,1,M3405)</f>
      </c>
      <c r="M3406" s="195" t="str">
        <f>L3406*(1-K3406)</f>
      </c>
    </row>
    <row r="3407">
      <c r="A3407" t="s">
        <v>167</v>
      </c>
      <c r="B3407" t="s">
        <v>262</v>
      </c>
      <c r="C3407" s="35" t="s">
        <v>264</v>
      </c>
      <c r="D3407" t="s">
        <v>502</v>
      </c>
      <c r="E3407" t="s">
        <v>520</v>
      </c>
      <c r="F3407" s="188" t="n">
        <v>2032</v>
      </c>
      <c r="G3407" s="189" t="n">
        <v>35</v>
      </c>
      <c r="H3407" s="190" t="n">
        <v>2075.25657937058</v>
      </c>
      <c r="I3407" s="191" t="n">
        <v>4534953.18359821</v>
      </c>
      <c r="J3407" s="192" t="str">
        <f>IF(I3407&gt;0,H3407/I3407,0)</f>
      </c>
      <c r="K3407" s="193" t="str">
        <f>1-EXP(-J3407)</f>
      </c>
      <c r="L3407" s="194" t="str">
        <f>IF(G3407=30,1,M3406)</f>
      </c>
      <c r="M3407" s="195" t="str">
        <f>L3407*(1-K3407)</f>
      </c>
    </row>
    <row r="3408">
      <c r="A3408" t="s">
        <v>167</v>
      </c>
      <c r="B3408" t="s">
        <v>262</v>
      </c>
      <c r="C3408" s="35" t="s">
        <v>264</v>
      </c>
      <c r="D3408" t="s">
        <v>502</v>
      </c>
      <c r="E3408" t="s">
        <v>520</v>
      </c>
      <c r="F3408" s="188" t="n">
        <v>2032</v>
      </c>
      <c r="G3408" s="189" t="n">
        <v>36</v>
      </c>
      <c r="H3408" s="190" t="n">
        <v>2193.85648871616</v>
      </c>
      <c r="I3408" s="191" t="n">
        <v>4490994.32525196</v>
      </c>
      <c r="J3408" s="192" t="str">
        <f>IF(I3408&gt;0,H3408/I3408,0)</f>
      </c>
      <c r="K3408" s="193" t="str">
        <f>1-EXP(-J3408)</f>
      </c>
      <c r="L3408" s="194" t="str">
        <f>IF(G3408=30,1,M3407)</f>
      </c>
      <c r="M3408" s="195" t="str">
        <f>L3408*(1-K3408)</f>
      </c>
    </row>
    <row r="3409">
      <c r="A3409" t="s">
        <v>167</v>
      </c>
      <c r="B3409" t="s">
        <v>262</v>
      </c>
      <c r="C3409" s="35" t="s">
        <v>264</v>
      </c>
      <c r="D3409" t="s">
        <v>502</v>
      </c>
      <c r="E3409" t="s">
        <v>520</v>
      </c>
      <c r="F3409" s="188" t="n">
        <v>2032</v>
      </c>
      <c r="G3409" s="189" t="n">
        <v>37</v>
      </c>
      <c r="H3409" s="190" t="n">
        <v>2314.6457259116</v>
      </c>
      <c r="I3409" s="191" t="n">
        <v>4417298.19442346</v>
      </c>
      <c r="J3409" s="192" t="str">
        <f>IF(I3409&gt;0,H3409/I3409,0)</f>
      </c>
      <c r="K3409" s="193" t="str">
        <f>1-EXP(-J3409)</f>
      </c>
      <c r="L3409" s="194" t="str">
        <f>IF(G3409=30,1,M3408)</f>
      </c>
      <c r="M3409" s="195" t="str">
        <f>L3409*(1-K3409)</f>
      </c>
    </row>
    <row r="3410">
      <c r="A3410" t="s">
        <v>167</v>
      </c>
      <c r="B3410" t="s">
        <v>262</v>
      </c>
      <c r="C3410" s="35" t="s">
        <v>264</v>
      </c>
      <c r="D3410" t="s">
        <v>502</v>
      </c>
      <c r="E3410" t="s">
        <v>520</v>
      </c>
      <c r="F3410" s="188" t="n">
        <v>2032</v>
      </c>
      <c r="G3410" s="189" t="n">
        <v>38</v>
      </c>
      <c r="H3410" s="190" t="n">
        <v>2455.72160673993</v>
      </c>
      <c r="I3410" s="191" t="n">
        <v>4359206.08680696</v>
      </c>
      <c r="J3410" s="192" t="str">
        <f>IF(I3410&gt;0,H3410/I3410,0)</f>
      </c>
      <c r="K3410" s="193" t="str">
        <f>1-EXP(-J3410)</f>
      </c>
      <c r="L3410" s="194" t="str">
        <f>IF(G3410=30,1,M3409)</f>
      </c>
      <c r="M3410" s="195" t="str">
        <f>L3410*(1-K3410)</f>
      </c>
    </row>
    <row r="3411">
      <c r="A3411" t="s">
        <v>167</v>
      </c>
      <c r="B3411" t="s">
        <v>262</v>
      </c>
      <c r="C3411" s="35" t="s">
        <v>264</v>
      </c>
      <c r="D3411" t="s">
        <v>502</v>
      </c>
      <c r="E3411" t="s">
        <v>520</v>
      </c>
      <c r="F3411" s="188" t="n">
        <v>2032</v>
      </c>
      <c r="G3411" s="189" t="n">
        <v>39</v>
      </c>
      <c r="H3411" s="190" t="n">
        <v>2611.58852064471</v>
      </c>
      <c r="I3411" s="191" t="n">
        <v>4304590.09825546</v>
      </c>
      <c r="J3411" s="192" t="str">
        <f>IF(I3411&gt;0,H3411/I3411,0)</f>
      </c>
      <c r="K3411" s="193" t="str">
        <f>1-EXP(-J3411)</f>
      </c>
      <c r="L3411" s="194" t="str">
        <f>IF(G3411=30,1,M3410)</f>
      </c>
      <c r="M3411" s="195" t="str">
        <f>L3411*(1-K3411)</f>
      </c>
    </row>
    <row r="3412">
      <c r="A3412" t="s">
        <v>167</v>
      </c>
      <c r="B3412" t="s">
        <v>262</v>
      </c>
      <c r="C3412" s="35" t="s">
        <v>264</v>
      </c>
      <c r="D3412" t="s">
        <v>502</v>
      </c>
      <c r="E3412" t="s">
        <v>520</v>
      </c>
      <c r="F3412" s="188" t="n">
        <v>2032</v>
      </c>
      <c r="G3412" s="189" t="n">
        <v>40</v>
      </c>
      <c r="H3412" s="190" t="n">
        <v>3537.00090695695</v>
      </c>
      <c r="I3412" s="191" t="n">
        <v>4340879.59795395</v>
      </c>
      <c r="J3412" s="192" t="str">
        <f>IF(I3412&gt;0,H3412/I3412,0)</f>
      </c>
      <c r="K3412" s="193" t="str">
        <f>1-EXP(-J3412)</f>
      </c>
      <c r="L3412" s="194" t="str">
        <f>IF(G3412=30,1,M3411)</f>
      </c>
      <c r="M3412" s="195" t="str">
        <f>L3412*(1-K3412)</f>
      </c>
    </row>
    <row r="3413">
      <c r="A3413" t="s">
        <v>167</v>
      </c>
      <c r="B3413" t="s">
        <v>262</v>
      </c>
      <c r="C3413" s="35" t="s">
        <v>264</v>
      </c>
      <c r="D3413" t="s">
        <v>502</v>
      </c>
      <c r="E3413" t="s">
        <v>520</v>
      </c>
      <c r="F3413" s="188" t="n">
        <v>2032</v>
      </c>
      <c r="G3413" s="189" t="n">
        <v>41</v>
      </c>
      <c r="H3413" s="190" t="n">
        <v>3834.53332387641</v>
      </c>
      <c r="I3413" s="191" t="n">
        <v>4356561.62756384</v>
      </c>
      <c r="J3413" s="192" t="str">
        <f>IF(I3413&gt;0,H3413/I3413,0)</f>
      </c>
      <c r="K3413" s="193" t="str">
        <f>1-EXP(-J3413)</f>
      </c>
      <c r="L3413" s="194" t="str">
        <f>IF(G3413=30,1,M3412)</f>
      </c>
      <c r="M3413" s="195" t="str">
        <f>L3413*(1-K3413)</f>
      </c>
    </row>
    <row r="3414">
      <c r="A3414" t="s">
        <v>167</v>
      </c>
      <c r="B3414" t="s">
        <v>262</v>
      </c>
      <c r="C3414" s="35" t="s">
        <v>264</v>
      </c>
      <c r="D3414" t="s">
        <v>502</v>
      </c>
      <c r="E3414" t="s">
        <v>520</v>
      </c>
      <c r="F3414" s="188" t="n">
        <v>2032</v>
      </c>
      <c r="G3414" s="189" t="n">
        <v>42</v>
      </c>
      <c r="H3414" s="190" t="n">
        <v>5806.23041583676</v>
      </c>
      <c r="I3414" s="191" t="n">
        <v>6414028.73673265</v>
      </c>
      <c r="J3414" s="192" t="str">
        <f>IF(I3414&gt;0,H3414/I3414,0)</f>
      </c>
      <c r="K3414" s="193" t="str">
        <f>1-EXP(-J3414)</f>
      </c>
      <c r="L3414" s="194" t="str">
        <f>IF(G3414=30,1,M3413)</f>
      </c>
      <c r="M3414" s="195" t="str">
        <f>L3414*(1-K3414)</f>
      </c>
    </row>
    <row r="3415">
      <c r="A3415" t="s">
        <v>167</v>
      </c>
      <c r="B3415" t="s">
        <v>262</v>
      </c>
      <c r="C3415" s="35" t="s">
        <v>264</v>
      </c>
      <c r="D3415" t="s">
        <v>502</v>
      </c>
      <c r="E3415" t="s">
        <v>520</v>
      </c>
      <c r="F3415" s="188" t="n">
        <v>2032</v>
      </c>
      <c r="G3415" s="189" t="n">
        <v>43</v>
      </c>
      <c r="H3415" s="190" t="n">
        <v>4479.49311885036</v>
      </c>
      <c r="I3415" s="191" t="n">
        <v>4311836.16343552</v>
      </c>
      <c r="J3415" s="192" t="str">
        <f>IF(I3415&gt;0,H3415/I3415,0)</f>
      </c>
      <c r="K3415" s="193" t="str">
        <f>1-EXP(-J3415)</f>
      </c>
      <c r="L3415" s="194" t="str">
        <f>IF(G3415=30,1,M3414)</f>
      </c>
      <c r="M3415" s="195" t="str">
        <f>L3415*(1-K3415)</f>
      </c>
    </row>
    <row r="3416">
      <c r="A3416" t="s">
        <v>167</v>
      </c>
      <c r="B3416" t="s">
        <v>262</v>
      </c>
      <c r="C3416" s="35" t="s">
        <v>264</v>
      </c>
      <c r="D3416" t="s">
        <v>502</v>
      </c>
      <c r="E3416" t="s">
        <v>520</v>
      </c>
      <c r="F3416" s="188" t="n">
        <v>2032</v>
      </c>
      <c r="G3416" s="189" t="n">
        <v>44</v>
      </c>
      <c r="H3416" s="190" t="n">
        <v>4868.26408400704</v>
      </c>
      <c r="I3416" s="191" t="n">
        <v>4293147.03253372</v>
      </c>
      <c r="J3416" s="192" t="str">
        <f>IF(I3416&gt;0,H3416/I3416,0)</f>
      </c>
      <c r="K3416" s="193" t="str">
        <f>1-EXP(-J3416)</f>
      </c>
      <c r="L3416" s="194" t="str">
        <f>IF(G3416=30,1,M3415)</f>
      </c>
      <c r="M3416" s="195" t="str">
        <f>L3416*(1-K3416)</f>
      </c>
    </row>
    <row r="3417">
      <c r="A3417" t="s">
        <v>167</v>
      </c>
      <c r="B3417" t="s">
        <v>262</v>
      </c>
      <c r="C3417" s="35" t="s">
        <v>264</v>
      </c>
      <c r="D3417" t="s">
        <v>502</v>
      </c>
      <c r="E3417" t="s">
        <v>520</v>
      </c>
      <c r="F3417" s="188" t="n">
        <v>2032</v>
      </c>
      <c r="G3417" s="189" t="n">
        <v>45</v>
      </c>
      <c r="H3417" s="190" t="n">
        <v>6095.89905304973</v>
      </c>
      <c r="I3417" s="191" t="n">
        <v>4159384.7625164</v>
      </c>
      <c r="J3417" s="192" t="str">
        <f>IF(I3417&gt;0,H3417/I3417,0)</f>
      </c>
      <c r="K3417" s="193" t="str">
        <f>1-EXP(-J3417)</f>
      </c>
      <c r="L3417" s="194" t="str">
        <f>IF(G3417=30,1,M3416)</f>
      </c>
      <c r="M3417" s="195" t="str">
        <f>L3417*(1-K3417)</f>
      </c>
    </row>
    <row r="3418">
      <c r="A3418" t="s">
        <v>167</v>
      </c>
      <c r="B3418" t="s">
        <v>262</v>
      </c>
      <c r="C3418" s="35" t="s">
        <v>264</v>
      </c>
      <c r="D3418" t="s">
        <v>502</v>
      </c>
      <c r="E3418" t="s">
        <v>520</v>
      </c>
      <c r="F3418" s="188" t="n">
        <v>2032</v>
      </c>
      <c r="G3418" s="189" t="n">
        <v>46</v>
      </c>
      <c r="H3418" s="190" t="n">
        <v>6605.461493337</v>
      </c>
      <c r="I3418" s="191" t="n">
        <v>4121455.82038385</v>
      </c>
      <c r="J3418" s="192" t="str">
        <f>IF(I3418&gt;0,H3418/I3418,0)</f>
      </c>
      <c r="K3418" s="193" t="str">
        <f>1-EXP(-J3418)</f>
      </c>
      <c r="L3418" s="194" t="str">
        <f>IF(G3418=30,1,M3417)</f>
      </c>
      <c r="M3418" s="195" t="str">
        <f>L3418*(1-K3418)</f>
      </c>
    </row>
    <row r="3419">
      <c r="A3419" t="s">
        <v>167</v>
      </c>
      <c r="B3419" t="s">
        <v>262</v>
      </c>
      <c r="C3419" s="35" t="s">
        <v>264</v>
      </c>
      <c r="D3419" t="s">
        <v>502</v>
      </c>
      <c r="E3419" t="s">
        <v>520</v>
      </c>
      <c r="F3419" s="188" t="n">
        <v>2032</v>
      </c>
      <c r="G3419" s="189" t="n">
        <v>47</v>
      </c>
      <c r="H3419" s="190" t="n">
        <v>7340.16140454328</v>
      </c>
      <c r="I3419" s="191" t="n">
        <v>4176978.2618552</v>
      </c>
      <c r="J3419" s="192" t="str">
        <f>IF(I3419&gt;0,H3419/I3419,0)</f>
      </c>
      <c r="K3419" s="193" t="str">
        <f>1-EXP(-J3419)</f>
      </c>
      <c r="L3419" s="194" t="str">
        <f>IF(G3419=30,1,M3418)</f>
      </c>
      <c r="M3419" s="195" t="str">
        <f>L3419*(1-K3419)</f>
      </c>
    </row>
    <row r="3420">
      <c r="A3420" t="s">
        <v>167</v>
      </c>
      <c r="B3420" t="s">
        <v>262</v>
      </c>
      <c r="C3420" s="35" t="s">
        <v>264</v>
      </c>
      <c r="D3420" t="s">
        <v>502</v>
      </c>
      <c r="E3420" t="s">
        <v>520</v>
      </c>
      <c r="F3420" s="188" t="n">
        <v>2032</v>
      </c>
      <c r="G3420" s="189" t="n">
        <v>48</v>
      </c>
      <c r="H3420" s="190" t="n">
        <v>8201.69286732596</v>
      </c>
      <c r="I3420" s="191" t="n">
        <v>4256898.87356481</v>
      </c>
      <c r="J3420" s="192" t="str">
        <f>IF(I3420&gt;0,H3420/I3420,0)</f>
      </c>
      <c r="K3420" s="193" t="str">
        <f>1-EXP(-J3420)</f>
      </c>
      <c r="L3420" s="194" t="str">
        <f>IF(G3420=30,1,M3419)</f>
      </c>
      <c r="M3420" s="195" t="str">
        <f>L3420*(1-K3420)</f>
      </c>
    </row>
    <row r="3421">
      <c r="A3421" t="s">
        <v>167</v>
      </c>
      <c r="B3421" t="s">
        <v>262</v>
      </c>
      <c r="C3421" s="35" t="s">
        <v>264</v>
      </c>
      <c r="D3421" t="s">
        <v>502</v>
      </c>
      <c r="E3421" t="s">
        <v>520</v>
      </c>
      <c r="F3421" s="188" t="n">
        <v>2032</v>
      </c>
      <c r="G3421" s="189" t="n">
        <v>49</v>
      </c>
      <c r="H3421" s="190" t="n">
        <v>8927.11536783031</v>
      </c>
      <c r="I3421" s="191" t="n">
        <v>4228473.55004394</v>
      </c>
      <c r="J3421" s="192" t="str">
        <f>IF(I3421&gt;0,H3421/I3421,0)</f>
      </c>
      <c r="K3421" s="193" t="str">
        <f>1-EXP(-J3421)</f>
      </c>
      <c r="L3421" s="194" t="str">
        <f>IF(G3421=30,1,M3420)</f>
      </c>
      <c r="M3421" s="195" t="str">
        <f>L3421*(1-K3421)</f>
      </c>
    </row>
    <row r="3422">
      <c r="A3422" t="s">
        <v>167</v>
      </c>
      <c r="B3422" t="s">
        <v>262</v>
      </c>
      <c r="C3422" s="35" t="s">
        <v>264</v>
      </c>
      <c r="D3422" t="s">
        <v>502</v>
      </c>
      <c r="E3422" t="s">
        <v>520</v>
      </c>
      <c r="F3422" s="188" t="n">
        <v>2032</v>
      </c>
      <c r="G3422" s="189" t="n">
        <v>50</v>
      </c>
      <c r="H3422" s="190" t="n">
        <v>10036.0736452411</v>
      </c>
      <c r="I3422" s="191" t="n">
        <v>4088556.59662795</v>
      </c>
      <c r="J3422" s="192" t="str">
        <f>IF(I3422&gt;0,H3422/I3422,0)</f>
      </c>
      <c r="K3422" s="193" t="str">
        <f>1-EXP(-J3422)</f>
      </c>
      <c r="L3422" s="194" t="str">
        <f>IF(G3422=30,1,M3421)</f>
      </c>
      <c r="M3422" s="195" t="str">
        <f>L3422*(1-K3422)</f>
      </c>
    </row>
    <row r="3423">
      <c r="A3423" t="s">
        <v>167</v>
      </c>
      <c r="B3423" t="s">
        <v>262</v>
      </c>
      <c r="C3423" s="35" t="s">
        <v>264</v>
      </c>
      <c r="D3423" t="s">
        <v>502</v>
      </c>
      <c r="E3423" t="s">
        <v>520</v>
      </c>
      <c r="F3423" s="188" t="n">
        <v>2032</v>
      </c>
      <c r="G3423" s="189" t="n">
        <v>51</v>
      </c>
      <c r="H3423" s="190" t="n">
        <v>10770.9101776113</v>
      </c>
      <c r="I3423" s="191" t="n">
        <v>4009196.12763932</v>
      </c>
      <c r="J3423" s="192" t="str">
        <f>IF(I3423&gt;0,H3423/I3423,0)</f>
      </c>
      <c r="K3423" s="193" t="str">
        <f>1-EXP(-J3423)</f>
      </c>
      <c r="L3423" s="194" t="str">
        <f>IF(G3423=30,1,M3422)</f>
      </c>
      <c r="M3423" s="195" t="str">
        <f>L3423*(1-K3423)</f>
      </c>
    </row>
    <row r="3424">
      <c r="A3424" t="s">
        <v>167</v>
      </c>
      <c r="B3424" t="s">
        <v>262</v>
      </c>
      <c r="C3424" s="35" t="s">
        <v>264</v>
      </c>
      <c r="D3424" t="s">
        <v>502</v>
      </c>
      <c r="E3424" t="s">
        <v>520</v>
      </c>
      <c r="F3424" s="188" t="n">
        <v>2032</v>
      </c>
      <c r="G3424" s="189" t="n">
        <v>52</v>
      </c>
      <c r="H3424" s="190" t="n">
        <v>11585.375288685</v>
      </c>
      <c r="I3424" s="191" t="n">
        <v>3945915.10627946</v>
      </c>
      <c r="J3424" s="192" t="str">
        <f>IF(I3424&gt;0,H3424/I3424,0)</f>
      </c>
      <c r="K3424" s="193" t="str">
        <f>1-EXP(-J3424)</f>
      </c>
      <c r="L3424" s="194" t="str">
        <f>IF(G3424=30,1,M3423)</f>
      </c>
      <c r="M3424" s="195" t="str">
        <f>L3424*(1-K3424)</f>
      </c>
    </row>
    <row r="3425">
      <c r="A3425" t="s">
        <v>167</v>
      </c>
      <c r="B3425" t="s">
        <v>262</v>
      </c>
      <c r="C3425" s="35" t="s">
        <v>264</v>
      </c>
      <c r="D3425" t="s">
        <v>502</v>
      </c>
      <c r="E3425" t="s">
        <v>520</v>
      </c>
      <c r="F3425" s="188" t="n">
        <v>2032</v>
      </c>
      <c r="G3425" s="189" t="n">
        <v>53</v>
      </c>
      <c r="H3425" s="190" t="n">
        <v>12436.6841768657</v>
      </c>
      <c r="I3425" s="191" t="n">
        <v>3876933.81612536</v>
      </c>
      <c r="J3425" s="192" t="str">
        <f>IF(I3425&gt;0,H3425/I3425,0)</f>
      </c>
      <c r="K3425" s="193" t="str">
        <f>1-EXP(-J3425)</f>
      </c>
      <c r="L3425" s="194" t="str">
        <f>IF(G3425=30,1,M3424)</f>
      </c>
      <c r="M3425" s="195" t="str">
        <f>L3425*(1-K3425)</f>
      </c>
    </row>
    <row r="3426">
      <c r="A3426" t="s">
        <v>167</v>
      </c>
      <c r="B3426" t="s">
        <v>262</v>
      </c>
      <c r="C3426" s="35" t="s">
        <v>264</v>
      </c>
      <c r="D3426" t="s">
        <v>502</v>
      </c>
      <c r="E3426" t="s">
        <v>520</v>
      </c>
      <c r="F3426" s="188" t="n">
        <v>2032</v>
      </c>
      <c r="G3426" s="189" t="n">
        <v>54</v>
      </c>
      <c r="H3426" s="190" t="n">
        <v>13276.9894490031</v>
      </c>
      <c r="I3426" s="191" t="n">
        <v>3788532.64456715</v>
      </c>
      <c r="J3426" s="192" t="str">
        <f>IF(I3426&gt;0,H3426/I3426,0)</f>
      </c>
      <c r="K3426" s="193" t="str">
        <f>1-EXP(-J3426)</f>
      </c>
      <c r="L3426" s="194" t="str">
        <f>IF(G3426=30,1,M3425)</f>
      </c>
      <c r="M3426" s="195" t="str">
        <f>L3426*(1-K3426)</f>
      </c>
    </row>
    <row r="3427">
      <c r="A3427" t="s">
        <v>167</v>
      </c>
      <c r="B3427" t="s">
        <v>262</v>
      </c>
      <c r="C3427" s="35" t="s">
        <v>264</v>
      </c>
      <c r="D3427" t="s">
        <v>502</v>
      </c>
      <c r="E3427" t="s">
        <v>520</v>
      </c>
      <c r="F3427" s="188" t="n">
        <v>2032</v>
      </c>
      <c r="G3427" s="189" t="n">
        <v>55</v>
      </c>
      <c r="H3427" s="190" t="n">
        <v>14333.1534461593</v>
      </c>
      <c r="I3427" s="191" t="n">
        <v>3716477.75768708</v>
      </c>
      <c r="J3427" s="192" t="str">
        <f>IF(I3427&gt;0,H3427/I3427,0)</f>
      </c>
      <c r="K3427" s="193" t="str">
        <f>1-EXP(-J3427)</f>
      </c>
      <c r="L3427" s="194" t="str">
        <f>IF(G3427=30,1,M3426)</f>
      </c>
      <c r="M3427" s="195" t="str">
        <f>L3427*(1-K3427)</f>
      </c>
    </row>
    <row r="3428">
      <c r="A3428" t="s">
        <v>167</v>
      </c>
      <c r="B3428" t="s">
        <v>262</v>
      </c>
      <c r="C3428" s="35" t="s">
        <v>264</v>
      </c>
      <c r="D3428" t="s">
        <v>502</v>
      </c>
      <c r="E3428" t="s">
        <v>520</v>
      </c>
      <c r="F3428" s="188" t="n">
        <v>2032</v>
      </c>
      <c r="G3428" s="189" t="n">
        <v>56</v>
      </c>
      <c r="H3428" s="190" t="n">
        <v>15278.3470725517</v>
      </c>
      <c r="I3428" s="191" t="n">
        <v>3632094.13952276</v>
      </c>
      <c r="J3428" s="192" t="str">
        <f>IF(I3428&gt;0,H3428/I3428,0)</f>
      </c>
      <c r="K3428" s="193" t="str">
        <f>1-EXP(-J3428)</f>
      </c>
      <c r="L3428" s="194" t="str">
        <f>IF(G3428=30,1,M3427)</f>
      </c>
      <c r="M3428" s="195" t="str">
        <f>L3428*(1-K3428)</f>
      </c>
    </row>
    <row r="3429">
      <c r="A3429" t="s">
        <v>167</v>
      </c>
      <c r="B3429" t="s">
        <v>262</v>
      </c>
      <c r="C3429" s="35" t="s">
        <v>264</v>
      </c>
      <c r="D3429" t="s">
        <v>502</v>
      </c>
      <c r="E3429" t="s">
        <v>520</v>
      </c>
      <c r="F3429" s="188" t="n">
        <v>2032</v>
      </c>
      <c r="G3429" s="189" t="n">
        <v>57</v>
      </c>
      <c r="H3429" s="190" t="n">
        <v>16302.8375117322</v>
      </c>
      <c r="I3429" s="191" t="n">
        <v>3546981.74570827</v>
      </c>
      <c r="J3429" s="192" t="str">
        <f>IF(I3429&gt;0,H3429/I3429,0)</f>
      </c>
      <c r="K3429" s="193" t="str">
        <f>1-EXP(-J3429)</f>
      </c>
      <c r="L3429" s="194" t="str">
        <f>IF(G3429=30,1,M3428)</f>
      </c>
      <c r="M3429" s="195" t="str">
        <f>L3429*(1-K3429)</f>
      </c>
    </row>
    <row r="3430">
      <c r="A3430" t="s">
        <v>167</v>
      </c>
      <c r="B3430" t="s">
        <v>262</v>
      </c>
      <c r="C3430" s="35" t="s">
        <v>264</v>
      </c>
      <c r="D3430" t="s">
        <v>502</v>
      </c>
      <c r="E3430" t="s">
        <v>520</v>
      </c>
      <c r="F3430" s="188" t="n">
        <v>2032</v>
      </c>
      <c r="G3430" s="189" t="n">
        <v>58</v>
      </c>
      <c r="H3430" s="190" t="n">
        <v>17260.5829246846</v>
      </c>
      <c r="I3430" s="191" t="n">
        <v>3434766.43156052</v>
      </c>
      <c r="J3430" s="192" t="str">
        <f>IF(I3430&gt;0,H3430/I3430,0)</f>
      </c>
      <c r="K3430" s="193" t="str">
        <f>1-EXP(-J3430)</f>
      </c>
      <c r="L3430" s="194" t="str">
        <f>IF(G3430=30,1,M3429)</f>
      </c>
      <c r="M3430" s="195" t="str">
        <f>L3430*(1-K3430)</f>
      </c>
    </row>
    <row r="3431">
      <c r="A3431" t="s">
        <v>167</v>
      </c>
      <c r="B3431" t="s">
        <v>262</v>
      </c>
      <c r="C3431" s="35" t="s">
        <v>264</v>
      </c>
      <c r="D3431" t="s">
        <v>502</v>
      </c>
      <c r="E3431" t="s">
        <v>520</v>
      </c>
      <c r="F3431" s="188" t="n">
        <v>2032</v>
      </c>
      <c r="G3431" s="189" t="n">
        <v>59</v>
      </c>
      <c r="H3431" s="190" t="n">
        <v>18581.3305500159</v>
      </c>
      <c r="I3431" s="191" t="n">
        <v>3380315.23084416</v>
      </c>
      <c r="J3431" s="192" t="str">
        <f>IF(I3431&gt;0,H3431/I3431,0)</f>
      </c>
      <c r="K3431" s="193" t="str">
        <f>1-EXP(-J3431)</f>
      </c>
      <c r="L3431" s="194" t="str">
        <f>IF(G3431=30,1,M3430)</f>
      </c>
      <c r="M3431" s="195" t="str">
        <f>L3431*(1-K3431)</f>
      </c>
    </row>
    <row r="3432">
      <c r="A3432" t="s">
        <v>167</v>
      </c>
      <c r="B3432" t="s">
        <v>262</v>
      </c>
      <c r="C3432" s="35" t="s">
        <v>264</v>
      </c>
      <c r="D3432" t="s">
        <v>502</v>
      </c>
      <c r="E3432" t="s">
        <v>520</v>
      </c>
      <c r="F3432" s="188" t="n">
        <v>2032</v>
      </c>
      <c r="G3432" s="189" t="n">
        <v>60</v>
      </c>
      <c r="H3432" s="190" t="n">
        <v>19335.103163526</v>
      </c>
      <c r="I3432" s="191" t="n">
        <v>3167476.11145735</v>
      </c>
      <c r="J3432" s="192" t="str">
        <f>IF(I3432&gt;0,H3432/I3432,0)</f>
      </c>
      <c r="K3432" s="193" t="str">
        <f>1-EXP(-J3432)</f>
      </c>
      <c r="L3432" s="194" t="str">
        <f>IF(G3432=30,1,M3431)</f>
      </c>
      <c r="M3432" s="195" t="str">
        <f>L3432*(1-K3432)</f>
      </c>
    </row>
    <row r="3433">
      <c r="A3433" t="s">
        <v>167</v>
      </c>
      <c r="B3433" t="s">
        <v>262</v>
      </c>
      <c r="C3433" s="35" t="s">
        <v>264</v>
      </c>
      <c r="D3433" t="s">
        <v>502</v>
      </c>
      <c r="E3433" t="s">
        <v>520</v>
      </c>
      <c r="F3433" s="188" t="n">
        <v>2032</v>
      </c>
      <c r="G3433" s="189" t="n">
        <v>61</v>
      </c>
      <c r="H3433" s="190" t="n">
        <v>20572.5085852233</v>
      </c>
      <c r="I3433" s="191" t="n">
        <v>3071030.76615412</v>
      </c>
      <c r="J3433" s="192" t="str">
        <f>IF(I3433&gt;0,H3433/I3433,0)</f>
      </c>
      <c r="K3433" s="193" t="str">
        <f>1-EXP(-J3433)</f>
      </c>
      <c r="L3433" s="194" t="str">
        <f>IF(G3433=30,1,M3432)</f>
      </c>
      <c r="M3433" s="195" t="str">
        <f>L3433*(1-K3433)</f>
      </c>
    </row>
    <row r="3434">
      <c r="A3434" t="s">
        <v>167</v>
      </c>
      <c r="B3434" t="s">
        <v>262</v>
      </c>
      <c r="C3434" s="35" t="s">
        <v>264</v>
      </c>
      <c r="D3434" t="s">
        <v>502</v>
      </c>
      <c r="E3434" t="s">
        <v>520</v>
      </c>
      <c r="F3434" s="188" t="n">
        <v>2032</v>
      </c>
      <c r="G3434" s="189" t="n">
        <v>62</v>
      </c>
      <c r="H3434" s="190" t="n">
        <v>21842.7916696319</v>
      </c>
      <c r="I3434" s="191" t="n">
        <v>2978726.10894816</v>
      </c>
      <c r="J3434" s="192" t="str">
        <f>IF(I3434&gt;0,H3434/I3434,0)</f>
      </c>
      <c r="K3434" s="193" t="str">
        <f>1-EXP(-J3434)</f>
      </c>
      <c r="L3434" s="194" t="str">
        <f>IF(G3434=30,1,M3433)</f>
      </c>
      <c r="M3434" s="195" t="str">
        <f>L3434*(1-K3434)</f>
      </c>
    </row>
    <row r="3435">
      <c r="A3435" t="s">
        <v>167</v>
      </c>
      <c r="B3435" t="s">
        <v>262</v>
      </c>
      <c r="C3435" s="35" t="s">
        <v>264</v>
      </c>
      <c r="D3435" t="s">
        <v>502</v>
      </c>
      <c r="E3435" t="s">
        <v>520</v>
      </c>
      <c r="F3435" s="188" t="n">
        <v>2032</v>
      </c>
      <c r="G3435" s="189" t="n">
        <v>63</v>
      </c>
      <c r="H3435" s="190" t="n">
        <v>23105.077497329</v>
      </c>
      <c r="I3435" s="191" t="n">
        <v>2877168.0394273</v>
      </c>
      <c r="J3435" s="192" t="str">
        <f>IF(I3435&gt;0,H3435/I3435,0)</f>
      </c>
      <c r="K3435" s="193" t="str">
        <f>1-EXP(-J3435)</f>
      </c>
      <c r="L3435" s="194" t="str">
        <f>IF(G3435=30,1,M3434)</f>
      </c>
      <c r="M3435" s="195" t="str">
        <f>L3435*(1-K3435)</f>
      </c>
    </row>
    <row r="3436">
      <c r="A3436" t="s">
        <v>167</v>
      </c>
      <c r="B3436" t="s">
        <v>262</v>
      </c>
      <c r="C3436" s="35" t="s">
        <v>264</v>
      </c>
      <c r="D3436" t="s">
        <v>502</v>
      </c>
      <c r="E3436" t="s">
        <v>520</v>
      </c>
      <c r="F3436" s="188" t="n">
        <v>2032</v>
      </c>
      <c r="G3436" s="189" t="n">
        <v>64</v>
      </c>
      <c r="H3436" s="190" t="n">
        <v>24253.0177249483</v>
      </c>
      <c r="I3436" s="191" t="n">
        <v>2756563.94889547</v>
      </c>
      <c r="J3436" s="192" t="str">
        <f>IF(I3436&gt;0,H3436/I3436,0)</f>
      </c>
      <c r="K3436" s="193" t="str">
        <f>1-EXP(-J3436)</f>
      </c>
      <c r="L3436" s="194" t="str">
        <f>IF(G3436=30,1,M3435)</f>
      </c>
      <c r="M3436" s="195" t="str">
        <f>L3436*(1-K3436)</f>
      </c>
    </row>
    <row r="3437">
      <c r="A3437" t="s">
        <v>167</v>
      </c>
      <c r="B3437" t="s">
        <v>262</v>
      </c>
      <c r="C3437" s="35" t="s">
        <v>264</v>
      </c>
      <c r="D3437" t="s">
        <v>502</v>
      </c>
      <c r="E3437" t="s">
        <v>520</v>
      </c>
      <c r="F3437" s="188" t="n">
        <v>2032</v>
      </c>
      <c r="G3437" s="189" t="n">
        <v>65</v>
      </c>
      <c r="H3437" s="190" t="n">
        <v>24361.7308905309</v>
      </c>
      <c r="I3437" s="191" t="n">
        <v>2606437.16131084</v>
      </c>
      <c r="J3437" s="192" t="str">
        <f>IF(I3437&gt;0,H3437/I3437,0)</f>
      </c>
      <c r="K3437" s="193" t="str">
        <f>1-EXP(-J3437)</f>
      </c>
      <c r="L3437" s="194" t="str">
        <f>IF(G3437=30,1,M3436)</f>
      </c>
      <c r="M3437" s="195" t="str">
        <f>L3437*(1-K3437)</f>
      </c>
    </row>
    <row r="3438">
      <c r="A3438" t="s">
        <v>167</v>
      </c>
      <c r="B3438" t="s">
        <v>262</v>
      </c>
      <c r="C3438" s="35" t="s">
        <v>264</v>
      </c>
      <c r="D3438" t="s">
        <v>502</v>
      </c>
      <c r="E3438" t="s">
        <v>520</v>
      </c>
      <c r="F3438" s="188" t="n">
        <v>2032</v>
      </c>
      <c r="G3438" s="189" t="n">
        <v>66</v>
      </c>
      <c r="H3438" s="190" t="n">
        <v>25519.9029934943</v>
      </c>
      <c r="I3438" s="191" t="n">
        <v>2490851.6594012</v>
      </c>
      <c r="J3438" s="192" t="str">
        <f>IF(I3438&gt;0,H3438/I3438,0)</f>
      </c>
      <c r="K3438" s="193" t="str">
        <f>1-EXP(-J3438)</f>
      </c>
      <c r="L3438" s="194" t="str">
        <f>IF(G3438=30,1,M3437)</f>
      </c>
      <c r="M3438" s="195" t="str">
        <f>L3438*(1-K3438)</f>
      </c>
    </row>
    <row r="3439">
      <c r="A3439" t="s">
        <v>167</v>
      </c>
      <c r="B3439" t="s">
        <v>262</v>
      </c>
      <c r="C3439" s="35" t="s">
        <v>264</v>
      </c>
      <c r="D3439" t="s">
        <v>502</v>
      </c>
      <c r="E3439" t="s">
        <v>520</v>
      </c>
      <c r="F3439" s="188" t="n">
        <v>2032</v>
      </c>
      <c r="G3439" s="189" t="n">
        <v>67</v>
      </c>
      <c r="H3439" s="190" t="n">
        <v>26468.7358844005</v>
      </c>
      <c r="I3439" s="191" t="n">
        <v>2354921.68667836</v>
      </c>
      <c r="J3439" s="192" t="str">
        <f>IF(I3439&gt;0,H3439/I3439,0)</f>
      </c>
      <c r="K3439" s="193" t="str">
        <f>1-EXP(-J3439)</f>
      </c>
      <c r="L3439" s="194" t="str">
        <f>IF(G3439=30,1,M3438)</f>
      </c>
      <c r="M3439" s="195" t="str">
        <f>L3439*(1-K3439)</f>
      </c>
    </row>
    <row r="3440">
      <c r="A3440" t="s">
        <v>167</v>
      </c>
      <c r="B3440" t="s">
        <v>262</v>
      </c>
      <c r="C3440" s="35" t="s">
        <v>264</v>
      </c>
      <c r="D3440" t="s">
        <v>502</v>
      </c>
      <c r="E3440" t="s">
        <v>520</v>
      </c>
      <c r="F3440" s="188" t="n">
        <v>2032</v>
      </c>
      <c r="G3440" s="189" t="n">
        <v>68</v>
      </c>
      <c r="H3440" s="190" t="n">
        <v>27386.7692827172</v>
      </c>
      <c r="I3440" s="191" t="n">
        <v>2219372.87202351</v>
      </c>
      <c r="J3440" s="192" t="str">
        <f>IF(I3440&gt;0,H3440/I3440,0)</f>
      </c>
      <c r="K3440" s="193" t="str">
        <f>1-EXP(-J3440)</f>
      </c>
      <c r="L3440" s="194" t="str">
        <f>IF(G3440=30,1,M3439)</f>
      </c>
      <c r="M3440" s="195" t="str">
        <f>L3440*(1-K3440)</f>
      </c>
    </row>
    <row r="3441">
      <c r="A3441" t="s">
        <v>167</v>
      </c>
      <c r="B3441" t="s">
        <v>262</v>
      </c>
      <c r="C3441" s="35" t="s">
        <v>264</v>
      </c>
      <c r="D3441" t="s">
        <v>502</v>
      </c>
      <c r="E3441" t="s">
        <v>520</v>
      </c>
      <c r="F3441" s="188" t="n">
        <v>2032</v>
      </c>
      <c r="G3441" s="189" t="n">
        <v>69</v>
      </c>
      <c r="H3441" s="190" t="n">
        <v>28317.5312728606</v>
      </c>
      <c r="I3441" s="191" t="n">
        <v>2088535.66131477</v>
      </c>
      <c r="J3441" s="192" t="str">
        <f>IF(I3441&gt;0,H3441/I3441,0)</f>
      </c>
      <c r="K3441" s="193" t="str">
        <f>1-EXP(-J3441)</f>
      </c>
      <c r="L3441" s="194" t="str">
        <f>IF(G3441=30,1,M3440)</f>
      </c>
      <c r="M3441" s="195" t="str">
        <f>L3441*(1-K3441)</f>
      </c>
    </row>
    <row r="3442">
      <c r="A3442" t="s">
        <v>167</v>
      </c>
      <c r="B3442" t="s">
        <v>262</v>
      </c>
      <c r="C3442" s="35" t="s">
        <v>264</v>
      </c>
      <c r="D3442" t="s">
        <v>502</v>
      </c>
      <c r="E3442" t="s">
        <v>520</v>
      </c>
      <c r="F3442" s="188" t="n">
        <v>2033</v>
      </c>
      <c r="G3442" s="189" t="n">
        <v>30</v>
      </c>
      <c r="H3442" s="190" t="n">
        <v>754.893926674113</v>
      </c>
      <c r="I3442" s="191" t="n">
        <v>4369821.38613466</v>
      </c>
      <c r="J3442" s="192" t="str">
        <f>IF(I3442&gt;0,H3442/I3442,0)</f>
      </c>
      <c r="K3442" s="193" t="str">
        <f>1-EXP(-J3442)</f>
      </c>
      <c r="L3442" s="194" t="str">
        <f>IF(G3442=30,1,M3441)</f>
      </c>
      <c r="M3442" s="195" t="str">
        <f>L3442*(1-K3442)</f>
      </c>
    </row>
    <row r="3443">
      <c r="A3443" t="s">
        <v>167</v>
      </c>
      <c r="B3443" t="s">
        <v>262</v>
      </c>
      <c r="C3443" s="35" t="s">
        <v>264</v>
      </c>
      <c r="D3443" t="s">
        <v>502</v>
      </c>
      <c r="E3443" t="s">
        <v>520</v>
      </c>
      <c r="F3443" s="188" t="n">
        <v>2033</v>
      </c>
      <c r="G3443" s="189" t="n">
        <v>31</v>
      </c>
      <c r="H3443" s="190" t="n">
        <v>1077.30665129685</v>
      </c>
      <c r="I3443" s="191" t="n">
        <v>4349101.63798128</v>
      </c>
      <c r="J3443" s="192" t="str">
        <f>IF(I3443&gt;0,H3443/I3443,0)</f>
      </c>
      <c r="K3443" s="193" t="str">
        <f>1-EXP(-J3443)</f>
      </c>
      <c r="L3443" s="194" t="str">
        <f>IF(G3443=30,1,M3442)</f>
      </c>
      <c r="M3443" s="195" t="str">
        <f>L3443*(1-K3443)</f>
      </c>
    </row>
    <row r="3444">
      <c r="A3444" t="s">
        <v>167</v>
      </c>
      <c r="B3444" t="s">
        <v>262</v>
      </c>
      <c r="C3444" s="35" t="s">
        <v>264</v>
      </c>
      <c r="D3444" t="s">
        <v>502</v>
      </c>
      <c r="E3444" t="s">
        <v>520</v>
      </c>
      <c r="F3444" s="188" t="n">
        <v>2033</v>
      </c>
      <c r="G3444" s="189" t="n">
        <v>32</v>
      </c>
      <c r="H3444" s="190" t="n">
        <v>1127.65593986201</v>
      </c>
      <c r="I3444" s="191" t="n">
        <v>4329567.09789661</v>
      </c>
      <c r="J3444" s="192" t="str">
        <f>IF(I3444&gt;0,H3444/I3444,0)</f>
      </c>
      <c r="K3444" s="193" t="str">
        <f>1-EXP(-J3444)</f>
      </c>
      <c r="L3444" s="194" t="str">
        <f>IF(G3444=30,1,M3443)</f>
      </c>
      <c r="M3444" s="195" t="str">
        <f>L3444*(1-K3444)</f>
      </c>
    </row>
    <row r="3445">
      <c r="A3445" t="s">
        <v>167</v>
      </c>
      <c r="B3445" t="s">
        <v>262</v>
      </c>
      <c r="C3445" s="35" t="s">
        <v>264</v>
      </c>
      <c r="D3445" t="s">
        <v>502</v>
      </c>
      <c r="E3445" t="s">
        <v>520</v>
      </c>
      <c r="F3445" s="188" t="n">
        <v>2033</v>
      </c>
      <c r="G3445" s="189" t="n">
        <v>33</v>
      </c>
      <c r="H3445" s="190" t="n">
        <v>1188.58647283231</v>
      </c>
      <c r="I3445" s="191" t="n">
        <v>4309799.56495273</v>
      </c>
      <c r="J3445" s="192" t="str">
        <f>IF(I3445&gt;0,H3445/I3445,0)</f>
      </c>
      <c r="K3445" s="193" t="str">
        <f>1-EXP(-J3445)</f>
      </c>
      <c r="L3445" s="194" t="str">
        <f>IF(G3445=30,1,M3444)</f>
      </c>
      <c r="M3445" s="195" t="str">
        <f>L3445*(1-K3445)</f>
      </c>
    </row>
    <row r="3446">
      <c r="A3446" t="s">
        <v>167</v>
      </c>
      <c r="B3446" t="s">
        <v>262</v>
      </c>
      <c r="C3446" s="35" t="s">
        <v>264</v>
      </c>
      <c r="D3446" t="s">
        <v>502</v>
      </c>
      <c r="E3446" t="s">
        <v>520</v>
      </c>
      <c r="F3446" s="188" t="n">
        <v>2033</v>
      </c>
      <c r="G3446" s="189" t="n">
        <v>34</v>
      </c>
      <c r="H3446" s="190" t="n">
        <v>1271.75638589802</v>
      </c>
      <c r="I3446" s="191" t="n">
        <v>4329774.8346376</v>
      </c>
      <c r="J3446" s="192" t="str">
        <f>IF(I3446&gt;0,H3446/I3446,0)</f>
      </c>
      <c r="K3446" s="193" t="str">
        <f>1-EXP(-J3446)</f>
      </c>
      <c r="L3446" s="194" t="str">
        <f>IF(G3446=30,1,M3445)</f>
      </c>
      <c r="M3446" s="195" t="str">
        <f>L3446*(1-K3446)</f>
      </c>
    </row>
    <row r="3447">
      <c r="A3447" t="s">
        <v>167</v>
      </c>
      <c r="B3447" t="s">
        <v>262</v>
      </c>
      <c r="C3447" s="35" t="s">
        <v>264</v>
      </c>
      <c r="D3447" t="s">
        <v>502</v>
      </c>
      <c r="E3447" t="s">
        <v>520</v>
      </c>
      <c r="F3447" s="188" t="n">
        <v>2033</v>
      </c>
      <c r="G3447" s="189" t="n">
        <v>35</v>
      </c>
      <c r="H3447" s="190" t="n">
        <v>1749.5917261985</v>
      </c>
      <c r="I3447" s="191" t="n">
        <v>4388921.82327547</v>
      </c>
      <c r="J3447" s="192" t="str">
        <f>IF(I3447&gt;0,H3447/I3447,0)</f>
      </c>
      <c r="K3447" s="193" t="str">
        <f>1-EXP(-J3447)</f>
      </c>
      <c r="L3447" s="194" t="str">
        <f>IF(G3447=30,1,M3446)</f>
      </c>
      <c r="M3447" s="195" t="str">
        <f>L3447*(1-K3447)</f>
      </c>
    </row>
    <row r="3448">
      <c r="A3448" t="s">
        <v>167</v>
      </c>
      <c r="B3448" t="s">
        <v>262</v>
      </c>
      <c r="C3448" s="35" t="s">
        <v>264</v>
      </c>
      <c r="D3448" t="s">
        <v>502</v>
      </c>
      <c r="E3448" t="s">
        <v>520</v>
      </c>
      <c r="F3448" s="188" t="n">
        <v>2033</v>
      </c>
      <c r="G3448" s="189" t="n">
        <v>36</v>
      </c>
      <c r="H3448" s="190" t="n">
        <v>2201.81839803744</v>
      </c>
      <c r="I3448" s="191" t="n">
        <v>4527044.47822869</v>
      </c>
      <c r="J3448" s="192" t="str">
        <f>IF(I3448&gt;0,H3448/I3448,0)</f>
      </c>
      <c r="K3448" s="193" t="str">
        <f>1-EXP(-J3448)</f>
      </c>
      <c r="L3448" s="194" t="str">
        <f>IF(G3448=30,1,M3447)</f>
      </c>
      <c r="M3448" s="195" t="str">
        <f>L3448*(1-K3448)</f>
      </c>
    </row>
    <row r="3449">
      <c r="A3449" t="s">
        <v>167</v>
      </c>
      <c r="B3449" t="s">
        <v>262</v>
      </c>
      <c r="C3449" s="35" t="s">
        <v>264</v>
      </c>
      <c r="D3449" t="s">
        <v>502</v>
      </c>
      <c r="E3449" t="s">
        <v>520</v>
      </c>
      <c r="F3449" s="188" t="n">
        <v>2033</v>
      </c>
      <c r="G3449" s="189" t="n">
        <v>37</v>
      </c>
      <c r="H3449" s="190" t="n">
        <v>2338.86120715286</v>
      </c>
      <c r="I3449" s="191" t="n">
        <v>4483141.62513054</v>
      </c>
      <c r="J3449" s="192" t="str">
        <f>IF(I3449&gt;0,H3449/I3449,0)</f>
      </c>
      <c r="K3449" s="193" t="str">
        <f>1-EXP(-J3449)</f>
      </c>
      <c r="L3449" s="194" t="str">
        <f>IF(G3449=30,1,M3448)</f>
      </c>
      <c r="M3449" s="195" t="str">
        <f>L3449*(1-K3449)</f>
      </c>
    </row>
    <row r="3450">
      <c r="A3450" t="s">
        <v>167</v>
      </c>
      <c r="B3450" t="s">
        <v>262</v>
      </c>
      <c r="C3450" s="35" t="s">
        <v>264</v>
      </c>
      <c r="D3450" t="s">
        <v>502</v>
      </c>
      <c r="E3450" t="s">
        <v>520</v>
      </c>
      <c r="F3450" s="188" t="n">
        <v>2033</v>
      </c>
      <c r="G3450" s="189" t="n">
        <v>38</v>
      </c>
      <c r="H3450" s="190" t="n">
        <v>2472.88205441784</v>
      </c>
      <c r="I3450" s="191" t="n">
        <v>4409031.67985781</v>
      </c>
      <c r="J3450" s="192" t="str">
        <f>IF(I3450&gt;0,H3450/I3450,0)</f>
      </c>
      <c r="K3450" s="193" t="str">
        <f>1-EXP(-J3450)</f>
      </c>
      <c r="L3450" s="194" t="str">
        <f>IF(G3450=30,1,M3449)</f>
      </c>
      <c r="M3450" s="195" t="str">
        <f>L3450*(1-K3450)</f>
      </c>
    </row>
    <row r="3451">
      <c r="A3451" t="s">
        <v>167</v>
      </c>
      <c r="B3451" t="s">
        <v>262</v>
      </c>
      <c r="C3451" s="35" t="s">
        <v>264</v>
      </c>
      <c r="D3451" t="s">
        <v>502</v>
      </c>
      <c r="E3451" t="s">
        <v>520</v>
      </c>
      <c r="F3451" s="188" t="n">
        <v>2033</v>
      </c>
      <c r="G3451" s="189" t="n">
        <v>39</v>
      </c>
      <c r="H3451" s="190" t="n">
        <v>2628.26503265203</v>
      </c>
      <c r="I3451" s="191" t="n">
        <v>4350451.65579142</v>
      </c>
      <c r="J3451" s="192" t="str">
        <f>IF(I3451&gt;0,H3451/I3451,0)</f>
      </c>
      <c r="K3451" s="193" t="str">
        <f>1-EXP(-J3451)</f>
      </c>
      <c r="L3451" s="194" t="str">
        <f>IF(G3451=30,1,M3450)</f>
      </c>
      <c r="M3451" s="195" t="str">
        <f>L3451*(1-K3451)</f>
      </c>
    </row>
    <row r="3452">
      <c r="A3452" t="s">
        <v>167</v>
      </c>
      <c r="B3452" t="s">
        <v>262</v>
      </c>
      <c r="C3452" s="35" t="s">
        <v>264</v>
      </c>
      <c r="D3452" t="s">
        <v>502</v>
      </c>
      <c r="E3452" t="s">
        <v>520</v>
      </c>
      <c r="F3452" s="188" t="n">
        <v>2033</v>
      </c>
      <c r="G3452" s="189" t="n">
        <v>40</v>
      </c>
      <c r="H3452" s="190" t="n">
        <v>3485.6524148481</v>
      </c>
      <c r="I3452" s="191" t="n">
        <v>4295294.46051477</v>
      </c>
      <c r="J3452" s="192" t="str">
        <f>IF(I3452&gt;0,H3452/I3452,0)</f>
      </c>
      <c r="K3452" s="193" t="str">
        <f>1-EXP(-J3452)</f>
      </c>
      <c r="L3452" s="194" t="str">
        <f>IF(G3452=30,1,M3451)</f>
      </c>
      <c r="M3452" s="195" t="str">
        <f>L3452*(1-K3452)</f>
      </c>
    </row>
    <row r="3453">
      <c r="A3453" t="s">
        <v>167</v>
      </c>
      <c r="B3453" t="s">
        <v>262</v>
      </c>
      <c r="C3453" s="35" t="s">
        <v>264</v>
      </c>
      <c r="D3453" t="s">
        <v>502</v>
      </c>
      <c r="E3453" t="s">
        <v>520</v>
      </c>
      <c r="F3453" s="188" t="n">
        <v>2033</v>
      </c>
      <c r="G3453" s="189" t="n">
        <v>41</v>
      </c>
      <c r="H3453" s="190" t="n">
        <v>3791.38874695686</v>
      </c>
      <c r="I3453" s="191" t="n">
        <v>4329992.91792063</v>
      </c>
      <c r="J3453" s="192" t="str">
        <f>IF(I3453&gt;0,H3453/I3453,0)</f>
      </c>
      <c r="K3453" s="193" t="str">
        <f>1-EXP(-J3453)</f>
      </c>
      <c r="L3453" s="194" t="str">
        <f>IF(G3453=30,1,M3452)</f>
      </c>
      <c r="M3453" s="195" t="str">
        <f>L3453*(1-K3453)</f>
      </c>
    </row>
    <row r="3454">
      <c r="A3454" t="s">
        <v>167</v>
      </c>
      <c r="B3454" t="s">
        <v>262</v>
      </c>
      <c r="C3454" s="35" t="s">
        <v>264</v>
      </c>
      <c r="D3454" t="s">
        <v>502</v>
      </c>
      <c r="E3454" t="s">
        <v>520</v>
      </c>
      <c r="F3454" s="188" t="n">
        <v>2033</v>
      </c>
      <c r="G3454" s="189" t="n">
        <v>42</v>
      </c>
      <c r="H3454" s="190" t="n">
        <v>4127.38075718928</v>
      </c>
      <c r="I3454" s="191" t="n">
        <v>4345580.35970679</v>
      </c>
      <c r="J3454" s="192" t="str">
        <f>IF(I3454&gt;0,H3454/I3454,0)</f>
      </c>
      <c r="K3454" s="193" t="str">
        <f>1-EXP(-J3454)</f>
      </c>
      <c r="L3454" s="194" t="str">
        <f>IF(G3454=30,1,M3453)</f>
      </c>
      <c r="M3454" s="195" t="str">
        <f>L3454*(1-K3454)</f>
      </c>
    </row>
    <row r="3455">
      <c r="A3455" t="s">
        <v>167</v>
      </c>
      <c r="B3455" t="s">
        <v>262</v>
      </c>
      <c r="C3455" s="35" t="s">
        <v>264</v>
      </c>
      <c r="D3455" t="s">
        <v>502</v>
      </c>
      <c r="E3455" t="s">
        <v>520</v>
      </c>
      <c r="F3455" s="188" t="n">
        <v>2033</v>
      </c>
      <c r="G3455" s="189" t="n">
        <v>43</v>
      </c>
      <c r="H3455" s="190" t="n">
        <v>6251.89221683702</v>
      </c>
      <c r="I3455" s="191" t="n">
        <v>6397285.38941437</v>
      </c>
      <c r="J3455" s="192" t="str">
        <f>IF(I3455&gt;0,H3455/I3455,0)</f>
      </c>
      <c r="K3455" s="193" t="str">
        <f>1-EXP(-J3455)</f>
      </c>
      <c r="L3455" s="194" t="str">
        <f>IF(G3455=30,1,M3454)</f>
      </c>
      <c r="M3455" s="195" t="str">
        <f>L3455*(1-K3455)</f>
      </c>
    </row>
    <row r="3456">
      <c r="A3456" t="s">
        <v>167</v>
      </c>
      <c r="B3456" t="s">
        <v>262</v>
      </c>
      <c r="C3456" s="35" t="s">
        <v>264</v>
      </c>
      <c r="D3456" t="s">
        <v>502</v>
      </c>
      <c r="E3456" t="s">
        <v>520</v>
      </c>
      <c r="F3456" s="188" t="n">
        <v>2033</v>
      </c>
      <c r="G3456" s="189" t="n">
        <v>44</v>
      </c>
      <c r="H3456" s="190" t="n">
        <v>4848.80135502304</v>
      </c>
      <c r="I3456" s="191" t="n">
        <v>4299065.88946964</v>
      </c>
      <c r="J3456" s="192" t="str">
        <f>IF(I3456&gt;0,H3456/I3456,0)</f>
      </c>
      <c r="K3456" s="193" t="str">
        <f>1-EXP(-J3456)</f>
      </c>
      <c r="L3456" s="194" t="str">
        <f>IF(G3456=30,1,M3455)</f>
      </c>
      <c r="M3456" s="195" t="str">
        <f>L3456*(1-K3456)</f>
      </c>
    </row>
    <row r="3457">
      <c r="A3457" t="s">
        <v>167</v>
      </c>
      <c r="B3457" t="s">
        <v>262</v>
      </c>
      <c r="C3457" s="35" t="s">
        <v>264</v>
      </c>
      <c r="D3457" t="s">
        <v>502</v>
      </c>
      <c r="E3457" t="s">
        <v>520</v>
      </c>
      <c r="F3457" s="188" t="n">
        <v>2033</v>
      </c>
      <c r="G3457" s="189" t="n">
        <v>45</v>
      </c>
      <c r="H3457" s="190" t="n">
        <v>6232.09714415831</v>
      </c>
      <c r="I3457" s="191" t="n">
        <v>4279299.64475702</v>
      </c>
      <c r="J3457" s="192" t="str">
        <f>IF(I3457&gt;0,H3457/I3457,0)</f>
      </c>
      <c r="K3457" s="193" t="str">
        <f>1-EXP(-J3457)</f>
      </c>
      <c r="L3457" s="194" t="str">
        <f>IF(G3457=30,1,M3456)</f>
      </c>
      <c r="M3457" s="195" t="str">
        <f>L3457*(1-K3457)</f>
      </c>
    </row>
    <row r="3458">
      <c r="A3458" t="s">
        <v>167</v>
      </c>
      <c r="B3458" t="s">
        <v>262</v>
      </c>
      <c r="C3458" s="35" t="s">
        <v>264</v>
      </c>
      <c r="D3458" t="s">
        <v>502</v>
      </c>
      <c r="E3458" t="s">
        <v>520</v>
      </c>
      <c r="F3458" s="188" t="n">
        <v>2033</v>
      </c>
      <c r="G3458" s="189" t="n">
        <v>46</v>
      </c>
      <c r="H3458" s="190" t="n">
        <v>6601.18544728972</v>
      </c>
      <c r="I3458" s="191" t="n">
        <v>4143737.48032246</v>
      </c>
      <c r="J3458" s="192" t="str">
        <f>IF(I3458&gt;0,H3458/I3458,0)</f>
      </c>
      <c r="K3458" s="193" t="str">
        <f>1-EXP(-J3458)</f>
      </c>
      <c r="L3458" s="194" t="str">
        <f>IF(G3458=30,1,M3457)</f>
      </c>
      <c r="M3458" s="195" t="str">
        <f>L3458*(1-K3458)</f>
      </c>
    </row>
    <row r="3459">
      <c r="A3459" t="s">
        <v>167</v>
      </c>
      <c r="B3459" t="s">
        <v>262</v>
      </c>
      <c r="C3459" s="35" t="s">
        <v>264</v>
      </c>
      <c r="D3459" t="s">
        <v>502</v>
      </c>
      <c r="E3459" t="s">
        <v>520</v>
      </c>
      <c r="F3459" s="188" t="n">
        <v>2033</v>
      </c>
      <c r="G3459" s="189" t="n">
        <v>47</v>
      </c>
      <c r="H3459" s="190" t="n">
        <v>7170.29342849692</v>
      </c>
      <c r="I3459" s="191" t="n">
        <v>4105496.96790822</v>
      </c>
      <c r="J3459" s="192" t="str">
        <f>IF(I3459&gt;0,H3459/I3459,0)</f>
      </c>
      <c r="K3459" s="193" t="str">
        <f>1-EXP(-J3459)</f>
      </c>
      <c r="L3459" s="194" t="str">
        <f>IF(G3459=30,1,M3458)</f>
      </c>
      <c r="M3459" s="195" t="str">
        <f>L3459*(1-K3459)</f>
      </c>
    </row>
    <row r="3460">
      <c r="A3460" t="s">
        <v>167</v>
      </c>
      <c r="B3460" t="s">
        <v>262</v>
      </c>
      <c r="C3460" s="35" t="s">
        <v>264</v>
      </c>
      <c r="D3460" t="s">
        <v>502</v>
      </c>
      <c r="E3460" t="s">
        <v>520</v>
      </c>
      <c r="F3460" s="188" t="n">
        <v>2033</v>
      </c>
      <c r="G3460" s="189" t="n">
        <v>48</v>
      </c>
      <c r="H3460" s="190" t="n">
        <v>7966.03583136903</v>
      </c>
      <c r="I3460" s="191" t="n">
        <v>4159261.08974411</v>
      </c>
      <c r="J3460" s="192" t="str">
        <f>IF(I3460&gt;0,H3460/I3460,0)</f>
      </c>
      <c r="K3460" s="193" t="str">
        <f>1-EXP(-J3460)</f>
      </c>
      <c r="L3460" s="194" t="str">
        <f>IF(G3460=30,1,M3459)</f>
      </c>
      <c r="M3460" s="195" t="str">
        <f>L3460*(1-K3460)</f>
      </c>
    </row>
    <row r="3461">
      <c r="A3461" t="s">
        <v>167</v>
      </c>
      <c r="B3461" t="s">
        <v>262</v>
      </c>
      <c r="C3461" s="35" t="s">
        <v>264</v>
      </c>
      <c r="D3461" t="s">
        <v>502</v>
      </c>
      <c r="E3461" t="s">
        <v>520</v>
      </c>
      <c r="F3461" s="188" t="n">
        <v>2033</v>
      </c>
      <c r="G3461" s="189" t="n">
        <v>49</v>
      </c>
      <c r="H3461" s="190" t="n">
        <v>8895.07318271672</v>
      </c>
      <c r="I3461" s="191" t="n">
        <v>4237114.33276656</v>
      </c>
      <c r="J3461" s="192" t="str">
        <f>IF(I3461&gt;0,H3461/I3461,0)</f>
      </c>
      <c r="K3461" s="193" t="str">
        <f>1-EXP(-J3461)</f>
      </c>
      <c r="L3461" s="194" t="str">
        <f>IF(G3461=30,1,M3460)</f>
      </c>
      <c r="M3461" s="195" t="str">
        <f>L3461*(1-K3461)</f>
      </c>
    </row>
    <row r="3462">
      <c r="A3462" t="s">
        <v>167</v>
      </c>
      <c r="B3462" t="s">
        <v>262</v>
      </c>
      <c r="C3462" s="35" t="s">
        <v>264</v>
      </c>
      <c r="D3462" t="s">
        <v>502</v>
      </c>
      <c r="E3462" t="s">
        <v>520</v>
      </c>
      <c r="F3462" s="188" t="n">
        <v>2033</v>
      </c>
      <c r="G3462" s="189" t="n">
        <v>50</v>
      </c>
      <c r="H3462" s="190" t="n">
        <v>10248.5425953831</v>
      </c>
      <c r="I3462" s="191" t="n">
        <v>4206947.02990741</v>
      </c>
      <c r="J3462" s="192" t="str">
        <f>IF(I3462&gt;0,H3462/I3462,0)</f>
      </c>
      <c r="K3462" s="193" t="str">
        <f>1-EXP(-J3462)</f>
      </c>
      <c r="L3462" s="194" t="str">
        <f>IF(G3462=30,1,M3461)</f>
      </c>
      <c r="M3462" s="195" t="str">
        <f>L3462*(1-K3462)</f>
      </c>
    </row>
    <row r="3463">
      <c r="A3463" t="s">
        <v>167</v>
      </c>
      <c r="B3463" t="s">
        <v>262</v>
      </c>
      <c r="C3463" s="35" t="s">
        <v>264</v>
      </c>
      <c r="D3463" t="s">
        <v>502</v>
      </c>
      <c r="E3463" t="s">
        <v>520</v>
      </c>
      <c r="F3463" s="188" t="n">
        <v>2033</v>
      </c>
      <c r="G3463" s="189" t="n">
        <v>51</v>
      </c>
      <c r="H3463" s="190" t="n">
        <v>10850.0342254274</v>
      </c>
      <c r="I3463" s="191" t="n">
        <v>4064915.29427277</v>
      </c>
      <c r="J3463" s="192" t="str">
        <f>IF(I3463&gt;0,H3463/I3463,0)</f>
      </c>
      <c r="K3463" s="193" t="str">
        <f>1-EXP(-J3463)</f>
      </c>
      <c r="L3463" s="194" t="str">
        <f>IF(G3463=30,1,M3462)</f>
      </c>
      <c r="M3463" s="195" t="str">
        <f>L3463*(1-K3463)</f>
      </c>
    </row>
    <row r="3464">
      <c r="A3464" t="s">
        <v>167</v>
      </c>
      <c r="B3464" t="s">
        <v>262</v>
      </c>
      <c r="C3464" s="35" t="s">
        <v>264</v>
      </c>
      <c r="D3464" t="s">
        <v>502</v>
      </c>
      <c r="E3464" t="s">
        <v>520</v>
      </c>
      <c r="F3464" s="188" t="n">
        <v>2033</v>
      </c>
      <c r="G3464" s="189" t="n">
        <v>52</v>
      </c>
      <c r="H3464" s="190" t="n">
        <v>11625.224775171</v>
      </c>
      <c r="I3464" s="191" t="n">
        <v>3984668.28774433</v>
      </c>
      <c r="J3464" s="192" t="str">
        <f>IF(I3464&gt;0,H3464/I3464,0)</f>
      </c>
      <c r="K3464" s="193" t="str">
        <f>1-EXP(-J3464)</f>
      </c>
      <c r="L3464" s="194" t="str">
        <f>IF(G3464=30,1,M3463)</f>
      </c>
      <c r="M3464" s="195" t="str">
        <f>L3464*(1-K3464)</f>
      </c>
    </row>
    <row r="3465">
      <c r="A3465" t="s">
        <v>167</v>
      </c>
      <c r="B3465" t="s">
        <v>262</v>
      </c>
      <c r="C3465" s="35" t="s">
        <v>264</v>
      </c>
      <c r="D3465" t="s">
        <v>502</v>
      </c>
      <c r="E3465" t="s">
        <v>520</v>
      </c>
      <c r="F3465" s="188" t="n">
        <v>2033</v>
      </c>
      <c r="G3465" s="189" t="n">
        <v>53</v>
      </c>
      <c r="H3465" s="190" t="n">
        <v>12493.4907305542</v>
      </c>
      <c r="I3465" s="191" t="n">
        <v>3919538.95653571</v>
      </c>
      <c r="J3465" s="192" t="str">
        <f>IF(I3465&gt;0,H3465/I3465,0)</f>
      </c>
      <c r="K3465" s="193" t="str">
        <f>1-EXP(-J3465)</f>
      </c>
      <c r="L3465" s="194" t="str">
        <f>IF(G3465=30,1,M3464)</f>
      </c>
      <c r="M3465" s="195" t="str">
        <f>L3465*(1-K3465)</f>
      </c>
    </row>
    <row r="3466">
      <c r="A3466" t="s">
        <v>167</v>
      </c>
      <c r="B3466" t="s">
        <v>262</v>
      </c>
      <c r="C3466" s="35" t="s">
        <v>264</v>
      </c>
      <c r="D3466" t="s">
        <v>502</v>
      </c>
      <c r="E3466" t="s">
        <v>520</v>
      </c>
      <c r="F3466" s="188" t="n">
        <v>2033</v>
      </c>
      <c r="G3466" s="189" t="n">
        <v>54</v>
      </c>
      <c r="H3466" s="190" t="n">
        <v>13400.7643477728</v>
      </c>
      <c r="I3466" s="191" t="n">
        <v>3848629.52074427</v>
      </c>
      <c r="J3466" s="192" t="str">
        <f>IF(I3466&gt;0,H3466/I3466,0)</f>
      </c>
      <c r="K3466" s="193" t="str">
        <f>1-EXP(-J3466)</f>
      </c>
      <c r="L3466" s="194" t="str">
        <f>IF(G3466=30,1,M3465)</f>
      </c>
      <c r="M3466" s="195" t="str">
        <f>L3466*(1-K3466)</f>
      </c>
    </row>
    <row r="3467">
      <c r="A3467" t="s">
        <v>167</v>
      </c>
      <c r="B3467" t="s">
        <v>262</v>
      </c>
      <c r="C3467" s="35" t="s">
        <v>264</v>
      </c>
      <c r="D3467" t="s">
        <v>502</v>
      </c>
      <c r="E3467" t="s">
        <v>520</v>
      </c>
      <c r="F3467" s="188" t="n">
        <v>2033</v>
      </c>
      <c r="G3467" s="189" t="n">
        <v>55</v>
      </c>
      <c r="H3467" s="190" t="n">
        <v>14358.2667613252</v>
      </c>
      <c r="I3467" s="191" t="n">
        <v>3758328.82568144</v>
      </c>
      <c r="J3467" s="192" t="str">
        <f>IF(I3467&gt;0,H3467/I3467,0)</f>
      </c>
      <c r="K3467" s="193" t="str">
        <f>1-EXP(-J3467)</f>
      </c>
      <c r="L3467" s="194" t="str">
        <f>IF(G3467=30,1,M3466)</f>
      </c>
      <c r="M3467" s="195" t="str">
        <f>L3467*(1-K3467)</f>
      </c>
    </row>
    <row r="3468">
      <c r="A3468" t="s">
        <v>167</v>
      </c>
      <c r="B3468" t="s">
        <v>262</v>
      </c>
      <c r="C3468" s="35" t="s">
        <v>264</v>
      </c>
      <c r="D3468" t="s">
        <v>502</v>
      </c>
      <c r="E3468" t="s">
        <v>520</v>
      </c>
      <c r="F3468" s="188" t="n">
        <v>2033</v>
      </c>
      <c r="G3468" s="189" t="n">
        <v>56</v>
      </c>
      <c r="H3468" s="190" t="n">
        <v>15366.8372247931</v>
      </c>
      <c r="I3468" s="191" t="n">
        <v>3683705.05182287</v>
      </c>
      <c r="J3468" s="192" t="str">
        <f>IF(I3468&gt;0,H3468/I3468,0)</f>
      </c>
      <c r="K3468" s="193" t="str">
        <f>1-EXP(-J3468)</f>
      </c>
      <c r="L3468" s="194" t="str">
        <f>IF(G3468=30,1,M3467)</f>
      </c>
      <c r="M3468" s="195" t="str">
        <f>L3468*(1-K3468)</f>
      </c>
    </row>
    <row r="3469">
      <c r="A3469" t="s">
        <v>167</v>
      </c>
      <c r="B3469" t="s">
        <v>262</v>
      </c>
      <c r="C3469" s="35" t="s">
        <v>264</v>
      </c>
      <c r="D3469" t="s">
        <v>502</v>
      </c>
      <c r="E3469" t="s">
        <v>520</v>
      </c>
      <c r="F3469" s="188" t="n">
        <v>2033</v>
      </c>
      <c r="G3469" s="189" t="n">
        <v>57</v>
      </c>
      <c r="H3469" s="190" t="n">
        <v>16397.6965663837</v>
      </c>
      <c r="I3469" s="191" t="n">
        <v>3597520.7479708</v>
      </c>
      <c r="J3469" s="192" t="str">
        <f>IF(I3469&gt;0,H3469/I3469,0)</f>
      </c>
      <c r="K3469" s="193" t="str">
        <f>1-EXP(-J3469)</f>
      </c>
      <c r="L3469" s="194" t="str">
        <f>IF(G3469=30,1,M3468)</f>
      </c>
      <c r="M3469" s="195" t="str">
        <f>L3469*(1-K3469)</f>
      </c>
    </row>
    <row r="3470">
      <c r="A3470" t="s">
        <v>167</v>
      </c>
      <c r="B3470" t="s">
        <v>262</v>
      </c>
      <c r="C3470" s="35" t="s">
        <v>264</v>
      </c>
      <c r="D3470" t="s">
        <v>502</v>
      </c>
      <c r="E3470" t="s">
        <v>520</v>
      </c>
      <c r="F3470" s="188" t="n">
        <v>2033</v>
      </c>
      <c r="G3470" s="189" t="n">
        <v>58</v>
      </c>
      <c r="H3470" s="190" t="n">
        <v>17491.7426605544</v>
      </c>
      <c r="I3470" s="191" t="n">
        <v>3510110.51161347</v>
      </c>
      <c r="J3470" s="192" t="str">
        <f>IF(I3470&gt;0,H3470/I3470,0)</f>
      </c>
      <c r="K3470" s="193" t="str">
        <f>1-EXP(-J3470)</f>
      </c>
      <c r="L3470" s="194" t="str">
        <f>IF(G3470=30,1,M3469)</f>
      </c>
      <c r="M3470" s="195" t="str">
        <f>L3470*(1-K3470)</f>
      </c>
    </row>
    <row r="3471">
      <c r="A3471" t="s">
        <v>167</v>
      </c>
      <c r="B3471" t="s">
        <v>262</v>
      </c>
      <c r="C3471" s="35" t="s">
        <v>264</v>
      </c>
      <c r="D3471" t="s">
        <v>502</v>
      </c>
      <c r="E3471" t="s">
        <v>520</v>
      </c>
      <c r="F3471" s="188" t="n">
        <v>2033</v>
      </c>
      <c r="G3471" s="189" t="n">
        <v>59</v>
      </c>
      <c r="H3471" s="190" t="n">
        <v>18512.927737902</v>
      </c>
      <c r="I3471" s="191" t="n">
        <v>3395752.47401676</v>
      </c>
      <c r="J3471" s="192" t="str">
        <f>IF(I3471&gt;0,H3471/I3471,0)</f>
      </c>
      <c r="K3471" s="193" t="str">
        <f>1-EXP(-J3471)</f>
      </c>
      <c r="L3471" s="194" t="str">
        <f>IF(G3471=30,1,M3470)</f>
      </c>
      <c r="M3471" s="195" t="str">
        <f>L3471*(1-K3471)</f>
      </c>
    </row>
    <row r="3472">
      <c r="A3472" t="s">
        <v>167</v>
      </c>
      <c r="B3472" t="s">
        <v>262</v>
      </c>
      <c r="C3472" s="35" t="s">
        <v>264</v>
      </c>
      <c r="D3472" t="s">
        <v>502</v>
      </c>
      <c r="E3472" t="s">
        <v>520</v>
      </c>
      <c r="F3472" s="188" t="n">
        <v>2033</v>
      </c>
      <c r="G3472" s="189" t="n">
        <v>60</v>
      </c>
      <c r="H3472" s="190" t="n">
        <v>20145.2191783736</v>
      </c>
      <c r="I3472" s="191" t="n">
        <v>3338339.97747726</v>
      </c>
      <c r="J3472" s="192" t="str">
        <f>IF(I3472&gt;0,H3472/I3472,0)</f>
      </c>
      <c r="K3472" s="193" t="str">
        <f>1-EXP(-J3472)</f>
      </c>
      <c r="L3472" s="194" t="str">
        <f>IF(G3472=30,1,M3471)</f>
      </c>
      <c r="M3472" s="195" t="str">
        <f>L3472*(1-K3472)</f>
      </c>
    </row>
    <row r="3473">
      <c r="A3473" t="s">
        <v>167</v>
      </c>
      <c r="B3473" t="s">
        <v>262</v>
      </c>
      <c r="C3473" s="35" t="s">
        <v>264</v>
      </c>
      <c r="D3473" t="s">
        <v>502</v>
      </c>
      <c r="E3473" t="s">
        <v>520</v>
      </c>
      <c r="F3473" s="188" t="n">
        <v>2033</v>
      </c>
      <c r="G3473" s="189" t="n">
        <v>61</v>
      </c>
      <c r="H3473" s="190" t="n">
        <v>20715.3285306312</v>
      </c>
      <c r="I3473" s="191" t="n">
        <v>3123912.72923106</v>
      </c>
      <c r="J3473" s="192" t="str">
        <f>IF(I3473&gt;0,H3473/I3473,0)</f>
      </c>
      <c r="K3473" s="193" t="str">
        <f>1-EXP(-J3473)</f>
      </c>
      <c r="L3473" s="194" t="str">
        <f>IF(G3473=30,1,M3472)</f>
      </c>
      <c r="M3473" s="195" t="str">
        <f>L3473*(1-K3473)</f>
      </c>
    </row>
    <row r="3474">
      <c r="A3474" t="s">
        <v>167</v>
      </c>
      <c r="B3474" t="s">
        <v>262</v>
      </c>
      <c r="C3474" s="35" t="s">
        <v>264</v>
      </c>
      <c r="D3474" t="s">
        <v>502</v>
      </c>
      <c r="E3474" t="s">
        <v>520</v>
      </c>
      <c r="F3474" s="188" t="n">
        <v>2033</v>
      </c>
      <c r="G3474" s="189" t="n">
        <v>62</v>
      </c>
      <c r="H3474" s="190" t="n">
        <v>21963.4680865239</v>
      </c>
      <c r="I3474" s="191" t="n">
        <v>3025241.09340165</v>
      </c>
      <c r="J3474" s="192" t="str">
        <f>IF(I3474&gt;0,H3474/I3474,0)</f>
      </c>
      <c r="K3474" s="193" t="str">
        <f>1-EXP(-J3474)</f>
      </c>
      <c r="L3474" s="194" t="str">
        <f>IF(G3474=30,1,M3473)</f>
      </c>
      <c r="M3474" s="195" t="str">
        <f>L3474*(1-K3474)</f>
      </c>
    </row>
    <row r="3475">
      <c r="A3475" t="s">
        <v>167</v>
      </c>
      <c r="B3475" t="s">
        <v>262</v>
      </c>
      <c r="C3475" s="35" t="s">
        <v>264</v>
      </c>
      <c r="D3475" t="s">
        <v>502</v>
      </c>
      <c r="E3475" t="s">
        <v>520</v>
      </c>
      <c r="F3475" s="188" t="n">
        <v>2033</v>
      </c>
      <c r="G3475" s="189" t="n">
        <v>63</v>
      </c>
      <c r="H3475" s="190" t="n">
        <v>23301.1034576232</v>
      </c>
      <c r="I3475" s="191" t="n">
        <v>2930121.52327742</v>
      </c>
      <c r="J3475" s="192" t="str">
        <f>IF(I3475&gt;0,H3475/I3475,0)</f>
      </c>
      <c r="K3475" s="193" t="str">
        <f>1-EXP(-J3475)</f>
      </c>
      <c r="L3475" s="194" t="str">
        <f>IF(G3475=30,1,M3474)</f>
      </c>
      <c r="M3475" s="195" t="str">
        <f>L3475*(1-K3475)</f>
      </c>
    </row>
    <row r="3476">
      <c r="A3476" t="s">
        <v>167</v>
      </c>
      <c r="B3476" t="s">
        <v>262</v>
      </c>
      <c r="C3476" s="35" t="s">
        <v>264</v>
      </c>
      <c r="D3476" t="s">
        <v>502</v>
      </c>
      <c r="E3476" t="s">
        <v>520</v>
      </c>
      <c r="F3476" s="188" t="n">
        <v>2033</v>
      </c>
      <c r="G3476" s="189" t="n">
        <v>64</v>
      </c>
      <c r="H3476" s="190" t="n">
        <v>24621.9285232897</v>
      </c>
      <c r="I3476" s="191" t="n">
        <v>2825769.16705188</v>
      </c>
      <c r="J3476" s="192" t="str">
        <f>IF(I3476&gt;0,H3476/I3476,0)</f>
      </c>
      <c r="K3476" s="193" t="str">
        <f>1-EXP(-J3476)</f>
      </c>
      <c r="L3476" s="194" t="str">
        <f>IF(G3476=30,1,M3475)</f>
      </c>
      <c r="M3476" s="195" t="str">
        <f>L3476*(1-K3476)</f>
      </c>
    </row>
    <row r="3477">
      <c r="A3477" t="s">
        <v>167</v>
      </c>
      <c r="B3477" t="s">
        <v>262</v>
      </c>
      <c r="C3477" s="35" t="s">
        <v>264</v>
      </c>
      <c r="D3477" t="s">
        <v>502</v>
      </c>
      <c r="E3477" t="s">
        <v>520</v>
      </c>
      <c r="F3477" s="188" t="n">
        <v>2033</v>
      </c>
      <c r="G3477" s="189" t="n">
        <v>65</v>
      </c>
      <c r="H3477" s="190" t="n">
        <v>24964.5509655607</v>
      </c>
      <c r="I3477" s="191" t="n">
        <v>2702627.83016126</v>
      </c>
      <c r="J3477" s="192" t="str">
        <f>IF(I3477&gt;0,H3477/I3477,0)</f>
      </c>
      <c r="K3477" s="193" t="str">
        <f>1-EXP(-J3477)</f>
      </c>
      <c r="L3477" s="194" t="str">
        <f>IF(G3477=30,1,M3476)</f>
      </c>
      <c r="M3477" s="195" t="str">
        <f>L3477*(1-K3477)</f>
      </c>
    </row>
    <row r="3478">
      <c r="A3478" t="s">
        <v>167</v>
      </c>
      <c r="B3478" t="s">
        <v>262</v>
      </c>
      <c r="C3478" s="35" t="s">
        <v>264</v>
      </c>
      <c r="D3478" t="s">
        <v>502</v>
      </c>
      <c r="E3478" t="s">
        <v>520</v>
      </c>
      <c r="F3478" s="188" t="n">
        <v>2033</v>
      </c>
      <c r="G3478" s="189" t="n">
        <v>66</v>
      </c>
      <c r="H3478" s="190" t="n">
        <v>25852.7926820994</v>
      </c>
      <c r="I3478" s="191" t="n">
        <v>2550815.46104559</v>
      </c>
      <c r="J3478" s="192" t="str">
        <f>IF(I3478&gt;0,H3478/I3478,0)</f>
      </c>
      <c r="K3478" s="193" t="str">
        <f>1-EXP(-J3478)</f>
      </c>
      <c r="L3478" s="194" t="str">
        <f>IF(G3478=30,1,M3477)</f>
      </c>
      <c r="M3478" s="195" t="str">
        <f>L3478*(1-K3478)</f>
      </c>
    </row>
    <row r="3479">
      <c r="A3479" t="s">
        <v>167</v>
      </c>
      <c r="B3479" t="s">
        <v>262</v>
      </c>
      <c r="C3479" s="35" t="s">
        <v>264</v>
      </c>
      <c r="D3479" t="s">
        <v>502</v>
      </c>
      <c r="E3479" t="s">
        <v>520</v>
      </c>
      <c r="F3479" s="188" t="n">
        <v>2033</v>
      </c>
      <c r="G3479" s="189" t="n">
        <v>67</v>
      </c>
      <c r="H3479" s="190" t="n">
        <v>27050.2739996293</v>
      </c>
      <c r="I3479" s="191" t="n">
        <v>2432296.72536373</v>
      </c>
      <c r="J3479" s="192" t="str">
        <f>IF(I3479&gt;0,H3479/I3479,0)</f>
      </c>
      <c r="K3479" s="193" t="str">
        <f>1-EXP(-J3479)</f>
      </c>
      <c r="L3479" s="194" t="str">
        <f>IF(G3479=30,1,M3478)</f>
      </c>
      <c r="M3479" s="195" t="str">
        <f>L3479*(1-K3479)</f>
      </c>
    </row>
    <row r="3480">
      <c r="A3480" t="s">
        <v>167</v>
      </c>
      <c r="B3480" t="s">
        <v>262</v>
      </c>
      <c r="C3480" s="35" t="s">
        <v>264</v>
      </c>
      <c r="D3480" t="s">
        <v>502</v>
      </c>
      <c r="E3480" t="s">
        <v>520</v>
      </c>
      <c r="F3480" s="188" t="n">
        <v>2033</v>
      </c>
      <c r="G3480" s="189" t="n">
        <v>68</v>
      </c>
      <c r="H3480" s="190" t="n">
        <v>28012.5792094918</v>
      </c>
      <c r="I3480" s="191" t="n">
        <v>2294240.74528848</v>
      </c>
      <c r="J3480" s="192" t="str">
        <f>IF(I3480&gt;0,H3480/I3480,0)</f>
      </c>
      <c r="K3480" s="193" t="str">
        <f>1-EXP(-J3480)</f>
      </c>
      <c r="L3480" s="194" t="str">
        <f>IF(G3480=30,1,M3479)</f>
      </c>
      <c r="M3480" s="195" t="str">
        <f>L3480*(1-K3480)</f>
      </c>
    </row>
    <row r="3481">
      <c r="A3481" t="s">
        <v>167</v>
      </c>
      <c r="B3481" t="s">
        <v>262</v>
      </c>
      <c r="C3481" s="35" t="s">
        <v>264</v>
      </c>
      <c r="D3481" t="s">
        <v>502</v>
      </c>
      <c r="E3481" t="s">
        <v>520</v>
      </c>
      <c r="F3481" s="188" t="n">
        <v>2033</v>
      </c>
      <c r="G3481" s="189" t="n">
        <v>69</v>
      </c>
      <c r="H3481" s="190" t="n">
        <v>28936.8861286943</v>
      </c>
      <c r="I3481" s="191" t="n">
        <v>2156646.90627824</v>
      </c>
      <c r="J3481" s="192" t="str">
        <f>IF(I3481&gt;0,H3481/I3481,0)</f>
      </c>
      <c r="K3481" s="193" t="str">
        <f>1-EXP(-J3481)</f>
      </c>
      <c r="L3481" s="194" t="str">
        <f>IF(G3481=30,1,M3480)</f>
      </c>
      <c r="M3481" s="195" t="str">
        <f>L3481*(1-K3481)</f>
      </c>
    </row>
    <row r="3482">
      <c r="A3482" t="s">
        <v>167</v>
      </c>
      <c r="B3482" t="s">
        <v>262</v>
      </c>
      <c r="C3482" s="35" t="s">
        <v>264</v>
      </c>
      <c r="D3482" t="s">
        <v>502</v>
      </c>
      <c r="E3482" t="s">
        <v>520</v>
      </c>
      <c r="F3482" s="188" t="n">
        <v>2034</v>
      </c>
      <c r="G3482" s="189" t="n">
        <v>30</v>
      </c>
      <c r="H3482" s="190" t="n">
        <v>768.838796323691</v>
      </c>
      <c r="I3482" s="191" t="n">
        <v>4429697.37220846</v>
      </c>
      <c r="J3482" s="192" t="str">
        <f>IF(I3482&gt;0,H3482/I3482,0)</f>
      </c>
      <c r="K3482" s="193" t="str">
        <f>1-EXP(-J3482)</f>
      </c>
      <c r="L3482" s="194" t="str">
        <f>IF(G3482=30,1,M3481)</f>
      </c>
      <c r="M3482" s="195" t="str">
        <f>L3482*(1-K3482)</f>
      </c>
    </row>
    <row r="3483">
      <c r="A3483" t="s">
        <v>167</v>
      </c>
      <c r="B3483" t="s">
        <v>262</v>
      </c>
      <c r="C3483" s="35" t="s">
        <v>264</v>
      </c>
      <c r="D3483" t="s">
        <v>502</v>
      </c>
      <c r="E3483" t="s">
        <v>520</v>
      </c>
      <c r="F3483" s="188" t="n">
        <v>2034</v>
      </c>
      <c r="G3483" s="189" t="n">
        <v>31</v>
      </c>
      <c r="H3483" s="190" t="n">
        <v>948.094148322073</v>
      </c>
      <c r="I3483" s="191" t="n">
        <v>4364315.77480368</v>
      </c>
      <c r="J3483" s="192" t="str">
        <f>IF(I3483&gt;0,H3483/I3483,0)</f>
      </c>
      <c r="K3483" s="193" t="str">
        <f>1-EXP(-J3483)</f>
      </c>
      <c r="L3483" s="194" t="str">
        <f>IF(G3483=30,1,M3482)</f>
      </c>
      <c r="M3483" s="195" t="str">
        <f>L3483*(1-K3483)</f>
      </c>
    </row>
    <row r="3484">
      <c r="A3484" t="s">
        <v>167</v>
      </c>
      <c r="B3484" t="s">
        <v>262</v>
      </c>
      <c r="C3484" s="35" t="s">
        <v>264</v>
      </c>
      <c r="D3484" t="s">
        <v>502</v>
      </c>
      <c r="E3484" t="s">
        <v>520</v>
      </c>
      <c r="F3484" s="188" t="n">
        <v>2034</v>
      </c>
      <c r="G3484" s="189" t="n">
        <v>32</v>
      </c>
      <c r="H3484" s="190" t="n">
        <v>1135.89561908631</v>
      </c>
      <c r="I3484" s="191" t="n">
        <v>4343546.8957899</v>
      </c>
      <c r="J3484" s="192" t="str">
        <f>IF(I3484&gt;0,H3484/I3484,0)</f>
      </c>
      <c r="K3484" s="193" t="str">
        <f>1-EXP(-J3484)</f>
      </c>
      <c r="L3484" s="194" t="str">
        <f>IF(G3484=30,1,M3483)</f>
      </c>
      <c r="M3484" s="195" t="str">
        <f>L3484*(1-K3484)</f>
      </c>
    </row>
    <row r="3485">
      <c r="A3485" t="s">
        <v>167</v>
      </c>
      <c r="B3485" t="s">
        <v>262</v>
      </c>
      <c r="C3485" s="35" t="s">
        <v>264</v>
      </c>
      <c r="D3485" t="s">
        <v>502</v>
      </c>
      <c r="E3485" t="s">
        <v>520</v>
      </c>
      <c r="F3485" s="188" t="n">
        <v>2034</v>
      </c>
      <c r="G3485" s="189" t="n">
        <v>33</v>
      </c>
      <c r="H3485" s="190" t="n">
        <v>1196.0649761806</v>
      </c>
      <c r="I3485" s="191" t="n">
        <v>4323802.78269371</v>
      </c>
      <c r="J3485" s="192" t="str">
        <f>IF(I3485&gt;0,H3485/I3485,0)</f>
      </c>
      <c r="K3485" s="193" t="str">
        <f>1-EXP(-J3485)</f>
      </c>
      <c r="L3485" s="194" t="str">
        <f>IF(G3485=30,1,M3484)</f>
      </c>
      <c r="M3485" s="195" t="str">
        <f>L3485*(1-K3485)</f>
      </c>
    </row>
    <row r="3486">
      <c r="A3486" t="s">
        <v>167</v>
      </c>
      <c r="B3486" t="s">
        <v>262</v>
      </c>
      <c r="C3486" s="35" t="s">
        <v>264</v>
      </c>
      <c r="D3486" t="s">
        <v>502</v>
      </c>
      <c r="E3486" t="s">
        <v>520</v>
      </c>
      <c r="F3486" s="188" t="n">
        <v>2034</v>
      </c>
      <c r="G3486" s="189" t="n">
        <v>34</v>
      </c>
      <c r="H3486" s="190" t="n">
        <v>1267.7970701664</v>
      </c>
      <c r="I3486" s="191" t="n">
        <v>4303783.63354009</v>
      </c>
      <c r="J3486" s="192" t="str">
        <f>IF(I3486&gt;0,H3486/I3486,0)</f>
      </c>
      <c r="K3486" s="193" t="str">
        <f>1-EXP(-J3486)</f>
      </c>
      <c r="L3486" s="194" t="str">
        <f>IF(G3486=30,1,M3485)</f>
      </c>
      <c r="M3486" s="195" t="str">
        <f>L3486*(1-K3486)</f>
      </c>
    </row>
    <row r="3487">
      <c r="A3487" t="s">
        <v>167</v>
      </c>
      <c r="B3487" t="s">
        <v>262</v>
      </c>
      <c r="C3487" s="35" t="s">
        <v>264</v>
      </c>
      <c r="D3487" t="s">
        <v>502</v>
      </c>
      <c r="E3487" t="s">
        <v>520</v>
      </c>
      <c r="F3487" s="188" t="n">
        <v>2034</v>
      </c>
      <c r="G3487" s="189" t="n">
        <v>35</v>
      </c>
      <c r="H3487" s="190" t="n">
        <v>1721.3457175484</v>
      </c>
      <c r="I3487" s="191" t="n">
        <v>4323398.96137981</v>
      </c>
      <c r="J3487" s="192" t="str">
        <f>IF(I3487&gt;0,H3487/I3487,0)</f>
      </c>
      <c r="K3487" s="193" t="str">
        <f>1-EXP(-J3487)</f>
      </c>
      <c r="L3487" s="194" t="str">
        <f>IF(G3487=30,1,M3486)</f>
      </c>
      <c r="M3487" s="195" t="str">
        <f>L3487*(1-K3487)</f>
      </c>
    </row>
    <row r="3488">
      <c r="A3488" t="s">
        <v>167</v>
      </c>
      <c r="B3488" t="s">
        <v>262</v>
      </c>
      <c r="C3488" s="35" t="s">
        <v>264</v>
      </c>
      <c r="D3488" t="s">
        <v>502</v>
      </c>
      <c r="E3488" t="s">
        <v>520</v>
      </c>
      <c r="F3488" s="188" t="n">
        <v>2034</v>
      </c>
      <c r="G3488" s="189" t="n">
        <v>36</v>
      </c>
      <c r="H3488" s="190" t="n">
        <v>1947.91341638692</v>
      </c>
      <c r="I3488" s="191" t="n">
        <v>4381652.95631331</v>
      </c>
      <c r="J3488" s="192" t="str">
        <f>IF(I3488&gt;0,H3488/I3488,0)</f>
      </c>
      <c r="K3488" s="193" t="str">
        <f>1-EXP(-J3488)</f>
      </c>
      <c r="L3488" s="194" t="str">
        <f>IF(G3488=30,1,M3487)</f>
      </c>
      <c r="M3488" s="195" t="str">
        <f>L3488*(1-K3488)</f>
      </c>
    </row>
    <row r="3489">
      <c r="A3489" t="s">
        <v>167</v>
      </c>
      <c r="B3489" t="s">
        <v>262</v>
      </c>
      <c r="C3489" s="35" t="s">
        <v>264</v>
      </c>
      <c r="D3489" t="s">
        <v>502</v>
      </c>
      <c r="E3489" t="s">
        <v>520</v>
      </c>
      <c r="F3489" s="188" t="n">
        <v>2034</v>
      </c>
      <c r="G3489" s="189" t="n">
        <v>37</v>
      </c>
      <c r="H3489" s="190" t="n">
        <v>2357.03563506294</v>
      </c>
      <c r="I3489" s="191" t="n">
        <v>4519232.12137749</v>
      </c>
      <c r="J3489" s="192" t="str">
        <f>IF(I3489&gt;0,H3489/I3489,0)</f>
      </c>
      <c r="K3489" s="193" t="str">
        <f>1-EXP(-J3489)</f>
      </c>
      <c r="L3489" s="194" t="str">
        <f>IF(G3489=30,1,M3488)</f>
      </c>
      <c r="M3489" s="195" t="str">
        <f>L3489*(1-K3489)</f>
      </c>
    </row>
    <row r="3490">
      <c r="A3490" t="s">
        <v>167</v>
      </c>
      <c r="B3490" t="s">
        <v>262</v>
      </c>
      <c r="C3490" s="35" t="s">
        <v>264</v>
      </c>
      <c r="D3490" t="s">
        <v>502</v>
      </c>
      <c r="E3490" t="s">
        <v>520</v>
      </c>
      <c r="F3490" s="188" t="n">
        <v>2034</v>
      </c>
      <c r="G3490" s="189" t="n">
        <v>38</v>
      </c>
      <c r="H3490" s="190" t="n">
        <v>2508.62023282518</v>
      </c>
      <c r="I3490" s="191" t="n">
        <v>4474862.13240278</v>
      </c>
      <c r="J3490" s="192" t="str">
        <f>IF(I3490&gt;0,H3490/I3490,0)</f>
      </c>
      <c r="K3490" s="193" t="str">
        <f>1-EXP(-J3490)</f>
      </c>
      <c r="L3490" s="194" t="str">
        <f>IF(G3490=30,1,M3489)</f>
      </c>
      <c r="M3490" s="195" t="str">
        <f>L3490*(1-K3490)</f>
      </c>
    </row>
    <row r="3491">
      <c r="A3491" t="s">
        <v>167</v>
      </c>
      <c r="B3491" t="s">
        <v>262</v>
      </c>
      <c r="C3491" s="35" t="s">
        <v>264</v>
      </c>
      <c r="D3491" t="s">
        <v>502</v>
      </c>
      <c r="E3491" t="s">
        <v>520</v>
      </c>
      <c r="F3491" s="188" t="n">
        <v>2034</v>
      </c>
      <c r="G3491" s="189" t="n">
        <v>39</v>
      </c>
      <c r="H3491" s="190" t="n">
        <v>2656.56312563094</v>
      </c>
      <c r="I3491" s="191" t="n">
        <v>4400293.55934615</v>
      </c>
      <c r="J3491" s="192" t="str">
        <f>IF(I3491&gt;0,H3491/I3491,0)</f>
      </c>
      <c r="K3491" s="193" t="str">
        <f>1-EXP(-J3491)</f>
      </c>
      <c r="L3491" s="194" t="str">
        <f>IF(G3491=30,1,M3490)</f>
      </c>
      <c r="M3491" s="195" t="str">
        <f>L3491*(1-K3491)</f>
      </c>
    </row>
    <row r="3492">
      <c r="A3492" t="s">
        <v>167</v>
      </c>
      <c r="B3492" t="s">
        <v>262</v>
      </c>
      <c r="C3492" s="35" t="s">
        <v>264</v>
      </c>
      <c r="D3492" t="s">
        <v>502</v>
      </c>
      <c r="E3492" t="s">
        <v>520</v>
      </c>
      <c r="F3492" s="188" t="n">
        <v>2034</v>
      </c>
      <c r="G3492" s="189" t="n">
        <v>40</v>
      </c>
      <c r="H3492" s="190" t="n">
        <v>3517.24030974268</v>
      </c>
      <c r="I3492" s="191" t="n">
        <v>4341179.44736546</v>
      </c>
      <c r="J3492" s="192" t="str">
        <f>IF(I3492&gt;0,H3492/I3492,0)</f>
      </c>
      <c r="K3492" s="193" t="str">
        <f>1-EXP(-J3492)</f>
      </c>
      <c r="L3492" s="194" t="str">
        <f>IF(G3492=30,1,M3491)</f>
      </c>
      <c r="M3492" s="195" t="str">
        <f>L3492*(1-K3492)</f>
      </c>
    </row>
    <row r="3493">
      <c r="A3493" t="s">
        <v>167</v>
      </c>
      <c r="B3493" t="s">
        <v>262</v>
      </c>
      <c r="C3493" s="35" t="s">
        <v>264</v>
      </c>
      <c r="D3493" t="s">
        <v>502</v>
      </c>
      <c r="E3493" t="s">
        <v>520</v>
      </c>
      <c r="F3493" s="188" t="n">
        <v>2034</v>
      </c>
      <c r="G3493" s="189" t="n">
        <v>41</v>
      </c>
      <c r="H3493" s="190" t="n">
        <v>3748.62865209139</v>
      </c>
      <c r="I3493" s="191" t="n">
        <v>4284649.70096707</v>
      </c>
      <c r="J3493" s="192" t="str">
        <f>IF(I3493&gt;0,H3493/I3493,0)</f>
      </c>
      <c r="K3493" s="193" t="str">
        <f>1-EXP(-J3493)</f>
      </c>
      <c r="L3493" s="194" t="str">
        <f>IF(G3493=30,1,M3492)</f>
      </c>
      <c r="M3493" s="195" t="str">
        <f>L3493*(1-K3493)</f>
      </c>
    </row>
    <row r="3494">
      <c r="A3494" t="s">
        <v>167</v>
      </c>
      <c r="B3494" t="s">
        <v>262</v>
      </c>
      <c r="C3494" s="35" t="s">
        <v>264</v>
      </c>
      <c r="D3494" t="s">
        <v>502</v>
      </c>
      <c r="E3494" t="s">
        <v>520</v>
      </c>
      <c r="F3494" s="188" t="n">
        <v>2034</v>
      </c>
      <c r="G3494" s="189" t="n">
        <v>42</v>
      </c>
      <c r="H3494" s="190" t="n">
        <v>4094.78715118327</v>
      </c>
      <c r="I3494" s="191" t="n">
        <v>4319218.43514828</v>
      </c>
      <c r="J3494" s="192" t="str">
        <f>IF(I3494&gt;0,H3494/I3494,0)</f>
      </c>
      <c r="K3494" s="193" t="str">
        <f>1-EXP(-J3494)</f>
      </c>
      <c r="L3494" s="194" t="str">
        <f>IF(G3494=30,1,M3493)</f>
      </c>
      <c r="M3494" s="195" t="str">
        <f>L3494*(1-K3494)</f>
      </c>
    </row>
    <row r="3495">
      <c r="A3495" t="s">
        <v>167</v>
      </c>
      <c r="B3495" t="s">
        <v>262</v>
      </c>
      <c r="C3495" s="35" t="s">
        <v>264</v>
      </c>
      <c r="D3495" t="s">
        <v>502</v>
      </c>
      <c r="E3495" t="s">
        <v>520</v>
      </c>
      <c r="F3495" s="188" t="n">
        <v>2034</v>
      </c>
      <c r="G3495" s="189" t="n">
        <v>43</v>
      </c>
      <c r="H3495" s="190" t="n">
        <v>4469.46903953547</v>
      </c>
      <c r="I3495" s="191" t="n">
        <v>4333875.86103878</v>
      </c>
      <c r="J3495" s="192" t="str">
        <f>IF(I3495&gt;0,H3495/I3495,0)</f>
      </c>
      <c r="K3495" s="193" t="str">
        <f>1-EXP(-J3495)</f>
      </c>
      <c r="L3495" s="194" t="str">
        <f>IF(G3495=30,1,M3494)</f>
      </c>
      <c r="M3495" s="195" t="str">
        <f>L3495*(1-K3495)</f>
      </c>
    </row>
    <row r="3496">
      <c r="A3496" t="s">
        <v>167</v>
      </c>
      <c r="B3496" t="s">
        <v>262</v>
      </c>
      <c r="C3496" s="35" t="s">
        <v>264</v>
      </c>
      <c r="D3496" t="s">
        <v>502</v>
      </c>
      <c r="E3496" t="s">
        <v>520</v>
      </c>
      <c r="F3496" s="188" t="n">
        <v>2034</v>
      </c>
      <c r="G3496" s="189" t="n">
        <v>44</v>
      </c>
      <c r="H3496" s="190" t="n">
        <v>6768.14591117802</v>
      </c>
      <c r="I3496" s="191" t="n">
        <v>6379425.99101371</v>
      </c>
      <c r="J3496" s="192" t="str">
        <f>IF(I3496&gt;0,H3496/I3496,0)</f>
      </c>
      <c r="K3496" s="193" t="str">
        <f>1-EXP(-J3496)</f>
      </c>
      <c r="L3496" s="194" t="str">
        <f>IF(G3496=30,1,M3495)</f>
      </c>
      <c r="M3496" s="195" t="str">
        <f>L3496*(1-K3496)</f>
      </c>
    </row>
    <row r="3497">
      <c r="A3497" t="s">
        <v>167</v>
      </c>
      <c r="B3497" t="s">
        <v>262</v>
      </c>
      <c r="C3497" s="35" t="s">
        <v>264</v>
      </c>
      <c r="D3497" t="s">
        <v>502</v>
      </c>
      <c r="E3497" t="s">
        <v>520</v>
      </c>
      <c r="F3497" s="188" t="n">
        <v>2034</v>
      </c>
      <c r="G3497" s="189" t="n">
        <v>45</v>
      </c>
      <c r="H3497" s="190" t="n">
        <v>6219.30803317749</v>
      </c>
      <c r="I3497" s="191" t="n">
        <v>4285377.74558359</v>
      </c>
      <c r="J3497" s="192" t="str">
        <f>IF(I3497&gt;0,H3497/I3497,0)</f>
      </c>
      <c r="K3497" s="193" t="str">
        <f>1-EXP(-J3497)</f>
      </c>
      <c r="L3497" s="194" t="str">
        <f>IF(G3497=30,1,M3496)</f>
      </c>
      <c r="M3497" s="195" t="str">
        <f>L3497*(1-K3497)</f>
      </c>
    </row>
    <row r="3498">
      <c r="A3498" t="s">
        <v>167</v>
      </c>
      <c r="B3498" t="s">
        <v>262</v>
      </c>
      <c r="C3498" s="35" t="s">
        <v>264</v>
      </c>
      <c r="D3498" t="s">
        <v>502</v>
      </c>
      <c r="E3498" t="s">
        <v>520</v>
      </c>
      <c r="F3498" s="188" t="n">
        <v>2034</v>
      </c>
      <c r="G3498" s="189" t="n">
        <v>46</v>
      </c>
      <c r="H3498" s="190" t="n">
        <v>6764.52214150015</v>
      </c>
      <c r="I3498" s="191" t="n">
        <v>4263410.83647937</v>
      </c>
      <c r="J3498" s="192" t="str">
        <f>IF(I3498&gt;0,H3498/I3498,0)</f>
      </c>
      <c r="K3498" s="193" t="str">
        <f>1-EXP(-J3498)</f>
      </c>
      <c r="L3498" s="194" t="str">
        <f>IF(G3498=30,1,M3497)</f>
      </c>
      <c r="M3498" s="195" t="str">
        <f>L3498*(1-K3498)</f>
      </c>
    </row>
    <row r="3499">
      <c r="A3499" t="s">
        <v>167</v>
      </c>
      <c r="B3499" t="s">
        <v>262</v>
      </c>
      <c r="C3499" s="35" t="s">
        <v>264</v>
      </c>
      <c r="D3499" t="s">
        <v>502</v>
      </c>
      <c r="E3499" t="s">
        <v>520</v>
      </c>
      <c r="F3499" s="188" t="n">
        <v>2034</v>
      </c>
      <c r="G3499" s="189" t="n">
        <v>47</v>
      </c>
      <c r="H3499" s="190" t="n">
        <v>7182.41736739671</v>
      </c>
      <c r="I3499" s="191" t="n">
        <v>4127900.79839743</v>
      </c>
      <c r="J3499" s="192" t="str">
        <f>IF(I3499&gt;0,H3499/I3499,0)</f>
      </c>
      <c r="K3499" s="193" t="str">
        <f>1-EXP(-J3499)</f>
      </c>
      <c r="L3499" s="194" t="str">
        <f>IF(G3499=30,1,M3498)</f>
      </c>
      <c r="M3499" s="195" t="str">
        <f>L3499*(1-K3499)</f>
      </c>
    </row>
    <row r="3500">
      <c r="A3500" t="s">
        <v>167</v>
      </c>
      <c r="B3500" t="s">
        <v>262</v>
      </c>
      <c r="C3500" s="35" t="s">
        <v>264</v>
      </c>
      <c r="D3500" t="s">
        <v>502</v>
      </c>
      <c r="E3500" t="s">
        <v>520</v>
      </c>
      <c r="F3500" s="188" t="n">
        <v>2034</v>
      </c>
      <c r="G3500" s="189" t="n">
        <v>48</v>
      </c>
      <c r="H3500" s="190" t="n">
        <v>7799.2446435872</v>
      </c>
      <c r="I3500" s="191" t="n">
        <v>4088311.88360975</v>
      </c>
      <c r="J3500" s="192" t="str">
        <f>IF(I3500&gt;0,H3500/I3500,0)</f>
      </c>
      <c r="K3500" s="193" t="str">
        <f>1-EXP(-J3500)</f>
      </c>
      <c r="L3500" s="194" t="str">
        <f>IF(G3500=30,1,M3499)</f>
      </c>
      <c r="M3500" s="195" t="str">
        <f>L3500*(1-K3500)</f>
      </c>
    </row>
    <row r="3501">
      <c r="A3501" t="s">
        <v>167</v>
      </c>
      <c r="B3501" t="s">
        <v>262</v>
      </c>
      <c r="C3501" s="35" t="s">
        <v>264</v>
      </c>
      <c r="D3501" t="s">
        <v>502</v>
      </c>
      <c r="E3501" t="s">
        <v>520</v>
      </c>
      <c r="F3501" s="188" t="n">
        <v>2034</v>
      </c>
      <c r="G3501" s="189" t="n">
        <v>49</v>
      </c>
      <c r="H3501" s="190" t="n">
        <v>8658.23770910559</v>
      </c>
      <c r="I3501" s="191" t="n">
        <v>4140182.36182261</v>
      </c>
      <c r="J3501" s="192" t="str">
        <f>IF(I3501&gt;0,H3501/I3501,0)</f>
      </c>
      <c r="K3501" s="193" t="str">
        <f>1-EXP(-J3501)</f>
      </c>
      <c r="L3501" s="194" t="str">
        <f>IF(G3501=30,1,M3500)</f>
      </c>
      <c r="M3501" s="195" t="str">
        <f>L3501*(1-K3501)</f>
      </c>
    </row>
    <row r="3502">
      <c r="A3502" t="s">
        <v>167</v>
      </c>
      <c r="B3502" t="s">
        <v>262</v>
      </c>
      <c r="C3502" s="35" t="s">
        <v>264</v>
      </c>
      <c r="D3502" t="s">
        <v>502</v>
      </c>
      <c r="E3502" t="s">
        <v>520</v>
      </c>
      <c r="F3502" s="188" t="n">
        <v>2034</v>
      </c>
      <c r="G3502" s="189" t="n">
        <v>50</v>
      </c>
      <c r="H3502" s="190" t="n">
        <v>10217.0494423669</v>
      </c>
      <c r="I3502" s="191" t="n">
        <v>4215820.67735437</v>
      </c>
      <c r="J3502" s="192" t="str">
        <f>IF(I3502&gt;0,H3502/I3502,0)</f>
      </c>
      <c r="K3502" s="193" t="str">
        <f>1-EXP(-J3502)</f>
      </c>
      <c r="L3502" s="194" t="str">
        <f>IF(G3502=30,1,M3501)</f>
      </c>
      <c r="M3502" s="195" t="str">
        <f>L3502*(1-K3502)</f>
      </c>
    </row>
    <row r="3503">
      <c r="A3503" t="s">
        <v>167</v>
      </c>
      <c r="B3503" t="s">
        <v>262</v>
      </c>
      <c r="C3503" s="35" t="s">
        <v>264</v>
      </c>
      <c r="D3503" t="s">
        <v>502</v>
      </c>
      <c r="E3503" t="s">
        <v>520</v>
      </c>
      <c r="F3503" s="188" t="n">
        <v>2034</v>
      </c>
      <c r="G3503" s="189" t="n">
        <v>51</v>
      </c>
      <c r="H3503" s="190" t="n">
        <v>11099.1850981496</v>
      </c>
      <c r="I3503" s="191" t="n">
        <v>4182951.83493138</v>
      </c>
      <c r="J3503" s="192" t="str">
        <f>IF(I3503&gt;0,H3503/I3503,0)</f>
      </c>
      <c r="K3503" s="193" t="str">
        <f>1-EXP(-J3503)</f>
      </c>
      <c r="L3503" s="194" t="str">
        <f>IF(G3503=30,1,M3502)</f>
      </c>
      <c r="M3503" s="195" t="str">
        <f>L3503*(1-K3503)</f>
      </c>
    </row>
    <row r="3504">
      <c r="A3504" t="s">
        <v>167</v>
      </c>
      <c r="B3504" t="s">
        <v>262</v>
      </c>
      <c r="C3504" s="35" t="s">
        <v>264</v>
      </c>
      <c r="D3504" t="s">
        <v>502</v>
      </c>
      <c r="E3504" t="s">
        <v>520</v>
      </c>
      <c r="F3504" s="188" t="n">
        <v>2034</v>
      </c>
      <c r="G3504" s="189" t="n">
        <v>52</v>
      </c>
      <c r="H3504" s="190" t="n">
        <v>11728.4149320996</v>
      </c>
      <c r="I3504" s="191" t="n">
        <v>4040353.13280542</v>
      </c>
      <c r="J3504" s="192" t="str">
        <f>IF(I3504&gt;0,H3504/I3504,0)</f>
      </c>
      <c r="K3504" s="193" t="str">
        <f>1-EXP(-J3504)</f>
      </c>
      <c r="L3504" s="194" t="str">
        <f>IF(G3504=30,1,M3503)</f>
      </c>
      <c r="M3504" s="195" t="str">
        <f>L3504*(1-K3504)</f>
      </c>
    </row>
    <row r="3505">
      <c r="A3505" t="s">
        <v>167</v>
      </c>
      <c r="B3505" t="s">
        <v>262</v>
      </c>
      <c r="C3505" s="35" t="s">
        <v>264</v>
      </c>
      <c r="D3505" t="s">
        <v>502</v>
      </c>
      <c r="E3505" t="s">
        <v>520</v>
      </c>
      <c r="F3505" s="188" t="n">
        <v>2034</v>
      </c>
      <c r="G3505" s="189" t="n">
        <v>53</v>
      </c>
      <c r="H3505" s="190" t="n">
        <v>12552.3161918776</v>
      </c>
      <c r="I3505" s="191" t="n">
        <v>3958357.1752507</v>
      </c>
      <c r="J3505" s="192" t="str">
        <f>IF(I3505&gt;0,H3505/I3505,0)</f>
      </c>
      <c r="K3505" s="193" t="str">
        <f>1-EXP(-J3505)</f>
      </c>
      <c r="L3505" s="194" t="str">
        <f>IF(G3505=30,1,M3504)</f>
      </c>
      <c r="M3505" s="195" t="str">
        <f>L3505*(1-K3505)</f>
      </c>
    </row>
    <row r="3506">
      <c r="A3506" t="s">
        <v>167</v>
      </c>
      <c r="B3506" t="s">
        <v>262</v>
      </c>
      <c r="C3506" s="35" t="s">
        <v>264</v>
      </c>
      <c r="D3506" t="s">
        <v>502</v>
      </c>
      <c r="E3506" t="s">
        <v>520</v>
      </c>
      <c r="F3506" s="188" t="n">
        <v>2034</v>
      </c>
      <c r="G3506" s="189" t="n">
        <v>54</v>
      </c>
      <c r="H3506" s="190" t="n">
        <v>13475.7686894249</v>
      </c>
      <c r="I3506" s="191" t="n">
        <v>3891270.68913961</v>
      </c>
      <c r="J3506" s="192" t="str">
        <f>IF(I3506&gt;0,H3506/I3506,0)</f>
      </c>
      <c r="K3506" s="193" t="str">
        <f>1-EXP(-J3506)</f>
      </c>
      <c r="L3506" s="194" t="str">
        <f>IF(G3506=30,1,M3505)</f>
      </c>
      <c r="M3506" s="195" t="str">
        <f>L3506*(1-K3506)</f>
      </c>
    </row>
    <row r="3507">
      <c r="A3507" t="s">
        <v>167</v>
      </c>
      <c r="B3507" t="s">
        <v>262</v>
      </c>
      <c r="C3507" s="35" t="s">
        <v>264</v>
      </c>
      <c r="D3507" t="s">
        <v>502</v>
      </c>
      <c r="E3507" t="s">
        <v>520</v>
      </c>
      <c r="F3507" s="188" t="n">
        <v>2034</v>
      </c>
      <c r="G3507" s="189" t="n">
        <v>55</v>
      </c>
      <c r="H3507" s="190" t="n">
        <v>14477.7701554524</v>
      </c>
      <c r="I3507" s="191" t="n">
        <v>3818320.24604569</v>
      </c>
      <c r="J3507" s="192" t="str">
        <f>IF(I3507&gt;0,H3507/I3507,0)</f>
      </c>
      <c r="K3507" s="193" t="str">
        <f>1-EXP(-J3507)</f>
      </c>
      <c r="L3507" s="194" t="str">
        <f>IF(G3507=30,1,M3506)</f>
      </c>
      <c r="M3507" s="195" t="str">
        <f>L3507*(1-K3507)</f>
      </c>
    </row>
    <row r="3508">
      <c r="A3508" t="s">
        <v>167</v>
      </c>
      <c r="B3508" t="s">
        <v>262</v>
      </c>
      <c r="C3508" s="35" t="s">
        <v>264</v>
      </c>
      <c r="D3508" t="s">
        <v>502</v>
      </c>
      <c r="E3508" t="s">
        <v>520</v>
      </c>
      <c r="F3508" s="188" t="n">
        <v>2034</v>
      </c>
      <c r="G3508" s="189" t="n">
        <v>56</v>
      </c>
      <c r="H3508" s="190" t="n">
        <v>15404.6228627546</v>
      </c>
      <c r="I3508" s="191" t="n">
        <v>3725647.71494917</v>
      </c>
      <c r="J3508" s="192" t="str">
        <f>IF(I3508&gt;0,H3508/I3508,0)</f>
      </c>
      <c r="K3508" s="193" t="str">
        <f>1-EXP(-J3508)</f>
      </c>
      <c r="L3508" s="194" t="str">
        <f>IF(G3508=30,1,M3507)</f>
      </c>
      <c r="M3508" s="195" t="str">
        <f>L3508*(1-K3508)</f>
      </c>
    </row>
    <row r="3509">
      <c r="A3509" t="s">
        <v>167</v>
      </c>
      <c r="B3509" t="s">
        <v>262</v>
      </c>
      <c r="C3509" s="35" t="s">
        <v>264</v>
      </c>
      <c r="D3509" t="s">
        <v>502</v>
      </c>
      <c r="E3509" t="s">
        <v>520</v>
      </c>
      <c r="F3509" s="188" t="n">
        <v>2034</v>
      </c>
      <c r="G3509" s="189" t="n">
        <v>57</v>
      </c>
      <c r="H3509" s="190" t="n">
        <v>16504.8343884411</v>
      </c>
      <c r="I3509" s="191" t="n">
        <v>3649071.41912956</v>
      </c>
      <c r="J3509" s="192" t="str">
        <f>IF(I3509&gt;0,H3509/I3509,0)</f>
      </c>
      <c r="K3509" s="193" t="str">
        <f>1-EXP(-J3509)</f>
      </c>
      <c r="L3509" s="194" t="str">
        <f>IF(G3509=30,1,M3508)</f>
      </c>
      <c r="M3509" s="195" t="str">
        <f>L3509*(1-K3509)</f>
      </c>
    </row>
    <row r="3510">
      <c r="A3510" t="s">
        <v>167</v>
      </c>
      <c r="B3510" t="s">
        <v>262</v>
      </c>
      <c r="C3510" s="35" t="s">
        <v>264</v>
      </c>
      <c r="D3510" t="s">
        <v>502</v>
      </c>
      <c r="E3510" t="s">
        <v>520</v>
      </c>
      <c r="F3510" s="188" t="n">
        <v>2034</v>
      </c>
      <c r="G3510" s="189" t="n">
        <v>58</v>
      </c>
      <c r="H3510" s="190" t="n">
        <v>17606.226667506</v>
      </c>
      <c r="I3510" s="191" t="n">
        <v>3560585.73706003</v>
      </c>
      <c r="J3510" s="192" t="str">
        <f>IF(I3510&gt;0,H3510/I3510,0)</f>
      </c>
      <c r="K3510" s="193" t="str">
        <f>1-EXP(-J3510)</f>
      </c>
      <c r="L3510" s="194" t="str">
        <f>IF(G3510=30,1,M3509)</f>
      </c>
      <c r="M3510" s="195" t="str">
        <f>L3510*(1-K3510)</f>
      </c>
    </row>
    <row r="3511">
      <c r="A3511" t="s">
        <v>167</v>
      </c>
      <c r="B3511" t="s">
        <v>262</v>
      </c>
      <c r="C3511" s="35" t="s">
        <v>264</v>
      </c>
      <c r="D3511" t="s">
        <v>502</v>
      </c>
      <c r="E3511" t="s">
        <v>520</v>
      </c>
      <c r="F3511" s="188" t="n">
        <v>2034</v>
      </c>
      <c r="G3511" s="189" t="n">
        <v>59</v>
      </c>
      <c r="H3511" s="190" t="n">
        <v>18774.1513511743</v>
      </c>
      <c r="I3511" s="191" t="n">
        <v>3470735.67859119</v>
      </c>
      <c r="J3511" s="192" t="str">
        <f>IF(I3511&gt;0,H3511/I3511,0)</f>
      </c>
      <c r="K3511" s="193" t="str">
        <f>1-EXP(-J3511)</f>
      </c>
      <c r="L3511" s="194" t="str">
        <f>IF(G3511=30,1,M3510)</f>
      </c>
      <c r="M3511" s="195" t="str">
        <f>L3511*(1-K3511)</f>
      </c>
    </row>
    <row r="3512">
      <c r="A3512" t="s">
        <v>167</v>
      </c>
      <c r="B3512" t="s">
        <v>262</v>
      </c>
      <c r="C3512" s="35" t="s">
        <v>264</v>
      </c>
      <c r="D3512" t="s">
        <v>502</v>
      </c>
      <c r="E3512" t="s">
        <v>520</v>
      </c>
      <c r="F3512" s="188" t="n">
        <v>2034</v>
      </c>
      <c r="G3512" s="189" t="n">
        <v>60</v>
      </c>
      <c r="H3512" s="190" t="n">
        <v>20040.8946496935</v>
      </c>
      <c r="I3512" s="191" t="n">
        <v>3354105.07593009</v>
      </c>
      <c r="J3512" s="192" t="str">
        <f>IF(I3512&gt;0,H3512/I3512,0)</f>
      </c>
      <c r="K3512" s="193" t="str">
        <f>1-EXP(-J3512)</f>
      </c>
      <c r="L3512" s="194" t="str">
        <f>IF(G3512=30,1,M3511)</f>
      </c>
      <c r="M3512" s="195" t="str">
        <f>L3512*(1-K3512)</f>
      </c>
    </row>
    <row r="3513">
      <c r="A3513" t="s">
        <v>167</v>
      </c>
      <c r="B3513" t="s">
        <v>262</v>
      </c>
      <c r="C3513" s="35" t="s">
        <v>264</v>
      </c>
      <c r="D3513" t="s">
        <v>502</v>
      </c>
      <c r="E3513" t="s">
        <v>520</v>
      </c>
      <c r="F3513" s="188" t="n">
        <v>2034</v>
      </c>
      <c r="G3513" s="189" t="n">
        <v>61</v>
      </c>
      <c r="H3513" s="190" t="n">
        <v>21597.820911238</v>
      </c>
      <c r="I3513" s="191" t="n">
        <v>3293075.54052413</v>
      </c>
      <c r="J3513" s="192" t="str">
        <f>IF(I3513&gt;0,H3513/I3513,0)</f>
      </c>
      <c r="K3513" s="193" t="str">
        <f>1-EXP(-J3513)</f>
      </c>
      <c r="L3513" s="194" t="str">
        <f>IF(G3513=30,1,M3512)</f>
      </c>
      <c r="M3513" s="195" t="str">
        <f>L3513*(1-K3513)</f>
      </c>
    </row>
    <row r="3514">
      <c r="A3514" t="s">
        <v>167</v>
      </c>
      <c r="B3514" t="s">
        <v>262</v>
      </c>
      <c r="C3514" s="35" t="s">
        <v>264</v>
      </c>
      <c r="D3514" t="s">
        <v>502</v>
      </c>
      <c r="E3514" t="s">
        <v>520</v>
      </c>
      <c r="F3514" s="188" t="n">
        <v>2034</v>
      </c>
      <c r="G3514" s="189" t="n">
        <v>62</v>
      </c>
      <c r="H3514" s="190" t="n">
        <v>22130.8338391319</v>
      </c>
      <c r="I3514" s="191" t="n">
        <v>3077900.93499427</v>
      </c>
      <c r="J3514" s="192" t="str">
        <f>IF(I3514&gt;0,H3514/I3514,0)</f>
      </c>
      <c r="K3514" s="193" t="str">
        <f>1-EXP(-J3514)</f>
      </c>
      <c r="L3514" s="194" t="str">
        <f>IF(G3514=30,1,M3513)</f>
      </c>
      <c r="M3514" s="195" t="str">
        <f>L3514*(1-K3514)</f>
      </c>
    </row>
    <row r="3515">
      <c r="A3515" t="s">
        <v>167</v>
      </c>
      <c r="B3515" t="s">
        <v>262</v>
      </c>
      <c r="C3515" s="35" t="s">
        <v>264</v>
      </c>
      <c r="D3515" t="s">
        <v>502</v>
      </c>
      <c r="E3515" t="s">
        <v>520</v>
      </c>
      <c r="F3515" s="188" t="n">
        <v>2034</v>
      </c>
      <c r="G3515" s="189" t="n">
        <v>63</v>
      </c>
      <c r="H3515" s="190" t="n">
        <v>23443.1662981473</v>
      </c>
      <c r="I3515" s="191" t="n">
        <v>2976470.17743345</v>
      </c>
      <c r="J3515" s="192" t="str">
        <f>IF(I3515&gt;0,H3515/I3515,0)</f>
      </c>
      <c r="K3515" s="193" t="str">
        <f>1-EXP(-J3515)</f>
      </c>
      <c r="L3515" s="194" t="str">
        <f>IF(G3515=30,1,M3514)</f>
      </c>
      <c r="M3515" s="195" t="str">
        <f>L3515*(1-K3515)</f>
      </c>
    </row>
    <row r="3516">
      <c r="A3516" t="s">
        <v>167</v>
      </c>
      <c r="B3516" t="s">
        <v>262</v>
      </c>
      <c r="C3516" s="35" t="s">
        <v>264</v>
      </c>
      <c r="D3516" t="s">
        <v>502</v>
      </c>
      <c r="E3516" t="s">
        <v>520</v>
      </c>
      <c r="F3516" s="188" t="n">
        <v>2034</v>
      </c>
      <c r="G3516" s="189" t="n">
        <v>64</v>
      </c>
      <c r="H3516" s="190" t="n">
        <v>24842.0486176116</v>
      </c>
      <c r="I3516" s="191" t="n">
        <v>2878393.80822773</v>
      </c>
      <c r="J3516" s="192" t="str">
        <f>IF(I3516&gt;0,H3516/I3516,0)</f>
      </c>
      <c r="K3516" s="193" t="str">
        <f>1-EXP(-J3516)</f>
      </c>
      <c r="L3516" s="194" t="str">
        <f>IF(G3516=30,1,M3515)</f>
      </c>
      <c r="M3516" s="195" t="str">
        <f>L3516*(1-K3516)</f>
      </c>
    </row>
    <row r="3517">
      <c r="A3517" t="s">
        <v>167</v>
      </c>
      <c r="B3517" t="s">
        <v>262</v>
      </c>
      <c r="C3517" s="35" t="s">
        <v>264</v>
      </c>
      <c r="D3517" t="s">
        <v>502</v>
      </c>
      <c r="E3517" t="s">
        <v>520</v>
      </c>
      <c r="F3517" s="188" t="n">
        <v>2034</v>
      </c>
      <c r="G3517" s="189" t="n">
        <v>65</v>
      </c>
      <c r="H3517" s="190" t="n">
        <v>25320.0205828352</v>
      </c>
      <c r="I3517" s="191" t="n">
        <v>2771124.40446021</v>
      </c>
      <c r="J3517" s="192" t="str">
        <f>IF(I3517&gt;0,H3517/I3517,0)</f>
      </c>
      <c r="K3517" s="193" t="str">
        <f>1-EXP(-J3517)</f>
      </c>
      <c r="L3517" s="194" t="str">
        <f>IF(G3517=30,1,M3516)</f>
      </c>
      <c r="M3517" s="195" t="str">
        <f>L3517*(1-K3517)</f>
      </c>
    </row>
    <row r="3518">
      <c r="A3518" t="s">
        <v>167</v>
      </c>
      <c r="B3518" t="s">
        <v>262</v>
      </c>
      <c r="C3518" s="35" t="s">
        <v>264</v>
      </c>
      <c r="D3518" t="s">
        <v>502</v>
      </c>
      <c r="E3518" t="s">
        <v>520</v>
      </c>
      <c r="F3518" s="188" t="n">
        <v>2034</v>
      </c>
      <c r="G3518" s="189" t="n">
        <v>66</v>
      </c>
      <c r="H3518" s="190" t="n">
        <v>26501.6038636214</v>
      </c>
      <c r="I3518" s="191" t="n">
        <v>2645704.6825012</v>
      </c>
      <c r="J3518" s="192" t="str">
        <f>IF(I3518&gt;0,H3518/I3518,0)</f>
      </c>
      <c r="K3518" s="193" t="str">
        <f>1-EXP(-J3518)</f>
      </c>
      <c r="L3518" s="194" t="str">
        <f>IF(G3518=30,1,M3517)</f>
      </c>
      <c r="M3518" s="195" t="str">
        <f>L3518*(1-K3518)</f>
      </c>
    </row>
    <row r="3519">
      <c r="A3519" t="s">
        <v>167</v>
      </c>
      <c r="B3519" t="s">
        <v>262</v>
      </c>
      <c r="C3519" s="35" t="s">
        <v>264</v>
      </c>
      <c r="D3519" t="s">
        <v>502</v>
      </c>
      <c r="E3519" t="s">
        <v>520</v>
      </c>
      <c r="F3519" s="188" t="n">
        <v>2034</v>
      </c>
      <c r="G3519" s="189" t="n">
        <v>67</v>
      </c>
      <c r="H3519" s="190" t="n">
        <v>27410.130409458</v>
      </c>
      <c r="I3519" s="191" t="n">
        <v>2491543.38080364</v>
      </c>
      <c r="J3519" s="192" t="str">
        <f>IF(I3519&gt;0,H3519/I3519,0)</f>
      </c>
      <c r="K3519" s="193" t="str">
        <f>1-EXP(-J3519)</f>
      </c>
      <c r="L3519" s="194" t="str">
        <f>IF(G3519=30,1,M3518)</f>
      </c>
      <c r="M3519" s="195" t="str">
        <f>L3519*(1-K3519)</f>
      </c>
    </row>
    <row r="3520">
      <c r="A3520" t="s">
        <v>167</v>
      </c>
      <c r="B3520" t="s">
        <v>262</v>
      </c>
      <c r="C3520" s="35" t="s">
        <v>264</v>
      </c>
      <c r="D3520" t="s">
        <v>502</v>
      </c>
      <c r="E3520" t="s">
        <v>520</v>
      </c>
      <c r="F3520" s="188" t="n">
        <v>2034</v>
      </c>
      <c r="G3520" s="189" t="n">
        <v>68</v>
      </c>
      <c r="H3520" s="190" t="n">
        <v>28633.808176207</v>
      </c>
      <c r="I3520" s="191" t="n">
        <v>2370330.28624424</v>
      </c>
      <c r="J3520" s="192" t="str">
        <f>IF(I3520&gt;0,H3520/I3520,0)</f>
      </c>
      <c r="K3520" s="193" t="str">
        <f>1-EXP(-J3520)</f>
      </c>
      <c r="L3520" s="194" t="str">
        <f>IF(G3520=30,1,M3519)</f>
      </c>
      <c r="M3520" s="195" t="str">
        <f>L3520*(1-K3520)</f>
      </c>
    </row>
    <row r="3521">
      <c r="A3521" t="s">
        <v>167</v>
      </c>
      <c r="B3521" t="s">
        <v>262</v>
      </c>
      <c r="C3521" s="35" t="s">
        <v>264</v>
      </c>
      <c r="D3521" t="s">
        <v>502</v>
      </c>
      <c r="E3521" t="s">
        <v>520</v>
      </c>
      <c r="F3521" s="188" t="n">
        <v>2034</v>
      </c>
      <c r="G3521" s="189" t="n">
        <v>69</v>
      </c>
      <c r="H3521" s="190" t="n">
        <v>29603.0320597112</v>
      </c>
      <c r="I3521" s="191" t="n">
        <v>2230133.40911679</v>
      </c>
      <c r="J3521" s="192" t="str">
        <f>IF(I3521&gt;0,H3521/I3521,0)</f>
      </c>
      <c r="K3521" s="193" t="str">
        <f>1-EXP(-J3521)</f>
      </c>
      <c r="L3521" s="194" t="str">
        <f>IF(G3521=30,1,M3520)</f>
      </c>
      <c r="M3521" s="195" t="str">
        <f>L3521*(1-K3521)</f>
      </c>
    </row>
    <row r="3522">
      <c r="A3522" t="s">
        <v>167</v>
      </c>
      <c r="B3522" t="s">
        <v>262</v>
      </c>
      <c r="C3522" s="35" t="s">
        <v>264</v>
      </c>
      <c r="D3522" t="s">
        <v>502</v>
      </c>
      <c r="E3522" t="s">
        <v>520</v>
      </c>
      <c r="F3522" s="188" t="n">
        <v>2035</v>
      </c>
      <c r="G3522" s="189" t="n">
        <v>30</v>
      </c>
      <c r="H3522" s="190" t="n">
        <v>793.80845403474</v>
      </c>
      <c r="I3522" s="191" t="n">
        <v>4552893.13448806</v>
      </c>
      <c r="J3522" s="192" t="str">
        <f>IF(I3522&gt;0,H3522/I3522,0)</f>
      </c>
      <c r="K3522" s="193" t="str">
        <f>1-EXP(-J3522)</f>
      </c>
      <c r="L3522" s="194" t="str">
        <f>IF(G3522=30,1,M3521)</f>
      </c>
      <c r="M3522" s="195" t="str">
        <f>L3522*(1-K3522)</f>
      </c>
    </row>
    <row r="3523">
      <c r="A3523" t="s">
        <v>167</v>
      </c>
      <c r="B3523" t="s">
        <v>262</v>
      </c>
      <c r="C3523" s="35" t="s">
        <v>264</v>
      </c>
      <c r="D3523" t="s">
        <v>502</v>
      </c>
      <c r="E3523" t="s">
        <v>520</v>
      </c>
      <c r="F3523" s="188" t="n">
        <v>2035</v>
      </c>
      <c r="G3523" s="189" t="n">
        <v>31</v>
      </c>
      <c r="H3523" s="190" t="n">
        <v>965.902992201984</v>
      </c>
      <c r="I3523" s="191" t="n">
        <v>4424157.75431351</v>
      </c>
      <c r="J3523" s="192" t="str">
        <f>IF(I3523&gt;0,H3523/I3523,0)</f>
      </c>
      <c r="K3523" s="193" t="str">
        <f>1-EXP(-J3523)</f>
      </c>
      <c r="L3523" s="194" t="str">
        <f>IF(G3523=30,1,M3522)</f>
      </c>
      <c r="M3523" s="195" t="str">
        <f>L3523*(1-K3523)</f>
      </c>
    </row>
    <row r="3524">
      <c r="A3524" t="s">
        <v>167</v>
      </c>
      <c r="B3524" t="s">
        <v>262</v>
      </c>
      <c r="C3524" s="35" t="s">
        <v>264</v>
      </c>
      <c r="D3524" t="s">
        <v>502</v>
      </c>
      <c r="E3524" t="s">
        <v>520</v>
      </c>
      <c r="F3524" s="188" t="n">
        <v>2035</v>
      </c>
      <c r="G3524" s="189" t="n">
        <v>32</v>
      </c>
      <c r="H3524" s="190" t="n">
        <v>1002.96128977854</v>
      </c>
      <c r="I3524" s="191" t="n">
        <v>4358939.76038437</v>
      </c>
      <c r="J3524" s="192" t="str">
        <f>IF(I3524&gt;0,H3524/I3524,0)</f>
      </c>
      <c r="K3524" s="193" t="str">
        <f>1-EXP(-J3524)</f>
      </c>
      <c r="L3524" s="194" t="str">
        <f>IF(G3524=30,1,M3523)</f>
      </c>
      <c r="M3524" s="195" t="str">
        <f>L3524*(1-K3524)</f>
      </c>
    </row>
    <row r="3525">
      <c r="A3525" t="s">
        <v>167</v>
      </c>
      <c r="B3525" t="s">
        <v>262</v>
      </c>
      <c r="C3525" s="35" t="s">
        <v>264</v>
      </c>
      <c r="D3525" t="s">
        <v>502</v>
      </c>
      <c r="E3525" t="s">
        <v>520</v>
      </c>
      <c r="F3525" s="188" t="n">
        <v>2035</v>
      </c>
      <c r="G3525" s="189" t="n">
        <v>33</v>
      </c>
      <c r="H3525" s="190" t="n">
        <v>1204.20228030005</v>
      </c>
      <c r="I3525" s="191" t="n">
        <v>4337808.93801371</v>
      </c>
      <c r="J3525" s="192" t="str">
        <f>IF(I3525&gt;0,H3525/I3525,0)</f>
      </c>
      <c r="K3525" s="193" t="str">
        <f>1-EXP(-J3525)</f>
      </c>
      <c r="L3525" s="194" t="str">
        <f>IF(G3525=30,1,M3524)</f>
      </c>
      <c r="M3525" s="195" t="str">
        <f>L3525*(1-K3525)</f>
      </c>
    </row>
    <row r="3526">
      <c r="A3526" t="s">
        <v>167</v>
      </c>
      <c r="B3526" t="s">
        <v>262</v>
      </c>
      <c r="C3526" s="35" t="s">
        <v>264</v>
      </c>
      <c r="D3526" t="s">
        <v>502</v>
      </c>
      <c r="E3526" t="s">
        <v>520</v>
      </c>
      <c r="F3526" s="188" t="n">
        <v>2035</v>
      </c>
      <c r="G3526" s="189" t="n">
        <v>34</v>
      </c>
      <c r="H3526" s="190" t="n">
        <v>1275.13417369828</v>
      </c>
      <c r="I3526" s="191" t="n">
        <v>4317816.51464107</v>
      </c>
      <c r="J3526" s="192" t="str">
        <f>IF(I3526&gt;0,H3526/I3526,0)</f>
      </c>
      <c r="K3526" s="193" t="str">
        <f>1-EXP(-J3526)</f>
      </c>
      <c r="L3526" s="194" t="str">
        <f>IF(G3526=30,1,M3525)</f>
      </c>
      <c r="M3526" s="195" t="str">
        <f>L3526*(1-K3526)</f>
      </c>
    </row>
    <row r="3527">
      <c r="A3527" t="s">
        <v>167</v>
      </c>
      <c r="B3527" t="s">
        <v>262</v>
      </c>
      <c r="C3527" s="35" t="s">
        <v>264</v>
      </c>
      <c r="D3527" t="s">
        <v>502</v>
      </c>
      <c r="E3527" t="s">
        <v>520</v>
      </c>
      <c r="F3527" s="188" t="n">
        <v>2035</v>
      </c>
      <c r="G3527" s="189" t="n">
        <v>35</v>
      </c>
      <c r="H3527" s="190" t="n">
        <v>1709.39920802506</v>
      </c>
      <c r="I3527" s="191" t="n">
        <v>4297499.58965925</v>
      </c>
      <c r="J3527" s="192" t="str">
        <f>IF(I3527&gt;0,H3527/I3527,0)</f>
      </c>
      <c r="K3527" s="193" t="str">
        <f>1-EXP(-J3527)</f>
      </c>
      <c r="L3527" s="194" t="str">
        <f>IF(G3527=30,1,M3526)</f>
      </c>
      <c r="M3527" s="195" t="str">
        <f>L3527*(1-K3527)</f>
      </c>
    </row>
    <row r="3528">
      <c r="A3528" t="s">
        <v>167</v>
      </c>
      <c r="B3528" t="s">
        <v>262</v>
      </c>
      <c r="C3528" s="35" t="s">
        <v>264</v>
      </c>
      <c r="D3528" t="s">
        <v>502</v>
      </c>
      <c r="E3528" t="s">
        <v>520</v>
      </c>
      <c r="F3528" s="188" t="n">
        <v>2035</v>
      </c>
      <c r="G3528" s="189" t="n">
        <v>36</v>
      </c>
      <c r="H3528" s="190" t="n">
        <v>1916.97605769876</v>
      </c>
      <c r="I3528" s="191" t="n">
        <v>4316303.67860308</v>
      </c>
      <c r="J3528" s="192" t="str">
        <f>IF(I3528&gt;0,H3528/I3528,0)</f>
      </c>
      <c r="K3528" s="193" t="str">
        <f>1-EXP(-J3528)</f>
      </c>
      <c r="L3528" s="194" t="str">
        <f>IF(G3528=30,1,M3527)</f>
      </c>
      <c r="M3528" s="195" t="str">
        <f>L3528*(1-K3528)</f>
      </c>
    </row>
    <row r="3529">
      <c r="A3529" t="s">
        <v>167</v>
      </c>
      <c r="B3529" t="s">
        <v>262</v>
      </c>
      <c r="C3529" s="35" t="s">
        <v>264</v>
      </c>
      <c r="D3529" t="s">
        <v>502</v>
      </c>
      <c r="E3529" t="s">
        <v>520</v>
      </c>
      <c r="F3529" s="188" t="n">
        <v>2035</v>
      </c>
      <c r="G3529" s="189" t="n">
        <v>37</v>
      </c>
      <c r="H3529" s="190" t="n">
        <v>2089.94003116118</v>
      </c>
      <c r="I3529" s="191" t="n">
        <v>4374363.52295672</v>
      </c>
      <c r="J3529" s="192" t="str">
        <f>IF(I3529&gt;0,H3529/I3529,0)</f>
      </c>
      <c r="K3529" s="193" t="str">
        <f>1-EXP(-J3529)</f>
      </c>
      <c r="L3529" s="194" t="str">
        <f>IF(G3529=30,1,M3528)</f>
      </c>
      <c r="M3529" s="195" t="str">
        <f>L3529*(1-K3529)</f>
      </c>
    </row>
    <row r="3530">
      <c r="A3530" t="s">
        <v>167</v>
      </c>
      <c r="B3530" t="s">
        <v>262</v>
      </c>
      <c r="C3530" s="35" t="s">
        <v>264</v>
      </c>
      <c r="D3530" t="s">
        <v>502</v>
      </c>
      <c r="E3530" t="s">
        <v>520</v>
      </c>
      <c r="F3530" s="188" t="n">
        <v>2035</v>
      </c>
      <c r="G3530" s="189" t="n">
        <v>38</v>
      </c>
      <c r="H3530" s="190" t="n">
        <v>2527.14719707833</v>
      </c>
      <c r="I3530" s="191" t="n">
        <v>4510958.79374245</v>
      </c>
      <c r="J3530" s="192" t="str">
        <f>IF(I3530&gt;0,H3530/I3530,0)</f>
      </c>
      <c r="K3530" s="193" t="str">
        <f>1-EXP(-J3530)</f>
      </c>
      <c r="L3530" s="194" t="str">
        <f>IF(G3530=30,1,M3529)</f>
      </c>
      <c r="M3530" s="195" t="str">
        <f>L3530*(1-K3530)</f>
      </c>
    </row>
    <row r="3531">
      <c r="A3531" t="s">
        <v>167</v>
      </c>
      <c r="B3531" t="s">
        <v>262</v>
      </c>
      <c r="C3531" s="35" t="s">
        <v>264</v>
      </c>
      <c r="D3531" t="s">
        <v>502</v>
      </c>
      <c r="E3531" t="s">
        <v>520</v>
      </c>
      <c r="F3531" s="188" t="n">
        <v>2035</v>
      </c>
      <c r="G3531" s="189" t="n">
        <v>39</v>
      </c>
      <c r="H3531" s="190" t="n">
        <v>2694.05239763264</v>
      </c>
      <c r="I3531" s="191" t="n">
        <v>4466073.13849741</v>
      </c>
      <c r="J3531" s="192" t="str">
        <f>IF(I3531&gt;0,H3531/I3531,0)</f>
      </c>
      <c r="K3531" s="193" t="str">
        <f>1-EXP(-J3531)</f>
      </c>
      <c r="L3531" s="194" t="str">
        <f>IF(G3531=30,1,M3530)</f>
      </c>
      <c r="M3531" s="195" t="str">
        <f>L3531*(1-K3531)</f>
      </c>
    </row>
    <row r="3532">
      <c r="A3532" t="s">
        <v>167</v>
      </c>
      <c r="B3532" t="s">
        <v>262</v>
      </c>
      <c r="C3532" s="35" t="s">
        <v>264</v>
      </c>
      <c r="D3532" t="s">
        <v>502</v>
      </c>
      <c r="E3532" t="s">
        <v>520</v>
      </c>
      <c r="F3532" s="188" t="n">
        <v>2035</v>
      </c>
      <c r="G3532" s="189" t="n">
        <v>40</v>
      </c>
      <c r="H3532" s="190" t="n">
        <v>3551.03365964502</v>
      </c>
      <c r="I3532" s="191" t="n">
        <v>4391001.04158468</v>
      </c>
      <c r="J3532" s="192" t="str">
        <f>IF(I3532&gt;0,H3532/I3532,0)</f>
      </c>
      <c r="K3532" s="193" t="str">
        <f>1-EXP(-J3532)</f>
      </c>
      <c r="L3532" s="194" t="str">
        <f>IF(G3532=30,1,M3531)</f>
      </c>
      <c r="M3532" s="195" t="str">
        <f>L3532*(1-K3532)</f>
      </c>
    </row>
    <row r="3533">
      <c r="A3533" t="s">
        <v>167</v>
      </c>
      <c r="B3533" t="s">
        <v>262</v>
      </c>
      <c r="C3533" s="35" t="s">
        <v>264</v>
      </c>
      <c r="D3533" t="s">
        <v>502</v>
      </c>
      <c r="E3533" t="s">
        <v>520</v>
      </c>
      <c r="F3533" s="188" t="n">
        <v>2035</v>
      </c>
      <c r="G3533" s="189" t="n">
        <v>41</v>
      </c>
      <c r="H3533" s="190" t="n">
        <v>3781.31353393717</v>
      </c>
      <c r="I3533" s="191" t="n">
        <v>4330517.66662417</v>
      </c>
      <c r="J3533" s="192" t="str">
        <f>IF(I3533&gt;0,H3533/I3533,0)</f>
      </c>
      <c r="K3533" s="193" t="str">
        <f>1-EXP(-J3533)</f>
      </c>
      <c r="L3533" s="194" t="str">
        <f>IF(G3533=30,1,M3532)</f>
      </c>
      <c r="M3533" s="195" t="str">
        <f>L3533*(1-K3533)</f>
      </c>
    </row>
    <row r="3534">
      <c r="A3534" t="s">
        <v>167</v>
      </c>
      <c r="B3534" t="s">
        <v>262</v>
      </c>
      <c r="C3534" s="35" t="s">
        <v>264</v>
      </c>
      <c r="D3534" t="s">
        <v>502</v>
      </c>
      <c r="E3534" t="s">
        <v>520</v>
      </c>
      <c r="F3534" s="188" t="n">
        <v>2035</v>
      </c>
      <c r="G3534" s="189" t="n">
        <v>42</v>
      </c>
      <c r="H3534" s="190" t="n">
        <v>4046.85236592121</v>
      </c>
      <c r="I3534" s="191" t="n">
        <v>4274080.10262333</v>
      </c>
      <c r="J3534" s="192" t="str">
        <f>IF(I3534&gt;0,H3534/I3534,0)</f>
      </c>
      <c r="K3534" s="193" t="str">
        <f>1-EXP(-J3534)</f>
      </c>
      <c r="L3534" s="194" t="str">
        <f>IF(G3534=30,1,M3533)</f>
      </c>
      <c r="M3534" s="195" t="str">
        <f>L3534*(1-K3534)</f>
      </c>
    </row>
    <row r="3535">
      <c r="A3535" t="s">
        <v>167</v>
      </c>
      <c r="B3535" t="s">
        <v>262</v>
      </c>
      <c r="C3535" s="35" t="s">
        <v>264</v>
      </c>
      <c r="D3535" t="s">
        <v>502</v>
      </c>
      <c r="E3535" t="s">
        <v>520</v>
      </c>
      <c r="F3535" s="188" t="n">
        <v>2035</v>
      </c>
      <c r="G3535" s="189" t="n">
        <v>43</v>
      </c>
      <c r="H3535" s="190" t="n">
        <v>4431.60709418997</v>
      </c>
      <c r="I3535" s="191" t="n">
        <v>4307695.22387596</v>
      </c>
      <c r="J3535" s="192" t="str">
        <f>IF(I3535&gt;0,H3535/I3535,0)</f>
      </c>
      <c r="K3535" s="193" t="str">
        <f>1-EXP(-J3535)</f>
      </c>
      <c r="L3535" s="194" t="str">
        <f>IF(G3535=30,1,M3534)</f>
      </c>
      <c r="M3535" s="195" t="str">
        <f>L3535*(1-K3535)</f>
      </c>
    </row>
    <row r="3536">
      <c r="A3536" t="s">
        <v>167</v>
      </c>
      <c r="B3536" t="s">
        <v>262</v>
      </c>
      <c r="C3536" s="35" t="s">
        <v>264</v>
      </c>
      <c r="D3536" t="s">
        <v>502</v>
      </c>
      <c r="E3536" t="s">
        <v>520</v>
      </c>
      <c r="F3536" s="188" t="n">
        <v>2035</v>
      </c>
      <c r="G3536" s="189" t="n">
        <v>44</v>
      </c>
      <c r="H3536" s="190" t="n">
        <v>4848.2779677997</v>
      </c>
      <c r="I3536" s="191" t="n">
        <v>4321326.74920642</v>
      </c>
      <c r="J3536" s="192" t="str">
        <f>IF(I3536&gt;0,H3536/I3536,0)</f>
      </c>
      <c r="K3536" s="193" t="str">
        <f>1-EXP(-J3536)</f>
      </c>
      <c r="L3536" s="194" t="str">
        <f>IF(G3536=30,1,M3535)</f>
      </c>
      <c r="M3536" s="195" t="str">
        <f>L3536*(1-K3536)</f>
      </c>
    </row>
    <row r="3537">
      <c r="A3537" t="s">
        <v>167</v>
      </c>
      <c r="B3537" t="s">
        <v>262</v>
      </c>
      <c r="C3537" s="35" t="s">
        <v>264</v>
      </c>
      <c r="D3537" t="s">
        <v>502</v>
      </c>
      <c r="E3537" t="s">
        <v>520</v>
      </c>
      <c r="F3537" s="188" t="n">
        <v>2035</v>
      </c>
      <c r="G3537" s="189" t="n">
        <v>45</v>
      </c>
      <c r="H3537" s="190" t="n">
        <v>8554.99984323928</v>
      </c>
      <c r="I3537" s="191" t="n">
        <v>6360268.51764446</v>
      </c>
      <c r="J3537" s="192" t="str">
        <f>IF(I3537&gt;0,H3537/I3537,0)</f>
      </c>
      <c r="K3537" s="193" t="str">
        <f>1-EXP(-J3537)</f>
      </c>
      <c r="L3537" s="194" t="str">
        <f>IF(G3537=30,1,M3536)</f>
      </c>
      <c r="M3537" s="195" t="str">
        <f>L3537*(1-K3537)</f>
      </c>
    </row>
    <row r="3538">
      <c r="A3538" t="s">
        <v>167</v>
      </c>
      <c r="B3538" t="s">
        <v>262</v>
      </c>
      <c r="C3538" s="35" t="s">
        <v>264</v>
      </c>
      <c r="D3538" t="s">
        <v>502</v>
      </c>
      <c r="E3538" t="s">
        <v>520</v>
      </c>
      <c r="F3538" s="188" t="n">
        <v>2035</v>
      </c>
      <c r="G3538" s="189" t="n">
        <v>46</v>
      </c>
      <c r="H3538" s="190" t="n">
        <v>6746.51517663211</v>
      </c>
      <c r="I3538" s="191" t="n">
        <v>4269629.85816344</v>
      </c>
      <c r="J3538" s="192" t="str">
        <f>IF(I3538&gt;0,H3538/I3538,0)</f>
      </c>
      <c r="K3538" s="193" t="str">
        <f>1-EXP(-J3538)</f>
      </c>
      <c r="L3538" s="194" t="str">
        <f>IF(G3538=30,1,M3537)</f>
      </c>
      <c r="M3538" s="195" t="str">
        <f>L3538*(1-K3538)</f>
      </c>
    </row>
    <row r="3539">
      <c r="A3539" t="s">
        <v>167</v>
      </c>
      <c r="B3539" t="s">
        <v>262</v>
      </c>
      <c r="C3539" s="35" t="s">
        <v>264</v>
      </c>
      <c r="D3539" t="s">
        <v>502</v>
      </c>
      <c r="E3539" t="s">
        <v>520</v>
      </c>
      <c r="F3539" s="188" t="n">
        <v>2035</v>
      </c>
      <c r="G3539" s="189" t="n">
        <v>47</v>
      </c>
      <c r="H3539" s="190" t="n">
        <v>7356.08473545315</v>
      </c>
      <c r="I3539" s="191" t="n">
        <v>4247295.09183767</v>
      </c>
      <c r="J3539" s="192" t="str">
        <f>IF(I3539&gt;0,H3539/I3539,0)</f>
      </c>
      <c r="K3539" s="193" t="str">
        <f>1-EXP(-J3539)</f>
      </c>
      <c r="L3539" s="194" t="str">
        <f>IF(G3539=30,1,M3538)</f>
      </c>
      <c r="M3539" s="195" t="str">
        <f>L3539*(1-K3539)</f>
      </c>
    </row>
    <row r="3540">
      <c r="A3540" t="s">
        <v>167</v>
      </c>
      <c r="B3540" t="s">
        <v>262</v>
      </c>
      <c r="C3540" s="35" t="s">
        <v>264</v>
      </c>
      <c r="D3540" t="s">
        <v>502</v>
      </c>
      <c r="E3540" t="s">
        <v>520</v>
      </c>
      <c r="F3540" s="188" t="n">
        <v>2035</v>
      </c>
      <c r="G3540" s="189" t="n">
        <v>48</v>
      </c>
      <c r="H3540" s="190" t="n">
        <v>7809.04357440814</v>
      </c>
      <c r="I3540" s="191" t="n">
        <v>4110809.74355281</v>
      </c>
      <c r="J3540" s="192" t="str">
        <f>IF(I3540&gt;0,H3540/I3540,0)</f>
      </c>
      <c r="K3540" s="193" t="str">
        <f>1-EXP(-J3540)</f>
      </c>
      <c r="L3540" s="194" t="str">
        <f>IF(G3540=30,1,M3539)</f>
      </c>
      <c r="M3540" s="195" t="str">
        <f>L3540*(1-K3540)</f>
      </c>
    </row>
    <row r="3541">
      <c r="A3541" t="s">
        <v>167</v>
      </c>
      <c r="B3541" t="s">
        <v>262</v>
      </c>
      <c r="C3541" s="35" t="s">
        <v>264</v>
      </c>
      <c r="D3541" t="s">
        <v>502</v>
      </c>
      <c r="E3541" t="s">
        <v>520</v>
      </c>
      <c r="F3541" s="188" t="n">
        <v>2035</v>
      </c>
      <c r="G3541" s="189" t="n">
        <v>49</v>
      </c>
      <c r="H3541" s="190" t="n">
        <v>8473.88036937624</v>
      </c>
      <c r="I3541" s="191" t="n">
        <v>4069767.07246395</v>
      </c>
      <c r="J3541" s="192" t="str">
        <f>IF(I3541&gt;0,H3541/I3541,0)</f>
      </c>
      <c r="K3541" s="193" t="str">
        <f>1-EXP(-J3541)</f>
      </c>
      <c r="L3541" s="194" t="str">
        <f>IF(G3541=30,1,M3540)</f>
      </c>
      <c r="M3541" s="195" t="str">
        <f>L3541*(1-K3541)</f>
      </c>
    </row>
    <row r="3542">
      <c r="A3542" t="s">
        <v>167</v>
      </c>
      <c r="B3542" t="s">
        <v>262</v>
      </c>
      <c r="C3542" s="35" t="s">
        <v>264</v>
      </c>
      <c r="D3542" t="s">
        <v>502</v>
      </c>
      <c r="E3542" t="s">
        <v>520</v>
      </c>
      <c r="F3542" s="188" t="n">
        <v>2035</v>
      </c>
      <c r="G3542" s="189" t="n">
        <v>50</v>
      </c>
      <c r="H3542" s="190" t="n">
        <v>9927.0632574605</v>
      </c>
      <c r="I3542" s="191" t="n">
        <v>4119606.71769537</v>
      </c>
      <c r="J3542" s="192" t="str">
        <f>IF(I3542&gt;0,H3542/I3542,0)</f>
      </c>
      <c r="K3542" s="193" t="str">
        <f>1-EXP(-J3542)</f>
      </c>
      <c r="L3542" s="194" t="str">
        <f>IF(G3542=30,1,M3541)</f>
      </c>
      <c r="M3542" s="195" t="str">
        <f>L3542*(1-K3542)</f>
      </c>
    </row>
    <row r="3543">
      <c r="A3543" t="s">
        <v>167</v>
      </c>
      <c r="B3543" t="s">
        <v>262</v>
      </c>
      <c r="C3543" s="35" t="s">
        <v>264</v>
      </c>
      <c r="D3543" t="s">
        <v>502</v>
      </c>
      <c r="E3543" t="s">
        <v>520</v>
      </c>
      <c r="F3543" s="188" t="n">
        <v>2035</v>
      </c>
      <c r="G3543" s="189" t="n">
        <v>51</v>
      </c>
      <c r="H3543" s="190" t="n">
        <v>11061.6824304873</v>
      </c>
      <c r="I3543" s="191" t="n">
        <v>4192049.53018932</v>
      </c>
      <c r="J3543" s="192" t="str">
        <f>IF(I3543&gt;0,H3543/I3543,0)</f>
      </c>
      <c r="K3543" s="193" t="str">
        <f>1-EXP(-J3543)</f>
      </c>
      <c r="L3543" s="194" t="str">
        <f>IF(G3543=30,1,M3542)</f>
      </c>
      <c r="M3543" s="195" t="str">
        <f>L3543*(1-K3543)</f>
      </c>
    </row>
    <row r="3544">
      <c r="A3544" t="s">
        <v>167</v>
      </c>
      <c r="B3544" t="s">
        <v>262</v>
      </c>
      <c r="C3544" s="35" t="s">
        <v>264</v>
      </c>
      <c r="D3544" t="s">
        <v>502</v>
      </c>
      <c r="E3544" t="s">
        <v>520</v>
      </c>
      <c r="F3544" s="188" t="n">
        <v>2035</v>
      </c>
      <c r="G3544" s="189" t="n">
        <v>52</v>
      </c>
      <c r="H3544" s="190" t="n">
        <v>11992.5131481624</v>
      </c>
      <c r="I3544" s="191" t="n">
        <v>4157970.45551235</v>
      </c>
      <c r="J3544" s="192" t="str">
        <f>IF(I3544&gt;0,H3544/I3544,0)</f>
      </c>
      <c r="K3544" s="193" t="str">
        <f>1-EXP(-J3544)</f>
      </c>
      <c r="L3544" s="194" t="str">
        <f>IF(G3544=30,1,M3543)</f>
      </c>
      <c r="M3544" s="195" t="str">
        <f>L3544*(1-K3544)</f>
      </c>
    </row>
    <row r="3545">
      <c r="A3545" t="s">
        <v>167</v>
      </c>
      <c r="B3545" t="s">
        <v>262</v>
      </c>
      <c r="C3545" s="35" t="s">
        <v>264</v>
      </c>
      <c r="D3545" t="s">
        <v>502</v>
      </c>
      <c r="E3545" t="s">
        <v>520</v>
      </c>
      <c r="F3545" s="188" t="n">
        <v>2035</v>
      </c>
      <c r="G3545" s="189" t="n">
        <v>53</v>
      </c>
      <c r="H3545" s="190" t="n">
        <v>12657.0355204932</v>
      </c>
      <c r="I3545" s="191" t="n">
        <v>4013965.57627071</v>
      </c>
      <c r="J3545" s="192" t="str">
        <f>IF(I3545&gt;0,H3545/I3545,0)</f>
      </c>
      <c r="K3545" s="193" t="str">
        <f>1-EXP(-J3545)</f>
      </c>
      <c r="L3545" s="194" t="str">
        <f>IF(G3545=30,1,M3544)</f>
      </c>
      <c r="M3545" s="195" t="str">
        <f>L3545*(1-K3545)</f>
      </c>
    </row>
    <row r="3546">
      <c r="A3546" t="s">
        <v>167</v>
      </c>
      <c r="B3546" t="s">
        <v>262</v>
      </c>
      <c r="C3546" s="35" t="s">
        <v>264</v>
      </c>
      <c r="D3546" t="s">
        <v>502</v>
      </c>
      <c r="E3546" t="s">
        <v>520</v>
      </c>
      <c r="F3546" s="188" t="n">
        <v>2035</v>
      </c>
      <c r="G3546" s="189" t="n">
        <v>54</v>
      </c>
      <c r="H3546" s="190" t="n">
        <v>13530.4149114184</v>
      </c>
      <c r="I3546" s="191" t="n">
        <v>3930122.8272148</v>
      </c>
      <c r="J3546" s="192" t="str">
        <f>IF(I3546&gt;0,H3546/I3546,0)</f>
      </c>
      <c r="K3546" s="193" t="str">
        <f>1-EXP(-J3546)</f>
      </c>
      <c r="L3546" s="194" t="str">
        <f>IF(G3546=30,1,M3545)</f>
      </c>
      <c r="M3546" s="195" t="str">
        <f>L3546*(1-K3546)</f>
      </c>
    </row>
    <row r="3547">
      <c r="A3547" t="s">
        <v>167</v>
      </c>
      <c r="B3547" t="s">
        <v>262</v>
      </c>
      <c r="C3547" s="35" t="s">
        <v>264</v>
      </c>
      <c r="D3547" t="s">
        <v>502</v>
      </c>
      <c r="E3547" t="s">
        <v>520</v>
      </c>
      <c r="F3547" s="188" t="n">
        <v>2035</v>
      </c>
      <c r="G3547" s="189" t="n">
        <v>55</v>
      </c>
      <c r="H3547" s="190" t="n">
        <v>14522.3305897737</v>
      </c>
      <c r="I3547" s="191" t="n">
        <v>3860968.92751001</v>
      </c>
      <c r="J3547" s="192" t="str">
        <f>IF(I3547&gt;0,H3547/I3547,0)</f>
      </c>
      <c r="K3547" s="193" t="str">
        <f>1-EXP(-J3547)</f>
      </c>
      <c r="L3547" s="194" t="str">
        <f>IF(G3547=30,1,M3546)</f>
      </c>
      <c r="M3547" s="195" t="str">
        <f>L3547*(1-K3547)</f>
      </c>
    </row>
    <row r="3548">
      <c r="A3548" t="s">
        <v>167</v>
      </c>
      <c r="B3548" t="s">
        <v>262</v>
      </c>
      <c r="C3548" s="35" t="s">
        <v>264</v>
      </c>
      <c r="D3548" t="s">
        <v>502</v>
      </c>
      <c r="E3548" t="s">
        <v>520</v>
      </c>
      <c r="F3548" s="188" t="n">
        <v>2035</v>
      </c>
      <c r="G3548" s="189" t="n">
        <v>56</v>
      </c>
      <c r="H3548" s="190" t="n">
        <v>15523.0397124543</v>
      </c>
      <c r="I3548" s="191" t="n">
        <v>3785522.62425709</v>
      </c>
      <c r="J3548" s="192" t="str">
        <f>IF(I3548&gt;0,H3548/I3548,0)</f>
      </c>
      <c r="K3548" s="193" t="str">
        <f>1-EXP(-J3548)</f>
      </c>
      <c r="L3548" s="194" t="str">
        <f>IF(G3548=30,1,M3547)</f>
      </c>
      <c r="M3548" s="195" t="str">
        <f>L3548*(1-K3548)</f>
      </c>
    </row>
    <row r="3549">
      <c r="A3549" t="s">
        <v>167</v>
      </c>
      <c r="B3549" t="s">
        <v>262</v>
      </c>
      <c r="C3549" s="35" t="s">
        <v>264</v>
      </c>
      <c r="D3549" t="s">
        <v>502</v>
      </c>
      <c r="E3549" t="s">
        <v>520</v>
      </c>
      <c r="F3549" s="188" t="n">
        <v>2035</v>
      </c>
      <c r="G3549" s="189" t="n">
        <v>57</v>
      </c>
      <c r="H3549" s="190" t="n">
        <v>16535.3750655022</v>
      </c>
      <c r="I3549" s="191" t="n">
        <v>3691066.89234595</v>
      </c>
      <c r="J3549" s="192" t="str">
        <f>IF(I3549&gt;0,H3549/I3549,0)</f>
      </c>
      <c r="K3549" s="193" t="str">
        <f>1-EXP(-J3549)</f>
      </c>
      <c r="L3549" s="194" t="str">
        <f>IF(G3549=30,1,M3548)</f>
      </c>
      <c r="M3549" s="195" t="str">
        <f>L3549*(1-K3549)</f>
      </c>
    </row>
    <row r="3550">
      <c r="A3550" t="s">
        <v>167</v>
      </c>
      <c r="B3550" t="s">
        <v>262</v>
      </c>
      <c r="C3550" s="35" t="s">
        <v>264</v>
      </c>
      <c r="D3550" t="s">
        <v>502</v>
      </c>
      <c r="E3550" t="s">
        <v>520</v>
      </c>
      <c r="F3550" s="188" t="n">
        <v>2035</v>
      </c>
      <c r="G3550" s="189" t="n">
        <v>58</v>
      </c>
      <c r="H3550" s="190" t="n">
        <v>17712.4962464486</v>
      </c>
      <c r="I3550" s="191" t="n">
        <v>3612048.8354859</v>
      </c>
      <c r="J3550" s="192" t="str">
        <f>IF(I3550&gt;0,H3550/I3550,0)</f>
      </c>
      <c r="K3550" s="193" t="str">
        <f>1-EXP(-J3550)</f>
      </c>
      <c r="L3550" s="194" t="str">
        <f>IF(G3550=30,1,M3549)</f>
      </c>
      <c r="M3550" s="195" t="str">
        <f>L3550*(1-K3550)</f>
      </c>
    </row>
    <row r="3551">
      <c r="A3551" t="s">
        <v>167</v>
      </c>
      <c r="B3551" t="s">
        <v>262</v>
      </c>
      <c r="C3551" s="35" t="s">
        <v>264</v>
      </c>
      <c r="D3551" t="s">
        <v>502</v>
      </c>
      <c r="E3551" t="s">
        <v>520</v>
      </c>
      <c r="F3551" s="188" t="n">
        <v>2035</v>
      </c>
      <c r="G3551" s="189" t="n">
        <v>59</v>
      </c>
      <c r="H3551" s="190" t="n">
        <v>18889.3315356576</v>
      </c>
      <c r="I3551" s="191" t="n">
        <v>3521119.0373154</v>
      </c>
      <c r="J3551" s="192" t="str">
        <f>IF(I3551&gt;0,H3551/I3551,0)</f>
      </c>
      <c r="K3551" s="193" t="str">
        <f>1-EXP(-J3551)</f>
      </c>
      <c r="L3551" s="194" t="str">
        <f>IF(G3551=30,1,M3550)</f>
      </c>
      <c r="M3551" s="195" t="str">
        <f>L3551*(1-K3551)</f>
      </c>
    </row>
    <row r="3552">
      <c r="A3552" t="s">
        <v>167</v>
      </c>
      <c r="B3552" t="s">
        <v>262</v>
      </c>
      <c r="C3552" s="35" t="s">
        <v>264</v>
      </c>
      <c r="D3552" t="s">
        <v>502</v>
      </c>
      <c r="E3552" t="s">
        <v>520</v>
      </c>
      <c r="F3552" s="188" t="n">
        <v>2035</v>
      </c>
      <c r="G3552" s="189" t="n">
        <v>60</v>
      </c>
      <c r="H3552" s="190" t="n">
        <v>20273.445450509</v>
      </c>
      <c r="I3552" s="191" t="n">
        <v>3428678.21608514</v>
      </c>
      <c r="J3552" s="192" t="str">
        <f>IF(I3552&gt;0,H3552/I3552,0)</f>
      </c>
      <c r="K3552" s="193" t="str">
        <f>1-EXP(-J3552)</f>
      </c>
      <c r="L3552" s="194" t="str">
        <f>IF(G3552=30,1,M3551)</f>
      </c>
      <c r="M3552" s="195" t="str">
        <f>L3552*(1-K3552)</f>
      </c>
    </row>
    <row r="3553">
      <c r="A3553" t="s">
        <v>167</v>
      </c>
      <c r="B3553" t="s">
        <v>262</v>
      </c>
      <c r="C3553" s="35" t="s">
        <v>264</v>
      </c>
      <c r="D3553" t="s">
        <v>502</v>
      </c>
      <c r="E3553" t="s">
        <v>520</v>
      </c>
      <c r="F3553" s="188" t="n">
        <v>2035</v>
      </c>
      <c r="G3553" s="189" t="n">
        <v>61</v>
      </c>
      <c r="H3553" s="190" t="n">
        <v>21482.3507366195</v>
      </c>
      <c r="I3553" s="191" t="n">
        <v>3309203.95807398</v>
      </c>
      <c r="J3553" s="192" t="str">
        <f>IF(I3553&gt;0,H3553/I3553,0)</f>
      </c>
      <c r="K3553" s="193" t="str">
        <f>1-EXP(-J3553)</f>
      </c>
      <c r="L3553" s="194" t="str">
        <f>IF(G3553=30,1,M3552)</f>
      </c>
      <c r="M3553" s="195" t="str">
        <f>L3553*(1-K3553)</f>
      </c>
    </row>
    <row r="3554">
      <c r="A3554" t="s">
        <v>167</v>
      </c>
      <c r="B3554" t="s">
        <v>262</v>
      </c>
      <c r="C3554" s="35" t="s">
        <v>264</v>
      </c>
      <c r="D3554" t="s">
        <v>502</v>
      </c>
      <c r="E3554" t="s">
        <v>520</v>
      </c>
      <c r="F3554" s="188" t="n">
        <v>2035</v>
      </c>
      <c r="G3554" s="189" t="n">
        <v>62</v>
      </c>
      <c r="H3554" s="190" t="n">
        <v>23069.5622734343</v>
      </c>
      <c r="I3554" s="191" t="n">
        <v>3245209.27208784</v>
      </c>
      <c r="J3554" s="192" t="str">
        <f>IF(I3554&gt;0,H3554/I3554,0)</f>
      </c>
      <c r="K3554" s="193" t="str">
        <f>1-EXP(-J3554)</f>
      </c>
      <c r="L3554" s="194" t="str">
        <f>IF(G3554=30,1,M3553)</f>
      </c>
      <c r="M3554" s="195" t="str">
        <f>L3554*(1-K3554)</f>
      </c>
    </row>
    <row r="3555">
      <c r="A3555" t="s">
        <v>167</v>
      </c>
      <c r="B3555" t="s">
        <v>262</v>
      </c>
      <c r="C3555" s="35" t="s">
        <v>264</v>
      </c>
      <c r="D3555" t="s">
        <v>502</v>
      </c>
      <c r="E3555" t="s">
        <v>520</v>
      </c>
      <c r="F3555" s="188" t="n">
        <v>2035</v>
      </c>
      <c r="G3555" s="189" t="n">
        <v>63</v>
      </c>
      <c r="H3555" s="190" t="n">
        <v>23617.2572576688</v>
      </c>
      <c r="I3555" s="191" t="n">
        <v>3028866.71894357</v>
      </c>
      <c r="J3555" s="192" t="str">
        <f>IF(I3555&gt;0,H3555/I3555,0)</f>
      </c>
      <c r="K3555" s="193" t="str">
        <f>1-EXP(-J3555)</f>
      </c>
      <c r="L3555" s="194" t="str">
        <f>IF(G3555=30,1,M3554)</f>
      </c>
      <c r="M3555" s="195" t="str">
        <f>L3555*(1-K3555)</f>
      </c>
    </row>
    <row r="3556">
      <c r="A3556" t="s">
        <v>167</v>
      </c>
      <c r="B3556" t="s">
        <v>262</v>
      </c>
      <c r="C3556" s="35" t="s">
        <v>264</v>
      </c>
      <c r="D3556" t="s">
        <v>502</v>
      </c>
      <c r="E3556" t="s">
        <v>520</v>
      </c>
      <c r="F3556" s="188" t="n">
        <v>2035</v>
      </c>
      <c r="G3556" s="189" t="n">
        <v>64</v>
      </c>
      <c r="H3556" s="190" t="n">
        <v>24987.9685950978</v>
      </c>
      <c r="I3556" s="191" t="n">
        <v>2924541.65241556</v>
      </c>
      <c r="J3556" s="192" t="str">
        <f>IF(I3556&gt;0,H3556/I3556,0)</f>
      </c>
      <c r="K3556" s="193" t="str">
        <f>1-EXP(-J3556)</f>
      </c>
      <c r="L3556" s="194" t="str">
        <f>IF(G3556=30,1,M3555)</f>
      </c>
      <c r="M3556" s="195" t="str">
        <f>L3556*(1-K3556)</f>
      </c>
    </row>
    <row r="3557">
      <c r="A3557" t="s">
        <v>167</v>
      </c>
      <c r="B3557" t="s">
        <v>262</v>
      </c>
      <c r="C3557" s="35" t="s">
        <v>264</v>
      </c>
      <c r="D3557" t="s">
        <v>502</v>
      </c>
      <c r="E3557" t="s">
        <v>520</v>
      </c>
      <c r="F3557" s="188" t="n">
        <v>2035</v>
      </c>
      <c r="G3557" s="189" t="n">
        <v>65</v>
      </c>
      <c r="H3557" s="190" t="n">
        <v>25507.2571964015</v>
      </c>
      <c r="I3557" s="191" t="n">
        <v>2823380.04404333</v>
      </c>
      <c r="J3557" s="192" t="str">
        <f>IF(I3557&gt;0,H3557/I3557,0)</f>
      </c>
      <c r="K3557" s="193" t="str">
        <f>1-EXP(-J3557)</f>
      </c>
      <c r="L3557" s="194" t="str">
        <f>IF(G3557=30,1,M3556)</f>
      </c>
      <c r="M3557" s="195" t="str">
        <f>L3557*(1-K3557)</f>
      </c>
    </row>
    <row r="3558">
      <c r="A3558" t="s">
        <v>167</v>
      </c>
      <c r="B3558" t="s">
        <v>262</v>
      </c>
      <c r="C3558" s="35" t="s">
        <v>264</v>
      </c>
      <c r="D3558" t="s">
        <v>502</v>
      </c>
      <c r="E3558" t="s">
        <v>520</v>
      </c>
      <c r="F3558" s="188" t="n">
        <v>2035</v>
      </c>
      <c r="G3558" s="189" t="n">
        <v>66</v>
      </c>
      <c r="H3558" s="190" t="n">
        <v>26875.7230051136</v>
      </c>
      <c r="I3558" s="191" t="n">
        <v>2713466.58286906</v>
      </c>
      <c r="J3558" s="192" t="str">
        <f>IF(I3558&gt;0,H3558/I3558,0)</f>
      </c>
      <c r="K3558" s="193" t="str">
        <f>1-EXP(-J3558)</f>
      </c>
      <c r="L3558" s="194" t="str">
        <f>IF(G3558=30,1,M3557)</f>
      </c>
      <c r="M3558" s="195" t="str">
        <f>L3558*(1-K3558)</f>
      </c>
    </row>
    <row r="3559">
      <c r="A3559" t="s">
        <v>167</v>
      </c>
      <c r="B3559" t="s">
        <v>262</v>
      </c>
      <c r="C3559" s="35" t="s">
        <v>264</v>
      </c>
      <c r="D3559" t="s">
        <v>502</v>
      </c>
      <c r="E3559" t="s">
        <v>520</v>
      </c>
      <c r="F3559" s="188" t="n">
        <v>2035</v>
      </c>
      <c r="G3559" s="189" t="n">
        <v>67</v>
      </c>
      <c r="H3559" s="190" t="n">
        <v>28096.0231229124</v>
      </c>
      <c r="I3559" s="191" t="n">
        <v>2585010.53433927</v>
      </c>
      <c r="J3559" s="192" t="str">
        <f>IF(I3559&gt;0,H3559/I3559,0)</f>
      </c>
      <c r="K3559" s="193" t="str">
        <f>1-EXP(-J3559)</f>
      </c>
      <c r="L3559" s="194" t="str">
        <f>IF(G3559=30,1,M3558)</f>
      </c>
      <c r="M3559" s="195" t="str">
        <f>L3559*(1-K3559)</f>
      </c>
    </row>
    <row r="3560">
      <c r="A3560" t="s">
        <v>167</v>
      </c>
      <c r="B3560" t="s">
        <v>262</v>
      </c>
      <c r="C3560" s="35" t="s">
        <v>264</v>
      </c>
      <c r="D3560" t="s">
        <v>502</v>
      </c>
      <c r="E3560" t="s">
        <v>520</v>
      </c>
      <c r="F3560" s="188" t="n">
        <v>2035</v>
      </c>
      <c r="G3560" s="189" t="n">
        <v>68</v>
      </c>
      <c r="H3560" s="190" t="n">
        <v>29012.7684512434</v>
      </c>
      <c r="I3560" s="191" t="n">
        <v>2428809.65265867</v>
      </c>
      <c r="J3560" s="192" t="str">
        <f>IF(I3560&gt;0,H3560/I3560,0)</f>
      </c>
      <c r="K3560" s="193" t="str">
        <f>1-EXP(-J3560)</f>
      </c>
      <c r="L3560" s="194" t="str">
        <f>IF(G3560=30,1,M3559)</f>
      </c>
      <c r="M3560" s="195" t="str">
        <f>L3560*(1-K3560)</f>
      </c>
    </row>
    <row r="3561">
      <c r="A3561" t="s">
        <v>167</v>
      </c>
      <c r="B3561" t="s">
        <v>262</v>
      </c>
      <c r="C3561" s="35" t="s">
        <v>264</v>
      </c>
      <c r="D3561" t="s">
        <v>502</v>
      </c>
      <c r="E3561" t="s">
        <v>520</v>
      </c>
      <c r="F3561" s="188" t="n">
        <v>2035</v>
      </c>
      <c r="G3561" s="189" t="n">
        <v>69</v>
      </c>
      <c r="H3561" s="190" t="n">
        <v>30258.8909911759</v>
      </c>
      <c r="I3561" s="191" t="n">
        <v>2304859.92872437</v>
      </c>
      <c r="J3561" s="192" t="str">
        <f>IF(I3561&gt;0,H3561/I3561,0)</f>
      </c>
      <c r="K3561" s="193" t="str">
        <f>1-EXP(-J3561)</f>
      </c>
      <c r="L3561" s="194" t="str">
        <f>IF(G3561=30,1,M3560)</f>
      </c>
      <c r="M3561" s="195" t="str">
        <f>L3561*(1-K3561)</f>
      </c>
    </row>
    <row r="3562">
      <c r="A3562" t="s">
        <v>167</v>
      </c>
      <c r="B3562" t="s">
        <v>262</v>
      </c>
      <c r="C3562" s="35" t="s">
        <v>264</v>
      </c>
      <c r="D3562" t="s">
        <v>502</v>
      </c>
      <c r="E3562" t="s">
        <v>520</v>
      </c>
      <c r="F3562" s="188" t="n">
        <v>2036</v>
      </c>
      <c r="G3562" s="189" t="n">
        <v>30</v>
      </c>
      <c r="H3562" s="190" t="n">
        <v>807.646733233718</v>
      </c>
      <c r="I3562" s="191" t="n">
        <v>4608208.71208108</v>
      </c>
      <c r="J3562" s="192" t="str">
        <f>IF(I3562&gt;0,H3562/I3562,0)</f>
      </c>
      <c r="K3562" s="193" t="str">
        <f>1-EXP(-J3562)</f>
      </c>
      <c r="L3562" s="194" t="str">
        <f>IF(G3562=30,1,M3561)</f>
      </c>
      <c r="M3562" s="195" t="str">
        <f>L3562*(1-K3562)</f>
      </c>
    </row>
    <row r="3563">
      <c r="A3563" t="s">
        <v>167</v>
      </c>
      <c r="B3563" t="s">
        <v>262</v>
      </c>
      <c r="C3563" s="35" t="s">
        <v>264</v>
      </c>
      <c r="D3563" t="s">
        <v>502</v>
      </c>
      <c r="E3563" t="s">
        <v>520</v>
      </c>
      <c r="F3563" s="188" t="n">
        <v>2036</v>
      </c>
      <c r="G3563" s="189" t="n">
        <v>31</v>
      </c>
      <c r="H3563" s="190" t="n">
        <v>997.522884445316</v>
      </c>
      <c r="I3563" s="191" t="n">
        <v>4547241.44592083</v>
      </c>
      <c r="J3563" s="192" t="str">
        <f>IF(I3563&gt;0,H3563/I3563,0)</f>
      </c>
      <c r="K3563" s="193" t="str">
        <f>1-EXP(-J3563)</f>
      </c>
      <c r="L3563" s="194" t="str">
        <f>IF(G3563=30,1,M3562)</f>
      </c>
      <c r="M3563" s="195" t="str">
        <f>L3563*(1-K3563)</f>
      </c>
    </row>
    <row r="3564">
      <c r="A3564" t="s">
        <v>167</v>
      </c>
      <c r="B3564" t="s">
        <v>262</v>
      </c>
      <c r="C3564" s="35" t="s">
        <v>264</v>
      </c>
      <c r="D3564" t="s">
        <v>502</v>
      </c>
      <c r="E3564" t="s">
        <v>520</v>
      </c>
      <c r="F3564" s="188" t="n">
        <v>2036</v>
      </c>
      <c r="G3564" s="189" t="n">
        <v>32</v>
      </c>
      <c r="H3564" s="190" t="n">
        <v>1021.37697049539</v>
      </c>
      <c r="I3564" s="191" t="n">
        <v>4418750.19718059</v>
      </c>
      <c r="J3564" s="192" t="str">
        <f>IF(I3564&gt;0,H3564/I3564,0)</f>
      </c>
      <c r="K3564" s="193" t="str">
        <f>1-EXP(-J3564)</f>
      </c>
      <c r="L3564" s="194" t="str">
        <f>IF(G3564=30,1,M3563)</f>
      </c>
      <c r="M3564" s="195" t="str">
        <f>L3564*(1-K3564)</f>
      </c>
    </row>
    <row r="3565">
      <c r="A3565" t="s">
        <v>167</v>
      </c>
      <c r="B3565" t="s">
        <v>262</v>
      </c>
      <c r="C3565" s="35" t="s">
        <v>264</v>
      </c>
      <c r="D3565" t="s">
        <v>502</v>
      </c>
      <c r="E3565" t="s">
        <v>520</v>
      </c>
      <c r="F3565" s="188" t="n">
        <v>2036</v>
      </c>
      <c r="G3565" s="189" t="n">
        <v>33</v>
      </c>
      <c r="H3565" s="190" t="n">
        <v>1066.90987509169</v>
      </c>
      <c r="I3565" s="191" t="n">
        <v>4353386.09205596</v>
      </c>
      <c r="J3565" s="192" t="str">
        <f>IF(I3565&gt;0,H3565/I3565,0)</f>
      </c>
      <c r="K3565" s="193" t="str">
        <f>1-EXP(-J3565)</f>
      </c>
      <c r="L3565" s="194" t="str">
        <f>IF(G3565=30,1,M3564)</f>
      </c>
      <c r="M3565" s="195" t="str">
        <f>L3565*(1-K3565)</f>
      </c>
    </row>
    <row r="3566">
      <c r="A3566" t="s">
        <v>167</v>
      </c>
      <c r="B3566" t="s">
        <v>262</v>
      </c>
      <c r="C3566" s="35" t="s">
        <v>264</v>
      </c>
      <c r="D3566" t="s">
        <v>502</v>
      </c>
      <c r="E3566" t="s">
        <v>520</v>
      </c>
      <c r="F3566" s="188" t="n">
        <v>2036</v>
      </c>
      <c r="G3566" s="189" t="n">
        <v>34</v>
      </c>
      <c r="H3566" s="190" t="n">
        <v>1283.16788257659</v>
      </c>
      <c r="I3566" s="191" t="n">
        <v>4331851.04750845</v>
      </c>
      <c r="J3566" s="192" t="str">
        <f>IF(I3566&gt;0,H3566/I3566,0)</f>
      </c>
      <c r="K3566" s="193" t="str">
        <f>1-EXP(-J3566)</f>
      </c>
      <c r="L3566" s="194" t="str">
        <f>IF(G3566=30,1,M3565)</f>
      </c>
      <c r="M3566" s="195" t="str">
        <f>L3566*(1-K3566)</f>
      </c>
    </row>
    <row r="3567">
      <c r="A3567" t="s">
        <v>167</v>
      </c>
      <c r="B3567" t="s">
        <v>262</v>
      </c>
      <c r="C3567" s="35" t="s">
        <v>264</v>
      </c>
      <c r="D3567" t="s">
        <v>502</v>
      </c>
      <c r="E3567" t="s">
        <v>520</v>
      </c>
      <c r="F3567" s="188" t="n">
        <v>2036</v>
      </c>
      <c r="G3567" s="189" t="n">
        <v>35</v>
      </c>
      <c r="H3567" s="190" t="n">
        <v>1712.8968736061</v>
      </c>
      <c r="I3567" s="191" t="n">
        <v>4311564.92249986</v>
      </c>
      <c r="J3567" s="192" t="str">
        <f>IF(I3567&gt;0,H3567/I3567,0)</f>
      </c>
      <c r="K3567" s="193" t="str">
        <f>1-EXP(-J3567)</f>
      </c>
      <c r="L3567" s="194" t="str">
        <f>IF(G3567=30,1,M3566)</f>
      </c>
      <c r="M3567" s="195" t="str">
        <f>L3567*(1-K3567)</f>
      </c>
    </row>
    <row r="3568">
      <c r="A3568" t="s">
        <v>167</v>
      </c>
      <c r="B3568" t="s">
        <v>262</v>
      </c>
      <c r="C3568" s="35" t="s">
        <v>264</v>
      </c>
      <c r="D3568" t="s">
        <v>502</v>
      </c>
      <c r="E3568" t="s">
        <v>520</v>
      </c>
      <c r="F3568" s="188" t="n">
        <v>2036</v>
      </c>
      <c r="G3568" s="189" t="n">
        <v>36</v>
      </c>
      <c r="H3568" s="190" t="n">
        <v>1903.78182722769</v>
      </c>
      <c r="I3568" s="191" t="n">
        <v>4290509.98409558</v>
      </c>
      <c r="J3568" s="192" t="str">
        <f>IF(I3568&gt;0,H3568/I3568,0)</f>
      </c>
      <c r="K3568" s="193" t="str">
        <f>1-EXP(-J3568)</f>
      </c>
      <c r="L3568" s="194" t="str">
        <f>IF(G3568=30,1,M3567)</f>
      </c>
      <c r="M3568" s="195" t="str">
        <f>L3568*(1-K3568)</f>
      </c>
    </row>
    <row r="3569">
      <c r="A3569" t="s">
        <v>167</v>
      </c>
      <c r="B3569" t="s">
        <v>262</v>
      </c>
      <c r="C3569" s="35" t="s">
        <v>264</v>
      </c>
      <c r="D3569" t="s">
        <v>502</v>
      </c>
      <c r="E3569" t="s">
        <v>520</v>
      </c>
      <c r="F3569" s="188" t="n">
        <v>2036</v>
      </c>
      <c r="G3569" s="189" t="n">
        <v>37</v>
      </c>
      <c r="H3569" s="190" t="n">
        <v>2056.04709879822</v>
      </c>
      <c r="I3569" s="191" t="n">
        <v>4309187.00464495</v>
      </c>
      <c r="J3569" s="192" t="str">
        <f>IF(I3569&gt;0,H3569/I3569,0)</f>
      </c>
      <c r="K3569" s="193" t="str">
        <f>1-EXP(-J3569)</f>
      </c>
      <c r="L3569" s="194" t="str">
        <f>IF(G3569=30,1,M3568)</f>
      </c>
      <c r="M3569" s="195" t="str">
        <f>L3569*(1-K3569)</f>
      </c>
    </row>
    <row r="3570">
      <c r="A3570" t="s">
        <v>167</v>
      </c>
      <c r="B3570" t="s">
        <v>262</v>
      </c>
      <c r="C3570" s="35" t="s">
        <v>264</v>
      </c>
      <c r="D3570" t="s">
        <v>502</v>
      </c>
      <c r="E3570" t="s">
        <v>520</v>
      </c>
      <c r="F3570" s="188" t="n">
        <v>2036</v>
      </c>
      <c r="G3570" s="189" t="n">
        <v>38</v>
      </c>
      <c r="H3570" s="190" t="n">
        <v>2246.56937240274</v>
      </c>
      <c r="I3570" s="191" t="n">
        <v>4366642.80671011</v>
      </c>
      <c r="J3570" s="192" t="str">
        <f>IF(I3570&gt;0,H3570/I3570,0)</f>
      </c>
      <c r="K3570" s="193" t="str">
        <f>1-EXP(-J3570)</f>
      </c>
      <c r="L3570" s="194" t="str">
        <f>IF(G3570=30,1,M3569)</f>
      </c>
      <c r="M3570" s="195" t="str">
        <f>L3570*(1-K3570)</f>
      </c>
    </row>
    <row r="3571">
      <c r="A3571" t="s">
        <v>167</v>
      </c>
      <c r="B3571" t="s">
        <v>262</v>
      </c>
      <c r="C3571" s="35" t="s">
        <v>264</v>
      </c>
      <c r="D3571" t="s">
        <v>502</v>
      </c>
      <c r="E3571" t="s">
        <v>520</v>
      </c>
      <c r="F3571" s="188" t="n">
        <v>2036</v>
      </c>
      <c r="G3571" s="189" t="n">
        <v>39</v>
      </c>
      <c r="H3571" s="190" t="n">
        <v>2713.49933911295</v>
      </c>
      <c r="I3571" s="191" t="n">
        <v>4502178.68862127</v>
      </c>
      <c r="J3571" s="192" t="str">
        <f>IF(I3571&gt;0,H3571/I3571,0)</f>
      </c>
      <c r="K3571" s="193" t="str">
        <f>1-EXP(-J3571)</f>
      </c>
      <c r="L3571" s="194" t="str">
        <f>IF(G3571=30,1,M3570)</f>
      </c>
      <c r="M3571" s="195" t="str">
        <f>L3571*(1-K3571)</f>
      </c>
    </row>
    <row r="3572">
      <c r="A3572" t="s">
        <v>167</v>
      </c>
      <c r="B3572" t="s">
        <v>262</v>
      </c>
      <c r="C3572" s="35" t="s">
        <v>264</v>
      </c>
      <c r="D3572" t="s">
        <v>502</v>
      </c>
      <c r="E3572" t="s">
        <v>520</v>
      </c>
      <c r="F3572" s="188" t="n">
        <v>2036</v>
      </c>
      <c r="G3572" s="189" t="n">
        <v>40</v>
      </c>
      <c r="H3572" s="190" t="n">
        <v>3597.82351218041</v>
      </c>
      <c r="I3572" s="191" t="n">
        <v>4456728.45292446</v>
      </c>
      <c r="J3572" s="192" t="str">
        <f>IF(I3572&gt;0,H3572/I3572,0)</f>
      </c>
      <c r="K3572" s="193" t="str">
        <f>1-EXP(-J3572)</f>
      </c>
      <c r="L3572" s="194" t="str">
        <f>IF(G3572=30,1,M3571)</f>
      </c>
      <c r="M3572" s="195" t="str">
        <f>L3572*(1-K3572)</f>
      </c>
    </row>
    <row r="3573">
      <c r="A3573" t="s">
        <v>167</v>
      </c>
      <c r="B3573" t="s">
        <v>262</v>
      </c>
      <c r="C3573" s="35" t="s">
        <v>264</v>
      </c>
      <c r="D3573" t="s">
        <v>502</v>
      </c>
      <c r="E3573" t="s">
        <v>520</v>
      </c>
      <c r="F3573" s="188" t="n">
        <v>2036</v>
      </c>
      <c r="G3573" s="189" t="n">
        <v>41</v>
      </c>
      <c r="H3573" s="190" t="n">
        <v>3815.08615633657</v>
      </c>
      <c r="I3573" s="191" t="n">
        <v>4380314.76551439</v>
      </c>
      <c r="J3573" s="192" t="str">
        <f>IF(I3573&gt;0,H3573/I3573,0)</f>
      </c>
      <c r="K3573" s="193" t="str">
        <f>1-EXP(-J3573)</f>
      </c>
      <c r="L3573" s="194" t="str">
        <f>IF(G3573=30,1,M3572)</f>
      </c>
      <c r="M3573" s="195" t="str">
        <f>L3573*(1-K3573)</f>
      </c>
    </row>
    <row r="3574">
      <c r="A3574" t="s">
        <v>167</v>
      </c>
      <c r="B3574" t="s">
        <v>262</v>
      </c>
      <c r="C3574" s="35" t="s">
        <v>264</v>
      </c>
      <c r="D3574" t="s">
        <v>502</v>
      </c>
      <c r="E3574" t="s">
        <v>520</v>
      </c>
      <c r="F3574" s="188" t="n">
        <v>2036</v>
      </c>
      <c r="G3574" s="189" t="n">
        <v>42</v>
      </c>
      <c r="H3574" s="190" t="n">
        <v>4078.96963300585</v>
      </c>
      <c r="I3574" s="191" t="n">
        <v>4319936.11878978</v>
      </c>
      <c r="J3574" s="192" t="str">
        <f>IF(I3574&gt;0,H3574/I3574,0)</f>
      </c>
      <c r="K3574" s="193" t="str">
        <f>1-EXP(-J3574)</f>
      </c>
      <c r="L3574" s="194" t="str">
        <f>IF(G3574=30,1,M3573)</f>
      </c>
      <c r="M3574" s="195" t="str">
        <f>L3574*(1-K3574)</f>
      </c>
    </row>
    <row r="3575">
      <c r="A3575" t="s">
        <v>167</v>
      </c>
      <c r="B3575" t="s">
        <v>262</v>
      </c>
      <c r="C3575" s="35" t="s">
        <v>264</v>
      </c>
      <c r="D3575" t="s">
        <v>502</v>
      </c>
      <c r="E3575" t="s">
        <v>520</v>
      </c>
      <c r="F3575" s="188" t="n">
        <v>2036</v>
      </c>
      <c r="G3575" s="189" t="n">
        <v>43</v>
      </c>
      <c r="H3575" s="190" t="n">
        <v>4376.23409855568</v>
      </c>
      <c r="I3575" s="191" t="n">
        <v>4262778.90556306</v>
      </c>
      <c r="J3575" s="192" t="str">
        <f>IF(I3575&gt;0,H3575/I3575,0)</f>
      </c>
      <c r="K3575" s="193" t="str">
        <f>1-EXP(-J3575)</f>
      </c>
      <c r="L3575" s="194" t="str">
        <f>IF(G3575=30,1,M3574)</f>
      </c>
      <c r="M3575" s="195" t="str">
        <f>L3575*(1-K3575)</f>
      </c>
    </row>
    <row r="3576">
      <c r="A3576" t="s">
        <v>167</v>
      </c>
      <c r="B3576" t="s">
        <v>262</v>
      </c>
      <c r="C3576" s="35" t="s">
        <v>264</v>
      </c>
      <c r="D3576" t="s">
        <v>502</v>
      </c>
      <c r="E3576" t="s">
        <v>520</v>
      </c>
      <c r="F3576" s="188" t="n">
        <v>2036</v>
      </c>
      <c r="G3576" s="189" t="n">
        <v>44</v>
      </c>
      <c r="H3576" s="190" t="n">
        <v>4803.04393629006</v>
      </c>
      <c r="I3576" s="191" t="n">
        <v>4295345.18897495</v>
      </c>
      <c r="J3576" s="192" t="str">
        <f>IF(I3576&gt;0,H3576/I3576,0)</f>
      </c>
      <c r="K3576" s="193" t="str">
        <f>1-EXP(-J3576)</f>
      </c>
      <c r="L3576" s="194" t="str">
        <f>IF(G3576=30,1,M3575)</f>
      </c>
      <c r="M3576" s="195" t="str">
        <f>L3576*(1-K3576)</f>
      </c>
    </row>
    <row r="3577">
      <c r="A3577" t="s">
        <v>167</v>
      </c>
      <c r="B3577" t="s">
        <v>262</v>
      </c>
      <c r="C3577" s="35" t="s">
        <v>264</v>
      </c>
      <c r="D3577" t="s">
        <v>502</v>
      </c>
      <c r="E3577" t="s">
        <v>520</v>
      </c>
      <c r="F3577" s="188" t="n">
        <v>2036</v>
      </c>
      <c r="G3577" s="189" t="n">
        <v>45</v>
      </c>
      <c r="H3577" s="190" t="n">
        <v>6202.01090300001</v>
      </c>
      <c r="I3577" s="191" t="n">
        <v>4307844.58984882</v>
      </c>
      <c r="J3577" s="192" t="str">
        <f>IF(I3577&gt;0,H3577/I3577,0)</f>
      </c>
      <c r="K3577" s="193" t="str">
        <f>1-EXP(-J3577)</f>
      </c>
      <c r="L3577" s="194" t="str">
        <f>IF(G3577=30,1,M3576)</f>
      </c>
      <c r="M3577" s="195" t="str">
        <f>L3577*(1-K3577)</f>
      </c>
    </row>
    <row r="3578">
      <c r="A3578" t="s">
        <v>167</v>
      </c>
      <c r="B3578" t="s">
        <v>262</v>
      </c>
      <c r="C3578" s="35" t="s">
        <v>264</v>
      </c>
      <c r="D3578" t="s">
        <v>502</v>
      </c>
      <c r="E3578" t="s">
        <v>520</v>
      </c>
      <c r="F3578" s="188" t="n">
        <v>2036</v>
      </c>
      <c r="G3578" s="189" t="n">
        <v>46</v>
      </c>
      <c r="H3578" s="190" t="n">
        <v>9244.13112837574</v>
      </c>
      <c r="I3578" s="191" t="n">
        <v>6338358.68709289</v>
      </c>
      <c r="J3578" s="192" t="str">
        <f>IF(I3578&gt;0,H3578/I3578,0)</f>
      </c>
      <c r="K3578" s="193" t="str">
        <f>1-EXP(-J3578)</f>
      </c>
      <c r="L3578" s="194" t="str">
        <f>IF(G3578=30,1,M3577)</f>
      </c>
      <c r="M3578" s="195" t="str">
        <f>L3578*(1-K3578)</f>
      </c>
    </row>
    <row r="3579">
      <c r="A3579" t="s">
        <v>167</v>
      </c>
      <c r="B3579" t="s">
        <v>262</v>
      </c>
      <c r="C3579" s="35" t="s">
        <v>264</v>
      </c>
      <c r="D3579" t="s">
        <v>502</v>
      </c>
      <c r="E3579" t="s">
        <v>520</v>
      </c>
      <c r="F3579" s="188" t="n">
        <v>2036</v>
      </c>
      <c r="G3579" s="189" t="n">
        <v>47</v>
      </c>
      <c r="H3579" s="190" t="n">
        <v>7331.94362479412</v>
      </c>
      <c r="I3579" s="191" t="n">
        <v>4253667.88501296</v>
      </c>
      <c r="J3579" s="192" t="str">
        <f>IF(I3579&gt;0,H3579/I3579,0)</f>
      </c>
      <c r="K3579" s="193" t="str">
        <f>1-EXP(-J3579)</f>
      </c>
      <c r="L3579" s="194" t="str">
        <f>IF(G3579=30,1,M3578)</f>
      </c>
      <c r="M3579" s="195" t="str">
        <f>L3579*(1-K3579)</f>
      </c>
    </row>
    <row r="3580">
      <c r="A3580" t="s">
        <v>167</v>
      </c>
      <c r="B3580" t="s">
        <v>262</v>
      </c>
      <c r="C3580" s="35" t="s">
        <v>264</v>
      </c>
      <c r="D3580" t="s">
        <v>502</v>
      </c>
      <c r="E3580" t="s">
        <v>520</v>
      </c>
      <c r="F3580" s="188" t="n">
        <v>2036</v>
      </c>
      <c r="G3580" s="189" t="n">
        <v>48</v>
      </c>
      <c r="H3580" s="190" t="n">
        <v>7993.8696927224</v>
      </c>
      <c r="I3580" s="191" t="n">
        <v>4229911.22633782</v>
      </c>
      <c r="J3580" s="192" t="str">
        <f>IF(I3580&gt;0,H3580/I3580,0)</f>
      </c>
      <c r="K3580" s="193" t="str">
        <f>1-EXP(-J3580)</f>
      </c>
      <c r="L3580" s="194" t="str">
        <f>IF(G3580=30,1,M3579)</f>
      </c>
      <c r="M3580" s="195" t="str">
        <f>L3580*(1-K3580)</f>
      </c>
    </row>
    <row r="3581">
      <c r="A3581" t="s">
        <v>167</v>
      </c>
      <c r="B3581" t="s">
        <v>262</v>
      </c>
      <c r="C3581" s="35" t="s">
        <v>264</v>
      </c>
      <c r="D3581" t="s">
        <v>502</v>
      </c>
      <c r="E3581" t="s">
        <v>520</v>
      </c>
      <c r="F3581" s="188" t="n">
        <v>2036</v>
      </c>
      <c r="G3581" s="189" t="n">
        <v>49</v>
      </c>
      <c r="H3581" s="190" t="n">
        <v>8481.43839312625</v>
      </c>
      <c r="I3581" s="191" t="n">
        <v>4092373.35568082</v>
      </c>
      <c r="J3581" s="192" t="str">
        <f>IF(I3581&gt;0,H3581/I3581,0)</f>
      </c>
      <c r="K3581" s="193" t="str">
        <f>1-EXP(-J3581)</f>
      </c>
      <c r="L3581" s="194" t="str">
        <f>IF(G3581=30,1,M3580)</f>
      </c>
      <c r="M3581" s="195" t="str">
        <f>L3581*(1-K3581)</f>
      </c>
    </row>
    <row r="3582">
      <c r="A3582" t="s">
        <v>167</v>
      </c>
      <c r="B3582" t="s">
        <v>262</v>
      </c>
      <c r="C3582" s="35" t="s">
        <v>264</v>
      </c>
      <c r="D3582" t="s">
        <v>502</v>
      </c>
      <c r="E3582" t="s">
        <v>520</v>
      </c>
      <c r="F3582" s="188" t="n">
        <v>2036</v>
      </c>
      <c r="G3582" s="189" t="n">
        <v>50</v>
      </c>
      <c r="H3582" s="190" t="n">
        <v>9698.67420474594</v>
      </c>
      <c r="I3582" s="191" t="n">
        <v>4049773.13476035</v>
      </c>
      <c r="J3582" s="192" t="str">
        <f>IF(I3582&gt;0,H3582/I3582,0)</f>
      </c>
      <c r="K3582" s="193" t="str">
        <f>1-EXP(-J3582)</f>
      </c>
      <c r="L3582" s="194" t="str">
        <f>IF(G3582=30,1,M3581)</f>
      </c>
      <c r="M3582" s="195" t="str">
        <f>L3582*(1-K3582)</f>
      </c>
    </row>
    <row r="3583">
      <c r="A3583" t="s">
        <v>167</v>
      </c>
      <c r="B3583" t="s">
        <v>262</v>
      </c>
      <c r="C3583" s="35" t="s">
        <v>264</v>
      </c>
      <c r="D3583" t="s">
        <v>502</v>
      </c>
      <c r="E3583" t="s">
        <v>520</v>
      </c>
      <c r="F3583" s="188" t="n">
        <v>2036</v>
      </c>
      <c r="G3583" s="189" t="n">
        <v>51</v>
      </c>
      <c r="H3583" s="190" t="n">
        <v>10740.7999834662</v>
      </c>
      <c r="I3583" s="191" t="n">
        <v>4096651.95410896</v>
      </c>
      <c r="J3583" s="192" t="str">
        <f>IF(I3583&gt;0,H3583/I3583,0)</f>
      </c>
      <c r="K3583" s="193" t="str">
        <f>1-EXP(-J3583)</f>
      </c>
      <c r="L3583" s="194" t="str">
        <f>IF(G3583=30,1,M3582)</f>
      </c>
      <c r="M3583" s="195" t="str">
        <f>L3583*(1-K3583)</f>
      </c>
    </row>
    <row r="3584">
      <c r="A3584" t="s">
        <v>167</v>
      </c>
      <c r="B3584" t="s">
        <v>262</v>
      </c>
      <c r="C3584" s="35" t="s">
        <v>264</v>
      </c>
      <c r="D3584" t="s">
        <v>502</v>
      </c>
      <c r="E3584" t="s">
        <v>520</v>
      </c>
      <c r="F3584" s="188" t="n">
        <v>2036</v>
      </c>
      <c r="G3584" s="189" t="n">
        <v>52</v>
      </c>
      <c r="H3584" s="190" t="n">
        <v>11943.3848615728</v>
      </c>
      <c r="I3584" s="191" t="n">
        <v>4167297.01890174</v>
      </c>
      <c r="J3584" s="192" t="str">
        <f>IF(I3584&gt;0,H3584/I3584,0)</f>
      </c>
      <c r="K3584" s="193" t="str">
        <f>1-EXP(-J3584)</f>
      </c>
      <c r="L3584" s="194" t="str">
        <f>IF(G3584=30,1,M3583)</f>
      </c>
      <c r="M3584" s="195" t="str">
        <f>L3584*(1-K3584)</f>
      </c>
    </row>
    <row r="3585">
      <c r="A3585" t="s">
        <v>167</v>
      </c>
      <c r="B3585" t="s">
        <v>262</v>
      </c>
      <c r="C3585" s="35" t="s">
        <v>264</v>
      </c>
      <c r="D3585" t="s">
        <v>502</v>
      </c>
      <c r="E3585" t="s">
        <v>520</v>
      </c>
      <c r="F3585" s="188" t="n">
        <v>2036</v>
      </c>
      <c r="G3585" s="189" t="n">
        <v>53</v>
      </c>
      <c r="H3585" s="190" t="n">
        <v>12931.0403835314</v>
      </c>
      <c r="I3585" s="191" t="n">
        <v>4131140.31982384</v>
      </c>
      <c r="J3585" s="192" t="str">
        <f>IF(I3585&gt;0,H3585/I3585,0)</f>
      </c>
      <c r="K3585" s="193" t="str">
        <f>1-EXP(-J3585)</f>
      </c>
      <c r="L3585" s="194" t="str">
        <f>IF(G3585=30,1,M3584)</f>
      </c>
      <c r="M3585" s="195" t="str">
        <f>L3585*(1-K3585)</f>
      </c>
    </row>
    <row r="3586">
      <c r="A3586" t="s">
        <v>167</v>
      </c>
      <c r="B3586" t="s">
        <v>262</v>
      </c>
      <c r="C3586" s="35" t="s">
        <v>264</v>
      </c>
      <c r="D3586" t="s">
        <v>502</v>
      </c>
      <c r="E3586" t="s">
        <v>520</v>
      </c>
      <c r="F3586" s="188" t="n">
        <v>2036</v>
      </c>
      <c r="G3586" s="189" t="n">
        <v>54</v>
      </c>
      <c r="H3586" s="190" t="n">
        <v>13630.9724047494</v>
      </c>
      <c r="I3586" s="191" t="n">
        <v>3985659.53442537</v>
      </c>
      <c r="J3586" s="192" t="str">
        <f>IF(I3586&gt;0,H3586/I3586,0)</f>
      </c>
      <c r="K3586" s="193" t="str">
        <f>1-EXP(-J3586)</f>
      </c>
      <c r="L3586" s="194" t="str">
        <f>IF(G3586=30,1,M3585)</f>
      </c>
      <c r="M3586" s="195" t="str">
        <f>L3586*(1-K3586)</f>
      </c>
    </row>
    <row r="3587">
      <c r="A3587" t="s">
        <v>167</v>
      </c>
      <c r="B3587" t="s">
        <v>262</v>
      </c>
      <c r="C3587" s="35" t="s">
        <v>264</v>
      </c>
      <c r="D3587" t="s">
        <v>502</v>
      </c>
      <c r="E3587" t="s">
        <v>520</v>
      </c>
      <c r="F3587" s="188" t="n">
        <v>2036</v>
      </c>
      <c r="G3587" s="189" t="n">
        <v>55</v>
      </c>
      <c r="H3587" s="190" t="n">
        <v>14542.0143308701</v>
      </c>
      <c r="I3587" s="191" t="n">
        <v>3899872.12816019</v>
      </c>
      <c r="J3587" s="192" t="str">
        <f>IF(I3587&gt;0,H3587/I3587,0)</f>
      </c>
      <c r="K3587" s="193" t="str">
        <f>1-EXP(-J3587)</f>
      </c>
      <c r="L3587" s="194" t="str">
        <f>IF(G3587=30,1,M3586)</f>
      </c>
      <c r="M3587" s="195" t="str">
        <f>L3587*(1-K3587)</f>
      </c>
    </row>
    <row r="3588">
      <c r="A3588" t="s">
        <v>167</v>
      </c>
      <c r="B3588" t="s">
        <v>262</v>
      </c>
      <c r="C3588" s="35" t="s">
        <v>264</v>
      </c>
      <c r="D3588" t="s">
        <v>502</v>
      </c>
      <c r="E3588" t="s">
        <v>520</v>
      </c>
      <c r="F3588" s="188" t="n">
        <v>2036</v>
      </c>
      <c r="G3588" s="189" t="n">
        <v>56</v>
      </c>
      <c r="H3588" s="190" t="n">
        <v>15558.0690852434</v>
      </c>
      <c r="I3588" s="191" t="n">
        <v>3828222.25262592</v>
      </c>
      <c r="J3588" s="192" t="str">
        <f>IF(I3588&gt;0,H3588/I3588,0)</f>
      </c>
      <c r="K3588" s="193" t="str">
        <f>1-EXP(-J3588)</f>
      </c>
      <c r="L3588" s="194" t="str">
        <f>IF(G3588=30,1,M3587)</f>
      </c>
      <c r="M3588" s="195" t="str">
        <f>L3588*(1-K3588)</f>
      </c>
    </row>
    <row r="3589">
      <c r="A3589" t="s">
        <v>167</v>
      </c>
      <c r="B3589" t="s">
        <v>262</v>
      </c>
      <c r="C3589" s="35" t="s">
        <v>264</v>
      </c>
      <c r="D3589" t="s">
        <v>502</v>
      </c>
      <c r="E3589" t="s">
        <v>520</v>
      </c>
      <c r="F3589" s="188" t="n">
        <v>2036</v>
      </c>
      <c r="G3589" s="189" t="n">
        <v>57</v>
      </c>
      <c r="H3589" s="190" t="n">
        <v>16649.9439097543</v>
      </c>
      <c r="I3589" s="191" t="n">
        <v>3750814.93038037</v>
      </c>
      <c r="J3589" s="192" t="str">
        <f>IF(I3589&gt;0,H3589/I3589,0)</f>
      </c>
      <c r="K3589" s="193" t="str">
        <f>1-EXP(-J3589)</f>
      </c>
      <c r="L3589" s="194" t="str">
        <f>IF(G3589=30,1,M3588)</f>
      </c>
      <c r="M3589" s="195" t="str">
        <f>L3589*(1-K3589)</f>
      </c>
    </row>
    <row r="3590">
      <c r="A3590" t="s">
        <v>167</v>
      </c>
      <c r="B3590" t="s">
        <v>262</v>
      </c>
      <c r="C3590" s="35" t="s">
        <v>264</v>
      </c>
      <c r="D3590" t="s">
        <v>502</v>
      </c>
      <c r="E3590" t="s">
        <v>520</v>
      </c>
      <c r="F3590" s="188" t="n">
        <v>2036</v>
      </c>
      <c r="G3590" s="189" t="n">
        <v>58</v>
      </c>
      <c r="H3590" s="190" t="n">
        <v>17733.4588035812</v>
      </c>
      <c r="I3590" s="191" t="n">
        <v>3654120.96995782</v>
      </c>
      <c r="J3590" s="192" t="str">
        <f>IF(I3590&gt;0,H3590/I3590,0)</f>
      </c>
      <c r="K3590" s="193" t="str">
        <f>1-EXP(-J3590)</f>
      </c>
      <c r="L3590" s="194" t="str">
        <f>IF(G3590=30,1,M3589)</f>
      </c>
      <c r="M3590" s="195" t="str">
        <f>L3590*(1-K3590)</f>
      </c>
    </row>
    <row r="3591">
      <c r="A3591" t="s">
        <v>167</v>
      </c>
      <c r="B3591" t="s">
        <v>262</v>
      </c>
      <c r="C3591" s="35" t="s">
        <v>264</v>
      </c>
      <c r="D3591" t="s">
        <v>502</v>
      </c>
      <c r="E3591" t="s">
        <v>520</v>
      </c>
      <c r="F3591" s="188" t="n">
        <v>2036</v>
      </c>
      <c r="G3591" s="189" t="n">
        <v>59</v>
      </c>
      <c r="H3591" s="190" t="n">
        <v>18993.2944218708</v>
      </c>
      <c r="I3591" s="191" t="n">
        <v>3572506.17515433</v>
      </c>
      <c r="J3591" s="192" t="str">
        <f>IF(I3591&gt;0,H3591/I3591,0)</f>
      </c>
      <c r="K3591" s="193" t="str">
        <f>1-EXP(-J3591)</f>
      </c>
      <c r="L3591" s="194" t="str">
        <f>IF(G3591=30,1,M3590)</f>
      </c>
      <c r="M3591" s="195" t="str">
        <f>L3591*(1-K3591)</f>
      </c>
    </row>
    <row r="3592">
      <c r="A3592" t="s">
        <v>167</v>
      </c>
      <c r="B3592" t="s">
        <v>262</v>
      </c>
      <c r="C3592" s="35" t="s">
        <v>264</v>
      </c>
      <c r="D3592" t="s">
        <v>502</v>
      </c>
      <c r="E3592" t="s">
        <v>520</v>
      </c>
      <c r="F3592" s="188" t="n">
        <v>2036</v>
      </c>
      <c r="G3592" s="189" t="n">
        <v>60</v>
      </c>
      <c r="H3592" s="190" t="n">
        <v>20345.9212792409</v>
      </c>
      <c r="I3592" s="191" t="n">
        <v>3478978.45051689</v>
      </c>
      <c r="J3592" s="192" t="str">
        <f>IF(I3592&gt;0,H3592/I3592,0)</f>
      </c>
      <c r="K3592" s="193" t="str">
        <f>1-EXP(-J3592)</f>
      </c>
      <c r="L3592" s="194" t="str">
        <f>IF(G3592=30,1,M3591)</f>
      </c>
      <c r="M3592" s="195" t="str">
        <f>L3592*(1-K3592)</f>
      </c>
    </row>
    <row r="3593">
      <c r="A3593" t="s">
        <v>167</v>
      </c>
      <c r="B3593" t="s">
        <v>262</v>
      </c>
      <c r="C3593" s="35" t="s">
        <v>264</v>
      </c>
      <c r="D3593" t="s">
        <v>502</v>
      </c>
      <c r="E3593" t="s">
        <v>520</v>
      </c>
      <c r="F3593" s="188" t="n">
        <v>2036</v>
      </c>
      <c r="G3593" s="189" t="n">
        <v>61</v>
      </c>
      <c r="H3593" s="190" t="n">
        <v>21716.3419535199</v>
      </c>
      <c r="I3593" s="191" t="n">
        <v>3383382.64155123</v>
      </c>
      <c r="J3593" s="192" t="str">
        <f>IF(I3593&gt;0,H3593/I3593,0)</f>
      </c>
      <c r="K3593" s="193" t="str">
        <f>1-EXP(-J3593)</f>
      </c>
      <c r="L3593" s="194" t="str">
        <f>IF(G3593=30,1,M3592)</f>
      </c>
      <c r="M3593" s="195" t="str">
        <f>L3593*(1-K3593)</f>
      </c>
    </row>
    <row r="3594">
      <c r="A3594" t="s">
        <v>167</v>
      </c>
      <c r="B3594" t="s">
        <v>262</v>
      </c>
      <c r="C3594" s="35" t="s">
        <v>264</v>
      </c>
      <c r="D3594" t="s">
        <v>502</v>
      </c>
      <c r="E3594" t="s">
        <v>520</v>
      </c>
      <c r="F3594" s="188" t="n">
        <v>2036</v>
      </c>
      <c r="G3594" s="189" t="n">
        <v>62</v>
      </c>
      <c r="H3594" s="190" t="n">
        <v>22930.015744515</v>
      </c>
      <c r="I3594" s="191" t="n">
        <v>3261695.30730656</v>
      </c>
      <c r="J3594" s="192" t="str">
        <f>IF(I3594&gt;0,H3594/I3594,0)</f>
      </c>
      <c r="K3594" s="193" t="str">
        <f>1-EXP(-J3594)</f>
      </c>
      <c r="L3594" s="194" t="str">
        <f>IF(G3594=30,1,M3593)</f>
      </c>
      <c r="M3594" s="195" t="str">
        <f>L3594*(1-K3594)</f>
      </c>
    </row>
    <row r="3595">
      <c r="A3595" t="s">
        <v>167</v>
      </c>
      <c r="B3595" t="s">
        <v>262</v>
      </c>
      <c r="C3595" s="35" t="s">
        <v>264</v>
      </c>
      <c r="D3595" t="s">
        <v>502</v>
      </c>
      <c r="E3595" t="s">
        <v>520</v>
      </c>
      <c r="F3595" s="188" t="n">
        <v>2036</v>
      </c>
      <c r="G3595" s="189" t="n">
        <v>63</v>
      </c>
      <c r="H3595" s="190" t="n">
        <v>24601.7810203301</v>
      </c>
      <c r="I3595" s="191" t="n">
        <v>3194205.27444556</v>
      </c>
      <c r="J3595" s="192" t="str">
        <f>IF(I3595&gt;0,H3595/I3595,0)</f>
      </c>
      <c r="K3595" s="193" t="str">
        <f>1-EXP(-J3595)</f>
      </c>
      <c r="L3595" s="194" t="str">
        <f>IF(G3595=30,1,M3594)</f>
      </c>
      <c r="M3595" s="195" t="str">
        <f>L3595*(1-K3595)</f>
      </c>
    </row>
    <row r="3596">
      <c r="A3596" t="s">
        <v>167</v>
      </c>
      <c r="B3596" t="s">
        <v>262</v>
      </c>
      <c r="C3596" s="35" t="s">
        <v>264</v>
      </c>
      <c r="D3596" t="s">
        <v>502</v>
      </c>
      <c r="E3596" t="s">
        <v>520</v>
      </c>
      <c r="F3596" s="188" t="n">
        <v>2036</v>
      </c>
      <c r="G3596" s="189" t="n">
        <v>64</v>
      </c>
      <c r="H3596" s="190" t="n">
        <v>25155.1994132796</v>
      </c>
      <c r="I3596" s="191" t="n">
        <v>2976664.19089826</v>
      </c>
      <c r="J3596" s="192" t="str">
        <f>IF(I3596&gt;0,H3596/I3596,0)</f>
      </c>
      <c r="K3596" s="193" t="str">
        <f>1-EXP(-J3596)</f>
      </c>
      <c r="L3596" s="194" t="str">
        <f>IF(G3596=30,1,M3595)</f>
      </c>
      <c r="M3596" s="195" t="str">
        <f>L3596*(1-K3596)</f>
      </c>
    </row>
    <row r="3597">
      <c r="A3597" t="s">
        <v>167</v>
      </c>
      <c r="B3597" t="s">
        <v>262</v>
      </c>
      <c r="C3597" s="35" t="s">
        <v>264</v>
      </c>
      <c r="D3597" t="s">
        <v>502</v>
      </c>
      <c r="E3597" t="s">
        <v>520</v>
      </c>
      <c r="F3597" s="188" t="n">
        <v>2036</v>
      </c>
      <c r="G3597" s="189" t="n">
        <v>65</v>
      </c>
      <c r="H3597" s="190" t="n">
        <v>25605.4133423787</v>
      </c>
      <c r="I3597" s="191" t="n">
        <v>2869322.08988438</v>
      </c>
      <c r="J3597" s="192" t="str">
        <f>IF(I3597&gt;0,H3597/I3597,0)</f>
      </c>
      <c r="K3597" s="193" t="str">
        <f>1-EXP(-J3597)</f>
      </c>
      <c r="L3597" s="194" t="str">
        <f>IF(G3597=30,1,M3596)</f>
      </c>
      <c r="M3597" s="195" t="str">
        <f>L3597*(1-K3597)</f>
      </c>
    </row>
    <row r="3598">
      <c r="A3598" t="s">
        <v>167</v>
      </c>
      <c r="B3598" t="s">
        <v>262</v>
      </c>
      <c r="C3598" s="35" t="s">
        <v>264</v>
      </c>
      <c r="D3598" t="s">
        <v>502</v>
      </c>
      <c r="E3598" t="s">
        <v>520</v>
      </c>
      <c r="F3598" s="188" t="n">
        <v>2036</v>
      </c>
      <c r="G3598" s="189" t="n">
        <v>66</v>
      </c>
      <c r="H3598" s="190" t="n">
        <v>27057.3162446224</v>
      </c>
      <c r="I3598" s="191" t="n">
        <v>2765369.58627571</v>
      </c>
      <c r="J3598" s="192" t="str">
        <f>IF(I3598&gt;0,H3598/I3598,0)</f>
      </c>
      <c r="K3598" s="193" t="str">
        <f>1-EXP(-J3598)</f>
      </c>
      <c r="L3598" s="194" t="str">
        <f>IF(G3598=30,1,M3597)</f>
      </c>
      <c r="M3598" s="195" t="str">
        <f>L3598*(1-K3598)</f>
      </c>
    </row>
    <row r="3599">
      <c r="A3599" t="s">
        <v>167</v>
      </c>
      <c r="B3599" t="s">
        <v>262</v>
      </c>
      <c r="C3599" s="35" t="s">
        <v>264</v>
      </c>
      <c r="D3599" t="s">
        <v>502</v>
      </c>
      <c r="E3599" t="s">
        <v>520</v>
      </c>
      <c r="F3599" s="188" t="n">
        <v>2036</v>
      </c>
      <c r="G3599" s="189" t="n">
        <v>67</v>
      </c>
      <c r="H3599" s="190" t="n">
        <v>28474.8400477578</v>
      </c>
      <c r="I3599" s="191" t="n">
        <v>2651969.4776426</v>
      </c>
      <c r="J3599" s="192" t="str">
        <f>IF(I3599&gt;0,H3599/I3599,0)</f>
      </c>
      <c r="K3599" s="193" t="str">
        <f>1-EXP(-J3599)</f>
      </c>
      <c r="L3599" s="194" t="str">
        <f>IF(G3599=30,1,M3598)</f>
      </c>
      <c r="M3599" s="195" t="str">
        <f>L3599*(1-K3599)</f>
      </c>
    </row>
    <row r="3600">
      <c r="A3600" t="s">
        <v>167</v>
      </c>
      <c r="B3600" t="s">
        <v>262</v>
      </c>
      <c r="C3600" s="35" t="s">
        <v>264</v>
      </c>
      <c r="D3600" t="s">
        <v>502</v>
      </c>
      <c r="E3600" t="s">
        <v>520</v>
      </c>
      <c r="F3600" s="188" t="n">
        <v>2036</v>
      </c>
      <c r="G3600" s="189" t="n">
        <v>68</v>
      </c>
      <c r="H3600" s="190" t="n">
        <v>29723.1925735834</v>
      </c>
      <c r="I3600" s="191" t="n">
        <v>2520774.64647174</v>
      </c>
      <c r="J3600" s="192" t="str">
        <f>IF(I3600&gt;0,H3600/I3600,0)</f>
      </c>
      <c r="K3600" s="193" t="str">
        <f>1-EXP(-J3600)</f>
      </c>
      <c r="L3600" s="194" t="str">
        <f>IF(G3600=30,1,M3599)</f>
      </c>
      <c r="M3600" s="195" t="str">
        <f>L3600*(1-K3600)</f>
      </c>
    </row>
    <row r="3601">
      <c r="A3601" t="s">
        <v>167</v>
      </c>
      <c r="B3601" t="s">
        <v>262</v>
      </c>
      <c r="C3601" s="35" t="s">
        <v>264</v>
      </c>
      <c r="D3601" t="s">
        <v>502</v>
      </c>
      <c r="E3601" t="s">
        <v>520</v>
      </c>
      <c r="F3601" s="188" t="n">
        <v>2036</v>
      </c>
      <c r="G3601" s="189" t="n">
        <v>69</v>
      </c>
      <c r="H3601" s="190" t="n">
        <v>30643.7312082811</v>
      </c>
      <c r="I3601" s="191" t="n">
        <v>2362531.59891045</v>
      </c>
      <c r="J3601" s="192" t="str">
        <f>IF(I3601&gt;0,H3601/I3601,0)</f>
      </c>
      <c r="K3601" s="193" t="str">
        <f>1-EXP(-J3601)</f>
      </c>
      <c r="L3601" s="194" t="str">
        <f>IF(G3601=30,1,M3600)</f>
      </c>
      <c r="M3601" s="195" t="str">
        <f>L3601*(1-K3601)</f>
      </c>
    </row>
    <row r="3602">
      <c r="A3602" t="s">
        <v>167</v>
      </c>
      <c r="B3602" t="s">
        <v>262</v>
      </c>
      <c r="C3602" s="35" t="s">
        <v>264</v>
      </c>
      <c r="D3602" t="s">
        <v>502</v>
      </c>
      <c r="E3602" t="s">
        <v>520</v>
      </c>
      <c r="F3602" s="188" t="n">
        <v>2037</v>
      </c>
      <c r="G3602" s="189" t="n">
        <v>30</v>
      </c>
      <c r="H3602" s="190" t="n">
        <v>825.177906819993</v>
      </c>
      <c r="I3602" s="191" t="n">
        <v>4685572.79067041</v>
      </c>
      <c r="J3602" s="192" t="str">
        <f>IF(I3602&gt;0,H3602/I3602,0)</f>
      </c>
      <c r="K3602" s="193" t="str">
        <f>1-EXP(-J3602)</f>
      </c>
      <c r="L3602" s="194" t="str">
        <f>IF(G3602=30,1,M3601)</f>
      </c>
      <c r="M3602" s="195" t="str">
        <f>L3602*(1-K3602)</f>
      </c>
    </row>
    <row r="3603">
      <c r="A3603" t="s">
        <v>167</v>
      </c>
      <c r="B3603" t="s">
        <v>262</v>
      </c>
      <c r="C3603" s="35" t="s">
        <v>264</v>
      </c>
      <c r="D3603" t="s">
        <v>502</v>
      </c>
      <c r="E3603" t="s">
        <v>520</v>
      </c>
      <c r="F3603" s="188" t="n">
        <v>2037</v>
      </c>
      <c r="G3603" s="189" t="n">
        <v>31</v>
      </c>
      <c r="H3603" s="190" t="n">
        <v>1014.47816822761</v>
      </c>
      <c r="I3603" s="191" t="n">
        <v>4602529.56684909</v>
      </c>
      <c r="J3603" s="192" t="str">
        <f>IF(I3603&gt;0,H3603/I3603,0)</f>
      </c>
      <c r="K3603" s="193" t="str">
        <f>1-EXP(-J3603)</f>
      </c>
      <c r="L3603" s="194" t="str">
        <f>IF(G3603=30,1,M3602)</f>
      </c>
      <c r="M3603" s="195" t="str">
        <f>L3603*(1-K3603)</f>
      </c>
    </row>
    <row r="3604">
      <c r="A3604" t="s">
        <v>167</v>
      </c>
      <c r="B3604" t="s">
        <v>262</v>
      </c>
      <c r="C3604" s="35" t="s">
        <v>264</v>
      </c>
      <c r="D3604" t="s">
        <v>502</v>
      </c>
      <c r="E3604" t="s">
        <v>520</v>
      </c>
      <c r="F3604" s="188" t="n">
        <v>2037</v>
      </c>
      <c r="G3604" s="189" t="n">
        <v>32</v>
      </c>
      <c r="H3604" s="190" t="n">
        <v>1054.13039110293</v>
      </c>
      <c r="I3604" s="191" t="n">
        <v>4541726.38624392</v>
      </c>
      <c r="J3604" s="192" t="str">
        <f>IF(I3604&gt;0,H3604/I3604,0)</f>
      </c>
      <c r="K3604" s="193" t="str">
        <f>1-EXP(-J3604)</f>
      </c>
      <c r="L3604" s="194" t="str">
        <f>IF(G3604=30,1,M3603)</f>
      </c>
      <c r="M3604" s="195" t="str">
        <f>L3604*(1-K3604)</f>
      </c>
    </row>
    <row r="3605">
      <c r="A3605" t="s">
        <v>167</v>
      </c>
      <c r="B3605" t="s">
        <v>262</v>
      </c>
      <c r="C3605" s="35" t="s">
        <v>264</v>
      </c>
      <c r="D3605" t="s">
        <v>502</v>
      </c>
      <c r="E3605" t="s">
        <v>520</v>
      </c>
      <c r="F3605" s="188" t="n">
        <v>2037</v>
      </c>
      <c r="G3605" s="189" t="n">
        <v>33</v>
      </c>
      <c r="H3605" s="190" t="n">
        <v>1085.73195177549</v>
      </c>
      <c r="I3605" s="191" t="n">
        <v>4413164.57472718</v>
      </c>
      <c r="J3605" s="192" t="str">
        <f>IF(I3605&gt;0,H3605/I3605,0)</f>
      </c>
      <c r="K3605" s="193" t="str">
        <f>1-EXP(-J3605)</f>
      </c>
      <c r="L3605" s="194" t="str">
        <f>IF(G3605=30,1,M3604)</f>
      </c>
      <c r="M3605" s="195" t="str">
        <f>L3605*(1-K3605)</f>
      </c>
    </row>
    <row r="3606">
      <c r="A3606" t="s">
        <v>167</v>
      </c>
      <c r="B3606" t="s">
        <v>262</v>
      </c>
      <c r="C3606" s="35" t="s">
        <v>264</v>
      </c>
      <c r="D3606" t="s">
        <v>502</v>
      </c>
      <c r="E3606" t="s">
        <v>520</v>
      </c>
      <c r="F3606" s="188" t="n">
        <v>2037</v>
      </c>
      <c r="G3606" s="189" t="n">
        <v>34</v>
      </c>
      <c r="H3606" s="190" t="n">
        <v>1140.95377506723</v>
      </c>
      <c r="I3606" s="191" t="n">
        <v>4347619.47083909</v>
      </c>
      <c r="J3606" s="192" t="str">
        <f>IF(I3606&gt;0,H3606/I3606,0)</f>
      </c>
      <c r="K3606" s="193" t="str">
        <f>1-EXP(-J3606)</f>
      </c>
      <c r="L3606" s="194" t="str">
        <f>IF(G3606=30,1,M3605)</f>
      </c>
      <c r="M3606" s="195" t="str">
        <f>L3606*(1-K3606)</f>
      </c>
    </row>
    <row r="3607">
      <c r="A3607" t="s">
        <v>167</v>
      </c>
      <c r="B3607" t="s">
        <v>262</v>
      </c>
      <c r="C3607" s="35" t="s">
        <v>264</v>
      </c>
      <c r="D3607" t="s">
        <v>502</v>
      </c>
      <c r="E3607" t="s">
        <v>520</v>
      </c>
      <c r="F3607" s="188" t="n">
        <v>2037</v>
      </c>
      <c r="G3607" s="189" t="n">
        <v>35</v>
      </c>
      <c r="H3607" s="190" t="n">
        <v>1716.98594632742</v>
      </c>
      <c r="I3607" s="191" t="n">
        <v>4325630.6178796</v>
      </c>
      <c r="J3607" s="192" t="str">
        <f>IF(I3607&gt;0,H3607/I3607,0)</f>
      </c>
      <c r="K3607" s="193" t="str">
        <f>1-EXP(-J3607)</f>
      </c>
      <c r="L3607" s="194" t="str">
        <f>IF(G3607=30,1,M3606)</f>
      </c>
      <c r="M3607" s="195" t="str">
        <f>L3607*(1-K3607)</f>
      </c>
    </row>
    <row r="3608">
      <c r="A3608" t="s">
        <v>167</v>
      </c>
      <c r="B3608" t="s">
        <v>262</v>
      </c>
      <c r="C3608" s="35" t="s">
        <v>264</v>
      </c>
      <c r="D3608" t="s">
        <v>502</v>
      </c>
      <c r="E3608" t="s">
        <v>520</v>
      </c>
      <c r="F3608" s="188" t="n">
        <v>2037</v>
      </c>
      <c r="G3608" s="189" t="n">
        <v>36</v>
      </c>
      <c r="H3608" s="190" t="n">
        <v>1907.20756722826</v>
      </c>
      <c r="I3608" s="191" t="n">
        <v>4304614.75934588</v>
      </c>
      <c r="J3608" s="192" t="str">
        <f>IF(I3608&gt;0,H3608/I3608,0)</f>
      </c>
      <c r="K3608" s="193" t="str">
        <f>1-EXP(-J3608)</f>
      </c>
      <c r="L3608" s="194" t="str">
        <f>IF(G3608=30,1,M3607)</f>
      </c>
      <c r="M3608" s="195" t="str">
        <f>L3608*(1-K3608)</f>
      </c>
    </row>
    <row r="3609">
      <c r="A3609" t="s">
        <v>167</v>
      </c>
      <c r="B3609" t="s">
        <v>262</v>
      </c>
      <c r="C3609" s="35" t="s">
        <v>264</v>
      </c>
      <c r="D3609" t="s">
        <v>502</v>
      </c>
      <c r="E3609" t="s">
        <v>520</v>
      </c>
      <c r="F3609" s="188" t="n">
        <v>2037</v>
      </c>
      <c r="G3609" s="189" t="n">
        <v>37</v>
      </c>
      <c r="H3609" s="190" t="n">
        <v>2040.71840092694</v>
      </c>
      <c r="I3609" s="191" t="n">
        <v>4283498.13159679</v>
      </c>
      <c r="J3609" s="192" t="str">
        <f>IF(I3609&gt;0,H3609/I3609,0)</f>
      </c>
      <c r="K3609" s="193" t="str">
        <f>1-EXP(-J3609)</f>
      </c>
      <c r="L3609" s="194" t="str">
        <f>IF(G3609=30,1,M3608)</f>
      </c>
      <c r="M3609" s="195" t="str">
        <f>L3609*(1-K3609)</f>
      </c>
    </row>
    <row r="3610">
      <c r="A3610" t="s">
        <v>167</v>
      </c>
      <c r="B3610" t="s">
        <v>262</v>
      </c>
      <c r="C3610" s="35" t="s">
        <v>264</v>
      </c>
      <c r="D3610" t="s">
        <v>502</v>
      </c>
      <c r="E3610" t="s">
        <v>520</v>
      </c>
      <c r="F3610" s="188" t="n">
        <v>2037</v>
      </c>
      <c r="G3610" s="189" t="n">
        <v>38</v>
      </c>
      <c r="H3610" s="190" t="n">
        <v>2209.03956176044</v>
      </c>
      <c r="I3610" s="191" t="n">
        <v>4301651.08989315</v>
      </c>
      <c r="J3610" s="192" t="str">
        <f>IF(I3610&gt;0,H3610/I3610,0)</f>
      </c>
      <c r="K3610" s="193" t="str">
        <f>1-EXP(-J3610)</f>
      </c>
      <c r="L3610" s="194" t="str">
        <f>IF(G3610=30,1,M3609)</f>
      </c>
      <c r="M3610" s="195" t="str">
        <f>L3610*(1-K3610)</f>
      </c>
    </row>
    <row r="3611">
      <c r="A3611" t="s">
        <v>167</v>
      </c>
      <c r="B3611" t="s">
        <v>262</v>
      </c>
      <c r="C3611" s="35" t="s">
        <v>264</v>
      </c>
      <c r="D3611" t="s">
        <v>502</v>
      </c>
      <c r="E3611" t="s">
        <v>520</v>
      </c>
      <c r="F3611" s="188" t="n">
        <v>2037</v>
      </c>
      <c r="G3611" s="189" t="n">
        <v>39</v>
      </c>
      <c r="H3611" s="190" t="n">
        <v>2418.28233015494</v>
      </c>
      <c r="I3611" s="191" t="n">
        <v>4358445.85481586</v>
      </c>
      <c r="J3611" s="192" t="str">
        <f>IF(I3611&gt;0,H3611/I3611,0)</f>
      </c>
      <c r="K3611" s="193" t="str">
        <f>1-EXP(-J3611)</f>
      </c>
      <c r="L3611" s="194" t="str">
        <f>IF(G3611=30,1,M3610)</f>
      </c>
      <c r="M3611" s="195" t="str">
        <f>L3611*(1-K3611)</f>
      </c>
    </row>
    <row r="3612">
      <c r="A3612" t="s">
        <v>167</v>
      </c>
      <c r="B3612" t="s">
        <v>262</v>
      </c>
      <c r="C3612" s="35" t="s">
        <v>264</v>
      </c>
      <c r="D3612" t="s">
        <v>502</v>
      </c>
      <c r="E3612" t="s">
        <v>520</v>
      </c>
      <c r="F3612" s="188" t="n">
        <v>2037</v>
      </c>
      <c r="G3612" s="189" t="n">
        <v>40</v>
      </c>
      <c r="H3612" s="190" t="n">
        <v>3619.49366218662</v>
      </c>
      <c r="I3612" s="191" t="n">
        <v>4492843.97057472</v>
      </c>
      <c r="J3612" s="192" t="str">
        <f>IF(I3612&gt;0,H3612/I3612,0)</f>
      </c>
      <c r="K3612" s="193" t="str">
        <f>1-EXP(-J3612)</f>
      </c>
      <c r="L3612" s="194" t="str">
        <f>IF(G3612=30,1,M3611)</f>
      </c>
      <c r="M3612" s="195" t="str">
        <f>L3612*(1-K3612)</f>
      </c>
    </row>
    <row r="3613">
      <c r="A3613" t="s">
        <v>167</v>
      </c>
      <c r="B3613" t="s">
        <v>262</v>
      </c>
      <c r="C3613" s="35" t="s">
        <v>264</v>
      </c>
      <c r="D3613" t="s">
        <v>502</v>
      </c>
      <c r="E3613" t="s">
        <v>520</v>
      </c>
      <c r="F3613" s="188" t="n">
        <v>2037</v>
      </c>
      <c r="G3613" s="189" t="n">
        <v>41</v>
      </c>
      <c r="H3613" s="190" t="n">
        <v>3861.44639279717</v>
      </c>
      <c r="I3613" s="191" t="n">
        <v>4445979.06651908</v>
      </c>
      <c r="J3613" s="192" t="str">
        <f>IF(I3613&gt;0,H3613/I3613,0)</f>
      </c>
      <c r="K3613" s="193" t="str">
        <f>1-EXP(-J3613)</f>
      </c>
      <c r="L3613" s="194" t="str">
        <f>IF(G3613=30,1,M3612)</f>
      </c>
      <c r="M3613" s="195" t="str">
        <f>L3613*(1-K3613)</f>
      </c>
    </row>
    <row r="3614">
      <c r="A3614" t="s">
        <v>167</v>
      </c>
      <c r="B3614" t="s">
        <v>262</v>
      </c>
      <c r="C3614" s="35" t="s">
        <v>264</v>
      </c>
      <c r="D3614" t="s">
        <v>502</v>
      </c>
      <c r="E3614" t="s">
        <v>520</v>
      </c>
      <c r="F3614" s="188" t="n">
        <v>2037</v>
      </c>
      <c r="G3614" s="189" t="n">
        <v>42</v>
      </c>
      <c r="H3614" s="190" t="n">
        <v>4113.23111063684</v>
      </c>
      <c r="I3614" s="191" t="n">
        <v>4369713.7267053</v>
      </c>
      <c r="J3614" s="192" t="str">
        <f>IF(I3614&gt;0,H3614/I3614,0)</f>
      </c>
      <c r="K3614" s="193" t="str">
        <f>1-EXP(-J3614)</f>
      </c>
      <c r="L3614" s="194" t="str">
        <f>IF(G3614=30,1,M3613)</f>
      </c>
      <c r="M3614" s="195" t="str">
        <f>L3614*(1-K3614)</f>
      </c>
    </row>
    <row r="3615">
      <c r="A3615" t="s">
        <v>167</v>
      </c>
      <c r="B3615" t="s">
        <v>262</v>
      </c>
      <c r="C3615" s="35" t="s">
        <v>264</v>
      </c>
      <c r="D3615" t="s">
        <v>502</v>
      </c>
      <c r="E3615" t="s">
        <v>520</v>
      </c>
      <c r="F3615" s="188" t="n">
        <v>2037</v>
      </c>
      <c r="G3615" s="189" t="n">
        <v>43</v>
      </c>
      <c r="H3615" s="190" t="n">
        <v>4408.25265717955</v>
      </c>
      <c r="I3615" s="191" t="n">
        <v>4308624.86861408</v>
      </c>
      <c r="J3615" s="192" t="str">
        <f>IF(I3615&gt;0,H3615/I3615,0)</f>
      </c>
      <c r="K3615" s="193" t="str">
        <f>1-EXP(-J3615)</f>
      </c>
      <c r="L3615" s="194" t="str">
        <f>IF(G3615=30,1,M3614)</f>
      </c>
      <c r="M3615" s="195" t="str">
        <f>L3615*(1-K3615)</f>
      </c>
    </row>
    <row r="3616">
      <c r="A3616" t="s">
        <v>167</v>
      </c>
      <c r="B3616" t="s">
        <v>262</v>
      </c>
      <c r="C3616" s="35" t="s">
        <v>264</v>
      </c>
      <c r="D3616" t="s">
        <v>502</v>
      </c>
      <c r="E3616" t="s">
        <v>520</v>
      </c>
      <c r="F3616" s="188" t="n">
        <v>2037</v>
      </c>
      <c r="G3616" s="189" t="n">
        <v>44</v>
      </c>
      <c r="H3616" s="190" t="n">
        <v>4740.05286826537</v>
      </c>
      <c r="I3616" s="191" t="n">
        <v>4250670.06545094</v>
      </c>
      <c r="J3616" s="192" t="str">
        <f>IF(I3616&gt;0,H3616/I3616,0)</f>
      </c>
      <c r="K3616" s="193" t="str">
        <f>1-EXP(-J3616)</f>
      </c>
      <c r="L3616" s="194" t="str">
        <f>IF(G3616=30,1,M3615)</f>
      </c>
      <c r="M3616" s="195" t="str">
        <f>L3616*(1-K3616)</f>
      </c>
    </row>
    <row r="3617">
      <c r="A3617" t="s">
        <v>167</v>
      </c>
      <c r="B3617" t="s">
        <v>262</v>
      </c>
      <c r="C3617" s="35" t="s">
        <v>264</v>
      </c>
      <c r="D3617" t="s">
        <v>502</v>
      </c>
      <c r="E3617" t="s">
        <v>520</v>
      </c>
      <c r="F3617" s="188" t="n">
        <v>2037</v>
      </c>
      <c r="G3617" s="189" t="n">
        <v>45</v>
      </c>
      <c r="H3617" s="190" t="n">
        <v>6136.61809449389</v>
      </c>
      <c r="I3617" s="191" t="n">
        <v>4282081.54215204</v>
      </c>
      <c r="J3617" s="192" t="str">
        <f>IF(I3617&gt;0,H3617/I3617,0)</f>
      </c>
      <c r="K3617" s="193" t="str">
        <f>1-EXP(-J3617)</f>
      </c>
      <c r="L3617" s="194" t="str">
        <f>IF(G3617=30,1,M3616)</f>
      </c>
      <c r="M3617" s="195" t="str">
        <f>L3617*(1-K3617)</f>
      </c>
    </row>
    <row r="3618">
      <c r="A3618" t="s">
        <v>167</v>
      </c>
      <c r="B3618" t="s">
        <v>262</v>
      </c>
      <c r="C3618" s="35" t="s">
        <v>264</v>
      </c>
      <c r="D3618" t="s">
        <v>502</v>
      </c>
      <c r="E3618" t="s">
        <v>520</v>
      </c>
      <c r="F3618" s="188" t="n">
        <v>2037</v>
      </c>
      <c r="G3618" s="189" t="n">
        <v>46</v>
      </c>
      <c r="H3618" s="190" t="n">
        <v>6718.68706825305</v>
      </c>
      <c r="I3618" s="191" t="n">
        <v>4292343.51801835</v>
      </c>
      <c r="J3618" s="192" t="str">
        <f>IF(I3618&gt;0,H3618/I3618,0)</f>
      </c>
      <c r="K3618" s="193" t="str">
        <f>1-EXP(-J3618)</f>
      </c>
      <c r="L3618" s="194" t="str">
        <f>IF(G3618=30,1,M3617)</f>
      </c>
      <c r="M3618" s="195" t="str">
        <f>L3618*(1-K3618)</f>
      </c>
    </row>
    <row r="3619">
      <c r="A3619" t="s">
        <v>167</v>
      </c>
      <c r="B3619" t="s">
        <v>262</v>
      </c>
      <c r="C3619" s="35" t="s">
        <v>264</v>
      </c>
      <c r="D3619" t="s">
        <v>502</v>
      </c>
      <c r="E3619" t="s">
        <v>520</v>
      </c>
      <c r="F3619" s="188" t="n">
        <v>2037</v>
      </c>
      <c r="G3619" s="189" t="n">
        <v>47</v>
      </c>
      <c r="H3619" s="190" t="n">
        <v>10004.9512284366</v>
      </c>
      <c r="I3619" s="191" t="n">
        <v>6316142.9661515</v>
      </c>
      <c r="J3619" s="192" t="str">
        <f>IF(I3619&gt;0,H3619/I3619,0)</f>
      </c>
      <c r="K3619" s="193" t="str">
        <f>1-EXP(-J3619)</f>
      </c>
      <c r="L3619" s="194" t="str">
        <f>IF(G3619=30,1,M3618)</f>
      </c>
      <c r="M3619" s="195" t="str">
        <f>L3619*(1-K3619)</f>
      </c>
    </row>
    <row r="3620">
      <c r="A3620" t="s">
        <v>167</v>
      </c>
      <c r="B3620" t="s">
        <v>262</v>
      </c>
      <c r="C3620" s="35" t="s">
        <v>264</v>
      </c>
      <c r="D3620" t="s">
        <v>502</v>
      </c>
      <c r="E3620" t="s">
        <v>520</v>
      </c>
      <c r="F3620" s="188" t="n">
        <v>2037</v>
      </c>
      <c r="G3620" s="189" t="n">
        <v>48</v>
      </c>
      <c r="H3620" s="190" t="n">
        <v>7964.75139750129</v>
      </c>
      <c r="I3620" s="191" t="n">
        <v>4236454.13363636</v>
      </c>
      <c r="J3620" s="192" t="str">
        <f>IF(I3620&gt;0,H3620/I3620,0)</f>
      </c>
      <c r="K3620" s="193" t="str">
        <f>1-EXP(-J3620)</f>
      </c>
      <c r="L3620" s="194" t="str">
        <f>IF(G3620=30,1,M3619)</f>
      </c>
      <c r="M3620" s="195" t="str">
        <f>L3620*(1-K3620)</f>
      </c>
    </row>
    <row r="3621">
      <c r="A3621" t="s">
        <v>167</v>
      </c>
      <c r="B3621" t="s">
        <v>262</v>
      </c>
      <c r="C3621" s="35" t="s">
        <v>264</v>
      </c>
      <c r="D3621" t="s">
        <v>502</v>
      </c>
      <c r="E3621" t="s">
        <v>520</v>
      </c>
      <c r="F3621" s="188" t="n">
        <v>2037</v>
      </c>
      <c r="G3621" s="189" t="n">
        <v>49</v>
      </c>
      <c r="H3621" s="190" t="n">
        <v>8679.74914307522</v>
      </c>
      <c r="I3621" s="191" t="n">
        <v>4211161.43283637</v>
      </c>
      <c r="J3621" s="192" t="str">
        <f>IF(I3621&gt;0,H3621/I3621,0)</f>
      </c>
      <c r="K3621" s="193" t="str">
        <f>1-EXP(-J3621)</f>
      </c>
      <c r="L3621" s="194" t="str">
        <f>IF(G3621=30,1,M3620)</f>
      </c>
      <c r="M3621" s="195" t="str">
        <f>L3621*(1-K3621)</f>
      </c>
    </row>
    <row r="3622">
      <c r="A3622" t="s">
        <v>167</v>
      </c>
      <c r="B3622" t="s">
        <v>262</v>
      </c>
      <c r="C3622" s="35" t="s">
        <v>264</v>
      </c>
      <c r="D3622" t="s">
        <v>502</v>
      </c>
      <c r="E3622" t="s">
        <v>520</v>
      </c>
      <c r="F3622" s="188" t="n">
        <v>2037</v>
      </c>
      <c r="G3622" s="189" t="n">
        <v>50</v>
      </c>
      <c r="H3622" s="190" t="n">
        <v>9691.39090126929</v>
      </c>
      <c r="I3622" s="191" t="n">
        <v>4072496.13528025</v>
      </c>
      <c r="J3622" s="192" t="str">
        <f>IF(I3622&gt;0,H3622/I3622,0)</f>
      </c>
      <c r="K3622" s="193" t="str">
        <f>1-EXP(-J3622)</f>
      </c>
      <c r="L3622" s="194" t="str">
        <f>IF(G3622=30,1,M3621)</f>
      </c>
      <c r="M3622" s="195" t="str">
        <f>L3622*(1-K3622)</f>
      </c>
    </row>
    <row r="3623">
      <c r="A3623" t="s">
        <v>167</v>
      </c>
      <c r="B3623" t="s">
        <v>262</v>
      </c>
      <c r="C3623" s="35" t="s">
        <v>264</v>
      </c>
      <c r="D3623" t="s">
        <v>502</v>
      </c>
      <c r="E3623" t="s">
        <v>520</v>
      </c>
      <c r="F3623" s="188" t="n">
        <v>2037</v>
      </c>
      <c r="G3623" s="189" t="n">
        <v>51</v>
      </c>
      <c r="H3623" s="190" t="n">
        <v>10486.9897513776</v>
      </c>
      <c r="I3623" s="191" t="n">
        <v>4027474.52617188</v>
      </c>
      <c r="J3623" s="192" t="str">
        <f>IF(I3623&gt;0,H3623/I3623,0)</f>
      </c>
      <c r="K3623" s="193" t="str">
        <f>1-EXP(-J3623)</f>
      </c>
      <c r="L3623" s="194" t="str">
        <f>IF(G3623=30,1,M3622)</f>
      </c>
      <c r="M3623" s="195" t="str">
        <f>L3623*(1-K3623)</f>
      </c>
    </row>
    <row r="3624">
      <c r="A3624" t="s">
        <v>167</v>
      </c>
      <c r="B3624" t="s">
        <v>262</v>
      </c>
      <c r="C3624" s="35" t="s">
        <v>264</v>
      </c>
      <c r="D3624" t="s">
        <v>502</v>
      </c>
      <c r="E3624" t="s">
        <v>520</v>
      </c>
      <c r="F3624" s="188" t="n">
        <v>2037</v>
      </c>
      <c r="G3624" s="189" t="n">
        <v>52</v>
      </c>
      <c r="H3624" s="190" t="n">
        <v>11594.0453904355</v>
      </c>
      <c r="I3624" s="191" t="n">
        <v>4072741.32133128</v>
      </c>
      <c r="J3624" s="192" t="str">
        <f>IF(I3624&gt;0,H3624/I3624,0)</f>
      </c>
      <c r="K3624" s="193" t="str">
        <f>1-EXP(-J3624)</f>
      </c>
      <c r="L3624" s="194" t="str">
        <f>IF(G3624=30,1,M3623)</f>
      </c>
      <c r="M3624" s="195" t="str">
        <f>L3624*(1-K3624)</f>
      </c>
    </row>
    <row r="3625">
      <c r="A3625" t="s">
        <v>167</v>
      </c>
      <c r="B3625" t="s">
        <v>262</v>
      </c>
      <c r="C3625" s="35" t="s">
        <v>264</v>
      </c>
      <c r="D3625" t="s">
        <v>502</v>
      </c>
      <c r="E3625" t="s">
        <v>520</v>
      </c>
      <c r="F3625" s="188" t="n">
        <v>2037</v>
      </c>
      <c r="G3625" s="189" t="n">
        <v>53</v>
      </c>
      <c r="H3625" s="190" t="n">
        <v>12873.3949115598</v>
      </c>
      <c r="I3625" s="191" t="n">
        <v>4140714.47320852</v>
      </c>
      <c r="J3625" s="192" t="str">
        <f>IF(I3625&gt;0,H3625/I3625,0)</f>
      </c>
      <c r="K3625" s="193" t="str">
        <f>1-EXP(-J3625)</f>
      </c>
      <c r="L3625" s="194" t="str">
        <f>IF(G3625=30,1,M3624)</f>
      </c>
      <c r="M3625" s="195" t="str">
        <f>L3625*(1-K3625)</f>
      </c>
    </row>
    <row r="3626">
      <c r="A3626" t="s">
        <v>167</v>
      </c>
      <c r="B3626" t="s">
        <v>262</v>
      </c>
      <c r="C3626" s="35" t="s">
        <v>264</v>
      </c>
      <c r="D3626" t="s">
        <v>502</v>
      </c>
      <c r="E3626" t="s">
        <v>520</v>
      </c>
      <c r="F3626" s="188" t="n">
        <v>2037</v>
      </c>
      <c r="G3626" s="189" t="n">
        <v>54</v>
      </c>
      <c r="H3626" s="190" t="n">
        <v>13919.1281484502</v>
      </c>
      <c r="I3626" s="191" t="n">
        <v>4102364.64896939</v>
      </c>
      <c r="J3626" s="192" t="str">
        <f>IF(I3626&gt;0,H3626/I3626,0)</f>
      </c>
      <c r="K3626" s="193" t="str">
        <f>1-EXP(-J3626)</f>
      </c>
      <c r="L3626" s="194" t="str">
        <f>IF(G3626=30,1,M3625)</f>
      </c>
      <c r="M3626" s="195" t="str">
        <f>L3626*(1-K3626)</f>
      </c>
    </row>
    <row r="3627">
      <c r="A3627" t="s">
        <v>167</v>
      </c>
      <c r="B3627" t="s">
        <v>262</v>
      </c>
      <c r="C3627" s="35" t="s">
        <v>264</v>
      </c>
      <c r="D3627" t="s">
        <v>502</v>
      </c>
      <c r="E3627" t="s">
        <v>520</v>
      </c>
      <c r="F3627" s="188" t="n">
        <v>2037</v>
      </c>
      <c r="G3627" s="189" t="n">
        <v>55</v>
      </c>
      <c r="H3627" s="190" t="n">
        <v>14617.0588467293</v>
      </c>
      <c r="I3627" s="191" t="n">
        <v>3955339.20715386</v>
      </c>
      <c r="J3627" s="192" t="str">
        <f>IF(I3627&gt;0,H3627/I3627,0)</f>
      </c>
      <c r="K3627" s="193" t="str">
        <f>1-EXP(-J3627)</f>
      </c>
      <c r="L3627" s="194" t="str">
        <f>IF(G3627=30,1,M3626)</f>
      </c>
      <c r="M3627" s="195" t="str">
        <f>L3627*(1-K3627)</f>
      </c>
    </row>
    <row r="3628">
      <c r="A3628" t="s">
        <v>167</v>
      </c>
      <c r="B3628" t="s">
        <v>262</v>
      </c>
      <c r="C3628" s="35" t="s">
        <v>264</v>
      </c>
      <c r="D3628" t="s">
        <v>502</v>
      </c>
      <c r="E3628" t="s">
        <v>520</v>
      </c>
      <c r="F3628" s="188" t="n">
        <v>2037</v>
      </c>
      <c r="G3628" s="189" t="n">
        <v>56</v>
      </c>
      <c r="H3628" s="190" t="n">
        <v>15570.81256181</v>
      </c>
      <c r="I3628" s="191" t="n">
        <v>3867213.82053703</v>
      </c>
      <c r="J3628" s="192" t="str">
        <f>IF(I3628&gt;0,H3628/I3628,0)</f>
      </c>
      <c r="K3628" s="193" t="str">
        <f>1-EXP(-J3628)</f>
      </c>
      <c r="L3628" s="194" t="str">
        <f>IF(G3628=30,1,M3627)</f>
      </c>
      <c r="M3628" s="195" t="str">
        <f>L3628*(1-K3628)</f>
      </c>
    </row>
    <row r="3629">
      <c r="A3629" t="s">
        <v>167</v>
      </c>
      <c r="B3629" t="s">
        <v>262</v>
      </c>
      <c r="C3629" s="35" t="s">
        <v>264</v>
      </c>
      <c r="D3629" t="s">
        <v>502</v>
      </c>
      <c r="E3629" t="s">
        <v>520</v>
      </c>
      <c r="F3629" s="188" t="n">
        <v>2037</v>
      </c>
      <c r="G3629" s="189" t="n">
        <v>57</v>
      </c>
      <c r="H3629" s="190" t="n">
        <v>16681.1717964508</v>
      </c>
      <c r="I3629" s="191" t="n">
        <v>3793554.27049708</v>
      </c>
      <c r="J3629" s="192" t="str">
        <f>IF(I3629&gt;0,H3629/I3629,0)</f>
      </c>
      <c r="K3629" s="193" t="str">
        <f>1-EXP(-J3629)</f>
      </c>
      <c r="L3629" s="194" t="str">
        <f>IF(G3629=30,1,M3628)</f>
      </c>
      <c r="M3629" s="195" t="str">
        <f>L3629*(1-K3629)</f>
      </c>
    </row>
    <row r="3630">
      <c r="A3630" t="s">
        <v>167</v>
      </c>
      <c r="B3630" t="s">
        <v>262</v>
      </c>
      <c r="C3630" s="35" t="s">
        <v>264</v>
      </c>
      <c r="D3630" t="s">
        <v>502</v>
      </c>
      <c r="E3630" t="s">
        <v>520</v>
      </c>
      <c r="F3630" s="188" t="n">
        <v>2037</v>
      </c>
      <c r="G3630" s="189" t="n">
        <v>58</v>
      </c>
      <c r="H3630" s="190" t="n">
        <v>17851.3233511942</v>
      </c>
      <c r="I3630" s="191" t="n">
        <v>3713740.50213364</v>
      </c>
      <c r="J3630" s="192" t="str">
        <f>IF(I3630&gt;0,H3630/I3630,0)</f>
      </c>
      <c r="K3630" s="193" t="str">
        <f>1-EXP(-J3630)</f>
      </c>
      <c r="L3630" s="194" t="str">
        <f>IF(G3630=30,1,M3629)</f>
      </c>
      <c r="M3630" s="195" t="str">
        <f>L3630*(1-K3630)</f>
      </c>
    </row>
    <row r="3631">
      <c r="A3631" t="s">
        <v>167</v>
      </c>
      <c r="B3631" t="s">
        <v>262</v>
      </c>
      <c r="C3631" s="35" t="s">
        <v>264</v>
      </c>
      <c r="D3631" t="s">
        <v>502</v>
      </c>
      <c r="E3631" t="s">
        <v>520</v>
      </c>
      <c r="F3631" s="188" t="n">
        <v>2037</v>
      </c>
      <c r="G3631" s="189" t="n">
        <v>59</v>
      </c>
      <c r="H3631" s="190" t="n">
        <v>19012.0388370546</v>
      </c>
      <c r="I3631" s="191" t="n">
        <v>3614664.81834323</v>
      </c>
      <c r="J3631" s="192" t="str">
        <f>IF(I3631&gt;0,H3631/I3631,0)</f>
      </c>
      <c r="K3631" s="193" t="str">
        <f>1-EXP(-J3631)</f>
      </c>
      <c r="L3631" s="194" t="str">
        <f>IF(G3631=30,1,M3630)</f>
      </c>
      <c r="M3631" s="195" t="str">
        <f>L3631*(1-K3631)</f>
      </c>
    </row>
    <row r="3632">
      <c r="A3632" t="s">
        <v>167</v>
      </c>
      <c r="B3632" t="s">
        <v>262</v>
      </c>
      <c r="C3632" s="35" t="s">
        <v>264</v>
      </c>
      <c r="D3632" t="s">
        <v>502</v>
      </c>
      <c r="E3632" t="s">
        <v>520</v>
      </c>
      <c r="F3632" s="188" t="n">
        <v>2037</v>
      </c>
      <c r="G3632" s="189" t="n">
        <v>60</v>
      </c>
      <c r="H3632" s="190" t="n">
        <v>20413.5040815705</v>
      </c>
      <c r="I3632" s="191" t="n">
        <v>3530283.73186983</v>
      </c>
      <c r="J3632" s="192" t="str">
        <f>IF(I3632&gt;0,H3632/I3632,0)</f>
      </c>
      <c r="K3632" s="193" t="str">
        <f>1-EXP(-J3632)</f>
      </c>
      <c r="L3632" s="194" t="str">
        <f>IF(G3632=30,1,M3631)</f>
      </c>
      <c r="M3632" s="195" t="str">
        <f>L3632*(1-K3632)</f>
      </c>
    </row>
    <row r="3633">
      <c r="A3633" t="s">
        <v>167</v>
      </c>
      <c r="B3633" t="s">
        <v>262</v>
      </c>
      <c r="C3633" s="35" t="s">
        <v>264</v>
      </c>
      <c r="D3633" t="s">
        <v>502</v>
      </c>
      <c r="E3633" t="s">
        <v>520</v>
      </c>
      <c r="F3633" s="188" t="n">
        <v>2037</v>
      </c>
      <c r="G3633" s="189" t="n">
        <v>61</v>
      </c>
      <c r="H3633" s="190" t="n">
        <v>21784.2389032288</v>
      </c>
      <c r="I3633" s="191" t="n">
        <v>3433623.03101803</v>
      </c>
      <c r="J3633" s="192" t="str">
        <f>IF(I3633&gt;0,H3633/I3633,0)</f>
      </c>
      <c r="K3633" s="193" t="str">
        <f>1-EXP(-J3633)</f>
      </c>
      <c r="L3633" s="194" t="str">
        <f>IF(G3633=30,1,M3632)</f>
      </c>
      <c r="M3633" s="195" t="str">
        <f>L3633*(1-K3633)</f>
      </c>
    </row>
    <row r="3634">
      <c r="A3634" t="s">
        <v>167</v>
      </c>
      <c r="B3634" t="s">
        <v>262</v>
      </c>
      <c r="C3634" s="35" t="s">
        <v>264</v>
      </c>
      <c r="D3634" t="s">
        <v>502</v>
      </c>
      <c r="E3634" t="s">
        <v>520</v>
      </c>
      <c r="F3634" s="188" t="n">
        <v>2037</v>
      </c>
      <c r="G3634" s="189" t="n">
        <v>62</v>
      </c>
      <c r="H3634" s="190" t="n">
        <v>23182.545326969</v>
      </c>
      <c r="I3634" s="191" t="n">
        <v>3335420.57906786</v>
      </c>
      <c r="J3634" s="192" t="str">
        <f>IF(I3634&gt;0,H3634/I3634,0)</f>
      </c>
      <c r="K3634" s="193" t="str">
        <f>1-EXP(-J3634)</f>
      </c>
      <c r="L3634" s="194" t="str">
        <f>IF(G3634=30,1,M3633)</f>
      </c>
      <c r="M3634" s="195" t="str">
        <f>L3634*(1-K3634)</f>
      </c>
    </row>
    <row r="3635">
      <c r="A3635" t="s">
        <v>167</v>
      </c>
      <c r="B3635" t="s">
        <v>262</v>
      </c>
      <c r="C3635" s="35" t="s">
        <v>264</v>
      </c>
      <c r="D3635" t="s">
        <v>502</v>
      </c>
      <c r="E3635" t="s">
        <v>520</v>
      </c>
      <c r="F3635" s="188" t="n">
        <v>2037</v>
      </c>
      <c r="G3635" s="189" t="n">
        <v>63</v>
      </c>
      <c r="H3635" s="190" t="n">
        <v>24455.9239810247</v>
      </c>
      <c r="I3635" s="191" t="n">
        <v>3211068.11111074</v>
      </c>
      <c r="J3635" s="192" t="str">
        <f>IF(I3635&gt;0,H3635/I3635,0)</f>
      </c>
      <c r="K3635" s="193" t="str">
        <f>1-EXP(-J3635)</f>
      </c>
      <c r="L3635" s="194" t="str">
        <f>IF(G3635=30,1,M3634)</f>
      </c>
      <c r="M3635" s="195" t="str">
        <f>L3635*(1-K3635)</f>
      </c>
    </row>
    <row r="3636">
      <c r="A3636" t="s">
        <v>167</v>
      </c>
      <c r="B3636" t="s">
        <v>262</v>
      </c>
      <c r="C3636" s="35" t="s">
        <v>264</v>
      </c>
      <c r="D3636" t="s">
        <v>502</v>
      </c>
      <c r="E3636" t="s">
        <v>520</v>
      </c>
      <c r="F3636" s="188" t="n">
        <v>2037</v>
      </c>
      <c r="G3636" s="189" t="n">
        <v>64</v>
      </c>
      <c r="H3636" s="190" t="n">
        <v>26207.2670432332</v>
      </c>
      <c r="I3636" s="191" t="n">
        <v>3139900.78888196</v>
      </c>
      <c r="J3636" s="192" t="str">
        <f>IF(I3636&gt;0,H3636/I3636,0)</f>
      </c>
      <c r="K3636" s="193" t="str">
        <f>1-EXP(-J3636)</f>
      </c>
      <c r="L3636" s="194" t="str">
        <f>IF(G3636=30,1,M3635)</f>
      </c>
      <c r="M3636" s="195" t="str">
        <f>L3636*(1-K3636)</f>
      </c>
    </row>
    <row r="3637">
      <c r="A3637" t="s">
        <v>167</v>
      </c>
      <c r="B3637" t="s">
        <v>262</v>
      </c>
      <c r="C3637" s="35" t="s">
        <v>264</v>
      </c>
      <c r="D3637" t="s">
        <v>502</v>
      </c>
      <c r="E3637" t="s">
        <v>520</v>
      </c>
      <c r="F3637" s="188" t="n">
        <v>2037</v>
      </c>
      <c r="G3637" s="189" t="n">
        <v>65</v>
      </c>
      <c r="H3637" s="190" t="n">
        <v>25746.3933048298</v>
      </c>
      <c r="I3637" s="191" t="n">
        <v>2921149.31611928</v>
      </c>
      <c r="J3637" s="192" t="str">
        <f>IF(I3637&gt;0,H3637/I3637,0)</f>
      </c>
      <c r="K3637" s="193" t="str">
        <f>1-EXP(-J3637)</f>
      </c>
      <c r="L3637" s="194" t="str">
        <f>IF(G3637=30,1,M3636)</f>
      </c>
      <c r="M3637" s="195" t="str">
        <f>L3637*(1-K3637)</f>
      </c>
    </row>
    <row r="3638">
      <c r="A3638" t="s">
        <v>167</v>
      </c>
      <c r="B3638" t="s">
        <v>262</v>
      </c>
      <c r="C3638" s="35" t="s">
        <v>264</v>
      </c>
      <c r="D3638" t="s">
        <v>502</v>
      </c>
      <c r="E3638" t="s">
        <v>520</v>
      </c>
      <c r="F3638" s="188" t="n">
        <v>2037</v>
      </c>
      <c r="G3638" s="189" t="n">
        <v>66</v>
      </c>
      <c r="H3638" s="190" t="n">
        <v>27164.6172552286</v>
      </c>
      <c r="I3638" s="191" t="n">
        <v>2811117.70715162</v>
      </c>
      <c r="J3638" s="192" t="str">
        <f>IF(I3638&gt;0,H3638/I3638,0)</f>
      </c>
      <c r="K3638" s="193" t="str">
        <f>1-EXP(-J3638)</f>
      </c>
      <c r="L3638" s="194" t="str">
        <f>IF(G3638=30,1,M3637)</f>
      </c>
      <c r="M3638" s="195" t="str">
        <f>L3638*(1-K3638)</f>
      </c>
    </row>
    <row r="3639">
      <c r="A3639" t="s">
        <v>167</v>
      </c>
      <c r="B3639" t="s">
        <v>262</v>
      </c>
      <c r="C3639" s="35" t="s">
        <v>264</v>
      </c>
      <c r="D3639" t="s">
        <v>502</v>
      </c>
      <c r="E3639" t="s">
        <v>520</v>
      </c>
      <c r="F3639" s="188" t="n">
        <v>2037</v>
      </c>
      <c r="G3639" s="189" t="n">
        <v>67</v>
      </c>
      <c r="H3639" s="190" t="n">
        <v>28673.7747525008</v>
      </c>
      <c r="I3639" s="191" t="n">
        <v>2703462.75945293</v>
      </c>
      <c r="J3639" s="192" t="str">
        <f>IF(I3639&gt;0,H3639/I3639,0)</f>
      </c>
      <c r="K3639" s="193" t="str">
        <f>1-EXP(-J3639)</f>
      </c>
      <c r="L3639" s="194" t="str">
        <f>IF(G3639=30,1,M3638)</f>
      </c>
      <c r="M3639" s="195" t="str">
        <f>L3639*(1-K3639)</f>
      </c>
    </row>
    <row r="3640">
      <c r="A3640" t="s">
        <v>167</v>
      </c>
      <c r="B3640" t="s">
        <v>262</v>
      </c>
      <c r="C3640" s="35" t="s">
        <v>264</v>
      </c>
      <c r="D3640" t="s">
        <v>502</v>
      </c>
      <c r="E3640" t="s">
        <v>520</v>
      </c>
      <c r="F3640" s="188" t="n">
        <v>2037</v>
      </c>
      <c r="G3640" s="189" t="n">
        <v>68</v>
      </c>
      <c r="H3640" s="190" t="n">
        <v>30132.6349679115</v>
      </c>
      <c r="I3640" s="191" t="n">
        <v>2586874.66112546</v>
      </c>
      <c r="J3640" s="192" t="str">
        <f>IF(I3640&gt;0,H3640/I3640,0)</f>
      </c>
      <c r="K3640" s="193" t="str">
        <f>1-EXP(-J3640)</f>
      </c>
      <c r="L3640" s="194" t="str">
        <f>IF(G3640=30,1,M3639)</f>
      </c>
      <c r="M3640" s="195" t="str">
        <f>L3640*(1-K3640)</f>
      </c>
    </row>
    <row r="3641">
      <c r="A3641" t="s">
        <v>167</v>
      </c>
      <c r="B3641" t="s">
        <v>262</v>
      </c>
      <c r="C3641" s="35" t="s">
        <v>264</v>
      </c>
      <c r="D3641" t="s">
        <v>502</v>
      </c>
      <c r="E3641" t="s">
        <v>520</v>
      </c>
      <c r="F3641" s="188" t="n">
        <v>2037</v>
      </c>
      <c r="G3641" s="189" t="n">
        <v>69</v>
      </c>
      <c r="H3641" s="190" t="n">
        <v>31406.9940012089</v>
      </c>
      <c r="I3641" s="191" t="n">
        <v>2452895.24954596</v>
      </c>
      <c r="J3641" s="192" t="str">
        <f>IF(I3641&gt;0,H3641/I3641,0)</f>
      </c>
      <c r="K3641" s="193" t="str">
        <f>1-EXP(-J3641)</f>
      </c>
      <c r="L3641" s="194" t="str">
        <f>IF(G3641=30,1,M3640)</f>
      </c>
      <c r="M3641" s="195" t="str">
        <f>L3641*(1-K3641)</f>
      </c>
    </row>
    <row r="3642">
      <c r="A3642" t="s">
        <v>167</v>
      </c>
      <c r="B3642" t="s">
        <v>262</v>
      </c>
      <c r="C3642" s="35" t="s">
        <v>264</v>
      </c>
      <c r="D3642" t="s">
        <v>502</v>
      </c>
      <c r="E3642" t="s">
        <v>520</v>
      </c>
      <c r="F3642" s="188" t="n">
        <v>2038</v>
      </c>
      <c r="G3642" s="189" t="n">
        <v>30</v>
      </c>
      <c r="H3642" s="190" t="n">
        <v>762.497053129763</v>
      </c>
      <c r="I3642" s="191" t="n">
        <v>4653476.99276384</v>
      </c>
      <c r="J3642" s="192" t="str">
        <f>IF(I3642&gt;0,H3642/I3642,0)</f>
      </c>
      <c r="K3642" s="193" t="str">
        <f>1-EXP(-J3642)</f>
      </c>
      <c r="L3642" s="194" t="str">
        <f>IF(G3642=30,1,M3641)</f>
      </c>
      <c r="M3642" s="195" t="str">
        <f>L3642*(1-K3642)</f>
      </c>
    </row>
    <row r="3643">
      <c r="A3643" t="s">
        <v>167</v>
      </c>
      <c r="B3643" t="s">
        <v>262</v>
      </c>
      <c r="C3643" s="35" t="s">
        <v>264</v>
      </c>
      <c r="D3643" t="s">
        <v>502</v>
      </c>
      <c r="E3643" t="s">
        <v>520</v>
      </c>
      <c r="F3643" s="188" t="n">
        <v>2038</v>
      </c>
      <c r="G3643" s="189" t="n">
        <v>31</v>
      </c>
      <c r="H3643" s="190" t="n">
        <v>1035.95105343607</v>
      </c>
      <c r="I3643" s="191" t="n">
        <v>4679841.25641253</v>
      </c>
      <c r="J3643" s="192" t="str">
        <f>IF(I3643&gt;0,H3643/I3643,0)</f>
      </c>
      <c r="K3643" s="193" t="str">
        <f>1-EXP(-J3643)</f>
      </c>
      <c r="L3643" s="194" t="str">
        <f>IF(G3643=30,1,M3642)</f>
      </c>
      <c r="M3643" s="195" t="str">
        <f>L3643*(1-K3643)</f>
      </c>
    </row>
    <row r="3644">
      <c r="A3644" t="s">
        <v>167</v>
      </c>
      <c r="B3644" t="s">
        <v>262</v>
      </c>
      <c r="C3644" s="35" t="s">
        <v>264</v>
      </c>
      <c r="D3644" t="s">
        <v>502</v>
      </c>
      <c r="E3644" t="s">
        <v>520</v>
      </c>
      <c r="F3644" s="188" t="n">
        <v>2038</v>
      </c>
      <c r="G3644" s="189" t="n">
        <v>32</v>
      </c>
      <c r="H3644" s="190" t="n">
        <v>1071.28254983135</v>
      </c>
      <c r="I3644" s="191" t="n">
        <v>4596991.22017737</v>
      </c>
      <c r="J3644" s="192" t="str">
        <f>IF(I3644&gt;0,H3644/I3644,0)</f>
      </c>
      <c r="K3644" s="193" t="str">
        <f>1-EXP(-J3644)</f>
      </c>
      <c r="L3644" s="194" t="str">
        <f>IF(G3644=30,1,M3643)</f>
      </c>
      <c r="M3644" s="195" t="str">
        <f>L3644*(1-K3644)</f>
      </c>
    </row>
    <row r="3645">
      <c r="A3645" t="s">
        <v>167</v>
      </c>
      <c r="B3645" t="s">
        <v>262</v>
      </c>
      <c r="C3645" s="35" t="s">
        <v>264</v>
      </c>
      <c r="D3645" t="s">
        <v>502</v>
      </c>
      <c r="E3645" t="s">
        <v>520</v>
      </c>
      <c r="F3645" s="188" t="n">
        <v>2038</v>
      </c>
      <c r="G3645" s="189" t="n">
        <v>33</v>
      </c>
      <c r="H3645" s="190" t="n">
        <v>1119.68079736998</v>
      </c>
      <c r="I3645" s="191" t="n">
        <v>4536031.73027817</v>
      </c>
      <c r="J3645" s="192" t="str">
        <f>IF(I3645&gt;0,H3645/I3645,0)</f>
      </c>
      <c r="K3645" s="193" t="str">
        <f>1-EXP(-J3645)</f>
      </c>
      <c r="L3645" s="194" t="str">
        <f>IF(G3645=30,1,M3644)</f>
      </c>
      <c r="M3645" s="195" t="str">
        <f>L3645*(1-K3645)</f>
      </c>
    </row>
    <row r="3646">
      <c r="A3646" t="s">
        <v>167</v>
      </c>
      <c r="B3646" t="s">
        <v>262</v>
      </c>
      <c r="C3646" s="35" t="s">
        <v>264</v>
      </c>
      <c r="D3646" t="s">
        <v>502</v>
      </c>
      <c r="E3646" t="s">
        <v>520</v>
      </c>
      <c r="F3646" s="188" t="n">
        <v>2038</v>
      </c>
      <c r="G3646" s="189" t="n">
        <v>34</v>
      </c>
      <c r="H3646" s="190" t="n">
        <v>1160.12453739951</v>
      </c>
      <c r="I3646" s="191" t="n">
        <v>4407367.14966828</v>
      </c>
      <c r="J3646" s="192" t="str">
        <f>IF(I3646&gt;0,H3646/I3646,0)</f>
      </c>
      <c r="K3646" s="193" t="str">
        <f>1-EXP(-J3646)</f>
      </c>
      <c r="L3646" s="194" t="str">
        <f>IF(G3646=30,1,M3645)</f>
      </c>
      <c r="M3646" s="195" t="str">
        <f>L3646*(1-K3646)</f>
      </c>
    </row>
    <row r="3647">
      <c r="A3647" t="s">
        <v>167</v>
      </c>
      <c r="B3647" t="s">
        <v>262</v>
      </c>
      <c r="C3647" s="35" t="s">
        <v>264</v>
      </c>
      <c r="D3647" t="s">
        <v>502</v>
      </c>
      <c r="E3647" t="s">
        <v>520</v>
      </c>
      <c r="F3647" s="188" t="n">
        <v>2038</v>
      </c>
      <c r="G3647" s="189" t="n">
        <v>35</v>
      </c>
      <c r="H3647" s="190" t="n">
        <v>1533.73621895015</v>
      </c>
      <c r="I3647" s="191" t="n">
        <v>4341599.64850842</v>
      </c>
      <c r="J3647" s="192" t="str">
        <f>IF(I3647&gt;0,H3647/I3647,0)</f>
      </c>
      <c r="K3647" s="193" t="str">
        <f>1-EXP(-J3647)</f>
      </c>
      <c r="L3647" s="194" t="str">
        <f>IF(G3647=30,1,M3646)</f>
      </c>
      <c r="M3647" s="195" t="str">
        <f>L3647*(1-K3647)</f>
      </c>
    </row>
    <row r="3648">
      <c r="A3648" t="s">
        <v>167</v>
      </c>
      <c r="B3648" t="s">
        <v>262</v>
      </c>
      <c r="C3648" s="35" t="s">
        <v>264</v>
      </c>
      <c r="D3648" t="s">
        <v>502</v>
      </c>
      <c r="E3648" t="s">
        <v>520</v>
      </c>
      <c r="F3648" s="188" t="n">
        <v>2038</v>
      </c>
      <c r="G3648" s="189" t="n">
        <v>36</v>
      </c>
      <c r="H3648" s="190" t="n">
        <v>1910.57840796206</v>
      </c>
      <c r="I3648" s="191" t="n">
        <v>4318719.80858252</v>
      </c>
      <c r="J3648" s="192" t="str">
        <f>IF(I3648&gt;0,H3648/I3648,0)</f>
      </c>
      <c r="K3648" s="193" t="str">
        <f>1-EXP(-J3648)</f>
      </c>
      <c r="L3648" s="194" t="str">
        <f>IF(G3648=30,1,M3647)</f>
      </c>
      <c r="M3648" s="195" t="str">
        <f>L3648*(1-K3648)</f>
      </c>
    </row>
    <row r="3649">
      <c r="A3649" t="s">
        <v>167</v>
      </c>
      <c r="B3649" t="s">
        <v>262</v>
      </c>
      <c r="C3649" s="35" t="s">
        <v>264</v>
      </c>
      <c r="D3649" t="s">
        <v>502</v>
      </c>
      <c r="E3649" t="s">
        <v>520</v>
      </c>
      <c r="F3649" s="188" t="n">
        <v>2038</v>
      </c>
      <c r="G3649" s="189" t="n">
        <v>37</v>
      </c>
      <c r="H3649" s="190" t="n">
        <v>2043.0078525427</v>
      </c>
      <c r="I3649" s="191" t="n">
        <v>4297643.19414749</v>
      </c>
      <c r="J3649" s="192" t="str">
        <f>IF(I3649&gt;0,H3649/I3649,0)</f>
      </c>
      <c r="K3649" s="193" t="str">
        <f>1-EXP(-J3649)</f>
      </c>
      <c r="L3649" s="194" t="str">
        <f>IF(G3649=30,1,M3648)</f>
      </c>
      <c r="M3649" s="195" t="str">
        <f>L3649*(1-K3649)</f>
      </c>
    </row>
    <row r="3650">
      <c r="A3650" t="s">
        <v>167</v>
      </c>
      <c r="B3650" t="s">
        <v>262</v>
      </c>
      <c r="C3650" s="35" t="s">
        <v>264</v>
      </c>
      <c r="D3650" t="s">
        <v>502</v>
      </c>
      <c r="E3650" t="s">
        <v>520</v>
      </c>
      <c r="F3650" s="188" t="n">
        <v>2038</v>
      </c>
      <c r="G3650" s="189" t="n">
        <v>38</v>
      </c>
      <c r="H3650" s="190" t="n">
        <v>2191.24584201357</v>
      </c>
      <c r="I3650" s="191" t="n">
        <v>4276076.80514441</v>
      </c>
      <c r="J3650" s="192" t="str">
        <f>IF(I3650&gt;0,H3650/I3650,0)</f>
      </c>
      <c r="K3650" s="193" t="str">
        <f>1-EXP(-J3650)</f>
      </c>
      <c r="L3650" s="194" t="str">
        <f>IF(G3650=30,1,M3649)</f>
      </c>
      <c r="M3650" s="195" t="str">
        <f>L3650*(1-K3650)</f>
      </c>
    </row>
    <row r="3651">
      <c r="A3651" t="s">
        <v>167</v>
      </c>
      <c r="B3651" t="s">
        <v>262</v>
      </c>
      <c r="C3651" s="35" t="s">
        <v>264</v>
      </c>
      <c r="D3651" t="s">
        <v>502</v>
      </c>
      <c r="E3651" t="s">
        <v>520</v>
      </c>
      <c r="F3651" s="188" t="n">
        <v>2038</v>
      </c>
      <c r="G3651" s="189" t="n">
        <v>39</v>
      </c>
      <c r="H3651" s="190" t="n">
        <v>2376.6014039797</v>
      </c>
      <c r="I3651" s="191" t="n">
        <v>4293653.56602666</v>
      </c>
      <c r="J3651" s="192" t="str">
        <f>IF(I3651&gt;0,H3651/I3651,0)</f>
      </c>
      <c r="K3651" s="193" t="str">
        <f>1-EXP(-J3651)</f>
      </c>
      <c r="L3651" s="194" t="str">
        <f>IF(G3651=30,1,M3650)</f>
      </c>
      <c r="M3651" s="195" t="str">
        <f>L3651*(1-K3651)</f>
      </c>
    </row>
    <row r="3652">
      <c r="A3652" t="s">
        <v>167</v>
      </c>
      <c r="B3652" t="s">
        <v>262</v>
      </c>
      <c r="C3652" s="35" t="s">
        <v>264</v>
      </c>
      <c r="D3652" t="s">
        <v>502</v>
      </c>
      <c r="E3652" t="s">
        <v>520</v>
      </c>
      <c r="F3652" s="188" t="n">
        <v>2038</v>
      </c>
      <c r="G3652" s="189" t="n">
        <v>40</v>
      </c>
      <c r="H3652" s="190" t="n">
        <v>3238.57835845548</v>
      </c>
      <c r="I3652" s="191" t="n">
        <v>4349728.6573903</v>
      </c>
      <c r="J3652" s="192" t="str">
        <f>IF(I3652&gt;0,H3652/I3652,0)</f>
      </c>
      <c r="K3652" s="193" t="str">
        <f>1-EXP(-J3652)</f>
      </c>
      <c r="L3652" s="194" t="str">
        <f>IF(G3652=30,1,M3651)</f>
      </c>
      <c r="M3652" s="195" t="str">
        <f>L3652*(1-K3652)</f>
      </c>
    </row>
    <row r="3653">
      <c r="A3653" t="s">
        <v>167</v>
      </c>
      <c r="B3653" t="s">
        <v>262</v>
      </c>
      <c r="C3653" s="35" t="s">
        <v>264</v>
      </c>
      <c r="D3653" t="s">
        <v>502</v>
      </c>
      <c r="E3653" t="s">
        <v>520</v>
      </c>
      <c r="F3653" s="188" t="n">
        <v>2038</v>
      </c>
      <c r="G3653" s="189" t="n">
        <v>41</v>
      </c>
      <c r="H3653" s="190" t="n">
        <v>3880.44926400689</v>
      </c>
      <c r="I3653" s="191" t="n">
        <v>4482106.07177495</v>
      </c>
      <c r="J3653" s="192" t="str">
        <f>IF(I3653&gt;0,H3653/I3653,0)</f>
      </c>
      <c r="K3653" s="193" t="str">
        <f>1-EXP(-J3653)</f>
      </c>
      <c r="L3653" s="194" t="str">
        <f>IF(G3653=30,1,M3652)</f>
      </c>
      <c r="M3653" s="195" t="str">
        <f>L3653*(1-K3653)</f>
      </c>
    </row>
    <row r="3654">
      <c r="A3654" t="s">
        <v>167</v>
      </c>
      <c r="B3654" t="s">
        <v>262</v>
      </c>
      <c r="C3654" s="35" t="s">
        <v>264</v>
      </c>
      <c r="D3654" t="s">
        <v>502</v>
      </c>
      <c r="E3654" t="s">
        <v>520</v>
      </c>
      <c r="F3654" s="188" t="n">
        <v>2038</v>
      </c>
      <c r="G3654" s="189" t="n">
        <v>42</v>
      </c>
      <c r="H3654" s="190" t="n">
        <v>4160.69312061781</v>
      </c>
      <c r="I3654" s="191" t="n">
        <v>4435323.72217186</v>
      </c>
      <c r="J3654" s="192" t="str">
        <f>IF(I3654&gt;0,H3654/I3654,0)</f>
      </c>
      <c r="K3654" s="193" t="str">
        <f>1-EXP(-J3654)</f>
      </c>
      <c r="L3654" s="194" t="str">
        <f>IF(G3654=30,1,M3653)</f>
      </c>
      <c r="M3654" s="195" t="str">
        <f>L3654*(1-K3654)</f>
      </c>
    </row>
    <row r="3655">
      <c r="A3655" t="s">
        <v>167</v>
      </c>
      <c r="B3655" t="s">
        <v>262</v>
      </c>
      <c r="C3655" s="35" t="s">
        <v>264</v>
      </c>
      <c r="D3655" t="s">
        <v>502</v>
      </c>
      <c r="E3655" t="s">
        <v>520</v>
      </c>
      <c r="F3655" s="188" t="n">
        <v>2038</v>
      </c>
      <c r="G3655" s="189" t="n">
        <v>43</v>
      </c>
      <c r="H3655" s="190" t="n">
        <v>4442.28466137699</v>
      </c>
      <c r="I3655" s="191" t="n">
        <v>4358385.82754535</v>
      </c>
      <c r="J3655" s="192" t="str">
        <f>IF(I3655&gt;0,H3655/I3655,0)</f>
      </c>
      <c r="K3655" s="193" t="str">
        <f>1-EXP(-J3655)</f>
      </c>
      <c r="L3655" s="194" t="str">
        <f>IF(G3655=30,1,M3654)</f>
      </c>
      <c r="M3655" s="195" t="str">
        <f>L3655*(1-K3655)</f>
      </c>
    </row>
    <row r="3656">
      <c r="A3656" t="s">
        <v>167</v>
      </c>
      <c r="B3656" t="s">
        <v>262</v>
      </c>
      <c r="C3656" s="35" t="s">
        <v>264</v>
      </c>
      <c r="D3656" t="s">
        <v>502</v>
      </c>
      <c r="E3656" t="s">
        <v>520</v>
      </c>
      <c r="F3656" s="188" t="n">
        <v>2038</v>
      </c>
      <c r="G3656" s="189" t="n">
        <v>44</v>
      </c>
      <c r="H3656" s="190" t="n">
        <v>4771.29962278108</v>
      </c>
      <c r="I3656" s="191" t="n">
        <v>4296510.73272486</v>
      </c>
      <c r="J3656" s="192" t="str">
        <f>IF(I3656&gt;0,H3656/I3656,0)</f>
      </c>
      <c r="K3656" s="193" t="str">
        <f>1-EXP(-J3656)</f>
      </c>
      <c r="L3656" s="194" t="str">
        <f>IF(G3656=30,1,M3655)</f>
      </c>
      <c r="M3656" s="195" t="str">
        <f>L3656*(1-K3656)</f>
      </c>
    </row>
    <row r="3657">
      <c r="A3657" t="s">
        <v>167</v>
      </c>
      <c r="B3657" t="s">
        <v>262</v>
      </c>
      <c r="C3657" s="35" t="s">
        <v>264</v>
      </c>
      <c r="D3657" t="s">
        <v>502</v>
      </c>
      <c r="E3657" t="s">
        <v>520</v>
      </c>
      <c r="F3657" s="188" t="n">
        <v>2038</v>
      </c>
      <c r="G3657" s="189" t="n">
        <v>45</v>
      </c>
      <c r="H3657" s="190" t="n">
        <v>6049.78459478058</v>
      </c>
      <c r="I3657" s="191" t="n">
        <v>4237671.90736694</v>
      </c>
      <c r="J3657" s="192" t="str">
        <f>IF(I3657&gt;0,H3657/I3657,0)</f>
      </c>
      <c r="K3657" s="193" t="str">
        <f>1-EXP(-J3657)</f>
      </c>
      <c r="L3657" s="194" t="str">
        <f>IF(G3657=30,1,M3656)</f>
      </c>
      <c r="M3657" s="195" t="str">
        <f>L3657*(1-K3657)</f>
      </c>
    </row>
    <row r="3658">
      <c r="A3658" t="s">
        <v>167</v>
      </c>
      <c r="B3658" t="s">
        <v>262</v>
      </c>
      <c r="C3658" s="35" t="s">
        <v>264</v>
      </c>
      <c r="D3658" t="s">
        <v>502</v>
      </c>
      <c r="E3658" t="s">
        <v>520</v>
      </c>
      <c r="F3658" s="188" t="n">
        <v>2038</v>
      </c>
      <c r="G3658" s="189" t="n">
        <v>46</v>
      </c>
      <c r="H3658" s="190" t="n">
        <v>6643.40769068155</v>
      </c>
      <c r="I3658" s="191" t="n">
        <v>4266838.47650754</v>
      </c>
      <c r="J3658" s="192" t="str">
        <f>IF(I3658&gt;0,H3658/I3658,0)</f>
      </c>
      <c r="K3658" s="193" t="str">
        <f>1-EXP(-J3658)</f>
      </c>
      <c r="L3658" s="194" t="str">
        <f>IF(G3658=30,1,M3657)</f>
      </c>
      <c r="M3658" s="195" t="str">
        <f>L3658*(1-K3658)</f>
      </c>
    </row>
    <row r="3659">
      <c r="A3659" t="s">
        <v>167</v>
      </c>
      <c r="B3659" t="s">
        <v>262</v>
      </c>
      <c r="C3659" s="35" t="s">
        <v>264</v>
      </c>
      <c r="D3659" t="s">
        <v>502</v>
      </c>
      <c r="E3659" t="s">
        <v>520</v>
      </c>
      <c r="F3659" s="188" t="n">
        <v>2038</v>
      </c>
      <c r="G3659" s="189" t="n">
        <v>47</v>
      </c>
      <c r="H3659" s="190" t="n">
        <v>7294.5723616011</v>
      </c>
      <c r="I3659" s="191" t="n">
        <v>4276650.71532599</v>
      </c>
      <c r="J3659" s="192" t="str">
        <f>IF(I3659&gt;0,H3659/I3659,0)</f>
      </c>
      <c r="K3659" s="193" t="str">
        <f>1-EXP(-J3659)</f>
      </c>
      <c r="L3659" s="194" t="str">
        <f>IF(G3659=30,1,M3658)</f>
      </c>
      <c r="M3659" s="195" t="str">
        <f>L3659*(1-K3659)</f>
      </c>
    </row>
    <row r="3660">
      <c r="A3660" t="s">
        <v>167</v>
      </c>
      <c r="B3660" t="s">
        <v>262</v>
      </c>
      <c r="C3660" s="35" t="s">
        <v>264</v>
      </c>
      <c r="D3660" t="s">
        <v>502</v>
      </c>
      <c r="E3660" t="s">
        <v>520</v>
      </c>
      <c r="F3660" s="188" t="n">
        <v>2038</v>
      </c>
      <c r="G3660" s="189" t="n">
        <v>48</v>
      </c>
      <c r="H3660" s="190" t="n">
        <v>10822.1452340323</v>
      </c>
      <c r="I3660" s="191" t="n">
        <v>6292260.0983842</v>
      </c>
      <c r="J3660" s="192" t="str">
        <f>IF(I3660&gt;0,H3660/I3660,0)</f>
      </c>
      <c r="K3660" s="193" t="str">
        <f>1-EXP(-J3660)</f>
      </c>
      <c r="L3660" s="194" t="str">
        <f>IF(G3660=30,1,M3659)</f>
      </c>
      <c r="M3660" s="195" t="str">
        <f>L3660*(1-K3660)</f>
      </c>
    </row>
    <row r="3661">
      <c r="A3661" t="s">
        <v>167</v>
      </c>
      <c r="B3661" t="s">
        <v>262</v>
      </c>
      <c r="C3661" s="35" t="s">
        <v>264</v>
      </c>
      <c r="D3661" t="s">
        <v>502</v>
      </c>
      <c r="E3661" t="s">
        <v>520</v>
      </c>
      <c r="F3661" s="188" t="n">
        <v>2038</v>
      </c>
      <c r="G3661" s="189" t="n">
        <v>49</v>
      </c>
      <c r="H3661" s="190" t="n">
        <v>8645.73739615001</v>
      </c>
      <c r="I3661" s="191" t="n">
        <v>4217894.31339367</v>
      </c>
      <c r="J3661" s="192" t="str">
        <f>IF(I3661&gt;0,H3661/I3661,0)</f>
      </c>
      <c r="K3661" s="193" t="str">
        <f>1-EXP(-J3661)</f>
      </c>
      <c r="L3661" s="194" t="str">
        <f>IF(G3661=30,1,M3660)</f>
      </c>
      <c r="M3661" s="195" t="str">
        <f>L3661*(1-K3661)</f>
      </c>
    </row>
    <row r="3662">
      <c r="A3662" t="s">
        <v>167</v>
      </c>
      <c r="B3662" t="s">
        <v>262</v>
      </c>
      <c r="C3662" s="35" t="s">
        <v>264</v>
      </c>
      <c r="D3662" t="s">
        <v>502</v>
      </c>
      <c r="E3662" t="s">
        <v>520</v>
      </c>
      <c r="F3662" s="188" t="n">
        <v>2038</v>
      </c>
      <c r="G3662" s="189" t="n">
        <v>50</v>
      </c>
      <c r="H3662" s="190" t="n">
        <v>9902.07766025001</v>
      </c>
      <c r="I3662" s="191" t="n">
        <v>4190951.52195797</v>
      </c>
      <c r="J3662" s="192" t="str">
        <f>IF(I3662&gt;0,H3662/I3662,0)</f>
      </c>
      <c r="K3662" s="193" t="str">
        <f>1-EXP(-J3662)</f>
      </c>
      <c r="L3662" s="194" t="str">
        <f>IF(G3662=30,1,M3661)</f>
      </c>
      <c r="M3662" s="195" t="str">
        <f>L3662*(1-K3662)</f>
      </c>
    </row>
    <row r="3663">
      <c r="A3663" t="s">
        <v>167</v>
      </c>
      <c r="B3663" t="s">
        <v>262</v>
      </c>
      <c r="C3663" s="35" t="s">
        <v>264</v>
      </c>
      <c r="D3663" t="s">
        <v>502</v>
      </c>
      <c r="E3663" t="s">
        <v>520</v>
      </c>
      <c r="F3663" s="188" t="n">
        <v>2038</v>
      </c>
      <c r="G3663" s="189" t="n">
        <v>51</v>
      </c>
      <c r="H3663" s="190" t="n">
        <v>10472.6983606517</v>
      </c>
      <c r="I3663" s="191" t="n">
        <v>4050340.64292179</v>
      </c>
      <c r="J3663" s="192" t="str">
        <f>IF(I3663&gt;0,H3663/I3663,0)</f>
      </c>
      <c r="K3663" s="193" t="str">
        <f>1-EXP(-J3663)</f>
      </c>
      <c r="L3663" s="194" t="str">
        <f>IF(G3663=30,1,M3662)</f>
      </c>
      <c r="M3663" s="195" t="str">
        <f>L3663*(1-K3663)</f>
      </c>
    </row>
    <row r="3664">
      <c r="A3664" t="s">
        <v>167</v>
      </c>
      <c r="B3664" t="s">
        <v>262</v>
      </c>
      <c r="C3664" s="35" t="s">
        <v>264</v>
      </c>
      <c r="D3664" t="s">
        <v>502</v>
      </c>
      <c r="E3664" t="s">
        <v>520</v>
      </c>
      <c r="F3664" s="188" t="n">
        <v>2038</v>
      </c>
      <c r="G3664" s="189" t="n">
        <v>52</v>
      </c>
      <c r="H3664" s="190" t="n">
        <v>11317.4547979728</v>
      </c>
      <c r="I3664" s="191" t="n">
        <v>4004246.69085643</v>
      </c>
      <c r="J3664" s="192" t="str">
        <f>IF(I3664&gt;0,H3664/I3664,0)</f>
      </c>
      <c r="K3664" s="193" t="str">
        <f>1-EXP(-J3664)</f>
      </c>
      <c r="L3664" s="194" t="str">
        <f>IF(G3664=30,1,M3663)</f>
      </c>
      <c r="M3664" s="195" t="str">
        <f>L3664*(1-K3664)</f>
      </c>
    </row>
    <row r="3665">
      <c r="A3665" t="s">
        <v>167</v>
      </c>
      <c r="B3665" t="s">
        <v>262</v>
      </c>
      <c r="C3665" s="35" t="s">
        <v>264</v>
      </c>
      <c r="D3665" t="s">
        <v>502</v>
      </c>
      <c r="E3665" t="s">
        <v>520</v>
      </c>
      <c r="F3665" s="188" t="n">
        <v>2038</v>
      </c>
      <c r="G3665" s="189" t="n">
        <v>53</v>
      </c>
      <c r="H3665" s="190" t="n">
        <v>12492.6054987633</v>
      </c>
      <c r="I3665" s="191" t="n">
        <v>4047067.20299988</v>
      </c>
      <c r="J3665" s="192" t="str">
        <f>IF(I3665&gt;0,H3665/I3665,0)</f>
      </c>
      <c r="K3665" s="193" t="str">
        <f>1-EXP(-J3665)</f>
      </c>
      <c r="L3665" s="194" t="str">
        <f>IF(G3665=30,1,M3664)</f>
      </c>
      <c r="M3665" s="195" t="str">
        <f>L3665*(1-K3665)</f>
      </c>
    </row>
    <row r="3666">
      <c r="A3666" t="s">
        <v>167</v>
      </c>
      <c r="B3666" t="s">
        <v>262</v>
      </c>
      <c r="C3666" s="35" t="s">
        <v>264</v>
      </c>
      <c r="D3666" t="s">
        <v>502</v>
      </c>
      <c r="E3666" t="s">
        <v>520</v>
      </c>
      <c r="F3666" s="188" t="n">
        <v>2038</v>
      </c>
      <c r="G3666" s="189" t="n">
        <v>54</v>
      </c>
      <c r="H3666" s="190" t="n">
        <v>13851.0412324442</v>
      </c>
      <c r="I3666" s="191" t="n">
        <v>4112211.83166437</v>
      </c>
      <c r="J3666" s="192" t="str">
        <f>IF(I3666&gt;0,H3666/I3666,0)</f>
      </c>
      <c r="K3666" s="193" t="str">
        <f>1-EXP(-J3666)</f>
      </c>
      <c r="L3666" s="194" t="str">
        <f>IF(G3666=30,1,M3665)</f>
      </c>
      <c r="M3666" s="195" t="str">
        <f>L3666*(1-K3666)</f>
      </c>
    </row>
    <row r="3667">
      <c r="A3667" t="s">
        <v>167</v>
      </c>
      <c r="B3667" t="s">
        <v>262</v>
      </c>
      <c r="C3667" s="35" t="s">
        <v>264</v>
      </c>
      <c r="D3667" t="s">
        <v>502</v>
      </c>
      <c r="E3667" t="s">
        <v>520</v>
      </c>
      <c r="F3667" s="188" t="n">
        <v>2038</v>
      </c>
      <c r="G3667" s="189" t="n">
        <v>55</v>
      </c>
      <c r="H3667" s="190" t="n">
        <v>14894.6036728478</v>
      </c>
      <c r="I3667" s="191" t="n">
        <v>4071553.54369802</v>
      </c>
      <c r="J3667" s="192" t="str">
        <f>IF(I3667&gt;0,H3667/I3667,0)</f>
      </c>
      <c r="K3667" s="193" t="str">
        <f>1-EXP(-J3667)</f>
      </c>
      <c r="L3667" s="194" t="str">
        <f>IF(G3667=30,1,M3666)</f>
      </c>
      <c r="M3667" s="195" t="str">
        <f>L3667*(1-K3667)</f>
      </c>
    </row>
    <row r="3668">
      <c r="A3668" t="s">
        <v>167</v>
      </c>
      <c r="B3668" t="s">
        <v>262</v>
      </c>
      <c r="C3668" s="35" t="s">
        <v>264</v>
      </c>
      <c r="D3668" t="s">
        <v>502</v>
      </c>
      <c r="E3668" t="s">
        <v>520</v>
      </c>
      <c r="F3668" s="188" t="n">
        <v>2038</v>
      </c>
      <c r="G3668" s="189" t="n">
        <v>56</v>
      </c>
      <c r="H3668" s="190" t="n">
        <v>15643.8168172012</v>
      </c>
      <c r="I3668" s="191" t="n">
        <v>3922643.96043127</v>
      </c>
      <c r="J3668" s="192" t="str">
        <f>IF(I3668&gt;0,H3668/I3668,0)</f>
      </c>
      <c r="K3668" s="193" t="str">
        <f>1-EXP(-J3668)</f>
      </c>
      <c r="L3668" s="194" t="str">
        <f>IF(G3668=30,1,M3667)</f>
      </c>
      <c r="M3668" s="195" t="str">
        <f>L3668*(1-K3668)</f>
      </c>
    </row>
    <row r="3669">
      <c r="A3669" t="s">
        <v>167</v>
      </c>
      <c r="B3669" t="s">
        <v>262</v>
      </c>
      <c r="C3669" s="35" t="s">
        <v>264</v>
      </c>
      <c r="D3669" t="s">
        <v>502</v>
      </c>
      <c r="E3669" t="s">
        <v>520</v>
      </c>
      <c r="F3669" s="188" t="n">
        <v>2038</v>
      </c>
      <c r="G3669" s="189" t="n">
        <v>57</v>
      </c>
      <c r="H3669" s="190" t="n">
        <v>16689.7143487108</v>
      </c>
      <c r="I3669" s="191" t="n">
        <v>3832633.20589555</v>
      </c>
      <c r="J3669" s="192" t="str">
        <f>IF(I3669&gt;0,H3669/I3669,0)</f>
      </c>
      <c r="K3669" s="193" t="str">
        <f>1-EXP(-J3669)</f>
      </c>
      <c r="L3669" s="194" t="str">
        <f>IF(G3669=30,1,M3668)</f>
      </c>
      <c r="M3669" s="195" t="str">
        <f>L3669*(1-K3669)</f>
      </c>
    </row>
    <row r="3670">
      <c r="A3670" t="s">
        <v>167</v>
      </c>
      <c r="B3670" t="s">
        <v>262</v>
      </c>
      <c r="C3670" s="35" t="s">
        <v>264</v>
      </c>
      <c r="D3670" t="s">
        <v>502</v>
      </c>
      <c r="E3670" t="s">
        <v>520</v>
      </c>
      <c r="F3670" s="188" t="n">
        <v>2038</v>
      </c>
      <c r="G3670" s="189" t="n">
        <v>58</v>
      </c>
      <c r="H3670" s="190" t="n">
        <v>17881.1635687271</v>
      </c>
      <c r="I3670" s="191" t="n">
        <v>3756536.36617538</v>
      </c>
      <c r="J3670" s="192" t="str">
        <f>IF(I3670&gt;0,H3670/I3670,0)</f>
      </c>
      <c r="K3670" s="193" t="str">
        <f>1-EXP(-J3670)</f>
      </c>
      <c r="L3670" s="194" t="str">
        <f>IF(G3670=30,1,M3669)</f>
      </c>
      <c r="M3670" s="195" t="str">
        <f>L3670*(1-K3670)</f>
      </c>
    </row>
    <row r="3671">
      <c r="A3671" t="s">
        <v>167</v>
      </c>
      <c r="B3671" t="s">
        <v>262</v>
      </c>
      <c r="C3671" s="35" t="s">
        <v>264</v>
      </c>
      <c r="D3671" t="s">
        <v>502</v>
      </c>
      <c r="E3671" t="s">
        <v>520</v>
      </c>
      <c r="F3671" s="188" t="n">
        <v>2038</v>
      </c>
      <c r="G3671" s="189" t="n">
        <v>59</v>
      </c>
      <c r="H3671" s="190" t="n">
        <v>19136.5799861549</v>
      </c>
      <c r="I3671" s="191" t="n">
        <v>3674158.83356768</v>
      </c>
      <c r="J3671" s="192" t="str">
        <f>IF(I3671&gt;0,H3671/I3671,0)</f>
      </c>
      <c r="K3671" s="193" t="str">
        <f>1-EXP(-J3671)</f>
      </c>
      <c r="L3671" s="194" t="str">
        <f>IF(G3671=30,1,M3670)</f>
      </c>
      <c r="M3671" s="195" t="str">
        <f>L3671*(1-K3671)</f>
      </c>
    </row>
    <row r="3672">
      <c r="A3672" t="s">
        <v>167</v>
      </c>
      <c r="B3672" t="s">
        <v>262</v>
      </c>
      <c r="C3672" s="35" t="s">
        <v>264</v>
      </c>
      <c r="D3672" t="s">
        <v>502</v>
      </c>
      <c r="E3672" t="s">
        <v>520</v>
      </c>
      <c r="F3672" s="188" t="n">
        <v>2038</v>
      </c>
      <c r="G3672" s="189" t="n">
        <v>60</v>
      </c>
      <c r="H3672" s="190" t="n">
        <v>20394.4738293369</v>
      </c>
      <c r="I3672" s="191" t="n">
        <v>3572543.81238699</v>
      </c>
      <c r="J3672" s="192" t="str">
        <f>IF(I3672&gt;0,H3672/I3672,0)</f>
      </c>
      <c r="K3672" s="193" t="str">
        <f>1-EXP(-J3672)</f>
      </c>
      <c r="L3672" s="194" t="str">
        <f>IF(G3672=30,1,M3671)</f>
      </c>
      <c r="M3672" s="195" t="str">
        <f>L3672*(1-K3672)</f>
      </c>
    </row>
    <row r="3673">
      <c r="A3673" t="s">
        <v>167</v>
      </c>
      <c r="B3673" t="s">
        <v>262</v>
      </c>
      <c r="C3673" s="35" t="s">
        <v>264</v>
      </c>
      <c r="D3673" t="s">
        <v>502</v>
      </c>
      <c r="E3673" t="s">
        <v>520</v>
      </c>
      <c r="F3673" s="188" t="n">
        <v>2038</v>
      </c>
      <c r="G3673" s="189" t="n">
        <v>61</v>
      </c>
      <c r="H3673" s="190" t="n">
        <v>21848.8477331998</v>
      </c>
      <c r="I3673" s="191" t="n">
        <v>3484879.5408511</v>
      </c>
      <c r="J3673" s="192" t="str">
        <f>IF(I3673&gt;0,H3673/I3673,0)</f>
      </c>
      <c r="K3673" s="193" t="str">
        <f>1-EXP(-J3673)</f>
      </c>
      <c r="L3673" s="194" t="str">
        <f>IF(G3673=30,1,M3672)</f>
      </c>
      <c r="M3673" s="195" t="str">
        <f>L3673*(1-K3673)</f>
      </c>
    </row>
    <row r="3674">
      <c r="A3674" t="s">
        <v>167</v>
      </c>
      <c r="B3674" t="s">
        <v>262</v>
      </c>
      <c r="C3674" s="35" t="s">
        <v>264</v>
      </c>
      <c r="D3674" t="s">
        <v>502</v>
      </c>
      <c r="E3674" t="s">
        <v>520</v>
      </c>
      <c r="F3674" s="188" t="n">
        <v>2038</v>
      </c>
      <c r="G3674" s="189" t="n">
        <v>62</v>
      </c>
      <c r="H3674" s="190" t="n">
        <v>23259.8147020851</v>
      </c>
      <c r="I3674" s="191" t="n">
        <v>3385573.98149702</v>
      </c>
      <c r="J3674" s="192" t="str">
        <f>IF(I3674&gt;0,H3674/I3674,0)</f>
      </c>
      <c r="K3674" s="193" t="str">
        <f>1-EXP(-J3674)</f>
      </c>
      <c r="L3674" s="194" t="str">
        <f>IF(G3674=30,1,M3673)</f>
      </c>
      <c r="M3674" s="195" t="str">
        <f>L3674*(1-K3674)</f>
      </c>
    </row>
    <row r="3675">
      <c r="A3675" t="s">
        <v>167</v>
      </c>
      <c r="B3675" t="s">
        <v>262</v>
      </c>
      <c r="C3675" s="35" t="s">
        <v>264</v>
      </c>
      <c r="D3675" t="s">
        <v>502</v>
      </c>
      <c r="E3675" t="s">
        <v>520</v>
      </c>
      <c r="F3675" s="188" t="n">
        <v>2038</v>
      </c>
      <c r="G3675" s="189" t="n">
        <v>63</v>
      </c>
      <c r="H3675" s="190" t="n">
        <v>24729.8874666136</v>
      </c>
      <c r="I3675" s="191" t="n">
        <v>3284305.53959542</v>
      </c>
      <c r="J3675" s="192" t="str">
        <f>IF(I3675&gt;0,H3675/I3675,0)</f>
      </c>
      <c r="K3675" s="193" t="str">
        <f>1-EXP(-J3675)</f>
      </c>
      <c r="L3675" s="194" t="str">
        <f>IF(G3675=30,1,M3674)</f>
      </c>
      <c r="M3675" s="195" t="str">
        <f>L3675*(1-K3675)</f>
      </c>
    </row>
    <row r="3676">
      <c r="A3676" t="s">
        <v>167</v>
      </c>
      <c r="B3676" t="s">
        <v>262</v>
      </c>
      <c r="C3676" s="35" t="s">
        <v>264</v>
      </c>
      <c r="D3676" t="s">
        <v>502</v>
      </c>
      <c r="E3676" t="s">
        <v>520</v>
      </c>
      <c r="F3676" s="188" t="n">
        <v>2038</v>
      </c>
      <c r="G3676" s="189" t="n">
        <v>64</v>
      </c>
      <c r="H3676" s="190" t="n">
        <v>26056.1206033466</v>
      </c>
      <c r="I3676" s="191" t="n">
        <v>3157159.28947558</v>
      </c>
      <c r="J3676" s="192" t="str">
        <f>IF(I3676&gt;0,H3676/I3676,0)</f>
      </c>
      <c r="K3676" s="193" t="str">
        <f>1-EXP(-J3676)</f>
      </c>
      <c r="L3676" s="194" t="str">
        <f>IF(G3676=30,1,M3675)</f>
      </c>
      <c r="M3676" s="195" t="str">
        <f>L3676*(1-K3676)</f>
      </c>
    </row>
    <row r="3677">
      <c r="A3677" t="s">
        <v>167</v>
      </c>
      <c r="B3677" t="s">
        <v>262</v>
      </c>
      <c r="C3677" s="35" t="s">
        <v>264</v>
      </c>
      <c r="D3677" t="s">
        <v>502</v>
      </c>
      <c r="E3677" t="s">
        <v>520</v>
      </c>
      <c r="F3677" s="188" t="n">
        <v>2038</v>
      </c>
      <c r="G3677" s="189" t="n">
        <v>65</v>
      </c>
      <c r="H3677" s="190" t="n">
        <v>26799.2018197553</v>
      </c>
      <c r="I3677" s="191" t="n">
        <v>3082144.41757449</v>
      </c>
      <c r="J3677" s="192" t="str">
        <f>IF(I3677&gt;0,H3677/I3677,0)</f>
      </c>
      <c r="K3677" s="193" t="str">
        <f>1-EXP(-J3677)</f>
      </c>
      <c r="L3677" s="194" t="str">
        <f>IF(G3677=30,1,M3676)</f>
      </c>
      <c r="M3677" s="195" t="str">
        <f>L3677*(1-K3677)</f>
      </c>
    </row>
    <row r="3678">
      <c r="A3678" t="s">
        <v>167</v>
      </c>
      <c r="B3678" t="s">
        <v>262</v>
      </c>
      <c r="C3678" s="35" t="s">
        <v>264</v>
      </c>
      <c r="D3678" t="s">
        <v>502</v>
      </c>
      <c r="E3678" t="s">
        <v>520</v>
      </c>
      <c r="F3678" s="188" t="n">
        <v>2038</v>
      </c>
      <c r="G3678" s="189" t="n">
        <v>66</v>
      </c>
      <c r="H3678" s="190" t="n">
        <v>27318.5745381533</v>
      </c>
      <c r="I3678" s="191" t="n">
        <v>2862655.49352841</v>
      </c>
      <c r="J3678" s="192" t="str">
        <f>IF(I3678&gt;0,H3678/I3678,0)</f>
      </c>
      <c r="K3678" s="193" t="str">
        <f>1-EXP(-J3678)</f>
      </c>
      <c r="L3678" s="194" t="str">
        <f>IF(G3678=30,1,M3677)</f>
      </c>
      <c r="M3678" s="195" t="str">
        <f>L3678*(1-K3678)</f>
      </c>
    </row>
    <row r="3679">
      <c r="A3679" t="s">
        <v>167</v>
      </c>
      <c r="B3679" t="s">
        <v>262</v>
      </c>
      <c r="C3679" s="35" t="s">
        <v>264</v>
      </c>
      <c r="D3679" t="s">
        <v>502</v>
      </c>
      <c r="E3679" t="s">
        <v>520</v>
      </c>
      <c r="F3679" s="188" t="n">
        <v>2038</v>
      </c>
      <c r="G3679" s="189" t="n">
        <v>67</v>
      </c>
      <c r="H3679" s="190" t="n">
        <v>28794.7423541046</v>
      </c>
      <c r="I3679" s="191" t="n">
        <v>2748971.97513056</v>
      </c>
      <c r="J3679" s="192" t="str">
        <f>IF(I3679&gt;0,H3679/I3679,0)</f>
      </c>
      <c r="K3679" s="193" t="str">
        <f>1-EXP(-J3679)</f>
      </c>
      <c r="L3679" s="194" t="str">
        <f>IF(G3679=30,1,M3678)</f>
      </c>
      <c r="M3679" s="195" t="str">
        <f>L3679*(1-K3679)</f>
      </c>
    </row>
    <row r="3680">
      <c r="A3680" t="s">
        <v>167</v>
      </c>
      <c r="B3680" t="s">
        <v>262</v>
      </c>
      <c r="C3680" s="35" t="s">
        <v>264</v>
      </c>
      <c r="D3680" t="s">
        <v>502</v>
      </c>
      <c r="E3680" t="s">
        <v>520</v>
      </c>
      <c r="F3680" s="188" t="n">
        <v>2038</v>
      </c>
      <c r="G3680" s="189" t="n">
        <v>68</v>
      </c>
      <c r="H3680" s="190" t="n">
        <v>30351.6597021167</v>
      </c>
      <c r="I3680" s="191" t="n">
        <v>2637923.40985107</v>
      </c>
      <c r="J3680" s="192" t="str">
        <f>IF(I3680&gt;0,H3680/I3680,0)</f>
      </c>
      <c r="K3680" s="193" t="str">
        <f>1-EXP(-J3680)</f>
      </c>
      <c r="L3680" s="194" t="str">
        <f>IF(G3680=30,1,M3679)</f>
      </c>
      <c r="M3680" s="195" t="str">
        <f>L3680*(1-K3680)</f>
      </c>
    </row>
    <row r="3681">
      <c r="A3681" t="s">
        <v>167</v>
      </c>
      <c r="B3681" t="s">
        <v>262</v>
      </c>
      <c r="C3681" s="35" t="s">
        <v>264</v>
      </c>
      <c r="D3681" t="s">
        <v>502</v>
      </c>
      <c r="E3681" t="s">
        <v>520</v>
      </c>
      <c r="F3681" s="188" t="n">
        <v>2038</v>
      </c>
      <c r="G3681" s="189" t="n">
        <v>69</v>
      </c>
      <c r="H3681" s="190" t="n">
        <v>31849.9508270134</v>
      </c>
      <c r="I3681" s="191" t="n">
        <v>2518073.25951381</v>
      </c>
      <c r="J3681" s="192" t="str">
        <f>IF(I3681&gt;0,H3681/I3681,0)</f>
      </c>
      <c r="K3681" s="193" t="str">
        <f>1-EXP(-J3681)</f>
      </c>
      <c r="L3681" s="194" t="str">
        <f>IF(G3681=30,1,M3680)</f>
      </c>
      <c r="M3681" s="195" t="str">
        <f>L3681*(1-K3681)</f>
      </c>
    </row>
    <row r="3682">
      <c r="A3682" t="s">
        <v>167</v>
      </c>
      <c r="B3682" t="s">
        <v>262</v>
      </c>
      <c r="C3682" s="35" t="s">
        <v>264</v>
      </c>
      <c r="D3682" t="s">
        <v>502</v>
      </c>
      <c r="E3682" t="s">
        <v>520</v>
      </c>
      <c r="F3682" s="188" t="n">
        <v>2039</v>
      </c>
      <c r="G3682" s="189" t="n">
        <v>30</v>
      </c>
      <c r="H3682" s="190" t="n">
        <v>772.085119126307</v>
      </c>
      <c r="I3682" s="191" t="n">
        <v>4690534.28823543</v>
      </c>
      <c r="J3682" s="192" t="str">
        <f>IF(I3682&gt;0,H3682/I3682,0)</f>
      </c>
      <c r="K3682" s="193" t="str">
        <f>1-EXP(-J3682)</f>
      </c>
      <c r="L3682" s="194" t="str">
        <f>IF(G3682=30,1,M3681)</f>
      </c>
      <c r="M3682" s="195" t="str">
        <f>L3682*(1-K3682)</f>
      </c>
    </row>
    <row r="3683">
      <c r="A3683" t="s">
        <v>167</v>
      </c>
      <c r="B3683" t="s">
        <v>262</v>
      </c>
      <c r="C3683" s="35" t="s">
        <v>264</v>
      </c>
      <c r="D3683" t="s">
        <v>502</v>
      </c>
      <c r="E3683" t="s">
        <v>520</v>
      </c>
      <c r="F3683" s="188" t="n">
        <v>2039</v>
      </c>
      <c r="G3683" s="189" t="n">
        <v>31</v>
      </c>
      <c r="H3683" s="190" t="n">
        <v>985.018432961966</v>
      </c>
      <c r="I3683" s="191" t="n">
        <v>4647889.78040891</v>
      </c>
      <c r="J3683" s="192" t="str">
        <f>IF(I3683&gt;0,H3683/I3683,0)</f>
      </c>
      <c r="K3683" s="193" t="str">
        <f>1-EXP(-J3683)</f>
      </c>
      <c r="L3683" s="194" t="str">
        <f>IF(G3683=30,1,M3682)</f>
      </c>
      <c r="M3683" s="195" t="str">
        <f>L3683*(1-K3683)</f>
      </c>
    </row>
    <row r="3684">
      <c r="A3684" t="s">
        <v>167</v>
      </c>
      <c r="B3684" t="s">
        <v>262</v>
      </c>
      <c r="C3684" s="35" t="s">
        <v>264</v>
      </c>
      <c r="D3684" t="s">
        <v>502</v>
      </c>
      <c r="E3684" t="s">
        <v>520</v>
      </c>
      <c r="F3684" s="188" t="n">
        <v>2039</v>
      </c>
      <c r="G3684" s="189" t="n">
        <v>32</v>
      </c>
      <c r="H3684" s="190" t="n">
        <v>1093.56299951862</v>
      </c>
      <c r="I3684" s="191" t="n">
        <v>4674255.52184351</v>
      </c>
      <c r="J3684" s="192" t="str">
        <f>IF(I3684&gt;0,H3684/I3684,0)</f>
      </c>
      <c r="K3684" s="193" t="str">
        <f>1-EXP(-J3684)</f>
      </c>
      <c r="L3684" s="194" t="str">
        <f>IF(G3684=30,1,M3683)</f>
      </c>
      <c r="M3684" s="195" t="str">
        <f>L3684*(1-K3684)</f>
      </c>
    </row>
    <row r="3685">
      <c r="A3685" t="s">
        <v>167</v>
      </c>
      <c r="B3685" t="s">
        <v>262</v>
      </c>
      <c r="C3685" s="35" t="s">
        <v>264</v>
      </c>
      <c r="D3685" t="s">
        <v>502</v>
      </c>
      <c r="E3685" t="s">
        <v>520</v>
      </c>
      <c r="F3685" s="188" t="n">
        <v>2039</v>
      </c>
      <c r="G3685" s="189" t="n">
        <v>33</v>
      </c>
      <c r="H3685" s="190" t="n">
        <v>1137.42047701448</v>
      </c>
      <c r="I3685" s="191" t="n">
        <v>4591274.81423092</v>
      </c>
      <c r="J3685" s="192" t="str">
        <f>IF(I3685&gt;0,H3685/I3685,0)</f>
      </c>
      <c r="K3685" s="193" t="str">
        <f>1-EXP(-J3685)</f>
      </c>
      <c r="L3685" s="194" t="str">
        <f>IF(G3685=30,1,M3684)</f>
      </c>
      <c r="M3685" s="195" t="str">
        <f>L3685*(1-K3685)</f>
      </c>
    </row>
    <row r="3686">
      <c r="A3686" t="s">
        <v>167</v>
      </c>
      <c r="B3686" t="s">
        <v>262</v>
      </c>
      <c r="C3686" s="35" t="s">
        <v>264</v>
      </c>
      <c r="D3686" t="s">
        <v>502</v>
      </c>
      <c r="E3686" t="s">
        <v>520</v>
      </c>
      <c r="F3686" s="188" t="n">
        <v>2039</v>
      </c>
      <c r="G3686" s="189" t="n">
        <v>34</v>
      </c>
      <c r="H3686" s="190" t="n">
        <v>1195.88043693389</v>
      </c>
      <c r="I3686" s="191" t="n">
        <v>4530123.90563373</v>
      </c>
      <c r="J3686" s="192" t="str">
        <f>IF(I3686&gt;0,H3686/I3686,0)</f>
      </c>
      <c r="K3686" s="193" t="str">
        <f>1-EXP(-J3686)</f>
      </c>
      <c r="L3686" s="194" t="str">
        <f>IF(G3686=30,1,M3685)</f>
      </c>
      <c r="M3686" s="195" t="str">
        <f>L3686*(1-K3686)</f>
      </c>
    </row>
    <row r="3687">
      <c r="A3687" t="s">
        <v>167</v>
      </c>
      <c r="B3687" t="s">
        <v>262</v>
      </c>
      <c r="C3687" s="35" t="s">
        <v>264</v>
      </c>
      <c r="D3687" t="s">
        <v>502</v>
      </c>
      <c r="E3687" t="s">
        <v>520</v>
      </c>
      <c r="F3687" s="188" t="n">
        <v>2039</v>
      </c>
      <c r="G3687" s="189" t="n">
        <v>35</v>
      </c>
      <c r="H3687" s="190" t="n">
        <v>1554.2607910403</v>
      </c>
      <c r="I3687" s="191" t="n">
        <v>4401318.377524</v>
      </c>
      <c r="J3687" s="192" t="str">
        <f>IF(I3687&gt;0,H3687/I3687,0)</f>
      </c>
      <c r="K3687" s="193" t="str">
        <f>1-EXP(-J3687)</f>
      </c>
      <c r="L3687" s="194" t="str">
        <f>IF(G3687=30,1,M3686)</f>
      </c>
      <c r="M3687" s="195" t="str">
        <f>L3687*(1-K3687)</f>
      </c>
    </row>
    <row r="3688">
      <c r="A3688" t="s">
        <v>167</v>
      </c>
      <c r="B3688" t="s">
        <v>262</v>
      </c>
      <c r="C3688" s="35" t="s">
        <v>264</v>
      </c>
      <c r="D3688" t="s">
        <v>502</v>
      </c>
      <c r="E3688" t="s">
        <v>520</v>
      </c>
      <c r="F3688" s="188" t="n">
        <v>2039</v>
      </c>
      <c r="G3688" s="189" t="n">
        <v>36</v>
      </c>
      <c r="H3688" s="190" t="n">
        <v>1775.44038865479</v>
      </c>
      <c r="I3688" s="191" t="n">
        <v>4334942.84514812</v>
      </c>
      <c r="J3688" s="192" t="str">
        <f>IF(I3688&gt;0,H3688/I3688,0)</f>
      </c>
      <c r="K3688" s="193" t="str">
        <f>1-EXP(-J3688)</f>
      </c>
      <c r="L3688" s="194" t="str">
        <f>IF(G3688=30,1,M3687)</f>
      </c>
      <c r="M3688" s="195" t="str">
        <f>L3688*(1-K3688)</f>
      </c>
    </row>
    <row r="3689">
      <c r="A3689" t="s">
        <v>167</v>
      </c>
      <c r="B3689" t="s">
        <v>262</v>
      </c>
      <c r="C3689" s="35" t="s">
        <v>264</v>
      </c>
      <c r="D3689" t="s">
        <v>502</v>
      </c>
      <c r="E3689" t="s">
        <v>520</v>
      </c>
      <c r="F3689" s="188" t="n">
        <v>2039</v>
      </c>
      <c r="G3689" s="189" t="n">
        <v>37</v>
      </c>
      <c r="H3689" s="190" t="n">
        <v>2046.15554511797</v>
      </c>
      <c r="I3689" s="191" t="n">
        <v>4311789.52044755</v>
      </c>
      <c r="J3689" s="192" t="str">
        <f>IF(I3689&gt;0,H3689/I3689,0)</f>
      </c>
      <c r="K3689" s="193" t="str">
        <f>1-EXP(-J3689)</f>
      </c>
      <c r="L3689" s="194" t="str">
        <f>IF(G3689=30,1,M3688)</f>
      </c>
      <c r="M3689" s="195" t="str">
        <f>L3689*(1-K3689)</f>
      </c>
    </row>
    <row r="3690">
      <c r="A3690" t="s">
        <v>167</v>
      </c>
      <c r="B3690" t="s">
        <v>262</v>
      </c>
      <c r="C3690" s="35" t="s">
        <v>264</v>
      </c>
      <c r="D3690" t="s">
        <v>502</v>
      </c>
      <c r="E3690" t="s">
        <v>520</v>
      </c>
      <c r="F3690" s="188" t="n">
        <v>2039</v>
      </c>
      <c r="G3690" s="189" t="n">
        <v>38</v>
      </c>
      <c r="H3690" s="190" t="n">
        <v>2193.45897346825</v>
      </c>
      <c r="I3690" s="191" t="n">
        <v>4290268.81641071</v>
      </c>
      <c r="J3690" s="192" t="str">
        <f>IF(I3690&gt;0,H3690/I3690,0)</f>
      </c>
      <c r="K3690" s="193" t="str">
        <f>1-EXP(-J3690)</f>
      </c>
      <c r="L3690" s="194" t="str">
        <f>IF(G3690=30,1,M3689)</f>
      </c>
      <c r="M3690" s="195" t="str">
        <f>L3690*(1-K3690)</f>
      </c>
    </row>
    <row r="3691">
      <c r="A3691" t="s">
        <v>167</v>
      </c>
      <c r="B3691" t="s">
        <v>262</v>
      </c>
      <c r="C3691" s="35" t="s">
        <v>264</v>
      </c>
      <c r="D3691" t="s">
        <v>502</v>
      </c>
      <c r="E3691" t="s">
        <v>520</v>
      </c>
      <c r="F3691" s="188" t="n">
        <v>2039</v>
      </c>
      <c r="G3691" s="189" t="n">
        <v>39</v>
      </c>
      <c r="H3691" s="190" t="n">
        <v>2357.32841470591</v>
      </c>
      <c r="I3691" s="191" t="n">
        <v>4268204.84934651</v>
      </c>
      <c r="J3691" s="192" t="str">
        <f>IF(I3691&gt;0,H3691/I3691,0)</f>
      </c>
      <c r="K3691" s="193" t="str">
        <f>1-EXP(-J3691)</f>
      </c>
      <c r="L3691" s="194" t="str">
        <f>IF(G3691=30,1,M3690)</f>
      </c>
      <c r="M3691" s="195" t="str">
        <f>L3691*(1-K3691)</f>
      </c>
    </row>
    <row r="3692">
      <c r="A3692" t="s">
        <v>167</v>
      </c>
      <c r="B3692" t="s">
        <v>262</v>
      </c>
      <c r="C3692" s="35" t="s">
        <v>264</v>
      </c>
      <c r="D3692" t="s">
        <v>502</v>
      </c>
      <c r="E3692" t="s">
        <v>520</v>
      </c>
      <c r="F3692" s="188" t="n">
        <v>2039</v>
      </c>
      <c r="G3692" s="189" t="n">
        <v>40</v>
      </c>
      <c r="H3692" s="190" t="n">
        <v>3180.55051358563</v>
      </c>
      <c r="I3692" s="191" t="n">
        <v>4285152.04851058</v>
      </c>
      <c r="J3692" s="192" t="str">
        <f>IF(I3692&gt;0,H3692/I3692,0)</f>
      </c>
      <c r="K3692" s="193" t="str">
        <f>1-EXP(-J3692)</f>
      </c>
      <c r="L3692" s="194" t="str">
        <f>IF(G3692=30,1,M3691)</f>
      </c>
      <c r="M3692" s="195" t="str">
        <f>L3692*(1-K3692)</f>
      </c>
    </row>
    <row r="3693">
      <c r="A3693" t="s">
        <v>167</v>
      </c>
      <c r="B3693" t="s">
        <v>262</v>
      </c>
      <c r="C3693" s="35" t="s">
        <v>264</v>
      </c>
      <c r="D3693" t="s">
        <v>502</v>
      </c>
      <c r="E3693" t="s">
        <v>520</v>
      </c>
      <c r="F3693" s="188" t="n">
        <v>2039</v>
      </c>
      <c r="G3693" s="189" t="n">
        <v>41</v>
      </c>
      <c r="H3693" s="190" t="n">
        <v>3554.63475330014</v>
      </c>
      <c r="I3693" s="191" t="n">
        <v>4339731.30979853</v>
      </c>
      <c r="J3693" s="192" t="str">
        <f>IF(I3693&gt;0,H3693/I3693,0)</f>
      </c>
      <c r="K3693" s="193" t="str">
        <f>1-EXP(-J3693)</f>
      </c>
      <c r="L3693" s="194" t="str">
        <f>IF(G3693=30,1,M3692)</f>
      </c>
      <c r="M3693" s="195" t="str">
        <f>L3693*(1-K3693)</f>
      </c>
    </row>
    <row r="3694">
      <c r="A3694" t="s">
        <v>167</v>
      </c>
      <c r="B3694" t="s">
        <v>262</v>
      </c>
      <c r="C3694" s="35" t="s">
        <v>264</v>
      </c>
      <c r="D3694" t="s">
        <v>502</v>
      </c>
      <c r="E3694" t="s">
        <v>520</v>
      </c>
      <c r="F3694" s="188" t="n">
        <v>2039</v>
      </c>
      <c r="G3694" s="189" t="n">
        <v>42</v>
      </c>
      <c r="H3694" s="190" t="n">
        <v>4180.76813598048</v>
      </c>
      <c r="I3694" s="191" t="n">
        <v>4471471.28403243</v>
      </c>
      <c r="J3694" s="192" t="str">
        <f>IF(I3694&gt;0,H3694/I3694,0)</f>
      </c>
      <c r="K3694" s="193" t="str">
        <f>1-EXP(-J3694)</f>
      </c>
      <c r="L3694" s="194" t="str">
        <f>IF(G3694=30,1,M3693)</f>
      </c>
      <c r="M3694" s="195" t="str">
        <f>L3694*(1-K3694)</f>
      </c>
    </row>
    <row r="3695">
      <c r="A3695" t="s">
        <v>167</v>
      </c>
      <c r="B3695" t="s">
        <v>262</v>
      </c>
      <c r="C3695" s="35" t="s">
        <v>264</v>
      </c>
      <c r="D3695" t="s">
        <v>502</v>
      </c>
      <c r="E3695" t="s">
        <v>520</v>
      </c>
      <c r="F3695" s="188" t="n">
        <v>2039</v>
      </c>
      <c r="G3695" s="189" t="n">
        <v>43</v>
      </c>
      <c r="H3695" s="190" t="n">
        <v>4492.81132112435</v>
      </c>
      <c r="I3695" s="191" t="n">
        <v>4423942.8094358</v>
      </c>
      <c r="J3695" s="192" t="str">
        <f>IF(I3695&gt;0,H3695/I3695,0)</f>
      </c>
      <c r="K3695" s="193" t="str">
        <f>1-EXP(-J3695)</f>
      </c>
      <c r="L3695" s="194" t="str">
        <f>IF(G3695=30,1,M3694)</f>
      </c>
      <c r="M3695" s="195" t="str">
        <f>L3695*(1-K3695)</f>
      </c>
    </row>
    <row r="3696">
      <c r="A3696" t="s">
        <v>167</v>
      </c>
      <c r="B3696" t="s">
        <v>262</v>
      </c>
      <c r="C3696" s="35" t="s">
        <v>264</v>
      </c>
      <c r="D3696" t="s">
        <v>502</v>
      </c>
      <c r="E3696" t="s">
        <v>520</v>
      </c>
      <c r="F3696" s="188" t="n">
        <v>2039</v>
      </c>
      <c r="G3696" s="189" t="n">
        <v>44</v>
      </c>
      <c r="H3696" s="190" t="n">
        <v>4807.19673512646</v>
      </c>
      <c r="I3696" s="191" t="n">
        <v>4346260.01677383</v>
      </c>
      <c r="J3696" s="192" t="str">
        <f>IF(I3696&gt;0,H3696/I3696,0)</f>
      </c>
      <c r="K3696" s="193" t="str">
        <f>1-EXP(-J3696)</f>
      </c>
      <c r="L3696" s="194" t="str">
        <f>IF(G3696=30,1,M3695)</f>
      </c>
      <c r="M3696" s="195" t="str">
        <f>L3696*(1-K3696)</f>
      </c>
    </row>
    <row r="3697">
      <c r="A3697" t="s">
        <v>167</v>
      </c>
      <c r="B3697" t="s">
        <v>262</v>
      </c>
      <c r="C3697" s="35" t="s">
        <v>264</v>
      </c>
      <c r="D3697" t="s">
        <v>502</v>
      </c>
      <c r="E3697" t="s">
        <v>520</v>
      </c>
      <c r="F3697" s="188" t="n">
        <v>2039</v>
      </c>
      <c r="G3697" s="189" t="n">
        <v>45</v>
      </c>
      <c r="H3697" s="190" t="n">
        <v>6085.26696706675</v>
      </c>
      <c r="I3697" s="191" t="n">
        <v>4283514.28895308</v>
      </c>
      <c r="J3697" s="192" t="str">
        <f>IF(I3697&gt;0,H3697/I3697,0)</f>
      </c>
      <c r="K3697" s="193" t="str">
        <f>1-EXP(-J3697)</f>
      </c>
      <c r="L3697" s="194" t="str">
        <f>IF(G3697=30,1,M3696)</f>
      </c>
      <c r="M3697" s="195" t="str">
        <f>L3697*(1-K3697)</f>
      </c>
    </row>
    <row r="3698">
      <c r="A3698" t="s">
        <v>167</v>
      </c>
      <c r="B3698" t="s">
        <v>262</v>
      </c>
      <c r="C3698" s="35" t="s">
        <v>264</v>
      </c>
      <c r="D3698" t="s">
        <v>502</v>
      </c>
      <c r="E3698" t="s">
        <v>520</v>
      </c>
      <c r="F3698" s="188" t="n">
        <v>2039</v>
      </c>
      <c r="G3698" s="189" t="n">
        <v>46</v>
      </c>
      <c r="H3698" s="190" t="n">
        <v>6548.99928133086</v>
      </c>
      <c r="I3698" s="191" t="n">
        <v>4222739.74985265</v>
      </c>
      <c r="J3698" s="192" t="str">
        <f>IF(I3698&gt;0,H3698/I3698,0)</f>
      </c>
      <c r="K3698" s="193" t="str">
        <f>1-EXP(-J3698)</f>
      </c>
      <c r="L3698" s="194" t="str">
        <f>IF(G3698=30,1,M3697)</f>
      </c>
      <c r="M3698" s="195" t="str">
        <f>L3698*(1-K3698)</f>
      </c>
    </row>
    <row r="3699">
      <c r="A3699" t="s">
        <v>167</v>
      </c>
      <c r="B3699" t="s">
        <v>262</v>
      </c>
      <c r="C3699" s="35" t="s">
        <v>264</v>
      </c>
      <c r="D3699" t="s">
        <v>502</v>
      </c>
      <c r="E3699" t="s">
        <v>520</v>
      </c>
      <c r="F3699" s="188" t="n">
        <v>2039</v>
      </c>
      <c r="G3699" s="189" t="n">
        <v>47</v>
      </c>
      <c r="H3699" s="190" t="n">
        <v>7213.25470653578</v>
      </c>
      <c r="I3699" s="191" t="n">
        <v>4251418.22569195</v>
      </c>
      <c r="J3699" s="192" t="str">
        <f>IF(I3699&gt;0,H3699/I3699,0)</f>
      </c>
      <c r="K3699" s="193" t="str">
        <f>1-EXP(-J3699)</f>
      </c>
      <c r="L3699" s="194" t="str">
        <f>IF(G3699=30,1,M3698)</f>
      </c>
      <c r="M3699" s="195" t="str">
        <f>L3699*(1-K3699)</f>
      </c>
    </row>
    <row r="3700">
      <c r="A3700" t="s">
        <v>167</v>
      </c>
      <c r="B3700" t="s">
        <v>262</v>
      </c>
      <c r="C3700" s="35" t="s">
        <v>264</v>
      </c>
      <c r="D3700" t="s">
        <v>502</v>
      </c>
      <c r="E3700" t="s">
        <v>520</v>
      </c>
      <c r="F3700" s="188" t="n">
        <v>2039</v>
      </c>
      <c r="G3700" s="189" t="n">
        <v>48</v>
      </c>
      <c r="H3700" s="190" t="n">
        <v>7922.66057008757</v>
      </c>
      <c r="I3700" s="191" t="n">
        <v>4259742.65073559</v>
      </c>
      <c r="J3700" s="192" t="str">
        <f>IF(I3700&gt;0,H3700/I3700,0)</f>
      </c>
      <c r="K3700" s="193" t="str">
        <f>1-EXP(-J3700)</f>
      </c>
      <c r="L3700" s="194" t="str">
        <f>IF(G3700=30,1,M3699)</f>
      </c>
      <c r="M3700" s="195" t="str">
        <f>L3700*(1-K3700)</f>
      </c>
    </row>
    <row r="3701">
      <c r="A3701" t="s">
        <v>167</v>
      </c>
      <c r="B3701" t="s">
        <v>262</v>
      </c>
      <c r="C3701" s="35" t="s">
        <v>264</v>
      </c>
      <c r="D3701" t="s">
        <v>502</v>
      </c>
      <c r="E3701" t="s">
        <v>520</v>
      </c>
      <c r="F3701" s="188" t="n">
        <v>2039</v>
      </c>
      <c r="G3701" s="189" t="n">
        <v>49</v>
      </c>
      <c r="H3701" s="190" t="n">
        <v>11702.2650104735</v>
      </c>
      <c r="I3701" s="191" t="n">
        <v>6266594.36701221</v>
      </c>
      <c r="J3701" s="192" t="str">
        <f>IF(I3701&gt;0,H3701/I3701,0)</f>
      </c>
      <c r="K3701" s="193" t="str">
        <f>1-EXP(-J3701)</f>
      </c>
      <c r="L3701" s="194" t="str">
        <f>IF(G3701=30,1,M3700)</f>
      </c>
      <c r="M3701" s="195" t="str">
        <f>L3701*(1-K3701)</f>
      </c>
    </row>
    <row r="3702">
      <c r="A3702" t="s">
        <v>167</v>
      </c>
      <c r="B3702" t="s">
        <v>262</v>
      </c>
      <c r="C3702" s="35" t="s">
        <v>264</v>
      </c>
      <c r="D3702" t="s">
        <v>502</v>
      </c>
      <c r="E3702" t="s">
        <v>520</v>
      </c>
      <c r="F3702" s="188" t="n">
        <v>2039</v>
      </c>
      <c r="G3702" s="189" t="n">
        <v>50</v>
      </c>
      <c r="H3702" s="190" t="n">
        <v>9853.377154192</v>
      </c>
      <c r="I3702" s="191" t="n">
        <v>4197893.77672333</v>
      </c>
      <c r="J3702" s="192" t="str">
        <f>IF(I3702&gt;0,H3702/I3702,0)</f>
      </c>
      <c r="K3702" s="193" t="str">
        <f>1-EXP(-J3702)</f>
      </c>
      <c r="L3702" s="194" t="str">
        <f>IF(G3702=30,1,M3701)</f>
      </c>
      <c r="M3702" s="195" t="str">
        <f>L3702*(1-K3702)</f>
      </c>
    </row>
    <row r="3703">
      <c r="A3703" t="s">
        <v>167</v>
      </c>
      <c r="B3703" t="s">
        <v>262</v>
      </c>
      <c r="C3703" s="35" t="s">
        <v>264</v>
      </c>
      <c r="D3703" t="s">
        <v>502</v>
      </c>
      <c r="E3703" t="s">
        <v>520</v>
      </c>
      <c r="F3703" s="188" t="n">
        <v>2039</v>
      </c>
      <c r="G3703" s="189" t="n">
        <v>51</v>
      </c>
      <c r="H3703" s="190" t="n">
        <v>10699.7733045998</v>
      </c>
      <c r="I3703" s="191" t="n">
        <v>4168437.88828825</v>
      </c>
      <c r="J3703" s="192" t="str">
        <f>IF(I3703&gt;0,H3703/I3703,0)</f>
      </c>
      <c r="K3703" s="193" t="str">
        <f>1-EXP(-J3703)</f>
      </c>
      <c r="L3703" s="194" t="str">
        <f>IF(G3703=30,1,M3702)</f>
      </c>
      <c r="M3703" s="195" t="str">
        <f>L3703*(1-K3703)</f>
      </c>
    </row>
    <row r="3704">
      <c r="A3704" t="s">
        <v>167</v>
      </c>
      <c r="B3704" t="s">
        <v>262</v>
      </c>
      <c r="C3704" s="35" t="s">
        <v>264</v>
      </c>
      <c r="D3704" t="s">
        <v>502</v>
      </c>
      <c r="E3704" t="s">
        <v>520</v>
      </c>
      <c r="F3704" s="188" t="n">
        <v>2039</v>
      </c>
      <c r="G3704" s="189" t="n">
        <v>52</v>
      </c>
      <c r="H3704" s="190" t="n">
        <v>11306.0850287286</v>
      </c>
      <c r="I3704" s="191" t="n">
        <v>4027260.13884793</v>
      </c>
      <c r="J3704" s="192" t="str">
        <f>IF(I3704&gt;0,H3704/I3704,0)</f>
      </c>
      <c r="K3704" s="193" t="str">
        <f>1-EXP(-J3704)</f>
      </c>
      <c r="L3704" s="194" t="str">
        <f>IF(G3704=30,1,M3703)</f>
      </c>
      <c r="M3704" s="195" t="str">
        <f>L3704*(1-K3704)</f>
      </c>
    </row>
    <row r="3705">
      <c r="A3705" t="s">
        <v>167</v>
      </c>
      <c r="B3705" t="s">
        <v>262</v>
      </c>
      <c r="C3705" s="35" t="s">
        <v>264</v>
      </c>
      <c r="D3705" t="s">
        <v>502</v>
      </c>
      <c r="E3705" t="s">
        <v>520</v>
      </c>
      <c r="F3705" s="188" t="n">
        <v>2039</v>
      </c>
      <c r="G3705" s="189" t="n">
        <v>53</v>
      </c>
      <c r="H3705" s="190" t="n">
        <v>12197.5601154081</v>
      </c>
      <c r="I3705" s="191" t="n">
        <v>3979308.91138708</v>
      </c>
      <c r="J3705" s="192" t="str">
        <f>IF(I3705&gt;0,H3705/I3705,0)</f>
      </c>
      <c r="K3705" s="193" t="str">
        <f>1-EXP(-J3705)</f>
      </c>
      <c r="L3705" s="194" t="str">
        <f>IF(G3705=30,1,M3704)</f>
      </c>
      <c r="M3705" s="195" t="str">
        <f>L3705*(1-K3705)</f>
      </c>
    </row>
    <row r="3706">
      <c r="A3706" t="s">
        <v>167</v>
      </c>
      <c r="B3706" t="s">
        <v>262</v>
      </c>
      <c r="C3706" s="35" t="s">
        <v>264</v>
      </c>
      <c r="D3706" t="s">
        <v>502</v>
      </c>
      <c r="E3706" t="s">
        <v>520</v>
      </c>
      <c r="F3706" s="188" t="n">
        <v>2039</v>
      </c>
      <c r="G3706" s="189" t="n">
        <v>54</v>
      </c>
      <c r="H3706" s="190" t="n">
        <v>13443.3900567436</v>
      </c>
      <c r="I3706" s="191" t="n">
        <v>4019544.57166915</v>
      </c>
      <c r="J3706" s="192" t="str">
        <f>IF(I3706&gt;0,H3706/I3706,0)</f>
      </c>
      <c r="K3706" s="193" t="str">
        <f>1-EXP(-J3706)</f>
      </c>
      <c r="L3706" s="194" t="str">
        <f>IF(G3706=30,1,M3705)</f>
      </c>
      <c r="M3706" s="195" t="str">
        <f>L3706*(1-K3706)</f>
      </c>
    </row>
    <row r="3707">
      <c r="A3707" t="s">
        <v>167</v>
      </c>
      <c r="B3707" t="s">
        <v>262</v>
      </c>
      <c r="C3707" s="35" t="s">
        <v>264</v>
      </c>
      <c r="D3707" t="s">
        <v>502</v>
      </c>
      <c r="E3707" t="s">
        <v>520</v>
      </c>
      <c r="F3707" s="188" t="n">
        <v>2039</v>
      </c>
      <c r="G3707" s="189" t="n">
        <v>55</v>
      </c>
      <c r="H3707" s="190" t="n">
        <v>14798.8471108825</v>
      </c>
      <c r="I3707" s="191" t="n">
        <v>4081702.71810422</v>
      </c>
      <c r="J3707" s="192" t="str">
        <f>IF(I3707&gt;0,H3707/I3707,0)</f>
      </c>
      <c r="K3707" s="193" t="str">
        <f>1-EXP(-J3707)</f>
      </c>
      <c r="L3707" s="194" t="str">
        <f>IF(G3707=30,1,M3706)</f>
      </c>
      <c r="M3707" s="195" t="str">
        <f>L3707*(1-K3707)</f>
      </c>
    </row>
    <row r="3708">
      <c r="A3708" t="s">
        <v>167</v>
      </c>
      <c r="B3708" t="s">
        <v>262</v>
      </c>
      <c r="C3708" s="35" t="s">
        <v>264</v>
      </c>
      <c r="D3708" t="s">
        <v>502</v>
      </c>
      <c r="E3708" t="s">
        <v>520</v>
      </c>
      <c r="F3708" s="188" t="n">
        <v>2039</v>
      </c>
      <c r="G3708" s="189" t="n">
        <v>56</v>
      </c>
      <c r="H3708" s="190" t="n">
        <v>15942.3731307</v>
      </c>
      <c r="I3708" s="191" t="n">
        <v>4038364.56868256</v>
      </c>
      <c r="J3708" s="192" t="str">
        <f>IF(I3708&gt;0,H3708/I3708,0)</f>
      </c>
      <c r="K3708" s="193" t="str">
        <f>1-EXP(-J3708)</f>
      </c>
      <c r="L3708" s="194" t="str">
        <f>IF(G3708=30,1,M3707)</f>
      </c>
      <c r="M3708" s="195" t="str">
        <f>L3708*(1-K3708)</f>
      </c>
    </row>
    <row r="3709">
      <c r="A3709" t="s">
        <v>167</v>
      </c>
      <c r="B3709" t="s">
        <v>262</v>
      </c>
      <c r="C3709" s="35" t="s">
        <v>264</v>
      </c>
      <c r="D3709" t="s">
        <v>502</v>
      </c>
      <c r="E3709" t="s">
        <v>520</v>
      </c>
      <c r="F3709" s="188" t="n">
        <v>2039</v>
      </c>
      <c r="G3709" s="189" t="n">
        <v>57</v>
      </c>
      <c r="H3709" s="190" t="n">
        <v>16772.7963971483</v>
      </c>
      <c r="I3709" s="191" t="n">
        <v>3888015.35703182</v>
      </c>
      <c r="J3709" s="192" t="str">
        <f>IF(I3709&gt;0,H3709/I3709,0)</f>
      </c>
      <c r="K3709" s="193" t="str">
        <f>1-EXP(-J3709)</f>
      </c>
      <c r="L3709" s="194" t="str">
        <f>IF(G3709=30,1,M3708)</f>
      </c>
      <c r="M3709" s="195" t="str">
        <f>L3709*(1-K3709)</f>
      </c>
    </row>
    <row r="3710">
      <c r="A3710" t="s">
        <v>167</v>
      </c>
      <c r="B3710" t="s">
        <v>262</v>
      </c>
      <c r="C3710" s="35" t="s">
        <v>264</v>
      </c>
      <c r="D3710" t="s">
        <v>502</v>
      </c>
      <c r="E3710" t="s">
        <v>520</v>
      </c>
      <c r="F3710" s="188" t="n">
        <v>2039</v>
      </c>
      <c r="G3710" s="189" t="n">
        <v>58</v>
      </c>
      <c r="H3710" s="190" t="n">
        <v>17897.4184020255</v>
      </c>
      <c r="I3710" s="191" t="n">
        <v>3795719.46052876</v>
      </c>
      <c r="J3710" s="192" t="str">
        <f>IF(I3710&gt;0,H3710/I3710,0)</f>
      </c>
      <c r="K3710" s="193" t="str">
        <f>1-EXP(-J3710)</f>
      </c>
      <c r="L3710" s="194" t="str">
        <f>IF(G3710=30,1,M3709)</f>
      </c>
      <c r="M3710" s="195" t="str">
        <f>L3710*(1-K3710)</f>
      </c>
    </row>
    <row r="3711">
      <c r="A3711" t="s">
        <v>167</v>
      </c>
      <c r="B3711" t="s">
        <v>262</v>
      </c>
      <c r="C3711" s="35" t="s">
        <v>264</v>
      </c>
      <c r="D3711" t="s">
        <v>502</v>
      </c>
      <c r="E3711" t="s">
        <v>520</v>
      </c>
      <c r="F3711" s="188" t="n">
        <v>2039</v>
      </c>
      <c r="G3711" s="189" t="n">
        <v>59</v>
      </c>
      <c r="H3711" s="190" t="n">
        <v>19178.2543463905</v>
      </c>
      <c r="I3711" s="191" t="n">
        <v>3717023.15462744</v>
      </c>
      <c r="J3711" s="192" t="str">
        <f>IF(I3711&gt;0,H3711/I3711,0)</f>
      </c>
      <c r="K3711" s="193" t="str">
        <f>1-EXP(-J3711)</f>
      </c>
      <c r="L3711" s="194" t="str">
        <f>IF(G3711=30,1,M3710)</f>
      </c>
      <c r="M3711" s="195" t="str">
        <f>L3711*(1-K3711)</f>
      </c>
    </row>
    <row r="3712">
      <c r="A3712" t="s">
        <v>167</v>
      </c>
      <c r="B3712" t="s">
        <v>262</v>
      </c>
      <c r="C3712" s="35" t="s">
        <v>264</v>
      </c>
      <c r="D3712" t="s">
        <v>502</v>
      </c>
      <c r="E3712" t="s">
        <v>520</v>
      </c>
      <c r="F3712" s="188" t="n">
        <v>2039</v>
      </c>
      <c r="G3712" s="189" t="n">
        <v>60</v>
      </c>
      <c r="H3712" s="190" t="n">
        <v>20499.4319468667</v>
      </c>
      <c r="I3712" s="191" t="n">
        <v>3631908.00455486</v>
      </c>
      <c r="J3712" s="192" t="str">
        <f>IF(I3712&gt;0,H3712/I3712,0)</f>
      </c>
      <c r="K3712" s="193" t="str">
        <f>1-EXP(-J3712)</f>
      </c>
      <c r="L3712" s="194" t="str">
        <f>IF(G3712=30,1,M3711)</f>
      </c>
      <c r="M3712" s="195" t="str">
        <f>L3712*(1-K3712)</f>
      </c>
    </row>
    <row r="3713">
      <c r="A3713" t="s">
        <v>167</v>
      </c>
      <c r="B3713" t="s">
        <v>262</v>
      </c>
      <c r="C3713" s="35" t="s">
        <v>264</v>
      </c>
      <c r="D3713" t="s">
        <v>502</v>
      </c>
      <c r="E3713" t="s">
        <v>520</v>
      </c>
      <c r="F3713" s="188" t="n">
        <v>2039</v>
      </c>
      <c r="G3713" s="189" t="n">
        <v>61</v>
      </c>
      <c r="H3713" s="190" t="n">
        <v>21833.5020712856</v>
      </c>
      <c r="I3713" s="191" t="n">
        <v>3527280.3917737</v>
      </c>
      <c r="J3713" s="192" t="str">
        <f>IF(I3713&gt;0,H3713/I3713,0)</f>
      </c>
      <c r="K3713" s="193" t="str">
        <f>1-EXP(-J3713)</f>
      </c>
      <c r="L3713" s="194" t="str">
        <f>IF(G3713=30,1,M3712)</f>
      </c>
      <c r="M3713" s="195" t="str">
        <f>L3713*(1-K3713)</f>
      </c>
    </row>
    <row r="3714">
      <c r="A3714" t="s">
        <v>167</v>
      </c>
      <c r="B3714" t="s">
        <v>262</v>
      </c>
      <c r="C3714" s="35" t="s">
        <v>264</v>
      </c>
      <c r="D3714" t="s">
        <v>502</v>
      </c>
      <c r="E3714" t="s">
        <v>520</v>
      </c>
      <c r="F3714" s="188" t="n">
        <v>2039</v>
      </c>
      <c r="G3714" s="189" t="n">
        <v>62</v>
      </c>
      <c r="H3714" s="190" t="n">
        <v>23347.6338772435</v>
      </c>
      <c r="I3714" s="191" t="n">
        <v>3436750.56073665</v>
      </c>
      <c r="J3714" s="192" t="str">
        <f>IF(I3714&gt;0,H3714/I3714,0)</f>
      </c>
      <c r="K3714" s="193" t="str">
        <f>1-EXP(-J3714)</f>
      </c>
      <c r="L3714" s="194" t="str">
        <f>IF(G3714=30,1,M3713)</f>
      </c>
      <c r="M3714" s="195" t="str">
        <f>L3714*(1-K3714)</f>
      </c>
    </row>
    <row r="3715">
      <c r="A3715" t="s">
        <v>167</v>
      </c>
      <c r="B3715" t="s">
        <v>262</v>
      </c>
      <c r="C3715" s="35" t="s">
        <v>264</v>
      </c>
      <c r="D3715" t="s">
        <v>502</v>
      </c>
      <c r="E3715" t="s">
        <v>520</v>
      </c>
      <c r="F3715" s="188" t="n">
        <v>2039</v>
      </c>
      <c r="G3715" s="189" t="n">
        <v>63</v>
      </c>
      <c r="H3715" s="190" t="n">
        <v>24832.072516181</v>
      </c>
      <c r="I3715" s="191" t="n">
        <v>3334356.69920766</v>
      </c>
      <c r="J3715" s="192" t="str">
        <f>IF(I3715&gt;0,H3715/I3715,0)</f>
      </c>
      <c r="K3715" s="193" t="str">
        <f>1-EXP(-J3715)</f>
      </c>
      <c r="L3715" s="194" t="str">
        <f>IF(G3715=30,1,M3714)</f>
      </c>
      <c r="M3715" s="195" t="str">
        <f>L3715*(1-K3715)</f>
      </c>
    </row>
    <row r="3716">
      <c r="A3716" t="s">
        <v>167</v>
      </c>
      <c r="B3716" t="s">
        <v>262</v>
      </c>
      <c r="C3716" s="35" t="s">
        <v>264</v>
      </c>
      <c r="D3716" t="s">
        <v>502</v>
      </c>
      <c r="E3716" t="s">
        <v>520</v>
      </c>
      <c r="F3716" s="188" t="n">
        <v>2039</v>
      </c>
      <c r="G3716" s="189" t="n">
        <v>64</v>
      </c>
      <c r="H3716" s="190" t="n">
        <v>26368.2514598019</v>
      </c>
      <c r="I3716" s="191" t="n">
        <v>3229867.31907314</v>
      </c>
      <c r="J3716" s="192" t="str">
        <f>IF(I3716&gt;0,H3716/I3716,0)</f>
      </c>
      <c r="K3716" s="193" t="str">
        <f>1-EXP(-J3716)</f>
      </c>
      <c r="L3716" s="194" t="str">
        <f>IF(G3716=30,1,M3715)</f>
      </c>
      <c r="M3716" s="195" t="str">
        <f>L3716*(1-K3716)</f>
      </c>
    </row>
    <row r="3717">
      <c r="A3717" t="s">
        <v>167</v>
      </c>
      <c r="B3717" t="s">
        <v>262</v>
      </c>
      <c r="C3717" s="35" t="s">
        <v>264</v>
      </c>
      <c r="D3717" t="s">
        <v>502</v>
      </c>
      <c r="E3717" t="s">
        <v>520</v>
      </c>
      <c r="F3717" s="188" t="n">
        <v>2039</v>
      </c>
      <c r="G3717" s="189" t="n">
        <v>65</v>
      </c>
      <c r="H3717" s="190" t="n">
        <v>26631.30819524</v>
      </c>
      <c r="I3717" s="191" t="n">
        <v>3099814.42560805</v>
      </c>
      <c r="J3717" s="192" t="str">
        <f>IF(I3717&gt;0,H3717/I3717,0)</f>
      </c>
      <c r="K3717" s="193" t="str">
        <f>1-EXP(-J3717)</f>
      </c>
      <c r="L3717" s="194" t="str">
        <f>IF(G3717=30,1,M3716)</f>
      </c>
      <c r="M3717" s="195" t="str">
        <f>L3717*(1-K3717)</f>
      </c>
    </row>
    <row r="3718">
      <c r="A3718" t="s">
        <v>167</v>
      </c>
      <c r="B3718" t="s">
        <v>262</v>
      </c>
      <c r="C3718" s="35" t="s">
        <v>264</v>
      </c>
      <c r="D3718" t="s">
        <v>502</v>
      </c>
      <c r="E3718" t="s">
        <v>520</v>
      </c>
      <c r="F3718" s="188" t="n">
        <v>2039</v>
      </c>
      <c r="G3718" s="189" t="n">
        <v>66</v>
      </c>
      <c r="H3718" s="190" t="n">
        <v>28458.2735399066</v>
      </c>
      <c r="I3718" s="191" t="n">
        <v>3021301.62815138</v>
      </c>
      <c r="J3718" s="192" t="str">
        <f>IF(I3718&gt;0,H3718/I3718,0)</f>
      </c>
      <c r="K3718" s="193" t="str">
        <f>1-EXP(-J3718)</f>
      </c>
      <c r="L3718" s="194" t="str">
        <f>IF(G3718=30,1,M3717)</f>
      </c>
      <c r="M3718" s="195" t="str">
        <f>L3718*(1-K3718)</f>
      </c>
    </row>
    <row r="3719">
      <c r="A3719" t="s">
        <v>167</v>
      </c>
      <c r="B3719" t="s">
        <v>262</v>
      </c>
      <c r="C3719" s="35" t="s">
        <v>264</v>
      </c>
      <c r="D3719" t="s">
        <v>502</v>
      </c>
      <c r="E3719" t="s">
        <v>520</v>
      </c>
      <c r="F3719" s="188" t="n">
        <v>2039</v>
      </c>
      <c r="G3719" s="189" t="n">
        <v>67</v>
      </c>
      <c r="H3719" s="190" t="n">
        <v>28982.4336283933</v>
      </c>
      <c r="I3719" s="191" t="n">
        <v>2800165.44718368</v>
      </c>
      <c r="J3719" s="192" t="str">
        <f>IF(I3719&gt;0,H3719/I3719,0)</f>
      </c>
      <c r="K3719" s="193" t="str">
        <f>1-EXP(-J3719)</f>
      </c>
      <c r="L3719" s="194" t="str">
        <f>IF(G3719=30,1,M3718)</f>
      </c>
      <c r="M3719" s="195" t="str">
        <f>L3719*(1-K3719)</f>
      </c>
    </row>
    <row r="3720">
      <c r="A3720" t="s">
        <v>167</v>
      </c>
      <c r="B3720" t="s">
        <v>262</v>
      </c>
      <c r="C3720" s="35" t="s">
        <v>264</v>
      </c>
      <c r="D3720" t="s">
        <v>502</v>
      </c>
      <c r="E3720" t="s">
        <v>520</v>
      </c>
      <c r="F3720" s="188" t="n">
        <v>2039</v>
      </c>
      <c r="G3720" s="189" t="n">
        <v>68</v>
      </c>
      <c r="H3720" s="190" t="n">
        <v>30506.6436244155</v>
      </c>
      <c r="I3720" s="191" t="n">
        <v>2683166.67232445</v>
      </c>
      <c r="J3720" s="192" t="str">
        <f>IF(I3720&gt;0,H3720/I3720,0)</f>
      </c>
      <c r="K3720" s="193" t="str">
        <f>1-EXP(-J3720)</f>
      </c>
      <c r="L3720" s="194" t="str">
        <f>IF(G3720=30,1,M3719)</f>
      </c>
      <c r="M3720" s="195" t="str">
        <f>L3720*(1-K3720)</f>
      </c>
    </row>
    <row r="3721">
      <c r="A3721" t="s">
        <v>167</v>
      </c>
      <c r="B3721" t="s">
        <v>262</v>
      </c>
      <c r="C3721" s="35" t="s">
        <v>264</v>
      </c>
      <c r="D3721" t="s">
        <v>502</v>
      </c>
      <c r="E3721" t="s">
        <v>520</v>
      </c>
      <c r="F3721" s="188" t="n">
        <v>2039</v>
      </c>
      <c r="G3721" s="189" t="n">
        <v>69</v>
      </c>
      <c r="H3721" s="190" t="n">
        <v>32111.0061771632</v>
      </c>
      <c r="I3721" s="191" t="n">
        <v>2568637.20240569</v>
      </c>
      <c r="J3721" s="192" t="str">
        <f>IF(I3721&gt;0,H3721/I3721,0)</f>
      </c>
      <c r="K3721" s="193" t="str">
        <f>1-EXP(-J3721)</f>
      </c>
      <c r="L3721" s="194" t="str">
        <f>IF(G3721=30,1,M3720)</f>
      </c>
      <c r="M3721" s="195" t="str">
        <f>L3721*(1-K3721)</f>
      </c>
    </row>
    <row r="3722">
      <c r="A3722" t="s">
        <v>167</v>
      </c>
      <c r="B3722" t="s">
        <v>262</v>
      </c>
      <c r="C3722" s="35" t="s">
        <v>264</v>
      </c>
      <c r="D3722" t="s">
        <v>502</v>
      </c>
      <c r="E3722" t="s">
        <v>520</v>
      </c>
      <c r="F3722" s="188" t="n">
        <v>2040</v>
      </c>
      <c r="G3722" s="189" t="n">
        <v>30</v>
      </c>
      <c r="H3722" s="190" t="n">
        <v>785.967675509408</v>
      </c>
      <c r="I3722" s="191" t="n">
        <v>4755814.01967884</v>
      </c>
      <c r="J3722" s="192" t="str">
        <f>IF(I3722&gt;0,H3722/I3722,0)</f>
      </c>
      <c r="K3722" s="193" t="str">
        <f>1-EXP(-J3722)</f>
      </c>
      <c r="L3722" s="194" t="str">
        <f>IF(G3722=30,1,M3721)</f>
      </c>
      <c r="M3722" s="195" t="str">
        <f>L3722*(1-K3722)</f>
      </c>
    </row>
    <row r="3723">
      <c r="A3723" t="s">
        <v>167</v>
      </c>
      <c r="B3723" t="s">
        <v>262</v>
      </c>
      <c r="C3723" s="35" t="s">
        <v>264</v>
      </c>
      <c r="D3723" t="s">
        <v>502</v>
      </c>
      <c r="E3723" t="s">
        <v>520</v>
      </c>
      <c r="F3723" s="188" t="n">
        <v>2040</v>
      </c>
      <c r="G3723" s="189" t="n">
        <v>31</v>
      </c>
      <c r="H3723" s="190" t="n">
        <v>996.471573370681</v>
      </c>
      <c r="I3723" s="191" t="n">
        <v>4684945.91018479</v>
      </c>
      <c r="J3723" s="192" t="str">
        <f>IF(I3723&gt;0,H3723/I3723,0)</f>
      </c>
      <c r="K3723" s="193" t="str">
        <f>1-EXP(-J3723)</f>
      </c>
      <c r="L3723" s="194" t="str">
        <f>IF(G3723=30,1,M3722)</f>
      </c>
      <c r="M3723" s="195" t="str">
        <f>L3723*(1-K3723)</f>
      </c>
    </row>
    <row r="3724">
      <c r="A3724" t="s">
        <v>167</v>
      </c>
      <c r="B3724" t="s">
        <v>262</v>
      </c>
      <c r="C3724" s="35" t="s">
        <v>264</v>
      </c>
      <c r="D3724" t="s">
        <v>502</v>
      </c>
      <c r="E3724" t="s">
        <v>520</v>
      </c>
      <c r="F3724" s="188" t="n">
        <v>2040</v>
      </c>
      <c r="G3724" s="189" t="n">
        <v>32</v>
      </c>
      <c r="H3724" s="190" t="n">
        <v>1040.45666535349</v>
      </c>
      <c r="I3724" s="191" t="n">
        <v>4642435.45265021</v>
      </c>
      <c r="J3724" s="192" t="str">
        <f>IF(I3724&gt;0,H3724/I3724,0)</f>
      </c>
      <c r="K3724" s="193" t="str">
        <f>1-EXP(-J3724)</f>
      </c>
      <c r="L3724" s="194" t="str">
        <f>IF(G3724=30,1,M3723)</f>
      </c>
      <c r="M3724" s="195" t="str">
        <f>L3724*(1-K3724)</f>
      </c>
    </row>
    <row r="3725">
      <c r="A3725" t="s">
        <v>167</v>
      </c>
      <c r="B3725" t="s">
        <v>262</v>
      </c>
      <c r="C3725" s="35" t="s">
        <v>264</v>
      </c>
      <c r="D3725" t="s">
        <v>502</v>
      </c>
      <c r="E3725" t="s">
        <v>520</v>
      </c>
      <c r="F3725" s="188" t="n">
        <v>2040</v>
      </c>
      <c r="G3725" s="189" t="n">
        <v>33</v>
      </c>
      <c r="H3725" s="190" t="n">
        <v>1159.91573176928</v>
      </c>
      <c r="I3725" s="191" t="n">
        <v>4668490.58715852</v>
      </c>
      <c r="J3725" s="192" t="str">
        <f>IF(I3725&gt;0,H3725/I3725,0)</f>
      </c>
      <c r="K3725" s="193" t="str">
        <f>1-EXP(-J3725)</f>
      </c>
      <c r="L3725" s="194" t="str">
        <f>IF(G3725=30,1,M3724)</f>
      </c>
      <c r="M3725" s="195" t="str">
        <f>L3725*(1-K3725)</f>
      </c>
    </row>
    <row r="3726">
      <c r="A3726" t="s">
        <v>167</v>
      </c>
      <c r="B3726" t="s">
        <v>262</v>
      </c>
      <c r="C3726" s="35" t="s">
        <v>264</v>
      </c>
      <c r="D3726" t="s">
        <v>502</v>
      </c>
      <c r="E3726" t="s">
        <v>520</v>
      </c>
      <c r="F3726" s="188" t="n">
        <v>2040</v>
      </c>
      <c r="G3726" s="189" t="n">
        <v>34</v>
      </c>
      <c r="H3726" s="190" t="n">
        <v>1213.56793001882</v>
      </c>
      <c r="I3726" s="191" t="n">
        <v>4585345.10066893</v>
      </c>
      <c r="J3726" s="192" t="str">
        <f>IF(I3726&gt;0,H3726/I3726,0)</f>
      </c>
      <c r="K3726" s="193" t="str">
        <f>1-EXP(-J3726)</f>
      </c>
      <c r="L3726" s="194" t="str">
        <f>IF(G3726=30,1,M3725)</f>
      </c>
      <c r="M3726" s="195" t="str">
        <f>L3726*(1-K3726)</f>
      </c>
    </row>
    <row r="3727">
      <c r="A3727" t="s">
        <v>167</v>
      </c>
      <c r="B3727" t="s">
        <v>262</v>
      </c>
      <c r="C3727" s="35" t="s">
        <v>264</v>
      </c>
      <c r="D3727" t="s">
        <v>502</v>
      </c>
      <c r="E3727" t="s">
        <v>520</v>
      </c>
      <c r="F3727" s="188" t="n">
        <v>2040</v>
      </c>
      <c r="G3727" s="189" t="n">
        <v>35</v>
      </c>
      <c r="H3727" s="190" t="n">
        <v>1595.91655241143</v>
      </c>
      <c r="I3727" s="191" t="n">
        <v>4523960.91630297</v>
      </c>
      <c r="J3727" s="192" t="str">
        <f>IF(I3727&gt;0,H3727/I3727,0)</f>
      </c>
      <c r="K3727" s="193" t="str">
        <f>1-EXP(-J3727)</f>
      </c>
      <c r="L3727" s="194" t="str">
        <f>IF(G3727=30,1,M3726)</f>
      </c>
      <c r="M3727" s="195" t="str">
        <f>L3727*(1-K3727)</f>
      </c>
    </row>
    <row r="3728">
      <c r="A3728" t="s">
        <v>167</v>
      </c>
      <c r="B3728" t="s">
        <v>262</v>
      </c>
      <c r="C3728" s="35" t="s">
        <v>264</v>
      </c>
      <c r="D3728" t="s">
        <v>502</v>
      </c>
      <c r="E3728" t="s">
        <v>520</v>
      </c>
      <c r="F3728" s="188" t="n">
        <v>2040</v>
      </c>
      <c r="G3728" s="189" t="n">
        <v>36</v>
      </c>
      <c r="H3728" s="190" t="n">
        <v>1797.50783027241</v>
      </c>
      <c r="I3728" s="191" t="n">
        <v>4394631.42106724</v>
      </c>
      <c r="J3728" s="192" t="str">
        <f>IF(I3728&gt;0,H3728/I3728,0)</f>
      </c>
      <c r="K3728" s="193" t="str">
        <f>1-EXP(-J3728)</f>
      </c>
      <c r="L3728" s="194" t="str">
        <f>IF(G3728=30,1,M3727)</f>
      </c>
      <c r="M3728" s="195" t="str">
        <f>L3728*(1-K3728)</f>
      </c>
    </row>
    <row r="3729">
      <c r="A3729" t="s">
        <v>167</v>
      </c>
      <c r="B3729" t="s">
        <v>262</v>
      </c>
      <c r="C3729" s="35" t="s">
        <v>264</v>
      </c>
      <c r="D3729" t="s">
        <v>502</v>
      </c>
      <c r="E3729" t="s">
        <v>520</v>
      </c>
      <c r="F3729" s="188" t="n">
        <v>2040</v>
      </c>
      <c r="G3729" s="189" t="n">
        <v>37</v>
      </c>
      <c r="H3729" s="190" t="n">
        <v>1904.7692645747</v>
      </c>
      <c r="I3729" s="191" t="n">
        <v>4328210.14510197</v>
      </c>
      <c r="J3729" s="192" t="str">
        <f>IF(I3729&gt;0,H3729/I3729,0)</f>
      </c>
      <c r="K3729" s="193" t="str">
        <f>1-EXP(-J3729)</f>
      </c>
      <c r="L3729" s="194" t="str">
        <f>IF(G3729=30,1,M3728)</f>
      </c>
      <c r="M3729" s="195" t="str">
        <f>L3729*(1-K3729)</f>
      </c>
    </row>
    <row r="3730">
      <c r="A3730" t="s">
        <v>167</v>
      </c>
      <c r="B3730" t="s">
        <v>262</v>
      </c>
      <c r="C3730" s="35" t="s">
        <v>264</v>
      </c>
      <c r="D3730" t="s">
        <v>502</v>
      </c>
      <c r="E3730" t="s">
        <v>520</v>
      </c>
      <c r="F3730" s="188" t="n">
        <v>2040</v>
      </c>
      <c r="G3730" s="189" t="n">
        <v>38</v>
      </c>
      <c r="H3730" s="190" t="n">
        <v>2195.05323843782</v>
      </c>
      <c r="I3730" s="191" t="n">
        <v>4304459.808926</v>
      </c>
      <c r="J3730" s="192" t="str">
        <f>IF(I3730&gt;0,H3730/I3730,0)</f>
      </c>
      <c r="K3730" s="193" t="str">
        <f>1-EXP(-J3730)</f>
      </c>
      <c r="L3730" s="194" t="str">
        <f>IF(G3730=30,1,M3729)</f>
      </c>
      <c r="M3730" s="195" t="str">
        <f>L3730*(1-K3730)</f>
      </c>
    </row>
    <row r="3731">
      <c r="A3731" t="s">
        <v>167</v>
      </c>
      <c r="B3731" t="s">
        <v>262</v>
      </c>
      <c r="C3731" s="35" t="s">
        <v>264</v>
      </c>
      <c r="D3731" t="s">
        <v>502</v>
      </c>
      <c r="E3731" t="s">
        <v>520</v>
      </c>
      <c r="F3731" s="188" t="n">
        <v>2040</v>
      </c>
      <c r="G3731" s="189" t="n">
        <v>39</v>
      </c>
      <c r="H3731" s="190" t="n">
        <v>2357.96474315086</v>
      </c>
      <c r="I3731" s="191" t="n">
        <v>4282446.93299236</v>
      </c>
      <c r="J3731" s="192" t="str">
        <f>IF(I3731&gt;0,H3731/I3731,0)</f>
      </c>
      <c r="K3731" s="193" t="str">
        <f>1-EXP(-J3731)</f>
      </c>
      <c r="L3731" s="194" t="str">
        <f>IF(G3731=30,1,M3730)</f>
      </c>
      <c r="M3731" s="195" t="str">
        <f>L3731*(1-K3731)</f>
      </c>
    </row>
    <row r="3732">
      <c r="A3732" t="s">
        <v>167</v>
      </c>
      <c r="B3732" t="s">
        <v>262</v>
      </c>
      <c r="C3732" s="35" t="s">
        <v>264</v>
      </c>
      <c r="D3732" t="s">
        <v>502</v>
      </c>
      <c r="E3732" t="s">
        <v>520</v>
      </c>
      <c r="F3732" s="188" t="n">
        <v>2040</v>
      </c>
      <c r="G3732" s="189" t="n">
        <v>40</v>
      </c>
      <c r="H3732" s="190" t="n">
        <v>3150.34143010673</v>
      </c>
      <c r="I3732" s="191" t="n">
        <v>4259836.36362805</v>
      </c>
      <c r="J3732" s="192" t="str">
        <f>IF(I3732&gt;0,H3732/I3732,0)</f>
      </c>
      <c r="K3732" s="193" t="str">
        <f>1-EXP(-J3732)</f>
      </c>
      <c r="L3732" s="194" t="str">
        <f>IF(G3732=30,1,M3731)</f>
      </c>
      <c r="M3732" s="195" t="str">
        <f>L3732*(1-K3732)</f>
      </c>
    </row>
    <row r="3733">
      <c r="A3733" t="s">
        <v>167</v>
      </c>
      <c r="B3733" t="s">
        <v>262</v>
      </c>
      <c r="C3733" s="35" t="s">
        <v>264</v>
      </c>
      <c r="D3733" t="s">
        <v>502</v>
      </c>
      <c r="E3733" t="s">
        <v>520</v>
      </c>
      <c r="F3733" s="188" t="n">
        <v>2040</v>
      </c>
      <c r="G3733" s="189" t="n">
        <v>41</v>
      </c>
      <c r="H3733" s="190" t="n">
        <v>3487.37297010543</v>
      </c>
      <c r="I3733" s="191" t="n">
        <v>4275398.60597706</v>
      </c>
      <c r="J3733" s="192" t="str">
        <f>IF(I3733&gt;0,H3733/I3733,0)</f>
      </c>
      <c r="K3733" s="193" t="str">
        <f>1-EXP(-J3733)</f>
      </c>
      <c r="L3733" s="194" t="str">
        <f>IF(G3733=30,1,M3732)</f>
      </c>
      <c r="M3733" s="195" t="str">
        <f>L3733*(1-K3733)</f>
      </c>
    </row>
    <row r="3734">
      <c r="A3734" t="s">
        <v>167</v>
      </c>
      <c r="B3734" t="s">
        <v>262</v>
      </c>
      <c r="C3734" s="35" t="s">
        <v>264</v>
      </c>
      <c r="D3734" t="s">
        <v>502</v>
      </c>
      <c r="E3734" t="s">
        <v>520</v>
      </c>
      <c r="F3734" s="188" t="n">
        <v>2040</v>
      </c>
      <c r="G3734" s="189" t="n">
        <v>42</v>
      </c>
      <c r="H3734" s="190" t="n">
        <v>3834.61135593676</v>
      </c>
      <c r="I3734" s="191" t="n">
        <v>4329760.24412505</v>
      </c>
      <c r="J3734" s="192" t="str">
        <f>IF(I3734&gt;0,H3734/I3734,0)</f>
      </c>
      <c r="K3734" s="193" t="str">
        <f>1-EXP(-J3734)</f>
      </c>
      <c r="L3734" s="194" t="str">
        <f>IF(G3734=30,1,M3733)</f>
      </c>
      <c r="M3734" s="195" t="str">
        <f>L3734*(1-K3734)</f>
      </c>
    </row>
    <row r="3735">
      <c r="A3735" t="s">
        <v>167</v>
      </c>
      <c r="B3735" t="s">
        <v>262</v>
      </c>
      <c r="C3735" s="35" t="s">
        <v>264</v>
      </c>
      <c r="D3735" t="s">
        <v>502</v>
      </c>
      <c r="E3735" t="s">
        <v>520</v>
      </c>
      <c r="F3735" s="188" t="n">
        <v>2040</v>
      </c>
      <c r="G3735" s="189" t="n">
        <v>43</v>
      </c>
      <c r="H3735" s="190" t="n">
        <v>4510.24823515257</v>
      </c>
      <c r="I3735" s="191" t="n">
        <v>4460111.67213797</v>
      </c>
      <c r="J3735" s="192" t="str">
        <f>IF(I3735&gt;0,H3735/I3735,0)</f>
      </c>
      <c r="K3735" s="193" t="str">
        <f>1-EXP(-J3735)</f>
      </c>
      <c r="L3735" s="194" t="str">
        <f>IF(G3735=30,1,M3734)</f>
      </c>
      <c r="M3735" s="195" t="str">
        <f>L3735*(1-K3735)</f>
      </c>
    </row>
    <row r="3736">
      <c r="A3736" t="s">
        <v>167</v>
      </c>
      <c r="B3736" t="s">
        <v>262</v>
      </c>
      <c r="C3736" s="35" t="s">
        <v>264</v>
      </c>
      <c r="D3736" t="s">
        <v>502</v>
      </c>
      <c r="E3736" t="s">
        <v>520</v>
      </c>
      <c r="F3736" s="188" t="n">
        <v>2040</v>
      </c>
      <c r="G3736" s="189" t="n">
        <v>44</v>
      </c>
      <c r="H3736" s="190" t="n">
        <v>4857.02411358975</v>
      </c>
      <c r="I3736" s="191" t="n">
        <v>4411760.27295621</v>
      </c>
      <c r="J3736" s="192" t="str">
        <f>IF(I3736&gt;0,H3736/I3736,0)</f>
      </c>
      <c r="K3736" s="193" t="str">
        <f>1-EXP(-J3736)</f>
      </c>
      <c r="L3736" s="194" t="str">
        <f>IF(G3736=30,1,M3735)</f>
      </c>
      <c r="M3736" s="195" t="str">
        <f>L3736*(1-K3736)</f>
      </c>
    </row>
    <row r="3737">
      <c r="A3737" t="s">
        <v>167</v>
      </c>
      <c r="B3737" t="s">
        <v>262</v>
      </c>
      <c r="C3737" s="35" t="s">
        <v>264</v>
      </c>
      <c r="D3737" t="s">
        <v>502</v>
      </c>
      <c r="E3737" t="s">
        <v>520</v>
      </c>
      <c r="F3737" s="188" t="n">
        <v>2040</v>
      </c>
      <c r="G3737" s="189" t="n">
        <v>45</v>
      </c>
      <c r="H3737" s="190" t="n">
        <v>6121.59096432942</v>
      </c>
      <c r="I3737" s="191" t="n">
        <v>4333251.78089267</v>
      </c>
      <c r="J3737" s="192" t="str">
        <f>IF(I3737&gt;0,H3737/I3737,0)</f>
      </c>
      <c r="K3737" s="193" t="str">
        <f>1-EXP(-J3737)</f>
      </c>
      <c r="L3737" s="194" t="str">
        <f>IF(G3737=30,1,M3736)</f>
      </c>
      <c r="M3737" s="195" t="str">
        <f>L3737*(1-K3737)</f>
      </c>
    </row>
    <row r="3738">
      <c r="A3738" t="s">
        <v>167</v>
      </c>
      <c r="B3738" t="s">
        <v>262</v>
      </c>
      <c r="C3738" s="35" t="s">
        <v>264</v>
      </c>
      <c r="D3738" t="s">
        <v>502</v>
      </c>
      <c r="E3738" t="s">
        <v>520</v>
      </c>
      <c r="F3738" s="188" t="n">
        <v>2040</v>
      </c>
      <c r="G3738" s="189" t="n">
        <v>46</v>
      </c>
      <c r="H3738" s="190" t="n">
        <v>6580.98815260131</v>
      </c>
      <c r="I3738" s="191" t="n">
        <v>4268583.50795551</v>
      </c>
      <c r="J3738" s="192" t="str">
        <f>IF(I3738&gt;0,H3738/I3738,0)</f>
      </c>
      <c r="K3738" s="193" t="str">
        <f>1-EXP(-J3738)</f>
      </c>
      <c r="L3738" s="194" t="str">
        <f>IF(G3738=30,1,M3737)</f>
      </c>
      <c r="M3738" s="195" t="str">
        <f>L3738*(1-K3738)</f>
      </c>
    </row>
    <row r="3739">
      <c r="A3739" t="s">
        <v>167</v>
      </c>
      <c r="B3739" t="s">
        <v>262</v>
      </c>
      <c r="C3739" s="35" t="s">
        <v>264</v>
      </c>
      <c r="D3739" t="s">
        <v>502</v>
      </c>
      <c r="E3739" t="s">
        <v>520</v>
      </c>
      <c r="F3739" s="188" t="n">
        <v>2040</v>
      </c>
      <c r="G3739" s="189" t="n">
        <v>47</v>
      </c>
      <c r="H3739" s="190" t="n">
        <v>7105.21864201306</v>
      </c>
      <c r="I3739" s="191" t="n">
        <v>4207637.23336661</v>
      </c>
      <c r="J3739" s="192" t="str">
        <f>IF(I3739&gt;0,H3739/I3739,0)</f>
      </c>
      <c r="K3739" s="193" t="str">
        <f>1-EXP(-J3739)</f>
      </c>
      <c r="L3739" s="194" t="str">
        <f>IF(G3739=30,1,M3738)</f>
      </c>
      <c r="M3739" s="195" t="str">
        <f>L3739*(1-K3739)</f>
      </c>
    </row>
    <row r="3740">
      <c r="A3740" t="s">
        <v>167</v>
      </c>
      <c r="B3740" t="s">
        <v>262</v>
      </c>
      <c r="C3740" s="35" t="s">
        <v>264</v>
      </c>
      <c r="D3740" t="s">
        <v>502</v>
      </c>
      <c r="E3740" t="s">
        <v>520</v>
      </c>
      <c r="F3740" s="188" t="n">
        <v>2040</v>
      </c>
      <c r="G3740" s="189" t="n">
        <v>48</v>
      </c>
      <c r="H3740" s="190" t="n">
        <v>7828.73329232907</v>
      </c>
      <c r="I3740" s="191" t="n">
        <v>4234802.36694422</v>
      </c>
      <c r="J3740" s="192" t="str">
        <f>IF(I3740&gt;0,H3740/I3740,0)</f>
      </c>
      <c r="K3740" s="193" t="str">
        <f>1-EXP(-J3740)</f>
      </c>
      <c r="L3740" s="194" t="str">
        <f>IF(G3740=30,1,M3739)</f>
      </c>
      <c r="M3740" s="195" t="str">
        <f>L3740*(1-K3740)</f>
      </c>
    </row>
    <row r="3741">
      <c r="A3741" t="s">
        <v>167</v>
      </c>
      <c r="B3741" t="s">
        <v>262</v>
      </c>
      <c r="C3741" s="35" t="s">
        <v>264</v>
      </c>
      <c r="D3741" t="s">
        <v>502</v>
      </c>
      <c r="E3741" t="s">
        <v>520</v>
      </c>
      <c r="F3741" s="188" t="n">
        <v>2040</v>
      </c>
      <c r="G3741" s="189" t="n">
        <v>49</v>
      </c>
      <c r="H3741" s="190" t="n">
        <v>8597.31168737683</v>
      </c>
      <c r="I3741" s="191" t="n">
        <v>4241514.78046821</v>
      </c>
      <c r="J3741" s="192" t="str">
        <f>IF(I3741&gt;0,H3741/I3741,0)</f>
      </c>
      <c r="K3741" s="193" t="str">
        <f>1-EXP(-J3741)</f>
      </c>
      <c r="L3741" s="194" t="str">
        <f>IF(G3741=30,1,M3740)</f>
      </c>
      <c r="M3741" s="195" t="str">
        <f>L3741*(1-K3741)</f>
      </c>
    </row>
    <row r="3742">
      <c r="A3742" t="s">
        <v>167</v>
      </c>
      <c r="B3742" t="s">
        <v>262</v>
      </c>
      <c r="C3742" s="35" t="s">
        <v>264</v>
      </c>
      <c r="D3742" t="s">
        <v>502</v>
      </c>
      <c r="E3742" t="s">
        <v>520</v>
      </c>
      <c r="F3742" s="188" t="n">
        <v>2040</v>
      </c>
      <c r="G3742" s="189" t="n">
        <v>50</v>
      </c>
      <c r="H3742" s="190" t="n">
        <v>13337.8203858049</v>
      </c>
      <c r="I3742" s="191" t="n">
        <v>6239017.44164086</v>
      </c>
      <c r="J3742" s="192" t="str">
        <f>IF(I3742&gt;0,H3742/I3742,0)</f>
      </c>
      <c r="K3742" s="193" t="str">
        <f>1-EXP(-J3742)</f>
      </c>
      <c r="L3742" s="194" t="str">
        <f>IF(G3742=30,1,M3741)</f>
      </c>
      <c r="M3742" s="195" t="str">
        <f>L3742*(1-K3742)</f>
      </c>
    </row>
    <row r="3743">
      <c r="A3743" t="s">
        <v>167</v>
      </c>
      <c r="B3743" t="s">
        <v>262</v>
      </c>
      <c r="C3743" s="35" t="s">
        <v>264</v>
      </c>
      <c r="D3743" t="s">
        <v>502</v>
      </c>
      <c r="E3743" t="s">
        <v>520</v>
      </c>
      <c r="F3743" s="188" t="n">
        <v>2040</v>
      </c>
      <c r="G3743" s="189" t="n">
        <v>51</v>
      </c>
      <c r="H3743" s="190" t="n">
        <v>10636.4609347024</v>
      </c>
      <c r="I3743" s="191" t="n">
        <v>4175613.17973228</v>
      </c>
      <c r="J3743" s="192" t="str">
        <f>IF(I3743&gt;0,H3743/I3743,0)</f>
      </c>
      <c r="K3743" s="193" t="str">
        <f>1-EXP(-J3743)</f>
      </c>
      <c r="L3743" s="194" t="str">
        <f>IF(G3743=30,1,M3742)</f>
      </c>
      <c r="M3743" s="195" t="str">
        <f>L3743*(1-K3743)</f>
      </c>
    </row>
    <row r="3744">
      <c r="A3744" t="s">
        <v>167</v>
      </c>
      <c r="B3744" t="s">
        <v>262</v>
      </c>
      <c r="C3744" s="35" t="s">
        <v>264</v>
      </c>
      <c r="D3744" t="s">
        <v>502</v>
      </c>
      <c r="E3744" t="s">
        <v>520</v>
      </c>
      <c r="F3744" s="188" t="n">
        <v>2040</v>
      </c>
      <c r="G3744" s="189" t="n">
        <v>52</v>
      </c>
      <c r="H3744" s="190" t="n">
        <v>11543.9792803562</v>
      </c>
      <c r="I3744" s="191" t="n">
        <v>4144970.07714521</v>
      </c>
      <c r="J3744" s="192" t="str">
        <f>IF(I3744&gt;0,H3744/I3744,0)</f>
      </c>
      <c r="K3744" s="193" t="str">
        <f>1-EXP(-J3744)</f>
      </c>
      <c r="L3744" s="194" t="str">
        <f>IF(G3744=30,1,M3743)</f>
      </c>
      <c r="M3744" s="195" t="str">
        <f>L3744*(1-K3744)</f>
      </c>
    </row>
    <row r="3745">
      <c r="A3745" t="s">
        <v>167</v>
      </c>
      <c r="B3745" t="s">
        <v>262</v>
      </c>
      <c r="C3745" s="35" t="s">
        <v>264</v>
      </c>
      <c r="D3745" t="s">
        <v>502</v>
      </c>
      <c r="E3745" t="s">
        <v>520</v>
      </c>
      <c r="F3745" s="188" t="n">
        <v>2040</v>
      </c>
      <c r="G3745" s="189" t="n">
        <v>53</v>
      </c>
      <c r="H3745" s="190" t="n">
        <v>12176.4026343559</v>
      </c>
      <c r="I3745" s="191" t="n">
        <v>4002469.4580263</v>
      </c>
      <c r="J3745" s="192" t="str">
        <f>IF(I3745&gt;0,H3745/I3745,0)</f>
      </c>
      <c r="K3745" s="193" t="str">
        <f>1-EXP(-J3745)</f>
      </c>
      <c r="L3745" s="194" t="str">
        <f>IF(G3745=30,1,M3744)</f>
      </c>
      <c r="M3745" s="195" t="str">
        <f>L3745*(1-K3745)</f>
      </c>
    </row>
    <row r="3746">
      <c r="A3746" t="s">
        <v>167</v>
      </c>
      <c r="B3746" t="s">
        <v>262</v>
      </c>
      <c r="C3746" s="35" t="s">
        <v>264</v>
      </c>
      <c r="D3746" t="s">
        <v>502</v>
      </c>
      <c r="E3746" t="s">
        <v>520</v>
      </c>
      <c r="F3746" s="188" t="n">
        <v>2040</v>
      </c>
      <c r="G3746" s="189" t="n">
        <v>54</v>
      </c>
      <c r="H3746" s="190" t="n">
        <v>13114.7191718159</v>
      </c>
      <c r="I3746" s="191" t="n">
        <v>3952566.22590769</v>
      </c>
      <c r="J3746" s="192" t="str">
        <f>IF(I3746&gt;0,H3746/I3746,0)</f>
      </c>
      <c r="K3746" s="193" t="str">
        <f>1-EXP(-J3746)</f>
      </c>
      <c r="L3746" s="194" t="str">
        <f>IF(G3746=30,1,M3745)</f>
      </c>
      <c r="M3746" s="195" t="str">
        <f>L3746*(1-K3746)</f>
      </c>
    </row>
    <row r="3747">
      <c r="A3747" t="s">
        <v>167</v>
      </c>
      <c r="B3747" t="s">
        <v>262</v>
      </c>
      <c r="C3747" s="35" t="s">
        <v>264</v>
      </c>
      <c r="D3747" t="s">
        <v>502</v>
      </c>
      <c r="E3747" t="s">
        <v>520</v>
      </c>
      <c r="F3747" s="188" t="n">
        <v>2040</v>
      </c>
      <c r="G3747" s="189" t="n">
        <v>55</v>
      </c>
      <c r="H3747" s="190" t="n">
        <v>14327.0100316876</v>
      </c>
      <c r="I3747" s="191" t="n">
        <v>3990076.87576568</v>
      </c>
      <c r="J3747" s="192" t="str">
        <f>IF(I3747&gt;0,H3747/I3747,0)</f>
      </c>
      <c r="K3747" s="193" t="str">
        <f>1-EXP(-J3747)</f>
      </c>
      <c r="L3747" s="194" t="str">
        <f>IF(G3747=30,1,M3746)</f>
      </c>
      <c r="M3747" s="195" t="str">
        <f>L3747*(1-K3747)</f>
      </c>
    </row>
    <row r="3748">
      <c r="A3748" t="s">
        <v>167</v>
      </c>
      <c r="B3748" t="s">
        <v>262</v>
      </c>
      <c r="C3748" s="35" t="s">
        <v>264</v>
      </c>
      <c r="D3748" t="s">
        <v>502</v>
      </c>
      <c r="E3748" t="s">
        <v>520</v>
      </c>
      <c r="F3748" s="188" t="n">
        <v>2040</v>
      </c>
      <c r="G3748" s="189" t="n">
        <v>56</v>
      </c>
      <c r="H3748" s="190" t="n">
        <v>15825.2642422137</v>
      </c>
      <c r="I3748" s="191" t="n">
        <v>4048855.58037592</v>
      </c>
      <c r="J3748" s="192" t="str">
        <f>IF(I3748&gt;0,H3748/I3748,0)</f>
      </c>
      <c r="K3748" s="193" t="str">
        <f>1-EXP(-J3748)</f>
      </c>
      <c r="L3748" s="194" t="str">
        <f>IF(G3748=30,1,M3747)</f>
      </c>
      <c r="M3748" s="195" t="str">
        <f>L3748*(1-K3748)</f>
      </c>
    </row>
    <row r="3749">
      <c r="A3749" t="s">
        <v>167</v>
      </c>
      <c r="B3749" t="s">
        <v>262</v>
      </c>
      <c r="C3749" s="35" t="s">
        <v>264</v>
      </c>
      <c r="D3749" t="s">
        <v>502</v>
      </c>
      <c r="E3749" t="s">
        <v>520</v>
      </c>
      <c r="F3749" s="188" t="n">
        <v>2040</v>
      </c>
      <c r="G3749" s="189" t="n">
        <v>57</v>
      </c>
      <c r="H3749" s="190" t="n">
        <v>17079.6016647438</v>
      </c>
      <c r="I3749" s="191" t="n">
        <v>4003186.18558036</v>
      </c>
      <c r="J3749" s="192" t="str">
        <f>IF(I3749&gt;0,H3749/I3749,0)</f>
      </c>
      <c r="K3749" s="193" t="str">
        <f>1-EXP(-J3749)</f>
      </c>
      <c r="L3749" s="194" t="str">
        <f>IF(G3749=30,1,M3748)</f>
      </c>
      <c r="M3749" s="195" t="str">
        <f>L3749*(1-K3749)</f>
      </c>
    </row>
    <row r="3750">
      <c r="A3750" t="s">
        <v>167</v>
      </c>
      <c r="B3750" t="s">
        <v>262</v>
      </c>
      <c r="C3750" s="35" t="s">
        <v>264</v>
      </c>
      <c r="D3750" t="s">
        <v>502</v>
      </c>
      <c r="E3750" t="s">
        <v>520</v>
      </c>
      <c r="F3750" s="188" t="n">
        <v>2040</v>
      </c>
      <c r="G3750" s="189" t="n">
        <v>58</v>
      </c>
      <c r="H3750" s="190" t="n">
        <v>17974.6203767234</v>
      </c>
      <c r="I3750" s="191" t="n">
        <v>3851039.60576825</v>
      </c>
      <c r="J3750" s="192" t="str">
        <f>IF(I3750&gt;0,H3750/I3750,0)</f>
      </c>
      <c r="K3750" s="193" t="str">
        <f>1-EXP(-J3750)</f>
      </c>
      <c r="L3750" s="194" t="str">
        <f>IF(G3750=30,1,M3749)</f>
      </c>
      <c r="M3750" s="195" t="str">
        <f>L3750*(1-K3750)</f>
      </c>
    </row>
    <row r="3751">
      <c r="A3751" t="s">
        <v>167</v>
      </c>
      <c r="B3751" t="s">
        <v>262</v>
      </c>
      <c r="C3751" s="35" t="s">
        <v>264</v>
      </c>
      <c r="D3751" t="s">
        <v>502</v>
      </c>
      <c r="E3751" t="s">
        <v>520</v>
      </c>
      <c r="F3751" s="188" t="n">
        <v>2040</v>
      </c>
      <c r="G3751" s="189" t="n">
        <v>59</v>
      </c>
      <c r="H3751" s="190" t="n">
        <v>19184.9557792227</v>
      </c>
      <c r="I3751" s="191" t="n">
        <v>3756302.18177122</v>
      </c>
      <c r="J3751" s="192" t="str">
        <f>IF(I3751&gt;0,H3751/I3751,0)</f>
      </c>
      <c r="K3751" s="193" t="str">
        <f>1-EXP(-J3751)</f>
      </c>
      <c r="L3751" s="194" t="str">
        <f>IF(G3751=30,1,M3750)</f>
      </c>
      <c r="M3751" s="195" t="str">
        <f>L3751*(1-K3751)</f>
      </c>
    </row>
    <row r="3752">
      <c r="A3752" t="s">
        <v>167</v>
      </c>
      <c r="B3752" t="s">
        <v>262</v>
      </c>
      <c r="C3752" s="35" t="s">
        <v>264</v>
      </c>
      <c r="D3752" t="s">
        <v>502</v>
      </c>
      <c r="E3752" t="s">
        <v>520</v>
      </c>
      <c r="F3752" s="188" t="n">
        <v>2040</v>
      </c>
      <c r="G3752" s="189" t="n">
        <v>60</v>
      </c>
      <c r="H3752" s="190" t="n">
        <v>20494.1532167076</v>
      </c>
      <c r="I3752" s="191" t="n">
        <v>3674824.48307261</v>
      </c>
      <c r="J3752" s="192" t="str">
        <f>IF(I3752&gt;0,H3752/I3752,0)</f>
      </c>
      <c r="K3752" s="193" t="str">
        <f>1-EXP(-J3752)</f>
      </c>
      <c r="L3752" s="194" t="str">
        <f>IF(G3752=30,1,M3751)</f>
      </c>
      <c r="M3752" s="195" t="str">
        <f>L3752*(1-K3752)</f>
      </c>
    </row>
    <row r="3753">
      <c r="A3753" t="s">
        <v>167</v>
      </c>
      <c r="B3753" t="s">
        <v>262</v>
      </c>
      <c r="C3753" s="35" t="s">
        <v>264</v>
      </c>
      <c r="D3753" t="s">
        <v>502</v>
      </c>
      <c r="E3753" t="s">
        <v>520</v>
      </c>
      <c r="F3753" s="188" t="n">
        <v>2040</v>
      </c>
      <c r="G3753" s="189" t="n">
        <v>61</v>
      </c>
      <c r="H3753" s="190" t="n">
        <v>21927.5930688461</v>
      </c>
      <c r="I3753" s="191" t="n">
        <v>3586511.5089094</v>
      </c>
      <c r="J3753" s="192" t="str">
        <f>IF(I3753&gt;0,H3753/I3753,0)</f>
      </c>
      <c r="K3753" s="193" t="str">
        <f>1-EXP(-J3753)</f>
      </c>
      <c r="L3753" s="194" t="str">
        <f>IF(G3753=30,1,M3752)</f>
      </c>
      <c r="M3753" s="195" t="str">
        <f>L3753*(1-K3753)</f>
      </c>
    </row>
    <row r="3754">
      <c r="A3754" t="s">
        <v>167</v>
      </c>
      <c r="B3754" t="s">
        <v>262</v>
      </c>
      <c r="C3754" s="35" t="s">
        <v>264</v>
      </c>
      <c r="D3754" t="s">
        <v>502</v>
      </c>
      <c r="E3754" t="s">
        <v>520</v>
      </c>
      <c r="F3754" s="188" t="n">
        <v>2040</v>
      </c>
      <c r="G3754" s="189" t="n">
        <v>62</v>
      </c>
      <c r="H3754" s="190" t="n">
        <v>23325.2299565749</v>
      </c>
      <c r="I3754" s="191" t="n">
        <v>3479248.28007807</v>
      </c>
      <c r="J3754" s="192" t="str">
        <f>IF(I3754&gt;0,H3754/I3754,0)</f>
      </c>
      <c r="K3754" s="193" t="str">
        <f>1-EXP(-J3754)</f>
      </c>
      <c r="L3754" s="194" t="str">
        <f>IF(G3754=30,1,M3753)</f>
      </c>
      <c r="M3754" s="195" t="str">
        <f>L3754*(1-K3754)</f>
      </c>
    </row>
    <row r="3755">
      <c r="A3755" t="s">
        <v>167</v>
      </c>
      <c r="B3755" t="s">
        <v>262</v>
      </c>
      <c r="C3755" s="35" t="s">
        <v>264</v>
      </c>
      <c r="D3755" t="s">
        <v>502</v>
      </c>
      <c r="E3755" t="s">
        <v>520</v>
      </c>
      <c r="F3755" s="188" t="n">
        <v>2040</v>
      </c>
      <c r="G3755" s="189" t="n">
        <v>63</v>
      </c>
      <c r="H3755" s="190" t="n">
        <v>24919.1303129495</v>
      </c>
      <c r="I3755" s="191" t="n">
        <v>3385407.54621343</v>
      </c>
      <c r="J3755" s="192" t="str">
        <f>IF(I3755&gt;0,H3755/I3755,0)</f>
      </c>
      <c r="K3755" s="193" t="str">
        <f>1-EXP(-J3755)</f>
      </c>
      <c r="L3755" s="194" t="str">
        <f>IF(G3755=30,1,M3754)</f>
      </c>
      <c r="M3755" s="195" t="str">
        <f>L3755*(1-K3755)</f>
      </c>
    </row>
    <row r="3756">
      <c r="A3756" t="s">
        <v>167</v>
      </c>
      <c r="B3756" t="s">
        <v>262</v>
      </c>
      <c r="C3756" s="35" t="s">
        <v>264</v>
      </c>
      <c r="D3756" t="s">
        <v>502</v>
      </c>
      <c r="E3756" t="s">
        <v>520</v>
      </c>
      <c r="F3756" s="188" t="n">
        <v>2040</v>
      </c>
      <c r="G3756" s="189" t="n">
        <v>64</v>
      </c>
      <c r="H3756" s="190" t="n">
        <v>26469.3860041949</v>
      </c>
      <c r="I3756" s="191" t="n">
        <v>3279766.2931214</v>
      </c>
      <c r="J3756" s="192" t="str">
        <f>IF(I3756&gt;0,H3756/I3756,0)</f>
      </c>
      <c r="K3756" s="193" t="str">
        <f>1-EXP(-J3756)</f>
      </c>
      <c r="L3756" s="194" t="str">
        <f>IF(G3756=30,1,M3755)</f>
      </c>
      <c r="M3756" s="195" t="str">
        <f>L3756*(1-K3756)</f>
      </c>
    </row>
    <row r="3757">
      <c r="A3757" t="s">
        <v>167</v>
      </c>
      <c r="B3757" t="s">
        <v>262</v>
      </c>
      <c r="C3757" s="35" t="s">
        <v>264</v>
      </c>
      <c r="D3757" t="s">
        <v>502</v>
      </c>
      <c r="E3757" t="s">
        <v>520</v>
      </c>
      <c r="F3757" s="188" t="n">
        <v>2040</v>
      </c>
      <c r="G3757" s="189" t="n">
        <v>65</v>
      </c>
      <c r="H3757" s="190" t="n">
        <v>26908.8609088223</v>
      </c>
      <c r="I3757" s="191" t="n">
        <v>3171914.41454735</v>
      </c>
      <c r="J3757" s="192" t="str">
        <f>IF(I3757&gt;0,H3757/I3757,0)</f>
      </c>
      <c r="K3757" s="193" t="str">
        <f>1-EXP(-J3757)</f>
      </c>
      <c r="L3757" s="194" t="str">
        <f>IF(G3757=30,1,M3756)</f>
      </c>
      <c r="M3757" s="195" t="str">
        <f>L3757*(1-K3757)</f>
      </c>
    </row>
    <row r="3758">
      <c r="A3758" t="s">
        <v>167</v>
      </c>
      <c r="B3758" t="s">
        <v>262</v>
      </c>
      <c r="C3758" s="35" t="s">
        <v>264</v>
      </c>
      <c r="D3758" t="s">
        <v>502</v>
      </c>
      <c r="E3758" t="s">
        <v>520</v>
      </c>
      <c r="F3758" s="188" t="n">
        <v>2040</v>
      </c>
      <c r="G3758" s="189" t="n">
        <v>66</v>
      </c>
      <c r="H3758" s="190" t="n">
        <v>28271.2555033419</v>
      </c>
      <c r="I3758" s="191" t="n">
        <v>3039386.3810686</v>
      </c>
      <c r="J3758" s="192" t="str">
        <f>IF(I3758&gt;0,H3758/I3758,0)</f>
      </c>
      <c r="K3758" s="193" t="str">
        <f>1-EXP(-J3758)</f>
      </c>
      <c r="L3758" s="194" t="str">
        <f>IF(G3758=30,1,M3757)</f>
      </c>
      <c r="M3758" s="195" t="str">
        <f>L3758*(1-K3758)</f>
      </c>
    </row>
    <row r="3759">
      <c r="A3759" t="s">
        <v>167</v>
      </c>
      <c r="B3759" t="s">
        <v>262</v>
      </c>
      <c r="C3759" s="35" t="s">
        <v>264</v>
      </c>
      <c r="D3759" t="s">
        <v>502</v>
      </c>
      <c r="E3759" t="s">
        <v>520</v>
      </c>
      <c r="F3759" s="188" t="n">
        <v>2040</v>
      </c>
      <c r="G3759" s="189" t="n">
        <v>67</v>
      </c>
      <c r="H3759" s="190" t="n">
        <v>30186.8102654134</v>
      </c>
      <c r="I3759" s="191" t="n">
        <v>2956227.91827108</v>
      </c>
      <c r="J3759" s="192" t="str">
        <f>IF(I3759&gt;0,H3759/I3759,0)</f>
      </c>
      <c r="K3759" s="193" t="str">
        <f>1-EXP(-J3759)</f>
      </c>
      <c r="L3759" s="194" t="str">
        <f>IF(G3759=30,1,M3758)</f>
      </c>
      <c r="M3759" s="195" t="str">
        <f>L3759*(1-K3759)</f>
      </c>
    </row>
    <row r="3760">
      <c r="A3760" t="s">
        <v>167</v>
      </c>
      <c r="B3760" t="s">
        <v>262</v>
      </c>
      <c r="C3760" s="35" t="s">
        <v>264</v>
      </c>
      <c r="D3760" t="s">
        <v>502</v>
      </c>
      <c r="E3760" t="s">
        <v>520</v>
      </c>
      <c r="F3760" s="188" t="n">
        <v>2040</v>
      </c>
      <c r="G3760" s="189" t="n">
        <v>68</v>
      </c>
      <c r="H3760" s="190" t="n">
        <v>30700.4103181805</v>
      </c>
      <c r="I3760" s="191" t="n">
        <v>2733941.40888092</v>
      </c>
      <c r="J3760" s="192" t="str">
        <f>IF(I3760&gt;0,H3760/I3760,0)</f>
      </c>
      <c r="K3760" s="193" t="str">
        <f>1-EXP(-J3760)</f>
      </c>
      <c r="L3760" s="194" t="str">
        <f>IF(G3760=30,1,M3759)</f>
      </c>
      <c r="M3760" s="195" t="str">
        <f>L3760*(1-K3760)</f>
      </c>
    </row>
    <row r="3761">
      <c r="A3761" t="s">
        <v>167</v>
      </c>
      <c r="B3761" t="s">
        <v>262</v>
      </c>
      <c r="C3761" s="35" t="s">
        <v>264</v>
      </c>
      <c r="D3761" t="s">
        <v>502</v>
      </c>
      <c r="E3761" t="s">
        <v>520</v>
      </c>
      <c r="F3761" s="188" t="n">
        <v>2040</v>
      </c>
      <c r="G3761" s="189" t="n">
        <v>69</v>
      </c>
      <c r="H3761" s="190" t="n">
        <v>32271.3582906085</v>
      </c>
      <c r="I3761" s="191" t="n">
        <v>2613540.4190308</v>
      </c>
      <c r="J3761" s="192" t="str">
        <f>IF(I3761&gt;0,H3761/I3761,0)</f>
      </c>
      <c r="K3761" s="193" t="str">
        <f>1-EXP(-J3761)</f>
      </c>
      <c r="L3761" s="194" t="str">
        <f>IF(G3761=30,1,M3760)</f>
      </c>
      <c r="M3761" s="195" t="str">
        <f>L3761*(1-K3761)</f>
      </c>
    </row>
    <row r="3762">
      <c r="A3762" t="s">
        <v>167</v>
      </c>
      <c r="B3762" t="s">
        <v>262</v>
      </c>
      <c r="C3762" s="35" t="s">
        <v>264</v>
      </c>
      <c r="D3762" t="s">
        <v>502</v>
      </c>
      <c r="E3762" t="s">
        <v>520</v>
      </c>
      <c r="F3762" s="188" t="n">
        <v>2041</v>
      </c>
      <c r="G3762" s="189" t="n">
        <v>30</v>
      </c>
      <c r="H3762" s="190" t="n">
        <v>810.377472938911</v>
      </c>
      <c r="I3762" s="191" t="n">
        <v>4884169.28788924</v>
      </c>
      <c r="J3762" s="192" t="str">
        <f>IF(I3762&gt;0,H3762/I3762,0)</f>
      </c>
      <c r="K3762" s="193" t="str">
        <f>1-EXP(-J3762)</f>
      </c>
      <c r="L3762" s="194" t="str">
        <f>IF(G3762=30,1,M3761)</f>
      </c>
      <c r="M3762" s="195" t="str">
        <f>L3762*(1-K3762)</f>
      </c>
    </row>
    <row r="3763">
      <c r="A3763" t="s">
        <v>167</v>
      </c>
      <c r="B3763" t="s">
        <v>262</v>
      </c>
      <c r="C3763" s="35" t="s">
        <v>264</v>
      </c>
      <c r="D3763" t="s">
        <v>502</v>
      </c>
      <c r="E3763" t="s">
        <v>520</v>
      </c>
      <c r="F3763" s="188" t="n">
        <v>2041</v>
      </c>
      <c r="G3763" s="189" t="n">
        <v>31</v>
      </c>
      <c r="H3763" s="190" t="n">
        <v>1014.01126543815</v>
      </c>
      <c r="I3763" s="191" t="n">
        <v>4750193.92523169</v>
      </c>
      <c r="J3763" s="192" t="str">
        <f>IF(I3763&gt;0,H3763/I3763,0)</f>
      </c>
      <c r="K3763" s="193" t="str">
        <f>1-EXP(-J3763)</f>
      </c>
      <c r="L3763" s="194" t="str">
        <f>IF(G3763=30,1,M3762)</f>
      </c>
      <c r="M3763" s="195" t="str">
        <f>L3763*(1-K3763)</f>
      </c>
    </row>
    <row r="3764">
      <c r="A3764" t="s">
        <v>167</v>
      </c>
      <c r="B3764" t="s">
        <v>262</v>
      </c>
      <c r="C3764" s="35" t="s">
        <v>264</v>
      </c>
      <c r="D3764" t="s">
        <v>502</v>
      </c>
      <c r="E3764" t="s">
        <v>520</v>
      </c>
      <c r="F3764" s="188" t="n">
        <v>2041</v>
      </c>
      <c r="G3764" s="189" t="n">
        <v>32</v>
      </c>
      <c r="H3764" s="190" t="n">
        <v>1052.22818963883</v>
      </c>
      <c r="I3764" s="191" t="n">
        <v>4679495.30638857</v>
      </c>
      <c r="J3764" s="192" t="str">
        <f>IF(I3764&gt;0,H3764/I3764,0)</f>
      </c>
      <c r="K3764" s="193" t="str">
        <f>1-EXP(-J3764)</f>
      </c>
      <c r="L3764" s="194" t="str">
        <f>IF(G3764=30,1,M3763)</f>
      </c>
      <c r="M3764" s="195" t="str">
        <f>L3764*(1-K3764)</f>
      </c>
    </row>
    <row r="3765">
      <c r="A3765" t="s">
        <v>167</v>
      </c>
      <c r="B3765" t="s">
        <v>262</v>
      </c>
      <c r="C3765" s="35" t="s">
        <v>264</v>
      </c>
      <c r="D3765" t="s">
        <v>502</v>
      </c>
      <c r="E3765" t="s">
        <v>520</v>
      </c>
      <c r="F3765" s="188" t="n">
        <v>2041</v>
      </c>
      <c r="G3765" s="189" t="n">
        <v>33</v>
      </c>
      <c r="H3765" s="190" t="n">
        <v>1104.8709420226</v>
      </c>
      <c r="I3765" s="191" t="n">
        <v>4636809.09637245</v>
      </c>
      <c r="J3765" s="192" t="str">
        <f>IF(I3765&gt;0,H3765/I3765,0)</f>
      </c>
      <c r="K3765" s="193" t="str">
        <f>1-EXP(-J3765)</f>
      </c>
      <c r="L3765" s="194" t="str">
        <f>IF(G3765=30,1,M3764)</f>
      </c>
      <c r="M3765" s="195" t="str">
        <f>L3765*(1-K3765)</f>
      </c>
    </row>
    <row r="3766">
      <c r="A3766" t="s">
        <v>167</v>
      </c>
      <c r="B3766" t="s">
        <v>262</v>
      </c>
      <c r="C3766" s="35" t="s">
        <v>264</v>
      </c>
      <c r="D3766" t="s">
        <v>502</v>
      </c>
      <c r="E3766" t="s">
        <v>520</v>
      </c>
      <c r="F3766" s="188" t="n">
        <v>2041</v>
      </c>
      <c r="G3766" s="189" t="n">
        <v>34</v>
      </c>
      <c r="H3766" s="190" t="n">
        <v>1237.01527396061</v>
      </c>
      <c r="I3766" s="191" t="n">
        <v>4662514.6155188</v>
      </c>
      <c r="J3766" s="192" t="str">
        <f>IF(I3766&gt;0,H3766/I3766,0)</f>
      </c>
      <c r="K3766" s="193" t="str">
        <f>1-EXP(-J3766)</f>
      </c>
      <c r="L3766" s="194" t="str">
        <f>IF(G3766=30,1,M3765)</f>
      </c>
      <c r="M3766" s="195" t="str">
        <f>L3766*(1-K3766)</f>
      </c>
    </row>
    <row r="3767">
      <c r="A3767" t="s">
        <v>167</v>
      </c>
      <c r="B3767" t="s">
        <v>262</v>
      </c>
      <c r="C3767" s="35" t="s">
        <v>264</v>
      </c>
      <c r="D3767" t="s">
        <v>502</v>
      </c>
      <c r="E3767" t="s">
        <v>520</v>
      </c>
      <c r="F3767" s="188" t="n">
        <v>2041</v>
      </c>
      <c r="G3767" s="189" t="n">
        <v>35</v>
      </c>
      <c r="H3767" s="190" t="n">
        <v>1614.24879726599</v>
      </c>
      <c r="I3767" s="191" t="n">
        <v>4579163.86281902</v>
      </c>
      <c r="J3767" s="192" t="str">
        <f>IF(I3767&gt;0,H3767/I3767,0)</f>
      </c>
      <c r="K3767" s="193" t="str">
        <f>1-EXP(-J3767)</f>
      </c>
      <c r="L3767" s="194" t="str">
        <f>IF(G3767=30,1,M3766)</f>
      </c>
      <c r="M3767" s="195" t="str">
        <f>L3767*(1-K3767)</f>
      </c>
    </row>
    <row r="3768">
      <c r="A3768" t="s">
        <v>167</v>
      </c>
      <c r="B3768" t="s">
        <v>262</v>
      </c>
      <c r="C3768" s="35" t="s">
        <v>264</v>
      </c>
      <c r="D3768" t="s">
        <v>502</v>
      </c>
      <c r="E3768" t="s">
        <v>520</v>
      </c>
      <c r="F3768" s="188" t="n">
        <v>2041</v>
      </c>
      <c r="G3768" s="189" t="n">
        <v>36</v>
      </c>
      <c r="H3768" s="190" t="n">
        <v>1845.01828682918</v>
      </c>
      <c r="I3768" s="191" t="n">
        <v>4517153.66484082</v>
      </c>
      <c r="J3768" s="192" t="str">
        <f>IF(I3768&gt;0,H3768/I3768,0)</f>
      </c>
      <c r="K3768" s="193" t="str">
        <f>1-EXP(-J3768)</f>
      </c>
      <c r="L3768" s="194" t="str">
        <f>IF(G3768=30,1,M3767)</f>
      </c>
      <c r="M3768" s="195" t="str">
        <f>L3768*(1-K3768)</f>
      </c>
    </row>
    <row r="3769">
      <c r="A3769" t="s">
        <v>167</v>
      </c>
      <c r="B3769" t="s">
        <v>262</v>
      </c>
      <c r="C3769" s="35" t="s">
        <v>264</v>
      </c>
      <c r="D3769" t="s">
        <v>502</v>
      </c>
      <c r="E3769" t="s">
        <v>520</v>
      </c>
      <c r="F3769" s="188" t="n">
        <v>2041</v>
      </c>
      <c r="G3769" s="189" t="n">
        <v>37</v>
      </c>
      <c r="H3769" s="190" t="n">
        <v>1927.80147561531</v>
      </c>
      <c r="I3769" s="191" t="n">
        <v>4387870.75076593</v>
      </c>
      <c r="J3769" s="192" t="str">
        <f>IF(I3769&gt;0,H3769/I3769,0)</f>
      </c>
      <c r="K3769" s="193" t="str">
        <f>1-EXP(-J3769)</f>
      </c>
      <c r="L3769" s="194" t="str">
        <f>IF(G3769=30,1,M3768)</f>
      </c>
      <c r="M3769" s="195" t="str">
        <f>L3769*(1-K3769)</f>
      </c>
    </row>
    <row r="3770">
      <c r="A3770" t="s">
        <v>167</v>
      </c>
      <c r="B3770" t="s">
        <v>262</v>
      </c>
      <c r="C3770" s="35" t="s">
        <v>264</v>
      </c>
      <c r="D3770" t="s">
        <v>502</v>
      </c>
      <c r="E3770" t="s">
        <v>520</v>
      </c>
      <c r="F3770" s="188" t="n">
        <v>2041</v>
      </c>
      <c r="G3770" s="189" t="n">
        <v>38</v>
      </c>
      <c r="H3770" s="190" t="n">
        <v>2048.47433398275</v>
      </c>
      <c r="I3770" s="191" t="n">
        <v>4321091.60754263</v>
      </c>
      <c r="J3770" s="192" t="str">
        <f>IF(I3770&gt;0,H3770/I3770,0)</f>
      </c>
      <c r="K3770" s="193" t="str">
        <f>1-EXP(-J3770)</f>
      </c>
      <c r="L3770" s="194" t="str">
        <f>IF(G3770=30,1,M3769)</f>
      </c>
      <c r="M3770" s="195" t="str">
        <f>L3770*(1-K3770)</f>
      </c>
    </row>
    <row r="3771">
      <c r="A3771" t="s">
        <v>167</v>
      </c>
      <c r="B3771" t="s">
        <v>262</v>
      </c>
      <c r="C3771" s="35" t="s">
        <v>264</v>
      </c>
      <c r="D3771" t="s">
        <v>502</v>
      </c>
      <c r="E3771" t="s">
        <v>520</v>
      </c>
      <c r="F3771" s="188" t="n">
        <v>2041</v>
      </c>
      <c r="G3771" s="189" t="n">
        <v>39</v>
      </c>
      <c r="H3771" s="190" t="n">
        <v>2359.26635360278</v>
      </c>
      <c r="I3771" s="191" t="n">
        <v>4296690.77308397</v>
      </c>
      <c r="J3771" s="192" t="str">
        <f>IF(I3771&gt;0,H3771/I3771,0)</f>
      </c>
      <c r="K3771" s="193" t="str">
        <f>1-EXP(-J3771)</f>
      </c>
      <c r="L3771" s="194" t="str">
        <f>IF(G3771=30,1,M3770)</f>
      </c>
      <c r="M3771" s="195" t="str">
        <f>L3771*(1-K3771)</f>
      </c>
    </row>
    <row r="3772">
      <c r="A3772" t="s">
        <v>167</v>
      </c>
      <c r="B3772" t="s">
        <v>262</v>
      </c>
      <c r="C3772" s="35" t="s">
        <v>264</v>
      </c>
      <c r="D3772" t="s">
        <v>502</v>
      </c>
      <c r="E3772" t="s">
        <v>520</v>
      </c>
      <c r="F3772" s="188" t="n">
        <v>2041</v>
      </c>
      <c r="G3772" s="189" t="n">
        <v>40</v>
      </c>
      <c r="H3772" s="190" t="n">
        <v>3148.81023370184</v>
      </c>
      <c r="I3772" s="191" t="n">
        <v>4274136.9371455</v>
      </c>
      <c r="J3772" s="192" t="str">
        <f>IF(I3772&gt;0,H3772/I3772,0)</f>
      </c>
      <c r="K3772" s="193" t="str">
        <f>1-EXP(-J3772)</f>
      </c>
      <c r="L3772" s="194" t="str">
        <f>IF(G3772=30,1,M3771)</f>
      </c>
      <c r="M3772" s="195" t="str">
        <f>L3772*(1-K3772)</f>
      </c>
    </row>
    <row r="3773">
      <c r="A3773" t="s">
        <v>167</v>
      </c>
      <c r="B3773" t="s">
        <v>262</v>
      </c>
      <c r="C3773" s="35" t="s">
        <v>264</v>
      </c>
      <c r="D3773" t="s">
        <v>502</v>
      </c>
      <c r="E3773" t="s">
        <v>520</v>
      </c>
      <c r="F3773" s="188" t="n">
        <v>2041</v>
      </c>
      <c r="G3773" s="189" t="n">
        <v>41</v>
      </c>
      <c r="H3773" s="190" t="n">
        <v>3454.34487671898</v>
      </c>
      <c r="I3773" s="191" t="n">
        <v>4250238.80209785</v>
      </c>
      <c r="J3773" s="192" t="str">
        <f>IF(I3773&gt;0,H3773/I3773,0)</f>
      </c>
      <c r="K3773" s="193" t="str">
        <f>1-EXP(-J3773)</f>
      </c>
      <c r="L3773" s="194" t="str">
        <f>IF(G3773=30,1,M3772)</f>
      </c>
      <c r="M3773" s="195" t="str">
        <f>L3773*(1-K3773)</f>
      </c>
    </row>
    <row r="3774">
      <c r="A3774" t="s">
        <v>167</v>
      </c>
      <c r="B3774" t="s">
        <v>262</v>
      </c>
      <c r="C3774" s="35" t="s">
        <v>264</v>
      </c>
      <c r="D3774" t="s">
        <v>502</v>
      </c>
      <c r="E3774" t="s">
        <v>520</v>
      </c>
      <c r="F3774" s="188" t="n">
        <v>2041</v>
      </c>
      <c r="G3774" s="189" t="n">
        <v>42</v>
      </c>
      <c r="H3774" s="190" t="n">
        <v>3763.16902162253</v>
      </c>
      <c r="I3774" s="191" t="n">
        <v>4265679.94525454</v>
      </c>
      <c r="J3774" s="192" t="str">
        <f>IF(I3774&gt;0,H3774/I3774,0)</f>
      </c>
      <c r="K3774" s="193" t="str">
        <f>1-EXP(-J3774)</f>
      </c>
      <c r="L3774" s="194" t="str">
        <f>IF(G3774=30,1,M3773)</f>
      </c>
      <c r="M3774" s="195" t="str">
        <f>L3774*(1-K3774)</f>
      </c>
    </row>
    <row r="3775">
      <c r="A3775" t="s">
        <v>167</v>
      </c>
      <c r="B3775" t="s">
        <v>262</v>
      </c>
      <c r="C3775" s="35" t="s">
        <v>264</v>
      </c>
      <c r="D3775" t="s">
        <v>502</v>
      </c>
      <c r="E3775" t="s">
        <v>520</v>
      </c>
      <c r="F3775" s="188" t="n">
        <v>2041</v>
      </c>
      <c r="G3775" s="189" t="n">
        <v>43</v>
      </c>
      <c r="H3775" s="190" t="n">
        <v>4146.80975535774</v>
      </c>
      <c r="I3775" s="191" t="n">
        <v>4319109.97460871</v>
      </c>
      <c r="J3775" s="192" t="str">
        <f>IF(I3775&gt;0,H3775/I3775,0)</f>
      </c>
      <c r="K3775" s="193" t="str">
        <f>1-EXP(-J3775)</f>
      </c>
      <c r="L3775" s="194" t="str">
        <f>IF(G3775=30,1,M3774)</f>
      </c>
      <c r="M3775" s="195" t="str">
        <f>L3775*(1-K3775)</f>
      </c>
    </row>
    <row r="3776">
      <c r="A3776" t="s">
        <v>167</v>
      </c>
      <c r="B3776" t="s">
        <v>262</v>
      </c>
      <c r="C3776" s="35" t="s">
        <v>264</v>
      </c>
      <c r="D3776" t="s">
        <v>502</v>
      </c>
      <c r="E3776" t="s">
        <v>520</v>
      </c>
      <c r="F3776" s="188" t="n">
        <v>2041</v>
      </c>
      <c r="G3776" s="189" t="n">
        <v>44</v>
      </c>
      <c r="H3776" s="190" t="n">
        <v>4876.66034719661</v>
      </c>
      <c r="I3776" s="191" t="n">
        <v>4447961.22120818</v>
      </c>
      <c r="J3776" s="192" t="str">
        <f>IF(I3776&gt;0,H3776/I3776,0)</f>
      </c>
      <c r="K3776" s="193" t="str">
        <f>1-EXP(-J3776)</f>
      </c>
      <c r="L3776" s="194" t="str">
        <f>IF(G3776=30,1,M3775)</f>
      </c>
      <c r="M3776" s="195" t="str">
        <f>L3776*(1-K3776)</f>
      </c>
    </row>
    <row r="3777">
      <c r="A3777" t="s">
        <v>167</v>
      </c>
      <c r="B3777" t="s">
        <v>262</v>
      </c>
      <c r="C3777" s="35" t="s">
        <v>264</v>
      </c>
      <c r="D3777" t="s">
        <v>502</v>
      </c>
      <c r="E3777" t="s">
        <v>520</v>
      </c>
      <c r="F3777" s="188" t="n">
        <v>2041</v>
      </c>
      <c r="G3777" s="189" t="n">
        <v>45</v>
      </c>
      <c r="H3777" s="190" t="n">
        <v>6182.74088343142</v>
      </c>
      <c r="I3777" s="191" t="n">
        <v>4398702.148584</v>
      </c>
      <c r="J3777" s="192" t="str">
        <f>IF(I3777&gt;0,H3777/I3777,0)</f>
      </c>
      <c r="K3777" s="193" t="str">
        <f>1-EXP(-J3777)</f>
      </c>
      <c r="L3777" s="194" t="str">
        <f>IF(G3777=30,1,M3776)</f>
      </c>
      <c r="M3777" s="195" t="str">
        <f>L3777*(1-K3777)</f>
      </c>
    </row>
    <row r="3778">
      <c r="A3778" t="s">
        <v>167</v>
      </c>
      <c r="B3778" t="s">
        <v>262</v>
      </c>
      <c r="C3778" s="35" t="s">
        <v>264</v>
      </c>
      <c r="D3778" t="s">
        <v>502</v>
      </c>
      <c r="E3778" t="s">
        <v>520</v>
      </c>
      <c r="F3778" s="188" t="n">
        <v>2041</v>
      </c>
      <c r="G3778" s="189" t="n">
        <v>46</v>
      </c>
      <c r="H3778" s="190" t="n">
        <v>6621.63905335491</v>
      </c>
      <c r="I3778" s="191" t="n">
        <v>4318318.97392111</v>
      </c>
      <c r="J3778" s="192" t="str">
        <f>IF(I3778&gt;0,H3778/I3778,0)</f>
      </c>
      <c r="K3778" s="193" t="str">
        <f>1-EXP(-J3778)</f>
      </c>
      <c r="L3778" s="194" t="str">
        <f>IF(G3778=30,1,M3777)</f>
      </c>
      <c r="M3778" s="195" t="str">
        <f>L3778*(1-K3778)</f>
      </c>
    </row>
    <row r="3779">
      <c r="A3779" t="s">
        <v>167</v>
      </c>
      <c r="B3779" t="s">
        <v>262</v>
      </c>
      <c r="C3779" s="35" t="s">
        <v>264</v>
      </c>
      <c r="D3779" t="s">
        <v>502</v>
      </c>
      <c r="E3779" t="s">
        <v>520</v>
      </c>
      <c r="F3779" s="188" t="n">
        <v>2041</v>
      </c>
      <c r="G3779" s="189" t="n">
        <v>47</v>
      </c>
      <c r="H3779" s="190" t="n">
        <v>7142.45291716447</v>
      </c>
      <c r="I3779" s="191" t="n">
        <v>4253497.92309027</v>
      </c>
      <c r="J3779" s="192" t="str">
        <f>IF(I3779&gt;0,H3779/I3779,0)</f>
      </c>
      <c r="K3779" s="193" t="str">
        <f>1-EXP(-J3779)</f>
      </c>
      <c r="L3779" s="194" t="str">
        <f>IF(G3779=30,1,M3778)</f>
      </c>
      <c r="M3779" s="195" t="str">
        <f>L3779*(1-K3779)</f>
      </c>
    </row>
    <row r="3780">
      <c r="A3780" t="s">
        <v>167</v>
      </c>
      <c r="B3780" t="s">
        <v>262</v>
      </c>
      <c r="C3780" s="35" t="s">
        <v>264</v>
      </c>
      <c r="D3780" t="s">
        <v>502</v>
      </c>
      <c r="E3780" t="s">
        <v>520</v>
      </c>
      <c r="F3780" s="188" t="n">
        <v>2041</v>
      </c>
      <c r="G3780" s="189" t="n">
        <v>48</v>
      </c>
      <c r="H3780" s="190" t="n">
        <v>7715.56627300859</v>
      </c>
      <c r="I3780" s="191" t="n">
        <v>4191375.71824079</v>
      </c>
      <c r="J3780" s="192" t="str">
        <f>IF(I3780&gt;0,H3780/I3780,0)</f>
      </c>
      <c r="K3780" s="193" t="str">
        <f>1-EXP(-J3780)</f>
      </c>
      <c r="L3780" s="194" t="str">
        <f>IF(G3780=30,1,M3779)</f>
      </c>
      <c r="M3780" s="195" t="str">
        <f>L3780*(1-K3780)</f>
      </c>
    </row>
    <row r="3781">
      <c r="A3781" t="s">
        <v>167</v>
      </c>
      <c r="B3781" t="s">
        <v>262</v>
      </c>
      <c r="C3781" s="35" t="s">
        <v>264</v>
      </c>
      <c r="D3781" t="s">
        <v>502</v>
      </c>
      <c r="E3781" t="s">
        <v>520</v>
      </c>
      <c r="F3781" s="188" t="n">
        <v>2041</v>
      </c>
      <c r="G3781" s="189" t="n">
        <v>49</v>
      </c>
      <c r="H3781" s="190" t="n">
        <v>8500.27663318363</v>
      </c>
      <c r="I3781" s="191" t="n">
        <v>4216901.53540819</v>
      </c>
      <c r="J3781" s="192" t="str">
        <f>IF(I3781&gt;0,H3781/I3781,0)</f>
      </c>
      <c r="K3781" s="193" t="str">
        <f>1-EXP(-J3781)</f>
      </c>
      <c r="L3781" s="194" t="str">
        <f>IF(G3781=30,1,M3780)</f>
      </c>
      <c r="M3781" s="195" t="str">
        <f>L3781*(1-K3781)</f>
      </c>
    </row>
    <row r="3782">
      <c r="A3782" t="s">
        <v>167</v>
      </c>
      <c r="B3782" t="s">
        <v>262</v>
      </c>
      <c r="C3782" s="35" t="s">
        <v>264</v>
      </c>
      <c r="D3782" t="s">
        <v>502</v>
      </c>
      <c r="E3782" t="s">
        <v>520</v>
      </c>
      <c r="F3782" s="188" t="n">
        <v>2041</v>
      </c>
      <c r="G3782" s="189" t="n">
        <v>50</v>
      </c>
      <c r="H3782" s="190" t="n">
        <v>9772.72549076901</v>
      </c>
      <c r="I3782" s="191" t="n">
        <v>4221876.60709963</v>
      </c>
      <c r="J3782" s="192" t="str">
        <f>IF(I3782&gt;0,H3782/I3782,0)</f>
      </c>
      <c r="K3782" s="193" t="str">
        <f>1-EXP(-J3782)</f>
      </c>
      <c r="L3782" s="194" t="str">
        <f>IF(G3782=30,1,M3781)</f>
      </c>
      <c r="M3782" s="195" t="str">
        <f>L3782*(1-K3782)</f>
      </c>
    </row>
    <row r="3783">
      <c r="A3783" t="s">
        <v>167</v>
      </c>
      <c r="B3783" t="s">
        <v>262</v>
      </c>
      <c r="C3783" s="35" t="s">
        <v>264</v>
      </c>
      <c r="D3783" t="s">
        <v>502</v>
      </c>
      <c r="E3783" t="s">
        <v>520</v>
      </c>
      <c r="F3783" s="188" t="n">
        <v>2041</v>
      </c>
      <c r="G3783" s="189" t="n">
        <v>51</v>
      </c>
      <c r="H3783" s="190" t="n">
        <v>14352.5729301422</v>
      </c>
      <c r="I3783" s="191" t="n">
        <v>6208363.78596785</v>
      </c>
      <c r="J3783" s="192" t="str">
        <f>IF(I3783&gt;0,H3783/I3783,0)</f>
      </c>
      <c r="K3783" s="193" t="str">
        <f>1-EXP(-J3783)</f>
      </c>
      <c r="L3783" s="194" t="str">
        <f>IF(G3783=30,1,M3782)</f>
      </c>
      <c r="M3783" s="195" t="str">
        <f>L3783*(1-K3783)</f>
      </c>
    </row>
    <row r="3784">
      <c r="A3784" t="s">
        <v>167</v>
      </c>
      <c r="B3784" t="s">
        <v>262</v>
      </c>
      <c r="C3784" s="35" t="s">
        <v>264</v>
      </c>
      <c r="D3784" t="s">
        <v>502</v>
      </c>
      <c r="E3784" t="s">
        <v>520</v>
      </c>
      <c r="F3784" s="188" t="n">
        <v>2041</v>
      </c>
      <c r="G3784" s="189" t="n">
        <v>52</v>
      </c>
      <c r="H3784" s="190" t="n">
        <v>11487.0770553951</v>
      </c>
      <c r="I3784" s="191" t="n">
        <v>4152395.66600248</v>
      </c>
      <c r="J3784" s="192" t="str">
        <f>IF(I3784&gt;0,H3784/I3784,0)</f>
      </c>
      <c r="K3784" s="193" t="str">
        <f>1-EXP(-J3784)</f>
      </c>
      <c r="L3784" s="194" t="str">
        <f>IF(G3784=30,1,M3783)</f>
      </c>
      <c r="M3784" s="195" t="str">
        <f>L3784*(1-K3784)</f>
      </c>
    </row>
    <row r="3785">
      <c r="A3785" t="s">
        <v>167</v>
      </c>
      <c r="B3785" t="s">
        <v>262</v>
      </c>
      <c r="C3785" s="35" t="s">
        <v>264</v>
      </c>
      <c r="D3785" t="s">
        <v>502</v>
      </c>
      <c r="E3785" t="s">
        <v>520</v>
      </c>
      <c r="F3785" s="188" t="n">
        <v>2041</v>
      </c>
      <c r="G3785" s="189" t="n">
        <v>53</v>
      </c>
      <c r="H3785" s="190" t="n">
        <v>12443.3045811232</v>
      </c>
      <c r="I3785" s="191" t="n">
        <v>4119776.49582409</v>
      </c>
      <c r="J3785" s="192" t="str">
        <f>IF(I3785&gt;0,H3785/I3785,0)</f>
      </c>
      <c r="K3785" s="193" t="str">
        <f>1-EXP(-J3785)</f>
      </c>
      <c r="L3785" s="194" t="str">
        <f>IF(G3785=30,1,M3784)</f>
      </c>
      <c r="M3785" s="195" t="str">
        <f>L3785*(1-K3785)</f>
      </c>
    </row>
    <row r="3786">
      <c r="A3786" t="s">
        <v>167</v>
      </c>
      <c r="B3786" t="s">
        <v>262</v>
      </c>
      <c r="C3786" s="35" t="s">
        <v>264</v>
      </c>
      <c r="D3786" t="s">
        <v>502</v>
      </c>
      <c r="E3786" t="s">
        <v>520</v>
      </c>
      <c r="F3786" s="188" t="n">
        <v>2041</v>
      </c>
      <c r="G3786" s="189" t="n">
        <v>54</v>
      </c>
      <c r="H3786" s="190" t="n">
        <v>13101.9520638486</v>
      </c>
      <c r="I3786" s="191" t="n">
        <v>3975900.6164101</v>
      </c>
      <c r="J3786" s="192" t="str">
        <f>IF(I3786&gt;0,H3786/I3786,0)</f>
      </c>
      <c r="K3786" s="193" t="str">
        <f>1-EXP(-J3786)</f>
      </c>
      <c r="L3786" s="194" t="str">
        <f>IF(G3786=30,1,M3785)</f>
      </c>
      <c r="M3786" s="195" t="str">
        <f>L3786*(1-K3786)</f>
      </c>
    </row>
    <row r="3787">
      <c r="A3787" t="s">
        <v>167</v>
      </c>
      <c r="B3787" t="s">
        <v>262</v>
      </c>
      <c r="C3787" s="35" t="s">
        <v>264</v>
      </c>
      <c r="D3787" t="s">
        <v>502</v>
      </c>
      <c r="E3787" t="s">
        <v>520</v>
      </c>
      <c r="F3787" s="188" t="n">
        <v>2041</v>
      </c>
      <c r="G3787" s="189" t="n">
        <v>55</v>
      </c>
      <c r="H3787" s="190" t="n">
        <v>13964.5031132532</v>
      </c>
      <c r="I3787" s="191" t="n">
        <v>3923954.39198415</v>
      </c>
      <c r="J3787" s="192" t="str">
        <f>IF(I3787&gt;0,H3787/I3787,0)</f>
      </c>
      <c r="K3787" s="193" t="str">
        <f>1-EXP(-J3787)</f>
      </c>
      <c r="L3787" s="194" t="str">
        <f>IF(G3787=30,1,M3786)</f>
      </c>
      <c r="M3787" s="195" t="str">
        <f>L3787*(1-K3787)</f>
      </c>
    </row>
    <row r="3788">
      <c r="A3788" t="s">
        <v>167</v>
      </c>
      <c r="B3788" t="s">
        <v>262</v>
      </c>
      <c r="C3788" s="35" t="s">
        <v>264</v>
      </c>
      <c r="D3788" t="s">
        <v>502</v>
      </c>
      <c r="E3788" t="s">
        <v>520</v>
      </c>
      <c r="F3788" s="188" t="n">
        <v>2041</v>
      </c>
      <c r="G3788" s="189" t="n">
        <v>56</v>
      </c>
      <c r="H3788" s="190" t="n">
        <v>15331.2865121603</v>
      </c>
      <c r="I3788" s="191" t="n">
        <v>3958398.31139532</v>
      </c>
      <c r="J3788" s="192" t="str">
        <f>IF(I3788&gt;0,H3788/I3788,0)</f>
      </c>
      <c r="K3788" s="193" t="str">
        <f>1-EXP(-J3788)</f>
      </c>
      <c r="L3788" s="194" t="str">
        <f>IF(G3788=30,1,M3787)</f>
      </c>
      <c r="M3788" s="195" t="str">
        <f>L3788*(1-K3788)</f>
      </c>
    </row>
    <row r="3789">
      <c r="A3789" t="s">
        <v>167</v>
      </c>
      <c r="B3789" t="s">
        <v>262</v>
      </c>
      <c r="C3789" s="35" t="s">
        <v>264</v>
      </c>
      <c r="D3789" t="s">
        <v>502</v>
      </c>
      <c r="E3789" t="s">
        <v>520</v>
      </c>
      <c r="F3789" s="188" t="n">
        <v>2041</v>
      </c>
      <c r="G3789" s="189" t="n">
        <v>57</v>
      </c>
      <c r="H3789" s="190" t="n">
        <v>16968.6350752305</v>
      </c>
      <c r="I3789" s="191" t="n">
        <v>4014046.55168057</v>
      </c>
      <c r="J3789" s="192" t="str">
        <f>IF(I3789&gt;0,H3789/I3789,0)</f>
      </c>
      <c r="K3789" s="193" t="str">
        <f>1-EXP(-J3789)</f>
      </c>
      <c r="L3789" s="194" t="str">
        <f>IF(G3789=30,1,M3788)</f>
      </c>
      <c r="M3789" s="195" t="str">
        <f>L3789*(1-K3789)</f>
      </c>
    </row>
    <row r="3790">
      <c r="A3790" t="s">
        <v>167</v>
      </c>
      <c r="B3790" t="s">
        <v>262</v>
      </c>
      <c r="C3790" s="35" t="s">
        <v>264</v>
      </c>
      <c r="D3790" t="s">
        <v>502</v>
      </c>
      <c r="E3790" t="s">
        <v>520</v>
      </c>
      <c r="F3790" s="188" t="n">
        <v>2041</v>
      </c>
      <c r="G3790" s="189" t="n">
        <v>58</v>
      </c>
      <c r="H3790" s="190" t="n">
        <v>18320.5558111836</v>
      </c>
      <c r="I3790" s="191" t="n">
        <v>3965651.94758748</v>
      </c>
      <c r="J3790" s="192" t="str">
        <f>IF(I3790&gt;0,H3790/I3790,0)</f>
      </c>
      <c r="K3790" s="193" t="str">
        <f>1-EXP(-J3790)</f>
      </c>
      <c r="L3790" s="194" t="str">
        <f>IF(G3790=30,1,M3789)</f>
      </c>
      <c r="M3790" s="195" t="str">
        <f>L3790*(1-K3790)</f>
      </c>
    </row>
    <row r="3791">
      <c r="A3791" t="s">
        <v>167</v>
      </c>
      <c r="B3791" t="s">
        <v>262</v>
      </c>
      <c r="C3791" s="35" t="s">
        <v>264</v>
      </c>
      <c r="D3791" t="s">
        <v>502</v>
      </c>
      <c r="E3791" t="s">
        <v>520</v>
      </c>
      <c r="F3791" s="188" t="n">
        <v>2041</v>
      </c>
      <c r="G3791" s="189" t="n">
        <v>59</v>
      </c>
      <c r="H3791" s="190" t="n">
        <v>19288.0372255847</v>
      </c>
      <c r="I3791" s="191" t="n">
        <v>3811582.08877394</v>
      </c>
      <c r="J3791" s="192" t="str">
        <f>IF(I3791&gt;0,H3791/I3791,0)</f>
      </c>
      <c r="K3791" s="193" t="str">
        <f>1-EXP(-J3791)</f>
      </c>
      <c r="L3791" s="194" t="str">
        <f>IF(G3791=30,1,M3790)</f>
      </c>
      <c r="M3791" s="195" t="str">
        <f>L3791*(1-K3791)</f>
      </c>
    </row>
    <row r="3792">
      <c r="A3792" t="s">
        <v>167</v>
      </c>
      <c r="B3792" t="s">
        <v>262</v>
      </c>
      <c r="C3792" s="35" t="s">
        <v>264</v>
      </c>
      <c r="D3792" t="s">
        <v>502</v>
      </c>
      <c r="E3792" t="s">
        <v>520</v>
      </c>
      <c r="F3792" s="188" t="n">
        <v>2041</v>
      </c>
      <c r="G3792" s="189" t="n">
        <v>60</v>
      </c>
      <c r="H3792" s="190" t="n">
        <v>20485.1892413888</v>
      </c>
      <c r="I3792" s="191" t="n">
        <v>3714229.42979323</v>
      </c>
      <c r="J3792" s="192" t="str">
        <f>IF(I3792&gt;0,H3792/I3792,0)</f>
      </c>
      <c r="K3792" s="193" t="str">
        <f>1-EXP(-J3792)</f>
      </c>
      <c r="L3792" s="194" t="str">
        <f>IF(G3792=30,1,M3791)</f>
      </c>
      <c r="M3792" s="195" t="str">
        <f>L3792*(1-K3792)</f>
      </c>
    </row>
    <row r="3793">
      <c r="A3793" t="s">
        <v>167</v>
      </c>
      <c r="B3793" t="s">
        <v>262</v>
      </c>
      <c r="C3793" s="35" t="s">
        <v>264</v>
      </c>
      <c r="D3793" t="s">
        <v>502</v>
      </c>
      <c r="E3793" t="s">
        <v>520</v>
      </c>
      <c r="F3793" s="188" t="n">
        <v>2041</v>
      </c>
      <c r="G3793" s="189" t="n">
        <v>61</v>
      </c>
      <c r="H3793" s="190" t="n">
        <v>21948.6687480108</v>
      </c>
      <c r="I3793" s="191" t="n">
        <v>3629538.06662244</v>
      </c>
      <c r="J3793" s="192" t="str">
        <f>IF(I3793&gt;0,H3793/I3793,0)</f>
      </c>
      <c r="K3793" s="193" t="str">
        <f>1-EXP(-J3793)</f>
      </c>
      <c r="L3793" s="194" t="str">
        <f>IF(G3793=30,1,M3792)</f>
      </c>
      <c r="M3793" s="195" t="str">
        <f>L3793*(1-K3793)</f>
      </c>
    </row>
    <row r="3794">
      <c r="A3794" t="s">
        <v>167</v>
      </c>
      <c r="B3794" t="s">
        <v>262</v>
      </c>
      <c r="C3794" s="35" t="s">
        <v>264</v>
      </c>
      <c r="D3794" t="s">
        <v>502</v>
      </c>
      <c r="E3794" t="s">
        <v>520</v>
      </c>
      <c r="F3794" s="188" t="n">
        <v>2041</v>
      </c>
      <c r="G3794" s="189" t="n">
        <v>62</v>
      </c>
      <c r="H3794" s="190" t="n">
        <v>23467.4888067636</v>
      </c>
      <c r="I3794" s="191" t="n">
        <v>3538333.87043585</v>
      </c>
      <c r="J3794" s="192" t="str">
        <f>IF(I3794&gt;0,H3794/I3794,0)</f>
      </c>
      <c r="K3794" s="193" t="str">
        <f>1-EXP(-J3794)</f>
      </c>
      <c r="L3794" s="194" t="str">
        <f>IF(G3794=30,1,M3793)</f>
      </c>
      <c r="M3794" s="195" t="str">
        <f>L3794*(1-K3794)</f>
      </c>
    </row>
    <row r="3795">
      <c r="A3795" t="s">
        <v>167</v>
      </c>
      <c r="B3795" t="s">
        <v>262</v>
      </c>
      <c r="C3795" s="35" t="s">
        <v>264</v>
      </c>
      <c r="D3795" t="s">
        <v>502</v>
      </c>
      <c r="E3795" t="s">
        <v>520</v>
      </c>
      <c r="F3795" s="188" t="n">
        <v>2041</v>
      </c>
      <c r="G3795" s="189" t="n">
        <v>63</v>
      </c>
      <c r="H3795" s="190" t="n">
        <v>24939.1614116678</v>
      </c>
      <c r="I3795" s="191" t="n">
        <v>3428022.93501915</v>
      </c>
      <c r="J3795" s="192" t="str">
        <f>IF(I3795&gt;0,H3795/I3795,0)</f>
      </c>
      <c r="K3795" s="193" t="str">
        <f>1-EXP(-J3795)</f>
      </c>
      <c r="L3795" s="194" t="str">
        <f>IF(G3795=30,1,M3794)</f>
      </c>
      <c r="M3795" s="195" t="str">
        <f>L3795*(1-K3795)</f>
      </c>
    </row>
    <row r="3796">
      <c r="A3796" t="s">
        <v>167</v>
      </c>
      <c r="B3796" t="s">
        <v>262</v>
      </c>
      <c r="C3796" s="35" t="s">
        <v>264</v>
      </c>
      <c r="D3796" t="s">
        <v>502</v>
      </c>
      <c r="E3796" t="s">
        <v>520</v>
      </c>
      <c r="F3796" s="188" t="n">
        <v>2041</v>
      </c>
      <c r="G3796" s="189" t="n">
        <v>64</v>
      </c>
      <c r="H3796" s="190" t="n">
        <v>26607.5439799699</v>
      </c>
      <c r="I3796" s="191" t="n">
        <v>3330697.86075199</v>
      </c>
      <c r="J3796" s="192" t="str">
        <f>IF(I3796&gt;0,H3796/I3796,0)</f>
      </c>
      <c r="K3796" s="193" t="str">
        <f>1-EXP(-J3796)</f>
      </c>
      <c r="L3796" s="194" t="str">
        <f>IF(G3796=30,1,M3795)</f>
      </c>
      <c r="M3796" s="195" t="str">
        <f>L3796*(1-K3796)</f>
      </c>
    </row>
    <row r="3797">
      <c r="A3797" t="s">
        <v>167</v>
      </c>
      <c r="B3797" t="s">
        <v>262</v>
      </c>
      <c r="C3797" s="35" t="s">
        <v>264</v>
      </c>
      <c r="D3797" t="s">
        <v>502</v>
      </c>
      <c r="E3797" t="s">
        <v>520</v>
      </c>
      <c r="F3797" s="188" t="n">
        <v>2041</v>
      </c>
      <c r="G3797" s="189" t="n">
        <v>65</v>
      </c>
      <c r="H3797" s="190" t="n">
        <v>27024.7900736317</v>
      </c>
      <c r="I3797" s="191" t="n">
        <v>3221668.02184861</v>
      </c>
      <c r="J3797" s="192" t="str">
        <f>IF(I3797&gt;0,H3797/I3797,0)</f>
      </c>
      <c r="K3797" s="193" t="str">
        <f>1-EXP(-J3797)</f>
      </c>
      <c r="L3797" s="194" t="str">
        <f>IF(G3797=30,1,M3796)</f>
      </c>
      <c r="M3797" s="195" t="str">
        <f>L3797*(1-K3797)</f>
      </c>
    </row>
    <row r="3798">
      <c r="A3798" t="s">
        <v>167</v>
      </c>
      <c r="B3798" t="s">
        <v>262</v>
      </c>
      <c r="C3798" s="35" t="s">
        <v>264</v>
      </c>
      <c r="D3798" t="s">
        <v>502</v>
      </c>
      <c r="E3798" t="s">
        <v>520</v>
      </c>
      <c r="F3798" s="188" t="n">
        <v>2041</v>
      </c>
      <c r="G3798" s="189" t="n">
        <v>66</v>
      </c>
      <c r="H3798" s="190" t="n">
        <v>28613.2316866347</v>
      </c>
      <c r="I3798" s="191" t="n">
        <v>3110890.97576112</v>
      </c>
      <c r="J3798" s="192" t="str">
        <f>IF(I3798&gt;0,H3798/I3798,0)</f>
      </c>
      <c r="K3798" s="193" t="str">
        <f>1-EXP(-J3798)</f>
      </c>
      <c r="L3798" s="194" t="str">
        <f>IF(G3798=30,1,M3797)</f>
      </c>
      <c r="M3798" s="195" t="str">
        <f>L3798*(1-K3798)</f>
      </c>
    </row>
    <row r="3799">
      <c r="A3799" t="s">
        <v>167</v>
      </c>
      <c r="B3799" t="s">
        <v>262</v>
      </c>
      <c r="C3799" s="35" t="s">
        <v>264</v>
      </c>
      <c r="D3799" t="s">
        <v>502</v>
      </c>
      <c r="E3799" t="s">
        <v>520</v>
      </c>
      <c r="F3799" s="188" t="n">
        <v>2041</v>
      </c>
      <c r="G3799" s="189" t="n">
        <v>67</v>
      </c>
      <c r="H3799" s="190" t="n">
        <v>30040.1832064037</v>
      </c>
      <c r="I3799" s="191" t="n">
        <v>2974749.13687489</v>
      </c>
      <c r="J3799" s="192" t="str">
        <f>IF(I3799&gt;0,H3799/I3799,0)</f>
      </c>
      <c r="K3799" s="193" t="str">
        <f>1-EXP(-J3799)</f>
      </c>
      <c r="L3799" s="194" t="str">
        <f>IF(G3799=30,1,M3798)</f>
      </c>
      <c r="M3799" s="195" t="str">
        <f>L3799*(1-K3799)</f>
      </c>
    </row>
    <row r="3800">
      <c r="A3800" t="s">
        <v>167</v>
      </c>
      <c r="B3800" t="s">
        <v>262</v>
      </c>
      <c r="C3800" s="35" t="s">
        <v>264</v>
      </c>
      <c r="D3800" t="s">
        <v>502</v>
      </c>
      <c r="E3800" t="s">
        <v>520</v>
      </c>
      <c r="F3800" s="188" t="n">
        <v>2041</v>
      </c>
      <c r="G3800" s="189" t="n">
        <v>68</v>
      </c>
      <c r="H3800" s="190" t="n">
        <v>32033.6337821364</v>
      </c>
      <c r="I3800" s="191" t="n">
        <v>2887279.47855805</v>
      </c>
      <c r="J3800" s="192" t="str">
        <f>IF(I3800&gt;0,H3800/I3800,0)</f>
      </c>
      <c r="K3800" s="193" t="str">
        <f>1-EXP(-J3800)</f>
      </c>
      <c r="L3800" s="194" t="str">
        <f>IF(G3800=30,1,M3799)</f>
      </c>
      <c r="M3800" s="195" t="str">
        <f>L3800*(1-K3800)</f>
      </c>
    </row>
    <row r="3801">
      <c r="A3801" t="s">
        <v>167</v>
      </c>
      <c r="B3801" t="s">
        <v>262</v>
      </c>
      <c r="C3801" s="35" t="s">
        <v>264</v>
      </c>
      <c r="D3801" t="s">
        <v>502</v>
      </c>
      <c r="E3801" t="s">
        <v>520</v>
      </c>
      <c r="F3801" s="188" t="n">
        <v>2041</v>
      </c>
      <c r="G3801" s="189" t="n">
        <v>69</v>
      </c>
      <c r="H3801" s="190" t="n">
        <v>32533.2980476926</v>
      </c>
      <c r="I3801" s="191" t="n">
        <v>2663886.64089497</v>
      </c>
      <c r="J3801" s="192" t="str">
        <f>IF(I3801&gt;0,H3801/I3801,0)</f>
      </c>
      <c r="K3801" s="193" t="str">
        <f>1-EXP(-J3801)</f>
      </c>
      <c r="L3801" s="194" t="str">
        <f>IF(G3801=30,1,M3800)</f>
      </c>
      <c r="M3801" s="195" t="str">
        <f>L3801*(1-K3801)</f>
      </c>
    </row>
    <row r="3802">
      <c r="A3802" t="s">
        <v>167</v>
      </c>
      <c r="B3802" t="s">
        <v>262</v>
      </c>
      <c r="C3802" s="35" t="s">
        <v>264</v>
      </c>
      <c r="D3802" t="s">
        <v>502</v>
      </c>
      <c r="E3802" t="s">
        <v>520</v>
      </c>
      <c r="F3802" s="188" t="n">
        <v>2042</v>
      </c>
      <c r="G3802" s="189" t="n">
        <v>30</v>
      </c>
      <c r="H3802" s="190" t="n">
        <v>816.621188783024</v>
      </c>
      <c r="I3802" s="191" t="n">
        <v>4906583.40273116</v>
      </c>
      <c r="J3802" s="192" t="str">
        <f>IF(I3802&gt;0,H3802/I3802,0)</f>
      </c>
      <c r="K3802" s="193" t="str">
        <f>1-EXP(-J3802)</f>
      </c>
      <c r="L3802" s="194" t="str">
        <f>IF(G3802=30,1,M3801)</f>
      </c>
      <c r="M3802" s="195" t="str">
        <f>L3802*(1-K3802)</f>
      </c>
    </row>
    <row r="3803">
      <c r="A3803" t="s">
        <v>167</v>
      </c>
      <c r="B3803" t="s">
        <v>262</v>
      </c>
      <c r="C3803" s="35" t="s">
        <v>264</v>
      </c>
      <c r="D3803" t="s">
        <v>502</v>
      </c>
      <c r="E3803" t="s">
        <v>520</v>
      </c>
      <c r="F3803" s="188" t="n">
        <v>2042</v>
      </c>
      <c r="G3803" s="189" t="n">
        <v>31</v>
      </c>
      <c r="H3803" s="190" t="n">
        <v>1044.35258838111</v>
      </c>
      <c r="I3803" s="191" t="n">
        <v>4878443.27673124</v>
      </c>
      <c r="J3803" s="192" t="str">
        <f>IF(I3803&gt;0,H3803/I3803,0)</f>
      </c>
      <c r="K3803" s="193" t="str">
        <f>1-EXP(-J3803)</f>
      </c>
      <c r="L3803" s="194" t="str">
        <f>IF(G3803=30,1,M3802)</f>
      </c>
      <c r="M3803" s="195" t="str">
        <f>L3803*(1-K3803)</f>
      </c>
    </row>
    <row r="3804">
      <c r="A3804" t="s">
        <v>167</v>
      </c>
      <c r="B3804" t="s">
        <v>262</v>
      </c>
      <c r="C3804" s="35" t="s">
        <v>264</v>
      </c>
      <c r="D3804" t="s">
        <v>502</v>
      </c>
      <c r="E3804" t="s">
        <v>520</v>
      </c>
      <c r="F3804" s="188" t="n">
        <v>2042</v>
      </c>
      <c r="G3804" s="189" t="n">
        <v>32</v>
      </c>
      <c r="H3804" s="190" t="n">
        <v>1069.67644748261</v>
      </c>
      <c r="I3804" s="191" t="n">
        <v>4744713.73220498</v>
      </c>
      <c r="J3804" s="192" t="str">
        <f>IF(I3804&gt;0,H3804/I3804,0)</f>
      </c>
      <c r="K3804" s="193" t="str">
        <f>1-EXP(-J3804)</f>
      </c>
      <c r="L3804" s="194" t="str">
        <f>IF(G3804=30,1,M3803)</f>
      </c>
      <c r="M3804" s="195" t="str">
        <f>L3804*(1-K3804)</f>
      </c>
    </row>
    <row r="3805">
      <c r="A3805" t="s">
        <v>167</v>
      </c>
      <c r="B3805" t="s">
        <v>262</v>
      </c>
      <c r="C3805" s="35" t="s">
        <v>264</v>
      </c>
      <c r="D3805" t="s">
        <v>502</v>
      </c>
      <c r="E3805" t="s">
        <v>520</v>
      </c>
      <c r="F3805" s="188" t="n">
        <v>2042</v>
      </c>
      <c r="G3805" s="189" t="n">
        <v>33</v>
      </c>
      <c r="H3805" s="190" t="n">
        <v>1116.19282179583</v>
      </c>
      <c r="I3805" s="191" t="n">
        <v>4673872.69831841</v>
      </c>
      <c r="J3805" s="192" t="str">
        <f>IF(I3805&gt;0,H3805/I3805,0)</f>
      </c>
      <c r="K3805" s="193" t="str">
        <f>1-EXP(-J3805)</f>
      </c>
      <c r="L3805" s="194" t="str">
        <f>IF(G3805=30,1,M3804)</f>
      </c>
      <c r="M3805" s="195" t="str">
        <f>L3805*(1-K3805)</f>
      </c>
    </row>
    <row r="3806">
      <c r="A3806" t="s">
        <v>167</v>
      </c>
      <c r="B3806" t="s">
        <v>262</v>
      </c>
      <c r="C3806" s="35" t="s">
        <v>264</v>
      </c>
      <c r="D3806" t="s">
        <v>502</v>
      </c>
      <c r="E3806" t="s">
        <v>520</v>
      </c>
      <c r="F3806" s="188" t="n">
        <v>2042</v>
      </c>
      <c r="G3806" s="189" t="n">
        <v>34</v>
      </c>
      <c r="H3806" s="190" t="n">
        <v>1178.85620515019</v>
      </c>
      <c r="I3806" s="191" t="n">
        <v>4630976.53591133</v>
      </c>
      <c r="J3806" s="192" t="str">
        <f>IF(I3806&gt;0,H3806/I3806,0)</f>
      </c>
      <c r="K3806" s="193" t="str">
        <f>1-EXP(-J3806)</f>
      </c>
      <c r="L3806" s="194" t="str">
        <f>IF(G3806=30,1,M3805)</f>
      </c>
      <c r="M3806" s="195" t="str">
        <f>L3806*(1-K3806)</f>
      </c>
    </row>
    <row r="3807">
      <c r="A3807" t="s">
        <v>167</v>
      </c>
      <c r="B3807" t="s">
        <v>262</v>
      </c>
      <c r="C3807" s="35" t="s">
        <v>264</v>
      </c>
      <c r="D3807" t="s">
        <v>502</v>
      </c>
      <c r="E3807" t="s">
        <v>520</v>
      </c>
      <c r="F3807" s="188" t="n">
        <v>2042</v>
      </c>
      <c r="G3807" s="189" t="n">
        <v>35</v>
      </c>
      <c r="H3807" s="190" t="n">
        <v>1639.1998373804</v>
      </c>
      <c r="I3807" s="191" t="n">
        <v>4656285.96435397</v>
      </c>
      <c r="J3807" s="192" t="str">
        <f>IF(I3807&gt;0,H3807/I3807,0)</f>
      </c>
      <c r="K3807" s="193" t="str">
        <f>1-EXP(-J3807)</f>
      </c>
      <c r="L3807" s="194" t="str">
        <f>IF(G3807=30,1,M3806)</f>
      </c>
      <c r="M3807" s="195" t="str">
        <f>L3807*(1-K3807)</f>
      </c>
    </row>
    <row r="3808">
      <c r="A3808" t="s">
        <v>167</v>
      </c>
      <c r="B3808" t="s">
        <v>262</v>
      </c>
      <c r="C3808" s="35" t="s">
        <v>264</v>
      </c>
      <c r="D3808" t="s">
        <v>502</v>
      </c>
      <c r="E3808" t="s">
        <v>520</v>
      </c>
      <c r="F3808" s="188" t="n">
        <v>2042</v>
      </c>
      <c r="G3808" s="189" t="n">
        <v>36</v>
      </c>
      <c r="H3808" s="190" t="n">
        <v>1864.17604472877</v>
      </c>
      <c r="I3808" s="191" t="n">
        <v>4572338.29390043</v>
      </c>
      <c r="J3808" s="192" t="str">
        <f>IF(I3808&gt;0,H3808/I3808,0)</f>
      </c>
      <c r="K3808" s="193" t="str">
        <f>1-EXP(-J3808)</f>
      </c>
      <c r="L3808" s="194" t="str">
        <f>IF(G3808=30,1,M3807)</f>
      </c>
      <c r="M3808" s="195" t="str">
        <f>L3808*(1-K3808)</f>
      </c>
    </row>
    <row r="3809">
      <c r="A3809" t="s">
        <v>167</v>
      </c>
      <c r="B3809" t="s">
        <v>262</v>
      </c>
      <c r="C3809" s="35" t="s">
        <v>264</v>
      </c>
      <c r="D3809" t="s">
        <v>502</v>
      </c>
      <c r="E3809" t="s">
        <v>520</v>
      </c>
      <c r="F3809" s="188" t="n">
        <v>2042</v>
      </c>
      <c r="G3809" s="189" t="n">
        <v>37</v>
      </c>
      <c r="H3809" s="190" t="n">
        <v>1976.99269538159</v>
      </c>
      <c r="I3809" s="191" t="n">
        <v>4510269.93917914</v>
      </c>
      <c r="J3809" s="192" t="str">
        <f>IF(I3809&gt;0,H3809/I3809,0)</f>
      </c>
      <c r="K3809" s="193" t="str">
        <f>1-EXP(-J3809)</f>
      </c>
      <c r="L3809" s="194" t="str">
        <f>IF(G3809=30,1,M3808)</f>
      </c>
      <c r="M3809" s="195" t="str">
        <f>L3809*(1-K3809)</f>
      </c>
    </row>
    <row r="3810">
      <c r="A3810" t="s">
        <v>167</v>
      </c>
      <c r="B3810" t="s">
        <v>262</v>
      </c>
      <c r="C3810" s="35" t="s">
        <v>264</v>
      </c>
      <c r="D3810" t="s">
        <v>502</v>
      </c>
      <c r="E3810" t="s">
        <v>520</v>
      </c>
      <c r="F3810" s="188" t="n">
        <v>2042</v>
      </c>
      <c r="G3810" s="189" t="n">
        <v>38</v>
      </c>
      <c r="H3810" s="190" t="n">
        <v>2071.5967791454</v>
      </c>
      <c r="I3810" s="191" t="n">
        <v>4380724.1203679</v>
      </c>
      <c r="J3810" s="192" t="str">
        <f>IF(I3810&gt;0,H3810/I3810,0)</f>
      </c>
      <c r="K3810" s="193" t="str">
        <f>1-EXP(-J3810)</f>
      </c>
      <c r="L3810" s="194" t="str">
        <f>IF(G3810=30,1,M3809)</f>
      </c>
      <c r="M3810" s="195" t="str">
        <f>L3810*(1-K3810)</f>
      </c>
    </row>
    <row r="3811">
      <c r="A3811" t="s">
        <v>167</v>
      </c>
      <c r="B3811" t="s">
        <v>262</v>
      </c>
      <c r="C3811" s="35" t="s">
        <v>264</v>
      </c>
      <c r="D3811" t="s">
        <v>502</v>
      </c>
      <c r="E3811" t="s">
        <v>520</v>
      </c>
      <c r="F3811" s="188" t="n">
        <v>2042</v>
      </c>
      <c r="G3811" s="189" t="n">
        <v>39</v>
      </c>
      <c r="H3811" s="190" t="n">
        <v>2206.36368325464</v>
      </c>
      <c r="I3811" s="191" t="n">
        <v>4313543.51568644</v>
      </c>
      <c r="J3811" s="192" t="str">
        <f>IF(I3811&gt;0,H3811/I3811,0)</f>
      </c>
      <c r="K3811" s="193" t="str">
        <f>1-EXP(-J3811)</f>
      </c>
      <c r="L3811" s="194" t="str">
        <f>IF(G3811=30,1,M3810)</f>
      </c>
      <c r="M3811" s="195" t="str">
        <f>L3811*(1-K3811)</f>
      </c>
    </row>
    <row r="3812">
      <c r="A3812" t="s">
        <v>167</v>
      </c>
      <c r="B3812" t="s">
        <v>262</v>
      </c>
      <c r="C3812" s="35" t="s">
        <v>264</v>
      </c>
      <c r="D3812" t="s">
        <v>502</v>
      </c>
      <c r="E3812" t="s">
        <v>520</v>
      </c>
      <c r="F3812" s="188" t="n">
        <v>2042</v>
      </c>
      <c r="G3812" s="189" t="n">
        <v>40</v>
      </c>
      <c r="H3812" s="190" t="n">
        <v>3146.60362741393</v>
      </c>
      <c r="I3812" s="191" t="n">
        <v>4288437.47866029</v>
      </c>
      <c r="J3812" s="192" t="str">
        <f>IF(I3812&gt;0,H3812/I3812,0)</f>
      </c>
      <c r="K3812" s="193" t="str">
        <f>1-EXP(-J3812)</f>
      </c>
      <c r="L3812" s="194" t="str">
        <f>IF(G3812=30,1,M3811)</f>
      </c>
      <c r="M3812" s="195" t="str">
        <f>L3812*(1-K3812)</f>
      </c>
    </row>
    <row r="3813">
      <c r="A3813" t="s">
        <v>167</v>
      </c>
      <c r="B3813" t="s">
        <v>262</v>
      </c>
      <c r="C3813" s="35" t="s">
        <v>264</v>
      </c>
      <c r="D3813" t="s">
        <v>502</v>
      </c>
      <c r="E3813" t="s">
        <v>520</v>
      </c>
      <c r="F3813" s="188" t="n">
        <v>2042</v>
      </c>
      <c r="G3813" s="189" t="n">
        <v>41</v>
      </c>
      <c r="H3813" s="190" t="n">
        <v>3451.0961497908</v>
      </c>
      <c r="I3813" s="191" t="n">
        <v>4264604.14366191</v>
      </c>
      <c r="J3813" s="192" t="str">
        <f>IF(I3813&gt;0,H3813/I3813,0)</f>
      </c>
      <c r="K3813" s="193" t="str">
        <f>1-EXP(-J3813)</f>
      </c>
      <c r="L3813" s="194" t="str">
        <f>IF(G3813=30,1,M3812)</f>
      </c>
      <c r="M3813" s="195" t="str">
        <f>L3813*(1-K3813)</f>
      </c>
    </row>
    <row r="3814">
      <c r="A3814" t="s">
        <v>167</v>
      </c>
      <c r="B3814" t="s">
        <v>262</v>
      </c>
      <c r="C3814" s="35" t="s">
        <v>264</v>
      </c>
      <c r="D3814" t="s">
        <v>502</v>
      </c>
      <c r="E3814" t="s">
        <v>520</v>
      </c>
      <c r="F3814" s="188" t="n">
        <v>2042</v>
      </c>
      <c r="G3814" s="189" t="n">
        <v>42</v>
      </c>
      <c r="H3814" s="190" t="n">
        <v>3724.69427367139</v>
      </c>
      <c r="I3814" s="191" t="n">
        <v>4240677.40678622</v>
      </c>
      <c r="J3814" s="192" t="str">
        <f>IF(I3814&gt;0,H3814/I3814,0)</f>
      </c>
      <c r="K3814" s="193" t="str">
        <f>1-EXP(-J3814)</f>
      </c>
      <c r="L3814" s="194" t="str">
        <f>IF(G3814=30,1,M3813)</f>
      </c>
      <c r="M3814" s="195" t="str">
        <f>L3814*(1-K3814)</f>
      </c>
    </row>
    <row r="3815">
      <c r="A3815" t="s">
        <v>167</v>
      </c>
      <c r="B3815" t="s">
        <v>262</v>
      </c>
      <c r="C3815" s="35" t="s">
        <v>264</v>
      </c>
      <c r="D3815" t="s">
        <v>502</v>
      </c>
      <c r="E3815" t="s">
        <v>520</v>
      </c>
      <c r="F3815" s="188" t="n">
        <v>2042</v>
      </c>
      <c r="G3815" s="189" t="n">
        <v>43</v>
      </c>
      <c r="H3815" s="190" t="n">
        <v>4066.17659245345</v>
      </c>
      <c r="I3815" s="191" t="n">
        <v>4255298.24723381</v>
      </c>
      <c r="J3815" s="192" t="str">
        <f>IF(I3815&gt;0,H3815/I3815,0)</f>
      </c>
      <c r="K3815" s="193" t="str">
        <f>1-EXP(-J3815)</f>
      </c>
      <c r="L3815" s="194" t="str">
        <f>IF(G3815=30,1,M3814)</f>
      </c>
      <c r="M3815" s="195" t="str">
        <f>L3815*(1-K3815)</f>
      </c>
    </row>
    <row r="3816">
      <c r="A3816" t="s">
        <v>167</v>
      </c>
      <c r="B3816" t="s">
        <v>262</v>
      </c>
      <c r="C3816" s="35" t="s">
        <v>264</v>
      </c>
      <c r="D3816" t="s">
        <v>502</v>
      </c>
      <c r="E3816" t="s">
        <v>520</v>
      </c>
      <c r="F3816" s="188" t="n">
        <v>2042</v>
      </c>
      <c r="G3816" s="189" t="n">
        <v>44</v>
      </c>
      <c r="H3816" s="190" t="n">
        <v>4489.96301831144</v>
      </c>
      <c r="I3816" s="191" t="n">
        <v>4307710.19194348</v>
      </c>
      <c r="J3816" s="192" t="str">
        <f>IF(I3816&gt;0,H3816/I3816,0)</f>
      </c>
      <c r="K3816" s="193" t="str">
        <f>1-EXP(-J3816)</f>
      </c>
      <c r="L3816" s="194" t="str">
        <f>IF(G3816=30,1,M3815)</f>
      </c>
      <c r="M3816" s="195" t="str">
        <f>L3816*(1-K3816)</f>
      </c>
    </row>
    <row r="3817">
      <c r="A3817" t="s">
        <v>167</v>
      </c>
      <c r="B3817" t="s">
        <v>262</v>
      </c>
      <c r="C3817" s="35" t="s">
        <v>264</v>
      </c>
      <c r="D3817" t="s">
        <v>502</v>
      </c>
      <c r="E3817" t="s">
        <v>520</v>
      </c>
      <c r="F3817" s="188" t="n">
        <v>2042</v>
      </c>
      <c r="G3817" s="189" t="n">
        <v>45</v>
      </c>
      <c r="H3817" s="190" t="n">
        <v>6199.29847538216</v>
      </c>
      <c r="I3817" s="191" t="n">
        <v>4434938.13545688</v>
      </c>
      <c r="J3817" s="192" t="str">
        <f>IF(I3817&gt;0,H3817/I3817,0)</f>
      </c>
      <c r="K3817" s="193" t="str">
        <f>1-EXP(-J3817)</f>
      </c>
      <c r="L3817" s="194" t="str">
        <f>IF(G3817=30,1,M3816)</f>
      </c>
      <c r="M3817" s="195" t="str">
        <f>L3817*(1-K3817)</f>
      </c>
    </row>
    <row r="3818">
      <c r="A3818" t="s">
        <v>167</v>
      </c>
      <c r="B3818" t="s">
        <v>262</v>
      </c>
      <c r="C3818" s="35" t="s">
        <v>264</v>
      </c>
      <c r="D3818" t="s">
        <v>502</v>
      </c>
      <c r="E3818" t="s">
        <v>520</v>
      </c>
      <c r="F3818" s="188" t="n">
        <v>2042</v>
      </c>
      <c r="G3818" s="189" t="n">
        <v>46</v>
      </c>
      <c r="H3818" s="190" t="n">
        <v>6682.80082150072</v>
      </c>
      <c r="I3818" s="191" t="n">
        <v>4383711.43050048</v>
      </c>
      <c r="J3818" s="192" t="str">
        <f>IF(I3818&gt;0,H3818/I3818,0)</f>
      </c>
      <c r="K3818" s="193" t="str">
        <f>1-EXP(-J3818)</f>
      </c>
      <c r="L3818" s="194" t="str">
        <f>IF(G3818=30,1,M3817)</f>
      </c>
      <c r="M3818" s="195" t="str">
        <f>L3818*(1-K3818)</f>
      </c>
    </row>
    <row r="3819">
      <c r="A3819" t="s">
        <v>167</v>
      </c>
      <c r="B3819" t="s">
        <v>262</v>
      </c>
      <c r="C3819" s="35" t="s">
        <v>264</v>
      </c>
      <c r="D3819" t="s">
        <v>502</v>
      </c>
      <c r="E3819" t="s">
        <v>520</v>
      </c>
      <c r="F3819" s="188" t="n">
        <v>2042</v>
      </c>
      <c r="G3819" s="189" t="n">
        <v>47</v>
      </c>
      <c r="H3819" s="190" t="n">
        <v>7182.06712750804</v>
      </c>
      <c r="I3819" s="191" t="n">
        <v>4303234.1478124</v>
      </c>
      <c r="J3819" s="192" t="str">
        <f>IF(I3819&gt;0,H3819/I3819,0)</f>
      </c>
      <c r="K3819" s="193" t="str">
        <f>1-EXP(-J3819)</f>
      </c>
      <c r="L3819" s="194" t="str">
        <f>IF(G3819=30,1,M3818)</f>
      </c>
      <c r="M3819" s="195" t="str">
        <f>L3819*(1-K3819)</f>
      </c>
    </row>
    <row r="3820">
      <c r="A3820" t="s">
        <v>167</v>
      </c>
      <c r="B3820" t="s">
        <v>262</v>
      </c>
      <c r="C3820" s="35" t="s">
        <v>264</v>
      </c>
      <c r="D3820" t="s">
        <v>502</v>
      </c>
      <c r="E3820" t="s">
        <v>520</v>
      </c>
      <c r="F3820" s="188" t="n">
        <v>2042</v>
      </c>
      <c r="G3820" s="189" t="n">
        <v>48</v>
      </c>
      <c r="H3820" s="190" t="n">
        <v>7752.14173238183</v>
      </c>
      <c r="I3820" s="191" t="n">
        <v>4237253.46929872</v>
      </c>
      <c r="J3820" s="192" t="str">
        <f>IF(I3820&gt;0,H3820/I3820,0)</f>
      </c>
      <c r="K3820" s="193" t="str">
        <f>1-EXP(-J3820)</f>
      </c>
      <c r="L3820" s="194" t="str">
        <f>IF(G3820=30,1,M3819)</f>
      </c>
      <c r="M3820" s="195" t="str">
        <f>L3820*(1-K3820)</f>
      </c>
    </row>
    <row r="3821">
      <c r="A3821" t="s">
        <v>167</v>
      </c>
      <c r="B3821" t="s">
        <v>262</v>
      </c>
      <c r="C3821" s="35" t="s">
        <v>264</v>
      </c>
      <c r="D3821" t="s">
        <v>502</v>
      </c>
      <c r="E3821" t="s">
        <v>520</v>
      </c>
      <c r="F3821" s="188" t="n">
        <v>2042</v>
      </c>
      <c r="G3821" s="189" t="n">
        <v>49</v>
      </c>
      <c r="H3821" s="190" t="n">
        <v>8374.67999906321</v>
      </c>
      <c r="I3821" s="191" t="n">
        <v>4173852.61146324</v>
      </c>
      <c r="J3821" s="192" t="str">
        <f>IF(I3821&gt;0,H3821/I3821,0)</f>
      </c>
      <c r="K3821" s="193" t="str">
        <f>1-EXP(-J3821)</f>
      </c>
      <c r="L3821" s="194" t="str">
        <f>IF(G3821=30,1,M3820)</f>
      </c>
      <c r="M3821" s="195" t="str">
        <f>L3821*(1-K3821)</f>
      </c>
    </row>
    <row r="3822">
      <c r="A3822" t="s">
        <v>167</v>
      </c>
      <c r="B3822" t="s">
        <v>262</v>
      </c>
      <c r="C3822" s="35" t="s">
        <v>264</v>
      </c>
      <c r="D3822" t="s">
        <v>502</v>
      </c>
      <c r="E3822" t="s">
        <v>520</v>
      </c>
      <c r="F3822" s="188" t="n">
        <v>2042</v>
      </c>
      <c r="G3822" s="189" t="n">
        <v>50</v>
      </c>
      <c r="H3822" s="190" t="n">
        <v>9646.90020577306</v>
      </c>
      <c r="I3822" s="191" t="n">
        <v>4197610.01843502</v>
      </c>
      <c r="J3822" s="192" t="str">
        <f>IF(I3822&gt;0,H3822/I3822,0)</f>
      </c>
      <c r="K3822" s="193" t="str">
        <f>1-EXP(-J3822)</f>
      </c>
      <c r="L3822" s="194" t="str">
        <f>IF(G3822=30,1,M3821)</f>
      </c>
      <c r="M3822" s="195" t="str">
        <f>L3822*(1-K3822)</f>
      </c>
    </row>
    <row r="3823">
      <c r="A3823" t="s">
        <v>167</v>
      </c>
      <c r="B3823" t="s">
        <v>262</v>
      </c>
      <c r="C3823" s="35" t="s">
        <v>264</v>
      </c>
      <c r="D3823" t="s">
        <v>502</v>
      </c>
      <c r="E3823" t="s">
        <v>520</v>
      </c>
      <c r="F3823" s="188" t="n">
        <v>2042</v>
      </c>
      <c r="G3823" s="189" t="n">
        <v>51</v>
      </c>
      <c r="H3823" s="190" t="n">
        <v>10552.8973739507</v>
      </c>
      <c r="I3823" s="191" t="n">
        <v>4200020.02437801</v>
      </c>
      <c r="J3823" s="192" t="str">
        <f>IF(I3823&gt;0,H3823/I3823,0)</f>
      </c>
      <c r="K3823" s="193" t="str">
        <f>1-EXP(-J3823)</f>
      </c>
      <c r="L3823" s="194" t="str">
        <f>IF(G3823=30,1,M3822)</f>
      </c>
      <c r="M3823" s="195" t="str">
        <f>L3823*(1-K3823)</f>
      </c>
    </row>
    <row r="3824">
      <c r="A3824" t="s">
        <v>167</v>
      </c>
      <c r="B3824" t="s">
        <v>262</v>
      </c>
      <c r="C3824" s="35" t="s">
        <v>264</v>
      </c>
      <c r="D3824" t="s">
        <v>502</v>
      </c>
      <c r="E3824" t="s">
        <v>520</v>
      </c>
      <c r="F3824" s="188" t="n">
        <v>2042</v>
      </c>
      <c r="G3824" s="189" t="n">
        <v>52</v>
      </c>
      <c r="H3824" s="190" t="n">
        <v>15440.1905719219</v>
      </c>
      <c r="I3824" s="191" t="n">
        <v>6176570.4719277</v>
      </c>
      <c r="J3824" s="192" t="str">
        <f>IF(I3824&gt;0,H3824/I3824,0)</f>
      </c>
      <c r="K3824" s="193" t="str">
        <f>1-EXP(-J3824)</f>
      </c>
      <c r="L3824" s="194" t="str">
        <f>IF(G3824=30,1,M3823)</f>
      </c>
      <c r="M3824" s="195" t="str">
        <f>L3824*(1-K3824)</f>
      </c>
    </row>
    <row r="3825">
      <c r="A3825" t="s">
        <v>167</v>
      </c>
      <c r="B3825" t="s">
        <v>262</v>
      </c>
      <c r="C3825" s="35" t="s">
        <v>264</v>
      </c>
      <c r="D3825" t="s">
        <v>502</v>
      </c>
      <c r="E3825" t="s">
        <v>520</v>
      </c>
      <c r="F3825" s="188" t="n">
        <v>2042</v>
      </c>
      <c r="G3825" s="189" t="n">
        <v>53</v>
      </c>
      <c r="H3825" s="190" t="n">
        <v>12376.0167909575</v>
      </c>
      <c r="I3825" s="191" t="n">
        <v>4127456.58100265</v>
      </c>
      <c r="J3825" s="192" t="str">
        <f>IF(I3825&gt;0,H3825/I3825,0)</f>
      </c>
      <c r="K3825" s="193" t="str">
        <f>1-EXP(-J3825)</f>
      </c>
      <c r="L3825" s="194" t="str">
        <f>IF(G3825=30,1,M3824)</f>
      </c>
      <c r="M3825" s="195" t="str">
        <f>L3825*(1-K3825)</f>
      </c>
    </row>
    <row r="3826">
      <c r="A3826" t="s">
        <v>167</v>
      </c>
      <c r="B3826" t="s">
        <v>262</v>
      </c>
      <c r="C3826" s="35" t="s">
        <v>264</v>
      </c>
      <c r="D3826" t="s">
        <v>502</v>
      </c>
      <c r="E3826" t="s">
        <v>520</v>
      </c>
      <c r="F3826" s="188" t="n">
        <v>2042</v>
      </c>
      <c r="G3826" s="189" t="n">
        <v>54</v>
      </c>
      <c r="H3826" s="190" t="n">
        <v>13381.1698036466</v>
      </c>
      <c r="I3826" s="191" t="n">
        <v>4092763.49330782</v>
      </c>
      <c r="J3826" s="192" t="str">
        <f>IF(I3826&gt;0,H3826/I3826,0)</f>
      </c>
      <c r="K3826" s="193" t="str">
        <f>1-EXP(-J3826)</f>
      </c>
      <c r="L3826" s="194" t="str">
        <f>IF(G3826=30,1,M3825)</f>
      </c>
      <c r="M3826" s="195" t="str">
        <f>L3826*(1-K3826)</f>
      </c>
    </row>
    <row r="3827">
      <c r="A3827" t="s">
        <v>167</v>
      </c>
      <c r="B3827" t="s">
        <v>262</v>
      </c>
      <c r="C3827" s="35" t="s">
        <v>264</v>
      </c>
      <c r="D3827" t="s">
        <v>502</v>
      </c>
      <c r="E3827" t="s">
        <v>520</v>
      </c>
      <c r="F3827" s="188" t="n">
        <v>2042</v>
      </c>
      <c r="G3827" s="189" t="n">
        <v>55</v>
      </c>
      <c r="H3827" s="190" t="n">
        <v>13920.2755847099</v>
      </c>
      <c r="I3827" s="191" t="n">
        <v>3947464.53223666</v>
      </c>
      <c r="J3827" s="192" t="str">
        <f>IF(I3827&gt;0,H3827/I3827,0)</f>
      </c>
      <c r="K3827" s="193" t="str">
        <f>1-EXP(-J3827)</f>
      </c>
      <c r="L3827" s="194" t="str">
        <f>IF(G3827=30,1,M3826)</f>
      </c>
      <c r="M3827" s="195" t="str">
        <f>L3827*(1-K3827)</f>
      </c>
    </row>
    <row r="3828">
      <c r="A3828" t="s">
        <v>167</v>
      </c>
      <c r="B3828" t="s">
        <v>262</v>
      </c>
      <c r="C3828" s="35" t="s">
        <v>264</v>
      </c>
      <c r="D3828" t="s">
        <v>502</v>
      </c>
      <c r="E3828" t="s">
        <v>520</v>
      </c>
      <c r="F3828" s="188" t="n">
        <v>2042</v>
      </c>
      <c r="G3828" s="189" t="n">
        <v>56</v>
      </c>
      <c r="H3828" s="190" t="n">
        <v>14935.1861253522</v>
      </c>
      <c r="I3828" s="191" t="n">
        <v>3893208.2338501</v>
      </c>
      <c r="J3828" s="192" t="str">
        <f>IF(I3828&gt;0,H3828/I3828,0)</f>
      </c>
      <c r="K3828" s="193" t="str">
        <f>1-EXP(-J3828)</f>
      </c>
      <c r="L3828" s="194" t="str">
        <f>IF(G3828=30,1,M3827)</f>
      </c>
      <c r="M3828" s="195" t="str">
        <f>L3828*(1-K3828)</f>
      </c>
    </row>
    <row r="3829">
      <c r="A3829" t="s">
        <v>167</v>
      </c>
      <c r="B3829" t="s">
        <v>262</v>
      </c>
      <c r="C3829" s="35" t="s">
        <v>264</v>
      </c>
      <c r="D3829" t="s">
        <v>502</v>
      </c>
      <c r="E3829" t="s">
        <v>520</v>
      </c>
      <c r="F3829" s="188" t="n">
        <v>2042</v>
      </c>
      <c r="G3829" s="189" t="n">
        <v>57</v>
      </c>
      <c r="H3829" s="190" t="n">
        <v>16431.2842299778</v>
      </c>
      <c r="I3829" s="191" t="n">
        <v>3924798.2554854</v>
      </c>
      <c r="J3829" s="192" t="str">
        <f>IF(I3829&gt;0,H3829/I3829,0)</f>
      </c>
      <c r="K3829" s="193" t="str">
        <f>1-EXP(-J3829)</f>
      </c>
      <c r="L3829" s="194" t="str">
        <f>IF(G3829=30,1,M3828)</f>
      </c>
      <c r="M3829" s="195" t="str">
        <f>L3829*(1-K3829)</f>
      </c>
    </row>
    <row r="3830">
      <c r="A3830" t="s">
        <v>167</v>
      </c>
      <c r="B3830" t="s">
        <v>262</v>
      </c>
      <c r="C3830" s="35" t="s">
        <v>264</v>
      </c>
      <c r="D3830" t="s">
        <v>502</v>
      </c>
      <c r="E3830" t="s">
        <v>520</v>
      </c>
      <c r="F3830" s="188" t="n">
        <v>2042</v>
      </c>
      <c r="G3830" s="189" t="n">
        <v>58</v>
      </c>
      <c r="H3830" s="190" t="n">
        <v>18194.9483270004</v>
      </c>
      <c r="I3830" s="191" t="n">
        <v>3976893.35525135</v>
      </c>
      <c r="J3830" s="192" t="str">
        <f>IF(I3830&gt;0,H3830/I3830,0)</f>
      </c>
      <c r="K3830" s="193" t="str">
        <f>1-EXP(-J3830)</f>
      </c>
      <c r="L3830" s="194" t="str">
        <f>IF(G3830=30,1,M3829)</f>
      </c>
      <c r="M3830" s="195" t="str">
        <f>L3830*(1-K3830)</f>
      </c>
    </row>
    <row r="3831">
      <c r="A3831" t="s">
        <v>167</v>
      </c>
      <c r="B3831" t="s">
        <v>262</v>
      </c>
      <c r="C3831" s="35" t="s">
        <v>264</v>
      </c>
      <c r="D3831" t="s">
        <v>502</v>
      </c>
      <c r="E3831" t="s">
        <v>520</v>
      </c>
      <c r="F3831" s="188" t="n">
        <v>2042</v>
      </c>
      <c r="G3831" s="189" t="n">
        <v>59</v>
      </c>
      <c r="H3831" s="190" t="n">
        <v>19653.9717400196</v>
      </c>
      <c r="I3831" s="191" t="n">
        <v>3925581.57109257</v>
      </c>
      <c r="J3831" s="192" t="str">
        <f>IF(I3831&gt;0,H3831/I3831,0)</f>
      </c>
      <c r="K3831" s="193" t="str">
        <f>1-EXP(-J3831)</f>
      </c>
      <c r="L3831" s="194" t="str">
        <f>IF(G3831=30,1,M3830)</f>
      </c>
      <c r="M3831" s="195" t="str">
        <f>L3831*(1-K3831)</f>
      </c>
    </row>
    <row r="3832">
      <c r="A3832" t="s">
        <v>167</v>
      </c>
      <c r="B3832" t="s">
        <v>262</v>
      </c>
      <c r="C3832" s="35" t="s">
        <v>264</v>
      </c>
      <c r="D3832" t="s">
        <v>502</v>
      </c>
      <c r="E3832" t="s">
        <v>520</v>
      </c>
      <c r="F3832" s="188" t="n">
        <v>2042</v>
      </c>
      <c r="G3832" s="189" t="n">
        <v>60</v>
      </c>
      <c r="H3832" s="190" t="n">
        <v>20552.9200961539</v>
      </c>
      <c r="I3832" s="191" t="n">
        <v>3769443.54781666</v>
      </c>
      <c r="J3832" s="192" t="str">
        <f>IF(I3832&gt;0,H3832/I3832,0)</f>
      </c>
      <c r="K3832" s="193" t="str">
        <f>1-EXP(-J3832)</f>
      </c>
      <c r="L3832" s="194" t="str">
        <f>IF(G3832=30,1,M3831)</f>
      </c>
      <c r="M3832" s="195" t="str">
        <f>L3832*(1-K3832)</f>
      </c>
    </row>
    <row r="3833">
      <c r="A3833" t="s">
        <v>167</v>
      </c>
      <c r="B3833" t="s">
        <v>262</v>
      </c>
      <c r="C3833" s="35" t="s">
        <v>264</v>
      </c>
      <c r="D3833" t="s">
        <v>502</v>
      </c>
      <c r="E3833" t="s">
        <v>520</v>
      </c>
      <c r="F3833" s="188" t="n">
        <v>2042</v>
      </c>
      <c r="G3833" s="189" t="n">
        <v>61</v>
      </c>
      <c r="H3833" s="190" t="n">
        <v>21939.1557562107</v>
      </c>
      <c r="I3833" s="191" t="n">
        <v>3669082.02498609</v>
      </c>
      <c r="J3833" s="192" t="str">
        <f>IF(I3833&gt;0,H3833/I3833,0)</f>
      </c>
      <c r="K3833" s="193" t="str">
        <f>1-EXP(-J3833)</f>
      </c>
      <c r="L3833" s="194" t="str">
        <f>IF(G3833=30,1,M3832)</f>
      </c>
      <c r="M3833" s="195" t="str">
        <f>L3833*(1-K3833)</f>
      </c>
    </row>
    <row r="3834">
      <c r="A3834" t="s">
        <v>167</v>
      </c>
      <c r="B3834" t="s">
        <v>262</v>
      </c>
      <c r="C3834" s="35" t="s">
        <v>264</v>
      </c>
      <c r="D3834" t="s">
        <v>502</v>
      </c>
      <c r="E3834" t="s">
        <v>520</v>
      </c>
      <c r="F3834" s="188" t="n">
        <v>2042</v>
      </c>
      <c r="G3834" s="189" t="n">
        <v>62</v>
      </c>
      <c r="H3834" s="190" t="n">
        <v>23490.2981276976</v>
      </c>
      <c r="I3834" s="191" t="n">
        <v>3581410.73497441</v>
      </c>
      <c r="J3834" s="192" t="str">
        <f>IF(I3834&gt;0,H3834/I3834,0)</f>
      </c>
      <c r="K3834" s="193" t="str">
        <f>1-EXP(-J3834)</f>
      </c>
      <c r="L3834" s="194" t="str">
        <f>IF(G3834=30,1,M3833)</f>
      </c>
      <c r="M3834" s="195" t="str">
        <f>L3834*(1-K3834)</f>
      </c>
    </row>
    <row r="3835">
      <c r="A3835" t="s">
        <v>167</v>
      </c>
      <c r="B3835" t="s">
        <v>262</v>
      </c>
      <c r="C3835" s="35" t="s">
        <v>264</v>
      </c>
      <c r="D3835" t="s">
        <v>502</v>
      </c>
      <c r="E3835" t="s">
        <v>520</v>
      </c>
      <c r="F3835" s="188" t="n">
        <v>2042</v>
      </c>
      <c r="G3835" s="189" t="n">
        <v>63</v>
      </c>
      <c r="H3835" s="190" t="n">
        <v>25091.0936242784</v>
      </c>
      <c r="I3835" s="191" t="n">
        <v>3486900.84035154</v>
      </c>
      <c r="J3835" s="192" t="str">
        <f>IF(I3835&gt;0,H3835/I3835,0)</f>
      </c>
      <c r="K3835" s="193" t="str">
        <f>1-EXP(-J3835)</f>
      </c>
      <c r="L3835" s="194" t="str">
        <f>IF(G3835=30,1,M3834)</f>
      </c>
      <c r="M3835" s="195" t="str">
        <f>L3835*(1-K3835)</f>
      </c>
    </row>
    <row r="3836">
      <c r="A3836" t="s">
        <v>167</v>
      </c>
      <c r="B3836" t="s">
        <v>262</v>
      </c>
      <c r="C3836" s="35" t="s">
        <v>264</v>
      </c>
      <c r="D3836" t="s">
        <v>502</v>
      </c>
      <c r="E3836" t="s">
        <v>520</v>
      </c>
      <c r="F3836" s="188" t="n">
        <v>2042</v>
      </c>
      <c r="G3836" s="189" t="n">
        <v>64</v>
      </c>
      <c r="H3836" s="190" t="n">
        <v>26628.3804414314</v>
      </c>
      <c r="I3836" s="191" t="n">
        <v>3373382.94781139</v>
      </c>
      <c r="J3836" s="192" t="str">
        <f>IF(I3836&gt;0,H3836/I3836,0)</f>
      </c>
      <c r="K3836" s="193" t="str">
        <f>1-EXP(-J3836)</f>
      </c>
      <c r="L3836" s="194" t="str">
        <f>IF(G3836=30,1,M3835)</f>
      </c>
      <c r="M3836" s="195" t="str">
        <f>L3836*(1-K3836)</f>
      </c>
    </row>
    <row r="3837">
      <c r="A3837" t="s">
        <v>167</v>
      </c>
      <c r="B3837" t="s">
        <v>262</v>
      </c>
      <c r="C3837" s="35" t="s">
        <v>264</v>
      </c>
      <c r="D3837" t="s">
        <v>502</v>
      </c>
      <c r="E3837" t="s">
        <v>520</v>
      </c>
      <c r="F3837" s="188" t="n">
        <v>2042</v>
      </c>
      <c r="G3837" s="189" t="n">
        <v>65</v>
      </c>
      <c r="H3837" s="190" t="n">
        <v>27131.8299781893</v>
      </c>
      <c r="I3837" s="191" t="n">
        <v>3272415.23842618</v>
      </c>
      <c r="J3837" s="192" t="str">
        <f>IF(I3837&gt;0,H3837/I3837,0)</f>
      </c>
      <c r="K3837" s="193" t="str">
        <f>1-EXP(-J3837)</f>
      </c>
      <c r="L3837" s="194" t="str">
        <f>IF(G3837=30,1,M3836)</f>
      </c>
      <c r="M3837" s="195" t="str">
        <f>L3837*(1-K3837)</f>
      </c>
    </row>
    <row r="3838">
      <c r="A3838" t="s">
        <v>167</v>
      </c>
      <c r="B3838" t="s">
        <v>262</v>
      </c>
      <c r="C3838" s="35" t="s">
        <v>264</v>
      </c>
      <c r="D3838" t="s">
        <v>502</v>
      </c>
      <c r="E3838" t="s">
        <v>520</v>
      </c>
      <c r="F3838" s="188" t="n">
        <v>2042</v>
      </c>
      <c r="G3838" s="189" t="n">
        <v>66</v>
      </c>
      <c r="H3838" s="190" t="n">
        <v>28736.5031169341</v>
      </c>
      <c r="I3838" s="191" t="n">
        <v>3160460.45261636</v>
      </c>
      <c r="J3838" s="192" t="str">
        <f>IF(I3838&gt;0,H3838/I3838,0)</f>
      </c>
      <c r="K3838" s="193" t="str">
        <f>1-EXP(-J3838)</f>
      </c>
      <c r="L3838" s="194" t="str">
        <f>IF(G3838=30,1,M3837)</f>
      </c>
      <c r="M3838" s="195" t="str">
        <f>L3838*(1-K3838)</f>
      </c>
    </row>
    <row r="3839">
      <c r="A3839" t="s">
        <v>167</v>
      </c>
      <c r="B3839" t="s">
        <v>262</v>
      </c>
      <c r="C3839" s="35" t="s">
        <v>264</v>
      </c>
      <c r="D3839" t="s">
        <v>502</v>
      </c>
      <c r="E3839" t="s">
        <v>520</v>
      </c>
      <c r="F3839" s="188" t="n">
        <v>2042</v>
      </c>
      <c r="G3839" s="189" t="n">
        <v>67</v>
      </c>
      <c r="H3839" s="190" t="n">
        <v>30403.0238657262</v>
      </c>
      <c r="I3839" s="191" t="n">
        <v>3045530.2946615</v>
      </c>
      <c r="J3839" s="192" t="str">
        <f>IF(I3839&gt;0,H3839/I3839,0)</f>
      </c>
      <c r="K3839" s="193" t="str">
        <f>1-EXP(-J3839)</f>
      </c>
      <c r="L3839" s="194" t="str">
        <f>IF(G3839=30,1,M3838)</f>
      </c>
      <c r="M3839" s="195" t="str">
        <f>L3839*(1-K3839)</f>
      </c>
    </row>
    <row r="3840">
      <c r="A3840" t="s">
        <v>167</v>
      </c>
      <c r="B3840" t="s">
        <v>262</v>
      </c>
      <c r="C3840" s="35" t="s">
        <v>264</v>
      </c>
      <c r="D3840" t="s">
        <v>502</v>
      </c>
      <c r="E3840" t="s">
        <v>520</v>
      </c>
      <c r="F3840" s="188" t="n">
        <v>2042</v>
      </c>
      <c r="G3840" s="189" t="n">
        <v>68</v>
      </c>
      <c r="H3840" s="190" t="n">
        <v>31878.1276484038</v>
      </c>
      <c r="I3840" s="191" t="n">
        <v>2906197.07380427</v>
      </c>
      <c r="J3840" s="192" t="str">
        <f>IF(I3840&gt;0,H3840/I3840,0)</f>
      </c>
      <c r="K3840" s="193" t="str">
        <f>1-EXP(-J3840)</f>
      </c>
      <c r="L3840" s="194" t="str">
        <f>IF(G3840=30,1,M3839)</f>
      </c>
      <c r="M3840" s="195" t="str">
        <f>L3840*(1-K3840)</f>
      </c>
    </row>
    <row r="3841">
      <c r="A3841" t="s">
        <v>167</v>
      </c>
      <c r="B3841" t="s">
        <v>262</v>
      </c>
      <c r="C3841" s="35" t="s">
        <v>264</v>
      </c>
      <c r="D3841" t="s">
        <v>502</v>
      </c>
      <c r="E3841" t="s">
        <v>520</v>
      </c>
      <c r="F3841" s="188" t="n">
        <v>2042</v>
      </c>
      <c r="G3841" s="189" t="n">
        <v>69</v>
      </c>
      <c r="H3841" s="190" t="n">
        <v>33949.5790493221</v>
      </c>
      <c r="I3841" s="191" t="n">
        <v>2814267.61547805</v>
      </c>
      <c r="J3841" s="192" t="str">
        <f>IF(I3841&gt;0,H3841/I3841,0)</f>
      </c>
      <c r="K3841" s="193" t="str">
        <f>1-EXP(-J3841)</f>
      </c>
      <c r="L3841" s="194" t="str">
        <f>IF(G3841=30,1,M3840)</f>
      </c>
      <c r="M3841" s="195" t="str">
        <f>L3841*(1-K3841)</f>
      </c>
    </row>
    <row r="3842">
      <c r="A3842" t="s">
        <v>167</v>
      </c>
      <c r="B3842" t="s">
        <v>262</v>
      </c>
      <c r="C3842" s="35" t="s">
        <v>264</v>
      </c>
      <c r="D3842" t="s">
        <v>502</v>
      </c>
      <c r="E3842" t="s">
        <v>520</v>
      </c>
      <c r="F3842" s="188" t="n">
        <v>2043</v>
      </c>
      <c r="G3842" s="189" t="n">
        <v>30</v>
      </c>
      <c r="H3842" s="190" t="n">
        <v>746.038505154924</v>
      </c>
      <c r="I3842" s="191" t="n">
        <v>4787866.88827484</v>
      </c>
      <c r="J3842" s="192" t="str">
        <f>IF(I3842&gt;0,H3842/I3842,0)</f>
      </c>
      <c r="K3842" s="193" t="str">
        <f>1-EXP(-J3842)</f>
      </c>
      <c r="L3842" s="194" t="str">
        <f>IF(G3842=30,1,M3841)</f>
      </c>
      <c r="M3842" s="195" t="str">
        <f>L3842*(1-K3842)</f>
      </c>
    </row>
    <row r="3843">
      <c r="A3843" t="s">
        <v>167</v>
      </c>
      <c r="B3843" t="s">
        <v>262</v>
      </c>
      <c r="C3843" s="35" t="s">
        <v>264</v>
      </c>
      <c r="D3843" t="s">
        <v>502</v>
      </c>
      <c r="E3843" t="s">
        <v>520</v>
      </c>
      <c r="F3843" s="188" t="n">
        <v>2043</v>
      </c>
      <c r="G3843" s="189" t="n">
        <v>31</v>
      </c>
      <c r="H3843" s="190" t="n">
        <v>1051.41754104272</v>
      </c>
      <c r="I3843" s="191" t="n">
        <v>4900880.54153612</v>
      </c>
      <c r="J3843" s="192" t="str">
        <f>IF(I3843&gt;0,H3843/I3843,0)</f>
      </c>
      <c r="K3843" s="193" t="str">
        <f>1-EXP(-J3843)</f>
      </c>
      <c r="L3843" s="194" t="str">
        <f>IF(G3843=30,1,M3842)</f>
      </c>
      <c r="M3843" s="195" t="str">
        <f>L3843*(1-K3843)</f>
      </c>
    </row>
    <row r="3844">
      <c r="A3844" t="s">
        <v>167</v>
      </c>
      <c r="B3844" t="s">
        <v>262</v>
      </c>
      <c r="C3844" s="35" t="s">
        <v>264</v>
      </c>
      <c r="D3844" t="s">
        <v>502</v>
      </c>
      <c r="E3844" t="s">
        <v>520</v>
      </c>
      <c r="F3844" s="188" t="n">
        <v>2043</v>
      </c>
      <c r="G3844" s="189" t="n">
        <v>32</v>
      </c>
      <c r="H3844" s="190" t="n">
        <v>1100.77197542549</v>
      </c>
      <c r="I3844" s="191" t="n">
        <v>4872865.37301341</v>
      </c>
      <c r="J3844" s="192" t="str">
        <f>IF(I3844&gt;0,H3844/I3844,0)</f>
      </c>
      <c r="K3844" s="193" t="str">
        <f>1-EXP(-J3844)</f>
      </c>
      <c r="L3844" s="194" t="str">
        <f>IF(G3844=30,1,M3843)</f>
      </c>
      <c r="M3844" s="195" t="str">
        <f>L3844*(1-K3844)</f>
      </c>
    </row>
    <row r="3845">
      <c r="A3845" t="s">
        <v>167</v>
      </c>
      <c r="B3845" t="s">
        <v>262</v>
      </c>
      <c r="C3845" s="35" t="s">
        <v>264</v>
      </c>
      <c r="D3845" t="s">
        <v>502</v>
      </c>
      <c r="E3845" t="s">
        <v>520</v>
      </c>
      <c r="F3845" s="188" t="n">
        <v>2043</v>
      </c>
      <c r="G3845" s="189" t="n">
        <v>33</v>
      </c>
      <c r="H3845" s="190" t="n">
        <v>1133.68086829917</v>
      </c>
      <c r="I3845" s="191" t="n">
        <v>4739064.56366302</v>
      </c>
      <c r="J3845" s="192" t="str">
        <f>IF(I3845&gt;0,H3845/I3845,0)</f>
      </c>
      <c r="K3845" s="193" t="str">
        <f>1-EXP(-J3845)</f>
      </c>
      <c r="L3845" s="194" t="str">
        <f>IF(G3845=30,1,M3844)</f>
      </c>
      <c r="M3845" s="195" t="str">
        <f>L3845*(1-K3845)</f>
      </c>
    </row>
    <row r="3846">
      <c r="A3846" t="s">
        <v>167</v>
      </c>
      <c r="B3846" t="s">
        <v>262</v>
      </c>
      <c r="C3846" s="35" t="s">
        <v>264</v>
      </c>
      <c r="D3846" t="s">
        <v>502</v>
      </c>
      <c r="E3846" t="s">
        <v>520</v>
      </c>
      <c r="F3846" s="188" t="n">
        <v>2043</v>
      </c>
      <c r="G3846" s="189" t="n">
        <v>34</v>
      </c>
      <c r="H3846" s="190" t="n">
        <v>1189.81373255588</v>
      </c>
      <c r="I3846" s="191" t="n">
        <v>4668048.36685441</v>
      </c>
      <c r="J3846" s="192" t="str">
        <f>IF(I3846&gt;0,H3846/I3846,0)</f>
      </c>
      <c r="K3846" s="193" t="str">
        <f>1-EXP(-J3846)</f>
      </c>
      <c r="L3846" s="194" t="str">
        <f>IF(G3846=30,1,M3845)</f>
      </c>
      <c r="M3846" s="195" t="str">
        <f>L3846*(1-K3846)</f>
      </c>
    </row>
    <row r="3847">
      <c r="A3847" t="s">
        <v>167</v>
      </c>
      <c r="B3847" t="s">
        <v>262</v>
      </c>
      <c r="C3847" s="35" t="s">
        <v>264</v>
      </c>
      <c r="D3847" t="s">
        <v>502</v>
      </c>
      <c r="E3847" t="s">
        <v>520</v>
      </c>
      <c r="F3847" s="188" t="n">
        <v>2043</v>
      </c>
      <c r="G3847" s="189" t="n">
        <v>35</v>
      </c>
      <c r="H3847" s="190" t="n">
        <v>1554.44564619373</v>
      </c>
      <c r="I3847" s="191" t="n">
        <v>4624901.48209805</v>
      </c>
      <c r="J3847" s="192" t="str">
        <f>IF(I3847&gt;0,H3847/I3847,0)</f>
      </c>
      <c r="K3847" s="193" t="str">
        <f>1-EXP(-J3847)</f>
      </c>
      <c r="L3847" s="194" t="str">
        <f>IF(G3847=30,1,M3846)</f>
      </c>
      <c r="M3847" s="195" t="str">
        <f>L3847*(1-K3847)</f>
      </c>
    </row>
    <row r="3848">
      <c r="A3848" t="s">
        <v>167</v>
      </c>
      <c r="B3848" t="s">
        <v>262</v>
      </c>
      <c r="C3848" s="35" t="s">
        <v>264</v>
      </c>
      <c r="D3848" t="s">
        <v>502</v>
      </c>
      <c r="E3848" t="s">
        <v>520</v>
      </c>
      <c r="F3848" s="188" t="n">
        <v>2043</v>
      </c>
      <c r="G3848" s="189" t="n">
        <v>36</v>
      </c>
      <c r="H3848" s="190" t="n">
        <v>1891.13354035633</v>
      </c>
      <c r="I3848" s="191" t="n">
        <v>4649414.24027357</v>
      </c>
      <c r="J3848" s="192" t="str">
        <f>IF(I3848&gt;0,H3848/I3848,0)</f>
      </c>
      <c r="K3848" s="193" t="str">
        <f>1-EXP(-J3848)</f>
      </c>
      <c r="L3848" s="194" t="str">
        <f>IF(G3848=30,1,M3847)</f>
      </c>
      <c r="M3848" s="195" t="str">
        <f>L3848*(1-K3848)</f>
      </c>
    </row>
    <row r="3849">
      <c r="A3849" t="s">
        <v>167</v>
      </c>
      <c r="B3849" t="s">
        <v>262</v>
      </c>
      <c r="C3849" s="35" t="s">
        <v>264</v>
      </c>
      <c r="D3849" t="s">
        <v>502</v>
      </c>
      <c r="E3849" t="s">
        <v>520</v>
      </c>
      <c r="F3849" s="188" t="n">
        <v>2043</v>
      </c>
      <c r="G3849" s="189" t="n">
        <v>37</v>
      </c>
      <c r="H3849" s="190" t="n">
        <v>1995.92999163735</v>
      </c>
      <c r="I3849" s="191" t="n">
        <v>4565438.94708665</v>
      </c>
      <c r="J3849" s="192" t="str">
        <f>IF(I3849&gt;0,H3849/I3849,0)</f>
      </c>
      <c r="K3849" s="193" t="str">
        <f>1-EXP(-J3849)</f>
      </c>
      <c r="L3849" s="194" t="str">
        <f>IF(G3849=30,1,M3848)</f>
      </c>
      <c r="M3849" s="195" t="str">
        <f>L3849*(1-K3849)</f>
      </c>
    </row>
    <row r="3850">
      <c r="A3850" t="s">
        <v>167</v>
      </c>
      <c r="B3850" t="s">
        <v>262</v>
      </c>
      <c r="C3850" s="35" t="s">
        <v>264</v>
      </c>
      <c r="D3850" t="s">
        <v>502</v>
      </c>
      <c r="E3850" t="s">
        <v>520</v>
      </c>
      <c r="F3850" s="188" t="n">
        <v>2043</v>
      </c>
      <c r="G3850" s="189" t="n">
        <v>38</v>
      </c>
      <c r="H3850" s="190" t="n">
        <v>2122.9361404484</v>
      </c>
      <c r="I3850" s="191" t="n">
        <v>4502998.82366113</v>
      </c>
      <c r="J3850" s="192" t="str">
        <f>IF(I3850&gt;0,H3850/I3850,0)</f>
      </c>
      <c r="K3850" s="193" t="str">
        <f>1-EXP(-J3850)</f>
      </c>
      <c r="L3850" s="194" t="str">
        <f>IF(G3850=30,1,M3849)</f>
      </c>
      <c r="M3850" s="195" t="str">
        <f>L3850*(1-K3850)</f>
      </c>
    </row>
    <row r="3851">
      <c r="A3851" t="s">
        <v>167</v>
      </c>
      <c r="B3851" t="s">
        <v>262</v>
      </c>
      <c r="C3851" s="35" t="s">
        <v>264</v>
      </c>
      <c r="D3851" t="s">
        <v>502</v>
      </c>
      <c r="E3851" t="s">
        <v>520</v>
      </c>
      <c r="F3851" s="188" t="n">
        <v>2043</v>
      </c>
      <c r="G3851" s="189" t="n">
        <v>39</v>
      </c>
      <c r="H3851" s="190" t="n">
        <v>2229.80504445402</v>
      </c>
      <c r="I3851" s="191" t="n">
        <v>4373151.34918908</v>
      </c>
      <c r="J3851" s="192" t="str">
        <f>IF(I3851&gt;0,H3851/I3851,0)</f>
      </c>
      <c r="K3851" s="193" t="str">
        <f>1-EXP(-J3851)</f>
      </c>
      <c r="L3851" s="194" t="str">
        <f>IF(G3851=30,1,M3850)</f>
      </c>
      <c r="M3851" s="195" t="str">
        <f>L3851*(1-K3851)</f>
      </c>
    </row>
    <row r="3852">
      <c r="A3852" t="s">
        <v>167</v>
      </c>
      <c r="B3852" t="s">
        <v>262</v>
      </c>
      <c r="C3852" s="35" t="s">
        <v>264</v>
      </c>
      <c r="D3852" t="s">
        <v>502</v>
      </c>
      <c r="E3852" t="s">
        <v>520</v>
      </c>
      <c r="F3852" s="188" t="n">
        <v>2043</v>
      </c>
      <c r="G3852" s="189" t="n">
        <v>40</v>
      </c>
      <c r="H3852" s="190" t="n">
        <v>2954.58639142848</v>
      </c>
      <c r="I3852" s="191" t="n">
        <v>4305525.06848374</v>
      </c>
      <c r="J3852" s="192" t="str">
        <f>IF(I3852&gt;0,H3852/I3852,0)</f>
      </c>
      <c r="K3852" s="193" t="str">
        <f>1-EXP(-J3852)</f>
      </c>
      <c r="L3852" s="194" t="str">
        <f>IF(G3852=30,1,M3851)</f>
      </c>
      <c r="M3852" s="195" t="str">
        <f>L3852*(1-K3852)</f>
      </c>
    </row>
    <row r="3853">
      <c r="A3853" t="s">
        <v>167</v>
      </c>
      <c r="B3853" t="s">
        <v>262</v>
      </c>
      <c r="C3853" s="35" t="s">
        <v>264</v>
      </c>
      <c r="D3853" t="s">
        <v>502</v>
      </c>
      <c r="E3853" t="s">
        <v>520</v>
      </c>
      <c r="F3853" s="188" t="n">
        <v>2043</v>
      </c>
      <c r="G3853" s="189" t="n">
        <v>41</v>
      </c>
      <c r="H3853" s="190" t="n">
        <v>3446.87089572134</v>
      </c>
      <c r="I3853" s="191" t="n">
        <v>4278972.10368551</v>
      </c>
      <c r="J3853" s="192" t="str">
        <f>IF(I3853&gt;0,H3853/I3853,0)</f>
      </c>
      <c r="K3853" s="193" t="str">
        <f>1-EXP(-J3853)</f>
      </c>
      <c r="L3853" s="194" t="str">
        <f>IF(G3853=30,1,M3852)</f>
      </c>
      <c r="M3853" s="195" t="str">
        <f>L3853*(1-K3853)</f>
      </c>
    </row>
    <row r="3854">
      <c r="A3854" t="s">
        <v>167</v>
      </c>
      <c r="B3854" t="s">
        <v>262</v>
      </c>
      <c r="C3854" s="35" t="s">
        <v>264</v>
      </c>
      <c r="D3854" t="s">
        <v>502</v>
      </c>
      <c r="E3854" t="s">
        <v>520</v>
      </c>
      <c r="F3854" s="188" t="n">
        <v>2043</v>
      </c>
      <c r="G3854" s="189" t="n">
        <v>42</v>
      </c>
      <c r="H3854" s="190" t="n">
        <v>3718.57019224833</v>
      </c>
      <c r="I3854" s="191" t="n">
        <v>4255113.9589432</v>
      </c>
      <c r="J3854" s="192" t="str">
        <f>IF(I3854&gt;0,H3854/I3854,0)</f>
      </c>
      <c r="K3854" s="193" t="str">
        <f>1-EXP(-J3854)</f>
      </c>
      <c r="L3854" s="194" t="str">
        <f>IF(G3854=30,1,M3853)</f>
      </c>
      <c r="M3854" s="195" t="str">
        <f>L3854*(1-K3854)</f>
      </c>
    </row>
    <row r="3855">
      <c r="A3855" t="s">
        <v>167</v>
      </c>
      <c r="B3855" t="s">
        <v>262</v>
      </c>
      <c r="C3855" s="35" t="s">
        <v>264</v>
      </c>
      <c r="D3855" t="s">
        <v>502</v>
      </c>
      <c r="E3855" t="s">
        <v>520</v>
      </c>
      <c r="F3855" s="188" t="n">
        <v>2043</v>
      </c>
      <c r="G3855" s="189" t="n">
        <v>43</v>
      </c>
      <c r="H3855" s="190" t="n">
        <v>4021.4098337896</v>
      </c>
      <c r="I3855" s="191" t="n">
        <v>4230469.67391321</v>
      </c>
      <c r="J3855" s="192" t="str">
        <f>IF(I3855&gt;0,H3855/I3855,0)</f>
      </c>
      <c r="K3855" s="193" t="str">
        <f>1-EXP(-J3855)</f>
      </c>
      <c r="L3855" s="194" t="str">
        <f>IF(G3855=30,1,M3854)</f>
      </c>
      <c r="M3855" s="195" t="str">
        <f>L3855*(1-K3855)</f>
      </c>
    </row>
    <row r="3856">
      <c r="A3856" t="s">
        <v>167</v>
      </c>
      <c r="B3856" t="s">
        <v>262</v>
      </c>
      <c r="C3856" s="35" t="s">
        <v>264</v>
      </c>
      <c r="D3856" t="s">
        <v>502</v>
      </c>
      <c r="E3856" t="s">
        <v>520</v>
      </c>
      <c r="F3856" s="188" t="n">
        <v>2043</v>
      </c>
      <c r="G3856" s="189" t="n">
        <v>44</v>
      </c>
      <c r="H3856" s="190" t="n">
        <v>4398.94771625921</v>
      </c>
      <c r="I3856" s="191" t="n">
        <v>4244193.09932061</v>
      </c>
      <c r="J3856" s="192" t="str">
        <f>IF(I3856&gt;0,H3856/I3856,0)</f>
      </c>
      <c r="K3856" s="193" t="str">
        <f>1-EXP(-J3856)</f>
      </c>
      <c r="L3856" s="194" t="str">
        <f>IF(G3856=30,1,M3855)</f>
      </c>
      <c r="M3856" s="195" t="str">
        <f>L3856*(1-K3856)</f>
      </c>
    </row>
    <row r="3857">
      <c r="A3857" t="s">
        <v>167</v>
      </c>
      <c r="B3857" t="s">
        <v>262</v>
      </c>
      <c r="C3857" s="35" t="s">
        <v>264</v>
      </c>
      <c r="D3857" t="s">
        <v>502</v>
      </c>
      <c r="E3857" t="s">
        <v>520</v>
      </c>
      <c r="F3857" s="188" t="n">
        <v>2043</v>
      </c>
      <c r="G3857" s="189" t="n">
        <v>45</v>
      </c>
      <c r="H3857" s="190" t="n">
        <v>5724.2502830749</v>
      </c>
      <c r="I3857" s="191" t="n">
        <v>4295491.4400184</v>
      </c>
      <c r="J3857" s="192" t="str">
        <f>IF(I3857&gt;0,H3857/I3857,0)</f>
      </c>
      <c r="K3857" s="193" t="str">
        <f>1-EXP(-J3857)</f>
      </c>
      <c r="L3857" s="194" t="str">
        <f>IF(G3857=30,1,M3856)</f>
      </c>
      <c r="M3857" s="195" t="str">
        <f>L3857*(1-K3857)</f>
      </c>
    </row>
    <row r="3858">
      <c r="A3858" t="s">
        <v>167</v>
      </c>
      <c r="B3858" t="s">
        <v>262</v>
      </c>
      <c r="C3858" s="35" t="s">
        <v>264</v>
      </c>
      <c r="D3858" t="s">
        <v>502</v>
      </c>
      <c r="E3858" t="s">
        <v>520</v>
      </c>
      <c r="F3858" s="188" t="n">
        <v>2043</v>
      </c>
      <c r="G3858" s="189" t="n">
        <v>46</v>
      </c>
      <c r="H3858" s="190" t="n">
        <v>6695.77459130327</v>
      </c>
      <c r="I3858" s="191" t="n">
        <v>4419996.5468139</v>
      </c>
      <c r="J3858" s="192" t="str">
        <f>IF(I3858&gt;0,H3858/I3858,0)</f>
      </c>
      <c r="K3858" s="193" t="str">
        <f>1-EXP(-J3858)</f>
      </c>
      <c r="L3858" s="194" t="str">
        <f>IF(G3858=30,1,M3857)</f>
      </c>
      <c r="M3858" s="195" t="str">
        <f>L3858*(1-K3858)</f>
      </c>
    </row>
    <row r="3859">
      <c r="A3859" t="s">
        <v>167</v>
      </c>
      <c r="B3859" t="s">
        <v>262</v>
      </c>
      <c r="C3859" s="35" t="s">
        <v>264</v>
      </c>
      <c r="D3859" t="s">
        <v>502</v>
      </c>
      <c r="E3859" t="s">
        <v>520</v>
      </c>
      <c r="F3859" s="188" t="n">
        <v>2043</v>
      </c>
      <c r="G3859" s="189" t="n">
        <v>47</v>
      </c>
      <c r="H3859" s="190" t="n">
        <v>7243.77052423833</v>
      </c>
      <c r="I3859" s="191" t="n">
        <v>4368580.39193842</v>
      </c>
      <c r="J3859" s="192" t="str">
        <f>IF(I3859&gt;0,H3859/I3859,0)</f>
      </c>
      <c r="K3859" s="193" t="str">
        <f>1-EXP(-J3859)</f>
      </c>
      <c r="L3859" s="194" t="str">
        <f>IF(G3859=30,1,M3858)</f>
      </c>
      <c r="M3859" s="195" t="str">
        <f>L3859*(1-K3859)</f>
      </c>
    </row>
    <row r="3860">
      <c r="A3860" t="s">
        <v>167</v>
      </c>
      <c r="B3860" t="s">
        <v>262</v>
      </c>
      <c r="C3860" s="35" t="s">
        <v>264</v>
      </c>
      <c r="D3860" t="s">
        <v>502</v>
      </c>
      <c r="E3860" t="s">
        <v>520</v>
      </c>
      <c r="F3860" s="188" t="n">
        <v>2043</v>
      </c>
      <c r="G3860" s="189" t="n">
        <v>48</v>
      </c>
      <c r="H3860" s="190" t="n">
        <v>7791.10855561585</v>
      </c>
      <c r="I3860" s="191" t="n">
        <v>4286999.86184789</v>
      </c>
      <c r="J3860" s="192" t="str">
        <f>IF(I3860&gt;0,H3860/I3860,0)</f>
      </c>
      <c r="K3860" s="193" t="str">
        <f>1-EXP(-J3860)</f>
      </c>
      <c r="L3860" s="194" t="str">
        <f>IF(G3860=30,1,M3859)</f>
      </c>
      <c r="M3860" s="195" t="str">
        <f>L3860*(1-K3860)</f>
      </c>
    </row>
    <row r="3861">
      <c r="A3861" t="s">
        <v>167</v>
      </c>
      <c r="B3861" t="s">
        <v>262</v>
      </c>
      <c r="C3861" s="35" t="s">
        <v>264</v>
      </c>
      <c r="D3861" t="s">
        <v>502</v>
      </c>
      <c r="E3861" t="s">
        <v>520</v>
      </c>
      <c r="F3861" s="188" t="n">
        <v>2043</v>
      </c>
      <c r="G3861" s="189" t="n">
        <v>49</v>
      </c>
      <c r="H3861" s="190" t="n">
        <v>8410.9116781761</v>
      </c>
      <c r="I3861" s="191" t="n">
        <v>4219756.69599819</v>
      </c>
      <c r="J3861" s="192" t="str">
        <f>IF(I3861&gt;0,H3861/I3861,0)</f>
      </c>
      <c r="K3861" s="193" t="str">
        <f>1-EXP(-J3861)</f>
      </c>
      <c r="L3861" s="194" t="str">
        <f>IF(G3861=30,1,M3860)</f>
      </c>
      <c r="M3861" s="195" t="str">
        <f>L3861*(1-K3861)</f>
      </c>
    </row>
    <row r="3862">
      <c r="A3862" t="s">
        <v>167</v>
      </c>
      <c r="B3862" t="s">
        <v>262</v>
      </c>
      <c r="C3862" s="35" t="s">
        <v>264</v>
      </c>
      <c r="D3862" t="s">
        <v>502</v>
      </c>
      <c r="E3862" t="s">
        <v>520</v>
      </c>
      <c r="F3862" s="188" t="n">
        <v>2043</v>
      </c>
      <c r="G3862" s="189" t="n">
        <v>50</v>
      </c>
      <c r="H3862" s="190" t="n">
        <v>9488.63295853871</v>
      </c>
      <c r="I3862" s="191" t="n">
        <v>4154973.53770983</v>
      </c>
      <c r="J3862" s="192" t="str">
        <f>IF(I3862&gt;0,H3862/I3862,0)</f>
      </c>
      <c r="K3862" s="193" t="str">
        <f>1-EXP(-J3862)</f>
      </c>
      <c r="L3862" s="194" t="str">
        <f>IF(G3862=30,1,M3861)</f>
      </c>
      <c r="M3862" s="195" t="str">
        <f>L3862*(1-K3862)</f>
      </c>
    </row>
    <row r="3863">
      <c r="A3863" t="s">
        <v>167</v>
      </c>
      <c r="B3863" t="s">
        <v>262</v>
      </c>
      <c r="C3863" s="35" t="s">
        <v>264</v>
      </c>
      <c r="D3863" t="s">
        <v>502</v>
      </c>
      <c r="E3863" t="s">
        <v>520</v>
      </c>
      <c r="F3863" s="188" t="n">
        <v>2043</v>
      </c>
      <c r="G3863" s="189" t="n">
        <v>51</v>
      </c>
      <c r="H3863" s="190" t="n">
        <v>10413.758337021</v>
      </c>
      <c r="I3863" s="191" t="n">
        <v>4176153.06266333</v>
      </c>
      <c r="J3863" s="192" t="str">
        <f>IF(I3863&gt;0,H3863/I3863,0)</f>
      </c>
      <c r="K3863" s="193" t="str">
        <f>1-EXP(-J3863)</f>
      </c>
      <c r="L3863" s="194" t="str">
        <f>IF(G3863=30,1,M3862)</f>
      </c>
      <c r="M3863" s="195" t="str">
        <f>L3863*(1-K3863)</f>
      </c>
    </row>
    <row r="3864">
      <c r="A3864" t="s">
        <v>167</v>
      </c>
      <c r="B3864" t="s">
        <v>262</v>
      </c>
      <c r="C3864" s="35" t="s">
        <v>264</v>
      </c>
      <c r="D3864" t="s">
        <v>502</v>
      </c>
      <c r="E3864" t="s">
        <v>520</v>
      </c>
      <c r="F3864" s="188" t="n">
        <v>2043</v>
      </c>
      <c r="G3864" s="189" t="n">
        <v>52</v>
      </c>
      <c r="H3864" s="190" t="n">
        <v>11388.0360927028</v>
      </c>
      <c r="I3864" s="191" t="n">
        <v>4177223.35498462</v>
      </c>
      <c r="J3864" s="192" t="str">
        <f>IF(I3864&gt;0,H3864/I3864,0)</f>
      </c>
      <c r="K3864" s="193" t="str">
        <f>1-EXP(-J3864)</f>
      </c>
      <c r="L3864" s="194" t="str">
        <f>IF(G3864=30,1,M3863)</f>
      </c>
      <c r="M3864" s="195" t="str">
        <f>L3864*(1-K3864)</f>
      </c>
    </row>
    <row r="3865">
      <c r="A3865" t="s">
        <v>167</v>
      </c>
      <c r="B3865" t="s">
        <v>262</v>
      </c>
      <c r="C3865" s="35" t="s">
        <v>264</v>
      </c>
      <c r="D3865" t="s">
        <v>502</v>
      </c>
      <c r="E3865" t="s">
        <v>520</v>
      </c>
      <c r="F3865" s="188" t="n">
        <v>2043</v>
      </c>
      <c r="G3865" s="189" t="n">
        <v>53</v>
      </c>
      <c r="H3865" s="190" t="n">
        <v>16573.2302033881</v>
      </c>
      <c r="I3865" s="191" t="n">
        <v>6142537.69760662</v>
      </c>
      <c r="J3865" s="192" t="str">
        <f>IF(I3865&gt;0,H3865/I3865,0)</f>
      </c>
      <c r="K3865" s="193" t="str">
        <f>1-EXP(-J3865)</f>
      </c>
      <c r="L3865" s="194" t="str">
        <f>IF(G3865=30,1,M3864)</f>
      </c>
      <c r="M3865" s="195" t="str">
        <f>L3865*(1-K3865)</f>
      </c>
    </row>
    <row r="3866">
      <c r="A3866" t="s">
        <v>167</v>
      </c>
      <c r="B3866" t="s">
        <v>262</v>
      </c>
      <c r="C3866" s="35" t="s">
        <v>264</v>
      </c>
      <c r="D3866" t="s">
        <v>502</v>
      </c>
      <c r="E3866" t="s">
        <v>520</v>
      </c>
      <c r="F3866" s="188" t="n">
        <v>2043</v>
      </c>
      <c r="G3866" s="189" t="n">
        <v>54</v>
      </c>
      <c r="H3866" s="190" t="n">
        <v>13300.20008997</v>
      </c>
      <c r="I3866" s="191" t="n">
        <v>4100725.46154132</v>
      </c>
      <c r="J3866" s="192" t="str">
        <f>IF(I3866&gt;0,H3866/I3866,0)</f>
      </c>
      <c r="K3866" s="193" t="str">
        <f>1-EXP(-J3866)</f>
      </c>
      <c r="L3866" s="194" t="str">
        <f>IF(G3866=30,1,M3865)</f>
      </c>
      <c r="M3866" s="195" t="str">
        <f>L3866*(1-K3866)</f>
      </c>
    </row>
    <row r="3867">
      <c r="A3867" t="s">
        <v>167</v>
      </c>
      <c r="B3867" t="s">
        <v>262</v>
      </c>
      <c r="C3867" s="35" t="s">
        <v>264</v>
      </c>
      <c r="D3867" t="s">
        <v>502</v>
      </c>
      <c r="E3867" t="s">
        <v>520</v>
      </c>
      <c r="F3867" s="188" t="n">
        <v>2043</v>
      </c>
      <c r="G3867" s="189" t="n">
        <v>55</v>
      </c>
      <c r="H3867" s="190" t="n">
        <v>14185.8024626836</v>
      </c>
      <c r="I3867" s="191" t="n">
        <v>4063865.0854884</v>
      </c>
      <c r="J3867" s="192" t="str">
        <f>IF(I3867&gt;0,H3867/I3867,0)</f>
      </c>
      <c r="K3867" s="193" t="str">
        <f>1-EXP(-J3867)</f>
      </c>
      <c r="L3867" s="194" t="str">
        <f>IF(G3867=30,1,M3866)</f>
      </c>
      <c r="M3867" s="195" t="str">
        <f>L3867*(1-K3867)</f>
      </c>
    </row>
    <row r="3868">
      <c r="A3868" t="s">
        <v>167</v>
      </c>
      <c r="B3868" t="s">
        <v>262</v>
      </c>
      <c r="C3868" s="35" t="s">
        <v>264</v>
      </c>
      <c r="D3868" t="s">
        <v>502</v>
      </c>
      <c r="E3868" t="s">
        <v>520</v>
      </c>
      <c r="F3868" s="188" t="n">
        <v>2043</v>
      </c>
      <c r="G3868" s="189" t="n">
        <v>56</v>
      </c>
      <c r="H3868" s="190" t="n">
        <v>14878.8182319084</v>
      </c>
      <c r="I3868" s="191" t="n">
        <v>3916943.60097391</v>
      </c>
      <c r="J3868" s="192" t="str">
        <f>IF(I3868&gt;0,H3868/I3868,0)</f>
      </c>
      <c r="K3868" s="193" t="str">
        <f>1-EXP(-J3868)</f>
      </c>
      <c r="L3868" s="194" t="str">
        <f>IF(G3868=30,1,M3867)</f>
      </c>
      <c r="M3868" s="195" t="str">
        <f>L3868*(1-K3868)</f>
      </c>
    </row>
    <row r="3869">
      <c r="A3869" t="s">
        <v>167</v>
      </c>
      <c r="B3869" t="s">
        <v>262</v>
      </c>
      <c r="C3869" s="35" t="s">
        <v>264</v>
      </c>
      <c r="D3869" t="s">
        <v>502</v>
      </c>
      <c r="E3869" t="s">
        <v>520</v>
      </c>
      <c r="F3869" s="188" t="n">
        <v>2043</v>
      </c>
      <c r="G3869" s="189" t="n">
        <v>57</v>
      </c>
      <c r="H3869" s="190" t="n">
        <v>15997.8845360243</v>
      </c>
      <c r="I3869" s="191" t="n">
        <v>3860593.06995275</v>
      </c>
      <c r="J3869" s="192" t="str">
        <f>IF(I3869&gt;0,H3869/I3869,0)</f>
      </c>
      <c r="K3869" s="193" t="str">
        <f>1-EXP(-J3869)</f>
      </c>
      <c r="L3869" s="194" t="str">
        <f>IF(G3869=30,1,M3868)</f>
      </c>
      <c r="M3869" s="195" t="str">
        <f>L3869*(1-K3869)</f>
      </c>
    </row>
    <row r="3870">
      <c r="A3870" t="s">
        <v>167</v>
      </c>
      <c r="B3870" t="s">
        <v>262</v>
      </c>
      <c r="C3870" s="35" t="s">
        <v>264</v>
      </c>
      <c r="D3870" t="s">
        <v>502</v>
      </c>
      <c r="E3870" t="s">
        <v>520</v>
      </c>
      <c r="F3870" s="188" t="n">
        <v>2043</v>
      </c>
      <c r="G3870" s="189" t="n">
        <v>58</v>
      </c>
      <c r="H3870" s="190" t="n">
        <v>17610.8723956035</v>
      </c>
      <c r="I3870" s="191" t="n">
        <v>3888950.60894788</v>
      </c>
      <c r="J3870" s="192" t="str">
        <f>IF(I3870&gt;0,H3870/I3870,0)</f>
      </c>
      <c r="K3870" s="193" t="str">
        <f>1-EXP(-J3870)</f>
      </c>
      <c r="L3870" s="194" t="str">
        <f>IF(G3870=30,1,M3869)</f>
      </c>
      <c r="M3870" s="195" t="str">
        <f>L3870*(1-K3870)</f>
      </c>
    </row>
    <row r="3871">
      <c r="A3871" t="s">
        <v>167</v>
      </c>
      <c r="B3871" t="s">
        <v>262</v>
      </c>
      <c r="C3871" s="35" t="s">
        <v>264</v>
      </c>
      <c r="D3871" t="s">
        <v>502</v>
      </c>
      <c r="E3871" t="s">
        <v>520</v>
      </c>
      <c r="F3871" s="188" t="n">
        <v>2043</v>
      </c>
      <c r="G3871" s="189" t="n">
        <v>59</v>
      </c>
      <c r="H3871" s="190" t="n">
        <v>19512.5847845601</v>
      </c>
      <c r="I3871" s="191" t="n">
        <v>3937242.73574111</v>
      </c>
      <c r="J3871" s="192" t="str">
        <f>IF(I3871&gt;0,H3871/I3871,0)</f>
      </c>
      <c r="K3871" s="193" t="str">
        <f>1-EXP(-J3871)</f>
      </c>
      <c r="L3871" s="194" t="str">
        <f>IF(G3871=30,1,M3870)</f>
      </c>
      <c r="M3871" s="195" t="str">
        <f>L3871*(1-K3871)</f>
      </c>
    </row>
    <row r="3872">
      <c r="A3872" t="s">
        <v>167</v>
      </c>
      <c r="B3872" t="s">
        <v>262</v>
      </c>
      <c r="C3872" s="35" t="s">
        <v>264</v>
      </c>
      <c r="D3872" t="s">
        <v>502</v>
      </c>
      <c r="E3872" t="s">
        <v>520</v>
      </c>
      <c r="F3872" s="188" t="n">
        <v>2043</v>
      </c>
      <c r="G3872" s="189" t="n">
        <v>60</v>
      </c>
      <c r="H3872" s="190" t="n">
        <v>20900.905621196</v>
      </c>
      <c r="I3872" s="191" t="n">
        <v>3882798.46091855</v>
      </c>
      <c r="J3872" s="192" t="str">
        <f>IF(I3872&gt;0,H3872/I3872,0)</f>
      </c>
      <c r="K3872" s="193" t="str">
        <f>1-EXP(-J3872)</f>
      </c>
      <c r="L3872" s="194" t="str">
        <f>IF(G3872=30,1,M3871)</f>
      </c>
      <c r="M3872" s="195" t="str">
        <f>L3872*(1-K3872)</f>
      </c>
    </row>
    <row r="3873">
      <c r="A3873" t="s">
        <v>167</v>
      </c>
      <c r="B3873" t="s">
        <v>262</v>
      </c>
      <c r="C3873" s="35" t="s">
        <v>264</v>
      </c>
      <c r="D3873" t="s">
        <v>502</v>
      </c>
      <c r="E3873" t="s">
        <v>520</v>
      </c>
      <c r="F3873" s="188" t="n">
        <v>2043</v>
      </c>
      <c r="G3873" s="189" t="n">
        <v>61</v>
      </c>
      <c r="H3873" s="190" t="n">
        <v>22009.928362129</v>
      </c>
      <c r="I3873" s="191" t="n">
        <v>3724263.14825362</v>
      </c>
      <c r="J3873" s="192" t="str">
        <f>IF(I3873&gt;0,H3873/I3873,0)</f>
      </c>
      <c r="K3873" s="193" t="str">
        <f>1-EXP(-J3873)</f>
      </c>
      <c r="L3873" s="194" t="str">
        <f>IF(G3873=30,1,M3872)</f>
      </c>
      <c r="M3873" s="195" t="str">
        <f>L3873*(1-K3873)</f>
      </c>
    </row>
    <row r="3874">
      <c r="A3874" t="s">
        <v>167</v>
      </c>
      <c r="B3874" t="s">
        <v>262</v>
      </c>
      <c r="C3874" s="35" t="s">
        <v>264</v>
      </c>
      <c r="D3874" t="s">
        <v>502</v>
      </c>
      <c r="E3874" t="s">
        <v>520</v>
      </c>
      <c r="F3874" s="188" t="n">
        <v>2043</v>
      </c>
      <c r="G3874" s="189" t="n">
        <v>62</v>
      </c>
      <c r="H3874" s="190" t="n">
        <v>23478.1946910161</v>
      </c>
      <c r="I3874" s="191" t="n">
        <v>3621070.25250844</v>
      </c>
      <c r="J3874" s="192" t="str">
        <f>IF(I3874&gt;0,H3874/I3874,0)</f>
      </c>
      <c r="K3874" s="193" t="str">
        <f>1-EXP(-J3874)</f>
      </c>
      <c r="L3874" s="194" t="str">
        <f>IF(G3874=30,1,M3873)</f>
      </c>
      <c r="M3874" s="195" t="str">
        <f>L3874*(1-K3874)</f>
      </c>
    </row>
    <row r="3875">
      <c r="A3875" t="s">
        <v>167</v>
      </c>
      <c r="B3875" t="s">
        <v>262</v>
      </c>
      <c r="C3875" s="35" t="s">
        <v>264</v>
      </c>
      <c r="D3875" t="s">
        <v>502</v>
      </c>
      <c r="E3875" t="s">
        <v>520</v>
      </c>
      <c r="F3875" s="188" t="n">
        <v>2043</v>
      </c>
      <c r="G3875" s="189" t="n">
        <v>63</v>
      </c>
      <c r="H3875" s="190" t="n">
        <v>25113.2159613547</v>
      </c>
      <c r="I3875" s="191" t="n">
        <v>3530028.15307705</v>
      </c>
      <c r="J3875" s="192" t="str">
        <f>IF(I3875&gt;0,H3875/I3875,0)</f>
      </c>
      <c r="K3875" s="193" t="str">
        <f>1-EXP(-J3875)</f>
      </c>
      <c r="L3875" s="194" t="str">
        <f>IF(G3875=30,1,M3874)</f>
      </c>
      <c r="M3875" s="195" t="str">
        <f>L3875*(1-K3875)</f>
      </c>
    </row>
    <row r="3876">
      <c r="A3876" t="s">
        <v>167</v>
      </c>
      <c r="B3876" t="s">
        <v>262</v>
      </c>
      <c r="C3876" s="35" t="s">
        <v>264</v>
      </c>
      <c r="D3876" t="s">
        <v>502</v>
      </c>
      <c r="E3876" t="s">
        <v>520</v>
      </c>
      <c r="F3876" s="188" t="n">
        <v>2043</v>
      </c>
      <c r="G3876" s="189" t="n">
        <v>64</v>
      </c>
      <c r="H3876" s="190" t="n">
        <v>26787.2761208111</v>
      </c>
      <c r="I3876" s="191" t="n">
        <v>3432035.68744411</v>
      </c>
      <c r="J3876" s="192" t="str">
        <f>IF(I3876&gt;0,H3876/I3876,0)</f>
      </c>
      <c r="K3876" s="193" t="str">
        <f>1-EXP(-J3876)</f>
      </c>
      <c r="L3876" s="194" t="str">
        <f>IF(G3876=30,1,M3875)</f>
      </c>
      <c r="M3876" s="195" t="str">
        <f>L3876*(1-K3876)</f>
      </c>
    </row>
    <row r="3877">
      <c r="A3877" t="s">
        <v>167</v>
      </c>
      <c r="B3877" t="s">
        <v>262</v>
      </c>
      <c r="C3877" s="35" t="s">
        <v>264</v>
      </c>
      <c r="D3877" t="s">
        <v>502</v>
      </c>
      <c r="E3877" t="s">
        <v>520</v>
      </c>
      <c r="F3877" s="188" t="n">
        <v>2043</v>
      </c>
      <c r="G3877" s="189" t="n">
        <v>65</v>
      </c>
      <c r="H3877" s="190" t="n">
        <v>27123.7194105682</v>
      </c>
      <c r="I3877" s="191" t="n">
        <v>3315171.08004696</v>
      </c>
      <c r="J3877" s="192" t="str">
        <f>IF(I3877&gt;0,H3877/I3877,0)</f>
      </c>
      <c r="K3877" s="193" t="str">
        <f>1-EXP(-J3877)</f>
      </c>
      <c r="L3877" s="194" t="str">
        <f>IF(G3877=30,1,M3876)</f>
      </c>
      <c r="M3877" s="195" t="str">
        <f>L3877*(1-K3877)</f>
      </c>
    </row>
    <row r="3878">
      <c r="A3878" t="s">
        <v>167</v>
      </c>
      <c r="B3878" t="s">
        <v>262</v>
      </c>
      <c r="C3878" s="35" t="s">
        <v>264</v>
      </c>
      <c r="D3878" t="s">
        <v>502</v>
      </c>
      <c r="E3878" t="s">
        <v>520</v>
      </c>
      <c r="F3878" s="188" t="n">
        <v>2043</v>
      </c>
      <c r="G3878" s="189" t="n">
        <v>66</v>
      </c>
      <c r="H3878" s="190" t="n">
        <v>28848.0053013954</v>
      </c>
      <c r="I3878" s="191" t="n">
        <v>3211039.15747859</v>
      </c>
      <c r="J3878" s="192" t="str">
        <f>IF(I3878&gt;0,H3878/I3878,0)</f>
      </c>
      <c r="K3878" s="193" t="str">
        <f>1-EXP(-J3878)</f>
      </c>
      <c r="L3878" s="194" t="str">
        <f>IF(G3878=30,1,M3877)</f>
      </c>
      <c r="M3878" s="195" t="str">
        <f>L3878*(1-K3878)</f>
      </c>
    </row>
    <row r="3879">
      <c r="A3879" t="s">
        <v>167</v>
      </c>
      <c r="B3879" t="s">
        <v>262</v>
      </c>
      <c r="C3879" s="35" t="s">
        <v>264</v>
      </c>
      <c r="D3879" t="s">
        <v>502</v>
      </c>
      <c r="E3879" t="s">
        <v>520</v>
      </c>
      <c r="F3879" s="188" t="n">
        <v>2043</v>
      </c>
      <c r="G3879" s="189" t="n">
        <v>67</v>
      </c>
      <c r="H3879" s="190" t="n">
        <v>30530.9623099762</v>
      </c>
      <c r="I3879" s="191" t="n">
        <v>3094872.8835655</v>
      </c>
      <c r="J3879" s="192" t="str">
        <f>IF(I3879&gt;0,H3879/I3879,0)</f>
      </c>
      <c r="K3879" s="193" t="str">
        <f>1-EXP(-J3879)</f>
      </c>
      <c r="L3879" s="194" t="str">
        <f>IF(G3879=30,1,M3878)</f>
      </c>
      <c r="M3879" s="195" t="str">
        <f>L3879*(1-K3879)</f>
      </c>
    </row>
    <row r="3880">
      <c r="A3880" t="s">
        <v>167</v>
      </c>
      <c r="B3880" t="s">
        <v>262</v>
      </c>
      <c r="C3880" s="35" t="s">
        <v>264</v>
      </c>
      <c r="D3880" t="s">
        <v>502</v>
      </c>
      <c r="E3880" t="s">
        <v>520</v>
      </c>
      <c r="F3880" s="188" t="n">
        <v>2043</v>
      </c>
      <c r="G3880" s="189" t="n">
        <v>68</v>
      </c>
      <c r="H3880" s="190" t="n">
        <v>32260.8637622844</v>
      </c>
      <c r="I3880" s="191" t="n">
        <v>2976206.37471875</v>
      </c>
      <c r="J3880" s="192" t="str">
        <f>IF(I3880&gt;0,H3880/I3880,0)</f>
      </c>
      <c r="K3880" s="193" t="str">
        <f>1-EXP(-J3880)</f>
      </c>
      <c r="L3880" s="194" t="str">
        <f>IF(G3880=30,1,M3879)</f>
      </c>
      <c r="M3880" s="195" t="str">
        <f>L3880*(1-K3880)</f>
      </c>
    </row>
    <row r="3881">
      <c r="A3881" t="s">
        <v>167</v>
      </c>
      <c r="B3881" t="s">
        <v>262</v>
      </c>
      <c r="C3881" s="35" t="s">
        <v>264</v>
      </c>
      <c r="D3881" t="s">
        <v>502</v>
      </c>
      <c r="E3881" t="s">
        <v>520</v>
      </c>
      <c r="F3881" s="188" t="n">
        <v>2043</v>
      </c>
      <c r="G3881" s="189" t="n">
        <v>69</v>
      </c>
      <c r="H3881" s="190" t="n">
        <v>33783.5558790718</v>
      </c>
      <c r="I3881" s="191" t="n">
        <v>2833598.78885387</v>
      </c>
      <c r="J3881" s="192" t="str">
        <f>IF(I3881&gt;0,H3881/I3881,0)</f>
      </c>
      <c r="K3881" s="193" t="str">
        <f>1-EXP(-J3881)</f>
      </c>
      <c r="L3881" s="194" t="str">
        <f>IF(G3881=30,1,M3880)</f>
      </c>
      <c r="M3881" s="195" t="str">
        <f>L3881*(1-K3881)</f>
      </c>
    </row>
    <row r="3882">
      <c r="A3882" t="s">
        <v>167</v>
      </c>
      <c r="B3882" t="s">
        <v>262</v>
      </c>
      <c r="C3882" s="35" t="s">
        <v>264</v>
      </c>
      <c r="D3882" t="s">
        <v>502</v>
      </c>
      <c r="E3882" t="s">
        <v>520</v>
      </c>
      <c r="F3882" s="188" t="n">
        <v>2044</v>
      </c>
      <c r="G3882" s="189" t="n">
        <v>30</v>
      </c>
      <c r="H3882" s="190" t="n">
        <v>736.348824071952</v>
      </c>
      <c r="I3882" s="191" t="n">
        <v>4714228.55715891</v>
      </c>
      <c r="J3882" s="192" t="str">
        <f>IF(I3882&gt;0,H3882/I3882,0)</f>
      </c>
      <c r="K3882" s="193" t="str">
        <f>1-EXP(-J3882)</f>
      </c>
      <c r="L3882" s="194" t="str">
        <f>IF(G3882=30,1,M3881)</f>
      </c>
      <c r="M3882" s="195" t="str">
        <f>L3882*(1-K3882)</f>
      </c>
    </row>
    <row r="3883">
      <c r="A3883" t="s">
        <v>167</v>
      </c>
      <c r="B3883" t="s">
        <v>262</v>
      </c>
      <c r="C3883" s="35" t="s">
        <v>264</v>
      </c>
      <c r="D3883" t="s">
        <v>502</v>
      </c>
      <c r="E3883" t="s">
        <v>520</v>
      </c>
      <c r="F3883" s="188" t="n">
        <v>2044</v>
      </c>
      <c r="G3883" s="189" t="n">
        <v>31</v>
      </c>
      <c r="H3883" s="190" t="n">
        <v>987.869608542287</v>
      </c>
      <c r="I3883" s="191" t="n">
        <v>4782405.43458186</v>
      </c>
      <c r="J3883" s="192" t="str">
        <f>IF(I3883&gt;0,H3883/I3883,0)</f>
      </c>
      <c r="K3883" s="193" t="str">
        <f>1-EXP(-J3883)</f>
      </c>
      <c r="L3883" s="194" t="str">
        <f>IF(G3883=30,1,M3882)</f>
      </c>
      <c r="M3883" s="195" t="str">
        <f>L3883*(1-K3883)</f>
      </c>
    </row>
    <row r="3884">
      <c r="A3884" t="s">
        <v>167</v>
      </c>
      <c r="B3884" t="s">
        <v>262</v>
      </c>
      <c r="C3884" s="35" t="s">
        <v>264</v>
      </c>
      <c r="D3884" t="s">
        <v>502</v>
      </c>
      <c r="E3884" t="s">
        <v>520</v>
      </c>
      <c r="F3884" s="188" t="n">
        <v>2044</v>
      </c>
      <c r="G3884" s="189" t="n">
        <v>32</v>
      </c>
      <c r="H3884" s="190" t="n">
        <v>1107.92314151941</v>
      </c>
      <c r="I3884" s="191" t="n">
        <v>4895329.52807175</v>
      </c>
      <c r="J3884" s="192" t="str">
        <f>IF(I3884&gt;0,H3884/I3884,0)</f>
      </c>
      <c r="K3884" s="193" t="str">
        <f>1-EXP(-J3884)</f>
      </c>
      <c r="L3884" s="194" t="str">
        <f>IF(G3884=30,1,M3883)</f>
      </c>
      <c r="M3884" s="195" t="str">
        <f>L3884*(1-K3884)</f>
      </c>
    </row>
    <row r="3885">
      <c r="A3885" t="s">
        <v>167</v>
      </c>
      <c r="B3885" t="s">
        <v>262</v>
      </c>
      <c r="C3885" s="35" t="s">
        <v>264</v>
      </c>
      <c r="D3885" t="s">
        <v>502</v>
      </c>
      <c r="E3885" t="s">
        <v>520</v>
      </c>
      <c r="F3885" s="188" t="n">
        <v>2044</v>
      </c>
      <c r="G3885" s="189" t="n">
        <v>33</v>
      </c>
      <c r="H3885" s="190" t="n">
        <v>1166.20635321868</v>
      </c>
      <c r="I3885" s="191" t="n">
        <v>4867118.42614701</v>
      </c>
      <c r="J3885" s="192" t="str">
        <f>IF(I3885&gt;0,H3885/I3885,0)</f>
      </c>
      <c r="K3885" s="193" t="str">
        <f>1-EXP(-J3885)</f>
      </c>
      <c r="L3885" s="194" t="str">
        <f>IF(G3885=30,1,M3884)</f>
      </c>
      <c r="M3885" s="195" t="str">
        <f>L3885*(1-K3885)</f>
      </c>
    </row>
    <row r="3886">
      <c r="A3886" t="s">
        <v>167</v>
      </c>
      <c r="B3886" t="s">
        <v>262</v>
      </c>
      <c r="C3886" s="35" t="s">
        <v>264</v>
      </c>
      <c r="D3886" t="s">
        <v>502</v>
      </c>
      <c r="E3886" t="s">
        <v>520</v>
      </c>
      <c r="F3886" s="188" t="n">
        <v>2044</v>
      </c>
      <c r="G3886" s="189" t="n">
        <v>34</v>
      </c>
      <c r="H3886" s="190" t="n">
        <v>1207.93980552528</v>
      </c>
      <c r="I3886" s="191" t="n">
        <v>4733216.04927791</v>
      </c>
      <c r="J3886" s="192" t="str">
        <f>IF(I3886&gt;0,H3886/I3886,0)</f>
      </c>
      <c r="K3886" s="193" t="str">
        <f>1-EXP(-J3886)</f>
      </c>
      <c r="L3886" s="194" t="str">
        <f>IF(G3886=30,1,M3885)</f>
      </c>
      <c r="M3886" s="195" t="str">
        <f>L3886*(1-K3886)</f>
      </c>
    </row>
    <row r="3887">
      <c r="A3887" t="s">
        <v>167</v>
      </c>
      <c r="B3887" t="s">
        <v>262</v>
      </c>
      <c r="C3887" s="35" t="s">
        <v>264</v>
      </c>
      <c r="D3887" t="s">
        <v>502</v>
      </c>
      <c r="E3887" t="s">
        <v>520</v>
      </c>
      <c r="F3887" s="188" t="n">
        <v>2044</v>
      </c>
      <c r="G3887" s="189" t="n">
        <v>35</v>
      </c>
      <c r="H3887" s="190" t="n">
        <v>1564.20642263779</v>
      </c>
      <c r="I3887" s="191" t="n">
        <v>4661985.67382178</v>
      </c>
      <c r="J3887" s="192" t="str">
        <f>IF(I3887&gt;0,H3887/I3887,0)</f>
      </c>
      <c r="K3887" s="193" t="str">
        <f>1-EXP(-J3887)</f>
      </c>
      <c r="L3887" s="194" t="str">
        <f>IF(G3887=30,1,M3886)</f>
      </c>
      <c r="M3887" s="195" t="str">
        <f>L3887*(1-K3887)</f>
      </c>
    </row>
    <row r="3888">
      <c r="A3888" t="s">
        <v>167</v>
      </c>
      <c r="B3888" t="s">
        <v>262</v>
      </c>
      <c r="C3888" s="35" t="s">
        <v>264</v>
      </c>
      <c r="D3888" t="s">
        <v>502</v>
      </c>
      <c r="E3888" t="s">
        <v>520</v>
      </c>
      <c r="F3888" s="188" t="n">
        <v>2044</v>
      </c>
      <c r="G3888" s="189" t="n">
        <v>36</v>
      </c>
      <c r="H3888" s="190" t="n">
        <v>1818.90249663571</v>
      </c>
      <c r="I3888" s="191" t="n">
        <v>4618217.7753015</v>
      </c>
      <c r="J3888" s="192" t="str">
        <f>IF(I3888&gt;0,H3888/I3888,0)</f>
      </c>
      <c r="K3888" s="193" t="str">
        <f>1-EXP(-J3888)</f>
      </c>
      <c r="L3888" s="194" t="str">
        <f>IF(G3888=30,1,M3887)</f>
      </c>
      <c r="M3888" s="195" t="str">
        <f>L3888*(1-K3888)</f>
      </c>
    </row>
    <row r="3889">
      <c r="A3889" t="s">
        <v>167</v>
      </c>
      <c r="B3889" t="s">
        <v>262</v>
      </c>
      <c r="C3889" s="35" t="s">
        <v>264</v>
      </c>
      <c r="D3889" t="s">
        <v>502</v>
      </c>
      <c r="E3889" t="s">
        <v>520</v>
      </c>
      <c r="F3889" s="188" t="n">
        <v>2044</v>
      </c>
      <c r="G3889" s="189" t="n">
        <v>37</v>
      </c>
      <c r="H3889" s="190" t="n">
        <v>2024.15157858726</v>
      </c>
      <c r="I3889" s="191" t="n">
        <v>4642470.29358696</v>
      </c>
      <c r="J3889" s="192" t="str">
        <f>IF(I3889&gt;0,H3889/I3889,0)</f>
      </c>
      <c r="K3889" s="193" t="str">
        <f>1-EXP(-J3889)</f>
      </c>
      <c r="L3889" s="194" t="str">
        <f>IF(G3889=30,1,M3888)</f>
      </c>
      <c r="M3889" s="195" t="str">
        <f>L3889*(1-K3889)</f>
      </c>
    </row>
    <row r="3890">
      <c r="A3890" t="s">
        <v>167</v>
      </c>
      <c r="B3890" t="s">
        <v>262</v>
      </c>
      <c r="C3890" s="35" t="s">
        <v>264</v>
      </c>
      <c r="D3890" t="s">
        <v>502</v>
      </c>
      <c r="E3890" t="s">
        <v>520</v>
      </c>
      <c r="F3890" s="188" t="n">
        <v>2044</v>
      </c>
      <c r="G3890" s="189" t="n">
        <v>38</v>
      </c>
      <c r="H3890" s="190" t="n">
        <v>2142.72722938012</v>
      </c>
      <c r="I3890" s="191" t="n">
        <v>4558156.17947274</v>
      </c>
      <c r="J3890" s="192" t="str">
        <f>IF(I3890&gt;0,H3890/I3890,0)</f>
      </c>
      <c r="K3890" s="193" t="str">
        <f>1-EXP(-J3890)</f>
      </c>
      <c r="L3890" s="194" t="str">
        <f>IF(G3890=30,1,M3889)</f>
      </c>
      <c r="M3890" s="195" t="str">
        <f>L3890*(1-K3890)</f>
      </c>
    </row>
    <row r="3891">
      <c r="A3891" t="s">
        <v>167</v>
      </c>
      <c r="B3891" t="s">
        <v>262</v>
      </c>
      <c r="C3891" s="35" t="s">
        <v>264</v>
      </c>
      <c r="D3891" t="s">
        <v>502</v>
      </c>
      <c r="E3891" t="s">
        <v>520</v>
      </c>
      <c r="F3891" s="188" t="n">
        <v>2044</v>
      </c>
      <c r="G3891" s="189" t="n">
        <v>39</v>
      </c>
      <c r="H3891" s="190" t="n">
        <v>2284.60205628223</v>
      </c>
      <c r="I3891" s="191" t="n">
        <v>4495298.6859359</v>
      </c>
      <c r="J3891" s="192" t="str">
        <f>IF(I3891&gt;0,H3891/I3891,0)</f>
      </c>
      <c r="K3891" s="193" t="str">
        <f>1-EXP(-J3891)</f>
      </c>
      <c r="L3891" s="194" t="str">
        <f>IF(G3891=30,1,M3890)</f>
      </c>
      <c r="M3891" s="195" t="str">
        <f>L3891*(1-K3891)</f>
      </c>
    </row>
    <row r="3892">
      <c r="A3892" t="s">
        <v>167</v>
      </c>
      <c r="B3892" t="s">
        <v>262</v>
      </c>
      <c r="C3892" s="35" t="s">
        <v>264</v>
      </c>
      <c r="D3892" t="s">
        <v>502</v>
      </c>
      <c r="E3892" t="s">
        <v>520</v>
      </c>
      <c r="F3892" s="188" t="n">
        <v>2044</v>
      </c>
      <c r="G3892" s="189" t="n">
        <v>40</v>
      </c>
      <c r="H3892" s="190" t="n">
        <v>2983.71653486732</v>
      </c>
      <c r="I3892" s="191" t="n">
        <v>4365110.84660279</v>
      </c>
      <c r="J3892" s="192" t="str">
        <f>IF(I3892&gt;0,H3892/I3892,0)</f>
      </c>
      <c r="K3892" s="193" t="str">
        <f>1-EXP(-J3892)</f>
      </c>
      <c r="L3892" s="194" t="str">
        <f>IF(G3892=30,1,M3891)</f>
      </c>
      <c r="M3892" s="195" t="str">
        <f>L3892*(1-K3892)</f>
      </c>
    </row>
    <row r="3893">
      <c r="A3893" t="s">
        <v>167</v>
      </c>
      <c r="B3893" t="s">
        <v>262</v>
      </c>
      <c r="C3893" s="35" t="s">
        <v>264</v>
      </c>
      <c r="D3893" t="s">
        <v>502</v>
      </c>
      <c r="E3893" t="s">
        <v>520</v>
      </c>
      <c r="F3893" s="188" t="n">
        <v>2044</v>
      </c>
      <c r="G3893" s="189" t="n">
        <v>41</v>
      </c>
      <c r="H3893" s="190" t="n">
        <v>3301.80846246565</v>
      </c>
      <c r="I3893" s="191" t="n">
        <v>4296349.98683432</v>
      </c>
      <c r="J3893" s="192" t="str">
        <f>IF(I3893&gt;0,H3893/I3893,0)</f>
      </c>
      <c r="K3893" s="193" t="str">
        <f>1-EXP(-J3893)</f>
      </c>
      <c r="L3893" s="194" t="str">
        <f>IF(G3893=30,1,M3892)</f>
      </c>
      <c r="M3893" s="195" t="str">
        <f>L3893*(1-K3893)</f>
      </c>
    </row>
    <row r="3894">
      <c r="A3894" t="s">
        <v>167</v>
      </c>
      <c r="B3894" t="s">
        <v>262</v>
      </c>
      <c r="C3894" s="35" t="s">
        <v>264</v>
      </c>
      <c r="D3894" t="s">
        <v>502</v>
      </c>
      <c r="E3894" t="s">
        <v>520</v>
      </c>
      <c r="F3894" s="188" t="n">
        <v>2044</v>
      </c>
      <c r="G3894" s="189" t="n">
        <v>42</v>
      </c>
      <c r="H3894" s="190" t="n">
        <v>3712.94072667138</v>
      </c>
      <c r="I3894" s="191" t="n">
        <v>4269555.51945503</v>
      </c>
      <c r="J3894" s="192" t="str">
        <f>IF(I3894&gt;0,H3894/I3894,0)</f>
      </c>
      <c r="K3894" s="193" t="str">
        <f>1-EXP(-J3894)</f>
      </c>
      <c r="L3894" s="194" t="str">
        <f>IF(G3894=30,1,M3893)</f>
      </c>
      <c r="M3894" s="195" t="str">
        <f>L3894*(1-K3894)</f>
      </c>
    </row>
    <row r="3895">
      <c r="A3895" t="s">
        <v>167</v>
      </c>
      <c r="B3895" t="s">
        <v>262</v>
      </c>
      <c r="C3895" s="35" t="s">
        <v>264</v>
      </c>
      <c r="D3895" t="s">
        <v>502</v>
      </c>
      <c r="E3895" t="s">
        <v>520</v>
      </c>
      <c r="F3895" s="188" t="n">
        <v>2044</v>
      </c>
      <c r="G3895" s="189" t="n">
        <v>43</v>
      </c>
      <c r="H3895" s="190" t="n">
        <v>4013.32490086073</v>
      </c>
      <c r="I3895" s="191" t="n">
        <v>4244987.73754163</v>
      </c>
      <c r="J3895" s="192" t="str">
        <f>IF(I3895&gt;0,H3895/I3895,0)</f>
      </c>
      <c r="K3895" s="193" t="str">
        <f>1-EXP(-J3895)</f>
      </c>
      <c r="L3895" s="194" t="str">
        <f>IF(G3895=30,1,M3894)</f>
      </c>
      <c r="M3895" s="195" t="str">
        <f>L3895*(1-K3895)</f>
      </c>
    </row>
    <row r="3896">
      <c r="A3896" t="s">
        <v>167</v>
      </c>
      <c r="B3896" t="s">
        <v>262</v>
      </c>
      <c r="C3896" s="35" t="s">
        <v>264</v>
      </c>
      <c r="D3896" t="s">
        <v>502</v>
      </c>
      <c r="E3896" t="s">
        <v>520</v>
      </c>
      <c r="F3896" s="188" t="n">
        <v>2044</v>
      </c>
      <c r="G3896" s="189" t="n">
        <v>44</v>
      </c>
      <c r="H3896" s="190" t="n">
        <v>4348.5969263258</v>
      </c>
      <c r="I3896" s="191" t="n">
        <v>4219557.36277588</v>
      </c>
      <c r="J3896" s="192" t="str">
        <f>IF(I3896&gt;0,H3896/I3896,0)</f>
      </c>
      <c r="K3896" s="193" t="str">
        <f>1-EXP(-J3896)</f>
      </c>
      <c r="L3896" s="194" t="str">
        <f>IF(G3896=30,1,M3895)</f>
      </c>
      <c r="M3896" s="195" t="str">
        <f>L3896*(1-K3896)</f>
      </c>
    </row>
    <row r="3897">
      <c r="A3897" t="s">
        <v>167</v>
      </c>
      <c r="B3897" t="s">
        <v>262</v>
      </c>
      <c r="C3897" s="35" t="s">
        <v>264</v>
      </c>
      <c r="D3897" t="s">
        <v>502</v>
      </c>
      <c r="E3897" t="s">
        <v>520</v>
      </c>
      <c r="F3897" s="188" t="n">
        <v>2044</v>
      </c>
      <c r="G3897" s="189" t="n">
        <v>45</v>
      </c>
      <c r="H3897" s="190" t="n">
        <v>5603.19370869755</v>
      </c>
      <c r="I3897" s="191" t="n">
        <v>4232298.2871842</v>
      </c>
      <c r="J3897" s="192" t="str">
        <f>IF(I3897&gt;0,H3897/I3897,0)</f>
      </c>
      <c r="K3897" s="193" t="str">
        <f>1-EXP(-J3897)</f>
      </c>
      <c r="L3897" s="194" t="str">
        <f>IF(G3897=30,1,M3896)</f>
      </c>
      <c r="M3897" s="195" t="str">
        <f>L3897*(1-K3897)</f>
      </c>
    </row>
    <row r="3898">
      <c r="A3898" t="s">
        <v>167</v>
      </c>
      <c r="B3898" t="s">
        <v>262</v>
      </c>
      <c r="C3898" s="35" t="s">
        <v>264</v>
      </c>
      <c r="D3898" t="s">
        <v>502</v>
      </c>
      <c r="E3898" t="s">
        <v>520</v>
      </c>
      <c r="F3898" s="188" t="n">
        <v>2044</v>
      </c>
      <c r="G3898" s="189" t="n">
        <v>46</v>
      </c>
      <c r="H3898" s="190" t="n">
        <v>6267.90041273883</v>
      </c>
      <c r="I3898" s="191" t="n">
        <v>4281483.301868</v>
      </c>
      <c r="J3898" s="192" t="str">
        <f>IF(I3898&gt;0,H3898/I3898,0)</f>
      </c>
      <c r="K3898" s="193" t="str">
        <f>1-EXP(-J3898)</f>
      </c>
      <c r="L3898" s="194" t="str">
        <f>IF(G3898=30,1,M3897)</f>
      </c>
      <c r="M3898" s="195" t="str">
        <f>L3898*(1-K3898)</f>
      </c>
    </row>
    <row r="3899">
      <c r="A3899" t="s">
        <v>167</v>
      </c>
      <c r="B3899" t="s">
        <v>262</v>
      </c>
      <c r="C3899" s="35" t="s">
        <v>264</v>
      </c>
      <c r="D3899" t="s">
        <v>502</v>
      </c>
      <c r="E3899" t="s">
        <v>520</v>
      </c>
      <c r="F3899" s="188" t="n">
        <v>2044</v>
      </c>
      <c r="G3899" s="189" t="n">
        <v>47</v>
      </c>
      <c r="H3899" s="190" t="n">
        <v>7255.81849328028</v>
      </c>
      <c r="I3899" s="191" t="n">
        <v>4404927.39382203</v>
      </c>
      <c r="J3899" s="192" t="str">
        <f>IF(I3899&gt;0,H3899/I3899,0)</f>
      </c>
      <c r="K3899" s="193" t="str">
        <f>1-EXP(-J3899)</f>
      </c>
      <c r="L3899" s="194" t="str">
        <f>IF(G3899=30,1,M3898)</f>
      </c>
      <c r="M3899" s="195" t="str">
        <f>L3899*(1-K3899)</f>
      </c>
    </row>
    <row r="3900">
      <c r="A3900" t="s">
        <v>167</v>
      </c>
      <c r="B3900" t="s">
        <v>262</v>
      </c>
      <c r="C3900" s="35" t="s">
        <v>264</v>
      </c>
      <c r="D3900" t="s">
        <v>502</v>
      </c>
      <c r="E3900" t="s">
        <v>520</v>
      </c>
      <c r="F3900" s="188" t="n">
        <v>2044</v>
      </c>
      <c r="G3900" s="189" t="n">
        <v>48</v>
      </c>
      <c r="H3900" s="190" t="n">
        <v>7856.73755180203</v>
      </c>
      <c r="I3900" s="191" t="n">
        <v>4352306.06940397</v>
      </c>
      <c r="J3900" s="192" t="str">
        <f>IF(I3900&gt;0,H3900/I3900,0)</f>
      </c>
      <c r="K3900" s="193" t="str">
        <f>1-EXP(-J3900)</f>
      </c>
      <c r="L3900" s="194" t="str">
        <f>IF(G3900=30,1,M3899)</f>
      </c>
      <c r="M3900" s="195" t="str">
        <f>L3900*(1-K3900)</f>
      </c>
    </row>
    <row r="3901">
      <c r="A3901" t="s">
        <v>167</v>
      </c>
      <c r="B3901" t="s">
        <v>262</v>
      </c>
      <c r="C3901" s="35" t="s">
        <v>264</v>
      </c>
      <c r="D3901" t="s">
        <v>502</v>
      </c>
      <c r="E3901" t="s">
        <v>520</v>
      </c>
      <c r="F3901" s="188" t="n">
        <v>2044</v>
      </c>
      <c r="G3901" s="189" t="n">
        <v>49</v>
      </c>
      <c r="H3901" s="190" t="n">
        <v>8452.62097339287</v>
      </c>
      <c r="I3901" s="191" t="n">
        <v>4269522.47353091</v>
      </c>
      <c r="J3901" s="192" t="str">
        <f>IF(I3901&gt;0,H3901/I3901,0)</f>
      </c>
      <c r="K3901" s="193" t="str">
        <f>1-EXP(-J3901)</f>
      </c>
      <c r="L3901" s="194" t="str">
        <f>IF(G3901=30,1,M3900)</f>
      </c>
      <c r="M3901" s="195" t="str">
        <f>L3901*(1-K3901)</f>
      </c>
    </row>
    <row r="3902">
      <c r="A3902" t="s">
        <v>167</v>
      </c>
      <c r="B3902" t="s">
        <v>262</v>
      </c>
      <c r="C3902" s="35" t="s">
        <v>264</v>
      </c>
      <c r="D3902" t="s">
        <v>502</v>
      </c>
      <c r="E3902" t="s">
        <v>520</v>
      </c>
      <c r="F3902" s="188" t="n">
        <v>2044</v>
      </c>
      <c r="G3902" s="189" t="n">
        <v>50</v>
      </c>
      <c r="H3902" s="190" t="n">
        <v>9517.79951735656</v>
      </c>
      <c r="I3902" s="191" t="n">
        <v>4200912.996039</v>
      </c>
      <c r="J3902" s="192" t="str">
        <f>IF(I3902&gt;0,H3902/I3902,0)</f>
      </c>
      <c r="K3902" s="193" t="str">
        <f>1-EXP(-J3902)</f>
      </c>
      <c r="L3902" s="194" t="str">
        <f>IF(G3902=30,1,M3901)</f>
      </c>
      <c r="M3902" s="195" t="str">
        <f>L3902*(1-K3902)</f>
      </c>
    </row>
    <row r="3903">
      <c r="A3903" t="s">
        <v>167</v>
      </c>
      <c r="B3903" t="s">
        <v>262</v>
      </c>
      <c r="C3903" s="35" t="s">
        <v>264</v>
      </c>
      <c r="D3903" t="s">
        <v>502</v>
      </c>
      <c r="E3903" t="s">
        <v>520</v>
      </c>
      <c r="F3903" s="188" t="n">
        <v>2044</v>
      </c>
      <c r="G3903" s="189" t="n">
        <v>51</v>
      </c>
      <c r="H3903" s="190" t="n">
        <v>10243.8086279696</v>
      </c>
      <c r="I3903" s="191" t="n">
        <v>4133989.32460719</v>
      </c>
      <c r="J3903" s="192" t="str">
        <f>IF(I3903&gt;0,H3903/I3903,0)</f>
      </c>
      <c r="K3903" s="193" t="str">
        <f>1-EXP(-J3903)</f>
      </c>
      <c r="L3903" s="194" t="str">
        <f>IF(G3903=30,1,M3902)</f>
      </c>
      <c r="M3903" s="195" t="str">
        <f>L3903*(1-K3903)</f>
      </c>
    </row>
    <row r="3904">
      <c r="A3904" t="s">
        <v>167</v>
      </c>
      <c r="B3904" t="s">
        <v>262</v>
      </c>
      <c r="C3904" s="35" t="s">
        <v>264</v>
      </c>
      <c r="D3904" t="s">
        <v>502</v>
      </c>
      <c r="E3904" t="s">
        <v>520</v>
      </c>
      <c r="F3904" s="188" t="n">
        <v>2044</v>
      </c>
      <c r="G3904" s="189" t="n">
        <v>52</v>
      </c>
      <c r="H3904" s="190" t="n">
        <v>11236.9495748404</v>
      </c>
      <c r="I3904" s="191" t="n">
        <v>4153770.66577529</v>
      </c>
      <c r="J3904" s="192" t="str">
        <f>IF(I3904&gt;0,H3904/I3904,0)</f>
      </c>
      <c r="K3904" s="193" t="str">
        <f>1-EXP(-J3904)</f>
      </c>
      <c r="L3904" s="194" t="str">
        <f>IF(G3904=30,1,M3903)</f>
      </c>
      <c r="M3904" s="195" t="str">
        <f>L3904*(1-K3904)</f>
      </c>
    </row>
    <row r="3905">
      <c r="A3905" t="s">
        <v>167</v>
      </c>
      <c r="B3905" t="s">
        <v>262</v>
      </c>
      <c r="C3905" s="35" t="s">
        <v>264</v>
      </c>
      <c r="D3905" t="s">
        <v>502</v>
      </c>
      <c r="E3905" t="s">
        <v>520</v>
      </c>
      <c r="F3905" s="188" t="n">
        <v>2044</v>
      </c>
      <c r="G3905" s="189" t="n">
        <v>53</v>
      </c>
      <c r="H3905" s="190" t="n">
        <v>12260.1320291876</v>
      </c>
      <c r="I3905" s="191" t="n">
        <v>4152749.36808924</v>
      </c>
      <c r="J3905" s="192" t="str">
        <f>IF(I3905&gt;0,H3905/I3905,0)</f>
      </c>
      <c r="K3905" s="193" t="str">
        <f>1-EXP(-J3905)</f>
      </c>
      <c r="L3905" s="194" t="str">
        <f>IF(G3905=30,1,M3904)</f>
      </c>
      <c r="M3905" s="195" t="str">
        <f>L3905*(1-K3905)</f>
      </c>
    </row>
    <row r="3906">
      <c r="A3906" t="s">
        <v>167</v>
      </c>
      <c r="B3906" t="s">
        <v>262</v>
      </c>
      <c r="C3906" s="35" t="s">
        <v>264</v>
      </c>
      <c r="D3906" t="s">
        <v>502</v>
      </c>
      <c r="E3906" t="s">
        <v>520</v>
      </c>
      <c r="F3906" s="188" t="n">
        <v>2044</v>
      </c>
      <c r="G3906" s="189" t="n">
        <v>54</v>
      </c>
      <c r="H3906" s="190" t="n">
        <v>17756.404898929</v>
      </c>
      <c r="I3906" s="191" t="n">
        <v>6106181.325684</v>
      </c>
      <c r="J3906" s="192" t="str">
        <f>IF(I3906&gt;0,H3906/I3906,0)</f>
      </c>
      <c r="K3906" s="193" t="str">
        <f>1-EXP(-J3906)</f>
      </c>
      <c r="L3906" s="194" t="str">
        <f>IF(G3906=30,1,M3905)</f>
      </c>
      <c r="M3906" s="195" t="str">
        <f>L3906*(1-K3906)</f>
      </c>
    </row>
    <row r="3907">
      <c r="A3907" t="s">
        <v>167</v>
      </c>
      <c r="B3907" t="s">
        <v>262</v>
      </c>
      <c r="C3907" s="35" t="s">
        <v>264</v>
      </c>
      <c r="D3907" t="s">
        <v>502</v>
      </c>
      <c r="E3907" t="s">
        <v>520</v>
      </c>
      <c r="F3907" s="188" t="n">
        <v>2044</v>
      </c>
      <c r="G3907" s="189" t="n">
        <v>55</v>
      </c>
      <c r="H3907" s="190" t="n">
        <v>14073.4888589184</v>
      </c>
      <c r="I3907" s="191" t="n">
        <v>4072143.23621207</v>
      </c>
      <c r="J3907" s="192" t="str">
        <f>IF(I3907&gt;0,H3907/I3907,0)</f>
      </c>
      <c r="K3907" s="193" t="str">
        <f>1-EXP(-J3907)</f>
      </c>
      <c r="L3907" s="194" t="str">
        <f>IF(G3907=30,1,M3906)</f>
      </c>
      <c r="M3907" s="195" t="str">
        <f>L3907*(1-K3907)</f>
      </c>
    </row>
    <row r="3908">
      <c r="A3908" t="s">
        <v>167</v>
      </c>
      <c r="B3908" t="s">
        <v>262</v>
      </c>
      <c r="C3908" s="35" t="s">
        <v>264</v>
      </c>
      <c r="D3908" t="s">
        <v>502</v>
      </c>
      <c r="E3908" t="s">
        <v>520</v>
      </c>
      <c r="F3908" s="188" t="n">
        <v>2044</v>
      </c>
      <c r="G3908" s="189" t="n">
        <v>56</v>
      </c>
      <c r="H3908" s="190" t="n">
        <v>15157.9869531591</v>
      </c>
      <c r="I3908" s="191" t="n">
        <v>4032886.46097126</v>
      </c>
      <c r="J3908" s="192" t="str">
        <f>IF(I3908&gt;0,H3908/I3908,0)</f>
      </c>
      <c r="K3908" s="193" t="str">
        <f>1-EXP(-J3908)</f>
      </c>
      <c r="L3908" s="194" t="str">
        <f>IF(G3908=30,1,M3907)</f>
      </c>
      <c r="M3908" s="195" t="str">
        <f>L3908*(1-K3908)</f>
      </c>
    </row>
    <row r="3909">
      <c r="A3909" t="s">
        <v>167</v>
      </c>
      <c r="B3909" t="s">
        <v>262</v>
      </c>
      <c r="C3909" s="35" t="s">
        <v>264</v>
      </c>
      <c r="D3909" t="s">
        <v>502</v>
      </c>
      <c r="E3909" t="s">
        <v>520</v>
      </c>
      <c r="F3909" s="188" t="n">
        <v>2044</v>
      </c>
      <c r="G3909" s="189" t="n">
        <v>57</v>
      </c>
      <c r="H3909" s="190" t="n">
        <v>15933.5124913178</v>
      </c>
      <c r="I3909" s="191" t="n">
        <v>3884565.52237168</v>
      </c>
      <c r="J3909" s="192" t="str">
        <f>IF(I3909&gt;0,H3909/I3909,0)</f>
      </c>
      <c r="K3909" s="193" t="str">
        <f>1-EXP(-J3909)</f>
      </c>
      <c r="L3909" s="194" t="str">
        <f>IF(G3909=30,1,M3908)</f>
      </c>
      <c r="M3909" s="195" t="str">
        <f>L3909*(1-K3909)</f>
      </c>
    </row>
    <row r="3910">
      <c r="A3910" t="s">
        <v>167</v>
      </c>
      <c r="B3910" t="s">
        <v>262</v>
      </c>
      <c r="C3910" s="35" t="s">
        <v>264</v>
      </c>
      <c r="D3910" t="s">
        <v>502</v>
      </c>
      <c r="E3910" t="s">
        <v>520</v>
      </c>
      <c r="F3910" s="188" t="n">
        <v>2044</v>
      </c>
      <c r="G3910" s="189" t="n">
        <v>58</v>
      </c>
      <c r="H3910" s="190" t="n">
        <v>17143.7043878824</v>
      </c>
      <c r="I3910" s="191" t="n">
        <v>3825814.03170542</v>
      </c>
      <c r="J3910" s="192" t="str">
        <f>IF(I3910&gt;0,H3910/I3910,0)</f>
      </c>
      <c r="K3910" s="193" t="str">
        <f>1-EXP(-J3910)</f>
      </c>
      <c r="L3910" s="194" t="str">
        <f>IF(G3910=30,1,M3909)</f>
      </c>
      <c r="M3910" s="195" t="str">
        <f>L3910*(1-K3910)</f>
      </c>
    </row>
    <row r="3911">
      <c r="A3911" t="s">
        <v>167</v>
      </c>
      <c r="B3911" t="s">
        <v>262</v>
      </c>
      <c r="C3911" s="35" t="s">
        <v>264</v>
      </c>
      <c r="D3911" t="s">
        <v>502</v>
      </c>
      <c r="E3911" t="s">
        <v>520</v>
      </c>
      <c r="F3911" s="188" t="n">
        <v>2044</v>
      </c>
      <c r="G3911" s="189" t="n">
        <v>59</v>
      </c>
      <c r="H3911" s="190" t="n">
        <v>18885.3428566478</v>
      </c>
      <c r="I3911" s="191" t="n">
        <v>3850709.34509645</v>
      </c>
      <c r="J3911" s="192" t="str">
        <f>IF(I3911&gt;0,H3911/I3911,0)</f>
      </c>
      <c r="K3911" s="193" t="str">
        <f>1-EXP(-J3911)</f>
      </c>
      <c r="L3911" s="194" t="str">
        <f>IF(G3911=30,1,M3910)</f>
      </c>
      <c r="M3911" s="195" t="str">
        <f>L3911*(1-K3911)</f>
      </c>
    </row>
    <row r="3912">
      <c r="A3912" t="s">
        <v>167</v>
      </c>
      <c r="B3912" t="s">
        <v>262</v>
      </c>
      <c r="C3912" s="35" t="s">
        <v>264</v>
      </c>
      <c r="D3912" t="s">
        <v>502</v>
      </c>
      <c r="E3912" t="s">
        <v>520</v>
      </c>
      <c r="F3912" s="188" t="n">
        <v>2044</v>
      </c>
      <c r="G3912" s="189" t="n">
        <v>60</v>
      </c>
      <c r="H3912" s="190" t="n">
        <v>20713.9044231283</v>
      </c>
      <c r="I3912" s="191" t="n">
        <v>3894920.96325974</v>
      </c>
      <c r="J3912" s="192" t="str">
        <f>IF(I3912&gt;0,H3912/I3912,0)</f>
      </c>
      <c r="K3912" s="193" t="str">
        <f>1-EXP(-J3912)</f>
      </c>
      <c r="L3912" s="194" t="str">
        <f>IF(G3912=30,1,M3911)</f>
      </c>
      <c r="M3912" s="195" t="str">
        <f>L3912*(1-K3912)</f>
      </c>
    </row>
    <row r="3913">
      <c r="A3913" t="s">
        <v>167</v>
      </c>
      <c r="B3913" t="s">
        <v>262</v>
      </c>
      <c r="C3913" s="35" t="s">
        <v>264</v>
      </c>
      <c r="D3913" t="s">
        <v>502</v>
      </c>
      <c r="E3913" t="s">
        <v>520</v>
      </c>
      <c r="F3913" s="188" t="n">
        <v>2044</v>
      </c>
      <c r="G3913" s="189" t="n">
        <v>61</v>
      </c>
      <c r="H3913" s="190" t="n">
        <v>22387.6049979114</v>
      </c>
      <c r="I3913" s="191" t="n">
        <v>3836967.00857181</v>
      </c>
      <c r="J3913" s="192" t="str">
        <f>IF(I3913&gt;0,H3913/I3913,0)</f>
      </c>
      <c r="K3913" s="193" t="str">
        <f>1-EXP(-J3913)</f>
      </c>
      <c r="L3913" s="194" t="str">
        <f>IF(G3913=30,1,M3912)</f>
      </c>
      <c r="M3913" s="195" t="str">
        <f>L3913*(1-K3913)</f>
      </c>
    </row>
    <row r="3914">
      <c r="A3914" t="s">
        <v>167</v>
      </c>
      <c r="B3914" t="s">
        <v>262</v>
      </c>
      <c r="C3914" s="35" t="s">
        <v>264</v>
      </c>
      <c r="D3914" t="s">
        <v>502</v>
      </c>
      <c r="E3914" t="s">
        <v>520</v>
      </c>
      <c r="F3914" s="188" t="n">
        <v>2044</v>
      </c>
      <c r="G3914" s="189" t="n">
        <v>62</v>
      </c>
      <c r="H3914" s="190" t="n">
        <v>23559.1311825739</v>
      </c>
      <c r="I3914" s="191" t="n">
        <v>3676188.72018376</v>
      </c>
      <c r="J3914" s="192" t="str">
        <f>IF(I3914&gt;0,H3914/I3914,0)</f>
      </c>
      <c r="K3914" s="193" t="str">
        <f>1-EXP(-J3914)</f>
      </c>
      <c r="L3914" s="194" t="str">
        <f>IF(G3914=30,1,M3913)</f>
      </c>
      <c r="M3914" s="195" t="str">
        <f>L3914*(1-K3914)</f>
      </c>
    </row>
    <row r="3915">
      <c r="A3915" t="s">
        <v>167</v>
      </c>
      <c r="B3915" t="s">
        <v>262</v>
      </c>
      <c r="C3915" s="35" t="s">
        <v>264</v>
      </c>
      <c r="D3915" t="s">
        <v>502</v>
      </c>
      <c r="E3915" t="s">
        <v>520</v>
      </c>
      <c r="F3915" s="188" t="n">
        <v>2044</v>
      </c>
      <c r="G3915" s="189" t="n">
        <v>63</v>
      </c>
      <c r="H3915" s="190" t="n">
        <v>25105.4501750178</v>
      </c>
      <c r="I3915" s="191" t="n">
        <v>3569812.78000099</v>
      </c>
      <c r="J3915" s="192" t="str">
        <f>IF(I3915&gt;0,H3915/I3915,0)</f>
      </c>
      <c r="K3915" s="193" t="str">
        <f>1-EXP(-J3915)</f>
      </c>
      <c r="L3915" s="194" t="str">
        <f>IF(G3915=30,1,M3914)</f>
      </c>
      <c r="M3915" s="195" t="str">
        <f>L3915*(1-K3915)</f>
      </c>
    </row>
    <row r="3916">
      <c r="A3916" t="s">
        <v>167</v>
      </c>
      <c r="B3916" t="s">
        <v>262</v>
      </c>
      <c r="C3916" s="35" t="s">
        <v>264</v>
      </c>
      <c r="D3916" t="s">
        <v>502</v>
      </c>
      <c r="E3916" t="s">
        <v>520</v>
      </c>
      <c r="F3916" s="188" t="n">
        <v>2044</v>
      </c>
      <c r="G3916" s="189" t="n">
        <v>64</v>
      </c>
      <c r="H3916" s="190" t="n">
        <v>26815.6806842563</v>
      </c>
      <c r="I3916" s="191" t="n">
        <v>3475218.35161357</v>
      </c>
      <c r="J3916" s="192" t="str">
        <f>IF(I3916&gt;0,H3916/I3916,0)</f>
      </c>
      <c r="K3916" s="193" t="str">
        <f>1-EXP(-J3916)</f>
      </c>
      <c r="L3916" s="194" t="str">
        <f>IF(G3916=30,1,M3915)</f>
      </c>
      <c r="M3916" s="195" t="str">
        <f>L3916*(1-K3916)</f>
      </c>
    </row>
    <row r="3917">
      <c r="A3917" t="s">
        <v>167</v>
      </c>
      <c r="B3917" t="s">
        <v>262</v>
      </c>
      <c r="C3917" s="35" t="s">
        <v>264</v>
      </c>
      <c r="D3917" t="s">
        <v>502</v>
      </c>
      <c r="E3917" t="s">
        <v>520</v>
      </c>
      <c r="F3917" s="188" t="n">
        <v>2044</v>
      </c>
      <c r="G3917" s="189" t="n">
        <v>65</v>
      </c>
      <c r="H3917" s="190" t="n">
        <v>27259.7607600972</v>
      </c>
      <c r="I3917" s="191" t="n">
        <v>3373586.82675556</v>
      </c>
      <c r="J3917" s="192" t="str">
        <f>IF(I3917&gt;0,H3917/I3917,0)</f>
      </c>
      <c r="K3917" s="193" t="str">
        <f>1-EXP(-J3917)</f>
      </c>
      <c r="L3917" s="194" t="str">
        <f>IF(G3917=30,1,M3916)</f>
      </c>
      <c r="M3917" s="195" t="str">
        <f>L3917*(1-K3917)</f>
      </c>
    </row>
    <row r="3918">
      <c r="A3918" t="s">
        <v>167</v>
      </c>
      <c r="B3918" t="s">
        <v>262</v>
      </c>
      <c r="C3918" s="35" t="s">
        <v>264</v>
      </c>
      <c r="D3918" t="s">
        <v>502</v>
      </c>
      <c r="E3918" t="s">
        <v>520</v>
      </c>
      <c r="F3918" s="188" t="n">
        <v>2044</v>
      </c>
      <c r="G3918" s="189" t="n">
        <v>66</v>
      </c>
      <c r="H3918" s="190" t="n">
        <v>28847.8888290955</v>
      </c>
      <c r="I3918" s="191" t="n">
        <v>3253894.42365794</v>
      </c>
      <c r="J3918" s="192" t="str">
        <f>IF(I3918&gt;0,H3918/I3918,0)</f>
      </c>
      <c r="K3918" s="193" t="str">
        <f>1-EXP(-J3918)</f>
      </c>
      <c r="L3918" s="194" t="str">
        <f>IF(G3918=30,1,M3917)</f>
      </c>
      <c r="M3918" s="195" t="str">
        <f>L3918*(1-K3918)</f>
      </c>
    </row>
    <row r="3919">
      <c r="A3919" t="s">
        <v>167</v>
      </c>
      <c r="B3919" t="s">
        <v>262</v>
      </c>
      <c r="C3919" s="35" t="s">
        <v>264</v>
      </c>
      <c r="D3919" t="s">
        <v>502</v>
      </c>
      <c r="E3919" t="s">
        <v>520</v>
      </c>
      <c r="F3919" s="188" t="n">
        <v>2044</v>
      </c>
      <c r="G3919" s="189" t="n">
        <v>67</v>
      </c>
      <c r="H3919" s="190" t="n">
        <v>30656.5679109936</v>
      </c>
      <c r="I3919" s="191" t="n">
        <v>3145248.04626736</v>
      </c>
      <c r="J3919" s="192" t="str">
        <f>IF(I3919&gt;0,H3919/I3919,0)</f>
      </c>
      <c r="K3919" s="193" t="str">
        <f>1-EXP(-J3919)</f>
      </c>
      <c r="L3919" s="194" t="str">
        <f>IF(G3919=30,1,M3918)</f>
      </c>
      <c r="M3919" s="195" t="str">
        <f>L3919*(1-K3919)</f>
      </c>
    </row>
    <row r="3920">
      <c r="A3920" t="s">
        <v>167</v>
      </c>
      <c r="B3920" t="s">
        <v>262</v>
      </c>
      <c r="C3920" s="35" t="s">
        <v>264</v>
      </c>
      <c r="D3920" t="s">
        <v>502</v>
      </c>
      <c r="E3920" t="s">
        <v>520</v>
      </c>
      <c r="F3920" s="188" t="n">
        <v>2044</v>
      </c>
      <c r="G3920" s="189" t="n">
        <v>68</v>
      </c>
      <c r="H3920" s="190" t="n">
        <v>32404.9751378858</v>
      </c>
      <c r="I3920" s="191" t="n">
        <v>3025310.786003</v>
      </c>
      <c r="J3920" s="192" t="str">
        <f>IF(I3920&gt;0,H3920/I3920,0)</f>
      </c>
      <c r="K3920" s="193" t="str">
        <f>1-EXP(-J3920)</f>
      </c>
      <c r="L3920" s="194" t="str">
        <f>IF(G3920=30,1,M3919)</f>
      </c>
      <c r="M3920" s="195" t="str">
        <f>L3920*(1-K3920)</f>
      </c>
    </row>
    <row r="3921">
      <c r="A3921" t="s">
        <v>167</v>
      </c>
      <c r="B3921" t="s">
        <v>262</v>
      </c>
      <c r="C3921" s="35" t="s">
        <v>264</v>
      </c>
      <c r="D3921" t="s">
        <v>502</v>
      </c>
      <c r="E3921" t="s">
        <v>520</v>
      </c>
      <c r="F3921" s="188" t="n">
        <v>2044</v>
      </c>
      <c r="G3921" s="189" t="n">
        <v>69</v>
      </c>
      <c r="H3921" s="190" t="n">
        <v>34199.4903081876</v>
      </c>
      <c r="I3921" s="191" t="n">
        <v>2902791.73817997</v>
      </c>
      <c r="J3921" s="192" t="str">
        <f>IF(I3921&gt;0,H3921/I3921,0)</f>
      </c>
      <c r="K3921" s="193" t="str">
        <f>1-EXP(-J3921)</f>
      </c>
      <c r="L3921" s="194" t="str">
        <f>IF(G3921=30,1,M3920)</f>
      </c>
      <c r="M3921" s="195" t="str">
        <f>L3921*(1-K3921)</f>
      </c>
    </row>
    <row r="3922">
      <c r="A3922" t="s">
        <v>167</v>
      </c>
      <c r="B3922" t="s">
        <v>262</v>
      </c>
      <c r="C3922" s="35" t="s">
        <v>264</v>
      </c>
      <c r="D3922" t="s">
        <v>502</v>
      </c>
      <c r="E3922" t="s">
        <v>520</v>
      </c>
      <c r="F3922" s="188" t="n">
        <v>2045</v>
      </c>
      <c r="G3922" s="189" t="n">
        <v>30</v>
      </c>
      <c r="H3922" s="190" t="n">
        <v>726.50396884571</v>
      </c>
      <c r="I3922" s="191" t="n">
        <v>4642372.59557577</v>
      </c>
      <c r="J3922" s="192" t="str">
        <f>IF(I3922&gt;0,H3922/I3922,0)</f>
      </c>
      <c r="K3922" s="193" t="str">
        <f>1-EXP(-J3922)</f>
      </c>
      <c r="L3922" s="194" t="str">
        <f>IF(G3922=30,1,M3921)</f>
      </c>
      <c r="M3922" s="195" t="str">
        <f>L3922*(1-K3922)</f>
      </c>
    </row>
    <row r="3923">
      <c r="A3923" t="s">
        <v>167</v>
      </c>
      <c r="B3923" t="s">
        <v>262</v>
      </c>
      <c r="C3923" s="35" t="s">
        <v>264</v>
      </c>
      <c r="D3923" t="s">
        <v>502</v>
      </c>
      <c r="E3923" t="s">
        <v>520</v>
      </c>
      <c r="F3923" s="188" t="n">
        <v>2045</v>
      </c>
      <c r="G3923" s="189" t="n">
        <v>31</v>
      </c>
      <c r="H3923" s="190" t="n">
        <v>974.29875017452</v>
      </c>
      <c r="I3923" s="191" t="n">
        <v>4708899.08041753</v>
      </c>
      <c r="J3923" s="192" t="str">
        <f>IF(I3923&gt;0,H3923/I3923,0)</f>
      </c>
      <c r="K3923" s="193" t="str">
        <f>1-EXP(-J3923)</f>
      </c>
      <c r="L3923" s="194" t="str">
        <f>IF(G3923=30,1,M3922)</f>
      </c>
      <c r="M3923" s="195" t="str">
        <f>L3923*(1-K3923)</f>
      </c>
    </row>
    <row r="3924">
      <c r="A3924" t="s">
        <v>167</v>
      </c>
      <c r="B3924" t="s">
        <v>262</v>
      </c>
      <c r="C3924" s="35" t="s">
        <v>264</v>
      </c>
      <c r="D3924" t="s">
        <v>502</v>
      </c>
      <c r="E3924" t="s">
        <v>520</v>
      </c>
      <c r="F3924" s="188" t="n">
        <v>2045</v>
      </c>
      <c r="G3924" s="189" t="n">
        <v>32</v>
      </c>
      <c r="H3924" s="190" t="n">
        <v>1041.9279588246</v>
      </c>
      <c r="I3924" s="191" t="n">
        <v>4777079.146931</v>
      </c>
      <c r="J3924" s="192" t="str">
        <f>IF(I3924&gt;0,H3924/I3924,0)</f>
      </c>
      <c r="K3924" s="193" t="str">
        <f>1-EXP(-J3924)</f>
      </c>
      <c r="L3924" s="194" t="str">
        <f>IF(G3924=30,1,M3923)</f>
      </c>
      <c r="M3924" s="195" t="str">
        <f>L3924*(1-K3924)</f>
      </c>
    </row>
    <row r="3925">
      <c r="A3925" t="s">
        <v>167</v>
      </c>
      <c r="B3925" t="s">
        <v>262</v>
      </c>
      <c r="C3925" s="35" t="s">
        <v>264</v>
      </c>
      <c r="D3925" t="s">
        <v>502</v>
      </c>
      <c r="E3925" t="s">
        <v>520</v>
      </c>
      <c r="F3925" s="188" t="n">
        <v>2045</v>
      </c>
      <c r="G3925" s="189" t="n">
        <v>33</v>
      </c>
      <c r="H3925" s="190" t="n">
        <v>1173.0134562149</v>
      </c>
      <c r="I3925" s="191" t="n">
        <v>4889609.8953117</v>
      </c>
      <c r="J3925" s="192" t="str">
        <f>IF(I3925&gt;0,H3925/I3925,0)</f>
      </c>
      <c r="K3925" s="193" t="str">
        <f>1-EXP(-J3925)</f>
      </c>
      <c r="L3925" s="194" t="str">
        <f>IF(G3925=30,1,M3924)</f>
      </c>
      <c r="M3925" s="195" t="str">
        <f>L3925*(1-K3925)</f>
      </c>
    </row>
    <row r="3926">
      <c r="A3926" t="s">
        <v>167</v>
      </c>
      <c r="B3926" t="s">
        <v>262</v>
      </c>
      <c r="C3926" s="35" t="s">
        <v>264</v>
      </c>
      <c r="D3926" t="s">
        <v>502</v>
      </c>
      <c r="E3926" t="s">
        <v>520</v>
      </c>
      <c r="F3926" s="188" t="n">
        <v>2045</v>
      </c>
      <c r="G3926" s="189" t="n">
        <v>34</v>
      </c>
      <c r="H3926" s="190" t="n">
        <v>1241.80892355933</v>
      </c>
      <c r="I3926" s="191" t="n">
        <v>4861168.75916148</v>
      </c>
      <c r="J3926" s="192" t="str">
        <f>IF(I3926&gt;0,H3926/I3926,0)</f>
      </c>
      <c r="K3926" s="193" t="str">
        <f>1-EXP(-J3926)</f>
      </c>
      <c r="L3926" s="194" t="str">
        <f>IF(G3926=30,1,M3925)</f>
      </c>
      <c r="M3926" s="195" t="str">
        <f>L3926*(1-K3926)</f>
      </c>
    </row>
    <row r="3927">
      <c r="A3927" t="s">
        <v>167</v>
      </c>
      <c r="B3927" t="s">
        <v>262</v>
      </c>
      <c r="C3927" s="35" t="s">
        <v>264</v>
      </c>
      <c r="D3927" t="s">
        <v>502</v>
      </c>
      <c r="E3927" t="s">
        <v>520</v>
      </c>
      <c r="F3927" s="188" t="n">
        <v>2045</v>
      </c>
      <c r="G3927" s="189" t="n">
        <v>35</v>
      </c>
      <c r="H3927" s="190" t="n">
        <v>1583.07228232488</v>
      </c>
      <c r="I3927" s="191" t="n">
        <v>4727128.69790847</v>
      </c>
      <c r="J3927" s="192" t="str">
        <f>IF(I3927&gt;0,H3927/I3927,0)</f>
      </c>
      <c r="K3927" s="193" t="str">
        <f>1-EXP(-J3927)</f>
      </c>
      <c r="L3927" s="194" t="str">
        <f>IF(G3927=30,1,M3926)</f>
      </c>
      <c r="M3927" s="195" t="str">
        <f>L3927*(1-K3927)</f>
      </c>
    </row>
    <row r="3928">
      <c r="A3928" t="s">
        <v>167</v>
      </c>
      <c r="B3928" t="s">
        <v>262</v>
      </c>
      <c r="C3928" s="35" t="s">
        <v>264</v>
      </c>
      <c r="D3928" t="s">
        <v>502</v>
      </c>
      <c r="E3928" t="s">
        <v>520</v>
      </c>
      <c r="F3928" s="188" t="n">
        <v>2045</v>
      </c>
      <c r="G3928" s="189" t="n">
        <v>36</v>
      </c>
      <c r="H3928" s="190" t="n">
        <v>1828.98134021492</v>
      </c>
      <c r="I3928" s="191" t="n">
        <v>4655316.99634452</v>
      </c>
      <c r="J3928" s="192" t="str">
        <f>IF(I3928&gt;0,H3928/I3928,0)</f>
      </c>
      <c r="K3928" s="193" t="str">
        <f>1-EXP(-J3928)</f>
      </c>
      <c r="L3928" s="194" t="str">
        <f>IF(G3928=30,1,M3927)</f>
      </c>
      <c r="M3928" s="195" t="str">
        <f>L3928*(1-K3928)</f>
      </c>
    </row>
    <row r="3929">
      <c r="A3929" t="s">
        <v>167</v>
      </c>
      <c r="B3929" t="s">
        <v>262</v>
      </c>
      <c r="C3929" s="35" t="s">
        <v>264</v>
      </c>
      <c r="D3929" t="s">
        <v>502</v>
      </c>
      <c r="E3929" t="s">
        <v>520</v>
      </c>
      <c r="F3929" s="188" t="n">
        <v>2045</v>
      </c>
      <c r="G3929" s="189" t="n">
        <v>37</v>
      </c>
      <c r="H3929" s="190" t="n">
        <v>1948.33496781715</v>
      </c>
      <c r="I3929" s="191" t="n">
        <v>4611445.79141832</v>
      </c>
      <c r="J3929" s="192" t="str">
        <f>IF(I3929&gt;0,H3929/I3929,0)</f>
      </c>
      <c r="K3929" s="193" t="str">
        <f>1-EXP(-J3929)</f>
      </c>
      <c r="L3929" s="194" t="str">
        <f>IF(G3929=30,1,M3928)</f>
      </c>
      <c r="M3929" s="195" t="str">
        <f>L3929*(1-K3929)</f>
      </c>
    </row>
    <row r="3930">
      <c r="A3930" t="s">
        <v>167</v>
      </c>
      <c r="B3930" t="s">
        <v>262</v>
      </c>
      <c r="C3930" s="35" t="s">
        <v>264</v>
      </c>
      <c r="D3930" t="s">
        <v>502</v>
      </c>
      <c r="E3930" t="s">
        <v>520</v>
      </c>
      <c r="F3930" s="188" t="n">
        <v>2045</v>
      </c>
      <c r="G3930" s="189" t="n">
        <v>38</v>
      </c>
      <c r="H3930" s="190" t="n">
        <v>2172.2687515848</v>
      </c>
      <c r="I3930" s="191" t="n">
        <v>4635141.76611356</v>
      </c>
      <c r="J3930" s="192" t="str">
        <f>IF(I3930&gt;0,H3930/I3930,0)</f>
      </c>
      <c r="K3930" s="193" t="str">
        <f>1-EXP(-J3930)</f>
      </c>
      <c r="L3930" s="194" t="str">
        <f>IF(G3930=30,1,M3929)</f>
      </c>
      <c r="M3930" s="195" t="str">
        <f>L3930*(1-K3930)</f>
      </c>
    </row>
    <row r="3931">
      <c r="A3931" t="s">
        <v>167</v>
      </c>
      <c r="B3931" t="s">
        <v>262</v>
      </c>
      <c r="C3931" s="35" t="s">
        <v>264</v>
      </c>
      <c r="D3931" t="s">
        <v>502</v>
      </c>
      <c r="E3931" t="s">
        <v>520</v>
      </c>
      <c r="F3931" s="188" t="n">
        <v>2045</v>
      </c>
      <c r="G3931" s="189" t="n">
        <v>39</v>
      </c>
      <c r="H3931" s="190" t="n">
        <v>2305.28609852814</v>
      </c>
      <c r="I3931" s="191" t="n">
        <v>4550444.57920445</v>
      </c>
      <c r="J3931" s="192" t="str">
        <f>IF(I3931&gt;0,H3931/I3931,0)</f>
      </c>
      <c r="K3931" s="193" t="str">
        <f>1-EXP(-J3931)</f>
      </c>
      <c r="L3931" s="194" t="str">
        <f>IF(G3931=30,1,M3930)</f>
      </c>
      <c r="M3931" s="195" t="str">
        <f>L3931*(1-K3931)</f>
      </c>
    </row>
    <row r="3932">
      <c r="A3932" t="s">
        <v>167</v>
      </c>
      <c r="B3932" t="s">
        <v>262</v>
      </c>
      <c r="C3932" s="35" t="s">
        <v>264</v>
      </c>
      <c r="D3932" t="s">
        <v>502</v>
      </c>
      <c r="E3932" t="s">
        <v>520</v>
      </c>
      <c r="F3932" s="188" t="n">
        <v>2045</v>
      </c>
      <c r="G3932" s="189" t="n">
        <v>40</v>
      </c>
      <c r="H3932" s="190" t="n">
        <v>3054.6620040625</v>
      </c>
      <c r="I3932" s="191" t="n">
        <v>4487123.37359428</v>
      </c>
      <c r="J3932" s="192" t="str">
        <f>IF(I3932&gt;0,H3932/I3932,0)</f>
      </c>
      <c r="K3932" s="193" t="str">
        <f>1-EXP(-J3932)</f>
      </c>
      <c r="L3932" s="194" t="str">
        <f>IF(G3932=30,1,M3931)</f>
      </c>
      <c r="M3932" s="195" t="str">
        <f>L3932*(1-K3932)</f>
      </c>
    </row>
    <row r="3933">
      <c r="A3933" t="s">
        <v>167</v>
      </c>
      <c r="B3933" t="s">
        <v>262</v>
      </c>
      <c r="C3933" s="35" t="s">
        <v>264</v>
      </c>
      <c r="D3933" t="s">
        <v>502</v>
      </c>
      <c r="E3933" t="s">
        <v>520</v>
      </c>
      <c r="F3933" s="188" t="n">
        <v>2045</v>
      </c>
      <c r="G3933" s="189" t="n">
        <v>41</v>
      </c>
      <c r="H3933" s="190" t="n">
        <v>3333.48264544287</v>
      </c>
      <c r="I3933" s="191" t="n">
        <v>4355907.90891101</v>
      </c>
      <c r="J3933" s="192" t="str">
        <f>IF(I3933&gt;0,H3933/I3933,0)</f>
      </c>
      <c r="K3933" s="193" t="str">
        <f>1-EXP(-J3933)</f>
      </c>
      <c r="L3933" s="194" t="str">
        <f>IF(G3933=30,1,M3932)</f>
      </c>
      <c r="M3933" s="195" t="str">
        <f>L3933*(1-K3933)</f>
      </c>
    </row>
    <row r="3934">
      <c r="A3934" t="s">
        <v>167</v>
      </c>
      <c r="B3934" t="s">
        <v>262</v>
      </c>
      <c r="C3934" s="35" t="s">
        <v>264</v>
      </c>
      <c r="D3934" t="s">
        <v>502</v>
      </c>
      <c r="E3934" t="s">
        <v>520</v>
      </c>
      <c r="F3934" s="188" t="n">
        <v>2045</v>
      </c>
      <c r="G3934" s="189" t="n">
        <v>42</v>
      </c>
      <c r="H3934" s="190" t="n">
        <v>3562.19539641291</v>
      </c>
      <c r="I3934" s="191" t="n">
        <v>4287170.15234548</v>
      </c>
      <c r="J3934" s="192" t="str">
        <f>IF(I3934&gt;0,H3934/I3934,0)</f>
      </c>
      <c r="K3934" s="193" t="str">
        <f>1-EXP(-J3934)</f>
      </c>
      <c r="L3934" s="194" t="str">
        <f>IF(G3934=30,1,M3933)</f>
      </c>
      <c r="M3934" s="195" t="str">
        <f>L3934*(1-K3934)</f>
      </c>
    </row>
    <row r="3935">
      <c r="A3935" t="s">
        <v>167</v>
      </c>
      <c r="B3935" t="s">
        <v>262</v>
      </c>
      <c r="C3935" s="35" t="s">
        <v>264</v>
      </c>
      <c r="D3935" t="s">
        <v>502</v>
      </c>
      <c r="E3935" t="s">
        <v>520</v>
      </c>
      <c r="F3935" s="188" t="n">
        <v>2045</v>
      </c>
      <c r="G3935" s="189" t="n">
        <v>43</v>
      </c>
      <c r="H3935" s="190" t="n">
        <v>4006.05002021399</v>
      </c>
      <c r="I3935" s="191" t="n">
        <v>4259508.95374727</v>
      </c>
      <c r="J3935" s="192" t="str">
        <f>IF(I3935&gt;0,H3935/I3935,0)</f>
      </c>
      <c r="K3935" s="193" t="str">
        <f>1-EXP(-J3935)</f>
      </c>
      <c r="L3935" s="194" t="str">
        <f>IF(G3935=30,1,M3934)</f>
      </c>
      <c r="M3935" s="195" t="str">
        <f>L3935*(1-K3935)</f>
      </c>
    </row>
    <row r="3936">
      <c r="A3936" t="s">
        <v>167</v>
      </c>
      <c r="B3936" t="s">
        <v>262</v>
      </c>
      <c r="C3936" s="35" t="s">
        <v>264</v>
      </c>
      <c r="D3936" t="s">
        <v>502</v>
      </c>
      <c r="E3936" t="s">
        <v>520</v>
      </c>
      <c r="F3936" s="188" t="n">
        <v>2045</v>
      </c>
      <c r="G3936" s="189" t="n">
        <v>44</v>
      </c>
      <c r="H3936" s="190" t="n">
        <v>4338.53666251763</v>
      </c>
      <c r="I3936" s="191" t="n">
        <v>4234164.61089873</v>
      </c>
      <c r="J3936" s="192" t="str">
        <f>IF(I3936&gt;0,H3936/I3936,0)</f>
      </c>
      <c r="K3936" s="193" t="str">
        <f>1-EXP(-J3936)</f>
      </c>
      <c r="L3936" s="194" t="str">
        <f>IF(G3936=30,1,M3935)</f>
      </c>
      <c r="M3936" s="195" t="str">
        <f>L3936*(1-K3936)</f>
      </c>
    </row>
    <row r="3937">
      <c r="A3937" t="s">
        <v>167</v>
      </c>
      <c r="B3937" t="s">
        <v>262</v>
      </c>
      <c r="C3937" s="35" t="s">
        <v>264</v>
      </c>
      <c r="D3937" t="s">
        <v>502</v>
      </c>
      <c r="E3937" t="s">
        <v>520</v>
      </c>
      <c r="F3937" s="188" t="n">
        <v>2045</v>
      </c>
      <c r="G3937" s="189" t="n">
        <v>45</v>
      </c>
      <c r="H3937" s="190" t="n">
        <v>5534.8243152443</v>
      </c>
      <c r="I3937" s="191" t="n">
        <v>4207872.25970422</v>
      </c>
      <c r="J3937" s="192" t="str">
        <f>IF(I3937&gt;0,H3937/I3937,0)</f>
      </c>
      <c r="K3937" s="193" t="str">
        <f>1-EXP(-J3937)</f>
      </c>
      <c r="L3937" s="194" t="str">
        <f>IF(G3937=30,1,M3936)</f>
      </c>
      <c r="M3937" s="195" t="str">
        <f>L3937*(1-K3937)</f>
      </c>
    </row>
    <row r="3938">
      <c r="A3938" t="s">
        <v>167</v>
      </c>
      <c r="B3938" t="s">
        <v>262</v>
      </c>
      <c r="C3938" s="35" t="s">
        <v>264</v>
      </c>
      <c r="D3938" t="s">
        <v>502</v>
      </c>
      <c r="E3938" t="s">
        <v>520</v>
      </c>
      <c r="F3938" s="188" t="n">
        <v>2045</v>
      </c>
      <c r="G3938" s="189" t="n">
        <v>46</v>
      </c>
      <c r="H3938" s="190" t="n">
        <v>6135.57436732208</v>
      </c>
      <c r="I3938" s="191" t="n">
        <v>4218663.92137009</v>
      </c>
      <c r="J3938" s="192" t="str">
        <f>IF(I3938&gt;0,H3938/I3938,0)</f>
      </c>
      <c r="K3938" s="193" t="str">
        <f>1-EXP(-J3938)</f>
      </c>
      <c r="L3938" s="194" t="str">
        <f>IF(G3938=30,1,M3937)</f>
      </c>
      <c r="M3938" s="195" t="str">
        <f>L3938*(1-K3938)</f>
      </c>
    </row>
    <row r="3939">
      <c r="A3939" t="s">
        <v>167</v>
      </c>
      <c r="B3939" t="s">
        <v>262</v>
      </c>
      <c r="C3939" s="35" t="s">
        <v>264</v>
      </c>
      <c r="D3939" t="s">
        <v>502</v>
      </c>
      <c r="E3939" t="s">
        <v>520</v>
      </c>
      <c r="F3939" s="188" t="n">
        <v>2045</v>
      </c>
      <c r="G3939" s="189" t="n">
        <v>47</v>
      </c>
      <c r="H3939" s="190" t="n">
        <v>6802.19253553593</v>
      </c>
      <c r="I3939" s="191" t="n">
        <v>4267281.28414882</v>
      </c>
      <c r="J3939" s="192" t="str">
        <f>IF(I3939&gt;0,H3939/I3939,0)</f>
      </c>
      <c r="K3939" s="193" t="str">
        <f>1-EXP(-J3939)</f>
      </c>
      <c r="L3939" s="194" t="str">
        <f>IF(G3939=30,1,M3938)</f>
      </c>
      <c r="M3939" s="195" t="str">
        <f>L3939*(1-K3939)</f>
      </c>
    </row>
    <row r="3940">
      <c r="A3940" t="s">
        <v>167</v>
      </c>
      <c r="B3940" t="s">
        <v>262</v>
      </c>
      <c r="C3940" s="35" t="s">
        <v>264</v>
      </c>
      <c r="D3940" t="s">
        <v>502</v>
      </c>
      <c r="E3940" t="s">
        <v>520</v>
      </c>
      <c r="F3940" s="188" t="n">
        <v>2045</v>
      </c>
      <c r="G3940" s="189" t="n">
        <v>48</v>
      </c>
      <c r="H3940" s="190" t="n">
        <v>7870.65517285065</v>
      </c>
      <c r="I3940" s="191" t="n">
        <v>4388723.00771945</v>
      </c>
      <c r="J3940" s="192" t="str">
        <f>IF(I3940&gt;0,H3940/I3940,0)</f>
      </c>
      <c r="K3940" s="193" t="str">
        <f>1-EXP(-J3940)</f>
      </c>
      <c r="L3940" s="194" t="str">
        <f>IF(G3940=30,1,M3939)</f>
      </c>
      <c r="M3940" s="195" t="str">
        <f>L3940*(1-K3940)</f>
      </c>
    </row>
    <row r="3941">
      <c r="A3941" t="s">
        <v>167</v>
      </c>
      <c r="B3941" t="s">
        <v>262</v>
      </c>
      <c r="C3941" s="35" t="s">
        <v>264</v>
      </c>
      <c r="D3941" t="s">
        <v>502</v>
      </c>
      <c r="E3941" t="s">
        <v>520</v>
      </c>
      <c r="F3941" s="188" t="n">
        <v>2045</v>
      </c>
      <c r="G3941" s="189" t="n">
        <v>49</v>
      </c>
      <c r="H3941" s="190" t="n">
        <v>8525.74809133064</v>
      </c>
      <c r="I3941" s="191" t="n">
        <v>4334787.39487606</v>
      </c>
      <c r="J3941" s="192" t="str">
        <f>IF(I3941&gt;0,H3941/I3941,0)</f>
      </c>
      <c r="K3941" s="193" t="str">
        <f>1-EXP(-J3941)</f>
      </c>
      <c r="L3941" s="194" t="str">
        <f>IF(G3941=30,1,M3940)</f>
      </c>
      <c r="M3941" s="195" t="str">
        <f>L3941*(1-K3941)</f>
      </c>
    </row>
    <row r="3942">
      <c r="A3942" t="s">
        <v>167</v>
      </c>
      <c r="B3942" t="s">
        <v>262</v>
      </c>
      <c r="C3942" s="35" t="s">
        <v>264</v>
      </c>
      <c r="D3942" t="s">
        <v>502</v>
      </c>
      <c r="E3942" t="s">
        <v>520</v>
      </c>
      <c r="F3942" s="188" t="n">
        <v>2045</v>
      </c>
      <c r="G3942" s="189" t="n">
        <v>50</v>
      </c>
      <c r="H3942" s="190" t="n">
        <v>9556.41968095659</v>
      </c>
      <c r="I3942" s="191" t="n">
        <v>4250699.59879928</v>
      </c>
      <c r="J3942" s="192" t="str">
        <f>IF(I3942&gt;0,H3942/I3942,0)</f>
      </c>
      <c r="K3942" s="193" t="str">
        <f>1-EXP(-J3942)</f>
      </c>
      <c r="L3942" s="194" t="str">
        <f>IF(G3942=30,1,M3941)</f>
      </c>
      <c r="M3942" s="195" t="str">
        <f>L3942*(1-K3942)</f>
      </c>
    </row>
    <row r="3943">
      <c r="A3943" t="s">
        <v>167</v>
      </c>
      <c r="B3943" t="s">
        <v>262</v>
      </c>
      <c r="C3943" s="35" t="s">
        <v>264</v>
      </c>
      <c r="D3943" t="s">
        <v>502</v>
      </c>
      <c r="E3943" t="s">
        <v>520</v>
      </c>
      <c r="F3943" s="188" t="n">
        <v>2045</v>
      </c>
      <c r="G3943" s="189" t="n">
        <v>51</v>
      </c>
      <c r="H3943" s="190" t="n">
        <v>10279.0897827636</v>
      </c>
      <c r="I3943" s="191" t="n">
        <v>4179974.64846654</v>
      </c>
      <c r="J3943" s="192" t="str">
        <f>IF(I3943&gt;0,H3943/I3943,0)</f>
      </c>
      <c r="K3943" s="193" t="str">
        <f>1-EXP(-J3943)</f>
      </c>
      <c r="L3943" s="194" t="str">
        <f>IF(G3943=30,1,M3942)</f>
      </c>
      <c r="M3943" s="195" t="str">
        <f>L3943*(1-K3943)</f>
      </c>
    </row>
    <row r="3944">
      <c r="A3944" t="s">
        <v>167</v>
      </c>
      <c r="B3944" t="s">
        <v>262</v>
      </c>
      <c r="C3944" s="35" t="s">
        <v>264</v>
      </c>
      <c r="D3944" t="s">
        <v>502</v>
      </c>
      <c r="E3944" t="s">
        <v>520</v>
      </c>
      <c r="F3944" s="188" t="n">
        <v>2045</v>
      </c>
      <c r="G3944" s="189" t="n">
        <v>52</v>
      </c>
      <c r="H3944" s="190" t="n">
        <v>11057.1186963347</v>
      </c>
      <c r="I3944" s="191" t="n">
        <v>4112087.73549126</v>
      </c>
      <c r="J3944" s="192" t="str">
        <f>IF(I3944&gt;0,H3944/I3944,0)</f>
      </c>
      <c r="K3944" s="193" t="str">
        <f>1-EXP(-J3944)</f>
      </c>
      <c r="L3944" s="194" t="str">
        <f>IF(G3944=30,1,M3943)</f>
      </c>
      <c r="M3944" s="195" t="str">
        <f>L3944*(1-K3944)</f>
      </c>
    </row>
    <row r="3945">
      <c r="A3945" t="s">
        <v>167</v>
      </c>
      <c r="B3945" t="s">
        <v>262</v>
      </c>
      <c r="C3945" s="35" t="s">
        <v>264</v>
      </c>
      <c r="D3945" t="s">
        <v>502</v>
      </c>
      <c r="E3945" t="s">
        <v>520</v>
      </c>
      <c r="F3945" s="188" t="n">
        <v>2045</v>
      </c>
      <c r="G3945" s="189" t="n">
        <v>53</v>
      </c>
      <c r="H3945" s="190" t="n">
        <v>12099.4776200187</v>
      </c>
      <c r="I3945" s="191" t="n">
        <v>4129740.00687632</v>
      </c>
      <c r="J3945" s="192" t="str">
        <f>IF(I3945&gt;0,H3945/I3945,0)</f>
      </c>
      <c r="K3945" s="193" t="str">
        <f>1-EXP(-J3945)</f>
      </c>
      <c r="L3945" s="194" t="str">
        <f>IF(G3945=30,1,M3944)</f>
      </c>
      <c r="M3945" s="195" t="str">
        <f>L3945*(1-K3945)</f>
      </c>
    </row>
    <row r="3946">
      <c r="A3946" t="s">
        <v>167</v>
      </c>
      <c r="B3946" t="s">
        <v>262</v>
      </c>
      <c r="C3946" s="35" t="s">
        <v>264</v>
      </c>
      <c r="D3946" t="s">
        <v>502</v>
      </c>
      <c r="E3946" t="s">
        <v>520</v>
      </c>
      <c r="F3946" s="188" t="n">
        <v>2045</v>
      </c>
      <c r="G3946" s="189" t="n">
        <v>54</v>
      </c>
      <c r="H3946" s="190" t="n">
        <v>13172.165307781</v>
      </c>
      <c r="I3946" s="191" t="n">
        <v>4126528.52008254</v>
      </c>
      <c r="J3946" s="192" t="str">
        <f>IF(I3946&gt;0,H3946/I3946,0)</f>
      </c>
      <c r="K3946" s="193" t="str">
        <f>1-EXP(-J3946)</f>
      </c>
      <c r="L3946" s="194" t="str">
        <f>IF(G3946=30,1,M3945)</f>
      </c>
      <c r="M3946" s="195" t="str">
        <f>L3946*(1-K3946)</f>
      </c>
    </row>
    <row r="3947">
      <c r="A3947" t="s">
        <v>167</v>
      </c>
      <c r="B3947" t="s">
        <v>262</v>
      </c>
      <c r="C3947" s="35" t="s">
        <v>264</v>
      </c>
      <c r="D3947" t="s">
        <v>502</v>
      </c>
      <c r="E3947" t="s">
        <v>520</v>
      </c>
      <c r="F3947" s="188" t="n">
        <v>2045</v>
      </c>
      <c r="G3947" s="189" t="n">
        <v>55</v>
      </c>
      <c r="H3947" s="190" t="n">
        <v>18942.4011484019</v>
      </c>
      <c r="I3947" s="191" t="n">
        <v>6067410.30822668</v>
      </c>
      <c r="J3947" s="192" t="str">
        <f>IF(I3947&gt;0,H3947/I3947,0)</f>
      </c>
      <c r="K3947" s="193" t="str">
        <f>1-EXP(-J3947)</f>
      </c>
      <c r="L3947" s="194" t="str">
        <f>IF(G3947=30,1,M3946)</f>
      </c>
      <c r="M3947" s="195" t="str">
        <f>L3947*(1-K3947)</f>
      </c>
    </row>
    <row r="3948">
      <c r="A3948" t="s">
        <v>167</v>
      </c>
      <c r="B3948" t="s">
        <v>262</v>
      </c>
      <c r="C3948" s="35" t="s">
        <v>264</v>
      </c>
      <c r="D3948" t="s">
        <v>502</v>
      </c>
      <c r="E3948" t="s">
        <v>520</v>
      </c>
      <c r="F3948" s="188" t="n">
        <v>2045</v>
      </c>
      <c r="G3948" s="189" t="n">
        <v>56</v>
      </c>
      <c r="H3948" s="190" t="n">
        <v>15040.3587146583</v>
      </c>
      <c r="I3948" s="191" t="n">
        <v>4041531.53472973</v>
      </c>
      <c r="J3948" s="192" t="str">
        <f>IF(I3948&gt;0,H3948/I3948,0)</f>
      </c>
      <c r="K3948" s="193" t="str">
        <f>1-EXP(-J3948)</f>
      </c>
      <c r="L3948" s="194" t="str">
        <f>IF(G3948=30,1,M3947)</f>
      </c>
      <c r="M3948" s="195" t="str">
        <f>L3948*(1-K3948)</f>
      </c>
    </row>
    <row r="3949">
      <c r="A3949" t="s">
        <v>167</v>
      </c>
      <c r="B3949" t="s">
        <v>262</v>
      </c>
      <c r="C3949" s="35" t="s">
        <v>264</v>
      </c>
      <c r="D3949" t="s">
        <v>502</v>
      </c>
      <c r="E3949" t="s">
        <v>520</v>
      </c>
      <c r="F3949" s="188" t="n">
        <v>2045</v>
      </c>
      <c r="G3949" s="189" t="n">
        <v>57</v>
      </c>
      <c r="H3949" s="190" t="n">
        <v>16236.0432910923</v>
      </c>
      <c r="I3949" s="191" t="n">
        <v>4000011.81330785</v>
      </c>
      <c r="J3949" s="192" t="str">
        <f>IF(I3949&gt;0,H3949/I3949,0)</f>
      </c>
      <c r="K3949" s="193" t="str">
        <f>1-EXP(-J3949)</f>
      </c>
      <c r="L3949" s="194" t="str">
        <f>IF(G3949=30,1,M3948)</f>
      </c>
      <c r="M3949" s="195" t="str">
        <f>L3949*(1-K3949)</f>
      </c>
    </row>
    <row r="3950">
      <c r="A3950" t="s">
        <v>167</v>
      </c>
      <c r="B3950" t="s">
        <v>262</v>
      </c>
      <c r="C3950" s="35" t="s">
        <v>264</v>
      </c>
      <c r="D3950" t="s">
        <v>502</v>
      </c>
      <c r="E3950" t="s">
        <v>520</v>
      </c>
      <c r="F3950" s="188" t="n">
        <v>2045</v>
      </c>
      <c r="G3950" s="189" t="n">
        <v>58</v>
      </c>
      <c r="H3950" s="190" t="n">
        <v>17080.6573683596</v>
      </c>
      <c r="I3950" s="191" t="n">
        <v>3850046.07769266</v>
      </c>
      <c r="J3950" s="192" t="str">
        <f>IF(I3950&gt;0,H3950/I3950,0)</f>
      </c>
      <c r="K3950" s="193" t="str">
        <f>1-EXP(-J3950)</f>
      </c>
      <c r="L3950" s="194" t="str">
        <f>IF(G3950=30,1,M3949)</f>
      </c>
      <c r="M3950" s="195" t="str">
        <f>L3950*(1-K3950)</f>
      </c>
    </row>
    <row r="3951">
      <c r="A3951" t="s">
        <v>167</v>
      </c>
      <c r="B3951" t="s">
        <v>262</v>
      </c>
      <c r="C3951" s="35" t="s">
        <v>264</v>
      </c>
      <c r="D3951" t="s">
        <v>502</v>
      </c>
      <c r="E3951" t="s">
        <v>520</v>
      </c>
      <c r="F3951" s="188" t="n">
        <v>2045</v>
      </c>
      <c r="G3951" s="189" t="n">
        <v>59</v>
      </c>
      <c r="H3951" s="190" t="n">
        <v>18392.8922865828</v>
      </c>
      <c r="I3951" s="191" t="n">
        <v>3788716.95341164</v>
      </c>
      <c r="J3951" s="192" t="str">
        <f>IF(I3951&gt;0,H3951/I3951,0)</f>
      </c>
      <c r="K3951" s="193" t="str">
        <f>1-EXP(-J3951)</f>
      </c>
      <c r="L3951" s="194" t="str">
        <f>IF(G3951=30,1,M3950)</f>
      </c>
      <c r="M3951" s="195" t="str">
        <f>L3951*(1-K3951)</f>
      </c>
    </row>
    <row r="3952">
      <c r="A3952" t="s">
        <v>167</v>
      </c>
      <c r="B3952" t="s">
        <v>262</v>
      </c>
      <c r="C3952" s="35" t="s">
        <v>264</v>
      </c>
      <c r="D3952" t="s">
        <v>502</v>
      </c>
      <c r="E3952" t="s">
        <v>520</v>
      </c>
      <c r="F3952" s="188" t="n">
        <v>2045</v>
      </c>
      <c r="G3952" s="189" t="n">
        <v>60</v>
      </c>
      <c r="H3952" s="190" t="n">
        <v>20024.1351110314</v>
      </c>
      <c r="I3952" s="191" t="n">
        <v>3809892.11053973</v>
      </c>
      <c r="J3952" s="192" t="str">
        <f>IF(I3952&gt;0,H3952/I3952,0)</f>
      </c>
      <c r="K3952" s="193" t="str">
        <f>1-EXP(-J3952)</f>
      </c>
      <c r="L3952" s="194" t="str">
        <f>IF(G3952=30,1,M3951)</f>
      </c>
      <c r="M3952" s="195" t="str">
        <f>L3952*(1-K3952)</f>
      </c>
    </row>
    <row r="3953">
      <c r="A3953" t="s">
        <v>167</v>
      </c>
      <c r="B3953" t="s">
        <v>262</v>
      </c>
      <c r="C3953" s="35" t="s">
        <v>264</v>
      </c>
      <c r="D3953" t="s">
        <v>502</v>
      </c>
      <c r="E3953" t="s">
        <v>520</v>
      </c>
      <c r="F3953" s="188" t="n">
        <v>2045</v>
      </c>
      <c r="G3953" s="189" t="n">
        <v>61</v>
      </c>
      <c r="H3953" s="190" t="n">
        <v>22204.101493038</v>
      </c>
      <c r="I3953" s="191" t="n">
        <v>3849610.83805652</v>
      </c>
      <c r="J3953" s="192" t="str">
        <f>IF(I3953&gt;0,H3953/I3953,0)</f>
      </c>
      <c r="K3953" s="193" t="str">
        <f>1-EXP(-J3953)</f>
      </c>
      <c r="L3953" s="194" t="str">
        <f>IF(G3953=30,1,M3952)</f>
      </c>
      <c r="M3953" s="195" t="str">
        <f>L3953*(1-K3953)</f>
      </c>
    </row>
    <row r="3954">
      <c r="A3954" t="s">
        <v>167</v>
      </c>
      <c r="B3954" t="s">
        <v>262</v>
      </c>
      <c r="C3954" s="35" t="s">
        <v>264</v>
      </c>
      <c r="D3954" t="s">
        <v>502</v>
      </c>
      <c r="E3954" t="s">
        <v>520</v>
      </c>
      <c r="F3954" s="188" t="n">
        <v>2045</v>
      </c>
      <c r="G3954" s="189" t="n">
        <v>62</v>
      </c>
      <c r="H3954" s="190" t="n">
        <v>23981.5054791483</v>
      </c>
      <c r="I3954" s="191" t="n">
        <v>3788160.60748094</v>
      </c>
      <c r="J3954" s="192" t="str">
        <f>IF(I3954&gt;0,H3954/I3954,0)</f>
      </c>
      <c r="K3954" s="193" t="str">
        <f>1-EXP(-J3954)</f>
      </c>
      <c r="L3954" s="194" t="str">
        <f>IF(G3954=30,1,M3953)</f>
      </c>
      <c r="M3954" s="195" t="str">
        <f>L3954*(1-K3954)</f>
      </c>
    </row>
    <row r="3955">
      <c r="A3955" t="s">
        <v>167</v>
      </c>
      <c r="B3955" t="s">
        <v>262</v>
      </c>
      <c r="C3955" s="35" t="s">
        <v>264</v>
      </c>
      <c r="D3955" t="s">
        <v>502</v>
      </c>
      <c r="E3955" t="s">
        <v>520</v>
      </c>
      <c r="F3955" s="188" t="n">
        <v>2045</v>
      </c>
      <c r="G3955" s="189" t="n">
        <v>63</v>
      </c>
      <c r="H3955" s="190" t="n">
        <v>25210.822402582</v>
      </c>
      <c r="I3955" s="191" t="n">
        <v>3624850.9863679</v>
      </c>
      <c r="J3955" s="192" t="str">
        <f>IF(I3955&gt;0,H3955/I3955,0)</f>
      </c>
      <c r="K3955" s="193" t="str">
        <f>1-EXP(-J3955)</f>
      </c>
      <c r="L3955" s="194" t="str">
        <f>IF(G3955=30,1,M3954)</f>
      </c>
      <c r="M3955" s="195" t="str">
        <f>L3955*(1-K3955)</f>
      </c>
    </row>
    <row r="3956">
      <c r="A3956" t="s">
        <v>167</v>
      </c>
      <c r="B3956" t="s">
        <v>262</v>
      </c>
      <c r="C3956" s="35" t="s">
        <v>264</v>
      </c>
      <c r="D3956" t="s">
        <v>502</v>
      </c>
      <c r="E3956" t="s">
        <v>520</v>
      </c>
      <c r="F3956" s="188" t="n">
        <v>2045</v>
      </c>
      <c r="G3956" s="189" t="n">
        <v>64</v>
      </c>
      <c r="H3956" s="190" t="n">
        <v>26826.8191004254</v>
      </c>
      <c r="I3956" s="191" t="n">
        <v>3515122.17873406</v>
      </c>
      <c r="J3956" s="192" t="str">
        <f>IF(I3956&gt;0,H3956/I3956,0)</f>
      </c>
      <c r="K3956" s="193" t="str">
        <f>1-EXP(-J3956)</f>
      </c>
      <c r="L3956" s="194" t="str">
        <f>IF(G3956=30,1,M3955)</f>
      </c>
      <c r="M3956" s="195" t="str">
        <f>L3956*(1-K3956)</f>
      </c>
    </row>
    <row r="3957">
      <c r="A3957" t="s">
        <v>167</v>
      </c>
      <c r="B3957" t="s">
        <v>262</v>
      </c>
      <c r="C3957" s="35" t="s">
        <v>264</v>
      </c>
      <c r="D3957" t="s">
        <v>502</v>
      </c>
      <c r="E3957" t="s">
        <v>520</v>
      </c>
      <c r="F3957" s="188" t="n">
        <v>2045</v>
      </c>
      <c r="G3957" s="189" t="n">
        <v>65</v>
      </c>
      <c r="H3957" s="190" t="n">
        <v>27278.6730335741</v>
      </c>
      <c r="I3957" s="191" t="n">
        <v>3416814.45520246</v>
      </c>
      <c r="J3957" s="192" t="str">
        <f>IF(I3957&gt;0,H3957/I3957,0)</f>
      </c>
      <c r="K3957" s="193" t="str">
        <f>1-EXP(-J3957)</f>
      </c>
      <c r="L3957" s="194" t="str">
        <f>IF(G3957=30,1,M3956)</f>
      </c>
      <c r="M3957" s="195" t="str">
        <f>L3957*(1-K3957)</f>
      </c>
    </row>
    <row r="3958">
      <c r="A3958" t="s">
        <v>167</v>
      </c>
      <c r="B3958" t="s">
        <v>262</v>
      </c>
      <c r="C3958" s="35" t="s">
        <v>264</v>
      </c>
      <c r="D3958" t="s">
        <v>502</v>
      </c>
      <c r="E3958" t="s">
        <v>520</v>
      </c>
      <c r="F3958" s="188" t="n">
        <v>2045</v>
      </c>
      <c r="G3958" s="189" t="n">
        <v>66</v>
      </c>
      <c r="H3958" s="190" t="n">
        <v>29016.0083055263</v>
      </c>
      <c r="I3958" s="191" t="n">
        <v>3312072.64860395</v>
      </c>
      <c r="J3958" s="192" t="str">
        <f>IF(I3958&gt;0,H3958/I3958,0)</f>
      </c>
      <c r="K3958" s="193" t="str">
        <f>1-EXP(-J3958)</f>
      </c>
      <c r="L3958" s="194" t="str">
        <f>IF(G3958=30,1,M3957)</f>
      </c>
      <c r="M3958" s="195" t="str">
        <f>L3958*(1-K3958)</f>
      </c>
    </row>
    <row r="3959">
      <c r="A3959" t="s">
        <v>167</v>
      </c>
      <c r="B3959" t="s">
        <v>262</v>
      </c>
      <c r="C3959" s="35" t="s">
        <v>264</v>
      </c>
      <c r="D3959" t="s">
        <v>502</v>
      </c>
      <c r="E3959" t="s">
        <v>520</v>
      </c>
      <c r="F3959" s="188" t="n">
        <v>2045</v>
      </c>
      <c r="G3959" s="189" t="n">
        <v>67</v>
      </c>
      <c r="H3959" s="190" t="n">
        <v>30682.2573482078</v>
      </c>
      <c r="I3959" s="191" t="n">
        <v>3188170.71479088</v>
      </c>
      <c r="J3959" s="192" t="str">
        <f>IF(I3959&gt;0,H3959/I3959,0)</f>
      </c>
      <c r="K3959" s="193" t="str">
        <f>1-EXP(-J3959)</f>
      </c>
      <c r="L3959" s="194" t="str">
        <f>IF(G3959=30,1,M3958)</f>
      </c>
      <c r="M3959" s="195" t="str">
        <f>L3959*(1-K3959)</f>
      </c>
    </row>
    <row r="3960">
      <c r="A3960" t="s">
        <v>167</v>
      </c>
      <c r="B3960" t="s">
        <v>262</v>
      </c>
      <c r="C3960" s="35" t="s">
        <v>264</v>
      </c>
      <c r="D3960" t="s">
        <v>502</v>
      </c>
      <c r="E3960" t="s">
        <v>520</v>
      </c>
      <c r="F3960" s="188" t="n">
        <v>2045</v>
      </c>
      <c r="G3960" s="189" t="n">
        <v>68</v>
      </c>
      <c r="H3960" s="190" t="n">
        <v>32564.7382369607</v>
      </c>
      <c r="I3960" s="191" t="n">
        <v>3075452.33356308</v>
      </c>
      <c r="J3960" s="192" t="str">
        <f>IF(I3960&gt;0,H3960/I3960,0)</f>
      </c>
      <c r="K3960" s="193" t="str">
        <f>1-EXP(-J3960)</f>
      </c>
      <c r="L3960" s="194" t="str">
        <f>IF(G3960=30,1,M3959)</f>
      </c>
      <c r="M3960" s="195" t="str">
        <f>L3960*(1-K3960)</f>
      </c>
    </row>
    <row r="3961">
      <c r="A3961" t="s">
        <v>167</v>
      </c>
      <c r="B3961" t="s">
        <v>262</v>
      </c>
      <c r="C3961" s="35" t="s">
        <v>264</v>
      </c>
      <c r="D3961" t="s">
        <v>502</v>
      </c>
      <c r="E3961" t="s">
        <v>520</v>
      </c>
      <c r="F3961" s="188" t="n">
        <v>2045</v>
      </c>
      <c r="G3961" s="189" t="n">
        <v>69</v>
      </c>
      <c r="H3961" s="190" t="n">
        <v>34381.3910588296</v>
      </c>
      <c r="I3961" s="191" t="n">
        <v>2951623.83528252</v>
      </c>
      <c r="J3961" s="192" t="str">
        <f>IF(I3961&gt;0,H3961/I3961,0)</f>
      </c>
      <c r="K3961" s="193" t="str">
        <f>1-EXP(-J3961)</f>
      </c>
      <c r="L3961" s="194" t="str">
        <f>IF(G3961=30,1,M3960)</f>
      </c>
      <c r="M3961" s="195" t="str">
        <f>L3961*(1-K3961)</f>
      </c>
    </row>
    <row r="3962">
      <c r="A3962" t="s">
        <v>167</v>
      </c>
      <c r="B3962" t="s">
        <v>262</v>
      </c>
      <c r="C3962" s="35" t="s">
        <v>264</v>
      </c>
      <c r="D3962" t="s">
        <v>502</v>
      </c>
      <c r="E3962" t="s">
        <v>520</v>
      </c>
      <c r="F3962" s="188" t="n">
        <v>2046</v>
      </c>
      <c r="G3962" s="189" t="n">
        <v>30</v>
      </c>
      <c r="H3962" s="190" t="n">
        <v>680.666808880939</v>
      </c>
      <c r="I3962" s="191" t="n">
        <v>4588357.81827158</v>
      </c>
      <c r="J3962" s="192" t="str">
        <f>IF(I3962&gt;0,H3962/I3962,0)</f>
      </c>
      <c r="K3962" s="193" t="str">
        <f>1-EXP(-J3962)</f>
      </c>
      <c r="L3962" s="194" t="str">
        <f>IF(G3962=30,1,M3961)</f>
      </c>
      <c r="M3962" s="195" t="str">
        <f>L3962*(1-K3962)</f>
      </c>
    </row>
    <row r="3963">
      <c r="A3963" t="s">
        <v>167</v>
      </c>
      <c r="B3963" t="s">
        <v>262</v>
      </c>
      <c r="C3963" s="35" t="s">
        <v>264</v>
      </c>
      <c r="D3963" t="s">
        <v>502</v>
      </c>
      <c r="E3963" t="s">
        <v>520</v>
      </c>
      <c r="F3963" s="188" t="n">
        <v>2046</v>
      </c>
      <c r="G3963" s="189" t="n">
        <v>31</v>
      </c>
      <c r="H3963" s="190" t="n">
        <v>961.153203538407</v>
      </c>
      <c r="I3963" s="191" t="n">
        <v>4637172.51851559</v>
      </c>
      <c r="J3963" s="192" t="str">
        <f>IF(I3963&gt;0,H3963/I3963,0)</f>
      </c>
      <c r="K3963" s="193" t="str">
        <f>1-EXP(-J3963)</f>
      </c>
      <c r="L3963" s="194" t="str">
        <f>IF(G3963=30,1,M3962)</f>
      </c>
      <c r="M3963" s="195" t="str">
        <f>L3963*(1-K3963)</f>
      </c>
    </row>
    <row r="3964">
      <c r="A3964" t="s">
        <v>167</v>
      </c>
      <c r="B3964" t="s">
        <v>262</v>
      </c>
      <c r="C3964" s="35" t="s">
        <v>264</v>
      </c>
      <c r="D3964" t="s">
        <v>502</v>
      </c>
      <c r="E3964" t="s">
        <v>520</v>
      </c>
      <c r="F3964" s="188" t="n">
        <v>2046</v>
      </c>
      <c r="G3964" s="189" t="n">
        <v>32</v>
      </c>
      <c r="H3964" s="190" t="n">
        <v>1027.59153515449</v>
      </c>
      <c r="I3964" s="191" t="n">
        <v>4703704.44207644</v>
      </c>
      <c r="J3964" s="192" t="str">
        <f>IF(I3964&gt;0,H3964/I3964,0)</f>
      </c>
      <c r="K3964" s="193" t="str">
        <f>1-EXP(-J3964)</f>
      </c>
      <c r="L3964" s="194" t="str">
        <f>IF(G3964=30,1,M3963)</f>
      </c>
      <c r="M3964" s="195" t="str">
        <f>L3964*(1-K3964)</f>
      </c>
    </row>
    <row r="3965">
      <c r="A3965" t="s">
        <v>167</v>
      </c>
      <c r="B3965" t="s">
        <v>262</v>
      </c>
      <c r="C3965" s="35" t="s">
        <v>264</v>
      </c>
      <c r="D3965" t="s">
        <v>502</v>
      </c>
      <c r="E3965" t="s">
        <v>520</v>
      </c>
      <c r="F3965" s="188" t="n">
        <v>2046</v>
      </c>
      <c r="G3965" s="189" t="n">
        <v>33</v>
      </c>
      <c r="H3965" s="190" t="n">
        <v>1104.66321353827</v>
      </c>
      <c r="I3965" s="191" t="n">
        <v>4771591.98872499</v>
      </c>
      <c r="J3965" s="192" t="str">
        <f>IF(I3965&gt;0,H3965/I3965,0)</f>
      </c>
      <c r="K3965" s="193" t="str">
        <f>1-EXP(-J3965)</f>
      </c>
      <c r="L3965" s="194" t="str">
        <f>IF(G3965=30,1,M3964)</f>
      </c>
      <c r="M3965" s="195" t="str">
        <f>L3965*(1-K3965)</f>
      </c>
    </row>
    <row r="3966">
      <c r="A3966" t="s">
        <v>167</v>
      </c>
      <c r="B3966" t="s">
        <v>262</v>
      </c>
      <c r="C3966" s="35" t="s">
        <v>264</v>
      </c>
      <c r="D3966" t="s">
        <v>502</v>
      </c>
      <c r="E3966" t="s">
        <v>520</v>
      </c>
      <c r="F3966" s="188" t="n">
        <v>2046</v>
      </c>
      <c r="G3966" s="189" t="n">
        <v>34</v>
      </c>
      <c r="H3966" s="190" t="n">
        <v>1248.87916079749</v>
      </c>
      <c r="I3966" s="191" t="n">
        <v>4883690.4952739</v>
      </c>
      <c r="J3966" s="192" t="str">
        <f>IF(I3966&gt;0,H3966/I3966,0)</f>
      </c>
      <c r="K3966" s="193" t="str">
        <f>1-EXP(-J3966)</f>
      </c>
      <c r="L3966" s="194" t="str">
        <f>IF(G3966=30,1,M3965)</f>
      </c>
      <c r="M3966" s="195" t="str">
        <f>L3966*(1-K3966)</f>
      </c>
    </row>
    <row r="3967">
      <c r="A3967" t="s">
        <v>167</v>
      </c>
      <c r="B3967" t="s">
        <v>262</v>
      </c>
      <c r="C3967" s="35" t="s">
        <v>264</v>
      </c>
      <c r="D3967" t="s">
        <v>502</v>
      </c>
      <c r="E3967" t="s">
        <v>520</v>
      </c>
      <c r="F3967" s="188" t="n">
        <v>2046</v>
      </c>
      <c r="G3967" s="189" t="n">
        <v>35</v>
      </c>
      <c r="H3967" s="190" t="n">
        <v>1623.1558148505</v>
      </c>
      <c r="I3967" s="191" t="n">
        <v>4854978.34646287</v>
      </c>
      <c r="J3967" s="192" t="str">
        <f>IF(I3967&gt;0,H3967/I3967,0)</f>
      </c>
      <c r="K3967" s="193" t="str">
        <f>1-EXP(-J3967)</f>
      </c>
      <c r="L3967" s="194" t="str">
        <f>IF(G3967=30,1,M3966)</f>
      </c>
      <c r="M3967" s="195" t="str">
        <f>L3967*(1-K3967)</f>
      </c>
    </row>
    <row r="3968">
      <c r="A3968" t="s">
        <v>167</v>
      </c>
      <c r="B3968" t="s">
        <v>262</v>
      </c>
      <c r="C3968" s="35" t="s">
        <v>264</v>
      </c>
      <c r="D3968" t="s">
        <v>502</v>
      </c>
      <c r="E3968" t="s">
        <v>520</v>
      </c>
      <c r="F3968" s="188" t="n">
        <v>2046</v>
      </c>
      <c r="G3968" s="189" t="n">
        <v>36</v>
      </c>
      <c r="H3968" s="190" t="n">
        <v>1850.42215591945</v>
      </c>
      <c r="I3968" s="191" t="n">
        <v>4720435.94480512</v>
      </c>
      <c r="J3968" s="192" t="str">
        <f>IF(I3968&gt;0,H3968/I3968,0)</f>
      </c>
      <c r="K3968" s="193" t="str">
        <f>1-EXP(-J3968)</f>
      </c>
      <c r="L3968" s="194" t="str">
        <f>IF(G3968=30,1,M3967)</f>
      </c>
      <c r="M3968" s="195" t="str">
        <f>L3968*(1-K3968)</f>
      </c>
    </row>
    <row r="3969">
      <c r="A3969" t="s">
        <v>167</v>
      </c>
      <c r="B3969" t="s">
        <v>262</v>
      </c>
      <c r="C3969" s="35" t="s">
        <v>264</v>
      </c>
      <c r="D3969" t="s">
        <v>502</v>
      </c>
      <c r="E3969" t="s">
        <v>520</v>
      </c>
      <c r="F3969" s="188" t="n">
        <v>2046</v>
      </c>
      <c r="G3969" s="189" t="n">
        <v>37</v>
      </c>
      <c r="H3969" s="190" t="n">
        <v>1958.95022218895</v>
      </c>
      <c r="I3969" s="191" t="n">
        <v>4648560.07160357</v>
      </c>
      <c r="J3969" s="192" t="str">
        <f>IF(I3969&gt;0,H3969/I3969,0)</f>
      </c>
      <c r="K3969" s="193" t="str">
        <f>1-EXP(-J3969)</f>
      </c>
      <c r="L3969" s="194" t="str">
        <f>IF(G3969=30,1,M3968)</f>
      </c>
      <c r="M3969" s="195" t="str">
        <f>L3969*(1-K3969)</f>
      </c>
    </row>
    <row r="3970">
      <c r="A3970" t="s">
        <v>167</v>
      </c>
      <c r="B3970" t="s">
        <v>262</v>
      </c>
      <c r="C3970" s="35" t="s">
        <v>264</v>
      </c>
      <c r="D3970" t="s">
        <v>502</v>
      </c>
      <c r="E3970" t="s">
        <v>520</v>
      </c>
      <c r="F3970" s="188" t="n">
        <v>2046</v>
      </c>
      <c r="G3970" s="189" t="n">
        <v>38</v>
      </c>
      <c r="H3970" s="190" t="n">
        <v>2093.46579411081</v>
      </c>
      <c r="I3970" s="191" t="n">
        <v>4604299.36675881</v>
      </c>
      <c r="J3970" s="192" t="str">
        <f>IF(I3970&gt;0,H3970/I3970,0)</f>
      </c>
      <c r="K3970" s="193" t="str">
        <f>1-EXP(-J3970)</f>
      </c>
      <c r="L3970" s="194" t="str">
        <f>IF(G3970=30,1,M3969)</f>
      </c>
      <c r="M3970" s="195" t="str">
        <f>L3970*(1-K3970)</f>
      </c>
    </row>
    <row r="3971">
      <c r="A3971" t="s">
        <v>167</v>
      </c>
      <c r="B3971" t="s">
        <v>262</v>
      </c>
      <c r="C3971" s="35" t="s">
        <v>264</v>
      </c>
      <c r="D3971" t="s">
        <v>502</v>
      </c>
      <c r="E3971" t="s">
        <v>520</v>
      </c>
      <c r="F3971" s="188" t="n">
        <v>2046</v>
      </c>
      <c r="G3971" s="189" t="n">
        <v>39</v>
      </c>
      <c r="H3971" s="190" t="n">
        <v>2337.16089695475</v>
      </c>
      <c r="I3971" s="191" t="n">
        <v>4627383.32526441</v>
      </c>
      <c r="J3971" s="192" t="str">
        <f>IF(I3971&gt;0,H3971/I3971,0)</f>
      </c>
      <c r="K3971" s="193" t="str">
        <f>1-EXP(-J3971)</f>
      </c>
      <c r="L3971" s="194" t="str">
        <f>IF(G3971=30,1,M3970)</f>
      </c>
      <c r="M3971" s="195" t="str">
        <f>L3971*(1-K3971)</f>
      </c>
    </row>
    <row r="3972">
      <c r="A3972" t="s">
        <v>167</v>
      </c>
      <c r="B3972" t="s">
        <v>262</v>
      </c>
      <c r="C3972" s="35" t="s">
        <v>264</v>
      </c>
      <c r="D3972" t="s">
        <v>502</v>
      </c>
      <c r="E3972" t="s">
        <v>520</v>
      </c>
      <c r="F3972" s="188" t="n">
        <v>2046</v>
      </c>
      <c r="G3972" s="189" t="n">
        <v>40</v>
      </c>
      <c r="H3972" s="190" t="n">
        <v>3080.81815634945</v>
      </c>
      <c r="I3972" s="191" t="n">
        <v>4542258.03778849</v>
      </c>
      <c r="J3972" s="192" t="str">
        <f>IF(I3972&gt;0,H3972/I3972,0)</f>
      </c>
      <c r="K3972" s="193" t="str">
        <f>1-EXP(-J3972)</f>
      </c>
      <c r="L3972" s="194" t="str">
        <f>IF(G3972=30,1,M3971)</f>
      </c>
      <c r="M3972" s="195" t="str">
        <f>L3972*(1-K3972)</f>
      </c>
    </row>
    <row r="3973">
      <c r="A3973" t="s">
        <v>167</v>
      </c>
      <c r="B3973" t="s">
        <v>262</v>
      </c>
      <c r="C3973" s="35" t="s">
        <v>264</v>
      </c>
      <c r="D3973" t="s">
        <v>502</v>
      </c>
      <c r="E3973" t="s">
        <v>520</v>
      </c>
      <c r="F3973" s="188" t="n">
        <v>2046</v>
      </c>
      <c r="G3973" s="189" t="n">
        <v>41</v>
      </c>
      <c r="H3973" s="190" t="n">
        <v>3412.77040882593</v>
      </c>
      <c r="I3973" s="191" t="n">
        <v>4477763.83636122</v>
      </c>
      <c r="J3973" s="192" t="str">
        <f>IF(I3973&gt;0,H3973/I3973,0)</f>
      </c>
      <c r="K3973" s="193" t="str">
        <f>1-EXP(-J3973)</f>
      </c>
      <c r="L3973" s="194" t="str">
        <f>IF(G3973=30,1,M3972)</f>
      </c>
      <c r="M3973" s="195" t="str">
        <f>L3973*(1-K3973)</f>
      </c>
    </row>
    <row r="3974">
      <c r="A3974" t="s">
        <v>167</v>
      </c>
      <c r="B3974" t="s">
        <v>262</v>
      </c>
      <c r="C3974" s="35" t="s">
        <v>264</v>
      </c>
      <c r="D3974" t="s">
        <v>502</v>
      </c>
      <c r="E3974" t="s">
        <v>520</v>
      </c>
      <c r="F3974" s="188" t="n">
        <v>2046</v>
      </c>
      <c r="G3974" s="189" t="n">
        <v>42</v>
      </c>
      <c r="H3974" s="190" t="n">
        <v>3596.14937395479</v>
      </c>
      <c r="I3974" s="191" t="n">
        <v>4346702.38018287</v>
      </c>
      <c r="J3974" s="192" t="str">
        <f>IF(I3974&gt;0,H3974/I3974,0)</f>
      </c>
      <c r="K3974" s="193" t="str">
        <f>1-EXP(-J3974)</f>
      </c>
      <c r="L3974" s="194" t="str">
        <f>IF(G3974=30,1,M3973)</f>
      </c>
      <c r="M3974" s="195" t="str">
        <f>L3974*(1-K3974)</f>
      </c>
    </row>
    <row r="3975">
      <c r="A3975" t="s">
        <v>167</v>
      </c>
      <c r="B3975" t="s">
        <v>262</v>
      </c>
      <c r="C3975" s="35" t="s">
        <v>264</v>
      </c>
      <c r="D3975" t="s">
        <v>502</v>
      </c>
      <c r="E3975" t="s">
        <v>520</v>
      </c>
      <c r="F3975" s="188" t="n">
        <v>2046</v>
      </c>
      <c r="G3975" s="189" t="n">
        <v>43</v>
      </c>
      <c r="H3975" s="190" t="n">
        <v>3850.07541791689</v>
      </c>
      <c r="I3975" s="191" t="n">
        <v>4277371.6232998</v>
      </c>
      <c r="J3975" s="192" t="str">
        <f>IF(I3975&gt;0,H3975/I3975,0)</f>
      </c>
      <c r="K3975" s="193" t="str">
        <f>1-EXP(-J3975)</f>
      </c>
      <c r="L3975" s="194" t="str">
        <f>IF(G3975=30,1,M3974)</f>
      </c>
      <c r="M3975" s="195" t="str">
        <f>L3975*(1-K3975)</f>
      </c>
    </row>
    <row r="3976">
      <c r="A3976" t="s">
        <v>167</v>
      </c>
      <c r="B3976" t="s">
        <v>262</v>
      </c>
      <c r="C3976" s="35" t="s">
        <v>264</v>
      </c>
      <c r="D3976" t="s">
        <v>502</v>
      </c>
      <c r="E3976" t="s">
        <v>520</v>
      </c>
      <c r="F3976" s="188" t="n">
        <v>2046</v>
      </c>
      <c r="G3976" s="189" t="n">
        <v>44</v>
      </c>
      <c r="H3976" s="190" t="n">
        <v>4329.84993738263</v>
      </c>
      <c r="I3976" s="191" t="n">
        <v>4248772.23983487</v>
      </c>
      <c r="J3976" s="192" t="str">
        <f>IF(I3976&gt;0,H3976/I3976,0)</f>
      </c>
      <c r="K3976" s="193" t="str">
        <f>1-EXP(-J3976)</f>
      </c>
      <c r="L3976" s="194" t="str">
        <f>IF(G3976=30,1,M3975)</f>
      </c>
      <c r="M3976" s="195" t="str">
        <f>L3976*(1-K3976)</f>
      </c>
    </row>
    <row r="3977">
      <c r="A3977" t="s">
        <v>167</v>
      </c>
      <c r="B3977" t="s">
        <v>262</v>
      </c>
      <c r="C3977" s="35" t="s">
        <v>264</v>
      </c>
      <c r="D3977" t="s">
        <v>502</v>
      </c>
      <c r="E3977" t="s">
        <v>520</v>
      </c>
      <c r="F3977" s="188" t="n">
        <v>2046</v>
      </c>
      <c r="G3977" s="189" t="n">
        <v>45</v>
      </c>
      <c r="H3977" s="190" t="n">
        <v>5518.30036628248</v>
      </c>
      <c r="I3977" s="191" t="n">
        <v>4222576.76281848</v>
      </c>
      <c r="J3977" s="192" t="str">
        <f>IF(I3977&gt;0,H3977/I3977,0)</f>
      </c>
      <c r="K3977" s="193" t="str">
        <f>1-EXP(-J3977)</f>
      </c>
      <c r="L3977" s="194" t="str">
        <f>IF(G3977=30,1,M3976)</f>
      </c>
      <c r="M3977" s="195" t="str">
        <f>L3977*(1-K3977)</f>
      </c>
    </row>
    <row r="3978">
      <c r="A3978" t="s">
        <v>167</v>
      </c>
      <c r="B3978" t="s">
        <v>262</v>
      </c>
      <c r="C3978" s="35" t="s">
        <v>264</v>
      </c>
      <c r="D3978" t="s">
        <v>502</v>
      </c>
      <c r="E3978" t="s">
        <v>520</v>
      </c>
      <c r="F3978" s="188" t="n">
        <v>2046</v>
      </c>
      <c r="G3978" s="189" t="n">
        <v>46</v>
      </c>
      <c r="H3978" s="190" t="n">
        <v>6060.75773681108</v>
      </c>
      <c r="I3978" s="191" t="n">
        <v>4194478.74278088</v>
      </c>
      <c r="J3978" s="192" t="str">
        <f>IF(I3978&gt;0,H3978/I3978,0)</f>
      </c>
      <c r="K3978" s="193" t="str">
        <f>1-EXP(-J3978)</f>
      </c>
      <c r="L3978" s="194" t="str">
        <f>IF(G3978=30,1,M3977)</f>
      </c>
      <c r="M3978" s="195" t="str">
        <f>L3978*(1-K3978)</f>
      </c>
    </row>
    <row r="3979">
      <c r="A3979" t="s">
        <v>167</v>
      </c>
      <c r="B3979" t="s">
        <v>262</v>
      </c>
      <c r="C3979" s="35" t="s">
        <v>264</v>
      </c>
      <c r="D3979" t="s">
        <v>502</v>
      </c>
      <c r="E3979" t="s">
        <v>520</v>
      </c>
      <c r="F3979" s="188" t="n">
        <v>2046</v>
      </c>
      <c r="G3979" s="189" t="n">
        <v>47</v>
      </c>
      <c r="H3979" s="190" t="n">
        <v>6658.17551092859</v>
      </c>
      <c r="I3979" s="191" t="n">
        <v>4204842.26711475</v>
      </c>
      <c r="J3979" s="192" t="str">
        <f>IF(I3979&gt;0,H3979/I3979,0)</f>
      </c>
      <c r="K3979" s="193" t="str">
        <f>1-EXP(-J3979)</f>
      </c>
      <c r="L3979" s="194" t="str">
        <f>IF(G3979=30,1,M3978)</f>
      </c>
      <c r="M3979" s="195" t="str">
        <f>L3979*(1-K3979)</f>
      </c>
    </row>
    <row r="3980">
      <c r="A3980" t="s">
        <v>167</v>
      </c>
      <c r="B3980" t="s">
        <v>262</v>
      </c>
      <c r="C3980" s="35" t="s">
        <v>264</v>
      </c>
      <c r="D3980" t="s">
        <v>502</v>
      </c>
      <c r="E3980" t="s">
        <v>520</v>
      </c>
      <c r="F3980" s="188" t="n">
        <v>2046</v>
      </c>
      <c r="G3980" s="189" t="n">
        <v>48</v>
      </c>
      <c r="H3980" s="190" t="n">
        <v>7390.47299068958</v>
      </c>
      <c r="I3980" s="191" t="n">
        <v>4251999.29936959</v>
      </c>
      <c r="J3980" s="192" t="str">
        <f>IF(I3980&gt;0,H3980/I3980,0)</f>
      </c>
      <c r="K3980" s="193" t="str">
        <f>1-EXP(-J3980)</f>
      </c>
      <c r="L3980" s="194" t="str">
        <f>IF(G3980=30,1,M3979)</f>
      </c>
      <c r="M3980" s="195" t="str">
        <f>L3980*(1-K3980)</f>
      </c>
    </row>
    <row r="3981">
      <c r="A3981" t="s">
        <v>167</v>
      </c>
      <c r="B3981" t="s">
        <v>262</v>
      </c>
      <c r="C3981" s="35" t="s">
        <v>264</v>
      </c>
      <c r="D3981" t="s">
        <v>502</v>
      </c>
      <c r="E3981" t="s">
        <v>520</v>
      </c>
      <c r="F3981" s="188" t="n">
        <v>2046</v>
      </c>
      <c r="G3981" s="189" t="n">
        <v>49</v>
      </c>
      <c r="H3981" s="190" t="n">
        <v>8542.13151352574</v>
      </c>
      <c r="I3981" s="191" t="n">
        <v>4371276.75909041</v>
      </c>
      <c r="J3981" s="192" t="str">
        <f>IF(I3981&gt;0,H3981/I3981,0)</f>
      </c>
      <c r="K3981" s="193" t="str">
        <f>1-EXP(-J3981)</f>
      </c>
      <c r="L3981" s="194" t="str">
        <f>IF(G3981=30,1,M3980)</f>
      </c>
      <c r="M3981" s="195" t="str">
        <f>L3981*(1-K3981)</f>
      </c>
    </row>
    <row r="3982">
      <c r="A3982" t="s">
        <v>167</v>
      </c>
      <c r="B3982" t="s">
        <v>262</v>
      </c>
      <c r="C3982" s="35" t="s">
        <v>264</v>
      </c>
      <c r="D3982" t="s">
        <v>502</v>
      </c>
      <c r="E3982" t="s">
        <v>520</v>
      </c>
      <c r="F3982" s="188" t="n">
        <v>2046</v>
      </c>
      <c r="G3982" s="189" t="n">
        <v>50</v>
      </c>
      <c r="H3982" s="190" t="n">
        <v>9629.73555252996</v>
      </c>
      <c r="I3982" s="191" t="n">
        <v>4315914.53428797</v>
      </c>
      <c r="J3982" s="192" t="str">
        <f>IF(I3982&gt;0,H3982/I3982,0)</f>
      </c>
      <c r="K3982" s="193" t="str">
        <f>1-EXP(-J3982)</f>
      </c>
      <c r="L3982" s="194" t="str">
        <f>IF(G3982=30,1,M3981)</f>
      </c>
      <c r="M3982" s="195" t="str">
        <f>L3982*(1-K3982)</f>
      </c>
    </row>
    <row r="3983">
      <c r="A3983" t="s">
        <v>167</v>
      </c>
      <c r="B3983" t="s">
        <v>262</v>
      </c>
      <c r="C3983" s="35" t="s">
        <v>264</v>
      </c>
      <c r="D3983" t="s">
        <v>502</v>
      </c>
      <c r="E3983" t="s">
        <v>520</v>
      </c>
      <c r="F3983" s="188" t="n">
        <v>2046</v>
      </c>
      <c r="G3983" s="189" t="n">
        <v>51</v>
      </c>
      <c r="H3983" s="190" t="n">
        <v>10323.4751025321</v>
      </c>
      <c r="I3983" s="191" t="n">
        <v>4229784.28825476</v>
      </c>
      <c r="J3983" s="192" t="str">
        <f>IF(I3983&gt;0,H3983/I3983,0)</f>
      </c>
      <c r="K3983" s="193" t="str">
        <f>1-EXP(-J3983)</f>
      </c>
      <c r="L3983" s="194" t="str">
        <f>IF(G3983=30,1,M3982)</f>
      </c>
      <c r="M3983" s="195" t="str">
        <f>L3983*(1-K3983)</f>
      </c>
    </row>
    <row r="3984">
      <c r="A3984" t="s">
        <v>167</v>
      </c>
      <c r="B3984" t="s">
        <v>262</v>
      </c>
      <c r="C3984" s="35" t="s">
        <v>264</v>
      </c>
      <c r="D3984" t="s">
        <v>502</v>
      </c>
      <c r="E3984" t="s">
        <v>520</v>
      </c>
      <c r="F3984" s="188" t="n">
        <v>2046</v>
      </c>
      <c r="G3984" s="189" t="n">
        <v>52</v>
      </c>
      <c r="H3984" s="190" t="n">
        <v>11096.7143848434</v>
      </c>
      <c r="I3984" s="191" t="n">
        <v>4158103.48659856</v>
      </c>
      <c r="J3984" s="192" t="str">
        <f>IF(I3984&gt;0,H3984/I3984,0)</f>
      </c>
      <c r="K3984" s="193" t="str">
        <f>1-EXP(-J3984)</f>
      </c>
      <c r="L3984" s="194" t="str">
        <f>IF(G3984=30,1,M3983)</f>
      </c>
      <c r="M3984" s="195" t="str">
        <f>L3984*(1-K3984)</f>
      </c>
    </row>
    <row r="3985">
      <c r="A3985" t="s">
        <v>167</v>
      </c>
      <c r="B3985" t="s">
        <v>262</v>
      </c>
      <c r="C3985" s="35" t="s">
        <v>264</v>
      </c>
      <c r="D3985" t="s">
        <v>502</v>
      </c>
      <c r="E3985" t="s">
        <v>520</v>
      </c>
      <c r="F3985" s="188" t="n">
        <v>2046</v>
      </c>
      <c r="G3985" s="189" t="n">
        <v>53</v>
      </c>
      <c r="H3985" s="190" t="n">
        <v>11906.42783988</v>
      </c>
      <c r="I3985" s="191" t="n">
        <v>4088562.71058561</v>
      </c>
      <c r="J3985" s="192" t="str">
        <f>IF(I3985&gt;0,H3985/I3985,0)</f>
      </c>
      <c r="K3985" s="193" t="str">
        <f>1-EXP(-J3985)</f>
      </c>
      <c r="L3985" s="194" t="str">
        <f>IF(G3985=30,1,M3984)</f>
      </c>
      <c r="M3985" s="195" t="str">
        <f>L3985*(1-K3985)</f>
      </c>
    </row>
    <row r="3986">
      <c r="A3986" t="s">
        <v>167</v>
      </c>
      <c r="B3986" t="s">
        <v>262</v>
      </c>
      <c r="C3986" s="35" t="s">
        <v>264</v>
      </c>
      <c r="D3986" t="s">
        <v>502</v>
      </c>
      <c r="E3986" t="s">
        <v>520</v>
      </c>
      <c r="F3986" s="188" t="n">
        <v>2046</v>
      </c>
      <c r="G3986" s="189" t="n">
        <v>54</v>
      </c>
      <c r="H3986" s="190" t="n">
        <v>12997.9551996639</v>
      </c>
      <c r="I3986" s="191" t="n">
        <v>4103986.04614766</v>
      </c>
      <c r="J3986" s="192" t="str">
        <f>IF(I3986&gt;0,H3986/I3986,0)</f>
      </c>
      <c r="K3986" s="193" t="str">
        <f>1-EXP(-J3986)</f>
      </c>
      <c r="L3986" s="194" t="str">
        <f>IF(G3986=30,1,M3985)</f>
      </c>
      <c r="M3986" s="195" t="str">
        <f>L3986*(1-K3986)</f>
      </c>
    </row>
    <row r="3987">
      <c r="A3987" t="s">
        <v>167</v>
      </c>
      <c r="B3987" t="s">
        <v>262</v>
      </c>
      <c r="C3987" s="35" t="s">
        <v>264</v>
      </c>
      <c r="D3987" t="s">
        <v>502</v>
      </c>
      <c r="E3987" t="s">
        <v>520</v>
      </c>
      <c r="F3987" s="188" t="n">
        <v>2046</v>
      </c>
      <c r="G3987" s="189" t="n">
        <v>55</v>
      </c>
      <c r="H3987" s="190" t="n">
        <v>13895.8637315432</v>
      </c>
      <c r="I3987" s="191" t="n">
        <v>4098490.7287856</v>
      </c>
      <c r="J3987" s="192" t="str">
        <f>IF(I3987&gt;0,H3987/I3987,0)</f>
      </c>
      <c r="K3987" s="193" t="str">
        <f>1-EXP(-J3987)</f>
      </c>
      <c r="L3987" s="194" t="str">
        <f>IF(G3987=30,1,M3986)</f>
      </c>
      <c r="M3987" s="195" t="str">
        <f>L3987*(1-K3987)</f>
      </c>
    </row>
    <row r="3988">
      <c r="A3988" t="s">
        <v>167</v>
      </c>
      <c r="B3988" t="s">
        <v>262</v>
      </c>
      <c r="C3988" s="35" t="s">
        <v>264</v>
      </c>
      <c r="D3988" t="s">
        <v>502</v>
      </c>
      <c r="E3988" t="s">
        <v>520</v>
      </c>
      <c r="F3988" s="188" t="n">
        <v>2046</v>
      </c>
      <c r="G3988" s="189" t="n">
        <v>56</v>
      </c>
      <c r="H3988" s="190" t="n">
        <v>20203.7268998906</v>
      </c>
      <c r="I3988" s="191" t="n">
        <v>6025752.5939356</v>
      </c>
      <c r="J3988" s="192" t="str">
        <f>IF(I3988&gt;0,H3988/I3988,0)</f>
      </c>
      <c r="K3988" s="193" t="str">
        <f>1-EXP(-J3988)</f>
      </c>
      <c r="L3988" s="194" t="str">
        <f>IF(G3988=30,1,M3987)</f>
      </c>
      <c r="M3988" s="195" t="str">
        <f>L3988*(1-K3988)</f>
      </c>
    </row>
    <row r="3989">
      <c r="A3989" t="s">
        <v>167</v>
      </c>
      <c r="B3989" t="s">
        <v>262</v>
      </c>
      <c r="C3989" s="35" t="s">
        <v>264</v>
      </c>
      <c r="D3989" t="s">
        <v>502</v>
      </c>
      <c r="E3989" t="s">
        <v>520</v>
      </c>
      <c r="F3989" s="188" t="n">
        <v>2046</v>
      </c>
      <c r="G3989" s="189" t="n">
        <v>57</v>
      </c>
      <c r="H3989" s="190" t="n">
        <v>16108.8909794802</v>
      </c>
      <c r="I3989" s="191" t="n">
        <v>4009020.59628792</v>
      </c>
      <c r="J3989" s="192" t="str">
        <f>IF(I3989&gt;0,H3989/I3989,0)</f>
      </c>
      <c r="K3989" s="193" t="str">
        <f>1-EXP(-J3989)</f>
      </c>
      <c r="L3989" s="194" t="str">
        <f>IF(G3989=30,1,M3988)</f>
      </c>
      <c r="M3989" s="195" t="str">
        <f>L3989*(1-K3989)</f>
      </c>
    </row>
    <row r="3990">
      <c r="A3990" t="s">
        <v>167</v>
      </c>
      <c r="B3990" t="s">
        <v>262</v>
      </c>
      <c r="C3990" s="35" t="s">
        <v>264</v>
      </c>
      <c r="D3990" t="s">
        <v>502</v>
      </c>
      <c r="E3990" t="s">
        <v>520</v>
      </c>
      <c r="F3990" s="188" t="n">
        <v>2046</v>
      </c>
      <c r="G3990" s="189" t="n">
        <v>58</v>
      </c>
      <c r="H3990" s="190" t="n">
        <v>17405.3817202835</v>
      </c>
      <c r="I3990" s="191" t="n">
        <v>3964953.95513946</v>
      </c>
      <c r="J3990" s="192" t="str">
        <f>IF(I3990&gt;0,H3990/I3990,0)</f>
      </c>
      <c r="K3990" s="193" t="str">
        <f>1-EXP(-J3990)</f>
      </c>
      <c r="L3990" s="194" t="str">
        <f>IF(G3990=30,1,M3989)</f>
      </c>
      <c r="M3990" s="195" t="str">
        <f>L3990*(1-K3990)</f>
      </c>
    </row>
    <row r="3991">
      <c r="A3991" t="s">
        <v>167</v>
      </c>
      <c r="B3991" t="s">
        <v>262</v>
      </c>
      <c r="C3991" s="35" t="s">
        <v>264</v>
      </c>
      <c r="D3991" t="s">
        <v>502</v>
      </c>
      <c r="E3991" t="s">
        <v>520</v>
      </c>
      <c r="F3991" s="188" t="n">
        <v>2046</v>
      </c>
      <c r="G3991" s="189" t="n">
        <v>59</v>
      </c>
      <c r="H3991" s="190" t="n">
        <v>18327.8792310852</v>
      </c>
      <c r="I3991" s="191" t="n">
        <v>3813212.17773649</v>
      </c>
      <c r="J3991" s="192" t="str">
        <f>IF(I3991&gt;0,H3991/I3991,0)</f>
      </c>
      <c r="K3991" s="193" t="str">
        <f>1-EXP(-J3991)</f>
      </c>
      <c r="L3991" s="194" t="str">
        <f>IF(G3991=30,1,M3990)</f>
      </c>
      <c r="M3991" s="195" t="str">
        <f>L3991*(1-K3991)</f>
      </c>
    </row>
    <row r="3992">
      <c r="A3992" t="s">
        <v>167</v>
      </c>
      <c r="B3992" t="s">
        <v>262</v>
      </c>
      <c r="C3992" s="35" t="s">
        <v>264</v>
      </c>
      <c r="D3992" t="s">
        <v>502</v>
      </c>
      <c r="E3992" t="s">
        <v>520</v>
      </c>
      <c r="F3992" s="188" t="n">
        <v>2046</v>
      </c>
      <c r="G3992" s="189" t="n">
        <v>60</v>
      </c>
      <c r="H3992" s="190" t="n">
        <v>19473.1056952592</v>
      </c>
      <c r="I3992" s="191" t="n">
        <v>3749101.58705545</v>
      </c>
      <c r="J3992" s="192" t="str">
        <f>IF(I3992&gt;0,H3992/I3992,0)</f>
      </c>
      <c r="K3992" s="193" t="str">
        <f>1-EXP(-J3992)</f>
      </c>
      <c r="L3992" s="194" t="str">
        <f>IF(G3992=30,1,M3991)</f>
      </c>
      <c r="M3992" s="195" t="str">
        <f>L3992*(1-K3992)</f>
      </c>
    </row>
    <row r="3993">
      <c r="A3993" t="s">
        <v>167</v>
      </c>
      <c r="B3993" t="s">
        <v>262</v>
      </c>
      <c r="C3993" s="35" t="s">
        <v>264</v>
      </c>
      <c r="D3993" t="s">
        <v>502</v>
      </c>
      <c r="E3993" t="s">
        <v>520</v>
      </c>
      <c r="F3993" s="188" t="n">
        <v>2046</v>
      </c>
      <c r="G3993" s="189" t="n">
        <v>61</v>
      </c>
      <c r="H3993" s="190" t="n">
        <v>21473.8109073099</v>
      </c>
      <c r="I3993" s="191" t="n">
        <v>3766195.88354073</v>
      </c>
      <c r="J3993" s="192" t="str">
        <f>IF(I3993&gt;0,H3993/I3993,0)</f>
      </c>
      <c r="K3993" s="193" t="str">
        <f>1-EXP(-J3993)</f>
      </c>
      <c r="L3993" s="194" t="str">
        <f>IF(G3993=30,1,M3992)</f>
      </c>
      <c r="M3993" s="195" t="str">
        <f>L3993*(1-K3993)</f>
      </c>
    </row>
    <row r="3994">
      <c r="A3994" t="s">
        <v>167</v>
      </c>
      <c r="B3994" t="s">
        <v>262</v>
      </c>
      <c r="C3994" s="35" t="s">
        <v>264</v>
      </c>
      <c r="D3994" t="s">
        <v>502</v>
      </c>
      <c r="E3994" t="s">
        <v>520</v>
      </c>
      <c r="F3994" s="188" t="n">
        <v>2046</v>
      </c>
      <c r="G3994" s="189" t="n">
        <v>62</v>
      </c>
      <c r="H3994" s="190" t="n">
        <v>23795.1100440851</v>
      </c>
      <c r="I3994" s="191" t="n">
        <v>3801293.28291059</v>
      </c>
      <c r="J3994" s="192" t="str">
        <f>IF(I3994&gt;0,H3994/I3994,0)</f>
      </c>
      <c r="K3994" s="193" t="str">
        <f>1-EXP(-J3994)</f>
      </c>
      <c r="L3994" s="194" t="str">
        <f>IF(G3994=30,1,M3993)</f>
      </c>
      <c r="M3994" s="195" t="str">
        <f>L3994*(1-K3994)</f>
      </c>
    </row>
    <row r="3995">
      <c r="A3995" t="s">
        <v>167</v>
      </c>
      <c r="B3995" t="s">
        <v>262</v>
      </c>
      <c r="C3995" s="35" t="s">
        <v>264</v>
      </c>
      <c r="D3995" t="s">
        <v>502</v>
      </c>
      <c r="E3995" t="s">
        <v>520</v>
      </c>
      <c r="F3995" s="188" t="n">
        <v>2046</v>
      </c>
      <c r="G3995" s="189" t="n">
        <v>63</v>
      </c>
      <c r="H3995" s="190" t="n">
        <v>25673.9943505217</v>
      </c>
      <c r="I3995" s="191" t="n">
        <v>3736000.25705218</v>
      </c>
      <c r="J3995" s="192" t="str">
        <f>IF(I3995&gt;0,H3995/I3995,0)</f>
      </c>
      <c r="K3995" s="193" t="str">
        <f>1-EXP(-J3995)</f>
      </c>
      <c r="L3995" s="194" t="str">
        <f>IF(G3995=30,1,M3994)</f>
      </c>
      <c r="M3995" s="195" t="str">
        <f>L3995*(1-K3995)</f>
      </c>
    </row>
    <row r="3996">
      <c r="A3996" t="s">
        <v>167</v>
      </c>
      <c r="B3996" t="s">
        <v>262</v>
      </c>
      <c r="C3996" s="35" t="s">
        <v>264</v>
      </c>
      <c r="D3996" t="s">
        <v>502</v>
      </c>
      <c r="E3996" t="s">
        <v>520</v>
      </c>
      <c r="F3996" s="188" t="n">
        <v>2046</v>
      </c>
      <c r="G3996" s="189" t="n">
        <v>64</v>
      </c>
      <c r="H3996" s="190" t="n">
        <v>26950.3341392373</v>
      </c>
      <c r="I3996" s="191" t="n">
        <v>3570031.16718994</v>
      </c>
      <c r="J3996" s="192" t="str">
        <f>IF(I3996&gt;0,H3996/I3996,0)</f>
      </c>
      <c r="K3996" s="193" t="str">
        <f>1-EXP(-J3996)</f>
      </c>
      <c r="L3996" s="194" t="str">
        <f>IF(G3996=30,1,M3995)</f>
      </c>
      <c r="M3996" s="195" t="str">
        <f>L3996*(1-K3996)</f>
      </c>
    </row>
    <row r="3997">
      <c r="A3997" t="s">
        <v>167</v>
      </c>
      <c r="B3997" t="s">
        <v>262</v>
      </c>
      <c r="C3997" s="35" t="s">
        <v>264</v>
      </c>
      <c r="D3997" t="s">
        <v>502</v>
      </c>
      <c r="E3997" t="s">
        <v>520</v>
      </c>
      <c r="F3997" s="188" t="n">
        <v>2046</v>
      </c>
      <c r="G3997" s="189" t="n">
        <v>65</v>
      </c>
      <c r="H3997" s="190" t="n">
        <v>27271.448726016</v>
      </c>
      <c r="I3997" s="191" t="n">
        <v>3456799.81270509</v>
      </c>
      <c r="J3997" s="192" t="str">
        <f>IF(I3997&gt;0,H3997/I3997,0)</f>
      </c>
      <c r="K3997" s="193" t="str">
        <f>1-EXP(-J3997)</f>
      </c>
      <c r="L3997" s="194" t="str">
        <f>IF(G3997=30,1,M3996)</f>
      </c>
      <c r="M3997" s="195" t="str">
        <f>L3997*(1-K3997)</f>
      </c>
    </row>
    <row r="3998">
      <c r="A3998" t="s">
        <v>167</v>
      </c>
      <c r="B3998" t="s">
        <v>262</v>
      </c>
      <c r="C3998" s="35" t="s">
        <v>264</v>
      </c>
      <c r="D3998" t="s">
        <v>502</v>
      </c>
      <c r="E3998" t="s">
        <v>520</v>
      </c>
      <c r="F3998" s="188" t="n">
        <v>2046</v>
      </c>
      <c r="G3998" s="189" t="n">
        <v>66</v>
      </c>
      <c r="H3998" s="190" t="n">
        <v>29050.1079218291</v>
      </c>
      <c r="I3998" s="191" t="n">
        <v>3355325.25722568</v>
      </c>
      <c r="J3998" s="192" t="str">
        <f>IF(I3998&gt;0,H3998/I3998,0)</f>
      </c>
      <c r="K3998" s="193" t="str">
        <f>1-EXP(-J3998)</f>
      </c>
      <c r="L3998" s="194" t="str">
        <f>IF(G3998=30,1,M3997)</f>
      </c>
      <c r="M3998" s="195" t="str">
        <f>L3998*(1-K3998)</f>
      </c>
    </row>
    <row r="3999">
      <c r="A3999" t="s">
        <v>167</v>
      </c>
      <c r="B3999" t="s">
        <v>262</v>
      </c>
      <c r="C3999" s="35" t="s">
        <v>264</v>
      </c>
      <c r="D3999" t="s">
        <v>502</v>
      </c>
      <c r="E3999" t="s">
        <v>520</v>
      </c>
      <c r="F3999" s="188" t="n">
        <v>2046</v>
      </c>
      <c r="G3999" s="189" t="n">
        <v>67</v>
      </c>
      <c r="H3999" s="190" t="n">
        <v>30875.7042136408</v>
      </c>
      <c r="I3999" s="191" t="n">
        <v>3246016.8946521</v>
      </c>
      <c r="J3999" s="192" t="str">
        <f>IF(I3999&gt;0,H3999/I3999,0)</f>
      </c>
      <c r="K3999" s="193" t="str">
        <f>1-EXP(-J3999)</f>
      </c>
      <c r="L3999" s="194" t="str">
        <f>IF(G3999=30,1,M3998)</f>
      </c>
      <c r="M3999" s="195" t="str">
        <f>L3999*(1-K3999)</f>
      </c>
    </row>
    <row r="4000">
      <c r="A4000" t="s">
        <v>167</v>
      </c>
      <c r="B4000" t="s">
        <v>262</v>
      </c>
      <c r="C4000" s="35" t="s">
        <v>264</v>
      </c>
      <c r="D4000" t="s">
        <v>502</v>
      </c>
      <c r="E4000" t="s">
        <v>520</v>
      </c>
      <c r="F4000" s="188" t="n">
        <v>2046</v>
      </c>
      <c r="G4000" s="189" t="n">
        <v>68</v>
      </c>
      <c r="H4000" s="190" t="n">
        <v>32610.3500418295</v>
      </c>
      <c r="I4000" s="191" t="n">
        <v>3118386.82291317</v>
      </c>
      <c r="J4000" s="192" t="str">
        <f>IF(I4000&gt;0,H4000/I4000,0)</f>
      </c>
      <c r="K4000" s="193" t="str">
        <f>1-EXP(-J4000)</f>
      </c>
      <c r="L4000" s="194" t="str">
        <f>IF(G4000=30,1,M3999)</f>
      </c>
      <c r="M4000" s="195" t="str">
        <f>L4000*(1-K4000)</f>
      </c>
    </row>
    <row r="4001">
      <c r="A4001" t="s">
        <v>167</v>
      </c>
      <c r="B4001" t="s">
        <v>262</v>
      </c>
      <c r="C4001" s="35" t="s">
        <v>264</v>
      </c>
      <c r="D4001" t="s">
        <v>502</v>
      </c>
      <c r="E4001" t="s">
        <v>520</v>
      </c>
      <c r="F4001" s="188" t="n">
        <v>2046</v>
      </c>
      <c r="G4001" s="189" t="n">
        <v>69</v>
      </c>
      <c r="H4001" s="190" t="n">
        <v>34569.6895615808</v>
      </c>
      <c r="I4001" s="191" t="n">
        <v>3001456.70372678</v>
      </c>
      <c r="J4001" s="192" t="str">
        <f>IF(I4001&gt;0,H4001/I4001,0)</f>
      </c>
      <c r="K4001" s="193" t="str">
        <f>1-EXP(-J4001)</f>
      </c>
      <c r="L4001" s="194" t="str">
        <f>IF(G4001=30,1,M4000)</f>
      </c>
      <c r="M4001" s="195" t="str">
        <f>L4001*(1-K4001)</f>
      </c>
    </row>
    <row r="4002">
      <c r="A4002" t="s">
        <v>167</v>
      </c>
      <c r="B4002" t="s">
        <v>262</v>
      </c>
      <c r="C4002" s="35" t="s">
        <v>264</v>
      </c>
      <c r="D4002" t="s">
        <v>502</v>
      </c>
      <c r="E4002" t="s">
        <v>520</v>
      </c>
      <c r="F4002" s="188" t="n">
        <v>2047</v>
      </c>
      <c r="G4002" s="189" t="n">
        <v>30</v>
      </c>
      <c r="H4002" s="190" t="n">
        <v>607.439305167276</v>
      </c>
      <c r="I4002" s="191" t="n">
        <v>4320534.51081955</v>
      </c>
      <c r="J4002" s="192" t="str">
        <f>IF(I4002&gt;0,H4002/I4002,0)</f>
      </c>
      <c r="K4002" s="193" t="str">
        <f>1-EXP(-J4002)</f>
      </c>
      <c r="L4002" s="194" t="str">
        <f>IF(G4002=30,1,M4001)</f>
      </c>
      <c r="M4002" s="195" t="str">
        <f>L4002*(1-K4002)</f>
      </c>
    </row>
    <row r="4003">
      <c r="A4003" t="s">
        <v>167</v>
      </c>
      <c r="B4003" t="s">
        <v>262</v>
      </c>
      <c r="C4003" s="35" t="s">
        <v>264</v>
      </c>
      <c r="D4003" t="s">
        <v>502</v>
      </c>
      <c r="E4003" t="s">
        <v>520</v>
      </c>
      <c r="F4003" s="188" t="n">
        <v>2047</v>
      </c>
      <c r="G4003" s="189" t="n">
        <v>31</v>
      </c>
      <c r="H4003" s="190" t="n">
        <v>919.570994471557</v>
      </c>
      <c r="I4003" s="191" t="n">
        <v>4583301.8960011</v>
      </c>
      <c r="J4003" s="192" t="str">
        <f>IF(I4003&gt;0,H4003/I4003,0)</f>
      </c>
      <c r="K4003" s="193" t="str">
        <f>1-EXP(-J4003)</f>
      </c>
      <c r="L4003" s="194" t="str">
        <f>IF(G4003=30,1,M4002)</f>
      </c>
      <c r="M4003" s="195" t="str">
        <f>L4003*(1-K4003)</f>
      </c>
    </row>
    <row r="4004">
      <c r="A4004" t="s">
        <v>167</v>
      </c>
      <c r="B4004" t="s">
        <v>262</v>
      </c>
      <c r="C4004" s="35" t="s">
        <v>264</v>
      </c>
      <c r="D4004" t="s">
        <v>502</v>
      </c>
      <c r="E4004" t="s">
        <v>520</v>
      </c>
      <c r="F4004" s="188" t="n">
        <v>2047</v>
      </c>
      <c r="G4004" s="189" t="n">
        <v>32</v>
      </c>
      <c r="H4004" s="190" t="n">
        <v>1012.85301879204</v>
      </c>
      <c r="I4004" s="191" t="n">
        <v>4632103.65086063</v>
      </c>
      <c r="J4004" s="192" t="str">
        <f>IF(I4004&gt;0,H4004/I4004,0)</f>
      </c>
      <c r="K4004" s="193" t="str">
        <f>1-EXP(-J4004)</f>
      </c>
      <c r="L4004" s="194" t="str">
        <f>IF(G4004=30,1,M4003)</f>
      </c>
      <c r="M4004" s="195" t="str">
        <f>L4004*(1-K4004)</f>
      </c>
    </row>
    <row r="4005">
      <c r="A4005" t="s">
        <v>167</v>
      </c>
      <c r="B4005" t="s">
        <v>262</v>
      </c>
      <c r="C4005" s="35" t="s">
        <v>264</v>
      </c>
      <c r="D4005" t="s">
        <v>502</v>
      </c>
      <c r="E4005" t="s">
        <v>520</v>
      </c>
      <c r="F4005" s="188" t="n">
        <v>2047</v>
      </c>
      <c r="G4005" s="189" t="n">
        <v>33</v>
      </c>
      <c r="H4005" s="190" t="n">
        <v>1088.47108960646</v>
      </c>
      <c r="I4005" s="191" t="n">
        <v>4698351.28353531</v>
      </c>
      <c r="J4005" s="192" t="str">
        <f>IF(I4005&gt;0,H4005/I4005,0)</f>
      </c>
      <c r="K4005" s="193" t="str">
        <f>1-EXP(-J4005)</f>
      </c>
      <c r="L4005" s="194" t="str">
        <f>IF(G4005=30,1,M4004)</f>
      </c>
      <c r="M4005" s="195" t="str">
        <f>L4005*(1-K4005)</f>
      </c>
    </row>
    <row r="4006">
      <c r="A4006" t="s">
        <v>167</v>
      </c>
      <c r="B4006" t="s">
        <v>262</v>
      </c>
      <c r="C4006" s="35" t="s">
        <v>264</v>
      </c>
      <c r="D4006" t="s">
        <v>502</v>
      </c>
      <c r="E4006" t="s">
        <v>520</v>
      </c>
      <c r="F4006" s="188" t="n">
        <v>2047</v>
      </c>
      <c r="G4006" s="189" t="n">
        <v>34</v>
      </c>
      <c r="H4006" s="190" t="n">
        <v>1176.45275751353</v>
      </c>
      <c r="I4006" s="191" t="n">
        <v>4765911.16594454</v>
      </c>
      <c r="J4006" s="192" t="str">
        <f>IF(I4006&gt;0,H4006/I4006,0)</f>
      </c>
      <c r="K4006" s="193" t="str">
        <f>1-EXP(-J4006)</f>
      </c>
      <c r="L4006" s="194" t="str">
        <f>IF(G4006=30,1,M4005)</f>
      </c>
      <c r="M4006" s="195" t="str">
        <f>L4006*(1-K4006)</f>
      </c>
    </row>
    <row r="4007">
      <c r="A4007" t="s">
        <v>167</v>
      </c>
      <c r="B4007" t="s">
        <v>262</v>
      </c>
      <c r="C4007" s="35" t="s">
        <v>264</v>
      </c>
      <c r="D4007" t="s">
        <v>502</v>
      </c>
      <c r="E4007" t="s">
        <v>520</v>
      </c>
      <c r="F4007" s="188" t="n">
        <v>2047</v>
      </c>
      <c r="G4007" s="189" t="n">
        <v>35</v>
      </c>
      <c r="H4007" s="190" t="n">
        <v>1626.9730174279</v>
      </c>
      <c r="I4007" s="191" t="n">
        <v>4877530.60319068</v>
      </c>
      <c r="J4007" s="192" t="str">
        <f>IF(I4007&gt;0,H4007/I4007,0)</f>
      </c>
      <c r="K4007" s="193" t="str">
        <f>1-EXP(-J4007)</f>
      </c>
      <c r="L4007" s="194" t="str">
        <f>IF(G4007=30,1,M4006)</f>
      </c>
      <c r="M4007" s="195" t="str">
        <f>L4007*(1-K4007)</f>
      </c>
    </row>
    <row r="4008">
      <c r="A4008" t="s">
        <v>167</v>
      </c>
      <c r="B4008" t="s">
        <v>262</v>
      </c>
      <c r="C4008" s="35" t="s">
        <v>264</v>
      </c>
      <c r="D4008" t="s">
        <v>502</v>
      </c>
      <c r="E4008" t="s">
        <v>520</v>
      </c>
      <c r="F4008" s="188" t="n">
        <v>2047</v>
      </c>
      <c r="G4008" s="189" t="n">
        <v>36</v>
      </c>
      <c r="H4008" s="190" t="n">
        <v>1895.35639115602</v>
      </c>
      <c r="I4008" s="191" t="n">
        <v>4848172.17639333</v>
      </c>
      <c r="J4008" s="192" t="str">
        <f>IF(I4008&gt;0,H4008/I4008,0)</f>
      </c>
      <c r="K4008" s="193" t="str">
        <f>1-EXP(-J4008)</f>
      </c>
      <c r="L4008" s="194" t="str">
        <f>IF(G4008=30,1,M4007)</f>
      </c>
      <c r="M4008" s="195" t="str">
        <f>L4008*(1-K4008)</f>
      </c>
    </row>
    <row r="4009">
      <c r="A4009" t="s">
        <v>167</v>
      </c>
      <c r="B4009" t="s">
        <v>262</v>
      </c>
      <c r="C4009" s="35" t="s">
        <v>264</v>
      </c>
      <c r="D4009" t="s">
        <v>502</v>
      </c>
      <c r="E4009" t="s">
        <v>520</v>
      </c>
      <c r="F4009" s="188" t="n">
        <v>2047</v>
      </c>
      <c r="G4009" s="189" t="n">
        <v>37</v>
      </c>
      <c r="H4009" s="190" t="n">
        <v>1980.4515159394</v>
      </c>
      <c r="I4009" s="191" t="n">
        <v>4713651.59008469</v>
      </c>
      <c r="J4009" s="192" t="str">
        <f>IF(I4009&gt;0,H4009/I4009,0)</f>
      </c>
      <c r="K4009" s="193" t="str">
        <f>1-EXP(-J4009)</f>
      </c>
      <c r="L4009" s="194" t="str">
        <f>IF(G4009=30,1,M4008)</f>
      </c>
      <c r="M4009" s="195" t="str">
        <f>L4009*(1-K4009)</f>
      </c>
    </row>
    <row r="4010">
      <c r="A4010" t="s">
        <v>167</v>
      </c>
      <c r="B4010" t="s">
        <v>262</v>
      </c>
      <c r="C4010" s="35" t="s">
        <v>264</v>
      </c>
      <c r="D4010" t="s">
        <v>502</v>
      </c>
      <c r="E4010" t="s">
        <v>520</v>
      </c>
      <c r="F4010" s="188" t="n">
        <v>2047</v>
      </c>
      <c r="G4010" s="189" t="n">
        <v>38</v>
      </c>
      <c r="H4010" s="190" t="n">
        <v>2103.50828705788</v>
      </c>
      <c r="I4010" s="191" t="n">
        <v>4641429.11061251</v>
      </c>
      <c r="J4010" s="192" t="str">
        <f>IF(I4010&gt;0,H4010/I4010,0)</f>
      </c>
      <c r="K4010" s="193" t="str">
        <f>1-EXP(-J4010)</f>
      </c>
      <c r="L4010" s="194" t="str">
        <f>IF(G4010=30,1,M4009)</f>
      </c>
      <c r="M4010" s="195" t="str">
        <f>L4010*(1-K4010)</f>
      </c>
    </row>
    <row r="4011">
      <c r="A4011" t="s">
        <v>167</v>
      </c>
      <c r="B4011" t="s">
        <v>262</v>
      </c>
      <c r="C4011" s="35" t="s">
        <v>264</v>
      </c>
      <c r="D4011" t="s">
        <v>502</v>
      </c>
      <c r="E4011" t="s">
        <v>520</v>
      </c>
      <c r="F4011" s="188" t="n">
        <v>2047</v>
      </c>
      <c r="G4011" s="189" t="n">
        <v>39</v>
      </c>
      <c r="H4011" s="190" t="n">
        <v>2253.92662958293</v>
      </c>
      <c r="I4011" s="191" t="n">
        <v>4596730.9449111</v>
      </c>
      <c r="J4011" s="192" t="str">
        <f>IF(I4011&gt;0,H4011/I4011,0)</f>
      </c>
      <c r="K4011" s="193" t="str">
        <f>1-EXP(-J4011)</f>
      </c>
      <c r="L4011" s="194" t="str">
        <f>IF(G4011=30,1,M4010)</f>
      </c>
      <c r="M4011" s="195" t="str">
        <f>L4011*(1-K4011)</f>
      </c>
    </row>
    <row r="4012">
      <c r="A4012" t="s">
        <v>167</v>
      </c>
      <c r="B4012" t="s">
        <v>262</v>
      </c>
      <c r="C4012" s="35" t="s">
        <v>264</v>
      </c>
      <c r="D4012" t="s">
        <v>502</v>
      </c>
      <c r="E4012" t="s">
        <v>520</v>
      </c>
      <c r="F4012" s="188" t="n">
        <v>2047</v>
      </c>
      <c r="G4012" s="189" t="n">
        <v>40</v>
      </c>
      <c r="H4012" s="190" t="n">
        <v>3120.04578719152</v>
      </c>
      <c r="I4012" s="191" t="n">
        <v>4619145.50130354</v>
      </c>
      <c r="J4012" s="192" t="str">
        <f>IF(I4012&gt;0,H4012/I4012,0)</f>
      </c>
      <c r="K4012" s="193" t="str">
        <f>1-EXP(-J4012)</f>
      </c>
      <c r="L4012" s="194" t="str">
        <f>IF(G4012=30,1,M4011)</f>
      </c>
      <c r="M4012" s="195" t="str">
        <f>L4012*(1-K4012)</f>
      </c>
    </row>
    <row r="4013">
      <c r="A4013" t="s">
        <v>167</v>
      </c>
      <c r="B4013" t="s">
        <v>262</v>
      </c>
      <c r="C4013" s="35" t="s">
        <v>264</v>
      </c>
      <c r="D4013" t="s">
        <v>502</v>
      </c>
      <c r="E4013" t="s">
        <v>520</v>
      </c>
      <c r="F4013" s="188" t="n">
        <v>2047</v>
      </c>
      <c r="G4013" s="189" t="n">
        <v>41</v>
      </c>
      <c r="H4013" s="190" t="n">
        <v>3439.76497668783</v>
      </c>
      <c r="I4013" s="191" t="n">
        <v>4532880.69391985</v>
      </c>
      <c r="J4013" s="192" t="str">
        <f>IF(I4013&gt;0,H4013/I4013,0)</f>
      </c>
      <c r="K4013" s="193" t="str">
        <f>1-EXP(-J4013)</f>
      </c>
      <c r="L4013" s="194" t="str">
        <f>IF(G4013=30,1,M4012)</f>
      </c>
      <c r="M4013" s="195" t="str">
        <f>L4013*(1-K4013)</f>
      </c>
    </row>
    <row r="4014">
      <c r="A4014" t="s">
        <v>167</v>
      </c>
      <c r="B4014" t="s">
        <v>262</v>
      </c>
      <c r="C4014" s="35" t="s">
        <v>264</v>
      </c>
      <c r="D4014" t="s">
        <v>502</v>
      </c>
      <c r="E4014" t="s">
        <v>520</v>
      </c>
      <c r="F4014" s="188" t="n">
        <v>2047</v>
      </c>
      <c r="G4014" s="189" t="n">
        <v>42</v>
      </c>
      <c r="H4014" s="190" t="n">
        <v>3679.37735817377</v>
      </c>
      <c r="I4014" s="191" t="n">
        <v>4468401.42417909</v>
      </c>
      <c r="J4014" s="192" t="str">
        <f>IF(I4014&gt;0,H4014/I4014,0)</f>
      </c>
      <c r="K4014" s="193" t="str">
        <f>1-EXP(-J4014)</f>
      </c>
      <c r="L4014" s="194" t="str">
        <f>IF(G4014=30,1,M4013)</f>
      </c>
      <c r="M4014" s="195" t="str">
        <f>L4014*(1-K4014)</f>
      </c>
    </row>
    <row r="4015">
      <c r="A4015" t="s">
        <v>167</v>
      </c>
      <c r="B4015" t="s">
        <v>262</v>
      </c>
      <c r="C4015" s="35" t="s">
        <v>264</v>
      </c>
      <c r="D4015" t="s">
        <v>502</v>
      </c>
      <c r="E4015" t="s">
        <v>520</v>
      </c>
      <c r="F4015" s="188" t="n">
        <v>2047</v>
      </c>
      <c r="G4015" s="189" t="n">
        <v>43</v>
      </c>
      <c r="H4015" s="190" t="n">
        <v>3884.13719456888</v>
      </c>
      <c r="I4015" s="191" t="n">
        <v>4336874.99881582</v>
      </c>
      <c r="J4015" s="192" t="str">
        <f>IF(I4015&gt;0,H4015/I4015,0)</f>
      </c>
      <c r="K4015" s="193" t="str">
        <f>1-EXP(-J4015)</f>
      </c>
      <c r="L4015" s="194" t="str">
        <f>IF(G4015=30,1,M4014)</f>
      </c>
      <c r="M4015" s="195" t="str">
        <f>L4015*(1-K4015)</f>
      </c>
    </row>
    <row r="4016">
      <c r="A4016" t="s">
        <v>167</v>
      </c>
      <c r="B4016" t="s">
        <v>262</v>
      </c>
      <c r="C4016" s="35" t="s">
        <v>264</v>
      </c>
      <c r="D4016" t="s">
        <v>502</v>
      </c>
      <c r="E4016" t="s">
        <v>520</v>
      </c>
      <c r="F4016" s="188" t="n">
        <v>2047</v>
      </c>
      <c r="G4016" s="189" t="n">
        <v>44</v>
      </c>
      <c r="H4016" s="190" t="n">
        <v>4166.41011159496</v>
      </c>
      <c r="I4016" s="191" t="n">
        <v>4266893.31001608</v>
      </c>
      <c r="J4016" s="192" t="str">
        <f>IF(I4016&gt;0,H4016/I4016,0)</f>
      </c>
      <c r="K4016" s="193" t="str">
        <f>1-EXP(-J4016)</f>
      </c>
      <c r="L4016" s="194" t="str">
        <f>IF(G4016=30,1,M4015)</f>
      </c>
      <c r="M4016" s="195" t="str">
        <f>L4016*(1-K4016)</f>
      </c>
    </row>
    <row r="4017">
      <c r="A4017" t="s">
        <v>167</v>
      </c>
      <c r="B4017" t="s">
        <v>262</v>
      </c>
      <c r="C4017" s="35" t="s">
        <v>264</v>
      </c>
      <c r="D4017" t="s">
        <v>502</v>
      </c>
      <c r="E4017" t="s">
        <v>520</v>
      </c>
      <c r="F4017" s="188" t="n">
        <v>2047</v>
      </c>
      <c r="G4017" s="189" t="n">
        <v>45</v>
      </c>
      <c r="H4017" s="190" t="n">
        <v>5501.26866025252</v>
      </c>
      <c r="I4017" s="191" t="n">
        <v>4237277.12951185</v>
      </c>
      <c r="J4017" s="192" t="str">
        <f>IF(I4017&gt;0,H4017/I4017,0)</f>
      </c>
      <c r="K4017" s="193" t="str">
        <f>1-EXP(-J4017)</f>
      </c>
      <c r="L4017" s="194" t="str">
        <f>IF(G4017=30,1,M4016)</f>
      </c>
      <c r="M4017" s="195" t="str">
        <f>L4017*(1-K4017)</f>
      </c>
    </row>
    <row r="4018">
      <c r="A4018" t="s">
        <v>167</v>
      </c>
      <c r="B4018" t="s">
        <v>262</v>
      </c>
      <c r="C4018" s="35" t="s">
        <v>264</v>
      </c>
      <c r="D4018" t="s">
        <v>502</v>
      </c>
      <c r="E4018" t="s">
        <v>520</v>
      </c>
      <c r="F4018" s="188" t="n">
        <v>2047</v>
      </c>
      <c r="G4018" s="189" t="n">
        <v>46</v>
      </c>
      <c r="H4018" s="190" t="n">
        <v>6040.67089630414</v>
      </c>
      <c r="I4018" s="191" t="n">
        <v>4209294.19420531</v>
      </c>
      <c r="J4018" s="192" t="str">
        <f>IF(I4018&gt;0,H4018/I4018,0)</f>
      </c>
      <c r="K4018" s="193" t="str">
        <f>1-EXP(-J4018)</f>
      </c>
      <c r="L4018" s="194" t="str">
        <f>IF(G4018=30,1,M4017)</f>
      </c>
      <c r="M4018" s="195" t="str">
        <f>L4018*(1-K4018)</f>
      </c>
    </row>
    <row r="4019">
      <c r="A4019" t="s">
        <v>167</v>
      </c>
      <c r="B4019" t="s">
        <v>262</v>
      </c>
      <c r="C4019" s="35" t="s">
        <v>264</v>
      </c>
      <c r="D4019" t="s">
        <v>502</v>
      </c>
      <c r="E4019" t="s">
        <v>520</v>
      </c>
      <c r="F4019" s="188" t="n">
        <v>2047</v>
      </c>
      <c r="G4019" s="189" t="n">
        <v>47</v>
      </c>
      <c r="H4019" s="190" t="n">
        <v>6574.60232159453</v>
      </c>
      <c r="I4019" s="191" t="n">
        <v>4180902.63408555</v>
      </c>
      <c r="J4019" s="192" t="str">
        <f>IF(I4019&gt;0,H4019/I4019,0)</f>
      </c>
      <c r="K4019" s="193" t="str">
        <f>1-EXP(-J4019)</f>
      </c>
      <c r="L4019" s="194" t="str">
        <f>IF(G4019=30,1,M4018)</f>
      </c>
      <c r="M4019" s="195" t="str">
        <f>L4019*(1-K4019)</f>
      </c>
    </row>
    <row r="4020">
      <c r="A4020" t="s">
        <v>167</v>
      </c>
      <c r="B4020" t="s">
        <v>262</v>
      </c>
      <c r="C4020" s="35" t="s">
        <v>264</v>
      </c>
      <c r="D4020" t="s">
        <v>502</v>
      </c>
      <c r="E4020" t="s">
        <v>520</v>
      </c>
      <c r="F4020" s="188" t="n">
        <v>2047</v>
      </c>
      <c r="G4020" s="189" t="n">
        <v>48</v>
      </c>
      <c r="H4020" s="190" t="n">
        <v>7232.40376445711</v>
      </c>
      <c r="I4020" s="191" t="n">
        <v>4189969.58960959</v>
      </c>
      <c r="J4020" s="192" t="str">
        <f>IF(I4020&gt;0,H4020/I4020,0)</f>
      </c>
      <c r="K4020" s="193" t="str">
        <f>1-EXP(-J4020)</f>
      </c>
      <c r="L4020" s="194" t="str">
        <f>IF(G4020=30,1,M4019)</f>
      </c>
      <c r="M4020" s="195" t="str">
        <f>L4020*(1-K4020)</f>
      </c>
    </row>
    <row r="4021">
      <c r="A4021" t="s">
        <v>167</v>
      </c>
      <c r="B4021" t="s">
        <v>262</v>
      </c>
      <c r="C4021" s="35" t="s">
        <v>264</v>
      </c>
      <c r="D4021" t="s">
        <v>502</v>
      </c>
      <c r="E4021" t="s">
        <v>520</v>
      </c>
      <c r="F4021" s="188" t="n">
        <v>2047</v>
      </c>
      <c r="G4021" s="189" t="n">
        <v>49</v>
      </c>
      <c r="H4021" s="190" t="n">
        <v>8032.93353463231</v>
      </c>
      <c r="I4021" s="191" t="n">
        <v>4235533.57576799</v>
      </c>
      <c r="J4021" s="192" t="str">
        <f>IF(I4021&gt;0,H4021/I4021,0)</f>
      </c>
      <c r="K4021" s="193" t="str">
        <f>1-EXP(-J4021)</f>
      </c>
      <c r="L4021" s="194" t="str">
        <f>IF(G4021=30,1,M4020)</f>
      </c>
      <c r="M4021" s="195" t="str">
        <f>L4021*(1-K4021)</f>
      </c>
    </row>
    <row r="4022">
      <c r="A4022" t="s">
        <v>167</v>
      </c>
      <c r="B4022" t="s">
        <v>262</v>
      </c>
      <c r="C4022" s="35" t="s">
        <v>264</v>
      </c>
      <c r="D4022" t="s">
        <v>502</v>
      </c>
      <c r="E4022" t="s">
        <v>520</v>
      </c>
      <c r="F4022" s="188" t="n">
        <v>2047</v>
      </c>
      <c r="G4022" s="189" t="n">
        <v>50</v>
      </c>
      <c r="H4022" s="190" t="n">
        <v>9636.88408193516</v>
      </c>
      <c r="I4022" s="191" t="n">
        <v>4352478.23171019</v>
      </c>
      <c r="J4022" s="192" t="str">
        <f>IF(I4022&gt;0,H4022/I4022,0)</f>
      </c>
      <c r="K4022" s="193" t="str">
        <f>1-EXP(-J4022)</f>
      </c>
      <c r="L4022" s="194" t="str">
        <f>IF(G4022=30,1,M4021)</f>
      </c>
      <c r="M4022" s="195" t="str">
        <f>L4022*(1-K4022)</f>
      </c>
    </row>
    <row r="4023">
      <c r="A4023" t="s">
        <v>167</v>
      </c>
      <c r="B4023" t="s">
        <v>262</v>
      </c>
      <c r="C4023" s="35" t="s">
        <v>264</v>
      </c>
      <c r="D4023" t="s">
        <v>502</v>
      </c>
      <c r="E4023" t="s">
        <v>520</v>
      </c>
      <c r="F4023" s="188" t="n">
        <v>2047</v>
      </c>
      <c r="G4023" s="189" t="n">
        <v>51</v>
      </c>
      <c r="H4023" s="190" t="n">
        <v>10402.8618143563</v>
      </c>
      <c r="I4023" s="191" t="n">
        <v>4294945.99394404</v>
      </c>
      <c r="J4023" s="192" t="str">
        <f>IF(I4023&gt;0,H4023/I4023,0)</f>
      </c>
      <c r="K4023" s="193" t="str">
        <f>1-EXP(-J4023)</f>
      </c>
      <c r="L4023" s="194" t="str">
        <f>IF(G4023=30,1,M4022)</f>
      </c>
      <c r="M4023" s="195" t="str">
        <f>L4023*(1-K4023)</f>
      </c>
    </row>
    <row r="4024">
      <c r="A4024" t="s">
        <v>167</v>
      </c>
      <c r="B4024" t="s">
        <v>262</v>
      </c>
      <c r="C4024" s="35" t="s">
        <v>264</v>
      </c>
      <c r="D4024" t="s">
        <v>502</v>
      </c>
      <c r="E4024" t="s">
        <v>520</v>
      </c>
      <c r="F4024" s="188" t="n">
        <v>2047</v>
      </c>
      <c r="G4024" s="189" t="n">
        <v>52</v>
      </c>
      <c r="H4024" s="190" t="n">
        <v>11143.7913687361</v>
      </c>
      <c r="I4024" s="191" t="n">
        <v>4207922.65652461</v>
      </c>
      <c r="J4024" s="192" t="str">
        <f>IF(I4024&gt;0,H4024/I4024,0)</f>
      </c>
      <c r="K4024" s="193" t="str">
        <f>1-EXP(-J4024)</f>
      </c>
      <c r="L4024" s="194" t="str">
        <f>IF(G4024=30,1,M4023)</f>
      </c>
      <c r="M4024" s="195" t="str">
        <f>L4024*(1-K4024)</f>
      </c>
    </row>
    <row r="4025">
      <c r="A4025" t="s">
        <v>167</v>
      </c>
      <c r="B4025" t="s">
        <v>262</v>
      </c>
      <c r="C4025" s="35" t="s">
        <v>264</v>
      </c>
      <c r="D4025" t="s">
        <v>502</v>
      </c>
      <c r="E4025" t="s">
        <v>520</v>
      </c>
      <c r="F4025" s="188" t="n">
        <v>2047</v>
      </c>
      <c r="G4025" s="189" t="n">
        <v>53</v>
      </c>
      <c r="H4025" s="190" t="n">
        <v>11946.7618010188</v>
      </c>
      <c r="I4025" s="191" t="n">
        <v>4134605.17260041</v>
      </c>
      <c r="J4025" s="192" t="str">
        <f>IF(I4025&gt;0,H4025/I4025,0)</f>
      </c>
      <c r="K4025" s="193" t="str">
        <f>1-EXP(-J4025)</f>
      </c>
      <c r="L4025" s="194" t="str">
        <f>IF(G4025=30,1,M4024)</f>
      </c>
      <c r="M4025" s="195" t="str">
        <f>L4025*(1-K4025)</f>
      </c>
    </row>
    <row r="4026">
      <c r="A4026" t="s">
        <v>167</v>
      </c>
      <c r="B4026" t="s">
        <v>262</v>
      </c>
      <c r="C4026" s="35" t="s">
        <v>264</v>
      </c>
      <c r="D4026" t="s">
        <v>502</v>
      </c>
      <c r="E4026" t="s">
        <v>520</v>
      </c>
      <c r="F4026" s="188" t="n">
        <v>2047</v>
      </c>
      <c r="G4026" s="189" t="n">
        <v>54</v>
      </c>
      <c r="H4026" s="190" t="n">
        <v>12787.3626561664</v>
      </c>
      <c r="I4026" s="191" t="n">
        <v>4063345.94702862</v>
      </c>
      <c r="J4026" s="192" t="str">
        <f>IF(I4026&gt;0,H4026/I4026,0)</f>
      </c>
      <c r="K4026" s="193" t="str">
        <f>1-EXP(-J4026)</f>
      </c>
      <c r="L4026" s="194" t="str">
        <f>IF(G4026=30,1,M4025)</f>
      </c>
      <c r="M4026" s="195" t="str">
        <f>L4026*(1-K4026)</f>
      </c>
    </row>
    <row r="4027">
      <c r="A4027" t="s">
        <v>167</v>
      </c>
      <c r="B4027" t="s">
        <v>262</v>
      </c>
      <c r="C4027" s="35" t="s">
        <v>264</v>
      </c>
      <c r="D4027" t="s">
        <v>502</v>
      </c>
      <c r="E4027" t="s">
        <v>520</v>
      </c>
      <c r="F4027" s="188" t="n">
        <v>2047</v>
      </c>
      <c r="G4027" s="189" t="n">
        <v>55</v>
      </c>
      <c r="H4027" s="190" t="n">
        <v>13688.6763210851</v>
      </c>
      <c r="I4027" s="191" t="n">
        <v>4076447.03278907</v>
      </c>
      <c r="J4027" s="192" t="str">
        <f>IF(I4027&gt;0,H4027/I4027,0)</f>
      </c>
      <c r="K4027" s="193" t="str">
        <f>1-EXP(-J4027)</f>
      </c>
      <c r="L4027" s="194" t="str">
        <f>IF(G4027=30,1,M4026)</f>
      </c>
      <c r="M4027" s="195" t="str">
        <f>L4027*(1-K4027)</f>
      </c>
    </row>
    <row r="4028">
      <c r="A4028" t="s">
        <v>167</v>
      </c>
      <c r="B4028" t="s">
        <v>262</v>
      </c>
      <c r="C4028" s="35" t="s">
        <v>264</v>
      </c>
      <c r="D4028" t="s">
        <v>502</v>
      </c>
      <c r="E4028" t="s">
        <v>520</v>
      </c>
      <c r="F4028" s="188" t="n">
        <v>2047</v>
      </c>
      <c r="G4028" s="189" t="n">
        <v>56</v>
      </c>
      <c r="H4028" s="190" t="n">
        <v>14845.9328377444</v>
      </c>
      <c r="I4028" s="191" t="n">
        <v>4068498.20327443</v>
      </c>
      <c r="J4028" s="192" t="str">
        <f>IF(I4028&gt;0,H4028/I4028,0)</f>
      </c>
      <c r="K4028" s="193" t="str">
        <f>1-EXP(-J4028)</f>
      </c>
      <c r="L4028" s="194" t="str">
        <f>IF(G4028=30,1,M4027)</f>
      </c>
      <c r="M4028" s="195" t="str">
        <f>L4028*(1-K4028)</f>
      </c>
    </row>
    <row r="4029">
      <c r="A4029" t="s">
        <v>167</v>
      </c>
      <c r="B4029" t="s">
        <v>262</v>
      </c>
      <c r="C4029" s="35" t="s">
        <v>264</v>
      </c>
      <c r="D4029" t="s">
        <v>502</v>
      </c>
      <c r="E4029" t="s">
        <v>520</v>
      </c>
      <c r="F4029" s="188" t="n">
        <v>2047</v>
      </c>
      <c r="G4029" s="189" t="n">
        <v>57</v>
      </c>
      <c r="H4029" s="190" t="n">
        <v>21598.0981367439</v>
      </c>
      <c r="I4029" s="191" t="n">
        <v>5981809.75337321</v>
      </c>
      <c r="J4029" s="192" t="str">
        <f>IF(I4029&gt;0,H4029/I4029,0)</f>
      </c>
      <c r="K4029" s="193" t="str">
        <f>1-EXP(-J4029)</f>
      </c>
      <c r="L4029" s="194" t="str">
        <f>IF(G4029=30,1,M4028)</f>
      </c>
      <c r="M4029" s="195" t="str">
        <f>L4029*(1-K4029)</f>
      </c>
    </row>
    <row r="4030">
      <c r="A4030" t="s">
        <v>167</v>
      </c>
      <c r="B4030" t="s">
        <v>262</v>
      </c>
      <c r="C4030" s="35" t="s">
        <v>264</v>
      </c>
      <c r="D4030" t="s">
        <v>502</v>
      </c>
      <c r="E4030" t="s">
        <v>520</v>
      </c>
      <c r="F4030" s="188" t="n">
        <v>2047</v>
      </c>
      <c r="G4030" s="189" t="n">
        <v>58</v>
      </c>
      <c r="H4030" s="190" t="n">
        <v>17268.9542527694</v>
      </c>
      <c r="I4030" s="191" t="n">
        <v>3974351.75989856</v>
      </c>
      <c r="J4030" s="192" t="str">
        <f>IF(I4030&gt;0,H4030/I4030,0)</f>
      </c>
      <c r="K4030" s="193" t="str">
        <f>1-EXP(-J4030)</f>
      </c>
      <c r="L4030" s="194" t="str">
        <f>IF(G4030=30,1,M4029)</f>
      </c>
      <c r="M4030" s="195" t="str">
        <f>L4030*(1-K4030)</f>
      </c>
    </row>
    <row r="4031">
      <c r="A4031" t="s">
        <v>167</v>
      </c>
      <c r="B4031" t="s">
        <v>262</v>
      </c>
      <c r="C4031" s="35" t="s">
        <v>264</v>
      </c>
      <c r="D4031" t="s">
        <v>502</v>
      </c>
      <c r="E4031" t="s">
        <v>520</v>
      </c>
      <c r="F4031" s="188" t="n">
        <v>2047</v>
      </c>
      <c r="G4031" s="189" t="n">
        <v>59</v>
      </c>
      <c r="H4031" s="190" t="n">
        <v>18678.375819744</v>
      </c>
      <c r="I4031" s="191" t="n">
        <v>3927543.81362356</v>
      </c>
      <c r="J4031" s="192" t="str">
        <f>IF(I4031&gt;0,H4031/I4031,0)</f>
      </c>
      <c r="K4031" s="193" t="str">
        <f>1-EXP(-J4031)</f>
      </c>
      <c r="L4031" s="194" t="str">
        <f>IF(G4031=30,1,M4030)</f>
      </c>
      <c r="M4031" s="195" t="str">
        <f>L4031*(1-K4031)</f>
      </c>
    </row>
    <row r="4032">
      <c r="A4032" t="s">
        <v>167</v>
      </c>
      <c r="B4032" t="s">
        <v>262</v>
      </c>
      <c r="C4032" s="35" t="s">
        <v>264</v>
      </c>
      <c r="D4032" t="s">
        <v>502</v>
      </c>
      <c r="E4032" t="s">
        <v>520</v>
      </c>
      <c r="F4032" s="188" t="n">
        <v>2047</v>
      </c>
      <c r="G4032" s="189" t="n">
        <v>60</v>
      </c>
      <c r="H4032" s="190" t="n">
        <v>19375.3442924872</v>
      </c>
      <c r="I4032" s="191" t="n">
        <v>3773871.45135289</v>
      </c>
      <c r="J4032" s="192" t="str">
        <f>IF(I4032&gt;0,H4032/I4032,0)</f>
      </c>
      <c r="K4032" s="193" t="str">
        <f>1-EXP(-J4032)</f>
      </c>
      <c r="L4032" s="194" t="str">
        <f>IF(G4032=30,1,M4031)</f>
      </c>
      <c r="M4032" s="195" t="str">
        <f>L4032*(1-K4032)</f>
      </c>
    </row>
    <row r="4033">
      <c r="A4033" t="s">
        <v>167</v>
      </c>
      <c r="B4033" t="s">
        <v>262</v>
      </c>
      <c r="C4033" s="35" t="s">
        <v>264</v>
      </c>
      <c r="D4033" t="s">
        <v>502</v>
      </c>
      <c r="E4033" t="s">
        <v>520</v>
      </c>
      <c r="F4033" s="188" t="n">
        <v>2047</v>
      </c>
      <c r="G4033" s="189" t="n">
        <v>61</v>
      </c>
      <c r="H4033" s="190" t="n">
        <v>20890.9141135174</v>
      </c>
      <c r="I4033" s="191" t="n">
        <v>3706708.84977088</v>
      </c>
      <c r="J4033" s="192" t="str">
        <f>IF(I4033&gt;0,H4033/I4033,0)</f>
      </c>
      <c r="K4033" s="193" t="str">
        <f>1-EXP(-J4033)</f>
      </c>
      <c r="L4033" s="194" t="str">
        <f>IF(G4033=30,1,M4032)</f>
      </c>
      <c r="M4033" s="195" t="str">
        <f>L4033*(1-K4033)</f>
      </c>
    </row>
    <row r="4034">
      <c r="A4034" t="s">
        <v>167</v>
      </c>
      <c r="B4034" t="s">
        <v>262</v>
      </c>
      <c r="C4034" s="35" t="s">
        <v>264</v>
      </c>
      <c r="D4034" t="s">
        <v>502</v>
      </c>
      <c r="E4034" t="s">
        <v>520</v>
      </c>
      <c r="F4034" s="188" t="n">
        <v>2047</v>
      </c>
      <c r="G4034" s="189" t="n">
        <v>62</v>
      </c>
      <c r="H4034" s="190" t="n">
        <v>23021.2608987677</v>
      </c>
      <c r="I4034" s="191" t="n">
        <v>3719551.64665832</v>
      </c>
      <c r="J4034" s="192" t="str">
        <f>IF(I4034&gt;0,H4034/I4034,0)</f>
      </c>
      <c r="K4034" s="193" t="str">
        <f>1-EXP(-J4034)</f>
      </c>
      <c r="L4034" s="194" t="str">
        <f>IF(G4034=30,1,M4033)</f>
      </c>
      <c r="M4034" s="195" t="str">
        <f>L4034*(1-K4034)</f>
      </c>
    </row>
    <row r="4035">
      <c r="A4035" t="s">
        <v>167</v>
      </c>
      <c r="B4035" t="s">
        <v>262</v>
      </c>
      <c r="C4035" s="35" t="s">
        <v>264</v>
      </c>
      <c r="D4035" t="s">
        <v>502</v>
      </c>
      <c r="E4035" t="s">
        <v>520</v>
      </c>
      <c r="F4035" s="188" t="n">
        <v>2047</v>
      </c>
      <c r="G4035" s="189" t="n">
        <v>63</v>
      </c>
      <c r="H4035" s="190" t="n">
        <v>25483.6882091398</v>
      </c>
      <c r="I4035" s="191" t="n">
        <v>3749631.71810354</v>
      </c>
      <c r="J4035" s="192" t="str">
        <f>IF(I4035&gt;0,H4035/I4035,0)</f>
      </c>
      <c r="K4035" s="193" t="str">
        <f>1-EXP(-J4035)</f>
      </c>
      <c r="L4035" s="194" t="str">
        <f>IF(G4035=30,1,M4034)</f>
      </c>
      <c r="M4035" s="195" t="str">
        <f>L4035*(1-K4035)</f>
      </c>
    </row>
    <row r="4036">
      <c r="A4036" t="s">
        <v>167</v>
      </c>
      <c r="B4036" t="s">
        <v>262</v>
      </c>
      <c r="C4036" s="35" t="s">
        <v>264</v>
      </c>
      <c r="D4036" t="s">
        <v>502</v>
      </c>
      <c r="E4036" t="s">
        <v>520</v>
      </c>
      <c r="F4036" s="188" t="n">
        <v>2047</v>
      </c>
      <c r="G4036" s="189" t="n">
        <v>64</v>
      </c>
      <c r="H4036" s="190" t="n">
        <v>27454.9236628156</v>
      </c>
      <c r="I4036" s="191" t="n">
        <v>3680275.49804993</v>
      </c>
      <c r="J4036" s="192" t="str">
        <f>IF(I4036&gt;0,H4036/I4036,0)</f>
      </c>
      <c r="K4036" s="193" t="str">
        <f>1-EXP(-J4036)</f>
      </c>
      <c r="L4036" s="194" t="str">
        <f>IF(G4036=30,1,M4035)</f>
      </c>
      <c r="M4036" s="195" t="str">
        <f>L4036*(1-K4036)</f>
      </c>
    </row>
    <row r="4037">
      <c r="A4037" t="s">
        <v>167</v>
      </c>
      <c r="B4037" t="s">
        <v>262</v>
      </c>
      <c r="C4037" s="35" t="s">
        <v>264</v>
      </c>
      <c r="D4037" t="s">
        <v>502</v>
      </c>
      <c r="E4037" t="s">
        <v>520</v>
      </c>
      <c r="F4037" s="188" t="n">
        <v>2047</v>
      </c>
      <c r="G4037" s="189" t="n">
        <v>65</v>
      </c>
      <c r="H4037" s="190" t="n">
        <v>27376.5933198418</v>
      </c>
      <c r="I4037" s="191" t="n">
        <v>3511544.11350345</v>
      </c>
      <c r="J4037" s="192" t="str">
        <f>IF(I4037&gt;0,H4037/I4037,0)</f>
      </c>
      <c r="K4037" s="193" t="str">
        <f>1-EXP(-J4037)</f>
      </c>
      <c r="L4037" s="194" t="str">
        <f>IF(G4037=30,1,M4036)</f>
      </c>
      <c r="M4037" s="195" t="str">
        <f>L4037*(1-K4037)</f>
      </c>
    </row>
    <row r="4038">
      <c r="A4038" t="s">
        <v>167</v>
      </c>
      <c r="B4038" t="s">
        <v>262</v>
      </c>
      <c r="C4038" s="35" t="s">
        <v>264</v>
      </c>
      <c r="D4038" t="s">
        <v>502</v>
      </c>
      <c r="E4038" t="s">
        <v>520</v>
      </c>
      <c r="F4038" s="188" t="n">
        <v>2047</v>
      </c>
      <c r="G4038" s="189" t="n">
        <v>66</v>
      </c>
      <c r="H4038" s="190" t="n">
        <v>29053.5561388282</v>
      </c>
      <c r="I4038" s="191" t="n">
        <v>3395393.82005317</v>
      </c>
      <c r="J4038" s="192" t="str">
        <f>IF(I4038&gt;0,H4038/I4038,0)</f>
      </c>
      <c r="K4038" s="193" t="str">
        <f>1-EXP(-J4038)</f>
      </c>
      <c r="L4038" s="194" t="str">
        <f>IF(G4038=30,1,M4037)</f>
      </c>
      <c r="M4038" s="195" t="str">
        <f>L4038*(1-K4038)</f>
      </c>
    </row>
    <row r="4039">
      <c r="A4039" t="s">
        <v>167</v>
      </c>
      <c r="B4039" t="s">
        <v>262</v>
      </c>
      <c r="C4039" s="35" t="s">
        <v>264</v>
      </c>
      <c r="D4039" t="s">
        <v>502</v>
      </c>
      <c r="E4039" t="s">
        <v>520</v>
      </c>
      <c r="F4039" s="188" t="n">
        <v>2047</v>
      </c>
      <c r="G4039" s="189" t="n">
        <v>67</v>
      </c>
      <c r="H4039" s="190" t="n">
        <v>30923.47321574</v>
      </c>
      <c r="I4039" s="191" t="n">
        <v>3289240.63132206</v>
      </c>
      <c r="J4039" s="192" t="str">
        <f>IF(I4039&gt;0,H4039/I4039,0)</f>
      </c>
      <c r="K4039" s="193" t="str">
        <f>1-EXP(-J4039)</f>
      </c>
      <c r="L4039" s="194" t="str">
        <f>IF(G4039=30,1,M4038)</f>
      </c>
      <c r="M4039" s="195" t="str">
        <f>L4039*(1-K4039)</f>
      </c>
    </row>
    <row r="4040">
      <c r="A4040" t="s">
        <v>167</v>
      </c>
      <c r="B4040" t="s">
        <v>262</v>
      </c>
      <c r="C4040" s="35" t="s">
        <v>264</v>
      </c>
      <c r="D4040" t="s">
        <v>502</v>
      </c>
      <c r="E4040" t="s">
        <v>520</v>
      </c>
      <c r="F4040" s="188" t="n">
        <v>2047</v>
      </c>
      <c r="G4040" s="189" t="n">
        <v>68</v>
      </c>
      <c r="H4040" s="190" t="n">
        <v>32828.7149452967</v>
      </c>
      <c r="I4040" s="191" t="n">
        <v>3175845.38643847</v>
      </c>
      <c r="J4040" s="192" t="str">
        <f>IF(I4040&gt;0,H4040/I4040,0)</f>
      </c>
      <c r="K4040" s="193" t="str">
        <f>1-EXP(-J4040)</f>
      </c>
      <c r="L4040" s="194" t="str">
        <f>IF(G4040=30,1,M4039)</f>
      </c>
      <c r="M4040" s="195" t="str">
        <f>L4040*(1-K4040)</f>
      </c>
    </row>
    <row r="4041">
      <c r="A4041" t="s">
        <v>167</v>
      </c>
      <c r="B4041" t="s">
        <v>262</v>
      </c>
      <c r="C4041" s="35" t="s">
        <v>264</v>
      </c>
      <c r="D4041" t="s">
        <v>502</v>
      </c>
      <c r="E4041" t="s">
        <v>520</v>
      </c>
      <c r="F4041" s="188" t="n">
        <v>2047</v>
      </c>
      <c r="G4041" s="189" t="n">
        <v>69</v>
      </c>
      <c r="H4041" s="190" t="n">
        <v>34634.4933609444</v>
      </c>
      <c r="I4041" s="191" t="n">
        <v>3044361.3069937</v>
      </c>
      <c r="J4041" s="192" t="str">
        <f>IF(I4041&gt;0,H4041/I4041,0)</f>
      </c>
      <c r="K4041" s="193" t="str">
        <f>1-EXP(-J4041)</f>
      </c>
      <c r="L4041" s="194" t="str">
        <f>IF(G4041=30,1,M4040)</f>
      </c>
      <c r="M4041" s="195" t="str">
        <f>L4041*(1-K4041)</f>
      </c>
    </row>
    <row r="4042">
      <c r="A4042" t="s">
        <v>167</v>
      </c>
      <c r="B4042" t="s">
        <v>262</v>
      </c>
      <c r="C4042" s="35" t="s">
        <v>264</v>
      </c>
      <c r="D4042" t="s">
        <v>502</v>
      </c>
      <c r="E4042" t="s">
        <v>520</v>
      </c>
      <c r="F4042" s="188" t="n">
        <v>2048</v>
      </c>
      <c r="G4042" s="189" t="n">
        <v>30</v>
      </c>
      <c r="H4042" s="190" t="n">
        <v>601.981879784592</v>
      </c>
      <c r="I4042" s="191" t="n">
        <v>4275316.048178</v>
      </c>
      <c r="J4042" s="192" t="str">
        <f>IF(I4042&gt;0,H4042/I4042,0)</f>
      </c>
      <c r="K4042" s="193" t="str">
        <f>1-EXP(-J4042)</f>
      </c>
      <c r="L4042" s="194" t="str">
        <f>IF(G4042=30,1,M4041)</f>
      </c>
      <c r="M4042" s="195" t="str">
        <f>L4042*(1-K4042)</f>
      </c>
    </row>
    <row r="4043">
      <c r="A4043" t="s">
        <v>167</v>
      </c>
      <c r="B4043" t="s">
        <v>262</v>
      </c>
      <c r="C4043" s="35" t="s">
        <v>264</v>
      </c>
      <c r="D4043" t="s">
        <v>502</v>
      </c>
      <c r="E4043" t="s">
        <v>520</v>
      </c>
      <c r="F4043" s="188" t="n">
        <v>2048</v>
      </c>
      <c r="G4043" s="189" t="n">
        <v>31</v>
      </c>
      <c r="H4043" s="190" t="n">
        <v>835.878717713425</v>
      </c>
      <c r="I4043" s="191" t="n">
        <v>4315856.1464941</v>
      </c>
      <c r="J4043" s="192" t="str">
        <f>IF(I4043&gt;0,H4043/I4043,0)</f>
      </c>
      <c r="K4043" s="193" t="str">
        <f>1-EXP(-J4043)</f>
      </c>
      <c r="L4043" s="194" t="str">
        <f>IF(G4043=30,1,M4042)</f>
      </c>
      <c r="M4043" s="195" t="str">
        <f>L4043*(1-K4043)</f>
      </c>
    </row>
    <row r="4044">
      <c r="A4044" t="s">
        <v>167</v>
      </c>
      <c r="B4044" t="s">
        <v>262</v>
      </c>
      <c r="C4044" s="35" t="s">
        <v>264</v>
      </c>
      <c r="D4044" t="s">
        <v>502</v>
      </c>
      <c r="E4044" t="s">
        <v>520</v>
      </c>
      <c r="F4044" s="188" t="n">
        <v>2048</v>
      </c>
      <c r="G4044" s="189" t="n">
        <v>32</v>
      </c>
      <c r="H4044" s="190" t="n">
        <v>969.909735160049</v>
      </c>
      <c r="I4044" s="191" t="n">
        <v>4578371.12415233</v>
      </c>
      <c r="J4044" s="192" t="str">
        <f>IF(I4044&gt;0,H4044/I4044,0)</f>
      </c>
      <c r="K4044" s="193" t="str">
        <f>1-EXP(-J4044)</f>
      </c>
      <c r="L4044" s="194" t="str">
        <f>IF(G4044=30,1,M4043)</f>
      </c>
      <c r="M4044" s="195" t="str">
        <f>L4044*(1-K4044)</f>
      </c>
    </row>
    <row r="4045">
      <c r="A4045" t="s">
        <v>167</v>
      </c>
      <c r="B4045" t="s">
        <v>262</v>
      </c>
      <c r="C4045" s="35" t="s">
        <v>264</v>
      </c>
      <c r="D4045" t="s">
        <v>502</v>
      </c>
      <c r="E4045" t="s">
        <v>520</v>
      </c>
      <c r="F4045" s="188" t="n">
        <v>2048</v>
      </c>
      <c r="G4045" s="189" t="n">
        <v>33</v>
      </c>
      <c r="H4045" s="190" t="n">
        <v>1072.52208727456</v>
      </c>
      <c r="I4045" s="191" t="n">
        <v>4626883.05364848</v>
      </c>
      <c r="J4045" s="192" t="str">
        <f>IF(I4045&gt;0,H4045/I4045,0)</f>
      </c>
      <c r="K4045" s="193" t="str">
        <f>1-EXP(-J4045)</f>
      </c>
      <c r="L4045" s="194" t="str">
        <f>IF(G4045=30,1,M4044)</f>
      </c>
      <c r="M4045" s="195" t="str">
        <f>L4045*(1-K4045)</f>
      </c>
    </row>
    <row r="4046">
      <c r="A4046" t="s">
        <v>167</v>
      </c>
      <c r="B4046" t="s">
        <v>262</v>
      </c>
      <c r="C4046" s="35" t="s">
        <v>264</v>
      </c>
      <c r="D4046" t="s">
        <v>502</v>
      </c>
      <c r="E4046" t="s">
        <v>520</v>
      </c>
      <c r="F4046" s="188" t="n">
        <v>2048</v>
      </c>
      <c r="G4046" s="189" t="n">
        <v>34</v>
      </c>
      <c r="H4046" s="190" t="n">
        <v>1158.77226741284</v>
      </c>
      <c r="I4046" s="191" t="n">
        <v>4692812.56046166</v>
      </c>
      <c r="J4046" s="192" t="str">
        <f>IF(I4046&gt;0,H4046/I4046,0)</f>
      </c>
      <c r="K4046" s="193" t="str">
        <f>1-EXP(-J4046)</f>
      </c>
      <c r="L4046" s="194" t="str">
        <f>IF(G4046=30,1,M4045)</f>
      </c>
      <c r="M4046" s="195" t="str">
        <f>L4046*(1-K4046)</f>
      </c>
    </row>
    <row r="4047">
      <c r="A4047" t="s">
        <v>167</v>
      </c>
      <c r="B4047" t="s">
        <v>262</v>
      </c>
      <c r="C4047" s="35" t="s">
        <v>264</v>
      </c>
      <c r="D4047" t="s">
        <v>502</v>
      </c>
      <c r="E4047" t="s">
        <v>520</v>
      </c>
      <c r="F4047" s="188" t="n">
        <v>2048</v>
      </c>
      <c r="G4047" s="189" t="n">
        <v>35</v>
      </c>
      <c r="H4047" s="190" t="n">
        <v>1522.52823636747</v>
      </c>
      <c r="I4047" s="191" t="n">
        <v>4760002.86590147</v>
      </c>
      <c r="J4047" s="192" t="str">
        <f>IF(I4047&gt;0,H4047/I4047,0)</f>
      </c>
      <c r="K4047" s="193" t="str">
        <f>1-EXP(-J4047)</f>
      </c>
      <c r="L4047" s="194" t="str">
        <f>IF(G4047=30,1,M4046)</f>
      </c>
      <c r="M4047" s="195" t="str">
        <f>L4047*(1-K4047)</f>
      </c>
    </row>
    <row r="4048">
      <c r="A4048" t="s">
        <v>167</v>
      </c>
      <c r="B4048" t="s">
        <v>262</v>
      </c>
      <c r="C4048" s="35" t="s">
        <v>264</v>
      </c>
      <c r="D4048" t="s">
        <v>502</v>
      </c>
      <c r="E4048" t="s">
        <v>520</v>
      </c>
      <c r="F4048" s="188" t="n">
        <v>2048</v>
      </c>
      <c r="G4048" s="189" t="n">
        <v>36</v>
      </c>
      <c r="H4048" s="190" t="n">
        <v>1898.72429279242</v>
      </c>
      <c r="I4048" s="191" t="n">
        <v>4870763.05332148</v>
      </c>
      <c r="J4048" s="192" t="str">
        <f>IF(I4048&gt;0,H4048/I4048,0)</f>
      </c>
      <c r="K4048" s="193" t="str">
        <f>1-EXP(-J4048)</f>
      </c>
      <c r="L4048" s="194" t="str">
        <f>IF(G4048=30,1,M4047)</f>
      </c>
      <c r="M4048" s="195" t="str">
        <f>L4048*(1-K4048)</f>
      </c>
    </row>
    <row r="4049">
      <c r="A4049" t="s">
        <v>167</v>
      </c>
      <c r="B4049" t="s">
        <v>262</v>
      </c>
      <c r="C4049" s="35" t="s">
        <v>264</v>
      </c>
      <c r="D4049" t="s">
        <v>502</v>
      </c>
      <c r="E4049" t="s">
        <v>520</v>
      </c>
      <c r="F4049" s="188" t="n">
        <v>2048</v>
      </c>
      <c r="G4049" s="189" t="n">
        <v>37</v>
      </c>
      <c r="H4049" s="190" t="n">
        <v>2027.80404806955</v>
      </c>
      <c r="I4049" s="191" t="n">
        <v>4841274.7735734</v>
      </c>
      <c r="J4049" s="192" t="str">
        <f>IF(I4049&gt;0,H4049/I4049,0)</f>
      </c>
      <c r="K4049" s="193" t="str">
        <f>1-EXP(-J4049)</f>
      </c>
      <c r="L4049" s="194" t="str">
        <f>IF(G4049=30,1,M4048)</f>
      </c>
      <c r="M4049" s="195" t="str">
        <f>L4049*(1-K4049)</f>
      </c>
    </row>
    <row r="4050">
      <c r="A4050" t="s">
        <v>167</v>
      </c>
      <c r="B4050" t="s">
        <v>262</v>
      </c>
      <c r="C4050" s="35" t="s">
        <v>264</v>
      </c>
      <c r="D4050" t="s">
        <v>502</v>
      </c>
      <c r="E4050" t="s">
        <v>520</v>
      </c>
      <c r="F4050" s="188" t="n">
        <v>2048</v>
      </c>
      <c r="G4050" s="189" t="n">
        <v>38</v>
      </c>
      <c r="H4050" s="190" t="n">
        <v>2125.91405599329</v>
      </c>
      <c r="I4050" s="191" t="n">
        <v>4706496.07768475</v>
      </c>
      <c r="J4050" s="192" t="str">
        <f>IF(I4050&gt;0,H4050/I4050,0)</f>
      </c>
      <c r="K4050" s="193" t="str">
        <f>1-EXP(-J4050)</f>
      </c>
      <c r="L4050" s="194" t="str">
        <f>IF(G4050=30,1,M4049)</f>
      </c>
      <c r="M4050" s="195" t="str">
        <f>L4050*(1-K4050)</f>
      </c>
    </row>
    <row r="4051">
      <c r="A4051" t="s">
        <v>167</v>
      </c>
      <c r="B4051" t="s">
        <v>262</v>
      </c>
      <c r="C4051" s="35" t="s">
        <v>264</v>
      </c>
      <c r="D4051" t="s">
        <v>502</v>
      </c>
      <c r="E4051" t="s">
        <v>520</v>
      </c>
      <c r="F4051" s="188" t="n">
        <v>2048</v>
      </c>
      <c r="G4051" s="189" t="n">
        <v>39</v>
      </c>
      <c r="H4051" s="190" t="n">
        <v>2264.08327758933</v>
      </c>
      <c r="I4051" s="191" t="n">
        <v>4633880.96757813</v>
      </c>
      <c r="J4051" s="192" t="str">
        <f>IF(I4051&gt;0,H4051/I4051,0)</f>
      </c>
      <c r="K4051" s="193" t="str">
        <f>1-EXP(-J4051)</f>
      </c>
      <c r="L4051" s="194" t="str">
        <f>IF(G4051=30,1,M4050)</f>
      </c>
      <c r="M4051" s="195" t="str">
        <f>L4051*(1-K4051)</f>
      </c>
    </row>
    <row r="4052">
      <c r="A4052" t="s">
        <v>167</v>
      </c>
      <c r="B4052" t="s">
        <v>262</v>
      </c>
      <c r="C4052" s="35" t="s">
        <v>264</v>
      </c>
      <c r="D4052" t="s">
        <v>502</v>
      </c>
      <c r="E4052" t="s">
        <v>520</v>
      </c>
      <c r="F4052" s="188" t="n">
        <v>2048</v>
      </c>
      <c r="G4052" s="189" t="n">
        <v>40</v>
      </c>
      <c r="H4052" s="190" t="n">
        <v>3010.82794021637</v>
      </c>
      <c r="I4052" s="191" t="n">
        <v>4588696.25683542</v>
      </c>
      <c r="J4052" s="192" t="str">
        <f>IF(I4052&gt;0,H4052/I4052,0)</f>
      </c>
      <c r="K4052" s="193" t="str">
        <f>1-EXP(-J4052)</f>
      </c>
      <c r="L4052" s="194" t="str">
        <f>IF(G4052=30,1,M4051)</f>
      </c>
      <c r="M4052" s="195" t="str">
        <f>L4052*(1-K4052)</f>
      </c>
    </row>
    <row r="4053">
      <c r="A4053" t="s">
        <v>167</v>
      </c>
      <c r="B4053" t="s">
        <v>262</v>
      </c>
      <c r="C4053" s="35" t="s">
        <v>264</v>
      </c>
      <c r="D4053" t="s">
        <v>502</v>
      </c>
      <c r="E4053" t="s">
        <v>520</v>
      </c>
      <c r="F4053" s="188" t="n">
        <v>2048</v>
      </c>
      <c r="G4053" s="189" t="n">
        <v>41</v>
      </c>
      <c r="H4053" s="190" t="n">
        <v>3482.11401508543</v>
      </c>
      <c r="I4053" s="191" t="n">
        <v>4609710.2475082</v>
      </c>
      <c r="J4053" s="192" t="str">
        <f>IF(I4053&gt;0,H4053/I4053,0)</f>
      </c>
      <c r="K4053" s="193" t="str">
        <f>1-EXP(-J4053)</f>
      </c>
      <c r="L4053" s="194" t="str">
        <f>IF(G4053=30,1,M4052)</f>
      </c>
      <c r="M4053" s="195" t="str">
        <f>L4053*(1-K4053)</f>
      </c>
    </row>
    <row r="4054">
      <c r="A4054" t="s">
        <v>167</v>
      </c>
      <c r="B4054" t="s">
        <v>262</v>
      </c>
      <c r="C4054" s="35" t="s">
        <v>264</v>
      </c>
      <c r="D4054" t="s">
        <v>502</v>
      </c>
      <c r="E4054" t="s">
        <v>520</v>
      </c>
      <c r="F4054" s="188" t="n">
        <v>2048</v>
      </c>
      <c r="G4054" s="189" t="n">
        <v>42</v>
      </c>
      <c r="H4054" s="190" t="n">
        <v>3706.8477216096</v>
      </c>
      <c r="I4054" s="191" t="n">
        <v>4523506.01152867</v>
      </c>
      <c r="J4054" s="192" t="str">
        <f>IF(I4054&gt;0,H4054/I4054,0)</f>
      </c>
      <c r="K4054" s="193" t="str">
        <f>1-EXP(-J4054)</f>
      </c>
      <c r="L4054" s="194" t="str">
        <f>IF(G4054=30,1,M4053)</f>
      </c>
      <c r="M4054" s="195" t="str">
        <f>L4054*(1-K4054)</f>
      </c>
    </row>
    <row r="4055">
      <c r="A4055" t="s">
        <v>167</v>
      </c>
      <c r="B4055" t="s">
        <v>262</v>
      </c>
      <c r="C4055" s="35" t="s">
        <v>264</v>
      </c>
      <c r="D4055" t="s">
        <v>502</v>
      </c>
      <c r="E4055" t="s">
        <v>520</v>
      </c>
      <c r="F4055" s="188" t="n">
        <v>2048</v>
      </c>
      <c r="G4055" s="189" t="n">
        <v>43</v>
      </c>
      <c r="H4055" s="190" t="n">
        <v>3971.87615399019</v>
      </c>
      <c r="I4055" s="191" t="n">
        <v>4458410.9247301</v>
      </c>
      <c r="J4055" s="192" t="str">
        <f>IF(I4055&gt;0,H4055/I4055,0)</f>
      </c>
      <c r="K4055" s="193" t="str">
        <f>1-EXP(-J4055)</f>
      </c>
      <c r="L4055" s="194" t="str">
        <f>IF(G4055=30,1,M4054)</f>
      </c>
      <c r="M4055" s="195" t="str">
        <f>L4055*(1-K4055)</f>
      </c>
    </row>
    <row r="4056">
      <c r="A4056" t="s">
        <v>167</v>
      </c>
      <c r="B4056" t="s">
        <v>262</v>
      </c>
      <c r="C4056" s="35" t="s">
        <v>264</v>
      </c>
      <c r="D4056" t="s">
        <v>502</v>
      </c>
      <c r="E4056" t="s">
        <v>520</v>
      </c>
      <c r="F4056" s="188" t="n">
        <v>2048</v>
      </c>
      <c r="G4056" s="189" t="n">
        <v>44</v>
      </c>
      <c r="H4056" s="190" t="n">
        <v>4200.66840922164</v>
      </c>
      <c r="I4056" s="191" t="n">
        <v>4326370.9589251</v>
      </c>
      <c r="J4056" s="192" t="str">
        <f>IF(I4056&gt;0,H4056/I4056,0)</f>
      </c>
      <c r="K4056" s="193" t="str">
        <f>1-EXP(-J4056)</f>
      </c>
      <c r="L4056" s="194" t="str">
        <f>IF(G4056=30,1,M4055)</f>
      </c>
      <c r="M4056" s="195" t="str">
        <f>L4056*(1-K4056)</f>
      </c>
    </row>
    <row r="4057">
      <c r="A4057" t="s">
        <v>167</v>
      </c>
      <c r="B4057" t="s">
        <v>262</v>
      </c>
      <c r="C4057" s="35" t="s">
        <v>264</v>
      </c>
      <c r="D4057" t="s">
        <v>502</v>
      </c>
      <c r="E4057" t="s">
        <v>520</v>
      </c>
      <c r="F4057" s="188" t="n">
        <v>2048</v>
      </c>
      <c r="G4057" s="189" t="n">
        <v>45</v>
      </c>
      <c r="H4057" s="190" t="n">
        <v>5304.35320572059</v>
      </c>
      <c r="I4057" s="191" t="n">
        <v>4255673.97974594</v>
      </c>
      <c r="J4057" s="192" t="str">
        <f>IF(I4057&gt;0,H4057/I4057,0)</f>
      </c>
      <c r="K4057" s="193" t="str">
        <f>1-EXP(-J4057)</f>
      </c>
      <c r="L4057" s="194" t="str">
        <f>IF(G4057=30,1,M4056)</f>
      </c>
      <c r="M4057" s="195" t="str">
        <f>L4057*(1-K4057)</f>
      </c>
    </row>
    <row r="4058">
      <c r="A4058" t="s">
        <v>167</v>
      </c>
      <c r="B4058" t="s">
        <v>262</v>
      </c>
      <c r="C4058" s="35" t="s">
        <v>264</v>
      </c>
      <c r="D4058" t="s">
        <v>502</v>
      </c>
      <c r="E4058" t="s">
        <v>520</v>
      </c>
      <c r="F4058" s="188" t="n">
        <v>2048</v>
      </c>
      <c r="G4058" s="189" t="n">
        <v>46</v>
      </c>
      <c r="H4058" s="190" t="n">
        <v>6019.25040483128</v>
      </c>
      <c r="I4058" s="191" t="n">
        <v>4224106.11693119</v>
      </c>
      <c r="J4058" s="192" t="str">
        <f>IF(I4058&gt;0,H4058/I4058,0)</f>
      </c>
      <c r="K4058" s="193" t="str">
        <f>1-EXP(-J4058)</f>
      </c>
      <c r="L4058" s="194" t="str">
        <f>IF(G4058=30,1,M4057)</f>
      </c>
      <c r="M4058" s="195" t="str">
        <f>L4058*(1-K4058)</f>
      </c>
    </row>
    <row r="4059">
      <c r="A4059" t="s">
        <v>167</v>
      </c>
      <c r="B4059" t="s">
        <v>262</v>
      </c>
      <c r="C4059" s="35" t="s">
        <v>264</v>
      </c>
      <c r="D4059" t="s">
        <v>502</v>
      </c>
      <c r="E4059" t="s">
        <v>520</v>
      </c>
      <c r="F4059" s="188" t="n">
        <v>2048</v>
      </c>
      <c r="G4059" s="189" t="n">
        <v>47</v>
      </c>
      <c r="H4059" s="190" t="n">
        <v>6549.72252693033</v>
      </c>
      <c r="I4059" s="191" t="n">
        <v>4195837.02467659</v>
      </c>
      <c r="J4059" s="192" t="str">
        <f>IF(I4059&gt;0,H4059/I4059,0)</f>
      </c>
      <c r="K4059" s="193" t="str">
        <f>1-EXP(-J4059)</f>
      </c>
      <c r="L4059" s="194" t="str">
        <f>IF(G4059=30,1,M4058)</f>
      </c>
      <c r="M4059" s="195" t="str">
        <f>L4059*(1-K4059)</f>
      </c>
    </row>
    <row r="4060">
      <c r="A4060" t="s">
        <v>167</v>
      </c>
      <c r="B4060" t="s">
        <v>262</v>
      </c>
      <c r="C4060" s="35" t="s">
        <v>264</v>
      </c>
      <c r="D4060" t="s">
        <v>502</v>
      </c>
      <c r="E4060" t="s">
        <v>520</v>
      </c>
      <c r="F4060" s="188" t="n">
        <v>2048</v>
      </c>
      <c r="G4060" s="189" t="n">
        <v>48</v>
      </c>
      <c r="H4060" s="190" t="n">
        <v>7138.87530297186</v>
      </c>
      <c r="I4060" s="191" t="n">
        <v>4166298.82507741</v>
      </c>
      <c r="J4060" s="192" t="str">
        <f>IF(I4060&gt;0,H4060/I4060,0)</f>
      </c>
      <c r="K4060" s="193" t="str">
        <f>1-EXP(-J4060)</f>
      </c>
      <c r="L4060" s="194" t="str">
        <f>IF(G4060=30,1,M4059)</f>
      </c>
      <c r="M4060" s="195" t="str">
        <f>L4060*(1-K4060)</f>
      </c>
    </row>
    <row r="4061">
      <c r="A4061" t="s">
        <v>167</v>
      </c>
      <c r="B4061" t="s">
        <v>262</v>
      </c>
      <c r="C4061" s="35" t="s">
        <v>264</v>
      </c>
      <c r="D4061" t="s">
        <v>502</v>
      </c>
      <c r="E4061" t="s">
        <v>520</v>
      </c>
      <c r="F4061" s="188" t="n">
        <v>2048</v>
      </c>
      <c r="G4061" s="189" t="n">
        <v>49</v>
      </c>
      <c r="H4061" s="190" t="n">
        <v>7858.76498767546</v>
      </c>
      <c r="I4061" s="191" t="n">
        <v>4173947.6964572</v>
      </c>
      <c r="J4061" s="192" t="str">
        <f>IF(I4061&gt;0,H4061/I4061,0)</f>
      </c>
      <c r="K4061" s="193" t="str">
        <f>1-EXP(-J4061)</f>
      </c>
      <c r="L4061" s="194" t="str">
        <f>IF(G4061=30,1,M4060)</f>
      </c>
      <c r="M4061" s="195" t="str">
        <f>L4061*(1-K4061)</f>
      </c>
    </row>
    <row r="4062">
      <c r="A4062" t="s">
        <v>167</v>
      </c>
      <c r="B4062" t="s">
        <v>262</v>
      </c>
      <c r="C4062" s="35" t="s">
        <v>264</v>
      </c>
      <c r="D4062" t="s">
        <v>502</v>
      </c>
      <c r="E4062" t="s">
        <v>520</v>
      </c>
      <c r="F4062" s="188" t="n">
        <v>2048</v>
      </c>
      <c r="G4062" s="189" t="n">
        <v>50</v>
      </c>
      <c r="H4062" s="190" t="n">
        <v>9063.69131780794</v>
      </c>
      <c r="I4062" s="191" t="n">
        <v>4217779.97878907</v>
      </c>
      <c r="J4062" s="192" t="str">
        <f>IF(I4062&gt;0,H4062/I4062,0)</f>
      </c>
      <c r="K4062" s="193" t="str">
        <f>1-EXP(-J4062)</f>
      </c>
      <c r="L4062" s="194" t="str">
        <f>IF(G4062=30,1,M4061)</f>
      </c>
      <c r="M4062" s="195" t="str">
        <f>L4062*(1-K4062)</f>
      </c>
    </row>
    <row r="4063">
      <c r="A4063" t="s">
        <v>167</v>
      </c>
      <c r="B4063" t="s">
        <v>262</v>
      </c>
      <c r="C4063" s="35" t="s">
        <v>264</v>
      </c>
      <c r="D4063" t="s">
        <v>502</v>
      </c>
      <c r="E4063" t="s">
        <v>520</v>
      </c>
      <c r="F4063" s="188" t="n">
        <v>2048</v>
      </c>
      <c r="G4063" s="189" t="n">
        <v>51</v>
      </c>
      <c r="H4063" s="190" t="n">
        <v>10408.1324317778</v>
      </c>
      <c r="I4063" s="191" t="n">
        <v>4331599.09930573</v>
      </c>
      <c r="J4063" s="192" t="str">
        <f>IF(I4063&gt;0,H4063/I4063,0)</f>
      </c>
      <c r="K4063" s="193" t="str">
        <f>1-EXP(-J4063)</f>
      </c>
      <c r="L4063" s="194" t="str">
        <f>IF(G4063=30,1,M4062)</f>
      </c>
      <c r="M4063" s="195" t="str">
        <f>L4063*(1-K4063)</f>
      </c>
    </row>
    <row r="4064">
      <c r="A4064" t="s">
        <v>167</v>
      </c>
      <c r="B4064" t="s">
        <v>262</v>
      </c>
      <c r="C4064" s="35" t="s">
        <v>264</v>
      </c>
      <c r="D4064" t="s">
        <v>502</v>
      </c>
      <c r="E4064" t="s">
        <v>520</v>
      </c>
      <c r="F4064" s="188" t="n">
        <v>2048</v>
      </c>
      <c r="G4064" s="189" t="n">
        <v>52</v>
      </c>
      <c r="H4064" s="190" t="n">
        <v>11225.4206393224</v>
      </c>
      <c r="I4064" s="191" t="n">
        <v>4273019.06158473</v>
      </c>
      <c r="J4064" s="192" t="str">
        <f>IF(I4064&gt;0,H4064/I4064,0)</f>
      </c>
      <c r="K4064" s="193" t="str">
        <f>1-EXP(-J4064)</f>
      </c>
      <c r="L4064" s="194" t="str">
        <f>IF(G4064=30,1,M4063)</f>
      </c>
      <c r="M4064" s="195" t="str">
        <f>L4064*(1-K4064)</f>
      </c>
    </row>
    <row r="4065">
      <c r="A4065" t="s">
        <v>167</v>
      </c>
      <c r="B4065" t="s">
        <v>262</v>
      </c>
      <c r="C4065" s="35" t="s">
        <v>264</v>
      </c>
      <c r="D4065" t="s">
        <v>502</v>
      </c>
      <c r="E4065" t="s">
        <v>520</v>
      </c>
      <c r="F4065" s="188" t="n">
        <v>2048</v>
      </c>
      <c r="G4065" s="189" t="n">
        <v>53</v>
      </c>
      <c r="H4065" s="190" t="n">
        <v>11991.3043754539</v>
      </c>
      <c r="I4065" s="191" t="n">
        <v>4184433.45047301</v>
      </c>
      <c r="J4065" s="192" t="str">
        <f>IF(I4065&gt;0,H4065/I4065,0)</f>
      </c>
      <c r="K4065" s="193" t="str">
        <f>1-EXP(-J4065)</f>
      </c>
      <c r="L4065" s="194" t="str">
        <f>IF(G4065=30,1,M4064)</f>
      </c>
      <c r="M4065" s="195" t="str">
        <f>L4065*(1-K4065)</f>
      </c>
    </row>
    <row r="4066">
      <c r="A4066" t="s">
        <v>167</v>
      </c>
      <c r="B4066" t="s">
        <v>262</v>
      </c>
      <c r="C4066" s="35" t="s">
        <v>264</v>
      </c>
      <c r="D4066" t="s">
        <v>502</v>
      </c>
      <c r="E4066" t="s">
        <v>520</v>
      </c>
      <c r="F4066" s="188" t="n">
        <v>2048</v>
      </c>
      <c r="G4066" s="189" t="n">
        <v>54</v>
      </c>
      <c r="H4066" s="190" t="n">
        <v>12822.3039808949</v>
      </c>
      <c r="I4066" s="191" t="n">
        <v>4109418.33415772</v>
      </c>
      <c r="J4066" s="192" t="str">
        <f>IF(I4066&gt;0,H4066/I4066,0)</f>
      </c>
      <c r="K4066" s="193" t="str">
        <f>1-EXP(-J4066)</f>
      </c>
      <c r="L4066" s="194" t="str">
        <f>IF(G4066=30,1,M4065)</f>
      </c>
      <c r="M4066" s="195" t="str">
        <f>L4066*(1-K4066)</f>
      </c>
    </row>
    <row r="4067">
      <c r="A4067" t="s">
        <v>167</v>
      </c>
      <c r="B4067" t="s">
        <v>262</v>
      </c>
      <c r="C4067" s="35" t="s">
        <v>264</v>
      </c>
      <c r="D4067" t="s">
        <v>502</v>
      </c>
      <c r="E4067" t="s">
        <v>520</v>
      </c>
      <c r="F4067" s="188" t="n">
        <v>2048</v>
      </c>
      <c r="G4067" s="189" t="n">
        <v>55</v>
      </c>
      <c r="H4067" s="190" t="n">
        <v>13436.7791975286</v>
      </c>
      <c r="I4067" s="191" t="n">
        <v>4036384.52542063</v>
      </c>
      <c r="J4067" s="192" t="str">
        <f>IF(I4067&gt;0,H4067/I4067,0)</f>
      </c>
      <c r="K4067" s="193" t="str">
        <f>1-EXP(-J4067)</f>
      </c>
      <c r="L4067" s="194" t="str">
        <f>IF(G4067=30,1,M4066)</f>
      </c>
      <c r="M4067" s="195" t="str">
        <f>L4067*(1-K4067)</f>
      </c>
    </row>
    <row r="4068">
      <c r="A4068" t="s">
        <v>167</v>
      </c>
      <c r="B4068" t="s">
        <v>262</v>
      </c>
      <c r="C4068" s="35" t="s">
        <v>264</v>
      </c>
      <c r="D4068" t="s">
        <v>502</v>
      </c>
      <c r="E4068" t="s">
        <v>520</v>
      </c>
      <c r="F4068" s="188" t="n">
        <v>2048</v>
      </c>
      <c r="G4068" s="189" t="n">
        <v>56</v>
      </c>
      <c r="H4068" s="190" t="n">
        <v>14614.9889936885</v>
      </c>
      <c r="I4068" s="191" t="n">
        <v>4047012.76815567</v>
      </c>
      <c r="J4068" s="192" t="str">
        <f>IF(I4068&gt;0,H4068/I4068,0)</f>
      </c>
      <c r="K4068" s="193" t="str">
        <f>1-EXP(-J4068)</f>
      </c>
      <c r="L4068" s="194" t="str">
        <f>IF(G4068=30,1,M4067)</f>
      </c>
      <c r="M4068" s="195" t="str">
        <f>L4068*(1-K4068)</f>
      </c>
    </row>
    <row r="4069">
      <c r="A4069" t="s">
        <v>167</v>
      </c>
      <c r="B4069" t="s">
        <v>262</v>
      </c>
      <c r="C4069" s="35" t="s">
        <v>264</v>
      </c>
      <c r="D4069" t="s">
        <v>502</v>
      </c>
      <c r="E4069" t="s">
        <v>520</v>
      </c>
      <c r="F4069" s="188" t="n">
        <v>2048</v>
      </c>
      <c r="G4069" s="189" t="n">
        <v>57</v>
      </c>
      <c r="H4069" s="190" t="n">
        <v>15888.8250825843</v>
      </c>
      <c r="I4069" s="191" t="n">
        <v>4036615.07839461</v>
      </c>
      <c r="J4069" s="192" t="str">
        <f>IF(I4069&gt;0,H4069/I4069,0)</f>
      </c>
      <c r="K4069" s="193" t="str">
        <f>1-EXP(-J4069)</f>
      </c>
      <c r="L4069" s="194" t="str">
        <f>IF(G4069=30,1,M4068)</f>
      </c>
      <c r="M4069" s="195" t="str">
        <f>L4069*(1-K4069)</f>
      </c>
    </row>
    <row r="4070">
      <c r="A4070" t="s">
        <v>167</v>
      </c>
      <c r="B4070" t="s">
        <v>262</v>
      </c>
      <c r="C4070" s="35" t="s">
        <v>264</v>
      </c>
      <c r="D4070" t="s">
        <v>502</v>
      </c>
      <c r="E4070" t="s">
        <v>520</v>
      </c>
      <c r="F4070" s="188" t="n">
        <v>2048</v>
      </c>
      <c r="G4070" s="189" t="n">
        <v>58</v>
      </c>
      <c r="H4070" s="190" t="n">
        <v>23103.7876040733</v>
      </c>
      <c r="I4070" s="191" t="n">
        <v>5935036.17479233</v>
      </c>
      <c r="J4070" s="192" t="str">
        <f>IF(I4070&gt;0,H4070/I4070,0)</f>
      </c>
      <c r="K4070" s="193" t="str">
        <f>1-EXP(-J4070)</f>
      </c>
      <c r="L4070" s="194" t="str">
        <f>IF(G4070=30,1,M4069)</f>
      </c>
      <c r="M4070" s="195" t="str">
        <f>L4070*(1-K4070)</f>
      </c>
    </row>
    <row r="4071">
      <c r="A4071" t="s">
        <v>167</v>
      </c>
      <c r="B4071" t="s">
        <v>262</v>
      </c>
      <c r="C4071" s="35" t="s">
        <v>264</v>
      </c>
      <c r="D4071" t="s">
        <v>502</v>
      </c>
      <c r="E4071" t="s">
        <v>520</v>
      </c>
      <c r="F4071" s="188" t="n">
        <v>2048</v>
      </c>
      <c r="G4071" s="189" t="n">
        <v>59</v>
      </c>
      <c r="H4071" s="190" t="n">
        <v>18524.2613292651</v>
      </c>
      <c r="I4071" s="191" t="n">
        <v>3937356.33457071</v>
      </c>
      <c r="J4071" s="192" t="str">
        <f>IF(I4071&gt;0,H4071/I4071,0)</f>
      </c>
      <c r="K4071" s="193" t="str">
        <f>1-EXP(-J4071)</f>
      </c>
      <c r="L4071" s="194" t="str">
        <f>IF(G4071=30,1,M4070)</f>
      </c>
      <c r="M4071" s="195" t="str">
        <f>L4071*(1-K4071)</f>
      </c>
    </row>
    <row r="4072">
      <c r="A4072" t="s">
        <v>167</v>
      </c>
      <c r="B4072" t="s">
        <v>262</v>
      </c>
      <c r="C4072" s="35" t="s">
        <v>264</v>
      </c>
      <c r="D4072" t="s">
        <v>502</v>
      </c>
      <c r="E4072" t="s">
        <v>520</v>
      </c>
      <c r="F4072" s="188" t="n">
        <v>2048</v>
      </c>
      <c r="G4072" s="189" t="n">
        <v>60</v>
      </c>
      <c r="H4072" s="190" t="n">
        <v>19707.8978744348</v>
      </c>
      <c r="I4072" s="191" t="n">
        <v>3887582.45308368</v>
      </c>
      <c r="J4072" s="192" t="str">
        <f>IF(I4072&gt;0,H4072/I4072,0)</f>
      </c>
      <c r="K4072" s="193" t="str">
        <f>1-EXP(-J4072)</f>
      </c>
      <c r="L4072" s="194" t="str">
        <f>IF(G4072=30,1,M4071)</f>
      </c>
      <c r="M4072" s="195" t="str">
        <f>L4072*(1-K4072)</f>
      </c>
    </row>
    <row r="4073">
      <c r="A4073" t="s">
        <v>167</v>
      </c>
      <c r="B4073" t="s">
        <v>262</v>
      </c>
      <c r="C4073" s="35" t="s">
        <v>264</v>
      </c>
      <c r="D4073" t="s">
        <v>502</v>
      </c>
      <c r="E4073" t="s">
        <v>520</v>
      </c>
      <c r="F4073" s="188" t="n">
        <v>2048</v>
      </c>
      <c r="G4073" s="189" t="n">
        <v>61</v>
      </c>
      <c r="H4073" s="190" t="n">
        <v>20782.8889773368</v>
      </c>
      <c r="I4073" s="191" t="n">
        <v>3731790.10407514</v>
      </c>
      <c r="J4073" s="192" t="str">
        <f>IF(I4073&gt;0,H4073/I4073,0)</f>
      </c>
      <c r="K4073" s="193" t="str">
        <f>1-EXP(-J4073)</f>
      </c>
      <c r="L4073" s="194" t="str">
        <f>IF(G4073=30,1,M4072)</f>
      </c>
      <c r="M4073" s="195" t="str">
        <f>L4073*(1-K4073)</f>
      </c>
    </row>
    <row r="4074">
      <c r="A4074" t="s">
        <v>167</v>
      </c>
      <c r="B4074" t="s">
        <v>262</v>
      </c>
      <c r="C4074" s="35" t="s">
        <v>264</v>
      </c>
      <c r="D4074" t="s">
        <v>502</v>
      </c>
      <c r="E4074" t="s">
        <v>520</v>
      </c>
      <c r="F4074" s="188" t="n">
        <v>2048</v>
      </c>
      <c r="G4074" s="189" t="n">
        <v>62</v>
      </c>
      <c r="H4074" s="190" t="n">
        <v>22393.0500416073</v>
      </c>
      <c r="I4074" s="191" t="n">
        <v>3661411.71116485</v>
      </c>
      <c r="J4074" s="192" t="str">
        <f>IF(I4074&gt;0,H4074/I4074,0)</f>
      </c>
      <c r="K4074" s="193" t="str">
        <f>1-EXP(-J4074)</f>
      </c>
      <c r="L4074" s="194" t="str">
        <f>IF(G4074=30,1,M4073)</f>
      </c>
      <c r="M4074" s="195" t="str">
        <f>L4074*(1-K4074)</f>
      </c>
    </row>
    <row r="4075">
      <c r="A4075" t="s">
        <v>167</v>
      </c>
      <c r="B4075" t="s">
        <v>262</v>
      </c>
      <c r="C4075" s="35" t="s">
        <v>264</v>
      </c>
      <c r="D4075" t="s">
        <v>502</v>
      </c>
      <c r="E4075" t="s">
        <v>520</v>
      </c>
      <c r="F4075" s="188" t="n">
        <v>2048</v>
      </c>
      <c r="G4075" s="189" t="n">
        <v>63</v>
      </c>
      <c r="H4075" s="190" t="n">
        <v>24651.0877982902</v>
      </c>
      <c r="I4075" s="191" t="n">
        <v>3669658.44852991</v>
      </c>
      <c r="J4075" s="192" t="str">
        <f>IF(I4075&gt;0,H4075/I4075,0)</f>
      </c>
      <c r="K4075" s="193" t="str">
        <f>1-EXP(-J4075)</f>
      </c>
      <c r="L4075" s="194" t="str">
        <f>IF(G4075=30,1,M4074)</f>
      </c>
      <c r="M4075" s="195" t="str">
        <f>L4075*(1-K4075)</f>
      </c>
    </row>
    <row r="4076">
      <c r="A4076" t="s">
        <v>167</v>
      </c>
      <c r="B4076" t="s">
        <v>262</v>
      </c>
      <c r="C4076" s="35" t="s">
        <v>264</v>
      </c>
      <c r="D4076" t="s">
        <v>502</v>
      </c>
      <c r="E4076" t="s">
        <v>520</v>
      </c>
      <c r="F4076" s="188" t="n">
        <v>2048</v>
      </c>
      <c r="G4076" s="189" t="n">
        <v>64</v>
      </c>
      <c r="H4076" s="190" t="n">
        <v>27246.3830362741</v>
      </c>
      <c r="I4076" s="191" t="n">
        <v>3694417.10716661</v>
      </c>
      <c r="J4076" s="192" t="str">
        <f>IF(I4076&gt;0,H4076/I4076,0)</f>
      </c>
      <c r="K4076" s="193" t="str">
        <f>1-EXP(-J4076)</f>
      </c>
      <c r="L4076" s="194" t="str">
        <f>IF(G4076=30,1,M4075)</f>
      </c>
      <c r="M4076" s="195" t="str">
        <f>L4076*(1-K4076)</f>
      </c>
    </row>
    <row r="4077">
      <c r="A4077" t="s">
        <v>167</v>
      </c>
      <c r="B4077" t="s">
        <v>262</v>
      </c>
      <c r="C4077" s="35" t="s">
        <v>264</v>
      </c>
      <c r="D4077" t="s">
        <v>502</v>
      </c>
      <c r="E4077" t="s">
        <v>520</v>
      </c>
      <c r="F4077" s="188" t="n">
        <v>2048</v>
      </c>
      <c r="G4077" s="189" t="n">
        <v>65</v>
      </c>
      <c r="H4077" s="190" t="n">
        <v>27859.68913914</v>
      </c>
      <c r="I4077" s="191" t="n">
        <v>3620799.46960983</v>
      </c>
      <c r="J4077" s="192" t="str">
        <f>IF(I4077&gt;0,H4077/I4077,0)</f>
      </c>
      <c r="K4077" s="193" t="str">
        <f>1-EXP(-J4077)</f>
      </c>
      <c r="L4077" s="194" t="str">
        <f>IF(G4077=30,1,M4076)</f>
      </c>
      <c r="M4077" s="195" t="str">
        <f>L4077*(1-K4077)</f>
      </c>
    </row>
    <row r="4078">
      <c r="A4078" t="s">
        <v>167</v>
      </c>
      <c r="B4078" t="s">
        <v>262</v>
      </c>
      <c r="C4078" s="35" t="s">
        <v>264</v>
      </c>
      <c r="D4078" t="s">
        <v>502</v>
      </c>
      <c r="E4078" t="s">
        <v>520</v>
      </c>
      <c r="F4078" s="188" t="n">
        <v>2048</v>
      </c>
      <c r="G4078" s="189" t="n">
        <v>66</v>
      </c>
      <c r="H4078" s="190" t="n">
        <v>29162.1020020994</v>
      </c>
      <c r="I4078" s="191" t="n">
        <v>3449966.97871241</v>
      </c>
      <c r="J4078" s="192" t="str">
        <f>IF(I4078&gt;0,H4078/I4078,0)</f>
      </c>
      <c r="K4078" s="193" t="str">
        <f>1-EXP(-J4078)</f>
      </c>
      <c r="L4078" s="194" t="str">
        <f>IF(G4078=30,1,M4077)</f>
      </c>
      <c r="M4078" s="195" t="str">
        <f>L4078*(1-K4078)</f>
      </c>
    </row>
    <row r="4079">
      <c r="A4079" t="s">
        <v>167</v>
      </c>
      <c r="B4079" t="s">
        <v>262</v>
      </c>
      <c r="C4079" s="35" t="s">
        <v>264</v>
      </c>
      <c r="D4079" t="s">
        <v>502</v>
      </c>
      <c r="E4079" t="s">
        <v>520</v>
      </c>
      <c r="F4079" s="188" t="n">
        <v>2048</v>
      </c>
      <c r="G4079" s="189" t="n">
        <v>67</v>
      </c>
      <c r="H4079" s="190" t="n">
        <v>30923.4574246749</v>
      </c>
      <c r="I4079" s="191" t="n">
        <v>3329349.74845322</v>
      </c>
      <c r="J4079" s="192" t="str">
        <f>IF(I4079&gt;0,H4079/I4079,0)</f>
      </c>
      <c r="K4079" s="193" t="str">
        <f>1-EXP(-J4079)</f>
      </c>
      <c r="L4079" s="194" t="str">
        <f>IF(G4079=30,1,M4078)</f>
      </c>
      <c r="M4079" s="195" t="str">
        <f>L4079*(1-K4079)</f>
      </c>
    </row>
    <row r="4080">
      <c r="A4080" t="s">
        <v>167</v>
      </c>
      <c r="B4080" t="s">
        <v>262</v>
      </c>
      <c r="C4080" s="35" t="s">
        <v>264</v>
      </c>
      <c r="D4080" t="s">
        <v>502</v>
      </c>
      <c r="E4080" t="s">
        <v>520</v>
      </c>
      <c r="F4080" s="188" t="n">
        <v>2048</v>
      </c>
      <c r="G4080" s="189" t="n">
        <v>68</v>
      </c>
      <c r="H4080" s="190" t="n">
        <v>32876.7790872999</v>
      </c>
      <c r="I4080" s="191" t="n">
        <v>3219011.03614175</v>
      </c>
      <c r="J4080" s="192" t="str">
        <f>IF(I4080&gt;0,H4080/I4080,0)</f>
      </c>
      <c r="K4080" s="193" t="str">
        <f>1-EXP(-J4080)</f>
      </c>
      <c r="L4080" s="194" t="str">
        <f>IF(G4080=30,1,M4079)</f>
      </c>
      <c r="M4080" s="195" t="str">
        <f>L4080*(1-K4080)</f>
      </c>
    </row>
    <row r="4081">
      <c r="A4081" t="s">
        <v>167</v>
      </c>
      <c r="B4081" t="s">
        <v>262</v>
      </c>
      <c r="C4081" s="35" t="s">
        <v>264</v>
      </c>
      <c r="D4081" t="s">
        <v>502</v>
      </c>
      <c r="E4081" t="s">
        <v>520</v>
      </c>
      <c r="F4081" s="188" t="n">
        <v>2048</v>
      </c>
      <c r="G4081" s="189" t="n">
        <v>69</v>
      </c>
      <c r="H4081" s="190" t="n">
        <v>34865.0982198631</v>
      </c>
      <c r="I4081" s="191" t="n">
        <v>3101378.89099889</v>
      </c>
      <c r="J4081" s="192" t="str">
        <f>IF(I4081&gt;0,H4081/I4081,0)</f>
      </c>
      <c r="K4081" s="193" t="str">
        <f>1-EXP(-J4081)</f>
      </c>
      <c r="L4081" s="194" t="str">
        <f>IF(G4081=30,1,M4080)</f>
      </c>
      <c r="M4081" s="195" t="str">
        <f>L4081*(1-K4081)</f>
      </c>
    </row>
    <row r="4082">
      <c r="A4082" t="s">
        <v>167</v>
      </c>
      <c r="B4082" t="s">
        <v>262</v>
      </c>
      <c r="C4082" s="35" t="s">
        <v>264</v>
      </c>
      <c r="D4082" t="s">
        <v>502</v>
      </c>
      <c r="E4082" t="s">
        <v>520</v>
      </c>
      <c r="F4082" s="188" t="n">
        <v>2049</v>
      </c>
      <c r="G4082" s="189" t="n">
        <v>30</v>
      </c>
      <c r="H4082" s="190" t="n">
        <v>601.26882308669</v>
      </c>
      <c r="I4082" s="191" t="n">
        <v>4266612.31489746</v>
      </c>
      <c r="J4082" s="192" t="str">
        <f>IF(I4082&gt;0,H4082/I4082,0)</f>
      </c>
      <c r="K4082" s="193" t="str">
        <f>1-EXP(-J4082)</f>
      </c>
      <c r="L4082" s="194" t="str">
        <f>IF(G4082=30,1,M4081)</f>
      </c>
      <c r="M4082" s="195" t="str">
        <f>L4082*(1-K4082)</f>
      </c>
    </row>
    <row r="4083">
      <c r="A4083" t="s">
        <v>167</v>
      </c>
      <c r="B4083" t="s">
        <v>262</v>
      </c>
      <c r="C4083" s="35" t="s">
        <v>264</v>
      </c>
      <c r="D4083" t="s">
        <v>502</v>
      </c>
      <c r="E4083" t="s">
        <v>520</v>
      </c>
      <c r="F4083" s="188" t="n">
        <v>2049</v>
      </c>
      <c r="G4083" s="189" t="n">
        <v>31</v>
      </c>
      <c r="H4083" s="190" t="n">
        <v>827.681295135601</v>
      </c>
      <c r="I4083" s="191" t="n">
        <v>4270728.55983843</v>
      </c>
      <c r="J4083" s="192" t="str">
        <f>IF(I4083&gt;0,H4083/I4083,0)</f>
      </c>
      <c r="K4083" s="193" t="str">
        <f>1-EXP(-J4083)</f>
      </c>
      <c r="L4083" s="194" t="str">
        <f>IF(G4083=30,1,M4082)</f>
      </c>
      <c r="M4083" s="195" t="str">
        <f>L4083*(1-K4083)</f>
      </c>
    </row>
    <row r="4084">
      <c r="A4084" t="s">
        <v>167</v>
      </c>
      <c r="B4084" t="s">
        <v>262</v>
      </c>
      <c r="C4084" s="35" t="s">
        <v>264</v>
      </c>
      <c r="D4084" t="s">
        <v>502</v>
      </c>
      <c r="E4084" t="s">
        <v>520</v>
      </c>
      <c r="F4084" s="188" t="n">
        <v>2049</v>
      </c>
      <c r="G4084" s="189" t="n">
        <v>32</v>
      </c>
      <c r="H4084" s="190" t="n">
        <v>881.843423130989</v>
      </c>
      <c r="I4084" s="191" t="n">
        <v>4311290.84894508</v>
      </c>
      <c r="J4084" s="192" t="str">
        <f>IF(I4084&gt;0,H4084/I4084,0)</f>
      </c>
      <c r="K4084" s="193" t="str">
        <f>1-EXP(-J4084)</f>
      </c>
      <c r="L4084" s="194" t="str">
        <f>IF(G4084=30,1,M4083)</f>
      </c>
      <c r="M4084" s="195" t="str">
        <f>L4084*(1-K4084)</f>
      </c>
    </row>
    <row r="4085">
      <c r="A4085" t="s">
        <v>167</v>
      </c>
      <c r="B4085" t="s">
        <v>262</v>
      </c>
      <c r="C4085" s="35" t="s">
        <v>264</v>
      </c>
      <c r="D4085" t="s">
        <v>502</v>
      </c>
      <c r="E4085" t="s">
        <v>520</v>
      </c>
      <c r="F4085" s="188" t="n">
        <v>2049</v>
      </c>
      <c r="G4085" s="189" t="n">
        <v>33</v>
      </c>
      <c r="H4085" s="190" t="n">
        <v>1027.44258508449</v>
      </c>
      <c r="I4085" s="191" t="n">
        <v>4573291.84237267</v>
      </c>
      <c r="J4085" s="192" t="str">
        <f>IF(I4085&gt;0,H4085/I4085,0)</f>
      </c>
      <c r="K4085" s="193" t="str">
        <f>1-EXP(-J4085)</f>
      </c>
      <c r="L4085" s="194" t="str">
        <f>IF(G4085=30,1,M4084)</f>
      </c>
      <c r="M4085" s="195" t="str">
        <f>L4085*(1-K4085)</f>
      </c>
    </row>
    <row r="4086">
      <c r="A4086" t="s">
        <v>167</v>
      </c>
      <c r="B4086" t="s">
        <v>262</v>
      </c>
      <c r="C4086" s="35" t="s">
        <v>264</v>
      </c>
      <c r="D4086" t="s">
        <v>502</v>
      </c>
      <c r="E4086" t="s">
        <v>520</v>
      </c>
      <c r="F4086" s="188" t="n">
        <v>2049</v>
      </c>
      <c r="G4086" s="189" t="n">
        <v>34</v>
      </c>
      <c r="H4086" s="190" t="n">
        <v>1140.96735371127</v>
      </c>
      <c r="I4086" s="191" t="n">
        <v>4621481.32276437</v>
      </c>
      <c r="J4086" s="192" t="str">
        <f>IF(I4086&gt;0,H4086/I4086,0)</f>
      </c>
      <c r="K4086" s="193" t="str">
        <f>1-EXP(-J4086)</f>
      </c>
      <c r="L4086" s="194" t="str">
        <f>IF(G4086=30,1,M4085)</f>
      </c>
      <c r="M4086" s="195" t="str">
        <f>L4086*(1-K4086)</f>
      </c>
    </row>
    <row r="4087">
      <c r="A4087" t="s">
        <v>167</v>
      </c>
      <c r="B4087" t="s">
        <v>262</v>
      </c>
      <c r="C4087" s="35" t="s">
        <v>264</v>
      </c>
      <c r="D4087" t="s">
        <v>502</v>
      </c>
      <c r="E4087" t="s">
        <v>520</v>
      </c>
      <c r="F4087" s="188" t="n">
        <v>2049</v>
      </c>
      <c r="G4087" s="189" t="n">
        <v>35</v>
      </c>
      <c r="H4087" s="190" t="n">
        <v>1495.19616782299</v>
      </c>
      <c r="I4087" s="191" t="n">
        <v>4687052.34512391</v>
      </c>
      <c r="J4087" s="192" t="str">
        <f>IF(I4087&gt;0,H4087/I4087,0)</f>
      </c>
      <c r="K4087" s="193" t="str">
        <f>1-EXP(-J4087)</f>
      </c>
      <c r="L4087" s="194" t="str">
        <f>IF(G4087=30,1,M4086)</f>
      </c>
      <c r="M4087" s="195" t="str">
        <f>L4087*(1-K4087)</f>
      </c>
    </row>
    <row r="4088">
      <c r="A4088" t="s">
        <v>167</v>
      </c>
      <c r="B4088" t="s">
        <v>262</v>
      </c>
      <c r="C4088" s="35" t="s">
        <v>264</v>
      </c>
      <c r="D4088" t="s">
        <v>502</v>
      </c>
      <c r="E4088" t="s">
        <v>520</v>
      </c>
      <c r="F4088" s="188" t="n">
        <v>2049</v>
      </c>
      <c r="G4088" s="189" t="n">
        <v>36</v>
      </c>
      <c r="H4088" s="190" t="n">
        <v>1800.41432203534</v>
      </c>
      <c r="I4088" s="191" t="n">
        <v>4753527.64452097</v>
      </c>
      <c r="J4088" s="192" t="str">
        <f>IF(I4088&gt;0,H4088/I4088,0)</f>
      </c>
      <c r="K4088" s="193" t="str">
        <f>1-EXP(-J4088)</f>
      </c>
      <c r="L4088" s="194" t="str">
        <f>IF(G4088=30,1,M4087)</f>
      </c>
      <c r="M4088" s="195" t="str">
        <f>L4088*(1-K4088)</f>
      </c>
    </row>
    <row r="4089">
      <c r="A4089" t="s">
        <v>167</v>
      </c>
      <c r="B4089" t="s">
        <v>262</v>
      </c>
      <c r="C4089" s="35" t="s">
        <v>264</v>
      </c>
      <c r="D4089" t="s">
        <v>502</v>
      </c>
      <c r="E4089" t="s">
        <v>520</v>
      </c>
      <c r="F4089" s="188" t="n">
        <v>2049</v>
      </c>
      <c r="G4089" s="189" t="n">
        <v>37</v>
      </c>
      <c r="H4089" s="190" t="n">
        <v>2030.35347875963</v>
      </c>
      <c r="I4089" s="191" t="n">
        <v>4863903.54950385</v>
      </c>
      <c r="J4089" s="192" t="str">
        <f>IF(I4089&gt;0,H4089/I4089,0)</f>
      </c>
      <c r="K4089" s="193" t="str">
        <f>1-EXP(-J4089)</f>
      </c>
      <c r="L4089" s="194" t="str">
        <f>IF(G4089=30,1,M4088)</f>
      </c>
      <c r="M4089" s="195" t="str">
        <f>L4089*(1-K4089)</f>
      </c>
    </row>
    <row r="4090">
      <c r="A4090" t="s">
        <v>167</v>
      </c>
      <c r="B4090" t="s">
        <v>262</v>
      </c>
      <c r="C4090" s="35" t="s">
        <v>264</v>
      </c>
      <c r="D4090" t="s">
        <v>502</v>
      </c>
      <c r="E4090" t="s">
        <v>520</v>
      </c>
      <c r="F4090" s="188" t="n">
        <v>2049</v>
      </c>
      <c r="G4090" s="189" t="n">
        <v>38</v>
      </c>
      <c r="H4090" s="190" t="n">
        <v>2175.83617711419</v>
      </c>
      <c r="I4090" s="191" t="n">
        <v>4834001.58304863</v>
      </c>
      <c r="J4090" s="192" t="str">
        <f>IF(I4090&gt;0,H4090/I4090,0)</f>
      </c>
      <c r="K4090" s="193" t="str">
        <f>1-EXP(-J4090)</f>
      </c>
      <c r="L4090" s="194" t="str">
        <f>IF(G4090=30,1,M4089)</f>
      </c>
      <c r="M4090" s="195" t="str">
        <f>L4090*(1-K4090)</f>
      </c>
    </row>
    <row r="4091">
      <c r="A4091" t="s">
        <v>167</v>
      </c>
      <c r="B4091" t="s">
        <v>262</v>
      </c>
      <c r="C4091" s="35" t="s">
        <v>264</v>
      </c>
      <c r="D4091" t="s">
        <v>502</v>
      </c>
      <c r="E4091" t="s">
        <v>520</v>
      </c>
      <c r="F4091" s="188" t="n">
        <v>2049</v>
      </c>
      <c r="G4091" s="189" t="n">
        <v>39</v>
      </c>
      <c r="H4091" s="190" t="n">
        <v>2287.44936449476</v>
      </c>
      <c r="I4091" s="191" t="n">
        <v>4698923.24373139</v>
      </c>
      <c r="J4091" s="192" t="str">
        <f>IF(I4091&gt;0,H4091/I4091,0)</f>
      </c>
      <c r="K4091" s="193" t="str">
        <f>1-EXP(-J4091)</f>
      </c>
      <c r="L4091" s="194" t="str">
        <f>IF(G4091=30,1,M4090)</f>
      </c>
      <c r="M4091" s="195" t="str">
        <f>L4091*(1-K4091)</f>
      </c>
    </row>
    <row r="4092">
      <c r="A4092" t="s">
        <v>167</v>
      </c>
      <c r="B4092" t="s">
        <v>262</v>
      </c>
      <c r="C4092" s="35" t="s">
        <v>264</v>
      </c>
      <c r="D4092" t="s">
        <v>502</v>
      </c>
      <c r="E4092" t="s">
        <v>520</v>
      </c>
      <c r="F4092" s="188" t="n">
        <v>2049</v>
      </c>
      <c r="G4092" s="189" t="n">
        <v>40</v>
      </c>
      <c r="H4092" s="190" t="n">
        <v>3022.04584611625</v>
      </c>
      <c r="I4092" s="191" t="n">
        <v>4625868.83177179</v>
      </c>
      <c r="J4092" s="192" t="str">
        <f>IF(I4092&gt;0,H4092/I4092,0)</f>
      </c>
      <c r="K4092" s="193" t="str">
        <f>1-EXP(-J4092)</f>
      </c>
      <c r="L4092" s="194" t="str">
        <f>IF(G4092=30,1,M4091)</f>
      </c>
      <c r="M4092" s="195" t="str">
        <f>L4092*(1-K4092)</f>
      </c>
    </row>
    <row r="4093">
      <c r="A4093" t="s">
        <v>167</v>
      </c>
      <c r="B4093" t="s">
        <v>262</v>
      </c>
      <c r="C4093" s="35" t="s">
        <v>264</v>
      </c>
      <c r="D4093" t="s">
        <v>502</v>
      </c>
      <c r="E4093" t="s">
        <v>520</v>
      </c>
      <c r="F4093" s="188" t="n">
        <v>2049</v>
      </c>
      <c r="G4093" s="189" t="n">
        <v>41</v>
      </c>
      <c r="H4093" s="190" t="n">
        <v>3385.31160905456</v>
      </c>
      <c r="I4093" s="191" t="n">
        <v>4579499.03842415</v>
      </c>
      <c r="J4093" s="192" t="str">
        <f>IF(I4093&gt;0,H4093/I4093,0)</f>
      </c>
      <c r="K4093" s="193" t="str">
        <f>1-EXP(-J4093)</f>
      </c>
      <c r="L4093" s="194" t="str">
        <f>IF(G4093=30,1,M4092)</f>
      </c>
      <c r="M4093" s="195" t="str">
        <f>L4093*(1-K4093)</f>
      </c>
    </row>
    <row r="4094">
      <c r="A4094" t="s">
        <v>167</v>
      </c>
      <c r="B4094" t="s">
        <v>262</v>
      </c>
      <c r="C4094" s="35" t="s">
        <v>264</v>
      </c>
      <c r="D4094" t="s">
        <v>502</v>
      </c>
      <c r="E4094" t="s">
        <v>520</v>
      </c>
      <c r="F4094" s="188" t="n">
        <v>2049</v>
      </c>
      <c r="G4094" s="189" t="n">
        <v>42</v>
      </c>
      <c r="H4094" s="190" t="n">
        <v>3751.28774868245</v>
      </c>
      <c r="I4094" s="191" t="n">
        <v>4600280.99464646</v>
      </c>
      <c r="J4094" s="192" t="str">
        <f>IF(I4094&gt;0,H4094/I4094,0)</f>
      </c>
      <c r="K4094" s="193" t="str">
        <f>1-EXP(-J4094)</f>
      </c>
      <c r="L4094" s="194" t="str">
        <f>IF(G4094=30,1,M4093)</f>
      </c>
      <c r="M4094" s="195" t="str">
        <f>L4094*(1-K4094)</f>
      </c>
    </row>
    <row r="4095">
      <c r="A4095" t="s">
        <v>167</v>
      </c>
      <c r="B4095" t="s">
        <v>262</v>
      </c>
      <c r="C4095" s="35" t="s">
        <v>264</v>
      </c>
      <c r="D4095" t="s">
        <v>502</v>
      </c>
      <c r="E4095" t="s">
        <v>520</v>
      </c>
      <c r="F4095" s="188" t="n">
        <v>2049</v>
      </c>
      <c r="G4095" s="189" t="n">
        <v>43</v>
      </c>
      <c r="H4095" s="190" t="n">
        <v>4000.12493820409</v>
      </c>
      <c r="I4095" s="191" t="n">
        <v>4513504.79445666</v>
      </c>
      <c r="J4095" s="192" t="str">
        <f>IF(I4095&gt;0,H4095/I4095,0)</f>
      </c>
      <c r="K4095" s="193" t="str">
        <f>1-EXP(-J4095)</f>
      </c>
      <c r="L4095" s="194" t="str">
        <f>IF(G4095=30,1,M4094)</f>
      </c>
      <c r="M4095" s="195" t="str">
        <f>L4095*(1-K4095)</f>
      </c>
    </row>
    <row r="4096">
      <c r="A4096" t="s">
        <v>167</v>
      </c>
      <c r="B4096" t="s">
        <v>262</v>
      </c>
      <c r="C4096" s="35" t="s">
        <v>264</v>
      </c>
      <c r="D4096" t="s">
        <v>502</v>
      </c>
      <c r="E4096" t="s">
        <v>520</v>
      </c>
      <c r="F4096" s="188" t="n">
        <v>2049</v>
      </c>
      <c r="G4096" s="189" t="n">
        <v>44</v>
      </c>
      <c r="H4096" s="190" t="n">
        <v>4294.07327621102</v>
      </c>
      <c r="I4096" s="191" t="n">
        <v>4447736.10155382</v>
      </c>
      <c r="J4096" s="192" t="str">
        <f>IF(I4096&gt;0,H4096/I4096,0)</f>
      </c>
      <c r="K4096" s="193" t="str">
        <f>1-EXP(-J4096)</f>
      </c>
      <c r="L4096" s="194" t="str">
        <f>IF(G4096=30,1,M4095)</f>
      </c>
      <c r="M4096" s="195" t="str">
        <f>L4096*(1-K4096)</f>
      </c>
    </row>
    <row r="4097">
      <c r="A4097" t="s">
        <v>167</v>
      </c>
      <c r="B4097" t="s">
        <v>262</v>
      </c>
      <c r="C4097" s="35" t="s">
        <v>264</v>
      </c>
      <c r="D4097" t="s">
        <v>502</v>
      </c>
      <c r="E4097" t="s">
        <v>520</v>
      </c>
      <c r="F4097" s="188" t="n">
        <v>2049</v>
      </c>
      <c r="G4097" s="189" t="n">
        <v>45</v>
      </c>
      <c r="H4097" s="190" t="n">
        <v>5343.8808258608</v>
      </c>
      <c r="I4097" s="191" t="n">
        <v>4315128.89418087</v>
      </c>
      <c r="J4097" s="192" t="str">
        <f>IF(I4097&gt;0,H4097/I4097,0)</f>
      </c>
      <c r="K4097" s="193" t="str">
        <f>1-EXP(-J4097)</f>
      </c>
      <c r="L4097" s="194" t="str">
        <f>IF(G4097=30,1,M4096)</f>
      </c>
      <c r="M4097" s="195" t="str">
        <f>L4097*(1-K4097)</f>
      </c>
    </row>
    <row r="4098">
      <c r="A4098" t="s">
        <v>167</v>
      </c>
      <c r="B4098" t="s">
        <v>262</v>
      </c>
      <c r="C4098" s="35" t="s">
        <v>264</v>
      </c>
      <c r="D4098" t="s">
        <v>502</v>
      </c>
      <c r="E4098" t="s">
        <v>520</v>
      </c>
      <c r="F4098" s="188" t="n">
        <v>2049</v>
      </c>
      <c r="G4098" s="189" t="n">
        <v>46</v>
      </c>
      <c r="H4098" s="190" t="n">
        <v>5868.08064149595</v>
      </c>
      <c r="I4098" s="191" t="n">
        <v>4242826.87592463</v>
      </c>
      <c r="J4098" s="192" t="str">
        <f>IF(I4098&gt;0,H4098/I4098,0)</f>
      </c>
      <c r="K4098" s="193" t="str">
        <f>1-EXP(-J4098)</f>
      </c>
      <c r="L4098" s="194" t="str">
        <f>IF(G4098=30,1,M4097)</f>
      </c>
      <c r="M4098" s="195" t="str">
        <f>L4098*(1-K4098)</f>
      </c>
    </row>
    <row r="4099">
      <c r="A4099" t="s">
        <v>167</v>
      </c>
      <c r="B4099" t="s">
        <v>262</v>
      </c>
      <c r="C4099" s="35" t="s">
        <v>264</v>
      </c>
      <c r="D4099" t="s">
        <v>502</v>
      </c>
      <c r="E4099" t="s">
        <v>520</v>
      </c>
      <c r="F4099" s="188" t="n">
        <v>2049</v>
      </c>
      <c r="G4099" s="189" t="n">
        <v>47</v>
      </c>
      <c r="H4099" s="190" t="n">
        <v>6526.62978786616</v>
      </c>
      <c r="I4099" s="191" t="n">
        <v>4210769.24960355</v>
      </c>
      <c r="J4099" s="192" t="str">
        <f>IF(I4099&gt;0,H4099/I4099,0)</f>
      </c>
      <c r="K4099" s="193" t="str">
        <f>1-EXP(-J4099)</f>
      </c>
      <c r="L4099" s="194" t="str">
        <f>IF(G4099=30,1,M4098)</f>
      </c>
      <c r="M4099" s="195" t="str">
        <f>L4099*(1-K4099)</f>
      </c>
    </row>
    <row r="4100">
      <c r="A4100" t="s">
        <v>167</v>
      </c>
      <c r="B4100" t="s">
        <v>262</v>
      </c>
      <c r="C4100" s="35" t="s">
        <v>264</v>
      </c>
      <c r="D4100" t="s">
        <v>502</v>
      </c>
      <c r="E4100" t="s">
        <v>520</v>
      </c>
      <c r="F4100" s="188" t="n">
        <v>2049</v>
      </c>
      <c r="G4100" s="189" t="n">
        <v>48</v>
      </c>
      <c r="H4100" s="190" t="n">
        <v>7113.17941973539</v>
      </c>
      <c r="I4100" s="191" t="n">
        <v>4181367.19448351</v>
      </c>
      <c r="J4100" s="192" t="str">
        <f>IF(I4100&gt;0,H4100/I4100,0)</f>
      </c>
      <c r="K4100" s="193" t="str">
        <f>1-EXP(-J4100)</f>
      </c>
      <c r="L4100" s="194" t="str">
        <f>IF(G4100=30,1,M4099)</f>
      </c>
      <c r="M4100" s="195" t="str">
        <f>L4100*(1-K4100)</f>
      </c>
    </row>
    <row r="4101">
      <c r="A4101" t="s">
        <v>167</v>
      </c>
      <c r="B4101" t="s">
        <v>262</v>
      </c>
      <c r="C4101" s="35" t="s">
        <v>264</v>
      </c>
      <c r="D4101" t="s">
        <v>502</v>
      </c>
      <c r="E4101" t="s">
        <v>520</v>
      </c>
      <c r="F4101" s="188" t="n">
        <v>2049</v>
      </c>
      <c r="G4101" s="189" t="n">
        <v>49</v>
      </c>
      <c r="H4101" s="190" t="n">
        <v>7759.48985214167</v>
      </c>
      <c r="I4101" s="191" t="n">
        <v>4150571.80208726</v>
      </c>
      <c r="J4101" s="192" t="str">
        <f>IF(I4101&gt;0,H4101/I4101,0)</f>
      </c>
      <c r="K4101" s="193" t="str">
        <f>1-EXP(-J4101)</f>
      </c>
      <c r="L4101" s="194" t="str">
        <f>IF(G4101=30,1,M4100)</f>
      </c>
      <c r="M4101" s="195" t="str">
        <f>L4101*(1-K4101)</f>
      </c>
    </row>
    <row r="4102">
      <c r="A4102" t="s">
        <v>167</v>
      </c>
      <c r="B4102" t="s">
        <v>262</v>
      </c>
      <c r="C4102" s="35" t="s">
        <v>264</v>
      </c>
      <c r="D4102" t="s">
        <v>502</v>
      </c>
      <c r="E4102" t="s">
        <v>520</v>
      </c>
      <c r="F4102" s="188" t="n">
        <v>2049</v>
      </c>
      <c r="G4102" s="189" t="n">
        <v>50</v>
      </c>
      <c r="H4102" s="190" t="n">
        <v>8860.69977903336</v>
      </c>
      <c r="I4102" s="191" t="n">
        <v>4156676.75601529</v>
      </c>
      <c r="J4102" s="192" t="str">
        <f>IF(I4102&gt;0,H4102/I4102,0)</f>
      </c>
      <c r="K4102" s="193" t="str">
        <f>1-EXP(-J4102)</f>
      </c>
      <c r="L4102" s="194" t="str">
        <f>IF(G4102=30,1,M4101)</f>
      </c>
      <c r="M4102" s="195" t="str">
        <f>L4102*(1-K4102)</f>
      </c>
    </row>
    <row r="4103">
      <c r="A4103" t="s">
        <v>167</v>
      </c>
      <c r="B4103" t="s">
        <v>262</v>
      </c>
      <c r="C4103" s="35" t="s">
        <v>264</v>
      </c>
      <c r="D4103" t="s">
        <v>502</v>
      </c>
      <c r="E4103" t="s">
        <v>520</v>
      </c>
      <c r="F4103" s="188" t="n">
        <v>2049</v>
      </c>
      <c r="G4103" s="189" t="n">
        <v>51</v>
      </c>
      <c r="H4103" s="190" t="n">
        <v>9865.3920809882</v>
      </c>
      <c r="I4103" s="191" t="n">
        <v>4198074.8431401</v>
      </c>
      <c r="J4103" s="192" t="str">
        <f>IF(I4103&gt;0,H4103/I4103,0)</f>
      </c>
      <c r="K4103" s="193" t="str">
        <f>1-EXP(-J4103)</f>
      </c>
      <c r="L4103" s="194" t="str">
        <f>IF(G4103=30,1,M4102)</f>
      </c>
      <c r="M4103" s="195" t="str">
        <f>L4103*(1-K4103)</f>
      </c>
    </row>
    <row r="4104">
      <c r="A4104" t="s">
        <v>167</v>
      </c>
      <c r="B4104" t="s">
        <v>262</v>
      </c>
      <c r="C4104" s="35" t="s">
        <v>264</v>
      </c>
      <c r="D4104" t="s">
        <v>502</v>
      </c>
      <c r="E4104" t="s">
        <v>520</v>
      </c>
      <c r="F4104" s="188" t="n">
        <v>2049</v>
      </c>
      <c r="G4104" s="189" t="n">
        <v>52</v>
      </c>
      <c r="H4104" s="190" t="n">
        <v>11235.1539518373</v>
      </c>
      <c r="I4104" s="191" t="n">
        <v>4309761.59206286</v>
      </c>
      <c r="J4104" s="192" t="str">
        <f>IF(I4104&gt;0,H4104/I4104,0)</f>
      </c>
      <c r="K4104" s="193" t="str">
        <f>1-EXP(-J4104)</f>
      </c>
      <c r="L4104" s="194" t="str">
        <f>IF(G4104=30,1,M4103)</f>
      </c>
      <c r="M4104" s="195" t="str">
        <f>L4104*(1-K4104)</f>
      </c>
    </row>
    <row r="4105">
      <c r="A4105" t="s">
        <v>167</v>
      </c>
      <c r="B4105" t="s">
        <v>262</v>
      </c>
      <c r="C4105" s="35" t="s">
        <v>264</v>
      </c>
      <c r="D4105" t="s">
        <v>502</v>
      </c>
      <c r="E4105" t="s">
        <v>520</v>
      </c>
      <c r="F4105" s="188" t="n">
        <v>2049</v>
      </c>
      <c r="G4105" s="189" t="n">
        <v>53</v>
      </c>
      <c r="H4105" s="190" t="n">
        <v>12082.18489698</v>
      </c>
      <c r="I4105" s="191" t="n">
        <v>4249465.14463992</v>
      </c>
      <c r="J4105" s="192" t="str">
        <f>IF(I4105&gt;0,H4105/I4105,0)</f>
      </c>
      <c r="K4105" s="193" t="str">
        <f>1-EXP(-J4105)</f>
      </c>
      <c r="L4105" s="194" t="str">
        <f>IF(G4105=30,1,M4104)</f>
      </c>
      <c r="M4105" s="195" t="str">
        <f>L4105*(1-K4105)</f>
      </c>
    </row>
    <row r="4106">
      <c r="A4106" t="s">
        <v>167</v>
      </c>
      <c r="B4106" t="s">
        <v>262</v>
      </c>
      <c r="C4106" s="35" t="s">
        <v>264</v>
      </c>
      <c r="D4106" t="s">
        <v>502</v>
      </c>
      <c r="E4106" t="s">
        <v>520</v>
      </c>
      <c r="F4106" s="188" t="n">
        <v>2049</v>
      </c>
      <c r="G4106" s="189" t="n">
        <v>54</v>
      </c>
      <c r="H4106" s="190" t="n">
        <v>12872.2020078718</v>
      </c>
      <c r="I4106" s="191" t="n">
        <v>4159265.42468978</v>
      </c>
      <c r="J4106" s="192" t="str">
        <f>IF(I4106&gt;0,H4106/I4106,0)</f>
      </c>
      <c r="K4106" s="193" t="str">
        <f>1-EXP(-J4106)</f>
      </c>
      <c r="L4106" s="194" t="str">
        <f>IF(G4106=30,1,M4105)</f>
      </c>
      <c r="M4106" s="195" t="str">
        <f>L4106*(1-K4106)</f>
      </c>
    </row>
    <row r="4107">
      <c r="A4107" t="s">
        <v>167</v>
      </c>
      <c r="B4107" t="s">
        <v>262</v>
      </c>
      <c r="C4107" s="35" t="s">
        <v>264</v>
      </c>
      <c r="D4107" t="s">
        <v>502</v>
      </c>
      <c r="E4107" t="s">
        <v>520</v>
      </c>
      <c r="F4107" s="188" t="n">
        <v>2049</v>
      </c>
      <c r="G4107" s="189" t="n">
        <v>55</v>
      </c>
      <c r="H4107" s="190" t="n">
        <v>13457.6881507358</v>
      </c>
      <c r="I4107" s="191" t="n">
        <v>4082502.40252063</v>
      </c>
      <c r="J4107" s="192" t="str">
        <f>IF(I4107&gt;0,H4107/I4107,0)</f>
      </c>
      <c r="K4107" s="193" t="str">
        <f>1-EXP(-J4107)</f>
      </c>
      <c r="L4107" s="194" t="str">
        <f>IF(G4107=30,1,M4106)</f>
      </c>
      <c r="M4107" s="195" t="str">
        <f>L4107*(1-K4107)</f>
      </c>
    </row>
    <row r="4108">
      <c r="A4108" t="s">
        <v>167</v>
      </c>
      <c r="B4108" t="s">
        <v>262</v>
      </c>
      <c r="C4108" s="35" t="s">
        <v>264</v>
      </c>
      <c r="D4108" t="s">
        <v>502</v>
      </c>
      <c r="E4108" t="s">
        <v>520</v>
      </c>
      <c r="F4108" s="188" t="n">
        <v>2049</v>
      </c>
      <c r="G4108" s="189" t="n">
        <v>56</v>
      </c>
      <c r="H4108" s="190" t="n">
        <v>14350.2831329123</v>
      </c>
      <c r="I4108" s="191" t="n">
        <v>4007604.46514929</v>
      </c>
      <c r="J4108" s="192" t="str">
        <f>IF(I4108&gt;0,H4108/I4108,0)</f>
      </c>
      <c r="K4108" s="193" t="str">
        <f>1-EXP(-J4108)</f>
      </c>
      <c r="L4108" s="194" t="str">
        <f>IF(G4108=30,1,M4107)</f>
      </c>
      <c r="M4108" s="195" t="str">
        <f>L4108*(1-K4108)</f>
      </c>
    </row>
    <row r="4109">
      <c r="A4109" t="s">
        <v>167</v>
      </c>
      <c r="B4109" t="s">
        <v>262</v>
      </c>
      <c r="C4109" s="35" t="s">
        <v>264</v>
      </c>
      <c r="D4109" t="s">
        <v>502</v>
      </c>
      <c r="E4109" t="s">
        <v>520</v>
      </c>
      <c r="F4109" s="188" t="n">
        <v>2049</v>
      </c>
      <c r="G4109" s="189" t="n">
        <v>57</v>
      </c>
      <c r="H4109" s="190" t="n">
        <v>15647.0852082694</v>
      </c>
      <c r="I4109" s="191" t="n">
        <v>4015724.0957376</v>
      </c>
      <c r="J4109" s="192" t="str">
        <f>IF(I4109&gt;0,H4109/I4109,0)</f>
      </c>
      <c r="K4109" s="193" t="str">
        <f>1-EXP(-J4109)</f>
      </c>
      <c r="L4109" s="194" t="str">
        <f>IF(G4109=30,1,M4108)</f>
      </c>
      <c r="M4109" s="195" t="str">
        <f>L4109*(1-K4109)</f>
      </c>
    </row>
    <row r="4110">
      <c r="A4110" t="s">
        <v>167</v>
      </c>
      <c r="B4110" t="s">
        <v>262</v>
      </c>
      <c r="C4110" s="35" t="s">
        <v>264</v>
      </c>
      <c r="D4110" t="s">
        <v>502</v>
      </c>
      <c r="E4110" t="s">
        <v>520</v>
      </c>
      <c r="F4110" s="188" t="n">
        <v>2049</v>
      </c>
      <c r="G4110" s="189" t="n">
        <v>58</v>
      </c>
      <c r="H4110" s="190" t="n">
        <v>17032.3602921708</v>
      </c>
      <c r="I4110" s="191" t="n">
        <v>4002638.43254509</v>
      </c>
      <c r="J4110" s="192" t="str">
        <f>IF(I4110&gt;0,H4110/I4110,0)</f>
      </c>
      <c r="K4110" s="193" t="str">
        <f>1-EXP(-J4110)</f>
      </c>
      <c r="L4110" s="194" t="str">
        <f>IF(G4110=30,1,M4109)</f>
      </c>
      <c r="M4110" s="195" t="str">
        <f>L4110*(1-K4110)</f>
      </c>
    </row>
    <row r="4111">
      <c r="A4111" t="s">
        <v>167</v>
      </c>
      <c r="B4111" t="s">
        <v>262</v>
      </c>
      <c r="C4111" s="35" t="s">
        <v>264</v>
      </c>
      <c r="D4111" t="s">
        <v>502</v>
      </c>
      <c r="E4111" t="s">
        <v>520</v>
      </c>
      <c r="F4111" s="188" t="n">
        <v>2049</v>
      </c>
      <c r="G4111" s="189" t="n">
        <v>59</v>
      </c>
      <c r="H4111" s="190" t="n">
        <v>24761.8789940793</v>
      </c>
      <c r="I4111" s="191" t="n">
        <v>5885228.43647067</v>
      </c>
      <c r="J4111" s="192" t="str">
        <f>IF(I4111&gt;0,H4111/I4111,0)</f>
      </c>
      <c r="K4111" s="193" t="str">
        <f>1-EXP(-J4111)</f>
      </c>
      <c r="L4111" s="194" t="str">
        <f>IF(G4111=30,1,M4110)</f>
      </c>
      <c r="M4111" s="195" t="str">
        <f>L4111*(1-K4111)</f>
      </c>
    </row>
    <row r="4112">
      <c r="A4112" t="s">
        <v>167</v>
      </c>
      <c r="B4112" t="s">
        <v>262</v>
      </c>
      <c r="C4112" s="35" t="s">
        <v>264</v>
      </c>
      <c r="D4112" t="s">
        <v>502</v>
      </c>
      <c r="E4112" t="s">
        <v>520</v>
      </c>
      <c r="F4112" s="188" t="n">
        <v>2049</v>
      </c>
      <c r="G4112" s="189" t="n">
        <v>60</v>
      </c>
      <c r="H4112" s="190" t="n">
        <v>19527.9864616345</v>
      </c>
      <c r="I4112" s="191" t="n">
        <v>3897853.35493829</v>
      </c>
      <c r="J4112" s="192" t="str">
        <f>IF(I4112&gt;0,H4112/I4112,0)</f>
      </c>
      <c r="K4112" s="193" t="str">
        <f>1-EXP(-J4112)</f>
      </c>
      <c r="L4112" s="194" t="str">
        <f>IF(G4112=30,1,M4111)</f>
      </c>
      <c r="M4112" s="195" t="str">
        <f>L4112*(1-K4112)</f>
      </c>
    </row>
    <row r="4113">
      <c r="A4113" t="s">
        <v>167</v>
      </c>
      <c r="B4113" t="s">
        <v>262</v>
      </c>
      <c r="C4113" s="35" t="s">
        <v>264</v>
      </c>
      <c r="D4113" t="s">
        <v>502</v>
      </c>
      <c r="E4113" t="s">
        <v>520</v>
      </c>
      <c r="F4113" s="188" t="n">
        <v>2049</v>
      </c>
      <c r="G4113" s="189" t="n">
        <v>61</v>
      </c>
      <c r="H4113" s="190" t="n">
        <v>21158.6399545807</v>
      </c>
      <c r="I4113" s="191" t="n">
        <v>3844876.15383449</v>
      </c>
      <c r="J4113" s="192" t="str">
        <f>IF(I4113&gt;0,H4113/I4113,0)</f>
      </c>
      <c r="K4113" s="193" t="str">
        <f>1-EXP(-J4113)</f>
      </c>
      <c r="L4113" s="194" t="str">
        <f>IF(G4113=30,1,M4112)</f>
      </c>
      <c r="M4113" s="195" t="str">
        <f>L4113*(1-K4113)</f>
      </c>
    </row>
    <row r="4114">
      <c r="A4114" t="s">
        <v>167</v>
      </c>
      <c r="B4114" t="s">
        <v>262</v>
      </c>
      <c r="C4114" s="35" t="s">
        <v>264</v>
      </c>
      <c r="D4114" t="s">
        <v>502</v>
      </c>
      <c r="E4114" t="s">
        <v>520</v>
      </c>
      <c r="F4114" s="188" t="n">
        <v>2049</v>
      </c>
      <c r="G4114" s="189" t="n">
        <v>62</v>
      </c>
      <c r="H4114" s="190" t="n">
        <v>22297.4154825247</v>
      </c>
      <c r="I4114" s="191" t="n">
        <v>3686805.74362691</v>
      </c>
      <c r="J4114" s="192" t="str">
        <f>IF(I4114&gt;0,H4114/I4114,0)</f>
      </c>
      <c r="K4114" s="193" t="str">
        <f>1-EXP(-J4114)</f>
      </c>
      <c r="L4114" s="194" t="str">
        <f>IF(G4114=30,1,M4113)</f>
      </c>
      <c r="M4114" s="195" t="str">
        <f>L4114*(1-K4114)</f>
      </c>
    </row>
    <row r="4115">
      <c r="A4115" t="s">
        <v>167</v>
      </c>
      <c r="B4115" t="s">
        <v>262</v>
      </c>
      <c r="C4115" s="35" t="s">
        <v>264</v>
      </c>
      <c r="D4115" t="s">
        <v>502</v>
      </c>
      <c r="E4115" t="s">
        <v>520</v>
      </c>
      <c r="F4115" s="188" t="n">
        <v>2049</v>
      </c>
      <c r="G4115" s="189" t="n">
        <v>63</v>
      </c>
      <c r="H4115" s="190" t="n">
        <v>23999.9366587879</v>
      </c>
      <c r="I4115" s="191" t="n">
        <v>3612965.23174945</v>
      </c>
      <c r="J4115" s="192" t="str">
        <f>IF(I4115&gt;0,H4115/I4115,0)</f>
      </c>
      <c r="K4115" s="193" t="str">
        <f>1-EXP(-J4115)</f>
      </c>
      <c r="L4115" s="194" t="str">
        <f>IF(G4115=30,1,M4114)</f>
      </c>
      <c r="M4115" s="195" t="str">
        <f>L4115*(1-K4115)</f>
      </c>
    </row>
    <row r="4116">
      <c r="A4116" t="s">
        <v>167</v>
      </c>
      <c r="B4116" t="s">
        <v>262</v>
      </c>
      <c r="C4116" s="35" t="s">
        <v>264</v>
      </c>
      <c r="D4116" t="s">
        <v>502</v>
      </c>
      <c r="E4116" t="s">
        <v>520</v>
      </c>
      <c r="F4116" s="188" t="n">
        <v>2049</v>
      </c>
      <c r="G4116" s="189" t="n">
        <v>64</v>
      </c>
      <c r="H4116" s="190" t="n">
        <v>26379.2265270269</v>
      </c>
      <c r="I4116" s="191" t="n">
        <v>3616339.8382962</v>
      </c>
      <c r="J4116" s="192" t="str">
        <f>IF(I4116&gt;0,H4116/I4116,0)</f>
      </c>
      <c r="K4116" s="193" t="str">
        <f>1-EXP(-J4116)</f>
      </c>
      <c r="L4116" s="194" t="str">
        <f>IF(G4116=30,1,M4115)</f>
      </c>
      <c r="M4116" s="195" t="str">
        <f>L4116*(1-K4116)</f>
      </c>
    </row>
    <row r="4117">
      <c r="A4117" t="s">
        <v>167</v>
      </c>
      <c r="B4117" t="s">
        <v>262</v>
      </c>
      <c r="C4117" s="35" t="s">
        <v>264</v>
      </c>
      <c r="D4117" t="s">
        <v>502</v>
      </c>
      <c r="E4117" t="s">
        <v>520</v>
      </c>
      <c r="F4117" s="188" t="n">
        <v>2049</v>
      </c>
      <c r="G4117" s="189" t="n">
        <v>65</v>
      </c>
      <c r="H4117" s="190" t="n">
        <v>27644.0989500471</v>
      </c>
      <c r="I4117" s="191" t="n">
        <v>3635493.43430517</v>
      </c>
      <c r="J4117" s="192" t="str">
        <f>IF(I4117&gt;0,H4117/I4117,0)</f>
      </c>
      <c r="K4117" s="193" t="str">
        <f>1-EXP(-J4117)</f>
      </c>
      <c r="L4117" s="194" t="str">
        <f>IF(G4117=30,1,M4116)</f>
      </c>
      <c r="M4117" s="195" t="str">
        <f>L4117*(1-K4117)</f>
      </c>
    </row>
    <row r="4118">
      <c r="A4118" t="s">
        <v>167</v>
      </c>
      <c r="B4118" t="s">
        <v>262</v>
      </c>
      <c r="C4118" s="35" t="s">
        <v>264</v>
      </c>
      <c r="D4118" t="s">
        <v>502</v>
      </c>
      <c r="E4118" t="s">
        <v>520</v>
      </c>
      <c r="F4118" s="188" t="n">
        <v>2049</v>
      </c>
      <c r="G4118" s="189" t="n">
        <v>66</v>
      </c>
      <c r="H4118" s="190" t="n">
        <v>29705.4613437808</v>
      </c>
      <c r="I4118" s="191" t="n">
        <v>3558210.25732581</v>
      </c>
      <c r="J4118" s="192" t="str">
        <f>IF(I4118&gt;0,H4118/I4118,0)</f>
      </c>
      <c r="K4118" s="193" t="str">
        <f>1-EXP(-J4118)</f>
      </c>
      <c r="L4118" s="194" t="str">
        <f>IF(G4118=30,1,M4117)</f>
      </c>
      <c r="M4118" s="195" t="str">
        <f>L4118*(1-K4118)</f>
      </c>
    </row>
    <row r="4119">
      <c r="A4119" t="s">
        <v>167</v>
      </c>
      <c r="B4119" t="s">
        <v>262</v>
      </c>
      <c r="C4119" s="35" t="s">
        <v>264</v>
      </c>
      <c r="D4119" t="s">
        <v>502</v>
      </c>
      <c r="E4119" t="s">
        <v>520</v>
      </c>
      <c r="F4119" s="188" t="n">
        <v>2049</v>
      </c>
      <c r="G4119" s="189" t="n">
        <v>67</v>
      </c>
      <c r="H4119" s="190" t="n">
        <v>31067.6544302196</v>
      </c>
      <c r="I4119" s="191" t="n">
        <v>3383723.93180611</v>
      </c>
      <c r="J4119" s="192" t="str">
        <f>IF(I4119&gt;0,H4119/I4119,0)</f>
      </c>
      <c r="K4119" s="193" t="str">
        <f>1-EXP(-J4119)</f>
      </c>
      <c r="L4119" s="194" t="str">
        <f>IF(G4119=30,1,M4118)</f>
      </c>
      <c r="M4119" s="195" t="str">
        <f>L4119*(1-K4119)</f>
      </c>
    </row>
    <row r="4120">
      <c r="A4120" t="s">
        <v>167</v>
      </c>
      <c r="B4120" t="s">
        <v>262</v>
      </c>
      <c r="C4120" s="35" t="s">
        <v>264</v>
      </c>
      <c r="D4120" t="s">
        <v>502</v>
      </c>
      <c r="E4120" t="s">
        <v>520</v>
      </c>
      <c r="F4120" s="188" t="n">
        <v>2049</v>
      </c>
      <c r="G4120" s="189" t="n">
        <v>68</v>
      </c>
      <c r="H4120" s="190" t="n">
        <v>32907.8644765409</v>
      </c>
      <c r="I4120" s="191" t="n">
        <v>3259170.9642205</v>
      </c>
      <c r="J4120" s="192" t="str">
        <f>IF(I4120&gt;0,H4120/I4120,0)</f>
      </c>
      <c r="K4120" s="193" t="str">
        <f>1-EXP(-J4120)</f>
      </c>
      <c r="L4120" s="194" t="str">
        <f>IF(G4120=30,1,M4119)</f>
      </c>
      <c r="M4120" s="195" t="str">
        <f>L4120*(1-K4120)</f>
      </c>
    </row>
    <row r="4121">
      <c r="A4121" t="s">
        <v>167</v>
      </c>
      <c r="B4121" t="s">
        <v>262</v>
      </c>
      <c r="C4121" s="35" t="s">
        <v>264</v>
      </c>
      <c r="D4121" t="s">
        <v>502</v>
      </c>
      <c r="E4121" t="s">
        <v>520</v>
      </c>
      <c r="F4121" s="188" t="n">
        <v>2049</v>
      </c>
      <c r="G4121" s="189" t="n">
        <v>69</v>
      </c>
      <c r="H4121" s="190" t="n">
        <v>34950.2958580707</v>
      </c>
      <c r="I4121" s="191" t="n">
        <v>3144489.10462966</v>
      </c>
      <c r="J4121" s="192" t="str">
        <f>IF(I4121&gt;0,H4121/I4121,0)</f>
      </c>
      <c r="K4121" s="193" t="str">
        <f>1-EXP(-J4121)</f>
      </c>
      <c r="L4121" s="194" t="str">
        <f>IF(G4121=30,1,M4120)</f>
      </c>
      <c r="M4121" s="195" t="str">
        <f>L4121*(1-K4121)</f>
      </c>
    </row>
    <row r="4122">
      <c r="A4122" t="s">
        <v>167</v>
      </c>
      <c r="B4122" t="s">
        <v>262</v>
      </c>
      <c r="C4122" s="35" t="s">
        <v>264</v>
      </c>
      <c r="D4122" t="s">
        <v>502</v>
      </c>
      <c r="E4122" t="s">
        <v>520</v>
      </c>
      <c r="F4122" s="188" t="n">
        <v>2050</v>
      </c>
      <c r="G4122" s="189" t="n">
        <v>30</v>
      </c>
      <c r="H4122" s="190" t="n">
        <v>599.784249040344</v>
      </c>
      <c r="I4122" s="191" t="n">
        <v>4253347.34893641</v>
      </c>
      <c r="J4122" s="192" t="str">
        <f>IF(I4122&gt;0,H4122/I4122,0)</f>
      </c>
      <c r="K4122" s="193" t="str">
        <f>1-EXP(-J4122)</f>
      </c>
      <c r="L4122" s="194" t="str">
        <f>IF(G4122=30,1,M4121)</f>
      </c>
      <c r="M4122" s="195" t="str">
        <f>L4122*(1-K4122)</f>
      </c>
    </row>
    <row r="4123">
      <c r="A4123" t="s">
        <v>167</v>
      </c>
      <c r="B4123" t="s">
        <v>262</v>
      </c>
      <c r="C4123" s="35" t="s">
        <v>264</v>
      </c>
      <c r="D4123" t="s">
        <v>502</v>
      </c>
      <c r="E4123" t="s">
        <v>520</v>
      </c>
      <c r="F4123" s="188" t="n">
        <v>2050</v>
      </c>
      <c r="G4123" s="189" t="n">
        <v>31</v>
      </c>
      <c r="H4123" s="190" t="n">
        <v>826.445520996511</v>
      </c>
      <c r="I4123" s="191" t="n">
        <v>4262077.17441827</v>
      </c>
      <c r="J4123" s="192" t="str">
        <f>IF(I4123&gt;0,H4123/I4123,0)</f>
      </c>
      <c r="K4123" s="193" t="str">
        <f>1-EXP(-J4123)</f>
      </c>
      <c r="L4123" s="194" t="str">
        <f>IF(G4123=30,1,M4122)</f>
      </c>
      <c r="M4123" s="195" t="str">
        <f>L4123*(1-K4123)</f>
      </c>
    </row>
    <row r="4124">
      <c r="A4124" t="s">
        <v>167</v>
      </c>
      <c r="B4124" t="s">
        <v>262</v>
      </c>
      <c r="C4124" s="35" t="s">
        <v>264</v>
      </c>
      <c r="D4124" t="s">
        <v>502</v>
      </c>
      <c r="E4124" t="s">
        <v>520</v>
      </c>
      <c r="F4124" s="188" t="n">
        <v>2050</v>
      </c>
      <c r="G4124" s="189" t="n">
        <v>32</v>
      </c>
      <c r="H4124" s="190" t="n">
        <v>872.975481107346</v>
      </c>
      <c r="I4124" s="191" t="n">
        <v>4266254.86879732</v>
      </c>
      <c r="J4124" s="192" t="str">
        <f>IF(I4124&gt;0,H4124/I4124,0)</f>
      </c>
      <c r="K4124" s="193" t="str">
        <f>1-EXP(-J4124)</f>
      </c>
      <c r="L4124" s="194" t="str">
        <f>IF(G4124=30,1,M4123)</f>
      </c>
      <c r="M4124" s="195" t="str">
        <f>L4124*(1-K4124)</f>
      </c>
    </row>
    <row r="4125">
      <c r="A4125" t="s">
        <v>167</v>
      </c>
      <c r="B4125" t="s">
        <v>262</v>
      </c>
      <c r="C4125" s="35" t="s">
        <v>264</v>
      </c>
      <c r="D4125" t="s">
        <v>502</v>
      </c>
      <c r="E4125" t="s">
        <v>520</v>
      </c>
      <c r="F4125" s="188" t="n">
        <v>2050</v>
      </c>
      <c r="G4125" s="189" t="n">
        <v>33</v>
      </c>
      <c r="H4125" s="190" t="n">
        <v>934.698969735809</v>
      </c>
      <c r="I4125" s="191" t="n">
        <v>4306589.75748132</v>
      </c>
      <c r="J4125" s="192" t="str">
        <f>IF(I4125&gt;0,H4125/I4125,0)</f>
      </c>
      <c r="K4125" s="193" t="str">
        <f>1-EXP(-J4125)</f>
      </c>
      <c r="L4125" s="194" t="str">
        <f>IF(G4125=30,1,M4124)</f>
      </c>
      <c r="M4125" s="195" t="str">
        <f>L4125*(1-K4125)</f>
      </c>
    </row>
    <row r="4126">
      <c r="A4126" t="s">
        <v>167</v>
      </c>
      <c r="B4126" t="s">
        <v>262</v>
      </c>
      <c r="C4126" s="35" t="s">
        <v>264</v>
      </c>
      <c r="D4126" t="s">
        <v>502</v>
      </c>
      <c r="E4126" t="s">
        <v>520</v>
      </c>
      <c r="F4126" s="188" t="n">
        <v>2050</v>
      </c>
      <c r="G4126" s="189" t="n">
        <v>34</v>
      </c>
      <c r="H4126" s="190" t="n">
        <v>1093.91387207359</v>
      </c>
      <c r="I4126" s="191" t="n">
        <v>4568038.20959834</v>
      </c>
      <c r="J4126" s="192" t="str">
        <f>IF(I4126&gt;0,H4126/I4126,0)</f>
      </c>
      <c r="K4126" s="193" t="str">
        <f>1-EXP(-J4126)</f>
      </c>
      <c r="L4126" s="194" t="str">
        <f>IF(G4126=30,1,M4125)</f>
      </c>
      <c r="M4126" s="195" t="str">
        <f>L4126*(1-K4126)</f>
      </c>
    </row>
    <row r="4127">
      <c r="A4127" t="s">
        <v>167</v>
      </c>
      <c r="B4127" t="s">
        <v>262</v>
      </c>
      <c r="C4127" s="35" t="s">
        <v>264</v>
      </c>
      <c r="D4127" t="s">
        <v>502</v>
      </c>
      <c r="E4127" t="s">
        <v>520</v>
      </c>
      <c r="F4127" s="188" t="n">
        <v>2050</v>
      </c>
      <c r="G4127" s="189" t="n">
        <v>35</v>
      </c>
      <c r="H4127" s="190" t="n">
        <v>1468.39659282709</v>
      </c>
      <c r="I4127" s="191" t="n">
        <v>4615866.15277102</v>
      </c>
      <c r="J4127" s="192" t="str">
        <f>IF(I4127&gt;0,H4127/I4127,0)</f>
      </c>
      <c r="K4127" s="193" t="str">
        <f>1-EXP(-J4127)</f>
      </c>
      <c r="L4127" s="194" t="str">
        <f>IF(G4127=30,1,M4126)</f>
      </c>
      <c r="M4127" s="195" t="str">
        <f>L4127*(1-K4127)</f>
      </c>
    </row>
    <row r="4128">
      <c r="A4128" t="s">
        <v>167</v>
      </c>
      <c r="B4128" t="s">
        <v>262</v>
      </c>
      <c r="C4128" s="35" t="s">
        <v>264</v>
      </c>
      <c r="D4128" t="s">
        <v>502</v>
      </c>
      <c r="E4128" t="s">
        <v>520</v>
      </c>
      <c r="F4128" s="188" t="n">
        <v>2050</v>
      </c>
      <c r="G4128" s="189" t="n">
        <v>36</v>
      </c>
      <c r="H4128" s="190" t="n">
        <v>1767.16549258364</v>
      </c>
      <c r="I4128" s="191" t="n">
        <v>4680742.90805642</v>
      </c>
      <c r="J4128" s="192" t="str">
        <f>IF(I4128&gt;0,H4128/I4128,0)</f>
      </c>
      <c r="K4128" s="193" t="str">
        <f>1-EXP(-J4128)</f>
      </c>
      <c r="L4128" s="194" t="str">
        <f>IF(G4128=30,1,M4127)</f>
      </c>
      <c r="M4128" s="195" t="str">
        <f>L4128*(1-K4128)</f>
      </c>
    </row>
    <row r="4129">
      <c r="A4129" t="s">
        <v>167</v>
      </c>
      <c r="B4129" t="s">
        <v>262</v>
      </c>
      <c r="C4129" s="35" t="s">
        <v>264</v>
      </c>
      <c r="D4129" t="s">
        <v>502</v>
      </c>
      <c r="E4129" t="s">
        <v>520</v>
      </c>
      <c r="F4129" s="188" t="n">
        <v>2050</v>
      </c>
      <c r="G4129" s="189" t="n">
        <v>37</v>
      </c>
      <c r="H4129" s="190" t="n">
        <v>1926.58908113631</v>
      </c>
      <c r="I4129" s="191" t="n">
        <v>4746949.08245161</v>
      </c>
      <c r="J4129" s="192" t="str">
        <f>IF(I4129&gt;0,H4129/I4129,0)</f>
      </c>
      <c r="K4129" s="193" t="str">
        <f>1-EXP(-J4129)</f>
      </c>
      <c r="L4129" s="194" t="str">
        <f>IF(G4129=30,1,M4128)</f>
      </c>
      <c r="M4129" s="195" t="str">
        <f>L4129*(1-K4129)</f>
      </c>
    </row>
    <row r="4130">
      <c r="A4130" t="s">
        <v>167</v>
      </c>
      <c r="B4130" t="s">
        <v>262</v>
      </c>
      <c r="C4130" s="35" t="s">
        <v>264</v>
      </c>
      <c r="D4130" t="s">
        <v>502</v>
      </c>
      <c r="E4130" t="s">
        <v>520</v>
      </c>
      <c r="F4130" s="188" t="n">
        <v>2050</v>
      </c>
      <c r="G4130" s="189" t="n">
        <v>38</v>
      </c>
      <c r="H4130" s="190" t="n">
        <v>2178.09703446069</v>
      </c>
      <c r="I4130" s="191" t="n">
        <v>4856673.07696809</v>
      </c>
      <c r="J4130" s="192" t="str">
        <f>IF(I4130&gt;0,H4130/I4130,0)</f>
      </c>
      <c r="K4130" s="193" t="str">
        <f>1-EXP(-J4130)</f>
      </c>
      <c r="L4130" s="194" t="str">
        <f>IF(G4130=30,1,M4129)</f>
      </c>
      <c r="M4130" s="195" t="str">
        <f>L4130*(1-K4130)</f>
      </c>
    </row>
    <row r="4131">
      <c r="A4131" t="s">
        <v>167</v>
      </c>
      <c r="B4131" t="s">
        <v>262</v>
      </c>
      <c r="C4131" s="35" t="s">
        <v>264</v>
      </c>
      <c r="D4131" t="s">
        <v>502</v>
      </c>
      <c r="E4131" t="s">
        <v>520</v>
      </c>
      <c r="F4131" s="188" t="n">
        <v>2050</v>
      </c>
      <c r="G4131" s="189" t="n">
        <v>39</v>
      </c>
      <c r="H4131" s="190" t="n">
        <v>2340.77699198143</v>
      </c>
      <c r="I4131" s="191" t="n">
        <v>4826306.29639847</v>
      </c>
      <c r="J4131" s="192" t="str">
        <f>IF(I4131&gt;0,H4131/I4131,0)</f>
      </c>
      <c r="K4131" s="193" t="str">
        <f>1-EXP(-J4131)</f>
      </c>
      <c r="L4131" s="194" t="str">
        <f>IF(G4131=30,1,M4130)</f>
      </c>
      <c r="M4131" s="195" t="str">
        <f>L4131*(1-K4131)</f>
      </c>
    </row>
    <row r="4132">
      <c r="A4132" t="s">
        <v>167</v>
      </c>
      <c r="B4132" t="s">
        <v>262</v>
      </c>
      <c r="C4132" s="35" t="s">
        <v>264</v>
      </c>
      <c r="D4132" t="s">
        <v>502</v>
      </c>
      <c r="E4132" t="s">
        <v>520</v>
      </c>
      <c r="F4132" s="188" t="n">
        <v>2050</v>
      </c>
      <c r="G4132" s="189" t="n">
        <v>40</v>
      </c>
      <c r="H4132" s="190" t="n">
        <v>3051.32667518361</v>
      </c>
      <c r="I4132" s="191" t="n">
        <v>4690886.27601843</v>
      </c>
      <c r="J4132" s="192" t="str">
        <f>IF(I4132&gt;0,H4132/I4132,0)</f>
      </c>
      <c r="K4132" s="193" t="str">
        <f>1-EXP(-J4132)</f>
      </c>
      <c r="L4132" s="194" t="str">
        <f>IF(G4132=30,1,M4131)</f>
      </c>
      <c r="M4132" s="195" t="str">
        <f>L4132*(1-K4132)</f>
      </c>
    </row>
    <row r="4133">
      <c r="A4133" t="s">
        <v>167</v>
      </c>
      <c r="B4133" t="s">
        <v>262</v>
      </c>
      <c r="C4133" s="35" t="s">
        <v>264</v>
      </c>
      <c r="D4133" t="s">
        <v>502</v>
      </c>
      <c r="E4133" t="s">
        <v>520</v>
      </c>
      <c r="F4133" s="188" t="n">
        <v>2050</v>
      </c>
      <c r="G4133" s="189" t="n">
        <v>41</v>
      </c>
      <c r="H4133" s="190" t="n">
        <v>3396.98143402119</v>
      </c>
      <c r="I4133" s="191" t="n">
        <v>4616695.66444374</v>
      </c>
      <c r="J4133" s="192" t="str">
        <f>IF(I4133&gt;0,H4133/I4133,0)</f>
      </c>
      <c r="K4133" s="193" t="str">
        <f>1-EXP(-J4133)</f>
      </c>
      <c r="L4133" s="194" t="str">
        <f>IF(G4133=30,1,M4132)</f>
      </c>
      <c r="M4133" s="195" t="str">
        <f>L4133*(1-K4133)</f>
      </c>
    </row>
    <row r="4134">
      <c r="A4134" t="s">
        <v>167</v>
      </c>
      <c r="B4134" t="s">
        <v>262</v>
      </c>
      <c r="C4134" s="35" t="s">
        <v>264</v>
      </c>
      <c r="D4134" t="s">
        <v>502</v>
      </c>
      <c r="E4134" t="s">
        <v>520</v>
      </c>
      <c r="F4134" s="188" t="n">
        <v>2050</v>
      </c>
      <c r="G4134" s="189" t="n">
        <v>42</v>
      </c>
      <c r="H4134" s="190" t="n">
        <v>3649.39616987165</v>
      </c>
      <c r="I4134" s="191" t="n">
        <v>4570292.46494193</v>
      </c>
      <c r="J4134" s="192" t="str">
        <f>IF(I4134&gt;0,H4134/I4134,0)</f>
      </c>
      <c r="K4134" s="193" t="str">
        <f>1-EXP(-J4134)</f>
      </c>
      <c r="L4134" s="194" t="str">
        <f>IF(G4134=30,1,M4133)</f>
      </c>
      <c r="M4134" s="195" t="str">
        <f>L4134*(1-K4134)</f>
      </c>
    </row>
    <row r="4135">
      <c r="A4135" t="s">
        <v>167</v>
      </c>
      <c r="B4135" t="s">
        <v>262</v>
      </c>
      <c r="C4135" s="35" t="s">
        <v>264</v>
      </c>
      <c r="D4135" t="s">
        <v>502</v>
      </c>
      <c r="E4135" t="s">
        <v>520</v>
      </c>
      <c r="F4135" s="188" t="n">
        <v>2050</v>
      </c>
      <c r="G4135" s="189" t="n">
        <v>43</v>
      </c>
      <c r="H4135" s="190" t="n">
        <v>4046.77684233757</v>
      </c>
      <c r="I4135" s="191" t="n">
        <v>4590222.67390105</v>
      </c>
      <c r="J4135" s="192" t="str">
        <f>IF(I4135&gt;0,H4135/I4135,0)</f>
      </c>
      <c r="K4135" s="193" t="str">
        <f>1-EXP(-J4135)</f>
      </c>
      <c r="L4135" s="194" t="str">
        <f>IF(G4135=30,1,M4134)</f>
      </c>
      <c r="M4135" s="195" t="str">
        <f>L4135*(1-K4135)</f>
      </c>
    </row>
    <row r="4136">
      <c r="A4136" t="s">
        <v>167</v>
      </c>
      <c r="B4136" t="s">
        <v>262</v>
      </c>
      <c r="C4136" s="35" t="s">
        <v>264</v>
      </c>
      <c r="D4136" t="s">
        <v>502</v>
      </c>
      <c r="E4136" t="s">
        <v>520</v>
      </c>
      <c r="F4136" s="188" t="n">
        <v>2050</v>
      </c>
      <c r="G4136" s="189" t="n">
        <v>44</v>
      </c>
      <c r="H4136" s="190" t="n">
        <v>4323.01616040903</v>
      </c>
      <c r="I4136" s="191" t="n">
        <v>4502820.0434385</v>
      </c>
      <c r="J4136" s="192" t="str">
        <f>IF(I4136&gt;0,H4136/I4136,0)</f>
      </c>
      <c r="K4136" s="193" t="str">
        <f>1-EXP(-J4136)</f>
      </c>
      <c r="L4136" s="194" t="str">
        <f>IF(G4136=30,1,M4135)</f>
      </c>
      <c r="M4136" s="195" t="str">
        <f>L4136*(1-K4136)</f>
      </c>
    </row>
    <row r="4137">
      <c r="A4137" t="s">
        <v>167</v>
      </c>
      <c r="B4137" t="s">
        <v>262</v>
      </c>
      <c r="C4137" s="35" t="s">
        <v>264</v>
      </c>
      <c r="D4137" t="s">
        <v>502</v>
      </c>
      <c r="E4137" t="s">
        <v>520</v>
      </c>
      <c r="F4137" s="188" t="n">
        <v>2050</v>
      </c>
      <c r="G4137" s="189" t="n">
        <v>45</v>
      </c>
      <c r="H4137" s="190" t="n">
        <v>5458.2210760099</v>
      </c>
      <c r="I4137" s="191" t="n">
        <v>4436313.131665</v>
      </c>
      <c r="J4137" s="192" t="str">
        <f>IF(I4137&gt;0,H4137/I4137,0)</f>
      </c>
      <c r="K4137" s="193" t="str">
        <f>1-EXP(-J4137)</f>
      </c>
      <c r="L4137" s="194" t="str">
        <f>IF(G4137=30,1,M4136)</f>
      </c>
      <c r="M4137" s="195" t="str">
        <f>L4137*(1-K4137)</f>
      </c>
    </row>
    <row r="4138">
      <c r="A4138" t="s">
        <v>167</v>
      </c>
      <c r="B4138" t="s">
        <v>262</v>
      </c>
      <c r="C4138" s="35" t="s">
        <v>264</v>
      </c>
      <c r="D4138" t="s">
        <v>502</v>
      </c>
      <c r="E4138" t="s">
        <v>520</v>
      </c>
      <c r="F4138" s="188" t="n">
        <v>2050</v>
      </c>
      <c r="G4138" s="189" t="n">
        <v>46</v>
      </c>
      <c r="H4138" s="190" t="n">
        <v>5910.32928971383</v>
      </c>
      <c r="I4138" s="191" t="n">
        <v>4302256.04752258</v>
      </c>
      <c r="J4138" s="192" t="str">
        <f>IF(I4138&gt;0,H4138/I4138,0)</f>
      </c>
      <c r="K4138" s="193" t="str">
        <f>1-EXP(-J4138)</f>
      </c>
      <c r="L4138" s="194" t="str">
        <f>IF(G4138=30,1,M4137)</f>
      </c>
      <c r="M4138" s="195" t="str">
        <f>L4138*(1-K4138)</f>
      </c>
    </row>
    <row r="4139">
      <c r="A4139" t="s">
        <v>167</v>
      </c>
      <c r="B4139" t="s">
        <v>262</v>
      </c>
      <c r="C4139" s="35" t="s">
        <v>264</v>
      </c>
      <c r="D4139" t="s">
        <v>502</v>
      </c>
      <c r="E4139" t="s">
        <v>520</v>
      </c>
      <c r="F4139" s="188" t="n">
        <v>2050</v>
      </c>
      <c r="G4139" s="189" t="n">
        <v>47</v>
      </c>
      <c r="H4139" s="190" t="n">
        <v>6369.63060067586</v>
      </c>
      <c r="I4139" s="191" t="n">
        <v>4229761.42663476</v>
      </c>
      <c r="J4139" s="192" t="str">
        <f>IF(I4139&gt;0,H4139/I4139,0)</f>
      </c>
      <c r="K4139" s="193" t="str">
        <f>1-EXP(-J4139)</f>
      </c>
      <c r="L4139" s="194" t="str">
        <f>IF(G4139=30,1,M4138)</f>
      </c>
      <c r="M4139" s="195" t="str">
        <f>L4139*(1-K4139)</f>
      </c>
    </row>
    <row r="4140">
      <c r="A4140" t="s">
        <v>167</v>
      </c>
      <c r="B4140" t="s">
        <v>262</v>
      </c>
      <c r="C4140" s="35" t="s">
        <v>264</v>
      </c>
      <c r="D4140" t="s">
        <v>502</v>
      </c>
      <c r="E4140" t="s">
        <v>520</v>
      </c>
      <c r="F4140" s="188" t="n">
        <v>2050</v>
      </c>
      <c r="G4140" s="189" t="n">
        <v>48</v>
      </c>
      <c r="H4140" s="190" t="n">
        <v>7087.96068051864</v>
      </c>
      <c r="I4140" s="191" t="n">
        <v>4196427.66305897</v>
      </c>
      <c r="J4140" s="192" t="str">
        <f>IF(I4140&gt;0,H4140/I4140,0)</f>
      </c>
      <c r="K4140" s="193" t="str">
        <f>1-EXP(-J4140)</f>
      </c>
      <c r="L4140" s="194" t="str">
        <f>IF(G4140=30,1,M4139)</f>
      </c>
      <c r="M4140" s="195" t="str">
        <f>L4140*(1-K4140)</f>
      </c>
    </row>
    <row r="4141">
      <c r="A4141" t="s">
        <v>167</v>
      </c>
      <c r="B4141" t="s">
        <v>262</v>
      </c>
      <c r="C4141" s="35" t="s">
        <v>264</v>
      </c>
      <c r="D4141" t="s">
        <v>502</v>
      </c>
      <c r="E4141" t="s">
        <v>520</v>
      </c>
      <c r="F4141" s="188" t="n">
        <v>2050</v>
      </c>
      <c r="G4141" s="189" t="n">
        <v>49</v>
      </c>
      <c r="H4141" s="190" t="n">
        <v>7732.21228950025</v>
      </c>
      <c r="I4141" s="191" t="n">
        <v>4165780.86433362</v>
      </c>
      <c r="J4141" s="192" t="str">
        <f>IF(I4141&gt;0,H4141/I4141,0)</f>
      </c>
      <c r="K4141" s="193" t="str">
        <f>1-EXP(-J4141)</f>
      </c>
      <c r="L4141" s="194" t="str">
        <f>IF(G4141=30,1,M4140)</f>
      </c>
      <c r="M4141" s="195" t="str">
        <f>L4141*(1-K4141)</f>
      </c>
    </row>
    <row r="4142">
      <c r="A4142" t="s">
        <v>167</v>
      </c>
      <c r="B4142" t="s">
        <v>262</v>
      </c>
      <c r="C4142" s="35" t="s">
        <v>264</v>
      </c>
      <c r="D4142" t="s">
        <v>502</v>
      </c>
      <c r="E4142" t="s">
        <v>520</v>
      </c>
      <c r="F4142" s="188" t="n">
        <v>2050</v>
      </c>
      <c r="G4142" s="189" t="n">
        <v>50</v>
      </c>
      <c r="H4142" s="190" t="n">
        <v>8740.27261778817</v>
      </c>
      <c r="I4142" s="191" t="n">
        <v>4133612.52514488</v>
      </c>
      <c r="J4142" s="192" t="str">
        <f>IF(I4142&gt;0,H4142/I4142,0)</f>
      </c>
      <c r="K4142" s="193" t="str">
        <f>1-EXP(-J4142)</f>
      </c>
      <c r="L4142" s="194" t="str">
        <f>IF(G4142=30,1,M4141)</f>
      </c>
      <c r="M4142" s="195" t="str">
        <f>L4142*(1-K4142)</f>
      </c>
    </row>
    <row r="4143">
      <c r="A4143" t="s">
        <v>167</v>
      </c>
      <c r="B4143" t="s">
        <v>262</v>
      </c>
      <c r="C4143" s="35" t="s">
        <v>264</v>
      </c>
      <c r="D4143" t="s">
        <v>502</v>
      </c>
      <c r="E4143" t="s">
        <v>520</v>
      </c>
      <c r="F4143" s="188" t="n">
        <v>2050</v>
      </c>
      <c r="G4143" s="189" t="n">
        <v>51</v>
      </c>
      <c r="H4143" s="190" t="n">
        <v>9647.08236690902</v>
      </c>
      <c r="I4143" s="191" t="n">
        <v>4137505.82785062</v>
      </c>
      <c r="J4143" s="192" t="str">
        <f>IF(I4143&gt;0,H4143/I4143,0)</f>
      </c>
      <c r="K4143" s="193" t="str">
        <f>1-EXP(-J4143)</f>
      </c>
      <c r="L4143" s="194" t="str">
        <f>IF(G4143=30,1,M4142)</f>
      </c>
      <c r="M4143" s="195" t="str">
        <f>L4143*(1-K4143)</f>
      </c>
    </row>
    <row r="4144">
      <c r="A4144" t="s">
        <v>167</v>
      </c>
      <c r="B4144" t="s">
        <v>262</v>
      </c>
      <c r="C4144" s="35" t="s">
        <v>264</v>
      </c>
      <c r="D4144" t="s">
        <v>502</v>
      </c>
      <c r="E4144" t="s">
        <v>520</v>
      </c>
      <c r="F4144" s="188" t="n">
        <v>2050</v>
      </c>
      <c r="G4144" s="189" t="n">
        <v>52</v>
      </c>
      <c r="H4144" s="190" t="n">
        <v>10660.3024291335</v>
      </c>
      <c r="I4144" s="191" t="n">
        <v>4177364.1864099</v>
      </c>
      <c r="J4144" s="192" t="str">
        <f>IF(I4144&gt;0,H4144/I4144,0)</f>
      </c>
      <c r="K4144" s="193" t="str">
        <f>1-EXP(-J4144)</f>
      </c>
      <c r="L4144" s="194" t="str">
        <f>IF(G4144=30,1,M4143)</f>
      </c>
      <c r="M4144" s="195" t="str">
        <f>L4144*(1-K4144)</f>
      </c>
    </row>
    <row r="4145">
      <c r="A4145" t="s">
        <v>167</v>
      </c>
      <c r="B4145" t="s">
        <v>262</v>
      </c>
      <c r="C4145" s="35" t="s">
        <v>264</v>
      </c>
      <c r="D4145" t="s">
        <v>502</v>
      </c>
      <c r="E4145" t="s">
        <v>520</v>
      </c>
      <c r="F4145" s="188" t="n">
        <v>2050</v>
      </c>
      <c r="G4145" s="189" t="n">
        <v>53</v>
      </c>
      <c r="H4145" s="190" t="n">
        <v>12091.5029250276</v>
      </c>
      <c r="I4145" s="191" t="n">
        <v>4286292.36079863</v>
      </c>
      <c r="J4145" s="192" t="str">
        <f>IF(I4145&gt;0,H4145/I4145,0)</f>
      </c>
      <c r="K4145" s="193" t="str">
        <f>1-EXP(-J4145)</f>
      </c>
      <c r="L4145" s="194" t="str">
        <f>IF(G4145=30,1,M4144)</f>
      </c>
      <c r="M4145" s="195" t="str">
        <f>L4145*(1-K4145)</f>
      </c>
    </row>
    <row r="4146">
      <c r="A4146" t="s">
        <v>167</v>
      </c>
      <c r="B4146" t="s">
        <v>262</v>
      </c>
      <c r="C4146" s="35" t="s">
        <v>264</v>
      </c>
      <c r="D4146" t="s">
        <v>502</v>
      </c>
      <c r="E4146" t="s">
        <v>520</v>
      </c>
      <c r="F4146" s="188" t="n">
        <v>2050</v>
      </c>
      <c r="G4146" s="189" t="n">
        <v>54</v>
      </c>
      <c r="H4146" s="190" t="n">
        <v>12966.9416737912</v>
      </c>
      <c r="I4146" s="191" t="n">
        <v>4224217.86827979</v>
      </c>
      <c r="J4146" s="192" t="str">
        <f>IF(I4146&gt;0,H4146/I4146,0)</f>
      </c>
      <c r="K4146" s="193" t="str">
        <f>1-EXP(-J4146)</f>
      </c>
      <c r="L4146" s="194" t="str">
        <f>IF(G4146=30,1,M4145)</f>
      </c>
      <c r="M4146" s="195" t="str">
        <f>L4146*(1-K4146)</f>
      </c>
    </row>
    <row r="4147">
      <c r="A4147" t="s">
        <v>167</v>
      </c>
      <c r="B4147" t="s">
        <v>262</v>
      </c>
      <c r="C4147" s="35" t="s">
        <v>264</v>
      </c>
      <c r="D4147" t="s">
        <v>502</v>
      </c>
      <c r="E4147" t="s">
        <v>520</v>
      </c>
      <c r="F4147" s="188" t="n">
        <v>2050</v>
      </c>
      <c r="G4147" s="189" t="n">
        <v>55</v>
      </c>
      <c r="H4147" s="190" t="n">
        <v>13489.0846631471</v>
      </c>
      <c r="I4147" s="191" t="n">
        <v>4132361.59341859</v>
      </c>
      <c r="J4147" s="192" t="str">
        <f>IF(I4147&gt;0,H4147/I4147,0)</f>
      </c>
      <c r="K4147" s="193" t="str">
        <f>1-EXP(-J4147)</f>
      </c>
      <c r="L4147" s="194" t="str">
        <f>IF(G4147=30,1,M4146)</f>
      </c>
      <c r="M4147" s="195" t="str">
        <f>L4147*(1-K4147)</f>
      </c>
    </row>
    <row r="4148">
      <c r="A4148" t="s">
        <v>167</v>
      </c>
      <c r="B4148" t="s">
        <v>262</v>
      </c>
      <c r="C4148" s="35" t="s">
        <v>264</v>
      </c>
      <c r="D4148" t="s">
        <v>502</v>
      </c>
      <c r="E4148" t="s">
        <v>520</v>
      </c>
      <c r="F4148" s="188" t="n">
        <v>2050</v>
      </c>
      <c r="G4148" s="189" t="n">
        <v>56</v>
      </c>
      <c r="H4148" s="190" t="n">
        <v>14370.1335566202</v>
      </c>
      <c r="I4148" s="191" t="n">
        <v>4053781.13339276</v>
      </c>
      <c r="J4148" s="192" t="str">
        <f>IF(I4148&gt;0,H4148/I4148,0)</f>
      </c>
      <c r="K4148" s="193" t="str">
        <f>1-EXP(-J4148)</f>
      </c>
      <c r="L4148" s="194" t="str">
        <f>IF(G4148=30,1,M4147)</f>
      </c>
      <c r="M4148" s="195" t="str">
        <f>L4148*(1-K4148)</f>
      </c>
    </row>
    <row r="4149">
      <c r="A4149" t="s">
        <v>167</v>
      </c>
      <c r="B4149" t="s">
        <v>262</v>
      </c>
      <c r="C4149" s="35" t="s">
        <v>264</v>
      </c>
      <c r="D4149" t="s">
        <v>502</v>
      </c>
      <c r="E4149" t="s">
        <v>520</v>
      </c>
      <c r="F4149" s="188" t="n">
        <v>2050</v>
      </c>
      <c r="G4149" s="189" t="n">
        <v>57</v>
      </c>
      <c r="H4149" s="190" t="n">
        <v>15362.2667196979</v>
      </c>
      <c r="I4149" s="191" t="n">
        <v>3976981.41889785</v>
      </c>
      <c r="J4149" s="192" t="str">
        <f>IF(I4149&gt;0,H4149/I4149,0)</f>
      </c>
      <c r="K4149" s="193" t="str">
        <f>1-EXP(-J4149)</f>
      </c>
      <c r="L4149" s="194" t="str">
        <f>IF(G4149=30,1,M4148)</f>
      </c>
      <c r="M4149" s="195" t="str">
        <f>L4149*(1-K4149)</f>
      </c>
    </row>
    <row r="4150">
      <c r="A4150" t="s">
        <v>167</v>
      </c>
      <c r="B4150" t="s">
        <v>262</v>
      </c>
      <c r="C4150" s="35" t="s">
        <v>264</v>
      </c>
      <c r="D4150" t="s">
        <v>502</v>
      </c>
      <c r="E4150" t="s">
        <v>520</v>
      </c>
      <c r="F4150" s="188" t="n">
        <v>2050</v>
      </c>
      <c r="G4150" s="189" t="n">
        <v>58</v>
      </c>
      <c r="H4150" s="190" t="n">
        <v>16773.1167197346</v>
      </c>
      <c r="I4150" s="191" t="n">
        <v>3982368.48791002</v>
      </c>
      <c r="J4150" s="192" t="str">
        <f>IF(I4150&gt;0,H4150/I4150,0)</f>
      </c>
      <c r="K4150" s="193" t="str">
        <f>1-EXP(-J4150)</f>
      </c>
      <c r="L4150" s="194" t="str">
        <f>IF(G4150=30,1,M4149)</f>
      </c>
      <c r="M4150" s="195" t="str">
        <f>L4150*(1-K4150)</f>
      </c>
    </row>
    <row r="4151">
      <c r="A4151" t="s">
        <v>167</v>
      </c>
      <c r="B4151" t="s">
        <v>262</v>
      </c>
      <c r="C4151" s="35" t="s">
        <v>264</v>
      </c>
      <c r="D4151" t="s">
        <v>502</v>
      </c>
      <c r="E4151" t="s">
        <v>520</v>
      </c>
      <c r="F4151" s="188" t="n">
        <v>2050</v>
      </c>
      <c r="G4151" s="189" t="n">
        <v>59</v>
      </c>
      <c r="H4151" s="190" t="n">
        <v>18283.6713503868</v>
      </c>
      <c r="I4151" s="191" t="n">
        <v>3966381.59145925</v>
      </c>
      <c r="J4151" s="192" t="str">
        <f>IF(I4151&gt;0,H4151/I4151,0)</f>
      </c>
      <c r="K4151" s="193" t="str">
        <f>1-EXP(-J4151)</f>
      </c>
      <c r="L4151" s="194" t="str">
        <f>IF(G4151=30,1,M4150)</f>
      </c>
      <c r="M4151" s="195" t="str">
        <f>L4151*(1-K4151)</f>
      </c>
    </row>
    <row r="4152">
      <c r="A4152" t="s">
        <v>167</v>
      </c>
      <c r="B4152" t="s">
        <v>262</v>
      </c>
      <c r="C4152" s="35" t="s">
        <v>264</v>
      </c>
      <c r="D4152" t="s">
        <v>502</v>
      </c>
      <c r="E4152" t="s">
        <v>520</v>
      </c>
      <c r="F4152" s="188" t="n">
        <v>2050</v>
      </c>
      <c r="G4152" s="189" t="n">
        <v>60</v>
      </c>
      <c r="H4152" s="190" t="n">
        <v>26413.3047438243</v>
      </c>
      <c r="I4152" s="191" t="n">
        <v>5832089.84472366</v>
      </c>
      <c r="J4152" s="192" t="str">
        <f>IF(I4152&gt;0,H4152/I4152,0)</f>
      </c>
      <c r="K4152" s="193" t="str">
        <f>1-EXP(-J4152)</f>
      </c>
      <c r="L4152" s="194" t="str">
        <f>IF(G4152=30,1,M4151)</f>
      </c>
      <c r="M4152" s="195" t="str">
        <f>L4152*(1-K4152)</f>
      </c>
    </row>
    <row r="4153">
      <c r="A4153" t="s">
        <v>167</v>
      </c>
      <c r="B4153" t="s">
        <v>262</v>
      </c>
      <c r="C4153" s="35" t="s">
        <v>264</v>
      </c>
      <c r="D4153" t="s">
        <v>502</v>
      </c>
      <c r="E4153" t="s">
        <v>520</v>
      </c>
      <c r="F4153" s="188" t="n">
        <v>2050</v>
      </c>
      <c r="G4153" s="189" t="n">
        <v>61</v>
      </c>
      <c r="H4153" s="190" t="n">
        <v>20973.1662975935</v>
      </c>
      <c r="I4153" s="191" t="n">
        <v>3855632.04794126</v>
      </c>
      <c r="J4153" s="192" t="str">
        <f>IF(I4153&gt;0,H4153/I4153,0)</f>
      </c>
      <c r="K4153" s="193" t="str">
        <f>1-EXP(-J4153)</f>
      </c>
      <c r="L4153" s="194" t="str">
        <f>IF(G4153=30,1,M4152)</f>
      </c>
      <c r="M4153" s="195" t="str">
        <f>L4153*(1-K4153)</f>
      </c>
    </row>
    <row r="4154">
      <c r="A4154" t="s">
        <v>167</v>
      </c>
      <c r="B4154" t="s">
        <v>262</v>
      </c>
      <c r="C4154" s="35" t="s">
        <v>264</v>
      </c>
      <c r="D4154" t="s">
        <v>502</v>
      </c>
      <c r="E4154" t="s">
        <v>520</v>
      </c>
      <c r="F4154" s="188" t="n">
        <v>2050</v>
      </c>
      <c r="G4154" s="189" t="n">
        <v>62</v>
      </c>
      <c r="H4154" s="190" t="n">
        <v>22708.8600522844</v>
      </c>
      <c r="I4154" s="191" t="n">
        <v>3799157.81438804</v>
      </c>
      <c r="J4154" s="192" t="str">
        <f>IF(I4154&gt;0,H4154/I4154,0)</f>
      </c>
      <c r="K4154" s="193" t="str">
        <f>1-EXP(-J4154)</f>
      </c>
      <c r="L4154" s="194" t="str">
        <f>IF(G4154=30,1,M4153)</f>
      </c>
      <c r="M4154" s="195" t="str">
        <f>L4154*(1-K4154)</f>
      </c>
    </row>
    <row r="4155">
      <c r="A4155" t="s">
        <v>167</v>
      </c>
      <c r="B4155" t="s">
        <v>262</v>
      </c>
      <c r="C4155" s="35" t="s">
        <v>264</v>
      </c>
      <c r="D4155" t="s">
        <v>502</v>
      </c>
      <c r="E4155" t="s">
        <v>520</v>
      </c>
      <c r="F4155" s="188" t="n">
        <v>2050</v>
      </c>
      <c r="G4155" s="189" t="n">
        <v>63</v>
      </c>
      <c r="H4155" s="190" t="n">
        <v>23905.8314126508</v>
      </c>
      <c r="I4155" s="191" t="n">
        <v>3638648.87424109</v>
      </c>
      <c r="J4155" s="192" t="str">
        <f>IF(I4155&gt;0,H4155/I4155,0)</f>
      </c>
      <c r="K4155" s="193" t="str">
        <f>1-EXP(-J4155)</f>
      </c>
      <c r="L4155" s="194" t="str">
        <f>IF(G4155=30,1,M4154)</f>
      </c>
      <c r="M4155" s="195" t="str">
        <f>L4155*(1-K4155)</f>
      </c>
    </row>
    <row r="4156">
      <c r="A4156" t="s">
        <v>167</v>
      </c>
      <c r="B4156" t="s">
        <v>262</v>
      </c>
      <c r="C4156" s="35" t="s">
        <v>264</v>
      </c>
      <c r="D4156" t="s">
        <v>502</v>
      </c>
      <c r="E4156" t="s">
        <v>520</v>
      </c>
      <c r="F4156" s="188" t="n">
        <v>2050</v>
      </c>
      <c r="G4156" s="189" t="n">
        <v>64</v>
      </c>
      <c r="H4156" s="190" t="n">
        <v>25690.7016226406</v>
      </c>
      <c r="I4156" s="191" t="n">
        <v>3561144.00586087</v>
      </c>
      <c r="J4156" s="192" t="str">
        <f>IF(I4156&gt;0,H4156/I4156,0)</f>
      </c>
      <c r="K4156" s="193" t="str">
        <f>1-EXP(-J4156)</f>
      </c>
      <c r="L4156" s="194" t="str">
        <f>IF(G4156=30,1,M4155)</f>
      </c>
      <c r="M4156" s="195" t="str">
        <f>L4156*(1-K4156)</f>
      </c>
    </row>
    <row r="4157">
      <c r="A4157" t="s">
        <v>167</v>
      </c>
      <c r="B4157" t="s">
        <v>262</v>
      </c>
      <c r="C4157" s="35" t="s">
        <v>264</v>
      </c>
      <c r="D4157" t="s">
        <v>502</v>
      </c>
      <c r="E4157" t="s">
        <v>520</v>
      </c>
      <c r="F4157" s="188" t="n">
        <v>2050</v>
      </c>
      <c r="G4157" s="189" t="n">
        <v>65</v>
      </c>
      <c r="H4157" s="190" t="n">
        <v>26746.2656132666</v>
      </c>
      <c r="I4157" s="191" t="n">
        <v>3559387.03363075</v>
      </c>
      <c r="J4157" s="192" t="str">
        <f>IF(I4157&gt;0,H4157/I4157,0)</f>
      </c>
      <c r="K4157" s="193" t="str">
        <f>1-EXP(-J4157)</f>
      </c>
      <c r="L4157" s="194" t="str">
        <f>IF(G4157=30,1,M4156)</f>
      </c>
      <c r="M4157" s="195" t="str">
        <f>L4157*(1-K4157)</f>
      </c>
    </row>
    <row r="4158">
      <c r="A4158" t="s">
        <v>167</v>
      </c>
      <c r="B4158" t="s">
        <v>262</v>
      </c>
      <c r="C4158" s="35" t="s">
        <v>264</v>
      </c>
      <c r="D4158" t="s">
        <v>502</v>
      </c>
      <c r="E4158" t="s">
        <v>520</v>
      </c>
      <c r="F4158" s="188" t="n">
        <v>2050</v>
      </c>
      <c r="G4158" s="189" t="n">
        <v>66</v>
      </c>
      <c r="H4158" s="190" t="n">
        <v>29486.4889375175</v>
      </c>
      <c r="I4158" s="191" t="n">
        <v>3573452.83699472</v>
      </c>
      <c r="J4158" s="192" t="str">
        <f>IF(I4158&gt;0,H4158/I4158,0)</f>
      </c>
      <c r="K4158" s="193" t="str">
        <f>1-EXP(-J4158)</f>
      </c>
      <c r="L4158" s="194" t="str">
        <f>IF(G4158=30,1,M4157)</f>
      </c>
      <c r="M4158" s="195" t="str">
        <f>L4158*(1-K4158)</f>
      </c>
    </row>
    <row r="4159">
      <c r="A4159" t="s">
        <v>167</v>
      </c>
      <c r="B4159" t="s">
        <v>262</v>
      </c>
      <c r="C4159" s="35" t="s">
        <v>264</v>
      </c>
      <c r="D4159" t="s">
        <v>502</v>
      </c>
      <c r="E4159" t="s">
        <v>520</v>
      </c>
      <c r="F4159" s="188" t="n">
        <v>2050</v>
      </c>
      <c r="G4159" s="189" t="n">
        <v>67</v>
      </c>
      <c r="H4159" s="190" t="n">
        <v>31659.0354742278</v>
      </c>
      <c r="I4159" s="191" t="n">
        <v>3490794.29548756</v>
      </c>
      <c r="J4159" s="192" t="str">
        <f>IF(I4159&gt;0,H4159/I4159,0)</f>
      </c>
      <c r="K4159" s="193" t="str">
        <f>1-EXP(-J4159)</f>
      </c>
      <c r="L4159" s="194" t="str">
        <f>IF(G4159=30,1,M4158)</f>
      </c>
      <c r="M4159" s="195" t="str">
        <f>L4159*(1-K4159)</f>
      </c>
    </row>
    <row r="4160">
      <c r="A4160" t="s">
        <v>167</v>
      </c>
      <c r="B4160" t="s">
        <v>262</v>
      </c>
      <c r="C4160" s="35" t="s">
        <v>264</v>
      </c>
      <c r="D4160" t="s">
        <v>502</v>
      </c>
      <c r="E4160" t="s">
        <v>520</v>
      </c>
      <c r="F4160" s="188" t="n">
        <v>2050</v>
      </c>
      <c r="G4160" s="189" t="n">
        <v>68</v>
      </c>
      <c r="H4160" s="190" t="n">
        <v>33073.9368895079</v>
      </c>
      <c r="I4160" s="191" t="n">
        <v>3313267.4915978</v>
      </c>
      <c r="J4160" s="192" t="str">
        <f>IF(I4160&gt;0,H4160/I4160,0)</f>
      </c>
      <c r="K4160" s="193" t="str">
        <f>1-EXP(-J4160)</f>
      </c>
      <c r="L4160" s="194" t="str">
        <f>IF(G4160=30,1,M4159)</f>
      </c>
      <c r="M4160" s="195" t="str">
        <f>L4160*(1-K4160)</f>
      </c>
    </row>
    <row r="4161">
      <c r="A4161" t="s">
        <v>167</v>
      </c>
      <c r="B4161" t="s">
        <v>262</v>
      </c>
      <c r="C4161" s="35" t="s">
        <v>264</v>
      </c>
      <c r="D4161" t="s">
        <v>502</v>
      </c>
      <c r="E4161" t="s">
        <v>520</v>
      </c>
      <c r="F4161" s="188" t="n">
        <v>2050</v>
      </c>
      <c r="G4161" s="189" t="n">
        <v>69</v>
      </c>
      <c r="H4161" s="190" t="n">
        <v>34997.9023222559</v>
      </c>
      <c r="I4161" s="191" t="n">
        <v>3184631.84516864</v>
      </c>
      <c r="J4161" s="192" t="str">
        <f>IF(I4161&gt;0,H4161/I4161,0)</f>
      </c>
      <c r="K4161" s="193" t="str">
        <f>1-EXP(-J4161)</f>
      </c>
      <c r="L4161" s="194" t="str">
        <f>IF(G4161=30,1,M4160)</f>
      </c>
      <c r="M4161" s="195" t="str">
        <f>L4161*(1-K4161)</f>
      </c>
    </row>
    <row r="4162">
      <c r="A4162" t="s">
        <v>167</v>
      </c>
      <c r="B4162" t="s">
        <v>272</v>
      </c>
      <c r="C4162" s="35" t="s">
        <v>274</v>
      </c>
      <c r="D4162" t="s">
        <v>502</v>
      </c>
      <c r="E4162" t="s">
        <v>520</v>
      </c>
      <c r="F4162" s="188" t="n">
        <v>2025</v>
      </c>
      <c r="G4162" s="189" t="n">
        <v>30</v>
      </c>
      <c r="H4162" s="190" t="n">
        <v>1282.14808007526</v>
      </c>
      <c r="I4162" s="191" t="n">
        <v>4467259.00744984</v>
      </c>
      <c r="J4162" s="192" t="str">
        <f>IF(I4162&gt;0,H4162/I4162,0)</f>
      </c>
      <c r="K4162" s="193" t="str">
        <f>1-EXP(-J4162)</f>
      </c>
      <c r="L4162" s="194" t="str">
        <f>IF(G4162=30,1,M4161)</f>
      </c>
      <c r="M4162" s="195" t="str">
        <f>L4162*(1-K4162)</f>
      </c>
    </row>
    <row r="4163">
      <c r="A4163" t="s">
        <v>167</v>
      </c>
      <c r="B4163" t="s">
        <v>272</v>
      </c>
      <c r="C4163" s="35" t="s">
        <v>274</v>
      </c>
      <c r="D4163" t="s">
        <v>502</v>
      </c>
      <c r="E4163" t="s">
        <v>520</v>
      </c>
      <c r="F4163" s="188" t="n">
        <v>2025</v>
      </c>
      <c r="G4163" s="189" t="n">
        <v>31</v>
      </c>
      <c r="H4163" s="190" t="n">
        <v>1315.23908698248</v>
      </c>
      <c r="I4163" s="191" t="n">
        <v>4410712.39044934</v>
      </c>
      <c r="J4163" s="192" t="str">
        <f>IF(I4163&gt;0,H4163/I4163,0)</f>
      </c>
      <c r="K4163" s="193" t="str">
        <f>1-EXP(-J4163)</f>
      </c>
      <c r="L4163" s="194" t="str">
        <f>IF(G4163=30,1,M4162)</f>
      </c>
      <c r="M4163" s="195" t="str">
        <f>L4163*(1-K4163)</f>
      </c>
    </row>
    <row r="4164">
      <c r="A4164" t="s">
        <v>167</v>
      </c>
      <c r="B4164" t="s">
        <v>272</v>
      </c>
      <c r="C4164" s="35" t="s">
        <v>274</v>
      </c>
      <c r="D4164" t="s">
        <v>502</v>
      </c>
      <c r="E4164" t="s">
        <v>520</v>
      </c>
      <c r="F4164" s="188" t="n">
        <v>2025</v>
      </c>
      <c r="G4164" s="189" t="n">
        <v>32</v>
      </c>
      <c r="H4164" s="190" t="n">
        <v>1358.36874107968</v>
      </c>
      <c r="I4164" s="191" t="n">
        <v>4358505.80076359</v>
      </c>
      <c r="J4164" s="192" t="str">
        <f>IF(I4164&gt;0,H4164/I4164,0)</f>
      </c>
      <c r="K4164" s="193" t="str">
        <f>1-EXP(-J4164)</f>
      </c>
      <c r="L4164" s="194" t="str">
        <f>IF(G4164=30,1,M4163)</f>
      </c>
      <c r="M4164" s="195" t="str">
        <f>L4164*(1-K4164)</f>
      </c>
    </row>
    <row r="4165">
      <c r="A4165" t="s">
        <v>167</v>
      </c>
      <c r="B4165" t="s">
        <v>272</v>
      </c>
      <c r="C4165" s="35" t="s">
        <v>274</v>
      </c>
      <c r="D4165" t="s">
        <v>502</v>
      </c>
      <c r="E4165" t="s">
        <v>520</v>
      </c>
      <c r="F4165" s="188" t="n">
        <v>2025</v>
      </c>
      <c r="G4165" s="189" t="n">
        <v>33</v>
      </c>
      <c r="H4165" s="190" t="n">
        <v>1441.84186563352</v>
      </c>
      <c r="I4165" s="191" t="n">
        <v>4398745.92791286</v>
      </c>
      <c r="J4165" s="192" t="str">
        <f>IF(I4165&gt;0,H4165/I4165,0)</f>
      </c>
      <c r="K4165" s="193" t="str">
        <f>1-EXP(-J4165)</f>
      </c>
      <c r="L4165" s="194" t="str">
        <f>IF(G4165=30,1,M4164)</f>
      </c>
      <c r="M4165" s="195" t="str">
        <f>L4165*(1-K4165)</f>
      </c>
    </row>
    <row r="4166">
      <c r="A4166" t="s">
        <v>167</v>
      </c>
      <c r="B4166" t="s">
        <v>272</v>
      </c>
      <c r="C4166" s="35" t="s">
        <v>274</v>
      </c>
      <c r="D4166" t="s">
        <v>502</v>
      </c>
      <c r="E4166" t="s">
        <v>520</v>
      </c>
      <c r="F4166" s="188" t="n">
        <v>2025</v>
      </c>
      <c r="G4166" s="189" t="n">
        <v>34</v>
      </c>
      <c r="H4166" s="190" t="n">
        <v>1533.78714702233</v>
      </c>
      <c r="I4166" s="191" t="n">
        <v>4419468.588996</v>
      </c>
      <c r="J4166" s="192" t="str">
        <f>IF(I4166&gt;0,H4166/I4166,0)</f>
      </c>
      <c r="K4166" s="193" t="str">
        <f>1-EXP(-J4166)</f>
      </c>
      <c r="L4166" s="194" t="str">
        <f>IF(G4166=30,1,M4165)</f>
      </c>
      <c r="M4166" s="195" t="str">
        <f>L4166*(1-K4166)</f>
      </c>
    </row>
    <row r="4167">
      <c r="A4167" t="s">
        <v>167</v>
      </c>
      <c r="B4167" t="s">
        <v>272</v>
      </c>
      <c r="C4167" s="35" t="s">
        <v>274</v>
      </c>
      <c r="D4167" t="s">
        <v>502</v>
      </c>
      <c r="E4167" t="s">
        <v>520</v>
      </c>
      <c r="F4167" s="188" t="n">
        <v>2025</v>
      </c>
      <c r="G4167" s="189" t="n">
        <v>35</v>
      </c>
      <c r="H4167" s="190" t="n">
        <v>3016.10693161697</v>
      </c>
      <c r="I4167" s="191" t="n">
        <v>6509663.36688188</v>
      </c>
      <c r="J4167" s="192" t="str">
        <f>IF(I4167&gt;0,H4167/I4167,0)</f>
      </c>
      <c r="K4167" s="193" t="str">
        <f>1-EXP(-J4167)</f>
      </c>
      <c r="L4167" s="194" t="str">
        <f>IF(G4167=30,1,M4166)</f>
      </c>
      <c r="M4167" s="195" t="str">
        <f>L4167*(1-K4167)</f>
      </c>
    </row>
    <row r="4168">
      <c r="A4168" t="s">
        <v>167</v>
      </c>
      <c r="B4168" t="s">
        <v>272</v>
      </c>
      <c r="C4168" s="35" t="s">
        <v>274</v>
      </c>
      <c r="D4168" t="s">
        <v>502</v>
      </c>
      <c r="E4168" t="s">
        <v>520</v>
      </c>
      <c r="F4168" s="188" t="n">
        <v>2025</v>
      </c>
      <c r="G4168" s="189" t="n">
        <v>36</v>
      </c>
      <c r="H4168" s="190" t="n">
        <v>2254.70933318993</v>
      </c>
      <c r="I4168" s="191" t="n">
        <v>4383096.00549538</v>
      </c>
      <c r="J4168" s="192" t="str">
        <f>IF(I4168&gt;0,H4168/I4168,0)</f>
      </c>
      <c r="K4168" s="193" t="str">
        <f>1-EXP(-J4168)</f>
      </c>
      <c r="L4168" s="194" t="str">
        <f>IF(G4168=30,1,M4167)</f>
      </c>
      <c r="M4168" s="195" t="str">
        <f>L4168*(1-K4168)</f>
      </c>
    </row>
    <row r="4169">
      <c r="A4169" t="s">
        <v>167</v>
      </c>
      <c r="B4169" t="s">
        <v>272</v>
      </c>
      <c r="C4169" s="35" t="s">
        <v>274</v>
      </c>
      <c r="D4169" t="s">
        <v>502</v>
      </c>
      <c r="E4169" t="s">
        <v>520</v>
      </c>
      <c r="F4169" s="188" t="n">
        <v>2025</v>
      </c>
      <c r="G4169" s="189" t="n">
        <v>37</v>
      </c>
      <c r="H4169" s="190" t="n">
        <v>2406.72848505594</v>
      </c>
      <c r="I4169" s="191" t="n">
        <v>4369642.29305489</v>
      </c>
      <c r="J4169" s="192" t="str">
        <f>IF(I4169&gt;0,H4169/I4169,0)</f>
      </c>
      <c r="K4169" s="193" t="str">
        <f>1-EXP(-J4169)</f>
      </c>
      <c r="L4169" s="194" t="str">
        <f>IF(G4169=30,1,M4168)</f>
      </c>
      <c r="M4169" s="195" t="str">
        <f>L4169*(1-K4169)</f>
      </c>
    </row>
    <row r="4170">
      <c r="A4170" t="s">
        <v>167</v>
      </c>
      <c r="B4170" t="s">
        <v>272</v>
      </c>
      <c r="C4170" s="35" t="s">
        <v>274</v>
      </c>
      <c r="D4170" t="s">
        <v>502</v>
      </c>
      <c r="E4170" t="s">
        <v>520</v>
      </c>
      <c r="F4170" s="188" t="n">
        <v>2025</v>
      </c>
      <c r="G4170" s="189" t="n">
        <v>38</v>
      </c>
      <c r="H4170" s="190" t="n">
        <v>2504.26492550023</v>
      </c>
      <c r="I4170" s="191" t="n">
        <v>4239505.8530855</v>
      </c>
      <c r="J4170" s="192" t="str">
        <f>IF(I4170&gt;0,H4170/I4170,0)</f>
      </c>
      <c r="K4170" s="193" t="str">
        <f>1-EXP(-J4170)</f>
      </c>
      <c r="L4170" s="194" t="str">
        <f>IF(G4170=30,1,M4169)</f>
      </c>
      <c r="M4170" s="195" t="str">
        <f>L4170*(1-K4170)</f>
      </c>
    </row>
    <row r="4171">
      <c r="A4171" t="s">
        <v>167</v>
      </c>
      <c r="B4171" t="s">
        <v>272</v>
      </c>
      <c r="C4171" s="35" t="s">
        <v>274</v>
      </c>
      <c r="D4171" t="s">
        <v>502</v>
      </c>
      <c r="E4171" t="s">
        <v>520</v>
      </c>
      <c r="F4171" s="188" t="n">
        <v>2025</v>
      </c>
      <c r="G4171" s="189" t="n">
        <v>39</v>
      </c>
      <c r="H4171" s="190" t="n">
        <v>2668.85044983619</v>
      </c>
      <c r="I4171" s="191" t="n">
        <v>4208510.72085438</v>
      </c>
      <c r="J4171" s="192" t="str">
        <f>IF(I4171&gt;0,H4171/I4171,0)</f>
      </c>
      <c r="K4171" s="193" t="str">
        <f>1-EXP(-J4171)</f>
      </c>
      <c r="L4171" s="194" t="str">
        <f>IF(G4171=30,1,M4170)</f>
      </c>
      <c r="M4171" s="195" t="str">
        <f>L4171*(1-K4171)</f>
      </c>
    </row>
    <row r="4172">
      <c r="A4172" t="s">
        <v>167</v>
      </c>
      <c r="B4172" t="s">
        <v>272</v>
      </c>
      <c r="C4172" s="35" t="s">
        <v>274</v>
      </c>
      <c r="D4172" t="s">
        <v>502</v>
      </c>
      <c r="E4172" t="s">
        <v>520</v>
      </c>
      <c r="F4172" s="188" t="n">
        <v>2025</v>
      </c>
      <c r="G4172" s="189" t="n">
        <v>40</v>
      </c>
      <c r="H4172" s="190" t="n">
        <v>3657.34535610759</v>
      </c>
      <c r="I4172" s="191" t="n">
        <v>4272859.94162918</v>
      </c>
      <c r="J4172" s="192" t="str">
        <f>IF(I4172&gt;0,H4172/I4172,0)</f>
      </c>
      <c r="K4172" s="193" t="str">
        <f>1-EXP(-J4172)</f>
      </c>
      <c r="L4172" s="194" t="str">
        <f>IF(G4172=30,1,M4171)</f>
      </c>
      <c r="M4172" s="195" t="str">
        <f>L4172*(1-K4172)</f>
      </c>
    </row>
    <row r="4173">
      <c r="A4173" t="s">
        <v>167</v>
      </c>
      <c r="B4173" t="s">
        <v>272</v>
      </c>
      <c r="C4173" s="35" t="s">
        <v>274</v>
      </c>
      <c r="D4173" t="s">
        <v>502</v>
      </c>
      <c r="E4173" t="s">
        <v>520</v>
      </c>
      <c r="F4173" s="188" t="n">
        <v>2025</v>
      </c>
      <c r="G4173" s="189" t="n">
        <v>41</v>
      </c>
      <c r="H4173" s="190" t="n">
        <v>4027.13767921727</v>
      </c>
      <c r="I4173" s="191" t="n">
        <v>4362484.66303299</v>
      </c>
      <c r="J4173" s="192" t="str">
        <f>IF(I4173&gt;0,H4173/I4173,0)</f>
      </c>
      <c r="K4173" s="193" t="str">
        <f>1-EXP(-J4173)</f>
      </c>
      <c r="L4173" s="194" t="str">
        <f>IF(G4173=30,1,M4172)</f>
      </c>
      <c r="M4173" s="195" t="str">
        <f>L4173*(1-K4173)</f>
      </c>
    </row>
    <row r="4174">
      <c r="A4174" t="s">
        <v>167</v>
      </c>
      <c r="B4174" t="s">
        <v>272</v>
      </c>
      <c r="C4174" s="35" t="s">
        <v>274</v>
      </c>
      <c r="D4174" t="s">
        <v>502</v>
      </c>
      <c r="E4174" t="s">
        <v>520</v>
      </c>
      <c r="F4174" s="188" t="n">
        <v>2025</v>
      </c>
      <c r="G4174" s="189" t="n">
        <v>42</v>
      </c>
      <c r="H4174" s="190" t="n">
        <v>4338.50110850914</v>
      </c>
      <c r="I4174" s="191" t="n">
        <v>4343004.76876643</v>
      </c>
      <c r="J4174" s="192" t="str">
        <f>IF(I4174&gt;0,H4174/I4174,0)</f>
      </c>
      <c r="K4174" s="193" t="str">
        <f>1-EXP(-J4174)</f>
      </c>
      <c r="L4174" s="194" t="str">
        <f>IF(G4174=30,1,M4173)</f>
      </c>
      <c r="M4174" s="195" t="str">
        <f>L4174*(1-K4174)</f>
      </c>
    </row>
    <row r="4175">
      <c r="A4175" t="s">
        <v>167</v>
      </c>
      <c r="B4175" t="s">
        <v>272</v>
      </c>
      <c r="C4175" s="35" t="s">
        <v>274</v>
      </c>
      <c r="D4175" t="s">
        <v>502</v>
      </c>
      <c r="E4175" t="s">
        <v>520</v>
      </c>
      <c r="F4175" s="188" t="n">
        <v>2025</v>
      </c>
      <c r="G4175" s="189" t="n">
        <v>43</v>
      </c>
      <c r="H4175" s="190" t="n">
        <v>4570.23561452701</v>
      </c>
      <c r="I4175" s="191" t="n">
        <v>4209764.82229798</v>
      </c>
      <c r="J4175" s="192" t="str">
        <f>IF(I4175&gt;0,H4175/I4175,0)</f>
      </c>
      <c r="K4175" s="193" t="str">
        <f>1-EXP(-J4175)</f>
      </c>
      <c r="L4175" s="194" t="str">
        <f>IF(G4175=30,1,M4174)</f>
      </c>
      <c r="M4175" s="195" t="str">
        <f>L4175*(1-K4175)</f>
      </c>
    </row>
    <row r="4176">
      <c r="A4176" t="s">
        <v>167</v>
      </c>
      <c r="B4176" t="s">
        <v>272</v>
      </c>
      <c r="C4176" s="35" t="s">
        <v>274</v>
      </c>
      <c r="D4176" t="s">
        <v>502</v>
      </c>
      <c r="E4176" t="s">
        <v>520</v>
      </c>
      <c r="F4176" s="188" t="n">
        <v>2025</v>
      </c>
      <c r="G4176" s="189" t="n">
        <v>44</v>
      </c>
      <c r="H4176" s="190" t="n">
        <v>4899.11975851417</v>
      </c>
      <c r="I4176" s="191" t="n">
        <v>4140245.42433907</v>
      </c>
      <c r="J4176" s="192" t="str">
        <f>IF(I4176&gt;0,H4176/I4176,0)</f>
      </c>
      <c r="K4176" s="193" t="str">
        <f>1-EXP(-J4176)</f>
      </c>
      <c r="L4176" s="194" t="str">
        <f>IF(G4176=30,1,M4175)</f>
      </c>
      <c r="M4176" s="195" t="str">
        <f>L4176*(1-K4176)</f>
      </c>
    </row>
    <row r="4177">
      <c r="A4177" t="s">
        <v>167</v>
      </c>
      <c r="B4177" t="s">
        <v>272</v>
      </c>
      <c r="C4177" s="35" t="s">
        <v>274</v>
      </c>
      <c r="D4177" t="s">
        <v>502</v>
      </c>
      <c r="E4177" t="s">
        <v>520</v>
      </c>
      <c r="F4177" s="188" t="n">
        <v>2025</v>
      </c>
      <c r="G4177" s="189" t="n">
        <v>45</v>
      </c>
      <c r="H4177" s="190" t="n">
        <v>6269.58995124239</v>
      </c>
      <c r="I4177" s="191" t="n">
        <v>4087263.42645959</v>
      </c>
      <c r="J4177" s="192" t="str">
        <f>IF(I4177&gt;0,H4177/I4177,0)</f>
      </c>
      <c r="K4177" s="193" t="str">
        <f>1-EXP(-J4177)</f>
      </c>
      <c r="L4177" s="194" t="str">
        <f>IF(G4177=30,1,M4176)</f>
      </c>
      <c r="M4177" s="195" t="str">
        <f>L4177*(1-K4177)</f>
      </c>
    </row>
    <row r="4178">
      <c r="A4178" t="s">
        <v>167</v>
      </c>
      <c r="B4178" t="s">
        <v>272</v>
      </c>
      <c r="C4178" s="35" t="s">
        <v>274</v>
      </c>
      <c r="D4178" t="s">
        <v>502</v>
      </c>
      <c r="E4178" t="s">
        <v>520</v>
      </c>
      <c r="F4178" s="188" t="n">
        <v>2025</v>
      </c>
      <c r="G4178" s="189" t="n">
        <v>46</v>
      </c>
      <c r="H4178" s="190" t="n">
        <v>6759.61099672677</v>
      </c>
      <c r="I4178" s="191" t="n">
        <v>4028051.8565677</v>
      </c>
      <c r="J4178" s="192" t="str">
        <f>IF(I4178&gt;0,H4178/I4178,0)</f>
      </c>
      <c r="K4178" s="193" t="str">
        <f>1-EXP(-J4178)</f>
      </c>
      <c r="L4178" s="194" t="str">
        <f>IF(G4178=30,1,M4177)</f>
      </c>
      <c r="M4178" s="195" t="str">
        <f>L4178*(1-K4178)</f>
      </c>
    </row>
    <row r="4179">
      <c r="A4179" t="s">
        <v>167</v>
      </c>
      <c r="B4179" t="s">
        <v>272</v>
      </c>
      <c r="C4179" s="35" t="s">
        <v>274</v>
      </c>
      <c r="D4179" t="s">
        <v>502</v>
      </c>
      <c r="E4179" t="s">
        <v>520</v>
      </c>
      <c r="F4179" s="188" t="n">
        <v>2025</v>
      </c>
      <c r="G4179" s="189" t="n">
        <v>47</v>
      </c>
      <c r="H4179" s="190" t="n">
        <v>7252.18511271875</v>
      </c>
      <c r="I4179" s="191" t="n">
        <v>3950277.12889061</v>
      </c>
      <c r="J4179" s="192" t="str">
        <f>IF(I4179&gt;0,H4179/I4179,0)</f>
      </c>
      <c r="K4179" s="193" t="str">
        <f>1-EXP(-J4179)</f>
      </c>
      <c r="L4179" s="194" t="str">
        <f>IF(G4179=30,1,M4178)</f>
      </c>
      <c r="M4179" s="195" t="str">
        <f>L4179*(1-K4179)</f>
      </c>
    </row>
    <row r="4180">
      <c r="A4180" t="s">
        <v>167</v>
      </c>
      <c r="B4180" t="s">
        <v>272</v>
      </c>
      <c r="C4180" s="35" t="s">
        <v>274</v>
      </c>
      <c r="D4180" t="s">
        <v>502</v>
      </c>
      <c r="E4180" t="s">
        <v>520</v>
      </c>
      <c r="F4180" s="188" t="n">
        <v>2025</v>
      </c>
      <c r="G4180" s="189" t="n">
        <v>48</v>
      </c>
      <c r="H4180" s="190" t="n">
        <v>7813.40832117215</v>
      </c>
      <c r="I4180" s="191" t="n">
        <v>3890339.92856643</v>
      </c>
      <c r="J4180" s="192" t="str">
        <f>IF(I4180&gt;0,H4180/I4180,0)</f>
      </c>
      <c r="K4180" s="193" t="str">
        <f>1-EXP(-J4180)</f>
      </c>
      <c r="L4180" s="194" t="str">
        <f>IF(G4180=30,1,M4179)</f>
      </c>
      <c r="M4180" s="195" t="str">
        <f>L4180*(1-K4180)</f>
      </c>
    </row>
    <row r="4181">
      <c r="A4181" t="s">
        <v>167</v>
      </c>
      <c r="B4181" t="s">
        <v>272</v>
      </c>
      <c r="C4181" s="35" t="s">
        <v>274</v>
      </c>
      <c r="D4181" t="s">
        <v>502</v>
      </c>
      <c r="E4181" t="s">
        <v>520</v>
      </c>
      <c r="F4181" s="188" t="n">
        <v>2025</v>
      </c>
      <c r="G4181" s="189" t="n">
        <v>49</v>
      </c>
      <c r="H4181" s="190" t="n">
        <v>8372.78717400612</v>
      </c>
      <c r="I4181" s="191" t="n">
        <v>3818493.26996543</v>
      </c>
      <c r="J4181" s="192" t="str">
        <f>IF(I4181&gt;0,H4181/I4181,0)</f>
      </c>
      <c r="K4181" s="193" t="str">
        <f>1-EXP(-J4181)</f>
      </c>
      <c r="L4181" s="194" t="str">
        <f>IF(G4181=30,1,M4180)</f>
      </c>
      <c r="M4181" s="195" t="str">
        <f>L4181*(1-K4181)</f>
      </c>
    </row>
    <row r="4182">
      <c r="A4182" t="s">
        <v>167</v>
      </c>
      <c r="B4182" t="s">
        <v>272</v>
      </c>
      <c r="C4182" s="35" t="s">
        <v>274</v>
      </c>
      <c r="D4182" t="s">
        <v>502</v>
      </c>
      <c r="E4182" t="s">
        <v>520</v>
      </c>
      <c r="F4182" s="188" t="n">
        <v>2025</v>
      </c>
      <c r="G4182" s="189" t="n">
        <v>50</v>
      </c>
      <c r="H4182" s="190" t="n">
        <v>9615.55870918643</v>
      </c>
      <c r="I4182" s="191" t="n">
        <v>3746208.3894556</v>
      </c>
      <c r="J4182" s="192" t="str">
        <f>IF(I4182&gt;0,H4182/I4182,0)</f>
      </c>
      <c r="K4182" s="193" t="str">
        <f>1-EXP(-J4182)</f>
      </c>
      <c r="L4182" s="194" t="str">
        <f>IF(G4182=30,1,M4181)</f>
      </c>
      <c r="M4182" s="195" t="str">
        <f>L4182*(1-K4182)</f>
      </c>
    </row>
    <row r="4183">
      <c r="A4183" t="s">
        <v>167</v>
      </c>
      <c r="B4183" t="s">
        <v>272</v>
      </c>
      <c r="C4183" s="35" t="s">
        <v>274</v>
      </c>
      <c r="D4183" t="s">
        <v>502</v>
      </c>
      <c r="E4183" t="s">
        <v>520</v>
      </c>
      <c r="F4183" s="188" t="n">
        <v>2025</v>
      </c>
      <c r="G4183" s="189" t="n">
        <v>51</v>
      </c>
      <c r="H4183" s="190" t="n">
        <v>10197.7741864065</v>
      </c>
      <c r="I4183" s="191" t="n">
        <v>3645044.21523223</v>
      </c>
      <c r="J4183" s="192" t="str">
        <f>IF(I4183&gt;0,H4183/I4183,0)</f>
      </c>
      <c r="K4183" s="193" t="str">
        <f>1-EXP(-J4183)</f>
      </c>
      <c r="L4183" s="194" t="str">
        <f>IF(G4183=30,1,M4182)</f>
      </c>
      <c r="M4183" s="195" t="str">
        <f>L4183*(1-K4183)</f>
      </c>
    </row>
    <row r="4184">
      <c r="A4184" t="s">
        <v>167</v>
      </c>
      <c r="B4184" t="s">
        <v>272</v>
      </c>
      <c r="C4184" s="35" t="s">
        <v>274</v>
      </c>
      <c r="D4184" t="s">
        <v>502</v>
      </c>
      <c r="E4184" t="s">
        <v>520</v>
      </c>
      <c r="F4184" s="188" t="n">
        <v>2025</v>
      </c>
      <c r="G4184" s="189" t="n">
        <v>52</v>
      </c>
      <c r="H4184" s="190" t="n">
        <v>10999.1856381924</v>
      </c>
      <c r="I4184" s="191" t="n">
        <v>3606935.96429087</v>
      </c>
      <c r="J4184" s="192" t="str">
        <f>IF(I4184&gt;0,H4184/I4184,0)</f>
      </c>
      <c r="K4184" s="193" t="str">
        <f>1-EXP(-J4184)</f>
      </c>
      <c r="L4184" s="194" t="str">
        <f>IF(G4184=30,1,M4183)</f>
      </c>
      <c r="M4184" s="195" t="str">
        <f>L4184*(1-K4184)</f>
      </c>
    </row>
    <row r="4185">
      <c r="A4185" t="s">
        <v>167</v>
      </c>
      <c r="B4185" t="s">
        <v>272</v>
      </c>
      <c r="C4185" s="35" t="s">
        <v>274</v>
      </c>
      <c r="D4185" t="s">
        <v>502</v>
      </c>
      <c r="E4185" t="s">
        <v>520</v>
      </c>
      <c r="F4185" s="188" t="n">
        <v>2025</v>
      </c>
      <c r="G4185" s="189" t="n">
        <v>53</v>
      </c>
      <c r="H4185" s="190" t="n">
        <v>11320.211791169</v>
      </c>
      <c r="I4185" s="191" t="n">
        <v>3400438.09374049</v>
      </c>
      <c r="J4185" s="192" t="str">
        <f>IF(I4185&gt;0,H4185/I4185,0)</f>
      </c>
      <c r="K4185" s="193" t="str">
        <f>1-EXP(-J4185)</f>
      </c>
      <c r="L4185" s="194" t="str">
        <f>IF(G4185=30,1,M4184)</f>
      </c>
      <c r="M4185" s="195" t="str">
        <f>L4185*(1-K4185)</f>
      </c>
    </row>
    <row r="4186">
      <c r="A4186" t="s">
        <v>167</v>
      </c>
      <c r="B4186" t="s">
        <v>272</v>
      </c>
      <c r="C4186" s="35" t="s">
        <v>274</v>
      </c>
      <c r="D4186" t="s">
        <v>502</v>
      </c>
      <c r="E4186" t="s">
        <v>520</v>
      </c>
      <c r="F4186" s="188" t="n">
        <v>2025</v>
      </c>
      <c r="G4186" s="189" t="n">
        <v>54</v>
      </c>
      <c r="H4186" s="190" t="n">
        <v>12058.0132264927</v>
      </c>
      <c r="I4186" s="191" t="n">
        <v>3319306.02358973</v>
      </c>
      <c r="J4186" s="192" t="str">
        <f>IF(I4186&gt;0,H4186/I4186,0)</f>
      </c>
      <c r="K4186" s="193" t="str">
        <f>1-EXP(-J4186)</f>
      </c>
      <c r="L4186" s="194" t="str">
        <f>IF(G4186=30,1,M4185)</f>
      </c>
      <c r="M4186" s="195" t="str">
        <f>L4186*(1-K4186)</f>
      </c>
    </row>
    <row r="4187">
      <c r="A4187" t="s">
        <v>167</v>
      </c>
      <c r="B4187" t="s">
        <v>272</v>
      </c>
      <c r="C4187" s="35" t="s">
        <v>274</v>
      </c>
      <c r="D4187" t="s">
        <v>502</v>
      </c>
      <c r="E4187" t="s">
        <v>520</v>
      </c>
      <c r="F4187" s="188" t="n">
        <v>2025</v>
      </c>
      <c r="G4187" s="189" t="n">
        <v>55</v>
      </c>
      <c r="H4187" s="190" t="n">
        <v>13121.8630224673</v>
      </c>
      <c r="I4187" s="191" t="n">
        <v>3243129.6175784</v>
      </c>
      <c r="J4187" s="192" t="str">
        <f>IF(I4187&gt;0,H4187/I4187,0)</f>
      </c>
      <c r="K4187" s="193" t="str">
        <f>1-EXP(-J4187)</f>
      </c>
      <c r="L4187" s="194" t="str">
        <f>IF(G4187=30,1,M4186)</f>
      </c>
      <c r="M4187" s="195" t="str">
        <f>L4187*(1-K4187)</f>
      </c>
    </row>
    <row r="4188">
      <c r="A4188" t="s">
        <v>167</v>
      </c>
      <c r="B4188" t="s">
        <v>272</v>
      </c>
      <c r="C4188" s="35" t="s">
        <v>274</v>
      </c>
      <c r="D4188" t="s">
        <v>502</v>
      </c>
      <c r="E4188" t="s">
        <v>520</v>
      </c>
      <c r="F4188" s="188" t="n">
        <v>2025</v>
      </c>
      <c r="G4188" s="189" t="n">
        <v>56</v>
      </c>
      <c r="H4188" s="190" t="n">
        <v>13949.400946191</v>
      </c>
      <c r="I4188" s="191" t="n">
        <v>3157182.63240391</v>
      </c>
      <c r="J4188" s="192" t="str">
        <f>IF(I4188&gt;0,H4188/I4188,0)</f>
      </c>
      <c r="K4188" s="193" t="str">
        <f>1-EXP(-J4188)</f>
      </c>
      <c r="L4188" s="194" t="str">
        <f>IF(G4188=30,1,M4187)</f>
      </c>
      <c r="M4188" s="195" t="str">
        <f>L4188*(1-K4188)</f>
      </c>
    </row>
    <row r="4189">
      <c r="A4189" t="s">
        <v>167</v>
      </c>
      <c r="B4189" t="s">
        <v>272</v>
      </c>
      <c r="C4189" s="35" t="s">
        <v>274</v>
      </c>
      <c r="D4189" t="s">
        <v>502</v>
      </c>
      <c r="E4189" t="s">
        <v>520</v>
      </c>
      <c r="F4189" s="188" t="n">
        <v>2025</v>
      </c>
      <c r="G4189" s="189" t="n">
        <v>57</v>
      </c>
      <c r="H4189" s="190" t="n">
        <v>14724.9347216004</v>
      </c>
      <c r="I4189" s="191" t="n">
        <v>3051443.9184786</v>
      </c>
      <c r="J4189" s="192" t="str">
        <f>IF(I4189&gt;0,H4189/I4189,0)</f>
      </c>
      <c r="K4189" s="193" t="str">
        <f>1-EXP(-J4189)</f>
      </c>
      <c r="L4189" s="194" t="str">
        <f>IF(G4189=30,1,M4188)</f>
      </c>
      <c r="M4189" s="195" t="str">
        <f>L4189*(1-K4189)</f>
      </c>
    </row>
    <row r="4190">
      <c r="A4190" t="s">
        <v>167</v>
      </c>
      <c r="B4190" t="s">
        <v>272</v>
      </c>
      <c r="C4190" s="35" t="s">
        <v>274</v>
      </c>
      <c r="D4190" t="s">
        <v>502</v>
      </c>
      <c r="E4190" t="s">
        <v>520</v>
      </c>
      <c r="F4190" s="188" t="n">
        <v>2025</v>
      </c>
      <c r="G4190" s="189" t="n">
        <v>58</v>
      </c>
      <c r="H4190" s="190" t="n">
        <v>15371.2074623555</v>
      </c>
      <c r="I4190" s="191" t="n">
        <v>2913456.20780408</v>
      </c>
      <c r="J4190" s="192" t="str">
        <f>IF(I4190&gt;0,H4190/I4190,0)</f>
      </c>
      <c r="K4190" s="193" t="str">
        <f>1-EXP(-J4190)</f>
      </c>
      <c r="L4190" s="194" t="str">
        <f>IF(G4190=30,1,M4189)</f>
      </c>
      <c r="M4190" s="195" t="str">
        <f>L4190*(1-K4190)</f>
      </c>
    </row>
    <row r="4191">
      <c r="A4191" t="s">
        <v>167</v>
      </c>
      <c r="B4191" t="s">
        <v>272</v>
      </c>
      <c r="C4191" s="35" t="s">
        <v>274</v>
      </c>
      <c r="D4191" t="s">
        <v>502</v>
      </c>
      <c r="E4191" t="s">
        <v>520</v>
      </c>
      <c r="F4191" s="188" t="n">
        <v>2025</v>
      </c>
      <c r="G4191" s="189" t="n">
        <v>59</v>
      </c>
      <c r="H4191" s="190" t="n">
        <v>16213.8109625709</v>
      </c>
      <c r="I4191" s="191" t="n">
        <v>2813535.58615437</v>
      </c>
      <c r="J4191" s="192" t="str">
        <f>IF(I4191&gt;0,H4191/I4191,0)</f>
      </c>
      <c r="K4191" s="193" t="str">
        <f>1-EXP(-J4191)</f>
      </c>
      <c r="L4191" s="194" t="str">
        <f>IF(G4191=30,1,M4190)</f>
      </c>
      <c r="M4191" s="195" t="str">
        <f>L4191*(1-K4191)</f>
      </c>
    </row>
    <row r="4192">
      <c r="A4192" t="s">
        <v>167</v>
      </c>
      <c r="B4192" t="s">
        <v>272</v>
      </c>
      <c r="C4192" s="35" t="s">
        <v>274</v>
      </c>
      <c r="D4192" t="s">
        <v>502</v>
      </c>
      <c r="E4192" t="s">
        <v>520</v>
      </c>
      <c r="F4192" s="188" t="n">
        <v>2025</v>
      </c>
      <c r="G4192" s="189" t="n">
        <v>60</v>
      </c>
      <c r="H4192" s="190" t="n">
        <v>17442.466213005</v>
      </c>
      <c r="I4192" s="191" t="n">
        <v>2691047.17153736</v>
      </c>
      <c r="J4192" s="192" t="str">
        <f>IF(I4192&gt;0,H4192/I4192,0)</f>
      </c>
      <c r="K4192" s="193" t="str">
        <f>1-EXP(-J4192)</f>
      </c>
      <c r="L4192" s="194" t="str">
        <f>IF(G4192=30,1,M4191)</f>
      </c>
      <c r="M4192" s="195" t="str">
        <f>L4192*(1-K4192)</f>
      </c>
    </row>
    <row r="4193">
      <c r="A4193" t="s">
        <v>167</v>
      </c>
      <c r="B4193" t="s">
        <v>272</v>
      </c>
      <c r="C4193" s="35" t="s">
        <v>274</v>
      </c>
      <c r="D4193" t="s">
        <v>502</v>
      </c>
      <c r="E4193" t="s">
        <v>520</v>
      </c>
      <c r="F4193" s="188" t="n">
        <v>2025</v>
      </c>
      <c r="G4193" s="189" t="n">
        <v>61</v>
      </c>
      <c r="H4193" s="190" t="n">
        <v>18185.5962140586</v>
      </c>
      <c r="I4193" s="191" t="n">
        <v>2568096.94973173</v>
      </c>
      <c r="J4193" s="192" t="str">
        <f>IF(I4193&gt;0,H4193/I4193,0)</f>
      </c>
      <c r="K4193" s="193" t="str">
        <f>1-EXP(-J4193)</f>
      </c>
      <c r="L4193" s="194" t="str">
        <f>IF(G4193=30,1,M4192)</f>
      </c>
      <c r="M4193" s="195" t="str">
        <f>L4193*(1-K4193)</f>
      </c>
    </row>
    <row r="4194">
      <c r="A4194" t="s">
        <v>167</v>
      </c>
      <c r="B4194" t="s">
        <v>272</v>
      </c>
      <c r="C4194" s="35" t="s">
        <v>274</v>
      </c>
      <c r="D4194" t="s">
        <v>502</v>
      </c>
      <c r="E4194" t="s">
        <v>520</v>
      </c>
      <c r="F4194" s="188" t="n">
        <v>2025</v>
      </c>
      <c r="G4194" s="189" t="n">
        <v>62</v>
      </c>
      <c r="H4194" s="190" t="n">
        <v>18970.1376231544</v>
      </c>
      <c r="I4194" s="191" t="n">
        <v>2450910.06582199</v>
      </c>
      <c r="J4194" s="192" t="str">
        <f>IF(I4194&gt;0,H4194/I4194,0)</f>
      </c>
      <c r="K4194" s="193" t="str">
        <f>1-EXP(-J4194)</f>
      </c>
      <c r="L4194" s="194" t="str">
        <f>IF(G4194=30,1,M4193)</f>
      </c>
      <c r="M4194" s="195" t="str">
        <f>L4194*(1-K4194)</f>
      </c>
    </row>
    <row r="4195">
      <c r="A4195" t="s">
        <v>167</v>
      </c>
      <c r="B4195" t="s">
        <v>272</v>
      </c>
      <c r="C4195" s="35" t="s">
        <v>274</v>
      </c>
      <c r="D4195" t="s">
        <v>502</v>
      </c>
      <c r="E4195" t="s">
        <v>520</v>
      </c>
      <c r="F4195" s="188" t="n">
        <v>2025</v>
      </c>
      <c r="G4195" s="189" t="n">
        <v>63</v>
      </c>
      <c r="H4195" s="190" t="n">
        <v>19616.8921947261</v>
      </c>
      <c r="I4195" s="191" t="n">
        <v>2307352.6622382</v>
      </c>
      <c r="J4195" s="192" t="str">
        <f>IF(I4195&gt;0,H4195/I4195,0)</f>
      </c>
      <c r="K4195" s="193" t="str">
        <f>1-EXP(-J4195)</f>
      </c>
      <c r="L4195" s="194" t="str">
        <f>IF(G4195=30,1,M4194)</f>
      </c>
      <c r="M4195" s="195" t="str">
        <f>L4195*(1-K4195)</f>
      </c>
    </row>
    <row r="4196">
      <c r="A4196" t="s">
        <v>167</v>
      </c>
      <c r="B4196" t="s">
        <v>272</v>
      </c>
      <c r="C4196" s="35" t="s">
        <v>274</v>
      </c>
      <c r="D4196" t="s">
        <v>502</v>
      </c>
      <c r="E4196" t="s">
        <v>520</v>
      </c>
      <c r="F4196" s="188" t="n">
        <v>2025</v>
      </c>
      <c r="G4196" s="189" t="n">
        <v>64</v>
      </c>
      <c r="H4196" s="190" t="n">
        <v>20366.5260402308</v>
      </c>
      <c r="I4196" s="191" t="n">
        <v>2189442.45160812</v>
      </c>
      <c r="J4196" s="192" t="str">
        <f>IF(I4196&gt;0,H4196/I4196,0)</f>
      </c>
      <c r="K4196" s="193" t="str">
        <f>1-EXP(-J4196)</f>
      </c>
      <c r="L4196" s="194" t="str">
        <f>IF(G4196=30,1,M4195)</f>
      </c>
      <c r="M4196" s="195" t="str">
        <f>L4196*(1-K4196)</f>
      </c>
    </row>
    <row r="4197">
      <c r="A4197" t="s">
        <v>167</v>
      </c>
      <c r="B4197" t="s">
        <v>272</v>
      </c>
      <c r="C4197" s="35" t="s">
        <v>274</v>
      </c>
      <c r="D4197" t="s">
        <v>502</v>
      </c>
      <c r="E4197" t="s">
        <v>520</v>
      </c>
      <c r="F4197" s="188" t="n">
        <v>2025</v>
      </c>
      <c r="G4197" s="189" t="n">
        <v>65</v>
      </c>
      <c r="H4197" s="190" t="n">
        <v>20564.8182811925</v>
      </c>
      <c r="I4197" s="191" t="n">
        <v>2067379.29561573</v>
      </c>
      <c r="J4197" s="192" t="str">
        <f>IF(I4197&gt;0,H4197/I4197,0)</f>
      </c>
      <c r="K4197" s="193" t="str">
        <f>1-EXP(-J4197)</f>
      </c>
      <c r="L4197" s="194" t="str">
        <f>IF(G4197=30,1,M4196)</f>
      </c>
      <c r="M4197" s="195" t="str">
        <f>L4197*(1-K4197)</f>
      </c>
    </row>
    <row r="4198">
      <c r="A4198" t="s">
        <v>167</v>
      </c>
      <c r="B4198" t="s">
        <v>272</v>
      </c>
      <c r="C4198" s="35" t="s">
        <v>274</v>
      </c>
      <c r="D4198" t="s">
        <v>502</v>
      </c>
      <c r="E4198" t="s">
        <v>520</v>
      </c>
      <c r="F4198" s="188" t="n">
        <v>2025</v>
      </c>
      <c r="G4198" s="189" t="n">
        <v>66</v>
      </c>
      <c r="H4198" s="190" t="n">
        <v>21128.4842212808</v>
      </c>
      <c r="I4198" s="191" t="n">
        <v>1938977.04767675</v>
      </c>
      <c r="J4198" s="192" t="str">
        <f>IF(I4198&gt;0,H4198/I4198,0)</f>
      </c>
      <c r="K4198" s="193" t="str">
        <f>1-EXP(-J4198)</f>
      </c>
      <c r="L4198" s="194" t="str">
        <f>IF(G4198=30,1,M4197)</f>
      </c>
      <c r="M4198" s="195" t="str">
        <f>L4198*(1-K4198)</f>
      </c>
    </row>
    <row r="4199">
      <c r="A4199" t="s">
        <v>167</v>
      </c>
      <c r="B4199" t="s">
        <v>272</v>
      </c>
      <c r="C4199" s="35" t="s">
        <v>274</v>
      </c>
      <c r="D4199" t="s">
        <v>502</v>
      </c>
      <c r="E4199" t="s">
        <v>520</v>
      </c>
      <c r="F4199" s="188" t="n">
        <v>2025</v>
      </c>
      <c r="G4199" s="189" t="n">
        <v>67</v>
      </c>
      <c r="H4199" s="190" t="n">
        <v>21650.1531142985</v>
      </c>
      <c r="I4199" s="191" t="n">
        <v>1812804.58670767</v>
      </c>
      <c r="J4199" s="192" t="str">
        <f>IF(I4199&gt;0,H4199/I4199,0)</f>
      </c>
      <c r="K4199" s="193" t="str">
        <f>1-EXP(-J4199)</f>
      </c>
      <c r="L4199" s="194" t="str">
        <f>IF(G4199=30,1,M4198)</f>
      </c>
      <c r="M4199" s="195" t="str">
        <f>L4199*(1-K4199)</f>
      </c>
    </row>
    <row r="4200">
      <c r="A4200" t="s">
        <v>167</v>
      </c>
      <c r="B4200" t="s">
        <v>272</v>
      </c>
      <c r="C4200" s="35" t="s">
        <v>274</v>
      </c>
      <c r="D4200" t="s">
        <v>502</v>
      </c>
      <c r="E4200" t="s">
        <v>520</v>
      </c>
      <c r="F4200" s="188" t="n">
        <v>2025</v>
      </c>
      <c r="G4200" s="189" t="n">
        <v>68</v>
      </c>
      <c r="H4200" s="190" t="n">
        <v>22443.5912394105</v>
      </c>
      <c r="I4200" s="191" t="n">
        <v>1708817.0374287</v>
      </c>
      <c r="J4200" s="192" t="str">
        <f>IF(I4200&gt;0,H4200/I4200,0)</f>
      </c>
      <c r="K4200" s="193" t="str">
        <f>1-EXP(-J4200)</f>
      </c>
      <c r="L4200" s="194" t="str">
        <f>IF(G4200=30,1,M4199)</f>
      </c>
      <c r="M4200" s="195" t="str">
        <f>L4200*(1-K4200)</f>
      </c>
    </row>
    <row r="4201">
      <c r="A4201" t="s">
        <v>167</v>
      </c>
      <c r="B4201" t="s">
        <v>272</v>
      </c>
      <c r="C4201" s="35" t="s">
        <v>274</v>
      </c>
      <c r="D4201" t="s">
        <v>502</v>
      </c>
      <c r="E4201" t="s">
        <v>520</v>
      </c>
      <c r="F4201" s="188" t="n">
        <v>2025</v>
      </c>
      <c r="G4201" s="189" t="n">
        <v>69</v>
      </c>
      <c r="H4201" s="190" t="n">
        <v>22887.5139092692</v>
      </c>
      <c r="I4201" s="191" t="n">
        <v>1588246.5017458</v>
      </c>
      <c r="J4201" s="192" t="str">
        <f>IF(I4201&gt;0,H4201/I4201,0)</f>
      </c>
      <c r="K4201" s="193" t="str">
        <f>1-EXP(-J4201)</f>
      </c>
      <c r="L4201" s="194" t="str">
        <f>IF(G4201=30,1,M4200)</f>
      </c>
      <c r="M4201" s="195" t="str">
        <f>L4201*(1-K4201)</f>
      </c>
    </row>
    <row r="4202">
      <c r="A4202" t="s">
        <v>167</v>
      </c>
      <c r="B4202" t="s">
        <v>272</v>
      </c>
      <c r="C4202" s="35" t="s">
        <v>274</v>
      </c>
      <c r="D4202" t="s">
        <v>502</v>
      </c>
      <c r="E4202" t="s">
        <v>520</v>
      </c>
      <c r="F4202" s="188" t="n">
        <v>2026</v>
      </c>
      <c r="G4202" s="189" t="n">
        <v>30</v>
      </c>
      <c r="H4202" s="190" t="n">
        <v>1293.72000697315</v>
      </c>
      <c r="I4202" s="191" t="n">
        <v>4533066.05431128</v>
      </c>
      <c r="J4202" s="192" t="str">
        <f>IF(I4202&gt;0,H4202/I4202,0)</f>
      </c>
      <c r="K4202" s="193" t="str">
        <f>1-EXP(-J4202)</f>
      </c>
      <c r="L4202" s="194" t="str">
        <f>IF(G4202=30,1,M4201)</f>
      </c>
      <c r="M4202" s="195" t="str">
        <f>L4202*(1-K4202)</f>
      </c>
    </row>
    <row r="4203">
      <c r="A4203" t="s">
        <v>167</v>
      </c>
      <c r="B4203" t="s">
        <v>272</v>
      </c>
      <c r="C4203" s="35" t="s">
        <v>274</v>
      </c>
      <c r="D4203" t="s">
        <v>502</v>
      </c>
      <c r="E4203" t="s">
        <v>520</v>
      </c>
      <c r="F4203" s="188" t="n">
        <v>2026</v>
      </c>
      <c r="G4203" s="189" t="n">
        <v>31</v>
      </c>
      <c r="H4203" s="190" t="n">
        <v>1322.89258209968</v>
      </c>
      <c r="I4203" s="191" t="n">
        <v>4460323.13013529</v>
      </c>
      <c r="J4203" s="192" t="str">
        <f>IF(I4203&gt;0,H4203/I4203,0)</f>
      </c>
      <c r="K4203" s="193" t="str">
        <f>1-EXP(-J4203)</f>
      </c>
      <c r="L4203" s="194" t="str">
        <f>IF(G4203=30,1,M4202)</f>
      </c>
      <c r="M4203" s="195" t="str">
        <f>L4203*(1-K4203)</f>
      </c>
    </row>
    <row r="4204">
      <c r="A4204" t="s">
        <v>167</v>
      </c>
      <c r="B4204" t="s">
        <v>272</v>
      </c>
      <c r="C4204" s="35" t="s">
        <v>274</v>
      </c>
      <c r="D4204" t="s">
        <v>502</v>
      </c>
      <c r="E4204" t="s">
        <v>520</v>
      </c>
      <c r="F4204" s="188" t="n">
        <v>2026</v>
      </c>
      <c r="G4204" s="189" t="n">
        <v>32</v>
      </c>
      <c r="H4204" s="190" t="n">
        <v>1365.49878195059</v>
      </c>
      <c r="I4204" s="191" t="n">
        <v>4404105.59550118</v>
      </c>
      <c r="J4204" s="192" t="str">
        <f>IF(I4204&gt;0,H4204/I4204,0)</f>
      </c>
      <c r="K4204" s="193" t="str">
        <f>1-EXP(-J4204)</f>
      </c>
      <c r="L4204" s="194" t="str">
        <f>IF(G4204=30,1,M4203)</f>
      </c>
      <c r="M4204" s="195" t="str">
        <f>L4204*(1-K4204)</f>
      </c>
    </row>
    <row r="4205">
      <c r="A4205" t="s">
        <v>167</v>
      </c>
      <c r="B4205" t="s">
        <v>272</v>
      </c>
      <c r="C4205" s="35" t="s">
        <v>274</v>
      </c>
      <c r="D4205" t="s">
        <v>502</v>
      </c>
      <c r="E4205" t="s">
        <v>520</v>
      </c>
      <c r="F4205" s="188" t="n">
        <v>2026</v>
      </c>
      <c r="G4205" s="189" t="n">
        <v>33</v>
      </c>
      <c r="H4205" s="190" t="n">
        <v>1419.86445070897</v>
      </c>
      <c r="I4205" s="191" t="n">
        <v>4351714.92353231</v>
      </c>
      <c r="J4205" s="192" t="str">
        <f>IF(I4205&gt;0,H4205/I4205,0)</f>
      </c>
      <c r="K4205" s="193" t="str">
        <f>1-EXP(-J4205)</f>
      </c>
      <c r="L4205" s="194" t="str">
        <f>IF(G4205=30,1,M4204)</f>
      </c>
      <c r="M4205" s="195" t="str">
        <f>L4205*(1-K4205)</f>
      </c>
    </row>
    <row r="4206">
      <c r="A4206" t="s">
        <v>167</v>
      </c>
      <c r="B4206" t="s">
        <v>272</v>
      </c>
      <c r="C4206" s="35" t="s">
        <v>274</v>
      </c>
      <c r="D4206" t="s">
        <v>502</v>
      </c>
      <c r="E4206" t="s">
        <v>520</v>
      </c>
      <c r="F4206" s="188" t="n">
        <v>2026</v>
      </c>
      <c r="G4206" s="189" t="n">
        <v>34</v>
      </c>
      <c r="H4206" s="190" t="n">
        <v>1516.66798743474</v>
      </c>
      <c r="I4206" s="191" t="n">
        <v>4391577.80533736</v>
      </c>
      <c r="J4206" s="192" t="str">
        <f>IF(I4206&gt;0,H4206/I4206,0)</f>
      </c>
      <c r="K4206" s="193" t="str">
        <f>1-EXP(-J4206)</f>
      </c>
      <c r="L4206" s="194" t="str">
        <f>IF(G4206=30,1,M4205)</f>
      </c>
      <c r="M4206" s="195" t="str">
        <f>L4206*(1-K4206)</f>
      </c>
    </row>
    <row r="4207">
      <c r="A4207" t="s">
        <v>167</v>
      </c>
      <c r="B4207" t="s">
        <v>272</v>
      </c>
      <c r="C4207" s="35" t="s">
        <v>274</v>
      </c>
      <c r="D4207" t="s">
        <v>502</v>
      </c>
      <c r="E4207" t="s">
        <v>520</v>
      </c>
      <c r="F4207" s="188" t="n">
        <v>2026</v>
      </c>
      <c r="G4207" s="189" t="n">
        <v>35</v>
      </c>
      <c r="H4207" s="190" t="n">
        <v>2104.73987548852</v>
      </c>
      <c r="I4207" s="191" t="n">
        <v>4411881.63741314</v>
      </c>
      <c r="J4207" s="192" t="str">
        <f>IF(I4207&gt;0,H4207/I4207,0)</f>
      </c>
      <c r="K4207" s="193" t="str">
        <f>1-EXP(-J4207)</f>
      </c>
      <c r="L4207" s="194" t="str">
        <f>IF(G4207=30,1,M4206)</f>
      </c>
      <c r="M4207" s="195" t="str">
        <f>L4207*(1-K4207)</f>
      </c>
    </row>
    <row r="4208">
      <c r="A4208" t="s">
        <v>167</v>
      </c>
      <c r="B4208" t="s">
        <v>272</v>
      </c>
      <c r="C4208" s="35" t="s">
        <v>274</v>
      </c>
      <c r="D4208" t="s">
        <v>502</v>
      </c>
      <c r="E4208" t="s">
        <v>520</v>
      </c>
      <c r="F4208" s="188" t="n">
        <v>2026</v>
      </c>
      <c r="G4208" s="189" t="n">
        <v>36</v>
      </c>
      <c r="H4208" s="190" t="n">
        <v>3185.28059335107</v>
      </c>
      <c r="I4208" s="191" t="n">
        <v>6497474.08312581</v>
      </c>
      <c r="J4208" s="192" t="str">
        <f>IF(I4208&gt;0,H4208/I4208,0)</f>
      </c>
      <c r="K4208" s="193" t="str">
        <f>1-EXP(-J4208)</f>
      </c>
      <c r="L4208" s="194" t="str">
        <f>IF(G4208=30,1,M4207)</f>
      </c>
      <c r="M4208" s="195" t="str">
        <f>L4208*(1-K4208)</f>
      </c>
    </row>
    <row r="4209">
      <c r="A4209" t="s">
        <v>167</v>
      </c>
      <c r="B4209" t="s">
        <v>272</v>
      </c>
      <c r="C4209" s="35" t="s">
        <v>274</v>
      </c>
      <c r="D4209" t="s">
        <v>502</v>
      </c>
      <c r="E4209" t="s">
        <v>520</v>
      </c>
      <c r="F4209" s="188" t="n">
        <v>2026</v>
      </c>
      <c r="G4209" s="189" t="n">
        <v>37</v>
      </c>
      <c r="H4209" s="190" t="n">
        <v>2388.15945313534</v>
      </c>
      <c r="I4209" s="191" t="n">
        <v>4374564.95231593</v>
      </c>
      <c r="J4209" s="192" t="str">
        <f>IF(I4209&gt;0,H4209/I4209,0)</f>
      </c>
      <c r="K4209" s="193" t="str">
        <f>1-EXP(-J4209)</f>
      </c>
      <c r="L4209" s="194" t="str">
        <f>IF(G4209=30,1,M4208)</f>
      </c>
      <c r="M4209" s="195" t="str">
        <f>L4209*(1-K4209)</f>
      </c>
    </row>
    <row r="4210">
      <c r="A4210" t="s">
        <v>167</v>
      </c>
      <c r="B4210" t="s">
        <v>272</v>
      </c>
      <c r="C4210" s="35" t="s">
        <v>274</v>
      </c>
      <c r="D4210" t="s">
        <v>502</v>
      </c>
      <c r="E4210" t="s">
        <v>520</v>
      </c>
      <c r="F4210" s="188" t="n">
        <v>2026</v>
      </c>
      <c r="G4210" s="189" t="n">
        <v>38</v>
      </c>
      <c r="H4210" s="190" t="n">
        <v>2553.69096160262</v>
      </c>
      <c r="I4210" s="191" t="n">
        <v>4360550.03715021</v>
      </c>
      <c r="J4210" s="192" t="str">
        <f>IF(I4210&gt;0,H4210/I4210,0)</f>
      </c>
      <c r="K4210" s="193" t="str">
        <f>1-EXP(-J4210)</f>
      </c>
      <c r="L4210" s="194" t="str">
        <f>IF(G4210=30,1,M4209)</f>
      </c>
      <c r="M4210" s="195" t="str">
        <f>L4210*(1-K4210)</f>
      </c>
    </row>
    <row r="4211">
      <c r="A4211" t="s">
        <v>167</v>
      </c>
      <c r="B4211" t="s">
        <v>272</v>
      </c>
      <c r="C4211" s="35" t="s">
        <v>274</v>
      </c>
      <c r="D4211" t="s">
        <v>502</v>
      </c>
      <c r="E4211" t="s">
        <v>520</v>
      </c>
      <c r="F4211" s="188" t="n">
        <v>2026</v>
      </c>
      <c r="G4211" s="189" t="n">
        <v>39</v>
      </c>
      <c r="H4211" s="190" t="n">
        <v>2661.41245774086</v>
      </c>
      <c r="I4211" s="191" t="n">
        <v>4230055.14654035</v>
      </c>
      <c r="J4211" s="192" t="str">
        <f>IF(I4211&gt;0,H4211/I4211,0)</f>
      </c>
      <c r="K4211" s="193" t="str">
        <f>1-EXP(-J4211)</f>
      </c>
      <c r="L4211" s="194" t="str">
        <f>IF(G4211=30,1,M4210)</f>
      </c>
      <c r="M4211" s="195" t="str">
        <f>L4211*(1-K4211)</f>
      </c>
    </row>
    <row r="4212">
      <c r="A4212" t="s">
        <v>167</v>
      </c>
      <c r="B4212" t="s">
        <v>272</v>
      </c>
      <c r="C4212" s="35" t="s">
        <v>274</v>
      </c>
      <c r="D4212" t="s">
        <v>502</v>
      </c>
      <c r="E4212" t="s">
        <v>520</v>
      </c>
      <c r="F4212" s="188" t="n">
        <v>2026</v>
      </c>
      <c r="G4212" s="189" t="n">
        <v>40</v>
      </c>
      <c r="H4212" s="190" t="n">
        <v>3562.51460122185</v>
      </c>
      <c r="I4212" s="191" t="n">
        <v>4198447.80357072</v>
      </c>
      <c r="J4212" s="192" t="str">
        <f>IF(I4212&gt;0,H4212/I4212,0)</f>
      </c>
      <c r="K4212" s="193" t="str">
        <f>1-EXP(-J4212)</f>
      </c>
      <c r="L4212" s="194" t="str">
        <f>IF(G4212=30,1,M4211)</f>
      </c>
      <c r="M4212" s="195" t="str">
        <f>L4212*(1-K4212)</f>
      </c>
    </row>
    <row r="4213">
      <c r="A4213" t="s">
        <v>167</v>
      </c>
      <c r="B4213" t="s">
        <v>272</v>
      </c>
      <c r="C4213" s="35" t="s">
        <v>274</v>
      </c>
      <c r="D4213" t="s">
        <v>502</v>
      </c>
      <c r="E4213" t="s">
        <v>520</v>
      </c>
      <c r="F4213" s="188" t="n">
        <v>2026</v>
      </c>
      <c r="G4213" s="189" t="n">
        <v>41</v>
      </c>
      <c r="H4213" s="190" t="n">
        <v>3903.57565332046</v>
      </c>
      <c r="I4213" s="191" t="n">
        <v>4261037.22561078</v>
      </c>
      <c r="J4213" s="192" t="str">
        <f>IF(I4213&gt;0,H4213/I4213,0)</f>
      </c>
      <c r="K4213" s="193" t="str">
        <f>1-EXP(-J4213)</f>
      </c>
      <c r="L4213" s="194" t="str">
        <f>IF(G4213=30,1,M4212)</f>
      </c>
      <c r="M4213" s="195" t="str">
        <f>L4213*(1-K4213)</f>
      </c>
    </row>
    <row r="4214">
      <c r="A4214" t="s">
        <v>167</v>
      </c>
      <c r="B4214" t="s">
        <v>272</v>
      </c>
      <c r="C4214" s="35" t="s">
        <v>274</v>
      </c>
      <c r="D4214" t="s">
        <v>502</v>
      </c>
      <c r="E4214" t="s">
        <v>520</v>
      </c>
      <c r="F4214" s="188" t="n">
        <v>2026</v>
      </c>
      <c r="G4214" s="189" t="n">
        <v>42</v>
      </c>
      <c r="H4214" s="190" t="n">
        <v>4314.56960628601</v>
      </c>
      <c r="I4214" s="191" t="n">
        <v>4350355.93271131</v>
      </c>
      <c r="J4214" s="192" t="str">
        <f>IF(I4214&gt;0,H4214/I4214,0)</f>
      </c>
      <c r="K4214" s="193" t="str">
        <f>1-EXP(-J4214)</f>
      </c>
      <c r="L4214" s="194" t="str">
        <f>IF(G4214=30,1,M4213)</f>
      </c>
      <c r="M4214" s="195" t="str">
        <f>L4214*(1-K4214)</f>
      </c>
    </row>
    <row r="4215">
      <c r="A4215" t="s">
        <v>167</v>
      </c>
      <c r="B4215" t="s">
        <v>272</v>
      </c>
      <c r="C4215" s="35" t="s">
        <v>274</v>
      </c>
      <c r="D4215" t="s">
        <v>502</v>
      </c>
      <c r="E4215" t="s">
        <v>520</v>
      </c>
      <c r="F4215" s="188" t="n">
        <v>2026</v>
      </c>
      <c r="G4215" s="189" t="n">
        <v>43</v>
      </c>
      <c r="H4215" s="190" t="n">
        <v>4666.25845154039</v>
      </c>
      <c r="I4215" s="191" t="n">
        <v>4329966.95829214</v>
      </c>
      <c r="J4215" s="192" t="str">
        <f>IF(I4215&gt;0,H4215/I4215,0)</f>
      </c>
      <c r="K4215" s="193" t="str">
        <f>1-EXP(-J4215)</f>
      </c>
      <c r="L4215" s="194" t="str">
        <f>IF(G4215=30,1,M4214)</f>
      </c>
      <c r="M4215" s="195" t="str">
        <f>L4215*(1-K4215)</f>
      </c>
    </row>
    <row r="4216">
      <c r="A4216" t="s">
        <v>167</v>
      </c>
      <c r="B4216" t="s">
        <v>272</v>
      </c>
      <c r="C4216" s="35" t="s">
        <v>274</v>
      </c>
      <c r="D4216" t="s">
        <v>502</v>
      </c>
      <c r="E4216" t="s">
        <v>520</v>
      </c>
      <c r="F4216" s="188" t="n">
        <v>2026</v>
      </c>
      <c r="G4216" s="189" t="n">
        <v>44</v>
      </c>
      <c r="H4216" s="190" t="n">
        <v>4932.27286440963</v>
      </c>
      <c r="I4216" s="191" t="n">
        <v>4196064.82449968</v>
      </c>
      <c r="J4216" s="192" t="str">
        <f>IF(I4216&gt;0,H4216/I4216,0)</f>
      </c>
      <c r="K4216" s="193" t="str">
        <f>1-EXP(-J4216)</f>
      </c>
      <c r="L4216" s="194" t="str">
        <f>IF(G4216=30,1,M4215)</f>
      </c>
      <c r="M4216" s="195" t="str">
        <f>L4216*(1-K4216)</f>
      </c>
    </row>
    <row r="4217">
      <c r="A4217" t="s">
        <v>167</v>
      </c>
      <c r="B4217" t="s">
        <v>272</v>
      </c>
      <c r="C4217" s="35" t="s">
        <v>274</v>
      </c>
      <c r="D4217" t="s">
        <v>502</v>
      </c>
      <c r="E4217" t="s">
        <v>520</v>
      </c>
      <c r="F4217" s="188" t="n">
        <v>2026</v>
      </c>
      <c r="G4217" s="189" t="n">
        <v>45</v>
      </c>
      <c r="H4217" s="190" t="n">
        <v>6283.49036816708</v>
      </c>
      <c r="I4217" s="191" t="n">
        <v>4125591.44550924</v>
      </c>
      <c r="J4217" s="192" t="str">
        <f>IF(I4217&gt;0,H4217/I4217,0)</f>
      </c>
      <c r="K4217" s="193" t="str">
        <f>1-EXP(-J4217)</f>
      </c>
      <c r="L4217" s="194" t="str">
        <f>IF(G4217=30,1,M4216)</f>
      </c>
      <c r="M4217" s="195" t="str">
        <f>L4217*(1-K4217)</f>
      </c>
    </row>
    <row r="4218">
      <c r="A4218" t="s">
        <v>167</v>
      </c>
      <c r="B4218" t="s">
        <v>272</v>
      </c>
      <c r="C4218" s="35" t="s">
        <v>274</v>
      </c>
      <c r="D4218" t="s">
        <v>502</v>
      </c>
      <c r="E4218" t="s">
        <v>520</v>
      </c>
      <c r="F4218" s="188" t="n">
        <v>2026</v>
      </c>
      <c r="G4218" s="189" t="n">
        <v>46</v>
      </c>
      <c r="H4218" s="190" t="n">
        <v>6783.64314109154</v>
      </c>
      <c r="I4218" s="191" t="n">
        <v>4070423.79660791</v>
      </c>
      <c r="J4218" s="192" t="str">
        <f>IF(I4218&gt;0,H4218/I4218,0)</f>
      </c>
      <c r="K4218" s="193" t="str">
        <f>1-EXP(-J4218)</f>
      </c>
      <c r="L4218" s="194" t="str">
        <f>IF(G4218=30,1,M4217)</f>
      </c>
      <c r="M4218" s="195" t="str">
        <f>L4218*(1-K4218)</f>
      </c>
    </row>
    <row r="4219">
      <c r="A4219" t="s">
        <v>167</v>
      </c>
      <c r="B4219" t="s">
        <v>272</v>
      </c>
      <c r="C4219" s="35" t="s">
        <v>274</v>
      </c>
      <c r="D4219" t="s">
        <v>502</v>
      </c>
      <c r="E4219" t="s">
        <v>520</v>
      </c>
      <c r="F4219" s="188" t="n">
        <v>2026</v>
      </c>
      <c r="G4219" s="189" t="n">
        <v>47</v>
      </c>
      <c r="H4219" s="190" t="n">
        <v>7315.24510609103</v>
      </c>
      <c r="I4219" s="191" t="n">
        <v>4010952.63156028</v>
      </c>
      <c r="J4219" s="192" t="str">
        <f>IF(I4219&gt;0,H4219/I4219,0)</f>
      </c>
      <c r="K4219" s="193" t="str">
        <f>1-EXP(-J4219)</f>
      </c>
      <c r="L4219" s="194" t="str">
        <f>IF(G4219=30,1,M4218)</f>
      </c>
      <c r="M4219" s="195" t="str">
        <f>L4219*(1-K4219)</f>
      </c>
    </row>
    <row r="4220">
      <c r="A4220" t="s">
        <v>167</v>
      </c>
      <c r="B4220" t="s">
        <v>272</v>
      </c>
      <c r="C4220" s="35" t="s">
        <v>274</v>
      </c>
      <c r="D4220" t="s">
        <v>502</v>
      </c>
      <c r="E4220" t="s">
        <v>520</v>
      </c>
      <c r="F4220" s="188" t="n">
        <v>2026</v>
      </c>
      <c r="G4220" s="189" t="n">
        <v>48</v>
      </c>
      <c r="H4220" s="190" t="n">
        <v>7842.56515060907</v>
      </c>
      <c r="I4220" s="191" t="n">
        <v>3931934.3335516</v>
      </c>
      <c r="J4220" s="192" t="str">
        <f>IF(I4220&gt;0,H4220/I4220,0)</f>
      </c>
      <c r="K4220" s="193" t="str">
        <f>1-EXP(-J4220)</f>
      </c>
      <c r="L4220" s="194" t="str">
        <f>IF(G4220=30,1,M4219)</f>
      </c>
      <c r="M4220" s="195" t="str">
        <f>L4220*(1-K4220)</f>
      </c>
    </row>
    <row r="4221">
      <c r="A4221" t="s">
        <v>167</v>
      </c>
      <c r="B4221" t="s">
        <v>272</v>
      </c>
      <c r="C4221" s="35" t="s">
        <v>274</v>
      </c>
      <c r="D4221" t="s">
        <v>502</v>
      </c>
      <c r="E4221" t="s">
        <v>520</v>
      </c>
      <c r="F4221" s="188" t="n">
        <v>2026</v>
      </c>
      <c r="G4221" s="189" t="n">
        <v>49</v>
      </c>
      <c r="H4221" s="190" t="n">
        <v>8441.28587857669</v>
      </c>
      <c r="I4221" s="191" t="n">
        <v>3870575.54514656</v>
      </c>
      <c r="J4221" s="192" t="str">
        <f>IF(I4221&gt;0,H4221/I4221,0)</f>
      </c>
      <c r="K4221" s="193" t="str">
        <f>1-EXP(-J4221)</f>
      </c>
      <c r="L4221" s="194" t="str">
        <f>IF(G4221=30,1,M4220)</f>
      </c>
      <c r="M4221" s="195" t="str">
        <f>L4221*(1-K4221)</f>
      </c>
    </row>
    <row r="4222">
      <c r="A4222" t="s">
        <v>167</v>
      </c>
      <c r="B4222" t="s">
        <v>272</v>
      </c>
      <c r="C4222" s="35" t="s">
        <v>274</v>
      </c>
      <c r="D4222" t="s">
        <v>502</v>
      </c>
      <c r="E4222" t="s">
        <v>520</v>
      </c>
      <c r="F4222" s="188" t="n">
        <v>2026</v>
      </c>
      <c r="G4222" s="189" t="n">
        <v>50</v>
      </c>
      <c r="H4222" s="190" t="n">
        <v>9683.43003698413</v>
      </c>
      <c r="I4222" s="191" t="n">
        <v>3797304.37229286</v>
      </c>
      <c r="J4222" s="192" t="str">
        <f>IF(I4222&gt;0,H4222/I4222,0)</f>
      </c>
      <c r="K4222" s="193" t="str">
        <f>1-EXP(-J4222)</f>
      </c>
      <c r="L4222" s="194" t="str">
        <f>IF(G4222=30,1,M4221)</f>
      </c>
      <c r="M4222" s="195" t="str">
        <f>L4222*(1-K4222)</f>
      </c>
    </row>
    <row r="4223">
      <c r="A4223" t="s">
        <v>167</v>
      </c>
      <c r="B4223" t="s">
        <v>272</v>
      </c>
      <c r="C4223" s="35" t="s">
        <v>274</v>
      </c>
      <c r="D4223" t="s">
        <v>502</v>
      </c>
      <c r="E4223" t="s">
        <v>520</v>
      </c>
      <c r="F4223" s="188" t="n">
        <v>2026</v>
      </c>
      <c r="G4223" s="189" t="n">
        <v>51</v>
      </c>
      <c r="H4223" s="190" t="n">
        <v>10356.6240384148</v>
      </c>
      <c r="I4223" s="191" t="n">
        <v>3722619.16466465</v>
      </c>
      <c r="J4223" s="192" t="str">
        <f>IF(I4223&gt;0,H4223/I4223,0)</f>
      </c>
      <c r="K4223" s="193" t="str">
        <f>1-EXP(-J4223)</f>
      </c>
      <c r="L4223" s="194" t="str">
        <f>IF(G4223=30,1,M4222)</f>
      </c>
      <c r="M4223" s="195" t="str">
        <f>L4223*(1-K4223)</f>
      </c>
    </row>
    <row r="4224">
      <c r="A4224" t="s">
        <v>167</v>
      </c>
      <c r="B4224" t="s">
        <v>272</v>
      </c>
      <c r="C4224" s="35" t="s">
        <v>274</v>
      </c>
      <c r="D4224" t="s">
        <v>502</v>
      </c>
      <c r="E4224" t="s">
        <v>520</v>
      </c>
      <c r="F4224" s="188" t="n">
        <v>2026</v>
      </c>
      <c r="G4224" s="189" t="n">
        <v>52</v>
      </c>
      <c r="H4224" s="190" t="n">
        <v>10984.7287202984</v>
      </c>
      <c r="I4224" s="191" t="n">
        <v>3620908.90429281</v>
      </c>
      <c r="J4224" s="192" t="str">
        <f>IF(I4224&gt;0,H4224/I4224,0)</f>
      </c>
      <c r="K4224" s="193" t="str">
        <f>1-EXP(-J4224)</f>
      </c>
      <c r="L4224" s="194" t="str">
        <f>IF(G4224=30,1,M4223)</f>
      </c>
      <c r="M4224" s="195" t="str">
        <f>L4224*(1-K4224)</f>
      </c>
    </row>
    <row r="4225">
      <c r="A4225" t="s">
        <v>167</v>
      </c>
      <c r="B4225" t="s">
        <v>272</v>
      </c>
      <c r="C4225" s="35" t="s">
        <v>274</v>
      </c>
      <c r="D4225" t="s">
        <v>502</v>
      </c>
      <c r="E4225" t="s">
        <v>520</v>
      </c>
      <c r="F4225" s="188" t="n">
        <v>2026</v>
      </c>
      <c r="G4225" s="189" t="n">
        <v>53</v>
      </c>
      <c r="H4225" s="190" t="n">
        <v>11849.4089537673</v>
      </c>
      <c r="I4225" s="191" t="n">
        <v>3580910.06551612</v>
      </c>
      <c r="J4225" s="192" t="str">
        <f>IF(I4225&gt;0,H4225/I4225,0)</f>
      </c>
      <c r="K4225" s="193" t="str">
        <f>1-EXP(-J4225)</f>
      </c>
      <c r="L4225" s="194" t="str">
        <f>IF(G4225=30,1,M4224)</f>
      </c>
      <c r="M4225" s="195" t="str">
        <f>L4225*(1-K4225)</f>
      </c>
    </row>
    <row r="4226">
      <c r="A4226" t="s">
        <v>167</v>
      </c>
      <c r="B4226" t="s">
        <v>272</v>
      </c>
      <c r="C4226" s="35" t="s">
        <v>274</v>
      </c>
      <c r="D4226" t="s">
        <v>502</v>
      </c>
      <c r="E4226" t="s">
        <v>520</v>
      </c>
      <c r="F4226" s="188" t="n">
        <v>2026</v>
      </c>
      <c r="G4226" s="189" t="n">
        <v>54</v>
      </c>
      <c r="H4226" s="190" t="n">
        <v>12197.1936027926</v>
      </c>
      <c r="I4226" s="191" t="n">
        <v>3373668.63498524</v>
      </c>
      <c r="J4226" s="192" t="str">
        <f>IF(I4226&gt;0,H4226/I4226,0)</f>
      </c>
      <c r="K4226" s="193" t="str">
        <f>1-EXP(-J4226)</f>
      </c>
      <c r="L4226" s="194" t="str">
        <f>IF(G4226=30,1,M4225)</f>
      </c>
      <c r="M4226" s="195" t="str">
        <f>L4226*(1-K4226)</f>
      </c>
    </row>
    <row r="4227">
      <c r="A4227" t="s">
        <v>167</v>
      </c>
      <c r="B4227" t="s">
        <v>272</v>
      </c>
      <c r="C4227" s="35" t="s">
        <v>274</v>
      </c>
      <c r="D4227" t="s">
        <v>502</v>
      </c>
      <c r="E4227" t="s">
        <v>520</v>
      </c>
      <c r="F4227" s="188" t="n">
        <v>2026</v>
      </c>
      <c r="G4227" s="189" t="n">
        <v>55</v>
      </c>
      <c r="H4227" s="190" t="n">
        <v>13224.8999270943</v>
      </c>
      <c r="I4227" s="191" t="n">
        <v>3290805.96393673</v>
      </c>
      <c r="J4227" s="192" t="str">
        <f>IF(I4227&gt;0,H4227/I4227,0)</f>
      </c>
      <c r="K4227" s="193" t="str">
        <f>1-EXP(-J4227)</f>
      </c>
      <c r="L4227" s="194" t="str">
        <f>IF(G4227=30,1,M4226)</f>
      </c>
      <c r="M4227" s="195" t="str">
        <f>L4227*(1-K4227)</f>
      </c>
    </row>
    <row r="4228">
      <c r="A4228" t="s">
        <v>167</v>
      </c>
      <c r="B4228" t="s">
        <v>272</v>
      </c>
      <c r="C4228" s="35" t="s">
        <v>274</v>
      </c>
      <c r="D4228" t="s">
        <v>502</v>
      </c>
      <c r="E4228" t="s">
        <v>520</v>
      </c>
      <c r="F4228" s="188" t="n">
        <v>2026</v>
      </c>
      <c r="G4228" s="189" t="n">
        <v>56</v>
      </c>
      <c r="H4228" s="190" t="n">
        <v>14097.4204083324</v>
      </c>
      <c r="I4228" s="191" t="n">
        <v>3212214.28114487</v>
      </c>
      <c r="J4228" s="192" t="str">
        <f>IF(I4228&gt;0,H4228/I4228,0)</f>
      </c>
      <c r="K4228" s="193" t="str">
        <f>1-EXP(-J4228)</f>
      </c>
      <c r="L4228" s="194" t="str">
        <f>IF(G4228=30,1,M4227)</f>
      </c>
      <c r="M4228" s="195" t="str">
        <f>L4228*(1-K4228)</f>
      </c>
    </row>
    <row r="4229">
      <c r="A4229" t="s">
        <v>167</v>
      </c>
      <c r="B4229" t="s">
        <v>272</v>
      </c>
      <c r="C4229" s="35" t="s">
        <v>274</v>
      </c>
      <c r="D4229" t="s">
        <v>502</v>
      </c>
      <c r="E4229" t="s">
        <v>520</v>
      </c>
      <c r="F4229" s="188" t="n">
        <v>2026</v>
      </c>
      <c r="G4229" s="189" t="n">
        <v>57</v>
      </c>
      <c r="H4229" s="190" t="n">
        <v>14978.95551196</v>
      </c>
      <c r="I4229" s="191" t="n">
        <v>3124836.70281465</v>
      </c>
      <c r="J4229" s="192" t="str">
        <f>IF(I4229&gt;0,H4229/I4229,0)</f>
      </c>
      <c r="K4229" s="193" t="str">
        <f>1-EXP(-J4229)</f>
      </c>
      <c r="L4229" s="194" t="str">
        <f>IF(G4229=30,1,M4228)</f>
      </c>
      <c r="M4229" s="195" t="str">
        <f>L4229*(1-K4229)</f>
      </c>
    </row>
    <row r="4230">
      <c r="A4230" t="s">
        <v>167</v>
      </c>
      <c r="B4230" t="s">
        <v>272</v>
      </c>
      <c r="C4230" s="35" t="s">
        <v>274</v>
      </c>
      <c r="D4230" t="s">
        <v>502</v>
      </c>
      <c r="E4230" t="s">
        <v>520</v>
      </c>
      <c r="F4230" s="188" t="n">
        <v>2026</v>
      </c>
      <c r="G4230" s="189" t="n">
        <v>58</v>
      </c>
      <c r="H4230" s="190" t="n">
        <v>15799.5280675174</v>
      </c>
      <c r="I4230" s="191" t="n">
        <v>3017305.28674744</v>
      </c>
      <c r="J4230" s="192" t="str">
        <f>IF(I4230&gt;0,H4230/I4230,0)</f>
      </c>
      <c r="K4230" s="193" t="str">
        <f>1-EXP(-J4230)</f>
      </c>
      <c r="L4230" s="194" t="str">
        <f>IF(G4230=30,1,M4229)</f>
      </c>
      <c r="M4230" s="195" t="str">
        <f>L4230*(1-K4230)</f>
      </c>
    </row>
    <row r="4231">
      <c r="A4231" t="s">
        <v>167</v>
      </c>
      <c r="B4231" t="s">
        <v>272</v>
      </c>
      <c r="C4231" s="35" t="s">
        <v>274</v>
      </c>
      <c r="D4231" t="s">
        <v>502</v>
      </c>
      <c r="E4231" t="s">
        <v>520</v>
      </c>
      <c r="F4231" s="188" t="n">
        <v>2026</v>
      </c>
      <c r="G4231" s="189" t="n">
        <v>59</v>
      </c>
      <c r="H4231" s="190" t="n">
        <v>16480.0794118727</v>
      </c>
      <c r="I4231" s="191" t="n">
        <v>2877825.9895627</v>
      </c>
      <c r="J4231" s="192" t="str">
        <f>IF(I4231&gt;0,H4231/I4231,0)</f>
      </c>
      <c r="K4231" s="193" t="str">
        <f>1-EXP(-J4231)</f>
      </c>
      <c r="L4231" s="194" t="str">
        <f>IF(G4231=30,1,M4230)</f>
      </c>
      <c r="M4231" s="195" t="str">
        <f>L4231*(1-K4231)</f>
      </c>
    </row>
    <row r="4232">
      <c r="A4232" t="s">
        <v>167</v>
      </c>
      <c r="B4232" t="s">
        <v>272</v>
      </c>
      <c r="C4232" s="35" t="s">
        <v>274</v>
      </c>
      <c r="D4232" t="s">
        <v>502</v>
      </c>
      <c r="E4232" t="s">
        <v>520</v>
      </c>
      <c r="F4232" s="188" t="n">
        <v>2026</v>
      </c>
      <c r="G4232" s="189" t="n">
        <v>60</v>
      </c>
      <c r="H4232" s="190" t="n">
        <v>17845.1289006928</v>
      </c>
      <c r="I4232" s="191" t="n">
        <v>2775955.73233662</v>
      </c>
      <c r="J4232" s="192" t="str">
        <f>IF(I4232&gt;0,H4232/I4232,0)</f>
      </c>
      <c r="K4232" s="193" t="str">
        <f>1-EXP(-J4232)</f>
      </c>
      <c r="L4232" s="194" t="str">
        <f>IF(G4232=30,1,M4231)</f>
      </c>
      <c r="M4232" s="195" t="str">
        <f>L4232*(1-K4232)</f>
      </c>
    </row>
    <row r="4233">
      <c r="A4233" t="s">
        <v>167</v>
      </c>
      <c r="B4233" t="s">
        <v>272</v>
      </c>
      <c r="C4233" s="35" t="s">
        <v>274</v>
      </c>
      <c r="D4233" t="s">
        <v>502</v>
      </c>
      <c r="E4233" t="s">
        <v>520</v>
      </c>
      <c r="F4233" s="188" t="n">
        <v>2026</v>
      </c>
      <c r="G4233" s="189" t="n">
        <v>61</v>
      </c>
      <c r="H4233" s="190" t="n">
        <v>18638.0992226138</v>
      </c>
      <c r="I4233" s="191" t="n">
        <v>2651125.82517609</v>
      </c>
      <c r="J4233" s="192" t="str">
        <f>IF(I4233&gt;0,H4233/I4233,0)</f>
      </c>
      <c r="K4233" s="193" t="str">
        <f>1-EXP(-J4233)</f>
      </c>
      <c r="L4233" s="194" t="str">
        <f>IF(G4233=30,1,M4232)</f>
      </c>
      <c r="M4233" s="195" t="str">
        <f>L4233*(1-K4233)</f>
      </c>
    </row>
    <row r="4234">
      <c r="A4234" t="s">
        <v>167</v>
      </c>
      <c r="B4234" t="s">
        <v>272</v>
      </c>
      <c r="C4234" s="35" t="s">
        <v>274</v>
      </c>
      <c r="D4234" t="s">
        <v>502</v>
      </c>
      <c r="E4234" t="s">
        <v>520</v>
      </c>
      <c r="F4234" s="188" t="n">
        <v>2026</v>
      </c>
      <c r="G4234" s="189" t="n">
        <v>62</v>
      </c>
      <c r="H4234" s="190" t="n">
        <v>19423.1616051686</v>
      </c>
      <c r="I4234" s="191" t="n">
        <v>2527118.34779537</v>
      </c>
      <c r="J4234" s="192" t="str">
        <f>IF(I4234&gt;0,H4234/I4234,0)</f>
      </c>
      <c r="K4234" s="193" t="str">
        <f>1-EXP(-J4234)</f>
      </c>
      <c r="L4234" s="194" t="str">
        <f>IF(G4234=30,1,M4233)</f>
      </c>
      <c r="M4234" s="195" t="str">
        <f>L4234*(1-K4234)</f>
      </c>
    </row>
    <row r="4235">
      <c r="A4235" t="s">
        <v>167</v>
      </c>
      <c r="B4235" t="s">
        <v>272</v>
      </c>
      <c r="C4235" s="35" t="s">
        <v>274</v>
      </c>
      <c r="D4235" t="s">
        <v>502</v>
      </c>
      <c r="E4235" t="s">
        <v>520</v>
      </c>
      <c r="F4235" s="188" t="n">
        <v>2026</v>
      </c>
      <c r="G4235" s="189" t="n">
        <v>63</v>
      </c>
      <c r="H4235" s="190" t="n">
        <v>20246.4991515351</v>
      </c>
      <c r="I4235" s="191" t="n">
        <v>2408174.82995322</v>
      </c>
      <c r="J4235" s="192" t="str">
        <f>IF(I4235&gt;0,H4235/I4235,0)</f>
      </c>
      <c r="K4235" s="193" t="str">
        <f>1-EXP(-J4235)</f>
      </c>
      <c r="L4235" s="194" t="str">
        <f>IF(G4235=30,1,M4234)</f>
      </c>
      <c r="M4235" s="195" t="str">
        <f>L4235*(1-K4235)</f>
      </c>
    </row>
    <row r="4236">
      <c r="A4236" t="s">
        <v>167</v>
      </c>
      <c r="B4236" t="s">
        <v>272</v>
      </c>
      <c r="C4236" s="35" t="s">
        <v>274</v>
      </c>
      <c r="D4236" t="s">
        <v>502</v>
      </c>
      <c r="E4236" t="s">
        <v>520</v>
      </c>
      <c r="F4236" s="188" t="n">
        <v>2026</v>
      </c>
      <c r="G4236" s="189" t="n">
        <v>64</v>
      </c>
      <c r="H4236" s="190" t="n">
        <v>20916.8262949404</v>
      </c>
      <c r="I4236" s="191" t="n">
        <v>2263177.14570695</v>
      </c>
      <c r="J4236" s="192" t="str">
        <f>IF(I4236&gt;0,H4236/I4236,0)</f>
      </c>
      <c r="K4236" s="193" t="str">
        <f>1-EXP(-J4236)</f>
      </c>
      <c r="L4236" s="194" t="str">
        <f>IF(G4236=30,1,M4235)</f>
      </c>
      <c r="M4236" s="195" t="str">
        <f>L4236*(1-K4236)</f>
      </c>
    </row>
    <row r="4237">
      <c r="A4237" t="s">
        <v>167</v>
      </c>
      <c r="B4237" t="s">
        <v>272</v>
      </c>
      <c r="C4237" s="35" t="s">
        <v>274</v>
      </c>
      <c r="D4237" t="s">
        <v>502</v>
      </c>
      <c r="E4237" t="s">
        <v>520</v>
      </c>
      <c r="F4237" s="188" t="n">
        <v>2026</v>
      </c>
      <c r="G4237" s="189" t="n">
        <v>65</v>
      </c>
      <c r="H4237" s="190" t="n">
        <v>21160.5867062082</v>
      </c>
      <c r="I4237" s="191" t="n">
        <v>2143592.88562047</v>
      </c>
      <c r="J4237" s="192" t="str">
        <f>IF(I4237&gt;0,H4237/I4237,0)</f>
      </c>
      <c r="K4237" s="193" t="str">
        <f>1-EXP(-J4237)</f>
      </c>
      <c r="L4237" s="194" t="str">
        <f>IF(G4237=30,1,M4236)</f>
      </c>
      <c r="M4237" s="195" t="str">
        <f>L4237*(1-K4237)</f>
      </c>
    </row>
    <row r="4238">
      <c r="A4238" t="s">
        <v>167</v>
      </c>
      <c r="B4238" t="s">
        <v>272</v>
      </c>
      <c r="C4238" s="35" t="s">
        <v>274</v>
      </c>
      <c r="D4238" t="s">
        <v>502</v>
      </c>
      <c r="E4238" t="s">
        <v>520</v>
      </c>
      <c r="F4238" s="188" t="n">
        <v>2026</v>
      </c>
      <c r="G4238" s="189" t="n">
        <v>66</v>
      </c>
      <c r="H4238" s="190" t="n">
        <v>21848.2464373626</v>
      </c>
      <c r="I4238" s="191" t="n">
        <v>2020123.65624815</v>
      </c>
      <c r="J4238" s="192" t="str">
        <f>IF(I4238&gt;0,H4238/I4238,0)</f>
      </c>
      <c r="K4238" s="193" t="str">
        <f>1-EXP(-J4238)</f>
      </c>
      <c r="L4238" s="194" t="str">
        <f>IF(G4238=30,1,M4237)</f>
      </c>
      <c r="M4238" s="195" t="str">
        <f>L4238*(1-K4238)</f>
      </c>
    </row>
    <row r="4239">
      <c r="A4239" t="s">
        <v>167</v>
      </c>
      <c r="B4239" t="s">
        <v>272</v>
      </c>
      <c r="C4239" s="35" t="s">
        <v>274</v>
      </c>
      <c r="D4239" t="s">
        <v>502</v>
      </c>
      <c r="E4239" t="s">
        <v>520</v>
      </c>
      <c r="F4239" s="188" t="n">
        <v>2026</v>
      </c>
      <c r="G4239" s="189" t="n">
        <v>67</v>
      </c>
      <c r="H4239" s="190" t="n">
        <v>22408.152907569</v>
      </c>
      <c r="I4239" s="191" t="n">
        <v>1890337.26910044</v>
      </c>
      <c r="J4239" s="192" t="str">
        <f>IF(I4239&gt;0,H4239/I4239,0)</f>
      </c>
      <c r="K4239" s="193" t="str">
        <f>1-EXP(-J4239)</f>
      </c>
      <c r="L4239" s="194" t="str">
        <f>IF(G4239=30,1,M4238)</f>
      </c>
      <c r="M4239" s="195" t="str">
        <f>L4239*(1-K4239)</f>
      </c>
    </row>
    <row r="4240">
      <c r="A4240" t="s">
        <v>167</v>
      </c>
      <c r="B4240" t="s">
        <v>272</v>
      </c>
      <c r="C4240" s="35" t="s">
        <v>274</v>
      </c>
      <c r="D4240" t="s">
        <v>502</v>
      </c>
      <c r="E4240" t="s">
        <v>520</v>
      </c>
      <c r="F4240" s="188" t="n">
        <v>2026</v>
      </c>
      <c r="G4240" s="189" t="n">
        <v>68</v>
      </c>
      <c r="H4240" s="190" t="n">
        <v>22920.2916187947</v>
      </c>
      <c r="I4240" s="191" t="n">
        <v>1762993.47698247</v>
      </c>
      <c r="J4240" s="192" t="str">
        <f>IF(I4240&gt;0,H4240/I4240,0)</f>
      </c>
      <c r="K4240" s="193" t="str">
        <f>1-EXP(-J4240)</f>
      </c>
      <c r="L4240" s="194" t="str">
        <f>IF(G4240=30,1,M4239)</f>
      </c>
      <c r="M4240" s="195" t="str">
        <f>L4240*(1-K4240)</f>
      </c>
    </row>
    <row r="4241">
      <c r="A4241" t="s">
        <v>167</v>
      </c>
      <c r="B4241" t="s">
        <v>272</v>
      </c>
      <c r="C4241" s="35" t="s">
        <v>274</v>
      </c>
      <c r="D4241" t="s">
        <v>502</v>
      </c>
      <c r="E4241" t="s">
        <v>520</v>
      </c>
      <c r="F4241" s="188" t="n">
        <v>2026</v>
      </c>
      <c r="G4241" s="189" t="n">
        <v>69</v>
      </c>
      <c r="H4241" s="190" t="n">
        <v>23710.6424548106</v>
      </c>
      <c r="I4241" s="191" t="n">
        <v>1657190.39223472</v>
      </c>
      <c r="J4241" s="192" t="str">
        <f>IF(I4241&gt;0,H4241/I4241,0)</f>
      </c>
      <c r="K4241" s="193" t="str">
        <f>1-EXP(-J4241)</f>
      </c>
      <c r="L4241" s="194" t="str">
        <f>IF(G4241=30,1,M4240)</f>
      </c>
      <c r="M4241" s="195" t="str">
        <f>L4241*(1-K4241)</f>
      </c>
    </row>
    <row r="4242">
      <c r="A4242" t="s">
        <v>167</v>
      </c>
      <c r="B4242" t="s">
        <v>272</v>
      </c>
      <c r="C4242" s="35" t="s">
        <v>274</v>
      </c>
      <c r="D4242" t="s">
        <v>502</v>
      </c>
      <c r="E4242" t="s">
        <v>520</v>
      </c>
      <c r="F4242" s="188" t="n">
        <v>2027</v>
      </c>
      <c r="G4242" s="189" t="n">
        <v>30</v>
      </c>
      <c r="H4242" s="190" t="n">
        <v>1295.55095161216</v>
      </c>
      <c r="I4242" s="191" t="n">
        <v>4568811.18806272</v>
      </c>
      <c r="J4242" s="192" t="str">
        <f>IF(I4242&gt;0,H4242/I4242,0)</f>
      </c>
      <c r="K4242" s="193" t="str">
        <f>1-EXP(-J4242)</f>
      </c>
      <c r="L4242" s="194" t="str">
        <f>IF(G4242=30,1,M4241)</f>
      </c>
      <c r="M4242" s="195" t="str">
        <f>L4242*(1-K4242)</f>
      </c>
    </row>
    <row r="4243">
      <c r="A4243" t="s">
        <v>167</v>
      </c>
      <c r="B4243" t="s">
        <v>272</v>
      </c>
      <c r="C4243" s="35" t="s">
        <v>274</v>
      </c>
      <c r="D4243" t="s">
        <v>502</v>
      </c>
      <c r="E4243" t="s">
        <v>520</v>
      </c>
      <c r="F4243" s="188" t="n">
        <v>2027</v>
      </c>
      <c r="G4243" s="189" t="n">
        <v>31</v>
      </c>
      <c r="H4243" s="190" t="n">
        <v>1333.49674113617</v>
      </c>
      <c r="I4243" s="191" t="n">
        <v>4526145.798096</v>
      </c>
      <c r="J4243" s="192" t="str">
        <f>IF(I4243&gt;0,H4243/I4243,0)</f>
      </c>
      <c r="K4243" s="193" t="str">
        <f>1-EXP(-J4243)</f>
      </c>
      <c r="L4243" s="194" t="str">
        <f>IF(G4243=30,1,M4242)</f>
      </c>
      <c r="M4243" s="195" t="str">
        <f>L4243*(1-K4243)</f>
      </c>
    </row>
    <row r="4244">
      <c r="A4244" t="s">
        <v>167</v>
      </c>
      <c r="B4244" t="s">
        <v>272</v>
      </c>
      <c r="C4244" s="35" t="s">
        <v>274</v>
      </c>
      <c r="D4244" t="s">
        <v>502</v>
      </c>
      <c r="E4244" t="s">
        <v>520</v>
      </c>
      <c r="F4244" s="188" t="n">
        <v>2027</v>
      </c>
      <c r="G4244" s="189" t="n">
        <v>32</v>
      </c>
      <c r="H4244" s="190" t="n">
        <v>1372.62625855579</v>
      </c>
      <c r="I4244" s="191" t="n">
        <v>4453757.31128945</v>
      </c>
      <c r="J4244" s="192" t="str">
        <f>IF(I4244&gt;0,H4244/I4244,0)</f>
      </c>
      <c r="K4244" s="193" t="str">
        <f>1-EXP(-J4244)</f>
      </c>
      <c r="L4244" s="194" t="str">
        <f>IF(G4244=30,1,M4243)</f>
      </c>
      <c r="M4244" s="195" t="str">
        <f>L4244*(1-K4244)</f>
      </c>
    </row>
    <row r="4245">
      <c r="A4245" t="s">
        <v>167</v>
      </c>
      <c r="B4245" t="s">
        <v>272</v>
      </c>
      <c r="C4245" s="35" t="s">
        <v>274</v>
      </c>
      <c r="D4245" t="s">
        <v>502</v>
      </c>
      <c r="E4245" t="s">
        <v>520</v>
      </c>
      <c r="F4245" s="188" t="n">
        <v>2027</v>
      </c>
      <c r="G4245" s="189" t="n">
        <v>33</v>
      </c>
      <c r="H4245" s="190" t="n">
        <v>1426.36317044251</v>
      </c>
      <c r="I4245" s="191" t="n">
        <v>4397360.28230037</v>
      </c>
      <c r="J4245" s="192" t="str">
        <f>IF(I4245&gt;0,H4245/I4245,0)</f>
      </c>
      <c r="K4245" s="193" t="str">
        <f>1-EXP(-J4245)</f>
      </c>
      <c r="L4245" s="194" t="str">
        <f>IF(G4245=30,1,M4244)</f>
      </c>
      <c r="M4245" s="195" t="str">
        <f>L4245*(1-K4245)</f>
      </c>
    </row>
    <row r="4246">
      <c r="A4246" t="s">
        <v>167</v>
      </c>
      <c r="B4246" t="s">
        <v>272</v>
      </c>
      <c r="C4246" s="35" t="s">
        <v>274</v>
      </c>
      <c r="D4246" t="s">
        <v>502</v>
      </c>
      <c r="E4246" t="s">
        <v>520</v>
      </c>
      <c r="F4246" s="188" t="n">
        <v>2027</v>
      </c>
      <c r="G4246" s="189" t="n">
        <v>34</v>
      </c>
      <c r="H4246" s="190" t="n">
        <v>1492.48251197045</v>
      </c>
      <c r="I4246" s="191" t="n">
        <v>4344738.2368033</v>
      </c>
      <c r="J4246" s="192" t="str">
        <f>IF(I4246&gt;0,H4246/I4246,0)</f>
      </c>
      <c r="K4246" s="193" t="str">
        <f>1-EXP(-J4246)</f>
      </c>
      <c r="L4246" s="194" t="str">
        <f>IF(G4246=30,1,M4245)</f>
      </c>
      <c r="M4246" s="195" t="str">
        <f>L4246*(1-K4246)</f>
      </c>
    </row>
    <row r="4247">
      <c r="A4247" t="s">
        <v>167</v>
      </c>
      <c r="B4247" t="s">
        <v>272</v>
      </c>
      <c r="C4247" s="35" t="s">
        <v>274</v>
      </c>
      <c r="D4247" t="s">
        <v>502</v>
      </c>
      <c r="E4247" t="s">
        <v>520</v>
      </c>
      <c r="F4247" s="188" t="n">
        <v>2027</v>
      </c>
      <c r="G4247" s="189" t="n">
        <v>35</v>
      </c>
      <c r="H4247" s="190" t="n">
        <v>2070.55971411064</v>
      </c>
      <c r="I4247" s="191" t="n">
        <v>4384164.08587452</v>
      </c>
      <c r="J4247" s="192" t="str">
        <f>IF(I4247&gt;0,H4247/I4247,0)</f>
      </c>
      <c r="K4247" s="193" t="str">
        <f>1-EXP(-J4247)</f>
      </c>
      <c r="L4247" s="194" t="str">
        <f>IF(G4247=30,1,M4246)</f>
      </c>
      <c r="M4247" s="195" t="str">
        <f>L4247*(1-K4247)</f>
      </c>
    </row>
    <row r="4248">
      <c r="A4248" t="s">
        <v>167</v>
      </c>
      <c r="B4248" t="s">
        <v>272</v>
      </c>
      <c r="C4248" s="35" t="s">
        <v>274</v>
      </c>
      <c r="D4248" t="s">
        <v>502</v>
      </c>
      <c r="E4248" t="s">
        <v>520</v>
      </c>
      <c r="F4248" s="188" t="n">
        <v>2027</v>
      </c>
      <c r="G4248" s="189" t="n">
        <v>36</v>
      </c>
      <c r="H4248" s="190" t="n">
        <v>2221.63426155914</v>
      </c>
      <c r="I4248" s="191" t="n">
        <v>4403451.34791557</v>
      </c>
      <c r="J4248" s="192" t="str">
        <f>IF(I4248&gt;0,H4248/I4248,0)</f>
      </c>
      <c r="K4248" s="193" t="str">
        <f>1-EXP(-J4248)</f>
      </c>
      <c r="L4248" s="194" t="str">
        <f>IF(G4248=30,1,M4247)</f>
      </c>
      <c r="M4248" s="195" t="str">
        <f>L4248*(1-K4248)</f>
      </c>
    </row>
    <row r="4249">
      <c r="A4249" t="s">
        <v>167</v>
      </c>
      <c r="B4249" t="s">
        <v>272</v>
      </c>
      <c r="C4249" s="35" t="s">
        <v>274</v>
      </c>
      <c r="D4249" t="s">
        <v>502</v>
      </c>
      <c r="E4249" t="s">
        <v>520</v>
      </c>
      <c r="F4249" s="188" t="n">
        <v>2027</v>
      </c>
      <c r="G4249" s="189" t="n">
        <v>37</v>
      </c>
      <c r="H4249" s="190" t="n">
        <v>3369.46807174047</v>
      </c>
      <c r="I4249" s="191" t="n">
        <v>6485448.3694303</v>
      </c>
      <c r="J4249" s="192" t="str">
        <f>IF(I4249&gt;0,H4249/I4249,0)</f>
      </c>
      <c r="K4249" s="193" t="str">
        <f>1-EXP(-J4249)</f>
      </c>
      <c r="L4249" s="194" t="str">
        <f>IF(G4249=30,1,M4248)</f>
      </c>
      <c r="M4249" s="195" t="str">
        <f>L4249*(1-K4249)</f>
      </c>
    </row>
    <row r="4250">
      <c r="A4250" t="s">
        <v>167</v>
      </c>
      <c r="B4250" t="s">
        <v>272</v>
      </c>
      <c r="C4250" s="35" t="s">
        <v>274</v>
      </c>
      <c r="D4250" t="s">
        <v>502</v>
      </c>
      <c r="E4250" t="s">
        <v>520</v>
      </c>
      <c r="F4250" s="188" t="n">
        <v>2027</v>
      </c>
      <c r="G4250" s="189" t="n">
        <v>38</v>
      </c>
      <c r="H4250" s="190" t="n">
        <v>2533.27720937528</v>
      </c>
      <c r="I4250" s="191" t="n">
        <v>4365611.34130165</v>
      </c>
      <c r="J4250" s="192" t="str">
        <f>IF(I4250&gt;0,H4250/I4250,0)</f>
      </c>
      <c r="K4250" s="193" t="str">
        <f>1-EXP(-J4250)</f>
      </c>
      <c r="L4250" s="194" t="str">
        <f>IF(G4250=30,1,M4249)</f>
      </c>
      <c r="M4250" s="195" t="str">
        <f>L4250*(1-K4250)</f>
      </c>
    </row>
    <row r="4251">
      <c r="A4251" t="s">
        <v>167</v>
      </c>
      <c r="B4251" t="s">
        <v>272</v>
      </c>
      <c r="C4251" s="35" t="s">
        <v>274</v>
      </c>
      <c r="D4251" t="s">
        <v>502</v>
      </c>
      <c r="E4251" t="s">
        <v>520</v>
      </c>
      <c r="F4251" s="188" t="n">
        <v>2027</v>
      </c>
      <c r="G4251" s="189" t="n">
        <v>39</v>
      </c>
      <c r="H4251" s="190" t="n">
        <v>2713.34535393604</v>
      </c>
      <c r="I4251" s="191" t="n">
        <v>4350986.32312033</v>
      </c>
      <c r="J4251" s="192" t="str">
        <f>IF(I4251&gt;0,H4251/I4251,0)</f>
      </c>
      <c r="K4251" s="193" t="str">
        <f>1-EXP(-J4251)</f>
      </c>
      <c r="L4251" s="194" t="str">
        <f>IF(G4251=30,1,M4250)</f>
      </c>
      <c r="M4251" s="195" t="str">
        <f>L4251*(1-K4251)</f>
      </c>
    </row>
    <row r="4252">
      <c r="A4252" t="s">
        <v>167</v>
      </c>
      <c r="B4252" t="s">
        <v>272</v>
      </c>
      <c r="C4252" s="35" t="s">
        <v>274</v>
      </c>
      <c r="D4252" t="s">
        <v>502</v>
      </c>
      <c r="E4252" t="s">
        <v>520</v>
      </c>
      <c r="F4252" s="188" t="n">
        <v>2027</v>
      </c>
      <c r="G4252" s="189" t="n">
        <v>40</v>
      </c>
      <c r="H4252" s="190" t="n">
        <v>3547.78703860467</v>
      </c>
      <c r="I4252" s="191" t="n">
        <v>4220097.68023664</v>
      </c>
      <c r="J4252" s="192" t="str">
        <f>IF(I4252&gt;0,H4252/I4252,0)</f>
      </c>
      <c r="K4252" s="193" t="str">
        <f>1-EXP(-J4252)</f>
      </c>
      <c r="L4252" s="194" t="str">
        <f>IF(G4252=30,1,M4251)</f>
      </c>
      <c r="M4252" s="195" t="str">
        <f>L4252*(1-K4252)</f>
      </c>
    </row>
    <row r="4253">
      <c r="A4253" t="s">
        <v>167</v>
      </c>
      <c r="B4253" t="s">
        <v>272</v>
      </c>
      <c r="C4253" s="35" t="s">
        <v>274</v>
      </c>
      <c r="D4253" t="s">
        <v>502</v>
      </c>
      <c r="E4253" t="s">
        <v>520</v>
      </c>
      <c r="F4253" s="188" t="n">
        <v>2027</v>
      </c>
      <c r="G4253" s="189" t="n">
        <v>41</v>
      </c>
      <c r="H4253" s="190" t="n">
        <v>3802.42445736177</v>
      </c>
      <c r="I4253" s="191" t="n">
        <v>4187004.95283277</v>
      </c>
      <c r="J4253" s="192" t="str">
        <f>IF(I4253&gt;0,H4253/I4253,0)</f>
      </c>
      <c r="K4253" s="193" t="str">
        <f>1-EXP(-J4253)</f>
      </c>
      <c r="L4253" s="194" t="str">
        <f>IF(G4253=30,1,M4252)</f>
      </c>
      <c r="M4253" s="195" t="str">
        <f>L4253*(1-K4253)</f>
      </c>
    </row>
    <row r="4254">
      <c r="A4254" t="s">
        <v>167</v>
      </c>
      <c r="B4254" t="s">
        <v>272</v>
      </c>
      <c r="C4254" s="35" t="s">
        <v>274</v>
      </c>
      <c r="D4254" t="s">
        <v>502</v>
      </c>
      <c r="E4254" t="s">
        <v>520</v>
      </c>
      <c r="F4254" s="188" t="n">
        <v>2027</v>
      </c>
      <c r="G4254" s="189" t="n">
        <v>42</v>
      </c>
      <c r="H4254" s="190" t="n">
        <v>4181.15243800164</v>
      </c>
      <c r="I4254" s="191" t="n">
        <v>4249363.32125518</v>
      </c>
      <c r="J4254" s="192" t="str">
        <f>IF(I4254&gt;0,H4254/I4254,0)</f>
      </c>
      <c r="K4254" s="193" t="str">
        <f>1-EXP(-J4254)</f>
      </c>
      <c r="L4254" s="194" t="str">
        <f>IF(G4254=30,1,M4253)</f>
      </c>
      <c r="M4254" s="195" t="str">
        <f>L4254*(1-K4254)</f>
      </c>
    </row>
    <row r="4255">
      <c r="A4255" t="s">
        <v>167</v>
      </c>
      <c r="B4255" t="s">
        <v>272</v>
      </c>
      <c r="C4255" s="35" t="s">
        <v>274</v>
      </c>
      <c r="D4255" t="s">
        <v>502</v>
      </c>
      <c r="E4255" t="s">
        <v>520</v>
      </c>
      <c r="F4255" s="188" t="n">
        <v>2027</v>
      </c>
      <c r="G4255" s="189" t="n">
        <v>43</v>
      </c>
      <c r="H4255" s="190" t="n">
        <v>4638.98613286846</v>
      </c>
      <c r="I4255" s="191" t="n">
        <v>4337480.70283685</v>
      </c>
      <c r="J4255" s="192" t="str">
        <f>IF(I4255&gt;0,H4255/I4255,0)</f>
      </c>
      <c r="K4255" s="193" t="str">
        <f>1-EXP(-J4255)</f>
      </c>
      <c r="L4255" s="194" t="str">
        <f>IF(G4255=30,1,M4254)</f>
      </c>
      <c r="M4255" s="195" t="str">
        <f>L4255*(1-K4255)</f>
      </c>
    </row>
    <row r="4256">
      <c r="A4256" t="s">
        <v>167</v>
      </c>
      <c r="B4256" t="s">
        <v>272</v>
      </c>
      <c r="C4256" s="35" t="s">
        <v>274</v>
      </c>
      <c r="D4256" t="s">
        <v>502</v>
      </c>
      <c r="E4256" t="s">
        <v>520</v>
      </c>
      <c r="F4256" s="188" t="n">
        <v>2027</v>
      </c>
      <c r="G4256" s="189" t="n">
        <v>44</v>
      </c>
      <c r="H4256" s="190" t="n">
        <v>5033.79731897152</v>
      </c>
      <c r="I4256" s="191" t="n">
        <v>4316075.6144935</v>
      </c>
      <c r="J4256" s="192" t="str">
        <f>IF(I4256&gt;0,H4256/I4256,0)</f>
      </c>
      <c r="K4256" s="193" t="str">
        <f>1-EXP(-J4256)</f>
      </c>
      <c r="L4256" s="194" t="str">
        <f>IF(G4256=30,1,M4255)</f>
      </c>
      <c r="M4256" s="195" t="str">
        <f>L4256*(1-K4256)</f>
      </c>
    </row>
    <row r="4257">
      <c r="A4257" t="s">
        <v>167</v>
      </c>
      <c r="B4257" t="s">
        <v>272</v>
      </c>
      <c r="C4257" s="35" t="s">
        <v>274</v>
      </c>
      <c r="D4257" t="s">
        <v>502</v>
      </c>
      <c r="E4257" t="s">
        <v>520</v>
      </c>
      <c r="F4257" s="188" t="n">
        <v>2027</v>
      </c>
      <c r="G4257" s="189" t="n">
        <v>45</v>
      </c>
      <c r="H4257" s="190" t="n">
        <v>6319.39833112924</v>
      </c>
      <c r="I4257" s="191" t="n">
        <v>4181413.74703864</v>
      </c>
      <c r="J4257" s="192" t="str">
        <f>IF(I4257&gt;0,H4257/I4257,0)</f>
      </c>
      <c r="K4257" s="193" t="str">
        <f>1-EXP(-J4257)</f>
      </c>
      <c r="L4257" s="194" t="str">
        <f>IF(G4257=30,1,M4256)</f>
      </c>
      <c r="M4257" s="195" t="str">
        <f>L4257*(1-K4257)</f>
      </c>
    </row>
    <row r="4258">
      <c r="A4258" t="s">
        <v>167</v>
      </c>
      <c r="B4258" t="s">
        <v>272</v>
      </c>
      <c r="C4258" s="35" t="s">
        <v>274</v>
      </c>
      <c r="D4258" t="s">
        <v>502</v>
      </c>
      <c r="E4258" t="s">
        <v>520</v>
      </c>
      <c r="F4258" s="188" t="n">
        <v>2027</v>
      </c>
      <c r="G4258" s="189" t="n">
        <v>46</v>
      </c>
      <c r="H4258" s="190" t="n">
        <v>6794.28134390726</v>
      </c>
      <c r="I4258" s="191" t="n">
        <v>4108818.49576139</v>
      </c>
      <c r="J4258" s="192" t="str">
        <f>IF(I4258&gt;0,H4258/I4258,0)</f>
      </c>
      <c r="K4258" s="193" t="str">
        <f>1-EXP(-J4258)</f>
      </c>
      <c r="L4258" s="194" t="str">
        <f>IF(G4258=30,1,M4257)</f>
      </c>
      <c r="M4258" s="195" t="str">
        <f>L4258*(1-K4258)</f>
      </c>
    </row>
    <row r="4259">
      <c r="A4259" t="s">
        <v>167</v>
      </c>
      <c r="B4259" t="s">
        <v>272</v>
      </c>
      <c r="C4259" s="35" t="s">
        <v>274</v>
      </c>
      <c r="D4259" t="s">
        <v>502</v>
      </c>
      <c r="E4259" t="s">
        <v>520</v>
      </c>
      <c r="F4259" s="188" t="n">
        <v>2027</v>
      </c>
      <c r="G4259" s="189" t="n">
        <v>47</v>
      </c>
      <c r="H4259" s="190" t="n">
        <v>7339.53058613322</v>
      </c>
      <c r="I4259" s="191" t="n">
        <v>4053372.88328564</v>
      </c>
      <c r="J4259" s="192" t="str">
        <f>IF(I4259&gt;0,H4259/I4259,0)</f>
      </c>
      <c r="K4259" s="193" t="str">
        <f>1-EXP(-J4259)</f>
      </c>
      <c r="L4259" s="194" t="str">
        <f>IF(G4259=30,1,M4258)</f>
      </c>
      <c r="M4259" s="195" t="str">
        <f>L4259*(1-K4259)</f>
      </c>
    </row>
    <row r="4260">
      <c r="A4260" t="s">
        <v>167</v>
      </c>
      <c r="B4260" t="s">
        <v>272</v>
      </c>
      <c r="C4260" s="35" t="s">
        <v>274</v>
      </c>
      <c r="D4260" t="s">
        <v>502</v>
      </c>
      <c r="E4260" t="s">
        <v>520</v>
      </c>
      <c r="F4260" s="188" t="n">
        <v>2027</v>
      </c>
      <c r="G4260" s="189" t="n">
        <v>48</v>
      </c>
      <c r="H4260" s="190" t="n">
        <v>7909.87685439694</v>
      </c>
      <c r="I4260" s="191" t="n">
        <v>3992569.34528039</v>
      </c>
      <c r="J4260" s="192" t="str">
        <f>IF(I4260&gt;0,H4260/I4260,0)</f>
      </c>
      <c r="K4260" s="193" t="str">
        <f>1-EXP(-J4260)</f>
      </c>
      <c r="L4260" s="194" t="str">
        <f>IF(G4260=30,1,M4259)</f>
      </c>
      <c r="M4260" s="195" t="str">
        <f>L4260*(1-K4260)</f>
      </c>
    </row>
    <row r="4261">
      <c r="A4261" t="s">
        <v>167</v>
      </c>
      <c r="B4261" t="s">
        <v>272</v>
      </c>
      <c r="C4261" s="35" t="s">
        <v>274</v>
      </c>
      <c r="D4261" t="s">
        <v>502</v>
      </c>
      <c r="E4261" t="s">
        <v>520</v>
      </c>
      <c r="F4261" s="188" t="n">
        <v>2027</v>
      </c>
      <c r="G4261" s="189" t="n">
        <v>49</v>
      </c>
      <c r="H4261" s="190" t="n">
        <v>8472.22705718172</v>
      </c>
      <c r="I4261" s="191" t="n">
        <v>3912222.49957439</v>
      </c>
      <c r="J4261" s="192" t="str">
        <f>IF(I4261&gt;0,H4261/I4261,0)</f>
      </c>
      <c r="K4261" s="193" t="str">
        <f>1-EXP(-J4261)</f>
      </c>
      <c r="L4261" s="194" t="str">
        <f>IF(G4261=30,1,M4260)</f>
      </c>
      <c r="M4261" s="195" t="str">
        <f>L4261*(1-K4261)</f>
      </c>
    </row>
    <row r="4262">
      <c r="A4262" t="s">
        <v>167</v>
      </c>
      <c r="B4262" t="s">
        <v>272</v>
      </c>
      <c r="C4262" s="35" t="s">
        <v>274</v>
      </c>
      <c r="D4262" t="s">
        <v>502</v>
      </c>
      <c r="E4262" t="s">
        <v>520</v>
      </c>
      <c r="F4262" s="188" t="n">
        <v>2027</v>
      </c>
      <c r="G4262" s="189" t="n">
        <v>50</v>
      </c>
      <c r="H4262" s="190" t="n">
        <v>9746.61056535671</v>
      </c>
      <c r="I4262" s="191" t="n">
        <v>3849355.18502776</v>
      </c>
      <c r="J4262" s="192" t="str">
        <f>IF(I4262&gt;0,H4262/I4262,0)</f>
      </c>
      <c r="K4262" s="193" t="str">
        <f>1-EXP(-J4262)</f>
      </c>
      <c r="L4262" s="194" t="str">
        <f>IF(G4262=30,1,M4261)</f>
      </c>
      <c r="M4262" s="195" t="str">
        <f>L4262*(1-K4262)</f>
      </c>
    </row>
    <row r="4263">
      <c r="A4263" t="s">
        <v>167</v>
      </c>
      <c r="B4263" t="s">
        <v>272</v>
      </c>
      <c r="C4263" s="35" t="s">
        <v>274</v>
      </c>
      <c r="D4263" t="s">
        <v>502</v>
      </c>
      <c r="E4263" t="s">
        <v>520</v>
      </c>
      <c r="F4263" s="188" t="n">
        <v>2027</v>
      </c>
      <c r="G4263" s="189" t="n">
        <v>51</v>
      </c>
      <c r="H4263" s="190" t="n">
        <v>10431.7192888639</v>
      </c>
      <c r="I4263" s="191" t="n">
        <v>3773677.43259866</v>
      </c>
      <c r="J4263" s="192" t="str">
        <f>IF(I4263&gt;0,H4263/I4263,0)</f>
      </c>
      <c r="K4263" s="193" t="str">
        <f>1-EXP(-J4263)</f>
      </c>
      <c r="L4263" s="194" t="str">
        <f>IF(G4263=30,1,M4262)</f>
      </c>
      <c r="M4263" s="195" t="str">
        <f>L4263*(1-K4263)</f>
      </c>
    </row>
    <row r="4264">
      <c r="A4264" t="s">
        <v>167</v>
      </c>
      <c r="B4264" t="s">
        <v>272</v>
      </c>
      <c r="C4264" s="35" t="s">
        <v>274</v>
      </c>
      <c r="D4264" t="s">
        <v>502</v>
      </c>
      <c r="E4264" t="s">
        <v>520</v>
      </c>
      <c r="F4264" s="188" t="n">
        <v>2027</v>
      </c>
      <c r="G4264" s="189" t="n">
        <v>52</v>
      </c>
      <c r="H4264" s="190" t="n">
        <v>11154.4356226045</v>
      </c>
      <c r="I4264" s="191" t="n">
        <v>3698237.61470952</v>
      </c>
      <c r="J4264" s="192" t="str">
        <f>IF(I4264&gt;0,H4264/I4264,0)</f>
      </c>
      <c r="K4264" s="193" t="str">
        <f>1-EXP(-J4264)</f>
      </c>
      <c r="L4264" s="194" t="str">
        <f>IF(G4264=30,1,M4263)</f>
      </c>
      <c r="M4264" s="195" t="str">
        <f>L4264*(1-K4264)</f>
      </c>
    </row>
    <row r="4265">
      <c r="A4265" t="s">
        <v>167</v>
      </c>
      <c r="B4265" t="s">
        <v>272</v>
      </c>
      <c r="C4265" s="35" t="s">
        <v>274</v>
      </c>
      <c r="D4265" t="s">
        <v>502</v>
      </c>
      <c r="E4265" t="s">
        <v>520</v>
      </c>
      <c r="F4265" s="188" t="n">
        <v>2027</v>
      </c>
      <c r="G4265" s="189" t="n">
        <v>53</v>
      </c>
      <c r="H4265" s="190" t="n">
        <v>11831.2284853138</v>
      </c>
      <c r="I4265" s="191" t="n">
        <v>3595054.25512501</v>
      </c>
      <c r="J4265" s="192" t="str">
        <f>IF(I4265&gt;0,H4265/I4265,0)</f>
      </c>
      <c r="K4265" s="193" t="str">
        <f>1-EXP(-J4265)</f>
      </c>
      <c r="L4265" s="194" t="str">
        <f>IF(G4265=30,1,M4264)</f>
      </c>
      <c r="M4265" s="195" t="str">
        <f>L4265*(1-K4265)</f>
      </c>
    </row>
    <row r="4266">
      <c r="A4266" t="s">
        <v>167</v>
      </c>
      <c r="B4266" t="s">
        <v>272</v>
      </c>
      <c r="C4266" s="35" t="s">
        <v>274</v>
      </c>
      <c r="D4266" t="s">
        <v>502</v>
      </c>
      <c r="E4266" t="s">
        <v>520</v>
      </c>
      <c r="F4266" s="188" t="n">
        <v>2027</v>
      </c>
      <c r="G4266" s="189" t="n">
        <v>54</v>
      </c>
      <c r="H4266" s="190" t="n">
        <v>12762.8668081638</v>
      </c>
      <c r="I4266" s="191" t="n">
        <v>3553031.24732019</v>
      </c>
      <c r="J4266" s="192" t="str">
        <f>IF(I4266&gt;0,H4266/I4266,0)</f>
      </c>
      <c r="K4266" s="193" t="str">
        <f>1-EXP(-J4266)</f>
      </c>
      <c r="L4266" s="194" t="str">
        <f>IF(G4266=30,1,M4265)</f>
      </c>
      <c r="M4266" s="195" t="str">
        <f>L4266*(1-K4266)</f>
      </c>
    </row>
    <row r="4267">
      <c r="A4267" t="s">
        <v>167</v>
      </c>
      <c r="B4267" t="s">
        <v>272</v>
      </c>
      <c r="C4267" s="35" t="s">
        <v>274</v>
      </c>
      <c r="D4267" t="s">
        <v>502</v>
      </c>
      <c r="E4267" t="s">
        <v>520</v>
      </c>
      <c r="F4267" s="188" t="n">
        <v>2027</v>
      </c>
      <c r="G4267" s="189" t="n">
        <v>55</v>
      </c>
      <c r="H4267" s="190" t="n">
        <v>13345.6331754497</v>
      </c>
      <c r="I4267" s="191" t="n">
        <v>3344989.19922853</v>
      </c>
      <c r="J4267" s="192" t="str">
        <f>IF(I4267&gt;0,H4267/I4267,0)</f>
      </c>
      <c r="K4267" s="193" t="str">
        <f>1-EXP(-J4267)</f>
      </c>
      <c r="L4267" s="194" t="str">
        <f>IF(G4267=30,1,M4266)</f>
      </c>
      <c r="M4267" s="195" t="str">
        <f>L4267*(1-K4267)</f>
      </c>
    </row>
    <row r="4268">
      <c r="A4268" t="s">
        <v>167</v>
      </c>
      <c r="B4268" t="s">
        <v>272</v>
      </c>
      <c r="C4268" s="35" t="s">
        <v>274</v>
      </c>
      <c r="D4268" t="s">
        <v>502</v>
      </c>
      <c r="E4268" t="s">
        <v>520</v>
      </c>
      <c r="F4268" s="188" t="n">
        <v>2027</v>
      </c>
      <c r="G4268" s="189" t="n">
        <v>56</v>
      </c>
      <c r="H4268" s="190" t="n">
        <v>14199.2772523105</v>
      </c>
      <c r="I4268" s="191" t="n">
        <v>3259768.64078352</v>
      </c>
      <c r="J4268" s="192" t="str">
        <f>IF(I4268&gt;0,H4268/I4268,0)</f>
      </c>
      <c r="K4268" s="193" t="str">
        <f>1-EXP(-J4268)</f>
      </c>
      <c r="L4268" s="194" t="str">
        <f>IF(G4268=30,1,M4267)</f>
      </c>
      <c r="M4268" s="195" t="str">
        <f>L4268*(1-K4268)</f>
      </c>
    </row>
    <row r="4269">
      <c r="A4269" t="s">
        <v>167</v>
      </c>
      <c r="B4269" t="s">
        <v>272</v>
      </c>
      <c r="C4269" s="35" t="s">
        <v>274</v>
      </c>
      <c r="D4269" t="s">
        <v>502</v>
      </c>
      <c r="E4269" t="s">
        <v>520</v>
      </c>
      <c r="F4269" s="188" t="n">
        <v>2027</v>
      </c>
      <c r="G4269" s="189" t="n">
        <v>57</v>
      </c>
      <c r="H4269" s="190" t="n">
        <v>15132.7472012316</v>
      </c>
      <c r="I4269" s="191" t="n">
        <v>3179627.76827967</v>
      </c>
      <c r="J4269" s="192" t="str">
        <f>IF(I4269&gt;0,H4269/I4269,0)</f>
      </c>
      <c r="K4269" s="193" t="str">
        <f>1-EXP(-J4269)</f>
      </c>
      <c r="L4269" s="194" t="str">
        <f>IF(G4269=30,1,M4268)</f>
      </c>
      <c r="M4269" s="195" t="str">
        <f>L4269*(1-K4269)</f>
      </c>
    </row>
    <row r="4270">
      <c r="A4270" t="s">
        <v>167</v>
      </c>
      <c r="B4270" t="s">
        <v>272</v>
      </c>
      <c r="C4270" s="35" t="s">
        <v>274</v>
      </c>
      <c r="D4270" t="s">
        <v>502</v>
      </c>
      <c r="E4270" t="s">
        <v>520</v>
      </c>
      <c r="F4270" s="188" t="n">
        <v>2027</v>
      </c>
      <c r="G4270" s="189" t="n">
        <v>58</v>
      </c>
      <c r="H4270" s="190" t="n">
        <v>16068.1945867819</v>
      </c>
      <c r="I4270" s="191" t="n">
        <v>3090219.26335692</v>
      </c>
      <c r="J4270" s="192" t="str">
        <f>IF(I4270&gt;0,H4270/I4270,0)</f>
      </c>
      <c r="K4270" s="193" t="str">
        <f>1-EXP(-J4270)</f>
      </c>
      <c r="L4270" s="194" t="str">
        <f>IF(G4270=30,1,M4269)</f>
      </c>
      <c r="M4270" s="195" t="str">
        <f>L4270*(1-K4270)</f>
      </c>
    </row>
    <row r="4271">
      <c r="A4271" t="s">
        <v>167</v>
      </c>
      <c r="B4271" t="s">
        <v>272</v>
      </c>
      <c r="C4271" s="35" t="s">
        <v>274</v>
      </c>
      <c r="D4271" t="s">
        <v>502</v>
      </c>
      <c r="E4271" t="s">
        <v>520</v>
      </c>
      <c r="F4271" s="188" t="n">
        <v>2027</v>
      </c>
      <c r="G4271" s="189" t="n">
        <v>59</v>
      </c>
      <c r="H4271" s="190" t="n">
        <v>16936.5355404524</v>
      </c>
      <c r="I4271" s="191" t="n">
        <v>2980796.77564293</v>
      </c>
      <c r="J4271" s="192" t="str">
        <f>IF(I4271&gt;0,H4271/I4271,0)</f>
      </c>
      <c r="K4271" s="193" t="str">
        <f>1-EXP(-J4271)</f>
      </c>
      <c r="L4271" s="194" t="str">
        <f>IF(G4271=30,1,M4270)</f>
      </c>
      <c r="M4271" s="195" t="str">
        <f>L4271*(1-K4271)</f>
      </c>
    </row>
    <row r="4272">
      <c r="A4272" t="s">
        <v>167</v>
      </c>
      <c r="B4272" t="s">
        <v>272</v>
      </c>
      <c r="C4272" s="35" t="s">
        <v>274</v>
      </c>
      <c r="D4272" t="s">
        <v>502</v>
      </c>
      <c r="E4272" t="s">
        <v>520</v>
      </c>
      <c r="F4272" s="188" t="n">
        <v>2027</v>
      </c>
      <c r="G4272" s="189" t="n">
        <v>60</v>
      </c>
      <c r="H4272" s="190" t="n">
        <v>18094.416472785</v>
      </c>
      <c r="I4272" s="191" t="n">
        <v>2839753.53909007</v>
      </c>
      <c r="J4272" s="192" t="str">
        <f>IF(I4272&gt;0,H4272/I4272,0)</f>
      </c>
      <c r="K4272" s="193" t="str">
        <f>1-EXP(-J4272)</f>
      </c>
      <c r="L4272" s="194" t="str">
        <f>IF(G4272=30,1,M4271)</f>
      </c>
      <c r="M4272" s="195" t="str">
        <f>L4272*(1-K4272)</f>
      </c>
    </row>
    <row r="4273">
      <c r="A4273" t="s">
        <v>167</v>
      </c>
      <c r="B4273" t="s">
        <v>272</v>
      </c>
      <c r="C4273" s="35" t="s">
        <v>274</v>
      </c>
      <c r="D4273" t="s">
        <v>502</v>
      </c>
      <c r="E4273" t="s">
        <v>520</v>
      </c>
      <c r="F4273" s="188" t="n">
        <v>2027</v>
      </c>
      <c r="G4273" s="189" t="n">
        <v>61</v>
      </c>
      <c r="H4273" s="190" t="n">
        <v>19080.9040703796</v>
      </c>
      <c r="I4273" s="191" t="n">
        <v>2735184.36687144</v>
      </c>
      <c r="J4273" s="192" t="str">
        <f>IF(I4273&gt;0,H4273/I4273,0)</f>
      </c>
      <c r="K4273" s="193" t="str">
        <f>1-EXP(-J4273)</f>
      </c>
      <c r="L4273" s="194" t="str">
        <f>IF(G4273=30,1,M4272)</f>
      </c>
      <c r="M4273" s="195" t="str">
        <f>L4273*(1-K4273)</f>
      </c>
    </row>
    <row r="4274">
      <c r="A4274" t="s">
        <v>167</v>
      </c>
      <c r="B4274" t="s">
        <v>272</v>
      </c>
      <c r="C4274" s="35" t="s">
        <v>274</v>
      </c>
      <c r="D4274" t="s">
        <v>502</v>
      </c>
      <c r="E4274" t="s">
        <v>520</v>
      </c>
      <c r="F4274" s="188" t="n">
        <v>2027</v>
      </c>
      <c r="G4274" s="189" t="n">
        <v>62</v>
      </c>
      <c r="H4274" s="190" t="n">
        <v>19903.5037730703</v>
      </c>
      <c r="I4274" s="191" t="n">
        <v>2609190.75867102</v>
      </c>
      <c r="J4274" s="192" t="str">
        <f>IF(I4274&gt;0,H4274/I4274,0)</f>
      </c>
      <c r="K4274" s="193" t="str">
        <f>1-EXP(-J4274)</f>
      </c>
      <c r="L4274" s="194" t="str">
        <f>IF(G4274=30,1,M4273)</f>
      </c>
      <c r="M4274" s="195" t="str">
        <f>L4274*(1-K4274)</f>
      </c>
    </row>
    <row r="4275">
      <c r="A4275" t="s">
        <v>167</v>
      </c>
      <c r="B4275" t="s">
        <v>272</v>
      </c>
      <c r="C4275" s="35" t="s">
        <v>274</v>
      </c>
      <c r="D4275" t="s">
        <v>502</v>
      </c>
      <c r="E4275" t="s">
        <v>520</v>
      </c>
      <c r="F4275" s="188" t="n">
        <v>2027</v>
      </c>
      <c r="G4275" s="189" t="n">
        <v>63</v>
      </c>
      <c r="H4275" s="190" t="n">
        <v>20726.8809330447</v>
      </c>
      <c r="I4275" s="191" t="n">
        <v>2483428.66231773</v>
      </c>
      <c r="J4275" s="192" t="str">
        <f>IF(I4275&gt;0,H4275/I4275,0)</f>
      </c>
      <c r="K4275" s="193" t="str">
        <f>1-EXP(-J4275)</f>
      </c>
      <c r="L4275" s="194" t="str">
        <f>IF(G4275=30,1,M4274)</f>
      </c>
      <c r="M4275" s="195" t="str">
        <f>L4275*(1-K4275)</f>
      </c>
    </row>
    <row r="4276">
      <c r="A4276" t="s">
        <v>167</v>
      </c>
      <c r="B4276" t="s">
        <v>272</v>
      </c>
      <c r="C4276" s="35" t="s">
        <v>274</v>
      </c>
      <c r="D4276" t="s">
        <v>502</v>
      </c>
      <c r="E4276" t="s">
        <v>520</v>
      </c>
      <c r="F4276" s="188" t="n">
        <v>2027</v>
      </c>
      <c r="G4276" s="189" t="n">
        <v>64</v>
      </c>
      <c r="H4276" s="190" t="n">
        <v>21586.3173681559</v>
      </c>
      <c r="I4276" s="191" t="n">
        <v>2362647.29748349</v>
      </c>
      <c r="J4276" s="192" t="str">
        <f>IF(I4276&gt;0,H4276/I4276,0)</f>
      </c>
      <c r="K4276" s="193" t="str">
        <f>1-EXP(-J4276)</f>
      </c>
      <c r="L4276" s="194" t="str">
        <f>IF(G4276=30,1,M4275)</f>
      </c>
      <c r="M4276" s="195" t="str">
        <f>L4276*(1-K4276)</f>
      </c>
    </row>
    <row r="4277">
      <c r="A4277" t="s">
        <v>167</v>
      </c>
      <c r="B4277" t="s">
        <v>272</v>
      </c>
      <c r="C4277" s="35" t="s">
        <v>274</v>
      </c>
      <c r="D4277" t="s">
        <v>502</v>
      </c>
      <c r="E4277" t="s">
        <v>520</v>
      </c>
      <c r="F4277" s="188" t="n">
        <v>2027</v>
      </c>
      <c r="G4277" s="189" t="n">
        <v>65</v>
      </c>
      <c r="H4277" s="190" t="n">
        <v>21698.0312931372</v>
      </c>
      <c r="I4277" s="191" t="n">
        <v>2216158.88188166</v>
      </c>
      <c r="J4277" s="192" t="str">
        <f>IF(I4277&gt;0,H4277/I4277,0)</f>
      </c>
      <c r="K4277" s="193" t="str">
        <f>1-EXP(-J4277)</f>
      </c>
      <c r="L4277" s="194" t="str">
        <f>IF(G4277=30,1,M4276)</f>
      </c>
      <c r="M4277" s="195" t="str">
        <f>L4277*(1-K4277)</f>
      </c>
    </row>
    <row r="4278">
      <c r="A4278" t="s">
        <v>167</v>
      </c>
      <c r="B4278" t="s">
        <v>272</v>
      </c>
      <c r="C4278" s="35" t="s">
        <v>274</v>
      </c>
      <c r="D4278" t="s">
        <v>502</v>
      </c>
      <c r="E4278" t="s">
        <v>520</v>
      </c>
      <c r="F4278" s="188" t="n">
        <v>2027</v>
      </c>
      <c r="G4278" s="189" t="n">
        <v>66</v>
      </c>
      <c r="H4278" s="190" t="n">
        <v>22474.6557886943</v>
      </c>
      <c r="I4278" s="191" t="n">
        <v>2094995.33958512</v>
      </c>
      <c r="J4278" s="192" t="str">
        <f>IF(I4278&gt;0,H4278/I4278,0)</f>
      </c>
      <c r="K4278" s="193" t="str">
        <f>1-EXP(-J4278)</f>
      </c>
      <c r="L4278" s="194" t="str">
        <f>IF(G4278=30,1,M4277)</f>
      </c>
      <c r="M4278" s="195" t="str">
        <f>L4278*(1-K4278)</f>
      </c>
    </row>
    <row r="4279">
      <c r="A4279" t="s">
        <v>167</v>
      </c>
      <c r="B4279" t="s">
        <v>272</v>
      </c>
      <c r="C4279" s="35" t="s">
        <v>274</v>
      </c>
      <c r="D4279" t="s">
        <v>502</v>
      </c>
      <c r="E4279" t="s">
        <v>520</v>
      </c>
      <c r="F4279" s="188" t="n">
        <v>2027</v>
      </c>
      <c r="G4279" s="189" t="n">
        <v>67</v>
      </c>
      <c r="H4279" s="190" t="n">
        <v>23167.1112070859</v>
      </c>
      <c r="I4279" s="191" t="n">
        <v>1969830.99388157</v>
      </c>
      <c r="J4279" s="192" t="str">
        <f>IF(I4279&gt;0,H4279/I4279,0)</f>
      </c>
      <c r="K4279" s="193" t="str">
        <f>1-EXP(-J4279)</f>
      </c>
      <c r="L4279" s="194" t="str">
        <f>IF(G4279=30,1,M4278)</f>
      </c>
      <c r="M4279" s="195" t="str">
        <f>L4279*(1-K4279)</f>
      </c>
    </row>
    <row r="4280">
      <c r="A4280" t="s">
        <v>167</v>
      </c>
      <c r="B4280" t="s">
        <v>272</v>
      </c>
      <c r="C4280" s="35" t="s">
        <v>274</v>
      </c>
      <c r="D4280" t="s">
        <v>502</v>
      </c>
      <c r="E4280" t="s">
        <v>520</v>
      </c>
      <c r="F4280" s="188" t="n">
        <v>2027</v>
      </c>
      <c r="G4280" s="189" t="n">
        <v>68</v>
      </c>
      <c r="H4280" s="190" t="n">
        <v>23719.2066609073</v>
      </c>
      <c r="I4280" s="191" t="n">
        <v>1838788.41595936</v>
      </c>
      <c r="J4280" s="192" t="str">
        <f>IF(I4280&gt;0,H4280/I4280,0)</f>
      </c>
      <c r="K4280" s="193" t="str">
        <f>1-EXP(-J4280)</f>
      </c>
      <c r="L4280" s="194" t="str">
        <f>IF(G4280=30,1,M4279)</f>
      </c>
      <c r="M4280" s="195" t="str">
        <f>L4280*(1-K4280)</f>
      </c>
    </row>
    <row r="4281">
      <c r="A4281" t="s">
        <v>167</v>
      </c>
      <c r="B4281" t="s">
        <v>272</v>
      </c>
      <c r="C4281" s="35" t="s">
        <v>274</v>
      </c>
      <c r="D4281" t="s">
        <v>502</v>
      </c>
      <c r="E4281" t="s">
        <v>520</v>
      </c>
      <c r="F4281" s="188" t="n">
        <v>2027</v>
      </c>
      <c r="G4281" s="189" t="n">
        <v>69</v>
      </c>
      <c r="H4281" s="190" t="n">
        <v>24216.3563992155</v>
      </c>
      <c r="I4281" s="191" t="n">
        <v>1710303.26660773</v>
      </c>
      <c r="J4281" s="192" t="str">
        <f>IF(I4281&gt;0,H4281/I4281,0)</f>
      </c>
      <c r="K4281" s="193" t="str">
        <f>1-EXP(-J4281)</f>
      </c>
      <c r="L4281" s="194" t="str">
        <f>IF(G4281=30,1,M4280)</f>
      </c>
      <c r="M4281" s="195" t="str">
        <f>L4281*(1-K4281)</f>
      </c>
    </row>
    <row r="4282">
      <c r="A4282" t="s">
        <v>167</v>
      </c>
      <c r="B4282" t="s">
        <v>272</v>
      </c>
      <c r="C4282" s="35" t="s">
        <v>274</v>
      </c>
      <c r="D4282" t="s">
        <v>502</v>
      </c>
      <c r="E4282" t="s">
        <v>520</v>
      </c>
      <c r="F4282" s="188" t="n">
        <v>2028</v>
      </c>
      <c r="G4282" s="189" t="n">
        <v>30</v>
      </c>
      <c r="H4282" s="190" t="n">
        <v>975.677221043337</v>
      </c>
      <c r="I4282" s="191" t="n">
        <v>4420059.40019631</v>
      </c>
      <c r="J4282" s="192" t="str">
        <f>IF(I4282&gt;0,H4282/I4282,0)</f>
      </c>
      <c r="K4282" s="193" t="str">
        <f>1-EXP(-J4282)</f>
      </c>
      <c r="L4282" s="194" t="str">
        <f>IF(G4282=30,1,M4281)</f>
      </c>
      <c r="M4282" s="195" t="str">
        <f>L4282*(1-K4282)</f>
      </c>
    </row>
    <row r="4283">
      <c r="A4283" t="s">
        <v>167</v>
      </c>
      <c r="B4283" t="s">
        <v>272</v>
      </c>
      <c r="C4283" s="35" t="s">
        <v>274</v>
      </c>
      <c r="D4283" t="s">
        <v>502</v>
      </c>
      <c r="E4283" t="s">
        <v>520</v>
      </c>
      <c r="F4283" s="188" t="n">
        <v>2028</v>
      </c>
      <c r="G4283" s="189" t="n">
        <v>31</v>
      </c>
      <c r="H4283" s="190" t="n">
        <v>1333.40667873274</v>
      </c>
      <c r="I4283" s="191" t="n">
        <v>4561956.50559734</v>
      </c>
      <c r="J4283" s="192" t="str">
        <f>IF(I4283&gt;0,H4283/I4283,0)</f>
      </c>
      <c r="K4283" s="193" t="str">
        <f>1-EXP(-J4283)</f>
      </c>
      <c r="L4283" s="194" t="str">
        <f>IF(G4283=30,1,M4282)</f>
      </c>
      <c r="M4283" s="195" t="str">
        <f>L4283*(1-K4283)</f>
      </c>
    </row>
    <row r="4284">
      <c r="A4284" t="s">
        <v>167</v>
      </c>
      <c r="B4284" t="s">
        <v>272</v>
      </c>
      <c r="C4284" s="35" t="s">
        <v>274</v>
      </c>
      <c r="D4284" t="s">
        <v>502</v>
      </c>
      <c r="E4284" t="s">
        <v>520</v>
      </c>
      <c r="F4284" s="188" t="n">
        <v>2028</v>
      </c>
      <c r="G4284" s="189" t="n">
        <v>32</v>
      </c>
      <c r="H4284" s="190" t="n">
        <v>1382.24004769447</v>
      </c>
      <c r="I4284" s="191" t="n">
        <v>4519602.16372617</v>
      </c>
      <c r="J4284" s="192" t="str">
        <f>IF(I4284&gt;0,H4284/I4284,0)</f>
      </c>
      <c r="K4284" s="193" t="str">
        <f>1-EXP(-J4284)</f>
      </c>
      <c r="L4284" s="194" t="str">
        <f>IF(G4284=30,1,M4283)</f>
      </c>
      <c r="M4284" s="195" t="str">
        <f>L4284*(1-K4284)</f>
      </c>
    </row>
    <row r="4285">
      <c r="A4285" t="s">
        <v>167</v>
      </c>
      <c r="B4285" t="s">
        <v>272</v>
      </c>
      <c r="C4285" s="35" t="s">
        <v>274</v>
      </c>
      <c r="D4285" t="s">
        <v>502</v>
      </c>
      <c r="E4285" t="s">
        <v>520</v>
      </c>
      <c r="F4285" s="188" t="n">
        <v>2028</v>
      </c>
      <c r="G4285" s="189" t="n">
        <v>33</v>
      </c>
      <c r="H4285" s="190" t="n">
        <v>1432.3297089403</v>
      </c>
      <c r="I4285" s="191" t="n">
        <v>4447055.54600297</v>
      </c>
      <c r="J4285" s="192" t="str">
        <f>IF(I4285&gt;0,H4285/I4285,0)</f>
      </c>
      <c r="K4285" s="193" t="str">
        <f>1-EXP(-J4285)</f>
      </c>
      <c r="L4285" s="194" t="str">
        <f>IF(G4285=30,1,M4284)</f>
      </c>
      <c r="M4285" s="195" t="str">
        <f>L4285*(1-K4285)</f>
      </c>
    </row>
    <row r="4286">
      <c r="A4286" t="s">
        <v>167</v>
      </c>
      <c r="B4286" t="s">
        <v>272</v>
      </c>
      <c r="C4286" s="35" t="s">
        <v>274</v>
      </c>
      <c r="D4286" t="s">
        <v>502</v>
      </c>
      <c r="E4286" t="s">
        <v>520</v>
      </c>
      <c r="F4286" s="188" t="n">
        <v>2028</v>
      </c>
      <c r="G4286" s="189" t="n">
        <v>34</v>
      </c>
      <c r="H4286" s="190" t="n">
        <v>1497.79089022241</v>
      </c>
      <c r="I4286" s="191" t="n">
        <v>4390432.69431121</v>
      </c>
      <c r="J4286" s="192" t="str">
        <f>IF(I4286&gt;0,H4286/I4286,0)</f>
      </c>
      <c r="K4286" s="193" t="str">
        <f>1-EXP(-J4286)</f>
      </c>
      <c r="L4286" s="194" t="str">
        <f>IF(G4286=30,1,M4285)</f>
      </c>
      <c r="M4286" s="195" t="str">
        <f>L4286*(1-K4286)</f>
      </c>
    </row>
    <row r="4287">
      <c r="A4287" t="s">
        <v>167</v>
      </c>
      <c r="B4287" t="s">
        <v>272</v>
      </c>
      <c r="C4287" s="35" t="s">
        <v>274</v>
      </c>
      <c r="D4287" t="s">
        <v>502</v>
      </c>
      <c r="E4287" t="s">
        <v>520</v>
      </c>
      <c r="F4287" s="188" t="n">
        <v>2028</v>
      </c>
      <c r="G4287" s="189" t="n">
        <v>35</v>
      </c>
      <c r="H4287" s="190" t="n">
        <v>2027.41241918077</v>
      </c>
      <c r="I4287" s="191" t="n">
        <v>4337525.40885517</v>
      </c>
      <c r="J4287" s="192" t="str">
        <f>IF(I4287&gt;0,H4287/I4287,0)</f>
      </c>
      <c r="K4287" s="193" t="str">
        <f>1-EXP(-J4287)</f>
      </c>
      <c r="L4287" s="194" t="str">
        <f>IF(G4287=30,1,M4286)</f>
      </c>
      <c r="M4287" s="195" t="str">
        <f>L4287*(1-K4287)</f>
      </c>
    </row>
    <row r="4288">
      <c r="A4288" t="s">
        <v>167</v>
      </c>
      <c r="B4288" t="s">
        <v>272</v>
      </c>
      <c r="C4288" s="35" t="s">
        <v>274</v>
      </c>
      <c r="D4288" t="s">
        <v>502</v>
      </c>
      <c r="E4288" t="s">
        <v>520</v>
      </c>
      <c r="F4288" s="188" t="n">
        <v>2028</v>
      </c>
      <c r="G4288" s="189" t="n">
        <v>36</v>
      </c>
      <c r="H4288" s="190" t="n">
        <v>2183.14021011378</v>
      </c>
      <c r="I4288" s="191" t="n">
        <v>4375933.03325738</v>
      </c>
      <c r="J4288" s="192" t="str">
        <f>IF(I4288&gt;0,H4288/I4288,0)</f>
      </c>
      <c r="K4288" s="193" t="str">
        <f>1-EXP(-J4288)</f>
      </c>
      <c r="L4288" s="194" t="str">
        <f>IF(G4288=30,1,M4287)</f>
      </c>
      <c r="M4288" s="195" t="str">
        <f>L4288*(1-K4288)</f>
      </c>
    </row>
    <row r="4289">
      <c r="A4289" t="s">
        <v>167</v>
      </c>
      <c r="B4289" t="s">
        <v>272</v>
      </c>
      <c r="C4289" s="35" t="s">
        <v>274</v>
      </c>
      <c r="D4289" t="s">
        <v>502</v>
      </c>
      <c r="E4289" t="s">
        <v>520</v>
      </c>
      <c r="F4289" s="188" t="n">
        <v>2028</v>
      </c>
      <c r="G4289" s="189" t="n">
        <v>37</v>
      </c>
      <c r="H4289" s="190" t="n">
        <v>2351.06160753407</v>
      </c>
      <c r="I4289" s="191" t="n">
        <v>4395168.17718103</v>
      </c>
      <c r="J4289" s="192" t="str">
        <f>IF(I4289&gt;0,H4289/I4289,0)</f>
      </c>
      <c r="K4289" s="193" t="str">
        <f>1-EXP(-J4289)</f>
      </c>
      <c r="L4289" s="194" t="str">
        <f>IF(G4289=30,1,M4288)</f>
      </c>
      <c r="M4289" s="195" t="str">
        <f>L4289*(1-K4289)</f>
      </c>
    </row>
    <row r="4290">
      <c r="A4290" t="s">
        <v>167</v>
      </c>
      <c r="B4290" t="s">
        <v>272</v>
      </c>
      <c r="C4290" s="35" t="s">
        <v>274</v>
      </c>
      <c r="D4290" t="s">
        <v>502</v>
      </c>
      <c r="E4290" t="s">
        <v>520</v>
      </c>
      <c r="F4290" s="188" t="n">
        <v>2028</v>
      </c>
      <c r="G4290" s="189" t="n">
        <v>38</v>
      </c>
      <c r="H4290" s="190" t="n">
        <v>3567.76472492916</v>
      </c>
      <c r="I4290" s="191" t="n">
        <v>6472838.80629999</v>
      </c>
      <c r="J4290" s="192" t="str">
        <f>IF(I4290&gt;0,H4290/I4290,0)</f>
      </c>
      <c r="K4290" s="193" t="str">
        <f>1-EXP(-J4290)</f>
      </c>
      <c r="L4290" s="194" t="str">
        <f>IF(G4290=30,1,M4289)</f>
      </c>
      <c r="M4290" s="195" t="str">
        <f>L4290*(1-K4290)</f>
      </c>
    </row>
    <row r="4291">
      <c r="A4291" t="s">
        <v>167</v>
      </c>
      <c r="B4291" t="s">
        <v>272</v>
      </c>
      <c r="C4291" s="35" t="s">
        <v>274</v>
      </c>
      <c r="D4291" t="s">
        <v>502</v>
      </c>
      <c r="E4291" t="s">
        <v>520</v>
      </c>
      <c r="F4291" s="188" t="n">
        <v>2028</v>
      </c>
      <c r="G4291" s="189" t="n">
        <v>39</v>
      </c>
      <c r="H4291" s="190" t="n">
        <v>2691.01000021305</v>
      </c>
      <c r="I4291" s="191" t="n">
        <v>4356195.6061886</v>
      </c>
      <c r="J4291" s="192" t="str">
        <f>IF(I4291&gt;0,H4291/I4291,0)</f>
      </c>
      <c r="K4291" s="193" t="str">
        <f>1-EXP(-J4291)</f>
      </c>
      <c r="L4291" s="194" t="str">
        <f>IF(G4291=30,1,M4290)</f>
      </c>
      <c r="M4291" s="195" t="str">
        <f>L4291*(1-K4291)</f>
      </c>
    </row>
    <row r="4292">
      <c r="A4292" t="s">
        <v>167</v>
      </c>
      <c r="B4292" t="s">
        <v>272</v>
      </c>
      <c r="C4292" s="35" t="s">
        <v>274</v>
      </c>
      <c r="D4292" t="s">
        <v>502</v>
      </c>
      <c r="E4292" t="s">
        <v>520</v>
      </c>
      <c r="F4292" s="188" t="n">
        <v>2028</v>
      </c>
      <c r="G4292" s="189" t="n">
        <v>40</v>
      </c>
      <c r="H4292" s="190" t="n">
        <v>3612.4002681551</v>
      </c>
      <c r="I4292" s="191" t="n">
        <v>4340911.33464755</v>
      </c>
      <c r="J4292" s="192" t="str">
        <f>IF(I4292&gt;0,H4292/I4292,0)</f>
      </c>
      <c r="K4292" s="193" t="str">
        <f>1-EXP(-J4292)</f>
      </c>
      <c r="L4292" s="194" t="str">
        <f>IF(G4292=30,1,M4291)</f>
      </c>
      <c r="M4292" s="195" t="str">
        <f>L4292*(1-K4292)</f>
      </c>
    </row>
    <row r="4293">
      <c r="A4293" t="s">
        <v>167</v>
      </c>
      <c r="B4293" t="s">
        <v>272</v>
      </c>
      <c r="C4293" s="35" t="s">
        <v>274</v>
      </c>
      <c r="D4293" t="s">
        <v>502</v>
      </c>
      <c r="E4293" t="s">
        <v>520</v>
      </c>
      <c r="F4293" s="188" t="n">
        <v>2028</v>
      </c>
      <c r="G4293" s="189" t="n">
        <v>41</v>
      </c>
      <c r="H4293" s="190" t="n">
        <v>3787.06438221932</v>
      </c>
      <c r="I4293" s="191" t="n">
        <v>4208774.09325526</v>
      </c>
      <c r="J4293" s="192" t="str">
        <f>IF(I4293&gt;0,H4293/I4293,0)</f>
      </c>
      <c r="K4293" s="193" t="str">
        <f>1-EXP(-J4293)</f>
      </c>
      <c r="L4293" s="194" t="str">
        <f>IF(G4293=30,1,M4292)</f>
      </c>
      <c r="M4293" s="195" t="str">
        <f>L4293*(1-K4293)</f>
      </c>
    </row>
    <row r="4294">
      <c r="A4294" t="s">
        <v>167</v>
      </c>
      <c r="B4294" t="s">
        <v>272</v>
      </c>
      <c r="C4294" s="35" t="s">
        <v>274</v>
      </c>
      <c r="D4294" t="s">
        <v>502</v>
      </c>
      <c r="E4294" t="s">
        <v>520</v>
      </c>
      <c r="F4294" s="188" t="n">
        <v>2028</v>
      </c>
      <c r="G4294" s="189" t="n">
        <v>42</v>
      </c>
      <c r="H4294" s="190" t="n">
        <v>4072.39239882167</v>
      </c>
      <c r="I4294" s="191" t="n">
        <v>4175710.05518399</v>
      </c>
      <c r="J4294" s="192" t="str">
        <f>IF(I4294&gt;0,H4294/I4294,0)</f>
      </c>
      <c r="K4294" s="193" t="str">
        <f>1-EXP(-J4294)</f>
      </c>
      <c r="L4294" s="194" t="str">
        <f>IF(G4294=30,1,M4293)</f>
      </c>
      <c r="M4294" s="195" t="str">
        <f>L4294*(1-K4294)</f>
      </c>
    </row>
    <row r="4295">
      <c r="A4295" t="s">
        <v>167</v>
      </c>
      <c r="B4295" t="s">
        <v>272</v>
      </c>
      <c r="C4295" s="35" t="s">
        <v>274</v>
      </c>
      <c r="D4295" t="s">
        <v>502</v>
      </c>
      <c r="E4295" t="s">
        <v>520</v>
      </c>
      <c r="F4295" s="188" t="n">
        <v>2028</v>
      </c>
      <c r="G4295" s="189" t="n">
        <v>43</v>
      </c>
      <c r="H4295" s="190" t="n">
        <v>4494.91187455671</v>
      </c>
      <c r="I4295" s="191" t="n">
        <v>4236972.80100893</v>
      </c>
      <c r="J4295" s="192" t="str">
        <f>IF(I4295&gt;0,H4295/I4295,0)</f>
      </c>
      <c r="K4295" s="193" t="str">
        <f>1-EXP(-J4295)</f>
      </c>
      <c r="L4295" s="194" t="str">
        <f>IF(G4295=30,1,M4294)</f>
      </c>
      <c r="M4295" s="195" t="str">
        <f>L4295*(1-K4295)</f>
      </c>
    </row>
    <row r="4296">
      <c r="A4296" t="s">
        <v>167</v>
      </c>
      <c r="B4296" t="s">
        <v>272</v>
      </c>
      <c r="C4296" s="35" t="s">
        <v>274</v>
      </c>
      <c r="D4296" t="s">
        <v>502</v>
      </c>
      <c r="E4296" t="s">
        <v>520</v>
      </c>
      <c r="F4296" s="188" t="n">
        <v>2028</v>
      </c>
      <c r="G4296" s="189" t="n">
        <v>44</v>
      </c>
      <c r="H4296" s="190" t="n">
        <v>5003.70677188315</v>
      </c>
      <c r="I4296" s="191" t="n">
        <v>4323765.74294142</v>
      </c>
      <c r="J4296" s="192" t="str">
        <f>IF(I4296&gt;0,H4296/I4296,0)</f>
      </c>
      <c r="K4296" s="193" t="str">
        <f>1-EXP(-J4296)</f>
      </c>
      <c r="L4296" s="194" t="str">
        <f>IF(G4296=30,1,M4295)</f>
      </c>
      <c r="M4296" s="195" t="str">
        <f>L4296*(1-K4296)</f>
      </c>
    </row>
    <row r="4297">
      <c r="A4297" t="s">
        <v>167</v>
      </c>
      <c r="B4297" t="s">
        <v>272</v>
      </c>
      <c r="C4297" s="35" t="s">
        <v>274</v>
      </c>
      <c r="D4297" t="s">
        <v>502</v>
      </c>
      <c r="E4297" t="s">
        <v>520</v>
      </c>
      <c r="F4297" s="188" t="n">
        <v>2028</v>
      </c>
      <c r="G4297" s="189" t="n">
        <v>45</v>
      </c>
      <c r="H4297" s="190" t="n">
        <v>6444.02057126384</v>
      </c>
      <c r="I4297" s="191" t="n">
        <v>4301224.895293</v>
      </c>
      <c r="J4297" s="192" t="str">
        <f>IF(I4297&gt;0,H4297/I4297,0)</f>
      </c>
      <c r="K4297" s="193" t="str">
        <f>1-EXP(-J4297)</f>
      </c>
      <c r="L4297" s="194" t="str">
        <f>IF(G4297=30,1,M4296)</f>
      </c>
      <c r="M4297" s="195" t="str">
        <f>L4297*(1-K4297)</f>
      </c>
    </row>
    <row r="4298">
      <c r="A4298" t="s">
        <v>167</v>
      </c>
      <c r="B4298" t="s">
        <v>272</v>
      </c>
      <c r="C4298" s="35" t="s">
        <v>274</v>
      </c>
      <c r="D4298" t="s">
        <v>502</v>
      </c>
      <c r="E4298" t="s">
        <v>520</v>
      </c>
      <c r="F4298" s="188" t="n">
        <v>2028</v>
      </c>
      <c r="G4298" s="189" t="n">
        <v>46</v>
      </c>
      <c r="H4298" s="190" t="n">
        <v>6830.85657779799</v>
      </c>
      <c r="I4298" s="191" t="n">
        <v>4164648.69347076</v>
      </c>
      <c r="J4298" s="192" t="str">
        <f>IF(I4298&gt;0,H4298/I4298,0)</f>
      </c>
      <c r="K4298" s="193" t="str">
        <f>1-EXP(-J4298)</f>
      </c>
      <c r="L4298" s="194" t="str">
        <f>IF(G4298=30,1,M4297)</f>
      </c>
      <c r="M4298" s="195" t="str">
        <f>L4298*(1-K4298)</f>
      </c>
    </row>
    <row r="4299">
      <c r="A4299" t="s">
        <v>167</v>
      </c>
      <c r="B4299" t="s">
        <v>272</v>
      </c>
      <c r="C4299" s="35" t="s">
        <v>274</v>
      </c>
      <c r="D4299" t="s">
        <v>502</v>
      </c>
      <c r="E4299" t="s">
        <v>520</v>
      </c>
      <c r="F4299" s="188" t="n">
        <v>2028</v>
      </c>
      <c r="G4299" s="189" t="n">
        <v>47</v>
      </c>
      <c r="H4299" s="190" t="n">
        <v>7352.29131833442</v>
      </c>
      <c r="I4299" s="191" t="n">
        <v>4091846.43695573</v>
      </c>
      <c r="J4299" s="192" t="str">
        <f>IF(I4299&gt;0,H4299/I4299,0)</f>
      </c>
      <c r="K4299" s="193" t="str">
        <f>1-EXP(-J4299)</f>
      </c>
      <c r="L4299" s="194" t="str">
        <f>IF(G4299=30,1,M4298)</f>
      </c>
      <c r="M4299" s="195" t="str">
        <f>L4299*(1-K4299)</f>
      </c>
    </row>
    <row r="4300">
      <c r="A4300" t="s">
        <v>167</v>
      </c>
      <c r="B4300" t="s">
        <v>272</v>
      </c>
      <c r="C4300" s="35" t="s">
        <v>274</v>
      </c>
      <c r="D4300" t="s">
        <v>502</v>
      </c>
      <c r="E4300" t="s">
        <v>520</v>
      </c>
      <c r="F4300" s="188" t="n">
        <v>2028</v>
      </c>
      <c r="G4300" s="189" t="n">
        <v>48</v>
      </c>
      <c r="H4300" s="190" t="n">
        <v>7938.76256684351</v>
      </c>
      <c r="I4300" s="191" t="n">
        <v>4035047.07089291</v>
      </c>
      <c r="J4300" s="192" t="str">
        <f>IF(I4300&gt;0,H4300/I4300,0)</f>
      </c>
      <c r="K4300" s="193" t="str">
        <f>1-EXP(-J4300)</f>
      </c>
      <c r="L4300" s="194" t="str">
        <f>IF(G4300=30,1,M4299)</f>
      </c>
      <c r="M4300" s="195" t="str">
        <f>L4300*(1-K4300)</f>
      </c>
    </row>
    <row r="4301">
      <c r="A4301" t="s">
        <v>167</v>
      </c>
      <c r="B4301" t="s">
        <v>272</v>
      </c>
      <c r="C4301" s="35" t="s">
        <v>274</v>
      </c>
      <c r="D4301" t="s">
        <v>502</v>
      </c>
      <c r="E4301" t="s">
        <v>520</v>
      </c>
      <c r="F4301" s="188" t="n">
        <v>2028</v>
      </c>
      <c r="G4301" s="189" t="n">
        <v>49</v>
      </c>
      <c r="H4301" s="190" t="n">
        <v>8549.05845397776</v>
      </c>
      <c r="I4301" s="191" t="n">
        <v>3972817.83307592</v>
      </c>
      <c r="J4301" s="192" t="str">
        <f>IF(I4301&gt;0,H4301/I4301,0)</f>
      </c>
      <c r="K4301" s="193" t="str">
        <f>1-EXP(-J4301)</f>
      </c>
      <c r="L4301" s="194" t="str">
        <f>IF(G4301=30,1,M4300)</f>
      </c>
      <c r="M4301" s="195" t="str">
        <f>L4301*(1-K4301)</f>
      </c>
    </row>
    <row r="4302">
      <c r="A4302" t="s">
        <v>167</v>
      </c>
      <c r="B4302" t="s">
        <v>272</v>
      </c>
      <c r="C4302" s="35" t="s">
        <v>274</v>
      </c>
      <c r="D4302" t="s">
        <v>502</v>
      </c>
      <c r="E4302" t="s">
        <v>520</v>
      </c>
      <c r="F4302" s="188" t="n">
        <v>2028</v>
      </c>
      <c r="G4302" s="189" t="n">
        <v>50</v>
      </c>
      <c r="H4302" s="190" t="n">
        <v>9771.26579915918</v>
      </c>
      <c r="I4302" s="191" t="n">
        <v>3891061.36935137</v>
      </c>
      <c r="J4302" s="192" t="str">
        <f>IF(I4302&gt;0,H4302/I4302,0)</f>
      </c>
      <c r="K4302" s="193" t="str">
        <f>1-EXP(-J4302)</f>
      </c>
      <c r="L4302" s="194" t="str">
        <f>IF(G4302=30,1,M4301)</f>
      </c>
      <c r="M4302" s="195" t="str">
        <f>L4302*(1-K4302)</f>
      </c>
    </row>
    <row r="4303">
      <c r="A4303" t="s">
        <v>167</v>
      </c>
      <c r="B4303" t="s">
        <v>272</v>
      </c>
      <c r="C4303" s="35" t="s">
        <v>274</v>
      </c>
      <c r="D4303" t="s">
        <v>502</v>
      </c>
      <c r="E4303" t="s">
        <v>520</v>
      </c>
      <c r="F4303" s="188" t="n">
        <v>2028</v>
      </c>
      <c r="G4303" s="189" t="n">
        <v>51</v>
      </c>
      <c r="H4303" s="190" t="n">
        <v>10507.3233035311</v>
      </c>
      <c r="I4303" s="191" t="n">
        <v>3825703.75622486</v>
      </c>
      <c r="J4303" s="192" t="str">
        <f>IF(I4303&gt;0,H4303/I4303,0)</f>
      </c>
      <c r="K4303" s="193" t="str">
        <f>1-EXP(-J4303)</f>
      </c>
      <c r="L4303" s="194" t="str">
        <f>IF(G4303=30,1,M4302)</f>
      </c>
      <c r="M4303" s="195" t="str">
        <f>L4303*(1-K4303)</f>
      </c>
    </row>
    <row r="4304">
      <c r="A4304" t="s">
        <v>167</v>
      </c>
      <c r="B4304" t="s">
        <v>272</v>
      </c>
      <c r="C4304" s="35" t="s">
        <v>274</v>
      </c>
      <c r="D4304" t="s">
        <v>502</v>
      </c>
      <c r="E4304" t="s">
        <v>520</v>
      </c>
      <c r="F4304" s="188" t="n">
        <v>2028</v>
      </c>
      <c r="G4304" s="189" t="n">
        <v>52</v>
      </c>
      <c r="H4304" s="190" t="n">
        <v>11240.7435601044</v>
      </c>
      <c r="I4304" s="191" t="n">
        <v>3749246.30568314</v>
      </c>
      <c r="J4304" s="192" t="str">
        <f>IF(I4304&gt;0,H4304/I4304,0)</f>
      </c>
      <c r="K4304" s="193" t="str">
        <f>1-EXP(-J4304)</f>
      </c>
      <c r="L4304" s="194" t="str">
        <f>IF(G4304=30,1,M4303)</f>
      </c>
      <c r="M4304" s="195" t="str">
        <f>L4304*(1-K4304)</f>
      </c>
    </row>
    <row r="4305">
      <c r="A4305" t="s">
        <v>167</v>
      </c>
      <c r="B4305" t="s">
        <v>272</v>
      </c>
      <c r="C4305" s="35" t="s">
        <v>274</v>
      </c>
      <c r="D4305" t="s">
        <v>502</v>
      </c>
      <c r="E4305" t="s">
        <v>520</v>
      </c>
      <c r="F4305" s="188" t="n">
        <v>2028</v>
      </c>
      <c r="G4305" s="189" t="n">
        <v>53</v>
      </c>
      <c r="H4305" s="190" t="n">
        <v>12018.9140226461</v>
      </c>
      <c r="I4305" s="191" t="n">
        <v>3672122.22459812</v>
      </c>
      <c r="J4305" s="192" t="str">
        <f>IF(I4305&gt;0,H4305/I4305,0)</f>
      </c>
      <c r="K4305" s="193" t="str">
        <f>1-EXP(-J4305)</f>
      </c>
      <c r="L4305" s="194" t="str">
        <f>IF(G4305=30,1,M4304)</f>
      </c>
      <c r="M4305" s="195" t="str">
        <f>L4305*(1-K4305)</f>
      </c>
    </row>
    <row r="4306">
      <c r="A4306" t="s">
        <v>167</v>
      </c>
      <c r="B4306" t="s">
        <v>272</v>
      </c>
      <c r="C4306" s="35" t="s">
        <v>274</v>
      </c>
      <c r="D4306" t="s">
        <v>502</v>
      </c>
      <c r="E4306" t="s">
        <v>520</v>
      </c>
      <c r="F4306" s="188" t="n">
        <v>2028</v>
      </c>
      <c r="G4306" s="189" t="n">
        <v>54</v>
      </c>
      <c r="H4306" s="190" t="n">
        <v>12747.8099813091</v>
      </c>
      <c r="I4306" s="191" t="n">
        <v>3567364.36863942</v>
      </c>
      <c r="J4306" s="192" t="str">
        <f>IF(I4306&gt;0,H4306/I4306,0)</f>
      </c>
      <c r="K4306" s="193" t="str">
        <f>1-EXP(-J4306)</f>
      </c>
      <c r="L4306" s="194" t="str">
        <f>IF(G4306=30,1,M4305)</f>
      </c>
      <c r="M4306" s="195" t="str">
        <f>L4306*(1-K4306)</f>
      </c>
    </row>
    <row r="4307">
      <c r="A4307" t="s">
        <v>167</v>
      </c>
      <c r="B4307" t="s">
        <v>272</v>
      </c>
      <c r="C4307" s="35" t="s">
        <v>274</v>
      </c>
      <c r="D4307" t="s">
        <v>502</v>
      </c>
      <c r="E4307" t="s">
        <v>520</v>
      </c>
      <c r="F4307" s="188" t="n">
        <v>2028</v>
      </c>
      <c r="G4307" s="189" t="n">
        <v>55</v>
      </c>
      <c r="H4307" s="190" t="n">
        <v>13941.6142885705</v>
      </c>
      <c r="I4307" s="191" t="n">
        <v>3523173.3283558</v>
      </c>
      <c r="J4307" s="192" t="str">
        <f>IF(I4307&gt;0,H4307/I4307,0)</f>
      </c>
      <c r="K4307" s="193" t="str">
        <f>1-EXP(-J4307)</f>
      </c>
      <c r="L4307" s="194" t="str">
        <f>IF(G4307=30,1,M4306)</f>
      </c>
      <c r="M4307" s="195" t="str">
        <f>L4307*(1-K4307)</f>
      </c>
    </row>
    <row r="4308">
      <c r="A4308" t="s">
        <v>167</v>
      </c>
      <c r="B4308" t="s">
        <v>272</v>
      </c>
      <c r="C4308" s="35" t="s">
        <v>274</v>
      </c>
      <c r="D4308" t="s">
        <v>502</v>
      </c>
      <c r="E4308" t="s">
        <v>520</v>
      </c>
      <c r="F4308" s="188" t="n">
        <v>2028</v>
      </c>
      <c r="G4308" s="189" t="n">
        <v>56</v>
      </c>
      <c r="H4308" s="190" t="n">
        <v>14329.9656692034</v>
      </c>
      <c r="I4308" s="191" t="n">
        <v>3313791.91531513</v>
      </c>
      <c r="J4308" s="192" t="str">
        <f>IF(I4308&gt;0,H4308/I4308,0)</f>
      </c>
      <c r="K4308" s="193" t="str">
        <f>1-EXP(-J4308)</f>
      </c>
      <c r="L4308" s="194" t="str">
        <f>IF(G4308=30,1,M4307)</f>
      </c>
      <c r="M4308" s="195" t="str">
        <f>L4308*(1-K4308)</f>
      </c>
    </row>
    <row r="4309">
      <c r="A4309" t="s">
        <v>167</v>
      </c>
      <c r="B4309" t="s">
        <v>272</v>
      </c>
      <c r="C4309" s="35" t="s">
        <v>274</v>
      </c>
      <c r="D4309" t="s">
        <v>502</v>
      </c>
      <c r="E4309" t="s">
        <v>520</v>
      </c>
      <c r="F4309" s="188" t="n">
        <v>2028</v>
      </c>
      <c r="G4309" s="189" t="n">
        <v>57</v>
      </c>
      <c r="H4309" s="190" t="n">
        <v>15248.3589327158</v>
      </c>
      <c r="I4309" s="191" t="n">
        <v>3227047.70767948</v>
      </c>
      <c r="J4309" s="192" t="str">
        <f>IF(I4309&gt;0,H4309/I4309,0)</f>
      </c>
      <c r="K4309" s="193" t="str">
        <f>1-EXP(-J4309)</f>
      </c>
      <c r="L4309" s="194" t="str">
        <f>IF(G4309=30,1,M4308)</f>
      </c>
      <c r="M4309" s="195" t="str">
        <f>L4309*(1-K4309)</f>
      </c>
    </row>
    <row r="4310">
      <c r="A4310" t="s">
        <v>167</v>
      </c>
      <c r="B4310" t="s">
        <v>272</v>
      </c>
      <c r="C4310" s="35" t="s">
        <v>274</v>
      </c>
      <c r="D4310" t="s">
        <v>502</v>
      </c>
      <c r="E4310" t="s">
        <v>520</v>
      </c>
      <c r="F4310" s="188" t="n">
        <v>2028</v>
      </c>
      <c r="G4310" s="189" t="n">
        <v>58</v>
      </c>
      <c r="H4310" s="190" t="n">
        <v>16241.6585617763</v>
      </c>
      <c r="I4310" s="191" t="n">
        <v>3144767.92395016</v>
      </c>
      <c r="J4310" s="192" t="str">
        <f>IF(I4310&gt;0,H4310/I4310,0)</f>
      </c>
      <c r="K4310" s="193" t="str">
        <f>1-EXP(-J4310)</f>
      </c>
      <c r="L4310" s="194" t="str">
        <f>IF(G4310=30,1,M4309)</f>
      </c>
      <c r="M4310" s="195" t="str">
        <f>L4310*(1-K4310)</f>
      </c>
    </row>
    <row r="4311">
      <c r="A4311" t="s">
        <v>167</v>
      </c>
      <c r="B4311" t="s">
        <v>272</v>
      </c>
      <c r="C4311" s="35" t="s">
        <v>274</v>
      </c>
      <c r="D4311" t="s">
        <v>502</v>
      </c>
      <c r="E4311" t="s">
        <v>520</v>
      </c>
      <c r="F4311" s="188" t="n">
        <v>2028</v>
      </c>
      <c r="G4311" s="189" t="n">
        <v>59</v>
      </c>
      <c r="H4311" s="190" t="n">
        <v>17235.6306311349</v>
      </c>
      <c r="I4311" s="191" t="n">
        <v>3053211.82320526</v>
      </c>
      <c r="J4311" s="192" t="str">
        <f>IF(I4311&gt;0,H4311/I4311,0)</f>
      </c>
      <c r="K4311" s="193" t="str">
        <f>1-EXP(-J4311)</f>
      </c>
      <c r="L4311" s="194" t="str">
        <f>IF(G4311=30,1,M4310)</f>
      </c>
      <c r="M4311" s="195" t="str">
        <f>L4311*(1-K4311)</f>
      </c>
    </row>
    <row r="4312">
      <c r="A4312" t="s">
        <v>167</v>
      </c>
      <c r="B4312" t="s">
        <v>272</v>
      </c>
      <c r="C4312" s="35" t="s">
        <v>274</v>
      </c>
      <c r="D4312" t="s">
        <v>502</v>
      </c>
      <c r="E4312" t="s">
        <v>520</v>
      </c>
      <c r="F4312" s="188" t="n">
        <v>2028</v>
      </c>
      <c r="G4312" s="189" t="n">
        <v>60</v>
      </c>
      <c r="H4312" s="190" t="n">
        <v>18567.2176082325</v>
      </c>
      <c r="I4312" s="191" t="n">
        <v>2941796.8688875</v>
      </c>
      <c r="J4312" s="192" t="str">
        <f>IF(I4312&gt;0,H4312/I4312,0)</f>
      </c>
      <c r="K4312" s="193" t="str">
        <f>1-EXP(-J4312)</f>
      </c>
      <c r="L4312" s="194" t="str">
        <f>IF(G4312=30,1,M4311)</f>
      </c>
      <c r="M4312" s="195" t="str">
        <f>L4312*(1-K4312)</f>
      </c>
    </row>
    <row r="4313">
      <c r="A4313" t="s">
        <v>167</v>
      </c>
      <c r="B4313" t="s">
        <v>272</v>
      </c>
      <c r="C4313" s="35" t="s">
        <v>274</v>
      </c>
      <c r="D4313" t="s">
        <v>502</v>
      </c>
      <c r="E4313" t="s">
        <v>520</v>
      </c>
      <c r="F4313" s="188" t="n">
        <v>2028</v>
      </c>
      <c r="G4313" s="189" t="n">
        <v>61</v>
      </c>
      <c r="H4313" s="190" t="n">
        <v>19376.0619394658</v>
      </c>
      <c r="I4313" s="191" t="n">
        <v>2798488.70737016</v>
      </c>
      <c r="J4313" s="192" t="str">
        <f>IF(I4313&gt;0,H4313/I4313,0)</f>
      </c>
      <c r="K4313" s="193" t="str">
        <f>1-EXP(-J4313)</f>
      </c>
      <c r="L4313" s="194" t="str">
        <f>IF(G4313=30,1,M4312)</f>
      </c>
      <c r="M4313" s="195" t="str">
        <f>L4313*(1-K4313)</f>
      </c>
    </row>
    <row r="4314">
      <c r="A4314" t="s">
        <v>167</v>
      </c>
      <c r="B4314" t="s">
        <v>272</v>
      </c>
      <c r="C4314" s="35" t="s">
        <v>274</v>
      </c>
      <c r="D4314" t="s">
        <v>502</v>
      </c>
      <c r="E4314" t="s">
        <v>520</v>
      </c>
      <c r="F4314" s="188" t="n">
        <v>2028</v>
      </c>
      <c r="G4314" s="189" t="n">
        <v>62</v>
      </c>
      <c r="H4314" s="190" t="n">
        <v>20390.7345306301</v>
      </c>
      <c r="I4314" s="191" t="n">
        <v>2692317.93440758</v>
      </c>
      <c r="J4314" s="192" t="str">
        <f>IF(I4314&gt;0,H4314/I4314,0)</f>
      </c>
      <c r="K4314" s="193" t="str">
        <f>1-EXP(-J4314)</f>
      </c>
      <c r="L4314" s="194" t="str">
        <f>IF(G4314=30,1,M4313)</f>
      </c>
      <c r="M4314" s="195" t="str">
        <f>L4314*(1-K4314)</f>
      </c>
    </row>
    <row r="4315">
      <c r="A4315" t="s">
        <v>167</v>
      </c>
      <c r="B4315" t="s">
        <v>272</v>
      </c>
      <c r="C4315" s="35" t="s">
        <v>274</v>
      </c>
      <c r="D4315" t="s">
        <v>502</v>
      </c>
      <c r="E4315" t="s">
        <v>520</v>
      </c>
      <c r="F4315" s="188" t="n">
        <v>2028</v>
      </c>
      <c r="G4315" s="189" t="n">
        <v>63</v>
      </c>
      <c r="H4315" s="190" t="n">
        <v>21254.9275611097</v>
      </c>
      <c r="I4315" s="191" t="n">
        <v>2564490.77052381</v>
      </c>
      <c r="J4315" s="192" t="str">
        <f>IF(I4315&gt;0,H4315/I4315,0)</f>
      </c>
      <c r="K4315" s="193" t="str">
        <f>1-EXP(-J4315)</f>
      </c>
      <c r="L4315" s="194" t="str">
        <f>IF(G4315=30,1,M4314)</f>
      </c>
      <c r="M4315" s="195" t="str">
        <f>L4315*(1-K4315)</f>
      </c>
    </row>
    <row r="4316">
      <c r="A4316" t="s">
        <v>167</v>
      </c>
      <c r="B4316" t="s">
        <v>272</v>
      </c>
      <c r="C4316" s="35" t="s">
        <v>274</v>
      </c>
      <c r="D4316" t="s">
        <v>502</v>
      </c>
      <c r="E4316" t="s">
        <v>520</v>
      </c>
      <c r="F4316" s="188" t="n">
        <v>2028</v>
      </c>
      <c r="G4316" s="189" t="n">
        <v>64</v>
      </c>
      <c r="H4316" s="190" t="n">
        <v>22114.5701057593</v>
      </c>
      <c r="I4316" s="191" t="n">
        <v>2436894.04494853</v>
      </c>
      <c r="J4316" s="192" t="str">
        <f>IF(I4316&gt;0,H4316/I4316,0)</f>
      </c>
      <c r="K4316" s="193" t="str">
        <f>1-EXP(-J4316)</f>
      </c>
      <c r="L4316" s="194" t="str">
        <f>IF(G4316=30,1,M4315)</f>
      </c>
      <c r="M4316" s="195" t="str">
        <f>L4316*(1-K4316)</f>
      </c>
    </row>
    <row r="4317">
      <c r="A4317" t="s">
        <v>167</v>
      </c>
      <c r="B4317" t="s">
        <v>272</v>
      </c>
      <c r="C4317" s="35" t="s">
        <v>274</v>
      </c>
      <c r="D4317" t="s">
        <v>502</v>
      </c>
      <c r="E4317" t="s">
        <v>520</v>
      </c>
      <c r="F4317" s="188" t="n">
        <v>2028</v>
      </c>
      <c r="G4317" s="189" t="n">
        <v>65</v>
      </c>
      <c r="H4317" s="190" t="n">
        <v>22394.9553790181</v>
      </c>
      <c r="I4317" s="191" t="n">
        <v>2314198.36323098</v>
      </c>
      <c r="J4317" s="192" t="str">
        <f>IF(I4317&gt;0,H4317/I4317,0)</f>
      </c>
      <c r="K4317" s="193" t="str">
        <f>1-EXP(-J4317)</f>
      </c>
      <c r="L4317" s="194" t="str">
        <f>IF(G4317=30,1,M4316)</f>
      </c>
      <c r="M4317" s="195" t="str">
        <f>L4317*(1-K4317)</f>
      </c>
    </row>
    <row r="4318">
      <c r="A4318" t="s">
        <v>167</v>
      </c>
      <c r="B4318" t="s">
        <v>272</v>
      </c>
      <c r="C4318" s="35" t="s">
        <v>274</v>
      </c>
      <c r="D4318" t="s">
        <v>502</v>
      </c>
      <c r="E4318" t="s">
        <v>520</v>
      </c>
      <c r="F4318" s="188" t="n">
        <v>2028</v>
      </c>
      <c r="G4318" s="189" t="n">
        <v>66</v>
      </c>
      <c r="H4318" s="190" t="n">
        <v>23060.0562009252</v>
      </c>
      <c r="I4318" s="191" t="n">
        <v>2166359.07868386</v>
      </c>
      <c r="J4318" s="192" t="str">
        <f>IF(I4318&gt;0,H4318/I4318,0)</f>
      </c>
      <c r="K4318" s="193" t="str">
        <f>1-EXP(-J4318)</f>
      </c>
      <c r="L4318" s="194" t="str">
        <f>IF(G4318=30,1,M4317)</f>
      </c>
      <c r="M4318" s="195" t="str">
        <f>L4318*(1-K4318)</f>
      </c>
    </row>
    <row r="4319">
      <c r="A4319" t="s">
        <v>167</v>
      </c>
      <c r="B4319" t="s">
        <v>272</v>
      </c>
      <c r="C4319" s="35" t="s">
        <v>274</v>
      </c>
      <c r="D4319" t="s">
        <v>502</v>
      </c>
      <c r="E4319" t="s">
        <v>520</v>
      </c>
      <c r="F4319" s="188" t="n">
        <v>2028</v>
      </c>
      <c r="G4319" s="189" t="n">
        <v>67</v>
      </c>
      <c r="H4319" s="190" t="n">
        <v>23849.1276734342</v>
      </c>
      <c r="I4319" s="191" t="n">
        <v>2043266.89323349</v>
      </c>
      <c r="J4319" s="192" t="str">
        <f>IF(I4319&gt;0,H4319/I4319,0)</f>
      </c>
      <c r="K4319" s="193" t="str">
        <f>1-EXP(-J4319)</f>
      </c>
      <c r="L4319" s="194" t="str">
        <f>IF(G4319=30,1,M4318)</f>
      </c>
      <c r="M4319" s="195" t="str">
        <f>L4319*(1-K4319)</f>
      </c>
    </row>
    <row r="4320">
      <c r="A4320" t="s">
        <v>167</v>
      </c>
      <c r="B4320" t="s">
        <v>272</v>
      </c>
      <c r="C4320" s="35" t="s">
        <v>274</v>
      </c>
      <c r="D4320" t="s">
        <v>502</v>
      </c>
      <c r="E4320" t="s">
        <v>520</v>
      </c>
      <c r="F4320" s="188" t="n">
        <v>2028</v>
      </c>
      <c r="G4320" s="189" t="n">
        <v>68</v>
      </c>
      <c r="H4320" s="190" t="n">
        <v>24541.8245193195</v>
      </c>
      <c r="I4320" s="191" t="n">
        <v>1916546.61829599</v>
      </c>
      <c r="J4320" s="192" t="str">
        <f>IF(I4320&gt;0,H4320/I4320,0)</f>
      </c>
      <c r="K4320" s="193" t="str">
        <f>1-EXP(-J4320)</f>
      </c>
      <c r="L4320" s="194" t="str">
        <f>IF(G4320=30,1,M4319)</f>
      </c>
      <c r="M4320" s="195" t="str">
        <f>L4320*(1-K4320)</f>
      </c>
    </row>
    <row r="4321">
      <c r="A4321" t="s">
        <v>167</v>
      </c>
      <c r="B4321" t="s">
        <v>272</v>
      </c>
      <c r="C4321" s="35" t="s">
        <v>274</v>
      </c>
      <c r="D4321" t="s">
        <v>502</v>
      </c>
      <c r="E4321" t="s">
        <v>520</v>
      </c>
      <c r="F4321" s="188" t="n">
        <v>2028</v>
      </c>
      <c r="G4321" s="189" t="n">
        <v>69</v>
      </c>
      <c r="H4321" s="190" t="n">
        <v>25081.4570790369</v>
      </c>
      <c r="I4321" s="191" t="n">
        <v>1784275.25868107</v>
      </c>
      <c r="J4321" s="192" t="str">
        <f>IF(I4321&gt;0,H4321/I4321,0)</f>
      </c>
      <c r="K4321" s="193" t="str">
        <f>1-EXP(-J4321)</f>
      </c>
      <c r="L4321" s="194" t="str">
        <f>IF(G4321=30,1,M4320)</f>
      </c>
      <c r="M4321" s="195" t="str">
        <f>L4321*(1-K4321)</f>
      </c>
    </row>
    <row r="4322">
      <c r="A4322" t="s">
        <v>167</v>
      </c>
      <c r="B4322" t="s">
        <v>272</v>
      </c>
      <c r="C4322" s="35" t="s">
        <v>274</v>
      </c>
      <c r="D4322" t="s">
        <v>502</v>
      </c>
      <c r="E4322" t="s">
        <v>520</v>
      </c>
      <c r="F4322" s="188" t="n">
        <v>2029</v>
      </c>
      <c r="G4322" s="189" t="n">
        <v>30</v>
      </c>
      <c r="H4322" s="190" t="n">
        <v>952.635026268354</v>
      </c>
      <c r="I4322" s="191" t="n">
        <v>4353629.5430579</v>
      </c>
      <c r="J4322" s="192" t="str">
        <f>IF(I4322&gt;0,H4322/I4322,0)</f>
      </c>
      <c r="K4322" s="193" t="str">
        <f>1-EXP(-J4322)</f>
      </c>
      <c r="L4322" s="194" t="str">
        <f>IF(G4322=30,1,M4321)</f>
      </c>
      <c r="M4322" s="195" t="str">
        <f>L4322*(1-K4322)</f>
      </c>
    </row>
    <row r="4323">
      <c r="A4323" t="s">
        <v>167</v>
      </c>
      <c r="B4323" t="s">
        <v>272</v>
      </c>
      <c r="C4323" s="35" t="s">
        <v>274</v>
      </c>
      <c r="D4323" t="s">
        <v>502</v>
      </c>
      <c r="E4323" t="s">
        <v>520</v>
      </c>
      <c r="F4323" s="188" t="n">
        <v>2029</v>
      </c>
      <c r="G4323" s="189" t="n">
        <v>31</v>
      </c>
      <c r="H4323" s="190" t="n">
        <v>1100.84343238128</v>
      </c>
      <c r="I4323" s="191" t="n">
        <v>4413848.29041164</v>
      </c>
      <c r="J4323" s="192" t="str">
        <f>IF(I4323&gt;0,H4323/I4323,0)</f>
      </c>
      <c r="K4323" s="193" t="str">
        <f>1-EXP(-J4323)</f>
      </c>
      <c r="L4323" s="194" t="str">
        <f>IF(G4323=30,1,M4322)</f>
      </c>
      <c r="M4323" s="195" t="str">
        <f>L4323*(1-K4323)</f>
      </c>
    </row>
    <row r="4324">
      <c r="A4324" t="s">
        <v>167</v>
      </c>
      <c r="B4324" t="s">
        <v>272</v>
      </c>
      <c r="C4324" s="35" t="s">
        <v>274</v>
      </c>
      <c r="D4324" t="s">
        <v>502</v>
      </c>
      <c r="E4324" t="s">
        <v>520</v>
      </c>
      <c r="F4324" s="188" t="n">
        <v>2029</v>
      </c>
      <c r="G4324" s="189" t="n">
        <v>32</v>
      </c>
      <c r="H4324" s="190" t="n">
        <v>1386.30796451726</v>
      </c>
      <c r="I4324" s="191" t="n">
        <v>4555485.63259152</v>
      </c>
      <c r="J4324" s="192" t="str">
        <f>IF(I4324&gt;0,H4324/I4324,0)</f>
      </c>
      <c r="K4324" s="193" t="str">
        <f>1-EXP(-J4324)</f>
      </c>
      <c r="L4324" s="194" t="str">
        <f>IF(G4324=30,1,M4323)</f>
      </c>
      <c r="M4324" s="195" t="str">
        <f>L4324*(1-K4324)</f>
      </c>
    </row>
    <row r="4325">
      <c r="A4325" t="s">
        <v>167</v>
      </c>
      <c r="B4325" t="s">
        <v>272</v>
      </c>
      <c r="C4325" s="35" t="s">
        <v>274</v>
      </c>
      <c r="D4325" t="s">
        <v>502</v>
      </c>
      <c r="E4325" t="s">
        <v>520</v>
      </c>
      <c r="F4325" s="188" t="n">
        <v>2029</v>
      </c>
      <c r="G4325" s="189" t="n">
        <v>33</v>
      </c>
      <c r="H4325" s="190" t="n">
        <v>1446.46192084437</v>
      </c>
      <c r="I4325" s="191" t="n">
        <v>4512927.83279417</v>
      </c>
      <c r="J4325" s="192" t="str">
        <f>IF(I4325&gt;0,H4325/I4325,0)</f>
      </c>
      <c r="K4325" s="193" t="str">
        <f>1-EXP(-J4325)</f>
      </c>
      <c r="L4325" s="194" t="str">
        <f>IF(G4325=30,1,M4324)</f>
      </c>
      <c r="M4325" s="195" t="str">
        <f>L4325*(1-K4325)</f>
      </c>
    </row>
    <row r="4326">
      <c r="A4326" t="s">
        <v>167</v>
      </c>
      <c r="B4326" t="s">
        <v>272</v>
      </c>
      <c r="C4326" s="35" t="s">
        <v>274</v>
      </c>
      <c r="D4326" t="s">
        <v>502</v>
      </c>
      <c r="E4326" t="s">
        <v>520</v>
      </c>
      <c r="F4326" s="188" t="n">
        <v>2029</v>
      </c>
      <c r="G4326" s="189" t="n">
        <v>34</v>
      </c>
      <c r="H4326" s="190" t="n">
        <v>1508.11425484727</v>
      </c>
      <c r="I4326" s="191" t="n">
        <v>4440177.77303023</v>
      </c>
      <c r="J4326" s="192" t="str">
        <f>IF(I4326&gt;0,H4326/I4326,0)</f>
      </c>
      <c r="K4326" s="193" t="str">
        <f>1-EXP(-J4326)</f>
      </c>
      <c r="L4326" s="194" t="str">
        <f>IF(G4326=30,1,M4325)</f>
      </c>
      <c r="M4326" s="195" t="str">
        <f>L4326*(1-K4326)</f>
      </c>
    </row>
    <row r="4327">
      <c r="A4327" t="s">
        <v>167</v>
      </c>
      <c r="B4327" t="s">
        <v>272</v>
      </c>
      <c r="C4327" s="35" t="s">
        <v>274</v>
      </c>
      <c r="D4327" t="s">
        <v>502</v>
      </c>
      <c r="E4327" t="s">
        <v>520</v>
      </c>
      <c r="F4327" s="188" t="n">
        <v>2029</v>
      </c>
      <c r="G4327" s="189" t="n">
        <v>35</v>
      </c>
      <c r="H4327" s="190" t="n">
        <v>2031.38942757207</v>
      </c>
      <c r="I4327" s="191" t="n">
        <v>4383276.04149769</v>
      </c>
      <c r="J4327" s="192" t="str">
        <f>IF(I4327&gt;0,H4327/I4327,0)</f>
      </c>
      <c r="K4327" s="193" t="str">
        <f>1-EXP(-J4327)</f>
      </c>
      <c r="L4327" s="194" t="str">
        <f>IF(G4327=30,1,M4326)</f>
      </c>
      <c r="M4327" s="195" t="str">
        <f>L4327*(1-K4327)</f>
      </c>
    </row>
    <row r="4328">
      <c r="A4328" t="s">
        <v>167</v>
      </c>
      <c r="B4328" t="s">
        <v>272</v>
      </c>
      <c r="C4328" s="35" t="s">
        <v>274</v>
      </c>
      <c r="D4328" t="s">
        <v>502</v>
      </c>
      <c r="E4328" t="s">
        <v>520</v>
      </c>
      <c r="F4328" s="188" t="n">
        <v>2029</v>
      </c>
      <c r="G4328" s="189" t="n">
        <v>36</v>
      </c>
      <c r="H4328" s="190" t="n">
        <v>2142.47612320048</v>
      </c>
      <c r="I4328" s="191" t="n">
        <v>4329525.75062296</v>
      </c>
      <c r="J4328" s="192" t="str">
        <f>IF(I4328&gt;0,H4328/I4328,0)</f>
      </c>
      <c r="K4328" s="193" t="str">
        <f>1-EXP(-J4328)</f>
      </c>
      <c r="L4328" s="194" t="str">
        <f>IF(G4328=30,1,M4327)</f>
      </c>
      <c r="M4328" s="195" t="str">
        <f>L4328*(1-K4328)</f>
      </c>
    </row>
    <row r="4329">
      <c r="A4329" t="s">
        <v>167</v>
      </c>
      <c r="B4329" t="s">
        <v>272</v>
      </c>
      <c r="C4329" s="35" t="s">
        <v>274</v>
      </c>
      <c r="D4329" t="s">
        <v>502</v>
      </c>
      <c r="E4329" t="s">
        <v>520</v>
      </c>
      <c r="F4329" s="188" t="n">
        <v>2029</v>
      </c>
      <c r="G4329" s="189" t="n">
        <v>37</v>
      </c>
      <c r="H4329" s="190" t="n">
        <v>2316.59455367279</v>
      </c>
      <c r="I4329" s="191" t="n">
        <v>4367850.5271534</v>
      </c>
      <c r="J4329" s="192" t="str">
        <f>IF(I4329&gt;0,H4329/I4329,0)</f>
      </c>
      <c r="K4329" s="193" t="str">
        <f>1-EXP(-J4329)</f>
      </c>
      <c r="L4329" s="194" t="str">
        <f>IF(G4329=30,1,M4328)</f>
      </c>
      <c r="M4329" s="195" t="str">
        <f>L4329*(1-K4329)</f>
      </c>
    </row>
    <row r="4330">
      <c r="A4330" t="s">
        <v>167</v>
      </c>
      <c r="B4330" t="s">
        <v>272</v>
      </c>
      <c r="C4330" s="35" t="s">
        <v>274</v>
      </c>
      <c r="D4330" t="s">
        <v>502</v>
      </c>
      <c r="E4330" t="s">
        <v>520</v>
      </c>
      <c r="F4330" s="188" t="n">
        <v>2029</v>
      </c>
      <c r="G4330" s="189" t="n">
        <v>38</v>
      </c>
      <c r="H4330" s="190" t="n">
        <v>2499.74093464919</v>
      </c>
      <c r="I4330" s="191" t="n">
        <v>4386481.75010891</v>
      </c>
      <c r="J4330" s="192" t="str">
        <f>IF(I4330&gt;0,H4330/I4330,0)</f>
      </c>
      <c r="K4330" s="193" t="str">
        <f>1-EXP(-J4330)</f>
      </c>
      <c r="L4330" s="194" t="str">
        <f>IF(G4330=30,1,M4329)</f>
      </c>
      <c r="M4330" s="195" t="str">
        <f>L4330*(1-K4330)</f>
      </c>
    </row>
    <row r="4331">
      <c r="A4331" t="s">
        <v>167</v>
      </c>
      <c r="B4331" t="s">
        <v>272</v>
      </c>
      <c r="C4331" s="35" t="s">
        <v>274</v>
      </c>
      <c r="D4331" t="s">
        <v>502</v>
      </c>
      <c r="E4331" t="s">
        <v>520</v>
      </c>
      <c r="F4331" s="188" t="n">
        <v>2029</v>
      </c>
      <c r="G4331" s="189" t="n">
        <v>39</v>
      </c>
      <c r="H4331" s="190" t="n">
        <v>3792.81123234489</v>
      </c>
      <c r="I4331" s="191" t="n">
        <v>6459597.85957737</v>
      </c>
      <c r="J4331" s="192" t="str">
        <f>IF(I4331&gt;0,H4331/I4331,0)</f>
      </c>
      <c r="K4331" s="193" t="str">
        <f>1-EXP(-J4331)</f>
      </c>
      <c r="L4331" s="194" t="str">
        <f>IF(G4331=30,1,M4330)</f>
      </c>
      <c r="M4331" s="195" t="str">
        <f>L4331*(1-K4331)</f>
      </c>
    </row>
    <row r="4332">
      <c r="A4332" t="s">
        <v>167</v>
      </c>
      <c r="B4332" t="s">
        <v>272</v>
      </c>
      <c r="C4332" s="35" t="s">
        <v>274</v>
      </c>
      <c r="D4332" t="s">
        <v>502</v>
      </c>
      <c r="E4332" t="s">
        <v>520</v>
      </c>
      <c r="F4332" s="188" t="n">
        <v>2029</v>
      </c>
      <c r="G4332" s="189" t="n">
        <v>40</v>
      </c>
      <c r="H4332" s="190" t="n">
        <v>3588.00376592576</v>
      </c>
      <c r="I4332" s="191" t="n">
        <v>4346278.59562604</v>
      </c>
      <c r="J4332" s="192" t="str">
        <f>IF(I4332&gt;0,H4332/I4332,0)</f>
      </c>
      <c r="K4332" s="193" t="str">
        <f>1-EXP(-J4332)</f>
      </c>
      <c r="L4332" s="194" t="str">
        <f>IF(G4332=30,1,M4331)</f>
      </c>
      <c r="M4332" s="195" t="str">
        <f>L4332*(1-K4332)</f>
      </c>
    </row>
    <row r="4333">
      <c r="A4333" t="s">
        <v>167</v>
      </c>
      <c r="B4333" t="s">
        <v>272</v>
      </c>
      <c r="C4333" s="35" t="s">
        <v>274</v>
      </c>
      <c r="D4333" t="s">
        <v>502</v>
      </c>
      <c r="E4333" t="s">
        <v>520</v>
      </c>
      <c r="F4333" s="188" t="n">
        <v>2029</v>
      </c>
      <c r="G4333" s="189" t="n">
        <v>41</v>
      </c>
      <c r="H4333" s="190" t="n">
        <v>3863.97885055653</v>
      </c>
      <c r="I4333" s="191" t="n">
        <v>4329453.64230416</v>
      </c>
      <c r="J4333" s="192" t="str">
        <f>IF(I4333&gt;0,H4333/I4333,0)</f>
      </c>
      <c r="K4333" s="193" t="str">
        <f>1-EXP(-J4333)</f>
      </c>
      <c r="L4333" s="194" t="str">
        <f>IF(G4333=30,1,M4332)</f>
      </c>
      <c r="M4333" s="195" t="str">
        <f>L4333*(1-K4333)</f>
      </c>
    </row>
    <row r="4334">
      <c r="A4334" t="s">
        <v>167</v>
      </c>
      <c r="B4334" t="s">
        <v>272</v>
      </c>
      <c r="C4334" s="35" t="s">
        <v>274</v>
      </c>
      <c r="D4334" t="s">
        <v>502</v>
      </c>
      <c r="E4334" t="s">
        <v>520</v>
      </c>
      <c r="F4334" s="188" t="n">
        <v>2029</v>
      </c>
      <c r="G4334" s="189" t="n">
        <v>42</v>
      </c>
      <c r="H4334" s="190" t="n">
        <v>4063.00546712576</v>
      </c>
      <c r="I4334" s="191" t="n">
        <v>4197600.25449211</v>
      </c>
      <c r="J4334" s="192" t="str">
        <f>IF(I4334&gt;0,H4334/I4334,0)</f>
      </c>
      <c r="K4334" s="193" t="str">
        <f>1-EXP(-J4334)</f>
      </c>
      <c r="L4334" s="194" t="str">
        <f>IF(G4334=30,1,M4333)</f>
      </c>
      <c r="M4334" s="195" t="str">
        <f>L4334*(1-K4334)</f>
      </c>
    </row>
    <row r="4335">
      <c r="A4335" t="s">
        <v>167</v>
      </c>
      <c r="B4335" t="s">
        <v>272</v>
      </c>
      <c r="C4335" s="35" t="s">
        <v>274</v>
      </c>
      <c r="D4335" t="s">
        <v>502</v>
      </c>
      <c r="E4335" t="s">
        <v>520</v>
      </c>
      <c r="F4335" s="188" t="n">
        <v>2029</v>
      </c>
      <c r="G4335" s="189" t="n">
        <v>43</v>
      </c>
      <c r="H4335" s="190" t="n">
        <v>4384.74771296984</v>
      </c>
      <c r="I4335" s="191" t="n">
        <v>4163722.28331603</v>
      </c>
      <c r="J4335" s="192" t="str">
        <f>IF(I4335&gt;0,H4335/I4335,0)</f>
      </c>
      <c r="K4335" s="193" t="str">
        <f>1-EXP(-J4335)</f>
      </c>
      <c r="L4335" s="194" t="str">
        <f>IF(G4335=30,1,M4334)</f>
      </c>
      <c r="M4335" s="195" t="str">
        <f>L4335*(1-K4335)</f>
      </c>
    </row>
    <row r="4336">
      <c r="A4336" t="s">
        <v>167</v>
      </c>
      <c r="B4336" t="s">
        <v>272</v>
      </c>
      <c r="C4336" s="35" t="s">
        <v>274</v>
      </c>
      <c r="D4336" t="s">
        <v>502</v>
      </c>
      <c r="E4336" t="s">
        <v>520</v>
      </c>
      <c r="F4336" s="188" t="n">
        <v>2029</v>
      </c>
      <c r="G4336" s="189" t="n">
        <v>44</v>
      </c>
      <c r="H4336" s="190" t="n">
        <v>4855.00066453181</v>
      </c>
      <c r="I4336" s="191" t="n">
        <v>4223775.01497328</v>
      </c>
      <c r="J4336" s="192" t="str">
        <f>IF(I4336&gt;0,H4336/I4336,0)</f>
      </c>
      <c r="K4336" s="193" t="str">
        <f>1-EXP(-J4336)</f>
      </c>
      <c r="L4336" s="194" t="str">
        <f>IF(G4336=30,1,M4335)</f>
      </c>
      <c r="M4336" s="195" t="str">
        <f>L4336*(1-K4336)</f>
      </c>
    </row>
    <row r="4337">
      <c r="A4337" t="s">
        <v>167</v>
      </c>
      <c r="B4337" t="s">
        <v>272</v>
      </c>
      <c r="C4337" s="35" t="s">
        <v>274</v>
      </c>
      <c r="D4337" t="s">
        <v>502</v>
      </c>
      <c r="E4337" t="s">
        <v>520</v>
      </c>
      <c r="F4337" s="188" t="n">
        <v>2029</v>
      </c>
      <c r="G4337" s="189" t="n">
        <v>45</v>
      </c>
      <c r="H4337" s="190" t="n">
        <v>6409.66853551098</v>
      </c>
      <c r="I4337" s="191" t="n">
        <v>4309104.84194106</v>
      </c>
      <c r="J4337" s="192" t="str">
        <f>IF(I4337&gt;0,H4337/I4337,0)</f>
      </c>
      <c r="K4337" s="193" t="str">
        <f>1-EXP(-J4337)</f>
      </c>
      <c r="L4337" s="194" t="str">
        <f>IF(G4337=30,1,M4336)</f>
      </c>
      <c r="M4337" s="195" t="str">
        <f>L4337*(1-K4337)</f>
      </c>
    </row>
    <row r="4338">
      <c r="A4338" t="s">
        <v>167</v>
      </c>
      <c r="B4338" t="s">
        <v>272</v>
      </c>
      <c r="C4338" s="35" t="s">
        <v>274</v>
      </c>
      <c r="D4338" t="s">
        <v>502</v>
      </c>
      <c r="E4338" t="s">
        <v>520</v>
      </c>
      <c r="F4338" s="188" t="n">
        <v>2029</v>
      </c>
      <c r="G4338" s="189" t="n">
        <v>46</v>
      </c>
      <c r="H4338" s="190" t="n">
        <v>6971.24154261115</v>
      </c>
      <c r="I4338" s="191" t="n">
        <v>4284232.04618277</v>
      </c>
      <c r="J4338" s="192" t="str">
        <f>IF(I4338&gt;0,H4338/I4338,0)</f>
      </c>
      <c r="K4338" s="193" t="str">
        <f>1-EXP(-J4338)</f>
      </c>
      <c r="L4338" s="194" t="str">
        <f>IF(G4338=30,1,M4337)</f>
      </c>
      <c r="M4338" s="195" t="str">
        <f>L4338*(1-K4338)</f>
      </c>
    </row>
    <row r="4339">
      <c r="A4339" t="s">
        <v>167</v>
      </c>
      <c r="B4339" t="s">
        <v>272</v>
      </c>
      <c r="C4339" s="35" t="s">
        <v>274</v>
      </c>
      <c r="D4339" t="s">
        <v>502</v>
      </c>
      <c r="E4339" t="s">
        <v>520</v>
      </c>
      <c r="F4339" s="188" t="n">
        <v>2029</v>
      </c>
      <c r="G4339" s="189" t="n">
        <v>47</v>
      </c>
      <c r="H4339" s="190" t="n">
        <v>7401.05102425094</v>
      </c>
      <c r="I4339" s="191" t="n">
        <v>4147690.55290407</v>
      </c>
      <c r="J4339" s="192" t="str">
        <f>IF(I4339&gt;0,H4339/I4339,0)</f>
      </c>
      <c r="K4339" s="193" t="str">
        <f>1-EXP(-J4339)</f>
      </c>
      <c r="L4339" s="194" t="str">
        <f>IF(G4339=30,1,M4338)</f>
      </c>
      <c r="M4339" s="195" t="str">
        <f>L4339*(1-K4339)</f>
      </c>
    </row>
    <row r="4340">
      <c r="A4340" t="s">
        <v>167</v>
      </c>
      <c r="B4340" t="s">
        <v>272</v>
      </c>
      <c r="C4340" s="35" t="s">
        <v>274</v>
      </c>
      <c r="D4340" t="s">
        <v>502</v>
      </c>
      <c r="E4340" t="s">
        <v>520</v>
      </c>
      <c r="F4340" s="188" t="n">
        <v>2029</v>
      </c>
      <c r="G4340" s="189" t="n">
        <v>48</v>
      </c>
      <c r="H4340" s="190" t="n">
        <v>7962.69430724764</v>
      </c>
      <c r="I4340" s="191" t="n">
        <v>4073603.76730633</v>
      </c>
      <c r="J4340" s="192" t="str">
        <f>IF(I4340&gt;0,H4340/I4340,0)</f>
      </c>
      <c r="K4340" s="193" t="str">
        <f>1-EXP(-J4340)</f>
      </c>
      <c r="L4340" s="194" t="str">
        <f>IF(G4340=30,1,M4339)</f>
      </c>
      <c r="M4340" s="195" t="str">
        <f>L4340*(1-K4340)</f>
      </c>
    </row>
    <row r="4341">
      <c r="A4341" t="s">
        <v>167</v>
      </c>
      <c r="B4341" t="s">
        <v>272</v>
      </c>
      <c r="C4341" s="35" t="s">
        <v>274</v>
      </c>
      <c r="D4341" t="s">
        <v>502</v>
      </c>
      <c r="E4341" t="s">
        <v>520</v>
      </c>
      <c r="F4341" s="188" t="n">
        <v>2029</v>
      </c>
      <c r="G4341" s="189" t="n">
        <v>49</v>
      </c>
      <c r="H4341" s="190" t="n">
        <v>8591.21255459247</v>
      </c>
      <c r="I4341" s="191" t="n">
        <v>4015352.56141863</v>
      </c>
      <c r="J4341" s="192" t="str">
        <f>IF(I4341&gt;0,H4341/I4341,0)</f>
      </c>
      <c r="K4341" s="193" t="str">
        <f>1-EXP(-J4341)</f>
      </c>
      <c r="L4341" s="194" t="str">
        <f>IF(G4341=30,1,M4340)</f>
      </c>
      <c r="M4341" s="195" t="str">
        <f>L4341*(1-K4341)</f>
      </c>
    </row>
    <row r="4342">
      <c r="A4342" t="s">
        <v>167</v>
      </c>
      <c r="B4342" t="s">
        <v>272</v>
      </c>
      <c r="C4342" s="35" t="s">
        <v>274</v>
      </c>
      <c r="D4342" t="s">
        <v>502</v>
      </c>
      <c r="E4342" t="s">
        <v>520</v>
      </c>
      <c r="F4342" s="188" t="n">
        <v>2029</v>
      </c>
      <c r="G4342" s="189" t="n">
        <v>50</v>
      </c>
      <c r="H4342" s="190" t="n">
        <v>9855.84382330834</v>
      </c>
      <c r="I4342" s="191" t="n">
        <v>3951605.72369562</v>
      </c>
      <c r="J4342" s="192" t="str">
        <f>IF(I4342&gt;0,H4342/I4342,0)</f>
      </c>
      <c r="K4342" s="193" t="str">
        <f>1-EXP(-J4342)</f>
      </c>
      <c r="L4342" s="194" t="str">
        <f>IF(G4342=30,1,M4341)</f>
      </c>
      <c r="M4342" s="195" t="str">
        <f>L4342*(1-K4342)</f>
      </c>
    </row>
    <row r="4343">
      <c r="A4343" t="s">
        <v>167</v>
      </c>
      <c r="B4343" t="s">
        <v>272</v>
      </c>
      <c r="C4343" s="35" t="s">
        <v>274</v>
      </c>
      <c r="D4343" t="s">
        <v>502</v>
      </c>
      <c r="E4343" t="s">
        <v>520</v>
      </c>
      <c r="F4343" s="188" t="n">
        <v>2029</v>
      </c>
      <c r="G4343" s="189" t="n">
        <v>51</v>
      </c>
      <c r="H4343" s="190" t="n">
        <v>10547.733361481</v>
      </c>
      <c r="I4343" s="191" t="n">
        <v>3867475.058915</v>
      </c>
      <c r="J4343" s="192" t="str">
        <f>IF(I4343&gt;0,H4343/I4343,0)</f>
      </c>
      <c r="K4343" s="193" t="str">
        <f>1-EXP(-J4343)</f>
      </c>
      <c r="L4343" s="194" t="str">
        <f>IF(G4343=30,1,M4342)</f>
      </c>
      <c r="M4343" s="195" t="str">
        <f>L4343*(1-K4343)</f>
      </c>
    </row>
    <row r="4344">
      <c r="A4344" t="s">
        <v>167</v>
      </c>
      <c r="B4344" t="s">
        <v>272</v>
      </c>
      <c r="C4344" s="35" t="s">
        <v>274</v>
      </c>
      <c r="D4344" t="s">
        <v>502</v>
      </c>
      <c r="E4344" t="s">
        <v>520</v>
      </c>
      <c r="F4344" s="188" t="n">
        <v>2029</v>
      </c>
      <c r="G4344" s="189" t="n">
        <v>52</v>
      </c>
      <c r="H4344" s="190" t="n">
        <v>11334.2133469066</v>
      </c>
      <c r="I4344" s="191" t="n">
        <v>3801223.20113122</v>
      </c>
      <c r="J4344" s="192" t="str">
        <f>IF(I4344&gt;0,H4344/I4344,0)</f>
      </c>
      <c r="K4344" s="193" t="str">
        <f>1-EXP(-J4344)</f>
      </c>
      <c r="L4344" s="194" t="str">
        <f>IF(G4344=30,1,M4343)</f>
      </c>
      <c r="M4344" s="195" t="str">
        <f>L4344*(1-K4344)</f>
      </c>
    </row>
    <row r="4345">
      <c r="A4345" t="s">
        <v>167</v>
      </c>
      <c r="B4345" t="s">
        <v>272</v>
      </c>
      <c r="C4345" s="35" t="s">
        <v>274</v>
      </c>
      <c r="D4345" t="s">
        <v>502</v>
      </c>
      <c r="E4345" t="s">
        <v>520</v>
      </c>
      <c r="F4345" s="188" t="n">
        <v>2029</v>
      </c>
      <c r="G4345" s="189" t="n">
        <v>53</v>
      </c>
      <c r="H4345" s="190" t="n">
        <v>12122.7361336266</v>
      </c>
      <c r="I4345" s="191" t="n">
        <v>3723064.95538527</v>
      </c>
      <c r="J4345" s="192" t="str">
        <f>IF(I4345&gt;0,H4345/I4345,0)</f>
      </c>
      <c r="K4345" s="193" t="str">
        <f>1-EXP(-J4345)</f>
      </c>
      <c r="L4345" s="194" t="str">
        <f>IF(G4345=30,1,M4344)</f>
      </c>
      <c r="M4345" s="195" t="str">
        <f>L4345*(1-K4345)</f>
      </c>
    </row>
    <row r="4346">
      <c r="A4346" t="s">
        <v>167</v>
      </c>
      <c r="B4346" t="s">
        <v>272</v>
      </c>
      <c r="C4346" s="35" t="s">
        <v>274</v>
      </c>
      <c r="D4346" t="s">
        <v>502</v>
      </c>
      <c r="E4346" t="s">
        <v>520</v>
      </c>
      <c r="F4346" s="188" t="n">
        <v>2029</v>
      </c>
      <c r="G4346" s="189" t="n">
        <v>54</v>
      </c>
      <c r="H4346" s="190" t="n">
        <v>12959.4515096467</v>
      </c>
      <c r="I4346" s="191" t="n">
        <v>3644140.89251895</v>
      </c>
      <c r="J4346" s="192" t="str">
        <f>IF(I4346&gt;0,H4346/I4346,0)</f>
      </c>
      <c r="K4346" s="193" t="str">
        <f>1-EXP(-J4346)</f>
      </c>
      <c r="L4346" s="194" t="str">
        <f>IF(G4346=30,1,M4345)</f>
      </c>
      <c r="M4346" s="195" t="str">
        <f>L4346*(1-K4346)</f>
      </c>
    </row>
    <row r="4347">
      <c r="A4347" t="s">
        <v>167</v>
      </c>
      <c r="B4347" t="s">
        <v>272</v>
      </c>
      <c r="C4347" s="35" t="s">
        <v>274</v>
      </c>
      <c r="D4347" t="s">
        <v>502</v>
      </c>
      <c r="E4347" t="s">
        <v>520</v>
      </c>
      <c r="F4347" s="188" t="n">
        <v>2029</v>
      </c>
      <c r="G4347" s="189" t="n">
        <v>55</v>
      </c>
      <c r="H4347" s="190" t="n">
        <v>13906.0612667705</v>
      </c>
      <c r="I4347" s="191" t="n">
        <v>3537697.66319641</v>
      </c>
      <c r="J4347" s="192" t="str">
        <f>IF(I4347&gt;0,H4347/I4347,0)</f>
      </c>
      <c r="K4347" s="193" t="str">
        <f>1-EXP(-J4347)</f>
      </c>
      <c r="L4347" s="194" t="str">
        <f>IF(G4347=30,1,M4346)</f>
      </c>
      <c r="M4347" s="195" t="str">
        <f>L4347*(1-K4347)</f>
      </c>
    </row>
    <row r="4348">
      <c r="A4348" t="s">
        <v>167</v>
      </c>
      <c r="B4348" t="s">
        <v>272</v>
      </c>
      <c r="C4348" s="35" t="s">
        <v>274</v>
      </c>
      <c r="D4348" t="s">
        <v>502</v>
      </c>
      <c r="E4348" t="s">
        <v>520</v>
      </c>
      <c r="F4348" s="188" t="n">
        <v>2029</v>
      </c>
      <c r="G4348" s="189" t="n">
        <v>56</v>
      </c>
      <c r="H4348" s="190" t="n">
        <v>14972.958232392</v>
      </c>
      <c r="I4348" s="191" t="n">
        <v>3490707.80978033</v>
      </c>
      <c r="J4348" s="192" t="str">
        <f>IF(I4348&gt;0,H4348/I4348,0)</f>
      </c>
      <c r="K4348" s="193" t="str">
        <f>1-EXP(-J4348)</f>
      </c>
      <c r="L4348" s="194" t="str">
        <f>IF(G4348=30,1,M4347)</f>
      </c>
      <c r="M4348" s="195" t="str">
        <f>L4348*(1-K4348)</f>
      </c>
    </row>
    <row r="4349">
      <c r="A4349" t="s">
        <v>167</v>
      </c>
      <c r="B4349" t="s">
        <v>272</v>
      </c>
      <c r="C4349" s="35" t="s">
        <v>274</v>
      </c>
      <c r="D4349" t="s">
        <v>502</v>
      </c>
      <c r="E4349" t="s">
        <v>520</v>
      </c>
      <c r="F4349" s="188" t="n">
        <v>2029</v>
      </c>
      <c r="G4349" s="189" t="n">
        <v>57</v>
      </c>
      <c r="H4349" s="190" t="n">
        <v>15396.7586340772</v>
      </c>
      <c r="I4349" s="191" t="n">
        <v>3280872.79081738</v>
      </c>
      <c r="J4349" s="192" t="str">
        <f>IF(I4349&gt;0,H4349/I4349,0)</f>
      </c>
      <c r="K4349" s="193" t="str">
        <f>1-EXP(-J4349)</f>
      </c>
      <c r="L4349" s="194" t="str">
        <f>IF(G4349=30,1,M4348)</f>
      </c>
      <c r="M4349" s="195" t="str">
        <f>L4349*(1-K4349)</f>
      </c>
    </row>
    <row r="4350">
      <c r="A4350" t="s">
        <v>167</v>
      </c>
      <c r="B4350" t="s">
        <v>272</v>
      </c>
      <c r="C4350" s="35" t="s">
        <v>274</v>
      </c>
      <c r="D4350" t="s">
        <v>502</v>
      </c>
      <c r="E4350" t="s">
        <v>520</v>
      </c>
      <c r="F4350" s="188" t="n">
        <v>2029</v>
      </c>
      <c r="G4350" s="189" t="n">
        <v>58</v>
      </c>
      <c r="H4350" s="190" t="n">
        <v>16375.0399243358</v>
      </c>
      <c r="I4350" s="191" t="n">
        <v>3192032.60524415</v>
      </c>
      <c r="J4350" s="192" t="str">
        <f>IF(I4350&gt;0,H4350/I4350,0)</f>
      </c>
      <c r="K4350" s="193" t="str">
        <f>1-EXP(-J4350)</f>
      </c>
      <c r="L4350" s="194" t="str">
        <f>IF(G4350=30,1,M4349)</f>
      </c>
      <c r="M4350" s="195" t="str">
        <f>L4350*(1-K4350)</f>
      </c>
    </row>
    <row r="4351">
      <c r="A4351" t="s">
        <v>167</v>
      </c>
      <c r="B4351" t="s">
        <v>272</v>
      </c>
      <c r="C4351" s="35" t="s">
        <v>274</v>
      </c>
      <c r="D4351" t="s">
        <v>502</v>
      </c>
      <c r="E4351" t="s">
        <v>520</v>
      </c>
      <c r="F4351" s="188" t="n">
        <v>2029</v>
      </c>
      <c r="G4351" s="189" t="n">
        <v>59</v>
      </c>
      <c r="H4351" s="190" t="n">
        <v>17432.2357832558</v>
      </c>
      <c r="I4351" s="191" t="n">
        <v>3107485.44587875</v>
      </c>
      <c r="J4351" s="192" t="str">
        <f>IF(I4351&gt;0,H4351/I4351,0)</f>
      </c>
      <c r="K4351" s="193" t="str">
        <f>1-EXP(-J4351)</f>
      </c>
      <c r="L4351" s="194" t="str">
        <f>IF(G4351=30,1,M4350)</f>
      </c>
      <c r="M4351" s="195" t="str">
        <f>L4351*(1-K4351)</f>
      </c>
    </row>
    <row r="4352">
      <c r="A4352" t="s">
        <v>167</v>
      </c>
      <c r="B4352" t="s">
        <v>272</v>
      </c>
      <c r="C4352" s="35" t="s">
        <v>274</v>
      </c>
      <c r="D4352" t="s">
        <v>502</v>
      </c>
      <c r="E4352" t="s">
        <v>520</v>
      </c>
      <c r="F4352" s="188" t="n">
        <v>2029</v>
      </c>
      <c r="G4352" s="189" t="n">
        <v>60</v>
      </c>
      <c r="H4352" s="190" t="n">
        <v>18863.2197273033</v>
      </c>
      <c r="I4352" s="191" t="n">
        <v>3013657.5060791</v>
      </c>
      <c r="J4352" s="192" t="str">
        <f>IF(I4352&gt;0,H4352/I4352,0)</f>
      </c>
      <c r="K4352" s="193" t="str">
        <f>1-EXP(-J4352)</f>
      </c>
      <c r="L4352" s="194" t="str">
        <f>IF(G4352=30,1,M4351)</f>
      </c>
      <c r="M4352" s="195" t="str">
        <f>L4352*(1-K4352)</f>
      </c>
    </row>
    <row r="4353">
      <c r="A4353" t="s">
        <v>167</v>
      </c>
      <c r="B4353" t="s">
        <v>272</v>
      </c>
      <c r="C4353" s="35" t="s">
        <v>274</v>
      </c>
      <c r="D4353" t="s">
        <v>502</v>
      </c>
      <c r="E4353" t="s">
        <v>520</v>
      </c>
      <c r="F4353" s="188" t="n">
        <v>2029</v>
      </c>
      <c r="G4353" s="189" t="n">
        <v>61</v>
      </c>
      <c r="H4353" s="190" t="n">
        <v>19906.6619771575</v>
      </c>
      <c r="I4353" s="191" t="n">
        <v>2899532.50287838</v>
      </c>
      <c r="J4353" s="192" t="str">
        <f>IF(I4353&gt;0,H4353/I4353,0)</f>
      </c>
      <c r="K4353" s="193" t="str">
        <f>1-EXP(-J4353)</f>
      </c>
      <c r="L4353" s="194" t="str">
        <f>IF(G4353=30,1,M4352)</f>
      </c>
      <c r="M4353" s="195" t="str">
        <f>L4353*(1-K4353)</f>
      </c>
    </row>
    <row r="4354">
      <c r="A4354" t="s">
        <v>167</v>
      </c>
      <c r="B4354" t="s">
        <v>272</v>
      </c>
      <c r="C4354" s="35" t="s">
        <v>274</v>
      </c>
      <c r="D4354" t="s">
        <v>502</v>
      </c>
      <c r="E4354" t="s">
        <v>520</v>
      </c>
      <c r="F4354" s="188" t="n">
        <v>2029</v>
      </c>
      <c r="G4354" s="189" t="n">
        <v>62</v>
      </c>
      <c r="H4354" s="190" t="n">
        <v>20714.6482679206</v>
      </c>
      <c r="I4354" s="191" t="n">
        <v>2755028.09703898</v>
      </c>
      <c r="J4354" s="192" t="str">
        <f>IF(I4354&gt;0,H4354/I4354,0)</f>
      </c>
      <c r="K4354" s="193" t="str">
        <f>1-EXP(-J4354)</f>
      </c>
      <c r="L4354" s="194" t="str">
        <f>IF(G4354=30,1,M4353)</f>
      </c>
      <c r="M4354" s="195" t="str">
        <f>L4354*(1-K4354)</f>
      </c>
    </row>
    <row r="4355">
      <c r="A4355" t="s">
        <v>167</v>
      </c>
      <c r="B4355" t="s">
        <v>272</v>
      </c>
      <c r="C4355" s="35" t="s">
        <v>274</v>
      </c>
      <c r="D4355" t="s">
        <v>502</v>
      </c>
      <c r="E4355" t="s">
        <v>520</v>
      </c>
      <c r="F4355" s="188" t="n">
        <v>2029</v>
      </c>
      <c r="G4355" s="189" t="n">
        <v>63</v>
      </c>
      <c r="H4355" s="190" t="n">
        <v>21783.6254344833</v>
      </c>
      <c r="I4355" s="191" t="n">
        <v>2646594.97982772</v>
      </c>
      <c r="J4355" s="192" t="str">
        <f>IF(I4355&gt;0,H4355/I4355,0)</f>
      </c>
      <c r="K4355" s="193" t="str">
        <f>1-EXP(-J4355)</f>
      </c>
      <c r="L4355" s="194" t="str">
        <f>IF(G4355=30,1,M4354)</f>
      </c>
      <c r="M4355" s="195" t="str">
        <f>L4355*(1-K4355)</f>
      </c>
    </row>
    <row r="4356">
      <c r="A4356" t="s">
        <v>167</v>
      </c>
      <c r="B4356" t="s">
        <v>272</v>
      </c>
      <c r="C4356" s="35" t="s">
        <v>274</v>
      </c>
      <c r="D4356" t="s">
        <v>502</v>
      </c>
      <c r="E4356" t="s">
        <v>520</v>
      </c>
      <c r="F4356" s="188" t="n">
        <v>2029</v>
      </c>
      <c r="G4356" s="189" t="n">
        <v>64</v>
      </c>
      <c r="H4356" s="190" t="n">
        <v>22685.6573446619</v>
      </c>
      <c r="I4356" s="191" t="n">
        <v>2516847.52093855</v>
      </c>
      <c r="J4356" s="192" t="str">
        <f>IF(I4356&gt;0,H4356/I4356,0)</f>
      </c>
      <c r="K4356" s="193" t="str">
        <f>1-EXP(-J4356)</f>
      </c>
      <c r="L4356" s="194" t="str">
        <f>IF(G4356=30,1,M4355)</f>
      </c>
      <c r="M4356" s="195" t="str">
        <f>L4356*(1-K4356)</f>
      </c>
    </row>
    <row r="4357">
      <c r="A4357" t="s">
        <v>167</v>
      </c>
      <c r="B4357" t="s">
        <v>272</v>
      </c>
      <c r="C4357" s="35" t="s">
        <v>274</v>
      </c>
      <c r="D4357" t="s">
        <v>502</v>
      </c>
      <c r="E4357" t="s">
        <v>520</v>
      </c>
      <c r="F4357" s="188" t="n">
        <v>2029</v>
      </c>
      <c r="G4357" s="189" t="n">
        <v>65</v>
      </c>
      <c r="H4357" s="190" t="n">
        <v>22918.4481030888</v>
      </c>
      <c r="I4357" s="191" t="n">
        <v>2387339.49787965</v>
      </c>
      <c r="J4357" s="192" t="str">
        <f>IF(I4357&gt;0,H4357/I4357,0)</f>
      </c>
      <c r="K4357" s="193" t="str">
        <f>1-EXP(-J4357)</f>
      </c>
      <c r="L4357" s="194" t="str">
        <f>IF(G4357=30,1,M4356)</f>
      </c>
      <c r="M4357" s="195" t="str">
        <f>L4357*(1-K4357)</f>
      </c>
    </row>
    <row r="4358">
      <c r="A4358" t="s">
        <v>167</v>
      </c>
      <c r="B4358" t="s">
        <v>272</v>
      </c>
      <c r="C4358" s="35" t="s">
        <v>274</v>
      </c>
      <c r="D4358" t="s">
        <v>502</v>
      </c>
      <c r="E4358" t="s">
        <v>520</v>
      </c>
      <c r="F4358" s="188" t="n">
        <v>2029</v>
      </c>
      <c r="G4358" s="189" t="n">
        <v>66</v>
      </c>
      <c r="H4358" s="190" t="n">
        <v>23807.3374467642</v>
      </c>
      <c r="I4358" s="191" t="n">
        <v>2262855.44750915</v>
      </c>
      <c r="J4358" s="192" t="str">
        <f>IF(I4358&gt;0,H4358/I4358,0)</f>
      </c>
      <c r="K4358" s="193" t="str">
        <f>1-EXP(-J4358)</f>
      </c>
      <c r="L4358" s="194" t="str">
        <f>IF(G4358=30,1,M4357)</f>
      </c>
      <c r="M4358" s="195" t="str">
        <f>L4358*(1-K4358)</f>
      </c>
    </row>
    <row r="4359">
      <c r="A4359" t="s">
        <v>167</v>
      </c>
      <c r="B4359" t="s">
        <v>272</v>
      </c>
      <c r="C4359" s="35" t="s">
        <v>274</v>
      </c>
      <c r="D4359" t="s">
        <v>502</v>
      </c>
      <c r="E4359" t="s">
        <v>520</v>
      </c>
      <c r="F4359" s="188" t="n">
        <v>2029</v>
      </c>
      <c r="G4359" s="189" t="n">
        <v>67</v>
      </c>
      <c r="H4359" s="190" t="n">
        <v>24475.1985021293</v>
      </c>
      <c r="I4359" s="191" t="n">
        <v>2113293.78134551</v>
      </c>
      <c r="J4359" s="192" t="str">
        <f>IF(I4359&gt;0,H4359/I4359,0)</f>
      </c>
      <c r="K4359" s="193" t="str">
        <f>1-EXP(-J4359)</f>
      </c>
      <c r="L4359" s="194" t="str">
        <f>IF(G4359=30,1,M4358)</f>
      </c>
      <c r="M4359" s="195" t="str">
        <f>L4359*(1-K4359)</f>
      </c>
    </row>
    <row r="4360">
      <c r="A4360" t="s">
        <v>167</v>
      </c>
      <c r="B4360" t="s">
        <v>272</v>
      </c>
      <c r="C4360" s="35" t="s">
        <v>274</v>
      </c>
      <c r="D4360" t="s">
        <v>502</v>
      </c>
      <c r="E4360" t="s">
        <v>520</v>
      </c>
      <c r="F4360" s="188" t="n">
        <v>2029</v>
      </c>
      <c r="G4360" s="189" t="n">
        <v>68</v>
      </c>
      <c r="H4360" s="190" t="n">
        <v>25269.3338569163</v>
      </c>
      <c r="I4360" s="191" t="n">
        <v>1988425.7961531</v>
      </c>
      <c r="J4360" s="192" t="str">
        <f>IF(I4360&gt;0,H4360/I4360,0)</f>
      </c>
      <c r="K4360" s="193" t="str">
        <f>1-EXP(-J4360)</f>
      </c>
      <c r="L4360" s="194" t="str">
        <f>IF(G4360=30,1,M4359)</f>
      </c>
      <c r="M4360" s="195" t="str">
        <f>L4360*(1-K4360)</f>
      </c>
    </row>
    <row r="4361">
      <c r="A4361" t="s">
        <v>167</v>
      </c>
      <c r="B4361" t="s">
        <v>272</v>
      </c>
      <c r="C4361" s="35" t="s">
        <v>274</v>
      </c>
      <c r="D4361" t="s">
        <v>502</v>
      </c>
      <c r="E4361" t="s">
        <v>520</v>
      </c>
      <c r="F4361" s="188" t="n">
        <v>2029</v>
      </c>
      <c r="G4361" s="189" t="n">
        <v>69</v>
      </c>
      <c r="H4361" s="190" t="n">
        <v>25956.4793171335</v>
      </c>
      <c r="I4361" s="191" t="n">
        <v>1860159.86523967</v>
      </c>
      <c r="J4361" s="192" t="str">
        <f>IF(I4361&gt;0,H4361/I4361,0)</f>
      </c>
      <c r="K4361" s="193" t="str">
        <f>1-EXP(-J4361)</f>
      </c>
      <c r="L4361" s="194" t="str">
        <f>IF(G4361=30,1,M4360)</f>
      </c>
      <c r="M4361" s="195" t="str">
        <f>L4361*(1-K4361)</f>
      </c>
    </row>
    <row r="4362">
      <c r="A4362" t="s">
        <v>167</v>
      </c>
      <c r="B4362" t="s">
        <v>272</v>
      </c>
      <c r="C4362" s="35" t="s">
        <v>274</v>
      </c>
      <c r="D4362" t="s">
        <v>502</v>
      </c>
      <c r="E4362" t="s">
        <v>520</v>
      </c>
      <c r="F4362" s="188" t="n">
        <v>2030</v>
      </c>
      <c r="G4362" s="189" t="n">
        <v>30</v>
      </c>
      <c r="H4362" s="190" t="n">
        <v>937.986081394353</v>
      </c>
      <c r="I4362" s="191" t="n">
        <v>4327168.07641528</v>
      </c>
      <c r="J4362" s="192" t="str">
        <f>IF(I4362&gt;0,H4362/I4362,0)</f>
      </c>
      <c r="K4362" s="193" t="str">
        <f>1-EXP(-J4362)</f>
      </c>
      <c r="L4362" s="194" t="str">
        <f>IF(G4362=30,1,M4361)</f>
      </c>
      <c r="M4362" s="195" t="str">
        <f>L4362*(1-K4362)</f>
      </c>
    </row>
    <row r="4363">
      <c r="A4363" t="s">
        <v>167</v>
      </c>
      <c r="B4363" t="s">
        <v>272</v>
      </c>
      <c r="C4363" s="35" t="s">
        <v>274</v>
      </c>
      <c r="D4363" t="s">
        <v>502</v>
      </c>
      <c r="E4363" t="s">
        <v>520</v>
      </c>
      <c r="F4363" s="188" t="n">
        <v>2030</v>
      </c>
      <c r="G4363" s="189" t="n">
        <v>31</v>
      </c>
      <c r="H4363" s="190" t="n">
        <v>1074.27476143675</v>
      </c>
      <c r="I4363" s="191" t="n">
        <v>4347611.21719103</v>
      </c>
      <c r="J4363" s="192" t="str">
        <f>IF(I4363&gt;0,H4363/I4363,0)</f>
      </c>
      <c r="K4363" s="193" t="str">
        <f>1-EXP(-J4363)</f>
      </c>
      <c r="L4363" s="194" t="str">
        <f>IF(G4363=30,1,M4362)</f>
      </c>
      <c r="M4363" s="195" t="str">
        <f>L4363*(1-K4363)</f>
      </c>
    </row>
    <row r="4364">
      <c r="A4364" t="s">
        <v>167</v>
      </c>
      <c r="B4364" t="s">
        <v>272</v>
      </c>
      <c r="C4364" s="35" t="s">
        <v>274</v>
      </c>
      <c r="D4364" t="s">
        <v>502</v>
      </c>
      <c r="E4364" t="s">
        <v>520</v>
      </c>
      <c r="F4364" s="188" t="n">
        <v>2030</v>
      </c>
      <c r="G4364" s="189" t="n">
        <v>32</v>
      </c>
      <c r="H4364" s="190" t="n">
        <v>1146.84535215397</v>
      </c>
      <c r="I4364" s="191" t="n">
        <v>4407889.60332785</v>
      </c>
      <c r="J4364" s="192" t="str">
        <f>IF(I4364&gt;0,H4364/I4364,0)</f>
      </c>
      <c r="K4364" s="193" t="str">
        <f>1-EXP(-J4364)</f>
      </c>
      <c r="L4364" s="194" t="str">
        <f>IF(G4364=30,1,M4363)</f>
      </c>
      <c r="M4364" s="195" t="str">
        <f>L4364*(1-K4364)</f>
      </c>
    </row>
    <row r="4365">
      <c r="A4365" t="s">
        <v>167</v>
      </c>
      <c r="B4365" t="s">
        <v>272</v>
      </c>
      <c r="C4365" s="35" t="s">
        <v>274</v>
      </c>
      <c r="D4365" t="s">
        <v>502</v>
      </c>
      <c r="E4365" t="s">
        <v>520</v>
      </c>
      <c r="F4365" s="188" t="n">
        <v>2030</v>
      </c>
      <c r="G4365" s="189" t="n">
        <v>33</v>
      </c>
      <c r="H4365" s="190" t="n">
        <v>1447.82759498534</v>
      </c>
      <c r="I4365" s="191" t="n">
        <v>4548863.13001812</v>
      </c>
      <c r="J4365" s="192" t="str">
        <f>IF(I4365&gt;0,H4365/I4365,0)</f>
      </c>
      <c r="K4365" s="193" t="str">
        <f>1-EXP(-J4365)</f>
      </c>
      <c r="L4365" s="194" t="str">
        <f>IF(G4365=30,1,M4364)</f>
      </c>
      <c r="M4365" s="195" t="str">
        <f>L4365*(1-K4365)</f>
      </c>
    </row>
    <row r="4366">
      <c r="A4366" t="s">
        <v>167</v>
      </c>
      <c r="B4366" t="s">
        <v>272</v>
      </c>
      <c r="C4366" s="35" t="s">
        <v>274</v>
      </c>
      <c r="D4366" t="s">
        <v>502</v>
      </c>
      <c r="E4366" t="s">
        <v>520</v>
      </c>
      <c r="F4366" s="188" t="n">
        <v>2030</v>
      </c>
      <c r="G4366" s="189" t="n">
        <v>34</v>
      </c>
      <c r="H4366" s="190" t="n">
        <v>1520.00960212555</v>
      </c>
      <c r="I4366" s="191" t="n">
        <v>4506056.13847498</v>
      </c>
      <c r="J4366" s="192" t="str">
        <f>IF(I4366&gt;0,H4366/I4366,0)</f>
      </c>
      <c r="K4366" s="193" t="str">
        <f>1-EXP(-J4366)</f>
      </c>
      <c r="L4366" s="194" t="str">
        <f>IF(G4366=30,1,M4365)</f>
      </c>
      <c r="M4366" s="195" t="str">
        <f>L4366*(1-K4366)</f>
      </c>
    </row>
    <row r="4367">
      <c r="A4367" t="s">
        <v>167</v>
      </c>
      <c r="B4367" t="s">
        <v>272</v>
      </c>
      <c r="C4367" s="35" t="s">
        <v>274</v>
      </c>
      <c r="D4367" t="s">
        <v>502</v>
      </c>
      <c r="E4367" t="s">
        <v>520</v>
      </c>
      <c r="F4367" s="188" t="n">
        <v>2030</v>
      </c>
      <c r="G4367" s="189" t="n">
        <v>35</v>
      </c>
      <c r="H4367" s="190" t="n">
        <v>2033.30054720775</v>
      </c>
      <c r="I4367" s="191" t="n">
        <v>4433050.86711976</v>
      </c>
      <c r="J4367" s="192" t="str">
        <f>IF(I4367&gt;0,H4367/I4367,0)</f>
      </c>
      <c r="K4367" s="193" t="str">
        <f>1-EXP(-J4367)</f>
      </c>
      <c r="L4367" s="194" t="str">
        <f>IF(G4367=30,1,M4366)</f>
      </c>
      <c r="M4367" s="195" t="str">
        <f>L4367*(1-K4367)</f>
      </c>
    </row>
    <row r="4368">
      <c r="A4368" t="s">
        <v>167</v>
      </c>
      <c r="B4368" t="s">
        <v>272</v>
      </c>
      <c r="C4368" s="35" t="s">
        <v>274</v>
      </c>
      <c r="D4368" t="s">
        <v>502</v>
      </c>
      <c r="E4368" t="s">
        <v>520</v>
      </c>
      <c r="F4368" s="188" t="n">
        <v>2030</v>
      </c>
      <c r="G4368" s="189" t="n">
        <v>36</v>
      </c>
      <c r="H4368" s="190" t="n">
        <v>2142.25429875629</v>
      </c>
      <c r="I4368" s="191" t="n">
        <v>4375318.48661103</v>
      </c>
      <c r="J4368" s="192" t="str">
        <f>IF(I4368&gt;0,H4368/I4368,0)</f>
      </c>
      <c r="K4368" s="193" t="str">
        <f>1-EXP(-J4368)</f>
      </c>
      <c r="L4368" s="194" t="str">
        <f>IF(G4368=30,1,M4367)</f>
      </c>
      <c r="M4368" s="195" t="str">
        <f>L4368*(1-K4368)</f>
      </c>
    </row>
    <row r="4369">
      <c r="A4369" t="s">
        <v>167</v>
      </c>
      <c r="B4369" t="s">
        <v>272</v>
      </c>
      <c r="C4369" s="35" t="s">
        <v>274</v>
      </c>
      <c r="D4369" t="s">
        <v>502</v>
      </c>
      <c r="E4369" t="s">
        <v>520</v>
      </c>
      <c r="F4369" s="188" t="n">
        <v>2030</v>
      </c>
      <c r="G4369" s="189" t="n">
        <v>37</v>
      </c>
      <c r="H4369" s="190" t="n">
        <v>2270.24583317264</v>
      </c>
      <c r="I4369" s="191" t="n">
        <v>4321648.32312167</v>
      </c>
      <c r="J4369" s="192" t="str">
        <f>IF(I4369&gt;0,H4369/I4369,0)</f>
      </c>
      <c r="K4369" s="193" t="str">
        <f>1-EXP(-J4369)</f>
      </c>
      <c r="L4369" s="194" t="str">
        <f>IF(G4369=30,1,M4368)</f>
      </c>
      <c r="M4369" s="195" t="str">
        <f>L4369*(1-K4369)</f>
      </c>
    </row>
    <row r="4370">
      <c r="A4370" t="s">
        <v>167</v>
      </c>
      <c r="B4370" t="s">
        <v>272</v>
      </c>
      <c r="C4370" s="35" t="s">
        <v>274</v>
      </c>
      <c r="D4370" t="s">
        <v>502</v>
      </c>
      <c r="E4370" t="s">
        <v>520</v>
      </c>
      <c r="F4370" s="188" t="n">
        <v>2030</v>
      </c>
      <c r="G4370" s="189" t="n">
        <v>38</v>
      </c>
      <c r="H4370" s="190" t="n">
        <v>2460.00107205684</v>
      </c>
      <c r="I4370" s="191" t="n">
        <v>4359350.40926018</v>
      </c>
      <c r="J4370" s="192" t="str">
        <f>IF(I4370&gt;0,H4370/I4370,0)</f>
      </c>
      <c r="K4370" s="193" t="str">
        <f>1-EXP(-J4370)</f>
      </c>
      <c r="L4370" s="194" t="str">
        <f>IF(G4370=30,1,M4369)</f>
      </c>
      <c r="M4370" s="195" t="str">
        <f>L4370*(1-K4370)</f>
      </c>
    </row>
    <row r="4371">
      <c r="A4371" t="s">
        <v>167</v>
      </c>
      <c r="B4371" t="s">
        <v>272</v>
      </c>
      <c r="C4371" s="35" t="s">
        <v>274</v>
      </c>
      <c r="D4371" t="s">
        <v>502</v>
      </c>
      <c r="E4371" t="s">
        <v>520</v>
      </c>
      <c r="F4371" s="188" t="n">
        <v>2030</v>
      </c>
      <c r="G4371" s="189" t="n">
        <v>39</v>
      </c>
      <c r="H4371" s="190" t="n">
        <v>2659.45070126311</v>
      </c>
      <c r="I4371" s="191" t="n">
        <v>4377324.37862984</v>
      </c>
      <c r="J4371" s="192" t="str">
        <f>IF(I4371&gt;0,H4371/I4371,0)</f>
      </c>
      <c r="K4371" s="193" t="str">
        <f>1-EXP(-J4371)</f>
      </c>
      <c r="L4371" s="194" t="str">
        <f>IF(G4371=30,1,M4370)</f>
      </c>
      <c r="M4371" s="195" t="str">
        <f>L4371*(1-K4371)</f>
      </c>
    </row>
    <row r="4372">
      <c r="A4372" t="s">
        <v>167</v>
      </c>
      <c r="B4372" t="s">
        <v>272</v>
      </c>
      <c r="C4372" s="35" t="s">
        <v>274</v>
      </c>
      <c r="D4372" t="s">
        <v>502</v>
      </c>
      <c r="E4372" t="s">
        <v>520</v>
      </c>
      <c r="F4372" s="188" t="n">
        <v>2030</v>
      </c>
      <c r="G4372" s="189" t="n">
        <v>40</v>
      </c>
      <c r="H4372" s="190" t="n">
        <v>5029.07905329884</v>
      </c>
      <c r="I4372" s="191" t="n">
        <v>6445634.815876</v>
      </c>
      <c r="J4372" s="192" t="str">
        <f>IF(I4372&gt;0,H4372/I4372,0)</f>
      </c>
      <c r="K4372" s="193" t="str">
        <f>1-EXP(-J4372)</f>
      </c>
      <c r="L4372" s="194" t="str">
        <f>IF(G4372=30,1,M4371)</f>
      </c>
      <c r="M4372" s="195" t="str">
        <f>L4372*(1-K4372)</f>
      </c>
    </row>
    <row r="4373">
      <c r="A4373" t="s">
        <v>167</v>
      </c>
      <c r="B4373" t="s">
        <v>272</v>
      </c>
      <c r="C4373" s="35" t="s">
        <v>274</v>
      </c>
      <c r="D4373" t="s">
        <v>502</v>
      </c>
      <c r="E4373" t="s">
        <v>520</v>
      </c>
      <c r="F4373" s="188" t="n">
        <v>2030</v>
      </c>
      <c r="G4373" s="189" t="n">
        <v>41</v>
      </c>
      <c r="H4373" s="190" t="n">
        <v>3832.67951824193</v>
      </c>
      <c r="I4373" s="191" t="n">
        <v>4334967.93397713</v>
      </c>
      <c r="J4373" s="192" t="str">
        <f>IF(I4373&gt;0,H4373/I4373,0)</f>
      </c>
      <c r="K4373" s="193" t="str">
        <f>1-EXP(-J4373)</f>
      </c>
      <c r="L4373" s="194" t="str">
        <f>IF(G4373=30,1,M4372)</f>
      </c>
      <c r="M4373" s="195" t="str">
        <f>L4373*(1-K4373)</f>
      </c>
    </row>
    <row r="4374">
      <c r="A4374" t="s">
        <v>167</v>
      </c>
      <c r="B4374" t="s">
        <v>272</v>
      </c>
      <c r="C4374" s="35" t="s">
        <v>274</v>
      </c>
      <c r="D4374" t="s">
        <v>502</v>
      </c>
      <c r="E4374" t="s">
        <v>520</v>
      </c>
      <c r="F4374" s="188" t="n">
        <v>2030</v>
      </c>
      <c r="G4374" s="189" t="n">
        <v>42</v>
      </c>
      <c r="H4374" s="190" t="n">
        <v>4141.55706194998</v>
      </c>
      <c r="I4374" s="191" t="n">
        <v>4318123.09538448</v>
      </c>
      <c r="J4374" s="192" t="str">
        <f>IF(I4374&gt;0,H4374/I4374,0)</f>
      </c>
      <c r="K4374" s="193" t="str">
        <f>1-EXP(-J4374)</f>
      </c>
      <c r="L4374" s="194" t="str">
        <f>IF(G4374=30,1,M4373)</f>
      </c>
      <c r="M4374" s="195" t="str">
        <f>L4374*(1-K4374)</f>
      </c>
    </row>
    <row r="4375">
      <c r="A4375" t="s">
        <v>167</v>
      </c>
      <c r="B4375" t="s">
        <v>272</v>
      </c>
      <c r="C4375" s="35" t="s">
        <v>274</v>
      </c>
      <c r="D4375" t="s">
        <v>502</v>
      </c>
      <c r="E4375" t="s">
        <v>520</v>
      </c>
      <c r="F4375" s="188" t="n">
        <v>2030</v>
      </c>
      <c r="G4375" s="189" t="n">
        <v>43</v>
      </c>
      <c r="H4375" s="190" t="n">
        <v>4370.49535544756</v>
      </c>
      <c r="I4375" s="191" t="n">
        <v>4185714.04855203</v>
      </c>
      <c r="J4375" s="192" t="str">
        <f>IF(I4375&gt;0,H4375/I4375,0)</f>
      </c>
      <c r="K4375" s="193" t="str">
        <f>1-EXP(-J4375)</f>
      </c>
      <c r="L4375" s="194" t="str">
        <f>IF(G4375=30,1,M4374)</f>
      </c>
      <c r="M4375" s="195" t="str">
        <f>L4375*(1-K4375)</f>
      </c>
    </row>
    <row r="4376">
      <c r="A4376" t="s">
        <v>167</v>
      </c>
      <c r="B4376" t="s">
        <v>272</v>
      </c>
      <c r="C4376" s="35" t="s">
        <v>274</v>
      </c>
      <c r="D4376" t="s">
        <v>502</v>
      </c>
      <c r="E4376" t="s">
        <v>520</v>
      </c>
      <c r="F4376" s="188" t="n">
        <v>2030</v>
      </c>
      <c r="G4376" s="189" t="n">
        <v>44</v>
      </c>
      <c r="H4376" s="190" t="n">
        <v>4731.58074926279</v>
      </c>
      <c r="I4376" s="191" t="n">
        <v>4150926.98760504</v>
      </c>
      <c r="J4376" s="192" t="str">
        <f>IF(I4376&gt;0,H4376/I4376,0)</f>
      </c>
      <c r="K4376" s="193" t="str">
        <f>1-EXP(-J4376)</f>
      </c>
      <c r="L4376" s="194" t="str">
        <f>IF(G4376=30,1,M4375)</f>
      </c>
      <c r="M4376" s="195" t="str">
        <f>L4376*(1-K4376)</f>
      </c>
    </row>
    <row r="4377">
      <c r="A4377" t="s">
        <v>167</v>
      </c>
      <c r="B4377" t="s">
        <v>272</v>
      </c>
      <c r="C4377" s="35" t="s">
        <v>274</v>
      </c>
      <c r="D4377" t="s">
        <v>502</v>
      </c>
      <c r="E4377" t="s">
        <v>520</v>
      </c>
      <c r="F4377" s="188" t="n">
        <v>2030</v>
      </c>
      <c r="G4377" s="189" t="n">
        <v>45</v>
      </c>
      <c r="H4377" s="190" t="n">
        <v>6209.89930893221</v>
      </c>
      <c r="I4377" s="191" t="n">
        <v>4209640.26482942</v>
      </c>
      <c r="J4377" s="192" t="str">
        <f>IF(I4377&gt;0,H4377/I4377,0)</f>
      </c>
      <c r="K4377" s="193" t="str">
        <f>1-EXP(-J4377)</f>
      </c>
      <c r="L4377" s="194" t="str">
        <f>IF(G4377=30,1,M4376)</f>
      </c>
      <c r="M4377" s="195" t="str">
        <f>L4377*(1-K4377)</f>
      </c>
    </row>
    <row r="4378">
      <c r="A4378" t="s">
        <v>167</v>
      </c>
      <c r="B4378" t="s">
        <v>272</v>
      </c>
      <c r="C4378" s="35" t="s">
        <v>274</v>
      </c>
      <c r="D4378" t="s">
        <v>502</v>
      </c>
      <c r="E4378" t="s">
        <v>520</v>
      </c>
      <c r="F4378" s="188" t="n">
        <v>2030</v>
      </c>
      <c r="G4378" s="189" t="n">
        <v>46</v>
      </c>
      <c r="H4378" s="190" t="n">
        <v>6925.61338145125</v>
      </c>
      <c r="I4378" s="191" t="n">
        <v>4292298.82086038</v>
      </c>
      <c r="J4378" s="192" t="str">
        <f>IF(I4378&gt;0,H4378/I4378,0)</f>
      </c>
      <c r="K4378" s="193" t="str">
        <f>1-EXP(-J4378)</f>
      </c>
      <c r="L4378" s="194" t="str">
        <f>IF(G4378=30,1,M4377)</f>
      </c>
      <c r="M4378" s="195" t="str">
        <f>L4378*(1-K4378)</f>
      </c>
    </row>
    <row r="4379">
      <c r="A4379" t="s">
        <v>167</v>
      </c>
      <c r="B4379" t="s">
        <v>272</v>
      </c>
      <c r="C4379" s="35" t="s">
        <v>274</v>
      </c>
      <c r="D4379" t="s">
        <v>502</v>
      </c>
      <c r="E4379" t="s">
        <v>520</v>
      </c>
      <c r="F4379" s="188" t="n">
        <v>2030</v>
      </c>
      <c r="G4379" s="189" t="n">
        <v>47</v>
      </c>
      <c r="H4379" s="190" t="n">
        <v>7548.31256293274</v>
      </c>
      <c r="I4379" s="191" t="n">
        <v>4267021.93055858</v>
      </c>
      <c r="J4379" s="192" t="str">
        <f>IF(I4379&gt;0,H4379/I4379,0)</f>
      </c>
      <c r="K4379" s="193" t="str">
        <f>1-EXP(-J4379)</f>
      </c>
      <c r="L4379" s="194" t="str">
        <f>IF(G4379=30,1,M4378)</f>
      </c>
      <c r="M4379" s="195" t="str">
        <f>L4379*(1-K4379)</f>
      </c>
    </row>
    <row r="4380">
      <c r="A4380" t="s">
        <v>167</v>
      </c>
      <c r="B4380" t="s">
        <v>272</v>
      </c>
      <c r="C4380" s="35" t="s">
        <v>274</v>
      </c>
      <c r="D4380" t="s">
        <v>502</v>
      </c>
      <c r="E4380" t="s">
        <v>520</v>
      </c>
      <c r="F4380" s="188" t="n">
        <v>2030</v>
      </c>
      <c r="G4380" s="189" t="n">
        <v>48</v>
      </c>
      <c r="H4380" s="190" t="n">
        <v>8012.10804499604</v>
      </c>
      <c r="I4380" s="191" t="n">
        <v>4129434.29027004</v>
      </c>
      <c r="J4380" s="192" t="str">
        <f>IF(I4380&gt;0,H4380/I4380,0)</f>
      </c>
      <c r="K4380" s="193" t="str">
        <f>1-EXP(-J4380)</f>
      </c>
      <c r="L4380" s="194" t="str">
        <f>IF(G4380=30,1,M4379)</f>
      </c>
      <c r="M4380" s="195" t="str">
        <f>L4380*(1-K4380)</f>
      </c>
    </row>
    <row r="4381">
      <c r="A4381" t="s">
        <v>167</v>
      </c>
      <c r="B4381" t="s">
        <v>272</v>
      </c>
      <c r="C4381" s="35" t="s">
        <v>274</v>
      </c>
      <c r="D4381" t="s">
        <v>502</v>
      </c>
      <c r="E4381" t="s">
        <v>520</v>
      </c>
      <c r="F4381" s="188" t="n">
        <v>2030</v>
      </c>
      <c r="G4381" s="189" t="n">
        <v>49</v>
      </c>
      <c r="H4381" s="190" t="n">
        <v>8614.78243562373</v>
      </c>
      <c r="I4381" s="191" t="n">
        <v>4053967.58127479</v>
      </c>
      <c r="J4381" s="192" t="str">
        <f>IF(I4381&gt;0,H4381/I4381,0)</f>
      </c>
      <c r="K4381" s="193" t="str">
        <f>1-EXP(-J4381)</f>
      </c>
      <c r="L4381" s="194" t="str">
        <f>IF(G4381=30,1,M4380)</f>
      </c>
      <c r="M4381" s="195" t="str">
        <f>L4381*(1-K4381)</f>
      </c>
    </row>
    <row r="4382">
      <c r="A4382" t="s">
        <v>167</v>
      </c>
      <c r="B4382" t="s">
        <v>272</v>
      </c>
      <c r="C4382" s="35" t="s">
        <v>274</v>
      </c>
      <c r="D4382" t="s">
        <v>502</v>
      </c>
      <c r="E4382" t="s">
        <v>520</v>
      </c>
      <c r="F4382" s="188" t="n">
        <v>2030</v>
      </c>
      <c r="G4382" s="189" t="n">
        <v>50</v>
      </c>
      <c r="H4382" s="190" t="n">
        <v>9886.67503917671</v>
      </c>
      <c r="I4382" s="191" t="n">
        <v>3994167.96032179</v>
      </c>
      <c r="J4382" s="192" t="str">
        <f>IF(I4382&gt;0,H4382/I4382,0)</f>
      </c>
      <c r="K4382" s="193" t="str">
        <f>1-EXP(-J4382)</f>
      </c>
      <c r="L4382" s="194" t="str">
        <f>IF(G4382=30,1,M4381)</f>
      </c>
      <c r="M4382" s="195" t="str">
        <f>L4382*(1-K4382)</f>
      </c>
    </row>
    <row r="4383">
      <c r="A4383" t="s">
        <v>167</v>
      </c>
      <c r="B4383" t="s">
        <v>272</v>
      </c>
      <c r="C4383" s="35" t="s">
        <v>274</v>
      </c>
      <c r="D4383" t="s">
        <v>502</v>
      </c>
      <c r="E4383" t="s">
        <v>520</v>
      </c>
      <c r="F4383" s="188" t="n">
        <v>2030</v>
      </c>
      <c r="G4383" s="189" t="n">
        <v>51</v>
      </c>
      <c r="H4383" s="190" t="n">
        <v>10639.0962440541</v>
      </c>
      <c r="I4383" s="191" t="n">
        <v>3927935.83442523</v>
      </c>
      <c r="J4383" s="192" t="str">
        <f>IF(I4383&gt;0,H4383/I4383,0)</f>
      </c>
      <c r="K4383" s="193" t="str">
        <f>1-EXP(-J4383)</f>
      </c>
      <c r="L4383" s="194" t="str">
        <f>IF(G4383=30,1,M4382)</f>
      </c>
      <c r="M4383" s="195" t="str">
        <f>L4383*(1-K4383)</f>
      </c>
    </row>
    <row r="4384">
      <c r="A4384" t="s">
        <v>167</v>
      </c>
      <c r="B4384" t="s">
        <v>272</v>
      </c>
      <c r="C4384" s="35" t="s">
        <v>274</v>
      </c>
      <c r="D4384" t="s">
        <v>502</v>
      </c>
      <c r="E4384" t="s">
        <v>520</v>
      </c>
      <c r="F4384" s="188" t="n">
        <v>2030</v>
      </c>
      <c r="G4384" s="189" t="n">
        <v>52</v>
      </c>
      <c r="H4384" s="190" t="n">
        <v>11374.1382526236</v>
      </c>
      <c r="I4384" s="191" t="n">
        <v>3843015.85391942</v>
      </c>
      <c r="J4384" s="192" t="str">
        <f>IF(I4384&gt;0,H4384/I4384,0)</f>
      </c>
      <c r="K4384" s="193" t="str">
        <f>1-EXP(-J4384)</f>
      </c>
      <c r="L4384" s="194" t="str">
        <f>IF(G4384=30,1,M4383)</f>
      </c>
      <c r="M4384" s="195" t="str">
        <f>L4384*(1-K4384)</f>
      </c>
    </row>
    <row r="4385">
      <c r="A4385" t="s">
        <v>167</v>
      </c>
      <c r="B4385" t="s">
        <v>272</v>
      </c>
      <c r="C4385" s="35" t="s">
        <v>274</v>
      </c>
      <c r="D4385" t="s">
        <v>502</v>
      </c>
      <c r="E4385" t="s">
        <v>520</v>
      </c>
      <c r="F4385" s="188" t="n">
        <v>2030</v>
      </c>
      <c r="G4385" s="189" t="n">
        <v>53</v>
      </c>
      <c r="H4385" s="190" t="n">
        <v>12219.5319728276</v>
      </c>
      <c r="I4385" s="191" t="n">
        <v>3774953.373245</v>
      </c>
      <c r="J4385" s="192" t="str">
        <f>IF(I4385&gt;0,H4385/I4385,0)</f>
      </c>
      <c r="K4385" s="193" t="str">
        <f>1-EXP(-J4385)</f>
      </c>
      <c r="L4385" s="194" t="str">
        <f>IF(G4385=30,1,M4384)</f>
      </c>
      <c r="M4385" s="195" t="str">
        <f>L4385*(1-K4385)</f>
      </c>
    </row>
    <row r="4386">
      <c r="A4386" t="s">
        <v>167</v>
      </c>
      <c r="B4386" t="s">
        <v>272</v>
      </c>
      <c r="C4386" s="35" t="s">
        <v>274</v>
      </c>
      <c r="D4386" t="s">
        <v>502</v>
      </c>
      <c r="E4386" t="s">
        <v>520</v>
      </c>
      <c r="F4386" s="188" t="n">
        <v>2030</v>
      </c>
      <c r="G4386" s="189" t="n">
        <v>54</v>
      </c>
      <c r="H4386" s="190" t="n">
        <v>13066.4180156966</v>
      </c>
      <c r="I4386" s="191" t="n">
        <v>3694979.34836587</v>
      </c>
      <c r="J4386" s="192" t="str">
        <f>IF(I4386&gt;0,H4386/I4386,0)</f>
      </c>
      <c r="K4386" s="193" t="str">
        <f>1-EXP(-J4386)</f>
      </c>
      <c r="L4386" s="194" t="str">
        <f>IF(G4386=30,1,M4385)</f>
      </c>
      <c r="M4386" s="195" t="str">
        <f>L4386*(1-K4386)</f>
      </c>
    </row>
    <row r="4387">
      <c r="A4387" t="s">
        <v>167</v>
      </c>
      <c r="B4387" t="s">
        <v>272</v>
      </c>
      <c r="C4387" s="35" t="s">
        <v>274</v>
      </c>
      <c r="D4387" t="s">
        <v>502</v>
      </c>
      <c r="E4387" t="s">
        <v>520</v>
      </c>
      <c r="F4387" s="188" t="n">
        <v>2030</v>
      </c>
      <c r="G4387" s="189" t="n">
        <v>55</v>
      </c>
      <c r="H4387" s="190" t="n">
        <v>14103.7518069128</v>
      </c>
      <c r="I4387" s="191" t="n">
        <v>3614131.15793359</v>
      </c>
      <c r="J4387" s="192" t="str">
        <f>IF(I4387&gt;0,H4387/I4387,0)</f>
      </c>
      <c r="K4387" s="193" t="str">
        <f>1-EXP(-J4387)</f>
      </c>
      <c r="L4387" s="194" t="str">
        <f>IF(G4387=30,1,M4386)</f>
      </c>
      <c r="M4387" s="195" t="str">
        <f>L4387*(1-K4387)</f>
      </c>
    </row>
    <row r="4388">
      <c r="A4388" t="s">
        <v>167</v>
      </c>
      <c r="B4388" t="s">
        <v>272</v>
      </c>
      <c r="C4388" s="35" t="s">
        <v>274</v>
      </c>
      <c r="D4388" t="s">
        <v>502</v>
      </c>
      <c r="E4388" t="s">
        <v>520</v>
      </c>
      <c r="F4388" s="188" t="n">
        <v>2030</v>
      </c>
      <c r="G4388" s="189" t="n">
        <v>56</v>
      </c>
      <c r="H4388" s="190" t="n">
        <v>14924.01300773</v>
      </c>
      <c r="I4388" s="191" t="n">
        <v>3505436.07483837</v>
      </c>
      <c r="J4388" s="192" t="str">
        <f>IF(I4388&gt;0,H4388/I4388,0)</f>
      </c>
      <c r="K4388" s="193" t="str">
        <f>1-EXP(-J4388)</f>
      </c>
      <c r="L4388" s="194" t="str">
        <f>IF(G4388=30,1,M4387)</f>
      </c>
      <c r="M4388" s="195" t="str">
        <f>L4388*(1-K4388)</f>
      </c>
    </row>
    <row r="4389">
      <c r="A4389" t="s">
        <v>167</v>
      </c>
      <c r="B4389" t="s">
        <v>272</v>
      </c>
      <c r="C4389" s="35" t="s">
        <v>274</v>
      </c>
      <c r="D4389" t="s">
        <v>502</v>
      </c>
      <c r="E4389" t="s">
        <v>520</v>
      </c>
      <c r="F4389" s="188" t="n">
        <v>2030</v>
      </c>
      <c r="G4389" s="189" t="n">
        <v>57</v>
      </c>
      <c r="H4389" s="190" t="n">
        <v>16082.2034510864</v>
      </c>
      <c r="I4389" s="191" t="n">
        <v>3456406.8599354</v>
      </c>
      <c r="J4389" s="192" t="str">
        <f>IF(I4389&gt;0,H4389/I4389,0)</f>
      </c>
      <c r="K4389" s="193" t="str">
        <f>1-EXP(-J4389)</f>
      </c>
      <c r="L4389" s="194" t="str">
        <f>IF(G4389=30,1,M4388)</f>
      </c>
      <c r="M4389" s="195" t="str">
        <f>L4389*(1-K4389)</f>
      </c>
    </row>
    <row r="4390">
      <c r="A4390" t="s">
        <v>167</v>
      </c>
      <c r="B4390" t="s">
        <v>272</v>
      </c>
      <c r="C4390" s="35" t="s">
        <v>274</v>
      </c>
      <c r="D4390" t="s">
        <v>502</v>
      </c>
      <c r="E4390" t="s">
        <v>520</v>
      </c>
      <c r="F4390" s="188" t="n">
        <v>2030</v>
      </c>
      <c r="G4390" s="189" t="n">
        <v>58</v>
      </c>
      <c r="H4390" s="190" t="n">
        <v>16531.2493393059</v>
      </c>
      <c r="I4390" s="191" t="n">
        <v>3245620.76118224</v>
      </c>
      <c r="J4390" s="192" t="str">
        <f>IF(I4390&gt;0,H4390/I4390,0)</f>
      </c>
      <c r="K4390" s="193" t="str">
        <f>1-EXP(-J4390)</f>
      </c>
      <c r="L4390" s="194" t="str">
        <f>IF(G4390=30,1,M4389)</f>
      </c>
      <c r="M4390" s="195" t="str">
        <f>L4390*(1-K4390)</f>
      </c>
    </row>
    <row r="4391">
      <c r="A4391" t="s">
        <v>167</v>
      </c>
      <c r="B4391" t="s">
        <v>272</v>
      </c>
      <c r="C4391" s="35" t="s">
        <v>274</v>
      </c>
      <c r="D4391" t="s">
        <v>502</v>
      </c>
      <c r="E4391" t="s">
        <v>520</v>
      </c>
      <c r="F4391" s="188" t="n">
        <v>2030</v>
      </c>
      <c r="G4391" s="189" t="n">
        <v>59</v>
      </c>
      <c r="H4391" s="190" t="n">
        <v>17574.1179320769</v>
      </c>
      <c r="I4391" s="191" t="n">
        <v>3154556.64930597</v>
      </c>
      <c r="J4391" s="192" t="str">
        <f>IF(I4391&gt;0,H4391/I4391,0)</f>
      </c>
      <c r="K4391" s="193" t="str">
        <f>1-EXP(-J4391)</f>
      </c>
      <c r="L4391" s="194" t="str">
        <f>IF(G4391=30,1,M4390)</f>
      </c>
      <c r="M4391" s="195" t="str">
        <f>L4391*(1-K4391)</f>
      </c>
    </row>
    <row r="4392">
      <c r="A4392" t="s">
        <v>167</v>
      </c>
      <c r="B4392" t="s">
        <v>272</v>
      </c>
      <c r="C4392" s="35" t="s">
        <v>274</v>
      </c>
      <c r="D4392" t="s">
        <v>502</v>
      </c>
      <c r="E4392" t="s">
        <v>520</v>
      </c>
      <c r="F4392" s="188" t="n">
        <v>2030</v>
      </c>
      <c r="G4392" s="189" t="n">
        <v>60</v>
      </c>
      <c r="H4392" s="190" t="n">
        <v>19035.2343324096</v>
      </c>
      <c r="I4392" s="191" t="n">
        <v>3067606.48032622</v>
      </c>
      <c r="J4392" s="192" t="str">
        <f>IF(I4392&gt;0,H4392/I4392,0)</f>
      </c>
      <c r="K4392" s="193" t="str">
        <f>1-EXP(-J4392)</f>
      </c>
      <c r="L4392" s="194" t="str">
        <f>IF(G4392=30,1,M4391)</f>
      </c>
      <c r="M4392" s="195" t="str">
        <f>L4392*(1-K4392)</f>
      </c>
    </row>
    <row r="4393">
      <c r="A4393" t="s">
        <v>167</v>
      </c>
      <c r="B4393" t="s">
        <v>272</v>
      </c>
      <c r="C4393" s="35" t="s">
        <v>274</v>
      </c>
      <c r="D4393" t="s">
        <v>502</v>
      </c>
      <c r="E4393" t="s">
        <v>520</v>
      </c>
      <c r="F4393" s="188" t="n">
        <v>2030</v>
      </c>
      <c r="G4393" s="189" t="n">
        <v>61</v>
      </c>
      <c r="H4393" s="190" t="n">
        <v>20237.7026977842</v>
      </c>
      <c r="I4393" s="191" t="n">
        <v>2970792.79186351</v>
      </c>
      <c r="J4393" s="192" t="str">
        <f>IF(I4393&gt;0,H4393/I4393,0)</f>
      </c>
      <c r="K4393" s="193" t="str">
        <f>1-EXP(-J4393)</f>
      </c>
      <c r="L4393" s="194" t="str">
        <f>IF(G4393=30,1,M4392)</f>
      </c>
      <c r="M4393" s="195" t="str">
        <f>L4393*(1-K4393)</f>
      </c>
    </row>
    <row r="4394">
      <c r="A4394" t="s">
        <v>167</v>
      </c>
      <c r="B4394" t="s">
        <v>272</v>
      </c>
      <c r="C4394" s="35" t="s">
        <v>274</v>
      </c>
      <c r="D4394" t="s">
        <v>502</v>
      </c>
      <c r="E4394" t="s">
        <v>520</v>
      </c>
      <c r="F4394" s="188" t="n">
        <v>2030</v>
      </c>
      <c r="G4394" s="189" t="n">
        <v>62</v>
      </c>
      <c r="H4394" s="190" t="n">
        <v>21282.0889907078</v>
      </c>
      <c r="I4394" s="191" t="n">
        <v>2854941.84551781</v>
      </c>
      <c r="J4394" s="192" t="str">
        <f>IF(I4394&gt;0,H4394/I4394,0)</f>
      </c>
      <c r="K4394" s="193" t="str">
        <f>1-EXP(-J4394)</f>
      </c>
      <c r="L4394" s="194" t="str">
        <f>IF(G4394=30,1,M4393)</f>
      </c>
      <c r="M4394" s="195" t="str">
        <f>L4394*(1-K4394)</f>
      </c>
    </row>
    <row r="4395">
      <c r="A4395" t="s">
        <v>167</v>
      </c>
      <c r="B4395" t="s">
        <v>272</v>
      </c>
      <c r="C4395" s="35" t="s">
        <v>274</v>
      </c>
      <c r="D4395" t="s">
        <v>502</v>
      </c>
      <c r="E4395" t="s">
        <v>520</v>
      </c>
      <c r="F4395" s="188" t="n">
        <v>2030</v>
      </c>
      <c r="G4395" s="189" t="n">
        <v>63</v>
      </c>
      <c r="H4395" s="190" t="n">
        <v>22130.4238230587</v>
      </c>
      <c r="I4395" s="191" t="n">
        <v>2708640.80799479</v>
      </c>
      <c r="J4395" s="192" t="str">
        <f>IF(I4395&gt;0,H4395/I4395,0)</f>
      </c>
      <c r="K4395" s="193" t="str">
        <f>1-EXP(-J4395)</f>
      </c>
      <c r="L4395" s="194" t="str">
        <f>IF(G4395=30,1,M4394)</f>
      </c>
      <c r="M4395" s="195" t="str">
        <f>L4395*(1-K4395)</f>
      </c>
    </row>
    <row r="4396">
      <c r="A4396" t="s">
        <v>167</v>
      </c>
      <c r="B4396" t="s">
        <v>272</v>
      </c>
      <c r="C4396" s="35" t="s">
        <v>274</v>
      </c>
      <c r="D4396" t="s">
        <v>502</v>
      </c>
      <c r="E4396" t="s">
        <v>520</v>
      </c>
      <c r="F4396" s="188" t="n">
        <v>2030</v>
      </c>
      <c r="G4396" s="189" t="n">
        <v>64</v>
      </c>
      <c r="H4396" s="190" t="n">
        <v>23251.0704534367</v>
      </c>
      <c r="I4396" s="191" t="n">
        <v>2597830.6231564</v>
      </c>
      <c r="J4396" s="192" t="str">
        <f>IF(I4396&gt;0,H4396/I4396,0)</f>
      </c>
      <c r="K4396" s="193" t="str">
        <f>1-EXP(-J4396)</f>
      </c>
      <c r="L4396" s="194" t="str">
        <f>IF(G4396=30,1,M4395)</f>
      </c>
      <c r="M4396" s="195" t="str">
        <f>L4396*(1-K4396)</f>
      </c>
    </row>
    <row r="4397">
      <c r="A4397" t="s">
        <v>167</v>
      </c>
      <c r="B4397" t="s">
        <v>272</v>
      </c>
      <c r="C4397" s="35" t="s">
        <v>274</v>
      </c>
      <c r="D4397" t="s">
        <v>502</v>
      </c>
      <c r="E4397" t="s">
        <v>520</v>
      </c>
      <c r="F4397" s="188" t="n">
        <v>2030</v>
      </c>
      <c r="G4397" s="189" t="n">
        <v>65</v>
      </c>
      <c r="H4397" s="190" t="n">
        <v>23480.8875055402</v>
      </c>
      <c r="I4397" s="191" t="n">
        <v>2466082.91802066</v>
      </c>
      <c r="J4397" s="192" t="str">
        <f>IF(I4397&gt;0,H4397/I4397,0)</f>
      </c>
      <c r="K4397" s="193" t="str">
        <f>1-EXP(-J4397)</f>
      </c>
      <c r="L4397" s="194" t="str">
        <f>IF(G4397=30,1,M4396)</f>
      </c>
      <c r="M4397" s="195" t="str">
        <f>L4397*(1-K4397)</f>
      </c>
    </row>
    <row r="4398">
      <c r="A4398" t="s">
        <v>167</v>
      </c>
      <c r="B4398" t="s">
        <v>272</v>
      </c>
      <c r="C4398" s="35" t="s">
        <v>274</v>
      </c>
      <c r="D4398" t="s">
        <v>502</v>
      </c>
      <c r="E4398" t="s">
        <v>520</v>
      </c>
      <c r="F4398" s="188" t="n">
        <v>2030</v>
      </c>
      <c r="G4398" s="189" t="n">
        <v>66</v>
      </c>
      <c r="H4398" s="190" t="n">
        <v>24363.1089033593</v>
      </c>
      <c r="I4398" s="191" t="n">
        <v>2334822.11648004</v>
      </c>
      <c r="J4398" s="192" t="str">
        <f>IF(I4398&gt;0,H4398/I4398,0)</f>
      </c>
      <c r="K4398" s="193" t="str">
        <f>1-EXP(-J4398)</f>
      </c>
      <c r="L4398" s="194" t="str">
        <f>IF(G4398=30,1,M4397)</f>
      </c>
      <c r="M4398" s="195" t="str">
        <f>L4398*(1-K4398)</f>
      </c>
    </row>
    <row r="4399">
      <c r="A4399" t="s">
        <v>167</v>
      </c>
      <c r="B4399" t="s">
        <v>272</v>
      </c>
      <c r="C4399" s="35" t="s">
        <v>274</v>
      </c>
      <c r="D4399" t="s">
        <v>502</v>
      </c>
      <c r="E4399" t="s">
        <v>520</v>
      </c>
      <c r="F4399" s="188" t="n">
        <v>2030</v>
      </c>
      <c r="G4399" s="189" t="n">
        <v>67</v>
      </c>
      <c r="H4399" s="190" t="n">
        <v>25276.3079336717</v>
      </c>
      <c r="I4399" s="191" t="n">
        <v>2208103.84560381</v>
      </c>
      <c r="J4399" s="192" t="str">
        <f>IF(I4399&gt;0,H4399/I4399,0)</f>
      </c>
      <c r="K4399" s="193" t="str">
        <f>1-EXP(-J4399)</f>
      </c>
      <c r="L4399" s="194" t="str">
        <f>IF(G4399=30,1,M4398)</f>
      </c>
      <c r="M4399" s="195" t="str">
        <f>L4399*(1-K4399)</f>
      </c>
    </row>
    <row r="4400">
      <c r="A4400" t="s">
        <v>167</v>
      </c>
      <c r="B4400" t="s">
        <v>272</v>
      </c>
      <c r="C4400" s="35" t="s">
        <v>274</v>
      </c>
      <c r="D4400" t="s">
        <v>502</v>
      </c>
      <c r="E4400" t="s">
        <v>520</v>
      </c>
      <c r="F4400" s="188" t="n">
        <v>2030</v>
      </c>
      <c r="G4400" s="189" t="n">
        <v>68</v>
      </c>
      <c r="H4400" s="190" t="n">
        <v>25936.8212449665</v>
      </c>
      <c r="I4400" s="191" t="n">
        <v>2057012.29096009</v>
      </c>
      <c r="J4400" s="192" t="str">
        <f>IF(I4400&gt;0,H4400/I4400,0)</f>
      </c>
      <c r="K4400" s="193" t="str">
        <f>1-EXP(-J4400)</f>
      </c>
      <c r="L4400" s="194" t="str">
        <f>IF(G4400=30,1,M4399)</f>
      </c>
      <c r="M4400" s="195" t="str">
        <f>L4400*(1-K4400)</f>
      </c>
    </row>
    <row r="4401">
      <c r="A4401" t="s">
        <v>167</v>
      </c>
      <c r="B4401" t="s">
        <v>272</v>
      </c>
      <c r="C4401" s="35" t="s">
        <v>274</v>
      </c>
      <c r="D4401" t="s">
        <v>502</v>
      </c>
      <c r="E4401" t="s">
        <v>520</v>
      </c>
      <c r="F4401" s="188" t="n">
        <v>2030</v>
      </c>
      <c r="G4401" s="189" t="n">
        <v>69</v>
      </c>
      <c r="H4401" s="190" t="n">
        <v>26731.6915975971</v>
      </c>
      <c r="I4401" s="191" t="n">
        <v>1930368.52623559</v>
      </c>
      <c r="J4401" s="192" t="str">
        <f>IF(I4401&gt;0,H4401/I4401,0)</f>
      </c>
      <c r="K4401" s="193" t="str">
        <f>1-EXP(-J4401)</f>
      </c>
      <c r="L4401" s="194" t="str">
        <f>IF(G4401=30,1,M4400)</f>
      </c>
      <c r="M4401" s="195" t="str">
        <f>L4401*(1-K4401)</f>
      </c>
    </row>
    <row r="4402">
      <c r="A4402" t="s">
        <v>167</v>
      </c>
      <c r="B4402" t="s">
        <v>272</v>
      </c>
      <c r="C4402" s="35" t="s">
        <v>274</v>
      </c>
      <c r="D4402" t="s">
        <v>502</v>
      </c>
      <c r="E4402" t="s">
        <v>520</v>
      </c>
      <c r="F4402" s="188" t="n">
        <v>2031</v>
      </c>
      <c r="G4402" s="189" t="n">
        <v>30</v>
      </c>
      <c r="H4402" s="190" t="n">
        <v>940.759666689866</v>
      </c>
      <c r="I4402" s="191" t="n">
        <v>4341014.85382278</v>
      </c>
      <c r="J4402" s="192" t="str">
        <f>IF(I4402&gt;0,H4402/I4402,0)</f>
      </c>
      <c r="K4402" s="193" t="str">
        <f>1-EXP(-J4402)</f>
      </c>
      <c r="L4402" s="194" t="str">
        <f>IF(G4402=30,1,M4401)</f>
      </c>
      <c r="M4402" s="195" t="str">
        <f>L4402*(1-K4402)</f>
      </c>
    </row>
    <row r="4403">
      <c r="A4403" t="s">
        <v>167</v>
      </c>
      <c r="B4403" t="s">
        <v>272</v>
      </c>
      <c r="C4403" s="35" t="s">
        <v>274</v>
      </c>
      <c r="D4403" t="s">
        <v>502</v>
      </c>
      <c r="E4403" t="s">
        <v>520</v>
      </c>
      <c r="F4403" s="188" t="n">
        <v>2031</v>
      </c>
      <c r="G4403" s="189" t="n">
        <v>31</v>
      </c>
      <c r="H4403" s="190" t="n">
        <v>1068.69068278347</v>
      </c>
      <c r="I4403" s="191" t="n">
        <v>4321293.62697839</v>
      </c>
      <c r="J4403" s="192" t="str">
        <f>IF(I4403&gt;0,H4403/I4403,0)</f>
      </c>
      <c r="K4403" s="193" t="str">
        <f>1-EXP(-J4403)</f>
      </c>
      <c r="L4403" s="194" t="str">
        <f>IF(G4403=30,1,M4402)</f>
      </c>
      <c r="M4403" s="195" t="str">
        <f>L4403*(1-K4403)</f>
      </c>
    </row>
    <row r="4404">
      <c r="A4404" t="s">
        <v>167</v>
      </c>
      <c r="B4404" t="s">
        <v>272</v>
      </c>
      <c r="C4404" s="35" t="s">
        <v>274</v>
      </c>
      <c r="D4404" t="s">
        <v>502</v>
      </c>
      <c r="E4404" t="s">
        <v>520</v>
      </c>
      <c r="F4404" s="188" t="n">
        <v>2031</v>
      </c>
      <c r="G4404" s="189" t="n">
        <v>32</v>
      </c>
      <c r="H4404" s="190" t="n">
        <v>1129.9013801065</v>
      </c>
      <c r="I4404" s="191" t="n">
        <v>4341850.22632504</v>
      </c>
      <c r="J4404" s="192" t="str">
        <f>IF(I4404&gt;0,H4404/I4404,0)</f>
      </c>
      <c r="K4404" s="193" t="str">
        <f>1-EXP(-J4404)</f>
      </c>
      <c r="L4404" s="194" t="str">
        <f>IF(G4404=30,1,M4403)</f>
      </c>
      <c r="M4404" s="195" t="str">
        <f>L4404*(1-K4404)</f>
      </c>
    </row>
    <row r="4405">
      <c r="A4405" t="s">
        <v>167</v>
      </c>
      <c r="B4405" t="s">
        <v>272</v>
      </c>
      <c r="C4405" s="35" t="s">
        <v>274</v>
      </c>
      <c r="D4405" t="s">
        <v>502</v>
      </c>
      <c r="E4405" t="s">
        <v>520</v>
      </c>
      <c r="F4405" s="188" t="n">
        <v>2031</v>
      </c>
      <c r="G4405" s="189" t="n">
        <v>33</v>
      </c>
      <c r="H4405" s="190" t="n">
        <v>1213.68342413235</v>
      </c>
      <c r="I4405" s="191" t="n">
        <v>4401799.89582326</v>
      </c>
      <c r="J4405" s="192" t="str">
        <f>IF(I4405&gt;0,H4405/I4405,0)</f>
      </c>
      <c r="K4405" s="193" t="str">
        <f>1-EXP(-J4405)</f>
      </c>
      <c r="L4405" s="194" t="str">
        <f>IF(G4405=30,1,M4404)</f>
      </c>
      <c r="M4405" s="195" t="str">
        <f>L4405*(1-K4405)</f>
      </c>
    </row>
    <row r="4406">
      <c r="A4406" t="s">
        <v>167</v>
      </c>
      <c r="B4406" t="s">
        <v>272</v>
      </c>
      <c r="C4406" s="35" t="s">
        <v>274</v>
      </c>
      <c r="D4406" t="s">
        <v>502</v>
      </c>
      <c r="E4406" t="s">
        <v>520</v>
      </c>
      <c r="F4406" s="188" t="n">
        <v>2031</v>
      </c>
      <c r="G4406" s="189" t="n">
        <v>34</v>
      </c>
      <c r="H4406" s="190" t="n">
        <v>1535.20253415596</v>
      </c>
      <c r="I4406" s="191" t="n">
        <v>4542056.45527955</v>
      </c>
      <c r="J4406" s="192" t="str">
        <f>IF(I4406&gt;0,H4406/I4406,0)</f>
      </c>
      <c r="K4406" s="193" t="str">
        <f>1-EXP(-J4406)</f>
      </c>
      <c r="L4406" s="194" t="str">
        <f>IF(G4406=30,1,M4405)</f>
      </c>
      <c r="M4406" s="195" t="str">
        <f>L4406*(1-K4406)</f>
      </c>
    </row>
    <row r="4407">
      <c r="A4407" t="s">
        <v>167</v>
      </c>
      <c r="B4407" t="s">
        <v>272</v>
      </c>
      <c r="C4407" s="35" t="s">
        <v>274</v>
      </c>
      <c r="D4407" t="s">
        <v>502</v>
      </c>
      <c r="E4407" t="s">
        <v>520</v>
      </c>
      <c r="F4407" s="188" t="n">
        <v>2031</v>
      </c>
      <c r="G4407" s="189" t="n">
        <v>35</v>
      </c>
      <c r="H4407" s="190" t="n">
        <v>2059.32194521075</v>
      </c>
      <c r="I4407" s="191" t="n">
        <v>4498947.71964139</v>
      </c>
      <c r="J4407" s="192" t="str">
        <f>IF(I4407&gt;0,H4407/I4407,0)</f>
      </c>
      <c r="K4407" s="193" t="str">
        <f>1-EXP(-J4407)</f>
      </c>
      <c r="L4407" s="194" t="str">
        <f>IF(G4407=30,1,M4406)</f>
      </c>
      <c r="M4407" s="195" t="str">
        <f>L4407*(1-K4407)</f>
      </c>
    </row>
    <row r="4408">
      <c r="A4408" t="s">
        <v>167</v>
      </c>
      <c r="B4408" t="s">
        <v>272</v>
      </c>
      <c r="C4408" s="35" t="s">
        <v>274</v>
      </c>
      <c r="D4408" t="s">
        <v>502</v>
      </c>
      <c r="E4408" t="s">
        <v>520</v>
      </c>
      <c r="F4408" s="188" t="n">
        <v>2031</v>
      </c>
      <c r="G4408" s="189" t="n">
        <v>36</v>
      </c>
      <c r="H4408" s="190" t="n">
        <v>2161.81372356544</v>
      </c>
      <c r="I4408" s="191" t="n">
        <v>4425142.54891348</v>
      </c>
      <c r="J4408" s="192" t="str">
        <f>IF(I4408&gt;0,H4408/I4408,0)</f>
      </c>
      <c r="K4408" s="193" t="str">
        <f>1-EXP(-J4408)</f>
      </c>
      <c r="L4408" s="194" t="str">
        <f>IF(G4408=30,1,M4407)</f>
      </c>
      <c r="M4408" s="195" t="str">
        <f>L4408*(1-K4408)</f>
      </c>
    </row>
    <row r="4409">
      <c r="A4409" t="s">
        <v>167</v>
      </c>
      <c r="B4409" t="s">
        <v>272</v>
      </c>
      <c r="C4409" s="35" t="s">
        <v>274</v>
      </c>
      <c r="D4409" t="s">
        <v>502</v>
      </c>
      <c r="E4409" t="s">
        <v>520</v>
      </c>
      <c r="F4409" s="188" t="n">
        <v>2031</v>
      </c>
      <c r="G4409" s="189" t="n">
        <v>37</v>
      </c>
      <c r="H4409" s="190" t="n">
        <v>2289.17861765837</v>
      </c>
      <c r="I4409" s="191" t="n">
        <v>4367494.68207346</v>
      </c>
      <c r="J4409" s="192" t="str">
        <f>IF(I4409&gt;0,H4409/I4409,0)</f>
      </c>
      <c r="K4409" s="193" t="str">
        <f>1-EXP(-J4409)</f>
      </c>
      <c r="L4409" s="194" t="str">
        <f>IF(G4409=30,1,M4408)</f>
      </c>
      <c r="M4409" s="195" t="str">
        <f>L4409*(1-K4409)</f>
      </c>
    </row>
    <row r="4410">
      <c r="A4410" t="s">
        <v>167</v>
      </c>
      <c r="B4410" t="s">
        <v>272</v>
      </c>
      <c r="C4410" s="35" t="s">
        <v>274</v>
      </c>
      <c r="D4410" t="s">
        <v>502</v>
      </c>
      <c r="E4410" t="s">
        <v>520</v>
      </c>
      <c r="F4410" s="188" t="n">
        <v>2031</v>
      </c>
      <c r="G4410" s="189" t="n">
        <v>38</v>
      </c>
      <c r="H4410" s="190" t="n">
        <v>2430.58418749825</v>
      </c>
      <c r="I4410" s="191" t="n">
        <v>4313375.56899058</v>
      </c>
      <c r="J4410" s="192" t="str">
        <f>IF(I4410&gt;0,H4410/I4410,0)</f>
      </c>
      <c r="K4410" s="193" t="str">
        <f>1-EXP(-J4410)</f>
      </c>
      <c r="L4410" s="194" t="str">
        <f>IF(G4410=30,1,M4409)</f>
      </c>
      <c r="M4410" s="195" t="str">
        <f>L4410*(1-K4410)</f>
      </c>
    </row>
    <row r="4411">
      <c r="A4411" t="s">
        <v>167</v>
      </c>
      <c r="B4411" t="s">
        <v>272</v>
      </c>
      <c r="C4411" s="35" t="s">
        <v>274</v>
      </c>
      <c r="D4411" t="s">
        <v>502</v>
      </c>
      <c r="E4411" t="s">
        <v>520</v>
      </c>
      <c r="F4411" s="188" t="n">
        <v>2031</v>
      </c>
      <c r="G4411" s="189" t="n">
        <v>39</v>
      </c>
      <c r="H4411" s="190" t="n">
        <v>2637.88642437</v>
      </c>
      <c r="I4411" s="191" t="n">
        <v>4350400.76567196</v>
      </c>
      <c r="J4411" s="192" t="str">
        <f>IF(I4411&gt;0,H4411/I4411,0)</f>
      </c>
      <c r="K4411" s="193" t="str">
        <f>1-EXP(-J4411)</f>
      </c>
      <c r="L4411" s="194" t="str">
        <f>IF(G4411=30,1,M4410)</f>
      </c>
      <c r="M4411" s="195" t="str">
        <f>L4411*(1-K4411)</f>
      </c>
    </row>
    <row r="4412">
      <c r="A4412" t="s">
        <v>167</v>
      </c>
      <c r="B4412" t="s">
        <v>272</v>
      </c>
      <c r="C4412" s="35" t="s">
        <v>274</v>
      </c>
      <c r="D4412" t="s">
        <v>502</v>
      </c>
      <c r="E4412" t="s">
        <v>520</v>
      </c>
      <c r="F4412" s="188" t="n">
        <v>2031</v>
      </c>
      <c r="G4412" s="189" t="n">
        <v>40</v>
      </c>
      <c r="H4412" s="190" t="n">
        <v>3562.15894125413</v>
      </c>
      <c r="I4412" s="191" t="n">
        <v>4367663.19765197</v>
      </c>
      <c r="J4412" s="192" t="str">
        <f>IF(I4412&gt;0,H4412/I4412,0)</f>
      </c>
      <c r="K4412" s="193" t="str">
        <f>1-EXP(-J4412)</f>
      </c>
      <c r="L4412" s="194" t="str">
        <f>IF(G4412=30,1,M4411)</f>
      </c>
      <c r="M4412" s="195" t="str">
        <f>L4412*(1-K4412)</f>
      </c>
    </row>
    <row r="4413">
      <c r="A4413" t="s">
        <v>167</v>
      </c>
      <c r="B4413" t="s">
        <v>272</v>
      </c>
      <c r="C4413" s="35" t="s">
        <v>274</v>
      </c>
      <c r="D4413" t="s">
        <v>502</v>
      </c>
      <c r="E4413" t="s">
        <v>520</v>
      </c>
      <c r="F4413" s="188" t="n">
        <v>2031</v>
      </c>
      <c r="G4413" s="189" t="n">
        <v>41</v>
      </c>
      <c r="H4413" s="190" t="n">
        <v>5388.20111226626</v>
      </c>
      <c r="I4413" s="191" t="n">
        <v>6429790.4414457</v>
      </c>
      <c r="J4413" s="192" t="str">
        <f>IF(I4413&gt;0,H4413/I4413,0)</f>
      </c>
      <c r="K4413" s="193" t="str">
        <f>1-EXP(-J4413)</f>
      </c>
      <c r="L4413" s="194" t="str">
        <f>IF(G4413=30,1,M4412)</f>
      </c>
      <c r="M4413" s="195" t="str">
        <f>L4413*(1-K4413)</f>
      </c>
    </row>
    <row r="4414">
      <c r="A4414" t="s">
        <v>167</v>
      </c>
      <c r="B4414" t="s">
        <v>272</v>
      </c>
      <c r="C4414" s="35" t="s">
        <v>274</v>
      </c>
      <c r="D4414" t="s">
        <v>502</v>
      </c>
      <c r="E4414" t="s">
        <v>520</v>
      </c>
      <c r="F4414" s="188" t="n">
        <v>2031</v>
      </c>
      <c r="G4414" s="189" t="n">
        <v>42</v>
      </c>
      <c r="H4414" s="190" t="n">
        <v>4133.41026810744</v>
      </c>
      <c r="I4414" s="191" t="n">
        <v>4323798.20781463</v>
      </c>
      <c r="J4414" s="192" t="str">
        <f>IF(I4414&gt;0,H4414/I4414,0)</f>
      </c>
      <c r="K4414" s="193" t="str">
        <f>1-EXP(-J4414)</f>
      </c>
      <c r="L4414" s="194" t="str">
        <f>IF(G4414=30,1,M4413)</f>
      </c>
      <c r="M4414" s="195" t="str">
        <f>L4414*(1-K4414)</f>
      </c>
    </row>
    <row r="4415">
      <c r="A4415" t="s">
        <v>167</v>
      </c>
      <c r="B4415" t="s">
        <v>272</v>
      </c>
      <c r="C4415" s="35" t="s">
        <v>274</v>
      </c>
      <c r="D4415" t="s">
        <v>502</v>
      </c>
      <c r="E4415" t="s">
        <v>520</v>
      </c>
      <c r="F4415" s="188" t="n">
        <v>2031</v>
      </c>
      <c r="G4415" s="189" t="n">
        <v>43</v>
      </c>
      <c r="H4415" s="190" t="n">
        <v>4480.41334166348</v>
      </c>
      <c r="I4415" s="191" t="n">
        <v>4306081.07568527</v>
      </c>
      <c r="J4415" s="192" t="str">
        <f>IF(I4415&gt;0,H4415/I4415,0)</f>
      </c>
      <c r="K4415" s="193" t="str">
        <f>1-EXP(-J4415)</f>
      </c>
      <c r="L4415" s="194" t="str">
        <f>IF(G4415=30,1,M4414)</f>
      </c>
      <c r="M4415" s="195" t="str">
        <f>L4415*(1-K4415)</f>
      </c>
    </row>
    <row r="4416">
      <c r="A4416" t="s">
        <v>167</v>
      </c>
      <c r="B4416" t="s">
        <v>272</v>
      </c>
      <c r="C4416" s="35" t="s">
        <v>274</v>
      </c>
      <c r="D4416" t="s">
        <v>502</v>
      </c>
      <c r="E4416" t="s">
        <v>520</v>
      </c>
      <c r="F4416" s="188" t="n">
        <v>2031</v>
      </c>
      <c r="G4416" s="189" t="n">
        <v>44</v>
      </c>
      <c r="H4416" s="190" t="n">
        <v>4741.14915126655</v>
      </c>
      <c r="I4416" s="191" t="n">
        <v>4173038.5345871</v>
      </c>
      <c r="J4416" s="192" t="str">
        <f>IF(I4416&gt;0,H4416/I4416,0)</f>
      </c>
      <c r="K4416" s="193" t="str">
        <f>1-EXP(-J4416)</f>
      </c>
      <c r="L4416" s="194" t="str">
        <f>IF(G4416=30,1,M4415)</f>
      </c>
      <c r="M4416" s="195" t="str">
        <f>L4416*(1-K4416)</f>
      </c>
    </row>
    <row r="4417">
      <c r="A4417" t="s">
        <v>167</v>
      </c>
      <c r="B4417" t="s">
        <v>272</v>
      </c>
      <c r="C4417" s="35" t="s">
        <v>274</v>
      </c>
      <c r="D4417" t="s">
        <v>502</v>
      </c>
      <c r="E4417" t="s">
        <v>520</v>
      </c>
      <c r="F4417" s="188" t="n">
        <v>2031</v>
      </c>
      <c r="G4417" s="189" t="n">
        <v>45</v>
      </c>
      <c r="H4417" s="190" t="n">
        <v>6077.89403282652</v>
      </c>
      <c r="I4417" s="191" t="n">
        <v>4137235.70198311</v>
      </c>
      <c r="J4417" s="192" t="str">
        <f>IF(I4417&gt;0,H4417/I4417,0)</f>
      </c>
      <c r="K4417" s="193" t="str">
        <f>1-EXP(-J4417)</f>
      </c>
      <c r="L4417" s="194" t="str">
        <f>IF(G4417=30,1,M4416)</f>
      </c>
      <c r="M4417" s="195" t="str">
        <f>L4417*(1-K4417)</f>
      </c>
    </row>
    <row r="4418">
      <c r="A4418" t="s">
        <v>167</v>
      </c>
      <c r="B4418" t="s">
        <v>272</v>
      </c>
      <c r="C4418" s="35" t="s">
        <v>274</v>
      </c>
      <c r="D4418" t="s">
        <v>502</v>
      </c>
      <c r="E4418" t="s">
        <v>520</v>
      </c>
      <c r="F4418" s="188" t="n">
        <v>2031</v>
      </c>
      <c r="G4418" s="189" t="n">
        <v>46</v>
      </c>
      <c r="H4418" s="190" t="n">
        <v>6737.29739371317</v>
      </c>
      <c r="I4418" s="191" t="n">
        <v>4193450.49938441</v>
      </c>
      <c r="J4418" s="192" t="str">
        <f>IF(I4418&gt;0,H4418/I4418,0)</f>
      </c>
      <c r="K4418" s="193" t="str">
        <f>1-EXP(-J4418)</f>
      </c>
      <c r="L4418" s="194" t="str">
        <f>IF(G4418=30,1,M4417)</f>
      </c>
      <c r="M4418" s="195" t="str">
        <f>L4418*(1-K4418)</f>
      </c>
    </row>
    <row r="4419">
      <c r="A4419" t="s">
        <v>167</v>
      </c>
      <c r="B4419" t="s">
        <v>272</v>
      </c>
      <c r="C4419" s="35" t="s">
        <v>274</v>
      </c>
      <c r="D4419" t="s">
        <v>502</v>
      </c>
      <c r="E4419" t="s">
        <v>520</v>
      </c>
      <c r="F4419" s="188" t="n">
        <v>2031</v>
      </c>
      <c r="G4419" s="189" t="n">
        <v>47</v>
      </c>
      <c r="H4419" s="190" t="n">
        <v>7531.50038296287</v>
      </c>
      <c r="I4419" s="191" t="n">
        <v>4275298.2929418</v>
      </c>
      <c r="J4419" s="192" t="str">
        <f>IF(I4419&gt;0,H4419/I4419,0)</f>
      </c>
      <c r="K4419" s="193" t="str">
        <f>1-EXP(-J4419)</f>
      </c>
      <c r="L4419" s="194" t="str">
        <f>IF(G4419=30,1,M4418)</f>
      </c>
      <c r="M4419" s="195" t="str">
        <f>L4419*(1-K4419)</f>
      </c>
    </row>
    <row r="4420">
      <c r="A4420" t="s">
        <v>167</v>
      </c>
      <c r="B4420" t="s">
        <v>272</v>
      </c>
      <c r="C4420" s="35" t="s">
        <v>274</v>
      </c>
      <c r="D4420" t="s">
        <v>502</v>
      </c>
      <c r="E4420" t="s">
        <v>520</v>
      </c>
      <c r="F4420" s="188" t="n">
        <v>2031</v>
      </c>
      <c r="G4420" s="189" t="n">
        <v>48</v>
      </c>
      <c r="H4420" s="190" t="n">
        <v>8204.77298416686</v>
      </c>
      <c r="I4420" s="191" t="n">
        <v>4248507.57842358</v>
      </c>
      <c r="J4420" s="192" t="str">
        <f>IF(I4420&gt;0,H4420/I4420,0)</f>
      </c>
      <c r="K4420" s="193" t="str">
        <f>1-EXP(-J4420)</f>
      </c>
      <c r="L4420" s="194" t="str">
        <f>IF(G4420=30,1,M4419)</f>
      </c>
      <c r="M4420" s="195" t="str">
        <f>L4420*(1-K4420)</f>
      </c>
    </row>
    <row r="4421">
      <c r="A4421" t="s">
        <v>167</v>
      </c>
      <c r="B4421" t="s">
        <v>272</v>
      </c>
      <c r="C4421" s="35" t="s">
        <v>274</v>
      </c>
      <c r="D4421" t="s">
        <v>502</v>
      </c>
      <c r="E4421" t="s">
        <v>520</v>
      </c>
      <c r="F4421" s="188" t="n">
        <v>2031</v>
      </c>
      <c r="G4421" s="189" t="n">
        <v>49</v>
      </c>
      <c r="H4421" s="190" t="n">
        <v>8701.67671257612</v>
      </c>
      <c r="I4421" s="191" t="n">
        <v>4109793.60193466</v>
      </c>
      <c r="J4421" s="192" t="str">
        <f>IF(I4421&gt;0,H4421/I4421,0)</f>
      </c>
      <c r="K4421" s="193" t="str">
        <f>1-EXP(-J4421)</f>
      </c>
      <c r="L4421" s="194" t="str">
        <f>IF(G4421=30,1,M4420)</f>
      </c>
      <c r="M4421" s="195" t="str">
        <f>L4421*(1-K4421)</f>
      </c>
    </row>
    <row r="4422">
      <c r="A4422" t="s">
        <v>167</v>
      </c>
      <c r="B4422" t="s">
        <v>272</v>
      </c>
      <c r="C4422" s="35" t="s">
        <v>274</v>
      </c>
      <c r="D4422" t="s">
        <v>502</v>
      </c>
      <c r="E4422" t="s">
        <v>520</v>
      </c>
      <c r="F4422" s="188" t="n">
        <v>2031</v>
      </c>
      <c r="G4422" s="189" t="n">
        <v>50</v>
      </c>
      <c r="H4422" s="190" t="n">
        <v>9933.26659567595</v>
      </c>
      <c r="I4422" s="191" t="n">
        <v>4032853.19483143</v>
      </c>
      <c r="J4422" s="192" t="str">
        <f>IF(I4422&gt;0,H4422/I4422,0)</f>
      </c>
      <c r="K4422" s="193" t="str">
        <f>1-EXP(-J4422)</f>
      </c>
      <c r="L4422" s="194" t="str">
        <f>IF(G4422=30,1,M4421)</f>
      </c>
      <c r="M4422" s="195" t="str">
        <f>L4422*(1-K4422)</f>
      </c>
    </row>
    <row r="4423">
      <c r="A4423" t="s">
        <v>167</v>
      </c>
      <c r="B4423" t="s">
        <v>272</v>
      </c>
      <c r="C4423" s="35" t="s">
        <v>274</v>
      </c>
      <c r="D4423" t="s">
        <v>502</v>
      </c>
      <c r="E4423" t="s">
        <v>520</v>
      </c>
      <c r="F4423" s="188" t="n">
        <v>2031</v>
      </c>
      <c r="G4423" s="189" t="n">
        <v>51</v>
      </c>
      <c r="H4423" s="190" t="n">
        <v>10703.3051999711</v>
      </c>
      <c r="I4423" s="191" t="n">
        <v>3970544.5864227</v>
      </c>
      <c r="J4423" s="192" t="str">
        <f>IF(I4423&gt;0,H4423/I4423,0)</f>
      </c>
      <c r="K4423" s="193" t="str">
        <f>1-EXP(-J4423)</f>
      </c>
      <c r="L4423" s="194" t="str">
        <f>IF(G4423=30,1,M4422)</f>
      </c>
      <c r="M4423" s="195" t="str">
        <f>L4423*(1-K4423)</f>
      </c>
    </row>
    <row r="4424">
      <c r="A4424" t="s">
        <v>167</v>
      </c>
      <c r="B4424" t="s">
        <v>272</v>
      </c>
      <c r="C4424" s="35" t="s">
        <v>274</v>
      </c>
      <c r="D4424" t="s">
        <v>502</v>
      </c>
      <c r="E4424" t="s">
        <v>520</v>
      </c>
      <c r="F4424" s="188" t="n">
        <v>2031</v>
      </c>
      <c r="G4424" s="189" t="n">
        <v>52</v>
      </c>
      <c r="H4424" s="190" t="n">
        <v>11499.3262061214</v>
      </c>
      <c r="I4424" s="191" t="n">
        <v>3903383.77401322</v>
      </c>
      <c r="J4424" s="192" t="str">
        <f>IF(I4424&gt;0,H4424/I4424,0)</f>
      </c>
      <c r="K4424" s="193" t="str">
        <f>1-EXP(-J4424)</f>
      </c>
      <c r="L4424" s="194" t="str">
        <f>IF(G4424=30,1,M4423)</f>
      </c>
      <c r="M4424" s="195" t="str">
        <f>L4424*(1-K4424)</f>
      </c>
    </row>
    <row r="4425">
      <c r="A4425" t="s">
        <v>167</v>
      </c>
      <c r="B4425" t="s">
        <v>272</v>
      </c>
      <c r="C4425" s="35" t="s">
        <v>274</v>
      </c>
      <c r="D4425" t="s">
        <v>502</v>
      </c>
      <c r="E4425" t="s">
        <v>520</v>
      </c>
      <c r="F4425" s="188" t="n">
        <v>2031</v>
      </c>
      <c r="G4425" s="189" t="n">
        <v>53</v>
      </c>
      <c r="H4425" s="190" t="n">
        <v>12285.8290644945</v>
      </c>
      <c r="I4425" s="191" t="n">
        <v>3816776.63790005</v>
      </c>
      <c r="J4425" s="192" t="str">
        <f>IF(I4425&gt;0,H4425/I4425,0)</f>
      </c>
      <c r="K4425" s="193" t="str">
        <f>1-EXP(-J4425)</f>
      </c>
      <c r="L4425" s="194" t="str">
        <f>IF(G4425=30,1,M4424)</f>
      </c>
      <c r="M4425" s="195" t="str">
        <f>L4425*(1-K4425)</f>
      </c>
    </row>
    <row r="4426">
      <c r="A4426" t="s">
        <v>167</v>
      </c>
      <c r="B4426" t="s">
        <v>272</v>
      </c>
      <c r="C4426" s="35" t="s">
        <v>274</v>
      </c>
      <c r="D4426" t="s">
        <v>502</v>
      </c>
      <c r="E4426" t="s">
        <v>520</v>
      </c>
      <c r="F4426" s="188" t="n">
        <v>2031</v>
      </c>
      <c r="G4426" s="189" t="n">
        <v>54</v>
      </c>
      <c r="H4426" s="190" t="n">
        <v>13191.5350343322</v>
      </c>
      <c r="I4426" s="191" t="n">
        <v>3746781.01837392</v>
      </c>
      <c r="J4426" s="192" t="str">
        <f>IF(I4426&gt;0,H4426/I4426,0)</f>
      </c>
      <c r="K4426" s="193" t="str">
        <f>1-EXP(-J4426)</f>
      </c>
      <c r="L4426" s="194" t="str">
        <f>IF(G4426=30,1,M4425)</f>
      </c>
      <c r="M4426" s="195" t="str">
        <f>L4426*(1-K4426)</f>
      </c>
    </row>
    <row r="4427">
      <c r="A4427" t="s">
        <v>167</v>
      </c>
      <c r="B4427" t="s">
        <v>272</v>
      </c>
      <c r="C4427" s="35" t="s">
        <v>274</v>
      </c>
      <c r="D4427" t="s">
        <v>502</v>
      </c>
      <c r="E4427" t="s">
        <v>520</v>
      </c>
      <c r="F4427" s="188" t="n">
        <v>2031</v>
      </c>
      <c r="G4427" s="189" t="n">
        <v>55</v>
      </c>
      <c r="H4427" s="190" t="n">
        <v>14210.4321707568</v>
      </c>
      <c r="I4427" s="191" t="n">
        <v>3664868.26314617</v>
      </c>
      <c r="J4427" s="192" t="str">
        <f>IF(I4427&gt;0,H4427/I4427,0)</f>
      </c>
      <c r="K4427" s="193" t="str">
        <f>1-EXP(-J4427)</f>
      </c>
      <c r="L4427" s="194" t="str">
        <f>IF(G4427=30,1,M4426)</f>
      </c>
      <c r="M4427" s="195" t="str">
        <f>L4427*(1-K4427)</f>
      </c>
    </row>
    <row r="4428">
      <c r="A4428" t="s">
        <v>167</v>
      </c>
      <c r="B4428" t="s">
        <v>272</v>
      </c>
      <c r="C4428" s="35" t="s">
        <v>274</v>
      </c>
      <c r="D4428" t="s">
        <v>502</v>
      </c>
      <c r="E4428" t="s">
        <v>520</v>
      </c>
      <c r="F4428" s="188" t="n">
        <v>2031</v>
      </c>
      <c r="G4428" s="189" t="n">
        <v>56</v>
      </c>
      <c r="H4428" s="190" t="n">
        <v>15146.483484583</v>
      </c>
      <c r="I4428" s="191" t="n">
        <v>3581533.69090465</v>
      </c>
      <c r="J4428" s="192" t="str">
        <f>IF(I4428&gt;0,H4428/I4428,0)</f>
      </c>
      <c r="K4428" s="193" t="str">
        <f>1-EXP(-J4428)</f>
      </c>
      <c r="L4428" s="194" t="str">
        <f>IF(G4428=30,1,M4427)</f>
      </c>
      <c r="M4428" s="195" t="str">
        <f>L4428*(1-K4428)</f>
      </c>
    </row>
    <row r="4429">
      <c r="A4429" t="s">
        <v>167</v>
      </c>
      <c r="B4429" t="s">
        <v>272</v>
      </c>
      <c r="C4429" s="35" t="s">
        <v>274</v>
      </c>
      <c r="D4429" t="s">
        <v>502</v>
      </c>
      <c r="E4429" t="s">
        <v>520</v>
      </c>
      <c r="F4429" s="188" t="n">
        <v>2031</v>
      </c>
      <c r="G4429" s="189" t="n">
        <v>57</v>
      </c>
      <c r="H4429" s="190" t="n">
        <v>16044.138011465</v>
      </c>
      <c r="I4429" s="191" t="n">
        <v>3471345.45921491</v>
      </c>
      <c r="J4429" s="192" t="str">
        <f>IF(I4429&gt;0,H4429/I4429,0)</f>
      </c>
      <c r="K4429" s="193" t="str">
        <f>1-EXP(-J4429)</f>
      </c>
      <c r="L4429" s="194" t="str">
        <f>IF(G4429=30,1,M4428)</f>
      </c>
      <c r="M4429" s="195" t="str">
        <f>L4429*(1-K4429)</f>
      </c>
    </row>
    <row r="4430">
      <c r="A4430" t="s">
        <v>167</v>
      </c>
      <c r="B4430" t="s">
        <v>272</v>
      </c>
      <c r="C4430" s="35" t="s">
        <v>274</v>
      </c>
      <c r="D4430" t="s">
        <v>502</v>
      </c>
      <c r="E4430" t="s">
        <v>520</v>
      </c>
      <c r="F4430" s="188" t="n">
        <v>2031</v>
      </c>
      <c r="G4430" s="189" t="n">
        <v>58</v>
      </c>
      <c r="H4430" s="190" t="n">
        <v>17280.6962822566</v>
      </c>
      <c r="I4430" s="191" t="n">
        <v>3419689.88943108</v>
      </c>
      <c r="J4430" s="192" t="str">
        <f>IF(I4430&gt;0,H4430/I4430,0)</f>
      </c>
      <c r="K4430" s="193" t="str">
        <f>1-EXP(-J4430)</f>
      </c>
      <c r="L4430" s="194" t="str">
        <f>IF(G4430=30,1,M4429)</f>
      </c>
      <c r="M4430" s="195" t="str">
        <f>L4430*(1-K4430)</f>
      </c>
    </row>
    <row r="4431">
      <c r="A4431" t="s">
        <v>167</v>
      </c>
      <c r="B4431" t="s">
        <v>272</v>
      </c>
      <c r="C4431" s="35" t="s">
        <v>274</v>
      </c>
      <c r="D4431" t="s">
        <v>502</v>
      </c>
      <c r="E4431" t="s">
        <v>520</v>
      </c>
      <c r="F4431" s="188" t="n">
        <v>2031</v>
      </c>
      <c r="G4431" s="189" t="n">
        <v>59</v>
      </c>
      <c r="H4431" s="190" t="n">
        <v>17754.4007973318</v>
      </c>
      <c r="I4431" s="191" t="n">
        <v>3207901.55423881</v>
      </c>
      <c r="J4431" s="192" t="str">
        <f>IF(I4431&gt;0,H4431/I4431,0)</f>
      </c>
      <c r="K4431" s="193" t="str">
        <f>1-EXP(-J4431)</f>
      </c>
      <c r="L4431" s="194" t="str">
        <f>IF(G4431=30,1,M4430)</f>
      </c>
      <c r="M4431" s="195" t="str">
        <f>L4431*(1-K4431)</f>
      </c>
    </row>
    <row r="4432">
      <c r="A4432" t="s">
        <v>167</v>
      </c>
      <c r="B4432" t="s">
        <v>272</v>
      </c>
      <c r="C4432" s="35" t="s">
        <v>274</v>
      </c>
      <c r="D4432" t="s">
        <v>502</v>
      </c>
      <c r="E4432" t="s">
        <v>520</v>
      </c>
      <c r="F4432" s="188" t="n">
        <v>2031</v>
      </c>
      <c r="G4432" s="189" t="n">
        <v>60</v>
      </c>
      <c r="H4432" s="190" t="n">
        <v>19157.9858899541</v>
      </c>
      <c r="I4432" s="191" t="n">
        <v>3114477.05042063</v>
      </c>
      <c r="J4432" s="192" t="str">
        <f>IF(I4432&gt;0,H4432/I4432,0)</f>
      </c>
      <c r="K4432" s="193" t="str">
        <f>1-EXP(-J4432)</f>
      </c>
      <c r="L4432" s="194" t="str">
        <f>IF(G4432=30,1,M4431)</f>
      </c>
      <c r="M4432" s="195" t="str">
        <f>L4432*(1-K4432)</f>
      </c>
    </row>
    <row r="4433">
      <c r="A4433" t="s">
        <v>167</v>
      </c>
      <c r="B4433" t="s">
        <v>272</v>
      </c>
      <c r="C4433" s="35" t="s">
        <v>274</v>
      </c>
      <c r="D4433" t="s">
        <v>502</v>
      </c>
      <c r="E4433" t="s">
        <v>520</v>
      </c>
      <c r="F4433" s="188" t="n">
        <v>2031</v>
      </c>
      <c r="G4433" s="189" t="n">
        <v>61</v>
      </c>
      <c r="H4433" s="190" t="n">
        <v>20426.0922719885</v>
      </c>
      <c r="I4433" s="191" t="n">
        <v>3024426.81251658</v>
      </c>
      <c r="J4433" s="192" t="str">
        <f>IF(I4433&gt;0,H4433/I4433,0)</f>
      </c>
      <c r="K4433" s="193" t="str">
        <f>1-EXP(-J4433)</f>
      </c>
      <c r="L4433" s="194" t="str">
        <f>IF(G4433=30,1,M4432)</f>
      </c>
      <c r="M4433" s="195" t="str">
        <f>L4433*(1-K4433)</f>
      </c>
    </row>
    <row r="4434">
      <c r="A4434" t="s">
        <v>167</v>
      </c>
      <c r="B4434" t="s">
        <v>272</v>
      </c>
      <c r="C4434" s="35" t="s">
        <v>274</v>
      </c>
      <c r="D4434" t="s">
        <v>502</v>
      </c>
      <c r="E4434" t="s">
        <v>520</v>
      </c>
      <c r="F4434" s="188" t="n">
        <v>2031</v>
      </c>
      <c r="G4434" s="189" t="n">
        <v>62</v>
      </c>
      <c r="H4434" s="190" t="n">
        <v>21623.4471360857</v>
      </c>
      <c r="I4434" s="191" t="n">
        <v>2925523.62658486</v>
      </c>
      <c r="J4434" s="192" t="str">
        <f>IF(I4434&gt;0,H4434/I4434,0)</f>
      </c>
      <c r="K4434" s="193" t="str">
        <f>1-EXP(-J4434)</f>
      </c>
      <c r="L4434" s="194" t="str">
        <f>IF(G4434=30,1,M4433)</f>
      </c>
      <c r="M4434" s="195" t="str">
        <f>L4434*(1-K4434)</f>
      </c>
    </row>
    <row r="4435">
      <c r="A4435" t="s">
        <v>167</v>
      </c>
      <c r="B4435" t="s">
        <v>272</v>
      </c>
      <c r="C4435" s="35" t="s">
        <v>274</v>
      </c>
      <c r="D4435" t="s">
        <v>502</v>
      </c>
      <c r="E4435" t="s">
        <v>520</v>
      </c>
      <c r="F4435" s="188" t="n">
        <v>2031</v>
      </c>
      <c r="G4435" s="189" t="n">
        <v>63</v>
      </c>
      <c r="H4435" s="190" t="n">
        <v>22721.7313690986</v>
      </c>
      <c r="I4435" s="191" t="n">
        <v>2807349.90823568</v>
      </c>
      <c r="J4435" s="192" t="str">
        <f>IF(I4435&gt;0,H4435/I4435,0)</f>
      </c>
      <c r="K4435" s="193" t="str">
        <f>1-EXP(-J4435)</f>
      </c>
      <c r="L4435" s="194" t="str">
        <f>IF(G4435=30,1,M4434)</f>
      </c>
      <c r="M4435" s="195" t="str">
        <f>L4435*(1-K4435)</f>
      </c>
    </row>
    <row r="4436">
      <c r="A4436" t="s">
        <v>167</v>
      </c>
      <c r="B4436" t="s">
        <v>272</v>
      </c>
      <c r="C4436" s="35" t="s">
        <v>274</v>
      </c>
      <c r="D4436" t="s">
        <v>502</v>
      </c>
      <c r="E4436" t="s">
        <v>520</v>
      </c>
      <c r="F4436" s="188" t="n">
        <v>2031</v>
      </c>
      <c r="G4436" s="189" t="n">
        <v>64</v>
      </c>
      <c r="H4436" s="190" t="n">
        <v>23603.0835539615</v>
      </c>
      <c r="I4436" s="191" t="n">
        <v>2659167.97744928</v>
      </c>
      <c r="J4436" s="192" t="str">
        <f>IF(I4436&gt;0,H4436/I4436,0)</f>
      </c>
      <c r="K4436" s="193" t="str">
        <f>1-EXP(-J4436)</f>
      </c>
      <c r="L4436" s="194" t="str">
        <f>IF(G4436=30,1,M4435)</f>
      </c>
      <c r="M4436" s="195" t="str">
        <f>L4436*(1-K4436)</f>
      </c>
    </row>
    <row r="4437">
      <c r="A4437" t="s">
        <v>167</v>
      </c>
      <c r="B4437" t="s">
        <v>272</v>
      </c>
      <c r="C4437" s="35" t="s">
        <v>274</v>
      </c>
      <c r="D4437" t="s">
        <v>502</v>
      </c>
      <c r="E4437" t="s">
        <v>520</v>
      </c>
      <c r="F4437" s="188" t="n">
        <v>2031</v>
      </c>
      <c r="G4437" s="189" t="n">
        <v>65</v>
      </c>
      <c r="H4437" s="190" t="n">
        <v>24012.4536823857</v>
      </c>
      <c r="I4437" s="191" t="n">
        <v>2545871.04852068</v>
      </c>
      <c r="J4437" s="192" t="str">
        <f>IF(I4437&gt;0,H4437/I4437,0)</f>
      </c>
      <c r="K4437" s="193" t="str">
        <f>1-EXP(-J4437)</f>
      </c>
      <c r="L4437" s="194" t="str">
        <f>IF(G4437=30,1,M4436)</f>
      </c>
      <c r="M4437" s="195" t="str">
        <f>L4437*(1-K4437)</f>
      </c>
    </row>
    <row r="4438">
      <c r="A4438" t="s">
        <v>167</v>
      </c>
      <c r="B4438" t="s">
        <v>272</v>
      </c>
      <c r="C4438" s="35" t="s">
        <v>274</v>
      </c>
      <c r="D4438" t="s">
        <v>502</v>
      </c>
      <c r="E4438" t="s">
        <v>520</v>
      </c>
      <c r="F4438" s="188" t="n">
        <v>2031</v>
      </c>
      <c r="G4438" s="189" t="n">
        <v>66</v>
      </c>
      <c r="H4438" s="190" t="n">
        <v>24933.944645517</v>
      </c>
      <c r="I4438" s="191" t="n">
        <v>2412306.85464013</v>
      </c>
      <c r="J4438" s="192" t="str">
        <f>IF(I4438&gt;0,H4438/I4438,0)</f>
      </c>
      <c r="K4438" s="193" t="str">
        <f>1-EXP(-J4438)</f>
      </c>
      <c r="L4438" s="194" t="str">
        <f>IF(G4438=30,1,M4437)</f>
      </c>
      <c r="M4438" s="195" t="str">
        <f>L4438*(1-K4438)</f>
      </c>
    </row>
    <row r="4439">
      <c r="A4439" t="s">
        <v>167</v>
      </c>
      <c r="B4439" t="s">
        <v>272</v>
      </c>
      <c r="C4439" s="35" t="s">
        <v>274</v>
      </c>
      <c r="D4439" t="s">
        <v>502</v>
      </c>
      <c r="E4439" t="s">
        <v>520</v>
      </c>
      <c r="F4439" s="188" t="n">
        <v>2031</v>
      </c>
      <c r="G4439" s="189" t="n">
        <v>67</v>
      </c>
      <c r="H4439" s="190" t="n">
        <v>25841.3759688174</v>
      </c>
      <c r="I4439" s="191" t="n">
        <v>2278795.72719226</v>
      </c>
      <c r="J4439" s="192" t="str">
        <f>IF(I4439&gt;0,H4439/I4439,0)</f>
      </c>
      <c r="K4439" s="193" t="str">
        <f>1-EXP(-J4439)</f>
      </c>
      <c r="L4439" s="194" t="str">
        <f>IF(G4439=30,1,M4438)</f>
      </c>
      <c r="M4439" s="195" t="str">
        <f>L4439*(1-K4439)</f>
      </c>
    </row>
    <row r="4440">
      <c r="A4440" t="s">
        <v>167</v>
      </c>
      <c r="B4440" t="s">
        <v>272</v>
      </c>
      <c r="C4440" s="35" t="s">
        <v>274</v>
      </c>
      <c r="D4440" t="s">
        <v>502</v>
      </c>
      <c r="E4440" t="s">
        <v>520</v>
      </c>
      <c r="F4440" s="188" t="n">
        <v>2031</v>
      </c>
      <c r="G4440" s="189" t="n">
        <v>68</v>
      </c>
      <c r="H4440" s="190" t="n">
        <v>26766.0858933176</v>
      </c>
      <c r="I4440" s="191" t="n">
        <v>2150024.44957144</v>
      </c>
      <c r="J4440" s="192" t="str">
        <f>IF(I4440&gt;0,H4440/I4440,0)</f>
      </c>
      <c r="K4440" s="193" t="str">
        <f>1-EXP(-J4440)</f>
      </c>
      <c r="L4440" s="194" t="str">
        <f>IF(G4440=30,1,M4439)</f>
      </c>
      <c r="M4440" s="195" t="str">
        <f>L4440*(1-K4440)</f>
      </c>
    </row>
    <row r="4441">
      <c r="A4441" t="s">
        <v>167</v>
      </c>
      <c r="B4441" t="s">
        <v>272</v>
      </c>
      <c r="C4441" s="35" t="s">
        <v>274</v>
      </c>
      <c r="D4441" t="s">
        <v>502</v>
      </c>
      <c r="E4441" t="s">
        <v>520</v>
      </c>
      <c r="F4441" s="188" t="n">
        <v>2031</v>
      </c>
      <c r="G4441" s="189" t="n">
        <v>69</v>
      </c>
      <c r="H4441" s="190" t="n">
        <v>27411.6235589729</v>
      </c>
      <c r="I4441" s="191" t="n">
        <v>1997428.39951209</v>
      </c>
      <c r="J4441" s="192" t="str">
        <f>IF(I4441&gt;0,H4441/I4441,0)</f>
      </c>
      <c r="K4441" s="193" t="str">
        <f>1-EXP(-J4441)</f>
      </c>
      <c r="L4441" s="194" t="str">
        <f>IF(G4441=30,1,M4440)</f>
      </c>
      <c r="M4441" s="195" t="str">
        <f>L4441*(1-K4441)</f>
      </c>
    </row>
    <row r="4442">
      <c r="A4442" t="s">
        <v>167</v>
      </c>
      <c r="B4442" t="s">
        <v>272</v>
      </c>
      <c r="C4442" s="35" t="s">
        <v>274</v>
      </c>
      <c r="D4442" t="s">
        <v>502</v>
      </c>
      <c r="E4442" t="s">
        <v>520</v>
      </c>
      <c r="F4442" s="188" t="n">
        <v>2032</v>
      </c>
      <c r="G4442" s="189" t="n">
        <v>30</v>
      </c>
      <c r="H4442" s="190" t="n">
        <v>943.695452417738</v>
      </c>
      <c r="I4442" s="191" t="n">
        <v>4354888.52376631</v>
      </c>
      <c r="J4442" s="192" t="str">
        <f>IF(I4442&gt;0,H4442/I4442,0)</f>
      </c>
      <c r="K4442" s="193" t="str">
        <f>1-EXP(-J4442)</f>
      </c>
      <c r="L4442" s="194" t="str">
        <f>IF(G4442=30,1,M4441)</f>
      </c>
      <c r="M4442" s="195" t="str">
        <f>L4442*(1-K4442)</f>
      </c>
    </row>
    <row r="4443">
      <c r="A4443" t="s">
        <v>167</v>
      </c>
      <c r="B4443" t="s">
        <v>272</v>
      </c>
      <c r="C4443" s="35" t="s">
        <v>274</v>
      </c>
      <c r="D4443" t="s">
        <v>502</v>
      </c>
      <c r="E4443" t="s">
        <v>520</v>
      </c>
      <c r="F4443" s="188" t="n">
        <v>2032</v>
      </c>
      <c r="G4443" s="189" t="n">
        <v>31</v>
      </c>
      <c r="H4443" s="190" t="n">
        <v>1071.65932814496</v>
      </c>
      <c r="I4443" s="191" t="n">
        <v>4335186.6347621</v>
      </c>
      <c r="J4443" s="192" t="str">
        <f>IF(I4443&gt;0,H4443/I4443,0)</f>
      </c>
      <c r="K4443" s="193" t="str">
        <f>1-EXP(-J4443)</f>
      </c>
      <c r="L4443" s="194" t="str">
        <f>IF(G4443=30,1,M4442)</f>
      </c>
      <c r="M4443" s="195" t="str">
        <f>L4443*(1-K4443)</f>
      </c>
    </row>
    <row r="4444">
      <c r="A4444" t="s">
        <v>167</v>
      </c>
      <c r="B4444" t="s">
        <v>272</v>
      </c>
      <c r="C4444" s="35" t="s">
        <v>274</v>
      </c>
      <c r="D4444" t="s">
        <v>502</v>
      </c>
      <c r="E4444" t="s">
        <v>520</v>
      </c>
      <c r="F4444" s="188" t="n">
        <v>2032</v>
      </c>
      <c r="G4444" s="189" t="n">
        <v>32</v>
      </c>
      <c r="H4444" s="190" t="n">
        <v>1122.69514035335</v>
      </c>
      <c r="I4444" s="191" t="n">
        <v>4315632.94725552</v>
      </c>
      <c r="J4444" s="192" t="str">
        <f>IF(I4444&gt;0,H4444/I4444,0)</f>
      </c>
      <c r="K4444" s="193" t="str">
        <f>1-EXP(-J4444)</f>
      </c>
      <c r="L4444" s="194" t="str">
        <f>IF(G4444=30,1,M4443)</f>
      </c>
      <c r="M4444" s="195" t="str">
        <f>L4444*(1-K4444)</f>
      </c>
    </row>
    <row r="4445">
      <c r="A4445" t="s">
        <v>167</v>
      </c>
      <c r="B4445" t="s">
        <v>272</v>
      </c>
      <c r="C4445" s="35" t="s">
        <v>274</v>
      </c>
      <c r="D4445" t="s">
        <v>502</v>
      </c>
      <c r="E4445" t="s">
        <v>520</v>
      </c>
      <c r="F4445" s="188" t="n">
        <v>2032</v>
      </c>
      <c r="G4445" s="189" t="n">
        <v>33</v>
      </c>
      <c r="H4445" s="190" t="n">
        <v>1194.36776395907</v>
      </c>
      <c r="I4445" s="191" t="n">
        <v>4335920.87735901</v>
      </c>
      <c r="J4445" s="192" t="str">
        <f>IF(I4445&gt;0,H4445/I4445,0)</f>
      </c>
      <c r="K4445" s="193" t="str">
        <f>1-EXP(-J4445)</f>
      </c>
      <c r="L4445" s="194" t="str">
        <f>IF(G4445=30,1,M4444)</f>
      </c>
      <c r="M4445" s="195" t="str">
        <f>L4445*(1-K4445)</f>
      </c>
    </row>
    <row r="4446">
      <c r="A4446" t="s">
        <v>167</v>
      </c>
      <c r="B4446" t="s">
        <v>272</v>
      </c>
      <c r="C4446" s="35" t="s">
        <v>274</v>
      </c>
      <c r="D4446" t="s">
        <v>502</v>
      </c>
      <c r="E4446" t="s">
        <v>520</v>
      </c>
      <c r="F4446" s="188" t="n">
        <v>2032</v>
      </c>
      <c r="G4446" s="189" t="n">
        <v>34</v>
      </c>
      <c r="H4446" s="190" t="n">
        <v>1290.45711060778</v>
      </c>
      <c r="I4446" s="191" t="n">
        <v>4395496.50905295</v>
      </c>
      <c r="J4446" s="192" t="str">
        <f>IF(I4446&gt;0,H4446/I4446,0)</f>
      </c>
      <c r="K4446" s="193" t="str">
        <f>1-EXP(-J4446)</f>
      </c>
      <c r="L4446" s="194" t="str">
        <f>IF(G4446=30,1,M4445)</f>
      </c>
      <c r="M4446" s="195" t="str">
        <f>L4446*(1-K4446)</f>
      </c>
    </row>
    <row r="4447">
      <c r="A4447" t="s">
        <v>167</v>
      </c>
      <c r="B4447" t="s">
        <v>272</v>
      </c>
      <c r="C4447" s="35" t="s">
        <v>274</v>
      </c>
      <c r="D4447" t="s">
        <v>502</v>
      </c>
      <c r="E4447" t="s">
        <v>520</v>
      </c>
      <c r="F4447" s="188" t="n">
        <v>2032</v>
      </c>
      <c r="G4447" s="189" t="n">
        <v>35</v>
      </c>
      <c r="H4447" s="190" t="n">
        <v>2069.51027189133</v>
      </c>
      <c r="I4447" s="191" t="n">
        <v>4534968.92403564</v>
      </c>
      <c r="J4447" s="192" t="str">
        <f>IF(I4447&gt;0,H4447/I4447,0)</f>
      </c>
      <c r="K4447" s="193" t="str">
        <f>1-EXP(-J4447)</f>
      </c>
      <c r="L4447" s="194" t="str">
        <f>IF(G4447=30,1,M4446)</f>
      </c>
      <c r="M4447" s="195" t="str">
        <f>L4447*(1-K4447)</f>
      </c>
    </row>
    <row r="4448">
      <c r="A4448" t="s">
        <v>167</v>
      </c>
      <c r="B4448" t="s">
        <v>272</v>
      </c>
      <c r="C4448" s="35" t="s">
        <v>274</v>
      </c>
      <c r="D4448" t="s">
        <v>502</v>
      </c>
      <c r="E4448" t="s">
        <v>520</v>
      </c>
      <c r="F4448" s="188" t="n">
        <v>2032</v>
      </c>
      <c r="G4448" s="189" t="n">
        <v>36</v>
      </c>
      <c r="H4448" s="190" t="n">
        <v>2187.19854351935</v>
      </c>
      <c r="I4448" s="191" t="n">
        <v>4491011.928373</v>
      </c>
      <c r="J4448" s="192" t="str">
        <f>IF(I4448&gt;0,H4448/I4448,0)</f>
      </c>
      <c r="K4448" s="193" t="str">
        <f>1-EXP(-J4448)</f>
      </c>
      <c r="L4448" s="194" t="str">
        <f>IF(G4448=30,1,M4447)</f>
      </c>
      <c r="M4448" s="195" t="str">
        <f>L4448*(1-K4448)</f>
      </c>
    </row>
    <row r="4449">
      <c r="A4449" t="s">
        <v>167</v>
      </c>
      <c r="B4449" t="s">
        <v>272</v>
      </c>
      <c r="C4449" s="35" t="s">
        <v>274</v>
      </c>
      <c r="D4449" t="s">
        <v>502</v>
      </c>
      <c r="E4449" t="s">
        <v>520</v>
      </c>
      <c r="F4449" s="188" t="n">
        <v>2032</v>
      </c>
      <c r="G4449" s="189" t="n">
        <v>37</v>
      </c>
      <c r="H4449" s="190" t="n">
        <v>2307.79622210169</v>
      </c>
      <c r="I4449" s="191" t="n">
        <v>4417318.02019401</v>
      </c>
      <c r="J4449" s="192" t="str">
        <f>IF(I4449&gt;0,H4449/I4449,0)</f>
      </c>
      <c r="K4449" s="193" t="str">
        <f>1-EXP(-J4449)</f>
      </c>
      <c r="L4449" s="194" t="str">
        <f>IF(G4449=30,1,M4448)</f>
      </c>
      <c r="M4449" s="195" t="str">
        <f>L4449*(1-K4449)</f>
      </c>
    </row>
    <row r="4450">
      <c r="A4450" t="s">
        <v>167</v>
      </c>
      <c r="B4450" t="s">
        <v>272</v>
      </c>
      <c r="C4450" s="35" t="s">
        <v>274</v>
      </c>
      <c r="D4450" t="s">
        <v>502</v>
      </c>
      <c r="E4450" t="s">
        <v>520</v>
      </c>
      <c r="F4450" s="188" t="n">
        <v>2032</v>
      </c>
      <c r="G4450" s="189" t="n">
        <v>38</v>
      </c>
      <c r="H4450" s="190" t="n">
        <v>2448.68290982025</v>
      </c>
      <c r="I4450" s="191" t="n">
        <v>4359228.33945254</v>
      </c>
      <c r="J4450" s="192" t="str">
        <f>IF(I4450&gt;0,H4450/I4450,0)</f>
      </c>
      <c r="K4450" s="193" t="str">
        <f>1-EXP(-J4450)</f>
      </c>
      <c r="L4450" s="194" t="str">
        <f>IF(G4450=30,1,M4449)</f>
      </c>
      <c r="M4450" s="195" t="str">
        <f>L4450*(1-K4450)</f>
      </c>
    </row>
    <row r="4451">
      <c r="A4451" t="s">
        <v>167</v>
      </c>
      <c r="B4451" t="s">
        <v>272</v>
      </c>
      <c r="C4451" s="35" t="s">
        <v>274</v>
      </c>
      <c r="D4451" t="s">
        <v>502</v>
      </c>
      <c r="E4451" t="s">
        <v>520</v>
      </c>
      <c r="F4451" s="188" t="n">
        <v>2032</v>
      </c>
      <c r="G4451" s="189" t="n">
        <v>39</v>
      </c>
      <c r="H4451" s="190" t="n">
        <v>2604.33578756599</v>
      </c>
      <c r="I4451" s="191" t="n">
        <v>4304614.41498476</v>
      </c>
      <c r="J4451" s="192" t="str">
        <f>IF(I4451&gt;0,H4451/I4451,0)</f>
      </c>
      <c r="K4451" s="193" t="str">
        <f>1-EXP(-J4451)</f>
      </c>
      <c r="L4451" s="194" t="str">
        <f>IF(G4451=30,1,M4450)</f>
      </c>
      <c r="M4451" s="195" t="str">
        <f>L4451*(1-K4451)</f>
      </c>
    </row>
    <row r="4452">
      <c r="A4452" t="s">
        <v>167</v>
      </c>
      <c r="B4452" t="s">
        <v>272</v>
      </c>
      <c r="C4452" s="35" t="s">
        <v>274</v>
      </c>
      <c r="D4452" t="s">
        <v>502</v>
      </c>
      <c r="E4452" t="s">
        <v>520</v>
      </c>
      <c r="F4452" s="188" t="n">
        <v>2032</v>
      </c>
      <c r="G4452" s="189" t="n">
        <v>40</v>
      </c>
      <c r="H4452" s="190" t="n">
        <v>3527.42165447234</v>
      </c>
      <c r="I4452" s="191" t="n">
        <v>4340906.11630173</v>
      </c>
      <c r="J4452" s="192" t="str">
        <f>IF(I4452&gt;0,H4452/I4452,0)</f>
      </c>
      <c r="K4452" s="193" t="str">
        <f>1-EXP(-J4452)</f>
      </c>
      <c r="L4452" s="194" t="str">
        <f>IF(G4452=30,1,M4451)</f>
      </c>
      <c r="M4452" s="195" t="str">
        <f>L4452*(1-K4452)</f>
      </c>
    </row>
    <row r="4453">
      <c r="A4453" t="s">
        <v>167</v>
      </c>
      <c r="B4453" t="s">
        <v>272</v>
      </c>
      <c r="C4453" s="35" t="s">
        <v>274</v>
      </c>
      <c r="D4453" t="s">
        <v>502</v>
      </c>
      <c r="E4453" t="s">
        <v>520</v>
      </c>
      <c r="F4453" s="188" t="n">
        <v>2032</v>
      </c>
      <c r="G4453" s="189" t="n">
        <v>41</v>
      </c>
      <c r="H4453" s="190" t="n">
        <v>3823.64653854928</v>
      </c>
      <c r="I4453" s="191" t="n">
        <v>4356591.84950891</v>
      </c>
      <c r="J4453" s="192" t="str">
        <f>IF(I4453&gt;0,H4453/I4453,0)</f>
      </c>
      <c r="K4453" s="193" t="str">
        <f>1-EXP(-J4453)</f>
      </c>
      <c r="L4453" s="194" t="str">
        <f>IF(G4453=30,1,M4452)</f>
      </c>
      <c r="M4453" s="195" t="str">
        <f>L4453*(1-K4453)</f>
      </c>
    </row>
    <row r="4454">
      <c r="A4454" t="s">
        <v>167</v>
      </c>
      <c r="B4454" t="s">
        <v>272</v>
      </c>
      <c r="C4454" s="35" t="s">
        <v>274</v>
      </c>
      <c r="D4454" t="s">
        <v>502</v>
      </c>
      <c r="E4454" t="s">
        <v>520</v>
      </c>
      <c r="F4454" s="188" t="n">
        <v>2032</v>
      </c>
      <c r="G4454" s="189" t="n">
        <v>42</v>
      </c>
      <c r="H4454" s="190" t="n">
        <v>5789.90961383333</v>
      </c>
      <c r="I4454" s="191" t="n">
        <v>6414077.20638379</v>
      </c>
      <c r="J4454" s="192" t="str">
        <f>IF(I4454&gt;0,H4454/I4454,0)</f>
      </c>
      <c r="K4454" s="193" t="str">
        <f>1-EXP(-J4454)</f>
      </c>
      <c r="L4454" s="194" t="str">
        <f>IF(G4454=30,1,M4453)</f>
      </c>
      <c r="M4454" s="195" t="str">
        <f>L4454*(1-K4454)</f>
      </c>
    </row>
    <row r="4455">
      <c r="A4455" t="s">
        <v>167</v>
      </c>
      <c r="B4455" t="s">
        <v>272</v>
      </c>
      <c r="C4455" s="35" t="s">
        <v>274</v>
      </c>
      <c r="D4455" t="s">
        <v>502</v>
      </c>
      <c r="E4455" t="s">
        <v>520</v>
      </c>
      <c r="F4455" s="188" t="n">
        <v>2032</v>
      </c>
      <c r="G4455" s="189" t="n">
        <v>43</v>
      </c>
      <c r="H4455" s="190" t="n">
        <v>4467.57351458696</v>
      </c>
      <c r="I4455" s="191" t="n">
        <v>4311873.63525045</v>
      </c>
      <c r="J4455" s="192" t="str">
        <f>IF(I4455&gt;0,H4455/I4455,0)</f>
      </c>
      <c r="K4455" s="193" t="str">
        <f>1-EXP(-J4455)</f>
      </c>
      <c r="L4455" s="194" t="str">
        <f>IF(G4455=30,1,M4454)</f>
      </c>
      <c r="M4455" s="195" t="str">
        <f>L4455*(1-K4455)</f>
      </c>
    </row>
    <row r="4456">
      <c r="A4456" t="s">
        <v>167</v>
      </c>
      <c r="B4456" t="s">
        <v>272</v>
      </c>
      <c r="C4456" s="35" t="s">
        <v>274</v>
      </c>
      <c r="D4456" t="s">
        <v>502</v>
      </c>
      <c r="E4456" t="s">
        <v>520</v>
      </c>
      <c r="F4456" s="188" t="n">
        <v>2032</v>
      </c>
      <c r="G4456" s="189" t="n">
        <v>44</v>
      </c>
      <c r="H4456" s="190" t="n">
        <v>4855.75607970496</v>
      </c>
      <c r="I4456" s="191" t="n">
        <v>4293187.53290978</v>
      </c>
      <c r="J4456" s="192" t="str">
        <f>IF(I4456&gt;0,H4456/I4456,0)</f>
      </c>
      <c r="K4456" s="193" t="str">
        <f>1-EXP(-J4456)</f>
      </c>
      <c r="L4456" s="194" t="str">
        <f>IF(G4456=30,1,M4455)</f>
      </c>
      <c r="M4456" s="195" t="str">
        <f>L4456*(1-K4456)</f>
      </c>
    </row>
    <row r="4457">
      <c r="A4457" t="s">
        <v>167</v>
      </c>
      <c r="B4457" t="s">
        <v>272</v>
      </c>
      <c r="C4457" s="35" t="s">
        <v>274</v>
      </c>
      <c r="D4457" t="s">
        <v>502</v>
      </c>
      <c r="E4457" t="s">
        <v>520</v>
      </c>
      <c r="F4457" s="188" t="n">
        <v>2032</v>
      </c>
      <c r="G4457" s="189" t="n">
        <v>45</v>
      </c>
      <c r="H4457" s="190" t="n">
        <v>6080.90661869393</v>
      </c>
      <c r="I4457" s="191" t="n">
        <v>4159426.58024559</v>
      </c>
      <c r="J4457" s="192" t="str">
        <f>IF(I4457&gt;0,H4457/I4457,0)</f>
      </c>
      <c r="K4457" s="193" t="str">
        <f>1-EXP(-J4457)</f>
      </c>
      <c r="L4457" s="194" t="str">
        <f>IF(G4457=30,1,M4456)</f>
      </c>
      <c r="M4457" s="195" t="str">
        <f>L4457*(1-K4457)</f>
      </c>
    </row>
    <row r="4458">
      <c r="A4458" t="s">
        <v>167</v>
      </c>
      <c r="B4458" t="s">
        <v>272</v>
      </c>
      <c r="C4458" s="35" t="s">
        <v>274</v>
      </c>
      <c r="D4458" t="s">
        <v>502</v>
      </c>
      <c r="E4458" t="s">
        <v>520</v>
      </c>
      <c r="F4458" s="188" t="n">
        <v>2032</v>
      </c>
      <c r="G4458" s="189" t="n">
        <v>46</v>
      </c>
      <c r="H4458" s="190" t="n">
        <v>6587.71353844257</v>
      </c>
      <c r="I4458" s="191" t="n">
        <v>4121501.70243597</v>
      </c>
      <c r="J4458" s="192" t="str">
        <f>IF(I4458&gt;0,H4458/I4458,0)</f>
      </c>
      <c r="K4458" s="193" t="str">
        <f>1-EXP(-J4458)</f>
      </c>
      <c r="L4458" s="194" t="str">
        <f>IF(G4458=30,1,M4457)</f>
      </c>
      <c r="M4458" s="195" t="str">
        <f>L4458*(1-K4458)</f>
      </c>
    </row>
    <row r="4459">
      <c r="A4459" t="s">
        <v>167</v>
      </c>
      <c r="B4459" t="s">
        <v>272</v>
      </c>
      <c r="C4459" s="35" t="s">
        <v>274</v>
      </c>
      <c r="D4459" t="s">
        <v>502</v>
      </c>
      <c r="E4459" t="s">
        <v>520</v>
      </c>
      <c r="F4459" s="188" t="n">
        <v>2032</v>
      </c>
      <c r="G4459" s="189" t="n">
        <v>47</v>
      </c>
      <c r="H4459" s="190" t="n">
        <v>7321.15238374523</v>
      </c>
      <c r="I4459" s="191" t="n">
        <v>4177031.16181765</v>
      </c>
      <c r="J4459" s="192" t="str">
        <f>IF(I4459&gt;0,H4459/I4459,0)</f>
      </c>
      <c r="K4459" s="193" t="str">
        <f>1-EXP(-J4459)</f>
      </c>
      <c r="L4459" s="194" t="str">
        <f>IF(G4459=30,1,M4458)</f>
      </c>
      <c r="M4459" s="195" t="str">
        <f>L4459*(1-K4459)</f>
      </c>
    </row>
    <row r="4460">
      <c r="A4460" t="s">
        <v>167</v>
      </c>
      <c r="B4460" t="s">
        <v>272</v>
      </c>
      <c r="C4460" s="35" t="s">
        <v>274</v>
      </c>
      <c r="D4460" t="s">
        <v>502</v>
      </c>
      <c r="E4460" t="s">
        <v>520</v>
      </c>
      <c r="F4460" s="188" t="n">
        <v>2032</v>
      </c>
      <c r="G4460" s="189" t="n">
        <v>48</v>
      </c>
      <c r="H4460" s="190" t="n">
        <v>8181.29132869305</v>
      </c>
      <c r="I4460" s="191" t="n">
        <v>4256960.19992582</v>
      </c>
      <c r="J4460" s="192" t="str">
        <f>IF(I4460&gt;0,H4460/I4460,0)</f>
      </c>
      <c r="K4460" s="193" t="str">
        <f>1-EXP(-J4460)</f>
      </c>
      <c r="L4460" s="194" t="str">
        <f>IF(G4460=30,1,M4459)</f>
      </c>
      <c r="M4460" s="195" t="str">
        <f>L4460*(1-K4460)</f>
      </c>
    </row>
    <row r="4461">
      <c r="A4461" t="s">
        <v>167</v>
      </c>
      <c r="B4461" t="s">
        <v>272</v>
      </c>
      <c r="C4461" s="35" t="s">
        <v>274</v>
      </c>
      <c r="D4461" t="s">
        <v>502</v>
      </c>
      <c r="E4461" t="s">
        <v>520</v>
      </c>
      <c r="F4461" s="188" t="n">
        <v>2032</v>
      </c>
      <c r="G4461" s="189" t="n">
        <v>49</v>
      </c>
      <c r="H4461" s="190" t="n">
        <v>8905.77814969504</v>
      </c>
      <c r="I4461" s="191" t="n">
        <v>4228541.09344997</v>
      </c>
      <c r="J4461" s="192" t="str">
        <f>IF(I4461&gt;0,H4461/I4461,0)</f>
      </c>
      <c r="K4461" s="193" t="str">
        <f>1-EXP(-J4461)</f>
      </c>
      <c r="L4461" s="194" t="str">
        <f>IF(G4461=30,1,M4460)</f>
      </c>
      <c r="M4461" s="195" t="str">
        <f>L4461*(1-K4461)</f>
      </c>
    </row>
    <row r="4462">
      <c r="A4462" t="s">
        <v>167</v>
      </c>
      <c r="B4462" t="s">
        <v>272</v>
      </c>
      <c r="C4462" s="35" t="s">
        <v>274</v>
      </c>
      <c r="D4462" t="s">
        <v>502</v>
      </c>
      <c r="E4462" t="s">
        <v>520</v>
      </c>
      <c r="F4462" s="188" t="n">
        <v>2032</v>
      </c>
      <c r="G4462" s="189" t="n">
        <v>50</v>
      </c>
      <c r="H4462" s="190" t="n">
        <v>10012.9887991398</v>
      </c>
      <c r="I4462" s="191" t="n">
        <v>4088627.85781104</v>
      </c>
      <c r="J4462" s="192" t="str">
        <f>IF(I4462&gt;0,H4462/I4462,0)</f>
      </c>
      <c r="K4462" s="193" t="str">
        <f>1-EXP(-J4462)</f>
      </c>
      <c r="L4462" s="194" t="str">
        <f>IF(G4462=30,1,M4461)</f>
      </c>
      <c r="M4462" s="195" t="str">
        <f>L4462*(1-K4462)</f>
      </c>
    </row>
    <row r="4463">
      <c r="A4463" t="s">
        <v>167</v>
      </c>
      <c r="B4463" t="s">
        <v>272</v>
      </c>
      <c r="C4463" s="35" t="s">
        <v>274</v>
      </c>
      <c r="D4463" t="s">
        <v>502</v>
      </c>
      <c r="E4463" t="s">
        <v>520</v>
      </c>
      <c r="F4463" s="188" t="n">
        <v>2032</v>
      </c>
      <c r="G4463" s="189" t="n">
        <v>51</v>
      </c>
      <c r="H4463" s="190" t="n">
        <v>10748.788205405</v>
      </c>
      <c r="I4463" s="191" t="n">
        <v>4009272.52302492</v>
      </c>
      <c r="J4463" s="192" t="str">
        <f>IF(I4463&gt;0,H4463/I4463,0)</f>
      </c>
      <c r="K4463" s="193" t="str">
        <f>1-EXP(-J4463)</f>
      </c>
      <c r="L4463" s="194" t="str">
        <f>IF(G4463=30,1,M4462)</f>
      </c>
      <c r="M4463" s="195" t="str">
        <f>L4463*(1-K4463)</f>
      </c>
    </row>
    <row r="4464">
      <c r="A4464" t="s">
        <v>167</v>
      </c>
      <c r="B4464" t="s">
        <v>272</v>
      </c>
      <c r="C4464" s="35" t="s">
        <v>274</v>
      </c>
      <c r="D4464" t="s">
        <v>502</v>
      </c>
      <c r="E4464" t="s">
        <v>520</v>
      </c>
      <c r="F4464" s="188" t="n">
        <v>2032</v>
      </c>
      <c r="G4464" s="189" t="n">
        <v>52</v>
      </c>
      <c r="H4464" s="190" t="n">
        <v>11562.3120189575</v>
      </c>
      <c r="I4464" s="191" t="n">
        <v>3945994.58369598</v>
      </c>
      <c r="J4464" s="192" t="str">
        <f>IF(I4464&gt;0,H4464/I4464,0)</f>
      </c>
      <c r="K4464" s="193" t="str">
        <f>1-EXP(-J4464)</f>
      </c>
      <c r="L4464" s="194" t="str">
        <f>IF(G4464=30,1,M4463)</f>
      </c>
      <c r="M4464" s="195" t="str">
        <f>L4464*(1-K4464)</f>
      </c>
    </row>
    <row r="4465">
      <c r="A4465" t="s">
        <v>167</v>
      </c>
      <c r="B4465" t="s">
        <v>272</v>
      </c>
      <c r="C4465" s="35" t="s">
        <v>274</v>
      </c>
      <c r="D4465" t="s">
        <v>502</v>
      </c>
      <c r="E4465" t="s">
        <v>520</v>
      </c>
      <c r="F4465" s="188" t="n">
        <v>2032</v>
      </c>
      <c r="G4465" s="189" t="n">
        <v>53</v>
      </c>
      <c r="H4465" s="190" t="n">
        <v>12412.8573791642</v>
      </c>
      <c r="I4465" s="191" t="n">
        <v>3877016.77405654</v>
      </c>
      <c r="J4465" s="192" t="str">
        <f>IF(I4465&gt;0,H4465/I4465,0)</f>
      </c>
      <c r="K4465" s="193" t="str">
        <f>1-EXP(-J4465)</f>
      </c>
      <c r="L4465" s="194" t="str">
        <f>IF(G4465=30,1,M4464)</f>
      </c>
      <c r="M4465" s="195" t="str">
        <f>L4465*(1-K4465)</f>
      </c>
    </row>
    <row r="4466">
      <c r="A4466" t="s">
        <v>167</v>
      </c>
      <c r="B4466" t="s">
        <v>272</v>
      </c>
      <c r="C4466" s="35" t="s">
        <v>274</v>
      </c>
      <c r="D4466" t="s">
        <v>502</v>
      </c>
      <c r="E4466" t="s">
        <v>520</v>
      </c>
      <c r="F4466" s="188" t="n">
        <v>2032</v>
      </c>
      <c r="G4466" s="189" t="n">
        <v>54</v>
      </c>
      <c r="H4466" s="190" t="n">
        <v>13252.5489568512</v>
      </c>
      <c r="I4466" s="191" t="n">
        <v>3788618.35059213</v>
      </c>
      <c r="J4466" s="192" t="str">
        <f>IF(I4466&gt;0,H4466/I4466,0)</f>
      </c>
      <c r="K4466" s="193" t="str">
        <f>1-EXP(-J4466)</f>
      </c>
      <c r="L4466" s="194" t="str">
        <f>IF(G4466=30,1,M4465)</f>
      </c>
      <c r="M4466" s="195" t="str">
        <f>L4466*(1-K4466)</f>
      </c>
    </row>
    <row r="4467">
      <c r="A4467" t="s">
        <v>167</v>
      </c>
      <c r="B4467" t="s">
        <v>272</v>
      </c>
      <c r="C4467" s="35" t="s">
        <v>274</v>
      </c>
      <c r="D4467" t="s">
        <v>502</v>
      </c>
      <c r="E4467" t="s">
        <v>520</v>
      </c>
      <c r="F4467" s="188" t="n">
        <v>2032</v>
      </c>
      <c r="G4467" s="189" t="n">
        <v>55</v>
      </c>
      <c r="H4467" s="190" t="n">
        <v>14307.677853992</v>
      </c>
      <c r="I4467" s="191" t="n">
        <v>3716566.64253839</v>
      </c>
      <c r="J4467" s="192" t="str">
        <f>IF(I4467&gt;0,H4467/I4467,0)</f>
      </c>
      <c r="K4467" s="193" t="str">
        <f>1-EXP(-J4467)</f>
      </c>
      <c r="L4467" s="194" t="str">
        <f>IF(G4467=30,1,M4466)</f>
      </c>
      <c r="M4467" s="195" t="str">
        <f>L4467*(1-K4467)</f>
      </c>
    </row>
    <row r="4468">
      <c r="A4468" t="s">
        <v>167</v>
      </c>
      <c r="B4468" t="s">
        <v>272</v>
      </c>
      <c r="C4468" s="35" t="s">
        <v>274</v>
      </c>
      <c r="D4468" t="s">
        <v>502</v>
      </c>
      <c r="E4468" t="s">
        <v>520</v>
      </c>
      <c r="F4468" s="188" t="n">
        <v>2032</v>
      </c>
      <c r="G4468" s="189" t="n">
        <v>56</v>
      </c>
      <c r="H4468" s="190" t="n">
        <v>15248.6188771922</v>
      </c>
      <c r="I4468" s="191" t="n">
        <v>3632185.77337215</v>
      </c>
      <c r="J4468" s="192" t="str">
        <f>IF(I4468&gt;0,H4468/I4468,0)</f>
      </c>
      <c r="K4468" s="193" t="str">
        <f>1-EXP(-J4468)</f>
      </c>
      <c r="L4468" s="194" t="str">
        <f>IF(G4468=30,1,M4467)</f>
      </c>
      <c r="M4468" s="195" t="str">
        <f>L4468*(1-K4468)</f>
      </c>
    </row>
    <row r="4469">
      <c r="A4469" t="s">
        <v>167</v>
      </c>
      <c r="B4469" t="s">
        <v>272</v>
      </c>
      <c r="C4469" s="35" t="s">
        <v>274</v>
      </c>
      <c r="D4469" t="s">
        <v>502</v>
      </c>
      <c r="E4469" t="s">
        <v>520</v>
      </c>
      <c r="F4469" s="188" t="n">
        <v>2032</v>
      </c>
      <c r="G4469" s="189" t="n">
        <v>57</v>
      </c>
      <c r="H4469" s="190" t="n">
        <v>16272.328825279</v>
      </c>
      <c r="I4469" s="191" t="n">
        <v>3547079.30903371</v>
      </c>
      <c r="J4469" s="192" t="str">
        <f>IF(I4469&gt;0,H4469/I4469,0)</f>
      </c>
      <c r="K4469" s="193" t="str">
        <f>1-EXP(-J4469)</f>
      </c>
      <c r="L4469" s="194" t="str">
        <f>IF(G4469=30,1,M4468)</f>
      </c>
      <c r="M4469" s="195" t="str">
        <f>L4469*(1-K4469)</f>
      </c>
    </row>
    <row r="4470">
      <c r="A4470" t="s">
        <v>167</v>
      </c>
      <c r="B4470" t="s">
        <v>272</v>
      </c>
      <c r="C4470" s="35" t="s">
        <v>274</v>
      </c>
      <c r="D4470" t="s">
        <v>502</v>
      </c>
      <c r="E4470" t="s">
        <v>520</v>
      </c>
      <c r="F4470" s="188" t="n">
        <v>2032</v>
      </c>
      <c r="G4470" s="189" t="n">
        <v>58</v>
      </c>
      <c r="H4470" s="190" t="n">
        <v>17229.6964283386</v>
      </c>
      <c r="I4470" s="191" t="n">
        <v>3434870.49192617</v>
      </c>
      <c r="J4470" s="192" t="str">
        <f>IF(I4470&gt;0,H4470/I4470,0)</f>
      </c>
      <c r="K4470" s="193" t="str">
        <f>1-EXP(-J4470)</f>
      </c>
      <c r="L4470" s="194" t="str">
        <f>IF(G4470=30,1,M4469)</f>
      </c>
      <c r="M4470" s="195" t="str">
        <f>L4470*(1-K4470)</f>
      </c>
    </row>
    <row r="4471">
      <c r="A4471" t="s">
        <v>167</v>
      </c>
      <c r="B4471" t="s">
        <v>272</v>
      </c>
      <c r="C4471" s="35" t="s">
        <v>274</v>
      </c>
      <c r="D4471" t="s">
        <v>502</v>
      </c>
      <c r="E4471" t="s">
        <v>520</v>
      </c>
      <c r="F4471" s="188" t="n">
        <v>2032</v>
      </c>
      <c r="G4471" s="189" t="n">
        <v>59</v>
      </c>
      <c r="H4471" s="190" t="n">
        <v>18549.5426177482</v>
      </c>
      <c r="I4471" s="191" t="n">
        <v>3380426.37550103</v>
      </c>
      <c r="J4471" s="192" t="str">
        <f>IF(I4471&gt;0,H4471/I4471,0)</f>
      </c>
      <c r="K4471" s="193" t="str">
        <f>1-EXP(-J4471)</f>
      </c>
      <c r="L4471" s="194" t="str">
        <f>IF(G4471=30,1,M4470)</f>
      </c>
      <c r="M4471" s="195" t="str">
        <f>L4471*(1-K4471)</f>
      </c>
    </row>
    <row r="4472">
      <c r="A4472" t="s">
        <v>167</v>
      </c>
      <c r="B4472" t="s">
        <v>272</v>
      </c>
      <c r="C4472" s="35" t="s">
        <v>274</v>
      </c>
      <c r="D4472" t="s">
        <v>502</v>
      </c>
      <c r="E4472" t="s">
        <v>520</v>
      </c>
      <c r="F4472" s="188" t="n">
        <v>2032</v>
      </c>
      <c r="G4472" s="189" t="n">
        <v>60</v>
      </c>
      <c r="H4472" s="190" t="n">
        <v>19302.750898734</v>
      </c>
      <c r="I4472" s="191" t="n">
        <v>3167588.14630216</v>
      </c>
      <c r="J4472" s="192" t="str">
        <f>IF(I4472&gt;0,H4472/I4472,0)</f>
      </c>
      <c r="K4472" s="193" t="str">
        <f>1-EXP(-J4472)</f>
      </c>
      <c r="L4472" s="194" t="str">
        <f>IF(G4472=30,1,M4471)</f>
      </c>
      <c r="M4472" s="195" t="str">
        <f>L4472*(1-K4472)</f>
      </c>
    </row>
    <row r="4473">
      <c r="A4473" t="s">
        <v>167</v>
      </c>
      <c r="B4473" t="s">
        <v>272</v>
      </c>
      <c r="C4473" s="35" t="s">
        <v>274</v>
      </c>
      <c r="D4473" t="s">
        <v>502</v>
      </c>
      <c r="E4473" t="s">
        <v>520</v>
      </c>
      <c r="F4473" s="188" t="n">
        <v>2032</v>
      </c>
      <c r="G4473" s="189" t="n">
        <v>61</v>
      </c>
      <c r="H4473" s="190" t="n">
        <v>20549.4843808638</v>
      </c>
      <c r="I4473" s="191" t="n">
        <v>3071147.51658974</v>
      </c>
      <c r="J4473" s="192" t="str">
        <f>IF(I4473&gt;0,H4473/I4473,0)</f>
      </c>
      <c r="K4473" s="193" t="str">
        <f>1-EXP(-J4473)</f>
      </c>
      <c r="L4473" s="194" t="str">
        <f>IF(G4473=30,1,M4472)</f>
      </c>
      <c r="M4473" s="195" t="str">
        <f>L4473*(1-K4473)</f>
      </c>
    </row>
    <row r="4474">
      <c r="A4474" t="s">
        <v>167</v>
      </c>
      <c r="B4474" t="s">
        <v>272</v>
      </c>
      <c r="C4474" s="35" t="s">
        <v>274</v>
      </c>
      <c r="D4474" t="s">
        <v>502</v>
      </c>
      <c r="E4474" t="s">
        <v>520</v>
      </c>
      <c r="F4474" s="188" t="n">
        <v>2032</v>
      </c>
      <c r="G4474" s="189" t="n">
        <v>62</v>
      </c>
      <c r="H4474" s="190" t="n">
        <v>21818.2544091798</v>
      </c>
      <c r="I4474" s="191" t="n">
        <v>2978836.84445447</v>
      </c>
      <c r="J4474" s="192" t="str">
        <f>IF(I4474&gt;0,H4474/I4474,0)</f>
      </c>
      <c r="K4474" s="193" t="str">
        <f>1-EXP(-J4474)</f>
      </c>
      <c r="L4474" s="194" t="str">
        <f>IF(G4474=30,1,M4473)</f>
      </c>
      <c r="M4474" s="195" t="str">
        <f>L4474*(1-K4474)</f>
      </c>
    </row>
    <row r="4475">
      <c r="A4475" t="s">
        <v>167</v>
      </c>
      <c r="B4475" t="s">
        <v>272</v>
      </c>
      <c r="C4475" s="35" t="s">
        <v>274</v>
      </c>
      <c r="D4475" t="s">
        <v>502</v>
      </c>
      <c r="E4475" t="s">
        <v>520</v>
      </c>
      <c r="F4475" s="188" t="n">
        <v>2032</v>
      </c>
      <c r="G4475" s="189" t="n">
        <v>63</v>
      </c>
      <c r="H4475" s="190" t="n">
        <v>23079.4061085232</v>
      </c>
      <c r="I4475" s="191" t="n">
        <v>2877273.86130489</v>
      </c>
      <c r="J4475" s="192" t="str">
        <f>IF(I4475&gt;0,H4475/I4475,0)</f>
      </c>
      <c r="K4475" s="193" t="str">
        <f>1-EXP(-J4475)</f>
      </c>
      <c r="L4475" s="194" t="str">
        <f>IF(G4475=30,1,M4474)</f>
      </c>
      <c r="M4475" s="195" t="str">
        <f>L4475*(1-K4475)</f>
      </c>
    </row>
    <row r="4476">
      <c r="A4476" t="s">
        <v>167</v>
      </c>
      <c r="B4476" t="s">
        <v>272</v>
      </c>
      <c r="C4476" s="35" t="s">
        <v>274</v>
      </c>
      <c r="D4476" t="s">
        <v>502</v>
      </c>
      <c r="E4476" t="s">
        <v>520</v>
      </c>
      <c r="F4476" s="188" t="n">
        <v>2032</v>
      </c>
      <c r="G4476" s="189" t="n">
        <v>64</v>
      </c>
      <c r="H4476" s="190" t="n">
        <v>24226.7446442256</v>
      </c>
      <c r="I4476" s="191" t="n">
        <v>2756665.60683241</v>
      </c>
      <c r="J4476" s="192" t="str">
        <f>IF(I4476&gt;0,H4476/I4476,0)</f>
      </c>
      <c r="K4476" s="193" t="str">
        <f>1-EXP(-J4476)</f>
      </c>
      <c r="L4476" s="194" t="str">
        <f>IF(G4476=30,1,M4475)</f>
      </c>
      <c r="M4476" s="195" t="str">
        <f>L4476*(1-K4476)</f>
      </c>
    </row>
    <row r="4477">
      <c r="A4477" t="s">
        <v>167</v>
      </c>
      <c r="B4477" t="s">
        <v>272</v>
      </c>
      <c r="C4477" s="35" t="s">
        <v>274</v>
      </c>
      <c r="D4477" t="s">
        <v>502</v>
      </c>
      <c r="E4477" t="s">
        <v>520</v>
      </c>
      <c r="F4477" s="188" t="n">
        <v>2032</v>
      </c>
      <c r="G4477" s="189" t="n">
        <v>65</v>
      </c>
      <c r="H4477" s="190" t="n">
        <v>24336.0806297416</v>
      </c>
      <c r="I4477" s="191" t="n">
        <v>2606534.89769329</v>
      </c>
      <c r="J4477" s="192" t="str">
        <f>IF(I4477&gt;0,H4477/I4477,0)</f>
      </c>
      <c r="K4477" s="193" t="str">
        <f>1-EXP(-J4477)</f>
      </c>
      <c r="L4477" s="194" t="str">
        <f>IF(G4477=30,1,M4476)</f>
      </c>
      <c r="M4477" s="195" t="str">
        <f>L4477*(1-K4477)</f>
      </c>
    </row>
    <row r="4478">
      <c r="A4478" t="s">
        <v>167</v>
      </c>
      <c r="B4478" t="s">
        <v>272</v>
      </c>
      <c r="C4478" s="35" t="s">
        <v>274</v>
      </c>
      <c r="D4478" t="s">
        <v>502</v>
      </c>
      <c r="E4478" t="s">
        <v>520</v>
      </c>
      <c r="F4478" s="188" t="n">
        <v>2032</v>
      </c>
      <c r="G4478" s="189" t="n">
        <v>66</v>
      </c>
      <c r="H4478" s="190" t="n">
        <v>25491.7306155269</v>
      </c>
      <c r="I4478" s="191" t="n">
        <v>2490946.79098101</v>
      </c>
      <c r="J4478" s="192" t="str">
        <f>IF(I4478&gt;0,H4478/I4478,0)</f>
      </c>
      <c r="K4478" s="193" t="str">
        <f>1-EXP(-J4478)</f>
      </c>
      <c r="L4478" s="194" t="str">
        <f>IF(G4478=30,1,M4477)</f>
      </c>
      <c r="M4478" s="195" t="str">
        <f>L4478*(1-K4478)</f>
      </c>
    </row>
    <row r="4479">
      <c r="A4479" t="s">
        <v>167</v>
      </c>
      <c r="B4479" t="s">
        <v>272</v>
      </c>
      <c r="C4479" s="35" t="s">
        <v>274</v>
      </c>
      <c r="D4479" t="s">
        <v>502</v>
      </c>
      <c r="E4479" t="s">
        <v>520</v>
      </c>
      <c r="F4479" s="188" t="n">
        <v>2032</v>
      </c>
      <c r="G4479" s="189" t="n">
        <v>67</v>
      </c>
      <c r="H4479" s="190" t="n">
        <v>26440.6395514442</v>
      </c>
      <c r="I4479" s="191" t="n">
        <v>2355016.35909504</v>
      </c>
      <c r="J4479" s="192" t="str">
        <f>IF(I4479&gt;0,H4479/I4479,0)</f>
      </c>
      <c r="K4479" s="193" t="str">
        <f>1-EXP(-J4479)</f>
      </c>
      <c r="L4479" s="194" t="str">
        <f>IF(G4479=30,1,M4478)</f>
      </c>
      <c r="M4479" s="195" t="str">
        <f>L4479*(1-K4479)</f>
      </c>
    </row>
    <row r="4480">
      <c r="A4480" t="s">
        <v>167</v>
      </c>
      <c r="B4480" t="s">
        <v>272</v>
      </c>
      <c r="C4480" s="35" t="s">
        <v>274</v>
      </c>
      <c r="D4480" t="s">
        <v>502</v>
      </c>
      <c r="E4480" t="s">
        <v>520</v>
      </c>
      <c r="F4480" s="188" t="n">
        <v>2032</v>
      </c>
      <c r="G4480" s="189" t="n">
        <v>68</v>
      </c>
      <c r="H4480" s="190" t="n">
        <v>27358.9955516655</v>
      </c>
      <c r="I4480" s="191" t="n">
        <v>2219469.79331764</v>
      </c>
      <c r="J4480" s="192" t="str">
        <f>IF(I4480&gt;0,H4480/I4480,0)</f>
      </c>
      <c r="K4480" s="193" t="str">
        <f>1-EXP(-J4480)</f>
      </c>
      <c r="L4480" s="194" t="str">
        <f>IF(G4480=30,1,M4479)</f>
      </c>
      <c r="M4480" s="195" t="str">
        <f>L4480*(1-K4480)</f>
      </c>
    </row>
    <row r="4481">
      <c r="A4481" t="s">
        <v>167</v>
      </c>
      <c r="B4481" t="s">
        <v>272</v>
      </c>
      <c r="C4481" s="35" t="s">
        <v>274</v>
      </c>
      <c r="D4481" t="s">
        <v>502</v>
      </c>
      <c r="E4481" t="s">
        <v>520</v>
      </c>
      <c r="F4481" s="188" t="n">
        <v>2032</v>
      </c>
      <c r="G4481" s="189" t="n">
        <v>69</v>
      </c>
      <c r="H4481" s="190" t="n">
        <v>28290.156022203</v>
      </c>
      <c r="I4481" s="191" t="n">
        <v>2088633.80626772</v>
      </c>
      <c r="J4481" s="192" t="str">
        <f>IF(I4481&gt;0,H4481/I4481,0)</f>
      </c>
      <c r="K4481" s="193" t="str">
        <f>1-EXP(-J4481)</f>
      </c>
      <c r="L4481" s="194" t="str">
        <f>IF(G4481=30,1,M4480)</f>
      </c>
      <c r="M4481" s="195" t="str">
        <f>L4481*(1-K4481)</f>
      </c>
    </row>
    <row r="4482">
      <c r="A4482" t="s">
        <v>167</v>
      </c>
      <c r="B4482" t="s">
        <v>272</v>
      </c>
      <c r="C4482" s="35" t="s">
        <v>274</v>
      </c>
      <c r="D4482" t="s">
        <v>502</v>
      </c>
      <c r="E4482" t="s">
        <v>520</v>
      </c>
      <c r="F4482" s="188" t="n">
        <v>2033</v>
      </c>
      <c r="G4482" s="189" t="n">
        <v>30</v>
      </c>
      <c r="H4482" s="190" t="n">
        <v>752.533340518698</v>
      </c>
      <c r="I4482" s="191" t="n">
        <v>4369827.02201094</v>
      </c>
      <c r="J4482" s="192" t="str">
        <f>IF(I4482&gt;0,H4482/I4482,0)</f>
      </c>
      <c r="K4482" s="193" t="str">
        <f>1-EXP(-J4482)</f>
      </c>
      <c r="L4482" s="194" t="str">
        <f>IF(G4482=30,1,M4481)</f>
      </c>
      <c r="M4482" s="195" t="str">
        <f>L4482*(1-K4482)</f>
      </c>
    </row>
    <row r="4483">
      <c r="A4483" t="s">
        <v>167</v>
      </c>
      <c r="B4483" t="s">
        <v>272</v>
      </c>
      <c r="C4483" s="35" t="s">
        <v>274</v>
      </c>
      <c r="D4483" t="s">
        <v>502</v>
      </c>
      <c r="E4483" t="s">
        <v>520</v>
      </c>
      <c r="F4483" s="188" t="n">
        <v>2033</v>
      </c>
      <c r="G4483" s="189" t="n">
        <v>31</v>
      </c>
      <c r="H4483" s="190" t="n">
        <v>1073.8085391376</v>
      </c>
      <c r="I4483" s="191" t="n">
        <v>4349110.37357012</v>
      </c>
      <c r="J4483" s="192" t="str">
        <f>IF(I4483&gt;0,H4483/I4483,0)</f>
      </c>
      <c r="K4483" s="193" t="str">
        <f>1-EXP(-J4483)</f>
      </c>
      <c r="L4483" s="194" t="str">
        <f>IF(G4483=30,1,M4482)</f>
      </c>
      <c r="M4483" s="195" t="str">
        <f>L4483*(1-K4483)</f>
      </c>
    </row>
    <row r="4484">
      <c r="A4484" t="s">
        <v>167</v>
      </c>
      <c r="B4484" t="s">
        <v>272</v>
      </c>
      <c r="C4484" s="35" t="s">
        <v>274</v>
      </c>
      <c r="D4484" t="s">
        <v>502</v>
      </c>
      <c r="E4484" t="s">
        <v>520</v>
      </c>
      <c r="F4484" s="188" t="n">
        <v>2033</v>
      </c>
      <c r="G4484" s="189" t="n">
        <v>32</v>
      </c>
      <c r="H4484" s="190" t="n">
        <v>1124.10302438577</v>
      </c>
      <c r="I4484" s="191" t="n">
        <v>4329577.73226951</v>
      </c>
      <c r="J4484" s="192" t="str">
        <f>IF(I4484&gt;0,H4484/I4484,0)</f>
      </c>
      <c r="K4484" s="193" t="str">
        <f>1-EXP(-J4484)</f>
      </c>
      <c r="L4484" s="194" t="str">
        <f>IF(G4484=30,1,M4483)</f>
      </c>
      <c r="M4484" s="195" t="str">
        <f>L4484*(1-K4484)</f>
      </c>
    </row>
    <row r="4485">
      <c r="A4485" t="s">
        <v>167</v>
      </c>
      <c r="B4485" t="s">
        <v>272</v>
      </c>
      <c r="C4485" s="35" t="s">
        <v>274</v>
      </c>
      <c r="D4485" t="s">
        <v>502</v>
      </c>
      <c r="E4485" t="s">
        <v>520</v>
      </c>
      <c r="F4485" s="188" t="n">
        <v>2033</v>
      </c>
      <c r="G4485" s="189" t="n">
        <v>33</v>
      </c>
      <c r="H4485" s="190" t="n">
        <v>1184.95210341187</v>
      </c>
      <c r="I4485" s="191" t="n">
        <v>4309811.94389621</v>
      </c>
      <c r="J4485" s="192" t="str">
        <f>IF(I4485&gt;0,H4485/I4485,0)</f>
      </c>
      <c r="K4485" s="193" t="str">
        <f>1-EXP(-J4485)</f>
      </c>
      <c r="L4485" s="194" t="str">
        <f>IF(G4485=30,1,M4484)</f>
      </c>
      <c r="M4485" s="195" t="str">
        <f>L4485*(1-K4485)</f>
      </c>
    </row>
    <row r="4486">
      <c r="A4486" t="s">
        <v>167</v>
      </c>
      <c r="B4486" t="s">
        <v>272</v>
      </c>
      <c r="C4486" s="35" t="s">
        <v>274</v>
      </c>
      <c r="D4486" t="s">
        <v>502</v>
      </c>
      <c r="E4486" t="s">
        <v>520</v>
      </c>
      <c r="F4486" s="188" t="n">
        <v>2033</v>
      </c>
      <c r="G4486" s="189" t="n">
        <v>34</v>
      </c>
      <c r="H4486" s="190" t="n">
        <v>1268.00965733723</v>
      </c>
      <c r="I4486" s="191" t="n">
        <v>4329789.04463805</v>
      </c>
      <c r="J4486" s="192" t="str">
        <f>IF(I4486&gt;0,H4486/I4486,0)</f>
      </c>
      <c r="K4486" s="193" t="str">
        <f>1-EXP(-J4486)</f>
      </c>
      <c r="L4486" s="194" t="str">
        <f>IF(G4486=30,1,M4485)</f>
      </c>
      <c r="M4486" s="195" t="str">
        <f>L4486*(1-K4486)</f>
      </c>
    </row>
    <row r="4487">
      <c r="A4487" t="s">
        <v>167</v>
      </c>
      <c r="B4487" t="s">
        <v>272</v>
      </c>
      <c r="C4487" s="35" t="s">
        <v>274</v>
      </c>
      <c r="D4487" t="s">
        <v>502</v>
      </c>
      <c r="E4487" t="s">
        <v>520</v>
      </c>
      <c r="F4487" s="188" t="n">
        <v>2033</v>
      </c>
      <c r="G4487" s="189" t="n">
        <v>35</v>
      </c>
      <c r="H4487" s="190" t="n">
        <v>1744.58848306444</v>
      </c>
      <c r="I4487" s="191" t="n">
        <v>4388937.7320655</v>
      </c>
      <c r="J4487" s="192" t="str">
        <f>IF(I4487&gt;0,H4487/I4487,0)</f>
      </c>
      <c r="K4487" s="193" t="str">
        <f>1-EXP(-J4487)</f>
      </c>
      <c r="L4487" s="194" t="str">
        <f>IF(G4487=30,1,M4486)</f>
      </c>
      <c r="M4487" s="195" t="str">
        <f>L4487*(1-K4487)</f>
      </c>
    </row>
    <row r="4488">
      <c r="A4488" t="s">
        <v>167</v>
      </c>
      <c r="B4488" t="s">
        <v>272</v>
      </c>
      <c r="C4488" s="35" t="s">
        <v>274</v>
      </c>
      <c r="D4488" t="s">
        <v>502</v>
      </c>
      <c r="E4488" t="s">
        <v>520</v>
      </c>
      <c r="F4488" s="188" t="n">
        <v>2033</v>
      </c>
      <c r="G4488" s="189" t="n">
        <v>36</v>
      </c>
      <c r="H4488" s="190" t="n">
        <v>2195.08966441597</v>
      </c>
      <c r="I4488" s="191" t="n">
        <v>4527065.95046622</v>
      </c>
      <c r="J4488" s="192" t="str">
        <f>IF(I4488&gt;0,H4488/I4488,0)</f>
      </c>
      <c r="K4488" s="193" t="str">
        <f>1-EXP(-J4488)</f>
      </c>
      <c r="L4488" s="194" t="str">
        <f>IF(G4488=30,1,M4487)</f>
      </c>
      <c r="M4488" s="195" t="str">
        <f>L4488*(1-K4488)</f>
      </c>
    </row>
    <row r="4489">
      <c r="A4489" t="s">
        <v>167</v>
      </c>
      <c r="B4489" t="s">
        <v>272</v>
      </c>
      <c r="C4489" s="35" t="s">
        <v>274</v>
      </c>
      <c r="D4489" t="s">
        <v>502</v>
      </c>
      <c r="E4489" t="s">
        <v>520</v>
      </c>
      <c r="F4489" s="188" t="n">
        <v>2033</v>
      </c>
      <c r="G4489" s="189" t="n">
        <v>37</v>
      </c>
      <c r="H4489" s="190" t="n">
        <v>2331.90011049616</v>
      </c>
      <c r="I4489" s="191" t="n">
        <v>4483165.88231795</v>
      </c>
      <c r="J4489" s="192" t="str">
        <f>IF(I4489&gt;0,H4489/I4489,0)</f>
      </c>
      <c r="K4489" s="193" t="str">
        <f>1-EXP(-J4489)</f>
      </c>
      <c r="L4489" s="194" t="str">
        <f>IF(G4489=30,1,M4488)</f>
      </c>
      <c r="M4489" s="195" t="str">
        <f>L4489*(1-K4489)</f>
      </c>
    </row>
    <row r="4490">
      <c r="A4490" t="s">
        <v>167</v>
      </c>
      <c r="B4490" t="s">
        <v>272</v>
      </c>
      <c r="C4490" s="35" t="s">
        <v>274</v>
      </c>
      <c r="D4490" t="s">
        <v>502</v>
      </c>
      <c r="E4490" t="s">
        <v>520</v>
      </c>
      <c r="F4490" s="188" t="n">
        <v>2033</v>
      </c>
      <c r="G4490" s="189" t="n">
        <v>38</v>
      </c>
      <c r="H4490" s="190" t="n">
        <v>2465.7147563807</v>
      </c>
      <c r="I4490" s="191" t="n">
        <v>4409058.34475924</v>
      </c>
      <c r="J4490" s="192" t="str">
        <f>IF(I4490&gt;0,H4490/I4490,0)</f>
      </c>
      <c r="K4490" s="193" t="str">
        <f>1-EXP(-J4490)</f>
      </c>
      <c r="L4490" s="194" t="str">
        <f>IF(G4490=30,1,M4489)</f>
      </c>
      <c r="M4490" s="195" t="str">
        <f>L4490*(1-K4490)</f>
      </c>
    </row>
    <row r="4491">
      <c r="A4491" t="s">
        <v>167</v>
      </c>
      <c r="B4491" t="s">
        <v>272</v>
      </c>
      <c r="C4491" s="35" t="s">
        <v>274</v>
      </c>
      <c r="D4491" t="s">
        <v>502</v>
      </c>
      <c r="E4491" t="s">
        <v>520</v>
      </c>
      <c r="F4491" s="188" t="n">
        <v>2033</v>
      </c>
      <c r="G4491" s="189" t="n">
        <v>39</v>
      </c>
      <c r="H4491" s="190" t="n">
        <v>2620.89727326447</v>
      </c>
      <c r="I4491" s="191" t="n">
        <v>4350480.92898547</v>
      </c>
      <c r="J4491" s="192" t="str">
        <f>IF(I4491&gt;0,H4491/I4491,0)</f>
      </c>
      <c r="K4491" s="193" t="str">
        <f>1-EXP(-J4491)</f>
      </c>
      <c r="L4491" s="194" t="str">
        <f>IF(G4491=30,1,M4490)</f>
      </c>
      <c r="M4491" s="195" t="str">
        <f>L4491*(1-K4491)</f>
      </c>
    </row>
    <row r="4492">
      <c r="A4492" t="s">
        <v>167</v>
      </c>
      <c r="B4492" t="s">
        <v>272</v>
      </c>
      <c r="C4492" s="35" t="s">
        <v>274</v>
      </c>
      <c r="D4492" t="s">
        <v>502</v>
      </c>
      <c r="E4492" t="s">
        <v>520</v>
      </c>
      <c r="F4492" s="188" t="n">
        <v>2033</v>
      </c>
      <c r="G4492" s="189" t="n">
        <v>40</v>
      </c>
      <c r="H4492" s="190" t="n">
        <v>3476.15044802023</v>
      </c>
      <c r="I4492" s="191" t="n">
        <v>4295326.00335031</v>
      </c>
      <c r="J4492" s="192" t="str">
        <f>IF(I4492&gt;0,H4492/I4492,0)</f>
      </c>
      <c r="K4492" s="193" t="str">
        <f>1-EXP(-J4492)</f>
      </c>
      <c r="L4492" s="194" t="str">
        <f>IF(G4492=30,1,M4491)</f>
      </c>
      <c r="M4492" s="195" t="str">
        <f>L4492*(1-K4492)</f>
      </c>
    </row>
    <row r="4493">
      <c r="A4493" t="s">
        <v>167</v>
      </c>
      <c r="B4493" t="s">
        <v>272</v>
      </c>
      <c r="C4493" s="35" t="s">
        <v>274</v>
      </c>
      <c r="D4493" t="s">
        <v>502</v>
      </c>
      <c r="E4493" t="s">
        <v>520</v>
      </c>
      <c r="F4493" s="188" t="n">
        <v>2033</v>
      </c>
      <c r="G4493" s="189" t="n">
        <v>41</v>
      </c>
      <c r="H4493" s="190" t="n">
        <v>3780.26967764137</v>
      </c>
      <c r="I4493" s="191" t="n">
        <v>4330028.98120027</v>
      </c>
      <c r="J4493" s="192" t="str">
        <f>IF(I4493&gt;0,H4493/I4493,0)</f>
      </c>
      <c r="K4493" s="193" t="str">
        <f>1-EXP(-J4493)</f>
      </c>
      <c r="L4493" s="194" t="str">
        <f>IF(G4493=30,1,M4492)</f>
      </c>
      <c r="M4493" s="195" t="str">
        <f>L4493*(1-K4493)</f>
      </c>
    </row>
    <row r="4494">
      <c r="A4494" t="s">
        <v>167</v>
      </c>
      <c r="B4494" t="s">
        <v>272</v>
      </c>
      <c r="C4494" s="35" t="s">
        <v>274</v>
      </c>
      <c r="D4494" t="s">
        <v>502</v>
      </c>
      <c r="E4494" t="s">
        <v>520</v>
      </c>
      <c r="F4494" s="188" t="n">
        <v>2033</v>
      </c>
      <c r="G4494" s="189" t="n">
        <v>42</v>
      </c>
      <c r="H4494" s="190" t="n">
        <v>4115.64635215875</v>
      </c>
      <c r="I4494" s="191" t="n">
        <v>4345621.45079706</v>
      </c>
      <c r="J4494" s="192" t="str">
        <f>IF(I4494&gt;0,H4494/I4494,0)</f>
      </c>
      <c r="K4494" s="193" t="str">
        <f>1-EXP(-J4494)</f>
      </c>
      <c r="L4494" s="194" t="str">
        <f>IF(G4494=30,1,M4493)</f>
      </c>
      <c r="M4494" s="195" t="str">
        <f>L4494*(1-K4494)</f>
      </c>
    </row>
    <row r="4495">
      <c r="A4495" t="s">
        <v>167</v>
      </c>
      <c r="B4495" t="s">
        <v>272</v>
      </c>
      <c r="C4495" s="35" t="s">
        <v>274</v>
      </c>
      <c r="D4495" t="s">
        <v>502</v>
      </c>
      <c r="E4495" t="s">
        <v>520</v>
      </c>
      <c r="F4495" s="188" t="n">
        <v>2033</v>
      </c>
      <c r="G4495" s="189" t="n">
        <v>43</v>
      </c>
      <c r="H4495" s="190" t="n">
        <v>6234.43245070483</v>
      </c>
      <c r="I4495" s="191" t="n">
        <v>6397350.13607461</v>
      </c>
      <c r="J4495" s="192" t="str">
        <f>IF(I4495&gt;0,H4495/I4495,0)</f>
      </c>
      <c r="K4495" s="193" t="str">
        <f>1-EXP(-J4495)</f>
      </c>
      <c r="L4495" s="194" t="str">
        <f>IF(G4495=30,1,M4494)</f>
      </c>
      <c r="M4495" s="195" t="str">
        <f>L4495*(1-K4495)</f>
      </c>
    </row>
    <row r="4496">
      <c r="A4496" t="s">
        <v>167</v>
      </c>
      <c r="B4496" t="s">
        <v>272</v>
      </c>
      <c r="C4496" s="35" t="s">
        <v>274</v>
      </c>
      <c r="D4496" t="s">
        <v>502</v>
      </c>
      <c r="E4496" t="s">
        <v>520</v>
      </c>
      <c r="F4496" s="188" t="n">
        <v>2033</v>
      </c>
      <c r="G4496" s="189" t="n">
        <v>44</v>
      </c>
      <c r="H4496" s="190" t="n">
        <v>4835.91801202533</v>
      </c>
      <c r="I4496" s="191" t="n">
        <v>4299115.2357828</v>
      </c>
      <c r="J4496" s="192" t="str">
        <f>IF(I4496&gt;0,H4496/I4496,0)</f>
      </c>
      <c r="K4496" s="193" t="str">
        <f>1-EXP(-J4496)</f>
      </c>
      <c r="L4496" s="194" t="str">
        <f>IF(G4496=30,1,M4495)</f>
      </c>
      <c r="M4496" s="195" t="str">
        <f>L4496*(1-K4496)</f>
      </c>
    </row>
    <row r="4497">
      <c r="A4497" t="s">
        <v>167</v>
      </c>
      <c r="B4497" t="s">
        <v>272</v>
      </c>
      <c r="C4497" s="35" t="s">
        <v>274</v>
      </c>
      <c r="D4497" t="s">
        <v>502</v>
      </c>
      <c r="E4497" t="s">
        <v>520</v>
      </c>
      <c r="F4497" s="188" t="n">
        <v>2033</v>
      </c>
      <c r="G4497" s="189" t="n">
        <v>45</v>
      </c>
      <c r="H4497" s="190" t="n">
        <v>6216.29191978162</v>
      </c>
      <c r="I4497" s="191" t="n">
        <v>4279352.591483</v>
      </c>
      <c r="J4497" s="192" t="str">
        <f>IF(I4497&gt;0,H4497/I4497,0)</f>
      </c>
      <c r="K4497" s="193" t="str">
        <f>1-EXP(-J4497)</f>
      </c>
      <c r="L4497" s="194" t="str">
        <f>IF(G4497=30,1,M4496)</f>
      </c>
      <c r="M4497" s="195" t="str">
        <f>L4497*(1-K4497)</f>
      </c>
    </row>
    <row r="4498">
      <c r="A4498" t="s">
        <v>167</v>
      </c>
      <c r="B4498" t="s">
        <v>272</v>
      </c>
      <c r="C4498" s="35" t="s">
        <v>274</v>
      </c>
      <c r="D4498" t="s">
        <v>502</v>
      </c>
      <c r="E4498" t="s">
        <v>520</v>
      </c>
      <c r="F4498" s="188" t="n">
        <v>2033</v>
      </c>
      <c r="G4498" s="189" t="n">
        <v>46</v>
      </c>
      <c r="H4498" s="190" t="n">
        <v>6582.917654228</v>
      </c>
      <c r="I4498" s="191" t="n">
        <v>4143794.21366079</v>
      </c>
      <c r="J4498" s="192" t="str">
        <f>IF(I4498&gt;0,H4498/I4498,0)</f>
      </c>
      <c r="K4498" s="193" t="str">
        <f>1-EXP(-J4498)</f>
      </c>
      <c r="L4498" s="194" t="str">
        <f>IF(G4498=30,1,M4497)</f>
      </c>
      <c r="M4498" s="195" t="str">
        <f>L4498*(1-K4498)</f>
      </c>
    </row>
    <row r="4499">
      <c r="A4499" t="s">
        <v>167</v>
      </c>
      <c r="B4499" t="s">
        <v>272</v>
      </c>
      <c r="C4499" s="35" t="s">
        <v>274</v>
      </c>
      <c r="D4499" t="s">
        <v>502</v>
      </c>
      <c r="E4499" t="s">
        <v>520</v>
      </c>
      <c r="F4499" s="188" t="n">
        <v>2033</v>
      </c>
      <c r="G4499" s="189" t="n">
        <v>47</v>
      </c>
      <c r="H4499" s="190" t="n">
        <v>7151.19285880729</v>
      </c>
      <c r="I4499" s="191" t="n">
        <v>4105560.54425877</v>
      </c>
      <c r="J4499" s="192" t="str">
        <f>IF(I4499&gt;0,H4499/I4499,0)</f>
      </c>
      <c r="K4499" s="193" t="str">
        <f>1-EXP(-J4499)</f>
      </c>
      <c r="L4499" s="194" t="str">
        <f>IF(G4499=30,1,M4498)</f>
      </c>
      <c r="M4499" s="195" t="str">
        <f>L4499*(1-K4499)</f>
      </c>
    </row>
    <row r="4500">
      <c r="A4500" t="s">
        <v>167</v>
      </c>
      <c r="B4500" t="s">
        <v>272</v>
      </c>
      <c r="C4500" s="35" t="s">
        <v>274</v>
      </c>
      <c r="D4500" t="s">
        <v>502</v>
      </c>
      <c r="E4500" t="s">
        <v>520</v>
      </c>
      <c r="F4500" s="188" t="n">
        <v>2033</v>
      </c>
      <c r="G4500" s="189" t="n">
        <v>48</v>
      </c>
      <c r="H4500" s="190" t="n">
        <v>7945.62612000013</v>
      </c>
      <c r="I4500" s="191" t="n">
        <v>4159332.91695458</v>
      </c>
      <c r="J4500" s="192" t="str">
        <f>IF(I4500&gt;0,H4500/I4500,0)</f>
      </c>
      <c r="K4500" s="193" t="str">
        <f>1-EXP(-J4500)</f>
      </c>
      <c r="L4500" s="194" t="str">
        <f>IF(G4500=30,1,M4499)</f>
      </c>
      <c r="M4500" s="195" t="str">
        <f>L4500*(1-K4500)</f>
      </c>
    </row>
    <row r="4501">
      <c r="A4501" t="s">
        <v>167</v>
      </c>
      <c r="B4501" t="s">
        <v>272</v>
      </c>
      <c r="C4501" s="35" t="s">
        <v>274</v>
      </c>
      <c r="D4501" t="s">
        <v>502</v>
      </c>
      <c r="E4501" t="s">
        <v>520</v>
      </c>
      <c r="F4501" s="188" t="n">
        <v>2033</v>
      </c>
      <c r="G4501" s="189" t="n">
        <v>49</v>
      </c>
      <c r="H4501" s="190" t="n">
        <v>8873.23272642739</v>
      </c>
      <c r="I4501" s="191" t="n">
        <v>4237195.94156932</v>
      </c>
      <c r="J4501" s="192" t="str">
        <f>IF(I4501&gt;0,H4501/I4501,0)</f>
      </c>
      <c r="K4501" s="193" t="str">
        <f>1-EXP(-J4501)</f>
      </c>
      <c r="L4501" s="194" t="str">
        <f>IF(G4501=30,1,M4500)</f>
      </c>
      <c r="M4501" s="195" t="str">
        <f>L4501*(1-K4501)</f>
      </c>
    </row>
    <row r="4502">
      <c r="A4502" t="s">
        <v>167</v>
      </c>
      <c r="B4502" t="s">
        <v>272</v>
      </c>
      <c r="C4502" s="35" t="s">
        <v>274</v>
      </c>
      <c r="D4502" t="s">
        <v>502</v>
      </c>
      <c r="E4502" t="s">
        <v>520</v>
      </c>
      <c r="F4502" s="188" t="n">
        <v>2033</v>
      </c>
      <c r="G4502" s="189" t="n">
        <v>50</v>
      </c>
      <c r="H4502" s="190" t="n">
        <v>10224.4782643259</v>
      </c>
      <c r="I4502" s="191" t="n">
        <v>4207035.75214232</v>
      </c>
      <c r="J4502" s="192" t="str">
        <f>IF(I4502&gt;0,H4502/I4502,0)</f>
      </c>
      <c r="K4502" s="193" t="str">
        <f>1-EXP(-J4502)</f>
      </c>
      <c r="L4502" s="194" t="str">
        <f>IF(G4502=30,1,M4501)</f>
      </c>
      <c r="M4502" s="195" t="str">
        <f>L4502*(1-K4502)</f>
      </c>
    </row>
    <row r="4503">
      <c r="A4503" t="s">
        <v>167</v>
      </c>
      <c r="B4503" t="s">
        <v>272</v>
      </c>
      <c r="C4503" s="35" t="s">
        <v>274</v>
      </c>
      <c r="D4503" t="s">
        <v>502</v>
      </c>
      <c r="E4503" t="s">
        <v>520</v>
      </c>
      <c r="F4503" s="188" t="n">
        <v>2033</v>
      </c>
      <c r="G4503" s="189" t="n">
        <v>51</v>
      </c>
      <c r="H4503" s="190" t="n">
        <v>10827.4167988162</v>
      </c>
      <c r="I4503" s="191" t="n">
        <v>4065009.44822923</v>
      </c>
      <c r="J4503" s="192" t="str">
        <f>IF(I4503&gt;0,H4503/I4503,0)</f>
      </c>
      <c r="K4503" s="193" t="str">
        <f>1-EXP(-J4503)</f>
      </c>
      <c r="L4503" s="194" t="str">
        <f>IF(G4503=30,1,M4502)</f>
      </c>
      <c r="M4503" s="195" t="str">
        <f>L4503*(1-K4503)</f>
      </c>
    </row>
    <row r="4504">
      <c r="A4504" t="s">
        <v>167</v>
      </c>
      <c r="B4504" t="s">
        <v>272</v>
      </c>
      <c r="C4504" s="35" t="s">
        <v>274</v>
      </c>
      <c r="D4504" t="s">
        <v>502</v>
      </c>
      <c r="E4504" t="s">
        <v>520</v>
      </c>
      <c r="F4504" s="188" t="n">
        <v>2033</v>
      </c>
      <c r="G4504" s="189" t="n">
        <v>52</v>
      </c>
      <c r="H4504" s="190" t="n">
        <v>11601.8060134342</v>
      </c>
      <c r="I4504" s="191" t="n">
        <v>3984766.64048692</v>
      </c>
      <c r="J4504" s="192" t="str">
        <f>IF(I4504&gt;0,H4504/I4504,0)</f>
      </c>
      <c r="K4504" s="193" t="str">
        <f>1-EXP(-J4504)</f>
      </c>
      <c r="L4504" s="194" t="str">
        <f>IF(G4504=30,1,M4503)</f>
      </c>
      <c r="M4504" s="195" t="str">
        <f>L4504*(1-K4504)</f>
      </c>
    </row>
    <row r="4505">
      <c r="A4505" t="s">
        <v>167</v>
      </c>
      <c r="B4505" t="s">
        <v>272</v>
      </c>
      <c r="C4505" s="35" t="s">
        <v>274</v>
      </c>
      <c r="D4505" t="s">
        <v>502</v>
      </c>
      <c r="E4505" t="s">
        <v>520</v>
      </c>
      <c r="F4505" s="188" t="n">
        <v>2033</v>
      </c>
      <c r="G4505" s="189" t="n">
        <v>53</v>
      </c>
      <c r="H4505" s="190" t="n">
        <v>12469.1703704213</v>
      </c>
      <c r="I4505" s="191" t="n">
        <v>3919641.29348941</v>
      </c>
      <c r="J4505" s="192" t="str">
        <f>IF(I4505&gt;0,H4505/I4505,0)</f>
      </c>
      <c r="K4505" s="193" t="str">
        <f>1-EXP(-J4505)</f>
      </c>
      <c r="L4505" s="194" t="str">
        <f>IF(G4505=30,1,M4504)</f>
      </c>
      <c r="M4505" s="195" t="str">
        <f>L4505*(1-K4505)</f>
      </c>
    </row>
    <row r="4506">
      <c r="A4506" t="s">
        <v>167</v>
      </c>
      <c r="B4506" t="s">
        <v>272</v>
      </c>
      <c r="C4506" s="35" t="s">
        <v>274</v>
      </c>
      <c r="D4506" t="s">
        <v>502</v>
      </c>
      <c r="E4506" t="s">
        <v>520</v>
      </c>
      <c r="F4506" s="188" t="n">
        <v>2033</v>
      </c>
      <c r="G4506" s="189" t="n">
        <v>54</v>
      </c>
      <c r="H4506" s="190" t="n">
        <v>13375.7387770909</v>
      </c>
      <c r="I4506" s="191" t="n">
        <v>3848736.05443785</v>
      </c>
      <c r="J4506" s="192" t="str">
        <f>IF(I4506&gt;0,H4506/I4506,0)</f>
      </c>
      <c r="K4506" s="193" t="str">
        <f>1-EXP(-J4506)</f>
      </c>
      <c r="L4506" s="194" t="str">
        <f>IF(G4506=30,1,M4505)</f>
      </c>
      <c r="M4506" s="195" t="str">
        <f>L4506*(1-K4506)</f>
      </c>
    </row>
    <row r="4507">
      <c r="A4507" t="s">
        <v>167</v>
      </c>
      <c r="B4507" t="s">
        <v>272</v>
      </c>
      <c r="C4507" s="35" t="s">
        <v>274</v>
      </c>
      <c r="D4507" t="s">
        <v>502</v>
      </c>
      <c r="E4507" t="s">
        <v>520</v>
      </c>
      <c r="F4507" s="188" t="n">
        <v>2033</v>
      </c>
      <c r="G4507" s="189" t="n">
        <v>55</v>
      </c>
      <c r="H4507" s="190" t="n">
        <v>14332.4820835333</v>
      </c>
      <c r="I4507" s="191" t="n">
        <v>3758438.6691288</v>
      </c>
      <c r="J4507" s="192" t="str">
        <f>IF(I4507&gt;0,H4507/I4507,0)</f>
      </c>
      <c r="K4507" s="193" t="str">
        <f>1-EXP(-J4507)</f>
      </c>
      <c r="L4507" s="194" t="str">
        <f>IF(G4507=30,1,M4506)</f>
      </c>
      <c r="M4507" s="195" t="str">
        <f>L4507*(1-K4507)</f>
      </c>
    </row>
    <row r="4508">
      <c r="A4508" t="s">
        <v>167</v>
      </c>
      <c r="B4508" t="s">
        <v>272</v>
      </c>
      <c r="C4508" s="35" t="s">
        <v>274</v>
      </c>
      <c r="D4508" t="s">
        <v>502</v>
      </c>
      <c r="E4508" t="s">
        <v>520</v>
      </c>
      <c r="F4508" s="188" t="n">
        <v>2033</v>
      </c>
      <c r="G4508" s="189" t="n">
        <v>56</v>
      </c>
      <c r="H4508" s="190" t="n">
        <v>15336.5935191427</v>
      </c>
      <c r="I4508" s="191" t="n">
        <v>3683819.05324765</v>
      </c>
      <c r="J4508" s="192" t="str">
        <f>IF(I4508&gt;0,H4508/I4508,0)</f>
      </c>
      <c r="K4508" s="193" t="str">
        <f>1-EXP(-J4508)</f>
      </c>
      <c r="L4508" s="194" t="str">
        <f>IF(G4508=30,1,M4507)</f>
      </c>
      <c r="M4508" s="195" t="str">
        <f>L4508*(1-K4508)</f>
      </c>
    </row>
    <row r="4509">
      <c r="A4509" t="s">
        <v>167</v>
      </c>
      <c r="B4509" t="s">
        <v>272</v>
      </c>
      <c r="C4509" s="35" t="s">
        <v>274</v>
      </c>
      <c r="D4509" t="s">
        <v>502</v>
      </c>
      <c r="E4509" t="s">
        <v>520</v>
      </c>
      <c r="F4509" s="188" t="n">
        <v>2033</v>
      </c>
      <c r="G4509" s="189" t="n">
        <v>57</v>
      </c>
      <c r="H4509" s="190" t="n">
        <v>16366.7158303875</v>
      </c>
      <c r="I4509" s="191" t="n">
        <v>3597641.7737476</v>
      </c>
      <c r="J4509" s="192" t="str">
        <f>IF(I4509&gt;0,H4509/I4509,0)</f>
      </c>
      <c r="K4509" s="193" t="str">
        <f>1-EXP(-J4509)</f>
      </c>
      <c r="L4509" s="194" t="str">
        <f>IF(G4509=30,1,M4508)</f>
      </c>
      <c r="M4509" s="195" t="str">
        <f>L4509*(1-K4509)</f>
      </c>
    </row>
    <row r="4510">
      <c r="A4510" t="s">
        <v>167</v>
      </c>
      <c r="B4510" t="s">
        <v>272</v>
      </c>
      <c r="C4510" s="35" t="s">
        <v>274</v>
      </c>
      <c r="D4510" t="s">
        <v>502</v>
      </c>
      <c r="E4510" t="s">
        <v>520</v>
      </c>
      <c r="F4510" s="188" t="n">
        <v>2033</v>
      </c>
      <c r="G4510" s="189" t="n">
        <v>58</v>
      </c>
      <c r="H4510" s="190" t="n">
        <v>17460.0486126286</v>
      </c>
      <c r="I4510" s="191" t="n">
        <v>3510238.1664592</v>
      </c>
      <c r="J4510" s="192" t="str">
        <f>IF(I4510&gt;0,H4510/I4510,0)</f>
      </c>
      <c r="K4510" s="193" t="str">
        <f>1-EXP(-J4510)</f>
      </c>
      <c r="L4510" s="194" t="str">
        <f>IF(G4510=30,1,M4509)</f>
      </c>
      <c r="M4510" s="195" t="str">
        <f>L4510*(1-K4510)</f>
      </c>
    </row>
    <row r="4511">
      <c r="A4511" t="s">
        <v>167</v>
      </c>
      <c r="B4511" t="s">
        <v>272</v>
      </c>
      <c r="C4511" s="35" t="s">
        <v>274</v>
      </c>
      <c r="D4511" t="s">
        <v>502</v>
      </c>
      <c r="E4511" t="s">
        <v>520</v>
      </c>
      <c r="F4511" s="188" t="n">
        <v>2033</v>
      </c>
      <c r="G4511" s="189" t="n">
        <v>59</v>
      </c>
      <c r="H4511" s="190" t="n">
        <v>18480.944350956</v>
      </c>
      <c r="I4511" s="191" t="n">
        <v>3395886.90589339</v>
      </c>
      <c r="J4511" s="192" t="str">
        <f>IF(I4511&gt;0,H4511/I4511,0)</f>
      </c>
      <c r="K4511" s="193" t="str">
        <f>1-EXP(-J4511)</f>
      </c>
      <c r="L4511" s="194" t="str">
        <f>IF(G4511=30,1,M4510)</f>
      </c>
      <c r="M4511" s="195" t="str">
        <f>L4511*(1-K4511)</f>
      </c>
    </row>
    <row r="4512">
      <c r="A4512" t="s">
        <v>167</v>
      </c>
      <c r="B4512" t="s">
        <v>272</v>
      </c>
      <c r="C4512" s="35" t="s">
        <v>274</v>
      </c>
      <c r="D4512" t="s">
        <v>502</v>
      </c>
      <c r="E4512" t="s">
        <v>520</v>
      </c>
      <c r="F4512" s="188" t="n">
        <v>2033</v>
      </c>
      <c r="G4512" s="189" t="n">
        <v>60</v>
      </c>
      <c r="H4512" s="190" t="n">
        <v>20111.2626310145</v>
      </c>
      <c r="I4512" s="191" t="n">
        <v>3338482.27982374</v>
      </c>
      <c r="J4512" s="192" t="str">
        <f>IF(I4512&gt;0,H4512/I4512,0)</f>
      </c>
      <c r="K4512" s="193" t="str">
        <f>1-EXP(-J4512)</f>
      </c>
      <c r="L4512" s="194" t="str">
        <f>IF(G4512=30,1,M4511)</f>
      </c>
      <c r="M4512" s="195" t="str">
        <f>L4512*(1-K4512)</f>
      </c>
    </row>
    <row r="4513">
      <c r="A4513" t="s">
        <v>167</v>
      </c>
      <c r="B4513" t="s">
        <v>272</v>
      </c>
      <c r="C4513" s="35" t="s">
        <v>274</v>
      </c>
      <c r="D4513" t="s">
        <v>502</v>
      </c>
      <c r="E4513" t="s">
        <v>520</v>
      </c>
      <c r="F4513" s="188" t="n">
        <v>2033</v>
      </c>
      <c r="G4513" s="189" t="n">
        <v>61</v>
      </c>
      <c r="H4513" s="190" t="n">
        <v>20691.7219258012</v>
      </c>
      <c r="I4513" s="191" t="n">
        <v>3124056.39680693</v>
      </c>
      <c r="J4513" s="192" t="str">
        <f>IF(I4513&gt;0,H4513/I4513,0)</f>
      </c>
      <c r="K4513" s="193" t="str">
        <f>1-EXP(-J4513)</f>
      </c>
      <c r="L4513" s="194" t="str">
        <f>IF(G4513=30,1,M4512)</f>
      </c>
      <c r="M4513" s="195" t="str">
        <f>L4513*(1-K4513)</f>
      </c>
    </row>
    <row r="4514">
      <c r="A4514" t="s">
        <v>167</v>
      </c>
      <c r="B4514" t="s">
        <v>272</v>
      </c>
      <c r="C4514" s="35" t="s">
        <v>274</v>
      </c>
      <c r="D4514" t="s">
        <v>502</v>
      </c>
      <c r="E4514" t="s">
        <v>520</v>
      </c>
      <c r="F4514" s="188" t="n">
        <v>2033</v>
      </c>
      <c r="G4514" s="189" t="n">
        <v>62</v>
      </c>
      <c r="H4514" s="190" t="n">
        <v>21938.4723727201</v>
      </c>
      <c r="I4514" s="191" t="n">
        <v>3025380.12440144</v>
      </c>
      <c r="J4514" s="192" t="str">
        <f>IF(I4514&gt;0,H4514/I4514,0)</f>
      </c>
      <c r="K4514" s="193" t="str">
        <f>1-EXP(-J4514)</f>
      </c>
      <c r="L4514" s="194" t="str">
        <f>IF(G4514=30,1,M4513)</f>
      </c>
      <c r="M4514" s="195" t="str">
        <f>L4514*(1-K4514)</f>
      </c>
    </row>
    <row r="4515">
      <c r="A4515" t="s">
        <v>167</v>
      </c>
      <c r="B4515" t="s">
        <v>272</v>
      </c>
      <c r="C4515" s="35" t="s">
        <v>274</v>
      </c>
      <c r="D4515" t="s">
        <v>502</v>
      </c>
      <c r="E4515" t="s">
        <v>520</v>
      </c>
      <c r="F4515" s="188" t="n">
        <v>2033</v>
      </c>
      <c r="G4515" s="189" t="n">
        <v>63</v>
      </c>
      <c r="H4515" s="190" t="n">
        <v>23274.7842308216</v>
      </c>
      <c r="I4515" s="191" t="n">
        <v>2930256.00969172</v>
      </c>
      <c r="J4515" s="192" t="str">
        <f>IF(I4515&gt;0,H4515/I4515,0)</f>
      </c>
      <c r="K4515" s="193" t="str">
        <f>1-EXP(-J4515)</f>
      </c>
      <c r="L4515" s="194" t="str">
        <f>IF(G4515=30,1,M4514)</f>
      </c>
      <c r="M4515" s="195" t="str">
        <f>L4515*(1-K4515)</f>
      </c>
    </row>
    <row r="4516">
      <c r="A4516" t="s">
        <v>167</v>
      </c>
      <c r="B4516" t="s">
        <v>272</v>
      </c>
      <c r="C4516" s="35" t="s">
        <v>274</v>
      </c>
      <c r="D4516" t="s">
        <v>502</v>
      </c>
      <c r="E4516" t="s">
        <v>520</v>
      </c>
      <c r="F4516" s="188" t="n">
        <v>2033</v>
      </c>
      <c r="G4516" s="189" t="n">
        <v>64</v>
      </c>
      <c r="H4516" s="190" t="n">
        <v>24594.6986372059</v>
      </c>
      <c r="I4516" s="191" t="n">
        <v>2825899.81920849</v>
      </c>
      <c r="J4516" s="192" t="str">
        <f>IF(I4516&gt;0,H4516/I4516,0)</f>
      </c>
      <c r="K4516" s="193" t="str">
        <f>1-EXP(-J4516)</f>
      </c>
      <c r="L4516" s="194" t="str">
        <f>IF(G4516=30,1,M4515)</f>
      </c>
      <c r="M4516" s="195" t="str">
        <f>L4516*(1-K4516)</f>
      </c>
    </row>
    <row r="4517">
      <c r="A4517" t="s">
        <v>167</v>
      </c>
      <c r="B4517" t="s">
        <v>272</v>
      </c>
      <c r="C4517" s="35" t="s">
        <v>274</v>
      </c>
      <c r="D4517" t="s">
        <v>502</v>
      </c>
      <c r="E4517" t="s">
        <v>520</v>
      </c>
      <c r="F4517" s="188" t="n">
        <v>2033</v>
      </c>
      <c r="G4517" s="189" t="n">
        <v>65</v>
      </c>
      <c r="H4517" s="190" t="n">
        <v>24937.7284513551</v>
      </c>
      <c r="I4517" s="191" t="n">
        <v>2702754.85474391</v>
      </c>
      <c r="J4517" s="192" t="str">
        <f>IF(I4517&gt;0,H4517/I4517,0)</f>
      </c>
      <c r="K4517" s="193" t="str">
        <f>1-EXP(-J4517)</f>
      </c>
      <c r="L4517" s="194" t="str">
        <f>IF(G4517=30,1,M4516)</f>
      </c>
      <c r="M4517" s="195" t="str">
        <f>L4517*(1-K4517)</f>
      </c>
    </row>
    <row r="4518">
      <c r="A4518" t="s">
        <v>167</v>
      </c>
      <c r="B4518" t="s">
        <v>272</v>
      </c>
      <c r="C4518" s="35" t="s">
        <v>274</v>
      </c>
      <c r="D4518" t="s">
        <v>502</v>
      </c>
      <c r="E4518" t="s">
        <v>520</v>
      </c>
      <c r="F4518" s="188" t="n">
        <v>2033</v>
      </c>
      <c r="G4518" s="189" t="n">
        <v>66</v>
      </c>
      <c r="H4518" s="190" t="n">
        <v>25823.5582722215</v>
      </c>
      <c r="I4518" s="191" t="n">
        <v>2550937.87764116</v>
      </c>
      <c r="J4518" s="192" t="str">
        <f>IF(I4518&gt;0,H4518/I4518,0)</f>
      </c>
      <c r="K4518" s="193" t="str">
        <f>1-EXP(-J4518)</f>
      </c>
      <c r="L4518" s="194" t="str">
        <f>IF(G4518=30,1,M4517)</f>
      </c>
      <c r="M4518" s="195" t="str">
        <f>L4518*(1-K4518)</f>
      </c>
    </row>
    <row r="4519">
      <c r="A4519" t="s">
        <v>167</v>
      </c>
      <c r="B4519" t="s">
        <v>272</v>
      </c>
      <c r="C4519" s="35" t="s">
        <v>274</v>
      </c>
      <c r="D4519" t="s">
        <v>502</v>
      </c>
      <c r="E4519" t="s">
        <v>520</v>
      </c>
      <c r="F4519" s="188" t="n">
        <v>2033</v>
      </c>
      <c r="G4519" s="189" t="n">
        <v>67</v>
      </c>
      <c r="H4519" s="190" t="n">
        <v>27020.7802344099</v>
      </c>
      <c r="I4519" s="191" t="n">
        <v>2432419.03733007</v>
      </c>
      <c r="J4519" s="192" t="str">
        <f>IF(I4519&gt;0,H4519/I4519,0)</f>
      </c>
      <c r="K4519" s="193" t="str">
        <f>1-EXP(-J4519)</f>
      </c>
      <c r="L4519" s="194" t="str">
        <f>IF(G4519=30,1,M4518)</f>
      </c>
      <c r="M4519" s="195" t="str">
        <f>L4519*(1-K4519)</f>
      </c>
    </row>
    <row r="4520">
      <c r="A4520" t="s">
        <v>167</v>
      </c>
      <c r="B4520" t="s">
        <v>272</v>
      </c>
      <c r="C4520" s="35" t="s">
        <v>274</v>
      </c>
      <c r="D4520" t="s">
        <v>502</v>
      </c>
      <c r="E4520" t="s">
        <v>520</v>
      </c>
      <c r="F4520" s="188" t="n">
        <v>2033</v>
      </c>
      <c r="G4520" s="189" t="n">
        <v>68</v>
      </c>
      <c r="H4520" s="190" t="n">
        <v>27983.2910333333</v>
      </c>
      <c r="I4520" s="191" t="n">
        <v>2294362.41576764</v>
      </c>
      <c r="J4520" s="192" t="str">
        <f>IF(I4520&gt;0,H4520/I4520,0)</f>
      </c>
      <c r="K4520" s="193" t="str">
        <f>1-EXP(-J4520)</f>
      </c>
      <c r="L4520" s="194" t="str">
        <f>IF(G4520=30,1,M4519)</f>
      </c>
      <c r="M4520" s="195" t="str">
        <f>L4520*(1-K4520)</f>
      </c>
    </row>
    <row r="4521">
      <c r="A4521" t="s">
        <v>167</v>
      </c>
      <c r="B4521" t="s">
        <v>272</v>
      </c>
      <c r="C4521" s="35" t="s">
        <v>274</v>
      </c>
      <c r="D4521" t="s">
        <v>502</v>
      </c>
      <c r="E4521" t="s">
        <v>520</v>
      </c>
      <c r="F4521" s="188" t="n">
        <v>2033</v>
      </c>
      <c r="G4521" s="189" t="n">
        <v>69</v>
      </c>
      <c r="H4521" s="190" t="n">
        <v>28908.0245223866</v>
      </c>
      <c r="I4521" s="191" t="n">
        <v>2156770.34404363</v>
      </c>
      <c r="J4521" s="192" t="str">
        <f>IF(I4521&gt;0,H4521/I4521,0)</f>
      </c>
      <c r="K4521" s="193" t="str">
        <f>1-EXP(-J4521)</f>
      </c>
      <c r="L4521" s="194" t="str">
        <f>IF(G4521=30,1,M4520)</f>
      </c>
      <c r="M4521" s="195" t="str">
        <f>L4521*(1-K4521)</f>
      </c>
    </row>
    <row r="4522">
      <c r="A4522" t="s">
        <v>167</v>
      </c>
      <c r="B4522" t="s">
        <v>272</v>
      </c>
      <c r="C4522" s="35" t="s">
        <v>274</v>
      </c>
      <c r="D4522" t="s">
        <v>502</v>
      </c>
      <c r="E4522" t="s">
        <v>520</v>
      </c>
      <c r="F4522" s="188" t="n">
        <v>2034</v>
      </c>
      <c r="G4522" s="189" t="n">
        <v>30</v>
      </c>
      <c r="H4522" s="190" t="n">
        <v>766.326105542212</v>
      </c>
      <c r="I4522" s="191" t="n">
        <v>4429703.87127961</v>
      </c>
      <c r="J4522" s="192" t="str">
        <f>IF(I4522&gt;0,H4522/I4522,0)</f>
      </c>
      <c r="K4522" s="193" t="str">
        <f>1-EXP(-J4522)</f>
      </c>
      <c r="L4522" s="194" t="str">
        <f>IF(G4522=30,1,M4521)</f>
      </c>
      <c r="M4522" s="195" t="str">
        <f>L4522*(1-K4522)</f>
      </c>
    </row>
    <row r="4523">
      <c r="A4523" t="s">
        <v>167</v>
      </c>
      <c r="B4523" t="s">
        <v>272</v>
      </c>
      <c r="C4523" s="35" t="s">
        <v>274</v>
      </c>
      <c r="D4523" t="s">
        <v>502</v>
      </c>
      <c r="E4523" t="s">
        <v>520</v>
      </c>
      <c r="F4523" s="188" t="n">
        <v>2034</v>
      </c>
      <c r="G4523" s="189" t="n">
        <v>31</v>
      </c>
      <c r="H4523" s="190" t="n">
        <v>944.82248203782</v>
      </c>
      <c r="I4523" s="191" t="n">
        <v>4364323.77195814</v>
      </c>
      <c r="J4523" s="192" t="str">
        <f>IF(I4523&gt;0,H4523/I4523,0)</f>
      </c>
      <c r="K4523" s="193" t="str">
        <f>1-EXP(-J4523)</f>
      </c>
      <c r="L4523" s="194" t="str">
        <f>IF(G4523=30,1,M4522)</f>
      </c>
      <c r="M4523" s="195" t="str">
        <f>L4523*(1-K4523)</f>
      </c>
    </row>
    <row r="4524">
      <c r="A4524" t="s">
        <v>167</v>
      </c>
      <c r="B4524" t="s">
        <v>272</v>
      </c>
      <c r="C4524" s="35" t="s">
        <v>274</v>
      </c>
      <c r="D4524" t="s">
        <v>502</v>
      </c>
      <c r="E4524" t="s">
        <v>520</v>
      </c>
      <c r="F4524" s="188" t="n">
        <v>2034</v>
      </c>
      <c r="G4524" s="189" t="n">
        <v>32</v>
      </c>
      <c r="H4524" s="190" t="n">
        <v>1132.25803014841</v>
      </c>
      <c r="I4524" s="191" t="n">
        <v>4343559.13589367</v>
      </c>
      <c r="J4524" s="192" t="str">
        <f>IF(I4524&gt;0,H4524/I4524,0)</f>
      </c>
      <c r="K4524" s="193" t="str">
        <f>1-EXP(-J4524)</f>
      </c>
      <c r="L4524" s="194" t="str">
        <f>IF(G4524=30,1,M4523)</f>
      </c>
      <c r="M4524" s="195" t="str">
        <f>L4524*(1-K4524)</f>
      </c>
    </row>
    <row r="4525">
      <c r="A4525" t="s">
        <v>167</v>
      </c>
      <c r="B4525" t="s">
        <v>272</v>
      </c>
      <c r="C4525" s="35" t="s">
        <v>274</v>
      </c>
      <c r="D4525" t="s">
        <v>502</v>
      </c>
      <c r="E4525" t="s">
        <v>520</v>
      </c>
      <c r="F4525" s="188" t="n">
        <v>2034</v>
      </c>
      <c r="G4525" s="189" t="n">
        <v>33</v>
      </c>
      <c r="H4525" s="190" t="n">
        <v>1192.35008612748</v>
      </c>
      <c r="I4525" s="191" t="n">
        <v>4323816.97059423</v>
      </c>
      <c r="J4525" s="192" t="str">
        <f>IF(I4525&gt;0,H4525/I4525,0)</f>
      </c>
      <c r="K4525" s="193" t="str">
        <f>1-EXP(-J4525)</f>
      </c>
      <c r="L4525" s="194" t="str">
        <f>IF(G4525=30,1,M4524)</f>
      </c>
      <c r="M4525" s="195" t="str">
        <f>L4525*(1-K4525)</f>
      </c>
    </row>
    <row r="4526">
      <c r="A4526" t="s">
        <v>167</v>
      </c>
      <c r="B4526" t="s">
        <v>272</v>
      </c>
      <c r="C4526" s="35" t="s">
        <v>274</v>
      </c>
      <c r="D4526" t="s">
        <v>502</v>
      </c>
      <c r="E4526" t="s">
        <v>520</v>
      </c>
      <c r="F4526" s="188" t="n">
        <v>2034</v>
      </c>
      <c r="G4526" s="189" t="n">
        <v>34</v>
      </c>
      <c r="H4526" s="190" t="n">
        <v>1263.97748541405</v>
      </c>
      <c r="I4526" s="191" t="n">
        <v>4303799.64352178</v>
      </c>
      <c r="J4526" s="192" t="str">
        <f>IF(I4526&gt;0,H4526/I4526,0)</f>
      </c>
      <c r="K4526" s="193" t="str">
        <f>1-EXP(-J4526)</f>
      </c>
      <c r="L4526" s="194" t="str">
        <f>IF(G4526=30,1,M4525)</f>
      </c>
      <c r="M4526" s="195" t="str">
        <f>L4526*(1-K4526)</f>
      </c>
    </row>
    <row r="4527">
      <c r="A4527" t="s">
        <v>167</v>
      </c>
      <c r="B4527" t="s">
        <v>272</v>
      </c>
      <c r="C4527" s="35" t="s">
        <v>274</v>
      </c>
      <c r="D4527" t="s">
        <v>502</v>
      </c>
      <c r="E4527" t="s">
        <v>520</v>
      </c>
      <c r="F4527" s="188" t="n">
        <v>2034</v>
      </c>
      <c r="G4527" s="189" t="n">
        <v>35</v>
      </c>
      <c r="H4527" s="190" t="n">
        <v>1716.32746461502</v>
      </c>
      <c r="I4527" s="191" t="n">
        <v>4323416.91028036</v>
      </c>
      <c r="J4527" s="192" t="str">
        <f>IF(I4527&gt;0,H4527/I4527,0)</f>
      </c>
      <c r="K4527" s="193" t="str">
        <f>1-EXP(-J4527)</f>
      </c>
      <c r="L4527" s="194" t="str">
        <f>IF(G4527=30,1,M4526)</f>
      </c>
      <c r="M4527" s="195" t="str">
        <f>L4527*(1-K4527)</f>
      </c>
    </row>
    <row r="4528">
      <c r="A4528" t="s">
        <v>167</v>
      </c>
      <c r="B4528" t="s">
        <v>272</v>
      </c>
      <c r="C4528" s="35" t="s">
        <v>274</v>
      </c>
      <c r="D4528" t="s">
        <v>502</v>
      </c>
      <c r="E4528" t="s">
        <v>520</v>
      </c>
      <c r="F4528" s="188" t="n">
        <v>2034</v>
      </c>
      <c r="G4528" s="189" t="n">
        <v>36</v>
      </c>
      <c r="H4528" s="190" t="n">
        <v>1941.77056630147</v>
      </c>
      <c r="I4528" s="191" t="n">
        <v>4381673.85781722</v>
      </c>
      <c r="J4528" s="192" t="str">
        <f>IF(I4528&gt;0,H4528/I4528,0)</f>
      </c>
      <c r="K4528" s="193" t="str">
        <f>1-EXP(-J4528)</f>
      </c>
      <c r="L4528" s="194" t="str">
        <f>IF(G4528=30,1,M4527)</f>
      </c>
      <c r="M4528" s="195" t="str">
        <f>L4528*(1-K4528)</f>
      </c>
    </row>
    <row r="4529">
      <c r="A4529" t="s">
        <v>167</v>
      </c>
      <c r="B4529" t="s">
        <v>272</v>
      </c>
      <c r="C4529" s="35" t="s">
        <v>274</v>
      </c>
      <c r="D4529" t="s">
        <v>502</v>
      </c>
      <c r="E4529" t="s">
        <v>520</v>
      </c>
      <c r="F4529" s="188" t="n">
        <v>2034</v>
      </c>
      <c r="G4529" s="189" t="n">
        <v>37</v>
      </c>
      <c r="H4529" s="190" t="n">
        <v>2349.97102519667</v>
      </c>
      <c r="I4529" s="191" t="n">
        <v>4519260.32030759</v>
      </c>
      <c r="J4529" s="192" t="str">
        <f>IF(I4529&gt;0,H4529/I4529,0)</f>
      </c>
      <c r="K4529" s="193" t="str">
        <f>1-EXP(-J4529)</f>
      </c>
      <c r="L4529" s="194" t="str">
        <f>IF(G4529=30,1,M4528)</f>
      </c>
      <c r="M4529" s="195" t="str">
        <f>L4529*(1-K4529)</f>
      </c>
    </row>
    <row r="4530">
      <c r="A4530" t="s">
        <v>167</v>
      </c>
      <c r="B4530" t="s">
        <v>272</v>
      </c>
      <c r="C4530" s="35" t="s">
        <v>274</v>
      </c>
      <c r="D4530" t="s">
        <v>502</v>
      </c>
      <c r="E4530" t="s">
        <v>520</v>
      </c>
      <c r="F4530" s="188" t="n">
        <v>2034</v>
      </c>
      <c r="G4530" s="189" t="n">
        <v>38</v>
      </c>
      <c r="H4530" s="190" t="n">
        <v>2501.3066938804</v>
      </c>
      <c r="I4530" s="191" t="n">
        <v>4474893.33862892</v>
      </c>
      <c r="J4530" s="192" t="str">
        <f>IF(I4530&gt;0,H4530/I4530,0)</f>
      </c>
      <c r="K4530" s="193" t="str">
        <f>1-EXP(-J4530)</f>
      </c>
      <c r="L4530" s="194" t="str">
        <f>IF(G4530=30,1,M4529)</f>
      </c>
      <c r="M4530" s="195" t="str">
        <f>L4530*(1-K4530)</f>
      </c>
    </row>
    <row r="4531">
      <c r="A4531" t="s">
        <v>167</v>
      </c>
      <c r="B4531" t="s">
        <v>272</v>
      </c>
      <c r="C4531" s="35" t="s">
        <v>274</v>
      </c>
      <c r="D4531" t="s">
        <v>502</v>
      </c>
      <c r="E4531" t="s">
        <v>520</v>
      </c>
      <c r="F4531" s="188" t="n">
        <v>2034</v>
      </c>
      <c r="G4531" s="189" t="n">
        <v>39</v>
      </c>
      <c r="H4531" s="190" t="n">
        <v>2649.03181128282</v>
      </c>
      <c r="I4531" s="191" t="n">
        <v>4400327.37177778</v>
      </c>
      <c r="J4531" s="192" t="str">
        <f>IF(I4531&gt;0,H4531/I4531,0)</f>
      </c>
      <c r="K4531" s="193" t="str">
        <f>1-EXP(-J4531)</f>
      </c>
      <c r="L4531" s="194" t="str">
        <f>IF(G4531=30,1,M4530)</f>
      </c>
      <c r="M4531" s="195" t="str">
        <f>L4531*(1-K4531)</f>
      </c>
    </row>
    <row r="4532">
      <c r="A4532" t="s">
        <v>167</v>
      </c>
      <c r="B4532" t="s">
        <v>272</v>
      </c>
      <c r="C4532" s="35" t="s">
        <v>274</v>
      </c>
      <c r="D4532" t="s">
        <v>502</v>
      </c>
      <c r="E4532" t="s">
        <v>520</v>
      </c>
      <c r="F4532" s="188" t="n">
        <v>2034</v>
      </c>
      <c r="G4532" s="189" t="n">
        <v>40</v>
      </c>
      <c r="H4532" s="190" t="n">
        <v>3507.56654161198</v>
      </c>
      <c r="I4532" s="191" t="n">
        <v>4341216.05936128</v>
      </c>
      <c r="J4532" s="192" t="str">
        <f>IF(I4532&gt;0,H4532/I4532,0)</f>
      </c>
      <c r="K4532" s="193" t="str">
        <f>1-EXP(-J4532)</f>
      </c>
      <c r="L4532" s="194" t="str">
        <f>IF(G4532=30,1,M4531)</f>
      </c>
      <c r="M4532" s="195" t="str">
        <f>L4532*(1-K4532)</f>
      </c>
    </row>
    <row r="4533">
      <c r="A4533" t="s">
        <v>167</v>
      </c>
      <c r="B4533" t="s">
        <v>272</v>
      </c>
      <c r="C4533" s="35" t="s">
        <v>274</v>
      </c>
      <c r="D4533" t="s">
        <v>502</v>
      </c>
      <c r="E4533" t="s">
        <v>520</v>
      </c>
      <c r="F4533" s="188" t="n">
        <v>2034</v>
      </c>
      <c r="G4533" s="189" t="n">
        <v>41</v>
      </c>
      <c r="H4533" s="190" t="n">
        <v>3737.59079880215</v>
      </c>
      <c r="I4533" s="191" t="n">
        <v>4284690.71056826</v>
      </c>
      <c r="J4533" s="192" t="str">
        <f>IF(I4533&gt;0,H4533/I4533,0)</f>
      </c>
      <c r="K4533" s="193" t="str">
        <f>1-EXP(-J4533)</f>
      </c>
      <c r="L4533" s="194" t="str">
        <f>IF(G4533=30,1,M4532)</f>
      </c>
      <c r="M4533" s="195" t="str">
        <f>L4533*(1-K4533)</f>
      </c>
    </row>
    <row r="4534">
      <c r="A4534" t="s">
        <v>167</v>
      </c>
      <c r="B4534" t="s">
        <v>272</v>
      </c>
      <c r="C4534" s="35" t="s">
        <v>274</v>
      </c>
      <c r="D4534" t="s">
        <v>502</v>
      </c>
      <c r="E4534" t="s">
        <v>520</v>
      </c>
      <c r="F4534" s="188" t="n">
        <v>2034</v>
      </c>
      <c r="G4534" s="189" t="n">
        <v>42</v>
      </c>
      <c r="H4534" s="190" t="n">
        <v>4083.12418898825</v>
      </c>
      <c r="I4534" s="191" t="n">
        <v>4319265.60141544</v>
      </c>
      <c r="J4534" s="192" t="str">
        <f>IF(I4534&gt;0,H4534/I4534,0)</f>
      </c>
      <c r="K4534" s="193" t="str">
        <f>1-EXP(-J4534)</f>
      </c>
      <c r="L4534" s="194" t="str">
        <f>IF(G4534=30,1,M4533)</f>
      </c>
      <c r="M4534" s="195" t="str">
        <f>L4534*(1-K4534)</f>
      </c>
    </row>
    <row r="4535">
      <c r="A4535" t="s">
        <v>167</v>
      </c>
      <c r="B4535" t="s">
        <v>272</v>
      </c>
      <c r="C4535" s="35" t="s">
        <v>274</v>
      </c>
      <c r="D4535" t="s">
        <v>502</v>
      </c>
      <c r="E4535" t="s">
        <v>520</v>
      </c>
      <c r="F4535" s="188" t="n">
        <v>2034</v>
      </c>
      <c r="G4535" s="189" t="n">
        <v>43</v>
      </c>
      <c r="H4535" s="190" t="n">
        <v>4457.15603322319</v>
      </c>
      <c r="I4535" s="191" t="n">
        <v>4333928.65101159</v>
      </c>
      <c r="J4535" s="192" t="str">
        <f>IF(I4535&gt;0,H4535/I4535,0)</f>
      </c>
      <c r="K4535" s="193" t="str">
        <f>1-EXP(-J4535)</f>
      </c>
      <c r="L4535" s="194" t="str">
        <f>IF(G4535=30,1,M4534)</f>
      </c>
      <c r="M4535" s="195" t="str">
        <f>L4535*(1-K4535)</f>
      </c>
    </row>
    <row r="4536">
      <c r="A4536" t="s">
        <v>167</v>
      </c>
      <c r="B4536" t="s">
        <v>272</v>
      </c>
      <c r="C4536" s="35" t="s">
        <v>274</v>
      </c>
      <c r="D4536" t="s">
        <v>502</v>
      </c>
      <c r="E4536" t="s">
        <v>520</v>
      </c>
      <c r="F4536" s="188" t="n">
        <v>2034</v>
      </c>
      <c r="G4536" s="189" t="n">
        <v>44</v>
      </c>
      <c r="H4536" s="190" t="n">
        <v>6749.87372102555</v>
      </c>
      <c r="I4536" s="191" t="n">
        <v>6379508.12433617</v>
      </c>
      <c r="J4536" s="192" t="str">
        <f>IF(I4536&gt;0,H4536/I4536,0)</f>
      </c>
      <c r="K4536" s="193" t="str">
        <f>1-EXP(-J4536)</f>
      </c>
      <c r="L4536" s="194" t="str">
        <f>IF(G4536=30,1,M4535)</f>
      </c>
      <c r="M4536" s="195" t="str">
        <f>L4536*(1-K4536)</f>
      </c>
    </row>
    <row r="4537">
      <c r="A4537" t="s">
        <v>167</v>
      </c>
      <c r="B4537" t="s">
        <v>272</v>
      </c>
      <c r="C4537" s="35" t="s">
        <v>274</v>
      </c>
      <c r="D4537" t="s">
        <v>502</v>
      </c>
      <c r="E4537" t="s">
        <v>520</v>
      </c>
      <c r="F4537" s="188" t="n">
        <v>2034</v>
      </c>
      <c r="G4537" s="189" t="n">
        <v>45</v>
      </c>
      <c r="H4537" s="190" t="n">
        <v>6203.55708827914</v>
      </c>
      <c r="I4537" s="191" t="n">
        <v>4285439.90527212</v>
      </c>
      <c r="J4537" s="192" t="str">
        <f>IF(I4537&gt;0,H4537/I4537,0)</f>
      </c>
      <c r="K4537" s="193" t="str">
        <f>1-EXP(-J4537)</f>
      </c>
      <c r="L4537" s="194" t="str">
        <f>IF(G4537=30,1,M4536)</f>
      </c>
      <c r="M4537" s="195" t="str">
        <f>L4537*(1-K4537)</f>
      </c>
    </row>
    <row r="4538">
      <c r="A4538" t="s">
        <v>167</v>
      </c>
      <c r="B4538" t="s">
        <v>272</v>
      </c>
      <c r="C4538" s="35" t="s">
        <v>274</v>
      </c>
      <c r="D4538" t="s">
        <v>502</v>
      </c>
      <c r="E4538" t="s">
        <v>520</v>
      </c>
      <c r="F4538" s="188" t="n">
        <v>2034</v>
      </c>
      <c r="G4538" s="189" t="n">
        <v>46</v>
      </c>
      <c r="H4538" s="190" t="n">
        <v>6745.82208849886</v>
      </c>
      <c r="I4538" s="191" t="n">
        <v>4263479.49953682</v>
      </c>
      <c r="J4538" s="192" t="str">
        <f>IF(I4538&gt;0,H4538/I4538,0)</f>
      </c>
      <c r="K4538" s="193" t="str">
        <f>1-EXP(-J4538)</f>
      </c>
      <c r="L4538" s="194" t="str">
        <f>IF(G4538=30,1,M4537)</f>
      </c>
      <c r="M4538" s="195" t="str">
        <f>L4538*(1-K4538)</f>
      </c>
    </row>
    <row r="4539">
      <c r="A4539" t="s">
        <v>167</v>
      </c>
      <c r="B4539" t="s">
        <v>272</v>
      </c>
      <c r="C4539" s="35" t="s">
        <v>274</v>
      </c>
      <c r="D4539" t="s">
        <v>502</v>
      </c>
      <c r="E4539" t="s">
        <v>520</v>
      </c>
      <c r="F4539" s="188" t="n">
        <v>2034</v>
      </c>
      <c r="G4539" s="189" t="n">
        <v>47</v>
      </c>
      <c r="H4539" s="190" t="n">
        <v>7163.3490299071</v>
      </c>
      <c r="I4539" s="191" t="n">
        <v>4127975.73961705</v>
      </c>
      <c r="J4539" s="192" t="str">
        <f>IF(I4539&gt;0,H4539/I4539,0)</f>
      </c>
      <c r="K4539" s="193" t="str">
        <f>1-EXP(-J4539)</f>
      </c>
      <c r="L4539" s="194" t="str">
        <f>IF(G4539=30,1,M4538)</f>
      </c>
      <c r="M4539" s="195" t="str">
        <f>L4539*(1-K4539)</f>
      </c>
    </row>
    <row r="4540">
      <c r="A4540" t="s">
        <v>167</v>
      </c>
      <c r="B4540" t="s">
        <v>272</v>
      </c>
      <c r="C4540" s="35" t="s">
        <v>274</v>
      </c>
      <c r="D4540" t="s">
        <v>502</v>
      </c>
      <c r="E4540" t="s">
        <v>520</v>
      </c>
      <c r="F4540" s="188" t="n">
        <v>2034</v>
      </c>
      <c r="G4540" s="189" t="n">
        <v>48</v>
      </c>
      <c r="H4540" s="190" t="n">
        <v>7779.38002712199</v>
      </c>
      <c r="I4540" s="191" t="n">
        <v>4088394.46413325</v>
      </c>
      <c r="J4540" s="192" t="str">
        <f>IF(I4540&gt;0,H4540/I4540,0)</f>
      </c>
      <c r="K4540" s="193" t="str">
        <f>1-EXP(-J4540)</f>
      </c>
      <c r="L4540" s="194" t="str">
        <f>IF(G4540=30,1,M4539)</f>
      </c>
      <c r="M4540" s="195" t="str">
        <f>L4540*(1-K4540)</f>
      </c>
    </row>
    <row r="4541">
      <c r="A4541" t="s">
        <v>167</v>
      </c>
      <c r="B4541" t="s">
        <v>272</v>
      </c>
      <c r="C4541" s="35" t="s">
        <v>274</v>
      </c>
      <c r="D4541" t="s">
        <v>502</v>
      </c>
      <c r="E4541" t="s">
        <v>520</v>
      </c>
      <c r="F4541" s="188" t="n">
        <v>2034</v>
      </c>
      <c r="G4541" s="189" t="n">
        <v>49</v>
      </c>
      <c r="H4541" s="190" t="n">
        <v>8637.10464408081</v>
      </c>
      <c r="I4541" s="191" t="n">
        <v>4140274.46532816</v>
      </c>
      <c r="J4541" s="192" t="str">
        <f>IF(I4541&gt;0,H4541/I4541,0)</f>
      </c>
      <c r="K4541" s="193" t="str">
        <f>1-EXP(-J4541)</f>
      </c>
      <c r="L4541" s="194" t="str">
        <f>IF(G4541=30,1,M4540)</f>
      </c>
      <c r="M4541" s="195" t="str">
        <f>L4541*(1-K4541)</f>
      </c>
    </row>
    <row r="4542">
      <c r="A4542" t="s">
        <v>167</v>
      </c>
      <c r="B4542" t="s">
        <v>272</v>
      </c>
      <c r="C4542" s="35" t="s">
        <v>274</v>
      </c>
      <c r="D4542" t="s">
        <v>502</v>
      </c>
      <c r="E4542" t="s">
        <v>520</v>
      </c>
      <c r="F4542" s="188" t="n">
        <v>2034</v>
      </c>
      <c r="G4542" s="189" t="n">
        <v>50</v>
      </c>
      <c r="H4542" s="190" t="n">
        <v>10193.3069756717</v>
      </c>
      <c r="I4542" s="191" t="n">
        <v>4215923.94499172</v>
      </c>
      <c r="J4542" s="192" t="str">
        <f>IF(I4542&gt;0,H4542/I4542,0)</f>
      </c>
      <c r="K4542" s="193" t="str">
        <f>1-EXP(-J4542)</f>
      </c>
      <c r="L4542" s="194" t="str">
        <f>IF(G4542=30,1,M4541)</f>
      </c>
      <c r="M4542" s="195" t="str">
        <f>L4542*(1-K4542)</f>
      </c>
    </row>
    <row r="4543">
      <c r="A4543" t="s">
        <v>167</v>
      </c>
      <c r="B4543" t="s">
        <v>272</v>
      </c>
      <c r="C4543" s="35" t="s">
        <v>274</v>
      </c>
      <c r="D4543" t="s">
        <v>502</v>
      </c>
      <c r="E4543" t="s">
        <v>520</v>
      </c>
      <c r="F4543" s="188" t="n">
        <v>2034</v>
      </c>
      <c r="G4543" s="189" t="n">
        <v>51</v>
      </c>
      <c r="H4543" s="190" t="n">
        <v>11076.3352802736</v>
      </c>
      <c r="I4543" s="191" t="n">
        <v>4183064.39935471</v>
      </c>
      <c r="J4543" s="192" t="str">
        <f>IF(I4543&gt;0,H4543/I4543,0)</f>
      </c>
      <c r="K4543" s="193" t="str">
        <f>1-EXP(-J4543)</f>
      </c>
      <c r="L4543" s="194" t="str">
        <f>IF(G4543=30,1,M4542)</f>
      </c>
      <c r="M4543" s="195" t="str">
        <f>L4543*(1-K4543)</f>
      </c>
    </row>
    <row r="4544">
      <c r="A4544" t="s">
        <v>167</v>
      </c>
      <c r="B4544" t="s">
        <v>272</v>
      </c>
      <c r="C4544" s="35" t="s">
        <v>274</v>
      </c>
      <c r="D4544" t="s">
        <v>502</v>
      </c>
      <c r="E4544" t="s">
        <v>520</v>
      </c>
      <c r="F4544" s="188" t="n">
        <v>2034</v>
      </c>
      <c r="G4544" s="189" t="n">
        <v>52</v>
      </c>
      <c r="H4544" s="190" t="n">
        <v>11705.1656301216</v>
      </c>
      <c r="I4544" s="191" t="n">
        <v>4040469.71545986</v>
      </c>
      <c r="J4544" s="192" t="str">
        <f>IF(I4544&gt;0,H4544/I4544,0)</f>
      </c>
      <c r="K4544" s="193" t="str">
        <f>1-EXP(-J4544)</f>
      </c>
      <c r="L4544" s="194" t="str">
        <f>IF(G4544=30,1,M4543)</f>
      </c>
      <c r="M4544" s="195" t="str">
        <f>L4544*(1-K4544)</f>
      </c>
    </row>
    <row r="4545">
      <c r="A4545" t="s">
        <v>167</v>
      </c>
      <c r="B4545" t="s">
        <v>272</v>
      </c>
      <c r="C4545" s="35" t="s">
        <v>274</v>
      </c>
      <c r="D4545" t="s">
        <v>502</v>
      </c>
      <c r="E4545" t="s">
        <v>520</v>
      </c>
      <c r="F4545" s="188" t="n">
        <v>2034</v>
      </c>
      <c r="G4545" s="189" t="n">
        <v>53</v>
      </c>
      <c r="H4545" s="190" t="n">
        <v>12528.3587456275</v>
      </c>
      <c r="I4545" s="191" t="n">
        <v>3958478.69889699</v>
      </c>
      <c r="J4545" s="192" t="str">
        <f>IF(I4545&gt;0,H4545/I4545,0)</f>
      </c>
      <c r="K4545" s="193" t="str">
        <f>1-EXP(-J4545)</f>
      </c>
      <c r="L4545" s="194" t="str">
        <f>IF(G4545=30,1,M4544)</f>
      </c>
      <c r="M4545" s="195" t="str">
        <f>L4545*(1-K4545)</f>
      </c>
    </row>
    <row r="4546">
      <c r="A4546" t="s">
        <v>167</v>
      </c>
      <c r="B4546" t="s">
        <v>272</v>
      </c>
      <c r="C4546" s="35" t="s">
        <v>274</v>
      </c>
      <c r="D4546" t="s">
        <v>502</v>
      </c>
      <c r="E4546" t="s">
        <v>520</v>
      </c>
      <c r="F4546" s="188" t="n">
        <v>2034</v>
      </c>
      <c r="G4546" s="189" t="n">
        <v>54</v>
      </c>
      <c r="H4546" s="190" t="n">
        <v>13451.0136099809</v>
      </c>
      <c r="I4546" s="191" t="n">
        <v>3891397.04676329</v>
      </c>
      <c r="J4546" s="192" t="str">
        <f>IF(I4546&gt;0,H4546/I4546,0)</f>
      </c>
      <c r="K4546" s="193" t="str">
        <f>1-EXP(-J4546)</f>
      </c>
      <c r="L4546" s="194" t="str">
        <f>IF(G4546=30,1,M4545)</f>
      </c>
      <c r="M4546" s="195" t="str">
        <f>L4546*(1-K4546)</f>
      </c>
    </row>
    <row r="4547">
      <c r="A4547" t="s">
        <v>167</v>
      </c>
      <c r="B4547" t="s">
        <v>272</v>
      </c>
      <c r="C4547" s="35" t="s">
        <v>274</v>
      </c>
      <c r="D4547" t="s">
        <v>502</v>
      </c>
      <c r="E4547" t="s">
        <v>520</v>
      </c>
      <c r="F4547" s="188" t="n">
        <v>2034</v>
      </c>
      <c r="G4547" s="189" t="n">
        <v>55</v>
      </c>
      <c r="H4547" s="190" t="n">
        <v>14452.2397112094</v>
      </c>
      <c r="I4547" s="191" t="n">
        <v>3818451.44454817</v>
      </c>
      <c r="J4547" s="192" t="str">
        <f>IF(I4547&gt;0,H4547/I4547,0)</f>
      </c>
      <c r="K4547" s="193" t="str">
        <f>1-EXP(-J4547)</f>
      </c>
      <c r="L4547" s="194" t="str">
        <f>IF(G4547=30,1,M4546)</f>
      </c>
      <c r="M4547" s="195" t="str">
        <f>L4547*(1-K4547)</f>
      </c>
    </row>
    <row r="4548">
      <c r="A4548" t="s">
        <v>167</v>
      </c>
      <c r="B4548" t="s">
        <v>272</v>
      </c>
      <c r="C4548" s="35" t="s">
        <v>274</v>
      </c>
      <c r="D4548" t="s">
        <v>502</v>
      </c>
      <c r="E4548" t="s">
        <v>520</v>
      </c>
      <c r="F4548" s="188" t="n">
        <v>2034</v>
      </c>
      <c r="G4548" s="189" t="n">
        <v>56</v>
      </c>
      <c r="H4548" s="190" t="n">
        <v>15374.8192111687</v>
      </c>
      <c r="I4548" s="191" t="n">
        <v>3725782.92572248</v>
      </c>
      <c r="J4548" s="192" t="str">
        <f>IF(I4548&gt;0,H4548/I4548,0)</f>
      </c>
      <c r="K4548" s="193" t="str">
        <f>1-EXP(-J4548)</f>
      </c>
      <c r="L4548" s="194" t="str">
        <f>IF(G4548=30,1,M4547)</f>
      </c>
      <c r="M4548" s="195" t="str">
        <f>L4548*(1-K4548)</f>
      </c>
    </row>
    <row r="4549">
      <c r="A4549" t="s">
        <v>167</v>
      </c>
      <c r="B4549" t="s">
        <v>272</v>
      </c>
      <c r="C4549" s="35" t="s">
        <v>274</v>
      </c>
      <c r="D4549" t="s">
        <v>502</v>
      </c>
      <c r="E4549" t="s">
        <v>520</v>
      </c>
      <c r="F4549" s="188" t="n">
        <v>2034</v>
      </c>
      <c r="G4549" s="189" t="n">
        <v>57</v>
      </c>
      <c r="H4549" s="190" t="n">
        <v>16474.2666232732</v>
      </c>
      <c r="I4549" s="191" t="n">
        <v>3649215.26829976</v>
      </c>
      <c r="J4549" s="192" t="str">
        <f>IF(I4549&gt;0,H4549/I4549,0)</f>
      </c>
      <c r="K4549" s="193" t="str">
        <f>1-EXP(-J4549)</f>
      </c>
      <c r="L4549" s="194" t="str">
        <f>IF(G4549=30,1,M4548)</f>
      </c>
      <c r="M4549" s="195" t="str">
        <f>L4549*(1-K4549)</f>
      </c>
    </row>
    <row r="4550">
      <c r="A4550" t="s">
        <v>167</v>
      </c>
      <c r="B4550" t="s">
        <v>272</v>
      </c>
      <c r="C4550" s="35" t="s">
        <v>274</v>
      </c>
      <c r="D4550" t="s">
        <v>502</v>
      </c>
      <c r="E4550" t="s">
        <v>520</v>
      </c>
      <c r="F4550" s="188" t="n">
        <v>2034</v>
      </c>
      <c r="G4550" s="189" t="n">
        <v>58</v>
      </c>
      <c r="H4550" s="190" t="n">
        <v>17575.0379595741</v>
      </c>
      <c r="I4550" s="191" t="n">
        <v>3560737.23513063</v>
      </c>
      <c r="J4550" s="192" t="str">
        <f>IF(I4550&gt;0,H4550/I4550,0)</f>
      </c>
      <c r="K4550" s="193" t="str">
        <f>1-EXP(-J4550)</f>
      </c>
      <c r="L4550" s="194" t="str">
        <f>IF(G4550=30,1,M4549)</f>
      </c>
      <c r="M4550" s="195" t="str">
        <f>L4550*(1-K4550)</f>
      </c>
    </row>
    <row r="4551">
      <c r="A4551" t="s">
        <v>167</v>
      </c>
      <c r="B4551" t="s">
        <v>272</v>
      </c>
      <c r="C4551" s="35" t="s">
        <v>274</v>
      </c>
      <c r="D4551" t="s">
        <v>502</v>
      </c>
      <c r="E4551" t="s">
        <v>520</v>
      </c>
      <c r="F4551" s="188" t="n">
        <v>2034</v>
      </c>
      <c r="G4551" s="189" t="n">
        <v>59</v>
      </c>
      <c r="H4551" s="190" t="n">
        <v>18742.3760561211</v>
      </c>
      <c r="I4551" s="191" t="n">
        <v>3470894.41429068</v>
      </c>
      <c r="J4551" s="192" t="str">
        <f>IF(I4551&gt;0,H4551/I4551,0)</f>
      </c>
      <c r="K4551" s="193" t="str">
        <f>1-EXP(-J4551)</f>
      </c>
      <c r="L4551" s="194" t="str">
        <f>IF(G4551=30,1,M4550)</f>
      </c>
      <c r="M4551" s="195" t="str">
        <f>L4551*(1-K4551)</f>
      </c>
    </row>
    <row r="4552">
      <c r="A4552" t="s">
        <v>167</v>
      </c>
      <c r="B4552" t="s">
        <v>272</v>
      </c>
      <c r="C4552" s="35" t="s">
        <v>274</v>
      </c>
      <c r="D4552" t="s">
        <v>502</v>
      </c>
      <c r="E4552" t="s">
        <v>520</v>
      </c>
      <c r="F4552" s="188" t="n">
        <v>2034</v>
      </c>
      <c r="G4552" s="189" t="n">
        <v>60</v>
      </c>
      <c r="H4552" s="190" t="n">
        <v>20007.8351075654</v>
      </c>
      <c r="I4552" s="191" t="n">
        <v>3354270.75535524</v>
      </c>
      <c r="J4552" s="192" t="str">
        <f>IF(I4552&gt;0,H4552/I4552,0)</f>
      </c>
      <c r="K4552" s="193" t="str">
        <f>1-EXP(-J4552)</f>
      </c>
      <c r="L4552" s="194" t="str">
        <f>IF(G4552=30,1,M4551)</f>
      </c>
      <c r="M4552" s="195" t="str">
        <f>L4552*(1-K4552)</f>
      </c>
    </row>
    <row r="4553">
      <c r="A4553" t="s">
        <v>167</v>
      </c>
      <c r="B4553" t="s">
        <v>272</v>
      </c>
      <c r="C4553" s="35" t="s">
        <v>274</v>
      </c>
      <c r="D4553" t="s">
        <v>502</v>
      </c>
      <c r="E4553" t="s">
        <v>520</v>
      </c>
      <c r="F4553" s="188" t="n">
        <v>2034</v>
      </c>
      <c r="G4553" s="189" t="n">
        <v>61</v>
      </c>
      <c r="H4553" s="190" t="n">
        <v>21574.0654909319</v>
      </c>
      <c r="I4553" s="191" t="n">
        <v>3293250.92482958</v>
      </c>
      <c r="J4553" s="192" t="str">
        <f>IF(I4553&gt;0,H4553/I4553,0)</f>
      </c>
      <c r="K4553" s="193" t="str">
        <f>1-EXP(-J4553)</f>
      </c>
      <c r="L4553" s="194" t="str">
        <f>IF(G4553=30,1,M4552)</f>
      </c>
      <c r="M4553" s="195" t="str">
        <f>L4553*(1-K4553)</f>
      </c>
    </row>
    <row r="4554">
      <c r="A4554" t="s">
        <v>167</v>
      </c>
      <c r="B4554" t="s">
        <v>272</v>
      </c>
      <c r="C4554" s="35" t="s">
        <v>274</v>
      </c>
      <c r="D4554" t="s">
        <v>502</v>
      </c>
      <c r="E4554" t="s">
        <v>520</v>
      </c>
      <c r="F4554" s="188" t="n">
        <v>2034</v>
      </c>
      <c r="G4554" s="189" t="n">
        <v>62</v>
      </c>
      <c r="H4554" s="190" t="n">
        <v>22106.6193004653</v>
      </c>
      <c r="I4554" s="191" t="n">
        <v>3078067.32881449</v>
      </c>
      <c r="J4554" s="192" t="str">
        <f>IF(I4554&gt;0,H4554/I4554,0)</f>
      </c>
      <c r="K4554" s="193" t="str">
        <f>1-EXP(-J4554)</f>
      </c>
      <c r="L4554" s="194" t="str">
        <f>IF(G4554=30,1,M4553)</f>
      </c>
      <c r="M4554" s="195" t="str">
        <f>L4554*(1-K4554)</f>
      </c>
    </row>
    <row r="4555">
      <c r="A4555" t="s">
        <v>167</v>
      </c>
      <c r="B4555" t="s">
        <v>272</v>
      </c>
      <c r="C4555" s="35" t="s">
        <v>274</v>
      </c>
      <c r="D4555" t="s">
        <v>502</v>
      </c>
      <c r="E4555" t="s">
        <v>520</v>
      </c>
      <c r="F4555" s="188" t="n">
        <v>2034</v>
      </c>
      <c r="G4555" s="189" t="n">
        <v>63</v>
      </c>
      <c r="H4555" s="190" t="n">
        <v>23417.7995713367</v>
      </c>
      <c r="I4555" s="191" t="n">
        <v>2976633.22918999</v>
      </c>
      <c r="J4555" s="192" t="str">
        <f>IF(I4555&gt;0,H4555/I4555,0)</f>
      </c>
      <c r="K4555" s="193" t="str">
        <f>1-EXP(-J4555)</f>
      </c>
      <c r="L4555" s="194" t="str">
        <f>IF(G4555=30,1,M4554)</f>
      </c>
      <c r="M4555" s="195" t="str">
        <f>L4555*(1-K4555)</f>
      </c>
    </row>
    <row r="4556">
      <c r="A4556" t="s">
        <v>167</v>
      </c>
      <c r="B4556" t="s">
        <v>272</v>
      </c>
      <c r="C4556" s="35" t="s">
        <v>274</v>
      </c>
      <c r="D4556" t="s">
        <v>502</v>
      </c>
      <c r="E4556" t="s">
        <v>520</v>
      </c>
      <c r="F4556" s="188" t="n">
        <v>2034</v>
      </c>
      <c r="G4556" s="189" t="n">
        <v>64</v>
      </c>
      <c r="H4556" s="190" t="n">
        <v>24815.6231882134</v>
      </c>
      <c r="I4556" s="191" t="n">
        <v>2878553.56330272</v>
      </c>
      <c r="J4556" s="192" t="str">
        <f>IF(I4556&gt;0,H4556/I4556,0)</f>
      </c>
      <c r="K4556" s="193" t="str">
        <f>1-EXP(-J4556)</f>
      </c>
      <c r="L4556" s="194" t="str">
        <f>IF(G4556=30,1,M4555)</f>
      </c>
      <c r="M4556" s="195" t="str">
        <f>L4556*(1-K4556)</f>
      </c>
    </row>
    <row r="4557">
      <c r="A4557" t="s">
        <v>167</v>
      </c>
      <c r="B4557" t="s">
        <v>272</v>
      </c>
      <c r="C4557" s="35" t="s">
        <v>274</v>
      </c>
      <c r="D4557" t="s">
        <v>502</v>
      </c>
      <c r="E4557" t="s">
        <v>520</v>
      </c>
      <c r="F4557" s="188" t="n">
        <v>2034</v>
      </c>
      <c r="G4557" s="189" t="n">
        <v>65</v>
      </c>
      <c r="H4557" s="190" t="n">
        <v>25293.7931630128</v>
      </c>
      <c r="I4557" s="191" t="n">
        <v>2771281.14729951</v>
      </c>
      <c r="J4557" s="192" t="str">
        <f>IF(I4557&gt;0,H4557/I4557,0)</f>
      </c>
      <c r="K4557" s="193" t="str">
        <f>1-EXP(-J4557)</f>
      </c>
      <c r="L4557" s="194" t="str">
        <f>IF(G4557=30,1,M4556)</f>
      </c>
      <c r="M4557" s="195" t="str">
        <f>L4557*(1-K4557)</f>
      </c>
    </row>
    <row r="4558">
      <c r="A4558" t="s">
        <v>167</v>
      </c>
      <c r="B4558" t="s">
        <v>272</v>
      </c>
      <c r="C4558" s="35" t="s">
        <v>274</v>
      </c>
      <c r="D4558" t="s">
        <v>502</v>
      </c>
      <c r="E4558" t="s">
        <v>520</v>
      </c>
      <c r="F4558" s="188" t="n">
        <v>2034</v>
      </c>
      <c r="G4558" s="189" t="n">
        <v>66</v>
      </c>
      <c r="H4558" s="190" t="n">
        <v>26472.5761123</v>
      </c>
      <c r="I4558" s="191" t="n">
        <v>2645857.30756325</v>
      </c>
      <c r="J4558" s="192" t="str">
        <f>IF(I4558&gt;0,H4558/I4558,0)</f>
      </c>
      <c r="K4558" s="193" t="str">
        <f>1-EXP(-J4558)</f>
      </c>
      <c r="L4558" s="194" t="str">
        <f>IF(G4558=30,1,M4557)</f>
      </c>
      <c r="M4558" s="195" t="str">
        <f>L4558*(1-K4558)</f>
      </c>
    </row>
    <row r="4559">
      <c r="A4559" t="s">
        <v>167</v>
      </c>
      <c r="B4559" t="s">
        <v>272</v>
      </c>
      <c r="C4559" s="35" t="s">
        <v>274</v>
      </c>
      <c r="D4559" t="s">
        <v>502</v>
      </c>
      <c r="E4559" t="s">
        <v>520</v>
      </c>
      <c r="F4559" s="188" t="n">
        <v>2034</v>
      </c>
      <c r="G4559" s="189" t="n">
        <v>67</v>
      </c>
      <c r="H4559" s="190" t="n">
        <v>27381.1272059547</v>
      </c>
      <c r="I4559" s="191" t="n">
        <v>2491693.78707022</v>
      </c>
      <c r="J4559" s="192" t="str">
        <f>IF(I4559&gt;0,H4559/I4559,0)</f>
      </c>
      <c r="K4559" s="193" t="str">
        <f>1-EXP(-J4559)</f>
      </c>
      <c r="L4559" s="194" t="str">
        <f>IF(G4559=30,1,M4558)</f>
      </c>
      <c r="M4559" s="195" t="str">
        <f>L4559*(1-K4559)</f>
      </c>
    </row>
    <row r="4560">
      <c r="A4560" t="s">
        <v>167</v>
      </c>
      <c r="B4560" t="s">
        <v>272</v>
      </c>
      <c r="C4560" s="35" t="s">
        <v>274</v>
      </c>
      <c r="D4560" t="s">
        <v>502</v>
      </c>
      <c r="E4560" t="s">
        <v>520</v>
      </c>
      <c r="F4560" s="188" t="n">
        <v>2034</v>
      </c>
      <c r="G4560" s="189" t="n">
        <v>68</v>
      </c>
      <c r="H4560" s="190" t="n">
        <v>28604.7247091242</v>
      </c>
      <c r="I4560" s="191" t="n">
        <v>2370480.68237568</v>
      </c>
      <c r="J4560" s="192" t="str">
        <f>IF(I4560&gt;0,H4560/I4560,0)</f>
      </c>
      <c r="K4560" s="193" t="str">
        <f>1-EXP(-J4560)</f>
      </c>
      <c r="L4560" s="194" t="str">
        <f>IF(G4560=30,1,M4559)</f>
      </c>
      <c r="M4560" s="195" t="str">
        <f>L4560*(1-K4560)</f>
      </c>
    </row>
    <row r="4561">
      <c r="A4561" t="s">
        <v>167</v>
      </c>
      <c r="B4561" t="s">
        <v>272</v>
      </c>
      <c r="C4561" s="35" t="s">
        <v>274</v>
      </c>
      <c r="D4561" t="s">
        <v>502</v>
      </c>
      <c r="E4561" t="s">
        <v>520</v>
      </c>
      <c r="F4561" s="188" t="n">
        <v>2034</v>
      </c>
      <c r="G4561" s="189" t="n">
        <v>69</v>
      </c>
      <c r="H4561" s="190" t="n">
        <v>29574.2919631624</v>
      </c>
      <c r="I4561" s="191" t="n">
        <v>2230282.81361644</v>
      </c>
      <c r="J4561" s="192" t="str">
        <f>IF(I4561&gt;0,H4561/I4561,0)</f>
      </c>
      <c r="K4561" s="193" t="str">
        <f>1-EXP(-J4561)</f>
      </c>
      <c r="L4561" s="194" t="str">
        <f>IF(G4561=30,1,M4560)</f>
      </c>
      <c r="M4561" s="195" t="str">
        <f>L4561*(1-K4561)</f>
      </c>
    </row>
    <row r="4562">
      <c r="A4562" t="s">
        <v>167</v>
      </c>
      <c r="B4562" t="s">
        <v>272</v>
      </c>
      <c r="C4562" s="35" t="s">
        <v>274</v>
      </c>
      <c r="D4562" t="s">
        <v>502</v>
      </c>
      <c r="E4562" t="s">
        <v>520</v>
      </c>
      <c r="F4562" s="188" t="n">
        <v>2035</v>
      </c>
      <c r="G4562" s="189" t="n">
        <v>30</v>
      </c>
      <c r="H4562" s="190" t="n">
        <v>791.09845883388</v>
      </c>
      <c r="I4562" s="191" t="n">
        <v>4552900.47612981</v>
      </c>
      <c r="J4562" s="192" t="str">
        <f>IF(I4562&gt;0,H4562/I4562,0)</f>
      </c>
      <c r="K4562" s="193" t="str">
        <f>1-EXP(-J4562)</f>
      </c>
      <c r="L4562" s="194" t="str">
        <f>IF(G4562=30,1,M4561)</f>
      </c>
      <c r="M4562" s="195" t="str">
        <f>L4562*(1-K4562)</f>
      </c>
    </row>
    <row r="4563">
      <c r="A4563" t="s">
        <v>167</v>
      </c>
      <c r="B4563" t="s">
        <v>272</v>
      </c>
      <c r="C4563" s="35" t="s">
        <v>274</v>
      </c>
      <c r="D4563" t="s">
        <v>502</v>
      </c>
      <c r="E4563" t="s">
        <v>520</v>
      </c>
      <c r="F4563" s="188" t="n">
        <v>2035</v>
      </c>
      <c r="G4563" s="189" t="n">
        <v>31</v>
      </c>
      <c r="H4563" s="190" t="n">
        <v>962.498156612701</v>
      </c>
      <c r="I4563" s="191" t="n">
        <v>4424166.76895672</v>
      </c>
      <c r="J4563" s="192" t="str">
        <f>IF(I4563&gt;0,H4563/I4563,0)</f>
      </c>
      <c r="K4563" s="193" t="str">
        <f>1-EXP(-J4563)</f>
      </c>
      <c r="L4563" s="194" t="str">
        <f>IF(G4563=30,1,M4562)</f>
      </c>
      <c r="M4563" s="195" t="str">
        <f>L4563*(1-K4563)</f>
      </c>
    </row>
    <row r="4564">
      <c r="A4564" t="s">
        <v>167</v>
      </c>
      <c r="B4564" t="s">
        <v>272</v>
      </c>
      <c r="C4564" s="35" t="s">
        <v>274</v>
      </c>
      <c r="D4564" t="s">
        <v>502</v>
      </c>
      <c r="E4564" t="s">
        <v>520</v>
      </c>
      <c r="F4564" s="188" t="n">
        <v>2035</v>
      </c>
      <c r="G4564" s="189" t="n">
        <v>32</v>
      </c>
      <c r="H4564" s="190" t="n">
        <v>999.549224493876</v>
      </c>
      <c r="I4564" s="191" t="n">
        <v>4358951.04040379</v>
      </c>
      <c r="J4564" s="192" t="str">
        <f>IF(I4564&gt;0,H4564/I4564,0)</f>
      </c>
      <c r="K4564" s="193" t="str">
        <f>1-EXP(-J4564)</f>
      </c>
      <c r="L4564" s="194" t="str">
        <f>IF(G4564=30,1,M4563)</f>
      </c>
      <c r="M4564" s="195" t="str">
        <f>L4564*(1-K4564)</f>
      </c>
    </row>
    <row r="4565">
      <c r="A4565" t="s">
        <v>167</v>
      </c>
      <c r="B4565" t="s">
        <v>272</v>
      </c>
      <c r="C4565" s="35" t="s">
        <v>274</v>
      </c>
      <c r="D4565" t="s">
        <v>502</v>
      </c>
      <c r="E4565" t="s">
        <v>520</v>
      </c>
      <c r="F4565" s="188" t="n">
        <v>2035</v>
      </c>
      <c r="G4565" s="189" t="n">
        <v>33</v>
      </c>
      <c r="H4565" s="190" t="n">
        <v>1200.40167082029</v>
      </c>
      <c r="I4565" s="191" t="n">
        <v>4337824.81899344</v>
      </c>
      <c r="J4565" s="192" t="str">
        <f>IF(I4565&gt;0,H4565/I4565,0)</f>
      </c>
      <c r="K4565" s="193" t="str">
        <f>1-EXP(-J4565)</f>
      </c>
      <c r="L4565" s="194" t="str">
        <f>IF(G4565=30,1,M4564)</f>
      </c>
      <c r="M4565" s="195" t="str">
        <f>L4565*(1-K4565)</f>
      </c>
    </row>
    <row r="4566">
      <c r="A4566" t="s">
        <v>167</v>
      </c>
      <c r="B4566" t="s">
        <v>272</v>
      </c>
      <c r="C4566" s="35" t="s">
        <v>274</v>
      </c>
      <c r="D4566" t="s">
        <v>502</v>
      </c>
      <c r="E4566" t="s">
        <v>520</v>
      </c>
      <c r="F4566" s="188" t="n">
        <v>2035</v>
      </c>
      <c r="G4566" s="189" t="n">
        <v>34</v>
      </c>
      <c r="H4566" s="190" t="n">
        <v>1271.23293081302</v>
      </c>
      <c r="I4566" s="191" t="n">
        <v>4317834.41455019</v>
      </c>
      <c r="J4566" s="192" t="str">
        <f>IF(I4566&gt;0,H4566/I4566,0)</f>
      </c>
      <c r="K4566" s="193" t="str">
        <f>1-EXP(-J4566)</f>
      </c>
      <c r="L4566" s="194" t="str">
        <f>IF(G4566=30,1,M4565)</f>
      </c>
      <c r="M4566" s="195" t="str">
        <f>L4566*(1-K4566)</f>
      </c>
    </row>
    <row r="4567">
      <c r="A4567" t="s">
        <v>167</v>
      </c>
      <c r="B4567" t="s">
        <v>272</v>
      </c>
      <c r="C4567" s="35" t="s">
        <v>274</v>
      </c>
      <c r="D4567" t="s">
        <v>502</v>
      </c>
      <c r="E4567" t="s">
        <v>520</v>
      </c>
      <c r="F4567" s="188" t="n">
        <v>2035</v>
      </c>
      <c r="G4567" s="189" t="n">
        <v>35</v>
      </c>
      <c r="H4567" s="190" t="n">
        <v>1704.31282473928</v>
      </c>
      <c r="I4567" s="191" t="n">
        <v>4297519.41196366</v>
      </c>
      <c r="J4567" s="192" t="str">
        <f>IF(I4567&gt;0,H4567/I4567,0)</f>
      </c>
      <c r="K4567" s="193" t="str">
        <f>1-EXP(-J4567)</f>
      </c>
      <c r="L4567" s="194" t="str">
        <f>IF(G4567=30,1,M4566)</f>
      </c>
      <c r="M4567" s="195" t="str">
        <f>L4567*(1-K4567)</f>
      </c>
    </row>
    <row r="4568">
      <c r="A4568" t="s">
        <v>167</v>
      </c>
      <c r="B4568" t="s">
        <v>272</v>
      </c>
      <c r="C4568" s="35" t="s">
        <v>274</v>
      </c>
      <c r="D4568" t="s">
        <v>502</v>
      </c>
      <c r="E4568" t="s">
        <v>520</v>
      </c>
      <c r="F4568" s="188" t="n">
        <v>2035</v>
      </c>
      <c r="G4568" s="189" t="n">
        <v>36</v>
      </c>
      <c r="H4568" s="190" t="n">
        <v>1910.86116203098</v>
      </c>
      <c r="I4568" s="191" t="n">
        <v>4316326.63661384</v>
      </c>
      <c r="J4568" s="192" t="str">
        <f>IF(I4568&gt;0,H4568/I4568,0)</f>
      </c>
      <c r="K4568" s="193" t="str">
        <f>1-EXP(-J4568)</f>
      </c>
      <c r="L4568" s="194" t="str">
        <f>IF(G4568=30,1,M4567)</f>
      </c>
      <c r="M4568" s="195" t="str">
        <f>L4568*(1-K4568)</f>
      </c>
    </row>
    <row r="4569">
      <c r="A4569" t="s">
        <v>167</v>
      </c>
      <c r="B4569" t="s">
        <v>272</v>
      </c>
      <c r="C4569" s="35" t="s">
        <v>274</v>
      </c>
      <c r="D4569" t="s">
        <v>502</v>
      </c>
      <c r="E4569" t="s">
        <v>520</v>
      </c>
      <c r="F4569" s="188" t="n">
        <v>2035</v>
      </c>
      <c r="G4569" s="189" t="n">
        <v>37</v>
      </c>
      <c r="H4569" s="190" t="n">
        <v>2083.47411232177</v>
      </c>
      <c r="I4569" s="191" t="n">
        <v>4374390.5712832</v>
      </c>
      <c r="J4569" s="192" t="str">
        <f>IF(I4569&gt;0,H4569/I4569,0)</f>
      </c>
      <c r="K4569" s="193" t="str">
        <f>1-EXP(-J4569)</f>
      </c>
      <c r="L4569" s="194" t="str">
        <f>IF(G4569=30,1,M4568)</f>
      </c>
      <c r="M4569" s="195" t="str">
        <f>L4569*(1-K4569)</f>
      </c>
    </row>
    <row r="4570">
      <c r="A4570" t="s">
        <v>167</v>
      </c>
      <c r="B4570" t="s">
        <v>272</v>
      </c>
      <c r="C4570" s="35" t="s">
        <v>274</v>
      </c>
      <c r="D4570" t="s">
        <v>502</v>
      </c>
      <c r="E4570" t="s">
        <v>520</v>
      </c>
      <c r="F4570" s="188" t="n">
        <v>2035</v>
      </c>
      <c r="G4570" s="189" t="n">
        <v>38</v>
      </c>
      <c r="H4570" s="190" t="n">
        <v>2519.72730773728</v>
      </c>
      <c r="I4570" s="191" t="n">
        <v>4510994.04724365</v>
      </c>
      <c r="J4570" s="192" t="str">
        <f>IF(I4570&gt;0,H4570/I4570,0)</f>
      </c>
      <c r="K4570" s="193" t="str">
        <f>1-EXP(-J4570)</f>
      </c>
      <c r="L4570" s="194" t="str">
        <f>IF(G4570=30,1,M4569)</f>
      </c>
      <c r="M4570" s="195" t="str">
        <f>L4570*(1-K4570)</f>
      </c>
    </row>
    <row r="4571">
      <c r="A4571" t="s">
        <v>167</v>
      </c>
      <c r="B4571" t="s">
        <v>272</v>
      </c>
      <c r="C4571" s="35" t="s">
        <v>274</v>
      </c>
      <c r="D4571" t="s">
        <v>502</v>
      </c>
      <c r="E4571" t="s">
        <v>520</v>
      </c>
      <c r="F4571" s="188" t="n">
        <v>2035</v>
      </c>
      <c r="G4571" s="189" t="n">
        <v>39</v>
      </c>
      <c r="H4571" s="190" t="n">
        <v>2686.3692914399</v>
      </c>
      <c r="I4571" s="191" t="n">
        <v>4466111.6367112</v>
      </c>
      <c r="J4571" s="192" t="str">
        <f>IF(I4571&gt;0,H4571/I4571,0)</f>
      </c>
      <c r="K4571" s="193" t="str">
        <f>1-EXP(-J4571)</f>
      </c>
      <c r="L4571" s="194" t="str">
        <f>IF(G4571=30,1,M4570)</f>
      </c>
      <c r="M4571" s="195" t="str">
        <f>L4571*(1-K4571)</f>
      </c>
    </row>
    <row r="4572">
      <c r="A4572" t="s">
        <v>167</v>
      </c>
      <c r="B4572" t="s">
        <v>272</v>
      </c>
      <c r="C4572" s="35" t="s">
        <v>274</v>
      </c>
      <c r="D4572" t="s">
        <v>502</v>
      </c>
      <c r="E4572" t="s">
        <v>520</v>
      </c>
      <c r="F4572" s="188" t="n">
        <v>2035</v>
      </c>
      <c r="G4572" s="189" t="n">
        <v>40</v>
      </c>
      <c r="H4572" s="190" t="n">
        <v>3541.16081260578</v>
      </c>
      <c r="I4572" s="191" t="n">
        <v>4391042.35460254</v>
      </c>
      <c r="J4572" s="192" t="str">
        <f>IF(I4572&gt;0,H4572/I4572,0)</f>
      </c>
      <c r="K4572" s="193" t="str">
        <f>1-EXP(-J4572)</f>
      </c>
      <c r="L4572" s="194" t="str">
        <f>IF(G4572=30,1,M4571)</f>
      </c>
      <c r="M4572" s="195" t="str">
        <f>L4572*(1-K4572)</f>
      </c>
    </row>
    <row r="4573">
      <c r="A4573" t="s">
        <v>167</v>
      </c>
      <c r="B4573" t="s">
        <v>272</v>
      </c>
      <c r="C4573" s="35" t="s">
        <v>274</v>
      </c>
      <c r="D4573" t="s">
        <v>502</v>
      </c>
      <c r="E4573" t="s">
        <v>520</v>
      </c>
      <c r="F4573" s="188" t="n">
        <v>2035</v>
      </c>
      <c r="G4573" s="189" t="n">
        <v>41</v>
      </c>
      <c r="H4573" s="190" t="n">
        <v>3770.11575201739</v>
      </c>
      <c r="I4573" s="191" t="n">
        <v>4330563.91626053</v>
      </c>
      <c r="J4573" s="192" t="str">
        <f>IF(I4573&gt;0,H4573/I4573,0)</f>
      </c>
      <c r="K4573" s="193" t="str">
        <f>1-EXP(-J4573)</f>
      </c>
      <c r="L4573" s="194" t="str">
        <f>IF(G4573=30,1,M4572)</f>
      </c>
      <c r="M4573" s="195" t="str">
        <f>L4573*(1-K4573)</f>
      </c>
    </row>
    <row r="4574">
      <c r="A4574" t="s">
        <v>167</v>
      </c>
      <c r="B4574" t="s">
        <v>272</v>
      </c>
      <c r="C4574" s="35" t="s">
        <v>274</v>
      </c>
      <c r="D4574" t="s">
        <v>502</v>
      </c>
      <c r="E4574" t="s">
        <v>520</v>
      </c>
      <c r="F4574" s="188" t="n">
        <v>2035</v>
      </c>
      <c r="G4574" s="189" t="n">
        <v>42</v>
      </c>
      <c r="H4574" s="190" t="n">
        <v>4035.27667289607</v>
      </c>
      <c r="I4574" s="191" t="n">
        <v>4274132.13619623</v>
      </c>
      <c r="J4574" s="192" t="str">
        <f>IF(I4574&gt;0,H4574/I4574,0)</f>
      </c>
      <c r="K4574" s="193" t="str">
        <f>1-EXP(-J4574)</f>
      </c>
      <c r="L4574" s="194" t="str">
        <f>IF(G4574=30,1,M4573)</f>
      </c>
      <c r="M4574" s="195" t="str">
        <f>L4574*(1-K4574)</f>
      </c>
    </row>
    <row r="4575">
      <c r="A4575" t="s">
        <v>167</v>
      </c>
      <c r="B4575" t="s">
        <v>272</v>
      </c>
      <c r="C4575" s="35" t="s">
        <v>274</v>
      </c>
      <c r="D4575" t="s">
        <v>502</v>
      </c>
      <c r="E4575" t="s">
        <v>520</v>
      </c>
      <c r="F4575" s="188" t="n">
        <v>2035</v>
      </c>
      <c r="G4575" s="189" t="n">
        <v>43</v>
      </c>
      <c r="H4575" s="190" t="n">
        <v>4419.37195892469</v>
      </c>
      <c r="I4575" s="191" t="n">
        <v>4307754.01914287</v>
      </c>
      <c r="J4575" s="192" t="str">
        <f>IF(I4575&gt;0,H4575/I4575,0)</f>
      </c>
      <c r="K4575" s="193" t="str">
        <f>1-EXP(-J4575)</f>
      </c>
      <c r="L4575" s="194" t="str">
        <f>IF(G4575=30,1,M4574)</f>
      </c>
      <c r="M4575" s="195" t="str">
        <f>L4575*(1-K4575)</f>
      </c>
    </row>
    <row r="4576">
      <c r="A4576" t="s">
        <v>167</v>
      </c>
      <c r="B4576" t="s">
        <v>272</v>
      </c>
      <c r="C4576" s="35" t="s">
        <v>274</v>
      </c>
      <c r="D4576" t="s">
        <v>502</v>
      </c>
      <c r="E4576" t="s">
        <v>520</v>
      </c>
      <c r="F4576" s="188" t="n">
        <v>2035</v>
      </c>
      <c r="G4576" s="189" t="n">
        <v>44</v>
      </c>
      <c r="H4576" s="190" t="n">
        <v>4835.36337617683</v>
      </c>
      <c r="I4576" s="191" t="n">
        <v>4321391.79494198</v>
      </c>
      <c r="J4576" s="192" t="str">
        <f>IF(I4576&gt;0,H4576/I4576,0)</f>
      </c>
      <c r="K4576" s="193" t="str">
        <f>1-EXP(-J4576)</f>
      </c>
      <c r="L4576" s="194" t="str">
        <f>IF(G4576=30,1,M4575)</f>
      </c>
      <c r="M4576" s="195" t="str">
        <f>L4576*(1-K4576)</f>
      </c>
    </row>
    <row r="4577">
      <c r="A4577" t="s">
        <v>167</v>
      </c>
      <c r="B4577" t="s">
        <v>272</v>
      </c>
      <c r="C4577" s="35" t="s">
        <v>274</v>
      </c>
      <c r="D4577" t="s">
        <v>502</v>
      </c>
      <c r="E4577" t="s">
        <v>520</v>
      </c>
      <c r="F4577" s="188" t="n">
        <v>2035</v>
      </c>
      <c r="G4577" s="189" t="n">
        <v>45</v>
      </c>
      <c r="H4577" s="190" t="n">
        <v>8532.98009026351</v>
      </c>
      <c r="I4577" s="191" t="n">
        <v>6360368.81460612</v>
      </c>
      <c r="J4577" s="192" t="str">
        <f>IF(I4577&gt;0,H4577/I4577,0)</f>
      </c>
      <c r="K4577" s="193" t="str">
        <f>1-EXP(-J4577)</f>
      </c>
      <c r="L4577" s="194" t="str">
        <f>IF(G4577=30,1,M4576)</f>
      </c>
      <c r="M4577" s="195" t="str">
        <f>L4577*(1-K4577)</f>
      </c>
    </row>
    <row r="4578">
      <c r="A4578" t="s">
        <v>167</v>
      </c>
      <c r="B4578" t="s">
        <v>272</v>
      </c>
      <c r="C4578" s="35" t="s">
        <v>274</v>
      </c>
      <c r="D4578" t="s">
        <v>502</v>
      </c>
      <c r="E4578" t="s">
        <v>520</v>
      </c>
      <c r="F4578" s="188" t="n">
        <v>2035</v>
      </c>
      <c r="G4578" s="189" t="n">
        <v>46</v>
      </c>
      <c r="H4578" s="190" t="n">
        <v>6727.88587278628</v>
      </c>
      <c r="I4578" s="191" t="n">
        <v>4269707.67132057</v>
      </c>
      <c r="J4578" s="192" t="str">
        <f>IF(I4578&gt;0,H4578/I4578,0)</f>
      </c>
      <c r="K4578" s="193" t="str">
        <f>1-EXP(-J4578)</f>
      </c>
      <c r="L4578" s="194" t="str">
        <f>IF(G4578=30,1,M4577)</f>
      </c>
      <c r="M4578" s="195" t="str">
        <f>L4578*(1-K4578)</f>
      </c>
    </row>
    <row r="4579">
      <c r="A4579" t="s">
        <v>167</v>
      </c>
      <c r="B4579" t="s">
        <v>272</v>
      </c>
      <c r="C4579" s="35" t="s">
        <v>274</v>
      </c>
      <c r="D4579" t="s">
        <v>502</v>
      </c>
      <c r="E4579" t="s">
        <v>520</v>
      </c>
      <c r="F4579" s="188" t="n">
        <v>2035</v>
      </c>
      <c r="G4579" s="189" t="n">
        <v>47</v>
      </c>
      <c r="H4579" s="190" t="n">
        <v>7336.56051961976</v>
      </c>
      <c r="I4579" s="191" t="n">
        <v>4247382.38788747</v>
      </c>
      <c r="J4579" s="192" t="str">
        <f>IF(I4579&gt;0,H4579/I4579,0)</f>
      </c>
      <c r="K4579" s="193" t="str">
        <f>1-EXP(-J4579)</f>
      </c>
      <c r="L4579" s="194" t="str">
        <f>IF(G4579=30,1,M4578)</f>
      </c>
      <c r="M4579" s="195" t="str">
        <f>L4579*(1-K4579)</f>
      </c>
    </row>
    <row r="4580">
      <c r="A4580" t="s">
        <v>167</v>
      </c>
      <c r="B4580" t="s">
        <v>272</v>
      </c>
      <c r="C4580" s="35" t="s">
        <v>274</v>
      </c>
      <c r="D4580" t="s">
        <v>502</v>
      </c>
      <c r="E4580" t="s">
        <v>520</v>
      </c>
      <c r="F4580" s="188" t="n">
        <v>2035</v>
      </c>
      <c r="G4580" s="189" t="n">
        <v>48</v>
      </c>
      <c r="H4580" s="190" t="n">
        <v>7789.20221770535</v>
      </c>
      <c r="I4580" s="191" t="n">
        <v>4110903.6494165</v>
      </c>
      <c r="J4580" s="192" t="str">
        <f>IF(I4580&gt;0,H4580/I4580,0)</f>
      </c>
      <c r="K4580" s="193" t="str">
        <f>1-EXP(-J4580)</f>
      </c>
      <c r="L4580" s="194" t="str">
        <f>IF(G4580=30,1,M4579)</f>
      </c>
      <c r="M4580" s="195" t="str">
        <f>L4580*(1-K4580)</f>
      </c>
    </row>
    <row r="4581">
      <c r="A4581" t="s">
        <v>167</v>
      </c>
      <c r="B4581" t="s">
        <v>272</v>
      </c>
      <c r="C4581" s="35" t="s">
        <v>274</v>
      </c>
      <c r="D4581" t="s">
        <v>502</v>
      </c>
      <c r="E4581" t="s">
        <v>520</v>
      </c>
      <c r="F4581" s="188" t="n">
        <v>2035</v>
      </c>
      <c r="G4581" s="189" t="n">
        <v>49</v>
      </c>
      <c r="H4581" s="190" t="n">
        <v>8453.29560063111</v>
      </c>
      <c r="I4581" s="191" t="n">
        <v>4069869.36887662</v>
      </c>
      <c r="J4581" s="192" t="str">
        <f>IF(I4581&gt;0,H4581/I4581,0)</f>
      </c>
      <c r="K4581" s="193" t="str">
        <f>1-EXP(-J4581)</f>
      </c>
      <c r="L4581" s="194" t="str">
        <f>IF(G4581=30,1,M4580)</f>
      </c>
      <c r="M4581" s="195" t="str">
        <f>L4581*(1-K4581)</f>
      </c>
    </row>
    <row r="4582">
      <c r="A4582" t="s">
        <v>167</v>
      </c>
      <c r="B4582" t="s">
        <v>272</v>
      </c>
      <c r="C4582" s="35" t="s">
        <v>274</v>
      </c>
      <c r="D4582" t="s">
        <v>502</v>
      </c>
      <c r="E4582" t="s">
        <v>520</v>
      </c>
      <c r="F4582" s="188" t="n">
        <v>2035</v>
      </c>
      <c r="G4582" s="189" t="n">
        <v>50</v>
      </c>
      <c r="H4582" s="190" t="n">
        <v>9904.1067502741</v>
      </c>
      <c r="I4582" s="191" t="n">
        <v>4119719.75790377</v>
      </c>
      <c r="J4582" s="192" t="str">
        <f>IF(I4582&gt;0,H4582/I4582,0)</f>
      </c>
      <c r="K4582" s="193" t="str">
        <f>1-EXP(-J4582)</f>
      </c>
      <c r="L4582" s="194" t="str">
        <f>IF(G4582=30,1,M4581)</f>
      </c>
      <c r="M4582" s="195" t="str">
        <f>L4582*(1-K4582)</f>
      </c>
    </row>
    <row r="4583">
      <c r="A4583" t="s">
        <v>167</v>
      </c>
      <c r="B4583" t="s">
        <v>272</v>
      </c>
      <c r="C4583" s="35" t="s">
        <v>274</v>
      </c>
      <c r="D4583" t="s">
        <v>502</v>
      </c>
      <c r="E4583" t="s">
        <v>520</v>
      </c>
      <c r="F4583" s="188" t="n">
        <v>2035</v>
      </c>
      <c r="G4583" s="189" t="n">
        <v>51</v>
      </c>
      <c r="H4583" s="190" t="n">
        <v>11039.1133920743</v>
      </c>
      <c r="I4583" s="191" t="n">
        <v>4192176.29614143</v>
      </c>
      <c r="J4583" s="192" t="str">
        <f>IF(I4583&gt;0,H4583/I4583,0)</f>
      </c>
      <c r="K4583" s="193" t="str">
        <f>1-EXP(-J4583)</f>
      </c>
      <c r="L4583" s="194" t="str">
        <f>IF(G4583=30,1,M4582)</f>
      </c>
      <c r="M4583" s="195" t="str">
        <f>L4583*(1-K4583)</f>
      </c>
    </row>
    <row r="4584">
      <c r="A4584" t="s">
        <v>167</v>
      </c>
      <c r="B4584" t="s">
        <v>272</v>
      </c>
      <c r="C4584" s="35" t="s">
        <v>274</v>
      </c>
      <c r="D4584" t="s">
        <v>502</v>
      </c>
      <c r="E4584" t="s">
        <v>520</v>
      </c>
      <c r="F4584" s="188" t="n">
        <v>2035</v>
      </c>
      <c r="G4584" s="189" t="n">
        <v>52</v>
      </c>
      <c r="H4584" s="190" t="n">
        <v>11968.9896507577</v>
      </c>
      <c r="I4584" s="191" t="n">
        <v>4158105.657253</v>
      </c>
      <c r="J4584" s="192" t="str">
        <f>IF(I4584&gt;0,H4584/I4584,0)</f>
      </c>
      <c r="K4584" s="193" t="str">
        <f>1-EXP(-J4584)</f>
      </c>
      <c r="L4584" s="194" t="str">
        <f>IF(G4584=30,1,M4583)</f>
      </c>
      <c r="M4584" s="195" t="str">
        <f>L4584*(1-K4584)</f>
      </c>
    </row>
    <row r="4585">
      <c r="A4585" t="s">
        <v>167</v>
      </c>
      <c r="B4585" t="s">
        <v>272</v>
      </c>
      <c r="C4585" s="35" t="s">
        <v>274</v>
      </c>
      <c r="D4585" t="s">
        <v>502</v>
      </c>
      <c r="E4585" t="s">
        <v>520</v>
      </c>
      <c r="F4585" s="188" t="n">
        <v>2035</v>
      </c>
      <c r="G4585" s="189" t="n">
        <v>53</v>
      </c>
      <c r="H4585" s="190" t="n">
        <v>12633.2088175846</v>
      </c>
      <c r="I4585" s="191" t="n">
        <v>4014105.13393188</v>
      </c>
      <c r="J4585" s="192" t="str">
        <f>IF(I4585&gt;0,H4585/I4585,0)</f>
      </c>
      <c r="K4585" s="193" t="str">
        <f>1-EXP(-J4585)</f>
      </c>
      <c r="L4585" s="194" t="str">
        <f>IF(G4585=30,1,M4584)</f>
      </c>
      <c r="M4585" s="195" t="str">
        <f>L4585*(1-K4585)</f>
      </c>
    </row>
    <row r="4586">
      <c r="A4586" t="s">
        <v>167</v>
      </c>
      <c r="B4586" t="s">
        <v>272</v>
      </c>
      <c r="C4586" s="35" t="s">
        <v>274</v>
      </c>
      <c r="D4586" t="s">
        <v>502</v>
      </c>
      <c r="E4586" t="s">
        <v>520</v>
      </c>
      <c r="F4586" s="188" t="n">
        <v>2035</v>
      </c>
      <c r="G4586" s="189" t="n">
        <v>54</v>
      </c>
      <c r="H4586" s="190" t="n">
        <v>13505.9775139726</v>
      </c>
      <c r="I4586" s="191" t="n">
        <v>3930267.9613961</v>
      </c>
      <c r="J4586" s="192" t="str">
        <f>IF(I4586&gt;0,H4586/I4586,0)</f>
      </c>
      <c r="K4586" s="193" t="str">
        <f>1-EXP(-J4586)</f>
      </c>
      <c r="L4586" s="194" t="str">
        <f>IF(G4586=30,1,M4585)</f>
      </c>
      <c r="M4586" s="195" t="str">
        <f>L4586*(1-K4586)</f>
      </c>
    </row>
    <row r="4587">
      <c r="A4587" t="s">
        <v>167</v>
      </c>
      <c r="B4587" t="s">
        <v>272</v>
      </c>
      <c r="C4587" s="35" t="s">
        <v>274</v>
      </c>
      <c r="D4587" t="s">
        <v>502</v>
      </c>
      <c r="E4587" t="s">
        <v>520</v>
      </c>
      <c r="F4587" s="188" t="n">
        <v>2035</v>
      </c>
      <c r="G4587" s="189" t="n">
        <v>55</v>
      </c>
      <c r="H4587" s="190" t="n">
        <v>14497.0361202697</v>
      </c>
      <c r="I4587" s="191" t="n">
        <v>3861119.62692314</v>
      </c>
      <c r="J4587" s="192" t="str">
        <f>IF(I4587&gt;0,H4587/I4587,0)</f>
      </c>
      <c r="K4587" s="193" t="str">
        <f>1-EXP(-J4587)</f>
      </c>
      <c r="L4587" s="194" t="str">
        <f>IF(G4587=30,1,M4586)</f>
      </c>
      <c r="M4587" s="195" t="str">
        <f>L4587*(1-K4587)</f>
      </c>
    </row>
    <row r="4588">
      <c r="A4588" t="s">
        <v>167</v>
      </c>
      <c r="B4588" t="s">
        <v>272</v>
      </c>
      <c r="C4588" s="35" t="s">
        <v>274</v>
      </c>
      <c r="D4588" t="s">
        <v>502</v>
      </c>
      <c r="E4588" t="s">
        <v>520</v>
      </c>
      <c r="F4588" s="188" t="n">
        <v>2035</v>
      </c>
      <c r="G4588" s="189" t="n">
        <v>56</v>
      </c>
      <c r="H4588" s="190" t="n">
        <v>15493.39496795</v>
      </c>
      <c r="I4588" s="191" t="n">
        <v>3785678.87726166</v>
      </c>
      <c r="J4588" s="192" t="str">
        <f>IF(I4588&gt;0,H4588/I4588,0)</f>
      </c>
      <c r="K4588" s="193" t="str">
        <f>1-EXP(-J4588)</f>
      </c>
      <c r="L4588" s="194" t="str">
        <f>IF(G4588=30,1,M4587)</f>
      </c>
      <c r="M4588" s="195" t="str">
        <f>L4588*(1-K4588)</f>
      </c>
    </row>
    <row r="4589">
      <c r="A4589" t="s">
        <v>167</v>
      </c>
      <c r="B4589" t="s">
        <v>272</v>
      </c>
      <c r="C4589" s="35" t="s">
        <v>274</v>
      </c>
      <c r="D4589" t="s">
        <v>502</v>
      </c>
      <c r="E4589" t="s">
        <v>520</v>
      </c>
      <c r="F4589" s="188" t="n">
        <v>2035</v>
      </c>
      <c r="G4589" s="189" t="n">
        <v>57</v>
      </c>
      <c r="H4589" s="190" t="n">
        <v>16505.1706609229</v>
      </c>
      <c r="I4589" s="191" t="n">
        <v>3691231.4580283</v>
      </c>
      <c r="J4589" s="192" t="str">
        <f>IF(I4589&gt;0,H4589/I4589,0)</f>
      </c>
      <c r="K4589" s="193" t="str">
        <f>1-EXP(-J4589)</f>
      </c>
      <c r="L4589" s="194" t="str">
        <f>IF(G4589=30,1,M4588)</f>
      </c>
      <c r="M4589" s="195" t="str">
        <f>L4589*(1-K4589)</f>
      </c>
    </row>
    <row r="4590">
      <c r="A4590" t="s">
        <v>167</v>
      </c>
      <c r="B4590" t="s">
        <v>272</v>
      </c>
      <c r="C4590" s="35" t="s">
        <v>274</v>
      </c>
      <c r="D4590" t="s">
        <v>502</v>
      </c>
      <c r="E4590" t="s">
        <v>520</v>
      </c>
      <c r="F4590" s="188" t="n">
        <v>2035</v>
      </c>
      <c r="G4590" s="189" t="n">
        <v>58</v>
      </c>
      <c r="H4590" s="190" t="n">
        <v>17681.6203707504</v>
      </c>
      <c r="I4590" s="191" t="n">
        <v>3612222.67974853</v>
      </c>
      <c r="J4590" s="192" t="str">
        <f>IF(I4590&gt;0,H4590/I4590,0)</f>
      </c>
      <c r="K4590" s="193" t="str">
        <f>1-EXP(-J4590)</f>
      </c>
      <c r="L4590" s="194" t="str">
        <f>IF(G4590=30,1,M4589)</f>
      </c>
      <c r="M4590" s="195" t="str">
        <f>L4590*(1-K4590)</f>
      </c>
    </row>
    <row r="4591">
      <c r="A4591" t="s">
        <v>167</v>
      </c>
      <c r="B4591" t="s">
        <v>272</v>
      </c>
      <c r="C4591" s="35" t="s">
        <v>274</v>
      </c>
      <c r="D4591" t="s">
        <v>502</v>
      </c>
      <c r="E4591" t="s">
        <v>520</v>
      </c>
      <c r="F4591" s="188" t="n">
        <v>2035</v>
      </c>
      <c r="G4591" s="189" t="n">
        <v>59</v>
      </c>
      <c r="H4591" s="190" t="n">
        <v>18857.936388548</v>
      </c>
      <c r="I4591" s="191" t="n">
        <v>3521301.01349279</v>
      </c>
      <c r="J4591" s="192" t="str">
        <f>IF(I4591&gt;0,H4591/I4591,0)</f>
      </c>
      <c r="K4591" s="193" t="str">
        <f>1-EXP(-J4591)</f>
      </c>
      <c r="L4591" s="194" t="str">
        <f>IF(G4591=30,1,M4590)</f>
      </c>
      <c r="M4591" s="195" t="str">
        <f>L4591*(1-K4591)</f>
      </c>
    </row>
    <row r="4592">
      <c r="A4592" t="s">
        <v>167</v>
      </c>
      <c r="B4592" t="s">
        <v>272</v>
      </c>
      <c r="C4592" s="35" t="s">
        <v>274</v>
      </c>
      <c r="D4592" t="s">
        <v>502</v>
      </c>
      <c r="E4592" t="s">
        <v>520</v>
      </c>
      <c r="F4592" s="188" t="n">
        <v>2035</v>
      </c>
      <c r="G4592" s="189" t="n">
        <v>60</v>
      </c>
      <c r="H4592" s="190" t="n">
        <v>20240.4486254507</v>
      </c>
      <c r="I4592" s="191" t="n">
        <v>3428867.88432102</v>
      </c>
      <c r="J4592" s="192" t="str">
        <f>IF(I4592&gt;0,H4592/I4592,0)</f>
      </c>
      <c r="K4592" s="193" t="str">
        <f>1-EXP(-J4592)</f>
      </c>
      <c r="L4592" s="194" t="str">
        <f>IF(G4592=30,1,M4591)</f>
      </c>
      <c r="M4592" s="195" t="str">
        <f>L4592*(1-K4592)</f>
      </c>
    </row>
    <row r="4593">
      <c r="A4593" t="s">
        <v>167</v>
      </c>
      <c r="B4593" t="s">
        <v>272</v>
      </c>
      <c r="C4593" s="35" t="s">
        <v>274</v>
      </c>
      <c r="D4593" t="s">
        <v>502</v>
      </c>
      <c r="E4593" t="s">
        <v>520</v>
      </c>
      <c r="F4593" s="188" t="n">
        <v>2035</v>
      </c>
      <c r="G4593" s="189" t="n">
        <v>61</v>
      </c>
      <c r="H4593" s="190" t="n">
        <v>21459.3132638155</v>
      </c>
      <c r="I4593" s="191" t="n">
        <v>3309401.71442236</v>
      </c>
      <c r="J4593" s="192" t="str">
        <f>IF(I4593&gt;0,H4593/I4593,0)</f>
      </c>
      <c r="K4593" s="193" t="str">
        <f>1-EXP(-J4593)</f>
      </c>
      <c r="L4593" s="194" t="str">
        <f>IF(G4593=30,1,M4592)</f>
      </c>
      <c r="M4593" s="195" t="str">
        <f>L4593*(1-K4593)</f>
      </c>
    </row>
    <row r="4594">
      <c r="A4594" t="s">
        <v>167</v>
      </c>
      <c r="B4594" t="s">
        <v>272</v>
      </c>
      <c r="C4594" s="35" t="s">
        <v>274</v>
      </c>
      <c r="D4594" t="s">
        <v>502</v>
      </c>
      <c r="E4594" t="s">
        <v>520</v>
      </c>
      <c r="F4594" s="188" t="n">
        <v>2035</v>
      </c>
      <c r="G4594" s="189" t="n">
        <v>62</v>
      </c>
      <c r="H4594" s="190" t="n">
        <v>23044.9858336033</v>
      </c>
      <c r="I4594" s="191" t="n">
        <v>3245407.37339265</v>
      </c>
      <c r="J4594" s="192" t="str">
        <f>IF(I4594&gt;0,H4594/I4594,0)</f>
      </c>
      <c r="K4594" s="193" t="str">
        <f>1-EXP(-J4594)</f>
      </c>
      <c r="L4594" s="194" t="str">
        <f>IF(G4594=30,1,M4593)</f>
      </c>
      <c r="M4594" s="195" t="str">
        <f>L4594*(1-K4594)</f>
      </c>
    </row>
    <row r="4595">
      <c r="A4595" t="s">
        <v>167</v>
      </c>
      <c r="B4595" t="s">
        <v>272</v>
      </c>
      <c r="C4595" s="35" t="s">
        <v>274</v>
      </c>
      <c r="D4595" t="s">
        <v>502</v>
      </c>
      <c r="E4595" t="s">
        <v>520</v>
      </c>
      <c r="F4595" s="188" t="n">
        <v>2035</v>
      </c>
      <c r="G4595" s="189" t="n">
        <v>63</v>
      </c>
      <c r="H4595" s="190" t="n">
        <v>23592.4463649999</v>
      </c>
      <c r="I4595" s="191" t="n">
        <v>3029056.20263804</v>
      </c>
      <c r="J4595" s="192" t="str">
        <f>IF(I4595&gt;0,H4595/I4595,0)</f>
      </c>
      <c r="K4595" s="193" t="str">
        <f>1-EXP(-J4595)</f>
      </c>
      <c r="L4595" s="194" t="str">
        <f>IF(G4595=30,1,M4594)</f>
      </c>
      <c r="M4595" s="195" t="str">
        <f>L4595*(1-K4595)</f>
      </c>
    </row>
    <row r="4596">
      <c r="A4596" t="s">
        <v>167</v>
      </c>
      <c r="B4596" t="s">
        <v>272</v>
      </c>
      <c r="C4596" s="35" t="s">
        <v>274</v>
      </c>
      <c r="D4596" t="s">
        <v>502</v>
      </c>
      <c r="E4596" t="s">
        <v>520</v>
      </c>
      <c r="F4596" s="188" t="n">
        <v>2035</v>
      </c>
      <c r="G4596" s="189" t="n">
        <v>64</v>
      </c>
      <c r="H4596" s="190" t="n">
        <v>24962.2279530909</v>
      </c>
      <c r="I4596" s="191" t="n">
        <v>2924728.81666416</v>
      </c>
      <c r="J4596" s="192" t="str">
        <f>IF(I4596&gt;0,H4596/I4596,0)</f>
      </c>
      <c r="K4596" s="193" t="str">
        <f>1-EXP(-J4596)</f>
      </c>
      <c r="L4596" s="194" t="str">
        <f>IF(G4596=30,1,M4595)</f>
      </c>
      <c r="M4596" s="195" t="str">
        <f>L4596*(1-K4596)</f>
      </c>
    </row>
    <row r="4597">
      <c r="A4597" t="s">
        <v>167</v>
      </c>
      <c r="B4597" t="s">
        <v>272</v>
      </c>
      <c r="C4597" s="35" t="s">
        <v>274</v>
      </c>
      <c r="D4597" t="s">
        <v>502</v>
      </c>
      <c r="E4597" t="s">
        <v>520</v>
      </c>
      <c r="F4597" s="188" t="n">
        <v>2035</v>
      </c>
      <c r="G4597" s="189" t="n">
        <v>65</v>
      </c>
      <c r="H4597" s="190" t="n">
        <v>25481.5468738229</v>
      </c>
      <c r="I4597" s="191" t="n">
        <v>2823564.85750316</v>
      </c>
      <c r="J4597" s="192" t="str">
        <f>IF(I4597&gt;0,H4597/I4597,0)</f>
      </c>
      <c r="K4597" s="193" t="str">
        <f>1-EXP(-J4597)</f>
      </c>
      <c r="L4597" s="194" t="str">
        <f>IF(G4597=30,1,M4596)</f>
      </c>
      <c r="M4597" s="195" t="str">
        <f>L4597*(1-K4597)</f>
      </c>
    </row>
    <row r="4598">
      <c r="A4598" t="s">
        <v>167</v>
      </c>
      <c r="B4598" t="s">
        <v>272</v>
      </c>
      <c r="C4598" s="35" t="s">
        <v>274</v>
      </c>
      <c r="D4598" t="s">
        <v>502</v>
      </c>
      <c r="E4598" t="s">
        <v>520</v>
      </c>
      <c r="F4598" s="188" t="n">
        <v>2035</v>
      </c>
      <c r="G4598" s="189" t="n">
        <v>66</v>
      </c>
      <c r="H4598" s="190" t="n">
        <v>26846.9981735286</v>
      </c>
      <c r="I4598" s="191" t="n">
        <v>2713648.08043439</v>
      </c>
      <c r="J4598" s="192" t="str">
        <f>IF(I4598&gt;0,H4598/I4598,0)</f>
      </c>
      <c r="K4598" s="193" t="str">
        <f>1-EXP(-J4598)</f>
      </c>
      <c r="L4598" s="194" t="str">
        <f>IF(G4598=30,1,M4597)</f>
      </c>
      <c r="M4598" s="195" t="str">
        <f>L4598*(1-K4598)</f>
      </c>
    </row>
    <row r="4599">
      <c r="A4599" t="s">
        <v>167</v>
      </c>
      <c r="B4599" t="s">
        <v>272</v>
      </c>
      <c r="C4599" s="35" t="s">
        <v>274</v>
      </c>
      <c r="D4599" t="s">
        <v>502</v>
      </c>
      <c r="E4599" t="s">
        <v>520</v>
      </c>
      <c r="F4599" s="188" t="n">
        <v>2035</v>
      </c>
      <c r="G4599" s="189" t="n">
        <v>67</v>
      </c>
      <c r="H4599" s="190" t="n">
        <v>28066.8851039743</v>
      </c>
      <c r="I4599" s="191" t="n">
        <v>2585190.66671885</v>
      </c>
      <c r="J4599" s="192" t="str">
        <f>IF(I4599&gt;0,H4599/I4599,0)</f>
      </c>
      <c r="K4599" s="193" t="str">
        <f>1-EXP(-J4599)</f>
      </c>
      <c r="L4599" s="194" t="str">
        <f>IF(G4599=30,1,M4598)</f>
      </c>
      <c r="M4599" s="195" t="str">
        <f>L4599*(1-K4599)</f>
      </c>
    </row>
    <row r="4600">
      <c r="A4600" t="s">
        <v>167</v>
      </c>
      <c r="B4600" t="s">
        <v>272</v>
      </c>
      <c r="C4600" s="35" t="s">
        <v>274</v>
      </c>
      <c r="D4600" t="s">
        <v>502</v>
      </c>
      <c r="E4600" t="s">
        <v>520</v>
      </c>
      <c r="F4600" s="188" t="n">
        <v>2035</v>
      </c>
      <c r="G4600" s="189" t="n">
        <v>68</v>
      </c>
      <c r="H4600" s="190" t="n">
        <v>28983.8315660414</v>
      </c>
      <c r="I4600" s="191" t="n">
        <v>2428987.3719897</v>
      </c>
      <c r="J4600" s="192" t="str">
        <f>IF(I4600&gt;0,H4600/I4600,0)</f>
      </c>
      <c r="K4600" s="193" t="str">
        <f>1-EXP(-J4600)</f>
      </c>
      <c r="L4600" s="194" t="str">
        <f>IF(G4600=30,1,M4599)</f>
      </c>
      <c r="M4600" s="195" t="str">
        <f>L4600*(1-K4600)</f>
      </c>
    </row>
    <row r="4601">
      <c r="A4601" t="s">
        <v>167</v>
      </c>
      <c r="B4601" t="s">
        <v>272</v>
      </c>
      <c r="C4601" s="35" t="s">
        <v>274</v>
      </c>
      <c r="D4601" t="s">
        <v>502</v>
      </c>
      <c r="E4601" t="s">
        <v>520</v>
      </c>
      <c r="F4601" s="188" t="n">
        <v>2035</v>
      </c>
      <c r="G4601" s="189" t="n">
        <v>69</v>
      </c>
      <c r="H4601" s="190" t="n">
        <v>30230.0102100943</v>
      </c>
      <c r="I4601" s="191" t="n">
        <v>2305037.50703788</v>
      </c>
      <c r="J4601" s="192" t="str">
        <f>IF(I4601&gt;0,H4601/I4601,0)</f>
      </c>
      <c r="K4601" s="193" t="str">
        <f>1-EXP(-J4601)</f>
      </c>
      <c r="L4601" s="194" t="str">
        <f>IF(G4601=30,1,M4600)</f>
      </c>
      <c r="M4601" s="195" t="str">
        <f>L4601*(1-K4601)</f>
      </c>
    </row>
    <row r="4602">
      <c r="A4602" t="s">
        <v>167</v>
      </c>
      <c r="B4602" t="s">
        <v>272</v>
      </c>
      <c r="C4602" s="35" t="s">
        <v>274</v>
      </c>
      <c r="D4602" t="s">
        <v>502</v>
      </c>
      <c r="E4602" t="s">
        <v>520</v>
      </c>
      <c r="F4602" s="188" t="n">
        <v>2036</v>
      </c>
      <c r="G4602" s="189" t="n">
        <v>30</v>
      </c>
      <c r="H4602" s="190" t="n">
        <v>804.880005171229</v>
      </c>
      <c r="I4602" s="191" t="n">
        <v>4608216.46113095</v>
      </c>
      <c r="J4602" s="192" t="str">
        <f>IF(I4602&gt;0,H4602/I4602,0)</f>
      </c>
      <c r="K4602" s="193" t="str">
        <f>1-EXP(-J4602)</f>
      </c>
      <c r="L4602" s="194" t="str">
        <f>IF(G4602=30,1,M4601)</f>
      </c>
      <c r="M4602" s="195" t="str">
        <f>L4602*(1-K4602)</f>
      </c>
    </row>
    <row r="4603">
      <c r="A4603" t="s">
        <v>167</v>
      </c>
      <c r="B4603" t="s">
        <v>272</v>
      </c>
      <c r="C4603" s="35" t="s">
        <v>274</v>
      </c>
      <c r="D4603" t="s">
        <v>502</v>
      </c>
      <c r="E4603" t="s">
        <v>520</v>
      </c>
      <c r="F4603" s="188" t="n">
        <v>2036</v>
      </c>
      <c r="G4603" s="189" t="n">
        <v>31</v>
      </c>
      <c r="H4603" s="190" t="n">
        <v>993.930208325641</v>
      </c>
      <c r="I4603" s="191" t="n">
        <v>4547251.50277291</v>
      </c>
      <c r="J4603" s="192" t="str">
        <f>IF(I4603&gt;0,H4603/I4603,0)</f>
      </c>
      <c r="K4603" s="193" t="str">
        <f>1-EXP(-J4603)</f>
      </c>
      <c r="L4603" s="194" t="str">
        <f>IF(G4603=30,1,M4602)</f>
      </c>
      <c r="M4603" s="195" t="str">
        <f>L4603*(1-K4603)</f>
      </c>
    </row>
    <row r="4604">
      <c r="A4604" t="s">
        <v>167</v>
      </c>
      <c r="B4604" t="s">
        <v>272</v>
      </c>
      <c r="C4604" s="35" t="s">
        <v>274</v>
      </c>
      <c r="D4604" t="s">
        <v>502</v>
      </c>
      <c r="E4604" t="s">
        <v>520</v>
      </c>
      <c r="F4604" s="188" t="n">
        <v>2036</v>
      </c>
      <c r="G4604" s="189" t="n">
        <v>32</v>
      </c>
      <c r="H4604" s="190" t="n">
        <v>1017.82893558623</v>
      </c>
      <c r="I4604" s="191" t="n">
        <v>4418762.63086119</v>
      </c>
      <c r="J4604" s="192" t="str">
        <f>IF(I4604&gt;0,H4604/I4604,0)</f>
      </c>
      <c r="K4604" s="193" t="str">
        <f>1-EXP(-J4604)</f>
      </c>
      <c r="L4604" s="194" t="str">
        <f>IF(G4604=30,1,M4603)</f>
      </c>
      <c r="M4604" s="195" t="str">
        <f>L4604*(1-K4604)</f>
      </c>
    </row>
    <row r="4605">
      <c r="A4605" t="s">
        <v>167</v>
      </c>
      <c r="B4605" t="s">
        <v>272</v>
      </c>
      <c r="C4605" s="35" t="s">
        <v>274</v>
      </c>
      <c r="D4605" t="s">
        <v>502</v>
      </c>
      <c r="E4605" t="s">
        <v>520</v>
      </c>
      <c r="F4605" s="188" t="n">
        <v>2036</v>
      </c>
      <c r="G4605" s="189" t="n">
        <v>33</v>
      </c>
      <c r="H4605" s="190" t="n">
        <v>1063.33437844153</v>
      </c>
      <c r="I4605" s="191" t="n">
        <v>4353400.7926787</v>
      </c>
      <c r="J4605" s="192" t="str">
        <f>IF(I4605&gt;0,H4605/I4605,0)</f>
      </c>
      <c r="K4605" s="193" t="str">
        <f>1-EXP(-J4605)</f>
      </c>
      <c r="L4605" s="194" t="str">
        <f>IF(G4605=30,1,M4604)</f>
      </c>
      <c r="M4605" s="195" t="str">
        <f>L4605*(1-K4605)</f>
      </c>
    </row>
    <row r="4606">
      <c r="A4606" t="s">
        <v>167</v>
      </c>
      <c r="B4606" t="s">
        <v>272</v>
      </c>
      <c r="C4606" s="35" t="s">
        <v>274</v>
      </c>
      <c r="D4606" t="s">
        <v>502</v>
      </c>
      <c r="E4606" t="s">
        <v>520</v>
      </c>
      <c r="F4606" s="188" t="n">
        <v>2036</v>
      </c>
      <c r="G4606" s="189" t="n">
        <v>34</v>
      </c>
      <c r="H4606" s="190" t="n">
        <v>1279.17972846063</v>
      </c>
      <c r="I4606" s="191" t="n">
        <v>4331870.72899011</v>
      </c>
      <c r="J4606" s="192" t="str">
        <f>IF(I4606&gt;0,H4606/I4606,0)</f>
      </c>
      <c r="K4606" s="193" t="str">
        <f>1-EXP(-J4606)</f>
      </c>
      <c r="L4606" s="194" t="str">
        <f>IF(G4606=30,1,M4605)</f>
      </c>
      <c r="M4606" s="195" t="str">
        <f>L4606*(1-K4606)</f>
      </c>
    </row>
    <row r="4607">
      <c r="A4607" t="s">
        <v>167</v>
      </c>
      <c r="B4607" t="s">
        <v>272</v>
      </c>
      <c r="C4607" s="35" t="s">
        <v>274</v>
      </c>
      <c r="D4607" t="s">
        <v>502</v>
      </c>
      <c r="E4607" t="s">
        <v>520</v>
      </c>
      <c r="F4607" s="188" t="n">
        <v>2036</v>
      </c>
      <c r="G4607" s="189" t="n">
        <v>35</v>
      </c>
      <c r="H4607" s="190" t="n">
        <v>1707.72921974445</v>
      </c>
      <c r="I4607" s="191" t="n">
        <v>4311586.71685885</v>
      </c>
      <c r="J4607" s="192" t="str">
        <f>IF(I4607&gt;0,H4607/I4607,0)</f>
      </c>
      <c r="K4607" s="193" t="str">
        <f>1-EXP(-J4607)</f>
      </c>
      <c r="L4607" s="194" t="str">
        <f>IF(G4607=30,1,M4606)</f>
      </c>
      <c r="M4607" s="195" t="str">
        <f>L4607*(1-K4607)</f>
      </c>
    </row>
    <row r="4608">
      <c r="A4608" t="s">
        <v>167</v>
      </c>
      <c r="B4608" t="s">
        <v>272</v>
      </c>
      <c r="C4608" s="35" t="s">
        <v>274</v>
      </c>
      <c r="D4608" t="s">
        <v>502</v>
      </c>
      <c r="E4608" t="s">
        <v>520</v>
      </c>
      <c r="F4608" s="188" t="n">
        <v>2036</v>
      </c>
      <c r="G4608" s="189" t="n">
        <v>36</v>
      </c>
      <c r="H4608" s="190" t="n">
        <v>1897.6341867512</v>
      </c>
      <c r="I4608" s="191" t="n">
        <v>4290534.88511952</v>
      </c>
      <c r="J4608" s="192" t="str">
        <f>IF(I4608&gt;0,H4608/I4608,0)</f>
      </c>
      <c r="K4608" s="193" t="str">
        <f>1-EXP(-J4608)</f>
      </c>
      <c r="L4608" s="194" t="str">
        <f>IF(G4608=30,1,M4607)</f>
      </c>
      <c r="M4608" s="195" t="str">
        <f>L4608*(1-K4608)</f>
      </c>
    </row>
    <row r="4609">
      <c r="A4609" t="s">
        <v>167</v>
      </c>
      <c r="B4609" t="s">
        <v>272</v>
      </c>
      <c r="C4609" s="35" t="s">
        <v>274</v>
      </c>
      <c r="D4609" t="s">
        <v>502</v>
      </c>
      <c r="E4609" t="s">
        <v>520</v>
      </c>
      <c r="F4609" s="188" t="n">
        <v>2036</v>
      </c>
      <c r="G4609" s="189" t="n">
        <v>37</v>
      </c>
      <c r="H4609" s="190" t="n">
        <v>2049.61304507511</v>
      </c>
      <c r="I4609" s="191" t="n">
        <v>4309216.08417078</v>
      </c>
      <c r="J4609" s="192" t="str">
        <f>IF(I4609&gt;0,H4609/I4609,0)</f>
      </c>
      <c r="K4609" s="193" t="str">
        <f>1-EXP(-J4609)</f>
      </c>
      <c r="L4609" s="194" t="str">
        <f>IF(G4609=30,1,M4608)</f>
      </c>
      <c r="M4609" s="195" t="str">
        <f>L4609*(1-K4609)</f>
      </c>
    </row>
    <row r="4610">
      <c r="A4610" t="s">
        <v>167</v>
      </c>
      <c r="B4610" t="s">
        <v>272</v>
      </c>
      <c r="C4610" s="35" t="s">
        <v>274</v>
      </c>
      <c r="D4610" t="s">
        <v>502</v>
      </c>
      <c r="E4610" t="s">
        <v>520</v>
      </c>
      <c r="F4610" s="188" t="n">
        <v>2036</v>
      </c>
      <c r="G4610" s="189" t="n">
        <v>38</v>
      </c>
      <c r="H4610" s="190" t="n">
        <v>2239.75823134651</v>
      </c>
      <c r="I4610" s="191" t="n">
        <v>4366676.31814455</v>
      </c>
      <c r="J4610" s="192" t="str">
        <f>IF(I4610&gt;0,H4610/I4610,0)</f>
      </c>
      <c r="K4610" s="193" t="str">
        <f>1-EXP(-J4610)</f>
      </c>
      <c r="L4610" s="194" t="str">
        <f>IF(G4610=30,1,M4609)</f>
      </c>
      <c r="M4610" s="195" t="str">
        <f>L4610*(1-K4610)</f>
      </c>
    </row>
    <row r="4611">
      <c r="A4611" t="s">
        <v>167</v>
      </c>
      <c r="B4611" t="s">
        <v>272</v>
      </c>
      <c r="C4611" s="35" t="s">
        <v>274</v>
      </c>
      <c r="D4611" t="s">
        <v>502</v>
      </c>
      <c r="E4611" t="s">
        <v>520</v>
      </c>
      <c r="F4611" s="188" t="n">
        <v>2036</v>
      </c>
      <c r="G4611" s="189" t="n">
        <v>39</v>
      </c>
      <c r="H4611" s="190" t="n">
        <v>2705.70533208564</v>
      </c>
      <c r="I4611" s="191" t="n">
        <v>4502221.34266394</v>
      </c>
      <c r="J4611" s="192" t="str">
        <f>IF(I4611&gt;0,H4611/I4611,0)</f>
      </c>
      <c r="K4611" s="193" t="str">
        <f>1-EXP(-J4611)</f>
      </c>
      <c r="L4611" s="194" t="str">
        <f>IF(G4611=30,1,M4610)</f>
      </c>
      <c r="M4611" s="195" t="str">
        <f>L4611*(1-K4611)</f>
      </c>
    </row>
    <row r="4612">
      <c r="A4612" t="s">
        <v>167</v>
      </c>
      <c r="B4612" t="s">
        <v>272</v>
      </c>
      <c r="C4612" s="35" t="s">
        <v>274</v>
      </c>
      <c r="D4612" t="s">
        <v>502</v>
      </c>
      <c r="E4612" t="s">
        <v>520</v>
      </c>
      <c r="F4612" s="188" t="n">
        <v>2036</v>
      </c>
      <c r="G4612" s="189" t="n">
        <v>40</v>
      </c>
      <c r="H4612" s="190" t="n">
        <v>3587.76450751756</v>
      </c>
      <c r="I4612" s="191" t="n">
        <v>4456774.60163548</v>
      </c>
      <c r="J4612" s="192" t="str">
        <f>IF(I4612&gt;0,H4612/I4612,0)</f>
      </c>
      <c r="K4612" s="193" t="str">
        <f>1-EXP(-J4612)</f>
      </c>
      <c r="L4612" s="194" t="str">
        <f>IF(G4612=30,1,M4611)</f>
      </c>
      <c r="M4612" s="195" t="str">
        <f>L4612*(1-K4612)</f>
      </c>
    </row>
    <row r="4613">
      <c r="A4613" t="s">
        <v>167</v>
      </c>
      <c r="B4613" t="s">
        <v>272</v>
      </c>
      <c r="C4613" s="35" t="s">
        <v>274</v>
      </c>
      <c r="D4613" t="s">
        <v>502</v>
      </c>
      <c r="E4613" t="s">
        <v>520</v>
      </c>
      <c r="F4613" s="188" t="n">
        <v>2036</v>
      </c>
      <c r="G4613" s="189" t="n">
        <v>41</v>
      </c>
      <c r="H4613" s="190" t="n">
        <v>3803.30796016579</v>
      </c>
      <c r="I4613" s="191" t="n">
        <v>4380365.9148938</v>
      </c>
      <c r="J4613" s="192" t="str">
        <f>IF(I4613&gt;0,H4613/I4613,0)</f>
      </c>
      <c r="K4613" s="193" t="str">
        <f>1-EXP(-J4613)</f>
      </c>
      <c r="L4613" s="194" t="str">
        <f>IF(G4613=30,1,M4612)</f>
      </c>
      <c r="M4613" s="195" t="str">
        <f>L4613*(1-K4613)</f>
      </c>
    </row>
    <row r="4614">
      <c r="A4614" t="s">
        <v>167</v>
      </c>
      <c r="B4614" t="s">
        <v>272</v>
      </c>
      <c r="C4614" s="35" t="s">
        <v>274</v>
      </c>
      <c r="D4614" t="s">
        <v>502</v>
      </c>
      <c r="E4614" t="s">
        <v>520</v>
      </c>
      <c r="F4614" s="188" t="n">
        <v>2036</v>
      </c>
      <c r="G4614" s="189" t="n">
        <v>42</v>
      </c>
      <c r="H4614" s="190" t="n">
        <v>4066.80419506886</v>
      </c>
      <c r="I4614" s="191" t="n">
        <v>4319993.55468209</v>
      </c>
      <c r="J4614" s="192" t="str">
        <f>IF(I4614&gt;0,H4614/I4614,0)</f>
      </c>
      <c r="K4614" s="193" t="str">
        <f>1-EXP(-J4614)</f>
      </c>
      <c r="L4614" s="194" t="str">
        <f>IF(G4614=30,1,M4613)</f>
      </c>
      <c r="M4614" s="195" t="str">
        <f>L4614*(1-K4614)</f>
      </c>
    </row>
    <row r="4615">
      <c r="A4615" t="s">
        <v>167</v>
      </c>
      <c r="B4615" t="s">
        <v>272</v>
      </c>
      <c r="C4615" s="35" t="s">
        <v>274</v>
      </c>
      <c r="D4615" t="s">
        <v>502</v>
      </c>
      <c r="E4615" t="s">
        <v>520</v>
      </c>
      <c r="F4615" s="188" t="n">
        <v>2036</v>
      </c>
      <c r="G4615" s="189" t="n">
        <v>43</v>
      </c>
      <c r="H4615" s="190" t="n">
        <v>4363.63784767761</v>
      </c>
      <c r="I4615" s="191" t="n">
        <v>4262842.48370053</v>
      </c>
      <c r="J4615" s="192" t="str">
        <f>IF(I4615&gt;0,H4615/I4615,0)</f>
      </c>
      <c r="K4615" s="193" t="str">
        <f>1-EXP(-J4615)</f>
      </c>
      <c r="L4615" s="194" t="str">
        <f>IF(G4615=30,1,M4614)</f>
      </c>
      <c r="M4615" s="195" t="str">
        <f>L4615*(1-K4615)</f>
      </c>
    </row>
    <row r="4616">
      <c r="A4616" t="s">
        <v>167</v>
      </c>
      <c r="B4616" t="s">
        <v>272</v>
      </c>
      <c r="C4616" s="35" t="s">
        <v>274</v>
      </c>
      <c r="D4616" t="s">
        <v>502</v>
      </c>
      <c r="E4616" t="s">
        <v>520</v>
      </c>
      <c r="F4616" s="188" t="n">
        <v>2036</v>
      </c>
      <c r="G4616" s="189" t="n">
        <v>44</v>
      </c>
      <c r="H4616" s="190" t="n">
        <v>4789.71462358279</v>
      </c>
      <c r="I4616" s="191" t="n">
        <v>4295416.16435869</v>
      </c>
      <c r="J4616" s="192" t="str">
        <f>IF(I4616&gt;0,H4616/I4616,0)</f>
      </c>
      <c r="K4616" s="193" t="str">
        <f>1-EXP(-J4616)</f>
      </c>
      <c r="L4616" s="194" t="str">
        <f>IF(G4616=30,1,M4615)</f>
      </c>
      <c r="M4616" s="195" t="str">
        <f>L4616*(1-K4616)</f>
      </c>
    </row>
    <row r="4617">
      <c r="A4617" t="s">
        <v>167</v>
      </c>
      <c r="B4617" t="s">
        <v>272</v>
      </c>
      <c r="C4617" s="35" t="s">
        <v>274</v>
      </c>
      <c r="D4617" t="s">
        <v>502</v>
      </c>
      <c r="E4617" t="s">
        <v>520</v>
      </c>
      <c r="F4617" s="188" t="n">
        <v>2036</v>
      </c>
      <c r="G4617" s="189" t="n">
        <v>45</v>
      </c>
      <c r="H4617" s="190" t="n">
        <v>6185.63130552928</v>
      </c>
      <c r="I4617" s="191" t="n">
        <v>4307922.46727427</v>
      </c>
      <c r="J4617" s="192" t="str">
        <f>IF(I4617&gt;0,H4617/I4617,0)</f>
      </c>
      <c r="K4617" s="193" t="str">
        <f>1-EXP(-J4617)</f>
      </c>
      <c r="L4617" s="194" t="str">
        <f>IF(G4617=30,1,M4616)</f>
      </c>
      <c r="M4617" s="195" t="str">
        <f>L4617*(1-K4617)</f>
      </c>
    </row>
    <row r="4618">
      <c r="A4618" t="s">
        <v>167</v>
      </c>
      <c r="B4618" t="s">
        <v>272</v>
      </c>
      <c r="C4618" s="35" t="s">
        <v>274</v>
      </c>
      <c r="D4618" t="s">
        <v>502</v>
      </c>
      <c r="E4618" t="s">
        <v>520</v>
      </c>
      <c r="F4618" s="188" t="n">
        <v>2036</v>
      </c>
      <c r="G4618" s="189" t="n">
        <v>46</v>
      </c>
      <c r="H4618" s="190" t="n">
        <v>9217.3313375727</v>
      </c>
      <c r="I4618" s="191" t="n">
        <v>6338480.86068694</v>
      </c>
      <c r="J4618" s="192" t="str">
        <f>IF(I4618&gt;0,H4618/I4618,0)</f>
      </c>
      <c r="K4618" s="193" t="str">
        <f>1-EXP(-J4618)</f>
      </c>
      <c r="L4618" s="194" t="str">
        <f>IF(G4618=30,1,M4617)</f>
      </c>
      <c r="M4618" s="195" t="str">
        <f>L4618*(1-K4618)</f>
      </c>
    </row>
    <row r="4619">
      <c r="A4619" t="s">
        <v>167</v>
      </c>
      <c r="B4619" t="s">
        <v>272</v>
      </c>
      <c r="C4619" s="35" t="s">
        <v>274</v>
      </c>
      <c r="D4619" t="s">
        <v>502</v>
      </c>
      <c r="E4619" t="s">
        <v>520</v>
      </c>
      <c r="F4619" s="188" t="n">
        <v>2036</v>
      </c>
      <c r="G4619" s="189" t="n">
        <v>47</v>
      </c>
      <c r="H4619" s="190" t="n">
        <v>7311.7261187766</v>
      </c>
      <c r="I4619" s="191" t="n">
        <v>4253764.25715202</v>
      </c>
      <c r="J4619" s="192" t="str">
        <f>IF(I4619&gt;0,H4619/I4619,0)</f>
      </c>
      <c r="K4619" s="193" t="str">
        <f>1-EXP(-J4619)</f>
      </c>
      <c r="L4619" s="194" t="str">
        <f>IF(G4619=30,1,M4618)</f>
      </c>
      <c r="M4619" s="195" t="str">
        <f>L4619*(1-K4619)</f>
      </c>
    </row>
    <row r="4620">
      <c r="A4620" t="s">
        <v>167</v>
      </c>
      <c r="B4620" t="s">
        <v>272</v>
      </c>
      <c r="C4620" s="35" t="s">
        <v>274</v>
      </c>
      <c r="D4620" t="s">
        <v>502</v>
      </c>
      <c r="E4620" t="s">
        <v>520</v>
      </c>
      <c r="F4620" s="188" t="n">
        <v>2036</v>
      </c>
      <c r="G4620" s="189" t="n">
        <v>48</v>
      </c>
      <c r="H4620" s="190" t="n">
        <v>7972.71404073553</v>
      </c>
      <c r="I4620" s="191" t="n">
        <v>4230017.9351668</v>
      </c>
      <c r="J4620" s="192" t="str">
        <f>IF(I4620&gt;0,H4620/I4620,0)</f>
      </c>
      <c r="K4620" s="193" t="str">
        <f>1-EXP(-J4620)</f>
      </c>
      <c r="L4620" s="194" t="str">
        <f>IF(G4620=30,1,M4619)</f>
      </c>
      <c r="M4620" s="195" t="str">
        <f>L4620*(1-K4620)</f>
      </c>
    </row>
    <row r="4621">
      <c r="A4621" t="s">
        <v>167</v>
      </c>
      <c r="B4621" t="s">
        <v>272</v>
      </c>
      <c r="C4621" s="35" t="s">
        <v>274</v>
      </c>
      <c r="D4621" t="s">
        <v>502</v>
      </c>
      <c r="E4621" t="s">
        <v>520</v>
      </c>
      <c r="F4621" s="188" t="n">
        <v>2036</v>
      </c>
      <c r="G4621" s="189" t="n">
        <v>49</v>
      </c>
      <c r="H4621" s="190" t="n">
        <v>8459.98352443108</v>
      </c>
      <c r="I4621" s="191" t="n">
        <v>4092486.94735706</v>
      </c>
      <c r="J4621" s="192" t="str">
        <f>IF(I4621&gt;0,H4621/I4621,0)</f>
      </c>
      <c r="K4621" s="193" t="str">
        <f>1-EXP(-J4621)</f>
      </c>
      <c r="L4621" s="194" t="str">
        <f>IF(G4621=30,1,M4620)</f>
      </c>
      <c r="M4621" s="195" t="str">
        <f>L4621*(1-K4621)</f>
      </c>
    </row>
    <row r="4622">
      <c r="A4622" t="s">
        <v>167</v>
      </c>
      <c r="B4622" t="s">
        <v>272</v>
      </c>
      <c r="C4622" s="35" t="s">
        <v>274</v>
      </c>
      <c r="D4622" t="s">
        <v>502</v>
      </c>
      <c r="E4622" t="s">
        <v>520</v>
      </c>
      <c r="F4622" s="188" t="n">
        <v>2036</v>
      </c>
      <c r="G4622" s="189" t="n">
        <v>50</v>
      </c>
      <c r="H4622" s="190" t="n">
        <v>9675.32838307007</v>
      </c>
      <c r="I4622" s="191" t="n">
        <v>4049895.80565752</v>
      </c>
      <c r="J4622" s="192" t="str">
        <f>IF(I4622&gt;0,H4622/I4622,0)</f>
      </c>
      <c r="K4622" s="193" t="str">
        <f>1-EXP(-J4622)</f>
      </c>
      <c r="L4622" s="194" t="str">
        <f>IF(G4622=30,1,M4621)</f>
      </c>
      <c r="M4622" s="195" t="str">
        <f>L4622*(1-K4622)</f>
      </c>
    </row>
    <row r="4623">
      <c r="A4623" t="s">
        <v>167</v>
      </c>
      <c r="B4623" t="s">
        <v>272</v>
      </c>
      <c r="C4623" s="35" t="s">
        <v>274</v>
      </c>
      <c r="D4623" t="s">
        <v>502</v>
      </c>
      <c r="E4623" t="s">
        <v>520</v>
      </c>
      <c r="F4623" s="188" t="n">
        <v>2036</v>
      </c>
      <c r="G4623" s="189" t="n">
        <v>51</v>
      </c>
      <c r="H4623" s="190" t="n">
        <v>10717.0809289753</v>
      </c>
      <c r="I4623" s="191" t="n">
        <v>4096787.69719283</v>
      </c>
      <c r="J4623" s="192" t="str">
        <f>IF(I4623&gt;0,H4623/I4623,0)</f>
      </c>
      <c r="K4623" s="193" t="str">
        <f>1-EXP(-J4623)</f>
      </c>
      <c r="L4623" s="194" t="str">
        <f>IF(G4623=30,1,M4622)</f>
      </c>
      <c r="M4623" s="195" t="str">
        <f>L4623*(1-K4623)</f>
      </c>
    </row>
    <row r="4624">
      <c r="A4624" t="s">
        <v>167</v>
      </c>
      <c r="B4624" t="s">
        <v>272</v>
      </c>
      <c r="C4624" s="35" t="s">
        <v>274</v>
      </c>
      <c r="D4624" t="s">
        <v>502</v>
      </c>
      <c r="E4624" t="s">
        <v>520</v>
      </c>
      <c r="F4624" s="188" t="n">
        <v>2036</v>
      </c>
      <c r="G4624" s="189" t="n">
        <v>52</v>
      </c>
      <c r="H4624" s="190" t="n">
        <v>11918.0199873906</v>
      </c>
      <c r="I4624" s="191" t="n">
        <v>4167446.12764764</v>
      </c>
      <c r="J4624" s="192" t="str">
        <f>IF(I4624&gt;0,H4624/I4624,0)</f>
      </c>
      <c r="K4624" s="193" t="str">
        <f>1-EXP(-J4624)</f>
      </c>
      <c r="L4624" s="194" t="str">
        <f>IF(G4624=30,1,M4623)</f>
      </c>
      <c r="M4624" s="195" t="str">
        <f>L4624*(1-K4624)</f>
      </c>
    </row>
    <row r="4625">
      <c r="A4625" t="s">
        <v>167</v>
      </c>
      <c r="B4625" t="s">
        <v>272</v>
      </c>
      <c r="C4625" s="35" t="s">
        <v>274</v>
      </c>
      <c r="D4625" t="s">
        <v>502</v>
      </c>
      <c r="E4625" t="s">
        <v>520</v>
      </c>
      <c r="F4625" s="188" t="n">
        <v>2036</v>
      </c>
      <c r="G4625" s="189" t="n">
        <v>53</v>
      </c>
      <c r="H4625" s="190" t="n">
        <v>12904.6298082394</v>
      </c>
      <c r="I4625" s="191" t="n">
        <v>4131298.74603979</v>
      </c>
      <c r="J4625" s="192" t="str">
        <f>IF(I4625&gt;0,H4625/I4625,0)</f>
      </c>
      <c r="K4625" s="193" t="str">
        <f>1-EXP(-J4625)</f>
      </c>
      <c r="L4625" s="194" t="str">
        <f>IF(G4625=30,1,M4624)</f>
      </c>
      <c r="M4625" s="195" t="str">
        <f>L4625*(1-K4625)</f>
      </c>
    </row>
    <row r="4626">
      <c r="A4626" t="s">
        <v>167</v>
      </c>
      <c r="B4626" t="s">
        <v>272</v>
      </c>
      <c r="C4626" s="35" t="s">
        <v>274</v>
      </c>
      <c r="D4626" t="s">
        <v>502</v>
      </c>
      <c r="E4626" t="s">
        <v>520</v>
      </c>
      <c r="F4626" s="188" t="n">
        <v>2036</v>
      </c>
      <c r="G4626" s="189" t="n">
        <v>54</v>
      </c>
      <c r="H4626" s="190" t="n">
        <v>13604.2442585158</v>
      </c>
      <c r="I4626" s="191" t="n">
        <v>3985822.54577039</v>
      </c>
      <c r="J4626" s="192" t="str">
        <f>IF(I4626&gt;0,H4626/I4626,0)</f>
      </c>
      <c r="K4626" s="193" t="str">
        <f>1-EXP(-J4626)</f>
      </c>
      <c r="L4626" s="194" t="str">
        <f>IF(G4626=30,1,M4625)</f>
      </c>
      <c r="M4626" s="195" t="str">
        <f>L4626*(1-K4626)</f>
      </c>
    </row>
    <row r="4627">
      <c r="A4627" t="s">
        <v>167</v>
      </c>
      <c r="B4627" t="s">
        <v>272</v>
      </c>
      <c r="C4627" s="35" t="s">
        <v>274</v>
      </c>
      <c r="D4627" t="s">
        <v>502</v>
      </c>
      <c r="E4627" t="s">
        <v>520</v>
      </c>
      <c r="F4627" s="188" t="n">
        <v>2036</v>
      </c>
      <c r="G4627" s="189" t="n">
        <v>55</v>
      </c>
      <c r="H4627" s="190" t="n">
        <v>14514.4935873824</v>
      </c>
      <c r="I4627" s="191" t="n">
        <v>3900041.23935082</v>
      </c>
      <c r="J4627" s="192" t="str">
        <f>IF(I4627&gt;0,H4627/I4627,0)</f>
      </c>
      <c r="K4627" s="193" t="str">
        <f>1-EXP(-J4627)</f>
      </c>
      <c r="L4627" s="194" t="str">
        <f>IF(G4627=30,1,M4626)</f>
      </c>
      <c r="M4627" s="195" t="str">
        <f>L4627*(1-K4627)</f>
      </c>
    </row>
    <row r="4628">
      <c r="A4628" t="s">
        <v>167</v>
      </c>
      <c r="B4628" t="s">
        <v>272</v>
      </c>
      <c r="C4628" s="35" t="s">
        <v>274</v>
      </c>
      <c r="D4628" t="s">
        <v>502</v>
      </c>
      <c r="E4628" t="s">
        <v>520</v>
      </c>
      <c r="F4628" s="188" t="n">
        <v>2036</v>
      </c>
      <c r="G4628" s="189" t="n">
        <v>56</v>
      </c>
      <c r="H4628" s="190" t="n">
        <v>15525.9052002537</v>
      </c>
      <c r="I4628" s="191" t="n">
        <v>3828397.72156305</v>
      </c>
      <c r="J4628" s="192" t="str">
        <f>IF(I4628&gt;0,H4628/I4628,0)</f>
      </c>
      <c r="K4628" s="193" t="str">
        <f>1-EXP(-J4628)</f>
      </c>
      <c r="L4628" s="194" t="str">
        <f>IF(G4628=30,1,M4627)</f>
      </c>
      <c r="M4628" s="195" t="str">
        <f>L4628*(1-K4628)</f>
      </c>
    </row>
    <row r="4629">
      <c r="A4629" t="s">
        <v>167</v>
      </c>
      <c r="B4629" t="s">
        <v>272</v>
      </c>
      <c r="C4629" s="35" t="s">
        <v>274</v>
      </c>
      <c r="D4629" t="s">
        <v>502</v>
      </c>
      <c r="E4629" t="s">
        <v>520</v>
      </c>
      <c r="F4629" s="188" t="n">
        <v>2036</v>
      </c>
      <c r="G4629" s="189" t="n">
        <v>57</v>
      </c>
      <c r="H4629" s="190" t="n">
        <v>16616.9429071877</v>
      </c>
      <c r="I4629" s="191" t="n">
        <v>3751000.32908802</v>
      </c>
      <c r="J4629" s="192" t="str">
        <f>IF(I4629&gt;0,H4629/I4629,0)</f>
      </c>
      <c r="K4629" s="193" t="str">
        <f>1-EXP(-J4629)</f>
      </c>
      <c r="L4629" s="194" t="str">
        <f>IF(G4629=30,1,M4628)</f>
      </c>
      <c r="M4629" s="195" t="str">
        <f>L4629*(1-K4629)</f>
      </c>
    </row>
    <row r="4630">
      <c r="A4630" t="s">
        <v>167</v>
      </c>
      <c r="B4630" t="s">
        <v>272</v>
      </c>
      <c r="C4630" s="35" t="s">
        <v>274</v>
      </c>
      <c r="D4630" t="s">
        <v>502</v>
      </c>
      <c r="E4630" t="s">
        <v>520</v>
      </c>
      <c r="F4630" s="188" t="n">
        <v>2036</v>
      </c>
      <c r="G4630" s="189" t="n">
        <v>58</v>
      </c>
      <c r="H4630" s="190" t="n">
        <v>17699.8058808098</v>
      </c>
      <c r="I4630" s="191" t="n">
        <v>3654315.11615511</v>
      </c>
      <c r="J4630" s="192" t="str">
        <f>IF(I4630&gt;0,H4630/I4630,0)</f>
      </c>
      <c r="K4630" s="193" t="str">
        <f>1-EXP(-J4630)</f>
      </c>
      <c r="L4630" s="194" t="str">
        <f>IF(G4630=30,1,M4629)</f>
      </c>
      <c r="M4630" s="195" t="str">
        <f>L4630*(1-K4630)</f>
      </c>
    </row>
    <row r="4631">
      <c r="A4631" t="s">
        <v>167</v>
      </c>
      <c r="B4631" t="s">
        <v>272</v>
      </c>
      <c r="C4631" s="35" t="s">
        <v>274</v>
      </c>
      <c r="D4631" t="s">
        <v>502</v>
      </c>
      <c r="E4631" t="s">
        <v>520</v>
      </c>
      <c r="F4631" s="188" t="n">
        <v>2036</v>
      </c>
      <c r="G4631" s="189" t="n">
        <v>59</v>
      </c>
      <c r="H4631" s="190" t="n">
        <v>18958.8528627533</v>
      </c>
      <c r="I4631" s="191" t="n">
        <v>3572710.1214399</v>
      </c>
      <c r="J4631" s="192" t="str">
        <f>IF(I4631&gt;0,H4631/I4631,0)</f>
      </c>
      <c r="K4631" s="193" t="str">
        <f>1-EXP(-J4631)</f>
      </c>
      <c r="L4631" s="194" t="str">
        <f>IF(G4631=30,1,M4630)</f>
      </c>
      <c r="M4631" s="195" t="str">
        <f>L4631*(1-K4631)</f>
      </c>
    </row>
    <row r="4632">
      <c r="A4632" t="s">
        <v>167</v>
      </c>
      <c r="B4632" t="s">
        <v>272</v>
      </c>
      <c r="C4632" s="35" t="s">
        <v>274</v>
      </c>
      <c r="D4632" t="s">
        <v>502</v>
      </c>
      <c r="E4632" t="s">
        <v>520</v>
      </c>
      <c r="F4632" s="188" t="n">
        <v>2036</v>
      </c>
      <c r="G4632" s="189" t="n">
        <v>60</v>
      </c>
      <c r="H4632" s="190" t="n">
        <v>20309.7408700963</v>
      </c>
      <c r="I4632" s="191" t="n">
        <v>3479190.88182952</v>
      </c>
      <c r="J4632" s="192" t="str">
        <f>IF(I4632&gt;0,H4632/I4632,0)</f>
      </c>
      <c r="K4632" s="193" t="str">
        <f>1-EXP(-J4632)</f>
      </c>
      <c r="L4632" s="194" t="str">
        <f>IF(G4632=30,1,M4631)</f>
      </c>
      <c r="M4632" s="195" t="str">
        <f>L4632*(1-K4632)</f>
      </c>
    </row>
    <row r="4633">
      <c r="A4633" t="s">
        <v>167</v>
      </c>
      <c r="B4633" t="s">
        <v>272</v>
      </c>
      <c r="C4633" s="35" t="s">
        <v>274</v>
      </c>
      <c r="D4633" t="s">
        <v>502</v>
      </c>
      <c r="E4633" t="s">
        <v>520</v>
      </c>
      <c r="F4633" s="188" t="n">
        <v>2036</v>
      </c>
      <c r="G4633" s="189" t="n">
        <v>61</v>
      </c>
      <c r="H4633" s="190" t="n">
        <v>21687.9706721303</v>
      </c>
      <c r="I4633" s="191" t="n">
        <v>3383604.21844273</v>
      </c>
      <c r="J4633" s="192" t="str">
        <f>IF(I4633&gt;0,H4633/I4633,0)</f>
      </c>
      <c r="K4633" s="193" t="str">
        <f>1-EXP(-J4633)</f>
      </c>
      <c r="L4633" s="194" t="str">
        <f>IF(G4633=30,1,M4632)</f>
      </c>
      <c r="M4633" s="195" t="str">
        <f>L4633*(1-K4633)</f>
      </c>
    </row>
    <row r="4634">
      <c r="A4634" t="s">
        <v>167</v>
      </c>
      <c r="B4634" t="s">
        <v>272</v>
      </c>
      <c r="C4634" s="35" t="s">
        <v>274</v>
      </c>
      <c r="D4634" t="s">
        <v>502</v>
      </c>
      <c r="E4634" t="s">
        <v>520</v>
      </c>
      <c r="F4634" s="188" t="n">
        <v>2036</v>
      </c>
      <c r="G4634" s="189" t="n">
        <v>62</v>
      </c>
      <c r="H4634" s="190" t="n">
        <v>22900.3180607522</v>
      </c>
      <c r="I4634" s="191" t="n">
        <v>3261914.96600459</v>
      </c>
      <c r="J4634" s="192" t="str">
        <f>IF(I4634&gt;0,H4634/I4634,0)</f>
      </c>
      <c r="K4634" s="193" t="str">
        <f>1-EXP(-J4634)</f>
      </c>
      <c r="L4634" s="194" t="str">
        <f>IF(G4634=30,1,M4633)</f>
      </c>
      <c r="M4634" s="195" t="str">
        <f>L4634*(1-K4634)</f>
      </c>
    </row>
    <row r="4635">
      <c r="A4635" t="s">
        <v>167</v>
      </c>
      <c r="B4635" t="s">
        <v>272</v>
      </c>
      <c r="C4635" s="35" t="s">
        <v>274</v>
      </c>
      <c r="D4635" t="s">
        <v>502</v>
      </c>
      <c r="E4635" t="s">
        <v>520</v>
      </c>
      <c r="F4635" s="188" t="n">
        <v>2036</v>
      </c>
      <c r="G4635" s="189" t="n">
        <v>63</v>
      </c>
      <c r="H4635" s="190" t="n">
        <v>24570.3433207831</v>
      </c>
      <c r="I4635" s="191" t="n">
        <v>3194426.66034035</v>
      </c>
      <c r="J4635" s="192" t="str">
        <f>IF(I4635&gt;0,H4635/I4635,0)</f>
      </c>
      <c r="K4635" s="193" t="str">
        <f>1-EXP(-J4635)</f>
      </c>
      <c r="L4635" s="194" t="str">
        <f>IF(G4635=30,1,M4634)</f>
      </c>
      <c r="M4635" s="195" t="str">
        <f>L4635*(1-K4635)</f>
      </c>
    </row>
    <row r="4636">
      <c r="A4636" t="s">
        <v>167</v>
      </c>
      <c r="B4636" t="s">
        <v>272</v>
      </c>
      <c r="C4636" s="35" t="s">
        <v>274</v>
      </c>
      <c r="D4636" t="s">
        <v>502</v>
      </c>
      <c r="E4636" t="s">
        <v>520</v>
      </c>
      <c r="F4636" s="188" t="n">
        <v>2036</v>
      </c>
      <c r="G4636" s="189" t="n">
        <v>64</v>
      </c>
      <c r="H4636" s="190" t="n">
        <v>25123.6703629876</v>
      </c>
      <c r="I4636" s="191" t="n">
        <v>2976877.08075568</v>
      </c>
      <c r="J4636" s="192" t="str">
        <f>IF(I4636&gt;0,H4636/I4636,0)</f>
      </c>
      <c r="K4636" s="193" t="str">
        <f>1-EXP(-J4636)</f>
      </c>
      <c r="L4636" s="194" t="str">
        <f>IF(G4636=30,1,M4635)</f>
      </c>
      <c r="M4636" s="195" t="str">
        <f>L4636*(1-K4636)</f>
      </c>
    </row>
    <row r="4637">
      <c r="A4637" t="s">
        <v>167</v>
      </c>
      <c r="B4637" t="s">
        <v>272</v>
      </c>
      <c r="C4637" s="35" t="s">
        <v>274</v>
      </c>
      <c r="D4637" t="s">
        <v>502</v>
      </c>
      <c r="E4637" t="s">
        <v>520</v>
      </c>
      <c r="F4637" s="188" t="n">
        <v>2036</v>
      </c>
      <c r="G4637" s="189" t="n">
        <v>65</v>
      </c>
      <c r="H4637" s="190" t="n">
        <v>25573.9431395004</v>
      </c>
      <c r="I4637" s="191" t="n">
        <v>2869533.42300429</v>
      </c>
      <c r="J4637" s="192" t="str">
        <f>IF(I4637&gt;0,H4637/I4637,0)</f>
      </c>
      <c r="K4637" s="193" t="str">
        <f>1-EXP(-J4637)</f>
      </c>
      <c r="L4637" s="194" t="str">
        <f>IF(G4637=30,1,M4636)</f>
      </c>
      <c r="M4637" s="195" t="str">
        <f>L4637*(1-K4637)</f>
      </c>
    </row>
    <row r="4638">
      <c r="A4638" t="s">
        <v>167</v>
      </c>
      <c r="B4638" t="s">
        <v>272</v>
      </c>
      <c r="C4638" s="35" t="s">
        <v>274</v>
      </c>
      <c r="D4638" t="s">
        <v>502</v>
      </c>
      <c r="E4638" t="s">
        <v>520</v>
      </c>
      <c r="F4638" s="188" t="n">
        <v>2036</v>
      </c>
      <c r="G4638" s="189" t="n">
        <v>66</v>
      </c>
      <c r="H4638" s="190" t="n">
        <v>27022.3731339889</v>
      </c>
      <c r="I4638" s="191" t="n">
        <v>2765578.41195528</v>
      </c>
      <c r="J4638" s="192" t="str">
        <f>IF(I4638&gt;0,H4638/I4638,0)</f>
      </c>
      <c r="K4638" s="193" t="str">
        <f>1-EXP(-J4638)</f>
      </c>
      <c r="L4638" s="194" t="str">
        <f>IF(G4638=30,1,M4637)</f>
      </c>
      <c r="M4638" s="195" t="str">
        <f>L4638*(1-K4638)</f>
      </c>
    </row>
    <row r="4639">
      <c r="A4639" t="s">
        <v>167</v>
      </c>
      <c r="B4639" t="s">
        <v>272</v>
      </c>
      <c r="C4639" s="35" t="s">
        <v>274</v>
      </c>
      <c r="D4639" t="s">
        <v>502</v>
      </c>
      <c r="E4639" t="s">
        <v>520</v>
      </c>
      <c r="F4639" s="188" t="n">
        <v>2036</v>
      </c>
      <c r="G4639" s="189" t="n">
        <v>67</v>
      </c>
      <c r="H4639" s="190" t="n">
        <v>28438.9639267455</v>
      </c>
      <c r="I4639" s="191" t="n">
        <v>2652177.92488224</v>
      </c>
      <c r="J4639" s="192" t="str">
        <f>IF(I4639&gt;0,H4639/I4639,0)</f>
      </c>
      <c r="K4639" s="193" t="str">
        <f>1-EXP(-J4639)</f>
      </c>
      <c r="L4639" s="194" t="str">
        <f>IF(G4639=30,1,M4638)</f>
      </c>
      <c r="M4639" s="195" t="str">
        <f>L4639*(1-K4639)</f>
      </c>
    </row>
    <row r="4640">
      <c r="A4640" t="s">
        <v>167</v>
      </c>
      <c r="B4640" t="s">
        <v>272</v>
      </c>
      <c r="C4640" s="35" t="s">
        <v>274</v>
      </c>
      <c r="D4640" t="s">
        <v>502</v>
      </c>
      <c r="E4640" t="s">
        <v>520</v>
      </c>
      <c r="F4640" s="188" t="n">
        <v>2036</v>
      </c>
      <c r="G4640" s="189" t="n">
        <v>68</v>
      </c>
      <c r="H4640" s="190" t="n">
        <v>29686.9009189448</v>
      </c>
      <c r="I4640" s="191" t="n">
        <v>2520981.94053812</v>
      </c>
      <c r="J4640" s="192" t="str">
        <f>IF(I4640&gt;0,H4640/I4640,0)</f>
      </c>
      <c r="K4640" s="193" t="str">
        <f>1-EXP(-J4640)</f>
      </c>
      <c r="L4640" s="194" t="str">
        <f>IF(G4640=30,1,M4639)</f>
      </c>
      <c r="M4640" s="195" t="str">
        <f>L4640*(1-K4640)</f>
      </c>
    </row>
    <row r="4641">
      <c r="A4641" t="s">
        <v>167</v>
      </c>
      <c r="B4641" t="s">
        <v>272</v>
      </c>
      <c r="C4641" s="35" t="s">
        <v>274</v>
      </c>
      <c r="D4641" t="s">
        <v>502</v>
      </c>
      <c r="E4641" t="s">
        <v>520</v>
      </c>
      <c r="F4641" s="188" t="n">
        <v>2036</v>
      </c>
      <c r="G4641" s="189" t="n">
        <v>69</v>
      </c>
      <c r="H4641" s="190" t="n">
        <v>30607.7098493019</v>
      </c>
      <c r="I4641" s="191" t="n">
        <v>2362736.06686676</v>
      </c>
      <c r="J4641" s="192" t="str">
        <f>IF(I4641&gt;0,H4641/I4641,0)</f>
      </c>
      <c r="K4641" s="193" t="str">
        <f>1-EXP(-J4641)</f>
      </c>
      <c r="L4641" s="194" t="str">
        <f>IF(G4641=30,1,M4640)</f>
      </c>
      <c r="M4641" s="195" t="str">
        <f>L4641*(1-K4641)</f>
      </c>
    </row>
    <row r="4642">
      <c r="A4642" t="s">
        <v>167</v>
      </c>
      <c r="B4642" t="s">
        <v>272</v>
      </c>
      <c r="C4642" s="35" t="s">
        <v>274</v>
      </c>
      <c r="D4642" t="s">
        <v>502</v>
      </c>
      <c r="E4642" t="s">
        <v>520</v>
      </c>
      <c r="F4642" s="188" t="n">
        <v>2037</v>
      </c>
      <c r="G4642" s="189" t="n">
        <v>30</v>
      </c>
      <c r="H4642" s="190" t="n">
        <v>822.342859201883</v>
      </c>
      <c r="I4642" s="191" t="n">
        <v>4685580.92652228</v>
      </c>
      <c r="J4642" s="192" t="str">
        <f>IF(I4642&gt;0,H4642/I4642,0)</f>
      </c>
      <c r="K4642" s="193" t="str">
        <f>1-EXP(-J4642)</f>
      </c>
      <c r="L4642" s="194" t="str">
        <f>IF(G4642=30,1,M4641)</f>
      </c>
      <c r="M4642" s="195" t="str">
        <f>L4642*(1-K4642)</f>
      </c>
    </row>
    <row r="4643">
      <c r="A4643" t="s">
        <v>167</v>
      </c>
      <c r="B4643" t="s">
        <v>272</v>
      </c>
      <c r="C4643" s="35" t="s">
        <v>274</v>
      </c>
      <c r="D4643" t="s">
        <v>502</v>
      </c>
      <c r="E4643" t="s">
        <v>520</v>
      </c>
      <c r="F4643" s="188" t="n">
        <v>2037</v>
      </c>
      <c r="G4643" s="189" t="n">
        <v>31</v>
      </c>
      <c r="H4643" s="190" t="n">
        <v>1010.81651587219</v>
      </c>
      <c r="I4643" s="191" t="n">
        <v>4602540.09042233</v>
      </c>
      <c r="J4643" s="192" t="str">
        <f>IF(I4643&gt;0,H4643/I4643,0)</f>
      </c>
      <c r="K4643" s="193" t="str">
        <f>1-EXP(-J4643)</f>
      </c>
      <c r="L4643" s="194" t="str">
        <f>IF(G4643=30,1,M4642)</f>
      </c>
      <c r="M4643" s="195" t="str">
        <f>L4643*(1-K4643)</f>
      </c>
    </row>
    <row r="4644">
      <c r="A4644" t="s">
        <v>167</v>
      </c>
      <c r="B4644" t="s">
        <v>272</v>
      </c>
      <c r="C4644" s="35" t="s">
        <v>274</v>
      </c>
      <c r="D4644" t="s">
        <v>502</v>
      </c>
      <c r="E4644" t="s">
        <v>520</v>
      </c>
      <c r="F4644" s="188" t="n">
        <v>2037</v>
      </c>
      <c r="G4644" s="189" t="n">
        <v>32</v>
      </c>
      <c r="H4644" s="190" t="n">
        <v>1050.39051434041</v>
      </c>
      <c r="I4644" s="191" t="n">
        <v>4541740.05324059</v>
      </c>
      <c r="J4644" s="192" t="str">
        <f>IF(I4644&gt;0,H4644/I4644,0)</f>
      </c>
      <c r="K4644" s="193" t="str">
        <f>1-EXP(-J4644)</f>
      </c>
      <c r="L4644" s="194" t="str">
        <f>IF(G4644=30,1,M4643)</f>
      </c>
      <c r="M4644" s="195" t="str">
        <f>L4644*(1-K4644)</f>
      </c>
    </row>
    <row r="4645">
      <c r="A4645" t="s">
        <v>167</v>
      </c>
      <c r="B4645" t="s">
        <v>272</v>
      </c>
      <c r="C4645" s="35" t="s">
        <v>274</v>
      </c>
      <c r="D4645" t="s">
        <v>502</v>
      </c>
      <c r="E4645" t="s">
        <v>520</v>
      </c>
      <c r="F4645" s="188" t="n">
        <v>2037</v>
      </c>
      <c r="G4645" s="189" t="n">
        <v>33</v>
      </c>
      <c r="H4645" s="190" t="n">
        <v>1082.01806150376</v>
      </c>
      <c r="I4645" s="191" t="n">
        <v>4413180.56801766</v>
      </c>
      <c r="J4645" s="192" t="str">
        <f>IF(I4645&gt;0,H4645/I4645,0)</f>
      </c>
      <c r="K4645" s="193" t="str">
        <f>1-EXP(-J4645)</f>
      </c>
      <c r="L4645" s="194" t="str">
        <f>IF(G4645=30,1,M4644)</f>
      </c>
      <c r="M4645" s="195" t="str">
        <f>L4645*(1-K4645)</f>
      </c>
    </row>
    <row r="4646">
      <c r="A4646" t="s">
        <v>167</v>
      </c>
      <c r="B4646" t="s">
        <v>272</v>
      </c>
      <c r="C4646" s="35" t="s">
        <v>274</v>
      </c>
      <c r="D4646" t="s">
        <v>502</v>
      </c>
      <c r="E4646" t="s">
        <v>520</v>
      </c>
      <c r="F4646" s="188" t="n">
        <v>2037</v>
      </c>
      <c r="G4646" s="189" t="n">
        <v>34</v>
      </c>
      <c r="H4646" s="190" t="n">
        <v>1137.19119535576</v>
      </c>
      <c r="I4646" s="191" t="n">
        <v>4347637.75260742</v>
      </c>
      <c r="J4646" s="192" t="str">
        <f>IF(I4646&gt;0,H4646/I4646,0)</f>
      </c>
      <c r="K4646" s="193" t="str">
        <f>1-EXP(-J4646)</f>
      </c>
      <c r="L4646" s="194" t="str">
        <f>IF(G4646=30,1,M4645)</f>
      </c>
      <c r="M4646" s="195" t="str">
        <f>L4646*(1-K4646)</f>
      </c>
    </row>
    <row r="4647">
      <c r="A4647" t="s">
        <v>167</v>
      </c>
      <c r="B4647" t="s">
        <v>272</v>
      </c>
      <c r="C4647" s="35" t="s">
        <v>274</v>
      </c>
      <c r="D4647" t="s">
        <v>502</v>
      </c>
      <c r="E4647" t="s">
        <v>520</v>
      </c>
      <c r="F4647" s="188" t="n">
        <v>2037</v>
      </c>
      <c r="G4647" s="189" t="n">
        <v>35</v>
      </c>
      <c r="H4647" s="190" t="n">
        <v>1711.73159272007</v>
      </c>
      <c r="I4647" s="191" t="n">
        <v>4325654.28361421</v>
      </c>
      <c r="J4647" s="192" t="str">
        <f>IF(I4647&gt;0,H4647/I4647,0)</f>
      </c>
      <c r="K4647" s="193" t="str">
        <f>1-EXP(-J4647)</f>
      </c>
      <c r="L4647" s="194" t="str">
        <f>IF(G4647=30,1,M4646)</f>
      </c>
      <c r="M4647" s="195" t="str">
        <f>L4647*(1-K4647)</f>
      </c>
    </row>
    <row r="4648">
      <c r="A4648" t="s">
        <v>167</v>
      </c>
      <c r="B4648" t="s">
        <v>272</v>
      </c>
      <c r="C4648" s="35" t="s">
        <v>274</v>
      </c>
      <c r="D4648" t="s">
        <v>502</v>
      </c>
      <c r="E4648" t="s">
        <v>520</v>
      </c>
      <c r="F4648" s="188" t="n">
        <v>2037</v>
      </c>
      <c r="G4648" s="189" t="n">
        <v>36</v>
      </c>
      <c r="H4648" s="190" t="n">
        <v>1900.99549151265</v>
      </c>
      <c r="I4648" s="191" t="n">
        <v>4304641.71505127</v>
      </c>
      <c r="J4648" s="192" t="str">
        <f>IF(I4648&gt;0,H4648/I4648,0)</f>
      </c>
      <c r="K4648" s="193" t="str">
        <f>1-EXP(-J4648)</f>
      </c>
      <c r="L4648" s="194" t="str">
        <f>IF(G4648=30,1,M4647)</f>
      </c>
      <c r="M4648" s="195" t="str">
        <f>L4648*(1-K4648)</f>
      </c>
    </row>
    <row r="4649">
      <c r="A4649" t="s">
        <v>167</v>
      </c>
      <c r="B4649" t="s">
        <v>272</v>
      </c>
      <c r="C4649" s="35" t="s">
        <v>274</v>
      </c>
      <c r="D4649" t="s">
        <v>502</v>
      </c>
      <c r="E4649" t="s">
        <v>520</v>
      </c>
      <c r="F4649" s="188" t="n">
        <v>2037</v>
      </c>
      <c r="G4649" s="189" t="n">
        <v>37</v>
      </c>
      <c r="H4649" s="190" t="n">
        <v>2034.25389163513</v>
      </c>
      <c r="I4649" s="191" t="n">
        <v>4283529.18960116</v>
      </c>
      <c r="J4649" s="192" t="str">
        <f>IF(I4649&gt;0,H4649/I4649,0)</f>
      </c>
      <c r="K4649" s="193" t="str">
        <f>1-EXP(-J4649)</f>
      </c>
      <c r="L4649" s="194" t="str">
        <f>IF(G4649=30,1,M4648)</f>
      </c>
      <c r="M4649" s="195" t="str">
        <f>L4649*(1-K4649)</f>
      </c>
    </row>
    <row r="4650">
      <c r="A4650" t="s">
        <v>167</v>
      </c>
      <c r="B4650" t="s">
        <v>272</v>
      </c>
      <c r="C4650" s="35" t="s">
        <v>274</v>
      </c>
      <c r="D4650" t="s">
        <v>502</v>
      </c>
      <c r="E4650" t="s">
        <v>520</v>
      </c>
      <c r="F4650" s="188" t="n">
        <v>2037</v>
      </c>
      <c r="G4650" s="189" t="n">
        <v>38</v>
      </c>
      <c r="H4650" s="190" t="n">
        <v>2202.26554444731</v>
      </c>
      <c r="I4650" s="191" t="n">
        <v>4301686.60363554</v>
      </c>
      <c r="J4650" s="192" t="str">
        <f>IF(I4650&gt;0,H4650/I4650,0)</f>
      </c>
      <c r="K4650" s="193" t="str">
        <f>1-EXP(-J4650)</f>
      </c>
      <c r="L4650" s="194" t="str">
        <f>IF(G4650=30,1,M4649)</f>
      </c>
      <c r="M4650" s="195" t="str">
        <f>L4650*(1-K4650)</f>
      </c>
    </row>
    <row r="4651">
      <c r="A4651" t="s">
        <v>167</v>
      </c>
      <c r="B4651" t="s">
        <v>272</v>
      </c>
      <c r="C4651" s="35" t="s">
        <v>274</v>
      </c>
      <c r="D4651" t="s">
        <v>502</v>
      </c>
      <c r="E4651" t="s">
        <v>520</v>
      </c>
      <c r="F4651" s="188" t="n">
        <v>2037</v>
      </c>
      <c r="G4651" s="189" t="n">
        <v>39</v>
      </c>
      <c r="H4651" s="190" t="n">
        <v>2411.10651434587</v>
      </c>
      <c r="I4651" s="191" t="n">
        <v>4358486.16663721</v>
      </c>
      <c r="J4651" s="192" t="str">
        <f>IF(I4651&gt;0,H4651/I4651,0)</f>
      </c>
      <c r="K4651" s="193" t="str">
        <f>1-EXP(-J4651)</f>
      </c>
      <c r="L4651" s="194" t="str">
        <f>IF(G4651=30,1,M4650)</f>
      </c>
      <c r="M4651" s="195" t="str">
        <f>L4651*(1-K4651)</f>
      </c>
    </row>
    <row r="4652">
      <c r="A4652" t="s">
        <v>167</v>
      </c>
      <c r="B4652" t="s">
        <v>272</v>
      </c>
      <c r="C4652" s="35" t="s">
        <v>274</v>
      </c>
      <c r="D4652" t="s">
        <v>502</v>
      </c>
      <c r="E4652" t="s">
        <v>520</v>
      </c>
      <c r="F4652" s="188" t="n">
        <v>2037</v>
      </c>
      <c r="G4652" s="189" t="n">
        <v>40</v>
      </c>
      <c r="H4652" s="190" t="n">
        <v>3609.30483946144</v>
      </c>
      <c r="I4652" s="191" t="n">
        <v>4492894.38841555</v>
      </c>
      <c r="J4652" s="192" t="str">
        <f>IF(I4652&gt;0,H4652/I4652,0)</f>
      </c>
      <c r="K4652" s="193" t="str">
        <f>1-EXP(-J4652)</f>
      </c>
      <c r="L4652" s="194" t="str">
        <f>IF(G4652=30,1,M4651)</f>
      </c>
      <c r="M4652" s="195" t="str">
        <f>L4652*(1-K4652)</f>
      </c>
    </row>
    <row r="4653">
      <c r="A4653" t="s">
        <v>167</v>
      </c>
      <c r="B4653" t="s">
        <v>272</v>
      </c>
      <c r="C4653" s="35" t="s">
        <v>274</v>
      </c>
      <c r="D4653" t="s">
        <v>502</v>
      </c>
      <c r="E4653" t="s">
        <v>520</v>
      </c>
      <c r="F4653" s="188" t="n">
        <v>2037</v>
      </c>
      <c r="G4653" s="189" t="n">
        <v>41</v>
      </c>
      <c r="H4653" s="190" t="n">
        <v>3849.07499923864</v>
      </c>
      <c r="I4653" s="191" t="n">
        <v>4446035.2372498</v>
      </c>
      <c r="J4653" s="192" t="str">
        <f>IF(I4653&gt;0,H4653/I4653,0)</f>
      </c>
      <c r="K4653" s="193" t="str">
        <f>1-EXP(-J4653)</f>
      </c>
      <c r="L4653" s="194" t="str">
        <f>IF(G4653=30,1,M4652)</f>
      </c>
      <c r="M4653" s="195" t="str">
        <f>L4653*(1-K4653)</f>
      </c>
    </row>
    <row r="4654">
      <c r="A4654" t="s">
        <v>167</v>
      </c>
      <c r="B4654" t="s">
        <v>272</v>
      </c>
      <c r="C4654" s="35" t="s">
        <v>274</v>
      </c>
      <c r="D4654" t="s">
        <v>502</v>
      </c>
      <c r="E4654" t="s">
        <v>520</v>
      </c>
      <c r="F4654" s="188" t="n">
        <v>2037</v>
      </c>
      <c r="G4654" s="189" t="n">
        <v>42</v>
      </c>
      <c r="H4654" s="190" t="n">
        <v>4100.45753051077</v>
      </c>
      <c r="I4654" s="191" t="n">
        <v>4369776.64549921</v>
      </c>
      <c r="J4654" s="192" t="str">
        <f>IF(I4654&gt;0,H4654/I4654,0)</f>
      </c>
      <c r="K4654" s="193" t="str">
        <f>1-EXP(-J4654)</f>
      </c>
      <c r="L4654" s="194" t="str">
        <f>IF(G4654=30,1,M4653)</f>
      </c>
      <c r="M4654" s="195" t="str">
        <f>L4654*(1-K4654)</f>
      </c>
    </row>
    <row r="4655">
      <c r="A4655" t="s">
        <v>167</v>
      </c>
      <c r="B4655" t="s">
        <v>272</v>
      </c>
      <c r="C4655" s="35" t="s">
        <v>274</v>
      </c>
      <c r="D4655" t="s">
        <v>502</v>
      </c>
      <c r="E4655" t="s">
        <v>520</v>
      </c>
      <c r="F4655" s="188" t="n">
        <v>2037</v>
      </c>
      <c r="G4655" s="189" t="n">
        <v>43</v>
      </c>
      <c r="H4655" s="190" t="n">
        <v>4395.03936512119</v>
      </c>
      <c r="I4655" s="191" t="n">
        <v>4308694.44144009</v>
      </c>
      <c r="J4655" s="192" t="str">
        <f>IF(I4655&gt;0,H4655/I4655,0)</f>
      </c>
      <c r="K4655" s="193" t="str">
        <f>1-EXP(-J4655)</f>
      </c>
      <c r="L4655" s="194" t="str">
        <f>IF(G4655=30,1,M4654)</f>
      </c>
      <c r="M4655" s="195" t="str">
        <f>L4655*(1-K4655)</f>
      </c>
    </row>
    <row r="4656">
      <c r="A4656" t="s">
        <v>167</v>
      </c>
      <c r="B4656" t="s">
        <v>272</v>
      </c>
      <c r="C4656" s="35" t="s">
        <v>274</v>
      </c>
      <c r="D4656" t="s">
        <v>502</v>
      </c>
      <c r="E4656" t="s">
        <v>520</v>
      </c>
      <c r="F4656" s="188" t="n">
        <v>2037</v>
      </c>
      <c r="G4656" s="189" t="n">
        <v>44</v>
      </c>
      <c r="H4656" s="190" t="n">
        <v>4726.35599012474</v>
      </c>
      <c r="I4656" s="191" t="n">
        <v>4250746.18837832</v>
      </c>
      <c r="J4656" s="192" t="str">
        <f>IF(I4656&gt;0,H4656/I4656,0)</f>
      </c>
      <c r="K4656" s="193" t="str">
        <f>1-EXP(-J4656)</f>
      </c>
      <c r="L4656" s="194" t="str">
        <f>IF(G4656=30,1,M4655)</f>
      </c>
      <c r="M4656" s="195" t="str">
        <f>L4656*(1-K4656)</f>
      </c>
    </row>
    <row r="4657">
      <c r="A4657" t="s">
        <v>167</v>
      </c>
      <c r="B4657" t="s">
        <v>272</v>
      </c>
      <c r="C4657" s="35" t="s">
        <v>274</v>
      </c>
      <c r="D4657" t="s">
        <v>502</v>
      </c>
      <c r="E4657" t="s">
        <v>520</v>
      </c>
      <c r="F4657" s="188" t="n">
        <v>2037</v>
      </c>
      <c r="G4657" s="189" t="n">
        <v>45</v>
      </c>
      <c r="H4657" s="190" t="n">
        <v>6119.76046990096</v>
      </c>
      <c r="I4657" s="191" t="n">
        <v>4282165.7669338</v>
      </c>
      <c r="J4657" s="192" t="str">
        <f>IF(I4657&gt;0,H4657/I4657,0)</f>
      </c>
      <c r="K4657" s="193" t="str">
        <f>1-EXP(-J4657)</f>
      </c>
      <c r="L4657" s="194" t="str">
        <f>IF(G4657=30,1,M4656)</f>
      </c>
      <c r="M4657" s="195" t="str">
        <f>L4657*(1-K4657)</f>
      </c>
    </row>
    <row r="4658">
      <c r="A4658" t="s">
        <v>167</v>
      </c>
      <c r="B4658" t="s">
        <v>272</v>
      </c>
      <c r="C4658" s="35" t="s">
        <v>274</v>
      </c>
      <c r="D4658" t="s">
        <v>502</v>
      </c>
      <c r="E4658" t="s">
        <v>520</v>
      </c>
      <c r="F4658" s="188" t="n">
        <v>2037</v>
      </c>
      <c r="G4658" s="189" t="n">
        <v>46</v>
      </c>
      <c r="H4658" s="190" t="n">
        <v>6698.67340463416</v>
      </c>
      <c r="I4658" s="191" t="n">
        <v>4292437.6660961</v>
      </c>
      <c r="J4658" s="192" t="str">
        <f>IF(I4658&gt;0,H4658/I4658,0)</f>
      </c>
      <c r="K4658" s="193" t="str">
        <f>1-EXP(-J4658)</f>
      </c>
      <c r="L4658" s="194" t="str">
        <f>IF(G4658=30,1,M4657)</f>
      </c>
      <c r="M4658" s="195" t="str">
        <f>L4658*(1-K4658)</f>
      </c>
    </row>
    <row r="4659">
      <c r="A4659" t="s">
        <v>167</v>
      </c>
      <c r="B4659" t="s">
        <v>272</v>
      </c>
      <c r="C4659" s="35" t="s">
        <v>274</v>
      </c>
      <c r="D4659" t="s">
        <v>502</v>
      </c>
      <c r="E4659" t="s">
        <v>520</v>
      </c>
      <c r="F4659" s="188" t="n">
        <v>2037</v>
      </c>
      <c r="G4659" s="189" t="n">
        <v>47</v>
      </c>
      <c r="H4659" s="190" t="n">
        <v>9976.03117477367</v>
      </c>
      <c r="I4659" s="191" t="n">
        <v>6316291.8401476</v>
      </c>
      <c r="J4659" s="192" t="str">
        <f>IF(I4659&gt;0,H4659/I4659,0)</f>
      </c>
      <c r="K4659" s="193" t="str">
        <f>1-EXP(-J4659)</f>
      </c>
      <c r="L4659" s="194" t="str">
        <f>IF(G4659=30,1,M4658)</f>
      </c>
      <c r="M4659" s="195" t="str">
        <f>L4659*(1-K4659)</f>
      </c>
    </row>
    <row r="4660">
      <c r="A4660" t="s">
        <v>167</v>
      </c>
      <c r="B4660" t="s">
        <v>272</v>
      </c>
      <c r="C4660" s="35" t="s">
        <v>274</v>
      </c>
      <c r="D4660" t="s">
        <v>502</v>
      </c>
      <c r="E4660" t="s">
        <v>520</v>
      </c>
      <c r="F4660" s="188" t="n">
        <v>2037</v>
      </c>
      <c r="G4660" s="189" t="n">
        <v>48</v>
      </c>
      <c r="H4660" s="190" t="n">
        <v>7942.87290460523</v>
      </c>
      <c r="I4660" s="191" t="n">
        <v>4236570.60929886</v>
      </c>
      <c r="J4660" s="192" t="str">
        <f>IF(I4660&gt;0,H4660/I4660,0)</f>
      </c>
      <c r="K4660" s="193" t="str">
        <f>1-EXP(-J4660)</f>
      </c>
      <c r="L4660" s="194" t="str">
        <f>IF(G4660=30,1,M4659)</f>
      </c>
      <c r="M4660" s="195" t="str">
        <f>L4660*(1-K4660)</f>
      </c>
    </row>
    <row r="4661">
      <c r="A4661" t="s">
        <v>167</v>
      </c>
      <c r="B4661" t="s">
        <v>272</v>
      </c>
      <c r="C4661" s="35" t="s">
        <v>274</v>
      </c>
      <c r="D4661" t="s">
        <v>502</v>
      </c>
      <c r="E4661" t="s">
        <v>520</v>
      </c>
      <c r="F4661" s="188" t="n">
        <v>2037</v>
      </c>
      <c r="G4661" s="189" t="n">
        <v>49</v>
      </c>
      <c r="H4661" s="190" t="n">
        <v>8656.90271225307</v>
      </c>
      <c r="I4661" s="191" t="n">
        <v>4211289.13328533</v>
      </c>
      <c r="J4661" s="192" t="str">
        <f>IF(I4661&gt;0,H4661/I4661,0)</f>
      </c>
      <c r="K4661" s="193" t="str">
        <f>1-EXP(-J4661)</f>
      </c>
      <c r="L4661" s="194" t="str">
        <f>IF(G4661=30,1,M4660)</f>
      </c>
      <c r="M4661" s="195" t="str">
        <f>L4661*(1-K4661)</f>
      </c>
    </row>
    <row r="4662">
      <c r="A4662" t="s">
        <v>167</v>
      </c>
      <c r="B4662" t="s">
        <v>272</v>
      </c>
      <c r="C4662" s="35" t="s">
        <v>274</v>
      </c>
      <c r="D4662" t="s">
        <v>502</v>
      </c>
      <c r="E4662" t="s">
        <v>520</v>
      </c>
      <c r="F4662" s="188" t="n">
        <v>2037</v>
      </c>
      <c r="G4662" s="189" t="n">
        <v>50</v>
      </c>
      <c r="H4662" s="190" t="n">
        <v>9667.12616369712</v>
      </c>
      <c r="I4662" s="191" t="n">
        <v>4072630.96520003</v>
      </c>
      <c r="J4662" s="192" t="str">
        <f>IF(I4662&gt;0,H4662/I4662,0)</f>
      </c>
      <c r="K4662" s="193" t="str">
        <f>1-EXP(-J4662)</f>
      </c>
      <c r="L4662" s="194" t="str">
        <f>IF(G4662=30,1,M4661)</f>
      </c>
      <c r="M4662" s="195" t="str">
        <f>L4662*(1-K4662)</f>
      </c>
    </row>
    <row r="4663">
      <c r="A4663" t="s">
        <v>167</v>
      </c>
      <c r="B4663" t="s">
        <v>272</v>
      </c>
      <c r="C4663" s="35" t="s">
        <v>274</v>
      </c>
      <c r="D4663" t="s">
        <v>502</v>
      </c>
      <c r="E4663" t="s">
        <v>520</v>
      </c>
      <c r="F4663" s="188" t="n">
        <v>2037</v>
      </c>
      <c r="G4663" s="189" t="n">
        <v>51</v>
      </c>
      <c r="H4663" s="190" t="n">
        <v>10462.0059908283</v>
      </c>
      <c r="I4663" s="191" t="n">
        <v>4027620.27970363</v>
      </c>
      <c r="J4663" s="192" t="str">
        <f>IF(I4663&gt;0,H4663/I4663,0)</f>
      </c>
      <c r="K4663" s="193" t="str">
        <f>1-EXP(-J4663)</f>
      </c>
      <c r="L4663" s="194" t="str">
        <f>IF(G4663=30,1,M4662)</f>
      </c>
      <c r="M4663" s="195" t="str">
        <f>L4663*(1-K4663)</f>
      </c>
    </row>
    <row r="4664">
      <c r="A4664" t="s">
        <v>167</v>
      </c>
      <c r="B4664" t="s">
        <v>272</v>
      </c>
      <c r="C4664" s="35" t="s">
        <v>274</v>
      </c>
      <c r="D4664" t="s">
        <v>502</v>
      </c>
      <c r="E4664" t="s">
        <v>520</v>
      </c>
      <c r="F4664" s="188" t="n">
        <v>2037</v>
      </c>
      <c r="G4664" s="189" t="n">
        <v>52</v>
      </c>
      <c r="H4664" s="190" t="n">
        <v>11567.5515566055</v>
      </c>
      <c r="I4664" s="191" t="n">
        <v>4072900.55439012</v>
      </c>
      <c r="J4664" s="192" t="str">
        <f>IF(I4664&gt;0,H4664/I4664,0)</f>
      </c>
      <c r="K4664" s="193" t="str">
        <f>1-EXP(-J4664)</f>
      </c>
      <c r="L4664" s="194" t="str">
        <f>IF(G4664=30,1,M4663)</f>
      </c>
      <c r="M4664" s="195" t="str">
        <f>L4664*(1-K4664)</f>
      </c>
    </row>
    <row r="4665">
      <c r="A4665" t="s">
        <v>167</v>
      </c>
      <c r="B4665" t="s">
        <v>272</v>
      </c>
      <c r="C4665" s="35" t="s">
        <v>274</v>
      </c>
      <c r="D4665" t="s">
        <v>502</v>
      </c>
      <c r="E4665" t="s">
        <v>520</v>
      </c>
      <c r="F4665" s="188" t="n">
        <v>2037</v>
      </c>
      <c r="G4665" s="189" t="n">
        <v>53</v>
      </c>
      <c r="H4665" s="190" t="n">
        <v>12845.1016003538</v>
      </c>
      <c r="I4665" s="191" t="n">
        <v>4140888.63517719</v>
      </c>
      <c r="J4665" s="192" t="str">
        <f>IF(I4665&gt;0,H4665/I4665,0)</f>
      </c>
      <c r="K4665" s="193" t="str">
        <f>1-EXP(-J4665)</f>
      </c>
      <c r="L4665" s="194" t="str">
        <f>IF(G4665=30,1,M4664)</f>
      </c>
      <c r="M4665" s="195" t="str">
        <f>L4665*(1-K4665)</f>
      </c>
    </row>
    <row r="4666">
      <c r="A4666" t="s">
        <v>167</v>
      </c>
      <c r="B4666" t="s">
        <v>272</v>
      </c>
      <c r="C4666" s="35" t="s">
        <v>274</v>
      </c>
      <c r="D4666" t="s">
        <v>502</v>
      </c>
      <c r="E4666" t="s">
        <v>520</v>
      </c>
      <c r="F4666" s="188" t="n">
        <v>2037</v>
      </c>
      <c r="G4666" s="189" t="n">
        <v>54</v>
      </c>
      <c r="H4666" s="190" t="n">
        <v>13889.7094198861</v>
      </c>
      <c r="I4666" s="191" t="n">
        <v>4102549.08673126</v>
      </c>
      <c r="J4666" s="192" t="str">
        <f>IF(I4666&gt;0,H4666/I4666,0)</f>
      </c>
      <c r="K4666" s="193" t="str">
        <f>1-EXP(-J4666)</f>
      </c>
      <c r="L4666" s="194" t="str">
        <f>IF(G4666=30,1,M4665)</f>
      </c>
      <c r="M4666" s="195" t="str">
        <f>L4666*(1-K4666)</f>
      </c>
    </row>
    <row r="4667">
      <c r="A4667" t="s">
        <v>167</v>
      </c>
      <c r="B4667" t="s">
        <v>272</v>
      </c>
      <c r="C4667" s="35" t="s">
        <v>274</v>
      </c>
      <c r="D4667" t="s">
        <v>502</v>
      </c>
      <c r="E4667" t="s">
        <v>520</v>
      </c>
      <c r="F4667" s="188" t="n">
        <v>2037</v>
      </c>
      <c r="G4667" s="189" t="n">
        <v>55</v>
      </c>
      <c r="H4667" s="190" t="n">
        <v>14587.2315780004</v>
      </c>
      <c r="I4667" s="191" t="n">
        <v>3955528.46031377</v>
      </c>
      <c r="J4667" s="192" t="str">
        <f>IF(I4667&gt;0,H4667/I4667,0)</f>
      </c>
      <c r="K4667" s="193" t="str">
        <f>1-EXP(-J4667)</f>
      </c>
      <c r="L4667" s="194" t="str">
        <f>IF(G4667=30,1,M4666)</f>
      </c>
      <c r="M4667" s="195" t="str">
        <f>L4667*(1-K4667)</f>
      </c>
    </row>
    <row r="4668">
      <c r="A4668" t="s">
        <v>167</v>
      </c>
      <c r="B4668" t="s">
        <v>272</v>
      </c>
      <c r="C4668" s="35" t="s">
        <v>274</v>
      </c>
      <c r="D4668" t="s">
        <v>502</v>
      </c>
      <c r="E4668" t="s">
        <v>520</v>
      </c>
      <c r="F4668" s="188" t="n">
        <v>2037</v>
      </c>
      <c r="G4668" s="189" t="n">
        <v>56</v>
      </c>
      <c r="H4668" s="190" t="n">
        <v>15536.1259999565</v>
      </c>
      <c r="I4668" s="191" t="n">
        <v>3867409.883919</v>
      </c>
      <c r="J4668" s="192" t="str">
        <f>IF(I4668&gt;0,H4668/I4668,0)</f>
      </c>
      <c r="K4668" s="193" t="str">
        <f>1-EXP(-J4668)</f>
      </c>
      <c r="L4668" s="194" t="str">
        <f>IF(G4668=30,1,M4667)</f>
      </c>
      <c r="M4668" s="195" t="str">
        <f>L4668*(1-K4668)</f>
      </c>
    </row>
    <row r="4669">
      <c r="A4669" t="s">
        <v>167</v>
      </c>
      <c r="B4669" t="s">
        <v>272</v>
      </c>
      <c r="C4669" s="35" t="s">
        <v>274</v>
      </c>
      <c r="D4669" t="s">
        <v>502</v>
      </c>
      <c r="E4669" t="s">
        <v>520</v>
      </c>
      <c r="F4669" s="188" t="n">
        <v>2037</v>
      </c>
      <c r="G4669" s="189" t="n">
        <v>57</v>
      </c>
      <c r="H4669" s="190" t="n">
        <v>16645.6014033606</v>
      </c>
      <c r="I4669" s="191" t="n">
        <v>3793761.36236633</v>
      </c>
      <c r="J4669" s="192" t="str">
        <f>IF(I4669&gt;0,H4669/I4669,0)</f>
      </c>
      <c r="K4669" s="193" t="str">
        <f>1-EXP(-J4669)</f>
      </c>
      <c r="L4669" s="194" t="str">
        <f>IF(G4669=30,1,M4668)</f>
      </c>
      <c r="M4669" s="195" t="str">
        <f>L4669*(1-K4669)</f>
      </c>
    </row>
    <row r="4670">
      <c r="A4670" t="s">
        <v>167</v>
      </c>
      <c r="B4670" t="s">
        <v>272</v>
      </c>
      <c r="C4670" s="35" t="s">
        <v>274</v>
      </c>
      <c r="D4670" t="s">
        <v>502</v>
      </c>
      <c r="E4670" t="s">
        <v>520</v>
      </c>
      <c r="F4670" s="188" t="n">
        <v>2037</v>
      </c>
      <c r="G4670" s="189" t="n">
        <v>58</v>
      </c>
      <c r="H4670" s="190" t="n">
        <v>17814.8157560305</v>
      </c>
      <c r="I4670" s="191" t="n">
        <v>3713958.22733278</v>
      </c>
      <c r="J4670" s="192" t="str">
        <f>IF(I4670&gt;0,H4670/I4670,0)</f>
      </c>
      <c r="K4670" s="193" t="str">
        <f>1-EXP(-J4670)</f>
      </c>
      <c r="L4670" s="194" t="str">
        <f>IF(G4670=30,1,M4669)</f>
      </c>
      <c r="M4670" s="195" t="str">
        <f>L4670*(1-K4670)</f>
      </c>
    </row>
    <row r="4671">
      <c r="A4671" t="s">
        <v>167</v>
      </c>
      <c r="B4671" t="s">
        <v>272</v>
      </c>
      <c r="C4671" s="35" t="s">
        <v>274</v>
      </c>
      <c r="D4671" t="s">
        <v>502</v>
      </c>
      <c r="E4671" t="s">
        <v>520</v>
      </c>
      <c r="F4671" s="188" t="n">
        <v>2037</v>
      </c>
      <c r="G4671" s="189" t="n">
        <v>59</v>
      </c>
      <c r="H4671" s="190" t="n">
        <v>18974.7950086454</v>
      </c>
      <c r="I4671" s="191" t="n">
        <v>3614891.79349557</v>
      </c>
      <c r="J4671" s="192" t="str">
        <f>IF(I4671&gt;0,H4671/I4671,0)</f>
      </c>
      <c r="K4671" s="193" t="str">
        <f>1-EXP(-J4671)</f>
      </c>
      <c r="L4671" s="194" t="str">
        <f>IF(G4671=30,1,M4670)</f>
      </c>
      <c r="M4671" s="195" t="str">
        <f>L4671*(1-K4671)</f>
      </c>
    </row>
    <row r="4672">
      <c r="A4672" t="s">
        <v>167</v>
      </c>
      <c r="B4672" t="s">
        <v>272</v>
      </c>
      <c r="C4672" s="35" t="s">
        <v>274</v>
      </c>
      <c r="D4672" t="s">
        <v>502</v>
      </c>
      <c r="E4672" t="s">
        <v>520</v>
      </c>
      <c r="F4672" s="188" t="n">
        <v>2037</v>
      </c>
      <c r="G4672" s="189" t="n">
        <v>60</v>
      </c>
      <c r="H4672" s="190" t="n">
        <v>20374.2606780603</v>
      </c>
      <c r="I4672" s="191" t="n">
        <v>3530521.11652538</v>
      </c>
      <c r="J4672" s="192" t="str">
        <f>IF(I4672&gt;0,H4672/I4672,0)</f>
      </c>
      <c r="K4672" s="193" t="str">
        <f>1-EXP(-J4672)</f>
      </c>
      <c r="L4672" s="194" t="str">
        <f>IF(G4672=30,1,M4671)</f>
      </c>
      <c r="M4672" s="195" t="str">
        <f>L4672*(1-K4672)</f>
      </c>
    </row>
    <row r="4673">
      <c r="A4673" t="s">
        <v>167</v>
      </c>
      <c r="B4673" t="s">
        <v>272</v>
      </c>
      <c r="C4673" s="35" t="s">
        <v>274</v>
      </c>
      <c r="D4673" t="s">
        <v>502</v>
      </c>
      <c r="E4673" t="s">
        <v>520</v>
      </c>
      <c r="F4673" s="188" t="n">
        <v>2037</v>
      </c>
      <c r="G4673" s="189" t="n">
        <v>61</v>
      </c>
      <c r="H4673" s="190" t="n">
        <v>21750.672930013</v>
      </c>
      <c r="I4673" s="191" t="n">
        <v>3433870.45938624</v>
      </c>
      <c r="J4673" s="192" t="str">
        <f>IF(I4673&gt;0,H4673/I4673,0)</f>
      </c>
      <c r="K4673" s="193" t="str">
        <f>1-EXP(-J4673)</f>
      </c>
      <c r="L4673" s="194" t="str">
        <f>IF(G4673=30,1,M4672)</f>
      </c>
      <c r="M4673" s="195" t="str">
        <f>L4673*(1-K4673)</f>
      </c>
    </row>
    <row r="4674">
      <c r="A4674" t="s">
        <v>167</v>
      </c>
      <c r="B4674" t="s">
        <v>272</v>
      </c>
      <c r="C4674" s="35" t="s">
        <v>274</v>
      </c>
      <c r="D4674" t="s">
        <v>502</v>
      </c>
      <c r="E4674" t="s">
        <v>520</v>
      </c>
      <c r="F4674" s="188" t="n">
        <v>2037</v>
      </c>
      <c r="G4674" s="189" t="n">
        <v>62</v>
      </c>
      <c r="H4674" s="190" t="n">
        <v>23147.493328677</v>
      </c>
      <c r="I4674" s="191" t="n">
        <v>3335669.29262297</v>
      </c>
      <c r="J4674" s="192" t="str">
        <f>IF(I4674&gt;0,H4674/I4674,0)</f>
      </c>
      <c r="K4674" s="193" t="str">
        <f>1-EXP(-J4674)</f>
      </c>
      <c r="L4674" s="194" t="str">
        <f>IF(G4674=30,1,M4673)</f>
      </c>
      <c r="M4674" s="195" t="str">
        <f>L4674*(1-K4674)</f>
      </c>
    </row>
    <row r="4675">
      <c r="A4675" t="s">
        <v>167</v>
      </c>
      <c r="B4675" t="s">
        <v>272</v>
      </c>
      <c r="C4675" s="35" t="s">
        <v>274</v>
      </c>
      <c r="D4675" t="s">
        <v>502</v>
      </c>
      <c r="E4675" t="s">
        <v>520</v>
      </c>
      <c r="F4675" s="188" t="n">
        <v>2037</v>
      </c>
      <c r="G4675" s="189" t="n">
        <v>63</v>
      </c>
      <c r="H4675" s="190" t="n">
        <v>24419.501376646</v>
      </c>
      <c r="I4675" s="191" t="n">
        <v>3211316.07928007</v>
      </c>
      <c r="J4675" s="192" t="str">
        <f>IF(I4675&gt;0,H4675/I4675,0)</f>
      </c>
      <c r="K4675" s="193" t="str">
        <f>1-EXP(-J4675)</f>
      </c>
      <c r="L4675" s="194" t="str">
        <f>IF(G4675=30,1,M4674)</f>
      </c>
      <c r="M4675" s="195" t="str">
        <f>L4675*(1-K4675)</f>
      </c>
    </row>
    <row r="4676">
      <c r="A4676" t="s">
        <v>167</v>
      </c>
      <c r="B4676" t="s">
        <v>272</v>
      </c>
      <c r="C4676" s="35" t="s">
        <v>274</v>
      </c>
      <c r="D4676" t="s">
        <v>502</v>
      </c>
      <c r="E4676" t="s">
        <v>520</v>
      </c>
      <c r="F4676" s="188" t="n">
        <v>2037</v>
      </c>
      <c r="G4676" s="189" t="n">
        <v>64</v>
      </c>
      <c r="H4676" s="190" t="n">
        <v>26168.9799757255</v>
      </c>
      <c r="I4676" s="191" t="n">
        <v>3140152.02787843</v>
      </c>
      <c r="J4676" s="192" t="str">
        <f>IF(I4676&gt;0,H4676/I4676,0)</f>
      </c>
      <c r="K4676" s="193" t="str">
        <f>1-EXP(-J4676)</f>
      </c>
      <c r="L4676" s="194" t="str">
        <f>IF(G4676=30,1,M4675)</f>
      </c>
      <c r="M4676" s="195" t="str">
        <f>L4676*(1-K4676)</f>
      </c>
    </row>
    <row r="4677">
      <c r="A4677" t="s">
        <v>167</v>
      </c>
      <c r="B4677" t="s">
        <v>272</v>
      </c>
      <c r="C4677" s="35" t="s">
        <v>274</v>
      </c>
      <c r="D4677" t="s">
        <v>502</v>
      </c>
      <c r="E4677" t="s">
        <v>520</v>
      </c>
      <c r="F4677" s="188" t="n">
        <v>2037</v>
      </c>
      <c r="G4677" s="189" t="n">
        <v>65</v>
      </c>
      <c r="H4677" s="190" t="n">
        <v>25709.5156091902</v>
      </c>
      <c r="I4677" s="191" t="n">
        <v>2921392.00924712</v>
      </c>
      <c r="J4677" s="192" t="str">
        <f>IF(I4677&gt;0,H4677/I4677,0)</f>
      </c>
      <c r="K4677" s="193" t="str">
        <f>1-EXP(-J4677)</f>
      </c>
      <c r="L4677" s="194" t="str">
        <f>IF(G4677=30,1,M4676)</f>
      </c>
      <c r="M4677" s="195" t="str">
        <f>L4677*(1-K4677)</f>
      </c>
    </row>
    <row r="4678">
      <c r="A4678" t="s">
        <v>167</v>
      </c>
      <c r="B4678" t="s">
        <v>272</v>
      </c>
      <c r="C4678" s="35" t="s">
        <v>274</v>
      </c>
      <c r="D4678" t="s">
        <v>502</v>
      </c>
      <c r="E4678" t="s">
        <v>520</v>
      </c>
      <c r="F4678" s="188" t="n">
        <v>2037</v>
      </c>
      <c r="G4678" s="189" t="n">
        <v>66</v>
      </c>
      <c r="H4678" s="190" t="n">
        <v>27123.7289093331</v>
      </c>
      <c r="I4678" s="191" t="n">
        <v>2811358.60856181</v>
      </c>
      <c r="J4678" s="192" t="str">
        <f>IF(I4678&gt;0,H4678/I4678,0)</f>
      </c>
      <c r="K4678" s="193" t="str">
        <f>1-EXP(-J4678)</f>
      </c>
      <c r="L4678" s="194" t="str">
        <f>IF(G4678=30,1,M4677)</f>
      </c>
      <c r="M4678" s="195" t="str">
        <f>L4678*(1-K4678)</f>
      </c>
    </row>
    <row r="4679">
      <c r="A4679" t="s">
        <v>167</v>
      </c>
      <c r="B4679" t="s">
        <v>272</v>
      </c>
      <c r="C4679" s="35" t="s">
        <v>274</v>
      </c>
      <c r="D4679" t="s">
        <v>502</v>
      </c>
      <c r="E4679" t="s">
        <v>520</v>
      </c>
      <c r="F4679" s="188" t="n">
        <v>2037</v>
      </c>
      <c r="G4679" s="189" t="n">
        <v>67</v>
      </c>
      <c r="H4679" s="190" t="n">
        <v>28631.9576429641</v>
      </c>
      <c r="I4679" s="191" t="n">
        <v>2703704.52155263</v>
      </c>
      <c r="J4679" s="192" t="str">
        <f>IF(I4679&gt;0,H4679/I4679,0)</f>
      </c>
      <c r="K4679" s="193" t="str">
        <f>1-EXP(-J4679)</f>
      </c>
      <c r="L4679" s="194" t="str">
        <f>IF(G4679=30,1,M4678)</f>
      </c>
      <c r="M4679" s="195" t="str">
        <f>L4679*(1-K4679)</f>
      </c>
    </row>
    <row r="4680">
      <c r="A4680" t="s">
        <v>167</v>
      </c>
      <c r="B4680" t="s">
        <v>272</v>
      </c>
      <c r="C4680" s="35" t="s">
        <v>274</v>
      </c>
      <c r="D4680" t="s">
        <v>502</v>
      </c>
      <c r="E4680" t="s">
        <v>520</v>
      </c>
      <c r="F4680" s="188" t="n">
        <v>2037</v>
      </c>
      <c r="G4680" s="189" t="n">
        <v>68</v>
      </c>
      <c r="H4680" s="190" t="n">
        <v>30089.9585639271</v>
      </c>
      <c r="I4680" s="191" t="n">
        <v>2587116.7433162</v>
      </c>
      <c r="J4680" s="192" t="str">
        <f>IF(I4680&gt;0,H4680/I4680,0)</f>
      </c>
      <c r="K4680" s="193" t="str">
        <f>1-EXP(-J4680)</f>
      </c>
      <c r="L4680" s="194" t="str">
        <f>IF(G4680=30,1,M4679)</f>
      </c>
      <c r="M4680" s="195" t="str">
        <f>L4680*(1-K4680)</f>
      </c>
    </row>
    <row r="4681">
      <c r="A4681" t="s">
        <v>167</v>
      </c>
      <c r="B4681" t="s">
        <v>272</v>
      </c>
      <c r="C4681" s="35" t="s">
        <v>274</v>
      </c>
      <c r="D4681" t="s">
        <v>502</v>
      </c>
      <c r="E4681" t="s">
        <v>520</v>
      </c>
      <c r="F4681" s="188" t="n">
        <v>2037</v>
      </c>
      <c r="G4681" s="189" t="n">
        <v>69</v>
      </c>
      <c r="H4681" s="190" t="n">
        <v>31364.0199216267</v>
      </c>
      <c r="I4681" s="191" t="n">
        <v>2453136.34398339</v>
      </c>
      <c r="J4681" s="192" t="str">
        <f>IF(I4681&gt;0,H4681/I4681,0)</f>
      </c>
      <c r="K4681" s="193" t="str">
        <f>1-EXP(-J4681)</f>
      </c>
      <c r="L4681" s="194" t="str">
        <f>IF(G4681=30,1,M4680)</f>
      </c>
      <c r="M4681" s="195" t="str">
        <f>L4681*(1-K4681)</f>
      </c>
    </row>
    <row r="4682">
      <c r="A4682" t="s">
        <v>167</v>
      </c>
      <c r="B4682" t="s">
        <v>272</v>
      </c>
      <c r="C4682" s="35" t="s">
        <v>274</v>
      </c>
      <c r="D4682" t="s">
        <v>502</v>
      </c>
      <c r="E4682" t="s">
        <v>520</v>
      </c>
      <c r="F4682" s="188" t="n">
        <v>2038</v>
      </c>
      <c r="G4682" s="189" t="n">
        <v>30</v>
      </c>
      <c r="H4682" s="190" t="n">
        <v>759.812247366599</v>
      </c>
      <c r="I4682" s="191" t="n">
        <v>4653484.44822131</v>
      </c>
      <c r="J4682" s="192" t="str">
        <f>IF(I4682&gt;0,H4682/I4682,0)</f>
      </c>
      <c r="K4682" s="193" t="str">
        <f>1-EXP(-J4682)</f>
      </c>
      <c r="L4682" s="194" t="str">
        <f>IF(G4682=30,1,M4681)</f>
      </c>
      <c r="M4682" s="195" t="str">
        <f>L4682*(1-K4682)</f>
      </c>
    </row>
    <row r="4683">
      <c r="A4683" t="s">
        <v>167</v>
      </c>
      <c r="B4683" t="s">
        <v>272</v>
      </c>
      <c r="C4683" s="35" t="s">
        <v>274</v>
      </c>
      <c r="D4683" t="s">
        <v>502</v>
      </c>
      <c r="E4683" t="s">
        <v>520</v>
      </c>
      <c r="F4683" s="188" t="n">
        <v>2038</v>
      </c>
      <c r="G4683" s="189" t="n">
        <v>31</v>
      </c>
      <c r="H4683" s="190" t="n">
        <v>1032.20462446089</v>
      </c>
      <c r="I4683" s="191" t="n">
        <v>4679852.23768864</v>
      </c>
      <c r="J4683" s="192" t="str">
        <f>IF(I4683&gt;0,H4683/I4683,0)</f>
      </c>
      <c r="K4683" s="193" t="str">
        <f>1-EXP(-J4683)</f>
      </c>
      <c r="L4683" s="194" t="str">
        <f>IF(G4683=30,1,M4682)</f>
      </c>
      <c r="M4683" s="195" t="str">
        <f>L4683*(1-K4683)</f>
      </c>
    </row>
    <row r="4684">
      <c r="A4684" t="s">
        <v>167</v>
      </c>
      <c r="B4684" t="s">
        <v>272</v>
      </c>
      <c r="C4684" s="35" t="s">
        <v>274</v>
      </c>
      <c r="D4684" t="s">
        <v>502</v>
      </c>
      <c r="E4684" t="s">
        <v>520</v>
      </c>
      <c r="F4684" s="188" t="n">
        <v>2038</v>
      </c>
      <c r="G4684" s="189" t="n">
        <v>32</v>
      </c>
      <c r="H4684" s="190" t="n">
        <v>1067.47408473604</v>
      </c>
      <c r="I4684" s="191" t="n">
        <v>4597005.42625032</v>
      </c>
      <c r="J4684" s="192" t="str">
        <f>IF(I4684&gt;0,H4684/I4684,0)</f>
      </c>
      <c r="K4684" s="193" t="str">
        <f>1-EXP(-J4684)</f>
      </c>
      <c r="L4684" s="194" t="str">
        <f>IF(G4684=30,1,M4683)</f>
      </c>
      <c r="M4684" s="195" t="str">
        <f>L4684*(1-K4684)</f>
      </c>
    </row>
    <row r="4685">
      <c r="A4685" t="s">
        <v>167</v>
      </c>
      <c r="B4685" t="s">
        <v>272</v>
      </c>
      <c r="C4685" s="35" t="s">
        <v>274</v>
      </c>
      <c r="D4685" t="s">
        <v>502</v>
      </c>
      <c r="E4685" t="s">
        <v>520</v>
      </c>
      <c r="F4685" s="188" t="n">
        <v>2038</v>
      </c>
      <c r="G4685" s="189" t="n">
        <v>33</v>
      </c>
      <c r="H4685" s="190" t="n">
        <v>1115.77068198533</v>
      </c>
      <c r="I4685" s="191" t="n">
        <v>4536049.15198119</v>
      </c>
      <c r="J4685" s="192" t="str">
        <f>IF(I4685&gt;0,H4685/I4685,0)</f>
      </c>
      <c r="K4685" s="193" t="str">
        <f>1-EXP(-J4685)</f>
      </c>
      <c r="L4685" s="194" t="str">
        <f>IF(G4685=30,1,M4684)</f>
      </c>
      <c r="M4685" s="195" t="str">
        <f>L4685*(1-K4685)</f>
      </c>
    </row>
    <row r="4686">
      <c r="A4686" t="s">
        <v>167</v>
      </c>
      <c r="B4686" t="s">
        <v>272</v>
      </c>
      <c r="C4686" s="35" t="s">
        <v>274</v>
      </c>
      <c r="D4686" t="s">
        <v>502</v>
      </c>
      <c r="E4686" t="s">
        <v>520</v>
      </c>
      <c r="F4686" s="188" t="n">
        <v>2038</v>
      </c>
      <c r="G4686" s="189" t="n">
        <v>34</v>
      </c>
      <c r="H4686" s="190" t="n">
        <v>1156.22106695124</v>
      </c>
      <c r="I4686" s="191" t="n">
        <v>4407386.8655818</v>
      </c>
      <c r="J4686" s="192" t="str">
        <f>IF(I4686&gt;0,H4686/I4686,0)</f>
      </c>
      <c r="K4686" s="193" t="str">
        <f>1-EXP(-J4686)</f>
      </c>
      <c r="L4686" s="194" t="str">
        <f>IF(G4686=30,1,M4685)</f>
      </c>
      <c r="M4686" s="195" t="str">
        <f>L4686*(1-K4686)</f>
      </c>
    </row>
    <row r="4687">
      <c r="A4687" t="s">
        <v>167</v>
      </c>
      <c r="B4687" t="s">
        <v>272</v>
      </c>
      <c r="C4687" s="35" t="s">
        <v>274</v>
      </c>
      <c r="D4687" t="s">
        <v>502</v>
      </c>
      <c r="E4687" t="s">
        <v>520</v>
      </c>
      <c r="F4687" s="188" t="n">
        <v>2038</v>
      </c>
      <c r="G4687" s="189" t="n">
        <v>35</v>
      </c>
      <c r="H4687" s="190" t="n">
        <v>1528.78494033806</v>
      </c>
      <c r="I4687" s="191" t="n">
        <v>4341621.69527938</v>
      </c>
      <c r="J4687" s="192" t="str">
        <f>IF(I4687&gt;0,H4687/I4687,0)</f>
      </c>
      <c r="K4687" s="193" t="str">
        <f>1-EXP(-J4687)</f>
      </c>
      <c r="L4687" s="194" t="str">
        <f>IF(G4687=30,1,M4686)</f>
      </c>
      <c r="M4687" s="195" t="str">
        <f>L4687*(1-K4687)</f>
      </c>
    </row>
    <row r="4688">
      <c r="A4688" t="s">
        <v>167</v>
      </c>
      <c r="B4688" t="s">
        <v>272</v>
      </c>
      <c r="C4688" s="35" t="s">
        <v>274</v>
      </c>
      <c r="D4688" t="s">
        <v>502</v>
      </c>
      <c r="E4688" t="s">
        <v>520</v>
      </c>
      <c r="F4688" s="188" t="n">
        <v>2038</v>
      </c>
      <c r="G4688" s="189" t="n">
        <v>36</v>
      </c>
      <c r="H4688" s="190" t="n">
        <v>1904.29968923858</v>
      </c>
      <c r="I4688" s="191" t="n">
        <v>4318748.72704769</v>
      </c>
      <c r="J4688" s="192" t="str">
        <f>IF(I4688&gt;0,H4688/I4688,0)</f>
      </c>
      <c r="K4688" s="193" t="str">
        <f>1-EXP(-J4688)</f>
      </c>
      <c r="L4688" s="194" t="str">
        <f>IF(G4688=30,1,M4687)</f>
      </c>
      <c r="M4688" s="195" t="str">
        <f>L4688*(1-K4688)</f>
      </c>
    </row>
    <row r="4689">
      <c r="A4689" t="s">
        <v>167</v>
      </c>
      <c r="B4689" t="s">
        <v>272</v>
      </c>
      <c r="C4689" s="35" t="s">
        <v>274</v>
      </c>
      <c r="D4689" t="s">
        <v>502</v>
      </c>
      <c r="E4689" t="s">
        <v>520</v>
      </c>
      <c r="F4689" s="188" t="n">
        <v>2038</v>
      </c>
      <c r="G4689" s="189" t="n">
        <v>37</v>
      </c>
      <c r="H4689" s="190" t="n">
        <v>2036.48010246337</v>
      </c>
      <c r="I4689" s="191" t="n">
        <v>4297676.37395612</v>
      </c>
      <c r="J4689" s="192" t="str">
        <f>IF(I4689&gt;0,H4689/I4689,0)</f>
      </c>
      <c r="K4689" s="193" t="str">
        <f>1-EXP(-J4689)</f>
      </c>
      <c r="L4689" s="194" t="str">
        <f>IF(G4689=30,1,M4688)</f>
      </c>
      <c r="M4689" s="195" t="str">
        <f>L4689*(1-K4689)</f>
      </c>
    </row>
    <row r="4690">
      <c r="A4690" t="s">
        <v>167</v>
      </c>
      <c r="B4690" t="s">
        <v>272</v>
      </c>
      <c r="C4690" s="35" t="s">
        <v>274</v>
      </c>
      <c r="D4690" t="s">
        <v>502</v>
      </c>
      <c r="E4690" t="s">
        <v>520</v>
      </c>
      <c r="F4690" s="188" t="n">
        <v>2038</v>
      </c>
      <c r="G4690" s="189" t="n">
        <v>38</v>
      </c>
      <c r="H4690" s="190" t="n">
        <v>2184.44413534292</v>
      </c>
      <c r="I4690" s="191" t="n">
        <v>4276114.33079259</v>
      </c>
      <c r="J4690" s="192" t="str">
        <f>IF(I4690&gt;0,H4690/I4690,0)</f>
      </c>
      <c r="K4690" s="193" t="str">
        <f>1-EXP(-J4690)</f>
      </c>
      <c r="L4690" s="194" t="str">
        <f>IF(G4690=30,1,M4689)</f>
      </c>
      <c r="M4690" s="195" t="str">
        <f>L4690*(1-K4690)</f>
      </c>
    </row>
    <row r="4691">
      <c r="A4691" t="s">
        <v>167</v>
      </c>
      <c r="B4691" t="s">
        <v>272</v>
      </c>
      <c r="C4691" s="35" t="s">
        <v>274</v>
      </c>
      <c r="D4691" t="s">
        <v>502</v>
      </c>
      <c r="E4691" t="s">
        <v>520</v>
      </c>
      <c r="F4691" s="188" t="n">
        <v>2038</v>
      </c>
      <c r="G4691" s="189" t="n">
        <v>39</v>
      </c>
      <c r="H4691" s="190" t="n">
        <v>2369.46871396868</v>
      </c>
      <c r="I4691" s="191" t="n">
        <v>4293695.84637643</v>
      </c>
      <c r="J4691" s="192" t="str">
        <f>IF(I4691&gt;0,H4691/I4691,0)</f>
      </c>
      <c r="K4691" s="193" t="str">
        <f>1-EXP(-J4691)</f>
      </c>
      <c r="L4691" s="194" t="str">
        <f>IF(G4691=30,1,M4690)</f>
      </c>
      <c r="M4691" s="195" t="str">
        <f>L4691*(1-K4691)</f>
      </c>
    </row>
    <row r="4692">
      <c r="A4692" t="s">
        <v>167</v>
      </c>
      <c r="B4692" t="s">
        <v>272</v>
      </c>
      <c r="C4692" s="35" t="s">
        <v>274</v>
      </c>
      <c r="D4692" t="s">
        <v>502</v>
      </c>
      <c r="E4692" t="s">
        <v>520</v>
      </c>
      <c r="F4692" s="188" t="n">
        <v>2038</v>
      </c>
      <c r="G4692" s="189" t="n">
        <v>40</v>
      </c>
      <c r="H4692" s="190" t="n">
        <v>3229.17683160979</v>
      </c>
      <c r="I4692" s="191" t="n">
        <v>4349776.12494748</v>
      </c>
      <c r="J4692" s="192" t="str">
        <f>IF(I4692&gt;0,H4692/I4692,0)</f>
      </c>
      <c r="K4692" s="193" t="str">
        <f>1-EXP(-J4692)</f>
      </c>
      <c r="L4692" s="194" t="str">
        <f>IF(G4692=30,1,M4691)</f>
      </c>
      <c r="M4692" s="195" t="str">
        <f>L4692*(1-K4692)</f>
      </c>
    </row>
    <row r="4693">
      <c r="A4693" t="s">
        <v>167</v>
      </c>
      <c r="B4693" t="s">
        <v>272</v>
      </c>
      <c r="C4693" s="35" t="s">
        <v>274</v>
      </c>
      <c r="D4693" t="s">
        <v>502</v>
      </c>
      <c r="E4693" t="s">
        <v>520</v>
      </c>
      <c r="F4693" s="188" t="n">
        <v>2038</v>
      </c>
      <c r="G4693" s="189" t="n">
        <v>41</v>
      </c>
      <c r="H4693" s="190" t="n">
        <v>3867.55384659333</v>
      </c>
      <c r="I4693" s="191" t="n">
        <v>4482166.64673989</v>
      </c>
      <c r="J4693" s="192" t="str">
        <f>IF(I4693&gt;0,H4693/I4693,0)</f>
      </c>
      <c r="K4693" s="193" t="str">
        <f>1-EXP(-J4693)</f>
      </c>
      <c r="L4693" s="194" t="str">
        <f>IF(G4693=30,1,M4692)</f>
      </c>
      <c r="M4693" s="195" t="str">
        <f>L4693*(1-K4693)</f>
      </c>
    </row>
    <row r="4694">
      <c r="A4694" t="s">
        <v>167</v>
      </c>
      <c r="B4694" t="s">
        <v>272</v>
      </c>
      <c r="C4694" s="35" t="s">
        <v>274</v>
      </c>
      <c r="D4694" t="s">
        <v>502</v>
      </c>
      <c r="E4694" t="s">
        <v>520</v>
      </c>
      <c r="F4694" s="188" t="n">
        <v>2038</v>
      </c>
      <c r="G4694" s="189" t="n">
        <v>42</v>
      </c>
      <c r="H4694" s="190" t="n">
        <v>4147.29809042522</v>
      </c>
      <c r="I4694" s="191" t="n">
        <v>4435392.25817339</v>
      </c>
      <c r="J4694" s="192" t="str">
        <f>IF(I4694&gt;0,H4694/I4694,0)</f>
      </c>
      <c r="K4694" s="193" t="str">
        <f>1-EXP(-J4694)</f>
      </c>
      <c r="L4694" s="194" t="str">
        <f>IF(G4694=30,1,M4693)</f>
      </c>
      <c r="M4694" s="195" t="str">
        <f>L4694*(1-K4694)</f>
      </c>
    </row>
    <row r="4695">
      <c r="A4695" t="s">
        <v>167</v>
      </c>
      <c r="B4695" t="s">
        <v>272</v>
      </c>
      <c r="C4695" s="35" t="s">
        <v>274</v>
      </c>
      <c r="D4695" t="s">
        <v>502</v>
      </c>
      <c r="E4695" t="s">
        <v>520</v>
      </c>
      <c r="F4695" s="188" t="n">
        <v>2038</v>
      </c>
      <c r="G4695" s="189" t="n">
        <v>43</v>
      </c>
      <c r="H4695" s="190" t="n">
        <v>4428.43606116257</v>
      </c>
      <c r="I4695" s="191" t="n">
        <v>4358461.49378874</v>
      </c>
      <c r="J4695" s="192" t="str">
        <f>IF(I4695&gt;0,H4695/I4695,0)</f>
      </c>
      <c r="K4695" s="193" t="str">
        <f>1-EXP(-J4695)</f>
      </c>
      <c r="L4695" s="194" t="str">
        <f>IF(G4695=30,1,M4694)</f>
      </c>
      <c r="M4695" s="195" t="str">
        <f>L4695*(1-K4695)</f>
      </c>
    </row>
    <row r="4696">
      <c r="A4696" t="s">
        <v>167</v>
      </c>
      <c r="B4696" t="s">
        <v>272</v>
      </c>
      <c r="C4696" s="35" t="s">
        <v>274</v>
      </c>
      <c r="D4696" t="s">
        <v>502</v>
      </c>
      <c r="E4696" t="s">
        <v>520</v>
      </c>
      <c r="F4696" s="188" t="n">
        <v>2038</v>
      </c>
      <c r="G4696" s="189" t="n">
        <v>44</v>
      </c>
      <c r="H4696" s="190" t="n">
        <v>4756.95879048515</v>
      </c>
      <c r="I4696" s="191" t="n">
        <v>4296593.46959352</v>
      </c>
      <c r="J4696" s="192" t="str">
        <f>IF(I4696&gt;0,H4696/I4696,0)</f>
      </c>
      <c r="K4696" s="193" t="str">
        <f>1-EXP(-J4696)</f>
      </c>
      <c r="L4696" s="194" t="str">
        <f>IF(G4696=30,1,M4695)</f>
      </c>
      <c r="M4696" s="195" t="str">
        <f>L4696*(1-K4696)</f>
      </c>
    </row>
    <row r="4697">
      <c r="A4697" t="s">
        <v>167</v>
      </c>
      <c r="B4697" t="s">
        <v>272</v>
      </c>
      <c r="C4697" s="35" t="s">
        <v>274</v>
      </c>
      <c r="D4697" t="s">
        <v>502</v>
      </c>
      <c r="E4697" t="s">
        <v>520</v>
      </c>
      <c r="F4697" s="188" t="n">
        <v>2038</v>
      </c>
      <c r="G4697" s="189" t="n">
        <v>45</v>
      </c>
      <c r="H4697" s="190" t="n">
        <v>6032.50584342114</v>
      </c>
      <c r="I4697" s="191" t="n">
        <v>4237761.6508312</v>
      </c>
      <c r="J4697" s="192" t="str">
        <f>IF(I4697&gt;0,H4697/I4697,0)</f>
      </c>
      <c r="K4697" s="193" t="str">
        <f>1-EXP(-J4697)</f>
      </c>
      <c r="L4697" s="194" t="str">
        <f>IF(G4697=30,1,M4696)</f>
      </c>
      <c r="M4697" s="195" t="str">
        <f>L4697*(1-K4697)</f>
      </c>
    </row>
    <row r="4698">
      <c r="A4698" t="s">
        <v>167</v>
      </c>
      <c r="B4698" t="s">
        <v>272</v>
      </c>
      <c r="C4698" s="35" t="s">
        <v>274</v>
      </c>
      <c r="D4698" t="s">
        <v>502</v>
      </c>
      <c r="E4698" t="s">
        <v>520</v>
      </c>
      <c r="F4698" s="188" t="n">
        <v>2038</v>
      </c>
      <c r="G4698" s="189" t="n">
        <v>46</v>
      </c>
      <c r="H4698" s="190" t="n">
        <v>6622.87457809301</v>
      </c>
      <c r="I4698" s="191" t="n">
        <v>4266939.45398403</v>
      </c>
      <c r="J4698" s="192" t="str">
        <f>IF(I4698&gt;0,H4698/I4698,0)</f>
      </c>
      <c r="K4698" s="193" t="str">
        <f>1-EXP(-J4698)</f>
      </c>
      <c r="L4698" s="194" t="str">
        <f>IF(G4698=30,1,M4697)</f>
      </c>
      <c r="M4698" s="195" t="str">
        <f>L4698*(1-K4698)</f>
      </c>
    </row>
    <row r="4699">
      <c r="A4699" t="s">
        <v>167</v>
      </c>
      <c r="B4699" t="s">
        <v>272</v>
      </c>
      <c r="C4699" s="35" t="s">
        <v>274</v>
      </c>
      <c r="D4699" t="s">
        <v>502</v>
      </c>
      <c r="E4699" t="s">
        <v>520</v>
      </c>
      <c r="F4699" s="188" t="n">
        <v>2038</v>
      </c>
      <c r="G4699" s="189" t="n">
        <v>47</v>
      </c>
      <c r="H4699" s="190" t="n">
        <v>7272.9133925786</v>
      </c>
      <c r="I4699" s="191" t="n">
        <v>4276764.80347005</v>
      </c>
      <c r="J4699" s="192" t="str">
        <f>IF(I4699&gt;0,H4699/I4699,0)</f>
      </c>
      <c r="K4699" s="193" t="str">
        <f>1-EXP(-J4699)</f>
      </c>
      <c r="L4699" s="194" t="str">
        <f>IF(G4699=30,1,M4698)</f>
      </c>
      <c r="M4699" s="195" t="str">
        <f>L4699*(1-K4699)</f>
      </c>
    </row>
    <row r="4700">
      <c r="A4700" t="s">
        <v>167</v>
      </c>
      <c r="B4700" t="s">
        <v>272</v>
      </c>
      <c r="C4700" s="35" t="s">
        <v>274</v>
      </c>
      <c r="D4700" t="s">
        <v>502</v>
      </c>
      <c r="E4700" t="s">
        <v>520</v>
      </c>
      <c r="F4700" s="188" t="n">
        <v>2038</v>
      </c>
      <c r="G4700" s="189" t="n">
        <v>48</v>
      </c>
      <c r="H4700" s="190" t="n">
        <v>10791.0250613535</v>
      </c>
      <c r="I4700" s="191" t="n">
        <v>6292437.73327275</v>
      </c>
      <c r="J4700" s="192" t="str">
        <f>IF(I4700&gt;0,H4700/I4700,0)</f>
      </c>
      <c r="K4700" s="193" t="str">
        <f>1-EXP(-J4700)</f>
      </c>
      <c r="L4700" s="194" t="str">
        <f>IF(G4700=30,1,M4699)</f>
      </c>
      <c r="M4700" s="195" t="str">
        <f>L4700*(1-K4700)</f>
      </c>
    </row>
    <row r="4701">
      <c r="A4701" t="s">
        <v>167</v>
      </c>
      <c r="B4701" t="s">
        <v>272</v>
      </c>
      <c r="C4701" s="35" t="s">
        <v>274</v>
      </c>
      <c r="D4701" t="s">
        <v>502</v>
      </c>
      <c r="E4701" t="s">
        <v>520</v>
      </c>
      <c r="F4701" s="188" t="n">
        <v>2038</v>
      </c>
      <c r="G4701" s="189" t="n">
        <v>49</v>
      </c>
      <c r="H4701" s="190" t="n">
        <v>8622.13728522541</v>
      </c>
      <c r="I4701" s="191" t="n">
        <v>4218032.50005549</v>
      </c>
      <c r="J4701" s="192" t="str">
        <f>IF(I4701&gt;0,H4701/I4701,0)</f>
      </c>
      <c r="K4701" s="193" t="str">
        <f>1-EXP(-J4701)</f>
      </c>
      <c r="L4701" s="194" t="str">
        <f>IF(G4701=30,1,M4700)</f>
      </c>
      <c r="M4701" s="195" t="str">
        <f>L4701*(1-K4701)</f>
      </c>
    </row>
    <row r="4702">
      <c r="A4702" t="s">
        <v>167</v>
      </c>
      <c r="B4702" t="s">
        <v>272</v>
      </c>
      <c r="C4702" s="35" t="s">
        <v>274</v>
      </c>
      <c r="D4702" t="s">
        <v>502</v>
      </c>
      <c r="E4702" t="s">
        <v>520</v>
      </c>
      <c r="F4702" s="188" t="n">
        <v>2038</v>
      </c>
      <c r="G4702" s="189" t="n">
        <v>50</v>
      </c>
      <c r="H4702" s="190" t="n">
        <v>9876.30797104292</v>
      </c>
      <c r="I4702" s="191" t="n">
        <v>4191101.84073769</v>
      </c>
      <c r="J4702" s="192" t="str">
        <f>IF(I4702&gt;0,H4702/I4702,0)</f>
      </c>
      <c r="K4702" s="193" t="str">
        <f>1-EXP(-J4702)</f>
      </c>
      <c r="L4702" s="194" t="str">
        <f>IF(G4702=30,1,M4701)</f>
      </c>
      <c r="M4702" s="195" t="str">
        <f>L4702*(1-K4702)</f>
      </c>
    </row>
    <row r="4703">
      <c r="A4703" t="s">
        <v>167</v>
      </c>
      <c r="B4703" t="s">
        <v>272</v>
      </c>
      <c r="C4703" s="35" t="s">
        <v>274</v>
      </c>
      <c r="D4703" t="s">
        <v>502</v>
      </c>
      <c r="E4703" t="s">
        <v>520</v>
      </c>
      <c r="F4703" s="188" t="n">
        <v>2038</v>
      </c>
      <c r="G4703" s="189" t="n">
        <v>51</v>
      </c>
      <c r="H4703" s="190" t="n">
        <v>10445.9052178142</v>
      </c>
      <c r="I4703" s="191" t="n">
        <v>4050499.47183704</v>
      </c>
      <c r="J4703" s="192" t="str">
        <f>IF(I4703&gt;0,H4703/I4703,0)</f>
      </c>
      <c r="K4703" s="193" t="str">
        <f>1-EXP(-J4703)</f>
      </c>
      <c r="L4703" s="194" t="str">
        <f>IF(G4703=30,1,M4702)</f>
      </c>
      <c r="M4703" s="195" t="str">
        <f>L4703*(1-K4703)</f>
      </c>
    </row>
    <row r="4704">
      <c r="A4704" t="s">
        <v>167</v>
      </c>
      <c r="B4704" t="s">
        <v>272</v>
      </c>
      <c r="C4704" s="35" t="s">
        <v>274</v>
      </c>
      <c r="D4704" t="s">
        <v>502</v>
      </c>
      <c r="E4704" t="s">
        <v>520</v>
      </c>
      <c r="F4704" s="188" t="n">
        <v>2038</v>
      </c>
      <c r="G4704" s="189" t="n">
        <v>52</v>
      </c>
      <c r="H4704" s="190" t="n">
        <v>11289.7004012774</v>
      </c>
      <c r="I4704" s="191" t="n">
        <v>4004417.19253455</v>
      </c>
      <c r="J4704" s="192" t="str">
        <f>IF(I4704&gt;0,H4704/I4704,0)</f>
      </c>
      <c r="K4704" s="193" t="str">
        <f>1-EXP(-J4704)</f>
      </c>
      <c r="L4704" s="194" t="str">
        <f>IF(G4704=30,1,M4703)</f>
      </c>
      <c r="M4704" s="195" t="str">
        <f>L4704*(1-K4704)</f>
      </c>
    </row>
    <row r="4705">
      <c r="A4705" t="s">
        <v>167</v>
      </c>
      <c r="B4705" t="s">
        <v>272</v>
      </c>
      <c r="C4705" s="35" t="s">
        <v>274</v>
      </c>
      <c r="D4705" t="s">
        <v>502</v>
      </c>
      <c r="E4705" t="s">
        <v>520</v>
      </c>
      <c r="F4705" s="188" t="n">
        <v>2038</v>
      </c>
      <c r="G4705" s="189" t="n">
        <v>53</v>
      </c>
      <c r="H4705" s="190" t="n">
        <v>12463.2138647716</v>
      </c>
      <c r="I4705" s="191" t="n">
        <v>4047252.61258697</v>
      </c>
      <c r="J4705" s="192" t="str">
        <f>IF(I4705&gt;0,H4705/I4705,0)</f>
      </c>
      <c r="K4705" s="193" t="str">
        <f>1-EXP(-J4705)</f>
      </c>
      <c r="L4705" s="194" t="str">
        <f>IF(G4705=30,1,M4704)</f>
      </c>
      <c r="M4705" s="195" t="str">
        <f>L4705*(1-K4705)</f>
      </c>
    </row>
    <row r="4706">
      <c r="A4706" t="s">
        <v>167</v>
      </c>
      <c r="B4706" t="s">
        <v>272</v>
      </c>
      <c r="C4706" s="35" t="s">
        <v>274</v>
      </c>
      <c r="D4706" t="s">
        <v>502</v>
      </c>
      <c r="E4706" t="s">
        <v>520</v>
      </c>
      <c r="F4706" s="188" t="n">
        <v>2038</v>
      </c>
      <c r="G4706" s="189" t="n">
        <v>54</v>
      </c>
      <c r="H4706" s="190" t="n">
        <v>13819.7049558615</v>
      </c>
      <c r="I4706" s="191" t="n">
        <v>4112413.8692418</v>
      </c>
      <c r="J4706" s="192" t="str">
        <f>IF(I4706&gt;0,H4706/I4706,0)</f>
      </c>
      <c r="K4706" s="193" t="str">
        <f>1-EXP(-J4706)</f>
      </c>
      <c r="L4706" s="194" t="str">
        <f>IF(G4706=30,1,M4705)</f>
      </c>
      <c r="M4706" s="195" t="str">
        <f>L4706*(1-K4706)</f>
      </c>
    </row>
    <row r="4707">
      <c r="A4707" t="s">
        <v>167</v>
      </c>
      <c r="B4707" t="s">
        <v>272</v>
      </c>
      <c r="C4707" s="35" t="s">
        <v>274</v>
      </c>
      <c r="D4707" t="s">
        <v>502</v>
      </c>
      <c r="E4707" t="s">
        <v>520</v>
      </c>
      <c r="F4707" s="188" t="n">
        <v>2038</v>
      </c>
      <c r="G4707" s="189" t="n">
        <v>55</v>
      </c>
      <c r="H4707" s="190" t="n">
        <v>14862.0232996761</v>
      </c>
      <c r="I4707" s="191" t="n">
        <v>4071766.87777836</v>
      </c>
      <c r="J4707" s="192" t="str">
        <f>IF(I4707&gt;0,H4707/I4707,0)</f>
      </c>
      <c r="K4707" s="193" t="str">
        <f>1-EXP(-J4707)</f>
      </c>
      <c r="L4707" s="194" t="str">
        <f>IF(G4707=30,1,M4706)</f>
      </c>
      <c r="M4707" s="195" t="str">
        <f>L4707*(1-K4707)</f>
      </c>
    </row>
    <row r="4708">
      <c r="A4708" t="s">
        <v>167</v>
      </c>
      <c r="B4708" t="s">
        <v>272</v>
      </c>
      <c r="C4708" s="35" t="s">
        <v>274</v>
      </c>
      <c r="D4708" t="s">
        <v>502</v>
      </c>
      <c r="E4708" t="s">
        <v>520</v>
      </c>
      <c r="F4708" s="188" t="n">
        <v>2038</v>
      </c>
      <c r="G4708" s="189" t="n">
        <v>56</v>
      </c>
      <c r="H4708" s="190" t="n">
        <v>15606.4834812478</v>
      </c>
      <c r="I4708" s="191" t="n">
        <v>3922862.44314578</v>
      </c>
      <c r="J4708" s="192" t="str">
        <f>IF(I4708&gt;0,H4708/I4708,0)</f>
      </c>
      <c r="K4708" s="193" t="str">
        <f>1-EXP(-J4708)</f>
      </c>
      <c r="L4708" s="194" t="str">
        <f>IF(G4708=30,1,M4707)</f>
      </c>
      <c r="M4708" s="195" t="str">
        <f>L4708*(1-K4708)</f>
      </c>
    </row>
    <row r="4709">
      <c r="A4709" t="s">
        <v>167</v>
      </c>
      <c r="B4709" t="s">
        <v>272</v>
      </c>
      <c r="C4709" s="35" t="s">
        <v>274</v>
      </c>
      <c r="D4709" t="s">
        <v>502</v>
      </c>
      <c r="E4709" t="s">
        <v>520</v>
      </c>
      <c r="F4709" s="188" t="n">
        <v>2038</v>
      </c>
      <c r="G4709" s="189" t="n">
        <v>57</v>
      </c>
      <c r="H4709" s="190" t="n">
        <v>16651.562769398</v>
      </c>
      <c r="I4709" s="191" t="n">
        <v>3832863.36676312</v>
      </c>
      <c r="J4709" s="192" t="str">
        <f>IF(I4709&gt;0,H4709/I4709,0)</f>
      </c>
      <c r="K4709" s="193" t="str">
        <f>1-EXP(-J4709)</f>
      </c>
      <c r="L4709" s="194" t="str">
        <f>IF(G4709=30,1,M4708)</f>
      </c>
      <c r="M4709" s="195" t="str">
        <f>L4709*(1-K4709)</f>
      </c>
    </row>
    <row r="4710">
      <c r="A4710" t="s">
        <v>167</v>
      </c>
      <c r="B4710" t="s">
        <v>272</v>
      </c>
      <c r="C4710" s="35" t="s">
        <v>274</v>
      </c>
      <c r="D4710" t="s">
        <v>502</v>
      </c>
      <c r="E4710" t="s">
        <v>520</v>
      </c>
      <c r="F4710" s="188" t="n">
        <v>2038</v>
      </c>
      <c r="G4710" s="189" t="n">
        <v>58</v>
      </c>
      <c r="H4710" s="190" t="n">
        <v>17842.0284904904</v>
      </c>
      <c r="I4710" s="191" t="n">
        <v>3756778.29899777</v>
      </c>
      <c r="J4710" s="192" t="str">
        <f>IF(I4710&gt;0,H4710/I4710,0)</f>
      </c>
      <c r="K4710" s="193" t="str">
        <f>1-EXP(-J4710)</f>
      </c>
      <c r="L4710" s="194" t="str">
        <f>IF(G4710=30,1,M4709)</f>
      </c>
      <c r="M4710" s="195" t="str">
        <f>L4710*(1-K4710)</f>
      </c>
    </row>
    <row r="4711">
      <c r="A4711" t="s">
        <v>167</v>
      </c>
      <c r="B4711" t="s">
        <v>272</v>
      </c>
      <c r="C4711" s="35" t="s">
        <v>274</v>
      </c>
      <c r="D4711" t="s">
        <v>502</v>
      </c>
      <c r="E4711" t="s">
        <v>520</v>
      </c>
      <c r="F4711" s="188" t="n">
        <v>2038</v>
      </c>
      <c r="G4711" s="189" t="n">
        <v>59</v>
      </c>
      <c r="H4711" s="190" t="n">
        <v>19096.412496638</v>
      </c>
      <c r="I4711" s="191" t="n">
        <v>3674412.17568899</v>
      </c>
      <c r="J4711" s="192" t="str">
        <f>IF(I4711&gt;0,H4711/I4711,0)</f>
      </c>
      <c r="K4711" s="193" t="str">
        <f>1-EXP(-J4711)</f>
      </c>
      <c r="L4711" s="194" t="str">
        <f>IF(G4711=30,1,M4710)</f>
      </c>
      <c r="M4711" s="195" t="str">
        <f>L4711*(1-K4711)</f>
      </c>
    </row>
    <row r="4712">
      <c r="A4712" t="s">
        <v>167</v>
      </c>
      <c r="B4712" t="s">
        <v>272</v>
      </c>
      <c r="C4712" s="35" t="s">
        <v>274</v>
      </c>
      <c r="D4712" t="s">
        <v>502</v>
      </c>
      <c r="E4712" t="s">
        <v>520</v>
      </c>
      <c r="F4712" s="188" t="n">
        <v>2038</v>
      </c>
      <c r="G4712" s="189" t="n">
        <v>60</v>
      </c>
      <c r="H4712" s="190" t="n">
        <v>20352.4061107053</v>
      </c>
      <c r="I4712" s="191" t="n">
        <v>3572806.96096145</v>
      </c>
      <c r="J4712" s="192" t="str">
        <f>IF(I4712&gt;0,H4712/I4712,0)</f>
      </c>
      <c r="K4712" s="193" t="str">
        <f>1-EXP(-J4712)</f>
      </c>
      <c r="L4712" s="194" t="str">
        <f>IF(G4712=30,1,M4711)</f>
      </c>
      <c r="M4712" s="195" t="str">
        <f>L4712*(1-K4712)</f>
      </c>
    </row>
    <row r="4713">
      <c r="A4713" t="s">
        <v>167</v>
      </c>
      <c r="B4713" t="s">
        <v>272</v>
      </c>
      <c r="C4713" s="35" t="s">
        <v>274</v>
      </c>
      <c r="D4713" t="s">
        <v>502</v>
      </c>
      <c r="E4713" t="s">
        <v>520</v>
      </c>
      <c r="F4713" s="188" t="n">
        <v>2038</v>
      </c>
      <c r="G4713" s="189" t="n">
        <v>61</v>
      </c>
      <c r="H4713" s="190" t="n">
        <v>21810.1483352519</v>
      </c>
      <c r="I4713" s="191" t="n">
        <v>3485154.90653359</v>
      </c>
      <c r="J4713" s="192" t="str">
        <f>IF(I4713&gt;0,H4713/I4713,0)</f>
      </c>
      <c r="K4713" s="193" t="str">
        <f>1-EXP(-J4713)</f>
      </c>
      <c r="L4713" s="194" t="str">
        <f>IF(G4713=30,1,M4712)</f>
      </c>
      <c r="M4713" s="195" t="str">
        <f>L4713*(1-K4713)</f>
      </c>
    </row>
    <row r="4714">
      <c r="A4714" t="s">
        <v>167</v>
      </c>
      <c r="B4714" t="s">
        <v>272</v>
      </c>
      <c r="C4714" s="35" t="s">
        <v>274</v>
      </c>
      <c r="D4714" t="s">
        <v>502</v>
      </c>
      <c r="E4714" t="s">
        <v>520</v>
      </c>
      <c r="F4714" s="188" t="n">
        <v>2038</v>
      </c>
      <c r="G4714" s="189" t="n">
        <v>62</v>
      </c>
      <c r="H4714" s="190" t="n">
        <v>23219.5549286206</v>
      </c>
      <c r="I4714" s="191" t="n">
        <v>3385853.62800809</v>
      </c>
      <c r="J4714" s="192" t="str">
        <f>IF(I4714&gt;0,H4714/I4714,0)</f>
      </c>
      <c r="K4714" s="193" t="str">
        <f>1-EXP(-J4714)</f>
      </c>
      <c r="L4714" s="194" t="str">
        <f>IF(G4714=30,1,M4713)</f>
      </c>
      <c r="M4714" s="195" t="str">
        <f>L4714*(1-K4714)</f>
      </c>
    </row>
    <row r="4715">
      <c r="A4715" t="s">
        <v>167</v>
      </c>
      <c r="B4715" t="s">
        <v>272</v>
      </c>
      <c r="C4715" s="35" t="s">
        <v>274</v>
      </c>
      <c r="D4715" t="s">
        <v>502</v>
      </c>
      <c r="E4715" t="s">
        <v>520</v>
      </c>
      <c r="F4715" s="188" t="n">
        <v>2038</v>
      </c>
      <c r="G4715" s="189" t="n">
        <v>63</v>
      </c>
      <c r="H4715" s="190" t="n">
        <v>24688.0532806139</v>
      </c>
      <c r="I4715" s="191" t="n">
        <v>3284587.77200914</v>
      </c>
      <c r="J4715" s="192" t="str">
        <f>IF(I4715&gt;0,H4715/I4715,0)</f>
      </c>
      <c r="K4715" s="193" t="str">
        <f>1-EXP(-J4715)</f>
      </c>
      <c r="L4715" s="194" t="str">
        <f>IF(G4715=30,1,M4714)</f>
      </c>
      <c r="M4715" s="195" t="str">
        <f>L4715*(1-K4715)</f>
      </c>
    </row>
    <row r="4716">
      <c r="A4716" t="s">
        <v>167</v>
      </c>
      <c r="B4716" t="s">
        <v>272</v>
      </c>
      <c r="C4716" s="35" t="s">
        <v>274</v>
      </c>
      <c r="D4716" t="s">
        <v>502</v>
      </c>
      <c r="E4716" t="s">
        <v>520</v>
      </c>
      <c r="F4716" s="188" t="n">
        <v>2038</v>
      </c>
      <c r="G4716" s="189" t="n">
        <v>64</v>
      </c>
      <c r="H4716" s="190" t="n">
        <v>26012.9395278719</v>
      </c>
      <c r="I4716" s="191" t="n">
        <v>3157441.95198872</v>
      </c>
      <c r="J4716" s="192" t="str">
        <f>IF(I4716&gt;0,H4716/I4716,0)</f>
      </c>
      <c r="K4716" s="193" t="str">
        <f>1-EXP(-J4716)</f>
      </c>
      <c r="L4716" s="194" t="str">
        <f>IF(G4716=30,1,M4715)</f>
      </c>
      <c r="M4716" s="195" t="str">
        <f>L4716*(1-K4716)</f>
      </c>
    </row>
    <row r="4717">
      <c r="A4717" t="s">
        <v>167</v>
      </c>
      <c r="B4717" t="s">
        <v>272</v>
      </c>
      <c r="C4717" s="35" t="s">
        <v>274</v>
      </c>
      <c r="D4717" t="s">
        <v>502</v>
      </c>
      <c r="E4717" t="s">
        <v>520</v>
      </c>
      <c r="F4717" s="188" t="n">
        <v>2038</v>
      </c>
      <c r="G4717" s="189" t="n">
        <v>65</v>
      </c>
      <c r="H4717" s="190" t="n">
        <v>26755.6461652943</v>
      </c>
      <c r="I4717" s="191" t="n">
        <v>3082431.96766829</v>
      </c>
      <c r="J4717" s="192" t="str">
        <f>IF(I4717&gt;0,H4717/I4717,0)</f>
      </c>
      <c r="K4717" s="193" t="str">
        <f>1-EXP(-J4717)</f>
      </c>
      <c r="L4717" s="194" t="str">
        <f>IF(G4717=30,1,M4716)</f>
      </c>
      <c r="M4717" s="195" t="str">
        <f>L4717*(1-K4717)</f>
      </c>
    </row>
    <row r="4718">
      <c r="A4718" t="s">
        <v>167</v>
      </c>
      <c r="B4718" t="s">
        <v>272</v>
      </c>
      <c r="C4718" s="35" t="s">
        <v>274</v>
      </c>
      <c r="D4718" t="s">
        <v>502</v>
      </c>
      <c r="E4718" t="s">
        <v>520</v>
      </c>
      <c r="F4718" s="188" t="n">
        <v>2038</v>
      </c>
      <c r="G4718" s="189" t="n">
        <v>66</v>
      </c>
      <c r="H4718" s="190" t="n">
        <v>27271.9249589097</v>
      </c>
      <c r="I4718" s="191" t="n">
        <v>2862932.95125991</v>
      </c>
      <c r="J4718" s="192" t="str">
        <f>IF(I4718&gt;0,H4718/I4718,0)</f>
      </c>
      <c r="K4718" s="193" t="str">
        <f>1-EXP(-J4718)</f>
      </c>
      <c r="L4718" s="194" t="str">
        <f>IF(G4718=30,1,M4717)</f>
      </c>
      <c r="M4718" s="195" t="str">
        <f>L4718*(1-K4718)</f>
      </c>
    </row>
    <row r="4719">
      <c r="A4719" t="s">
        <v>167</v>
      </c>
      <c r="B4719" t="s">
        <v>272</v>
      </c>
      <c r="C4719" s="35" t="s">
        <v>274</v>
      </c>
      <c r="D4719" t="s">
        <v>502</v>
      </c>
      <c r="E4719" t="s">
        <v>520</v>
      </c>
      <c r="F4719" s="188" t="n">
        <v>2038</v>
      </c>
      <c r="G4719" s="189" t="n">
        <v>67</v>
      </c>
      <c r="H4719" s="190" t="n">
        <v>28747.0700368482</v>
      </c>
      <c r="I4719" s="191" t="n">
        <v>2749251.48011651</v>
      </c>
      <c r="J4719" s="192" t="str">
        <f>IF(I4719&gt;0,H4719/I4719,0)</f>
      </c>
      <c r="K4719" s="193" t="str">
        <f>1-EXP(-J4719)</f>
      </c>
      <c r="L4719" s="194" t="str">
        <f>IF(G4719=30,1,M4718)</f>
      </c>
      <c r="M4719" s="195" t="str">
        <f>L4719*(1-K4719)</f>
      </c>
    </row>
    <row r="4720">
      <c r="A4720" t="s">
        <v>167</v>
      </c>
      <c r="B4720" t="s">
        <v>272</v>
      </c>
      <c r="C4720" s="35" t="s">
        <v>274</v>
      </c>
      <c r="D4720" t="s">
        <v>502</v>
      </c>
      <c r="E4720" t="s">
        <v>520</v>
      </c>
      <c r="F4720" s="188" t="n">
        <v>2038</v>
      </c>
      <c r="G4720" s="189" t="n">
        <v>68</v>
      </c>
      <c r="H4720" s="190" t="n">
        <v>30303.1747351694</v>
      </c>
      <c r="I4720" s="191" t="n">
        <v>2638204.42884079</v>
      </c>
      <c r="J4720" s="192" t="str">
        <f>IF(I4720&gt;0,H4720/I4720,0)</f>
      </c>
      <c r="K4720" s="193" t="str">
        <f>1-EXP(-J4720)</f>
      </c>
      <c r="L4720" s="194" t="str">
        <f>IF(G4720=30,1,M4719)</f>
      </c>
      <c r="M4720" s="195" t="str">
        <f>L4720*(1-K4720)</f>
      </c>
    </row>
    <row r="4721">
      <c r="A4721" t="s">
        <v>167</v>
      </c>
      <c r="B4721" t="s">
        <v>272</v>
      </c>
      <c r="C4721" s="35" t="s">
        <v>274</v>
      </c>
      <c r="D4721" t="s">
        <v>502</v>
      </c>
      <c r="E4721" t="s">
        <v>520</v>
      </c>
      <c r="F4721" s="188" t="n">
        <v>2038</v>
      </c>
      <c r="G4721" s="189" t="n">
        <v>69</v>
      </c>
      <c r="H4721" s="190" t="n">
        <v>31800.7456819291</v>
      </c>
      <c r="I4721" s="191" t="n">
        <v>2518355.15885052</v>
      </c>
      <c r="J4721" s="192" t="str">
        <f>IF(I4721&gt;0,H4721/I4721,0)</f>
      </c>
      <c r="K4721" s="193" t="str">
        <f>1-EXP(-J4721)</f>
      </c>
      <c r="L4721" s="194" t="str">
        <f>IF(G4721=30,1,M4720)</f>
      </c>
      <c r="M4721" s="195" t="str">
        <f>L4721*(1-K4721)</f>
      </c>
    </row>
    <row r="4722">
      <c r="A4722" t="s">
        <v>167</v>
      </c>
      <c r="B4722" t="s">
        <v>272</v>
      </c>
      <c r="C4722" s="35" t="s">
        <v>274</v>
      </c>
      <c r="D4722" t="s">
        <v>502</v>
      </c>
      <c r="E4722" t="s">
        <v>520</v>
      </c>
      <c r="F4722" s="188" t="n">
        <v>2039</v>
      </c>
      <c r="G4722" s="189" t="n">
        <v>30</v>
      </c>
      <c r="H4722" s="190" t="n">
        <v>769.361175665237</v>
      </c>
      <c r="I4722" s="191" t="n">
        <v>4690541.91324794</v>
      </c>
      <c r="J4722" s="192" t="str">
        <f>IF(I4722&gt;0,H4722/I4722,0)</f>
      </c>
      <c r="K4722" s="193" t="str">
        <f>1-EXP(-J4722)</f>
      </c>
      <c r="L4722" s="194" t="str">
        <f>IF(G4722=30,1,M4721)</f>
      </c>
      <c r="M4722" s="195" t="str">
        <f>L4722*(1-K4722)</f>
      </c>
    </row>
    <row r="4723">
      <c r="A4723" t="s">
        <v>167</v>
      </c>
      <c r="B4723" t="s">
        <v>272</v>
      </c>
      <c r="C4723" s="35" t="s">
        <v>274</v>
      </c>
      <c r="D4723" t="s">
        <v>502</v>
      </c>
      <c r="E4723" t="s">
        <v>520</v>
      </c>
      <c r="F4723" s="188" t="n">
        <v>2039</v>
      </c>
      <c r="G4723" s="189" t="n">
        <v>31</v>
      </c>
      <c r="H4723" s="190" t="n">
        <v>981.389242531186</v>
      </c>
      <c r="I4723" s="191" t="n">
        <v>4647899.93412849</v>
      </c>
      <c r="J4723" s="192" t="str">
        <f>IF(I4723&gt;0,H4723/I4723,0)</f>
      </c>
      <c r="K4723" s="193" t="str">
        <f>1-EXP(-J4723)</f>
      </c>
      <c r="L4723" s="194" t="str">
        <f>IF(G4723=30,1,M4722)</f>
      </c>
      <c r="M4723" s="195" t="str">
        <f>L4723*(1-K4723)</f>
      </c>
    </row>
    <row r="4724">
      <c r="A4724" t="s">
        <v>167</v>
      </c>
      <c r="B4724" t="s">
        <v>272</v>
      </c>
      <c r="C4724" s="35" t="s">
        <v>274</v>
      </c>
      <c r="D4724" t="s">
        <v>502</v>
      </c>
      <c r="E4724" t="s">
        <v>520</v>
      </c>
      <c r="F4724" s="188" t="n">
        <v>2039</v>
      </c>
      <c r="G4724" s="189" t="n">
        <v>32</v>
      </c>
      <c r="H4724" s="190" t="n">
        <v>1089.66824528788</v>
      </c>
      <c r="I4724" s="191" t="n">
        <v>4674270.27380602</v>
      </c>
      <c r="J4724" s="192" t="str">
        <f>IF(I4724&gt;0,H4724/I4724,0)</f>
      </c>
      <c r="K4724" s="193" t="str">
        <f>1-EXP(-J4724)</f>
      </c>
      <c r="L4724" s="194" t="str">
        <f>IF(G4724=30,1,M4723)</f>
      </c>
      <c r="M4724" s="195" t="str">
        <f>L4724*(1-K4724)</f>
      </c>
    </row>
    <row r="4725">
      <c r="A4725" t="s">
        <v>167</v>
      </c>
      <c r="B4725" t="s">
        <v>272</v>
      </c>
      <c r="C4725" s="35" t="s">
        <v>274</v>
      </c>
      <c r="D4725" t="s">
        <v>502</v>
      </c>
      <c r="E4725" t="s">
        <v>520</v>
      </c>
      <c r="F4725" s="188" t="n">
        <v>2039</v>
      </c>
      <c r="G4725" s="189" t="n">
        <v>33</v>
      </c>
      <c r="H4725" s="190" t="n">
        <v>1133.44078185531</v>
      </c>
      <c r="I4725" s="191" t="n">
        <v>4591292.84707735</v>
      </c>
      <c r="J4725" s="192" t="str">
        <f>IF(I4725&gt;0,H4725/I4725,0)</f>
      </c>
      <c r="K4725" s="193" t="str">
        <f>1-EXP(-J4725)</f>
      </c>
      <c r="L4725" s="194" t="str">
        <f>IF(G4725=30,1,M4724)</f>
      </c>
      <c r="M4725" s="195" t="str">
        <f>L4725*(1-K4725)</f>
      </c>
    </row>
    <row r="4726">
      <c r="A4726" t="s">
        <v>167</v>
      </c>
      <c r="B4726" t="s">
        <v>272</v>
      </c>
      <c r="C4726" s="35" t="s">
        <v>274</v>
      </c>
      <c r="D4726" t="s">
        <v>502</v>
      </c>
      <c r="E4726" t="s">
        <v>520</v>
      </c>
      <c r="F4726" s="188" t="n">
        <v>2039</v>
      </c>
      <c r="G4726" s="189" t="n">
        <v>34</v>
      </c>
      <c r="H4726" s="190" t="n">
        <v>1191.77410170158</v>
      </c>
      <c r="I4726" s="191" t="n">
        <v>4530145.24943812</v>
      </c>
      <c r="J4726" s="192" t="str">
        <f>IF(I4726&gt;0,H4726/I4726,0)</f>
      </c>
      <c r="K4726" s="193" t="str">
        <f>1-EXP(-J4726)</f>
      </c>
      <c r="L4726" s="194" t="str">
        <f>IF(G4726=30,1,M4725)</f>
      </c>
      <c r="M4726" s="195" t="str">
        <f>L4726*(1-K4726)</f>
      </c>
    </row>
    <row r="4727">
      <c r="A4727" t="s">
        <v>167</v>
      </c>
      <c r="B4727" t="s">
        <v>272</v>
      </c>
      <c r="C4727" s="35" t="s">
        <v>274</v>
      </c>
      <c r="D4727" t="s">
        <v>502</v>
      </c>
      <c r="E4727" t="s">
        <v>520</v>
      </c>
      <c r="F4727" s="188" t="n">
        <v>2039</v>
      </c>
      <c r="G4727" s="189" t="n">
        <v>35</v>
      </c>
      <c r="H4727" s="190" t="n">
        <v>1549.14935656664</v>
      </c>
      <c r="I4727" s="191" t="n">
        <v>4401342.00247646</v>
      </c>
      <c r="J4727" s="192" t="str">
        <f>IF(I4727&gt;0,H4727/I4727,0)</f>
      </c>
      <c r="K4727" s="193" t="str">
        <f>1-EXP(-J4727)</f>
      </c>
      <c r="L4727" s="194" t="str">
        <f>IF(G4727=30,1,M4726)</f>
      </c>
      <c r="M4727" s="195" t="str">
        <f>L4727*(1-K4727)</f>
      </c>
    </row>
    <row r="4728">
      <c r="A4728" t="s">
        <v>167</v>
      </c>
      <c r="B4728" t="s">
        <v>272</v>
      </c>
      <c r="C4728" s="35" t="s">
        <v>274</v>
      </c>
      <c r="D4728" t="s">
        <v>502</v>
      </c>
      <c r="E4728" t="s">
        <v>520</v>
      </c>
      <c r="F4728" s="188" t="n">
        <v>2039</v>
      </c>
      <c r="G4728" s="189" t="n">
        <v>36</v>
      </c>
      <c r="H4728" s="190" t="n">
        <v>1769.36452529442</v>
      </c>
      <c r="I4728" s="191" t="n">
        <v>4334969.85016093</v>
      </c>
      <c r="J4728" s="192" t="str">
        <f>IF(I4728&gt;0,H4728/I4728,0)</f>
      </c>
      <c r="K4728" s="193" t="str">
        <f>1-EXP(-J4728)</f>
      </c>
      <c r="L4728" s="194" t="str">
        <f>IF(G4728=30,1,M4727)</f>
      </c>
      <c r="M4728" s="195" t="str">
        <f>L4728*(1-K4728)</f>
      </c>
    </row>
    <row r="4729">
      <c r="A4729" t="s">
        <v>167</v>
      </c>
      <c r="B4729" t="s">
        <v>272</v>
      </c>
      <c r="C4729" s="35" t="s">
        <v>274</v>
      </c>
      <c r="D4729" t="s">
        <v>502</v>
      </c>
      <c r="E4729" t="s">
        <v>520</v>
      </c>
      <c r="F4729" s="188" t="n">
        <v>2039</v>
      </c>
      <c r="G4729" s="189" t="n">
        <v>37</v>
      </c>
      <c r="H4729" s="190" t="n">
        <v>2039.55939983773</v>
      </c>
      <c r="I4729" s="191" t="n">
        <v>4311824.7347327</v>
      </c>
      <c r="J4729" s="192" t="str">
        <f>IF(I4729&gt;0,H4729/I4729,0)</f>
      </c>
      <c r="K4729" s="193" t="str">
        <f>1-EXP(-J4729)</f>
      </c>
      <c r="L4729" s="194" t="str">
        <f>IF(G4729=30,1,M4728)</f>
      </c>
      <c r="M4729" s="195" t="str">
        <f>L4729*(1-K4729)</f>
      </c>
    </row>
    <row r="4730">
      <c r="A4730" t="s">
        <v>167</v>
      </c>
      <c r="B4730" t="s">
        <v>272</v>
      </c>
      <c r="C4730" s="35" t="s">
        <v>274</v>
      </c>
      <c r="D4730" t="s">
        <v>502</v>
      </c>
      <c r="E4730" t="s">
        <v>520</v>
      </c>
      <c r="F4730" s="188" t="n">
        <v>2039</v>
      </c>
      <c r="G4730" s="189" t="n">
        <v>38</v>
      </c>
      <c r="H4730" s="190" t="n">
        <v>2186.59157117496</v>
      </c>
      <c r="I4730" s="191" t="n">
        <v>4290308.53000059</v>
      </c>
      <c r="J4730" s="192" t="str">
        <f>IF(I4730&gt;0,H4730/I4730,0)</f>
      </c>
      <c r="K4730" s="193" t="str">
        <f>1-EXP(-J4730)</f>
      </c>
      <c r="L4730" s="194" t="str">
        <f>IF(G4730=30,1,M4729)</f>
      </c>
      <c r="M4730" s="195" t="str">
        <f>L4730*(1-K4730)</f>
      </c>
    </row>
    <row r="4731">
      <c r="A4731" t="s">
        <v>167</v>
      </c>
      <c r="B4731" t="s">
        <v>272</v>
      </c>
      <c r="C4731" s="35" t="s">
        <v>274</v>
      </c>
      <c r="D4731" t="s">
        <v>502</v>
      </c>
      <c r="E4731" t="s">
        <v>520</v>
      </c>
      <c r="F4731" s="188" t="n">
        <v>2039</v>
      </c>
      <c r="G4731" s="189" t="n">
        <v>39</v>
      </c>
      <c r="H4731" s="190" t="n">
        <v>2350.1672281558</v>
      </c>
      <c r="I4731" s="191" t="n">
        <v>4268249.17254837</v>
      </c>
      <c r="J4731" s="192" t="str">
        <f>IF(I4731&gt;0,H4731/I4731,0)</f>
      </c>
      <c r="K4731" s="193" t="str">
        <f>1-EXP(-J4731)</f>
      </c>
      <c r="L4731" s="194" t="str">
        <f>IF(G4731=30,1,M4730)</f>
      </c>
      <c r="M4731" s="195" t="str">
        <f>L4731*(1-K4731)</f>
      </c>
    </row>
    <row r="4732">
      <c r="A4732" t="s">
        <v>167</v>
      </c>
      <c r="B4732" t="s">
        <v>272</v>
      </c>
      <c r="C4732" s="35" t="s">
        <v>274</v>
      </c>
      <c r="D4732" t="s">
        <v>502</v>
      </c>
      <c r="E4732" t="s">
        <v>520</v>
      </c>
      <c r="F4732" s="188" t="n">
        <v>2039</v>
      </c>
      <c r="G4732" s="189" t="n">
        <v>40</v>
      </c>
      <c r="H4732" s="190" t="n">
        <v>3171.21487489211</v>
      </c>
      <c r="I4732" s="191" t="n">
        <v>4285201.44523647</v>
      </c>
      <c r="J4732" s="192" t="str">
        <f>IF(I4732&gt;0,H4732/I4732,0)</f>
      </c>
      <c r="K4732" s="193" t="str">
        <f>1-EXP(-J4732)</f>
      </c>
      <c r="L4732" s="194" t="str">
        <f>IF(G4732=30,1,M4731)</f>
      </c>
      <c r="M4732" s="195" t="str">
        <f>L4732*(1-K4732)</f>
      </c>
    </row>
    <row r="4733">
      <c r="A4733" t="s">
        <v>167</v>
      </c>
      <c r="B4733" t="s">
        <v>272</v>
      </c>
      <c r="C4733" s="35" t="s">
        <v>274</v>
      </c>
      <c r="D4733" t="s">
        <v>502</v>
      </c>
      <c r="E4733" t="s">
        <v>520</v>
      </c>
      <c r="F4733" s="188" t="n">
        <v>2039</v>
      </c>
      <c r="G4733" s="189" t="n">
        <v>41</v>
      </c>
      <c r="H4733" s="190" t="n">
        <v>3542.15955321581</v>
      </c>
      <c r="I4733" s="191" t="n">
        <v>4339788.16117474</v>
      </c>
      <c r="J4733" s="192" t="str">
        <f>IF(I4733&gt;0,H4733/I4733,0)</f>
      </c>
      <c r="K4733" s="193" t="str">
        <f>1-EXP(-J4733)</f>
      </c>
      <c r="L4733" s="194" t="str">
        <f>IF(G4733=30,1,M4732)</f>
      </c>
      <c r="M4733" s="195" t="str">
        <f>L4733*(1-K4733)</f>
      </c>
    </row>
    <row r="4734">
      <c r="A4734" t="s">
        <v>167</v>
      </c>
      <c r="B4734" t="s">
        <v>272</v>
      </c>
      <c r="C4734" s="35" t="s">
        <v>274</v>
      </c>
      <c r="D4734" t="s">
        <v>502</v>
      </c>
      <c r="E4734" t="s">
        <v>520</v>
      </c>
      <c r="F4734" s="188" t="n">
        <v>2039</v>
      </c>
      <c r="G4734" s="189" t="n">
        <v>42</v>
      </c>
      <c r="H4734" s="190" t="n">
        <v>4166.82095125061</v>
      </c>
      <c r="I4734" s="191" t="n">
        <v>4471544.75524761</v>
      </c>
      <c r="J4734" s="192" t="str">
        <f>IF(I4734&gt;0,H4734/I4734,0)</f>
      </c>
      <c r="K4734" s="193" t="str">
        <f>1-EXP(-J4734)</f>
      </c>
      <c r="L4734" s="194" t="str">
        <f>IF(G4734=30,1,M4733)</f>
      </c>
      <c r="M4734" s="195" t="str">
        <f>L4734*(1-K4734)</f>
      </c>
    </row>
    <row r="4735">
      <c r="A4735" t="s">
        <v>167</v>
      </c>
      <c r="B4735" t="s">
        <v>272</v>
      </c>
      <c r="C4735" s="35" t="s">
        <v>274</v>
      </c>
      <c r="D4735" t="s">
        <v>502</v>
      </c>
      <c r="E4735" t="s">
        <v>520</v>
      </c>
      <c r="F4735" s="188" t="n">
        <v>2039</v>
      </c>
      <c r="G4735" s="189" t="n">
        <v>43</v>
      </c>
      <c r="H4735" s="190" t="n">
        <v>4478.30554603676</v>
      </c>
      <c r="I4735" s="191" t="n">
        <v>4424024.71661839</v>
      </c>
      <c r="J4735" s="192" t="str">
        <f>IF(I4735&gt;0,H4735/I4735,0)</f>
      </c>
      <c r="K4735" s="193" t="str">
        <f>1-EXP(-J4735)</f>
      </c>
      <c r="L4735" s="194" t="str">
        <f>IF(G4735=30,1,M4734)</f>
      </c>
      <c r="M4735" s="195" t="str">
        <f>L4735*(1-K4735)</f>
      </c>
    </row>
    <row r="4736">
      <c r="A4736" t="s">
        <v>167</v>
      </c>
      <c r="B4736" t="s">
        <v>272</v>
      </c>
      <c r="C4736" s="35" t="s">
        <v>274</v>
      </c>
      <c r="D4736" t="s">
        <v>502</v>
      </c>
      <c r="E4736" t="s">
        <v>520</v>
      </c>
      <c r="F4736" s="188" t="n">
        <v>2039</v>
      </c>
      <c r="G4736" s="189" t="n">
        <v>44</v>
      </c>
      <c r="H4736" s="190" t="n">
        <v>4792.18573516458</v>
      </c>
      <c r="I4736" s="191" t="n">
        <v>4346349.48429738</v>
      </c>
      <c r="J4736" s="192" t="str">
        <f>IF(I4736&gt;0,H4736/I4736,0)</f>
      </c>
      <c r="K4736" s="193" t="str">
        <f>1-EXP(-J4736)</f>
      </c>
      <c r="L4736" s="194" t="str">
        <f>IF(G4736=30,1,M4735)</f>
      </c>
      <c r="M4736" s="195" t="str">
        <f>L4736*(1-K4736)</f>
      </c>
    </row>
    <row r="4737">
      <c r="A4737" t="s">
        <v>167</v>
      </c>
      <c r="B4737" t="s">
        <v>272</v>
      </c>
      <c r="C4737" s="35" t="s">
        <v>274</v>
      </c>
      <c r="D4737" t="s">
        <v>502</v>
      </c>
      <c r="E4737" t="s">
        <v>520</v>
      </c>
      <c r="F4737" s="188" t="n">
        <v>2039</v>
      </c>
      <c r="G4737" s="189" t="n">
        <v>45</v>
      </c>
      <c r="H4737" s="190" t="n">
        <v>6067.21409050192</v>
      </c>
      <c r="I4737" s="191" t="n">
        <v>4283611.29203569</v>
      </c>
      <c r="J4737" s="192" t="str">
        <f>IF(I4737&gt;0,H4737/I4737,0)</f>
      </c>
      <c r="K4737" s="193" t="str">
        <f>1-EXP(-J4737)</f>
      </c>
      <c r="L4737" s="194" t="str">
        <f>IF(G4737=30,1,M4736)</f>
      </c>
      <c r="M4737" s="195" t="str">
        <f>L4737*(1-K4737)</f>
      </c>
    </row>
    <row r="4738">
      <c r="A4738" t="s">
        <v>167</v>
      </c>
      <c r="B4738" t="s">
        <v>272</v>
      </c>
      <c r="C4738" s="35" t="s">
        <v>274</v>
      </c>
      <c r="D4738" t="s">
        <v>502</v>
      </c>
      <c r="E4738" t="s">
        <v>520</v>
      </c>
      <c r="F4738" s="188" t="n">
        <v>2039</v>
      </c>
      <c r="G4738" s="189" t="n">
        <v>46</v>
      </c>
      <c r="H4738" s="190" t="n">
        <v>6528.01098923355</v>
      </c>
      <c r="I4738" s="191" t="n">
        <v>4222846.67164025</v>
      </c>
      <c r="J4738" s="192" t="str">
        <f>IF(I4738&gt;0,H4738/I4738,0)</f>
      </c>
      <c r="K4738" s="193" t="str">
        <f>1-EXP(-J4738)</f>
      </c>
      <c r="L4738" s="194" t="str">
        <f>IF(G4738=30,1,M4737)</f>
      </c>
      <c r="M4738" s="195" t="str">
        <f>L4738*(1-K4738)</f>
      </c>
    </row>
    <row r="4739">
      <c r="A4739" t="s">
        <v>167</v>
      </c>
      <c r="B4739" t="s">
        <v>272</v>
      </c>
      <c r="C4739" s="35" t="s">
        <v>274</v>
      </c>
      <c r="D4739" t="s">
        <v>502</v>
      </c>
      <c r="E4739" t="s">
        <v>520</v>
      </c>
      <c r="F4739" s="188" t="n">
        <v>2039</v>
      </c>
      <c r="G4739" s="189" t="n">
        <v>47</v>
      </c>
      <c r="H4739" s="190" t="n">
        <v>7191.05180416301</v>
      </c>
      <c r="I4739" s="191" t="n">
        <v>4251539.66805107</v>
      </c>
      <c r="J4739" s="192" t="str">
        <f>IF(I4739&gt;0,H4739/I4739,0)</f>
      </c>
      <c r="K4739" s="193" t="str">
        <f>1-EXP(-J4739)</f>
      </c>
      <c r="L4739" s="194" t="str">
        <f>IF(G4739=30,1,M4738)</f>
      </c>
      <c r="M4739" s="195" t="str">
        <f>L4739*(1-K4739)</f>
      </c>
    </row>
    <row r="4740">
      <c r="A4740" t="s">
        <v>167</v>
      </c>
      <c r="B4740" t="s">
        <v>272</v>
      </c>
      <c r="C4740" s="35" t="s">
        <v>274</v>
      </c>
      <c r="D4740" t="s">
        <v>502</v>
      </c>
      <c r="E4740" t="s">
        <v>520</v>
      </c>
      <c r="F4740" s="188" t="n">
        <v>2039</v>
      </c>
      <c r="G4740" s="189" t="n">
        <v>48</v>
      </c>
      <c r="H4740" s="190" t="n">
        <v>7899.26708885236</v>
      </c>
      <c r="I4740" s="191" t="n">
        <v>4259878.27902596</v>
      </c>
      <c r="J4740" s="192" t="str">
        <f>IF(I4740&gt;0,H4740/I4740,0)</f>
      </c>
      <c r="K4740" s="193" t="str">
        <f>1-EXP(-J4740)</f>
      </c>
      <c r="L4740" s="194" t="str">
        <f>IF(G4740=30,1,M4739)</f>
      </c>
      <c r="M4740" s="195" t="str">
        <f>L4740*(1-K4740)</f>
      </c>
    </row>
    <row r="4741">
      <c r="A4741" t="s">
        <v>167</v>
      </c>
      <c r="B4741" t="s">
        <v>272</v>
      </c>
      <c r="C4741" s="35" t="s">
        <v>274</v>
      </c>
      <c r="D4741" t="s">
        <v>502</v>
      </c>
      <c r="E4741" t="s">
        <v>520</v>
      </c>
      <c r="F4741" s="188" t="n">
        <v>2039</v>
      </c>
      <c r="G4741" s="189" t="n">
        <v>49</v>
      </c>
      <c r="H4741" s="190" t="n">
        <v>11668.8655225456</v>
      </c>
      <c r="I4741" s="191" t="n">
        <v>6266802.89030235</v>
      </c>
      <c r="J4741" s="192" t="str">
        <f>IF(I4741&gt;0,H4741/I4741,0)</f>
      </c>
      <c r="K4741" s="193" t="str">
        <f>1-EXP(-J4741)</f>
      </c>
      <c r="L4741" s="194" t="str">
        <f>IF(G4741=30,1,M4740)</f>
      </c>
      <c r="M4741" s="195" t="str">
        <f>L4741*(1-K4741)</f>
      </c>
    </row>
    <row r="4742">
      <c r="A4742" t="s">
        <v>167</v>
      </c>
      <c r="B4742" t="s">
        <v>272</v>
      </c>
      <c r="C4742" s="35" t="s">
        <v>274</v>
      </c>
      <c r="D4742" t="s">
        <v>502</v>
      </c>
      <c r="E4742" t="s">
        <v>520</v>
      </c>
      <c r="F4742" s="188" t="n">
        <v>2039</v>
      </c>
      <c r="G4742" s="189" t="n">
        <v>50</v>
      </c>
      <c r="H4742" s="190" t="n">
        <v>9826.80807286</v>
      </c>
      <c r="I4742" s="191" t="n">
        <v>4198055.33086579</v>
      </c>
      <c r="J4742" s="192" t="str">
        <f>IF(I4742&gt;0,H4742/I4742,0)</f>
      </c>
      <c r="K4742" s="193" t="str">
        <f>1-EXP(-J4742)</f>
      </c>
      <c r="L4742" s="194" t="str">
        <f>IF(G4742=30,1,M4741)</f>
      </c>
      <c r="M4742" s="195" t="str">
        <f>L4742*(1-K4742)</f>
      </c>
    </row>
    <row r="4743">
      <c r="A4743" t="s">
        <v>167</v>
      </c>
      <c r="B4743" t="s">
        <v>272</v>
      </c>
      <c r="C4743" s="35" t="s">
        <v>274</v>
      </c>
      <c r="D4743" t="s">
        <v>502</v>
      </c>
      <c r="E4743" t="s">
        <v>520</v>
      </c>
      <c r="F4743" s="188" t="n">
        <v>2039</v>
      </c>
      <c r="G4743" s="189" t="n">
        <v>51</v>
      </c>
      <c r="H4743" s="190" t="n">
        <v>10670.495109893</v>
      </c>
      <c r="I4743" s="191" t="n">
        <v>4168613.70201564</v>
      </c>
      <c r="J4743" s="192" t="str">
        <f>IF(I4743&gt;0,H4743/I4743,0)</f>
      </c>
      <c r="K4743" s="193" t="str">
        <f>1-EXP(-J4743)</f>
      </c>
      <c r="L4743" s="194" t="str">
        <f>IF(G4743=30,1,M4742)</f>
      </c>
      <c r="M4743" s="195" t="str">
        <f>L4743*(1-K4743)</f>
      </c>
    </row>
    <row r="4744">
      <c r="A4744" t="s">
        <v>167</v>
      </c>
      <c r="B4744" t="s">
        <v>272</v>
      </c>
      <c r="C4744" s="35" t="s">
        <v>274</v>
      </c>
      <c r="D4744" t="s">
        <v>502</v>
      </c>
      <c r="E4744" t="s">
        <v>520</v>
      </c>
      <c r="F4744" s="188" t="n">
        <v>2039</v>
      </c>
      <c r="G4744" s="189" t="n">
        <v>52</v>
      </c>
      <c r="H4744" s="190" t="n">
        <v>11276.4465055266</v>
      </c>
      <c r="I4744" s="191" t="n">
        <v>4027445.52375485</v>
      </c>
      <c r="J4744" s="192" t="str">
        <f>IF(I4744&gt;0,H4744/I4744,0)</f>
      </c>
      <c r="K4744" s="193" t="str">
        <f>1-EXP(-J4744)</f>
      </c>
      <c r="L4744" s="194" t="str">
        <f>IF(G4744=30,1,M4743)</f>
      </c>
      <c r="M4744" s="195" t="str">
        <f>L4744*(1-K4744)</f>
      </c>
    </row>
    <row r="4745">
      <c r="A4745" t="s">
        <v>167</v>
      </c>
      <c r="B4745" t="s">
        <v>272</v>
      </c>
      <c r="C4745" s="35" t="s">
        <v>274</v>
      </c>
      <c r="D4745" t="s">
        <v>502</v>
      </c>
      <c r="E4745" t="s">
        <v>520</v>
      </c>
      <c r="F4745" s="188" t="n">
        <v>2039</v>
      </c>
      <c r="G4745" s="189" t="n">
        <v>53</v>
      </c>
      <c r="H4745" s="190" t="n">
        <v>12166.9057847479</v>
      </c>
      <c r="I4745" s="191" t="n">
        <v>3979506.84027636</v>
      </c>
      <c r="J4745" s="192" t="str">
        <f>IF(I4745&gt;0,H4745/I4745,0)</f>
      </c>
      <c r="K4745" s="193" t="str">
        <f>1-EXP(-J4745)</f>
      </c>
      <c r="L4745" s="194" t="str">
        <f>IF(G4745=30,1,M4744)</f>
      </c>
      <c r="M4745" s="195" t="str">
        <f>L4745*(1-K4745)</f>
      </c>
    </row>
    <row r="4746">
      <c r="A4746" t="s">
        <v>167</v>
      </c>
      <c r="B4746" t="s">
        <v>272</v>
      </c>
      <c r="C4746" s="35" t="s">
        <v>274</v>
      </c>
      <c r="D4746" t="s">
        <v>502</v>
      </c>
      <c r="E4746" t="s">
        <v>520</v>
      </c>
      <c r="F4746" s="188" t="n">
        <v>2039</v>
      </c>
      <c r="G4746" s="189" t="n">
        <v>54</v>
      </c>
      <c r="H4746" s="190" t="n">
        <v>13410.9792940363</v>
      </c>
      <c r="I4746" s="191" t="n">
        <v>4019758.94650913</v>
      </c>
      <c r="J4746" s="192" t="str">
        <f>IF(I4746&gt;0,H4746/I4746,0)</f>
      </c>
      <c r="K4746" s="193" t="str">
        <f>1-EXP(-J4746)</f>
      </c>
      <c r="L4746" s="194" t="str">
        <f>IF(G4746=30,1,M4745)</f>
      </c>
      <c r="M4746" s="195" t="str">
        <f>L4746*(1-K4746)</f>
      </c>
    </row>
    <row r="4747">
      <c r="A4747" t="s">
        <v>167</v>
      </c>
      <c r="B4747" t="s">
        <v>272</v>
      </c>
      <c r="C4747" s="35" t="s">
        <v>274</v>
      </c>
      <c r="D4747" t="s">
        <v>502</v>
      </c>
      <c r="E4747" t="s">
        <v>520</v>
      </c>
      <c r="F4747" s="188" t="n">
        <v>2039</v>
      </c>
      <c r="G4747" s="189" t="n">
        <v>55</v>
      </c>
      <c r="H4747" s="190" t="n">
        <v>14764.3529788485</v>
      </c>
      <c r="I4747" s="191" t="n">
        <v>4081935.5440773</v>
      </c>
      <c r="J4747" s="192" t="str">
        <f>IF(I4747&gt;0,H4747/I4747,0)</f>
      </c>
      <c r="K4747" s="193" t="str">
        <f>1-EXP(-J4747)</f>
      </c>
      <c r="L4747" s="194" t="str">
        <f>IF(G4747=30,1,M4746)</f>
      </c>
      <c r="M4747" s="195" t="str">
        <f>L4747*(1-K4747)</f>
      </c>
    </row>
    <row r="4748">
      <c r="A4748" t="s">
        <v>167</v>
      </c>
      <c r="B4748" t="s">
        <v>272</v>
      </c>
      <c r="C4748" s="35" t="s">
        <v>274</v>
      </c>
      <c r="D4748" t="s">
        <v>502</v>
      </c>
      <c r="E4748" t="s">
        <v>520</v>
      </c>
      <c r="F4748" s="188" t="n">
        <v>2039</v>
      </c>
      <c r="G4748" s="189" t="n">
        <v>56</v>
      </c>
      <c r="H4748" s="190" t="n">
        <v>15901.8074650523</v>
      </c>
      <c r="I4748" s="191" t="n">
        <v>4038609.84452676</v>
      </c>
      <c r="J4748" s="192" t="str">
        <f>IF(I4748&gt;0,H4748/I4748,0)</f>
      </c>
      <c r="K4748" s="193" t="str">
        <f>1-EXP(-J4748)</f>
      </c>
      <c r="L4748" s="194" t="str">
        <f>IF(G4748=30,1,M4747)</f>
      </c>
      <c r="M4748" s="195" t="str">
        <f>L4748*(1-K4748)</f>
      </c>
    </row>
    <row r="4749">
      <c r="A4749" t="s">
        <v>167</v>
      </c>
      <c r="B4749" t="s">
        <v>272</v>
      </c>
      <c r="C4749" s="35" t="s">
        <v>274</v>
      </c>
      <c r="D4749" t="s">
        <v>502</v>
      </c>
      <c r="E4749" t="s">
        <v>520</v>
      </c>
      <c r="F4749" s="188" t="n">
        <v>2039</v>
      </c>
      <c r="G4749" s="189" t="n">
        <v>57</v>
      </c>
      <c r="H4749" s="190" t="n">
        <v>16731.8975030185</v>
      </c>
      <c r="I4749" s="191" t="n">
        <v>3888270.54666932</v>
      </c>
      <c r="J4749" s="192" t="str">
        <f>IF(I4749&gt;0,H4749/I4749,0)</f>
      </c>
      <c r="K4749" s="193" t="str">
        <f>1-EXP(-J4749)</f>
      </c>
      <c r="L4749" s="194" t="str">
        <f>IF(G4749=30,1,M4748)</f>
      </c>
      <c r="M4749" s="195" t="str">
        <f>L4749*(1-K4749)</f>
      </c>
    </row>
    <row r="4750">
      <c r="A4750" t="s">
        <v>167</v>
      </c>
      <c r="B4750" t="s">
        <v>272</v>
      </c>
      <c r="C4750" s="35" t="s">
        <v>274</v>
      </c>
      <c r="D4750" t="s">
        <v>502</v>
      </c>
      <c r="E4750" t="s">
        <v>520</v>
      </c>
      <c r="F4750" s="188" t="n">
        <v>2039</v>
      </c>
      <c r="G4750" s="189" t="n">
        <v>58</v>
      </c>
      <c r="H4750" s="190" t="n">
        <v>17855.6165514888</v>
      </c>
      <c r="I4750" s="191" t="n">
        <v>3795986.98230767</v>
      </c>
      <c r="J4750" s="192" t="str">
        <f>IF(I4750&gt;0,H4750/I4750,0)</f>
      </c>
      <c r="K4750" s="193" t="str">
        <f>1-EXP(-J4750)</f>
      </c>
      <c r="L4750" s="194" t="str">
        <f>IF(G4750=30,1,M4749)</f>
      </c>
      <c r="M4750" s="195" t="str">
        <f>L4750*(1-K4750)</f>
      </c>
    </row>
    <row r="4751">
      <c r="A4751" t="s">
        <v>167</v>
      </c>
      <c r="B4751" t="s">
        <v>272</v>
      </c>
      <c r="C4751" s="35" t="s">
        <v>274</v>
      </c>
      <c r="D4751" t="s">
        <v>502</v>
      </c>
      <c r="E4751" t="s">
        <v>520</v>
      </c>
      <c r="F4751" s="188" t="n">
        <v>2039</v>
      </c>
      <c r="G4751" s="189" t="n">
        <v>59</v>
      </c>
      <c r="H4751" s="190" t="n">
        <v>19135.3716958313</v>
      </c>
      <c r="I4751" s="191" t="n">
        <v>3717303.26220579</v>
      </c>
      <c r="J4751" s="192" t="str">
        <f>IF(I4751&gt;0,H4751/I4751,0)</f>
      </c>
      <c r="K4751" s="193" t="str">
        <f>1-EXP(-J4751)</f>
      </c>
      <c r="L4751" s="194" t="str">
        <f>IF(G4751=30,1,M4750)</f>
      </c>
      <c r="M4751" s="195" t="str">
        <f>L4751*(1-K4751)</f>
      </c>
    </row>
    <row r="4752">
      <c r="A4752" t="s">
        <v>167</v>
      </c>
      <c r="B4752" t="s">
        <v>272</v>
      </c>
      <c r="C4752" s="35" t="s">
        <v>274</v>
      </c>
      <c r="D4752" t="s">
        <v>502</v>
      </c>
      <c r="E4752" t="s">
        <v>520</v>
      </c>
      <c r="F4752" s="188" t="n">
        <v>2039</v>
      </c>
      <c r="G4752" s="189" t="n">
        <v>60</v>
      </c>
      <c r="H4752" s="190" t="n">
        <v>20454.3583155635</v>
      </c>
      <c r="I4752" s="191" t="n">
        <v>3632200.35872119</v>
      </c>
      <c r="J4752" s="192" t="str">
        <f>IF(I4752&gt;0,H4752/I4752,0)</f>
      </c>
      <c r="K4752" s="193" t="str">
        <f>1-EXP(-J4752)</f>
      </c>
      <c r="L4752" s="194" t="str">
        <f>IF(G4752=30,1,M4751)</f>
      </c>
      <c r="M4752" s="195" t="str">
        <f>L4752*(1-K4752)</f>
      </c>
    </row>
    <row r="4753">
      <c r="A4753" t="s">
        <v>167</v>
      </c>
      <c r="B4753" t="s">
        <v>272</v>
      </c>
      <c r="C4753" s="35" t="s">
        <v>274</v>
      </c>
      <c r="D4753" t="s">
        <v>502</v>
      </c>
      <c r="E4753" t="s">
        <v>520</v>
      </c>
      <c r="F4753" s="188" t="n">
        <v>2039</v>
      </c>
      <c r="G4753" s="189" t="n">
        <v>61</v>
      </c>
      <c r="H4753" s="190" t="n">
        <v>21789.8502523919</v>
      </c>
      <c r="I4753" s="191" t="n">
        <v>3527584.2646677</v>
      </c>
      <c r="J4753" s="192" t="str">
        <f>IF(I4753&gt;0,H4753/I4753,0)</f>
      </c>
      <c r="K4753" s="193" t="str">
        <f>1-EXP(-J4753)</f>
      </c>
      <c r="L4753" s="194" t="str">
        <f>IF(G4753=30,1,M4752)</f>
      </c>
      <c r="M4753" s="195" t="str">
        <f>L4753*(1-K4753)</f>
      </c>
    </row>
    <row r="4754">
      <c r="A4754" t="s">
        <v>167</v>
      </c>
      <c r="B4754" t="s">
        <v>272</v>
      </c>
      <c r="C4754" s="35" t="s">
        <v>274</v>
      </c>
      <c r="D4754" t="s">
        <v>502</v>
      </c>
      <c r="E4754" t="s">
        <v>520</v>
      </c>
      <c r="F4754" s="188" t="n">
        <v>2039</v>
      </c>
      <c r="G4754" s="189" t="n">
        <v>62</v>
      </c>
      <c r="H4754" s="190" t="n">
        <v>23302.1731949656</v>
      </c>
      <c r="I4754" s="191" t="n">
        <v>3437063.17718311</v>
      </c>
      <c r="J4754" s="192" t="str">
        <f>IF(I4754&gt;0,H4754/I4754,0)</f>
      </c>
      <c r="K4754" s="193" t="str">
        <f>1-EXP(-J4754)</f>
      </c>
      <c r="L4754" s="194" t="str">
        <f>IF(G4754=30,1,M4753)</f>
      </c>
      <c r="M4754" s="195" t="str">
        <f>L4754*(1-K4754)</f>
      </c>
    </row>
    <row r="4755">
      <c r="A4755" t="s">
        <v>167</v>
      </c>
      <c r="B4755" t="s">
        <v>272</v>
      </c>
      <c r="C4755" s="35" t="s">
        <v>274</v>
      </c>
      <c r="D4755" t="s">
        <v>502</v>
      </c>
      <c r="E4755" t="s">
        <v>520</v>
      </c>
      <c r="F4755" s="188" t="n">
        <v>2039</v>
      </c>
      <c r="G4755" s="189" t="n">
        <v>63</v>
      </c>
      <c r="H4755" s="190" t="n">
        <v>24784.9640056474</v>
      </c>
      <c r="I4755" s="191" t="n">
        <v>3334674.91478831</v>
      </c>
      <c r="J4755" s="192" t="str">
        <f>IF(I4755&gt;0,H4755/I4755,0)</f>
      </c>
      <c r="K4755" s="193" t="str">
        <f>1-EXP(-J4755)</f>
      </c>
      <c r="L4755" s="194" t="str">
        <f>IF(G4755=30,1,M4754)</f>
      </c>
      <c r="M4755" s="195" t="str">
        <f>L4755*(1-K4755)</f>
      </c>
    </row>
    <row r="4756">
      <c r="A4756" t="s">
        <v>167</v>
      </c>
      <c r="B4756" t="s">
        <v>272</v>
      </c>
      <c r="C4756" s="35" t="s">
        <v>274</v>
      </c>
      <c r="D4756" t="s">
        <v>502</v>
      </c>
      <c r="E4756" t="s">
        <v>520</v>
      </c>
      <c r="F4756" s="188" t="n">
        <v>2039</v>
      </c>
      <c r="G4756" s="189" t="n">
        <v>64</v>
      </c>
      <c r="H4756" s="190" t="n">
        <v>26319.5441954892</v>
      </c>
      <c r="I4756" s="191" t="n">
        <v>3230189.46102164</v>
      </c>
      <c r="J4756" s="192" t="str">
        <f>IF(I4756&gt;0,H4756/I4756,0)</f>
      </c>
      <c r="K4756" s="193" t="str">
        <f>1-EXP(-J4756)</f>
      </c>
      <c r="L4756" s="194" t="str">
        <f>IF(G4756=30,1,M4755)</f>
      </c>
      <c r="M4756" s="195" t="str">
        <f>L4756*(1-K4756)</f>
      </c>
    </row>
    <row r="4757">
      <c r="A4757" t="s">
        <v>167</v>
      </c>
      <c r="B4757" t="s">
        <v>272</v>
      </c>
      <c r="C4757" s="35" t="s">
        <v>274</v>
      </c>
      <c r="D4757" t="s">
        <v>502</v>
      </c>
      <c r="E4757" t="s">
        <v>520</v>
      </c>
      <c r="F4757" s="188" t="n">
        <v>2039</v>
      </c>
      <c r="G4757" s="189" t="n">
        <v>65</v>
      </c>
      <c r="H4757" s="190" t="n">
        <v>26583.1012072135</v>
      </c>
      <c r="I4757" s="191" t="n">
        <v>3100138.09754387</v>
      </c>
      <c r="J4757" s="192" t="str">
        <f>IF(I4757&gt;0,H4757/I4757,0)</f>
      </c>
      <c r="K4757" s="193" t="str">
        <f>1-EXP(-J4757)</f>
      </c>
      <c r="L4757" s="194" t="str">
        <f>IF(G4757=30,1,M4756)</f>
      </c>
      <c r="M4757" s="195" t="str">
        <f>L4757*(1-K4757)</f>
      </c>
    </row>
    <row r="4758">
      <c r="A4758" t="s">
        <v>167</v>
      </c>
      <c r="B4758" t="s">
        <v>272</v>
      </c>
      <c r="C4758" s="35" t="s">
        <v>274</v>
      </c>
      <c r="D4758" t="s">
        <v>502</v>
      </c>
      <c r="E4758" t="s">
        <v>520</v>
      </c>
      <c r="F4758" s="188" t="n">
        <v>2039</v>
      </c>
      <c r="G4758" s="189" t="n">
        <v>66</v>
      </c>
      <c r="H4758" s="190" t="n">
        <v>28404.1128065322</v>
      </c>
      <c r="I4758" s="191" t="n">
        <v>3021630.30095045</v>
      </c>
      <c r="J4758" s="192" t="str">
        <f>IF(I4758&gt;0,H4758/I4758,0)</f>
      </c>
      <c r="K4758" s="193" t="str">
        <f>1-EXP(-J4758)</f>
      </c>
      <c r="L4758" s="194" t="str">
        <f>IF(G4758=30,1,M4757)</f>
      </c>
      <c r="M4758" s="195" t="str">
        <f>L4758*(1-K4758)</f>
      </c>
    </row>
    <row r="4759">
      <c r="A4759" t="s">
        <v>167</v>
      </c>
      <c r="B4759" t="s">
        <v>272</v>
      </c>
      <c r="C4759" s="35" t="s">
        <v>274</v>
      </c>
      <c r="D4759" t="s">
        <v>502</v>
      </c>
      <c r="E4759" t="s">
        <v>520</v>
      </c>
      <c r="F4759" s="188" t="n">
        <v>2039</v>
      </c>
      <c r="G4759" s="189" t="n">
        <v>67</v>
      </c>
      <c r="H4759" s="190" t="n">
        <v>28928.934835419</v>
      </c>
      <c r="I4759" s="191" t="n">
        <v>2800486.98179852</v>
      </c>
      <c r="J4759" s="192" t="str">
        <f>IF(I4759&gt;0,H4759/I4759,0)</f>
      </c>
      <c r="K4759" s="193" t="str">
        <f>1-EXP(-J4759)</f>
      </c>
      <c r="L4759" s="194" t="str">
        <f>IF(G4759=30,1,M4758)</f>
      </c>
      <c r="M4759" s="195" t="str">
        <f>L4759*(1-K4759)</f>
      </c>
    </row>
    <row r="4760">
      <c r="A4760" t="s">
        <v>167</v>
      </c>
      <c r="B4760" t="s">
        <v>272</v>
      </c>
      <c r="C4760" s="35" t="s">
        <v>274</v>
      </c>
      <c r="D4760" t="s">
        <v>502</v>
      </c>
      <c r="E4760" t="s">
        <v>520</v>
      </c>
      <c r="F4760" s="188" t="n">
        <v>2039</v>
      </c>
      <c r="G4760" s="189" t="n">
        <v>68</v>
      </c>
      <c r="H4760" s="190" t="n">
        <v>30452.2857908624</v>
      </c>
      <c r="I4760" s="191" t="n">
        <v>2683490.9253759</v>
      </c>
      <c r="J4760" s="192" t="str">
        <f>IF(I4760&gt;0,H4760/I4760,0)</f>
      </c>
      <c r="K4760" s="193" t="str">
        <f>1-EXP(-J4760)</f>
      </c>
      <c r="L4760" s="194" t="str">
        <f>IF(G4760=30,1,M4759)</f>
      </c>
      <c r="M4760" s="195" t="str">
        <f>L4760*(1-K4760)</f>
      </c>
    </row>
    <row r="4761">
      <c r="A4761" t="s">
        <v>167</v>
      </c>
      <c r="B4761" t="s">
        <v>272</v>
      </c>
      <c r="C4761" s="35" t="s">
        <v>274</v>
      </c>
      <c r="D4761" t="s">
        <v>502</v>
      </c>
      <c r="E4761" t="s">
        <v>520</v>
      </c>
      <c r="F4761" s="188" t="n">
        <v>2039</v>
      </c>
      <c r="G4761" s="189" t="n">
        <v>69</v>
      </c>
      <c r="H4761" s="190" t="n">
        <v>32055.9908979897</v>
      </c>
      <c r="I4761" s="191" t="n">
        <v>2568963.43348064</v>
      </c>
      <c r="J4761" s="192" t="str">
        <f>IF(I4761&gt;0,H4761/I4761,0)</f>
      </c>
      <c r="K4761" s="193" t="str">
        <f>1-EXP(-J4761)</f>
      </c>
      <c r="L4761" s="194" t="str">
        <f>IF(G4761=30,1,M4760)</f>
      </c>
      <c r="M4761" s="195" t="str">
        <f>L4761*(1-K4761)</f>
      </c>
    </row>
    <row r="4762">
      <c r="A4762" t="s">
        <v>167</v>
      </c>
      <c r="B4762" t="s">
        <v>272</v>
      </c>
      <c r="C4762" s="35" t="s">
        <v>274</v>
      </c>
      <c r="D4762" t="s">
        <v>502</v>
      </c>
      <c r="E4762" t="s">
        <v>520</v>
      </c>
      <c r="F4762" s="188" t="n">
        <v>2040</v>
      </c>
      <c r="G4762" s="189" t="n">
        <v>30</v>
      </c>
      <c r="H4762" s="190" t="n">
        <v>783.191326915365</v>
      </c>
      <c r="I4762" s="191" t="n">
        <v>4755821.81415424</v>
      </c>
      <c r="J4762" s="192" t="str">
        <f>IF(I4762&gt;0,H4762/I4762,0)</f>
      </c>
      <c r="K4762" s="193" t="str">
        <f>1-EXP(-J4762)</f>
      </c>
      <c r="L4762" s="194" t="str">
        <f>IF(G4762=30,1,M4761)</f>
      </c>
      <c r="M4762" s="195" t="str">
        <f>L4762*(1-K4762)</f>
      </c>
    </row>
    <row r="4763">
      <c r="A4763" t="s">
        <v>167</v>
      </c>
      <c r="B4763" t="s">
        <v>272</v>
      </c>
      <c r="C4763" s="35" t="s">
        <v>274</v>
      </c>
      <c r="D4763" t="s">
        <v>502</v>
      </c>
      <c r="E4763" t="s">
        <v>520</v>
      </c>
      <c r="F4763" s="188" t="n">
        <v>2040</v>
      </c>
      <c r="G4763" s="189" t="n">
        <v>31</v>
      </c>
      <c r="H4763" s="190" t="n">
        <v>992.794531237256</v>
      </c>
      <c r="I4763" s="191" t="n">
        <v>4684956.27496585</v>
      </c>
      <c r="J4763" s="192" t="str">
        <f>IF(I4763&gt;0,H4763/I4763,0)</f>
      </c>
      <c r="K4763" s="193" t="str">
        <f>1-EXP(-J4763)</f>
      </c>
      <c r="L4763" s="194" t="str">
        <f>IF(G4763=30,1,M4762)</f>
      </c>
      <c r="M4763" s="195" t="str">
        <f>L4763*(1-K4763)</f>
      </c>
    </row>
    <row r="4764">
      <c r="A4764" t="s">
        <v>167</v>
      </c>
      <c r="B4764" t="s">
        <v>272</v>
      </c>
      <c r="C4764" s="35" t="s">
        <v>274</v>
      </c>
      <c r="D4764" t="s">
        <v>502</v>
      </c>
      <c r="E4764" t="s">
        <v>520</v>
      </c>
      <c r="F4764" s="188" t="n">
        <v>2040</v>
      </c>
      <c r="G4764" s="189" t="n">
        <v>32</v>
      </c>
      <c r="H4764" s="190" t="n">
        <v>1036.68203363761</v>
      </c>
      <c r="I4764" s="191" t="n">
        <v>4642449.26345529</v>
      </c>
      <c r="J4764" s="192" t="str">
        <f>IF(I4764&gt;0,H4764/I4764,0)</f>
      </c>
      <c r="K4764" s="193" t="str">
        <f>1-EXP(-J4764)</f>
      </c>
      <c r="L4764" s="194" t="str">
        <f>IF(G4764=30,1,M4763)</f>
      </c>
      <c r="M4764" s="195" t="str">
        <f>L4764*(1-K4764)</f>
      </c>
    </row>
    <row r="4765">
      <c r="A4765" t="s">
        <v>167</v>
      </c>
      <c r="B4765" t="s">
        <v>272</v>
      </c>
      <c r="C4765" s="35" t="s">
        <v>274</v>
      </c>
      <c r="D4765" t="s">
        <v>502</v>
      </c>
      <c r="E4765" t="s">
        <v>520</v>
      </c>
      <c r="F4765" s="188" t="n">
        <v>2040</v>
      </c>
      <c r="G4765" s="189" t="n">
        <v>33</v>
      </c>
      <c r="H4765" s="190" t="n">
        <v>1155.85035426401</v>
      </c>
      <c r="I4765" s="191" t="n">
        <v>4668509.25568481</v>
      </c>
      <c r="J4765" s="192" t="str">
        <f>IF(I4765&gt;0,H4765/I4765,0)</f>
      </c>
      <c r="K4765" s="193" t="str">
        <f>1-EXP(-J4765)</f>
      </c>
      <c r="L4765" s="194" t="str">
        <f>IF(G4765=30,1,M4764)</f>
      </c>
      <c r="M4765" s="195" t="str">
        <f>L4765*(1-K4765)</f>
      </c>
    </row>
    <row r="4766">
      <c r="A4766" t="s">
        <v>167</v>
      </c>
      <c r="B4766" t="s">
        <v>272</v>
      </c>
      <c r="C4766" s="35" t="s">
        <v>274</v>
      </c>
      <c r="D4766" t="s">
        <v>502</v>
      </c>
      <c r="E4766" t="s">
        <v>520</v>
      </c>
      <c r="F4766" s="188" t="n">
        <v>2040</v>
      </c>
      <c r="G4766" s="189" t="n">
        <v>34</v>
      </c>
      <c r="H4766" s="190" t="n">
        <v>1209.39324040615</v>
      </c>
      <c r="I4766" s="191" t="n">
        <v>4585367.12880477</v>
      </c>
      <c r="J4766" s="192" t="str">
        <f>IF(I4766&gt;0,H4766/I4766,0)</f>
      </c>
      <c r="K4766" s="193" t="str">
        <f>1-EXP(-J4766)</f>
      </c>
      <c r="L4766" s="194" t="str">
        <f>IF(G4766=30,1,M4765)</f>
      </c>
      <c r="M4766" s="195" t="str">
        <f>L4766*(1-K4766)</f>
      </c>
    </row>
    <row r="4767">
      <c r="A4767" t="s">
        <v>167</v>
      </c>
      <c r="B4767" t="s">
        <v>272</v>
      </c>
      <c r="C4767" s="35" t="s">
        <v>274</v>
      </c>
      <c r="D4767" t="s">
        <v>502</v>
      </c>
      <c r="E4767" t="s">
        <v>520</v>
      </c>
      <c r="F4767" s="188" t="n">
        <v>2040</v>
      </c>
      <c r="G4767" s="189" t="n">
        <v>35</v>
      </c>
      <c r="H4767" s="190" t="n">
        <v>1590.56834818545</v>
      </c>
      <c r="I4767" s="191" t="n">
        <v>4523986.37527877</v>
      </c>
      <c r="J4767" s="192" t="str">
        <f>IF(I4767&gt;0,H4767/I4767,0)</f>
      </c>
      <c r="K4767" s="193" t="str">
        <f>1-EXP(-J4767)</f>
      </c>
      <c r="L4767" s="194" t="str">
        <f>IF(G4767=30,1,M4766)</f>
      </c>
      <c r="M4767" s="195" t="str">
        <f>L4767*(1-K4767)</f>
      </c>
    </row>
    <row r="4768">
      <c r="A4768" t="s">
        <v>167</v>
      </c>
      <c r="B4768" t="s">
        <v>272</v>
      </c>
      <c r="C4768" s="35" t="s">
        <v>274</v>
      </c>
      <c r="D4768" t="s">
        <v>502</v>
      </c>
      <c r="E4768" t="s">
        <v>520</v>
      </c>
      <c r="F4768" s="188" t="n">
        <v>2040</v>
      </c>
      <c r="G4768" s="189" t="n">
        <v>36</v>
      </c>
      <c r="H4768" s="190" t="n">
        <v>1791.28800354965</v>
      </c>
      <c r="I4768" s="191" t="n">
        <v>4394660.16923618</v>
      </c>
      <c r="J4768" s="192" t="str">
        <f>IF(I4768&gt;0,H4768/I4768,0)</f>
      </c>
      <c r="K4768" s="193" t="str">
        <f>1-EXP(-J4768)</f>
      </c>
      <c r="L4768" s="194" t="str">
        <f>IF(G4768=30,1,M4767)</f>
      </c>
      <c r="M4768" s="195" t="str">
        <f>L4768*(1-K4768)</f>
      </c>
    </row>
    <row r="4769">
      <c r="A4769" t="s">
        <v>167</v>
      </c>
      <c r="B4769" t="s">
        <v>272</v>
      </c>
      <c r="C4769" s="35" t="s">
        <v>274</v>
      </c>
      <c r="D4769" t="s">
        <v>502</v>
      </c>
      <c r="E4769" t="s">
        <v>520</v>
      </c>
      <c r="F4769" s="188" t="n">
        <v>2040</v>
      </c>
      <c r="G4769" s="189" t="n">
        <v>37</v>
      </c>
      <c r="H4769" s="190" t="n">
        <v>1898.37700655868</v>
      </c>
      <c r="I4769" s="191" t="n">
        <v>4328243.25250024</v>
      </c>
      <c r="J4769" s="192" t="str">
        <f>IF(I4769&gt;0,H4769/I4769,0)</f>
      </c>
      <c r="K4769" s="193" t="str">
        <f>1-EXP(-J4769)</f>
      </c>
      <c r="L4769" s="194" t="str">
        <f>IF(G4769=30,1,M4768)</f>
      </c>
      <c r="M4769" s="195" t="str">
        <f>L4769*(1-K4769)</f>
      </c>
    </row>
    <row r="4770">
      <c r="A4770" t="s">
        <v>167</v>
      </c>
      <c r="B4770" t="s">
        <v>272</v>
      </c>
      <c r="C4770" s="35" t="s">
        <v>274</v>
      </c>
      <c r="D4770" t="s">
        <v>502</v>
      </c>
      <c r="E4770" t="s">
        <v>520</v>
      </c>
      <c r="F4770" s="188" t="n">
        <v>2040</v>
      </c>
      <c r="G4770" s="189" t="n">
        <v>38</v>
      </c>
      <c r="H4770" s="190" t="n">
        <v>2188.1196061933</v>
      </c>
      <c r="I4770" s="191" t="n">
        <v>4304501.63080438</v>
      </c>
      <c r="J4770" s="192" t="str">
        <f>IF(I4770&gt;0,H4770/I4770,0)</f>
      </c>
      <c r="K4770" s="193" t="str">
        <f>1-EXP(-J4770)</f>
      </c>
      <c r="L4770" s="194" t="str">
        <f>IF(G4770=30,1,M4769)</f>
      </c>
      <c r="M4770" s="195" t="str">
        <f>L4770*(1-K4770)</f>
      </c>
    </row>
    <row r="4771">
      <c r="A4771" t="s">
        <v>167</v>
      </c>
      <c r="B4771" t="s">
        <v>272</v>
      </c>
      <c r="C4771" s="35" t="s">
        <v>274</v>
      </c>
      <c r="D4771" t="s">
        <v>502</v>
      </c>
      <c r="E4771" t="s">
        <v>520</v>
      </c>
      <c r="F4771" s="188" t="n">
        <v>2040</v>
      </c>
      <c r="G4771" s="189" t="n">
        <v>39</v>
      </c>
      <c r="H4771" s="190" t="n">
        <v>2350.73973659347</v>
      </c>
      <c r="I4771" s="191" t="n">
        <v>4282493.5129694</v>
      </c>
      <c r="J4771" s="192" t="str">
        <f>IF(I4771&gt;0,H4771/I4771,0)</f>
      </c>
      <c r="K4771" s="193" t="str">
        <f>1-EXP(-J4771)</f>
      </c>
      <c r="L4771" s="194" t="str">
        <f>IF(G4771=30,1,M4770)</f>
      </c>
      <c r="M4771" s="195" t="str">
        <f>L4771*(1-K4771)</f>
      </c>
    </row>
    <row r="4772">
      <c r="A4772" t="s">
        <v>167</v>
      </c>
      <c r="B4772" t="s">
        <v>272</v>
      </c>
      <c r="C4772" s="35" t="s">
        <v>274</v>
      </c>
      <c r="D4772" t="s">
        <v>502</v>
      </c>
      <c r="E4772" t="s">
        <v>520</v>
      </c>
      <c r="F4772" s="188" t="n">
        <v>2040</v>
      </c>
      <c r="G4772" s="189" t="n">
        <v>40</v>
      </c>
      <c r="H4772" s="190" t="n">
        <v>3140.98422175954</v>
      </c>
      <c r="I4772" s="191" t="n">
        <v>4259887.83527847</v>
      </c>
      <c r="J4772" s="192" t="str">
        <f>IF(I4772&gt;0,H4772/I4772,0)</f>
      </c>
      <c r="K4772" s="193" t="str">
        <f>1-EXP(-J4772)</f>
      </c>
      <c r="L4772" s="194" t="str">
        <f>IF(G4772=30,1,M4771)</f>
      </c>
      <c r="M4772" s="195" t="str">
        <f>L4772*(1-K4772)</f>
      </c>
    </row>
    <row r="4773">
      <c r="A4773" t="s">
        <v>167</v>
      </c>
      <c r="B4773" t="s">
        <v>272</v>
      </c>
      <c r="C4773" s="35" t="s">
        <v>274</v>
      </c>
      <c r="D4773" t="s">
        <v>502</v>
      </c>
      <c r="E4773" t="s">
        <v>520</v>
      </c>
      <c r="F4773" s="188" t="n">
        <v>2040</v>
      </c>
      <c r="G4773" s="189" t="n">
        <v>41</v>
      </c>
      <c r="H4773" s="190" t="n">
        <v>3474.68540247974</v>
      </c>
      <c r="I4773" s="191" t="n">
        <v>4275457.32682508</v>
      </c>
      <c r="J4773" s="192" t="str">
        <f>IF(I4773&gt;0,H4773/I4773,0)</f>
      </c>
      <c r="K4773" s="193" t="str">
        <f>1-EXP(-J4773)</f>
      </c>
      <c r="L4773" s="194" t="str">
        <f>IF(G4773=30,1,M4772)</f>
      </c>
      <c r="M4773" s="195" t="str">
        <f>L4773*(1-K4773)</f>
      </c>
    </row>
    <row r="4774">
      <c r="A4774" t="s">
        <v>167</v>
      </c>
      <c r="B4774" t="s">
        <v>272</v>
      </c>
      <c r="C4774" s="35" t="s">
        <v>274</v>
      </c>
      <c r="D4774" t="s">
        <v>502</v>
      </c>
      <c r="E4774" t="s">
        <v>520</v>
      </c>
      <c r="F4774" s="188" t="n">
        <v>2040</v>
      </c>
      <c r="G4774" s="189" t="n">
        <v>42</v>
      </c>
      <c r="H4774" s="190" t="n">
        <v>3821.11931012385</v>
      </c>
      <c r="I4774" s="191" t="n">
        <v>4329829.58657085</v>
      </c>
      <c r="J4774" s="192" t="str">
        <f>IF(I4774&gt;0,H4774/I4774,0)</f>
      </c>
      <c r="K4774" s="193" t="str">
        <f>1-EXP(-J4774)</f>
      </c>
      <c r="L4774" s="194" t="str">
        <f>IF(G4774=30,1,M4773)</f>
      </c>
      <c r="M4774" s="195" t="str">
        <f>L4774*(1-K4774)</f>
      </c>
    </row>
    <row r="4775">
      <c r="A4775" t="s">
        <v>167</v>
      </c>
      <c r="B4775" t="s">
        <v>272</v>
      </c>
      <c r="C4775" s="35" t="s">
        <v>274</v>
      </c>
      <c r="D4775" t="s">
        <v>502</v>
      </c>
      <c r="E4775" t="s">
        <v>520</v>
      </c>
      <c r="F4775" s="188" t="n">
        <v>2040</v>
      </c>
      <c r="G4775" s="189" t="n">
        <v>43</v>
      </c>
      <c r="H4775" s="190" t="n">
        <v>4495.17273873005</v>
      </c>
      <c r="I4775" s="191" t="n">
        <v>4460199.07364924</v>
      </c>
      <c r="J4775" s="192" t="str">
        <f>IF(I4775&gt;0,H4775/I4775,0)</f>
      </c>
      <c r="K4775" s="193" t="str">
        <f>1-EXP(-J4775)</f>
      </c>
      <c r="L4775" s="194" t="str">
        <f>IF(G4775=30,1,M4774)</f>
      </c>
      <c r="M4775" s="195" t="str">
        <f>L4775*(1-K4775)</f>
      </c>
    </row>
    <row r="4776">
      <c r="A4776" t="s">
        <v>167</v>
      </c>
      <c r="B4776" t="s">
        <v>272</v>
      </c>
      <c r="C4776" s="35" t="s">
        <v>274</v>
      </c>
      <c r="D4776" t="s">
        <v>502</v>
      </c>
      <c r="E4776" t="s">
        <v>520</v>
      </c>
      <c r="F4776" s="188" t="n">
        <v>2040</v>
      </c>
      <c r="G4776" s="189" t="n">
        <v>44</v>
      </c>
      <c r="H4776" s="190" t="n">
        <v>4841.33069878673</v>
      </c>
      <c r="I4776" s="191" t="n">
        <v>4411856.64040708</v>
      </c>
      <c r="J4776" s="192" t="str">
        <f>IF(I4776&gt;0,H4776/I4776,0)</f>
      </c>
      <c r="K4776" s="193" t="str">
        <f>1-EXP(-J4776)</f>
      </c>
      <c r="L4776" s="194" t="str">
        <f>IF(G4776=30,1,M4775)</f>
      </c>
      <c r="M4776" s="195" t="str">
        <f>L4776*(1-K4776)</f>
      </c>
    </row>
    <row r="4777">
      <c r="A4777" t="s">
        <v>167</v>
      </c>
      <c r="B4777" t="s">
        <v>272</v>
      </c>
      <c r="C4777" s="35" t="s">
        <v>274</v>
      </c>
      <c r="D4777" t="s">
        <v>502</v>
      </c>
      <c r="E4777" t="s">
        <v>520</v>
      </c>
      <c r="F4777" s="188" t="n">
        <v>2040</v>
      </c>
      <c r="G4777" s="189" t="n">
        <v>45</v>
      </c>
      <c r="H4777" s="190" t="n">
        <v>6102.74741607714</v>
      </c>
      <c r="I4777" s="191" t="n">
        <v>4333356.18617209</v>
      </c>
      <c r="J4777" s="192" t="str">
        <f>IF(I4777&gt;0,H4777/I4777,0)</f>
      </c>
      <c r="K4777" s="193" t="str">
        <f>1-EXP(-J4777)</f>
      </c>
      <c r="L4777" s="194" t="str">
        <f>IF(G4777=30,1,M4776)</f>
      </c>
      <c r="M4777" s="195" t="str">
        <f>L4777*(1-K4777)</f>
      </c>
    </row>
    <row r="4778">
      <c r="A4778" t="s">
        <v>167</v>
      </c>
      <c r="B4778" t="s">
        <v>272</v>
      </c>
      <c r="C4778" s="35" t="s">
        <v>274</v>
      </c>
      <c r="D4778" t="s">
        <v>502</v>
      </c>
      <c r="E4778" t="s">
        <v>520</v>
      </c>
      <c r="F4778" s="188" t="n">
        <v>2040</v>
      </c>
      <c r="G4778" s="189" t="n">
        <v>46</v>
      </c>
      <c r="H4778" s="190" t="n">
        <v>6559.13821561608</v>
      </c>
      <c r="I4778" s="191" t="n">
        <v>4268698.4655167</v>
      </c>
      <c r="J4778" s="192" t="str">
        <f>IF(I4778&gt;0,H4778/I4778,0)</f>
      </c>
      <c r="K4778" s="193" t="str">
        <f>1-EXP(-J4778)</f>
      </c>
      <c r="L4778" s="194" t="str">
        <f>IF(G4778=30,1,M4777)</f>
      </c>
      <c r="M4778" s="195" t="str">
        <f>L4778*(1-K4778)</f>
      </c>
    </row>
    <row r="4779">
      <c r="A4779" t="s">
        <v>167</v>
      </c>
      <c r="B4779" t="s">
        <v>272</v>
      </c>
      <c r="C4779" s="35" t="s">
        <v>274</v>
      </c>
      <c r="D4779" t="s">
        <v>502</v>
      </c>
      <c r="E4779" t="s">
        <v>520</v>
      </c>
      <c r="F4779" s="188" t="n">
        <v>2040</v>
      </c>
      <c r="G4779" s="189" t="n">
        <v>47</v>
      </c>
      <c r="H4779" s="190" t="n">
        <v>7082.55985229835</v>
      </c>
      <c r="I4779" s="191" t="n">
        <v>4207765.08069431</v>
      </c>
      <c r="J4779" s="192" t="str">
        <f>IF(I4779&gt;0,H4779/I4779,0)</f>
      </c>
      <c r="K4779" s="193" t="str">
        <f>1-EXP(-J4779)</f>
      </c>
      <c r="L4779" s="194" t="str">
        <f>IF(G4779=30,1,M4778)</f>
      </c>
      <c r="M4779" s="195" t="str">
        <f>L4779*(1-K4779)</f>
      </c>
    </row>
    <row r="4780">
      <c r="A4780" t="s">
        <v>167</v>
      </c>
      <c r="B4780" t="s">
        <v>272</v>
      </c>
      <c r="C4780" s="35" t="s">
        <v>274</v>
      </c>
      <c r="D4780" t="s">
        <v>502</v>
      </c>
      <c r="E4780" t="s">
        <v>520</v>
      </c>
      <c r="F4780" s="188" t="n">
        <v>2040</v>
      </c>
      <c r="G4780" s="189" t="n">
        <v>48</v>
      </c>
      <c r="H4780" s="190" t="n">
        <v>7804.78889171422</v>
      </c>
      <c r="I4780" s="191" t="n">
        <v>4234945.89879781</v>
      </c>
      <c r="J4780" s="192" t="str">
        <f>IF(I4780&gt;0,H4780/I4780,0)</f>
      </c>
      <c r="K4780" s="193" t="str">
        <f>1-EXP(-J4780)</f>
      </c>
      <c r="L4780" s="194" t="str">
        <f>IF(G4780=30,1,M4779)</f>
      </c>
      <c r="M4780" s="195" t="str">
        <f>L4780*(1-K4780)</f>
      </c>
    </row>
    <row r="4781">
      <c r="A4781" t="s">
        <v>167</v>
      </c>
      <c r="B4781" t="s">
        <v>272</v>
      </c>
      <c r="C4781" s="35" t="s">
        <v>274</v>
      </c>
      <c r="D4781" t="s">
        <v>502</v>
      </c>
      <c r="E4781" t="s">
        <v>520</v>
      </c>
      <c r="F4781" s="188" t="n">
        <v>2040</v>
      </c>
      <c r="G4781" s="189" t="n">
        <v>49</v>
      </c>
      <c r="H4781" s="190" t="n">
        <v>8572.12685042337</v>
      </c>
      <c r="I4781" s="191" t="n">
        <v>4241673.62801559</v>
      </c>
      <c r="J4781" s="192" t="str">
        <f>IF(I4781&gt;0,H4781/I4781,0)</f>
      </c>
      <c r="K4781" s="193" t="str">
        <f>1-EXP(-J4781)</f>
      </c>
      <c r="L4781" s="194" t="str">
        <f>IF(G4781=30,1,M4780)</f>
      </c>
      <c r="M4781" s="195" t="str">
        <f>L4781*(1-K4781)</f>
      </c>
    </row>
    <row r="4782">
      <c r="A4782" t="s">
        <v>167</v>
      </c>
      <c r="B4782" t="s">
        <v>272</v>
      </c>
      <c r="C4782" s="35" t="s">
        <v>274</v>
      </c>
      <c r="D4782" t="s">
        <v>502</v>
      </c>
      <c r="E4782" t="s">
        <v>520</v>
      </c>
      <c r="F4782" s="188" t="n">
        <v>2040</v>
      </c>
      <c r="G4782" s="189" t="n">
        <v>50</v>
      </c>
      <c r="H4782" s="190" t="n">
        <v>13300.2323958542</v>
      </c>
      <c r="I4782" s="191" t="n">
        <v>6239259.04489506</v>
      </c>
      <c r="J4782" s="192" t="str">
        <f>IF(I4782&gt;0,H4782/I4782,0)</f>
      </c>
      <c r="K4782" s="193" t="str">
        <f>1-EXP(-J4782)</f>
      </c>
      <c r="L4782" s="194" t="str">
        <f>IF(G4782=30,1,M4781)</f>
      </c>
      <c r="M4782" s="195" t="str">
        <f>L4782*(1-K4782)</f>
      </c>
    </row>
    <row r="4783">
      <c r="A4783" t="s">
        <v>167</v>
      </c>
      <c r="B4783" t="s">
        <v>272</v>
      </c>
      <c r="C4783" s="35" t="s">
        <v>274</v>
      </c>
      <c r="D4783" t="s">
        <v>502</v>
      </c>
      <c r="E4783" t="s">
        <v>520</v>
      </c>
      <c r="F4783" s="188" t="n">
        <v>2040</v>
      </c>
      <c r="G4783" s="189" t="n">
        <v>51</v>
      </c>
      <c r="H4783" s="190" t="n">
        <v>10605.4891650016</v>
      </c>
      <c r="I4783" s="191" t="n">
        <v>4175801.02727363</v>
      </c>
      <c r="J4783" s="192" t="str">
        <f>IF(I4783&gt;0,H4783/I4783,0)</f>
      </c>
      <c r="K4783" s="193" t="str">
        <f>1-EXP(-J4783)</f>
      </c>
      <c r="L4783" s="194" t="str">
        <f>IF(G4783=30,1,M4782)</f>
      </c>
      <c r="M4783" s="195" t="str">
        <f>L4783*(1-K4783)</f>
      </c>
    </row>
    <row r="4784">
      <c r="A4784" t="s">
        <v>167</v>
      </c>
      <c r="B4784" t="s">
        <v>272</v>
      </c>
      <c r="C4784" s="35" t="s">
        <v>274</v>
      </c>
      <c r="D4784" t="s">
        <v>502</v>
      </c>
      <c r="E4784" t="s">
        <v>520</v>
      </c>
      <c r="F4784" s="188" t="n">
        <v>2040</v>
      </c>
      <c r="G4784" s="189" t="n">
        <v>52</v>
      </c>
      <c r="H4784" s="190" t="n">
        <v>11511.7416457887</v>
      </c>
      <c r="I4784" s="191" t="n">
        <v>4145174.92420534</v>
      </c>
      <c r="J4784" s="192" t="str">
        <f>IF(I4784&gt;0,H4784/I4784,0)</f>
      </c>
      <c r="K4784" s="193" t="str">
        <f>1-EXP(-J4784)</f>
      </c>
      <c r="L4784" s="194" t="str">
        <f>IF(G4784=30,1,M4783)</f>
      </c>
      <c r="M4784" s="195" t="str">
        <f>L4784*(1-K4784)</f>
      </c>
    </row>
    <row r="4785">
      <c r="A4785" t="s">
        <v>167</v>
      </c>
      <c r="B4785" t="s">
        <v>272</v>
      </c>
      <c r="C4785" s="35" t="s">
        <v>274</v>
      </c>
      <c r="D4785" t="s">
        <v>502</v>
      </c>
      <c r="E4785" t="s">
        <v>520</v>
      </c>
      <c r="F4785" s="188" t="n">
        <v>2040</v>
      </c>
      <c r="G4785" s="189" t="n">
        <v>53</v>
      </c>
      <c r="H4785" s="190" t="n">
        <v>12143.8238119148</v>
      </c>
      <c r="I4785" s="191" t="n">
        <v>4002684.14796472</v>
      </c>
      <c r="J4785" s="192" t="str">
        <f>IF(I4785&gt;0,H4785/I4785,0)</f>
      </c>
      <c r="K4785" s="193" t="str">
        <f>1-EXP(-J4785)</f>
      </c>
      <c r="L4785" s="194" t="str">
        <f>IF(G4785=30,1,M4784)</f>
      </c>
      <c r="M4785" s="195" t="str">
        <f>L4785*(1-K4785)</f>
      </c>
    </row>
    <row r="4786">
      <c r="A4786" t="s">
        <v>167</v>
      </c>
      <c r="B4786" t="s">
        <v>272</v>
      </c>
      <c r="C4786" s="35" t="s">
        <v>274</v>
      </c>
      <c r="D4786" t="s">
        <v>502</v>
      </c>
      <c r="E4786" t="s">
        <v>520</v>
      </c>
      <c r="F4786" s="188" t="n">
        <v>2040</v>
      </c>
      <c r="G4786" s="189" t="n">
        <v>54</v>
      </c>
      <c r="H4786" s="190" t="n">
        <v>13081.0820463854</v>
      </c>
      <c r="I4786" s="191" t="n">
        <v>3952794.36895428</v>
      </c>
      <c r="J4786" s="192" t="str">
        <f>IF(I4786&gt;0,H4786/I4786,0)</f>
      </c>
      <c r="K4786" s="193" t="str">
        <f>1-EXP(-J4786)</f>
      </c>
      <c r="L4786" s="194" t="str">
        <f>IF(G4786=30,1,M4785)</f>
      </c>
      <c r="M4786" s="195" t="str">
        <f>L4786*(1-K4786)</f>
      </c>
    </row>
    <row r="4787">
      <c r="A4787" t="s">
        <v>167</v>
      </c>
      <c r="B4787" t="s">
        <v>272</v>
      </c>
      <c r="C4787" s="35" t="s">
        <v>274</v>
      </c>
      <c r="D4787" t="s">
        <v>502</v>
      </c>
      <c r="E4787" t="s">
        <v>520</v>
      </c>
      <c r="F4787" s="188" t="n">
        <v>2040</v>
      </c>
      <c r="G4787" s="189" t="n">
        <v>55</v>
      </c>
      <c r="H4787" s="190" t="n">
        <v>14291.5576655118</v>
      </c>
      <c r="I4787" s="191" t="n">
        <v>3990323.10137393</v>
      </c>
      <c r="J4787" s="192" t="str">
        <f>IF(I4787&gt;0,H4787/I4787,0)</f>
      </c>
      <c r="K4787" s="193" t="str">
        <f>1-EXP(-J4787)</f>
      </c>
      <c r="L4787" s="194" t="str">
        <f>IF(G4787=30,1,M4786)</f>
      </c>
      <c r="M4787" s="195" t="str">
        <f>L4787*(1-K4787)</f>
      </c>
    </row>
    <row r="4788">
      <c r="A4788" t="s">
        <v>167</v>
      </c>
      <c r="B4788" t="s">
        <v>272</v>
      </c>
      <c r="C4788" s="35" t="s">
        <v>274</v>
      </c>
      <c r="D4788" t="s">
        <v>502</v>
      </c>
      <c r="E4788" t="s">
        <v>520</v>
      </c>
      <c r="F4788" s="188" t="n">
        <v>2040</v>
      </c>
      <c r="G4788" s="189" t="n">
        <v>56</v>
      </c>
      <c r="H4788" s="190" t="n">
        <v>15782.5248560732</v>
      </c>
      <c r="I4788" s="191" t="n">
        <v>4049122.23407369</v>
      </c>
      <c r="J4788" s="192" t="str">
        <f>IF(I4788&gt;0,H4788/I4788,0)</f>
      </c>
      <c r="K4788" s="193" t="str">
        <f>1-EXP(-J4788)</f>
      </c>
      <c r="L4788" s="194" t="str">
        <f>IF(G4788=30,1,M4787)</f>
      </c>
      <c r="M4788" s="195" t="str">
        <f>L4788*(1-K4788)</f>
      </c>
    </row>
    <row r="4789">
      <c r="A4789" t="s">
        <v>167</v>
      </c>
      <c r="B4789" t="s">
        <v>272</v>
      </c>
      <c r="C4789" s="35" t="s">
        <v>274</v>
      </c>
      <c r="D4789" t="s">
        <v>502</v>
      </c>
      <c r="E4789" t="s">
        <v>520</v>
      </c>
      <c r="F4789" s="188" t="n">
        <v>2040</v>
      </c>
      <c r="G4789" s="189" t="n">
        <v>57</v>
      </c>
      <c r="H4789" s="190" t="n">
        <v>17035.3540583781</v>
      </c>
      <c r="I4789" s="191" t="n">
        <v>4003471.35038853</v>
      </c>
      <c r="J4789" s="192" t="str">
        <f>IF(I4789&gt;0,H4789/I4789,0)</f>
      </c>
      <c r="K4789" s="193" t="str">
        <f>1-EXP(-J4789)</f>
      </c>
      <c r="L4789" s="194" t="str">
        <f>IF(G4789=30,1,M4788)</f>
      </c>
      <c r="M4789" s="195" t="str">
        <f>L4789*(1-K4789)</f>
      </c>
    </row>
    <row r="4790">
      <c r="A4790" t="s">
        <v>167</v>
      </c>
      <c r="B4790" t="s">
        <v>272</v>
      </c>
      <c r="C4790" s="35" t="s">
        <v>274</v>
      </c>
      <c r="D4790" t="s">
        <v>502</v>
      </c>
      <c r="E4790" t="s">
        <v>520</v>
      </c>
      <c r="F4790" s="188" t="n">
        <v>2040</v>
      </c>
      <c r="G4790" s="189" t="n">
        <v>58</v>
      </c>
      <c r="H4790" s="190" t="n">
        <v>17930.0036128449</v>
      </c>
      <c r="I4790" s="191" t="n">
        <v>3851334.85298858</v>
      </c>
      <c r="J4790" s="192" t="str">
        <f>IF(I4790&gt;0,H4790/I4790,0)</f>
      </c>
      <c r="K4790" s="193" t="str">
        <f>1-EXP(-J4790)</f>
      </c>
      <c r="L4790" s="194" t="str">
        <f>IF(G4790=30,1,M4789)</f>
      </c>
      <c r="M4790" s="195" t="str">
        <f>L4790*(1-K4790)</f>
      </c>
    </row>
    <row r="4791">
      <c r="A4791" t="s">
        <v>167</v>
      </c>
      <c r="B4791" t="s">
        <v>272</v>
      </c>
      <c r="C4791" s="35" t="s">
        <v>274</v>
      </c>
      <c r="D4791" t="s">
        <v>502</v>
      </c>
      <c r="E4791" t="s">
        <v>520</v>
      </c>
      <c r="F4791" s="188" t="n">
        <v>2040</v>
      </c>
      <c r="G4791" s="189" t="n">
        <v>59</v>
      </c>
      <c r="H4791" s="190" t="n">
        <v>19139.3536079886</v>
      </c>
      <c r="I4791" s="191" t="n">
        <v>3756610.46839489</v>
      </c>
      <c r="J4791" s="192" t="str">
        <f>IF(I4791&gt;0,H4791/I4791,0)</f>
      </c>
      <c r="K4791" s="193" t="str">
        <f>1-EXP(-J4791)</f>
      </c>
      <c r="L4791" s="194" t="str">
        <f>IF(G4791=30,1,M4790)</f>
      </c>
      <c r="M4791" s="195" t="str">
        <f>L4791*(1-K4791)</f>
      </c>
    </row>
    <row r="4792">
      <c r="A4792" t="s">
        <v>167</v>
      </c>
      <c r="B4792" t="s">
        <v>272</v>
      </c>
      <c r="C4792" s="35" t="s">
        <v>274</v>
      </c>
      <c r="D4792" t="s">
        <v>502</v>
      </c>
      <c r="E4792" t="s">
        <v>520</v>
      </c>
      <c r="F4792" s="188" t="n">
        <v>2040</v>
      </c>
      <c r="G4792" s="189" t="n">
        <v>60</v>
      </c>
      <c r="H4792" s="190" t="n">
        <v>20446.3402179335</v>
      </c>
      <c r="I4792" s="191" t="n">
        <v>3675146.23070169</v>
      </c>
      <c r="J4792" s="192" t="str">
        <f>IF(I4792&gt;0,H4792/I4792,0)</f>
      </c>
      <c r="K4792" s="193" t="str">
        <f>1-EXP(-J4792)</f>
      </c>
      <c r="L4792" s="194" t="str">
        <f>IF(G4792=30,1,M4791)</f>
      </c>
      <c r="M4792" s="195" t="str">
        <f>L4792*(1-K4792)</f>
      </c>
    </row>
    <row r="4793">
      <c r="A4793" t="s">
        <v>167</v>
      </c>
      <c r="B4793" t="s">
        <v>272</v>
      </c>
      <c r="C4793" s="35" t="s">
        <v>274</v>
      </c>
      <c r="D4793" t="s">
        <v>502</v>
      </c>
      <c r="E4793" t="s">
        <v>520</v>
      </c>
      <c r="F4793" s="188" t="n">
        <v>2040</v>
      </c>
      <c r="G4793" s="189" t="n">
        <v>61</v>
      </c>
      <c r="H4793" s="190" t="n">
        <v>21878.795018849</v>
      </c>
      <c r="I4793" s="191" t="n">
        <v>3586847.49201514</v>
      </c>
      <c r="J4793" s="192" t="str">
        <f>IF(I4793&gt;0,H4793/I4793,0)</f>
      </c>
      <c r="K4793" s="193" t="str">
        <f>1-EXP(-J4793)</f>
      </c>
      <c r="L4793" s="194" t="str">
        <f>IF(G4793=30,1,M4792)</f>
      </c>
      <c r="M4793" s="195" t="str">
        <f>L4793*(1-K4793)</f>
      </c>
    </row>
    <row r="4794">
      <c r="A4794" t="s">
        <v>167</v>
      </c>
      <c r="B4794" t="s">
        <v>272</v>
      </c>
      <c r="C4794" s="35" t="s">
        <v>274</v>
      </c>
      <c r="D4794" t="s">
        <v>502</v>
      </c>
      <c r="E4794" t="s">
        <v>520</v>
      </c>
      <c r="F4794" s="188" t="n">
        <v>2040</v>
      </c>
      <c r="G4794" s="189" t="n">
        <v>62</v>
      </c>
      <c r="H4794" s="190" t="n">
        <v>23274.7917642276</v>
      </c>
      <c r="I4794" s="191" t="n">
        <v>3479594.2533815</v>
      </c>
      <c r="J4794" s="192" t="str">
        <f>IF(I4794&gt;0,H4794/I4794,0)</f>
      </c>
      <c r="K4794" s="193" t="str">
        <f>1-EXP(-J4794)</f>
      </c>
      <c r="L4794" s="194" t="str">
        <f>IF(G4794=30,1,M4793)</f>
      </c>
      <c r="M4794" s="195" t="str">
        <f>L4794*(1-K4794)</f>
      </c>
    </row>
    <row r="4795">
      <c r="A4795" t="s">
        <v>167</v>
      </c>
      <c r="B4795" t="s">
        <v>272</v>
      </c>
      <c r="C4795" s="35" t="s">
        <v>274</v>
      </c>
      <c r="D4795" t="s">
        <v>502</v>
      </c>
      <c r="E4795" t="s">
        <v>520</v>
      </c>
      <c r="F4795" s="188" t="n">
        <v>2040</v>
      </c>
      <c r="G4795" s="189" t="n">
        <v>63</v>
      </c>
      <c r="H4795" s="190" t="n">
        <v>24866.7683579191</v>
      </c>
      <c r="I4795" s="191" t="n">
        <v>3385763.78815019</v>
      </c>
      <c r="J4795" s="192" t="str">
        <f>IF(I4795&gt;0,H4795/I4795,0)</f>
      </c>
      <c r="K4795" s="193" t="str">
        <f>1-EXP(-J4795)</f>
      </c>
      <c r="L4795" s="194" t="str">
        <f>IF(G4795=30,1,M4794)</f>
      </c>
      <c r="M4795" s="195" t="str">
        <f>L4795*(1-K4795)</f>
      </c>
    </row>
    <row r="4796">
      <c r="A4796" t="s">
        <v>167</v>
      </c>
      <c r="B4796" t="s">
        <v>272</v>
      </c>
      <c r="C4796" s="35" t="s">
        <v>274</v>
      </c>
      <c r="D4796" t="s">
        <v>502</v>
      </c>
      <c r="E4796" t="s">
        <v>520</v>
      </c>
      <c r="F4796" s="188" t="n">
        <v>2040</v>
      </c>
      <c r="G4796" s="189" t="n">
        <v>64</v>
      </c>
      <c r="H4796" s="190" t="n">
        <v>26415.3525799614</v>
      </c>
      <c r="I4796" s="191" t="n">
        <v>3280129.48347709</v>
      </c>
      <c r="J4796" s="192" t="str">
        <f>IF(I4796&gt;0,H4796/I4796,0)</f>
      </c>
      <c r="K4796" s="193" t="str">
        <f>1-EXP(-J4796)</f>
      </c>
      <c r="L4796" s="194" t="str">
        <f>IF(G4796=30,1,M4795)</f>
      </c>
      <c r="M4796" s="195" t="str">
        <f>L4796*(1-K4796)</f>
      </c>
    </row>
    <row r="4797">
      <c r="A4797" t="s">
        <v>167</v>
      </c>
      <c r="B4797" t="s">
        <v>272</v>
      </c>
      <c r="C4797" s="35" t="s">
        <v>274</v>
      </c>
      <c r="D4797" t="s">
        <v>502</v>
      </c>
      <c r="E4797" t="s">
        <v>520</v>
      </c>
      <c r="F4797" s="188" t="n">
        <v>2040</v>
      </c>
      <c r="G4797" s="189" t="n">
        <v>65</v>
      </c>
      <c r="H4797" s="190" t="n">
        <v>26855.2814730477</v>
      </c>
      <c r="I4797" s="191" t="n">
        <v>3172282.83579906</v>
      </c>
      <c r="J4797" s="192" t="str">
        <f>IF(I4797&gt;0,H4797/I4797,0)</f>
      </c>
      <c r="K4797" s="193" t="str">
        <f>1-EXP(-J4797)</f>
      </c>
      <c r="L4797" s="194" t="str">
        <f>IF(G4797=30,1,M4796)</f>
      </c>
      <c r="M4797" s="195" t="str">
        <f>L4797*(1-K4797)</f>
      </c>
    </row>
    <row r="4798">
      <c r="A4798" t="s">
        <v>167</v>
      </c>
      <c r="B4798" t="s">
        <v>272</v>
      </c>
      <c r="C4798" s="35" t="s">
        <v>274</v>
      </c>
      <c r="D4798" t="s">
        <v>502</v>
      </c>
      <c r="E4798" t="s">
        <v>520</v>
      </c>
      <c r="F4798" s="188" t="n">
        <v>2040</v>
      </c>
      <c r="G4798" s="189" t="n">
        <v>66</v>
      </c>
      <c r="H4798" s="190" t="n">
        <v>28212.0552276361</v>
      </c>
      <c r="I4798" s="191" t="n">
        <v>3039755.5805499</v>
      </c>
      <c r="J4798" s="192" t="str">
        <f>IF(I4798&gt;0,H4798/I4798,0)</f>
      </c>
      <c r="K4798" s="193" t="str">
        <f>1-EXP(-J4798)</f>
      </c>
      <c r="L4798" s="194" t="str">
        <f>IF(G4798=30,1,M4797)</f>
      </c>
      <c r="M4798" s="195" t="str">
        <f>L4798*(1-K4798)</f>
      </c>
    </row>
    <row r="4799">
      <c r="A4799" t="s">
        <v>167</v>
      </c>
      <c r="B4799" t="s">
        <v>272</v>
      </c>
      <c r="C4799" s="35" t="s">
        <v>274</v>
      </c>
      <c r="D4799" t="s">
        <v>502</v>
      </c>
      <c r="E4799" t="s">
        <v>520</v>
      </c>
      <c r="F4799" s="188" t="n">
        <v>2040</v>
      </c>
      <c r="G4799" s="189" t="n">
        <v>67</v>
      </c>
      <c r="H4799" s="190" t="n">
        <v>30125.4531500885</v>
      </c>
      <c r="I4799" s="191" t="n">
        <v>2956607.76227784</v>
      </c>
      <c r="J4799" s="192" t="str">
        <f>IF(I4799&gt;0,H4799/I4799,0)</f>
      </c>
      <c r="K4799" s="193" t="str">
        <f>1-EXP(-J4799)</f>
      </c>
      <c r="L4799" s="194" t="str">
        <f>IF(G4799=30,1,M4798)</f>
      </c>
      <c r="M4799" s="195" t="str">
        <f>L4799*(1-K4799)</f>
      </c>
    </row>
    <row r="4800">
      <c r="A4800" t="s">
        <v>167</v>
      </c>
      <c r="B4800" t="s">
        <v>272</v>
      </c>
      <c r="C4800" s="35" t="s">
        <v>274</v>
      </c>
      <c r="D4800" t="s">
        <v>502</v>
      </c>
      <c r="E4800" t="s">
        <v>520</v>
      </c>
      <c r="F4800" s="188" t="n">
        <v>2040</v>
      </c>
      <c r="G4800" s="189" t="n">
        <v>68</v>
      </c>
      <c r="H4800" s="190" t="n">
        <v>30640.1531916646</v>
      </c>
      <c r="I4800" s="191" t="n">
        <v>2734313.14372323</v>
      </c>
      <c r="J4800" s="192" t="str">
        <f>IF(I4800&gt;0,H4800/I4800,0)</f>
      </c>
      <c r="K4800" s="193" t="str">
        <f>1-EXP(-J4800)</f>
      </c>
      <c r="L4800" s="194" t="str">
        <f>IF(G4800=30,1,M4799)</f>
      </c>
      <c r="M4800" s="195" t="str">
        <f>L4800*(1-K4800)</f>
      </c>
    </row>
    <row r="4801">
      <c r="A4801" t="s">
        <v>167</v>
      </c>
      <c r="B4801" t="s">
        <v>272</v>
      </c>
      <c r="C4801" s="35" t="s">
        <v>274</v>
      </c>
      <c r="D4801" t="s">
        <v>502</v>
      </c>
      <c r="E4801" t="s">
        <v>520</v>
      </c>
      <c r="F4801" s="188" t="n">
        <v>2040</v>
      </c>
      <c r="G4801" s="189" t="n">
        <v>69</v>
      </c>
      <c r="H4801" s="190" t="n">
        <v>32210.4305116679</v>
      </c>
      <c r="I4801" s="191" t="n">
        <v>2613915.29535598</v>
      </c>
      <c r="J4801" s="192" t="str">
        <f>IF(I4801&gt;0,H4801/I4801,0)</f>
      </c>
      <c r="K4801" s="193" t="str">
        <f>1-EXP(-J4801)</f>
      </c>
      <c r="L4801" s="194" t="str">
        <f>IF(G4801=30,1,M4800)</f>
      </c>
      <c r="M4801" s="195" t="str">
        <f>L4801*(1-K4801)</f>
      </c>
    </row>
    <row r="4802">
      <c r="A4802" t="s">
        <v>167</v>
      </c>
      <c r="B4802" t="s">
        <v>272</v>
      </c>
      <c r="C4802" s="35" t="s">
        <v>274</v>
      </c>
      <c r="D4802" t="s">
        <v>502</v>
      </c>
      <c r="E4802" t="s">
        <v>520</v>
      </c>
      <c r="F4802" s="188" t="n">
        <v>2041</v>
      </c>
      <c r="G4802" s="189" t="n">
        <v>30</v>
      </c>
      <c r="H4802" s="190" t="n">
        <v>807.511483562609</v>
      </c>
      <c r="I4802" s="191" t="n">
        <v>4884177.3550318</v>
      </c>
      <c r="J4802" s="192" t="str">
        <f>IF(I4802&gt;0,H4802/I4802,0)</f>
      </c>
      <c r="K4802" s="193" t="str">
        <f>1-EXP(-J4802)</f>
      </c>
      <c r="L4802" s="194" t="str">
        <f>IF(G4802=30,1,M4801)</f>
      </c>
      <c r="M4802" s="195" t="str">
        <f>L4802*(1-K4802)</f>
      </c>
    </row>
    <row r="4803">
      <c r="A4803" t="s">
        <v>167</v>
      </c>
      <c r="B4803" t="s">
        <v>272</v>
      </c>
      <c r="C4803" s="35" t="s">
        <v>274</v>
      </c>
      <c r="D4803" t="s">
        <v>502</v>
      </c>
      <c r="E4803" t="s">
        <v>520</v>
      </c>
      <c r="F4803" s="188" t="n">
        <v>2041</v>
      </c>
      <c r="G4803" s="189" t="n">
        <v>31</v>
      </c>
      <c r="H4803" s="190" t="n">
        <v>1010.26495767452</v>
      </c>
      <c r="I4803" s="191" t="n">
        <v>4750204.51427994</v>
      </c>
      <c r="J4803" s="192" t="str">
        <f>IF(I4803&gt;0,H4803/I4803,0)</f>
      </c>
      <c r="K4803" s="193" t="str">
        <f>1-EXP(-J4803)</f>
      </c>
      <c r="L4803" s="194" t="str">
        <f>IF(G4803=30,1,M4802)</f>
      </c>
      <c r="M4803" s="195" t="str">
        <f>L4803*(1-K4803)</f>
      </c>
    </row>
    <row r="4804">
      <c r="A4804" t="s">
        <v>167</v>
      </c>
      <c r="B4804" t="s">
        <v>272</v>
      </c>
      <c r="C4804" s="35" t="s">
        <v>274</v>
      </c>
      <c r="D4804" t="s">
        <v>502</v>
      </c>
      <c r="E4804" t="s">
        <v>520</v>
      </c>
      <c r="F4804" s="188" t="n">
        <v>2041</v>
      </c>
      <c r="G4804" s="189" t="n">
        <v>32</v>
      </c>
      <c r="H4804" s="190" t="n">
        <v>1048.405328832</v>
      </c>
      <c r="I4804" s="191" t="n">
        <v>4679509.37910207</v>
      </c>
      <c r="J4804" s="192" t="str">
        <f>IF(I4804&gt;0,H4804/I4804,0)</f>
      </c>
      <c r="K4804" s="193" t="str">
        <f>1-EXP(-J4804)</f>
      </c>
      <c r="L4804" s="194" t="str">
        <f>IF(G4804=30,1,M4803)</f>
      </c>
      <c r="M4804" s="195" t="str">
        <f>L4804*(1-K4804)</f>
      </c>
    </row>
    <row r="4805">
      <c r="A4805" t="s">
        <v>167</v>
      </c>
      <c r="B4805" t="s">
        <v>272</v>
      </c>
      <c r="C4805" s="35" t="s">
        <v>274</v>
      </c>
      <c r="D4805" t="s">
        <v>502</v>
      </c>
      <c r="E4805" t="s">
        <v>520</v>
      </c>
      <c r="F4805" s="188" t="n">
        <v>2041</v>
      </c>
      <c r="G4805" s="189" t="n">
        <v>33</v>
      </c>
      <c r="H4805" s="190" t="n">
        <v>1100.92679782187</v>
      </c>
      <c r="I4805" s="191" t="n">
        <v>4636826.70751597</v>
      </c>
      <c r="J4805" s="192" t="str">
        <f>IF(I4805&gt;0,H4805/I4805,0)</f>
      </c>
      <c r="K4805" s="193" t="str">
        <f>1-EXP(-J4805)</f>
      </c>
      <c r="L4805" s="194" t="str">
        <f>IF(G4805=30,1,M4804)</f>
      </c>
      <c r="M4805" s="195" t="str">
        <f>L4805*(1-K4805)</f>
      </c>
    </row>
    <row r="4806">
      <c r="A4806" t="s">
        <v>167</v>
      </c>
      <c r="B4806" t="s">
        <v>272</v>
      </c>
      <c r="C4806" s="35" t="s">
        <v>274</v>
      </c>
      <c r="D4806" t="s">
        <v>502</v>
      </c>
      <c r="E4806" t="s">
        <v>520</v>
      </c>
      <c r="F4806" s="188" t="n">
        <v>2041</v>
      </c>
      <c r="G4806" s="189" t="n">
        <v>34</v>
      </c>
      <c r="H4806" s="190" t="n">
        <v>1232.75292200009</v>
      </c>
      <c r="I4806" s="191" t="n">
        <v>4662537.36861785</v>
      </c>
      <c r="J4806" s="192" t="str">
        <f>IF(I4806&gt;0,H4806/I4806,0)</f>
      </c>
      <c r="K4806" s="193" t="str">
        <f>1-EXP(-J4806)</f>
      </c>
      <c r="L4806" s="194" t="str">
        <f>IF(G4806=30,1,M4805)</f>
      </c>
      <c r="M4806" s="195" t="str">
        <f>L4806*(1-K4806)</f>
      </c>
    </row>
    <row r="4807">
      <c r="A4807" t="s">
        <v>167</v>
      </c>
      <c r="B4807" t="s">
        <v>272</v>
      </c>
      <c r="C4807" s="35" t="s">
        <v>274</v>
      </c>
      <c r="D4807" t="s">
        <v>502</v>
      </c>
      <c r="E4807" t="s">
        <v>520</v>
      </c>
      <c r="F4807" s="188" t="n">
        <v>2041</v>
      </c>
      <c r="G4807" s="189" t="n">
        <v>35</v>
      </c>
      <c r="H4807" s="190" t="n">
        <v>1608.83199035022</v>
      </c>
      <c r="I4807" s="191" t="n">
        <v>4579190.07823578</v>
      </c>
      <c r="J4807" s="192" t="str">
        <f>IF(I4807&gt;0,H4807/I4807,0)</f>
      </c>
      <c r="K4807" s="193" t="str">
        <f>1-EXP(-J4807)</f>
      </c>
      <c r="L4807" s="194" t="str">
        <f>IF(G4807=30,1,M4806)</f>
      </c>
      <c r="M4807" s="195" t="str">
        <f>L4807*(1-K4807)</f>
      </c>
    </row>
    <row r="4808">
      <c r="A4808" t="s">
        <v>167</v>
      </c>
      <c r="B4808" t="s">
        <v>272</v>
      </c>
      <c r="C4808" s="35" t="s">
        <v>274</v>
      </c>
      <c r="D4808" t="s">
        <v>502</v>
      </c>
      <c r="E4808" t="s">
        <v>520</v>
      </c>
      <c r="F4808" s="188" t="n">
        <v>2041</v>
      </c>
      <c r="G4808" s="189" t="n">
        <v>36</v>
      </c>
      <c r="H4808" s="190" t="n">
        <v>1838.56135693901</v>
      </c>
      <c r="I4808" s="191" t="n">
        <v>4517184.48878459</v>
      </c>
      <c r="J4808" s="192" t="str">
        <f>IF(I4808&gt;0,H4808/I4808,0)</f>
      </c>
      <c r="K4808" s="193" t="str">
        <f>1-EXP(-J4808)</f>
      </c>
      <c r="L4808" s="194" t="str">
        <f>IF(G4808=30,1,M4807)</f>
      </c>
      <c r="M4808" s="195" t="str">
        <f>L4808*(1-K4808)</f>
      </c>
    </row>
    <row r="4809">
      <c r="A4809" t="s">
        <v>167</v>
      </c>
      <c r="B4809" t="s">
        <v>272</v>
      </c>
      <c r="C4809" s="35" t="s">
        <v>274</v>
      </c>
      <c r="D4809" t="s">
        <v>502</v>
      </c>
      <c r="E4809" t="s">
        <v>520</v>
      </c>
      <c r="F4809" s="188" t="n">
        <v>2041</v>
      </c>
      <c r="G4809" s="189" t="n">
        <v>37</v>
      </c>
      <c r="H4809" s="190" t="n">
        <v>1921.26044852572</v>
      </c>
      <c r="I4809" s="191" t="n">
        <v>4387905.75057097</v>
      </c>
      <c r="J4809" s="192" t="str">
        <f>IF(I4809&gt;0,H4809/I4809,0)</f>
      </c>
      <c r="K4809" s="193" t="str">
        <f>1-EXP(-J4809)</f>
      </c>
      <c r="L4809" s="194" t="str">
        <f>IF(G4809=30,1,M4808)</f>
      </c>
      <c r="M4809" s="195" t="str">
        <f>L4809*(1-K4809)</f>
      </c>
    </row>
    <row r="4810">
      <c r="A4810" t="s">
        <v>167</v>
      </c>
      <c r="B4810" t="s">
        <v>272</v>
      </c>
      <c r="C4810" s="35" t="s">
        <v>274</v>
      </c>
      <c r="D4810" t="s">
        <v>502</v>
      </c>
      <c r="E4810" t="s">
        <v>520</v>
      </c>
      <c r="F4810" s="188" t="n">
        <v>2041</v>
      </c>
      <c r="G4810" s="189" t="n">
        <v>38</v>
      </c>
      <c r="H4810" s="190" t="n">
        <v>2041.74000392312</v>
      </c>
      <c r="I4810" s="191" t="n">
        <v>4321131.12893357</v>
      </c>
      <c r="J4810" s="192" t="str">
        <f>IF(I4810&gt;0,H4810/I4810,0)</f>
      </c>
      <c r="K4810" s="193" t="str">
        <f>1-EXP(-J4810)</f>
      </c>
      <c r="L4810" s="194" t="str">
        <f>IF(G4810=30,1,M4809)</f>
      </c>
      <c r="M4810" s="195" t="str">
        <f>L4810*(1-K4810)</f>
      </c>
    </row>
    <row r="4811">
      <c r="A4811" t="s">
        <v>167</v>
      </c>
      <c r="B4811" t="s">
        <v>272</v>
      </c>
      <c r="C4811" s="35" t="s">
        <v>274</v>
      </c>
      <c r="D4811" t="s">
        <v>502</v>
      </c>
      <c r="E4811" t="s">
        <v>520</v>
      </c>
      <c r="F4811" s="188" t="n">
        <v>2041</v>
      </c>
      <c r="G4811" s="189" t="n">
        <v>39</v>
      </c>
      <c r="H4811" s="190" t="n">
        <v>2351.97296798071</v>
      </c>
      <c r="I4811" s="191" t="n">
        <v>4296739.53337131</v>
      </c>
      <c r="J4811" s="192" t="str">
        <f>IF(I4811&gt;0,H4811/I4811,0)</f>
      </c>
      <c r="K4811" s="193" t="str">
        <f>1-EXP(-J4811)</f>
      </c>
      <c r="L4811" s="194" t="str">
        <f>IF(G4811=30,1,M4810)</f>
      </c>
      <c r="M4811" s="195" t="str">
        <f>L4811*(1-K4811)</f>
      </c>
    </row>
    <row r="4812">
      <c r="A4812" t="s">
        <v>167</v>
      </c>
      <c r="B4812" t="s">
        <v>272</v>
      </c>
      <c r="C4812" s="35" t="s">
        <v>274</v>
      </c>
      <c r="D4812" t="s">
        <v>502</v>
      </c>
      <c r="E4812" t="s">
        <v>520</v>
      </c>
      <c r="F4812" s="188" t="n">
        <v>2041</v>
      </c>
      <c r="G4812" s="189" t="n">
        <v>40</v>
      </c>
      <c r="H4812" s="190" t="n">
        <v>3139.37902767712</v>
      </c>
      <c r="I4812" s="191" t="n">
        <v>4274190.73279727</v>
      </c>
      <c r="J4812" s="192" t="str">
        <f>IF(I4812&gt;0,H4812/I4812,0)</f>
      </c>
      <c r="K4812" s="193" t="str">
        <f>1-EXP(-J4812)</f>
      </c>
      <c r="L4812" s="194" t="str">
        <f>IF(G4812=30,1,M4811)</f>
      </c>
      <c r="M4812" s="195" t="str">
        <f>L4812*(1-K4812)</f>
      </c>
    </row>
    <row r="4813">
      <c r="A4813" t="s">
        <v>167</v>
      </c>
      <c r="B4813" t="s">
        <v>272</v>
      </c>
      <c r="C4813" s="35" t="s">
        <v>274</v>
      </c>
      <c r="D4813" t="s">
        <v>502</v>
      </c>
      <c r="E4813" t="s">
        <v>520</v>
      </c>
      <c r="F4813" s="188" t="n">
        <v>2041</v>
      </c>
      <c r="G4813" s="189" t="n">
        <v>41</v>
      </c>
      <c r="H4813" s="190" t="n">
        <v>3441.69316910846</v>
      </c>
      <c r="I4813" s="191" t="n">
        <v>4250299.62525585</v>
      </c>
      <c r="J4813" s="192" t="str">
        <f>IF(I4813&gt;0,H4813/I4813,0)</f>
      </c>
      <c r="K4813" s="193" t="str">
        <f>1-EXP(-J4813)</f>
      </c>
      <c r="L4813" s="194" t="str">
        <f>IF(G4813=30,1,M4812)</f>
      </c>
      <c r="M4813" s="195" t="str">
        <f>L4813*(1-K4813)</f>
      </c>
    </row>
    <row r="4814">
      <c r="A4814" t="s">
        <v>167</v>
      </c>
      <c r="B4814" t="s">
        <v>272</v>
      </c>
      <c r="C4814" s="35" t="s">
        <v>274</v>
      </c>
      <c r="D4814" t="s">
        <v>502</v>
      </c>
      <c r="E4814" t="s">
        <v>520</v>
      </c>
      <c r="F4814" s="188" t="n">
        <v>2041</v>
      </c>
      <c r="G4814" s="189" t="n">
        <v>42</v>
      </c>
      <c r="H4814" s="190" t="n">
        <v>3749.85554100493</v>
      </c>
      <c r="I4814" s="191" t="n">
        <v>4265751.37628142</v>
      </c>
      <c r="J4814" s="192" t="str">
        <f>IF(I4814&gt;0,H4814/I4814,0)</f>
      </c>
      <c r="K4814" s="193" t="str">
        <f>1-EXP(-J4814)</f>
      </c>
      <c r="L4814" s="194" t="str">
        <f>IF(G4814=30,1,M4813)</f>
      </c>
      <c r="M4814" s="195" t="str">
        <f>L4814*(1-K4814)</f>
      </c>
    </row>
    <row r="4815">
      <c r="A4815" t="s">
        <v>167</v>
      </c>
      <c r="B4815" t="s">
        <v>272</v>
      </c>
      <c r="C4815" s="35" t="s">
        <v>274</v>
      </c>
      <c r="D4815" t="s">
        <v>502</v>
      </c>
      <c r="E4815" t="s">
        <v>520</v>
      </c>
      <c r="F4815" s="188" t="n">
        <v>2041</v>
      </c>
      <c r="G4815" s="189" t="n">
        <v>43</v>
      </c>
      <c r="H4815" s="190" t="n">
        <v>4132.64831219637</v>
      </c>
      <c r="I4815" s="191" t="n">
        <v>4319192.80910212</v>
      </c>
      <c r="J4815" s="192" t="str">
        <f>IF(I4815&gt;0,H4815/I4815,0)</f>
      </c>
      <c r="K4815" s="193" t="str">
        <f>1-EXP(-J4815)</f>
      </c>
      <c r="L4815" s="194" t="str">
        <f>IF(G4815=30,1,M4814)</f>
      </c>
      <c r="M4815" s="195" t="str">
        <f>L4815*(1-K4815)</f>
      </c>
    </row>
    <row r="4816">
      <c r="A4816" t="s">
        <v>167</v>
      </c>
      <c r="B4816" t="s">
        <v>272</v>
      </c>
      <c r="C4816" s="35" t="s">
        <v>274</v>
      </c>
      <c r="D4816" t="s">
        <v>502</v>
      </c>
      <c r="E4816" t="s">
        <v>520</v>
      </c>
      <c r="F4816" s="188" t="n">
        <v>2041</v>
      </c>
      <c r="G4816" s="189" t="n">
        <v>44</v>
      </c>
      <c r="H4816" s="190" t="n">
        <v>4860.87835119498</v>
      </c>
      <c r="I4816" s="191" t="n">
        <v>4448063.65965327</v>
      </c>
      <c r="J4816" s="192" t="str">
        <f>IF(I4816&gt;0,H4816/I4816,0)</f>
      </c>
      <c r="K4816" s="193" t="str">
        <f>1-EXP(-J4816)</f>
      </c>
      <c r="L4816" s="194" t="str">
        <f>IF(G4816=30,1,M4815)</f>
      </c>
      <c r="M4816" s="195" t="str">
        <f>L4816*(1-K4816)</f>
      </c>
    </row>
    <row r="4817">
      <c r="A4817" t="s">
        <v>167</v>
      </c>
      <c r="B4817" t="s">
        <v>272</v>
      </c>
      <c r="C4817" s="35" t="s">
        <v>274</v>
      </c>
      <c r="D4817" t="s">
        <v>502</v>
      </c>
      <c r="E4817" t="s">
        <v>520</v>
      </c>
      <c r="F4817" s="188" t="n">
        <v>2041</v>
      </c>
      <c r="G4817" s="189" t="n">
        <v>45</v>
      </c>
      <c r="H4817" s="190" t="n">
        <v>6163.71903908584</v>
      </c>
      <c r="I4817" s="191" t="n">
        <v>4398814.13749166</v>
      </c>
      <c r="J4817" s="192" t="str">
        <f>IF(I4817&gt;0,H4817/I4817,0)</f>
      </c>
      <c r="K4817" s="193" t="str">
        <f>1-EXP(-J4817)</f>
      </c>
      <c r="L4817" s="194" t="str">
        <f>IF(G4817=30,1,M4816)</f>
      </c>
      <c r="M4817" s="195" t="str">
        <f>L4817*(1-K4817)</f>
      </c>
    </row>
    <row r="4818">
      <c r="A4818" t="s">
        <v>167</v>
      </c>
      <c r="B4818" t="s">
        <v>272</v>
      </c>
      <c r="C4818" s="35" t="s">
        <v>274</v>
      </c>
      <c r="D4818" t="s">
        <v>502</v>
      </c>
      <c r="E4818" t="s">
        <v>520</v>
      </c>
      <c r="F4818" s="188" t="n">
        <v>2041</v>
      </c>
      <c r="G4818" s="189" t="n">
        <v>46</v>
      </c>
      <c r="H4818" s="190" t="n">
        <v>6599.58591692922</v>
      </c>
      <c r="I4818" s="191" t="n">
        <v>4318442.12595642</v>
      </c>
      <c r="J4818" s="192" t="str">
        <f>IF(I4818&gt;0,H4818/I4818,0)</f>
      </c>
      <c r="K4818" s="193" t="str">
        <f>1-EXP(-J4818)</f>
      </c>
      <c r="L4818" s="194" t="str">
        <f>IF(G4818=30,1,M4817)</f>
      </c>
      <c r="M4818" s="195" t="str">
        <f>L4818*(1-K4818)</f>
      </c>
    </row>
    <row r="4819">
      <c r="A4819" t="s">
        <v>167</v>
      </c>
      <c r="B4819" t="s">
        <v>272</v>
      </c>
      <c r="C4819" s="35" t="s">
        <v>274</v>
      </c>
      <c r="D4819" t="s">
        <v>502</v>
      </c>
      <c r="E4819" t="s">
        <v>520</v>
      </c>
      <c r="F4819" s="188" t="n">
        <v>2041</v>
      </c>
      <c r="G4819" s="189" t="n">
        <v>47</v>
      </c>
      <c r="H4819" s="190" t="n">
        <v>7119.62819188012</v>
      </c>
      <c r="I4819" s="191" t="n">
        <v>4253634.67150155</v>
      </c>
      <c r="J4819" s="192" t="str">
        <f>IF(I4819&gt;0,H4819/I4819,0)</f>
      </c>
      <c r="K4819" s="193" t="str">
        <f>1-EXP(-J4819)</f>
      </c>
      <c r="L4819" s="194" t="str">
        <f>IF(G4819=30,1,M4818)</f>
      </c>
      <c r="M4819" s="195" t="str">
        <f>L4819*(1-K4819)</f>
      </c>
    </row>
    <row r="4820">
      <c r="A4820" t="s">
        <v>167</v>
      </c>
      <c r="B4820" t="s">
        <v>272</v>
      </c>
      <c r="C4820" s="35" t="s">
        <v>274</v>
      </c>
      <c r="D4820" t="s">
        <v>502</v>
      </c>
      <c r="E4820" t="s">
        <v>520</v>
      </c>
      <c r="F4820" s="188" t="n">
        <v>2041</v>
      </c>
      <c r="G4820" s="189" t="n">
        <v>48</v>
      </c>
      <c r="H4820" s="190" t="n">
        <v>7691.94935406769</v>
      </c>
      <c r="I4820" s="191" t="n">
        <v>4191526.11668571</v>
      </c>
      <c r="J4820" s="192" t="str">
        <f>IF(I4820&gt;0,H4820/I4820,0)</f>
      </c>
      <c r="K4820" s="193" t="str">
        <f>1-EXP(-J4820)</f>
      </c>
      <c r="L4820" s="194" t="str">
        <f>IF(G4820=30,1,M4819)</f>
      </c>
      <c r="M4820" s="195" t="str">
        <f>L4820*(1-K4820)</f>
      </c>
    </row>
    <row r="4821">
      <c r="A4821" t="s">
        <v>167</v>
      </c>
      <c r="B4821" t="s">
        <v>272</v>
      </c>
      <c r="C4821" s="35" t="s">
        <v>274</v>
      </c>
      <c r="D4821" t="s">
        <v>502</v>
      </c>
      <c r="E4821" t="s">
        <v>520</v>
      </c>
      <c r="F4821" s="188" t="n">
        <v>2041</v>
      </c>
      <c r="G4821" s="189" t="n">
        <v>49</v>
      </c>
      <c r="H4821" s="190" t="n">
        <v>8475.39676623585</v>
      </c>
      <c r="I4821" s="191" t="n">
        <v>4217068.84298166</v>
      </c>
      <c r="J4821" s="192" t="str">
        <f>IF(I4821&gt;0,H4821/I4821,0)</f>
      </c>
      <c r="K4821" s="193" t="str">
        <f>1-EXP(-J4821)</f>
      </c>
      <c r="L4821" s="194" t="str">
        <f>IF(G4821=30,1,M4820)</f>
      </c>
      <c r="M4821" s="195" t="str">
        <f>L4821*(1-K4821)</f>
      </c>
    </row>
    <row r="4822">
      <c r="A4822" t="s">
        <v>167</v>
      </c>
      <c r="B4822" t="s">
        <v>272</v>
      </c>
      <c r="C4822" s="35" t="s">
        <v>274</v>
      </c>
      <c r="D4822" t="s">
        <v>502</v>
      </c>
      <c r="E4822" t="s">
        <v>520</v>
      </c>
      <c r="F4822" s="188" t="n">
        <v>2041</v>
      </c>
      <c r="G4822" s="189" t="n">
        <v>50</v>
      </c>
      <c r="H4822" s="190" t="n">
        <v>9745.51411046528</v>
      </c>
      <c r="I4822" s="191" t="n">
        <v>4222060.39790638</v>
      </c>
      <c r="J4822" s="192" t="str">
        <f>IF(I4822&gt;0,H4822/I4822,0)</f>
      </c>
      <c r="K4822" s="193" t="str">
        <f>1-EXP(-J4822)</f>
      </c>
      <c r="L4822" s="194" t="str">
        <f>IF(G4822=30,1,M4821)</f>
      </c>
      <c r="M4822" s="195" t="str">
        <f>L4822*(1-K4822)</f>
      </c>
    </row>
    <row r="4823">
      <c r="A4823" t="s">
        <v>167</v>
      </c>
      <c r="B4823" t="s">
        <v>272</v>
      </c>
      <c r="C4823" s="35" t="s">
        <v>274</v>
      </c>
      <c r="D4823" t="s">
        <v>502</v>
      </c>
      <c r="E4823" t="s">
        <v>520</v>
      </c>
      <c r="F4823" s="188" t="n">
        <v>2041</v>
      </c>
      <c r="G4823" s="189" t="n">
        <v>51</v>
      </c>
      <c r="H4823" s="190" t="n">
        <v>14310.5534923497</v>
      </c>
      <c r="I4823" s="191" t="n">
        <v>6208642.60930393</v>
      </c>
      <c r="J4823" s="192" t="str">
        <f>IF(I4823&gt;0,H4823/I4823,0)</f>
      </c>
      <c r="K4823" s="193" t="str">
        <f>1-EXP(-J4823)</f>
      </c>
      <c r="L4823" s="194" t="str">
        <f>IF(G4823=30,1,M4822)</f>
      </c>
      <c r="M4823" s="195" t="str">
        <f>L4823*(1-K4823)</f>
      </c>
    </row>
    <row r="4824">
      <c r="A4824" t="s">
        <v>167</v>
      </c>
      <c r="B4824" t="s">
        <v>272</v>
      </c>
      <c r="C4824" s="35" t="s">
        <v>274</v>
      </c>
      <c r="D4824" t="s">
        <v>502</v>
      </c>
      <c r="E4824" t="s">
        <v>520</v>
      </c>
      <c r="F4824" s="188" t="n">
        <v>2041</v>
      </c>
      <c r="G4824" s="189" t="n">
        <v>52</v>
      </c>
      <c r="H4824" s="190" t="n">
        <v>11455.119935975</v>
      </c>
      <c r="I4824" s="191" t="n">
        <v>4152614.24018274</v>
      </c>
      <c r="J4824" s="192" t="str">
        <f>IF(I4824&gt;0,H4824/I4824,0)</f>
      </c>
      <c r="K4824" s="193" t="str">
        <f>1-EXP(-J4824)</f>
      </c>
      <c r="L4824" s="194" t="str">
        <f>IF(G4824=30,1,M4823)</f>
      </c>
      <c r="M4824" s="195" t="str">
        <f>L4824*(1-K4824)</f>
      </c>
    </row>
    <row r="4825">
      <c r="A4825" t="s">
        <v>167</v>
      </c>
      <c r="B4825" t="s">
        <v>272</v>
      </c>
      <c r="C4825" s="35" t="s">
        <v>274</v>
      </c>
      <c r="D4825" t="s">
        <v>502</v>
      </c>
      <c r="E4825" t="s">
        <v>520</v>
      </c>
      <c r="F4825" s="188" t="n">
        <v>2041</v>
      </c>
      <c r="G4825" s="189" t="n">
        <v>53</v>
      </c>
      <c r="H4825" s="190" t="n">
        <v>12410.1913243396</v>
      </c>
      <c r="I4825" s="191" t="n">
        <v>4120013.23259973</v>
      </c>
      <c r="J4825" s="192" t="str">
        <f>IF(I4825&gt;0,H4825/I4825,0)</f>
      </c>
      <c r="K4825" s="193" t="str">
        <f>1-EXP(-J4825)</f>
      </c>
      <c r="L4825" s="194" t="str">
        <f>IF(G4825=30,1,M4824)</f>
      </c>
      <c r="M4825" s="195" t="str">
        <f>L4825*(1-K4825)</f>
      </c>
    </row>
    <row r="4826">
      <c r="A4826" t="s">
        <v>167</v>
      </c>
      <c r="B4826" t="s">
        <v>272</v>
      </c>
      <c r="C4826" s="35" t="s">
        <v>274</v>
      </c>
      <c r="D4826" t="s">
        <v>502</v>
      </c>
      <c r="E4826" t="s">
        <v>520</v>
      </c>
      <c r="F4826" s="188" t="n">
        <v>2041</v>
      </c>
      <c r="G4826" s="189" t="n">
        <v>54</v>
      </c>
      <c r="H4826" s="190" t="n">
        <v>13068.639658742</v>
      </c>
      <c r="I4826" s="191" t="n">
        <v>3976147.4334265</v>
      </c>
      <c r="J4826" s="192" t="str">
        <f>IF(I4826&gt;0,H4826/I4826,0)</f>
      </c>
      <c r="K4826" s="193" t="str">
        <f>1-EXP(-J4826)</f>
      </c>
      <c r="L4826" s="194" t="str">
        <f>IF(G4826=30,1,M4825)</f>
      </c>
      <c r="M4826" s="195" t="str">
        <f>L4826*(1-K4826)</f>
      </c>
    </row>
    <row r="4827">
      <c r="A4827" t="s">
        <v>167</v>
      </c>
      <c r="B4827" t="s">
        <v>272</v>
      </c>
      <c r="C4827" s="35" t="s">
        <v>274</v>
      </c>
      <c r="D4827" t="s">
        <v>502</v>
      </c>
      <c r="E4827" t="s">
        <v>520</v>
      </c>
      <c r="F4827" s="188" t="n">
        <v>2041</v>
      </c>
      <c r="G4827" s="189" t="n">
        <v>55</v>
      </c>
      <c r="H4827" s="190" t="n">
        <v>13930.3443096838</v>
      </c>
      <c r="I4827" s="191" t="n">
        <v>3924215.59460837</v>
      </c>
      <c r="J4827" s="192" t="str">
        <f>IF(I4827&gt;0,H4827/I4827,0)</f>
      </c>
      <c r="K4827" s="193" t="str">
        <f>1-EXP(-J4827)</f>
      </c>
      <c r="L4827" s="194" t="str">
        <f>IF(G4827=30,1,M4826)</f>
      </c>
      <c r="M4827" s="195" t="str">
        <f>L4827*(1-K4827)</f>
      </c>
    </row>
    <row r="4828">
      <c r="A4828" t="s">
        <v>167</v>
      </c>
      <c r="B4828" t="s">
        <v>272</v>
      </c>
      <c r="C4828" s="35" t="s">
        <v>274</v>
      </c>
      <c r="D4828" t="s">
        <v>502</v>
      </c>
      <c r="E4828" t="s">
        <v>520</v>
      </c>
      <c r="F4828" s="188" t="n">
        <v>2041</v>
      </c>
      <c r="G4828" s="189" t="n">
        <v>56</v>
      </c>
      <c r="H4828" s="190" t="n">
        <v>15290.2059586911</v>
      </c>
      <c r="I4828" s="191" t="n">
        <v>3958679.31205319</v>
      </c>
      <c r="J4828" s="192" t="str">
        <f>IF(I4828&gt;0,H4828/I4828,0)</f>
      </c>
      <c r="K4828" s="193" t="str">
        <f>1-EXP(-J4828)</f>
      </c>
      <c r="L4828" s="194" t="str">
        <f>IF(G4828=30,1,M4827)</f>
      </c>
      <c r="M4828" s="195" t="str">
        <f>L4828*(1-K4828)</f>
      </c>
    </row>
    <row r="4829">
      <c r="A4829" t="s">
        <v>167</v>
      </c>
      <c r="B4829" t="s">
        <v>272</v>
      </c>
      <c r="C4829" s="35" t="s">
        <v>274</v>
      </c>
      <c r="D4829" t="s">
        <v>502</v>
      </c>
      <c r="E4829" t="s">
        <v>520</v>
      </c>
      <c r="F4829" s="188" t="n">
        <v>2041</v>
      </c>
      <c r="G4829" s="189" t="n">
        <v>57</v>
      </c>
      <c r="H4829" s="190" t="n">
        <v>16925.1199095237</v>
      </c>
      <c r="I4829" s="191" t="n">
        <v>4014355.23191883</v>
      </c>
      <c r="J4829" s="192" t="str">
        <f>IF(I4829&gt;0,H4829/I4829,0)</f>
      </c>
      <c r="K4829" s="193" t="str">
        <f>1-EXP(-J4829)</f>
      </c>
      <c r="L4829" s="194" t="str">
        <f>IF(G4829=30,1,M4828)</f>
      </c>
      <c r="M4829" s="195" t="str">
        <f>L4829*(1-K4829)</f>
      </c>
    </row>
    <row r="4830">
      <c r="A4830" t="s">
        <v>167</v>
      </c>
      <c r="B4830" t="s">
        <v>272</v>
      </c>
      <c r="C4830" s="35" t="s">
        <v>274</v>
      </c>
      <c r="D4830" t="s">
        <v>502</v>
      </c>
      <c r="E4830" t="s">
        <v>520</v>
      </c>
      <c r="F4830" s="188" t="n">
        <v>2041</v>
      </c>
      <c r="G4830" s="189" t="n">
        <v>58</v>
      </c>
      <c r="H4830" s="190" t="n">
        <v>18275.6196171454</v>
      </c>
      <c r="I4830" s="191" t="n">
        <v>3965980.45291044</v>
      </c>
      <c r="J4830" s="192" t="str">
        <f>IF(I4830&gt;0,H4830/I4830,0)</f>
      </c>
      <c r="K4830" s="193" t="str">
        <f>1-EXP(-J4830)</f>
      </c>
      <c r="L4830" s="194" t="str">
        <f>IF(G4830=30,1,M4829)</f>
      </c>
      <c r="M4830" s="195" t="str">
        <f>L4830*(1-K4830)</f>
      </c>
    </row>
    <row r="4831">
      <c r="A4831" t="s">
        <v>167</v>
      </c>
      <c r="B4831" t="s">
        <v>272</v>
      </c>
      <c r="C4831" s="35" t="s">
        <v>274</v>
      </c>
      <c r="D4831" t="s">
        <v>502</v>
      </c>
      <c r="E4831" t="s">
        <v>520</v>
      </c>
      <c r="F4831" s="188" t="n">
        <v>2041</v>
      </c>
      <c r="G4831" s="189" t="n">
        <v>59</v>
      </c>
      <c r="H4831" s="190" t="n">
        <v>19242.8502486098</v>
      </c>
      <c r="I4831" s="191" t="n">
        <v>3811920.85070977</v>
      </c>
      <c r="J4831" s="192" t="str">
        <f>IF(I4831&gt;0,H4831/I4831,0)</f>
      </c>
      <c r="K4831" s="193" t="str">
        <f>1-EXP(-J4831)</f>
      </c>
      <c r="L4831" s="194" t="str">
        <f>IF(G4831=30,1,M4830)</f>
      </c>
      <c r="M4831" s="195" t="str">
        <f>L4831*(1-K4831)</f>
      </c>
    </row>
    <row r="4832">
      <c r="A4832" t="s">
        <v>167</v>
      </c>
      <c r="B4832" t="s">
        <v>272</v>
      </c>
      <c r="C4832" s="35" t="s">
        <v>274</v>
      </c>
      <c r="D4832" t="s">
        <v>502</v>
      </c>
      <c r="E4832" t="s">
        <v>520</v>
      </c>
      <c r="F4832" s="188" t="n">
        <v>2041</v>
      </c>
      <c r="G4832" s="189" t="n">
        <v>60</v>
      </c>
      <c r="H4832" s="190" t="n">
        <v>20438.1269963494</v>
      </c>
      <c r="I4832" s="191" t="n">
        <v>3714581.98274127</v>
      </c>
      <c r="J4832" s="192" t="str">
        <f>IF(I4832&gt;0,H4832/I4832,0)</f>
      </c>
      <c r="K4832" s="193" t="str">
        <f>1-EXP(-J4832)</f>
      </c>
      <c r="L4832" s="194" t="str">
        <f>IF(G4832=30,1,M4831)</f>
      </c>
      <c r="M4832" s="195" t="str">
        <f>L4832*(1-K4832)</f>
      </c>
    </row>
    <row r="4833">
      <c r="A4833" t="s">
        <v>167</v>
      </c>
      <c r="B4833" t="s">
        <v>272</v>
      </c>
      <c r="C4833" s="35" t="s">
        <v>274</v>
      </c>
      <c r="D4833" t="s">
        <v>502</v>
      </c>
      <c r="E4833" t="s">
        <v>520</v>
      </c>
      <c r="F4833" s="188" t="n">
        <v>2041</v>
      </c>
      <c r="G4833" s="189" t="n">
        <v>61</v>
      </c>
      <c r="H4833" s="190" t="n">
        <v>21900.5109941658</v>
      </c>
      <c r="I4833" s="191" t="n">
        <v>3629906.08207228</v>
      </c>
      <c r="J4833" s="192" t="str">
        <f>IF(I4833&gt;0,H4833/I4833,0)</f>
      </c>
      <c r="K4833" s="193" t="str">
        <f>1-EXP(-J4833)</f>
      </c>
      <c r="L4833" s="194" t="str">
        <f>IF(G4833=30,1,M4832)</f>
      </c>
      <c r="M4833" s="195" t="str">
        <f>L4833*(1-K4833)</f>
      </c>
    </row>
    <row r="4834">
      <c r="A4834" t="s">
        <v>167</v>
      </c>
      <c r="B4834" t="s">
        <v>272</v>
      </c>
      <c r="C4834" s="35" t="s">
        <v>274</v>
      </c>
      <c r="D4834" t="s">
        <v>502</v>
      </c>
      <c r="E4834" t="s">
        <v>520</v>
      </c>
      <c r="F4834" s="188" t="n">
        <v>2041</v>
      </c>
      <c r="G4834" s="189" t="n">
        <v>62</v>
      </c>
      <c r="H4834" s="190" t="n">
        <v>23417.7081850923</v>
      </c>
      <c r="I4834" s="191" t="n">
        <v>3538716.97588001</v>
      </c>
      <c r="J4834" s="192" t="str">
        <f>IF(I4834&gt;0,H4834/I4834,0)</f>
      </c>
      <c r="K4834" s="193" t="str">
        <f>1-EXP(-J4834)</f>
      </c>
      <c r="L4834" s="194" t="str">
        <f>IF(G4834=30,1,M4833)</f>
      </c>
      <c r="M4834" s="195" t="str">
        <f>L4834*(1-K4834)</f>
      </c>
    </row>
    <row r="4835">
      <c r="A4835" t="s">
        <v>167</v>
      </c>
      <c r="B4835" t="s">
        <v>272</v>
      </c>
      <c r="C4835" s="35" t="s">
        <v>274</v>
      </c>
      <c r="D4835" t="s">
        <v>502</v>
      </c>
      <c r="E4835" t="s">
        <v>520</v>
      </c>
      <c r="F4835" s="188" t="n">
        <v>2041</v>
      </c>
      <c r="G4835" s="189" t="n">
        <v>63</v>
      </c>
      <c r="H4835" s="190" t="n">
        <v>24887.9855610853</v>
      </c>
      <c r="I4835" s="191" t="n">
        <v>3428417.36939983</v>
      </c>
      <c r="J4835" s="192" t="str">
        <f>IF(I4835&gt;0,H4835/I4835,0)</f>
      </c>
      <c r="K4835" s="193" t="str">
        <f>1-EXP(-J4835)</f>
      </c>
      <c r="L4835" s="194" t="str">
        <f>IF(G4835=30,1,M4834)</f>
      </c>
      <c r="M4835" s="195" t="str">
        <f>L4835*(1-K4835)</f>
      </c>
    </row>
    <row r="4836">
      <c r="A4836" t="s">
        <v>167</v>
      </c>
      <c r="B4836" t="s">
        <v>272</v>
      </c>
      <c r="C4836" s="35" t="s">
        <v>274</v>
      </c>
      <c r="D4836" t="s">
        <v>502</v>
      </c>
      <c r="E4836" t="s">
        <v>520</v>
      </c>
      <c r="F4836" s="188" t="n">
        <v>2041</v>
      </c>
      <c r="G4836" s="189" t="n">
        <v>64</v>
      </c>
      <c r="H4836" s="190" t="n">
        <v>26554.7568978273</v>
      </c>
      <c r="I4836" s="191" t="n">
        <v>3331104.13854859</v>
      </c>
      <c r="J4836" s="192" t="str">
        <f>IF(I4836&gt;0,H4836/I4836,0)</f>
      </c>
      <c r="K4836" s="193" t="str">
        <f>1-EXP(-J4836)</f>
      </c>
      <c r="L4836" s="194" t="str">
        <f>IF(G4836=30,1,M4835)</f>
      </c>
      <c r="M4836" s="195" t="str">
        <f>L4836*(1-K4836)</f>
      </c>
    </row>
    <row r="4837">
      <c r="A4837" t="s">
        <v>167</v>
      </c>
      <c r="B4837" t="s">
        <v>272</v>
      </c>
      <c r="C4837" s="35" t="s">
        <v>274</v>
      </c>
      <c r="D4837" t="s">
        <v>502</v>
      </c>
      <c r="E4837" t="s">
        <v>520</v>
      </c>
      <c r="F4837" s="188" t="n">
        <v>2041</v>
      </c>
      <c r="G4837" s="189" t="n">
        <v>65</v>
      </c>
      <c r="H4837" s="190" t="n">
        <v>26972.741967802</v>
      </c>
      <c r="I4837" s="191" t="n">
        <v>3222082.55253927</v>
      </c>
      <c r="J4837" s="192" t="str">
        <f>IF(I4837&gt;0,H4837/I4837,0)</f>
      </c>
      <c r="K4837" s="193" t="str">
        <f>1-EXP(-J4837)</f>
      </c>
      <c r="L4837" s="194" t="str">
        <f>IF(G4837=30,1,M4836)</f>
      </c>
      <c r="M4837" s="195" t="str">
        <f>L4837*(1-K4837)</f>
      </c>
    </row>
    <row r="4838">
      <c r="A4838" t="s">
        <v>167</v>
      </c>
      <c r="B4838" t="s">
        <v>272</v>
      </c>
      <c r="C4838" s="35" t="s">
        <v>274</v>
      </c>
      <c r="D4838" t="s">
        <v>502</v>
      </c>
      <c r="E4838" t="s">
        <v>520</v>
      </c>
      <c r="F4838" s="188" t="n">
        <v>2041</v>
      </c>
      <c r="G4838" s="189" t="n">
        <v>66</v>
      </c>
      <c r="H4838" s="190" t="n">
        <v>28555.0331808065</v>
      </c>
      <c r="I4838" s="191" t="n">
        <v>3111309.98441998</v>
      </c>
      <c r="J4838" s="192" t="str">
        <f>IF(I4838&gt;0,H4838/I4838,0)</f>
      </c>
      <c r="K4838" s="193" t="str">
        <f>1-EXP(-J4838)</f>
      </c>
      <c r="L4838" s="194" t="str">
        <f>IF(G4838=30,1,M4837)</f>
      </c>
      <c r="M4838" s="195" t="str">
        <f>L4838*(1-K4838)</f>
      </c>
    </row>
    <row r="4839">
      <c r="A4839" t="s">
        <v>167</v>
      </c>
      <c r="B4839" t="s">
        <v>272</v>
      </c>
      <c r="C4839" s="35" t="s">
        <v>274</v>
      </c>
      <c r="D4839" t="s">
        <v>502</v>
      </c>
      <c r="E4839" t="s">
        <v>520</v>
      </c>
      <c r="F4839" s="188" t="n">
        <v>2041</v>
      </c>
      <c r="G4839" s="189" t="n">
        <v>67</v>
      </c>
      <c r="H4839" s="190" t="n">
        <v>29980.9881733962</v>
      </c>
      <c r="I4839" s="191" t="n">
        <v>2975174.22770901</v>
      </c>
      <c r="J4839" s="192" t="str">
        <f>IF(I4839&gt;0,H4839/I4839,0)</f>
      </c>
      <c r="K4839" s="193" t="str">
        <f>1-EXP(-J4839)</f>
      </c>
      <c r="L4839" s="194" t="str">
        <f>IF(G4839=30,1,M4838)</f>
      </c>
      <c r="M4839" s="195" t="str">
        <f>L4839*(1-K4839)</f>
      </c>
    </row>
    <row r="4840">
      <c r="A4840" t="s">
        <v>167</v>
      </c>
      <c r="B4840" t="s">
        <v>272</v>
      </c>
      <c r="C4840" s="35" t="s">
        <v>274</v>
      </c>
      <c r="D4840" t="s">
        <v>502</v>
      </c>
      <c r="E4840" t="s">
        <v>520</v>
      </c>
      <c r="F4840" s="188" t="n">
        <v>2041</v>
      </c>
      <c r="G4840" s="189" t="n">
        <v>68</v>
      </c>
      <c r="H4840" s="190" t="n">
        <v>31972.7884537133</v>
      </c>
      <c r="I4840" s="191" t="n">
        <v>2887716.85420688</v>
      </c>
      <c r="J4840" s="192" t="str">
        <f>IF(I4840&gt;0,H4840/I4840,0)</f>
      </c>
      <c r="K4840" s="193" t="str">
        <f>1-EXP(-J4840)</f>
      </c>
      <c r="L4840" s="194" t="str">
        <f>IF(G4840=30,1,M4839)</f>
      </c>
      <c r="M4840" s="195" t="str">
        <f>L4840*(1-K4840)</f>
      </c>
    </row>
    <row r="4841">
      <c r="A4841" t="s">
        <v>167</v>
      </c>
      <c r="B4841" t="s">
        <v>272</v>
      </c>
      <c r="C4841" s="35" t="s">
        <v>274</v>
      </c>
      <c r="D4841" t="s">
        <v>502</v>
      </c>
      <c r="E4841" t="s">
        <v>520</v>
      </c>
      <c r="F4841" s="188" t="n">
        <v>2041</v>
      </c>
      <c r="G4841" s="189" t="n">
        <v>69</v>
      </c>
      <c r="H4841" s="190" t="n">
        <v>32474.0050125394</v>
      </c>
      <c r="I4841" s="191" t="n">
        <v>2664314.43003266</v>
      </c>
      <c r="J4841" s="192" t="str">
        <f>IF(I4841&gt;0,H4841/I4841,0)</f>
      </c>
      <c r="K4841" s="193" t="str">
        <f>1-EXP(-J4841)</f>
      </c>
      <c r="L4841" s="194" t="str">
        <f>IF(G4841=30,1,M4840)</f>
      </c>
      <c r="M4841" s="195" t="str">
        <f>L4841*(1-K4841)</f>
      </c>
    </row>
    <row r="4842">
      <c r="A4842" t="s">
        <v>167</v>
      </c>
      <c r="B4842" t="s">
        <v>272</v>
      </c>
      <c r="C4842" s="35" t="s">
        <v>274</v>
      </c>
      <c r="D4842" t="s">
        <v>502</v>
      </c>
      <c r="E4842" t="s">
        <v>520</v>
      </c>
      <c r="F4842" s="188" t="n">
        <v>2042</v>
      </c>
      <c r="G4842" s="189" t="n">
        <v>30</v>
      </c>
      <c r="H4842" s="190" t="n">
        <v>813.729830145277</v>
      </c>
      <c r="I4842" s="191" t="n">
        <v>4906591.56754662</v>
      </c>
      <c r="J4842" s="192" t="str">
        <f>IF(I4842&gt;0,H4842/I4842,0)</f>
      </c>
      <c r="K4842" s="193" t="str">
        <f>1-EXP(-J4842)</f>
      </c>
      <c r="L4842" s="194" t="str">
        <f>IF(G4842=30,1,M4841)</f>
      </c>
      <c r="M4842" s="195" t="str">
        <f>L4842*(1-K4842)</f>
      </c>
    </row>
    <row r="4843">
      <c r="A4843" t="s">
        <v>167</v>
      </c>
      <c r="B4843" t="s">
        <v>272</v>
      </c>
      <c r="C4843" s="35" t="s">
        <v>274</v>
      </c>
      <c r="D4843" t="s">
        <v>502</v>
      </c>
      <c r="E4843" t="s">
        <v>520</v>
      </c>
      <c r="F4843" s="188" t="n">
        <v>2042</v>
      </c>
      <c r="G4843" s="189" t="n">
        <v>31</v>
      </c>
      <c r="H4843" s="190" t="n">
        <v>1040.48969188942</v>
      </c>
      <c r="I4843" s="191" t="n">
        <v>4878454.23067084</v>
      </c>
      <c r="J4843" s="192" t="str">
        <f>IF(I4843&gt;0,H4843/I4843,0)</f>
      </c>
      <c r="K4843" s="193" t="str">
        <f>1-EXP(-J4843)</f>
      </c>
      <c r="L4843" s="194" t="str">
        <f>IF(G4843=30,1,M4842)</f>
      </c>
      <c r="M4843" s="195" t="str">
        <f>L4843*(1-K4843)</f>
      </c>
    </row>
    <row r="4844">
      <c r="A4844" t="s">
        <v>167</v>
      </c>
      <c r="B4844" t="s">
        <v>272</v>
      </c>
      <c r="C4844" s="35" t="s">
        <v>274</v>
      </c>
      <c r="D4844" t="s">
        <v>502</v>
      </c>
      <c r="E4844" t="s">
        <v>520</v>
      </c>
      <c r="F4844" s="188" t="n">
        <v>2042</v>
      </c>
      <c r="G4844" s="189" t="n">
        <v>32</v>
      </c>
      <c r="H4844" s="190" t="n">
        <v>1065.78582948637</v>
      </c>
      <c r="I4844" s="191" t="n">
        <v>4744728.1015557</v>
      </c>
      <c r="J4844" s="192" t="str">
        <f>IF(I4844&gt;0,H4844/I4844,0)</f>
      </c>
      <c r="K4844" s="193" t="str">
        <f>1-EXP(-J4844)</f>
      </c>
      <c r="L4844" s="194" t="str">
        <f>IF(G4844=30,1,M4843)</f>
      </c>
      <c r="M4844" s="195" t="str">
        <f>L4844*(1-K4844)</f>
      </c>
    </row>
    <row r="4845">
      <c r="A4845" t="s">
        <v>167</v>
      </c>
      <c r="B4845" t="s">
        <v>272</v>
      </c>
      <c r="C4845" s="35" t="s">
        <v>274</v>
      </c>
      <c r="D4845" t="s">
        <v>502</v>
      </c>
      <c r="E4845" t="s">
        <v>520</v>
      </c>
      <c r="F4845" s="188" t="n">
        <v>2042</v>
      </c>
      <c r="G4845" s="189" t="n">
        <v>33</v>
      </c>
      <c r="H4845" s="190" t="n">
        <v>1112.20282109896</v>
      </c>
      <c r="I4845" s="191" t="n">
        <v>4673890.62269937</v>
      </c>
      <c r="J4845" s="192" t="str">
        <f>IF(I4845&gt;0,H4845/I4845,0)</f>
      </c>
      <c r="K4845" s="193" t="str">
        <f>1-EXP(-J4845)</f>
      </c>
      <c r="L4845" s="194" t="str">
        <f>IF(G4845=30,1,M4844)</f>
      </c>
      <c r="M4845" s="195" t="str">
        <f>L4845*(1-K4845)</f>
      </c>
    </row>
    <row r="4846">
      <c r="A4846" t="s">
        <v>167</v>
      </c>
      <c r="B4846" t="s">
        <v>272</v>
      </c>
      <c r="C4846" s="35" t="s">
        <v>274</v>
      </c>
      <c r="D4846" t="s">
        <v>502</v>
      </c>
      <c r="E4846" t="s">
        <v>520</v>
      </c>
      <c r="F4846" s="188" t="n">
        <v>2042</v>
      </c>
      <c r="G4846" s="189" t="n">
        <v>34</v>
      </c>
      <c r="H4846" s="190" t="n">
        <v>1174.71930122524</v>
      </c>
      <c r="I4846" s="191" t="n">
        <v>4630998.11460125</v>
      </c>
      <c r="J4846" s="192" t="str">
        <f>IF(I4846&gt;0,H4846/I4846,0)</f>
      </c>
      <c r="K4846" s="193" t="str">
        <f>1-EXP(-J4846)</f>
      </c>
      <c r="L4846" s="194" t="str">
        <f>IF(G4846=30,1,M4845)</f>
      </c>
      <c r="M4846" s="195" t="str">
        <f>L4846*(1-K4846)</f>
      </c>
    </row>
    <row r="4847">
      <c r="A4847" t="s">
        <v>167</v>
      </c>
      <c r="B4847" t="s">
        <v>272</v>
      </c>
      <c r="C4847" s="35" t="s">
        <v>274</v>
      </c>
      <c r="D4847" t="s">
        <v>502</v>
      </c>
      <c r="E4847" t="s">
        <v>520</v>
      </c>
      <c r="F4847" s="188" t="n">
        <v>2042</v>
      </c>
      <c r="G4847" s="189" t="n">
        <v>35</v>
      </c>
      <c r="H4847" s="190" t="n">
        <v>1633.69257848835</v>
      </c>
      <c r="I4847" s="191" t="n">
        <v>4656312.99613366</v>
      </c>
      <c r="J4847" s="192" t="str">
        <f>IF(I4847&gt;0,H4847/I4847,0)</f>
      </c>
      <c r="K4847" s="193" t="str">
        <f>1-EXP(-J4847)</f>
      </c>
      <c r="L4847" s="194" t="str">
        <f>IF(G4847=30,1,M4846)</f>
      </c>
      <c r="M4847" s="195" t="str">
        <f>L4847*(1-K4847)</f>
      </c>
    </row>
    <row r="4848">
      <c r="A4848" t="s">
        <v>167</v>
      </c>
      <c r="B4848" t="s">
        <v>272</v>
      </c>
      <c r="C4848" s="35" t="s">
        <v>274</v>
      </c>
      <c r="D4848" t="s">
        <v>502</v>
      </c>
      <c r="E4848" t="s">
        <v>520</v>
      </c>
      <c r="F4848" s="188" t="n">
        <v>2042</v>
      </c>
      <c r="G4848" s="189" t="n">
        <v>36</v>
      </c>
      <c r="H4848" s="190" t="n">
        <v>1857.64477464509</v>
      </c>
      <c r="I4848" s="191" t="n">
        <v>4572369.94831965</v>
      </c>
      <c r="J4848" s="192" t="str">
        <f>IF(I4848&gt;0,H4848/I4848,0)</f>
      </c>
      <c r="K4848" s="193" t="str">
        <f>1-EXP(-J4848)</f>
      </c>
      <c r="L4848" s="194" t="str">
        <f>IF(G4848=30,1,M4847)</f>
      </c>
      <c r="M4848" s="195" t="str">
        <f>L4848*(1-K4848)</f>
      </c>
    </row>
    <row r="4849">
      <c r="A4849" t="s">
        <v>167</v>
      </c>
      <c r="B4849" t="s">
        <v>272</v>
      </c>
      <c r="C4849" s="35" t="s">
        <v>274</v>
      </c>
      <c r="D4849" t="s">
        <v>502</v>
      </c>
      <c r="E4849" t="s">
        <v>520</v>
      </c>
      <c r="F4849" s="188" t="n">
        <v>2042</v>
      </c>
      <c r="G4849" s="189" t="n">
        <v>37</v>
      </c>
      <c r="H4849" s="190" t="n">
        <v>1970.20890179424</v>
      </c>
      <c r="I4849" s="191" t="n">
        <v>4510307.25757513</v>
      </c>
      <c r="J4849" s="192" t="str">
        <f>IF(I4849&gt;0,H4849/I4849,0)</f>
      </c>
      <c r="K4849" s="193" t="str">
        <f>1-EXP(-J4849)</f>
      </c>
      <c r="L4849" s="194" t="str">
        <f>IF(G4849=30,1,M4848)</f>
      </c>
      <c r="M4849" s="195" t="str">
        <f>L4849*(1-K4849)</f>
      </c>
    </row>
    <row r="4850">
      <c r="A4850" t="s">
        <v>167</v>
      </c>
      <c r="B4850" t="s">
        <v>272</v>
      </c>
      <c r="C4850" s="35" t="s">
        <v>274</v>
      </c>
      <c r="D4850" t="s">
        <v>502</v>
      </c>
      <c r="E4850" t="s">
        <v>520</v>
      </c>
      <c r="F4850" s="188" t="n">
        <v>2042</v>
      </c>
      <c r="G4850" s="189" t="n">
        <v>38</v>
      </c>
      <c r="H4850" s="190" t="n">
        <v>2064.71170543936</v>
      </c>
      <c r="I4850" s="191" t="n">
        <v>4380765.6884775</v>
      </c>
      <c r="J4850" s="192" t="str">
        <f>IF(I4850&gt;0,H4850/I4850,0)</f>
      </c>
      <c r="K4850" s="193" t="str">
        <f>1-EXP(-J4850)</f>
      </c>
      <c r="L4850" s="194" t="str">
        <f>IF(G4850=30,1,M4849)</f>
      </c>
      <c r="M4850" s="195" t="str">
        <f>L4850*(1-K4850)</f>
      </c>
    </row>
    <row r="4851">
      <c r="A4851" t="s">
        <v>167</v>
      </c>
      <c r="B4851" t="s">
        <v>272</v>
      </c>
      <c r="C4851" s="35" t="s">
        <v>274</v>
      </c>
      <c r="D4851" t="s">
        <v>502</v>
      </c>
      <c r="E4851" t="s">
        <v>520</v>
      </c>
      <c r="F4851" s="188" t="n">
        <v>2042</v>
      </c>
      <c r="G4851" s="189" t="n">
        <v>39</v>
      </c>
      <c r="H4851" s="190" t="n">
        <v>2199.26643630681</v>
      </c>
      <c r="I4851" s="191" t="n">
        <v>4313589.7874494</v>
      </c>
      <c r="J4851" s="192" t="str">
        <f>IF(I4851&gt;0,H4851/I4851,0)</f>
      </c>
      <c r="K4851" s="193" t="str">
        <f>1-EXP(-J4851)</f>
      </c>
      <c r="L4851" s="194" t="str">
        <f>IF(G4851=30,1,M4850)</f>
      </c>
      <c r="M4851" s="195" t="str">
        <f>L4851*(1-K4851)</f>
      </c>
    </row>
    <row r="4852">
      <c r="A4852" t="s">
        <v>167</v>
      </c>
      <c r="B4852" t="s">
        <v>272</v>
      </c>
      <c r="C4852" s="35" t="s">
        <v>274</v>
      </c>
      <c r="D4852" t="s">
        <v>502</v>
      </c>
      <c r="E4852" t="s">
        <v>520</v>
      </c>
      <c r="F4852" s="188" t="n">
        <v>2042</v>
      </c>
      <c r="G4852" s="189" t="n">
        <v>40</v>
      </c>
      <c r="H4852" s="190" t="n">
        <v>3137.09718005316</v>
      </c>
      <c r="I4852" s="191" t="n">
        <v>4288493.52921615</v>
      </c>
      <c r="J4852" s="192" t="str">
        <f>IF(I4852&gt;0,H4852/I4852,0)</f>
      </c>
      <c r="K4852" s="193" t="str">
        <f>1-EXP(-J4852)</f>
      </c>
      <c r="L4852" s="194" t="str">
        <f>IF(G4852=30,1,M4851)</f>
      </c>
      <c r="M4852" s="195" t="str">
        <f>L4852*(1-K4852)</f>
      </c>
    </row>
    <row r="4853">
      <c r="A4853" t="s">
        <v>167</v>
      </c>
      <c r="B4853" t="s">
        <v>272</v>
      </c>
      <c r="C4853" s="35" t="s">
        <v>274</v>
      </c>
      <c r="D4853" t="s">
        <v>502</v>
      </c>
      <c r="E4853" t="s">
        <v>520</v>
      </c>
      <c r="F4853" s="188" t="n">
        <v>2042</v>
      </c>
      <c r="G4853" s="189" t="n">
        <v>41</v>
      </c>
      <c r="H4853" s="190" t="n">
        <v>3438.39428124988</v>
      </c>
      <c r="I4853" s="191" t="n">
        <v>4264667.37039684</v>
      </c>
      <c r="J4853" s="192" t="str">
        <f>IF(I4853&gt;0,H4853/I4853,0)</f>
      </c>
      <c r="K4853" s="193" t="str">
        <f>1-EXP(-J4853)</f>
      </c>
      <c r="L4853" s="194" t="str">
        <f>IF(G4853=30,1,M4852)</f>
      </c>
      <c r="M4853" s="195" t="str">
        <f>L4853*(1-K4853)</f>
      </c>
    </row>
    <row r="4854">
      <c r="A4854" t="s">
        <v>167</v>
      </c>
      <c r="B4854" t="s">
        <v>272</v>
      </c>
      <c r="C4854" s="35" t="s">
        <v>274</v>
      </c>
      <c r="D4854" t="s">
        <v>502</v>
      </c>
      <c r="E4854" t="s">
        <v>520</v>
      </c>
      <c r="F4854" s="188" t="n">
        <v>2042</v>
      </c>
      <c r="G4854" s="189" t="n">
        <v>42</v>
      </c>
      <c r="H4854" s="190" t="n">
        <v>3711.4270239477</v>
      </c>
      <c r="I4854" s="191" t="n">
        <v>4240750.91079837</v>
      </c>
      <c r="J4854" s="192" t="str">
        <f>IF(I4854&gt;0,H4854/I4854,0)</f>
      </c>
      <c r="K4854" s="193" t="str">
        <f>1-EXP(-J4854)</f>
      </c>
      <c r="L4854" s="194" t="str">
        <f>IF(G4854=30,1,M4853)</f>
      </c>
      <c r="M4854" s="195" t="str">
        <f>L4854*(1-K4854)</f>
      </c>
    </row>
    <row r="4855">
      <c r="A4855" t="s">
        <v>167</v>
      </c>
      <c r="B4855" t="s">
        <v>272</v>
      </c>
      <c r="C4855" s="35" t="s">
        <v>274</v>
      </c>
      <c r="D4855" t="s">
        <v>502</v>
      </c>
      <c r="E4855" t="s">
        <v>520</v>
      </c>
      <c r="F4855" s="188" t="n">
        <v>2042</v>
      </c>
      <c r="G4855" s="189" t="n">
        <v>43</v>
      </c>
      <c r="H4855" s="190" t="n">
        <v>4052.21204855884</v>
      </c>
      <c r="I4855" s="191" t="n">
        <v>4255382.99888813</v>
      </c>
      <c r="J4855" s="192" t="str">
        <f>IF(I4855&gt;0,H4855/I4855,0)</f>
      </c>
      <c r="K4855" s="193" t="str">
        <f>1-EXP(-J4855)</f>
      </c>
      <c r="L4855" s="194" t="str">
        <f>IF(G4855=30,1,M4854)</f>
      </c>
      <c r="M4855" s="195" t="str">
        <f>L4855*(1-K4855)</f>
      </c>
    </row>
    <row r="4856">
      <c r="A4856" t="s">
        <v>167</v>
      </c>
      <c r="B4856" t="s">
        <v>272</v>
      </c>
      <c r="C4856" s="35" t="s">
        <v>274</v>
      </c>
      <c r="D4856" t="s">
        <v>502</v>
      </c>
      <c r="E4856" t="s">
        <v>520</v>
      </c>
      <c r="F4856" s="188" t="n">
        <v>2042</v>
      </c>
      <c r="G4856" s="189" t="n">
        <v>44</v>
      </c>
      <c r="H4856" s="190" t="n">
        <v>4475.10923960556</v>
      </c>
      <c r="I4856" s="191" t="n">
        <v>4307807.16834754</v>
      </c>
      <c r="J4856" s="192" t="str">
        <f>IF(I4856&gt;0,H4856/I4856,0)</f>
      </c>
      <c r="K4856" s="193" t="str">
        <f>1-EXP(-J4856)</f>
      </c>
      <c r="L4856" s="194" t="str">
        <f>IF(G4856=30,1,M4855)</f>
      </c>
      <c r="M4856" s="195" t="str">
        <f>L4856*(1-K4856)</f>
      </c>
    </row>
    <row r="4857">
      <c r="A4857" t="s">
        <v>167</v>
      </c>
      <c r="B4857" t="s">
        <v>272</v>
      </c>
      <c r="C4857" s="35" t="s">
        <v>274</v>
      </c>
      <c r="D4857" t="s">
        <v>502</v>
      </c>
      <c r="E4857" t="s">
        <v>520</v>
      </c>
      <c r="F4857" s="188" t="n">
        <v>2042</v>
      </c>
      <c r="G4857" s="189" t="n">
        <v>45</v>
      </c>
      <c r="H4857" s="190" t="n">
        <v>6180.19824948453</v>
      </c>
      <c r="I4857" s="191" t="n">
        <v>4435056.29083541</v>
      </c>
      <c r="J4857" s="192" t="str">
        <f>IF(I4857&gt;0,H4857/I4857,0)</f>
      </c>
      <c r="K4857" s="193" t="str">
        <f>1-EXP(-J4857)</f>
      </c>
      <c r="L4857" s="194" t="str">
        <f>IF(G4857=30,1,M4856)</f>
      </c>
      <c r="M4857" s="195" t="str">
        <f>L4857*(1-K4857)</f>
      </c>
    </row>
    <row r="4858">
      <c r="A4858" t="s">
        <v>167</v>
      </c>
      <c r="B4858" t="s">
        <v>272</v>
      </c>
      <c r="C4858" s="35" t="s">
        <v>274</v>
      </c>
      <c r="D4858" t="s">
        <v>502</v>
      </c>
      <c r="E4858" t="s">
        <v>520</v>
      </c>
      <c r="F4858" s="188" t="n">
        <v>2042</v>
      </c>
      <c r="G4858" s="189" t="n">
        <v>46</v>
      </c>
      <c r="H4858" s="190" t="n">
        <v>6660.549433318</v>
      </c>
      <c r="I4858" s="191" t="n">
        <v>4383842.34587128</v>
      </c>
      <c r="J4858" s="192" t="str">
        <f>IF(I4858&gt;0,H4858/I4858,0)</f>
      </c>
      <c r="K4858" s="193" t="str">
        <f>1-EXP(-J4858)</f>
      </c>
      <c r="L4858" s="194" t="str">
        <f>IF(G4858=30,1,M4857)</f>
      </c>
      <c r="M4858" s="195" t="str">
        <f>L4858*(1-K4858)</f>
      </c>
    </row>
    <row r="4859">
      <c r="A4859" t="s">
        <v>167</v>
      </c>
      <c r="B4859" t="s">
        <v>272</v>
      </c>
      <c r="C4859" s="35" t="s">
        <v>274</v>
      </c>
      <c r="D4859" t="s">
        <v>502</v>
      </c>
      <c r="E4859" t="s">
        <v>520</v>
      </c>
      <c r="F4859" s="188" t="n">
        <v>2042</v>
      </c>
      <c r="G4859" s="189" t="n">
        <v>47</v>
      </c>
      <c r="H4859" s="190" t="n">
        <v>7159.0343939794</v>
      </c>
      <c r="I4859" s="191" t="n">
        <v>4303379.29703082</v>
      </c>
      <c r="J4859" s="192" t="str">
        <f>IF(I4859&gt;0,H4859/I4859,0)</f>
      </c>
      <c r="K4859" s="193" t="str">
        <f>1-EXP(-J4859)</f>
      </c>
      <c r="L4859" s="194" t="str">
        <f>IF(G4859=30,1,M4858)</f>
      </c>
      <c r="M4859" s="195" t="str">
        <f>L4859*(1-K4859)</f>
      </c>
    </row>
    <row r="4860">
      <c r="A4860" t="s">
        <v>167</v>
      </c>
      <c r="B4860" t="s">
        <v>272</v>
      </c>
      <c r="C4860" s="35" t="s">
        <v>274</v>
      </c>
      <c r="D4860" t="s">
        <v>502</v>
      </c>
      <c r="E4860" t="s">
        <v>520</v>
      </c>
      <c r="F4860" s="188" t="n">
        <v>2042</v>
      </c>
      <c r="G4860" s="189" t="n">
        <v>48</v>
      </c>
      <c r="H4860" s="190" t="n">
        <v>7728.3512869536</v>
      </c>
      <c r="I4860" s="191" t="n">
        <v>4237412.93777538</v>
      </c>
      <c r="J4860" s="192" t="str">
        <f>IF(I4860&gt;0,H4860/I4860,0)</f>
      </c>
      <c r="K4860" s="193" t="str">
        <f>1-EXP(-J4860)</f>
      </c>
      <c r="L4860" s="194" t="str">
        <f>IF(G4860=30,1,M4859)</f>
      </c>
      <c r="M4860" s="195" t="str">
        <f>L4860*(1-K4860)</f>
      </c>
    </row>
    <row r="4861">
      <c r="A4861" t="s">
        <v>167</v>
      </c>
      <c r="B4861" t="s">
        <v>272</v>
      </c>
      <c r="C4861" s="35" t="s">
        <v>274</v>
      </c>
      <c r="D4861" t="s">
        <v>502</v>
      </c>
      <c r="E4861" t="s">
        <v>520</v>
      </c>
      <c r="F4861" s="188" t="n">
        <v>2042</v>
      </c>
      <c r="G4861" s="189" t="n">
        <v>49</v>
      </c>
      <c r="H4861" s="190" t="n">
        <v>8350.13347972734</v>
      </c>
      <c r="I4861" s="191" t="n">
        <v>4174026.46413594</v>
      </c>
      <c r="J4861" s="192" t="str">
        <f>IF(I4861&gt;0,H4861/I4861,0)</f>
      </c>
      <c r="K4861" s="193" t="str">
        <f>1-EXP(-J4861)</f>
      </c>
      <c r="L4861" s="194" t="str">
        <f>IF(G4861=30,1,M4860)</f>
      </c>
      <c r="M4861" s="195" t="str">
        <f>L4861*(1-K4861)</f>
      </c>
    </row>
    <row r="4862">
      <c r="A4862" t="s">
        <v>167</v>
      </c>
      <c r="B4862" t="s">
        <v>272</v>
      </c>
      <c r="C4862" s="35" t="s">
        <v>274</v>
      </c>
      <c r="D4862" t="s">
        <v>502</v>
      </c>
      <c r="E4862" t="s">
        <v>520</v>
      </c>
      <c r="F4862" s="188" t="n">
        <v>2042</v>
      </c>
      <c r="G4862" s="189" t="n">
        <v>50</v>
      </c>
      <c r="H4862" s="190" t="n">
        <v>9620.04433811519</v>
      </c>
      <c r="I4862" s="191" t="n">
        <v>4197801.96987867</v>
      </c>
      <c r="J4862" s="192" t="str">
        <f>IF(I4862&gt;0,H4862/I4862,0)</f>
      </c>
      <c r="K4862" s="193" t="str">
        <f>1-EXP(-J4862)</f>
      </c>
      <c r="L4862" s="194" t="str">
        <f>IF(G4862=30,1,M4861)</f>
      </c>
      <c r="M4862" s="195" t="str">
        <f>L4862*(1-K4862)</f>
      </c>
    </row>
    <row r="4863">
      <c r="A4863" t="s">
        <v>167</v>
      </c>
      <c r="B4863" t="s">
        <v>272</v>
      </c>
      <c r="C4863" s="35" t="s">
        <v>274</v>
      </c>
      <c r="D4863" t="s">
        <v>502</v>
      </c>
      <c r="E4863" t="s">
        <v>520</v>
      </c>
      <c r="F4863" s="188" t="n">
        <v>2042</v>
      </c>
      <c r="G4863" s="189" t="n">
        <v>51</v>
      </c>
      <c r="H4863" s="190" t="n">
        <v>10522.2589491406</v>
      </c>
      <c r="I4863" s="191" t="n">
        <v>4200230.74851165</v>
      </c>
      <c r="J4863" s="192" t="str">
        <f>IF(I4863&gt;0,H4863/I4863,0)</f>
      </c>
      <c r="K4863" s="193" t="str">
        <f>1-EXP(-J4863)</f>
      </c>
      <c r="L4863" s="194" t="str">
        <f>IF(G4863=30,1,M4862)</f>
      </c>
      <c r="M4863" s="195" t="str">
        <f>L4863*(1-K4863)</f>
      </c>
    </row>
    <row r="4864">
      <c r="A4864" t="s">
        <v>167</v>
      </c>
      <c r="B4864" t="s">
        <v>272</v>
      </c>
      <c r="C4864" s="35" t="s">
        <v>274</v>
      </c>
      <c r="D4864" t="s">
        <v>502</v>
      </c>
      <c r="E4864" t="s">
        <v>520</v>
      </c>
      <c r="F4864" s="188" t="n">
        <v>2042</v>
      </c>
      <c r="G4864" s="189" t="n">
        <v>52</v>
      </c>
      <c r="H4864" s="190" t="n">
        <v>15396.9489348801</v>
      </c>
      <c r="I4864" s="191" t="n">
        <v>6176890.99770217</v>
      </c>
      <c r="J4864" s="192" t="str">
        <f>IF(I4864&gt;0,H4864/I4864,0)</f>
      </c>
      <c r="K4864" s="193" t="str">
        <f>1-EXP(-J4864)</f>
      </c>
      <c r="L4864" s="194" t="str">
        <f>IF(G4864=30,1,M4863)</f>
      </c>
      <c r="M4864" s="195" t="str">
        <f>L4864*(1-K4864)</f>
      </c>
    </row>
    <row r="4865">
      <c r="A4865" t="s">
        <v>167</v>
      </c>
      <c r="B4865" t="s">
        <v>272</v>
      </c>
      <c r="C4865" s="35" t="s">
        <v>274</v>
      </c>
      <c r="D4865" t="s">
        <v>502</v>
      </c>
      <c r="E4865" t="s">
        <v>520</v>
      </c>
      <c r="F4865" s="188" t="n">
        <v>2042</v>
      </c>
      <c r="G4865" s="189" t="n">
        <v>53</v>
      </c>
      <c r="H4865" s="190" t="n">
        <v>12343.1689639416</v>
      </c>
      <c r="I4865" s="191" t="n">
        <v>4127706.76025658</v>
      </c>
      <c r="J4865" s="192" t="str">
        <f>IF(I4865&gt;0,H4865/I4865,0)</f>
      </c>
      <c r="K4865" s="193" t="str">
        <f>1-EXP(-J4865)</f>
      </c>
      <c r="L4865" s="194" t="str">
        <f>IF(G4865=30,1,M4864)</f>
      </c>
      <c r="M4865" s="195" t="str">
        <f>L4865*(1-K4865)</f>
      </c>
    </row>
    <row r="4866">
      <c r="A4866" t="s">
        <v>167</v>
      </c>
      <c r="B4866" t="s">
        <v>272</v>
      </c>
      <c r="C4866" s="35" t="s">
        <v>274</v>
      </c>
      <c r="D4866" t="s">
        <v>502</v>
      </c>
      <c r="E4866" t="s">
        <v>520</v>
      </c>
      <c r="F4866" s="188" t="n">
        <v>2042</v>
      </c>
      <c r="G4866" s="189" t="n">
        <v>54</v>
      </c>
      <c r="H4866" s="190" t="n">
        <v>13347.2799128542</v>
      </c>
      <c r="I4866" s="191" t="n">
        <v>4093032.86904841</v>
      </c>
      <c r="J4866" s="192" t="str">
        <f>IF(I4866&gt;0,H4866/I4866,0)</f>
      </c>
      <c r="K4866" s="193" t="str">
        <f>1-EXP(-J4866)</f>
      </c>
      <c r="L4866" s="194" t="str">
        <f>IF(G4866=30,1,M4865)</f>
      </c>
      <c r="M4866" s="195" t="str">
        <f>L4866*(1-K4866)</f>
      </c>
    </row>
    <row r="4867">
      <c r="A4867" t="s">
        <v>167</v>
      </c>
      <c r="B4867" t="s">
        <v>272</v>
      </c>
      <c r="C4867" s="35" t="s">
        <v>274</v>
      </c>
      <c r="D4867" t="s">
        <v>502</v>
      </c>
      <c r="E4867" t="s">
        <v>520</v>
      </c>
      <c r="F4867" s="188" t="n">
        <v>2042</v>
      </c>
      <c r="G4867" s="189" t="n">
        <v>55</v>
      </c>
      <c r="H4867" s="190" t="n">
        <v>13886.4386087198</v>
      </c>
      <c r="I4867" s="191" t="n">
        <v>3947744.06633719</v>
      </c>
      <c r="J4867" s="192" t="str">
        <f>IF(I4867&gt;0,H4867/I4867,0)</f>
      </c>
      <c r="K4867" s="193" t="str">
        <f>1-EXP(-J4867)</f>
      </c>
      <c r="L4867" s="194" t="str">
        <f>IF(G4867=30,1,M4866)</f>
      </c>
      <c r="M4867" s="195" t="str">
        <f>L4867*(1-K4867)</f>
      </c>
    </row>
    <row r="4868">
      <c r="A4868" t="s">
        <v>167</v>
      </c>
      <c r="B4868" t="s">
        <v>272</v>
      </c>
      <c r="C4868" s="35" t="s">
        <v>274</v>
      </c>
      <c r="D4868" t="s">
        <v>502</v>
      </c>
      <c r="E4868" t="s">
        <v>520</v>
      </c>
      <c r="F4868" s="188" t="n">
        <v>2042</v>
      </c>
      <c r="G4868" s="189" t="n">
        <v>56</v>
      </c>
      <c r="H4868" s="190" t="n">
        <v>14895.4864201196</v>
      </c>
      <c r="I4868" s="191" t="n">
        <v>3893502.9000865</v>
      </c>
      <c r="J4868" s="192" t="str">
        <f>IF(I4868&gt;0,H4868/I4868,0)</f>
      </c>
      <c r="K4868" s="193" t="str">
        <f>1-EXP(-J4868)</f>
      </c>
      <c r="L4868" s="194" t="str">
        <f>IF(G4868=30,1,M4867)</f>
      </c>
      <c r="M4868" s="195" t="str">
        <f>L4868*(1-K4868)</f>
      </c>
    </row>
    <row r="4869">
      <c r="A4869" t="s">
        <v>167</v>
      </c>
      <c r="B4869" t="s">
        <v>272</v>
      </c>
      <c r="C4869" s="35" t="s">
        <v>274</v>
      </c>
      <c r="D4869" t="s">
        <v>502</v>
      </c>
      <c r="E4869" t="s">
        <v>520</v>
      </c>
      <c r="F4869" s="188" t="n">
        <v>2042</v>
      </c>
      <c r="G4869" s="189" t="n">
        <v>57</v>
      </c>
      <c r="H4869" s="190" t="n">
        <v>16389.3856550537</v>
      </c>
      <c r="I4869" s="191" t="n">
        <v>3925119.60540241</v>
      </c>
      <c r="J4869" s="192" t="str">
        <f>IF(I4869&gt;0,H4869/I4869,0)</f>
      </c>
      <c r="K4869" s="193" t="str">
        <f>1-EXP(-J4869)</f>
      </c>
      <c r="L4869" s="194" t="str">
        <f>IF(G4869=30,1,M4868)</f>
      </c>
      <c r="M4869" s="195" t="str">
        <f>L4869*(1-K4869)</f>
      </c>
    </row>
    <row r="4870">
      <c r="A4870" t="s">
        <v>167</v>
      </c>
      <c r="B4870" t="s">
        <v>272</v>
      </c>
      <c r="C4870" s="35" t="s">
        <v>274</v>
      </c>
      <c r="D4870" t="s">
        <v>502</v>
      </c>
      <c r="E4870" t="s">
        <v>520</v>
      </c>
      <c r="F4870" s="188" t="n">
        <v>2042</v>
      </c>
      <c r="G4870" s="189" t="n">
        <v>58</v>
      </c>
      <c r="H4870" s="190" t="n">
        <v>18150.6576102863</v>
      </c>
      <c r="I4870" s="191" t="n">
        <v>3977244.59753025</v>
      </c>
      <c r="J4870" s="192" t="str">
        <f>IF(I4870&gt;0,H4870/I4870,0)</f>
      </c>
      <c r="K4870" s="193" t="str">
        <f>1-EXP(-J4870)</f>
      </c>
      <c r="L4870" s="194" t="str">
        <f>IF(G4870=30,1,M4869)</f>
      </c>
      <c r="M4870" s="195" t="str">
        <f>L4870*(1-K4870)</f>
      </c>
    </row>
    <row r="4871">
      <c r="A4871" t="s">
        <v>167</v>
      </c>
      <c r="B4871" t="s">
        <v>272</v>
      </c>
      <c r="C4871" s="35" t="s">
        <v>274</v>
      </c>
      <c r="D4871" t="s">
        <v>502</v>
      </c>
      <c r="E4871" t="s">
        <v>520</v>
      </c>
      <c r="F4871" s="188" t="n">
        <v>2042</v>
      </c>
      <c r="G4871" s="189" t="n">
        <v>59</v>
      </c>
      <c r="H4871" s="190" t="n">
        <v>19608.3345876288</v>
      </c>
      <c r="I4871" s="191" t="n">
        <v>3925953.82644048</v>
      </c>
      <c r="J4871" s="192" t="str">
        <f>IF(I4871&gt;0,H4871/I4871,0)</f>
      </c>
      <c r="K4871" s="193" t="str">
        <f>1-EXP(-J4871)</f>
      </c>
      <c r="L4871" s="194" t="str">
        <f>IF(G4871=30,1,M4870)</f>
      </c>
      <c r="M4871" s="195" t="str">
        <f>L4871*(1-K4871)</f>
      </c>
    </row>
    <row r="4872">
      <c r="A4872" t="s">
        <v>167</v>
      </c>
      <c r="B4872" t="s">
        <v>272</v>
      </c>
      <c r="C4872" s="35" t="s">
        <v>274</v>
      </c>
      <c r="D4872" t="s">
        <v>502</v>
      </c>
      <c r="E4872" t="s">
        <v>520</v>
      </c>
      <c r="F4872" s="188" t="n">
        <v>2042</v>
      </c>
      <c r="G4872" s="189" t="n">
        <v>60</v>
      </c>
      <c r="H4872" s="190" t="n">
        <v>20506.1535176424</v>
      </c>
      <c r="I4872" s="191" t="n">
        <v>3769826.07870098</v>
      </c>
      <c r="J4872" s="192" t="str">
        <f>IF(I4872&gt;0,H4872/I4872,0)</f>
      </c>
      <c r="K4872" s="193" t="str">
        <f>1-EXP(-J4872)</f>
      </c>
      <c r="L4872" s="194" t="str">
        <f>IF(G4872=30,1,M4871)</f>
      </c>
      <c r="M4872" s="195" t="str">
        <f>L4872*(1-K4872)</f>
      </c>
    </row>
    <row r="4873">
      <c r="A4873" t="s">
        <v>167</v>
      </c>
      <c r="B4873" t="s">
        <v>272</v>
      </c>
      <c r="C4873" s="35" t="s">
        <v>274</v>
      </c>
      <c r="D4873" t="s">
        <v>502</v>
      </c>
      <c r="E4873" t="s">
        <v>520</v>
      </c>
      <c r="F4873" s="188" t="n">
        <v>2042</v>
      </c>
      <c r="G4873" s="189" t="n">
        <v>61</v>
      </c>
      <c r="H4873" s="190" t="n">
        <v>21891.6173822222</v>
      </c>
      <c r="I4873" s="191" t="n">
        <v>3669479.98736834</v>
      </c>
      <c r="J4873" s="192" t="str">
        <f>IF(I4873&gt;0,H4873/I4873,0)</f>
      </c>
      <c r="K4873" s="193" t="str">
        <f>1-EXP(-J4873)</f>
      </c>
      <c r="L4873" s="194" t="str">
        <f>IF(G4873=30,1,M4872)</f>
      </c>
      <c r="M4873" s="195" t="str">
        <f>L4873*(1-K4873)</f>
      </c>
    </row>
    <row r="4874">
      <c r="A4874" t="s">
        <v>167</v>
      </c>
      <c r="B4874" t="s">
        <v>272</v>
      </c>
      <c r="C4874" s="35" t="s">
        <v>274</v>
      </c>
      <c r="D4874" t="s">
        <v>502</v>
      </c>
      <c r="E4874" t="s">
        <v>520</v>
      </c>
      <c r="F4874" s="188" t="n">
        <v>2042</v>
      </c>
      <c r="G4874" s="189" t="n">
        <v>62</v>
      </c>
      <c r="H4874" s="190" t="n">
        <v>23440.9645761359</v>
      </c>
      <c r="I4874" s="191" t="n">
        <v>3581825.10841682</v>
      </c>
      <c r="J4874" s="192" t="str">
        <f>IF(I4874&gt;0,H4874/I4874,0)</f>
      </c>
      <c r="K4874" s="193" t="str">
        <f>1-EXP(-J4874)</f>
      </c>
      <c r="L4874" s="194" t="str">
        <f>IF(G4874=30,1,M4873)</f>
      </c>
      <c r="M4874" s="195" t="str">
        <f>L4874*(1-K4874)</f>
      </c>
    </row>
    <row r="4875">
      <c r="A4875" t="s">
        <v>167</v>
      </c>
      <c r="B4875" t="s">
        <v>272</v>
      </c>
      <c r="C4875" s="35" t="s">
        <v>274</v>
      </c>
      <c r="D4875" t="s">
        <v>502</v>
      </c>
      <c r="E4875" t="s">
        <v>520</v>
      </c>
      <c r="F4875" s="188" t="n">
        <v>2042</v>
      </c>
      <c r="G4875" s="189" t="n">
        <v>63</v>
      </c>
      <c r="H4875" s="190" t="n">
        <v>25040.3159484652</v>
      </c>
      <c r="I4875" s="191" t="n">
        <v>3487331.58245944</v>
      </c>
      <c r="J4875" s="192" t="str">
        <f>IF(I4875&gt;0,H4875/I4875,0)</f>
      </c>
      <c r="K4875" s="193" t="str">
        <f>1-EXP(-J4875)</f>
      </c>
      <c r="L4875" s="194" t="str">
        <f>IF(G4875=30,1,M4874)</f>
      </c>
      <c r="M4875" s="195" t="str">
        <f>L4875*(1-K4875)</f>
      </c>
    </row>
    <row r="4876">
      <c r="A4876" t="s">
        <v>167</v>
      </c>
      <c r="B4876" t="s">
        <v>272</v>
      </c>
      <c r="C4876" s="35" t="s">
        <v>274</v>
      </c>
      <c r="D4876" t="s">
        <v>502</v>
      </c>
      <c r="E4876" t="s">
        <v>520</v>
      </c>
      <c r="F4876" s="188" t="n">
        <v>2042</v>
      </c>
      <c r="G4876" s="189" t="n">
        <v>64</v>
      </c>
      <c r="H4876" s="190" t="n">
        <v>26576.4506956813</v>
      </c>
      <c r="I4876" s="191" t="n">
        <v>3373826.0444479</v>
      </c>
      <c r="J4876" s="192" t="str">
        <f>IF(I4876&gt;0,H4876/I4876,0)</f>
      </c>
      <c r="K4876" s="193" t="str">
        <f>1-EXP(-J4876)</f>
      </c>
      <c r="L4876" s="194" t="str">
        <f>IF(G4876=30,1,M4875)</f>
      </c>
      <c r="M4876" s="195" t="str">
        <f>L4876*(1-K4876)</f>
      </c>
    </row>
    <row r="4877">
      <c r="A4877" t="s">
        <v>167</v>
      </c>
      <c r="B4877" t="s">
        <v>272</v>
      </c>
      <c r="C4877" s="35" t="s">
        <v>274</v>
      </c>
      <c r="D4877" t="s">
        <v>502</v>
      </c>
      <c r="E4877" t="s">
        <v>520</v>
      </c>
      <c r="F4877" s="188" t="n">
        <v>2042</v>
      </c>
      <c r="G4877" s="189" t="n">
        <v>65</v>
      </c>
      <c r="H4877" s="190" t="n">
        <v>27080.6497848156</v>
      </c>
      <c r="I4877" s="191" t="n">
        <v>3272871.36217802</v>
      </c>
      <c r="J4877" s="192" t="str">
        <f>IF(I4877&gt;0,H4877/I4877,0)</f>
      </c>
      <c r="K4877" s="193" t="str">
        <f>1-EXP(-J4877)</f>
      </c>
      <c r="L4877" s="194" t="str">
        <f>IF(G4877=30,1,M4876)</f>
      </c>
      <c r="M4877" s="195" t="str">
        <f>L4877*(1-K4877)</f>
      </c>
    </row>
    <row r="4878">
      <c r="A4878" t="s">
        <v>167</v>
      </c>
      <c r="B4878" t="s">
        <v>272</v>
      </c>
      <c r="C4878" s="35" t="s">
        <v>274</v>
      </c>
      <c r="D4878" t="s">
        <v>502</v>
      </c>
      <c r="E4878" t="s">
        <v>520</v>
      </c>
      <c r="F4878" s="188" t="n">
        <v>2042</v>
      </c>
      <c r="G4878" s="189" t="n">
        <v>66</v>
      </c>
      <c r="H4878" s="190" t="n">
        <v>28679.3713001206</v>
      </c>
      <c r="I4878" s="191" t="n">
        <v>3160923.71803539</v>
      </c>
      <c r="J4878" s="192" t="str">
        <f>IF(I4878&gt;0,H4878/I4878,0)</f>
      </c>
      <c r="K4878" s="193" t="str">
        <f>1-EXP(-J4878)</f>
      </c>
      <c r="L4878" s="194" t="str">
        <f>IF(G4878=30,1,M4877)</f>
      </c>
      <c r="M4878" s="195" t="str">
        <f>L4878*(1-K4878)</f>
      </c>
    </row>
    <row r="4879">
      <c r="A4879" t="s">
        <v>167</v>
      </c>
      <c r="B4879" t="s">
        <v>272</v>
      </c>
      <c r="C4879" s="35" t="s">
        <v>274</v>
      </c>
      <c r="D4879" t="s">
        <v>502</v>
      </c>
      <c r="E4879" t="s">
        <v>520</v>
      </c>
      <c r="F4879" s="188" t="n">
        <v>2042</v>
      </c>
      <c r="G4879" s="189" t="n">
        <v>67</v>
      </c>
      <c r="H4879" s="190" t="n">
        <v>30344.1829641972</v>
      </c>
      <c r="I4879" s="191" t="n">
        <v>3046003.79369312</v>
      </c>
      <c r="J4879" s="192" t="str">
        <f>IF(I4879&gt;0,H4879/I4879,0)</f>
      </c>
      <c r="K4879" s="193" t="str">
        <f>1-EXP(-J4879)</f>
      </c>
      <c r="L4879" s="194" t="str">
        <f>IF(G4879=30,1,M4878)</f>
      </c>
      <c r="M4879" s="195" t="str">
        <f>L4879*(1-K4879)</f>
      </c>
    </row>
    <row r="4880">
      <c r="A4880" t="s">
        <v>167</v>
      </c>
      <c r="B4880" t="s">
        <v>272</v>
      </c>
      <c r="C4880" s="35" t="s">
        <v>274</v>
      </c>
      <c r="D4880" t="s">
        <v>502</v>
      </c>
      <c r="E4880" t="s">
        <v>520</v>
      </c>
      <c r="F4880" s="188" t="n">
        <v>2042</v>
      </c>
      <c r="G4880" s="189" t="n">
        <v>68</v>
      </c>
      <c r="H4880" s="190" t="n">
        <v>31818.7036242034</v>
      </c>
      <c r="I4880" s="191" t="n">
        <v>2906677.13913376</v>
      </c>
      <c r="J4880" s="192" t="str">
        <f>IF(I4880&gt;0,H4880/I4880,0)</f>
      </c>
      <c r="K4880" s="193" t="str">
        <f>1-EXP(-J4880)</f>
      </c>
      <c r="L4880" s="194" t="str">
        <f>IF(G4880=30,1,M4879)</f>
      </c>
      <c r="M4880" s="195" t="str">
        <f>L4880*(1-K4880)</f>
      </c>
    </row>
    <row r="4881">
      <c r="A4881" t="s">
        <v>167</v>
      </c>
      <c r="B4881" t="s">
        <v>272</v>
      </c>
      <c r="C4881" s="35" t="s">
        <v>274</v>
      </c>
      <c r="D4881" t="s">
        <v>502</v>
      </c>
      <c r="E4881" t="s">
        <v>520</v>
      </c>
      <c r="F4881" s="188" t="n">
        <v>2042</v>
      </c>
      <c r="G4881" s="189" t="n">
        <v>69</v>
      </c>
      <c r="H4881" s="190" t="n">
        <v>33888.8852045752</v>
      </c>
      <c r="I4881" s="191" t="n">
        <v>2814760.97712012</v>
      </c>
      <c r="J4881" s="192" t="str">
        <f>IF(I4881&gt;0,H4881/I4881,0)</f>
      </c>
      <c r="K4881" s="193" t="str">
        <f>1-EXP(-J4881)</f>
      </c>
      <c r="L4881" s="194" t="str">
        <f>IF(G4881=30,1,M4880)</f>
      </c>
      <c r="M4881" s="195" t="str">
        <f>L4881*(1-K4881)</f>
      </c>
    </row>
    <row r="4882">
      <c r="A4882" t="s">
        <v>167</v>
      </c>
      <c r="B4882" t="s">
        <v>272</v>
      </c>
      <c r="C4882" s="35" t="s">
        <v>274</v>
      </c>
      <c r="D4882" t="s">
        <v>502</v>
      </c>
      <c r="E4882" t="s">
        <v>520</v>
      </c>
      <c r="F4882" s="188" t="n">
        <v>2043</v>
      </c>
      <c r="G4882" s="189" t="n">
        <v>30</v>
      </c>
      <c r="H4882" s="190" t="n">
        <v>743.353631428603</v>
      </c>
      <c r="I4882" s="191" t="n">
        <v>4787874.08136316</v>
      </c>
      <c r="J4882" s="192" t="str">
        <f>IF(I4882&gt;0,H4882/I4882,0)</f>
      </c>
      <c r="K4882" s="193" t="str">
        <f>1-EXP(-J4882)</f>
      </c>
      <c r="L4882" s="194" t="str">
        <f>IF(G4882=30,1,M4881)</f>
      </c>
      <c r="M4882" s="195" t="str">
        <f>L4882*(1-K4882)</f>
      </c>
    </row>
    <row r="4883">
      <c r="A4883" t="s">
        <v>167</v>
      </c>
      <c r="B4883" t="s">
        <v>272</v>
      </c>
      <c r="C4883" s="35" t="s">
        <v>274</v>
      </c>
      <c r="D4883" t="s">
        <v>502</v>
      </c>
      <c r="E4883" t="s">
        <v>520</v>
      </c>
      <c r="F4883" s="188" t="n">
        <v>2043</v>
      </c>
      <c r="G4883" s="189" t="n">
        <v>31</v>
      </c>
      <c r="H4883" s="190" t="n">
        <v>1047.52414725696</v>
      </c>
      <c r="I4883" s="191" t="n">
        <v>4900891.62055473</v>
      </c>
      <c r="J4883" s="192" t="str">
        <f>IF(I4883&gt;0,H4883/I4883,0)</f>
      </c>
      <c r="K4883" s="193" t="str">
        <f>1-EXP(-J4883)</f>
      </c>
      <c r="L4883" s="194" t="str">
        <f>IF(G4883=30,1,M4882)</f>
      </c>
      <c r="M4883" s="195" t="str">
        <f>L4883*(1-K4883)</f>
      </c>
    </row>
    <row r="4884">
      <c r="A4884" t="s">
        <v>167</v>
      </c>
      <c r="B4884" t="s">
        <v>272</v>
      </c>
      <c r="C4884" s="35" t="s">
        <v>274</v>
      </c>
      <c r="D4884" t="s">
        <v>502</v>
      </c>
      <c r="E4884" t="s">
        <v>520</v>
      </c>
      <c r="F4884" s="188" t="n">
        <v>2043</v>
      </c>
      <c r="G4884" s="189" t="n">
        <v>32</v>
      </c>
      <c r="H4884" s="190" t="n">
        <v>1096.76386955686</v>
      </c>
      <c r="I4884" s="191" t="n">
        <v>4872880.22730162</v>
      </c>
      <c r="J4884" s="192" t="str">
        <f>IF(I4884&gt;0,H4884/I4884,0)</f>
      </c>
      <c r="K4884" s="193" t="str">
        <f>1-EXP(-J4884)</f>
      </c>
      <c r="L4884" s="194" t="str">
        <f>IF(G4884=30,1,M4883)</f>
      </c>
      <c r="M4884" s="195" t="str">
        <f>L4884*(1-K4884)</f>
      </c>
    </row>
    <row r="4885">
      <c r="A4885" t="s">
        <v>167</v>
      </c>
      <c r="B4885" t="s">
        <v>272</v>
      </c>
      <c r="C4885" s="35" t="s">
        <v>274</v>
      </c>
      <c r="D4885" t="s">
        <v>502</v>
      </c>
      <c r="E4885" t="s">
        <v>520</v>
      </c>
      <c r="F4885" s="188" t="n">
        <v>2043</v>
      </c>
      <c r="G4885" s="189" t="n">
        <v>33</v>
      </c>
      <c r="H4885" s="190" t="n">
        <v>1129.6240267768</v>
      </c>
      <c r="I4885" s="191" t="n">
        <v>4739082.85560695</v>
      </c>
      <c r="J4885" s="192" t="str">
        <f>IF(I4885&gt;0,H4885/I4885,0)</f>
      </c>
      <c r="K4885" s="193" t="str">
        <f>1-EXP(-J4885)</f>
      </c>
      <c r="L4885" s="194" t="str">
        <f>IF(G4885=30,1,M4884)</f>
      </c>
      <c r="M4885" s="195" t="str">
        <f>L4885*(1-K4885)</f>
      </c>
    </row>
    <row r="4886">
      <c r="A4886" t="s">
        <v>167</v>
      </c>
      <c r="B4886" t="s">
        <v>272</v>
      </c>
      <c r="C4886" s="35" t="s">
        <v>274</v>
      </c>
      <c r="D4886" t="s">
        <v>502</v>
      </c>
      <c r="E4886" t="s">
        <v>520</v>
      </c>
      <c r="F4886" s="188" t="n">
        <v>2043</v>
      </c>
      <c r="G4886" s="189" t="n">
        <v>34</v>
      </c>
      <c r="H4886" s="190" t="n">
        <v>1185.63285433718</v>
      </c>
      <c r="I4886" s="191" t="n">
        <v>4668070.30784219</v>
      </c>
      <c r="J4886" s="192" t="str">
        <f>IF(I4886&gt;0,H4886/I4886,0)</f>
      </c>
      <c r="K4886" s="193" t="str">
        <f>1-EXP(-J4886)</f>
      </c>
      <c r="L4886" s="194" t="str">
        <f>IF(G4886=30,1,M4885)</f>
      </c>
      <c r="M4886" s="195" t="str">
        <f>L4886*(1-K4886)</f>
      </c>
    </row>
    <row r="4887">
      <c r="A4887" t="s">
        <v>167</v>
      </c>
      <c r="B4887" t="s">
        <v>272</v>
      </c>
      <c r="C4887" s="35" t="s">
        <v>274</v>
      </c>
      <c r="D4887" t="s">
        <v>502</v>
      </c>
      <c r="E4887" t="s">
        <v>520</v>
      </c>
      <c r="F4887" s="188" t="n">
        <v>2043</v>
      </c>
      <c r="G4887" s="189" t="n">
        <v>35</v>
      </c>
      <c r="H4887" s="190" t="n">
        <v>1549.12779605743</v>
      </c>
      <c r="I4887" s="191" t="n">
        <v>4624927.21856383</v>
      </c>
      <c r="J4887" s="192" t="str">
        <f>IF(I4887&gt;0,H4887/I4887,0)</f>
      </c>
      <c r="K4887" s="193" t="str">
        <f>1-EXP(-J4887)</f>
      </c>
      <c r="L4887" s="194" t="str">
        <f>IF(G4887=30,1,M4886)</f>
      </c>
      <c r="M4887" s="195" t="str">
        <f>L4887*(1-K4887)</f>
      </c>
    </row>
    <row r="4888">
      <c r="A4888" t="s">
        <v>167</v>
      </c>
      <c r="B4888" t="s">
        <v>272</v>
      </c>
      <c r="C4888" s="35" t="s">
        <v>274</v>
      </c>
      <c r="D4888" t="s">
        <v>502</v>
      </c>
      <c r="E4888" t="s">
        <v>520</v>
      </c>
      <c r="F4888" s="188" t="n">
        <v>2043</v>
      </c>
      <c r="G4888" s="189" t="n">
        <v>36</v>
      </c>
      <c r="H4888" s="190" t="n">
        <v>1884.50068810999</v>
      </c>
      <c r="I4888" s="191" t="n">
        <v>4649446.80688899</v>
      </c>
      <c r="J4888" s="192" t="str">
        <f>IF(I4888&gt;0,H4888/I4888,0)</f>
      </c>
      <c r="K4888" s="193" t="str">
        <f>1-EXP(-J4888)</f>
      </c>
      <c r="L4888" s="194" t="str">
        <f>IF(G4888=30,1,M4887)</f>
      </c>
      <c r="M4888" s="195" t="str">
        <f>L4888*(1-K4888)</f>
      </c>
    </row>
    <row r="4889">
      <c r="A4889" t="s">
        <v>167</v>
      </c>
      <c r="B4889" t="s">
        <v>272</v>
      </c>
      <c r="C4889" s="35" t="s">
        <v>274</v>
      </c>
      <c r="D4889" t="s">
        <v>502</v>
      </c>
      <c r="E4889" t="s">
        <v>520</v>
      </c>
      <c r="F4889" s="188" t="n">
        <v>2043</v>
      </c>
      <c r="G4889" s="189" t="n">
        <v>37</v>
      </c>
      <c r="H4889" s="190" t="n">
        <v>1989.07339967598</v>
      </c>
      <c r="I4889" s="191" t="n">
        <v>4565477.17617742</v>
      </c>
      <c r="J4889" s="192" t="str">
        <f>IF(I4889&gt;0,H4889/I4889,0)</f>
      </c>
      <c r="K4889" s="193" t="str">
        <f>1-EXP(-J4889)</f>
      </c>
      <c r="L4889" s="194" t="str">
        <f>IF(G4889=30,1,M4888)</f>
      </c>
      <c r="M4889" s="195" t="str">
        <f>L4889*(1-K4889)</f>
      </c>
    </row>
    <row r="4890">
      <c r="A4890" t="s">
        <v>167</v>
      </c>
      <c r="B4890" t="s">
        <v>272</v>
      </c>
      <c r="C4890" s="35" t="s">
        <v>274</v>
      </c>
      <c r="D4890" t="s">
        <v>502</v>
      </c>
      <c r="E4890" t="s">
        <v>520</v>
      </c>
      <c r="F4890" s="188" t="n">
        <v>2043</v>
      </c>
      <c r="G4890" s="189" t="n">
        <v>38</v>
      </c>
      <c r="H4890" s="190" t="n">
        <v>2115.80111361124</v>
      </c>
      <c r="I4890" s="191" t="n">
        <v>4503042.95900417</v>
      </c>
      <c r="J4890" s="192" t="str">
        <f>IF(I4890&gt;0,H4890/I4890,0)</f>
      </c>
      <c r="K4890" s="193" t="str">
        <f>1-EXP(-J4890)</f>
      </c>
      <c r="L4890" s="194" t="str">
        <f>IF(G4890=30,1,M4889)</f>
      </c>
      <c r="M4890" s="195" t="str">
        <f>L4890*(1-K4890)</f>
      </c>
    </row>
    <row r="4891">
      <c r="A4891" t="s">
        <v>167</v>
      </c>
      <c r="B4891" t="s">
        <v>272</v>
      </c>
      <c r="C4891" s="35" t="s">
        <v>274</v>
      </c>
      <c r="D4891" t="s">
        <v>502</v>
      </c>
      <c r="E4891" t="s">
        <v>520</v>
      </c>
      <c r="F4891" s="188" t="n">
        <v>2043</v>
      </c>
      <c r="G4891" s="189" t="n">
        <v>39</v>
      </c>
      <c r="H4891" s="190" t="n">
        <v>2222.55413549453</v>
      </c>
      <c r="I4891" s="191" t="n">
        <v>4373199.82422783</v>
      </c>
      <c r="J4891" s="192" t="str">
        <f>IF(I4891&gt;0,H4891/I4891,0)</f>
      </c>
      <c r="K4891" s="193" t="str">
        <f>1-EXP(-J4891)</f>
      </c>
      <c r="L4891" s="194" t="str">
        <f>IF(G4891=30,1,M4890)</f>
      </c>
      <c r="M4891" s="195" t="str">
        <f>L4891*(1-K4891)</f>
      </c>
    </row>
    <row r="4892">
      <c r="A4892" t="s">
        <v>167</v>
      </c>
      <c r="B4892" t="s">
        <v>272</v>
      </c>
      <c r="C4892" s="35" t="s">
        <v>274</v>
      </c>
      <c r="D4892" t="s">
        <v>502</v>
      </c>
      <c r="E4892" t="s">
        <v>520</v>
      </c>
      <c r="F4892" s="188" t="n">
        <v>2043</v>
      </c>
      <c r="G4892" s="189" t="n">
        <v>40</v>
      </c>
      <c r="H4892" s="190" t="n">
        <v>2945.32215181618</v>
      </c>
      <c r="I4892" s="191" t="n">
        <v>4305578.44671666</v>
      </c>
      <c r="J4892" s="192" t="str">
        <f>IF(I4892&gt;0,H4892/I4892,0)</f>
      </c>
      <c r="K4892" s="193" t="str">
        <f>1-EXP(-J4892)</f>
      </c>
      <c r="L4892" s="194" t="str">
        <f>IF(G4892=30,1,M4891)</f>
      </c>
      <c r="M4892" s="195" t="str">
        <f>L4892*(1-K4892)</f>
      </c>
    </row>
    <row r="4893">
      <c r="A4893" t="s">
        <v>167</v>
      </c>
      <c r="B4893" t="s">
        <v>272</v>
      </c>
      <c r="C4893" s="35" t="s">
        <v>274</v>
      </c>
      <c r="D4893" t="s">
        <v>502</v>
      </c>
      <c r="E4893" t="s">
        <v>520</v>
      </c>
      <c r="F4893" s="188" t="n">
        <v>2043</v>
      </c>
      <c r="G4893" s="189" t="n">
        <v>41</v>
      </c>
      <c r="H4893" s="190" t="n">
        <v>3434.12028282004</v>
      </c>
      <c r="I4893" s="191" t="n">
        <v>4279037.6700014</v>
      </c>
      <c r="J4893" s="192" t="str">
        <f>IF(I4893&gt;0,H4893/I4893,0)</f>
      </c>
      <c r="K4893" s="193" t="str">
        <f>1-EXP(-J4893)</f>
      </c>
      <c r="L4893" s="194" t="str">
        <f>IF(G4893=30,1,M4892)</f>
      </c>
      <c r="M4893" s="195" t="str">
        <f>L4893*(1-K4893)</f>
      </c>
    </row>
    <row r="4894">
      <c r="A4894" t="s">
        <v>167</v>
      </c>
      <c r="B4894" t="s">
        <v>272</v>
      </c>
      <c r="C4894" s="35" t="s">
        <v>274</v>
      </c>
      <c r="D4894" t="s">
        <v>502</v>
      </c>
      <c r="E4894" t="s">
        <v>520</v>
      </c>
      <c r="F4894" s="188" t="n">
        <v>2043</v>
      </c>
      <c r="G4894" s="189" t="n">
        <v>42</v>
      </c>
      <c r="H4894" s="190" t="n">
        <v>3705.25807488991</v>
      </c>
      <c r="I4894" s="191" t="n">
        <v>4255189.92324758</v>
      </c>
      <c r="J4894" s="192" t="str">
        <f>IF(I4894&gt;0,H4894/I4894,0)</f>
      </c>
      <c r="K4894" s="193" t="str">
        <f>1-EXP(-J4894)</f>
      </c>
      <c r="L4894" s="194" t="str">
        <f>IF(G4894=30,1,M4893)</f>
      </c>
      <c r="M4894" s="195" t="str">
        <f>L4894*(1-K4894)</f>
      </c>
    </row>
    <row r="4895">
      <c r="A4895" t="s">
        <v>167</v>
      </c>
      <c r="B4895" t="s">
        <v>272</v>
      </c>
      <c r="C4895" s="35" t="s">
        <v>274</v>
      </c>
      <c r="D4895" t="s">
        <v>502</v>
      </c>
      <c r="E4895" t="s">
        <v>520</v>
      </c>
      <c r="F4895" s="188" t="n">
        <v>2043</v>
      </c>
      <c r="G4895" s="189" t="n">
        <v>43</v>
      </c>
      <c r="H4895" s="190" t="n">
        <v>4007.50300219936</v>
      </c>
      <c r="I4895" s="191" t="n">
        <v>4230556.45961584</v>
      </c>
      <c r="J4895" s="192" t="str">
        <f>IF(I4895&gt;0,H4895/I4895,0)</f>
      </c>
      <c r="K4895" s="193" t="str">
        <f>1-EXP(-J4895)</f>
      </c>
      <c r="L4895" s="194" t="str">
        <f>IF(G4895=30,1,M4894)</f>
      </c>
      <c r="M4895" s="195" t="str">
        <f>L4895*(1-K4895)</f>
      </c>
    </row>
    <row r="4896">
      <c r="A4896" t="s">
        <v>167</v>
      </c>
      <c r="B4896" t="s">
        <v>272</v>
      </c>
      <c r="C4896" s="35" t="s">
        <v>274</v>
      </c>
      <c r="D4896" t="s">
        <v>502</v>
      </c>
      <c r="E4896" t="s">
        <v>520</v>
      </c>
      <c r="F4896" s="188" t="n">
        <v>2043</v>
      </c>
      <c r="G4896" s="189" t="n">
        <v>44</v>
      </c>
      <c r="H4896" s="190" t="n">
        <v>4384.31021708057</v>
      </c>
      <c r="I4896" s="191" t="n">
        <v>4244291.80421787</v>
      </c>
      <c r="J4896" s="192" t="str">
        <f>IF(I4896&gt;0,H4896/I4896,0)</f>
      </c>
      <c r="K4896" s="193" t="str">
        <f>1-EXP(-J4896)</f>
      </c>
      <c r="L4896" s="194" t="str">
        <f>IF(G4896=30,1,M4895)</f>
      </c>
      <c r="M4896" s="195" t="str">
        <f>L4896*(1-K4896)</f>
      </c>
    </row>
    <row r="4897">
      <c r="A4897" t="s">
        <v>167</v>
      </c>
      <c r="B4897" t="s">
        <v>272</v>
      </c>
      <c r="C4897" s="35" t="s">
        <v>274</v>
      </c>
      <c r="D4897" t="s">
        <v>502</v>
      </c>
      <c r="E4897" t="s">
        <v>520</v>
      </c>
      <c r="F4897" s="188" t="n">
        <v>2043</v>
      </c>
      <c r="G4897" s="189" t="n">
        <v>45</v>
      </c>
      <c r="H4897" s="190" t="n">
        <v>5706.24575431967</v>
      </c>
      <c r="I4897" s="191" t="n">
        <v>4295603.22739958</v>
      </c>
      <c r="J4897" s="192" t="str">
        <f>IF(I4897&gt;0,H4897/I4897,0)</f>
      </c>
      <c r="K4897" s="193" t="str">
        <f>1-EXP(-J4897)</f>
      </c>
      <c r="L4897" s="194" t="str">
        <f>IF(G4897=30,1,M4896)</f>
      </c>
      <c r="M4897" s="195" t="str">
        <f>L4897*(1-K4897)</f>
      </c>
    </row>
    <row r="4898">
      <c r="A4898" t="s">
        <v>167</v>
      </c>
      <c r="B4898" t="s">
        <v>272</v>
      </c>
      <c r="C4898" s="35" t="s">
        <v>274</v>
      </c>
      <c r="D4898" t="s">
        <v>502</v>
      </c>
      <c r="E4898" t="s">
        <v>520</v>
      </c>
      <c r="F4898" s="188" t="n">
        <v>2043</v>
      </c>
      <c r="G4898" s="189" t="n">
        <v>46</v>
      </c>
      <c r="H4898" s="190" t="n">
        <v>6673.45732823457</v>
      </c>
      <c r="I4898" s="191" t="n">
        <v>4420133.71587227</v>
      </c>
      <c r="J4898" s="192" t="str">
        <f>IF(I4898&gt;0,H4898/I4898,0)</f>
      </c>
      <c r="K4898" s="193" t="str">
        <f>1-EXP(-J4898)</f>
      </c>
      <c r="L4898" s="194" t="str">
        <f>IF(G4898=30,1,M4897)</f>
      </c>
      <c r="M4898" s="195" t="str">
        <f>L4898*(1-K4898)</f>
      </c>
    </row>
    <row r="4899">
      <c r="A4899" t="s">
        <v>167</v>
      </c>
      <c r="B4899" t="s">
        <v>272</v>
      </c>
      <c r="C4899" s="35" t="s">
        <v>274</v>
      </c>
      <c r="D4899" t="s">
        <v>502</v>
      </c>
      <c r="E4899" t="s">
        <v>520</v>
      </c>
      <c r="F4899" s="188" t="n">
        <v>2043</v>
      </c>
      <c r="G4899" s="189" t="n">
        <v>47</v>
      </c>
      <c r="H4899" s="190" t="n">
        <v>7220.53648020596</v>
      </c>
      <c r="I4899" s="191" t="n">
        <v>4368733.50701465</v>
      </c>
      <c r="J4899" s="192" t="str">
        <f>IF(I4899&gt;0,H4899/I4899,0)</f>
      </c>
      <c r="K4899" s="193" t="str">
        <f>1-EXP(-J4899)</f>
      </c>
      <c r="L4899" s="194" t="str">
        <f>IF(G4899=30,1,M4898)</f>
      </c>
      <c r="M4899" s="195" t="str">
        <f>L4899*(1-K4899)</f>
      </c>
    </row>
    <row r="4900">
      <c r="A4900" t="s">
        <v>167</v>
      </c>
      <c r="B4900" t="s">
        <v>272</v>
      </c>
      <c r="C4900" s="35" t="s">
        <v>274</v>
      </c>
      <c r="D4900" t="s">
        <v>502</v>
      </c>
      <c r="E4900" t="s">
        <v>520</v>
      </c>
      <c r="F4900" s="188" t="n">
        <v>2043</v>
      </c>
      <c r="G4900" s="189" t="n">
        <v>48</v>
      </c>
      <c r="H4900" s="190" t="n">
        <v>7767.10246106647</v>
      </c>
      <c r="I4900" s="191" t="n">
        <v>4287167.94297724</v>
      </c>
      <c r="J4900" s="192" t="str">
        <f>IF(I4900&gt;0,H4900/I4900,0)</f>
      </c>
      <c r="K4900" s="193" t="str">
        <f>1-EXP(-J4900)</f>
      </c>
      <c r="L4900" s="194" t="str">
        <f>IF(G4900=30,1,M4899)</f>
      </c>
      <c r="M4900" s="195" t="str">
        <f>L4900*(1-K4900)</f>
      </c>
    </row>
    <row r="4901">
      <c r="A4901" t="s">
        <v>167</v>
      </c>
      <c r="B4901" t="s">
        <v>272</v>
      </c>
      <c r="C4901" s="35" t="s">
        <v>274</v>
      </c>
      <c r="D4901" t="s">
        <v>502</v>
      </c>
      <c r="E4901" t="s">
        <v>520</v>
      </c>
      <c r="F4901" s="188" t="n">
        <v>2043</v>
      </c>
      <c r="G4901" s="189" t="n">
        <v>49</v>
      </c>
      <c r="H4901" s="190" t="n">
        <v>8386.18153399299</v>
      </c>
      <c r="I4901" s="191" t="n">
        <v>4219939.79609744</v>
      </c>
      <c r="J4901" s="192" t="str">
        <f>IF(I4901&gt;0,H4901/I4901,0)</f>
      </c>
      <c r="K4901" s="193" t="str">
        <f>1-EXP(-J4901)</f>
      </c>
      <c r="L4901" s="194" t="str">
        <f>IF(G4901=30,1,M4900)</f>
      </c>
      <c r="M4901" s="195" t="str">
        <f>L4901*(1-K4901)</f>
      </c>
    </row>
    <row r="4902">
      <c r="A4902" t="s">
        <v>167</v>
      </c>
      <c r="B4902" t="s">
        <v>272</v>
      </c>
      <c r="C4902" s="35" t="s">
        <v>274</v>
      </c>
      <c r="D4902" t="s">
        <v>502</v>
      </c>
      <c r="E4902" t="s">
        <v>520</v>
      </c>
      <c r="F4902" s="188" t="n">
        <v>2043</v>
      </c>
      <c r="G4902" s="189" t="n">
        <v>50</v>
      </c>
      <c r="H4902" s="190" t="n">
        <v>9462.16644432834</v>
      </c>
      <c r="I4902" s="191" t="n">
        <v>4155171.70913637</v>
      </c>
      <c r="J4902" s="192" t="str">
        <f>IF(I4902&gt;0,H4902/I4902,0)</f>
      </c>
      <c r="K4902" s="193" t="str">
        <f>1-EXP(-J4902)</f>
      </c>
      <c r="L4902" s="194" t="str">
        <f>IF(G4902=30,1,M4901)</f>
      </c>
      <c r="M4902" s="195" t="str">
        <f>L4902*(1-K4902)</f>
      </c>
    </row>
    <row r="4903">
      <c r="A4903" t="s">
        <v>167</v>
      </c>
      <c r="B4903" t="s">
        <v>272</v>
      </c>
      <c r="C4903" s="35" t="s">
        <v>274</v>
      </c>
      <c r="D4903" t="s">
        <v>502</v>
      </c>
      <c r="E4903" t="s">
        <v>520</v>
      </c>
      <c r="F4903" s="188" t="n">
        <v>2043</v>
      </c>
      <c r="G4903" s="189" t="n">
        <v>51</v>
      </c>
      <c r="H4903" s="190" t="n">
        <v>10383.530565583</v>
      </c>
      <c r="I4903" s="191" t="n">
        <v>4176371.60570413</v>
      </c>
      <c r="J4903" s="192" t="str">
        <f>IF(I4903&gt;0,H4903/I4903,0)</f>
      </c>
      <c r="K4903" s="193" t="str">
        <f>1-EXP(-J4903)</f>
      </c>
      <c r="L4903" s="194" t="str">
        <f>IF(G4903=30,1,M4902)</f>
      </c>
      <c r="M4903" s="195" t="str">
        <f>L4903*(1-K4903)</f>
      </c>
    </row>
    <row r="4904">
      <c r="A4904" t="s">
        <v>167</v>
      </c>
      <c r="B4904" t="s">
        <v>272</v>
      </c>
      <c r="C4904" s="35" t="s">
        <v>274</v>
      </c>
      <c r="D4904" t="s">
        <v>502</v>
      </c>
      <c r="E4904" t="s">
        <v>520</v>
      </c>
      <c r="F4904" s="188" t="n">
        <v>2043</v>
      </c>
      <c r="G4904" s="189" t="n">
        <v>52</v>
      </c>
      <c r="H4904" s="190" t="n">
        <v>11356.3940212043</v>
      </c>
      <c r="I4904" s="191" t="n">
        <v>4177464.47327993</v>
      </c>
      <c r="J4904" s="192" t="str">
        <f>IF(I4904&gt;0,H4904/I4904,0)</f>
      </c>
      <c r="K4904" s="193" t="str">
        <f>1-EXP(-J4904)</f>
      </c>
      <c r="L4904" s="194" t="str">
        <f>IF(G4904=30,1,M4903)</f>
      </c>
      <c r="M4904" s="195" t="str">
        <f>L4904*(1-K4904)</f>
      </c>
    </row>
    <row r="4905">
      <c r="A4905" t="s">
        <v>167</v>
      </c>
      <c r="B4905" t="s">
        <v>272</v>
      </c>
      <c r="C4905" s="35" t="s">
        <v>274</v>
      </c>
      <c r="D4905" t="s">
        <v>502</v>
      </c>
      <c r="E4905" t="s">
        <v>520</v>
      </c>
      <c r="F4905" s="188" t="n">
        <v>2043</v>
      </c>
      <c r="G4905" s="189" t="n">
        <v>53</v>
      </c>
      <c r="H4905" s="190" t="n">
        <v>16528.8914948099</v>
      </c>
      <c r="I4905" s="191" t="n">
        <v>6142901.01272172</v>
      </c>
      <c r="J4905" s="192" t="str">
        <f>IF(I4905&gt;0,H4905/I4905,0)</f>
      </c>
      <c r="K4905" s="193" t="str">
        <f>1-EXP(-J4905)</f>
      </c>
      <c r="L4905" s="194" t="str">
        <f>IF(G4905=30,1,M4904)</f>
      </c>
      <c r="M4905" s="195" t="str">
        <f>L4905*(1-K4905)</f>
      </c>
    </row>
    <row r="4906">
      <c r="A4906" t="s">
        <v>167</v>
      </c>
      <c r="B4906" t="s">
        <v>272</v>
      </c>
      <c r="C4906" s="35" t="s">
        <v>274</v>
      </c>
      <c r="D4906" t="s">
        <v>502</v>
      </c>
      <c r="E4906" t="s">
        <v>520</v>
      </c>
      <c r="F4906" s="188" t="n">
        <v>2043</v>
      </c>
      <c r="G4906" s="189" t="n">
        <v>54</v>
      </c>
      <c r="H4906" s="190" t="n">
        <v>13266.5637833134</v>
      </c>
      <c r="I4906" s="191" t="n">
        <v>4101008.01250425</v>
      </c>
      <c r="J4906" s="192" t="str">
        <f>IF(I4906&gt;0,H4906/I4906,0)</f>
      </c>
      <c r="K4906" s="193" t="str">
        <f>1-EXP(-J4906)</f>
      </c>
      <c r="L4906" s="194" t="str">
        <f>IF(G4906=30,1,M4905)</f>
      </c>
      <c r="M4906" s="195" t="str">
        <f>L4906*(1-K4906)</f>
      </c>
    </row>
    <row r="4907">
      <c r="A4907" t="s">
        <v>167</v>
      </c>
      <c r="B4907" t="s">
        <v>272</v>
      </c>
      <c r="C4907" s="35" t="s">
        <v>274</v>
      </c>
      <c r="D4907" t="s">
        <v>502</v>
      </c>
      <c r="E4907" t="s">
        <v>520</v>
      </c>
      <c r="F4907" s="188" t="n">
        <v>2043</v>
      </c>
      <c r="G4907" s="189" t="n">
        <v>55</v>
      </c>
      <c r="H4907" s="190" t="n">
        <v>14151.3874824994</v>
      </c>
      <c r="I4907" s="191" t="n">
        <v>4064167.73185545</v>
      </c>
      <c r="J4907" s="192" t="str">
        <f>IF(I4907&gt;0,H4907/I4907,0)</f>
      </c>
      <c r="K4907" s="193" t="str">
        <f>1-EXP(-J4907)</f>
      </c>
      <c r="L4907" s="194" t="str">
        <f>IF(G4907=30,1,M4906)</f>
      </c>
      <c r="M4907" s="195" t="str">
        <f>L4907*(1-K4907)</f>
      </c>
    </row>
    <row r="4908">
      <c r="A4908" t="s">
        <v>167</v>
      </c>
      <c r="B4908" t="s">
        <v>272</v>
      </c>
      <c r="C4908" s="35" t="s">
        <v>274</v>
      </c>
      <c r="D4908" t="s">
        <v>502</v>
      </c>
      <c r="E4908" t="s">
        <v>520</v>
      </c>
      <c r="F4908" s="188" t="n">
        <v>2043</v>
      </c>
      <c r="G4908" s="189" t="n">
        <v>56</v>
      </c>
      <c r="H4908" s="190" t="n">
        <v>14839.4431459628</v>
      </c>
      <c r="I4908" s="191" t="n">
        <v>3917256.26817672</v>
      </c>
      <c r="J4908" s="192" t="str">
        <f>IF(I4908&gt;0,H4908/I4908,0)</f>
      </c>
      <c r="K4908" s="193" t="str">
        <f>1-EXP(-J4908)</f>
      </c>
      <c r="L4908" s="194" t="str">
        <f>IF(G4908=30,1,M4907)</f>
      </c>
      <c r="M4908" s="195" t="str">
        <f>L4908*(1-K4908)</f>
      </c>
    </row>
    <row r="4909">
      <c r="A4909" t="s">
        <v>167</v>
      </c>
      <c r="B4909" t="s">
        <v>272</v>
      </c>
      <c r="C4909" s="35" t="s">
        <v>274</v>
      </c>
      <c r="D4909" t="s">
        <v>502</v>
      </c>
      <c r="E4909" t="s">
        <v>520</v>
      </c>
      <c r="F4909" s="188" t="n">
        <v>2043</v>
      </c>
      <c r="G4909" s="189" t="n">
        <v>57</v>
      </c>
      <c r="H4909" s="190" t="n">
        <v>15957.3458035589</v>
      </c>
      <c r="I4909" s="191" t="n">
        <v>3860926.68906201</v>
      </c>
      <c r="J4909" s="192" t="str">
        <f>IF(I4909&gt;0,H4909/I4909,0)</f>
      </c>
      <c r="K4909" s="193" t="str">
        <f>1-EXP(-J4909)</f>
      </c>
      <c r="L4909" s="194" t="str">
        <f>IF(G4909=30,1,M4908)</f>
      </c>
      <c r="M4909" s="195" t="str">
        <f>L4909*(1-K4909)</f>
      </c>
    </row>
    <row r="4910">
      <c r="A4910" t="s">
        <v>167</v>
      </c>
      <c r="B4910" t="s">
        <v>272</v>
      </c>
      <c r="C4910" s="35" t="s">
        <v>274</v>
      </c>
      <c r="D4910" t="s">
        <v>502</v>
      </c>
      <c r="E4910" t="s">
        <v>520</v>
      </c>
      <c r="F4910" s="188" t="n">
        <v>2043</v>
      </c>
      <c r="G4910" s="189" t="n">
        <v>58</v>
      </c>
      <c r="H4910" s="190" t="n">
        <v>17568.1566480644</v>
      </c>
      <c r="I4910" s="191" t="n">
        <v>3889312.89534559</v>
      </c>
      <c r="J4910" s="192" t="str">
        <f>IF(I4910&gt;0,H4910/I4910,0)</f>
      </c>
      <c r="K4910" s="193" t="str">
        <f>1-EXP(-J4910)</f>
      </c>
      <c r="L4910" s="194" t="str">
        <f>IF(G4910=30,1,M4909)</f>
      </c>
      <c r="M4910" s="195" t="str">
        <f>L4910*(1-K4910)</f>
      </c>
    </row>
    <row r="4911">
      <c r="A4911" t="s">
        <v>167</v>
      </c>
      <c r="B4911" t="s">
        <v>272</v>
      </c>
      <c r="C4911" s="35" t="s">
        <v>274</v>
      </c>
      <c r="D4911" t="s">
        <v>502</v>
      </c>
      <c r="E4911" t="s">
        <v>520</v>
      </c>
      <c r="F4911" s="188" t="n">
        <v>2043</v>
      </c>
      <c r="G4911" s="189" t="n">
        <v>59</v>
      </c>
      <c r="H4911" s="190" t="n">
        <v>19467.5090979499</v>
      </c>
      <c r="I4911" s="191" t="n">
        <v>3937637.04073313</v>
      </c>
      <c r="J4911" s="192" t="str">
        <f>IF(I4911&gt;0,H4911/I4911,0)</f>
      </c>
      <c r="K4911" s="193" t="str">
        <f>1-EXP(-J4911)</f>
      </c>
      <c r="L4911" s="194" t="str">
        <f>IF(G4911=30,1,M4910)</f>
      </c>
      <c r="M4911" s="195" t="str">
        <f>L4911*(1-K4911)</f>
      </c>
    </row>
    <row r="4912">
      <c r="A4912" t="s">
        <v>167</v>
      </c>
      <c r="B4912" t="s">
        <v>272</v>
      </c>
      <c r="C4912" s="35" t="s">
        <v>274</v>
      </c>
      <c r="D4912" t="s">
        <v>502</v>
      </c>
      <c r="E4912" t="s">
        <v>520</v>
      </c>
      <c r="F4912" s="188" t="n">
        <v>2043</v>
      </c>
      <c r="G4912" s="189" t="n">
        <v>60</v>
      </c>
      <c r="H4912" s="190" t="n">
        <v>20853.5904539292</v>
      </c>
      <c r="I4912" s="191" t="n">
        <v>3883214.84797386</v>
      </c>
      <c r="J4912" s="192" t="str">
        <f>IF(I4912&gt;0,H4912/I4912,0)</f>
      </c>
      <c r="K4912" s="193" t="str">
        <f>1-EXP(-J4912)</f>
      </c>
      <c r="L4912" s="194" t="str">
        <f>IF(G4912=30,1,M4911)</f>
      </c>
      <c r="M4912" s="195" t="str">
        <f>L4912*(1-K4912)</f>
      </c>
    </row>
    <row r="4913">
      <c r="A4913" t="s">
        <v>167</v>
      </c>
      <c r="B4913" t="s">
        <v>272</v>
      </c>
      <c r="C4913" s="35" t="s">
        <v>274</v>
      </c>
      <c r="D4913" t="s">
        <v>502</v>
      </c>
      <c r="E4913" t="s">
        <v>520</v>
      </c>
      <c r="F4913" s="188" t="n">
        <v>2043</v>
      </c>
      <c r="G4913" s="189" t="n">
        <v>61</v>
      </c>
      <c r="H4913" s="190" t="n">
        <v>21962.6123330503</v>
      </c>
      <c r="I4913" s="191" t="n">
        <v>3724690.71923904</v>
      </c>
      <c r="J4913" s="192" t="str">
        <f>IF(I4913&gt;0,H4913/I4913,0)</f>
      </c>
      <c r="K4913" s="193" t="str">
        <f>1-EXP(-J4913)</f>
      </c>
      <c r="L4913" s="194" t="str">
        <f>IF(G4913=30,1,M4912)</f>
      </c>
      <c r="M4913" s="195" t="str">
        <f>L4913*(1-K4913)</f>
      </c>
    </row>
    <row r="4914">
      <c r="A4914" t="s">
        <v>167</v>
      </c>
      <c r="B4914" t="s">
        <v>272</v>
      </c>
      <c r="C4914" s="35" t="s">
        <v>274</v>
      </c>
      <c r="D4914" t="s">
        <v>502</v>
      </c>
      <c r="E4914" t="s">
        <v>520</v>
      </c>
      <c r="F4914" s="188" t="n">
        <v>2043</v>
      </c>
      <c r="G4914" s="189" t="n">
        <v>62</v>
      </c>
      <c r="H4914" s="190" t="n">
        <v>23429.3428113696</v>
      </c>
      <c r="I4914" s="191" t="n">
        <v>3621513.84463654</v>
      </c>
      <c r="J4914" s="192" t="str">
        <f>IF(I4914&gt;0,H4914/I4914,0)</f>
      </c>
      <c r="K4914" s="193" t="str">
        <f>1-EXP(-J4914)</f>
      </c>
      <c r="L4914" s="194" t="str">
        <f>IF(G4914=30,1,M4913)</f>
      </c>
      <c r="M4914" s="195" t="str">
        <f>L4914*(1-K4914)</f>
      </c>
    </row>
    <row r="4915">
      <c r="A4915" t="s">
        <v>167</v>
      </c>
      <c r="B4915" t="s">
        <v>272</v>
      </c>
      <c r="C4915" s="35" t="s">
        <v>274</v>
      </c>
      <c r="D4915" t="s">
        <v>502</v>
      </c>
      <c r="E4915" t="s">
        <v>520</v>
      </c>
      <c r="F4915" s="188" t="n">
        <v>2043</v>
      </c>
      <c r="G4915" s="189" t="n">
        <v>63</v>
      </c>
      <c r="H4915" s="190" t="n">
        <v>25062.7164087566</v>
      </c>
      <c r="I4915" s="191" t="n">
        <v>3530489.59199913</v>
      </c>
      <c r="J4915" s="192" t="str">
        <f>IF(I4915&gt;0,H4915/I4915,0)</f>
      </c>
      <c r="K4915" s="193" t="str">
        <f>1-EXP(-J4915)</f>
      </c>
      <c r="L4915" s="194" t="str">
        <f>IF(G4915=30,1,M4914)</f>
      </c>
      <c r="M4915" s="195" t="str">
        <f>L4915*(1-K4915)</f>
      </c>
    </row>
    <row r="4916">
      <c r="A4916" t="s">
        <v>167</v>
      </c>
      <c r="B4916" t="s">
        <v>272</v>
      </c>
      <c r="C4916" s="35" t="s">
        <v>274</v>
      </c>
      <c r="D4916" t="s">
        <v>502</v>
      </c>
      <c r="E4916" t="s">
        <v>520</v>
      </c>
      <c r="F4916" s="188" t="n">
        <v>2043</v>
      </c>
      <c r="G4916" s="189" t="n">
        <v>64</v>
      </c>
      <c r="H4916" s="190" t="n">
        <v>26735.524327675</v>
      </c>
      <c r="I4916" s="191" t="n">
        <v>3432514.52442246</v>
      </c>
      <c r="J4916" s="192" t="str">
        <f>IF(I4916&gt;0,H4916/I4916,0)</f>
      </c>
      <c r="K4916" s="193" t="str">
        <f>1-EXP(-J4916)</f>
      </c>
      <c r="L4916" s="194" t="str">
        <f>IF(G4916=30,1,M4915)</f>
      </c>
      <c r="M4916" s="195" t="str">
        <f>L4916*(1-K4916)</f>
      </c>
    </row>
    <row r="4917">
      <c r="A4917" t="s">
        <v>167</v>
      </c>
      <c r="B4917" t="s">
        <v>272</v>
      </c>
      <c r="C4917" s="35" t="s">
        <v>274</v>
      </c>
      <c r="D4917" t="s">
        <v>502</v>
      </c>
      <c r="E4917" t="s">
        <v>520</v>
      </c>
      <c r="F4917" s="188" t="n">
        <v>2043</v>
      </c>
      <c r="G4917" s="189" t="n">
        <v>65</v>
      </c>
      <c r="H4917" s="190" t="n">
        <v>27073.158529814</v>
      </c>
      <c r="I4917" s="191" t="n">
        <v>3315662.97985738</v>
      </c>
      <c r="J4917" s="192" t="str">
        <f>IF(I4917&gt;0,H4917/I4917,0)</f>
      </c>
      <c r="K4917" s="193" t="str">
        <f>1-EXP(-J4917)</f>
      </c>
      <c r="L4917" s="194" t="str">
        <f>IF(G4917=30,1,M4916)</f>
      </c>
      <c r="M4917" s="195" t="str">
        <f>L4917*(1-K4917)</f>
      </c>
    </row>
    <row r="4918">
      <c r="A4918" t="s">
        <v>167</v>
      </c>
      <c r="B4918" t="s">
        <v>272</v>
      </c>
      <c r="C4918" s="35" t="s">
        <v>274</v>
      </c>
      <c r="D4918" t="s">
        <v>502</v>
      </c>
      <c r="E4918" t="s">
        <v>520</v>
      </c>
      <c r="F4918" s="188" t="n">
        <v>2043</v>
      </c>
      <c r="G4918" s="189" t="n">
        <v>66</v>
      </c>
      <c r="H4918" s="190" t="n">
        <v>28791.4584109561</v>
      </c>
      <c r="I4918" s="191" t="n">
        <v>3211542.9112708</v>
      </c>
      <c r="J4918" s="192" t="str">
        <f>IF(I4918&gt;0,H4918/I4918,0)</f>
      </c>
      <c r="K4918" s="193" t="str">
        <f>1-EXP(-J4918)</f>
      </c>
      <c r="L4918" s="194" t="str">
        <f>IF(G4918=30,1,M4917)</f>
      </c>
      <c r="M4918" s="195" t="str">
        <f>L4918*(1-K4918)</f>
      </c>
    </row>
    <row r="4919">
      <c r="A4919" t="s">
        <v>167</v>
      </c>
      <c r="B4919" t="s">
        <v>272</v>
      </c>
      <c r="C4919" s="35" t="s">
        <v>274</v>
      </c>
      <c r="D4919" t="s">
        <v>502</v>
      </c>
      <c r="E4919" t="s">
        <v>520</v>
      </c>
      <c r="F4919" s="188" t="n">
        <v>2043</v>
      </c>
      <c r="G4919" s="189" t="n">
        <v>67</v>
      </c>
      <c r="H4919" s="190" t="n">
        <v>30472.7798204785</v>
      </c>
      <c r="I4919" s="191" t="n">
        <v>3095389.23500968</v>
      </c>
      <c r="J4919" s="192" t="str">
        <f>IF(I4919&gt;0,H4919/I4919,0)</f>
      </c>
      <c r="K4919" s="193" t="str">
        <f>1-EXP(-J4919)</f>
      </c>
      <c r="L4919" s="194" t="str">
        <f>IF(G4919=30,1,M4918)</f>
      </c>
      <c r="M4919" s="195" t="str">
        <f>L4919*(1-K4919)</f>
      </c>
    </row>
    <row r="4920">
      <c r="A4920" t="s">
        <v>167</v>
      </c>
      <c r="B4920" t="s">
        <v>272</v>
      </c>
      <c r="C4920" s="35" t="s">
        <v>274</v>
      </c>
      <c r="D4920" t="s">
        <v>502</v>
      </c>
      <c r="E4920" t="s">
        <v>520</v>
      </c>
      <c r="F4920" s="188" t="n">
        <v>2043</v>
      </c>
      <c r="G4920" s="189" t="n">
        <v>68</v>
      </c>
      <c r="H4920" s="190" t="n">
        <v>32201.3256568321</v>
      </c>
      <c r="I4920" s="191" t="n">
        <v>2976734.08464124</v>
      </c>
      <c r="J4920" s="192" t="str">
        <f>IF(I4920&gt;0,H4920/I4920,0)</f>
      </c>
      <c r="K4920" s="193" t="str">
        <f>1-EXP(-J4920)</f>
      </c>
      <c r="L4920" s="194" t="str">
        <f>IF(G4920=30,1,M4919)</f>
      </c>
      <c r="M4920" s="195" t="str">
        <f>L4920*(1-K4920)</f>
      </c>
    </row>
    <row r="4921">
      <c r="A4921" t="s">
        <v>167</v>
      </c>
      <c r="B4921" t="s">
        <v>272</v>
      </c>
      <c r="C4921" s="35" t="s">
        <v>274</v>
      </c>
      <c r="D4921" t="s">
        <v>502</v>
      </c>
      <c r="E4921" t="s">
        <v>520</v>
      </c>
      <c r="F4921" s="188" t="n">
        <v>2043</v>
      </c>
      <c r="G4921" s="189" t="n">
        <v>69</v>
      </c>
      <c r="H4921" s="190" t="n">
        <v>33723.7864810315</v>
      </c>
      <c r="I4921" s="191" t="n">
        <v>2834133.0303537</v>
      </c>
      <c r="J4921" s="192" t="str">
        <f>IF(I4921&gt;0,H4921/I4921,0)</f>
      </c>
      <c r="K4921" s="193" t="str">
        <f>1-EXP(-J4921)</f>
      </c>
      <c r="L4921" s="194" t="str">
        <f>IF(G4921=30,1,M4920)</f>
      </c>
      <c r="M4921" s="195" t="str">
        <f>L4921*(1-K4921)</f>
      </c>
    </row>
    <row r="4922">
      <c r="A4922" t="s">
        <v>167</v>
      </c>
      <c r="B4922" t="s">
        <v>272</v>
      </c>
      <c r="C4922" s="35" t="s">
        <v>274</v>
      </c>
      <c r="D4922" t="s">
        <v>502</v>
      </c>
      <c r="E4922" t="s">
        <v>520</v>
      </c>
      <c r="F4922" s="188" t="n">
        <v>2044</v>
      </c>
      <c r="G4922" s="189" t="n">
        <v>30</v>
      </c>
      <c r="H4922" s="190" t="n">
        <v>733.6957434592</v>
      </c>
      <c r="I4922" s="191" t="n">
        <v>4714235.68627443</v>
      </c>
      <c r="J4922" s="192" t="str">
        <f>IF(I4922&gt;0,H4922/I4922,0)</f>
      </c>
      <c r="K4922" s="193" t="str">
        <f>1-EXP(-J4922)</f>
      </c>
      <c r="L4922" s="194" t="str">
        <f>IF(G4922=30,1,M4921)</f>
      </c>
      <c r="M4922" s="195" t="str">
        <f>L4922*(1-K4922)</f>
      </c>
    </row>
    <row r="4923">
      <c r="A4923" t="s">
        <v>167</v>
      </c>
      <c r="B4923" t="s">
        <v>272</v>
      </c>
      <c r="C4923" s="35" t="s">
        <v>274</v>
      </c>
      <c r="D4923" t="s">
        <v>502</v>
      </c>
      <c r="E4923" t="s">
        <v>520</v>
      </c>
      <c r="F4923" s="188" t="n">
        <v>2044</v>
      </c>
      <c r="G4923" s="189" t="n">
        <v>31</v>
      </c>
      <c r="H4923" s="190" t="n">
        <v>984.168851462248</v>
      </c>
      <c r="I4923" s="191" t="n">
        <v>4782415.33737507</v>
      </c>
      <c r="J4923" s="192" t="str">
        <f>IF(I4923&gt;0,H4923/I4923,0)</f>
      </c>
      <c r="K4923" s="193" t="str">
        <f>1-EXP(-J4923)</f>
      </c>
      <c r="L4923" s="194" t="str">
        <f>IF(G4923=30,1,M4922)</f>
      </c>
      <c r="M4923" s="195" t="str">
        <f>L4923*(1-K4923)</f>
      </c>
    </row>
    <row r="4924">
      <c r="A4924" t="s">
        <v>167</v>
      </c>
      <c r="B4924" t="s">
        <v>272</v>
      </c>
      <c r="C4924" s="35" t="s">
        <v>274</v>
      </c>
      <c r="D4924" t="s">
        <v>502</v>
      </c>
      <c r="E4924" t="s">
        <v>520</v>
      </c>
      <c r="F4924" s="188" t="n">
        <v>2044</v>
      </c>
      <c r="G4924" s="189" t="n">
        <v>32</v>
      </c>
      <c r="H4924" s="190" t="n">
        <v>1103.88470242405</v>
      </c>
      <c r="I4924" s="191" t="n">
        <v>4895344.54046246</v>
      </c>
      <c r="J4924" s="192" t="str">
        <f>IF(I4924&gt;0,H4924/I4924,0)</f>
      </c>
      <c r="K4924" s="193" t="str">
        <f>1-EXP(-J4924)</f>
      </c>
      <c r="L4924" s="194" t="str">
        <f>IF(G4924=30,1,M4923)</f>
      </c>
      <c r="M4924" s="195" t="str">
        <f>L4924*(1-K4924)</f>
      </c>
    </row>
    <row r="4925">
      <c r="A4925" t="s">
        <v>167</v>
      </c>
      <c r="B4925" t="s">
        <v>272</v>
      </c>
      <c r="C4925" s="35" t="s">
        <v>274</v>
      </c>
      <c r="D4925" t="s">
        <v>502</v>
      </c>
      <c r="E4925" t="s">
        <v>520</v>
      </c>
      <c r="F4925" s="188" t="n">
        <v>2044</v>
      </c>
      <c r="G4925" s="189" t="n">
        <v>33</v>
      </c>
      <c r="H4925" s="190" t="n">
        <v>1162.02868747358</v>
      </c>
      <c r="I4925" s="191" t="n">
        <v>4867137.32401436</v>
      </c>
      <c r="J4925" s="192" t="str">
        <f>IF(I4925&gt;0,H4925/I4925,0)</f>
      </c>
      <c r="K4925" s="193" t="str">
        <f>1-EXP(-J4925)</f>
      </c>
      <c r="L4925" s="194" t="str">
        <f>IF(G4925=30,1,M4924)</f>
      </c>
      <c r="M4925" s="195" t="str">
        <f>L4925*(1-K4925)</f>
      </c>
    </row>
    <row r="4926">
      <c r="A4926" t="s">
        <v>167</v>
      </c>
      <c r="B4926" t="s">
        <v>272</v>
      </c>
      <c r="C4926" s="35" t="s">
        <v>274</v>
      </c>
      <c r="D4926" t="s">
        <v>502</v>
      </c>
      <c r="E4926" t="s">
        <v>520</v>
      </c>
      <c r="F4926" s="188" t="n">
        <v>2044</v>
      </c>
      <c r="G4926" s="189" t="n">
        <v>34</v>
      </c>
      <c r="H4926" s="190" t="n">
        <v>1203.69081755975</v>
      </c>
      <c r="I4926" s="191" t="n">
        <v>4733238.42792907</v>
      </c>
      <c r="J4926" s="192" t="str">
        <f>IF(I4926&gt;0,H4926/I4926,0)</f>
      </c>
      <c r="K4926" s="193" t="str">
        <f>1-EXP(-J4926)</f>
      </c>
      <c r="L4926" s="194" t="str">
        <f>IF(G4926=30,1,M4925)</f>
      </c>
      <c r="M4926" s="195" t="str">
        <f>L4926*(1-K4926)</f>
      </c>
    </row>
    <row r="4927">
      <c r="A4927" t="s">
        <v>167</v>
      </c>
      <c r="B4927" t="s">
        <v>272</v>
      </c>
      <c r="C4927" s="35" t="s">
        <v>274</v>
      </c>
      <c r="D4927" t="s">
        <v>502</v>
      </c>
      <c r="E4927" t="s">
        <v>520</v>
      </c>
      <c r="F4927" s="188" t="n">
        <v>2044</v>
      </c>
      <c r="G4927" s="189" t="n">
        <v>35</v>
      </c>
      <c r="H4927" s="190" t="n">
        <v>1558.84939505534</v>
      </c>
      <c r="I4927" s="191" t="n">
        <v>4662011.81989856</v>
      </c>
      <c r="J4927" s="192" t="str">
        <f>IF(I4927&gt;0,H4927/I4927,0)</f>
      </c>
      <c r="K4927" s="193" t="str">
        <f>1-EXP(-J4927)</f>
      </c>
      <c r="L4927" s="194" t="str">
        <f>IF(G4927=30,1,M4926)</f>
      </c>
      <c r="M4927" s="195" t="str">
        <f>L4927*(1-K4927)</f>
      </c>
    </row>
    <row r="4928">
      <c r="A4928" t="s">
        <v>167</v>
      </c>
      <c r="B4928" t="s">
        <v>272</v>
      </c>
      <c r="C4928" s="35" t="s">
        <v>274</v>
      </c>
      <c r="D4928" t="s">
        <v>502</v>
      </c>
      <c r="E4928" t="s">
        <v>520</v>
      </c>
      <c r="F4928" s="188" t="n">
        <v>2044</v>
      </c>
      <c r="G4928" s="189" t="n">
        <v>36</v>
      </c>
      <c r="H4928" s="190" t="n">
        <v>1812.42981124046</v>
      </c>
      <c r="I4928" s="191" t="n">
        <v>4618248.86320442</v>
      </c>
      <c r="J4928" s="192" t="str">
        <f>IF(I4928&gt;0,H4928/I4928,0)</f>
      </c>
      <c r="K4928" s="193" t="str">
        <f>1-EXP(-J4928)</f>
      </c>
      <c r="L4928" s="194" t="str">
        <f>IF(G4928=30,1,M4927)</f>
      </c>
      <c r="M4928" s="195" t="str">
        <f>L4928*(1-K4928)</f>
      </c>
    </row>
    <row r="4929">
      <c r="A4929" t="s">
        <v>167</v>
      </c>
      <c r="B4929" t="s">
        <v>272</v>
      </c>
      <c r="C4929" s="35" t="s">
        <v>274</v>
      </c>
      <c r="D4929" t="s">
        <v>502</v>
      </c>
      <c r="E4929" t="s">
        <v>520</v>
      </c>
      <c r="F4929" s="188" t="n">
        <v>2044</v>
      </c>
      <c r="G4929" s="189" t="n">
        <v>37</v>
      </c>
      <c r="H4929" s="190" t="n">
        <v>2017.19037569491</v>
      </c>
      <c r="I4929" s="191" t="n">
        <v>4642509.54236015</v>
      </c>
      <c r="J4929" s="192" t="str">
        <f>IF(I4929&gt;0,H4929/I4929,0)</f>
      </c>
      <c r="K4929" s="193" t="str">
        <f>1-EXP(-J4929)</f>
      </c>
      <c r="L4929" s="194" t="str">
        <f>IF(G4929=30,1,M4928)</f>
      </c>
      <c r="M4929" s="195" t="str">
        <f>L4929*(1-K4929)</f>
      </c>
    </row>
    <row r="4930">
      <c r="A4930" t="s">
        <v>167</v>
      </c>
      <c r="B4930" t="s">
        <v>272</v>
      </c>
      <c r="C4930" s="35" t="s">
        <v>274</v>
      </c>
      <c r="D4930" t="s">
        <v>502</v>
      </c>
      <c r="E4930" t="s">
        <v>520</v>
      </c>
      <c r="F4930" s="188" t="n">
        <v>2044</v>
      </c>
      <c r="G4930" s="189" t="n">
        <v>38</v>
      </c>
      <c r="H4930" s="190" t="n">
        <v>2135.51721337032</v>
      </c>
      <c r="I4930" s="191" t="n">
        <v>4558201.30452813</v>
      </c>
      <c r="J4930" s="192" t="str">
        <f>IF(I4930&gt;0,H4930/I4930,0)</f>
      </c>
      <c r="K4930" s="193" t="str">
        <f>1-EXP(-J4930)</f>
      </c>
      <c r="L4930" s="194" t="str">
        <f>IF(G4930=30,1,M4929)</f>
      </c>
      <c r="M4930" s="195" t="str">
        <f>L4930*(1-K4930)</f>
      </c>
    </row>
    <row r="4931">
      <c r="A4931" t="s">
        <v>167</v>
      </c>
      <c r="B4931" t="s">
        <v>272</v>
      </c>
      <c r="C4931" s="35" t="s">
        <v>274</v>
      </c>
      <c r="D4931" t="s">
        <v>502</v>
      </c>
      <c r="E4931" t="s">
        <v>520</v>
      </c>
      <c r="F4931" s="188" t="n">
        <v>2044</v>
      </c>
      <c r="G4931" s="189" t="n">
        <v>39</v>
      </c>
      <c r="H4931" s="190" t="n">
        <v>2277.08991407186</v>
      </c>
      <c r="I4931" s="191" t="n">
        <v>4495349.98422565</v>
      </c>
      <c r="J4931" s="192" t="str">
        <f>IF(I4931&gt;0,H4931/I4931,0)</f>
      </c>
      <c r="K4931" s="193" t="str">
        <f>1-EXP(-J4931)</f>
      </c>
      <c r="L4931" s="194" t="str">
        <f>IF(G4931=30,1,M4930)</f>
      </c>
      <c r="M4931" s="195" t="str">
        <f>L4931*(1-K4931)</f>
      </c>
    </row>
    <row r="4932">
      <c r="A4932" t="s">
        <v>167</v>
      </c>
      <c r="B4932" t="s">
        <v>272</v>
      </c>
      <c r="C4932" s="35" t="s">
        <v>274</v>
      </c>
      <c r="D4932" t="s">
        <v>502</v>
      </c>
      <c r="E4932" t="s">
        <v>520</v>
      </c>
      <c r="F4932" s="188" t="n">
        <v>2044</v>
      </c>
      <c r="G4932" s="189" t="n">
        <v>40</v>
      </c>
      <c r="H4932" s="190" t="n">
        <v>2974.26103075784</v>
      </c>
      <c r="I4932" s="191" t="n">
        <v>4365166.58789178</v>
      </c>
      <c r="J4932" s="192" t="str">
        <f>IF(I4932&gt;0,H4932/I4932,0)</f>
      </c>
      <c r="K4932" s="193" t="str">
        <f>1-EXP(-J4932)</f>
      </c>
      <c r="L4932" s="194" t="str">
        <f>IF(G4932=30,1,M4931)</f>
      </c>
      <c r="M4932" s="195" t="str">
        <f>L4932*(1-K4932)</f>
      </c>
    </row>
    <row r="4933">
      <c r="A4933" t="s">
        <v>167</v>
      </c>
      <c r="B4933" t="s">
        <v>272</v>
      </c>
      <c r="C4933" s="35" t="s">
        <v>274</v>
      </c>
      <c r="D4933" t="s">
        <v>502</v>
      </c>
      <c r="E4933" t="s">
        <v>520</v>
      </c>
      <c r="F4933" s="188" t="n">
        <v>2044</v>
      </c>
      <c r="G4933" s="189" t="n">
        <v>41</v>
      </c>
      <c r="H4933" s="190" t="n">
        <v>3289.2896557713</v>
      </c>
      <c r="I4933" s="191" t="n">
        <v>4296412.65487173</v>
      </c>
      <c r="J4933" s="192" t="str">
        <f>IF(I4933&gt;0,H4933/I4933,0)</f>
      </c>
      <c r="K4933" s="193" t="str">
        <f>1-EXP(-J4933)</f>
      </c>
      <c r="L4933" s="194" t="str">
        <f>IF(G4933=30,1,M4932)</f>
      </c>
      <c r="M4933" s="195" t="str">
        <f>L4933*(1-K4933)</f>
      </c>
    </row>
    <row r="4934">
      <c r="A4934" t="s">
        <v>167</v>
      </c>
      <c r="B4934" t="s">
        <v>272</v>
      </c>
      <c r="C4934" s="35" t="s">
        <v>274</v>
      </c>
      <c r="D4934" t="s">
        <v>502</v>
      </c>
      <c r="E4934" t="s">
        <v>520</v>
      </c>
      <c r="F4934" s="188" t="n">
        <v>2044</v>
      </c>
      <c r="G4934" s="189" t="n">
        <v>42</v>
      </c>
      <c r="H4934" s="190" t="n">
        <v>3699.57974776538</v>
      </c>
      <c r="I4934" s="191" t="n">
        <v>4269633.88148575</v>
      </c>
      <c r="J4934" s="192" t="str">
        <f>IF(I4934&gt;0,H4934/I4934,0)</f>
      </c>
      <c r="K4934" s="193" t="str">
        <f>1-EXP(-J4934)</f>
      </c>
      <c r="L4934" s="194" t="str">
        <f>IF(G4934=30,1,M4933)</f>
      </c>
      <c r="M4934" s="195" t="str">
        <f>L4934*(1-K4934)</f>
      </c>
    </row>
    <row r="4935">
      <c r="A4935" t="s">
        <v>167</v>
      </c>
      <c r="B4935" t="s">
        <v>272</v>
      </c>
      <c r="C4935" s="35" t="s">
        <v>274</v>
      </c>
      <c r="D4935" t="s">
        <v>502</v>
      </c>
      <c r="E4935" t="s">
        <v>520</v>
      </c>
      <c r="F4935" s="188" t="n">
        <v>2044</v>
      </c>
      <c r="G4935" s="189" t="n">
        <v>43</v>
      </c>
      <c r="H4935" s="190" t="n">
        <v>3999.37417762467</v>
      </c>
      <c r="I4935" s="191" t="n">
        <v>4245077.0355999</v>
      </c>
      <c r="J4935" s="192" t="str">
        <f>IF(I4935&gt;0,H4935/I4935,0)</f>
      </c>
      <c r="K4935" s="193" t="str">
        <f>1-EXP(-J4935)</f>
      </c>
      <c r="L4935" s="194" t="str">
        <f>IF(G4935=30,1,M4934)</f>
      </c>
      <c r="M4935" s="195" t="str">
        <f>L4935*(1-K4935)</f>
      </c>
    </row>
    <row r="4936">
      <c r="A4936" t="s">
        <v>167</v>
      </c>
      <c r="B4936" t="s">
        <v>272</v>
      </c>
      <c r="C4936" s="35" t="s">
        <v>274</v>
      </c>
      <c r="D4936" t="s">
        <v>502</v>
      </c>
      <c r="E4936" t="s">
        <v>520</v>
      </c>
      <c r="F4936" s="188" t="n">
        <v>2044</v>
      </c>
      <c r="G4936" s="189" t="n">
        <v>44</v>
      </c>
      <c r="H4936" s="190" t="n">
        <v>4334.02413399287</v>
      </c>
      <c r="I4936" s="191" t="n">
        <v>4219658.05218712</v>
      </c>
      <c r="J4936" s="192" t="str">
        <f>IF(I4936&gt;0,H4936/I4936,0)</f>
      </c>
      <c r="K4936" s="193" t="str">
        <f>1-EXP(-J4936)</f>
      </c>
      <c r="L4936" s="194" t="str">
        <f>IF(G4936=30,1,M4935)</f>
      </c>
      <c r="M4936" s="195" t="str">
        <f>L4936*(1-K4936)</f>
      </c>
    </row>
    <row r="4937">
      <c r="A4937" t="s">
        <v>167</v>
      </c>
      <c r="B4937" t="s">
        <v>272</v>
      </c>
      <c r="C4937" s="35" t="s">
        <v>274</v>
      </c>
      <c r="D4937" t="s">
        <v>502</v>
      </c>
      <c r="E4937" t="s">
        <v>520</v>
      </c>
      <c r="F4937" s="188" t="n">
        <v>2044</v>
      </c>
      <c r="G4937" s="189" t="n">
        <v>45</v>
      </c>
      <c r="H4937" s="190" t="n">
        <v>5585.46956568078</v>
      </c>
      <c r="I4937" s="191" t="n">
        <v>4232411.59629274</v>
      </c>
      <c r="J4937" s="192" t="str">
        <f>IF(I4937&gt;0,H4937/I4937,0)</f>
      </c>
      <c r="K4937" s="193" t="str">
        <f>1-EXP(-J4937)</f>
      </c>
      <c r="L4937" s="194" t="str">
        <f>IF(G4937=30,1,M4936)</f>
      </c>
      <c r="M4937" s="195" t="str">
        <f>L4937*(1-K4937)</f>
      </c>
    </row>
    <row r="4938">
      <c r="A4938" t="s">
        <v>167</v>
      </c>
      <c r="B4938" t="s">
        <v>272</v>
      </c>
      <c r="C4938" s="35" t="s">
        <v>274</v>
      </c>
      <c r="D4938" t="s">
        <v>502</v>
      </c>
      <c r="E4938" t="s">
        <v>520</v>
      </c>
      <c r="F4938" s="188" t="n">
        <v>2044</v>
      </c>
      <c r="G4938" s="189" t="n">
        <v>46</v>
      </c>
      <c r="H4938" s="190" t="n">
        <v>6246.64327004483</v>
      </c>
      <c r="I4938" s="191" t="n">
        <v>4281613.0336599</v>
      </c>
      <c r="J4938" s="192" t="str">
        <f>IF(I4938&gt;0,H4938/I4938,0)</f>
      </c>
      <c r="K4938" s="193" t="str">
        <f>1-EXP(-J4938)</f>
      </c>
      <c r="L4938" s="194" t="str">
        <f>IF(G4938=30,1,M4937)</f>
      </c>
      <c r="M4938" s="195" t="str">
        <f>L4938*(1-K4938)</f>
      </c>
    </row>
    <row r="4939">
      <c r="A4939" t="s">
        <v>167</v>
      </c>
      <c r="B4939" t="s">
        <v>272</v>
      </c>
      <c r="C4939" s="35" t="s">
        <v>274</v>
      </c>
      <c r="D4939" t="s">
        <v>502</v>
      </c>
      <c r="E4939" t="s">
        <v>520</v>
      </c>
      <c r="F4939" s="188" t="n">
        <v>2044</v>
      </c>
      <c r="G4939" s="189" t="n">
        <v>47</v>
      </c>
      <c r="H4939" s="190" t="n">
        <v>7232.51377335546</v>
      </c>
      <c r="I4939" s="191" t="n">
        <v>4405086.83852932</v>
      </c>
      <c r="J4939" s="192" t="str">
        <f>IF(I4939&gt;0,H4939/I4939,0)</f>
      </c>
      <c r="K4939" s="193" t="str">
        <f>1-EXP(-J4939)</f>
      </c>
      <c r="L4939" s="194" t="str">
        <f>IF(G4939=30,1,M4938)</f>
      </c>
      <c r="M4939" s="195" t="str">
        <f>L4939*(1-K4939)</f>
      </c>
    </row>
    <row r="4940">
      <c r="A4940" t="s">
        <v>167</v>
      </c>
      <c r="B4940" t="s">
        <v>272</v>
      </c>
      <c r="C4940" s="35" t="s">
        <v>274</v>
      </c>
      <c r="D4940" t="s">
        <v>502</v>
      </c>
      <c r="E4940" t="s">
        <v>520</v>
      </c>
      <c r="F4940" s="188" t="n">
        <v>2044</v>
      </c>
      <c r="G4940" s="189" t="n">
        <v>48</v>
      </c>
      <c r="H4940" s="190" t="n">
        <v>7832.5155283377</v>
      </c>
      <c r="I4940" s="191" t="n">
        <v>4352482.3227858</v>
      </c>
      <c r="J4940" s="192" t="str">
        <f>IF(I4940&gt;0,H4940/I4940,0)</f>
      </c>
      <c r="K4940" s="193" t="str">
        <f>1-EXP(-J4940)</f>
      </c>
      <c r="L4940" s="194" t="str">
        <f>IF(G4940=30,1,M4939)</f>
      </c>
      <c r="M4940" s="195" t="str">
        <f>L4940*(1-K4940)</f>
      </c>
    </row>
    <row r="4941">
      <c r="A4941" t="s">
        <v>167</v>
      </c>
      <c r="B4941" t="s">
        <v>272</v>
      </c>
      <c r="C4941" s="35" t="s">
        <v>274</v>
      </c>
      <c r="D4941" t="s">
        <v>502</v>
      </c>
      <c r="E4941" t="s">
        <v>520</v>
      </c>
      <c r="F4941" s="188" t="n">
        <v>2044</v>
      </c>
      <c r="G4941" s="189" t="n">
        <v>49</v>
      </c>
      <c r="H4941" s="190" t="n">
        <v>8427.65623836172</v>
      </c>
      <c r="I4941" s="191" t="n">
        <v>4269714.40660383</v>
      </c>
      <c r="J4941" s="192" t="str">
        <f>IF(I4941&gt;0,H4941/I4941,0)</f>
      </c>
      <c r="K4941" s="193" t="str">
        <f>1-EXP(-J4941)</f>
      </c>
      <c r="L4941" s="194" t="str">
        <f>IF(G4941=30,1,M4940)</f>
      </c>
      <c r="M4941" s="195" t="str">
        <f>L4941*(1-K4941)</f>
      </c>
    </row>
    <row r="4942">
      <c r="A4942" t="s">
        <v>167</v>
      </c>
      <c r="B4942" t="s">
        <v>272</v>
      </c>
      <c r="C4942" s="35" t="s">
        <v>274</v>
      </c>
      <c r="D4942" t="s">
        <v>502</v>
      </c>
      <c r="E4942" t="s">
        <v>520</v>
      </c>
      <c r="F4942" s="188" t="n">
        <v>2044</v>
      </c>
      <c r="G4942" s="189" t="n">
        <v>50</v>
      </c>
      <c r="H4942" s="190" t="n">
        <v>9491.15483426057</v>
      </c>
      <c r="I4942" s="191" t="n">
        <v>4201120.60336846</v>
      </c>
      <c r="J4942" s="192" t="str">
        <f>IF(I4942&gt;0,H4942/I4942,0)</f>
      </c>
      <c r="K4942" s="193" t="str">
        <f>1-EXP(-J4942)</f>
      </c>
      <c r="L4942" s="194" t="str">
        <f>IF(G4942=30,1,M4941)</f>
      </c>
      <c r="M4942" s="195" t="str">
        <f>L4942*(1-K4942)</f>
      </c>
    </row>
    <row r="4943">
      <c r="A4943" t="s">
        <v>167</v>
      </c>
      <c r="B4943" t="s">
        <v>272</v>
      </c>
      <c r="C4943" s="35" t="s">
        <v>274</v>
      </c>
      <c r="D4943" t="s">
        <v>502</v>
      </c>
      <c r="E4943" t="s">
        <v>520</v>
      </c>
      <c r="F4943" s="188" t="n">
        <v>2044</v>
      </c>
      <c r="G4943" s="189" t="n">
        <v>51</v>
      </c>
      <c r="H4943" s="190" t="n">
        <v>10214.0373035663</v>
      </c>
      <c r="I4943" s="191" t="n">
        <v>4134213.71416013</v>
      </c>
      <c r="J4943" s="192" t="str">
        <f>IF(I4943&gt;0,H4943/I4943,0)</f>
      </c>
      <c r="K4943" s="193" t="str">
        <f>1-EXP(-J4943)</f>
      </c>
      <c r="L4943" s="194" t="str">
        <f>IF(G4943=30,1,M4942)</f>
      </c>
      <c r="M4943" s="195" t="str">
        <f>L4943*(1-K4943)</f>
      </c>
    </row>
    <row r="4944">
      <c r="A4944" t="s">
        <v>167</v>
      </c>
      <c r="B4944" t="s">
        <v>272</v>
      </c>
      <c r="C4944" s="35" t="s">
        <v>274</v>
      </c>
      <c r="D4944" t="s">
        <v>502</v>
      </c>
      <c r="E4944" t="s">
        <v>520</v>
      </c>
      <c r="F4944" s="188" t="n">
        <v>2044</v>
      </c>
      <c r="G4944" s="189" t="n">
        <v>52</v>
      </c>
      <c r="H4944" s="190" t="n">
        <v>11205.7129194074</v>
      </c>
      <c r="I4944" s="191" t="n">
        <v>4154019.20669333</v>
      </c>
      <c r="J4944" s="192" t="str">
        <f>IF(I4944&gt;0,H4944/I4944,0)</f>
      </c>
      <c r="K4944" s="193" t="str">
        <f>1-EXP(-J4944)</f>
      </c>
      <c r="L4944" s="194" t="str">
        <f>IF(G4944=30,1,M4943)</f>
      </c>
      <c r="M4944" s="195" t="str">
        <f>L4944*(1-K4944)</f>
      </c>
    </row>
    <row r="4945">
      <c r="A4945" t="s">
        <v>167</v>
      </c>
      <c r="B4945" t="s">
        <v>272</v>
      </c>
      <c r="C4945" s="35" t="s">
        <v>274</v>
      </c>
      <c r="D4945" t="s">
        <v>502</v>
      </c>
      <c r="E4945" t="s">
        <v>520</v>
      </c>
      <c r="F4945" s="188" t="n">
        <v>2044</v>
      </c>
      <c r="G4945" s="189" t="n">
        <v>53</v>
      </c>
      <c r="H4945" s="190" t="n">
        <v>12227.5766510845</v>
      </c>
      <c r="I4945" s="191" t="n">
        <v>4153021.78129925</v>
      </c>
      <c r="J4945" s="192" t="str">
        <f>IF(I4945&gt;0,H4945/I4945,0)</f>
      </c>
      <c r="K4945" s="193" t="str">
        <f>1-EXP(-J4945)</f>
      </c>
      <c r="L4945" s="194" t="str">
        <f>IF(G4945=30,1,M4944)</f>
      </c>
      <c r="M4945" s="195" t="str">
        <f>L4945*(1-K4945)</f>
      </c>
    </row>
    <row r="4946">
      <c r="A4946" t="s">
        <v>167</v>
      </c>
      <c r="B4946" t="s">
        <v>272</v>
      </c>
      <c r="C4946" s="35" t="s">
        <v>274</v>
      </c>
      <c r="D4946" t="s">
        <v>502</v>
      </c>
      <c r="E4946" t="s">
        <v>520</v>
      </c>
      <c r="F4946" s="188" t="n">
        <v>2044</v>
      </c>
      <c r="G4946" s="189" t="n">
        <v>54</v>
      </c>
      <c r="H4946" s="190" t="n">
        <v>17711.0820236833</v>
      </c>
      <c r="I4946" s="191" t="n">
        <v>6106588.37126627</v>
      </c>
      <c r="J4946" s="192" t="str">
        <f>IF(I4946&gt;0,H4946/I4946,0)</f>
      </c>
      <c r="K4946" s="193" t="str">
        <f>1-EXP(-J4946)</f>
      </c>
      <c r="L4946" s="194" t="str">
        <f>IF(G4946=30,1,M4945)</f>
      </c>
      <c r="M4946" s="195" t="str">
        <f>L4946*(1-K4946)</f>
      </c>
    </row>
    <row r="4947">
      <c r="A4947" t="s">
        <v>167</v>
      </c>
      <c r="B4947" t="s">
        <v>272</v>
      </c>
      <c r="C4947" s="35" t="s">
        <v>274</v>
      </c>
      <c r="D4947" t="s">
        <v>502</v>
      </c>
      <c r="E4947" t="s">
        <v>520</v>
      </c>
      <c r="F4947" s="188" t="n">
        <v>2044</v>
      </c>
      <c r="G4947" s="189" t="n">
        <v>55</v>
      </c>
      <c r="H4947" s="190" t="n">
        <v>14039.3419004761</v>
      </c>
      <c r="I4947" s="191" t="n">
        <v>4072458.80516749</v>
      </c>
      <c r="J4947" s="192" t="str">
        <f>IF(I4947&gt;0,H4947/I4947,0)</f>
      </c>
      <c r="K4947" s="193" t="str">
        <f>1-EXP(-J4947)</f>
      </c>
      <c r="L4947" s="194" t="str">
        <f>IF(G4947=30,1,M4946)</f>
      </c>
      <c r="M4947" s="195" t="str">
        <f>L4947*(1-K4947)</f>
      </c>
    </row>
    <row r="4948">
      <c r="A4948" t="s">
        <v>167</v>
      </c>
      <c r="B4948" t="s">
        <v>272</v>
      </c>
      <c r="C4948" s="35" t="s">
        <v>274</v>
      </c>
      <c r="D4948" t="s">
        <v>502</v>
      </c>
      <c r="E4948" t="s">
        <v>520</v>
      </c>
      <c r="F4948" s="188" t="n">
        <v>2044</v>
      </c>
      <c r="G4948" s="189" t="n">
        <v>56</v>
      </c>
      <c r="H4948" s="190" t="n">
        <v>15117.9328289057</v>
      </c>
      <c r="I4948" s="191" t="n">
        <v>4033222.80089818</v>
      </c>
      <c r="J4948" s="192" t="str">
        <f>IF(I4948&gt;0,H4948/I4948,0)</f>
      </c>
      <c r="K4948" s="193" t="str">
        <f>1-EXP(-J4948)</f>
      </c>
      <c r="L4948" s="194" t="str">
        <f>IF(G4948=30,1,M4947)</f>
      </c>
      <c r="M4948" s="195" t="str">
        <f>L4948*(1-K4948)</f>
      </c>
    </row>
    <row r="4949">
      <c r="A4949" t="s">
        <v>167</v>
      </c>
      <c r="B4949" t="s">
        <v>272</v>
      </c>
      <c r="C4949" s="35" t="s">
        <v>274</v>
      </c>
      <c r="D4949" t="s">
        <v>502</v>
      </c>
      <c r="E4949" t="s">
        <v>520</v>
      </c>
      <c r="F4949" s="188" t="n">
        <v>2044</v>
      </c>
      <c r="G4949" s="189" t="n">
        <v>57</v>
      </c>
      <c r="H4949" s="190" t="n">
        <v>15893.2584548932</v>
      </c>
      <c r="I4949" s="191" t="n">
        <v>3884916.80756749</v>
      </c>
      <c r="J4949" s="192" t="str">
        <f>IF(I4949&gt;0,H4949/I4949,0)</f>
      </c>
      <c r="K4949" s="193" t="str">
        <f>1-EXP(-J4949)</f>
      </c>
      <c r="L4949" s="194" t="str">
        <f>IF(G4949=30,1,M4948)</f>
      </c>
      <c r="M4949" s="195" t="str">
        <f>L4949*(1-K4949)</f>
      </c>
    </row>
    <row r="4950">
      <c r="A4950" t="s">
        <v>167</v>
      </c>
      <c r="B4950" t="s">
        <v>272</v>
      </c>
      <c r="C4950" s="35" t="s">
        <v>274</v>
      </c>
      <c r="D4950" t="s">
        <v>502</v>
      </c>
      <c r="E4950" t="s">
        <v>520</v>
      </c>
      <c r="F4950" s="188" t="n">
        <v>2044</v>
      </c>
      <c r="G4950" s="189" t="n">
        <v>58</v>
      </c>
      <c r="H4950" s="190" t="n">
        <v>17102.3125062859</v>
      </c>
      <c r="I4950" s="191" t="n">
        <v>3826187.22023408</v>
      </c>
      <c r="J4950" s="192" t="str">
        <f>IF(I4950&gt;0,H4950/I4950,0)</f>
      </c>
      <c r="K4950" s="193" t="str">
        <f>1-EXP(-J4950)</f>
      </c>
      <c r="L4950" s="194" t="str">
        <f>IF(G4950=30,1,M4949)</f>
      </c>
      <c r="M4950" s="195" t="str">
        <f>L4950*(1-K4950)</f>
      </c>
    </row>
    <row r="4951">
      <c r="A4951" t="s">
        <v>167</v>
      </c>
      <c r="B4951" t="s">
        <v>272</v>
      </c>
      <c r="C4951" s="35" t="s">
        <v>274</v>
      </c>
      <c r="D4951" t="s">
        <v>502</v>
      </c>
      <c r="E4951" t="s">
        <v>520</v>
      </c>
      <c r="F4951" s="188" t="n">
        <v>2044</v>
      </c>
      <c r="G4951" s="189" t="n">
        <v>59</v>
      </c>
      <c r="H4951" s="190" t="n">
        <v>18841.7871909956</v>
      </c>
      <c r="I4951" s="191" t="n">
        <v>3851113.12116372</v>
      </c>
      <c r="J4951" s="192" t="str">
        <f>IF(I4951&gt;0,H4951/I4951,0)</f>
      </c>
      <c r="K4951" s="193" t="str">
        <f>1-EXP(-J4951)</f>
      </c>
      <c r="L4951" s="194" t="str">
        <f>IF(G4951=30,1,M4950)</f>
      </c>
      <c r="M4951" s="195" t="str">
        <f>L4951*(1-K4951)</f>
      </c>
    </row>
    <row r="4952">
      <c r="A4952" t="s">
        <v>167</v>
      </c>
      <c r="B4952" t="s">
        <v>272</v>
      </c>
      <c r="C4952" s="35" t="s">
        <v>274</v>
      </c>
      <c r="D4952" t="s">
        <v>502</v>
      </c>
      <c r="E4952" t="s">
        <v>520</v>
      </c>
      <c r="F4952" s="188" t="n">
        <v>2044</v>
      </c>
      <c r="G4952" s="189" t="n">
        <v>60</v>
      </c>
      <c r="H4952" s="190" t="n">
        <v>20667.1171772389</v>
      </c>
      <c r="I4952" s="191" t="n">
        <v>3895358.80131049</v>
      </c>
      <c r="J4952" s="192" t="str">
        <f>IF(I4952&gt;0,H4952/I4952,0)</f>
      </c>
      <c r="K4952" s="193" t="str">
        <f>1-EXP(-J4952)</f>
      </c>
      <c r="L4952" s="194" t="str">
        <f>IF(G4952=30,1,M4951)</f>
      </c>
      <c r="M4952" s="195" t="str">
        <f>L4952*(1-K4952)</f>
      </c>
    </row>
    <row r="4953">
      <c r="A4953" t="s">
        <v>167</v>
      </c>
      <c r="B4953" t="s">
        <v>272</v>
      </c>
      <c r="C4953" s="35" t="s">
        <v>274</v>
      </c>
      <c r="D4953" t="s">
        <v>502</v>
      </c>
      <c r="E4953" t="s">
        <v>520</v>
      </c>
      <c r="F4953" s="188" t="n">
        <v>2044</v>
      </c>
      <c r="G4953" s="189" t="n">
        <v>61</v>
      </c>
      <c r="H4953" s="190" t="n">
        <v>22339.6863291002</v>
      </c>
      <c r="I4953" s="191" t="n">
        <v>3837428.90115007</v>
      </c>
      <c r="J4953" s="192" t="str">
        <f>IF(I4953&gt;0,H4953/I4953,0)</f>
      </c>
      <c r="K4953" s="193" t="str">
        <f>1-EXP(-J4953)</f>
      </c>
      <c r="L4953" s="194" t="str">
        <f>IF(G4953=30,1,M4952)</f>
      </c>
      <c r="M4953" s="195" t="str">
        <f>L4953*(1-K4953)</f>
      </c>
    </row>
    <row r="4954">
      <c r="A4954" t="s">
        <v>167</v>
      </c>
      <c r="B4954" t="s">
        <v>272</v>
      </c>
      <c r="C4954" s="35" t="s">
        <v>274</v>
      </c>
      <c r="D4954" t="s">
        <v>502</v>
      </c>
      <c r="E4954" t="s">
        <v>520</v>
      </c>
      <c r="F4954" s="188" t="n">
        <v>2044</v>
      </c>
      <c r="G4954" s="189" t="n">
        <v>62</v>
      </c>
      <c r="H4954" s="190" t="n">
        <v>23510.3778399418</v>
      </c>
      <c r="I4954" s="191" t="n">
        <v>3676661.61892029</v>
      </c>
      <c r="J4954" s="192" t="str">
        <f>IF(I4954&gt;0,H4954/I4954,0)</f>
      </c>
      <c r="K4954" s="193" t="str">
        <f>1-EXP(-J4954)</f>
      </c>
      <c r="L4954" s="194" t="str">
        <f>IF(G4954=30,1,M4953)</f>
      </c>
      <c r="M4954" s="195" t="str">
        <f>L4954*(1-K4954)</f>
      </c>
    </row>
    <row r="4955">
      <c r="A4955" t="s">
        <v>167</v>
      </c>
      <c r="B4955" t="s">
        <v>272</v>
      </c>
      <c r="C4955" s="35" t="s">
        <v>274</v>
      </c>
      <c r="D4955" t="s">
        <v>502</v>
      </c>
      <c r="E4955" t="s">
        <v>520</v>
      </c>
      <c r="F4955" s="188" t="n">
        <v>2044</v>
      </c>
      <c r="G4955" s="189" t="n">
        <v>63</v>
      </c>
      <c r="H4955" s="190" t="n">
        <v>25055.2951832571</v>
      </c>
      <c r="I4955" s="191" t="n">
        <v>3570302.84805341</v>
      </c>
      <c r="J4955" s="192" t="str">
        <f>IF(I4955&gt;0,H4955/I4955,0)</f>
      </c>
      <c r="K4955" s="193" t="str">
        <f>1-EXP(-J4955)</f>
      </c>
      <c r="L4955" s="194" t="str">
        <f>IF(G4955=30,1,M4954)</f>
      </c>
      <c r="M4955" s="195" t="str">
        <f>L4955*(1-K4955)</f>
      </c>
    </row>
    <row r="4956">
      <c r="A4956" t="s">
        <v>167</v>
      </c>
      <c r="B4956" t="s">
        <v>272</v>
      </c>
      <c r="C4956" s="35" t="s">
        <v>274</v>
      </c>
      <c r="D4956" t="s">
        <v>502</v>
      </c>
      <c r="E4956" t="s">
        <v>520</v>
      </c>
      <c r="F4956" s="188" t="n">
        <v>2044</v>
      </c>
      <c r="G4956" s="189" t="n">
        <v>64</v>
      </c>
      <c r="H4956" s="190" t="n">
        <v>26764.0480065104</v>
      </c>
      <c r="I4956" s="191" t="n">
        <v>3475727.48245857</v>
      </c>
      <c r="J4956" s="192" t="str">
        <f>IF(I4956&gt;0,H4956/I4956,0)</f>
      </c>
      <c r="K4956" s="193" t="str">
        <f>1-EXP(-J4956)</f>
      </c>
      <c r="L4956" s="194" t="str">
        <f>IF(G4956=30,1,M4955)</f>
      </c>
      <c r="M4956" s="195" t="str">
        <f>L4956*(1-K4956)</f>
      </c>
    </row>
    <row r="4957">
      <c r="A4957" t="s">
        <v>167</v>
      </c>
      <c r="B4957" t="s">
        <v>272</v>
      </c>
      <c r="C4957" s="35" t="s">
        <v>274</v>
      </c>
      <c r="D4957" t="s">
        <v>502</v>
      </c>
      <c r="E4957" t="s">
        <v>520</v>
      </c>
      <c r="F4957" s="188" t="n">
        <v>2044</v>
      </c>
      <c r="G4957" s="189" t="n">
        <v>65</v>
      </c>
      <c r="H4957" s="190" t="n">
        <v>27209.2389068785</v>
      </c>
      <c r="I4957" s="191" t="n">
        <v>3374114.11612847</v>
      </c>
      <c r="J4957" s="192" t="str">
        <f>IF(I4957&gt;0,H4957/I4957,0)</f>
      </c>
      <c r="K4957" s="193" t="str">
        <f>1-EXP(-J4957)</f>
      </c>
      <c r="L4957" s="194" t="str">
        <f>IF(G4957=30,1,M4956)</f>
      </c>
      <c r="M4957" s="195" t="str">
        <f>L4957*(1-K4957)</f>
      </c>
    </row>
    <row r="4958">
      <c r="A4958" t="s">
        <v>167</v>
      </c>
      <c r="B4958" t="s">
        <v>272</v>
      </c>
      <c r="C4958" s="35" t="s">
        <v>274</v>
      </c>
      <c r="D4958" t="s">
        <v>502</v>
      </c>
      <c r="E4958" t="s">
        <v>520</v>
      </c>
      <c r="F4958" s="188" t="n">
        <v>2044</v>
      </c>
      <c r="G4958" s="189" t="n">
        <v>66</v>
      </c>
      <c r="H4958" s="190" t="n">
        <v>28791.8085560055</v>
      </c>
      <c r="I4958" s="191" t="n">
        <v>3254433.16077439</v>
      </c>
      <c r="J4958" s="192" t="str">
        <f>IF(I4958&gt;0,H4958/I4958,0)</f>
      </c>
      <c r="K4958" s="193" t="str">
        <f>1-EXP(-J4958)</f>
      </c>
      <c r="L4958" s="194" t="str">
        <f>IF(G4958=30,1,M4957)</f>
      </c>
      <c r="M4958" s="195" t="str">
        <f>L4958*(1-K4958)</f>
      </c>
    </row>
    <row r="4959">
      <c r="A4959" t="s">
        <v>167</v>
      </c>
      <c r="B4959" t="s">
        <v>272</v>
      </c>
      <c r="C4959" s="35" t="s">
        <v>274</v>
      </c>
      <c r="D4959" t="s">
        <v>502</v>
      </c>
      <c r="E4959" t="s">
        <v>520</v>
      </c>
      <c r="F4959" s="188" t="n">
        <v>2044</v>
      </c>
      <c r="G4959" s="189" t="n">
        <v>67</v>
      </c>
      <c r="H4959" s="190" t="n">
        <v>30598.6848385861</v>
      </c>
      <c r="I4959" s="191" t="n">
        <v>3145804.04396089</v>
      </c>
      <c r="J4959" s="192" t="str">
        <f>IF(I4959&gt;0,H4959/I4959,0)</f>
      </c>
      <c r="K4959" s="193" t="str">
        <f>1-EXP(-J4959)</f>
      </c>
      <c r="L4959" s="194" t="str">
        <f>IF(G4959=30,1,M4958)</f>
      </c>
      <c r="M4959" s="195" t="str">
        <f>L4959*(1-K4959)</f>
      </c>
    </row>
    <row r="4960">
      <c r="A4960" t="s">
        <v>167</v>
      </c>
      <c r="B4960" t="s">
        <v>272</v>
      </c>
      <c r="C4960" s="35" t="s">
        <v>274</v>
      </c>
      <c r="D4960" t="s">
        <v>502</v>
      </c>
      <c r="E4960" t="s">
        <v>520</v>
      </c>
      <c r="F4960" s="188" t="n">
        <v>2044</v>
      </c>
      <c r="G4960" s="189" t="n">
        <v>68</v>
      </c>
      <c r="H4960" s="190" t="n">
        <v>32345.7831327957</v>
      </c>
      <c r="I4960" s="191" t="n">
        <v>3025880.34776487</v>
      </c>
      <c r="J4960" s="192" t="str">
        <f>IF(I4960&gt;0,H4960/I4960,0)</f>
      </c>
      <c r="K4960" s="193" t="str">
        <f>1-EXP(-J4960)</f>
      </c>
      <c r="L4960" s="194" t="str">
        <f>IF(G4960=30,1,M4959)</f>
      </c>
      <c r="M4960" s="195" t="str">
        <f>L4960*(1-K4960)</f>
      </c>
    </row>
    <row r="4961">
      <c r="A4961" t="s">
        <v>167</v>
      </c>
      <c r="B4961" t="s">
        <v>272</v>
      </c>
      <c r="C4961" s="35" t="s">
        <v>274</v>
      </c>
      <c r="D4961" t="s">
        <v>502</v>
      </c>
      <c r="E4961" t="s">
        <v>520</v>
      </c>
      <c r="F4961" s="188" t="n">
        <v>2044</v>
      </c>
      <c r="G4961" s="189" t="n">
        <v>69</v>
      </c>
      <c r="H4961" s="190" t="n">
        <v>34139.272728169</v>
      </c>
      <c r="I4961" s="191" t="n">
        <v>2903373.31264264</v>
      </c>
      <c r="J4961" s="192" t="str">
        <f>IF(I4961&gt;0,H4961/I4961,0)</f>
      </c>
      <c r="K4961" s="193" t="str">
        <f>1-EXP(-J4961)</f>
      </c>
      <c r="L4961" s="194" t="str">
        <f>IF(G4961=30,1,M4960)</f>
      </c>
      <c r="M4961" s="195" t="str">
        <f>L4961*(1-K4961)</f>
      </c>
    </row>
    <row r="4962">
      <c r="A4962" t="s">
        <v>167</v>
      </c>
      <c r="B4962" t="s">
        <v>272</v>
      </c>
      <c r="C4962" s="35" t="s">
        <v>274</v>
      </c>
      <c r="D4962" t="s">
        <v>502</v>
      </c>
      <c r="E4962" t="s">
        <v>520</v>
      </c>
      <c r="F4962" s="188" t="n">
        <v>2045</v>
      </c>
      <c r="G4962" s="189" t="n">
        <v>30</v>
      </c>
      <c r="H4962" s="190" t="n">
        <v>723.883428026686</v>
      </c>
      <c r="I4962" s="191" t="n">
        <v>4642379.65784468</v>
      </c>
      <c r="J4962" s="192" t="str">
        <f>IF(I4962&gt;0,H4962/I4962,0)</f>
      </c>
      <c r="K4962" s="193" t="str">
        <f>1-EXP(-J4962)</f>
      </c>
      <c r="L4962" s="194" t="str">
        <f>IF(G4962=30,1,M4961)</f>
      </c>
      <c r="M4962" s="195" t="str">
        <f>L4962*(1-K4962)</f>
      </c>
    </row>
    <row r="4963">
      <c r="A4963" t="s">
        <v>167</v>
      </c>
      <c r="B4963" t="s">
        <v>272</v>
      </c>
      <c r="C4963" s="35" t="s">
        <v>274</v>
      </c>
      <c r="D4963" t="s">
        <v>502</v>
      </c>
      <c r="E4963" t="s">
        <v>520</v>
      </c>
      <c r="F4963" s="188" t="n">
        <v>2045</v>
      </c>
      <c r="G4963" s="189" t="n">
        <v>31</v>
      </c>
      <c r="H4963" s="190" t="n">
        <v>970.644826788028</v>
      </c>
      <c r="I4963" s="191" t="n">
        <v>4708908.88866393</v>
      </c>
      <c r="J4963" s="192" t="str">
        <f>IF(I4963&gt;0,H4963/I4963,0)</f>
      </c>
      <c r="K4963" s="193" t="str">
        <f>1-EXP(-J4963)</f>
      </c>
      <c r="L4963" s="194" t="str">
        <f>IF(G4963=30,1,M4962)</f>
      </c>
      <c r="M4963" s="195" t="str">
        <f>L4963*(1-K4963)</f>
      </c>
    </row>
    <row r="4964">
      <c r="A4964" t="s">
        <v>167</v>
      </c>
      <c r="B4964" t="s">
        <v>272</v>
      </c>
      <c r="C4964" s="35" t="s">
        <v>274</v>
      </c>
      <c r="D4964" t="s">
        <v>502</v>
      </c>
      <c r="E4964" t="s">
        <v>520</v>
      </c>
      <c r="F4964" s="188" t="n">
        <v>2045</v>
      </c>
      <c r="G4964" s="189" t="n">
        <v>32</v>
      </c>
      <c r="H4964" s="190" t="n">
        <v>1038.08598441477</v>
      </c>
      <c r="I4964" s="191" t="n">
        <v>4777092.79249094</v>
      </c>
      <c r="J4964" s="192" t="str">
        <f>IF(I4964&gt;0,H4964/I4964,0)</f>
      </c>
      <c r="K4964" s="193" t="str">
        <f>1-EXP(-J4964)</f>
      </c>
      <c r="L4964" s="194" t="str">
        <f>IF(G4964=30,1,M4963)</f>
      </c>
      <c r="M4964" s="195" t="str">
        <f>L4964*(1-K4964)</f>
      </c>
    </row>
    <row r="4965">
      <c r="A4965" t="s">
        <v>167</v>
      </c>
      <c r="B4965" t="s">
        <v>272</v>
      </c>
      <c r="C4965" s="35" t="s">
        <v>274</v>
      </c>
      <c r="D4965" t="s">
        <v>502</v>
      </c>
      <c r="E4965" t="s">
        <v>520</v>
      </c>
      <c r="F4965" s="188" t="n">
        <v>2045</v>
      </c>
      <c r="G4965" s="189" t="n">
        <v>33</v>
      </c>
      <c r="H4965" s="190" t="n">
        <v>1168.80709413054</v>
      </c>
      <c r="I4965" s="191" t="n">
        <v>4889628.98424204</v>
      </c>
      <c r="J4965" s="192" t="str">
        <f>IF(I4965&gt;0,H4965/I4965,0)</f>
      </c>
      <c r="K4965" s="193" t="str">
        <f>1-EXP(-J4965)</f>
      </c>
      <c r="L4965" s="194" t="str">
        <f>IF(G4965=30,1,M4964)</f>
      </c>
      <c r="M4965" s="195" t="str">
        <f>L4965*(1-K4965)</f>
      </c>
    </row>
    <row r="4966">
      <c r="A4966" t="s">
        <v>167</v>
      </c>
      <c r="B4966" t="s">
        <v>272</v>
      </c>
      <c r="C4966" s="35" t="s">
        <v>274</v>
      </c>
      <c r="D4966" t="s">
        <v>502</v>
      </c>
      <c r="E4966" t="s">
        <v>520</v>
      </c>
      <c r="F4966" s="188" t="n">
        <v>2045</v>
      </c>
      <c r="G4966" s="189" t="n">
        <v>34</v>
      </c>
      <c r="H4966" s="190" t="n">
        <v>1237.43647525785</v>
      </c>
      <c r="I4966" s="191" t="n">
        <v>4861191.86813471</v>
      </c>
      <c r="J4966" s="192" t="str">
        <f>IF(I4966&gt;0,H4966/I4966,0)</f>
      </c>
      <c r="K4966" s="193" t="str">
        <f>1-EXP(-J4966)</f>
      </c>
      <c r="L4966" s="194" t="str">
        <f>IF(G4966=30,1,M4965)</f>
      </c>
      <c r="M4966" s="195" t="str">
        <f>L4966*(1-K4966)</f>
      </c>
    </row>
    <row r="4967">
      <c r="A4967" t="s">
        <v>167</v>
      </c>
      <c r="B4967" t="s">
        <v>272</v>
      </c>
      <c r="C4967" s="35" t="s">
        <v>274</v>
      </c>
      <c r="D4967" t="s">
        <v>502</v>
      </c>
      <c r="E4967" t="s">
        <v>520</v>
      </c>
      <c r="F4967" s="188" t="n">
        <v>2045</v>
      </c>
      <c r="G4967" s="189" t="n">
        <v>35</v>
      </c>
      <c r="H4967" s="190" t="n">
        <v>1577.64605031115</v>
      </c>
      <c r="I4967" s="191" t="n">
        <v>4727155.35314638</v>
      </c>
      <c r="J4967" s="192" t="str">
        <f>IF(I4967&gt;0,H4967/I4967,0)</f>
      </c>
      <c r="K4967" s="193" t="str">
        <f>1-EXP(-J4967)</f>
      </c>
      <c r="L4967" s="194" t="str">
        <f>IF(G4967=30,1,M4966)</f>
      </c>
      <c r="M4967" s="195" t="str">
        <f>L4967*(1-K4967)</f>
      </c>
    </row>
    <row r="4968">
      <c r="A4968" t="s">
        <v>167</v>
      </c>
      <c r="B4968" t="s">
        <v>272</v>
      </c>
      <c r="C4968" s="35" t="s">
        <v>274</v>
      </c>
      <c r="D4968" t="s">
        <v>502</v>
      </c>
      <c r="E4968" t="s">
        <v>520</v>
      </c>
      <c r="F4968" s="188" t="n">
        <v>2045</v>
      </c>
      <c r="G4968" s="189" t="n">
        <v>36</v>
      </c>
      <c r="H4968" s="190" t="n">
        <v>1822.46631396883</v>
      </c>
      <c r="I4968" s="191" t="n">
        <v>4655348.53776786</v>
      </c>
      <c r="J4968" s="192" t="str">
        <f>IF(I4968&gt;0,H4968/I4968,0)</f>
      </c>
      <c r="K4968" s="193" t="str">
        <f>1-EXP(-J4968)</f>
      </c>
      <c r="L4968" s="194" t="str">
        <f>IF(G4968=30,1,M4967)</f>
      </c>
      <c r="M4968" s="195" t="str">
        <f>L4968*(1-K4968)</f>
      </c>
    </row>
    <row r="4969">
      <c r="A4969" t="s">
        <v>167</v>
      </c>
      <c r="B4969" t="s">
        <v>272</v>
      </c>
      <c r="C4969" s="35" t="s">
        <v>274</v>
      </c>
      <c r="D4969" t="s">
        <v>502</v>
      </c>
      <c r="E4969" t="s">
        <v>520</v>
      </c>
      <c r="F4969" s="188" t="n">
        <v>2045</v>
      </c>
      <c r="G4969" s="189" t="n">
        <v>37</v>
      </c>
      <c r="H4969" s="190" t="n">
        <v>1941.53614908656</v>
      </c>
      <c r="I4969" s="191" t="n">
        <v>4611483.40744906</v>
      </c>
      <c r="J4969" s="192" t="str">
        <f>IF(I4969&gt;0,H4969/I4969,0)</f>
      </c>
      <c r="K4969" s="193" t="str">
        <f>1-EXP(-J4969)</f>
      </c>
      <c r="L4969" s="194" t="str">
        <f>IF(G4969=30,1,M4968)</f>
      </c>
      <c r="M4969" s="195" t="str">
        <f>L4969*(1-K4969)</f>
      </c>
    </row>
    <row r="4970">
      <c r="A4970" t="s">
        <v>167</v>
      </c>
      <c r="B4970" t="s">
        <v>272</v>
      </c>
      <c r="C4970" s="35" t="s">
        <v>274</v>
      </c>
      <c r="D4970" t="s">
        <v>502</v>
      </c>
      <c r="E4970" t="s">
        <v>520</v>
      </c>
      <c r="F4970" s="188" t="n">
        <v>2045</v>
      </c>
      <c r="G4970" s="189" t="n">
        <v>38</v>
      </c>
      <c r="H4970" s="190" t="n">
        <v>2164.95106591271</v>
      </c>
      <c r="I4970" s="191" t="n">
        <v>4635188.02169554</v>
      </c>
      <c r="J4970" s="192" t="str">
        <f>IF(I4970&gt;0,H4970/I4970,0)</f>
      </c>
      <c r="K4970" s="193" t="str">
        <f>1-EXP(-J4970)</f>
      </c>
      <c r="L4970" s="194" t="str">
        <f>IF(G4970=30,1,M4969)</f>
      </c>
      <c r="M4970" s="195" t="str">
        <f>L4970*(1-K4970)</f>
      </c>
    </row>
    <row r="4971">
      <c r="A4971" t="s">
        <v>167</v>
      </c>
      <c r="B4971" t="s">
        <v>272</v>
      </c>
      <c r="C4971" s="35" t="s">
        <v>274</v>
      </c>
      <c r="D4971" t="s">
        <v>502</v>
      </c>
      <c r="E4971" t="s">
        <v>520</v>
      </c>
      <c r="F4971" s="188" t="n">
        <v>2045</v>
      </c>
      <c r="G4971" s="189" t="n">
        <v>39</v>
      </c>
      <c r="H4971" s="190" t="n">
        <v>2297.69672402625</v>
      </c>
      <c r="I4971" s="191" t="n">
        <v>4550496.9488207</v>
      </c>
      <c r="J4971" s="192" t="str">
        <f>IF(I4971&gt;0,H4971/I4971,0)</f>
      </c>
      <c r="K4971" s="193" t="str">
        <f>1-EXP(-J4971)</f>
      </c>
      <c r="L4971" s="194" t="str">
        <f>IF(G4971=30,1,M4970)</f>
      </c>
      <c r="M4971" s="195" t="str">
        <f>L4971*(1-K4971)</f>
      </c>
    </row>
    <row r="4972">
      <c r="A4972" t="s">
        <v>167</v>
      </c>
      <c r="B4972" t="s">
        <v>272</v>
      </c>
      <c r="C4972" s="35" t="s">
        <v>274</v>
      </c>
      <c r="D4972" t="s">
        <v>502</v>
      </c>
      <c r="E4972" t="s">
        <v>520</v>
      </c>
      <c r="F4972" s="188" t="n">
        <v>2045</v>
      </c>
      <c r="G4972" s="189" t="n">
        <v>40</v>
      </c>
      <c r="H4972" s="190" t="n">
        <v>3044.87557092767</v>
      </c>
      <c r="I4972" s="191" t="n">
        <v>4487182.20564576</v>
      </c>
      <c r="J4972" s="192" t="str">
        <f>IF(I4972&gt;0,H4972/I4972,0)</f>
      </c>
      <c r="K4972" s="193" t="str">
        <f>1-EXP(-J4972)</f>
      </c>
      <c r="L4972" s="194" t="str">
        <f>IF(G4972=30,1,M4971)</f>
      </c>
      <c r="M4972" s="195" t="str">
        <f>L4972*(1-K4972)</f>
      </c>
    </row>
    <row r="4973">
      <c r="A4973" t="s">
        <v>167</v>
      </c>
      <c r="B4973" t="s">
        <v>272</v>
      </c>
      <c r="C4973" s="35" t="s">
        <v>274</v>
      </c>
      <c r="D4973" t="s">
        <v>502</v>
      </c>
      <c r="E4973" t="s">
        <v>520</v>
      </c>
      <c r="F4973" s="188" t="n">
        <v>2045</v>
      </c>
      <c r="G4973" s="189" t="n">
        <v>41</v>
      </c>
      <c r="H4973" s="190" t="n">
        <v>3320.7669109537</v>
      </c>
      <c r="I4973" s="191" t="n">
        <v>4355973.14037342</v>
      </c>
      <c r="J4973" s="192" t="str">
        <f>IF(I4973&gt;0,H4973/I4973,0)</f>
      </c>
      <c r="K4973" s="193" t="str">
        <f>1-EXP(-J4973)</f>
      </c>
      <c r="L4973" s="194" t="str">
        <f>IF(G4973=30,1,M4972)</f>
      </c>
      <c r="M4973" s="195" t="str">
        <f>L4973*(1-K4973)</f>
      </c>
    </row>
    <row r="4974">
      <c r="A4974" t="s">
        <v>167</v>
      </c>
      <c r="B4974" t="s">
        <v>272</v>
      </c>
      <c r="C4974" s="35" t="s">
        <v>274</v>
      </c>
      <c r="D4974" t="s">
        <v>502</v>
      </c>
      <c r="E4974" t="s">
        <v>520</v>
      </c>
      <c r="F4974" s="188" t="n">
        <v>2045</v>
      </c>
      <c r="G4974" s="189" t="n">
        <v>42</v>
      </c>
      <c r="H4974" s="190" t="n">
        <v>3549.05589508363</v>
      </c>
      <c r="I4974" s="191" t="n">
        <v>4287245.40087407</v>
      </c>
      <c r="J4974" s="192" t="str">
        <f>IF(I4974&gt;0,H4974/I4974,0)</f>
      </c>
      <c r="K4974" s="193" t="str">
        <f>1-EXP(-J4974)</f>
      </c>
      <c r="L4974" s="194" t="str">
        <f>IF(G4974=30,1,M4973)</f>
      </c>
      <c r="M4974" s="195" t="str">
        <f>L4974*(1-K4974)</f>
      </c>
    </row>
    <row r="4975">
      <c r="A4975" t="s">
        <v>167</v>
      </c>
      <c r="B4975" t="s">
        <v>272</v>
      </c>
      <c r="C4975" s="35" t="s">
        <v>274</v>
      </c>
      <c r="D4975" t="s">
        <v>502</v>
      </c>
      <c r="E4975" t="s">
        <v>520</v>
      </c>
      <c r="F4975" s="188" t="n">
        <v>2045</v>
      </c>
      <c r="G4975" s="189" t="n">
        <v>43</v>
      </c>
      <c r="H4975" s="190" t="n">
        <v>3992.05030987154</v>
      </c>
      <c r="I4975" s="191" t="n">
        <v>4259600.7086173</v>
      </c>
      <c r="J4975" s="192" t="str">
        <f>IF(I4975&gt;0,H4975/I4975,0)</f>
      </c>
      <c r="K4975" s="193" t="str">
        <f>1-EXP(-J4975)</f>
      </c>
      <c r="L4975" s="194" t="str">
        <f>IF(G4975=30,1,M4974)</f>
      </c>
      <c r="M4975" s="195" t="str">
        <f>L4975*(1-K4975)</f>
      </c>
    </row>
    <row r="4976">
      <c r="A4976" t="s">
        <v>167</v>
      </c>
      <c r="B4976" t="s">
        <v>272</v>
      </c>
      <c r="C4976" s="35" t="s">
        <v>274</v>
      </c>
      <c r="D4976" t="s">
        <v>502</v>
      </c>
      <c r="E4976" t="s">
        <v>520</v>
      </c>
      <c r="F4976" s="188" t="n">
        <v>2045</v>
      </c>
      <c r="G4976" s="189" t="n">
        <v>44</v>
      </c>
      <c r="H4976" s="190" t="n">
        <v>4323.91994778477</v>
      </c>
      <c r="I4976" s="191" t="n">
        <v>4234267.86449052</v>
      </c>
      <c r="J4976" s="192" t="str">
        <f>IF(I4976&gt;0,H4976/I4976,0)</f>
      </c>
      <c r="K4976" s="193" t="str">
        <f>1-EXP(-J4976)</f>
      </c>
      <c r="L4976" s="194" t="str">
        <f>IF(G4976=30,1,M4975)</f>
      </c>
      <c r="M4976" s="195" t="str">
        <f>L4976*(1-K4976)</f>
      </c>
    </row>
    <row r="4977">
      <c r="A4977" t="s">
        <v>167</v>
      </c>
      <c r="B4977" t="s">
        <v>272</v>
      </c>
      <c r="C4977" s="35" t="s">
        <v>274</v>
      </c>
      <c r="D4977" t="s">
        <v>502</v>
      </c>
      <c r="E4977" t="s">
        <v>520</v>
      </c>
      <c r="F4977" s="188" t="n">
        <v>2045</v>
      </c>
      <c r="G4977" s="189" t="n">
        <v>45</v>
      </c>
      <c r="H4977" s="190" t="n">
        <v>5517.19392811059</v>
      </c>
      <c r="I4977" s="191" t="n">
        <v>4207987.49782049</v>
      </c>
      <c r="J4977" s="192" t="str">
        <f>IF(I4977&gt;0,H4977/I4977,0)</f>
      </c>
      <c r="K4977" s="193" t="str">
        <f>1-EXP(-J4977)</f>
      </c>
      <c r="L4977" s="194" t="str">
        <f>IF(G4977=30,1,M4976)</f>
      </c>
      <c r="M4977" s="195" t="str">
        <f>L4977*(1-K4977)</f>
      </c>
    </row>
    <row r="4978">
      <c r="A4978" t="s">
        <v>167</v>
      </c>
      <c r="B4978" t="s">
        <v>272</v>
      </c>
      <c r="C4978" s="35" t="s">
        <v>274</v>
      </c>
      <c r="D4978" t="s">
        <v>502</v>
      </c>
      <c r="E4978" t="s">
        <v>520</v>
      </c>
      <c r="F4978" s="188" t="n">
        <v>2045</v>
      </c>
      <c r="G4978" s="189" t="n">
        <v>46</v>
      </c>
      <c r="H4978" s="190" t="n">
        <v>6114.68904290955</v>
      </c>
      <c r="I4978" s="191" t="n">
        <v>4218794.90598824</v>
      </c>
      <c r="J4978" s="192" t="str">
        <f>IF(I4978&gt;0,H4978/I4978,0)</f>
      </c>
      <c r="K4978" s="193" t="str">
        <f>1-EXP(-J4978)</f>
      </c>
      <c r="L4978" s="194" t="str">
        <f>IF(G4978=30,1,M4977)</f>
      </c>
      <c r="M4978" s="195" t="str">
        <f>L4978*(1-K4978)</f>
      </c>
    </row>
    <row r="4979">
      <c r="A4979" t="s">
        <v>167</v>
      </c>
      <c r="B4979" t="s">
        <v>272</v>
      </c>
      <c r="C4979" s="35" t="s">
        <v>274</v>
      </c>
      <c r="D4979" t="s">
        <v>502</v>
      </c>
      <c r="E4979" t="s">
        <v>520</v>
      </c>
      <c r="F4979" s="188" t="n">
        <v>2045</v>
      </c>
      <c r="G4979" s="189" t="n">
        <v>47</v>
      </c>
      <c r="H4979" s="190" t="n">
        <v>6779.95273465624</v>
      </c>
      <c r="I4979" s="191" t="n">
        <v>4267432.25813698</v>
      </c>
      <c r="J4979" s="192" t="str">
        <f>IF(I4979&gt;0,H4979/I4979,0)</f>
      </c>
      <c r="K4979" s="193" t="str">
        <f>1-EXP(-J4979)</f>
      </c>
      <c r="L4979" s="194" t="str">
        <f>IF(G4979=30,1,M4978)</f>
      </c>
      <c r="M4979" s="195" t="str">
        <f>L4979*(1-K4979)</f>
      </c>
    </row>
    <row r="4980">
      <c r="A4980" t="s">
        <v>167</v>
      </c>
      <c r="B4980" t="s">
        <v>272</v>
      </c>
      <c r="C4980" s="35" t="s">
        <v>274</v>
      </c>
      <c r="D4980" t="s">
        <v>502</v>
      </c>
      <c r="E4980" t="s">
        <v>520</v>
      </c>
      <c r="F4980" s="188" t="n">
        <v>2045</v>
      </c>
      <c r="G4980" s="189" t="n">
        <v>48</v>
      </c>
      <c r="H4980" s="190" t="n">
        <v>7846.34791507865</v>
      </c>
      <c r="I4980" s="191" t="n">
        <v>4388905.67289526</v>
      </c>
      <c r="J4980" s="192" t="str">
        <f>IF(I4980&gt;0,H4980/I4980,0)</f>
      </c>
      <c r="K4980" s="193" t="str">
        <f>1-EXP(-J4980)</f>
      </c>
      <c r="L4980" s="194" t="str">
        <f>IF(G4980=30,1,M4979)</f>
      </c>
      <c r="M4980" s="195" t="str">
        <f>L4980*(1-K4980)</f>
      </c>
    </row>
    <row r="4981">
      <c r="A4981" t="s">
        <v>167</v>
      </c>
      <c r="B4981" t="s">
        <v>272</v>
      </c>
      <c r="C4981" s="35" t="s">
        <v>274</v>
      </c>
      <c r="D4981" t="s">
        <v>502</v>
      </c>
      <c r="E4981" t="s">
        <v>520</v>
      </c>
      <c r="F4981" s="188" t="n">
        <v>2045</v>
      </c>
      <c r="G4981" s="189" t="n">
        <v>49</v>
      </c>
      <c r="H4981" s="190" t="n">
        <v>8500.54250725868</v>
      </c>
      <c r="I4981" s="191" t="n">
        <v>4334987.72212613</v>
      </c>
      <c r="J4981" s="192" t="str">
        <f>IF(I4981&gt;0,H4981/I4981,0)</f>
      </c>
      <c r="K4981" s="193" t="str">
        <f>1-EXP(-J4981)</f>
      </c>
      <c r="L4981" s="194" t="str">
        <f>IF(G4981=30,1,M4980)</f>
      </c>
      <c r="M4981" s="195" t="str">
        <f>L4981*(1-K4981)</f>
      </c>
    </row>
    <row r="4982">
      <c r="A4982" t="s">
        <v>167</v>
      </c>
      <c r="B4982" t="s">
        <v>272</v>
      </c>
      <c r="C4982" s="35" t="s">
        <v>274</v>
      </c>
      <c r="D4982" t="s">
        <v>502</v>
      </c>
      <c r="E4982" t="s">
        <v>520</v>
      </c>
      <c r="F4982" s="188" t="n">
        <v>2045</v>
      </c>
      <c r="G4982" s="189" t="n">
        <v>50</v>
      </c>
      <c r="H4982" s="190" t="n">
        <v>9529.53464748015</v>
      </c>
      <c r="I4982" s="191" t="n">
        <v>4250916.27924782</v>
      </c>
      <c r="J4982" s="192" t="str">
        <f>IF(I4982&gt;0,H4982/I4982,0)</f>
      </c>
      <c r="K4982" s="193" t="str">
        <f>1-EXP(-J4982)</f>
      </c>
      <c r="L4982" s="194" t="str">
        <f>IF(G4982=30,1,M4981)</f>
      </c>
      <c r="M4982" s="195" t="str">
        <f>L4982*(1-K4982)</f>
      </c>
    </row>
    <row r="4983">
      <c r="A4983" t="s">
        <v>167</v>
      </c>
      <c r="B4983" t="s">
        <v>272</v>
      </c>
      <c r="C4983" s="35" t="s">
        <v>274</v>
      </c>
      <c r="D4983" t="s">
        <v>502</v>
      </c>
      <c r="E4983" t="s">
        <v>520</v>
      </c>
      <c r="F4983" s="188" t="n">
        <v>2045</v>
      </c>
      <c r="G4983" s="189" t="n">
        <v>51</v>
      </c>
      <c r="H4983" s="190" t="n">
        <v>10249.1443922762</v>
      </c>
      <c r="I4983" s="191" t="n">
        <v>4180208.66371578</v>
      </c>
      <c r="J4983" s="192" t="str">
        <f>IF(I4983&gt;0,H4983/I4983,0)</f>
      </c>
      <c r="K4983" s="193" t="str">
        <f>1-EXP(-J4983)</f>
      </c>
      <c r="L4983" s="194" t="str">
        <f>IF(G4983=30,1,M4982)</f>
      </c>
      <c r="M4983" s="195" t="str">
        <f>L4983*(1-K4983)</f>
      </c>
    </row>
    <row r="4984">
      <c r="A4984" t="s">
        <v>167</v>
      </c>
      <c r="B4984" t="s">
        <v>272</v>
      </c>
      <c r="C4984" s="35" t="s">
        <v>274</v>
      </c>
      <c r="D4984" t="s">
        <v>502</v>
      </c>
      <c r="E4984" t="s">
        <v>520</v>
      </c>
      <c r="F4984" s="188" t="n">
        <v>2045</v>
      </c>
      <c r="G4984" s="189" t="n">
        <v>52</v>
      </c>
      <c r="H4984" s="190" t="n">
        <v>11026.3261858339</v>
      </c>
      <c r="I4984" s="191" t="n">
        <v>4112341.68248499</v>
      </c>
      <c r="J4984" s="192" t="str">
        <f>IF(I4984&gt;0,H4984/I4984,0)</f>
      </c>
      <c r="K4984" s="193" t="str">
        <f>1-EXP(-J4984)</f>
      </c>
      <c r="L4984" s="194" t="str">
        <f>IF(G4984=30,1,M4983)</f>
      </c>
      <c r="M4984" s="195" t="str">
        <f>L4984*(1-K4984)</f>
      </c>
    </row>
    <row r="4985">
      <c r="A4985" t="s">
        <v>167</v>
      </c>
      <c r="B4985" t="s">
        <v>272</v>
      </c>
      <c r="C4985" s="35" t="s">
        <v>274</v>
      </c>
      <c r="D4985" t="s">
        <v>502</v>
      </c>
      <c r="E4985" t="s">
        <v>520</v>
      </c>
      <c r="F4985" s="188" t="n">
        <v>2045</v>
      </c>
      <c r="G4985" s="189" t="n">
        <v>53</v>
      </c>
      <c r="H4985" s="190" t="n">
        <v>12067.3127336326</v>
      </c>
      <c r="I4985" s="191" t="n">
        <v>4130019.45514923</v>
      </c>
      <c r="J4985" s="192" t="str">
        <f>IF(I4985&gt;0,H4985/I4985,0)</f>
      </c>
      <c r="K4985" s="193" t="str">
        <f>1-EXP(-J4985)</f>
      </c>
      <c r="L4985" s="194" t="str">
        <f>IF(G4985=30,1,M4984)</f>
      </c>
      <c r="M4985" s="195" t="str">
        <f>L4985*(1-K4985)</f>
      </c>
    </row>
    <row r="4986">
      <c r="A4986" t="s">
        <v>167</v>
      </c>
      <c r="B4986" t="s">
        <v>272</v>
      </c>
      <c r="C4986" s="35" t="s">
        <v>274</v>
      </c>
      <c r="D4986" t="s">
        <v>502</v>
      </c>
      <c r="E4986" t="s">
        <v>520</v>
      </c>
      <c r="F4986" s="188" t="n">
        <v>2045</v>
      </c>
      <c r="G4986" s="189" t="n">
        <v>54</v>
      </c>
      <c r="H4986" s="190" t="n">
        <v>13138.7809138314</v>
      </c>
      <c r="I4986" s="191" t="n">
        <v>4126833.02200817</v>
      </c>
      <c r="J4986" s="192" t="str">
        <f>IF(I4986&gt;0,H4986/I4986,0)</f>
      </c>
      <c r="K4986" s="193" t="str">
        <f>1-EXP(-J4986)</f>
      </c>
      <c r="L4986" s="194" t="str">
        <f>IF(G4986=30,1,M4985)</f>
      </c>
      <c r="M4986" s="195" t="str">
        <f>L4986*(1-K4986)</f>
      </c>
    </row>
    <row r="4987">
      <c r="A4987" t="s">
        <v>167</v>
      </c>
      <c r="B4987" t="s">
        <v>272</v>
      </c>
      <c r="C4987" s="35" t="s">
        <v>274</v>
      </c>
      <c r="D4987" t="s">
        <v>502</v>
      </c>
      <c r="E4987" t="s">
        <v>520</v>
      </c>
      <c r="F4987" s="188" t="n">
        <v>2045</v>
      </c>
      <c r="G4987" s="189" t="n">
        <v>55</v>
      </c>
      <c r="H4987" s="190" t="n">
        <v>18895.9642715205</v>
      </c>
      <c r="I4987" s="191" t="n">
        <v>6067861.89043122</v>
      </c>
      <c r="J4987" s="192" t="str">
        <f>IF(I4987&gt;0,H4987/I4987,0)</f>
      </c>
      <c r="K4987" s="193" t="str">
        <f>1-EXP(-J4987)</f>
      </c>
      <c r="L4987" s="194" t="str">
        <f>IF(G4987=30,1,M4986)</f>
      </c>
      <c r="M4987" s="195" t="str">
        <f>L4987*(1-K4987)</f>
      </c>
    </row>
    <row r="4988">
      <c r="A4988" t="s">
        <v>167</v>
      </c>
      <c r="B4988" t="s">
        <v>272</v>
      </c>
      <c r="C4988" s="35" t="s">
        <v>274</v>
      </c>
      <c r="D4988" t="s">
        <v>502</v>
      </c>
      <c r="E4988" t="s">
        <v>520</v>
      </c>
      <c r="F4988" s="188" t="n">
        <v>2045</v>
      </c>
      <c r="G4988" s="189" t="n">
        <v>56</v>
      </c>
      <c r="H4988" s="190" t="n">
        <v>15000.6147583976</v>
      </c>
      <c r="I4988" s="191" t="n">
        <v>4041880.53914005</v>
      </c>
      <c r="J4988" s="192" t="str">
        <f>IF(I4988&gt;0,H4988/I4988,0)</f>
      </c>
      <c r="K4988" s="193" t="str">
        <f>1-EXP(-J4988)</f>
      </c>
      <c r="L4988" s="194" t="str">
        <f>IF(G4988=30,1,M4987)</f>
      </c>
      <c r="M4988" s="195" t="str">
        <f>L4988*(1-K4988)</f>
      </c>
    </row>
    <row r="4989">
      <c r="A4989" t="s">
        <v>167</v>
      </c>
      <c r="B4989" t="s">
        <v>272</v>
      </c>
      <c r="C4989" s="35" t="s">
        <v>274</v>
      </c>
      <c r="D4989" t="s">
        <v>502</v>
      </c>
      <c r="E4989" t="s">
        <v>520</v>
      </c>
      <c r="F4989" s="188" t="n">
        <v>2045</v>
      </c>
      <c r="G4989" s="189" t="n">
        <v>57</v>
      </c>
      <c r="H4989" s="190" t="n">
        <v>16195.0403536973</v>
      </c>
      <c r="I4989" s="191" t="n">
        <v>4000387.4298205</v>
      </c>
      <c r="J4989" s="192" t="str">
        <f>IF(I4989&gt;0,H4989/I4989,0)</f>
      </c>
      <c r="K4989" s="193" t="str">
        <f>1-EXP(-J4989)</f>
      </c>
      <c r="L4989" s="194" t="str">
        <f>IF(G4989=30,1,M4988)</f>
      </c>
      <c r="M4989" s="195" t="str">
        <f>L4989*(1-K4989)</f>
      </c>
    </row>
    <row r="4990">
      <c r="A4990" t="s">
        <v>167</v>
      </c>
      <c r="B4990" t="s">
        <v>272</v>
      </c>
      <c r="C4990" s="35" t="s">
        <v>274</v>
      </c>
      <c r="D4990" t="s">
        <v>502</v>
      </c>
      <c r="E4990" t="s">
        <v>520</v>
      </c>
      <c r="F4990" s="188" t="n">
        <v>2045</v>
      </c>
      <c r="G4990" s="189" t="n">
        <v>58</v>
      </c>
      <c r="H4990" s="190" t="n">
        <v>17039.488596366</v>
      </c>
      <c r="I4990" s="191" t="n">
        <v>3850436.64092427</v>
      </c>
      <c r="J4990" s="192" t="str">
        <f>IF(I4990&gt;0,H4990/I4990,0)</f>
      </c>
      <c r="K4990" s="193" t="str">
        <f>1-EXP(-J4990)</f>
      </c>
      <c r="L4990" s="194" t="str">
        <f>IF(G4990=30,1,M4989)</f>
      </c>
      <c r="M4990" s="195" t="str">
        <f>L4990*(1-K4990)</f>
      </c>
    </row>
    <row r="4991">
      <c r="A4991" t="s">
        <v>167</v>
      </c>
      <c r="B4991" t="s">
        <v>272</v>
      </c>
      <c r="C4991" s="35" t="s">
        <v>274</v>
      </c>
      <c r="D4991" t="s">
        <v>502</v>
      </c>
      <c r="E4991" t="s">
        <v>520</v>
      </c>
      <c r="F4991" s="188" t="n">
        <v>2045</v>
      </c>
      <c r="G4991" s="189" t="n">
        <v>59</v>
      </c>
      <c r="H4991" s="190" t="n">
        <v>18350.603458377</v>
      </c>
      <c r="I4991" s="191" t="n">
        <v>3789130.30991886</v>
      </c>
      <c r="J4991" s="192" t="str">
        <f>IF(I4991&gt;0,H4991/I4991,0)</f>
      </c>
      <c r="K4991" s="193" t="str">
        <f>1-EXP(-J4991)</f>
      </c>
      <c r="L4991" s="194" t="str">
        <f>IF(G4991=30,1,M4990)</f>
      </c>
      <c r="M4991" s="195" t="str">
        <f>L4991*(1-K4991)</f>
      </c>
    </row>
    <row r="4992">
      <c r="A4992" t="s">
        <v>167</v>
      </c>
      <c r="B4992" t="s">
        <v>272</v>
      </c>
      <c r="C4992" s="35" t="s">
        <v>274</v>
      </c>
      <c r="D4992" t="s">
        <v>502</v>
      </c>
      <c r="E4992" t="s">
        <v>520</v>
      </c>
      <c r="F4992" s="188" t="n">
        <v>2045</v>
      </c>
      <c r="G4992" s="189" t="n">
        <v>60</v>
      </c>
      <c r="H4992" s="190" t="n">
        <v>19978.8802528715</v>
      </c>
      <c r="I4992" s="191" t="n">
        <v>3810337.91362448</v>
      </c>
      <c r="J4992" s="192" t="str">
        <f>IF(I4992&gt;0,H4992/I4992,0)</f>
      </c>
      <c r="K4992" s="193" t="str">
        <f>1-EXP(-J4992)</f>
      </c>
      <c r="L4992" s="194" t="str">
        <f>IF(G4992=30,1,M4991)</f>
      </c>
      <c r="M4992" s="195" t="str">
        <f>L4992*(1-K4992)</f>
      </c>
    </row>
    <row r="4993">
      <c r="A4993" t="s">
        <v>167</v>
      </c>
      <c r="B4993" t="s">
        <v>272</v>
      </c>
      <c r="C4993" s="35" t="s">
        <v>274</v>
      </c>
      <c r="D4993" t="s">
        <v>502</v>
      </c>
      <c r="E4993" t="s">
        <v>520</v>
      </c>
      <c r="F4993" s="188" t="n">
        <v>2045</v>
      </c>
      <c r="G4993" s="189" t="n">
        <v>61</v>
      </c>
      <c r="H4993" s="190" t="n">
        <v>22156.6738922408</v>
      </c>
      <c r="I4993" s="191" t="n">
        <v>3850093.62784172</v>
      </c>
      <c r="J4993" s="192" t="str">
        <f>IF(I4993&gt;0,H4993/I4993,0)</f>
      </c>
      <c r="K4993" s="193" t="str">
        <f>1-EXP(-J4993)</f>
      </c>
      <c r="L4993" s="194" t="str">
        <f>IF(G4993=30,1,M4992)</f>
      </c>
      <c r="M4993" s="195" t="str">
        <f>L4993*(1-K4993)</f>
      </c>
    </row>
    <row r="4994">
      <c r="A4994" t="s">
        <v>167</v>
      </c>
      <c r="B4994" t="s">
        <v>272</v>
      </c>
      <c r="C4994" s="35" t="s">
        <v>274</v>
      </c>
      <c r="D4994" t="s">
        <v>502</v>
      </c>
      <c r="E4994" t="s">
        <v>520</v>
      </c>
      <c r="F4994" s="188" t="n">
        <v>2045</v>
      </c>
      <c r="G4994" s="189" t="n">
        <v>62</v>
      </c>
      <c r="H4994" s="190" t="n">
        <v>23932.002705987</v>
      </c>
      <c r="I4994" s="191" t="n">
        <v>3788668.33754184</v>
      </c>
      <c r="J4994" s="192" t="str">
        <f>IF(I4994&gt;0,H4994/I4994,0)</f>
      </c>
      <c r="K4994" s="193" t="str">
        <f>1-EXP(-J4994)</f>
      </c>
      <c r="L4994" s="194" t="str">
        <f>IF(G4994=30,1,M4993)</f>
      </c>
      <c r="M4994" s="195" t="str">
        <f>L4994*(1-K4994)</f>
      </c>
    </row>
    <row r="4995">
      <c r="A4995" t="s">
        <v>167</v>
      </c>
      <c r="B4995" t="s">
        <v>272</v>
      </c>
      <c r="C4995" s="35" t="s">
        <v>274</v>
      </c>
      <c r="D4995" t="s">
        <v>502</v>
      </c>
      <c r="E4995" t="s">
        <v>520</v>
      </c>
      <c r="F4995" s="188" t="n">
        <v>2045</v>
      </c>
      <c r="G4995" s="189" t="n">
        <v>63</v>
      </c>
      <c r="H4995" s="190" t="n">
        <v>25160.6285434229</v>
      </c>
      <c r="I4995" s="191" t="n">
        <v>3625370.18230958</v>
      </c>
      <c r="J4995" s="192" t="str">
        <f>IF(I4995&gt;0,H4995/I4995,0)</f>
      </c>
      <c r="K4995" s="193" t="str">
        <f>1-EXP(-J4995)</f>
      </c>
      <c r="L4995" s="194" t="str">
        <f>IF(G4995=30,1,M4994)</f>
      </c>
      <c r="M4995" s="195" t="str">
        <f>L4995*(1-K4995)</f>
      </c>
    </row>
    <row r="4996">
      <c r="A4996" t="s">
        <v>167</v>
      </c>
      <c r="B4996" t="s">
        <v>272</v>
      </c>
      <c r="C4996" s="35" t="s">
        <v>274</v>
      </c>
      <c r="D4996" t="s">
        <v>502</v>
      </c>
      <c r="E4996" t="s">
        <v>520</v>
      </c>
      <c r="F4996" s="188" t="n">
        <v>2045</v>
      </c>
      <c r="G4996" s="189" t="n">
        <v>64</v>
      </c>
      <c r="H4996" s="190" t="n">
        <v>26775.3858670523</v>
      </c>
      <c r="I4996" s="191" t="n">
        <v>3515659.4866017</v>
      </c>
      <c r="J4996" s="192" t="str">
        <f>IF(I4996&gt;0,H4996/I4996,0)</f>
      </c>
      <c r="K4996" s="193" t="str">
        <f>1-EXP(-J4996)</f>
      </c>
      <c r="L4996" s="194" t="str">
        <f>IF(G4996=30,1,M4995)</f>
      </c>
      <c r="M4996" s="195" t="str">
        <f>L4996*(1-K4996)</f>
      </c>
    </row>
    <row r="4997">
      <c r="A4997" t="s">
        <v>167</v>
      </c>
      <c r="B4997" t="s">
        <v>272</v>
      </c>
      <c r="C4997" s="35" t="s">
        <v>274</v>
      </c>
      <c r="D4997" t="s">
        <v>502</v>
      </c>
      <c r="E4997" t="s">
        <v>520</v>
      </c>
      <c r="F4997" s="188" t="n">
        <v>2045</v>
      </c>
      <c r="G4997" s="189" t="n">
        <v>65</v>
      </c>
      <c r="H4997" s="190" t="n">
        <v>27228.1665409208</v>
      </c>
      <c r="I4997" s="191" t="n">
        <v>3417371.79270005</v>
      </c>
      <c r="J4997" s="192" t="str">
        <f>IF(I4997&gt;0,H4997/I4997,0)</f>
      </c>
      <c r="K4997" s="193" t="str">
        <f>1-EXP(-J4997)</f>
      </c>
      <c r="L4997" s="194" t="str">
        <f>IF(G4997=30,1,M4996)</f>
      </c>
      <c r="M4997" s="195" t="str">
        <f>L4997*(1-K4997)</f>
      </c>
    </row>
    <row r="4998">
      <c r="A4998" t="s">
        <v>167</v>
      </c>
      <c r="B4998" t="s">
        <v>272</v>
      </c>
      <c r="C4998" s="35" t="s">
        <v>274</v>
      </c>
      <c r="D4998" t="s">
        <v>502</v>
      </c>
      <c r="E4998" t="s">
        <v>520</v>
      </c>
      <c r="F4998" s="188" t="n">
        <v>2045</v>
      </c>
      <c r="G4998" s="189" t="n">
        <v>66</v>
      </c>
      <c r="H4998" s="190" t="n">
        <v>28959.8270930652</v>
      </c>
      <c r="I4998" s="191" t="n">
        <v>3312646.56930379</v>
      </c>
      <c r="J4998" s="192" t="str">
        <f>IF(I4998&gt;0,H4998/I4998,0)</f>
      </c>
      <c r="K4998" s="193" t="str">
        <f>1-EXP(-J4998)</f>
      </c>
      <c r="L4998" s="194" t="str">
        <f>IF(G4998=30,1,M4997)</f>
      </c>
      <c r="M4998" s="195" t="str">
        <f>L4998*(1-K4998)</f>
      </c>
    </row>
    <row r="4999">
      <c r="A4999" t="s">
        <v>167</v>
      </c>
      <c r="B4999" t="s">
        <v>272</v>
      </c>
      <c r="C4999" s="35" t="s">
        <v>274</v>
      </c>
      <c r="D4999" t="s">
        <v>502</v>
      </c>
      <c r="E4999" t="s">
        <v>520</v>
      </c>
      <c r="F4999" s="188" t="n">
        <v>2045</v>
      </c>
      <c r="G4999" s="189" t="n">
        <v>67</v>
      </c>
      <c r="H4999" s="190" t="n">
        <v>30624.6121003071</v>
      </c>
      <c r="I4999" s="191" t="n">
        <v>3188761.03984109</v>
      </c>
      <c r="J4999" s="192" t="str">
        <f>IF(I4999&gt;0,H4999/I4999,0)</f>
      </c>
      <c r="K4999" s="193" t="str">
        <f>1-EXP(-J4999)</f>
      </c>
      <c r="L4999" s="194" t="str">
        <f>IF(G4999=30,1,M4998)</f>
      </c>
      <c r="M4999" s="195" t="str">
        <f>L4999*(1-K4999)</f>
      </c>
    </row>
    <row r="5000">
      <c r="A5000" t="s">
        <v>167</v>
      </c>
      <c r="B5000" t="s">
        <v>272</v>
      </c>
      <c r="C5000" s="35" t="s">
        <v>274</v>
      </c>
      <c r="D5000" t="s">
        <v>502</v>
      </c>
      <c r="E5000" t="s">
        <v>520</v>
      </c>
      <c r="F5000" s="188" t="n">
        <v>2045</v>
      </c>
      <c r="G5000" s="189" t="n">
        <v>68</v>
      </c>
      <c r="H5000" s="190" t="n">
        <v>32505.6026866373</v>
      </c>
      <c r="I5000" s="191" t="n">
        <v>3076060.97910965</v>
      </c>
      <c r="J5000" s="192" t="str">
        <f>IF(I5000&gt;0,H5000/I5000,0)</f>
      </c>
      <c r="K5000" s="193" t="str">
        <f>1-EXP(-J5000)</f>
      </c>
      <c r="L5000" s="194" t="str">
        <f>IF(G5000=30,1,M4999)</f>
      </c>
      <c r="M5000" s="195" t="str">
        <f>L5000*(1-K5000)</f>
      </c>
    </row>
    <row r="5001">
      <c r="A5001" t="s">
        <v>167</v>
      </c>
      <c r="B5001" t="s">
        <v>272</v>
      </c>
      <c r="C5001" s="35" t="s">
        <v>274</v>
      </c>
      <c r="D5001" t="s">
        <v>502</v>
      </c>
      <c r="E5001" t="s">
        <v>520</v>
      </c>
      <c r="F5001" s="188" t="n">
        <v>2045</v>
      </c>
      <c r="G5001" s="189" t="n">
        <v>69</v>
      </c>
      <c r="H5001" s="190" t="n">
        <v>34321.2712799953</v>
      </c>
      <c r="I5001" s="191" t="n">
        <v>2952246.56517363</v>
      </c>
      <c r="J5001" s="192" t="str">
        <f>IF(I5001&gt;0,H5001/I5001,0)</f>
      </c>
      <c r="K5001" s="193" t="str">
        <f>1-EXP(-J5001)</f>
      </c>
      <c r="L5001" s="194" t="str">
        <f>IF(G5001=30,1,M5000)</f>
      </c>
      <c r="M5001" s="195" t="str">
        <f>L5001*(1-K5001)</f>
      </c>
    </row>
    <row r="5002">
      <c r="A5002" t="s">
        <v>167</v>
      </c>
      <c r="B5002" t="s">
        <v>272</v>
      </c>
      <c r="C5002" s="35" t="s">
        <v>274</v>
      </c>
      <c r="D5002" t="s">
        <v>502</v>
      </c>
      <c r="E5002" t="s">
        <v>520</v>
      </c>
      <c r="F5002" s="188" t="n">
        <v>2046</v>
      </c>
      <c r="G5002" s="189" t="n">
        <v>30</v>
      </c>
      <c r="H5002" s="190" t="n">
        <v>678.159326358669</v>
      </c>
      <c r="I5002" s="191" t="n">
        <v>4588364.31355748</v>
      </c>
      <c r="J5002" s="192" t="str">
        <f>IF(I5002&gt;0,H5002/I5002,0)</f>
      </c>
      <c r="K5002" s="193" t="str">
        <f>1-EXP(-J5002)</f>
      </c>
      <c r="L5002" s="194" t="str">
        <f>IF(G5002=30,1,M5001)</f>
      </c>
      <c r="M5002" s="195" t="str">
        <f>L5002*(1-K5002)</f>
      </c>
    </row>
    <row r="5003">
      <c r="A5003" t="s">
        <v>167</v>
      </c>
      <c r="B5003" t="s">
        <v>272</v>
      </c>
      <c r="C5003" s="35" t="s">
        <v>274</v>
      </c>
      <c r="D5003" t="s">
        <v>502</v>
      </c>
      <c r="E5003" t="s">
        <v>520</v>
      </c>
      <c r="F5003" s="188" t="n">
        <v>2046</v>
      </c>
      <c r="G5003" s="189" t="n">
        <v>31</v>
      </c>
      <c r="H5003" s="190" t="n">
        <v>957.54473789856</v>
      </c>
      <c r="I5003" s="191" t="n">
        <v>4637182.22843303</v>
      </c>
      <c r="J5003" s="192" t="str">
        <f>IF(I5003&gt;0,H5003/I5003,0)</f>
      </c>
      <c r="K5003" s="193" t="str">
        <f>1-EXP(-J5003)</f>
      </c>
      <c r="L5003" s="194" t="str">
        <f>IF(G5003=30,1,M5002)</f>
      </c>
      <c r="M5003" s="195" t="str">
        <f>L5003*(1-K5003)</f>
      </c>
    </row>
    <row r="5004">
      <c r="A5004" t="s">
        <v>167</v>
      </c>
      <c r="B5004" t="s">
        <v>272</v>
      </c>
      <c r="C5004" s="35" t="s">
        <v>274</v>
      </c>
      <c r="D5004" t="s">
        <v>502</v>
      </c>
      <c r="E5004" t="s">
        <v>520</v>
      </c>
      <c r="F5004" s="188" t="n">
        <v>2046</v>
      </c>
      <c r="G5004" s="189" t="n">
        <v>32</v>
      </c>
      <c r="H5004" s="190" t="n">
        <v>1023.79848101335</v>
      </c>
      <c r="I5004" s="191" t="n">
        <v>4703717.94754608</v>
      </c>
      <c r="J5004" s="192" t="str">
        <f>IF(I5004&gt;0,H5004/I5004,0)</f>
      </c>
      <c r="K5004" s="193" t="str">
        <f>1-EXP(-J5004)</f>
      </c>
      <c r="L5004" s="194" t="str">
        <f>IF(G5004=30,1,M5003)</f>
      </c>
      <c r="M5004" s="195" t="str">
        <f>L5004*(1-K5004)</f>
      </c>
    </row>
    <row r="5005">
      <c r="A5005" t="s">
        <v>167</v>
      </c>
      <c r="B5005" t="s">
        <v>272</v>
      </c>
      <c r="C5005" s="35" t="s">
        <v>274</v>
      </c>
      <c r="D5005" t="s">
        <v>502</v>
      </c>
      <c r="E5005" t="s">
        <v>520</v>
      </c>
      <c r="F5005" s="188" t="n">
        <v>2046</v>
      </c>
      <c r="G5005" s="189" t="n">
        <v>33</v>
      </c>
      <c r="H5005" s="190" t="n">
        <v>1100.65592311863</v>
      </c>
      <c r="I5005" s="191" t="n">
        <v>4771609.51664056</v>
      </c>
      <c r="J5005" s="192" t="str">
        <f>IF(I5005&gt;0,H5005/I5005,0)</f>
      </c>
      <c r="K5005" s="193" t="str">
        <f>1-EXP(-J5005)</f>
      </c>
      <c r="L5005" s="194" t="str">
        <f>IF(G5005=30,1,M5004)</f>
      </c>
      <c r="M5005" s="195" t="str">
        <f>L5005*(1-K5005)</f>
      </c>
    </row>
    <row r="5006">
      <c r="A5006" t="s">
        <v>167</v>
      </c>
      <c r="B5006" t="s">
        <v>272</v>
      </c>
      <c r="C5006" s="35" t="s">
        <v>274</v>
      </c>
      <c r="D5006" t="s">
        <v>502</v>
      </c>
      <c r="E5006" t="s">
        <v>520</v>
      </c>
      <c r="F5006" s="188" t="n">
        <v>2046</v>
      </c>
      <c r="G5006" s="189" t="n">
        <v>34</v>
      </c>
      <c r="H5006" s="190" t="n">
        <v>1244.47757895874</v>
      </c>
      <c r="I5006" s="191" t="n">
        <v>4883713.82673629</v>
      </c>
      <c r="J5006" s="192" t="str">
        <f>IF(I5006&gt;0,H5006/I5006,0)</f>
      </c>
      <c r="K5006" s="193" t="str">
        <f>1-EXP(-J5006)</f>
      </c>
      <c r="L5006" s="194" t="str">
        <f>IF(G5006=30,1,M5005)</f>
      </c>
      <c r="M5006" s="195" t="str">
        <f>L5006*(1-K5006)</f>
      </c>
    </row>
    <row r="5007">
      <c r="A5007" t="s">
        <v>167</v>
      </c>
      <c r="B5007" t="s">
        <v>272</v>
      </c>
      <c r="C5007" s="35" t="s">
        <v>274</v>
      </c>
      <c r="D5007" t="s">
        <v>502</v>
      </c>
      <c r="E5007" t="s">
        <v>520</v>
      </c>
      <c r="F5007" s="188" t="n">
        <v>2046</v>
      </c>
      <c r="G5007" s="189" t="n">
        <v>35</v>
      </c>
      <c r="H5007" s="190" t="n">
        <v>1617.58742870386</v>
      </c>
      <c r="I5007" s="191" t="n">
        <v>4855005.85914148</v>
      </c>
      <c r="J5007" s="192" t="str">
        <f>IF(I5007&gt;0,H5007/I5007,0)</f>
      </c>
      <c r="K5007" s="193" t="str">
        <f>1-EXP(-J5007)</f>
      </c>
      <c r="L5007" s="194" t="str">
        <f>IF(G5007=30,1,M5006)</f>
      </c>
      <c r="M5007" s="195" t="str">
        <f>L5007*(1-K5007)</f>
      </c>
    </row>
    <row r="5008">
      <c r="A5008" t="s">
        <v>167</v>
      </c>
      <c r="B5008" t="s">
        <v>272</v>
      </c>
      <c r="C5008" s="35" t="s">
        <v>274</v>
      </c>
      <c r="D5008" t="s">
        <v>502</v>
      </c>
      <c r="E5008" t="s">
        <v>520</v>
      </c>
      <c r="F5008" s="188" t="n">
        <v>2046</v>
      </c>
      <c r="G5008" s="189" t="n">
        <v>36</v>
      </c>
      <c r="H5008" s="190" t="n">
        <v>1843.82505764523</v>
      </c>
      <c r="I5008" s="191" t="n">
        <v>4720468.06938811</v>
      </c>
      <c r="J5008" s="192" t="str">
        <f>IF(I5008&gt;0,H5008/I5008,0)</f>
      </c>
      <c r="K5008" s="193" t="str">
        <f>1-EXP(-J5008)</f>
      </c>
      <c r="L5008" s="194" t="str">
        <f>IF(G5008=30,1,M5007)</f>
      </c>
      <c r="M5008" s="195" t="str">
        <f>L5008*(1-K5008)</f>
      </c>
    </row>
    <row r="5009">
      <c r="A5009" t="s">
        <v>167</v>
      </c>
      <c r="B5009" t="s">
        <v>272</v>
      </c>
      <c r="C5009" s="35" t="s">
        <v>274</v>
      </c>
      <c r="D5009" t="s">
        <v>502</v>
      </c>
      <c r="E5009" t="s">
        <v>520</v>
      </c>
      <c r="F5009" s="188" t="n">
        <v>2046</v>
      </c>
      <c r="G5009" s="189" t="n">
        <v>37</v>
      </c>
      <c r="H5009" s="190" t="n">
        <v>1952.10741612579</v>
      </c>
      <c r="I5009" s="191" t="n">
        <v>4648598.18852682</v>
      </c>
      <c r="J5009" s="192" t="str">
        <f>IF(I5009&gt;0,H5009/I5009,0)</f>
      </c>
      <c r="K5009" s="193" t="str">
        <f>1-EXP(-J5009)</f>
      </c>
      <c r="L5009" s="194" t="str">
        <f>IF(G5009=30,1,M5008)</f>
      </c>
      <c r="M5009" s="195" t="str">
        <f>L5009*(1-K5009)</f>
      </c>
    </row>
    <row r="5010">
      <c r="A5010" t="s">
        <v>167</v>
      </c>
      <c r="B5010" t="s">
        <v>272</v>
      </c>
      <c r="C5010" s="35" t="s">
        <v>274</v>
      </c>
      <c r="D5010" t="s">
        <v>502</v>
      </c>
      <c r="E5010" t="s">
        <v>520</v>
      </c>
      <c r="F5010" s="188" t="n">
        <v>2046</v>
      </c>
      <c r="G5010" s="189" t="n">
        <v>38</v>
      </c>
      <c r="H5010" s="190" t="n">
        <v>2086.30940300418</v>
      </c>
      <c r="I5010" s="191" t="n">
        <v>4604343.83393307</v>
      </c>
      <c r="J5010" s="192" t="str">
        <f>IF(I5010&gt;0,H5010/I5010,0)</f>
      </c>
      <c r="K5010" s="193" t="str">
        <f>1-EXP(-J5010)</f>
      </c>
      <c r="L5010" s="194" t="str">
        <f>IF(G5010=30,1,M5009)</f>
      </c>
      <c r="M5010" s="195" t="str">
        <f>L5010*(1-K5010)</f>
      </c>
    </row>
    <row r="5011">
      <c r="A5011" t="s">
        <v>167</v>
      </c>
      <c r="B5011" t="s">
        <v>272</v>
      </c>
      <c r="C5011" s="35" t="s">
        <v>274</v>
      </c>
      <c r="D5011" t="s">
        <v>502</v>
      </c>
      <c r="E5011" t="s">
        <v>520</v>
      </c>
      <c r="F5011" s="188" t="n">
        <v>2046</v>
      </c>
      <c r="G5011" s="189" t="n">
        <v>39</v>
      </c>
      <c r="H5011" s="190" t="n">
        <v>2329.45758309992</v>
      </c>
      <c r="I5011" s="191" t="n">
        <v>4627436.93967431</v>
      </c>
      <c r="J5011" s="192" t="str">
        <f>IF(I5011&gt;0,H5011/I5011,0)</f>
      </c>
      <c r="K5011" s="193" t="str">
        <f>1-EXP(-J5011)</f>
      </c>
      <c r="L5011" s="194" t="str">
        <f>IF(G5011=30,1,M5010)</f>
      </c>
      <c r="M5011" s="195" t="str">
        <f>L5011*(1-K5011)</f>
      </c>
    </row>
    <row r="5012">
      <c r="A5012" t="s">
        <v>167</v>
      </c>
      <c r="B5012" t="s">
        <v>272</v>
      </c>
      <c r="C5012" s="35" t="s">
        <v>274</v>
      </c>
      <c r="D5012" t="s">
        <v>502</v>
      </c>
      <c r="E5012" t="s">
        <v>520</v>
      </c>
      <c r="F5012" s="188" t="n">
        <v>2046</v>
      </c>
      <c r="G5012" s="189" t="n">
        <v>40</v>
      </c>
      <c r="H5012" s="190" t="n">
        <v>3070.93629123863</v>
      </c>
      <c r="I5012" s="191" t="n">
        <v>4542318.02547218</v>
      </c>
      <c r="J5012" s="192" t="str">
        <f>IF(I5012&gt;0,H5012/I5012,0)</f>
      </c>
      <c r="K5012" s="193" t="str">
        <f>1-EXP(-J5012)</f>
      </c>
      <c r="L5012" s="194" t="str">
        <f>IF(G5012=30,1,M5011)</f>
      </c>
      <c r="M5012" s="195" t="str">
        <f>L5012*(1-K5012)</f>
      </c>
    </row>
    <row r="5013">
      <c r="A5013" t="s">
        <v>167</v>
      </c>
      <c r="B5013" t="s">
        <v>272</v>
      </c>
      <c r="C5013" s="35" t="s">
        <v>274</v>
      </c>
      <c r="D5013" t="s">
        <v>502</v>
      </c>
      <c r="E5013" t="s">
        <v>520</v>
      </c>
      <c r="F5013" s="188" t="n">
        <v>2046</v>
      </c>
      <c r="G5013" s="189" t="n">
        <v>41</v>
      </c>
      <c r="H5013" s="190" t="n">
        <v>3399.67077720301</v>
      </c>
      <c r="I5013" s="191" t="n">
        <v>4477832.49893612</v>
      </c>
      <c r="J5013" s="192" t="str">
        <f>IF(I5013&gt;0,H5013/I5013,0)</f>
      </c>
      <c r="K5013" s="193" t="str">
        <f>1-EXP(-J5013)</f>
      </c>
      <c r="L5013" s="194" t="str">
        <f>IF(G5013=30,1,M5012)</f>
      </c>
      <c r="M5013" s="195" t="str">
        <f>L5013*(1-K5013)</f>
      </c>
    </row>
    <row r="5014">
      <c r="A5014" t="s">
        <v>167</v>
      </c>
      <c r="B5014" t="s">
        <v>272</v>
      </c>
      <c r="C5014" s="35" t="s">
        <v>274</v>
      </c>
      <c r="D5014" t="s">
        <v>502</v>
      </c>
      <c r="E5014" t="s">
        <v>520</v>
      </c>
      <c r="F5014" s="188" t="n">
        <v>2046</v>
      </c>
      <c r="G5014" s="189" t="n">
        <v>42</v>
      </c>
      <c r="H5014" s="190" t="n">
        <v>3582.80288540149</v>
      </c>
      <c r="I5014" s="191" t="n">
        <v>4346780.3984263</v>
      </c>
      <c r="J5014" s="192" t="str">
        <f>IF(I5014&gt;0,H5014/I5014,0)</f>
      </c>
      <c r="K5014" s="193" t="str">
        <f>1-EXP(-J5014)</f>
      </c>
      <c r="L5014" s="194" t="str">
        <f>IF(G5014=30,1,M5013)</f>
      </c>
      <c r="M5014" s="195" t="str">
        <f>L5014*(1-K5014)</f>
      </c>
    </row>
    <row r="5015">
      <c r="A5015" t="s">
        <v>167</v>
      </c>
      <c r="B5015" t="s">
        <v>272</v>
      </c>
      <c r="C5015" s="35" t="s">
        <v>274</v>
      </c>
      <c r="D5015" t="s">
        <v>502</v>
      </c>
      <c r="E5015" t="s">
        <v>520</v>
      </c>
      <c r="F5015" s="188" t="n">
        <v>2046</v>
      </c>
      <c r="G5015" s="189" t="n">
        <v>43</v>
      </c>
      <c r="H5015" s="190" t="n">
        <v>3836.28235233295</v>
      </c>
      <c r="I5015" s="191" t="n">
        <v>4277460.06141173</v>
      </c>
      <c r="J5015" s="192" t="str">
        <f>IF(I5015&gt;0,H5015/I5015,0)</f>
      </c>
      <c r="K5015" s="193" t="str">
        <f>1-EXP(-J5015)</f>
      </c>
      <c r="L5015" s="194" t="str">
        <f>IF(G5015=30,1,M5014)</f>
      </c>
      <c r="M5015" s="195" t="str">
        <f>L5015*(1-K5015)</f>
      </c>
    </row>
    <row r="5016">
      <c r="A5016" t="s">
        <v>167</v>
      </c>
      <c r="B5016" t="s">
        <v>272</v>
      </c>
      <c r="C5016" s="35" t="s">
        <v>274</v>
      </c>
      <c r="D5016" t="s">
        <v>502</v>
      </c>
      <c r="E5016" t="s">
        <v>520</v>
      </c>
      <c r="F5016" s="188" t="n">
        <v>2046</v>
      </c>
      <c r="G5016" s="189" t="n">
        <v>44</v>
      </c>
      <c r="H5016" s="190" t="n">
        <v>4315.18261108504</v>
      </c>
      <c r="I5016" s="191" t="n">
        <v>4248878.01036473</v>
      </c>
      <c r="J5016" s="192" t="str">
        <f>IF(I5016&gt;0,H5016/I5016,0)</f>
      </c>
      <c r="K5016" s="193" t="str">
        <f>1-EXP(-J5016)</f>
      </c>
      <c r="L5016" s="194" t="str">
        <f>IF(G5016=30,1,M5015)</f>
      </c>
      <c r="M5016" s="195" t="str">
        <f>L5016*(1-K5016)</f>
      </c>
    </row>
    <row r="5017">
      <c r="A5017" t="s">
        <v>167</v>
      </c>
      <c r="B5017" t="s">
        <v>272</v>
      </c>
      <c r="C5017" s="35" t="s">
        <v>274</v>
      </c>
      <c r="D5017" t="s">
        <v>502</v>
      </c>
      <c r="E5017" t="s">
        <v>520</v>
      </c>
      <c r="F5017" s="188" t="n">
        <v>2046</v>
      </c>
      <c r="G5017" s="189" t="n">
        <v>45</v>
      </c>
      <c r="H5017" s="190" t="n">
        <v>5500.63029862595</v>
      </c>
      <c r="I5017" s="191" t="n">
        <v>4222694.61781261</v>
      </c>
      <c r="J5017" s="192" t="str">
        <f>IF(I5017&gt;0,H5017/I5017,0)</f>
      </c>
      <c r="K5017" s="193" t="str">
        <f>1-EXP(-J5017)</f>
      </c>
      <c r="L5017" s="194" t="str">
        <f>IF(G5017=30,1,M5016)</f>
      </c>
      <c r="M5017" s="195" t="str">
        <f>L5017*(1-K5017)</f>
      </c>
    </row>
    <row r="5018">
      <c r="A5018" t="s">
        <v>167</v>
      </c>
      <c r="B5018" t="s">
        <v>272</v>
      </c>
      <c r="C5018" s="35" t="s">
        <v>274</v>
      </c>
      <c r="D5018" t="s">
        <v>502</v>
      </c>
      <c r="E5018" t="s">
        <v>520</v>
      </c>
      <c r="F5018" s="188" t="n">
        <v>2046</v>
      </c>
      <c r="G5018" s="189" t="n">
        <v>46</v>
      </c>
      <c r="H5018" s="190" t="n">
        <v>6040.03346705716</v>
      </c>
      <c r="I5018" s="191" t="n">
        <v>4194611.57350344</v>
      </c>
      <c r="J5018" s="192" t="str">
        <f>IF(I5018&gt;0,H5018/I5018,0)</f>
      </c>
      <c r="K5018" s="193" t="str">
        <f>1-EXP(-J5018)</f>
      </c>
      <c r="L5018" s="194" t="str">
        <f>IF(G5018=30,1,M5017)</f>
      </c>
      <c r="M5018" s="195" t="str">
        <f>L5018*(1-K5018)</f>
      </c>
    </row>
    <row r="5019">
      <c r="A5019" t="s">
        <v>167</v>
      </c>
      <c r="B5019" t="s">
        <v>272</v>
      </c>
      <c r="C5019" s="35" t="s">
        <v>274</v>
      </c>
      <c r="D5019" t="s">
        <v>502</v>
      </c>
      <c r="E5019" t="s">
        <v>520</v>
      </c>
      <c r="F5019" s="188" t="n">
        <v>2046</v>
      </c>
      <c r="G5019" s="189" t="n">
        <v>47</v>
      </c>
      <c r="H5019" s="190" t="n">
        <v>6636.32033705882</v>
      </c>
      <c r="I5019" s="191" t="n">
        <v>4204994.13339872</v>
      </c>
      <c r="J5019" s="192" t="str">
        <f>IF(I5019&gt;0,H5019/I5019,0)</f>
      </c>
      <c r="K5019" s="193" t="str">
        <f>1-EXP(-J5019)</f>
      </c>
      <c r="L5019" s="194" t="str">
        <f>IF(G5019=30,1,M5018)</f>
      </c>
      <c r="M5019" s="195" t="str">
        <f>L5019*(1-K5019)</f>
      </c>
    </row>
    <row r="5020">
      <c r="A5020" t="s">
        <v>167</v>
      </c>
      <c r="B5020" t="s">
        <v>272</v>
      </c>
      <c r="C5020" s="35" t="s">
        <v>274</v>
      </c>
      <c r="D5020" t="s">
        <v>502</v>
      </c>
      <c r="E5020" t="s">
        <v>520</v>
      </c>
      <c r="F5020" s="188" t="n">
        <v>2046</v>
      </c>
      <c r="G5020" s="189" t="n">
        <v>48</v>
      </c>
      <c r="H5020" s="190" t="n">
        <v>7367.22903766903</v>
      </c>
      <c r="I5020" s="191" t="n">
        <v>4252172.46012352</v>
      </c>
      <c r="J5020" s="192" t="str">
        <f>IF(I5020&gt;0,H5020/I5020,0)</f>
      </c>
      <c r="K5020" s="193" t="str">
        <f>1-EXP(-J5020)</f>
      </c>
      <c r="L5020" s="194" t="str">
        <f>IF(G5020=30,1,M5019)</f>
      </c>
      <c r="M5020" s="195" t="str">
        <f>L5020*(1-K5020)</f>
      </c>
    </row>
    <row r="5021">
      <c r="A5021" t="s">
        <v>167</v>
      </c>
      <c r="B5021" t="s">
        <v>272</v>
      </c>
      <c r="C5021" s="35" t="s">
        <v>274</v>
      </c>
      <c r="D5021" t="s">
        <v>502</v>
      </c>
      <c r="E5021" t="s">
        <v>520</v>
      </c>
      <c r="F5021" s="188" t="n">
        <v>2046</v>
      </c>
      <c r="G5021" s="189" t="n">
        <v>49</v>
      </c>
      <c r="H5021" s="190" t="n">
        <v>8516.82432526624</v>
      </c>
      <c r="I5021" s="191" t="n">
        <v>4371483.5964357</v>
      </c>
      <c r="J5021" s="192" t="str">
        <f>IF(I5021&gt;0,H5021/I5021,0)</f>
      </c>
      <c r="K5021" s="193" t="str">
        <f>1-EXP(-J5021)</f>
      </c>
      <c r="L5021" s="194" t="str">
        <f>IF(G5021=30,1,M5020)</f>
      </c>
      <c r="M5021" s="195" t="str">
        <f>L5021*(1-K5021)</f>
      </c>
    </row>
    <row r="5022">
      <c r="A5022" t="s">
        <v>167</v>
      </c>
      <c r="B5022" t="s">
        <v>272</v>
      </c>
      <c r="C5022" s="35" t="s">
        <v>274</v>
      </c>
      <c r="D5022" t="s">
        <v>502</v>
      </c>
      <c r="E5022" t="s">
        <v>520</v>
      </c>
      <c r="F5022" s="188" t="n">
        <v>2046</v>
      </c>
      <c r="G5022" s="189" t="n">
        <v>50</v>
      </c>
      <c r="H5022" s="190" t="n">
        <v>9602.6055586012</v>
      </c>
      <c r="I5022" s="191" t="n">
        <v>4316139.85670599</v>
      </c>
      <c r="J5022" s="192" t="str">
        <f>IF(I5022&gt;0,H5022/I5022,0)</f>
      </c>
      <c r="K5022" s="193" t="str">
        <f>1-EXP(-J5022)</f>
      </c>
      <c r="L5022" s="194" t="str">
        <f>IF(G5022=30,1,M5021)</f>
      </c>
      <c r="M5022" s="195" t="str">
        <f>L5022*(1-K5022)</f>
      </c>
    </row>
    <row r="5023">
      <c r="A5023" t="s">
        <v>167</v>
      </c>
      <c r="B5023" t="s">
        <v>272</v>
      </c>
      <c r="C5023" s="35" t="s">
        <v>274</v>
      </c>
      <c r="D5023" t="s">
        <v>502</v>
      </c>
      <c r="E5023" t="s">
        <v>520</v>
      </c>
      <c r="F5023" s="188" t="n">
        <v>2046</v>
      </c>
      <c r="G5023" s="189" t="n">
        <v>51</v>
      </c>
      <c r="H5023" s="190" t="n">
        <v>10293.3018741802</v>
      </c>
      <c r="I5023" s="191" t="n">
        <v>4230027.62892013</v>
      </c>
      <c r="J5023" s="192" t="str">
        <f>IF(I5023&gt;0,H5023/I5023,0)</f>
      </c>
      <c r="K5023" s="193" t="str">
        <f>1-EXP(-J5023)</f>
      </c>
      <c r="L5023" s="194" t="str">
        <f>IF(G5023=30,1,M5022)</f>
      </c>
      <c r="M5023" s="195" t="str">
        <f>L5023*(1-K5023)</f>
      </c>
    </row>
    <row r="5024">
      <c r="A5024" t="s">
        <v>167</v>
      </c>
      <c r="B5024" t="s">
        <v>272</v>
      </c>
      <c r="C5024" s="35" t="s">
        <v>274</v>
      </c>
      <c r="D5024" t="s">
        <v>502</v>
      </c>
      <c r="E5024" t="s">
        <v>520</v>
      </c>
      <c r="F5024" s="188" t="n">
        <v>2046</v>
      </c>
      <c r="G5024" s="189" t="n">
        <v>52</v>
      </c>
      <c r="H5024" s="190" t="n">
        <v>11065.7220193558</v>
      </c>
      <c r="I5024" s="191" t="n">
        <v>4158367.24569044</v>
      </c>
      <c r="J5024" s="192" t="str">
        <f>IF(I5024&gt;0,H5024/I5024,0)</f>
      </c>
      <c r="K5024" s="193" t="str">
        <f>1-EXP(-J5024)</f>
      </c>
      <c r="L5024" s="194" t="str">
        <f>IF(G5024=30,1,M5023)</f>
      </c>
      <c r="M5024" s="195" t="str">
        <f>L5024*(1-K5024)</f>
      </c>
    </row>
    <row r="5025">
      <c r="A5025" t="s">
        <v>167</v>
      </c>
      <c r="B5025" t="s">
        <v>272</v>
      </c>
      <c r="C5025" s="35" t="s">
        <v>274</v>
      </c>
      <c r="D5025" t="s">
        <v>502</v>
      </c>
      <c r="E5025" t="s">
        <v>520</v>
      </c>
      <c r="F5025" s="188" t="n">
        <v>2046</v>
      </c>
      <c r="G5025" s="189" t="n">
        <v>53</v>
      </c>
      <c r="H5025" s="190" t="n">
        <v>11874.7011228763</v>
      </c>
      <c r="I5025" s="191" t="n">
        <v>4088847.14031654</v>
      </c>
      <c r="J5025" s="192" t="str">
        <f>IF(I5025&gt;0,H5025/I5025,0)</f>
      </c>
      <c r="K5025" s="193" t="str">
        <f>1-EXP(-J5025)</f>
      </c>
      <c r="L5025" s="194" t="str">
        <f>IF(G5025=30,1,M5024)</f>
      </c>
      <c r="M5025" s="195" t="str">
        <f>L5025*(1-K5025)</f>
      </c>
    </row>
    <row r="5026">
      <c r="A5026" t="s">
        <v>167</v>
      </c>
      <c r="B5026" t="s">
        <v>272</v>
      </c>
      <c r="C5026" s="35" t="s">
        <v>274</v>
      </c>
      <c r="D5026" t="s">
        <v>502</v>
      </c>
      <c r="E5026" t="s">
        <v>520</v>
      </c>
      <c r="F5026" s="188" t="n">
        <v>2046</v>
      </c>
      <c r="G5026" s="189" t="n">
        <v>54</v>
      </c>
      <c r="H5026" s="190" t="n">
        <v>12964.9539696877</v>
      </c>
      <c r="I5026" s="191" t="n">
        <v>4104297.21425028</v>
      </c>
      <c r="J5026" s="192" t="str">
        <f>IF(I5026&gt;0,H5026/I5026,0)</f>
      </c>
      <c r="K5026" s="193" t="str">
        <f>1-EXP(-J5026)</f>
      </c>
      <c r="L5026" s="194" t="str">
        <f>IF(G5026=30,1,M5025)</f>
      </c>
      <c r="M5026" s="195" t="str">
        <f>L5026*(1-K5026)</f>
      </c>
    </row>
    <row r="5027">
      <c r="A5027" t="s">
        <v>167</v>
      </c>
      <c r="B5027" t="s">
        <v>272</v>
      </c>
      <c r="C5027" s="35" t="s">
        <v>274</v>
      </c>
      <c r="D5027" t="s">
        <v>502</v>
      </c>
      <c r="E5027" t="s">
        <v>520</v>
      </c>
      <c r="F5027" s="188" t="n">
        <v>2046</v>
      </c>
      <c r="G5027" s="189" t="n">
        <v>55</v>
      </c>
      <c r="H5027" s="190" t="n">
        <v>13861.9980545753</v>
      </c>
      <c r="I5027" s="191" t="n">
        <v>4098828.01124306</v>
      </c>
      <c r="J5027" s="192" t="str">
        <f>IF(I5027&gt;0,H5027/I5027,0)</f>
      </c>
      <c r="K5027" s="193" t="str">
        <f>1-EXP(-J5027)</f>
      </c>
      <c r="L5027" s="194" t="str">
        <f>IF(G5027=30,1,M5026)</f>
      </c>
      <c r="M5027" s="195" t="str">
        <f>L5027*(1-K5027)</f>
      </c>
    </row>
    <row r="5028">
      <c r="A5028" t="s">
        <v>167</v>
      </c>
      <c r="B5028" t="s">
        <v>272</v>
      </c>
      <c r="C5028" s="35" t="s">
        <v>274</v>
      </c>
      <c r="D5028" t="s">
        <v>502</v>
      </c>
      <c r="E5028" t="s">
        <v>520</v>
      </c>
      <c r="F5028" s="188" t="n">
        <v>2046</v>
      </c>
      <c r="G5028" s="189" t="n">
        <v>56</v>
      </c>
      <c r="H5028" s="190" t="n">
        <v>20150.0655641732</v>
      </c>
      <c r="I5028" s="191" t="n">
        <v>6026249.72996786</v>
      </c>
      <c r="J5028" s="192" t="str">
        <f>IF(I5028&gt;0,H5028/I5028,0)</f>
      </c>
      <c r="K5028" s="193" t="str">
        <f>1-EXP(-J5028)</f>
      </c>
      <c r="L5028" s="194" t="str">
        <f>IF(G5028=30,1,M5027)</f>
      </c>
      <c r="M5028" s="195" t="str">
        <f>L5028*(1-K5028)</f>
      </c>
    </row>
    <row r="5029">
      <c r="A5029" t="s">
        <v>167</v>
      </c>
      <c r="B5029" t="s">
        <v>272</v>
      </c>
      <c r="C5029" s="35" t="s">
        <v>274</v>
      </c>
      <c r="D5029" t="s">
        <v>502</v>
      </c>
      <c r="E5029" t="s">
        <v>520</v>
      </c>
      <c r="F5029" s="188" t="n">
        <v>2046</v>
      </c>
      <c r="G5029" s="189" t="n">
        <v>57</v>
      </c>
      <c r="H5029" s="190" t="n">
        <v>16068.1716349853</v>
      </c>
      <c r="I5029" s="191" t="n">
        <v>4009408.57564914</v>
      </c>
      <c r="J5029" s="192" t="str">
        <f>IF(I5029&gt;0,H5029/I5029,0)</f>
      </c>
      <c r="K5029" s="193" t="str">
        <f>1-EXP(-J5029)</f>
      </c>
      <c r="L5029" s="194" t="str">
        <f>IF(G5029=30,1,M5028)</f>
      </c>
      <c r="M5029" s="195" t="str">
        <f>L5029*(1-K5029)</f>
      </c>
    </row>
    <row r="5030">
      <c r="A5030" t="s">
        <v>167</v>
      </c>
      <c r="B5030" t="s">
        <v>272</v>
      </c>
      <c r="C5030" s="35" t="s">
        <v>274</v>
      </c>
      <c r="D5030" t="s">
        <v>502</v>
      </c>
      <c r="E5030" t="s">
        <v>520</v>
      </c>
      <c r="F5030" s="188" t="n">
        <v>2046</v>
      </c>
      <c r="G5030" s="189" t="n">
        <v>58</v>
      </c>
      <c r="H5030" s="190" t="n">
        <v>17363.4021622013</v>
      </c>
      <c r="I5030" s="191" t="n">
        <v>3965369.57637402</v>
      </c>
      <c r="J5030" s="192" t="str">
        <f>IF(I5030&gt;0,H5030/I5030,0)</f>
      </c>
      <c r="K5030" s="193" t="str">
        <f>1-EXP(-J5030)</f>
      </c>
      <c r="L5030" s="194" t="str">
        <f>IF(G5030=30,1,M5029)</f>
      </c>
      <c r="M5030" s="195" t="str">
        <f>L5030*(1-K5030)</f>
      </c>
    </row>
    <row r="5031">
      <c r="A5031" t="s">
        <v>167</v>
      </c>
      <c r="B5031" t="s">
        <v>272</v>
      </c>
      <c r="C5031" s="35" t="s">
        <v>274</v>
      </c>
      <c r="D5031" t="s">
        <v>502</v>
      </c>
      <c r="E5031" t="s">
        <v>520</v>
      </c>
      <c r="F5031" s="188" t="n">
        <v>2046</v>
      </c>
      <c r="G5031" s="189" t="n">
        <v>59</v>
      </c>
      <c r="H5031" s="190" t="n">
        <v>18285.761798999</v>
      </c>
      <c r="I5031" s="191" t="n">
        <v>3813642.68256375</v>
      </c>
      <c r="J5031" s="192" t="str">
        <f>IF(I5031&gt;0,H5031/I5031,0)</f>
      </c>
      <c r="K5031" s="193" t="str">
        <f>1-EXP(-J5031)</f>
      </c>
      <c r="L5031" s="194" t="str">
        <f>IF(G5031=30,1,M5030)</f>
      </c>
      <c r="M5031" s="195" t="str">
        <f>L5031*(1-K5031)</f>
      </c>
    </row>
    <row r="5032">
      <c r="A5032" t="s">
        <v>167</v>
      </c>
      <c r="B5032" t="s">
        <v>272</v>
      </c>
      <c r="C5032" s="35" t="s">
        <v>274</v>
      </c>
      <c r="D5032" t="s">
        <v>502</v>
      </c>
      <c r="E5032" t="s">
        <v>520</v>
      </c>
      <c r="F5032" s="188" t="n">
        <v>2046</v>
      </c>
      <c r="G5032" s="189" t="n">
        <v>60</v>
      </c>
      <c r="H5032" s="190" t="n">
        <v>19429.1549858751</v>
      </c>
      <c r="I5032" s="191" t="n">
        <v>3749555.71571297</v>
      </c>
      <c r="J5032" s="192" t="str">
        <f>IF(I5032&gt;0,H5032/I5032,0)</f>
      </c>
      <c r="K5032" s="193" t="str">
        <f>1-EXP(-J5032)</f>
      </c>
      <c r="L5032" s="194" t="str">
        <f>IF(G5032=30,1,M5031)</f>
      </c>
      <c r="M5032" s="195" t="str">
        <f>L5032*(1-K5032)</f>
      </c>
    </row>
    <row r="5033">
      <c r="A5033" t="s">
        <v>167</v>
      </c>
      <c r="B5033" t="s">
        <v>272</v>
      </c>
      <c r="C5033" s="35" t="s">
        <v>274</v>
      </c>
      <c r="D5033" t="s">
        <v>502</v>
      </c>
      <c r="E5033" t="s">
        <v>520</v>
      </c>
      <c r="F5033" s="188" t="n">
        <v>2046</v>
      </c>
      <c r="G5033" s="189" t="n">
        <v>61</v>
      </c>
      <c r="H5033" s="190" t="n">
        <v>21427.9346636543</v>
      </c>
      <c r="I5033" s="191" t="n">
        <v>3766685.13693221</v>
      </c>
      <c r="J5033" s="192" t="str">
        <f>IF(I5033&gt;0,H5033/I5033,0)</f>
      </c>
      <c r="K5033" s="193" t="str">
        <f>1-EXP(-J5033)</f>
      </c>
      <c r="L5033" s="194" t="str">
        <f>IF(G5033=30,1,M5032)</f>
      </c>
      <c r="M5033" s="195" t="str">
        <f>L5033*(1-K5033)</f>
      </c>
    </row>
    <row r="5034">
      <c r="A5034" t="s">
        <v>167</v>
      </c>
      <c r="B5034" t="s">
        <v>272</v>
      </c>
      <c r="C5034" s="35" t="s">
        <v>274</v>
      </c>
      <c r="D5034" t="s">
        <v>502</v>
      </c>
      <c r="E5034" t="s">
        <v>520</v>
      </c>
      <c r="F5034" s="188" t="n">
        <v>2046</v>
      </c>
      <c r="G5034" s="189" t="n">
        <v>62</v>
      </c>
      <c r="H5034" s="190" t="n">
        <v>23746.0210969177</v>
      </c>
      <c r="I5034" s="191" t="n">
        <v>3801821.38863631</v>
      </c>
      <c r="J5034" s="192" t="str">
        <f>IF(I5034&gt;0,H5034/I5034,0)</f>
      </c>
      <c r="K5034" s="193" t="str">
        <f>1-EXP(-J5034)</f>
      </c>
      <c r="L5034" s="194" t="str">
        <f>IF(G5034=30,1,M5033)</f>
      </c>
      <c r="M5034" s="195" t="str">
        <f>L5034*(1-K5034)</f>
      </c>
    </row>
    <row r="5035">
      <c r="A5035" t="s">
        <v>167</v>
      </c>
      <c r="B5035" t="s">
        <v>272</v>
      </c>
      <c r="C5035" s="35" t="s">
        <v>274</v>
      </c>
      <c r="D5035" t="s">
        <v>502</v>
      </c>
      <c r="E5035" t="s">
        <v>520</v>
      </c>
      <c r="F5035" s="188" t="n">
        <v>2046</v>
      </c>
      <c r="G5035" s="189" t="n">
        <v>63</v>
      </c>
      <c r="H5035" s="190" t="n">
        <v>25622.9245384104</v>
      </c>
      <c r="I5035" s="191" t="n">
        <v>3736554.93260496</v>
      </c>
      <c r="J5035" s="192" t="str">
        <f>IF(I5035&gt;0,H5035/I5035,0)</f>
      </c>
      <c r="K5035" s="193" t="str">
        <f>1-EXP(-J5035)</f>
      </c>
      <c r="L5035" s="194" t="str">
        <f>IF(G5035=30,1,M5034)</f>
      </c>
      <c r="M5035" s="195" t="str">
        <f>L5035*(1-K5035)</f>
      </c>
    </row>
    <row r="5036">
      <c r="A5036" t="s">
        <v>167</v>
      </c>
      <c r="B5036" t="s">
        <v>272</v>
      </c>
      <c r="C5036" s="35" t="s">
        <v>274</v>
      </c>
      <c r="D5036" t="s">
        <v>502</v>
      </c>
      <c r="E5036" t="s">
        <v>520</v>
      </c>
      <c r="F5036" s="188" t="n">
        <v>2046</v>
      </c>
      <c r="G5036" s="189" t="n">
        <v>64</v>
      </c>
      <c r="H5036" s="190" t="n">
        <v>26898.74975877</v>
      </c>
      <c r="I5036" s="191" t="n">
        <v>3570597.55873476</v>
      </c>
      <c r="J5036" s="192" t="str">
        <f>IF(I5036&gt;0,H5036/I5036,0)</f>
      </c>
      <c r="K5036" s="193" t="str">
        <f>1-EXP(-J5036)</f>
      </c>
      <c r="L5036" s="194" t="str">
        <f>IF(G5036=30,1,M5035)</f>
      </c>
      <c r="M5036" s="195" t="str">
        <f>L5036*(1-K5036)</f>
      </c>
    </row>
    <row r="5037">
      <c r="A5037" t="s">
        <v>167</v>
      </c>
      <c r="B5037" t="s">
        <v>272</v>
      </c>
      <c r="C5037" s="35" t="s">
        <v>274</v>
      </c>
      <c r="D5037" t="s">
        <v>502</v>
      </c>
      <c r="E5037" t="s">
        <v>520</v>
      </c>
      <c r="F5037" s="188" t="n">
        <v>2046</v>
      </c>
      <c r="G5037" s="189" t="n">
        <v>65</v>
      </c>
      <c r="H5037" s="190" t="n">
        <v>27221.0724523122</v>
      </c>
      <c r="I5037" s="191" t="n">
        <v>3457385.01818556</v>
      </c>
      <c r="J5037" s="192" t="str">
        <f>IF(I5037&gt;0,H5037/I5037,0)</f>
      </c>
      <c r="K5037" s="193" t="str">
        <f>1-EXP(-J5037)</f>
      </c>
      <c r="L5037" s="194" t="str">
        <f>IF(G5037=30,1,M5036)</f>
      </c>
      <c r="M5037" s="195" t="str">
        <f>L5037*(1-K5037)</f>
      </c>
    </row>
    <row r="5038">
      <c r="A5038" t="s">
        <v>167</v>
      </c>
      <c r="B5038" t="s">
        <v>272</v>
      </c>
      <c r="C5038" s="35" t="s">
        <v>274</v>
      </c>
      <c r="D5038" t="s">
        <v>502</v>
      </c>
      <c r="E5038" t="s">
        <v>520</v>
      </c>
      <c r="F5038" s="188" t="n">
        <v>2046</v>
      </c>
      <c r="G5038" s="189" t="n">
        <v>66</v>
      </c>
      <c r="H5038" s="190" t="n">
        <v>28993.8945929876</v>
      </c>
      <c r="I5038" s="191" t="n">
        <v>3355929.08952773</v>
      </c>
      <c r="J5038" s="192" t="str">
        <f>IF(I5038&gt;0,H5038/I5038,0)</f>
      </c>
      <c r="K5038" s="193" t="str">
        <f>1-EXP(-J5038)</f>
      </c>
      <c r="L5038" s="194" t="str">
        <f>IF(G5038=30,1,M5037)</f>
      </c>
      <c r="M5038" s="195" t="str">
        <f>L5038*(1-K5038)</f>
      </c>
    </row>
    <row r="5039">
      <c r="A5039" t="s">
        <v>167</v>
      </c>
      <c r="B5039" t="s">
        <v>272</v>
      </c>
      <c r="C5039" s="35" t="s">
        <v>274</v>
      </c>
      <c r="D5039" t="s">
        <v>502</v>
      </c>
      <c r="E5039" t="s">
        <v>520</v>
      </c>
      <c r="F5039" s="188" t="n">
        <v>2046</v>
      </c>
      <c r="G5039" s="189" t="n">
        <v>67</v>
      </c>
      <c r="H5039" s="190" t="n">
        <v>30817.7917092677</v>
      </c>
      <c r="I5039" s="191" t="n">
        <v>3246642.31297129</v>
      </c>
      <c r="J5039" s="192" t="str">
        <f>IF(I5039&gt;0,H5039/I5039,0)</f>
      </c>
      <c r="K5039" s="193" t="str">
        <f>1-EXP(-J5039)</f>
      </c>
      <c r="L5039" s="194" t="str">
        <f>IF(G5039=30,1,M5038)</f>
      </c>
      <c r="M5039" s="195" t="str">
        <f>L5039*(1-K5039)</f>
      </c>
    </row>
    <row r="5040">
      <c r="A5040" t="s">
        <v>167</v>
      </c>
      <c r="B5040" t="s">
        <v>272</v>
      </c>
      <c r="C5040" s="35" t="s">
        <v>274</v>
      </c>
      <c r="D5040" t="s">
        <v>502</v>
      </c>
      <c r="E5040" t="s">
        <v>520</v>
      </c>
      <c r="F5040" s="188" t="n">
        <v>2046</v>
      </c>
      <c r="G5040" s="189" t="n">
        <v>68</v>
      </c>
      <c r="H5040" s="190" t="n">
        <v>32551.2793026228</v>
      </c>
      <c r="I5040" s="191" t="n">
        <v>3119029.36393317</v>
      </c>
      <c r="J5040" s="192" t="str">
        <f>IF(I5040&gt;0,H5040/I5040,0)</f>
      </c>
      <c r="K5040" s="193" t="str">
        <f>1-EXP(-J5040)</f>
      </c>
      <c r="L5040" s="194" t="str">
        <f>IF(G5040=30,1,M5039)</f>
      </c>
      <c r="M5040" s="195" t="str">
        <f>L5040*(1-K5040)</f>
      </c>
    </row>
    <row r="5041">
      <c r="A5041" t="s">
        <v>167</v>
      </c>
      <c r="B5041" t="s">
        <v>272</v>
      </c>
      <c r="C5041" s="35" t="s">
        <v>274</v>
      </c>
      <c r="D5041" t="s">
        <v>502</v>
      </c>
      <c r="E5041" t="s">
        <v>520</v>
      </c>
      <c r="F5041" s="188" t="n">
        <v>2046</v>
      </c>
      <c r="G5041" s="189" t="n">
        <v>69</v>
      </c>
      <c r="H5041" s="190" t="n">
        <v>34509.4509653354</v>
      </c>
      <c r="I5041" s="191" t="n">
        <v>3002118.18595849</v>
      </c>
      <c r="J5041" s="192" t="str">
        <f>IF(I5041&gt;0,H5041/I5041,0)</f>
      </c>
      <c r="K5041" s="193" t="str">
        <f>1-EXP(-J5041)</f>
      </c>
      <c r="L5041" s="194" t="str">
        <f>IF(G5041=30,1,M5040)</f>
      </c>
      <c r="M5041" s="195" t="str">
        <f>L5041*(1-K5041)</f>
      </c>
    </row>
    <row r="5042">
      <c r="A5042" t="s">
        <v>167</v>
      </c>
      <c r="B5042" t="s">
        <v>272</v>
      </c>
      <c r="C5042" s="35" t="s">
        <v>274</v>
      </c>
      <c r="D5042" t="s">
        <v>502</v>
      </c>
      <c r="E5042" t="s">
        <v>520</v>
      </c>
      <c r="F5042" s="188" t="n">
        <v>2047</v>
      </c>
      <c r="G5042" s="189" t="n">
        <v>30</v>
      </c>
      <c r="H5042" s="190" t="n">
        <v>605.124553706903</v>
      </c>
      <c r="I5042" s="191" t="n">
        <v>4320540.36626355</v>
      </c>
      <c r="J5042" s="192" t="str">
        <f>IF(I5042&gt;0,H5042/I5042,0)</f>
      </c>
      <c r="K5042" s="193" t="str">
        <f>1-EXP(-J5042)</f>
      </c>
      <c r="L5042" s="194" t="str">
        <f>IF(G5042=30,1,M5041)</f>
      </c>
      <c r="M5042" s="195" t="str">
        <f>L5042*(1-K5042)</f>
      </c>
    </row>
    <row r="5043">
      <c r="A5043" t="s">
        <v>167</v>
      </c>
      <c r="B5043" t="s">
        <v>272</v>
      </c>
      <c r="C5043" s="35" t="s">
        <v>274</v>
      </c>
      <c r="D5043" t="s">
        <v>502</v>
      </c>
      <c r="E5043" t="s">
        <v>520</v>
      </c>
      <c r="F5043" s="188" t="n">
        <v>2047</v>
      </c>
      <c r="G5043" s="189" t="n">
        <v>31</v>
      </c>
      <c r="H5043" s="190" t="n">
        <v>916.065181972542</v>
      </c>
      <c r="I5043" s="191" t="n">
        <v>4583310.92738423</v>
      </c>
      <c r="J5043" s="192" t="str">
        <f>IF(I5043&gt;0,H5043/I5043,0)</f>
      </c>
      <c r="K5043" s="193" t="str">
        <f>1-EXP(-J5043)</f>
      </c>
      <c r="L5043" s="194" t="str">
        <f>IF(G5043=30,1,M5042)</f>
      </c>
      <c r="M5043" s="195" t="str">
        <f>L5043*(1-K5043)</f>
      </c>
    </row>
    <row r="5044">
      <c r="A5044" t="s">
        <v>167</v>
      </c>
      <c r="B5044" t="s">
        <v>272</v>
      </c>
      <c r="C5044" s="35" t="s">
        <v>274</v>
      </c>
      <c r="D5044" t="s">
        <v>502</v>
      </c>
      <c r="E5044" t="s">
        <v>520</v>
      </c>
      <c r="F5044" s="188" t="n">
        <v>2047</v>
      </c>
      <c r="G5044" s="189" t="n">
        <v>32</v>
      </c>
      <c r="H5044" s="190" t="n">
        <v>1009.11056523679</v>
      </c>
      <c r="I5044" s="191" t="n">
        <v>4632117.01366545</v>
      </c>
      <c r="J5044" s="192" t="str">
        <f>IF(I5044&gt;0,H5044/I5044,0)</f>
      </c>
      <c r="K5044" s="193" t="str">
        <f>1-EXP(-J5044)</f>
      </c>
      <c r="L5044" s="194" t="str">
        <f>IF(G5044=30,1,M5043)</f>
      </c>
      <c r="M5044" s="195" t="str">
        <f>L5044*(1-K5044)</f>
      </c>
    </row>
    <row r="5045">
      <c r="A5045" t="s">
        <v>167</v>
      </c>
      <c r="B5045" t="s">
        <v>272</v>
      </c>
      <c r="C5045" s="35" t="s">
        <v>274</v>
      </c>
      <c r="D5045" t="s">
        <v>502</v>
      </c>
      <c r="E5045" t="s">
        <v>520</v>
      </c>
      <c r="F5045" s="188" t="n">
        <v>2047</v>
      </c>
      <c r="G5045" s="189" t="n">
        <v>33</v>
      </c>
      <c r="H5045" s="190" t="n">
        <v>1084.51859123792</v>
      </c>
      <c r="I5045" s="191" t="n">
        <v>4698368.6238568</v>
      </c>
      <c r="J5045" s="192" t="str">
        <f>IF(I5045&gt;0,H5045/I5045,0)</f>
      </c>
      <c r="K5045" s="193" t="str">
        <f>1-EXP(-J5045)</f>
      </c>
      <c r="L5045" s="194" t="str">
        <f>IF(G5045=30,1,M5044)</f>
      </c>
      <c r="M5045" s="195" t="str">
        <f>L5045*(1-K5045)</f>
      </c>
    </row>
    <row r="5046">
      <c r="A5046" t="s">
        <v>167</v>
      </c>
      <c r="B5046" t="s">
        <v>272</v>
      </c>
      <c r="C5046" s="35" t="s">
        <v>274</v>
      </c>
      <c r="D5046" t="s">
        <v>502</v>
      </c>
      <c r="E5046" t="s">
        <v>520</v>
      </c>
      <c r="F5046" s="188" t="n">
        <v>2047</v>
      </c>
      <c r="G5046" s="189" t="n">
        <v>34</v>
      </c>
      <c r="H5046" s="190" t="n">
        <v>1172.25694129818</v>
      </c>
      <c r="I5046" s="191" t="n">
        <v>4765932.73989897</v>
      </c>
      <c r="J5046" s="192" t="str">
        <f>IF(I5046&gt;0,H5046/I5046,0)</f>
      </c>
      <c r="K5046" s="193" t="str">
        <f>1-EXP(-J5046)</f>
      </c>
      <c r="L5046" s="194" t="str">
        <f>IF(G5046=30,1,M5045)</f>
      </c>
      <c r="M5046" s="195" t="str">
        <f>L5046*(1-K5046)</f>
      </c>
    </row>
    <row r="5047">
      <c r="A5047" t="s">
        <v>167</v>
      </c>
      <c r="B5047" t="s">
        <v>272</v>
      </c>
      <c r="C5047" s="35" t="s">
        <v>274</v>
      </c>
      <c r="D5047" t="s">
        <v>502</v>
      </c>
      <c r="E5047" t="s">
        <v>520</v>
      </c>
      <c r="F5047" s="188" t="n">
        <v>2047</v>
      </c>
      <c r="G5047" s="189" t="n">
        <v>35</v>
      </c>
      <c r="H5047" s="190" t="n">
        <v>1621.38675486364</v>
      </c>
      <c r="I5047" s="191" t="n">
        <v>4877558.37036499</v>
      </c>
      <c r="J5047" s="192" t="str">
        <f>IF(I5047&gt;0,H5047/I5047,0)</f>
      </c>
      <c r="K5047" s="193" t="str">
        <f>1-EXP(-J5047)</f>
      </c>
      <c r="L5047" s="194" t="str">
        <f>IF(G5047=30,1,M5046)</f>
      </c>
      <c r="M5047" s="195" t="str">
        <f>L5047*(1-K5047)</f>
      </c>
    </row>
    <row r="5048">
      <c r="A5048" t="s">
        <v>167</v>
      </c>
      <c r="B5048" t="s">
        <v>272</v>
      </c>
      <c r="C5048" s="35" t="s">
        <v>274</v>
      </c>
      <c r="D5048" t="s">
        <v>502</v>
      </c>
      <c r="E5048" t="s">
        <v>520</v>
      </c>
      <c r="F5048" s="188" t="n">
        <v>2047</v>
      </c>
      <c r="G5048" s="189" t="n">
        <v>36</v>
      </c>
      <c r="H5048" s="190" t="n">
        <v>1888.59324351953</v>
      </c>
      <c r="I5048" s="191" t="n">
        <v>4848205.30581912</v>
      </c>
      <c r="J5048" s="192" t="str">
        <f>IF(I5048&gt;0,H5048/I5048,0)</f>
      </c>
      <c r="K5048" s="193" t="str">
        <f>1-EXP(-J5048)</f>
      </c>
      <c r="L5048" s="194" t="str">
        <f>IF(G5048=30,1,M5047)</f>
      </c>
      <c r="M5048" s="195" t="str">
        <f>L5048*(1-K5048)</f>
      </c>
    </row>
    <row r="5049">
      <c r="A5049" t="s">
        <v>167</v>
      </c>
      <c r="B5049" t="s">
        <v>272</v>
      </c>
      <c r="C5049" s="35" t="s">
        <v>274</v>
      </c>
      <c r="D5049" t="s">
        <v>502</v>
      </c>
      <c r="E5049" t="s">
        <v>520</v>
      </c>
      <c r="F5049" s="188" t="n">
        <v>2047</v>
      </c>
      <c r="G5049" s="189" t="n">
        <v>37</v>
      </c>
      <c r="H5049" s="190" t="n">
        <v>1973.5274499665</v>
      </c>
      <c r="I5049" s="191" t="n">
        <v>4713690.37747733</v>
      </c>
      <c r="J5049" s="192" t="str">
        <f>IF(I5049&gt;0,H5049/I5049,0)</f>
      </c>
      <c r="K5049" s="193" t="str">
        <f>1-EXP(-J5049)</f>
      </c>
      <c r="L5049" s="194" t="str">
        <f>IF(G5049=30,1,M5048)</f>
      </c>
      <c r="M5049" s="195" t="str">
        <f>L5049*(1-K5049)</f>
      </c>
    </row>
    <row r="5050">
      <c r="A5050" t="s">
        <v>167</v>
      </c>
      <c r="B5050" t="s">
        <v>272</v>
      </c>
      <c r="C5050" s="35" t="s">
        <v>274</v>
      </c>
      <c r="D5050" t="s">
        <v>502</v>
      </c>
      <c r="E5050" t="s">
        <v>520</v>
      </c>
      <c r="F5050" s="188" t="n">
        <v>2047</v>
      </c>
      <c r="G5050" s="189" t="n">
        <v>38</v>
      </c>
      <c r="H5050" s="190" t="n">
        <v>2096.31002879533</v>
      </c>
      <c r="I5050" s="191" t="n">
        <v>4641474.12803614</v>
      </c>
      <c r="J5050" s="192" t="str">
        <f>IF(I5050&gt;0,H5050/I5050,0)</f>
      </c>
      <c r="K5050" s="193" t="str">
        <f>1-EXP(-J5050)</f>
      </c>
      <c r="L5050" s="194" t="str">
        <f>IF(G5050=30,1,M5049)</f>
      </c>
      <c r="M5050" s="195" t="str">
        <f>L5050*(1-K5050)</f>
      </c>
    </row>
    <row r="5051">
      <c r="A5051" t="s">
        <v>167</v>
      </c>
      <c r="B5051" t="s">
        <v>272</v>
      </c>
      <c r="C5051" s="35" t="s">
        <v>274</v>
      </c>
      <c r="D5051" t="s">
        <v>502</v>
      </c>
      <c r="E5051" t="s">
        <v>520</v>
      </c>
      <c r="F5051" s="188" t="n">
        <v>2047</v>
      </c>
      <c r="G5051" s="189" t="n">
        <v>39</v>
      </c>
      <c r="H5051" s="190" t="n">
        <v>2246.38711014145</v>
      </c>
      <c r="I5051" s="191" t="n">
        <v>4596782.61701689</v>
      </c>
      <c r="J5051" s="192" t="str">
        <f>IF(I5051&gt;0,H5051/I5051,0)</f>
      </c>
      <c r="K5051" s="193" t="str">
        <f>1-EXP(-J5051)</f>
      </c>
      <c r="L5051" s="194" t="str">
        <f>IF(G5051=30,1,M5050)</f>
      </c>
      <c r="M5051" s="195" t="str">
        <f>L5051*(1-K5051)</f>
      </c>
    </row>
    <row r="5052">
      <c r="A5052" t="s">
        <v>167</v>
      </c>
      <c r="B5052" t="s">
        <v>272</v>
      </c>
      <c r="C5052" s="35" t="s">
        <v>274</v>
      </c>
      <c r="D5052" t="s">
        <v>502</v>
      </c>
      <c r="E5052" t="s">
        <v>520</v>
      </c>
      <c r="F5052" s="188" t="n">
        <v>2047</v>
      </c>
      <c r="G5052" s="189" t="n">
        <v>40</v>
      </c>
      <c r="H5052" s="190" t="n">
        <v>3110.02656131331</v>
      </c>
      <c r="I5052" s="191" t="n">
        <v>4619206.85473704</v>
      </c>
      <c r="J5052" s="192" t="str">
        <f>IF(I5052&gt;0,H5052/I5052,0)</f>
      </c>
      <c r="K5052" s="193" t="str">
        <f>1-EXP(-J5052)</f>
      </c>
      <c r="L5052" s="194" t="str">
        <f>IF(G5052=30,1,M5051)</f>
      </c>
      <c r="M5052" s="195" t="str">
        <f>L5052*(1-K5052)</f>
      </c>
    </row>
    <row r="5053">
      <c r="A5053" t="s">
        <v>167</v>
      </c>
      <c r="B5053" t="s">
        <v>272</v>
      </c>
      <c r="C5053" s="35" t="s">
        <v>274</v>
      </c>
      <c r="D5053" t="s">
        <v>502</v>
      </c>
      <c r="E5053" t="s">
        <v>520</v>
      </c>
      <c r="F5053" s="188" t="n">
        <v>2047</v>
      </c>
      <c r="G5053" s="189" t="n">
        <v>41</v>
      </c>
      <c r="H5053" s="190" t="n">
        <v>3426.5491650776</v>
      </c>
      <c r="I5053" s="191" t="n">
        <v>4532950.61752236</v>
      </c>
      <c r="J5053" s="192" t="str">
        <f>IF(I5053&gt;0,H5053/I5053,0)</f>
      </c>
      <c r="K5053" s="193" t="str">
        <f>1-EXP(-J5053)</f>
      </c>
      <c r="L5053" s="194" t="str">
        <f>IF(G5053=30,1,M5052)</f>
      </c>
      <c r="M5053" s="195" t="str">
        <f>L5053*(1-K5053)</f>
      </c>
    </row>
    <row r="5054">
      <c r="A5054" t="s">
        <v>167</v>
      </c>
      <c r="B5054" t="s">
        <v>272</v>
      </c>
      <c r="C5054" s="35" t="s">
        <v>274</v>
      </c>
      <c r="D5054" t="s">
        <v>502</v>
      </c>
      <c r="E5054" t="s">
        <v>520</v>
      </c>
      <c r="F5054" s="188" t="n">
        <v>2047</v>
      </c>
      <c r="G5054" s="189" t="n">
        <v>42</v>
      </c>
      <c r="H5054" s="190" t="n">
        <v>3665.63538468358</v>
      </c>
      <c r="I5054" s="191" t="n">
        <v>4468483.26762891</v>
      </c>
      <c r="J5054" s="192" t="str">
        <f>IF(I5054&gt;0,H5054/I5054,0)</f>
      </c>
      <c r="K5054" s="193" t="str">
        <f>1-EXP(-J5054)</f>
      </c>
      <c r="L5054" s="194" t="str">
        <f>IF(G5054=30,1,M5053)</f>
      </c>
      <c r="M5054" s="195" t="str">
        <f>L5054*(1-K5054)</f>
      </c>
    </row>
    <row r="5055">
      <c r="A5055" t="s">
        <v>167</v>
      </c>
      <c r="B5055" t="s">
        <v>272</v>
      </c>
      <c r="C5055" s="35" t="s">
        <v>274</v>
      </c>
      <c r="D5055" t="s">
        <v>502</v>
      </c>
      <c r="E5055" t="s">
        <v>520</v>
      </c>
      <c r="F5055" s="188" t="n">
        <v>2047</v>
      </c>
      <c r="G5055" s="189" t="n">
        <v>43</v>
      </c>
      <c r="H5055" s="190" t="n">
        <v>3870.13500252771</v>
      </c>
      <c r="I5055" s="191" t="n">
        <v>4336966.42361712</v>
      </c>
      <c r="J5055" s="192" t="str">
        <f>IF(I5055&gt;0,H5055/I5055,0)</f>
      </c>
      <c r="K5055" s="193" t="str">
        <f>1-EXP(-J5055)</f>
      </c>
      <c r="L5055" s="194" t="str">
        <f>IF(G5055=30,1,M5054)</f>
      </c>
      <c r="M5055" s="195" t="str">
        <f>L5055*(1-K5055)</f>
      </c>
    </row>
    <row r="5056">
      <c r="A5056" t="s">
        <v>167</v>
      </c>
      <c r="B5056" t="s">
        <v>272</v>
      </c>
      <c r="C5056" s="35" t="s">
        <v>274</v>
      </c>
      <c r="D5056" t="s">
        <v>502</v>
      </c>
      <c r="E5056" t="s">
        <v>520</v>
      </c>
      <c r="F5056" s="188" t="n">
        <v>2047</v>
      </c>
      <c r="G5056" s="189" t="n">
        <v>44</v>
      </c>
      <c r="H5056" s="190" t="n">
        <v>4151.93905826822</v>
      </c>
      <c r="I5056" s="191" t="n">
        <v>4266995.57717974</v>
      </c>
      <c r="J5056" s="192" t="str">
        <f>IF(I5056&gt;0,H5056/I5056,0)</f>
      </c>
      <c r="K5056" s="193" t="str">
        <f>1-EXP(-J5056)</f>
      </c>
      <c r="L5056" s="194" t="str">
        <f>IF(G5056=30,1,M5055)</f>
      </c>
      <c r="M5056" s="195" t="str">
        <f>L5056*(1-K5056)</f>
      </c>
    </row>
    <row r="5057">
      <c r="A5057" t="s">
        <v>167</v>
      </c>
      <c r="B5057" t="s">
        <v>272</v>
      </c>
      <c r="C5057" s="35" t="s">
        <v>274</v>
      </c>
      <c r="D5057" t="s">
        <v>502</v>
      </c>
      <c r="E5057" t="s">
        <v>520</v>
      </c>
      <c r="F5057" s="188" t="n">
        <v>2047</v>
      </c>
      <c r="G5057" s="189" t="n">
        <v>45</v>
      </c>
      <c r="H5057" s="190" t="n">
        <v>5483.55798288253</v>
      </c>
      <c r="I5057" s="191" t="n">
        <v>4237397.56422457</v>
      </c>
      <c r="J5057" s="192" t="str">
        <f>IF(I5057&gt;0,H5057/I5057,0)</f>
      </c>
      <c r="K5057" s="193" t="str">
        <f>1-EXP(-J5057)</f>
      </c>
      <c r="L5057" s="194" t="str">
        <f>IF(G5057=30,1,M5056)</f>
      </c>
      <c r="M5057" s="195" t="str">
        <f>L5057*(1-K5057)</f>
      </c>
    </row>
    <row r="5058">
      <c r="A5058" t="s">
        <v>167</v>
      </c>
      <c r="B5058" t="s">
        <v>272</v>
      </c>
      <c r="C5058" s="35" t="s">
        <v>274</v>
      </c>
      <c r="D5058" t="s">
        <v>502</v>
      </c>
      <c r="E5058" t="s">
        <v>520</v>
      </c>
      <c r="F5058" s="188" t="n">
        <v>2047</v>
      </c>
      <c r="G5058" s="189" t="n">
        <v>46</v>
      </c>
      <c r="H5058" s="190" t="n">
        <v>6019.941979923</v>
      </c>
      <c r="I5058" s="191" t="n">
        <v>4209429.69168926</v>
      </c>
      <c r="J5058" s="192" t="str">
        <f>IF(I5058&gt;0,H5058/I5058,0)</f>
      </c>
      <c r="K5058" s="193" t="str">
        <f>1-EXP(-J5058)</f>
      </c>
      <c r="L5058" s="194" t="str">
        <f>IF(G5058=30,1,M5057)</f>
      </c>
      <c r="M5058" s="195" t="str">
        <f>L5058*(1-K5058)</f>
      </c>
    </row>
    <row r="5059">
      <c r="A5059" t="s">
        <v>167</v>
      </c>
      <c r="B5059" t="s">
        <v>272</v>
      </c>
      <c r="C5059" s="35" t="s">
        <v>274</v>
      </c>
      <c r="D5059" t="s">
        <v>502</v>
      </c>
      <c r="E5059" t="s">
        <v>520</v>
      </c>
      <c r="F5059" s="188" t="n">
        <v>2047</v>
      </c>
      <c r="G5059" s="189" t="n">
        <v>47</v>
      </c>
      <c r="H5059" s="190" t="n">
        <v>6552.91824396273</v>
      </c>
      <c r="I5059" s="191" t="n">
        <v>4181056.19633598</v>
      </c>
      <c r="J5059" s="192" t="str">
        <f>IF(I5059&gt;0,H5059/I5059,0)</f>
      </c>
      <c r="K5059" s="193" t="str">
        <f>1-EXP(-J5059)</f>
      </c>
      <c r="L5059" s="194" t="str">
        <f>IF(G5059=30,1,M5058)</f>
      </c>
      <c r="M5059" s="195" t="str">
        <f>L5059*(1-K5059)</f>
      </c>
    </row>
    <row r="5060">
      <c r="A5060" t="s">
        <v>167</v>
      </c>
      <c r="B5060" t="s">
        <v>272</v>
      </c>
      <c r="C5060" s="35" t="s">
        <v>274</v>
      </c>
      <c r="D5060" t="s">
        <v>502</v>
      </c>
      <c r="E5060" t="s">
        <v>520</v>
      </c>
      <c r="F5060" s="188" t="n">
        <v>2047</v>
      </c>
      <c r="G5060" s="189" t="n">
        <v>48</v>
      </c>
      <c r="H5060" s="190" t="n">
        <v>7209.56051328038</v>
      </c>
      <c r="I5060" s="191" t="n">
        <v>4190143.27147785</v>
      </c>
      <c r="J5060" s="192" t="str">
        <f>IF(I5060&gt;0,H5060/I5060,0)</f>
      </c>
      <c r="K5060" s="193" t="str">
        <f>1-EXP(-J5060)</f>
      </c>
      <c r="L5060" s="194" t="str">
        <f>IF(G5060=30,1,M5059)</f>
      </c>
      <c r="M5060" s="195" t="str">
        <f>L5060*(1-K5060)</f>
      </c>
    </row>
    <row r="5061">
      <c r="A5061" t="s">
        <v>167</v>
      </c>
      <c r="B5061" t="s">
        <v>272</v>
      </c>
      <c r="C5061" s="35" t="s">
        <v>274</v>
      </c>
      <c r="D5061" t="s">
        <v>502</v>
      </c>
      <c r="E5061" t="s">
        <v>520</v>
      </c>
      <c r="F5061" s="188" t="n">
        <v>2047</v>
      </c>
      <c r="G5061" s="189" t="n">
        <v>49</v>
      </c>
      <c r="H5061" s="190" t="n">
        <v>8008.68614747619</v>
      </c>
      <c r="I5061" s="191" t="n">
        <v>4235729.88172984</v>
      </c>
      <c r="J5061" s="192" t="str">
        <f>IF(I5061&gt;0,H5061/I5061,0)</f>
      </c>
      <c r="K5061" s="193" t="str">
        <f>1-EXP(-J5061)</f>
      </c>
      <c r="L5061" s="194" t="str">
        <f>IF(G5061=30,1,M5060)</f>
      </c>
      <c r="M5061" s="195" t="str">
        <f>L5061*(1-K5061)</f>
      </c>
    </row>
    <row r="5062">
      <c r="A5062" t="s">
        <v>167</v>
      </c>
      <c r="B5062" t="s">
        <v>272</v>
      </c>
      <c r="C5062" s="35" t="s">
        <v>274</v>
      </c>
      <c r="D5062" t="s">
        <v>502</v>
      </c>
      <c r="E5062" t="s">
        <v>520</v>
      </c>
      <c r="F5062" s="188" t="n">
        <v>2047</v>
      </c>
      <c r="G5062" s="189" t="n">
        <v>50</v>
      </c>
      <c r="H5062" s="190" t="n">
        <v>9609.66565815368</v>
      </c>
      <c r="I5062" s="191" t="n">
        <v>4352710.18060428</v>
      </c>
      <c r="J5062" s="192" t="str">
        <f>IF(I5062&gt;0,H5062/I5062,0)</f>
      </c>
      <c r="K5062" s="193" t="str">
        <f>1-EXP(-J5062)</f>
      </c>
      <c r="L5062" s="194" t="str">
        <f>IF(G5062=30,1,M5061)</f>
      </c>
      <c r="M5062" s="195" t="str">
        <f>L5062*(1-K5062)</f>
      </c>
    </row>
    <row r="5063">
      <c r="A5063" t="s">
        <v>167</v>
      </c>
      <c r="B5063" t="s">
        <v>272</v>
      </c>
      <c r="C5063" s="35" t="s">
        <v>274</v>
      </c>
      <c r="D5063" t="s">
        <v>502</v>
      </c>
      <c r="E5063" t="s">
        <v>520</v>
      </c>
      <c r="F5063" s="188" t="n">
        <v>2047</v>
      </c>
      <c r="G5063" s="189" t="n">
        <v>51</v>
      </c>
      <c r="H5063" s="190" t="n">
        <v>10372.4234275555</v>
      </c>
      <c r="I5063" s="191" t="n">
        <v>4295198.23497205</v>
      </c>
      <c r="J5063" s="192" t="str">
        <f>IF(I5063&gt;0,H5063/I5063,0)</f>
      </c>
      <c r="K5063" s="193" t="str">
        <f>1-EXP(-J5063)</f>
      </c>
      <c r="L5063" s="194" t="str">
        <f>IF(G5063=30,1,M5062)</f>
      </c>
      <c r="M5063" s="195" t="str">
        <f>L5063*(1-K5063)</f>
      </c>
    </row>
    <row r="5064">
      <c r="A5064" t="s">
        <v>167</v>
      </c>
      <c r="B5064" t="s">
        <v>272</v>
      </c>
      <c r="C5064" s="35" t="s">
        <v>274</v>
      </c>
      <c r="D5064" t="s">
        <v>502</v>
      </c>
      <c r="E5064" t="s">
        <v>520</v>
      </c>
      <c r="F5064" s="188" t="n">
        <v>2047</v>
      </c>
      <c r="G5064" s="189" t="n">
        <v>52</v>
      </c>
      <c r="H5064" s="190" t="n">
        <v>11112.551246306</v>
      </c>
      <c r="I5064" s="191" t="n">
        <v>4208195.98144052</v>
      </c>
      <c r="J5064" s="192" t="str">
        <f>IF(I5064&gt;0,H5064/I5064,0)</f>
      </c>
      <c r="K5064" s="193" t="str">
        <f>1-EXP(-J5064)</f>
      </c>
      <c r="L5064" s="194" t="str">
        <f>IF(G5064=30,1,M5063)</f>
      </c>
      <c r="M5064" s="195" t="str">
        <f>L5064*(1-K5064)</f>
      </c>
    </row>
    <row r="5065">
      <c r="A5065" t="s">
        <v>167</v>
      </c>
      <c r="B5065" t="s">
        <v>272</v>
      </c>
      <c r="C5065" s="35" t="s">
        <v>274</v>
      </c>
      <c r="D5065" t="s">
        <v>502</v>
      </c>
      <c r="E5065" t="s">
        <v>520</v>
      </c>
      <c r="F5065" s="188" t="n">
        <v>2047</v>
      </c>
      <c r="G5065" s="189" t="n">
        <v>53</v>
      </c>
      <c r="H5065" s="190" t="n">
        <v>11914.8192113711</v>
      </c>
      <c r="I5065" s="191" t="n">
        <v>4134899.62820028</v>
      </c>
      <c r="J5065" s="192" t="str">
        <f>IF(I5065&gt;0,H5065/I5065,0)</f>
      </c>
      <c r="K5065" s="193" t="str">
        <f>1-EXP(-J5065)</f>
      </c>
      <c r="L5065" s="194" t="str">
        <f>IF(G5065=30,1,M5064)</f>
      </c>
      <c r="M5065" s="195" t="str">
        <f>L5065*(1-K5065)</f>
      </c>
    </row>
    <row r="5066">
      <c r="A5066" t="s">
        <v>167</v>
      </c>
      <c r="B5066" t="s">
        <v>272</v>
      </c>
      <c r="C5066" s="35" t="s">
        <v>274</v>
      </c>
      <c r="D5066" t="s">
        <v>502</v>
      </c>
      <c r="E5066" t="s">
        <v>520</v>
      </c>
      <c r="F5066" s="188" t="n">
        <v>2047</v>
      </c>
      <c r="G5066" s="189" t="n">
        <v>54</v>
      </c>
      <c r="H5066" s="190" t="n">
        <v>12754.8009757669</v>
      </c>
      <c r="I5066" s="191" t="n">
        <v>4063661.68179941</v>
      </c>
      <c r="J5066" s="192" t="str">
        <f>IF(I5066&gt;0,H5066/I5066,0)</f>
      </c>
      <c r="K5066" s="193" t="str">
        <f>1-EXP(-J5066)</f>
      </c>
      <c r="L5066" s="194" t="str">
        <f>IF(G5066=30,1,M5065)</f>
      </c>
      <c r="M5066" s="195" t="str">
        <f>L5066*(1-K5066)</f>
      </c>
    </row>
    <row r="5067">
      <c r="A5067" t="s">
        <v>167</v>
      </c>
      <c r="B5067" t="s">
        <v>272</v>
      </c>
      <c r="C5067" s="35" t="s">
        <v>274</v>
      </c>
      <c r="D5067" t="s">
        <v>502</v>
      </c>
      <c r="E5067" t="s">
        <v>520</v>
      </c>
      <c r="F5067" s="188" t="n">
        <v>2047</v>
      </c>
      <c r="G5067" s="189" t="n">
        <v>55</v>
      </c>
      <c r="H5067" s="190" t="n">
        <v>13655.2253347422</v>
      </c>
      <c r="I5067" s="191" t="n">
        <v>4076790.62404646</v>
      </c>
      <c r="J5067" s="192" t="str">
        <f>IF(I5067&gt;0,H5067/I5067,0)</f>
      </c>
      <c r="K5067" s="193" t="str">
        <f>1-EXP(-J5067)</f>
      </c>
      <c r="L5067" s="194" t="str">
        <f>IF(G5067=30,1,M5066)</f>
      </c>
      <c r="M5067" s="195" t="str">
        <f>L5067*(1-K5067)</f>
      </c>
    </row>
    <row r="5068">
      <c r="A5068" t="s">
        <v>167</v>
      </c>
      <c r="B5068" t="s">
        <v>272</v>
      </c>
      <c r="C5068" s="35" t="s">
        <v>274</v>
      </c>
      <c r="D5068" t="s">
        <v>502</v>
      </c>
      <c r="E5068" t="s">
        <v>520</v>
      </c>
      <c r="F5068" s="188" t="n">
        <v>2047</v>
      </c>
      <c r="G5068" s="189" t="n">
        <v>56</v>
      </c>
      <c r="H5068" s="190" t="n">
        <v>14806.5820666511</v>
      </c>
      <c r="I5068" s="191" t="n">
        <v>4068868.67050846</v>
      </c>
      <c r="J5068" s="192" t="str">
        <f>IF(I5068&gt;0,H5068/I5068,0)</f>
      </c>
      <c r="K5068" s="193" t="str">
        <f>1-EXP(-J5068)</f>
      </c>
      <c r="L5068" s="194" t="str">
        <f>IF(G5068=30,1,M5067)</f>
      </c>
      <c r="M5068" s="195" t="str">
        <f>L5068*(1-K5068)</f>
      </c>
    </row>
    <row r="5069">
      <c r="A5069" t="s">
        <v>167</v>
      </c>
      <c r="B5069" t="s">
        <v>272</v>
      </c>
      <c r="C5069" s="35" t="s">
        <v>274</v>
      </c>
      <c r="D5069" t="s">
        <v>502</v>
      </c>
      <c r="E5069" t="s">
        <v>520</v>
      </c>
      <c r="F5069" s="188" t="n">
        <v>2047</v>
      </c>
      <c r="G5069" s="189" t="n">
        <v>57</v>
      </c>
      <c r="H5069" s="190" t="n">
        <v>21543.1742124742</v>
      </c>
      <c r="I5069" s="191" t="n">
        <v>5982359.6268688</v>
      </c>
      <c r="J5069" s="192" t="str">
        <f>IF(I5069&gt;0,H5069/I5069,0)</f>
      </c>
      <c r="K5069" s="193" t="str">
        <f>1-EXP(-J5069)</f>
      </c>
      <c r="L5069" s="194" t="str">
        <f>IF(G5069=30,1,M5068)</f>
      </c>
      <c r="M5069" s="195" t="str">
        <f>L5069*(1-K5069)</f>
      </c>
    </row>
    <row r="5070">
      <c r="A5070" t="s">
        <v>167</v>
      </c>
      <c r="B5070" t="s">
        <v>272</v>
      </c>
      <c r="C5070" s="35" t="s">
        <v>274</v>
      </c>
      <c r="D5070" t="s">
        <v>502</v>
      </c>
      <c r="E5070" t="s">
        <v>520</v>
      </c>
      <c r="F5070" s="188" t="n">
        <v>2047</v>
      </c>
      <c r="G5070" s="189" t="n">
        <v>58</v>
      </c>
      <c r="H5070" s="190" t="n">
        <v>17227.2299318479</v>
      </c>
      <c r="I5070" s="191" t="n">
        <v>3974779.47335702</v>
      </c>
      <c r="J5070" s="192" t="str">
        <f>IF(I5070&gt;0,H5070/I5070,0)</f>
      </c>
      <c r="K5070" s="193" t="str">
        <f>1-EXP(-J5070)</f>
      </c>
      <c r="L5070" s="194" t="str">
        <f>IF(G5070=30,1,M5069)</f>
      </c>
      <c r="M5070" s="195" t="str">
        <f>L5070*(1-K5070)</f>
      </c>
    </row>
    <row r="5071">
      <c r="A5071" t="s">
        <v>167</v>
      </c>
      <c r="B5071" t="s">
        <v>272</v>
      </c>
      <c r="C5071" s="35" t="s">
        <v>274</v>
      </c>
      <c r="D5071" t="s">
        <v>502</v>
      </c>
      <c r="E5071" t="s">
        <v>520</v>
      </c>
      <c r="F5071" s="188" t="n">
        <v>2047</v>
      </c>
      <c r="G5071" s="189" t="n">
        <v>59</v>
      </c>
      <c r="H5071" s="190" t="n">
        <v>18635.3828258671</v>
      </c>
      <c r="I5071" s="191" t="n">
        <v>3928000.16291888</v>
      </c>
      <c r="J5071" s="192" t="str">
        <f>IF(I5071&gt;0,H5071/I5071,0)</f>
      </c>
      <c r="K5071" s="193" t="str">
        <f>1-EXP(-J5071)</f>
      </c>
      <c r="L5071" s="194" t="str">
        <f>IF(G5071=30,1,M5070)</f>
      </c>
      <c r="M5071" s="195" t="str">
        <f>L5071*(1-K5071)</f>
      </c>
    </row>
    <row r="5072">
      <c r="A5072" t="s">
        <v>167</v>
      </c>
      <c r="B5072" t="s">
        <v>272</v>
      </c>
      <c r="C5072" s="35" t="s">
        <v>274</v>
      </c>
      <c r="D5072" t="s">
        <v>502</v>
      </c>
      <c r="E5072" t="s">
        <v>520</v>
      </c>
      <c r="F5072" s="188" t="n">
        <v>2047</v>
      </c>
      <c r="G5072" s="189" t="n">
        <v>60</v>
      </c>
      <c r="H5072" s="190" t="n">
        <v>19331.5792241755</v>
      </c>
      <c r="I5072" s="191" t="n">
        <v>3774342.55739313</v>
      </c>
      <c r="J5072" s="192" t="str">
        <f>IF(I5072&gt;0,H5072/I5072,0)</f>
      </c>
      <c r="K5072" s="193" t="str">
        <f>1-EXP(-J5072)</f>
      </c>
      <c r="L5072" s="194" t="str">
        <f>IF(G5072=30,1,M5071)</f>
      </c>
      <c r="M5072" s="195" t="str">
        <f>L5072*(1-K5072)</f>
      </c>
    </row>
    <row r="5073">
      <c r="A5073" t="s">
        <v>167</v>
      </c>
      <c r="B5073" t="s">
        <v>272</v>
      </c>
      <c r="C5073" s="35" t="s">
        <v>274</v>
      </c>
      <c r="D5073" t="s">
        <v>502</v>
      </c>
      <c r="E5073" t="s">
        <v>520</v>
      </c>
      <c r="F5073" s="188" t="n">
        <v>2047</v>
      </c>
      <c r="G5073" s="189" t="n">
        <v>61</v>
      </c>
      <c r="H5073" s="190" t="n">
        <v>20846.3320426011</v>
      </c>
      <c r="I5073" s="191" t="n">
        <v>3707205.15206373</v>
      </c>
      <c r="J5073" s="192" t="str">
        <f>IF(I5073&gt;0,H5073/I5073,0)</f>
      </c>
      <c r="K5073" s="193" t="str">
        <f>1-EXP(-J5073)</f>
      </c>
      <c r="L5073" s="194" t="str">
        <f>IF(G5073=30,1,M5072)</f>
      </c>
      <c r="M5073" s="195" t="str">
        <f>L5073*(1-K5073)</f>
      </c>
    </row>
    <row r="5074">
      <c r="A5074" t="s">
        <v>167</v>
      </c>
      <c r="B5074" t="s">
        <v>272</v>
      </c>
      <c r="C5074" s="35" t="s">
        <v>274</v>
      </c>
      <c r="D5074" t="s">
        <v>502</v>
      </c>
      <c r="E5074" t="s">
        <v>520</v>
      </c>
      <c r="F5074" s="188" t="n">
        <v>2047</v>
      </c>
      <c r="G5074" s="189" t="n">
        <v>62</v>
      </c>
      <c r="H5074" s="190" t="n">
        <v>22973.7039559526</v>
      </c>
      <c r="I5074" s="191" t="n">
        <v>3720084.69833779</v>
      </c>
      <c r="J5074" s="192" t="str">
        <f>IF(I5074&gt;0,H5074/I5074,0)</f>
      </c>
      <c r="K5074" s="193" t="str">
        <f>1-EXP(-J5074)</f>
      </c>
      <c r="L5074" s="194" t="str">
        <f>IF(G5074=30,1,M5073)</f>
      </c>
      <c r="M5074" s="195" t="str">
        <f>L5074*(1-K5074)</f>
      </c>
    </row>
    <row r="5075">
      <c r="A5075" t="s">
        <v>167</v>
      </c>
      <c r="B5075" t="s">
        <v>272</v>
      </c>
      <c r="C5075" s="35" t="s">
        <v>274</v>
      </c>
      <c r="D5075" t="s">
        <v>502</v>
      </c>
      <c r="E5075" t="s">
        <v>520</v>
      </c>
      <c r="F5075" s="188" t="n">
        <v>2047</v>
      </c>
      <c r="G5075" s="189" t="n">
        <v>63</v>
      </c>
      <c r="H5075" s="190" t="n">
        <v>25432.9623655093</v>
      </c>
      <c r="I5075" s="191" t="n">
        <v>3750206.32891124</v>
      </c>
      <c r="J5075" s="192" t="str">
        <f>IF(I5075&gt;0,H5075/I5075,0)</f>
      </c>
      <c r="K5075" s="193" t="str">
        <f>1-EXP(-J5075)</f>
      </c>
      <c r="L5075" s="194" t="str">
        <f>IF(G5075=30,1,M5074)</f>
      </c>
      <c r="M5075" s="195" t="str">
        <f>L5075*(1-K5075)</f>
      </c>
    </row>
    <row r="5076">
      <c r="A5076" t="s">
        <v>167</v>
      </c>
      <c r="B5076" t="s">
        <v>272</v>
      </c>
      <c r="C5076" s="35" t="s">
        <v>274</v>
      </c>
      <c r="D5076" t="s">
        <v>502</v>
      </c>
      <c r="E5076" t="s">
        <v>520</v>
      </c>
      <c r="F5076" s="188" t="n">
        <v>2047</v>
      </c>
      <c r="G5076" s="189" t="n">
        <v>64</v>
      </c>
      <c r="H5076" s="190" t="n">
        <v>27402.3494261467</v>
      </c>
      <c r="I5076" s="191" t="n">
        <v>3680878.13417384</v>
      </c>
      <c r="J5076" s="192" t="str">
        <f>IF(I5076&gt;0,H5076/I5076,0)</f>
      </c>
      <c r="K5076" s="193" t="str">
        <f>1-EXP(-J5076)</f>
      </c>
      <c r="L5076" s="194" t="str">
        <f>IF(G5076=30,1,M5075)</f>
      </c>
      <c r="M5076" s="195" t="str">
        <f>L5076*(1-K5076)</f>
      </c>
    </row>
    <row r="5077">
      <c r="A5077" t="s">
        <v>167</v>
      </c>
      <c r="B5077" t="s">
        <v>272</v>
      </c>
      <c r="C5077" s="35" t="s">
        <v>274</v>
      </c>
      <c r="D5077" t="s">
        <v>502</v>
      </c>
      <c r="E5077" t="s">
        <v>520</v>
      </c>
      <c r="F5077" s="188" t="n">
        <v>2047</v>
      </c>
      <c r="G5077" s="189" t="n">
        <v>65</v>
      </c>
      <c r="H5077" s="190" t="n">
        <v>27326.0296656674</v>
      </c>
      <c r="I5077" s="191" t="n">
        <v>3512158.46720542</v>
      </c>
      <c r="J5077" s="192" t="str">
        <f>IF(I5077&gt;0,H5077/I5077,0)</f>
      </c>
      <c r="K5077" s="193" t="str">
        <f>1-EXP(-J5077)</f>
      </c>
      <c r="L5077" s="194" t="str">
        <f>IF(G5077=30,1,M5076)</f>
      </c>
      <c r="M5077" s="195" t="str">
        <f>L5077*(1-K5077)</f>
      </c>
    </row>
    <row r="5078">
      <c r="A5078" t="s">
        <v>167</v>
      </c>
      <c r="B5078" t="s">
        <v>272</v>
      </c>
      <c r="C5078" s="35" t="s">
        <v>274</v>
      </c>
      <c r="D5078" t="s">
        <v>502</v>
      </c>
      <c r="E5078" t="s">
        <v>520</v>
      </c>
      <c r="F5078" s="188" t="n">
        <v>2047</v>
      </c>
      <c r="G5078" s="189" t="n">
        <v>66</v>
      </c>
      <c r="H5078" s="190" t="n">
        <v>28997.4193666462</v>
      </c>
      <c r="I5078" s="191" t="n">
        <v>3396025.2880507</v>
      </c>
      <c r="J5078" s="192" t="str">
        <f>IF(I5078&gt;0,H5078/I5078,0)</f>
      </c>
      <c r="K5078" s="193" t="str">
        <f>1-EXP(-J5078)</f>
      </c>
      <c r="L5078" s="194" t="str">
        <f>IF(G5078=30,1,M5077)</f>
      </c>
      <c r="M5078" s="195" t="str">
        <f>L5078*(1-K5078)</f>
      </c>
    </row>
    <row r="5079">
      <c r="A5079" t="s">
        <v>167</v>
      </c>
      <c r="B5079" t="s">
        <v>272</v>
      </c>
      <c r="C5079" s="35" t="s">
        <v>274</v>
      </c>
      <c r="D5079" t="s">
        <v>502</v>
      </c>
      <c r="E5079" t="s">
        <v>520</v>
      </c>
      <c r="F5079" s="188" t="n">
        <v>2047</v>
      </c>
      <c r="G5079" s="189" t="n">
        <v>67</v>
      </c>
      <c r="H5079" s="190" t="n">
        <v>30865.4124738605</v>
      </c>
      <c r="I5079" s="191" t="n">
        <v>3289895.85292146</v>
      </c>
      <c r="J5079" s="192" t="str">
        <f>IF(I5079&gt;0,H5079/I5079,0)</f>
      </c>
      <c r="K5079" s="193" t="str">
        <f>1-EXP(-J5079)</f>
      </c>
      <c r="L5079" s="194" t="str">
        <f>IF(G5079=30,1,M5078)</f>
      </c>
      <c r="M5079" s="195" t="str">
        <f>L5079*(1-K5079)</f>
      </c>
    </row>
    <row r="5080">
      <c r="A5080" t="s">
        <v>167</v>
      </c>
      <c r="B5080" t="s">
        <v>272</v>
      </c>
      <c r="C5080" s="35" t="s">
        <v>274</v>
      </c>
      <c r="D5080" t="s">
        <v>502</v>
      </c>
      <c r="E5080" t="s">
        <v>520</v>
      </c>
      <c r="F5080" s="188" t="n">
        <v>2047</v>
      </c>
      <c r="G5080" s="189" t="n">
        <v>68</v>
      </c>
      <c r="H5080" s="190" t="n">
        <v>32769.2468803504</v>
      </c>
      <c r="I5080" s="191" t="n">
        <v>3176523.08598162</v>
      </c>
      <c r="J5080" s="192" t="str">
        <f>IF(I5080&gt;0,H5080/I5080,0)</f>
      </c>
      <c r="K5080" s="193" t="str">
        <f>1-EXP(-J5080)</f>
      </c>
      <c r="L5080" s="194" t="str">
        <f>IF(G5080=30,1,M5079)</f>
      </c>
      <c r="M5080" s="195" t="str">
        <f>L5080*(1-K5080)</f>
      </c>
    </row>
    <row r="5081">
      <c r="A5081" t="s">
        <v>167</v>
      </c>
      <c r="B5081" t="s">
        <v>272</v>
      </c>
      <c r="C5081" s="35" t="s">
        <v>274</v>
      </c>
      <c r="D5081" t="s">
        <v>502</v>
      </c>
      <c r="E5081" t="s">
        <v>520</v>
      </c>
      <c r="F5081" s="188" t="n">
        <v>2047</v>
      </c>
      <c r="G5081" s="189" t="n">
        <v>69</v>
      </c>
      <c r="H5081" s="190" t="n">
        <v>34574.1909340459</v>
      </c>
      <c r="I5081" s="191" t="n">
        <v>3045056.41986158</v>
      </c>
      <c r="J5081" s="192" t="str">
        <f>IF(I5081&gt;0,H5081/I5081,0)</f>
      </c>
      <c r="K5081" s="193" t="str">
        <f>1-EXP(-J5081)</f>
      </c>
      <c r="L5081" s="194" t="str">
        <f>IF(G5081=30,1,M5080)</f>
      </c>
      <c r="M5081" s="195" t="str">
        <f>L5081*(1-K5081)</f>
      </c>
    </row>
    <row r="5082">
      <c r="A5082" t="s">
        <v>167</v>
      </c>
      <c r="B5082" t="s">
        <v>272</v>
      </c>
      <c r="C5082" s="35" t="s">
        <v>274</v>
      </c>
      <c r="D5082" t="s">
        <v>502</v>
      </c>
      <c r="E5082" t="s">
        <v>520</v>
      </c>
      <c r="F5082" s="188" t="n">
        <v>2048</v>
      </c>
      <c r="G5082" s="189" t="n">
        <v>30</v>
      </c>
      <c r="H5082" s="190" t="n">
        <v>599.685745167635</v>
      </c>
      <c r="I5082" s="191" t="n">
        <v>4275321.86814844</v>
      </c>
      <c r="J5082" s="192" t="str">
        <f>IF(I5082&gt;0,H5082/I5082,0)</f>
      </c>
      <c r="K5082" s="193" t="str">
        <f>1-EXP(-J5082)</f>
      </c>
      <c r="L5082" s="194" t="str">
        <f>IF(G5082=30,1,M5081)</f>
      </c>
      <c r="M5082" s="195" t="str">
        <f>L5082*(1-K5082)</f>
      </c>
    </row>
    <row r="5083">
      <c r="A5083" t="s">
        <v>167</v>
      </c>
      <c r="B5083" t="s">
        <v>272</v>
      </c>
      <c r="C5083" s="35" t="s">
        <v>274</v>
      </c>
      <c r="D5083" t="s">
        <v>502</v>
      </c>
      <c r="E5083" t="s">
        <v>520</v>
      </c>
      <c r="F5083" s="188" t="n">
        <v>2048</v>
      </c>
      <c r="G5083" s="189" t="n">
        <v>31</v>
      </c>
      <c r="H5083" s="190" t="n">
        <v>832.611152714647</v>
      </c>
      <c r="I5083" s="191" t="n">
        <v>4315864.34500937</v>
      </c>
      <c r="J5083" s="192" t="str">
        <f>IF(I5083&gt;0,H5083/I5083,0)</f>
      </c>
      <c r="K5083" s="193" t="str">
        <f>1-EXP(-J5083)</f>
      </c>
      <c r="L5083" s="194" t="str">
        <f>IF(G5083=30,1,M5082)</f>
      </c>
      <c r="M5083" s="195" t="str">
        <f>L5083*(1-K5083)</f>
      </c>
    </row>
    <row r="5084">
      <c r="A5084" t="s">
        <v>167</v>
      </c>
      <c r="B5084" t="s">
        <v>272</v>
      </c>
      <c r="C5084" s="35" t="s">
        <v>274</v>
      </c>
      <c r="D5084" t="s">
        <v>502</v>
      </c>
      <c r="E5084" t="s">
        <v>520</v>
      </c>
      <c r="F5084" s="188" t="n">
        <v>2048</v>
      </c>
      <c r="G5084" s="189" t="n">
        <v>32</v>
      </c>
      <c r="H5084" s="190" t="n">
        <v>966.270835481059</v>
      </c>
      <c r="I5084" s="191" t="n">
        <v>4578383.70738353</v>
      </c>
      <c r="J5084" s="192" t="str">
        <f>IF(I5084&gt;0,H5084/I5084,0)</f>
      </c>
      <c r="K5084" s="193" t="str">
        <f>1-EXP(-J5084)</f>
      </c>
      <c r="L5084" s="194" t="str">
        <f>IF(G5084=30,1,M5083)</f>
      </c>
      <c r="M5084" s="195" t="str">
        <f>L5084*(1-K5084)</f>
      </c>
    </row>
    <row r="5085">
      <c r="A5085" t="s">
        <v>167</v>
      </c>
      <c r="B5085" t="s">
        <v>272</v>
      </c>
      <c r="C5085" s="35" t="s">
        <v>274</v>
      </c>
      <c r="D5085" t="s">
        <v>502</v>
      </c>
      <c r="E5085" t="s">
        <v>520</v>
      </c>
      <c r="F5085" s="188" t="n">
        <v>2048</v>
      </c>
      <c r="G5085" s="189" t="n">
        <v>33</v>
      </c>
      <c r="H5085" s="190" t="n">
        <v>1068.62364429654</v>
      </c>
      <c r="I5085" s="191" t="n">
        <v>4626900.2019073</v>
      </c>
      <c r="J5085" s="192" t="str">
        <f>IF(I5085&gt;0,H5085/I5085,0)</f>
      </c>
      <c r="K5085" s="193" t="str">
        <f>1-EXP(-J5085)</f>
      </c>
      <c r="L5085" s="194" t="str">
        <f>IF(G5085=30,1,M5084)</f>
      </c>
      <c r="M5085" s="195" t="str">
        <f>L5085*(1-K5085)</f>
      </c>
    </row>
    <row r="5086">
      <c r="A5086" t="s">
        <v>167</v>
      </c>
      <c r="B5086" t="s">
        <v>272</v>
      </c>
      <c r="C5086" s="35" t="s">
        <v>274</v>
      </c>
      <c r="D5086" t="s">
        <v>502</v>
      </c>
      <c r="E5086" t="s">
        <v>520</v>
      </c>
      <c r="F5086" s="188" t="n">
        <v>2048</v>
      </c>
      <c r="G5086" s="189" t="n">
        <v>34</v>
      </c>
      <c r="H5086" s="190" t="n">
        <v>1154.63551820665</v>
      </c>
      <c r="I5086" s="191" t="n">
        <v>4692833.89355122</v>
      </c>
      <c r="J5086" s="192" t="str">
        <f>IF(I5086&gt;0,H5086/I5086,0)</f>
      </c>
      <c r="K5086" s="193" t="str">
        <f>1-EXP(-J5086)</f>
      </c>
      <c r="L5086" s="194" t="str">
        <f>IF(G5086=30,1,M5085)</f>
      </c>
      <c r="M5086" s="195" t="str">
        <f>L5086*(1-K5086)</f>
      </c>
    </row>
    <row r="5087">
      <c r="A5087" t="s">
        <v>167</v>
      </c>
      <c r="B5087" t="s">
        <v>272</v>
      </c>
      <c r="C5087" s="35" t="s">
        <v>274</v>
      </c>
      <c r="D5087" t="s">
        <v>502</v>
      </c>
      <c r="E5087" t="s">
        <v>520</v>
      </c>
      <c r="F5087" s="188" t="n">
        <v>2048</v>
      </c>
      <c r="G5087" s="189" t="n">
        <v>35</v>
      </c>
      <c r="H5087" s="190" t="n">
        <v>1517.22399400088</v>
      </c>
      <c r="I5087" s="191" t="n">
        <v>4760028.67268183</v>
      </c>
      <c r="J5087" s="192" t="str">
        <f>IF(I5087&gt;0,H5087/I5087,0)</f>
      </c>
      <c r="K5087" s="193" t="str">
        <f>1-EXP(-J5087)</f>
      </c>
      <c r="L5087" s="194" t="str">
        <f>IF(G5087=30,1,M5086)</f>
      </c>
      <c r="M5087" s="195" t="str">
        <f>L5087*(1-K5087)</f>
      </c>
    </row>
    <row r="5088">
      <c r="A5088" t="s">
        <v>167</v>
      </c>
      <c r="B5088" t="s">
        <v>272</v>
      </c>
      <c r="C5088" s="35" t="s">
        <v>274</v>
      </c>
      <c r="D5088" t="s">
        <v>502</v>
      </c>
      <c r="E5088" t="s">
        <v>520</v>
      </c>
      <c r="F5088" s="188" t="n">
        <v>2048</v>
      </c>
      <c r="G5088" s="189" t="n">
        <v>36</v>
      </c>
      <c r="H5088" s="190" t="n">
        <v>1891.94328331961</v>
      </c>
      <c r="I5088" s="191" t="n">
        <v>4870796.45912671</v>
      </c>
      <c r="J5088" s="192" t="str">
        <f>IF(I5088&gt;0,H5088/I5088,0)</f>
      </c>
      <c r="K5088" s="193" t="str">
        <f>1-EXP(-J5088)</f>
      </c>
      <c r="L5088" s="194" t="str">
        <f>IF(G5088=30,1,M5087)</f>
      </c>
      <c r="M5088" s="195" t="str">
        <f>L5088*(1-K5088)</f>
      </c>
    </row>
    <row r="5089">
      <c r="A5089" t="s">
        <v>167</v>
      </c>
      <c r="B5089" t="s">
        <v>272</v>
      </c>
      <c r="C5089" s="35" t="s">
        <v>274</v>
      </c>
      <c r="D5089" t="s">
        <v>502</v>
      </c>
      <c r="E5089" t="s">
        <v>520</v>
      </c>
      <c r="F5089" s="188" t="n">
        <v>2048</v>
      </c>
      <c r="G5089" s="189" t="n">
        <v>37</v>
      </c>
      <c r="H5089" s="190" t="n">
        <v>2020.70805590111</v>
      </c>
      <c r="I5089" s="191" t="n">
        <v>4841314.73779893</v>
      </c>
      <c r="J5089" s="192" t="str">
        <f>IF(I5089&gt;0,H5089/I5089,0)</f>
      </c>
      <c r="K5089" s="193" t="str">
        <f>1-EXP(-J5089)</f>
      </c>
      <c r="L5089" s="194" t="str">
        <f>IF(G5089=30,1,M5088)</f>
      </c>
      <c r="M5089" s="195" t="str">
        <f>L5089*(1-K5089)</f>
      </c>
    </row>
    <row r="5090">
      <c r="A5090" t="s">
        <v>167</v>
      </c>
      <c r="B5090" t="s">
        <v>272</v>
      </c>
      <c r="C5090" s="35" t="s">
        <v>274</v>
      </c>
      <c r="D5090" t="s">
        <v>502</v>
      </c>
      <c r="E5090" t="s">
        <v>520</v>
      </c>
      <c r="F5090" s="188" t="n">
        <v>2048</v>
      </c>
      <c r="G5090" s="189" t="n">
        <v>38</v>
      </c>
      <c r="H5090" s="190" t="n">
        <v>2118.63236619219</v>
      </c>
      <c r="I5090" s="191" t="n">
        <v>4706541.85234412</v>
      </c>
      <c r="J5090" s="192" t="str">
        <f>IF(I5090&gt;0,H5090/I5090,0)</f>
      </c>
      <c r="K5090" s="193" t="str">
        <f>1-EXP(-J5090)</f>
      </c>
      <c r="L5090" s="194" t="str">
        <f>IF(G5090=30,1,M5089)</f>
      </c>
      <c r="M5090" s="195" t="str">
        <f>L5090*(1-K5090)</f>
      </c>
    </row>
    <row r="5091">
      <c r="A5091" t="s">
        <v>167</v>
      </c>
      <c r="B5091" t="s">
        <v>272</v>
      </c>
      <c r="C5091" s="35" t="s">
        <v>274</v>
      </c>
      <c r="D5091" t="s">
        <v>502</v>
      </c>
      <c r="E5091" t="s">
        <v>520</v>
      </c>
      <c r="F5091" s="188" t="n">
        <v>2048</v>
      </c>
      <c r="G5091" s="189" t="n">
        <v>39</v>
      </c>
      <c r="H5091" s="190" t="n">
        <v>2256.50149519132</v>
      </c>
      <c r="I5091" s="191" t="n">
        <v>4633933.237519</v>
      </c>
      <c r="J5091" s="192" t="str">
        <f>IF(I5091&gt;0,H5091/I5091,0)</f>
      </c>
      <c r="K5091" s="193" t="str">
        <f>1-EXP(-J5091)</f>
      </c>
      <c r="L5091" s="194" t="str">
        <f>IF(G5091=30,1,M5090)</f>
      </c>
      <c r="M5091" s="195" t="str">
        <f>L5091*(1-K5091)</f>
      </c>
    </row>
    <row r="5092">
      <c r="A5092" t="s">
        <v>167</v>
      </c>
      <c r="B5092" t="s">
        <v>272</v>
      </c>
      <c r="C5092" s="35" t="s">
        <v>274</v>
      </c>
      <c r="D5092" t="s">
        <v>502</v>
      </c>
      <c r="E5092" t="s">
        <v>520</v>
      </c>
      <c r="F5092" s="188" t="n">
        <v>2048</v>
      </c>
      <c r="G5092" s="189" t="n">
        <v>40</v>
      </c>
      <c r="H5092" s="190" t="n">
        <v>3001.01865545788</v>
      </c>
      <c r="I5092" s="191" t="n">
        <v>4588755.51229927</v>
      </c>
      <c r="J5092" s="192" t="str">
        <f>IF(I5092&gt;0,H5092/I5092,0)</f>
      </c>
      <c r="K5092" s="193" t="str">
        <f>1-EXP(-J5092)</f>
      </c>
      <c r="L5092" s="194" t="str">
        <f>IF(G5092=30,1,M5091)</f>
      </c>
      <c r="M5092" s="195" t="str">
        <f>L5092*(1-K5092)</f>
      </c>
    </row>
    <row r="5093">
      <c r="A5093" t="s">
        <v>167</v>
      </c>
      <c r="B5093" t="s">
        <v>272</v>
      </c>
      <c r="C5093" s="35" t="s">
        <v>274</v>
      </c>
      <c r="D5093" t="s">
        <v>502</v>
      </c>
      <c r="E5093" t="s">
        <v>520</v>
      </c>
      <c r="F5093" s="188" t="n">
        <v>2048</v>
      </c>
      <c r="G5093" s="189" t="n">
        <v>41</v>
      </c>
      <c r="H5093" s="190" t="n">
        <v>3468.72296349228</v>
      </c>
      <c r="I5093" s="191" t="n">
        <v>4609781.68407485</v>
      </c>
      <c r="J5093" s="192" t="str">
        <f>IF(I5093&gt;0,H5093/I5093,0)</f>
      </c>
      <c r="K5093" s="193" t="str">
        <f>1-EXP(-J5093)</f>
      </c>
      <c r="L5093" s="194" t="str">
        <f>IF(G5093=30,1,M5092)</f>
      </c>
      <c r="M5093" s="195" t="str">
        <f>L5093*(1-K5093)</f>
      </c>
    </row>
    <row r="5094">
      <c r="A5094" t="s">
        <v>167</v>
      </c>
      <c r="B5094" t="s">
        <v>272</v>
      </c>
      <c r="C5094" s="35" t="s">
        <v>274</v>
      </c>
      <c r="D5094" t="s">
        <v>502</v>
      </c>
      <c r="E5094" t="s">
        <v>520</v>
      </c>
      <c r="F5094" s="188" t="n">
        <v>2048</v>
      </c>
      <c r="G5094" s="189" t="n">
        <v>42</v>
      </c>
      <c r="H5094" s="190" t="n">
        <v>3692.98834729526</v>
      </c>
      <c r="I5094" s="191" t="n">
        <v>4523589.24235453</v>
      </c>
      <c r="J5094" s="192" t="str">
        <f>IF(I5094&gt;0,H5094/I5094,0)</f>
      </c>
      <c r="K5094" s="193" t="str">
        <f>1-EXP(-J5094)</f>
      </c>
      <c r="L5094" s="194" t="str">
        <f>IF(G5094=30,1,M5093)</f>
      </c>
      <c r="M5094" s="195" t="str">
        <f>L5094*(1-K5094)</f>
      </c>
    </row>
    <row r="5095">
      <c r="A5095" t="s">
        <v>167</v>
      </c>
      <c r="B5095" t="s">
        <v>272</v>
      </c>
      <c r="C5095" s="35" t="s">
        <v>274</v>
      </c>
      <c r="D5095" t="s">
        <v>502</v>
      </c>
      <c r="E5095" t="s">
        <v>520</v>
      </c>
      <c r="F5095" s="188" t="n">
        <v>2048</v>
      </c>
      <c r="G5095" s="189" t="n">
        <v>43</v>
      </c>
      <c r="H5095" s="190" t="n">
        <v>3957.465493605</v>
      </c>
      <c r="I5095" s="191" t="n">
        <v>4458506.58083097</v>
      </c>
      <c r="J5095" s="192" t="str">
        <f>IF(I5095&gt;0,H5095/I5095,0)</f>
      </c>
      <c r="K5095" s="193" t="str">
        <f>1-EXP(-J5095)</f>
      </c>
      <c r="L5095" s="194" t="str">
        <f>IF(G5095=30,1,M5094)</f>
      </c>
      <c r="M5095" s="195" t="str">
        <f>L5095*(1-K5095)</f>
      </c>
    </row>
    <row r="5096">
      <c r="A5096" t="s">
        <v>167</v>
      </c>
      <c r="B5096" t="s">
        <v>272</v>
      </c>
      <c r="C5096" s="35" t="s">
        <v>274</v>
      </c>
      <c r="D5096" t="s">
        <v>502</v>
      </c>
      <c r="E5096" t="s">
        <v>520</v>
      </c>
      <c r="F5096" s="188" t="n">
        <v>2048</v>
      </c>
      <c r="G5096" s="189" t="n">
        <v>44</v>
      </c>
      <c r="H5096" s="190" t="n">
        <v>4185.98540546084</v>
      </c>
      <c r="I5096" s="191" t="n">
        <v>4326476.4325391</v>
      </c>
      <c r="J5096" s="192" t="str">
        <f>IF(I5096&gt;0,H5096/I5096,0)</f>
      </c>
      <c r="K5096" s="193" t="str">
        <f>1-EXP(-J5096)</f>
      </c>
      <c r="L5096" s="194" t="str">
        <f>IF(G5096=30,1,M5095)</f>
      </c>
      <c r="M5096" s="195" t="str">
        <f>L5096*(1-K5096)</f>
      </c>
    </row>
    <row r="5097">
      <c r="A5097" t="s">
        <v>167</v>
      </c>
      <c r="B5097" t="s">
        <v>272</v>
      </c>
      <c r="C5097" s="35" t="s">
        <v>274</v>
      </c>
      <c r="D5097" t="s">
        <v>502</v>
      </c>
      <c r="E5097" t="s">
        <v>520</v>
      </c>
      <c r="F5097" s="188" t="n">
        <v>2048</v>
      </c>
      <c r="G5097" s="189" t="n">
        <v>45</v>
      </c>
      <c r="H5097" s="190" t="n">
        <v>5286.86570876254</v>
      </c>
      <c r="I5097" s="191" t="n">
        <v>4255790.73685281</v>
      </c>
      <c r="J5097" s="192" t="str">
        <f>IF(I5097&gt;0,H5097/I5097,0)</f>
      </c>
      <c r="K5097" s="193" t="str">
        <f>1-EXP(-J5097)</f>
      </c>
      <c r="L5097" s="194" t="str">
        <f>IF(G5097=30,1,M5096)</f>
      </c>
      <c r="M5097" s="195" t="str">
        <f>L5097*(1-K5097)</f>
      </c>
    </row>
    <row r="5098">
      <c r="A5098" t="s">
        <v>167</v>
      </c>
      <c r="B5098" t="s">
        <v>272</v>
      </c>
      <c r="C5098" s="35" t="s">
        <v>274</v>
      </c>
      <c r="D5098" t="s">
        <v>502</v>
      </c>
      <c r="E5098" t="s">
        <v>520</v>
      </c>
      <c r="F5098" s="188" t="n">
        <v>2048</v>
      </c>
      <c r="G5098" s="189" t="n">
        <v>46</v>
      </c>
      <c r="H5098" s="190" t="n">
        <v>5998.5198624383</v>
      </c>
      <c r="I5098" s="191" t="n">
        <v>4224244.24875558</v>
      </c>
      <c r="J5098" s="192" t="str">
        <f>IF(I5098&gt;0,H5098/I5098,0)</f>
      </c>
      <c r="K5098" s="193" t="str">
        <f>1-EXP(-J5098)</f>
      </c>
      <c r="L5098" s="194" t="str">
        <f>IF(G5098=30,1,M5097)</f>
      </c>
      <c r="M5098" s="195" t="str">
        <f>L5098*(1-K5098)</f>
      </c>
    </row>
    <row r="5099">
      <c r="A5099" t="s">
        <v>167</v>
      </c>
      <c r="B5099" t="s">
        <v>272</v>
      </c>
      <c r="C5099" s="35" t="s">
        <v>274</v>
      </c>
      <c r="D5099" t="s">
        <v>502</v>
      </c>
      <c r="E5099" t="s">
        <v>520</v>
      </c>
      <c r="F5099" s="188" t="n">
        <v>2048</v>
      </c>
      <c r="G5099" s="189" t="n">
        <v>47</v>
      </c>
      <c r="H5099" s="190" t="n">
        <v>6528.03847129395</v>
      </c>
      <c r="I5099" s="191" t="n">
        <v>4195993.26901606</v>
      </c>
      <c r="J5099" s="192" t="str">
        <f>IF(I5099&gt;0,H5099/I5099,0)</f>
      </c>
      <c r="K5099" s="193" t="str">
        <f>1-EXP(-J5099)</f>
      </c>
      <c r="L5099" s="194" t="str">
        <f>IF(G5099=30,1,M5098)</f>
      </c>
      <c r="M5099" s="195" t="str">
        <f>L5099*(1-K5099)</f>
      </c>
    </row>
    <row r="5100">
      <c r="A5100" t="s">
        <v>167</v>
      </c>
      <c r="B5100" t="s">
        <v>272</v>
      </c>
      <c r="C5100" s="35" t="s">
        <v>274</v>
      </c>
      <c r="D5100" t="s">
        <v>502</v>
      </c>
      <c r="E5100" t="s">
        <v>520</v>
      </c>
      <c r="F5100" s="188" t="n">
        <v>2048</v>
      </c>
      <c r="G5100" s="189" t="n">
        <v>48</v>
      </c>
      <c r="H5100" s="190" t="n">
        <v>7116.21373049856</v>
      </c>
      <c r="I5100" s="191" t="n">
        <v>4166474.04448135</v>
      </c>
      <c r="J5100" s="192" t="str">
        <f>IF(I5100&gt;0,H5100/I5100,0)</f>
      </c>
      <c r="K5100" s="193" t="str">
        <f>1-EXP(-J5100)</f>
      </c>
      <c r="L5100" s="194" t="str">
        <f>IF(G5100=30,1,M5099)</f>
      </c>
      <c r="M5100" s="195" t="str">
        <f>L5100*(1-K5100)</f>
      </c>
    </row>
    <row r="5101">
      <c r="A5101" t="s">
        <v>167</v>
      </c>
      <c r="B5101" t="s">
        <v>272</v>
      </c>
      <c r="C5101" s="35" t="s">
        <v>274</v>
      </c>
      <c r="D5101" t="s">
        <v>502</v>
      </c>
      <c r="E5101" t="s">
        <v>520</v>
      </c>
      <c r="F5101" s="188" t="n">
        <v>2048</v>
      </c>
      <c r="G5101" s="189" t="n">
        <v>49</v>
      </c>
      <c r="H5101" s="190" t="n">
        <v>7834.93580944296</v>
      </c>
      <c r="I5101" s="191" t="n">
        <v>4174144.13878825</v>
      </c>
      <c r="J5101" s="192" t="str">
        <f>IF(I5101&gt;0,H5101/I5101,0)</f>
      </c>
      <c r="K5101" s="193" t="str">
        <f>1-EXP(-J5101)</f>
      </c>
      <c r="L5101" s="194" t="str">
        <f>IF(G5101=30,1,M5100)</f>
      </c>
      <c r="M5101" s="195" t="str">
        <f>L5101*(1-K5101)</f>
      </c>
    </row>
    <row r="5102">
      <c r="A5102" t="s">
        <v>167</v>
      </c>
      <c r="B5102" t="s">
        <v>272</v>
      </c>
      <c r="C5102" s="35" t="s">
        <v>274</v>
      </c>
      <c r="D5102" t="s">
        <v>502</v>
      </c>
      <c r="E5102" t="s">
        <v>520</v>
      </c>
      <c r="F5102" s="188" t="n">
        <v>2048</v>
      </c>
      <c r="G5102" s="189" t="n">
        <v>50</v>
      </c>
      <c r="H5102" s="190" t="n">
        <v>9037.60760374275</v>
      </c>
      <c r="I5102" s="191" t="n">
        <v>4218000.37864163</v>
      </c>
      <c r="J5102" s="192" t="str">
        <f>IF(I5102&gt;0,H5102/I5102,0)</f>
      </c>
      <c r="K5102" s="193" t="str">
        <f>1-EXP(-J5102)</f>
      </c>
      <c r="L5102" s="194" t="str">
        <f>IF(G5102=30,1,M5101)</f>
      </c>
      <c r="M5102" s="195" t="str">
        <f>L5102*(1-K5102)</f>
      </c>
    </row>
    <row r="5103">
      <c r="A5103" t="s">
        <v>167</v>
      </c>
      <c r="B5103" t="s">
        <v>272</v>
      </c>
      <c r="C5103" s="35" t="s">
        <v>274</v>
      </c>
      <c r="D5103" t="s">
        <v>502</v>
      </c>
      <c r="E5103" t="s">
        <v>520</v>
      </c>
      <c r="F5103" s="188" t="n">
        <v>2048</v>
      </c>
      <c r="G5103" s="189" t="n">
        <v>51</v>
      </c>
      <c r="H5103" s="190" t="n">
        <v>10377.6223958509</v>
      </c>
      <c r="I5103" s="191" t="n">
        <v>4331858.07839988</v>
      </c>
      <c r="J5103" s="192" t="str">
        <f>IF(I5103&gt;0,H5103/I5103,0)</f>
      </c>
      <c r="K5103" s="193" t="str">
        <f>1-EXP(-J5103)</f>
      </c>
      <c r="L5103" s="194" t="str">
        <f>IF(G5103=30,1,M5102)</f>
      </c>
      <c r="M5103" s="195" t="str">
        <f>L5103*(1-K5103)</f>
      </c>
    </row>
    <row r="5104">
      <c r="A5104" t="s">
        <v>167</v>
      </c>
      <c r="B5104" t="s">
        <v>272</v>
      </c>
      <c r="C5104" s="35" t="s">
        <v>274</v>
      </c>
      <c r="D5104" t="s">
        <v>502</v>
      </c>
      <c r="E5104" t="s">
        <v>520</v>
      </c>
      <c r="F5104" s="188" t="n">
        <v>2048</v>
      </c>
      <c r="G5104" s="189" t="n">
        <v>52</v>
      </c>
      <c r="H5104" s="190" t="n">
        <v>11193.9038746533</v>
      </c>
      <c r="I5104" s="191" t="n">
        <v>4273301.56655483</v>
      </c>
      <c r="J5104" s="192" t="str">
        <f>IF(I5104&gt;0,H5104/I5104,0)</f>
      </c>
      <c r="K5104" s="193" t="str">
        <f>1-EXP(-J5104)</f>
      </c>
      <c r="L5104" s="194" t="str">
        <f>IF(G5104=30,1,M5103)</f>
      </c>
      <c r="M5104" s="195" t="str">
        <f>L5104*(1-K5104)</f>
      </c>
    </row>
    <row r="5105">
      <c r="A5105" t="s">
        <v>167</v>
      </c>
      <c r="B5105" t="s">
        <v>272</v>
      </c>
      <c r="C5105" s="35" t="s">
        <v>274</v>
      </c>
      <c r="D5105" t="s">
        <v>502</v>
      </c>
      <c r="E5105" t="s">
        <v>520</v>
      </c>
      <c r="F5105" s="188" t="n">
        <v>2048</v>
      </c>
      <c r="G5105" s="189" t="n">
        <v>53</v>
      </c>
      <c r="H5105" s="190" t="n">
        <v>11959.1078143499</v>
      </c>
      <c r="I5105" s="191" t="n">
        <v>4184737.73373465</v>
      </c>
      <c r="J5105" s="192" t="str">
        <f>IF(I5105&gt;0,H5105/I5105,0)</f>
      </c>
      <c r="K5105" s="193" t="str">
        <f>1-EXP(-J5105)</f>
      </c>
      <c r="L5105" s="194" t="str">
        <f>IF(G5105=30,1,M5104)</f>
      </c>
      <c r="M5105" s="195" t="str">
        <f>L5105*(1-K5105)</f>
      </c>
    </row>
    <row r="5106">
      <c r="A5106" t="s">
        <v>167</v>
      </c>
      <c r="B5106" t="s">
        <v>272</v>
      </c>
      <c r="C5106" s="35" t="s">
        <v>274</v>
      </c>
      <c r="D5106" t="s">
        <v>502</v>
      </c>
      <c r="E5106" t="s">
        <v>520</v>
      </c>
      <c r="F5106" s="188" t="n">
        <v>2048</v>
      </c>
      <c r="G5106" s="189" t="n">
        <v>54</v>
      </c>
      <c r="H5106" s="190" t="n">
        <v>12789.525046712</v>
      </c>
      <c r="I5106" s="191" t="n">
        <v>4109744.32629965</v>
      </c>
      <c r="J5106" s="192" t="str">
        <f>IF(I5106&gt;0,H5106/I5106,0)</f>
      </c>
      <c r="K5106" s="193" t="str">
        <f>1-EXP(-J5106)</f>
      </c>
      <c r="L5106" s="194" t="str">
        <f>IF(G5106=30,1,M5105)</f>
      </c>
      <c r="M5106" s="195" t="str">
        <f>L5106*(1-K5106)</f>
      </c>
    </row>
    <row r="5107">
      <c r="A5107" t="s">
        <v>167</v>
      </c>
      <c r="B5107" t="s">
        <v>272</v>
      </c>
      <c r="C5107" s="35" t="s">
        <v>274</v>
      </c>
      <c r="D5107" t="s">
        <v>502</v>
      </c>
      <c r="E5107" t="s">
        <v>520</v>
      </c>
      <c r="F5107" s="188" t="n">
        <v>2048</v>
      </c>
      <c r="G5107" s="189" t="n">
        <v>55</v>
      </c>
      <c r="H5107" s="190" t="n">
        <v>13403.819945604</v>
      </c>
      <c r="I5107" s="191" t="n">
        <v>4036732.27159378</v>
      </c>
      <c r="J5107" s="192" t="str">
        <f>IF(I5107&gt;0,H5107/I5107,0)</f>
      </c>
      <c r="K5107" s="193" t="str">
        <f>1-EXP(-J5107)</f>
      </c>
      <c r="L5107" s="194" t="str">
        <f>IF(G5107=30,1,M5106)</f>
      </c>
      <c r="M5107" s="195" t="str">
        <f>L5107*(1-K5107)</f>
      </c>
    </row>
    <row r="5108">
      <c r="A5108" t="s">
        <v>167</v>
      </c>
      <c r="B5108" t="s">
        <v>272</v>
      </c>
      <c r="C5108" s="35" t="s">
        <v>274</v>
      </c>
      <c r="D5108" t="s">
        <v>502</v>
      </c>
      <c r="E5108" t="s">
        <v>520</v>
      </c>
      <c r="F5108" s="188" t="n">
        <v>2048</v>
      </c>
      <c r="G5108" s="189" t="n">
        <v>56</v>
      </c>
      <c r="H5108" s="190" t="n">
        <v>14576.1736247213</v>
      </c>
      <c r="I5108" s="191" t="n">
        <v>4047389.16604592</v>
      </c>
      <c r="J5108" s="192" t="str">
        <f>IF(I5108&gt;0,H5108/I5108,0)</f>
      </c>
      <c r="K5108" s="193" t="str">
        <f>1-EXP(-J5108)</f>
      </c>
      <c r="L5108" s="194" t="str">
        <f>IF(G5108=30,1,M5107)</f>
      </c>
      <c r="M5108" s="195" t="str">
        <f>L5108*(1-K5108)</f>
      </c>
    </row>
    <row r="5109">
      <c r="A5109" t="s">
        <v>167</v>
      </c>
      <c r="B5109" t="s">
        <v>272</v>
      </c>
      <c r="C5109" s="35" t="s">
        <v>274</v>
      </c>
      <c r="D5109" t="s">
        <v>502</v>
      </c>
      <c r="E5109" t="s">
        <v>520</v>
      </c>
      <c r="F5109" s="188" t="n">
        <v>2048</v>
      </c>
      <c r="G5109" s="189" t="n">
        <v>57</v>
      </c>
      <c r="H5109" s="190" t="n">
        <v>15848.4809486591</v>
      </c>
      <c r="I5109" s="191" t="n">
        <v>4037024.1558799</v>
      </c>
      <c r="J5109" s="192" t="str">
        <f>IF(I5109&gt;0,H5109/I5109,0)</f>
      </c>
      <c r="K5109" s="193" t="str">
        <f>1-EXP(-J5109)</f>
      </c>
      <c r="L5109" s="194" t="str">
        <f>IF(G5109=30,1,M5108)</f>
      </c>
      <c r="M5109" s="195" t="str">
        <f>L5109*(1-K5109)</f>
      </c>
    </row>
    <row r="5110">
      <c r="A5110" t="s">
        <v>167</v>
      </c>
      <c r="B5110" t="s">
        <v>272</v>
      </c>
      <c r="C5110" s="35" t="s">
        <v>274</v>
      </c>
      <c r="D5110" t="s">
        <v>502</v>
      </c>
      <c r="E5110" t="s">
        <v>520</v>
      </c>
      <c r="F5110" s="188" t="n">
        <v>2048</v>
      </c>
      <c r="G5110" s="189" t="n">
        <v>58</v>
      </c>
      <c r="H5110" s="190" t="n">
        <v>23047.5773727979</v>
      </c>
      <c r="I5110" s="191" t="n">
        <v>5935639.78400843</v>
      </c>
      <c r="J5110" s="192" t="str">
        <f>IF(I5110&gt;0,H5110/I5110,0)</f>
      </c>
      <c r="K5110" s="193" t="str">
        <f>1-EXP(-J5110)</f>
      </c>
      <c r="L5110" s="194" t="str">
        <f>IF(G5110=30,1,M5109)</f>
      </c>
      <c r="M5110" s="195" t="str">
        <f>L5110*(1-K5110)</f>
      </c>
    </row>
    <row r="5111">
      <c r="A5111" t="s">
        <v>167</v>
      </c>
      <c r="B5111" t="s">
        <v>272</v>
      </c>
      <c r="C5111" s="35" t="s">
        <v>274</v>
      </c>
      <c r="D5111" t="s">
        <v>502</v>
      </c>
      <c r="E5111" t="s">
        <v>520</v>
      </c>
      <c r="F5111" s="188" t="n">
        <v>2048</v>
      </c>
      <c r="G5111" s="189" t="n">
        <v>59</v>
      </c>
      <c r="H5111" s="190" t="n">
        <v>18481.5123377884</v>
      </c>
      <c r="I5111" s="191" t="n">
        <v>3937824.53889485</v>
      </c>
      <c r="J5111" s="192" t="str">
        <f>IF(I5111&gt;0,H5111/I5111,0)</f>
      </c>
      <c r="K5111" s="193" t="str">
        <f>1-EXP(-J5111)</f>
      </c>
      <c r="L5111" s="194" t="str">
        <f>IF(G5111=30,1,M5110)</f>
      </c>
      <c r="M5111" s="195" t="str">
        <f>L5111*(1-K5111)</f>
      </c>
    </row>
    <row r="5112">
      <c r="A5112" t="s">
        <v>167</v>
      </c>
      <c r="B5112" t="s">
        <v>272</v>
      </c>
      <c r="C5112" s="35" t="s">
        <v>274</v>
      </c>
      <c r="D5112" t="s">
        <v>502</v>
      </c>
      <c r="E5112" t="s">
        <v>520</v>
      </c>
      <c r="F5112" s="188" t="n">
        <v>2048</v>
      </c>
      <c r="G5112" s="189" t="n">
        <v>60</v>
      </c>
      <c r="H5112" s="190" t="n">
        <v>19663.264972778</v>
      </c>
      <c r="I5112" s="191" t="n">
        <v>3888080.25221311</v>
      </c>
      <c r="J5112" s="192" t="str">
        <f>IF(I5112&gt;0,H5112/I5112,0)</f>
      </c>
      <c r="K5112" s="193" t="str">
        <f>1-EXP(-J5112)</f>
      </c>
      <c r="L5112" s="194" t="str">
        <f>IF(G5112=30,1,M5111)</f>
      </c>
      <c r="M5112" s="195" t="str">
        <f>L5112*(1-K5112)</f>
      </c>
    </row>
    <row r="5113">
      <c r="A5113" t="s">
        <v>167</v>
      </c>
      <c r="B5113" t="s">
        <v>272</v>
      </c>
      <c r="C5113" s="35" t="s">
        <v>274</v>
      </c>
      <c r="D5113" t="s">
        <v>502</v>
      </c>
      <c r="E5113" t="s">
        <v>520</v>
      </c>
      <c r="F5113" s="188" t="n">
        <v>2048</v>
      </c>
      <c r="G5113" s="189" t="n">
        <v>61</v>
      </c>
      <c r="H5113" s="190" t="n">
        <v>20738.5082193964</v>
      </c>
      <c r="I5113" s="191" t="n">
        <v>3732303.2102878</v>
      </c>
      <c r="J5113" s="192" t="str">
        <f>IF(I5113&gt;0,H5113/I5113,0)</f>
      </c>
      <c r="K5113" s="193" t="str">
        <f>1-EXP(-J5113)</f>
      </c>
      <c r="L5113" s="194" t="str">
        <f>IF(G5113=30,1,M5112)</f>
      </c>
      <c r="M5113" s="195" t="str">
        <f>L5113*(1-K5113)</f>
      </c>
    </row>
    <row r="5114">
      <c r="A5114" t="s">
        <v>167</v>
      </c>
      <c r="B5114" t="s">
        <v>272</v>
      </c>
      <c r="C5114" s="35" t="s">
        <v>274</v>
      </c>
      <c r="D5114" t="s">
        <v>502</v>
      </c>
      <c r="E5114" t="s">
        <v>520</v>
      </c>
      <c r="F5114" s="188" t="n">
        <v>2048</v>
      </c>
      <c r="G5114" s="189" t="n">
        <v>62</v>
      </c>
      <c r="H5114" s="190" t="n">
        <v>22346.7953265815</v>
      </c>
      <c r="I5114" s="191" t="n">
        <v>3661950.5475191</v>
      </c>
      <c r="J5114" s="192" t="str">
        <f>IF(I5114&gt;0,H5114/I5114,0)</f>
      </c>
      <c r="K5114" s="193" t="str">
        <f>1-EXP(-J5114)</f>
      </c>
      <c r="L5114" s="194" t="str">
        <f>IF(G5114=30,1,M5113)</f>
      </c>
      <c r="M5114" s="195" t="str">
        <f>L5114*(1-K5114)</f>
      </c>
    </row>
    <row r="5115">
      <c r="A5115" t="s">
        <v>167</v>
      </c>
      <c r="B5115" t="s">
        <v>272</v>
      </c>
      <c r="C5115" s="35" t="s">
        <v>274</v>
      </c>
      <c r="D5115" t="s">
        <v>502</v>
      </c>
      <c r="E5115" t="s">
        <v>520</v>
      </c>
      <c r="F5115" s="188" t="n">
        <v>2048</v>
      </c>
      <c r="G5115" s="189" t="n">
        <v>63</v>
      </c>
      <c r="H5115" s="190" t="n">
        <v>24601.9002720906</v>
      </c>
      <c r="I5115" s="191" t="n">
        <v>3670236.52272414</v>
      </c>
      <c r="J5115" s="192" t="str">
        <f>IF(I5115&gt;0,H5115/I5115,0)</f>
      </c>
      <c r="K5115" s="193" t="str">
        <f>1-EXP(-J5115)</f>
      </c>
      <c r="L5115" s="194" t="str">
        <f>IF(G5115=30,1,M5114)</f>
      </c>
      <c r="M5115" s="195" t="str">
        <f>L5115*(1-K5115)</f>
      </c>
    </row>
    <row r="5116">
      <c r="A5116" t="s">
        <v>167</v>
      </c>
      <c r="B5116" t="s">
        <v>272</v>
      </c>
      <c r="C5116" s="35" t="s">
        <v>274</v>
      </c>
      <c r="D5116" t="s">
        <v>502</v>
      </c>
      <c r="E5116" t="s">
        <v>520</v>
      </c>
      <c r="F5116" s="188" t="n">
        <v>2048</v>
      </c>
      <c r="G5116" s="189" t="n">
        <v>64</v>
      </c>
      <c r="H5116" s="190" t="n">
        <v>27194.1125673503</v>
      </c>
      <c r="I5116" s="191" t="n">
        <v>3695039.31212848</v>
      </c>
      <c r="J5116" s="192" t="str">
        <f>IF(I5116&gt;0,H5116/I5116,0)</f>
      </c>
      <c r="K5116" s="193" t="str">
        <f>1-EXP(-J5116)</f>
      </c>
      <c r="L5116" s="194" t="str">
        <f>IF(G5116=30,1,M5115)</f>
      </c>
      <c r="M5116" s="195" t="str">
        <f>L5116*(1-K5116)</f>
      </c>
    </row>
    <row r="5117">
      <c r="A5117" t="s">
        <v>167</v>
      </c>
      <c r="B5117" t="s">
        <v>272</v>
      </c>
      <c r="C5117" s="35" t="s">
        <v>274</v>
      </c>
      <c r="D5117" t="s">
        <v>502</v>
      </c>
      <c r="E5117" t="s">
        <v>520</v>
      </c>
      <c r="F5117" s="188" t="n">
        <v>2048</v>
      </c>
      <c r="G5117" s="189" t="n">
        <v>65</v>
      </c>
      <c r="H5117" s="190" t="n">
        <v>27808.1465519256</v>
      </c>
      <c r="I5117" s="191" t="n">
        <v>3621450.93520635</v>
      </c>
      <c r="J5117" s="192" t="str">
        <f>IF(I5117&gt;0,H5117/I5117,0)</f>
      </c>
      <c r="K5117" s="193" t="str">
        <f>1-EXP(-J5117)</f>
      </c>
      <c r="L5117" s="194" t="str">
        <f>IF(G5117=30,1,M5116)</f>
      </c>
      <c r="M5117" s="195" t="str">
        <f>L5117*(1-K5117)</f>
      </c>
    </row>
    <row r="5118">
      <c r="A5118" t="s">
        <v>167</v>
      </c>
      <c r="B5118" t="s">
        <v>272</v>
      </c>
      <c r="C5118" s="35" t="s">
        <v>274</v>
      </c>
      <c r="D5118" t="s">
        <v>502</v>
      </c>
      <c r="E5118" t="s">
        <v>520</v>
      </c>
      <c r="F5118" s="188" t="n">
        <v>2048</v>
      </c>
      <c r="G5118" s="189" t="n">
        <v>66</v>
      </c>
      <c r="H5118" s="190" t="n">
        <v>29105.7492787777</v>
      </c>
      <c r="I5118" s="191" t="n">
        <v>3450627.70525105</v>
      </c>
      <c r="J5118" s="192" t="str">
        <f>IF(I5118&gt;0,H5118/I5118,0)</f>
      </c>
      <c r="K5118" s="193" t="str">
        <f>1-EXP(-J5118)</f>
      </c>
      <c r="L5118" s="194" t="str">
        <f>IF(G5118=30,1,M5117)</f>
      </c>
      <c r="M5118" s="195" t="str">
        <f>L5118*(1-K5118)</f>
      </c>
    </row>
    <row r="5119">
      <c r="A5119" t="s">
        <v>167</v>
      </c>
      <c r="B5119" t="s">
        <v>272</v>
      </c>
      <c r="C5119" s="35" t="s">
        <v>274</v>
      </c>
      <c r="D5119" t="s">
        <v>502</v>
      </c>
      <c r="E5119" t="s">
        <v>520</v>
      </c>
      <c r="F5119" s="188" t="n">
        <v>2048</v>
      </c>
      <c r="G5119" s="189" t="n">
        <v>67</v>
      </c>
      <c r="H5119" s="190" t="n">
        <v>30865.4006448627</v>
      </c>
      <c r="I5119" s="191" t="n">
        <v>3330032.41155795</v>
      </c>
      <c r="J5119" s="192" t="str">
        <f>IF(I5119&gt;0,H5119/I5119,0)</f>
      </c>
      <c r="K5119" s="193" t="str">
        <f>1-EXP(-J5119)</f>
      </c>
      <c r="L5119" s="194" t="str">
        <f>IF(G5119=30,1,M5118)</f>
      </c>
      <c r="M5119" s="195" t="str">
        <f>L5119*(1-K5119)</f>
      </c>
    </row>
    <row r="5120">
      <c r="A5120" t="s">
        <v>167</v>
      </c>
      <c r="B5120" t="s">
        <v>272</v>
      </c>
      <c r="C5120" s="35" t="s">
        <v>274</v>
      </c>
      <c r="D5120" t="s">
        <v>502</v>
      </c>
      <c r="E5120" t="s">
        <v>520</v>
      </c>
      <c r="F5120" s="188" t="n">
        <v>2048</v>
      </c>
      <c r="G5120" s="189" t="n">
        <v>68</v>
      </c>
      <c r="H5120" s="190" t="n">
        <v>32817.0877345834</v>
      </c>
      <c r="I5120" s="191" t="n">
        <v>3219718.54120541</v>
      </c>
      <c r="J5120" s="192" t="str">
        <f>IF(I5120&gt;0,H5120/I5120,0)</f>
      </c>
      <c r="K5120" s="193" t="str">
        <f>1-EXP(-J5120)</f>
      </c>
      <c r="L5120" s="194" t="str">
        <f>IF(G5120=30,1,M5119)</f>
      </c>
      <c r="M5120" s="195" t="str">
        <f>L5120*(1-K5120)</f>
      </c>
    </row>
    <row r="5121">
      <c r="A5121" t="s">
        <v>167</v>
      </c>
      <c r="B5121" t="s">
        <v>272</v>
      </c>
      <c r="C5121" s="35" t="s">
        <v>274</v>
      </c>
      <c r="D5121" t="s">
        <v>502</v>
      </c>
      <c r="E5121" t="s">
        <v>520</v>
      </c>
      <c r="F5121" s="188" t="n">
        <v>2048</v>
      </c>
      <c r="G5121" s="189" t="n">
        <v>69</v>
      </c>
      <c r="H5121" s="190" t="n">
        <v>34804.3143229074</v>
      </c>
      <c r="I5121" s="191" t="n">
        <v>3102109.34548978</v>
      </c>
      <c r="J5121" s="192" t="str">
        <f>IF(I5121&gt;0,H5121/I5121,0)</f>
      </c>
      <c r="K5121" s="193" t="str">
        <f>1-EXP(-J5121)</f>
      </c>
      <c r="L5121" s="194" t="str">
        <f>IF(G5121=30,1,M5120)</f>
      </c>
      <c r="M5121" s="195" t="str">
        <f>L5121*(1-K5121)</f>
      </c>
    </row>
    <row r="5122">
      <c r="A5122" t="s">
        <v>167</v>
      </c>
      <c r="B5122" t="s">
        <v>272</v>
      </c>
      <c r="C5122" s="35" t="s">
        <v>274</v>
      </c>
      <c r="D5122" t="s">
        <v>502</v>
      </c>
      <c r="E5122" t="s">
        <v>520</v>
      </c>
      <c r="F5122" s="188" t="n">
        <v>2049</v>
      </c>
      <c r="G5122" s="189" t="n">
        <v>30</v>
      </c>
      <c r="H5122" s="190" t="n">
        <v>598.973270721741</v>
      </c>
      <c r="I5122" s="191" t="n">
        <v>4266618.14616784</v>
      </c>
      <c r="J5122" s="192" t="str">
        <f>IF(I5122&gt;0,H5122/I5122,0)</f>
      </c>
      <c r="K5122" s="193" t="str">
        <f>1-EXP(-J5122)</f>
      </c>
      <c r="L5122" s="194" t="str">
        <f>IF(G5122=30,1,M5121)</f>
      </c>
      <c r="M5122" s="195" t="str">
        <f>L5122*(1-K5122)</f>
      </c>
    </row>
    <row r="5123">
      <c r="A5123" t="s">
        <v>167</v>
      </c>
      <c r="B5123" t="s">
        <v>272</v>
      </c>
      <c r="C5123" s="35" t="s">
        <v>274</v>
      </c>
      <c r="D5123" t="s">
        <v>502</v>
      </c>
      <c r="E5123" t="s">
        <v>520</v>
      </c>
      <c r="F5123" s="188" t="n">
        <v>2049</v>
      </c>
      <c r="G5123" s="189" t="n">
        <v>31</v>
      </c>
      <c r="H5123" s="190" t="n">
        <v>824.442860891139</v>
      </c>
      <c r="I5123" s="191" t="n">
        <v>4270736.70503055</v>
      </c>
      <c r="J5123" s="192" t="str">
        <f>IF(I5123&gt;0,H5123/I5123,0)</f>
      </c>
      <c r="K5123" s="193" t="str">
        <f>1-EXP(-J5123)</f>
      </c>
      <c r="L5123" s="194" t="str">
        <f>IF(G5123=30,1,M5122)</f>
      </c>
      <c r="M5123" s="195" t="str">
        <f>L5123*(1-K5123)</f>
      </c>
    </row>
    <row r="5124">
      <c r="A5124" t="s">
        <v>167</v>
      </c>
      <c r="B5124" t="s">
        <v>272</v>
      </c>
      <c r="C5124" s="35" t="s">
        <v>274</v>
      </c>
      <c r="D5124" t="s">
        <v>502</v>
      </c>
      <c r="E5124" t="s">
        <v>520</v>
      </c>
      <c r="F5124" s="188" t="n">
        <v>2049</v>
      </c>
      <c r="G5124" s="189" t="n">
        <v>32</v>
      </c>
      <c r="H5124" s="190" t="n">
        <v>878.452122383394</v>
      </c>
      <c r="I5124" s="191" t="n">
        <v>4311302.36000449</v>
      </c>
      <c r="J5124" s="192" t="str">
        <f>IF(I5124&gt;0,H5124/I5124,0)</f>
      </c>
      <c r="K5124" s="193" t="str">
        <f>1-EXP(-J5124)</f>
      </c>
      <c r="L5124" s="194" t="str">
        <f>IF(G5124=30,1,M5123)</f>
      </c>
      <c r="M5124" s="195" t="str">
        <f>L5124*(1-K5124)</f>
      </c>
    </row>
    <row r="5125">
      <c r="A5125" t="s">
        <v>167</v>
      </c>
      <c r="B5125" t="s">
        <v>272</v>
      </c>
      <c r="C5125" s="35" t="s">
        <v>274</v>
      </c>
      <c r="D5125" t="s">
        <v>502</v>
      </c>
      <c r="E5125" t="s">
        <v>520</v>
      </c>
      <c r="F5125" s="188" t="n">
        <v>2049</v>
      </c>
      <c r="G5125" s="189" t="n">
        <v>33</v>
      </c>
      <c r="H5125" s="190" t="n">
        <v>1023.65094018575</v>
      </c>
      <c r="I5125" s="191" t="n">
        <v>4573308.1092879</v>
      </c>
      <c r="J5125" s="192" t="str">
        <f>IF(I5125&gt;0,H5125/I5125,0)</f>
      </c>
      <c r="K5125" s="193" t="str">
        <f>1-EXP(-J5125)</f>
      </c>
      <c r="L5125" s="194" t="str">
        <f>IF(G5125=30,1,M5124)</f>
      </c>
      <c r="M5125" s="195" t="str">
        <f>L5125*(1-K5125)</f>
      </c>
    </row>
    <row r="5126">
      <c r="A5126" t="s">
        <v>167</v>
      </c>
      <c r="B5126" t="s">
        <v>272</v>
      </c>
      <c r="C5126" s="35" t="s">
        <v>274</v>
      </c>
      <c r="D5126" t="s">
        <v>502</v>
      </c>
      <c r="E5126" t="s">
        <v>520</v>
      </c>
      <c r="F5126" s="188" t="n">
        <v>2049</v>
      </c>
      <c r="G5126" s="189" t="n">
        <v>34</v>
      </c>
      <c r="H5126" s="190" t="n">
        <v>1136.89032680465</v>
      </c>
      <c r="I5126" s="191" t="n">
        <v>4621502.4110598</v>
      </c>
      <c r="J5126" s="192" t="str">
        <f>IF(I5126&gt;0,H5126/I5126,0)</f>
      </c>
      <c r="K5126" s="193" t="str">
        <f>1-EXP(-J5126)</f>
      </c>
      <c r="L5126" s="194" t="str">
        <f>IF(G5126=30,1,M5125)</f>
      </c>
      <c r="M5126" s="195" t="str">
        <f>L5126*(1-K5126)</f>
      </c>
    </row>
    <row r="5127">
      <c r="A5127" t="s">
        <v>167</v>
      </c>
      <c r="B5127" t="s">
        <v>272</v>
      </c>
      <c r="C5127" s="35" t="s">
        <v>274</v>
      </c>
      <c r="D5127" t="s">
        <v>502</v>
      </c>
      <c r="E5127" t="s">
        <v>520</v>
      </c>
      <c r="F5127" s="188" t="n">
        <v>2049</v>
      </c>
      <c r="G5127" s="189" t="n">
        <v>35</v>
      </c>
      <c r="H5127" s="190" t="n">
        <v>1489.98265830166</v>
      </c>
      <c r="I5127" s="191" t="n">
        <v>4687077.85364121</v>
      </c>
      <c r="J5127" s="192" t="str">
        <f>IF(I5127&gt;0,H5127/I5127,0)</f>
      </c>
      <c r="K5127" s="193" t="str">
        <f>1-EXP(-J5127)</f>
      </c>
      <c r="L5127" s="194" t="str">
        <f>IF(G5127=30,1,M5126)</f>
      </c>
      <c r="M5127" s="195" t="str">
        <f>L5127*(1-K5127)</f>
      </c>
    </row>
    <row r="5128">
      <c r="A5128" t="s">
        <v>167</v>
      </c>
      <c r="B5128" t="s">
        <v>272</v>
      </c>
      <c r="C5128" s="35" t="s">
        <v>274</v>
      </c>
      <c r="D5128" t="s">
        <v>502</v>
      </c>
      <c r="E5128" t="s">
        <v>520</v>
      </c>
      <c r="F5128" s="188" t="n">
        <v>2049</v>
      </c>
      <c r="G5128" s="189" t="n">
        <v>36</v>
      </c>
      <c r="H5128" s="190" t="n">
        <v>1793.91200263978</v>
      </c>
      <c r="I5128" s="191" t="n">
        <v>4753558.81147697</v>
      </c>
      <c r="J5128" s="192" t="str">
        <f>IF(I5128&gt;0,H5128/I5128,0)</f>
      </c>
      <c r="K5128" s="193" t="str">
        <f>1-EXP(-J5128)</f>
      </c>
      <c r="L5128" s="194" t="str">
        <f>IF(G5128=30,1,M5127)</f>
      </c>
      <c r="M5128" s="195" t="str">
        <f>L5128*(1-K5128)</f>
      </c>
    </row>
    <row r="5129">
      <c r="A5129" t="s">
        <v>167</v>
      </c>
      <c r="B5129" t="s">
        <v>272</v>
      </c>
      <c r="C5129" s="35" t="s">
        <v>274</v>
      </c>
      <c r="D5129" t="s">
        <v>502</v>
      </c>
      <c r="E5129" t="s">
        <v>520</v>
      </c>
      <c r="F5129" s="188" t="n">
        <v>2049</v>
      </c>
      <c r="G5129" s="189" t="n">
        <v>37</v>
      </c>
      <c r="H5129" s="190" t="n">
        <v>2023.24223621096</v>
      </c>
      <c r="I5129" s="191" t="n">
        <v>4863943.81217393</v>
      </c>
      <c r="J5129" s="192" t="str">
        <f>IF(I5129&gt;0,H5129/I5129,0)</f>
      </c>
      <c r="K5129" s="193" t="str">
        <f>1-EXP(-J5129)</f>
      </c>
      <c r="L5129" s="194" t="str">
        <f>IF(G5129=30,1,M5128)</f>
      </c>
      <c r="M5129" s="195" t="str">
        <f>L5129*(1-K5129)</f>
      </c>
    </row>
    <row r="5130">
      <c r="A5130" t="s">
        <v>167</v>
      </c>
      <c r="B5130" t="s">
        <v>272</v>
      </c>
      <c r="C5130" s="35" t="s">
        <v>274</v>
      </c>
      <c r="D5130" t="s">
        <v>502</v>
      </c>
      <c r="E5130" t="s">
        <v>520</v>
      </c>
      <c r="F5130" s="188" t="n">
        <v>2049</v>
      </c>
      <c r="G5130" s="189" t="n">
        <v>38</v>
      </c>
      <c r="H5130" s="190" t="n">
        <v>2168.37653158613</v>
      </c>
      <c r="I5130" s="191" t="n">
        <v>4834048.71265962</v>
      </c>
      <c r="J5130" s="192" t="str">
        <f>IF(I5130&gt;0,H5130/I5130,0)</f>
      </c>
      <c r="K5130" s="193" t="str">
        <f>1-EXP(-J5130)</f>
      </c>
      <c r="L5130" s="194" t="str">
        <f>IF(G5130=30,1,M5129)</f>
      </c>
      <c r="M5130" s="195" t="str">
        <f>L5130*(1-K5130)</f>
      </c>
    </row>
    <row r="5131">
      <c r="A5131" t="s">
        <v>167</v>
      </c>
      <c r="B5131" t="s">
        <v>272</v>
      </c>
      <c r="C5131" s="35" t="s">
        <v>274</v>
      </c>
      <c r="D5131" t="s">
        <v>502</v>
      </c>
      <c r="E5131" t="s">
        <v>520</v>
      </c>
      <c r="F5131" s="188" t="n">
        <v>2049</v>
      </c>
      <c r="G5131" s="189" t="n">
        <v>39</v>
      </c>
      <c r="H5131" s="190" t="n">
        <v>2279.78189273078</v>
      </c>
      <c r="I5131" s="191" t="n">
        <v>4698976.3601807</v>
      </c>
      <c r="J5131" s="192" t="str">
        <f>IF(I5131&gt;0,H5131/I5131,0)</f>
      </c>
      <c r="K5131" s="193" t="str">
        <f>1-EXP(-J5131)</f>
      </c>
      <c r="L5131" s="194" t="str">
        <f>IF(G5131=30,1,M5130)</f>
      </c>
      <c r="M5131" s="195" t="str">
        <f>L5131*(1-K5131)</f>
      </c>
    </row>
    <row r="5132">
      <c r="A5132" t="s">
        <v>167</v>
      </c>
      <c r="B5132" t="s">
        <v>272</v>
      </c>
      <c r="C5132" s="35" t="s">
        <v>274</v>
      </c>
      <c r="D5132" t="s">
        <v>502</v>
      </c>
      <c r="E5132" t="s">
        <v>520</v>
      </c>
      <c r="F5132" s="188" t="n">
        <v>2049</v>
      </c>
      <c r="G5132" s="189" t="n">
        <v>40</v>
      </c>
      <c r="H5132" s="190" t="n">
        <v>3012.18912012996</v>
      </c>
      <c r="I5132" s="191" t="n">
        <v>4625928.73346639</v>
      </c>
      <c r="J5132" s="192" t="str">
        <f>IF(I5132&gt;0,H5132/I5132,0)</f>
      </c>
      <c r="K5132" s="193" t="str">
        <f>1-EXP(-J5132)</f>
      </c>
      <c r="L5132" s="194" t="str">
        <f>IF(G5132=30,1,M5131)</f>
      </c>
      <c r="M5132" s="195" t="str">
        <f>L5132*(1-K5132)</f>
      </c>
    </row>
    <row r="5133">
      <c r="A5133" t="s">
        <v>167</v>
      </c>
      <c r="B5133" t="s">
        <v>272</v>
      </c>
      <c r="C5133" s="35" t="s">
        <v>274</v>
      </c>
      <c r="D5133" t="s">
        <v>502</v>
      </c>
      <c r="E5133" t="s">
        <v>520</v>
      </c>
      <c r="F5133" s="188" t="n">
        <v>2049</v>
      </c>
      <c r="G5133" s="189" t="n">
        <v>41</v>
      </c>
      <c r="H5133" s="190" t="n">
        <v>3372.16315442813</v>
      </c>
      <c r="I5133" s="191" t="n">
        <v>4579568.1774888</v>
      </c>
      <c r="J5133" s="192" t="str">
        <f>IF(I5133&gt;0,H5133/I5133,0)</f>
      </c>
      <c r="K5133" s="193" t="str">
        <f>1-EXP(-J5133)</f>
      </c>
      <c r="L5133" s="194" t="str">
        <f>IF(G5133=30,1,M5132)</f>
      </c>
      <c r="M5133" s="195" t="str">
        <f>L5133*(1-K5133)</f>
      </c>
    </row>
    <row r="5134">
      <c r="A5134" t="s">
        <v>167</v>
      </c>
      <c r="B5134" t="s">
        <v>272</v>
      </c>
      <c r="C5134" s="35" t="s">
        <v>274</v>
      </c>
      <c r="D5134" t="s">
        <v>502</v>
      </c>
      <c r="E5134" t="s">
        <v>520</v>
      </c>
      <c r="F5134" s="188" t="n">
        <v>2049</v>
      </c>
      <c r="G5134" s="189" t="n">
        <v>42</v>
      </c>
      <c r="H5134" s="190" t="n">
        <v>3737.24725837838</v>
      </c>
      <c r="I5134" s="191" t="n">
        <v>4600365.92391654</v>
      </c>
      <c r="J5134" s="192" t="str">
        <f>IF(I5134&gt;0,H5134/I5134,0)</f>
      </c>
      <c r="K5134" s="193" t="str">
        <f>1-EXP(-J5134)</f>
      </c>
      <c r="L5134" s="194" t="str">
        <f>IF(G5134=30,1,M5133)</f>
      </c>
      <c r="M5134" s="195" t="str">
        <f>L5134*(1-K5134)</f>
      </c>
    </row>
    <row r="5135">
      <c r="A5135" t="s">
        <v>167</v>
      </c>
      <c r="B5135" t="s">
        <v>272</v>
      </c>
      <c r="C5135" s="35" t="s">
        <v>274</v>
      </c>
      <c r="D5135" t="s">
        <v>502</v>
      </c>
      <c r="E5135" t="s">
        <v>520</v>
      </c>
      <c r="F5135" s="188" t="n">
        <v>2049</v>
      </c>
      <c r="G5135" s="189" t="n">
        <v>43</v>
      </c>
      <c r="H5135" s="190" t="n">
        <v>3985.59414758348</v>
      </c>
      <c r="I5135" s="191" t="n">
        <v>4513601.96625334</v>
      </c>
      <c r="J5135" s="192" t="str">
        <f>IF(I5135&gt;0,H5135/I5135,0)</f>
      </c>
      <c r="K5135" s="193" t="str">
        <f>1-EXP(-J5135)</f>
      </c>
      <c r="L5135" s="194" t="str">
        <f>IF(G5135=30,1,M5134)</f>
      </c>
      <c r="M5135" s="195" t="str">
        <f>L5135*(1-K5135)</f>
      </c>
    </row>
    <row r="5136">
      <c r="A5136" t="s">
        <v>167</v>
      </c>
      <c r="B5136" t="s">
        <v>272</v>
      </c>
      <c r="C5136" s="35" t="s">
        <v>274</v>
      </c>
      <c r="D5136" t="s">
        <v>502</v>
      </c>
      <c r="E5136" t="s">
        <v>520</v>
      </c>
      <c r="F5136" s="188" t="n">
        <v>2049</v>
      </c>
      <c r="G5136" s="189" t="n">
        <v>44</v>
      </c>
      <c r="H5136" s="190" t="n">
        <v>4278.9653636279</v>
      </c>
      <c r="I5136" s="191" t="n">
        <v>4447846.22598813</v>
      </c>
      <c r="J5136" s="192" t="str">
        <f>IF(I5136&gt;0,H5136/I5136,0)</f>
      </c>
      <c r="K5136" s="193" t="str">
        <f>1-EXP(-J5136)</f>
      </c>
      <c r="L5136" s="194" t="str">
        <f>IF(G5136=30,1,M5135)</f>
      </c>
      <c r="M5136" s="195" t="str">
        <f>L5136*(1-K5136)</f>
      </c>
    </row>
    <row r="5137">
      <c r="A5137" t="s">
        <v>167</v>
      </c>
      <c r="B5137" t="s">
        <v>272</v>
      </c>
      <c r="C5137" s="35" t="s">
        <v>274</v>
      </c>
      <c r="D5137" t="s">
        <v>502</v>
      </c>
      <c r="E5137" t="s">
        <v>520</v>
      </c>
      <c r="F5137" s="188" t="n">
        <v>2049</v>
      </c>
      <c r="G5137" s="189" t="n">
        <v>45</v>
      </c>
      <c r="H5137" s="190" t="n">
        <v>5326.152125535</v>
      </c>
      <c r="I5137" s="191" t="n">
        <v>4315249.08105216</v>
      </c>
      <c r="J5137" s="192" t="str">
        <f>IF(I5137&gt;0,H5137/I5137,0)</f>
      </c>
      <c r="K5137" s="193" t="str">
        <f>1-EXP(-J5137)</f>
      </c>
      <c r="L5137" s="194" t="str">
        <f>IF(G5137=30,1,M5136)</f>
      </c>
      <c r="M5137" s="195" t="str">
        <f>L5137*(1-K5137)</f>
      </c>
    </row>
    <row r="5138">
      <c r="A5138" t="s">
        <v>167</v>
      </c>
      <c r="B5138" t="s">
        <v>272</v>
      </c>
      <c r="C5138" s="35" t="s">
        <v>274</v>
      </c>
      <c r="D5138" t="s">
        <v>502</v>
      </c>
      <c r="E5138" t="s">
        <v>520</v>
      </c>
      <c r="F5138" s="188" t="n">
        <v>2049</v>
      </c>
      <c r="G5138" s="189" t="n">
        <v>46</v>
      </c>
      <c r="H5138" s="190" t="n">
        <v>5847.49603743072</v>
      </c>
      <c r="I5138" s="191" t="n">
        <v>4242961.13187049</v>
      </c>
      <c r="J5138" s="192" t="str">
        <f>IF(I5138&gt;0,H5138/I5138,0)</f>
      </c>
      <c r="K5138" s="193" t="str">
        <f>1-EXP(-J5138)</f>
      </c>
      <c r="L5138" s="194" t="str">
        <f>IF(G5138=30,1,M5137)</f>
      </c>
      <c r="M5138" s="195" t="str">
        <f>L5138*(1-K5138)</f>
      </c>
    </row>
    <row r="5139">
      <c r="A5139" t="s">
        <v>167</v>
      </c>
      <c r="B5139" t="s">
        <v>272</v>
      </c>
      <c r="C5139" s="35" t="s">
        <v>274</v>
      </c>
      <c r="D5139" t="s">
        <v>502</v>
      </c>
      <c r="E5139" t="s">
        <v>520</v>
      </c>
      <c r="F5139" s="188" t="n">
        <v>2049</v>
      </c>
      <c r="G5139" s="189" t="n">
        <v>47</v>
      </c>
      <c r="H5139" s="190" t="n">
        <v>6504.93836008586</v>
      </c>
      <c r="I5139" s="191" t="n">
        <v>4210928.14343459</v>
      </c>
      <c r="J5139" s="192" t="str">
        <f>IF(I5139&gt;0,H5139/I5139,0)</f>
      </c>
      <c r="K5139" s="193" t="str">
        <f>1-EXP(-J5139)</f>
      </c>
      <c r="L5139" s="194" t="str">
        <f>IF(G5139=30,1,M5138)</f>
      </c>
      <c r="M5139" s="195" t="str">
        <f>L5139*(1-K5139)</f>
      </c>
    </row>
    <row r="5140">
      <c r="A5140" t="s">
        <v>167</v>
      </c>
      <c r="B5140" t="s">
        <v>272</v>
      </c>
      <c r="C5140" s="35" t="s">
        <v>274</v>
      </c>
      <c r="D5140" t="s">
        <v>502</v>
      </c>
      <c r="E5140" t="s">
        <v>520</v>
      </c>
      <c r="F5140" s="188" t="n">
        <v>2049</v>
      </c>
      <c r="G5140" s="189" t="n">
        <v>48</v>
      </c>
      <c r="H5140" s="190" t="n">
        <v>7090.50795963234</v>
      </c>
      <c r="I5140" s="191" t="n">
        <v>4181545.10805723</v>
      </c>
      <c r="J5140" s="192" t="str">
        <f>IF(I5140&gt;0,H5140/I5140,0)</f>
      </c>
      <c r="K5140" s="193" t="str">
        <f>1-EXP(-J5140)</f>
      </c>
      <c r="L5140" s="194" t="str">
        <f>IF(G5140=30,1,M5139)</f>
      </c>
      <c r="M5140" s="195" t="str">
        <f>L5140*(1-K5140)</f>
      </c>
    </row>
    <row r="5141">
      <c r="A5141" t="s">
        <v>167</v>
      </c>
      <c r="B5141" t="s">
        <v>272</v>
      </c>
      <c r="C5141" s="35" t="s">
        <v>274</v>
      </c>
      <c r="D5141" t="s">
        <v>502</v>
      </c>
      <c r="E5141" t="s">
        <v>520</v>
      </c>
      <c r="F5141" s="188" t="n">
        <v>2049</v>
      </c>
      <c r="G5141" s="189" t="n">
        <v>49</v>
      </c>
      <c r="H5141" s="190" t="n">
        <v>7735.83698446656</v>
      </c>
      <c r="I5141" s="191" t="n">
        <v>4150769.61495935</v>
      </c>
      <c r="J5141" s="192" t="str">
        <f>IF(I5141&gt;0,H5141/I5141,0)</f>
      </c>
      <c r="K5141" s="193" t="str">
        <f>1-EXP(-J5141)</f>
      </c>
      <c r="L5141" s="194" t="str">
        <f>IF(G5141=30,1,M5140)</f>
      </c>
      <c r="M5141" s="195" t="str">
        <f>L5141*(1-K5141)</f>
      </c>
    </row>
    <row r="5142">
      <c r="A5142" t="s">
        <v>167</v>
      </c>
      <c r="B5142" t="s">
        <v>272</v>
      </c>
      <c r="C5142" s="35" t="s">
        <v>274</v>
      </c>
      <c r="D5142" t="s">
        <v>502</v>
      </c>
      <c r="E5142" t="s">
        <v>520</v>
      </c>
      <c r="F5142" s="188" t="n">
        <v>2049</v>
      </c>
      <c r="G5142" s="189" t="n">
        <v>50</v>
      </c>
      <c r="H5142" s="190" t="n">
        <v>8835.07611360848</v>
      </c>
      <c r="I5142" s="191" t="n">
        <v>4156896.89287796</v>
      </c>
      <c r="J5142" s="192" t="str">
        <f>IF(I5142&gt;0,H5142/I5142,0)</f>
      </c>
      <c r="K5142" s="193" t="str">
        <f>1-EXP(-J5142)</f>
      </c>
      <c r="L5142" s="194" t="str">
        <f>IF(G5142=30,1,M5141)</f>
      </c>
      <c r="M5142" s="195" t="str">
        <f>L5142*(1-K5142)</f>
      </c>
    </row>
    <row r="5143">
      <c r="A5143" t="s">
        <v>167</v>
      </c>
      <c r="B5143" t="s">
        <v>272</v>
      </c>
      <c r="C5143" s="35" t="s">
        <v>274</v>
      </c>
      <c r="D5143" t="s">
        <v>502</v>
      </c>
      <c r="E5143" t="s">
        <v>520</v>
      </c>
      <c r="F5143" s="188" t="n">
        <v>2049</v>
      </c>
      <c r="G5143" s="189" t="n">
        <v>51</v>
      </c>
      <c r="H5143" s="190" t="n">
        <v>9836.01122372176</v>
      </c>
      <c r="I5143" s="191" t="n">
        <v>4198321.19082449</v>
      </c>
      <c r="J5143" s="192" t="str">
        <f>IF(I5143&gt;0,H5143/I5143,0)</f>
      </c>
      <c r="K5143" s="193" t="str">
        <f>1-EXP(-J5143)</f>
      </c>
      <c r="L5143" s="194" t="str">
        <f>IF(G5143=30,1,M5142)</f>
      </c>
      <c r="M5143" s="195" t="str">
        <f>L5143*(1-K5143)</f>
      </c>
    </row>
    <row r="5144">
      <c r="A5144" t="s">
        <v>167</v>
      </c>
      <c r="B5144" t="s">
        <v>272</v>
      </c>
      <c r="C5144" s="35" t="s">
        <v>274</v>
      </c>
      <c r="D5144" t="s">
        <v>502</v>
      </c>
      <c r="E5144" t="s">
        <v>520</v>
      </c>
      <c r="F5144" s="188" t="n">
        <v>2049</v>
      </c>
      <c r="G5144" s="189" t="n">
        <v>52</v>
      </c>
      <c r="H5144" s="190" t="n">
        <v>11203.5397739683</v>
      </c>
      <c r="I5144" s="191" t="n">
        <v>4310050.92933346</v>
      </c>
      <c r="J5144" s="192" t="str">
        <f>IF(I5144&gt;0,H5144/I5144,0)</f>
      </c>
      <c r="K5144" s="193" t="str">
        <f>1-EXP(-J5144)</f>
      </c>
      <c r="L5144" s="194" t="str">
        <f>IF(G5144=30,1,M5143)</f>
      </c>
      <c r="M5144" s="195" t="str">
        <f>L5144*(1-K5144)</f>
      </c>
    </row>
    <row r="5145">
      <c r="A5145" t="s">
        <v>167</v>
      </c>
      <c r="B5145" t="s">
        <v>272</v>
      </c>
      <c r="C5145" s="35" t="s">
        <v>274</v>
      </c>
      <c r="D5145" t="s">
        <v>502</v>
      </c>
      <c r="E5145" t="s">
        <v>520</v>
      </c>
      <c r="F5145" s="188" t="n">
        <v>2049</v>
      </c>
      <c r="G5145" s="189" t="n">
        <v>53</v>
      </c>
      <c r="H5145" s="190" t="n">
        <v>12049.6817863956</v>
      </c>
      <c r="I5145" s="191" t="n">
        <v>4249778.90076138</v>
      </c>
      <c r="J5145" s="192" t="str">
        <f>IF(I5145&gt;0,H5145/I5145,0)</f>
      </c>
      <c r="K5145" s="193" t="str">
        <f>1-EXP(-J5145)</f>
      </c>
      <c r="L5145" s="194" t="str">
        <f>IF(G5145=30,1,M5144)</f>
      </c>
      <c r="M5145" s="195" t="str">
        <f>L5145*(1-K5145)</f>
      </c>
    </row>
    <row r="5146">
      <c r="A5146" t="s">
        <v>167</v>
      </c>
      <c r="B5146" t="s">
        <v>272</v>
      </c>
      <c r="C5146" s="35" t="s">
        <v>274</v>
      </c>
      <c r="D5146" t="s">
        <v>502</v>
      </c>
      <c r="E5146" t="s">
        <v>520</v>
      </c>
      <c r="F5146" s="188" t="n">
        <v>2049</v>
      </c>
      <c r="G5146" s="189" t="n">
        <v>54</v>
      </c>
      <c r="H5146" s="190" t="n">
        <v>12839.1426996275</v>
      </c>
      <c r="I5146" s="191" t="n">
        <v>4159601.51421932</v>
      </c>
      <c r="J5146" s="192" t="str">
        <f>IF(I5146&gt;0,H5146/I5146,0)</f>
      </c>
      <c r="K5146" s="193" t="str">
        <f>1-EXP(-J5146)</f>
      </c>
      <c r="L5146" s="194" t="str">
        <f>IF(G5146=30,1,M5145)</f>
      </c>
      <c r="M5146" s="195" t="str">
        <f>L5146*(1-K5146)</f>
      </c>
    </row>
    <row r="5147">
      <c r="A5147" t="s">
        <v>167</v>
      </c>
      <c r="B5147" t="s">
        <v>272</v>
      </c>
      <c r="C5147" s="35" t="s">
        <v>274</v>
      </c>
      <c r="D5147" t="s">
        <v>502</v>
      </c>
      <c r="E5147" t="s">
        <v>520</v>
      </c>
      <c r="F5147" s="188" t="n">
        <v>2049</v>
      </c>
      <c r="G5147" s="189" t="n">
        <v>55</v>
      </c>
      <c r="H5147" s="190" t="n">
        <v>13424.5243818956</v>
      </c>
      <c r="I5147" s="191" t="n">
        <v>4082860.64098619</v>
      </c>
      <c r="J5147" s="192" t="str">
        <f>IF(I5147&gt;0,H5147/I5147,0)</f>
      </c>
      <c r="K5147" s="193" t="str">
        <f>1-EXP(-J5147)</f>
      </c>
      <c r="L5147" s="194" t="str">
        <f>IF(G5147=30,1,M5146)</f>
      </c>
      <c r="M5147" s="195" t="str">
        <f>L5147*(1-K5147)</f>
      </c>
    </row>
    <row r="5148">
      <c r="A5148" t="s">
        <v>167</v>
      </c>
      <c r="B5148" t="s">
        <v>272</v>
      </c>
      <c r="C5148" s="35" t="s">
        <v>274</v>
      </c>
      <c r="D5148" t="s">
        <v>502</v>
      </c>
      <c r="E5148" t="s">
        <v>520</v>
      </c>
      <c r="F5148" s="188" t="n">
        <v>2049</v>
      </c>
      <c r="G5148" s="189" t="n">
        <v>56</v>
      </c>
      <c r="H5148" s="190" t="n">
        <v>14312.0680011666</v>
      </c>
      <c r="I5148" s="191" t="n">
        <v>4007984.56423516</v>
      </c>
      <c r="J5148" s="192" t="str">
        <f>IF(I5148&gt;0,H5148/I5148,0)</f>
      </c>
      <c r="K5148" s="193" t="str">
        <f>1-EXP(-J5148)</f>
      </c>
      <c r="L5148" s="194" t="str">
        <f>IF(G5148=30,1,M5147)</f>
      </c>
      <c r="M5148" s="195" t="str">
        <f>L5148*(1-K5148)</f>
      </c>
    </row>
    <row r="5149">
      <c r="A5149" t="s">
        <v>167</v>
      </c>
      <c r="B5149" t="s">
        <v>272</v>
      </c>
      <c r="C5149" s="35" t="s">
        <v>274</v>
      </c>
      <c r="D5149" t="s">
        <v>502</v>
      </c>
      <c r="E5149" t="s">
        <v>520</v>
      </c>
      <c r="F5149" s="188" t="n">
        <v>2049</v>
      </c>
      <c r="G5149" s="189" t="n">
        <v>57</v>
      </c>
      <c r="H5149" s="190" t="n">
        <v>15607.2534466159</v>
      </c>
      <c r="I5149" s="191" t="n">
        <v>4016138.60320148</v>
      </c>
      <c r="J5149" s="192" t="str">
        <f>IF(I5149&gt;0,H5149/I5149,0)</f>
      </c>
      <c r="K5149" s="193" t="str">
        <f>1-EXP(-J5149)</f>
      </c>
      <c r="L5149" s="194" t="str">
        <f>IF(G5149=30,1,M5148)</f>
      </c>
      <c r="M5149" s="195" t="str">
        <f>L5149*(1-K5149)</f>
      </c>
    </row>
    <row r="5150">
      <c r="A5150" t="s">
        <v>167</v>
      </c>
      <c r="B5150" t="s">
        <v>272</v>
      </c>
      <c r="C5150" s="35" t="s">
        <v>274</v>
      </c>
      <c r="D5150" t="s">
        <v>502</v>
      </c>
      <c r="E5150" t="s">
        <v>520</v>
      </c>
      <c r="F5150" s="188" t="n">
        <v>2049</v>
      </c>
      <c r="G5150" s="189" t="n">
        <v>58</v>
      </c>
      <c r="H5150" s="190" t="n">
        <v>16990.9676052826</v>
      </c>
      <c r="I5150" s="191" t="n">
        <v>4003086.90657597</v>
      </c>
      <c r="J5150" s="192" t="str">
        <f>IF(I5150&gt;0,H5150/I5150,0)</f>
      </c>
      <c r="K5150" s="193" t="str">
        <f>1-EXP(-J5150)</f>
      </c>
      <c r="L5150" s="194" t="str">
        <f>IF(G5150=30,1,M5149)</f>
      </c>
      <c r="M5150" s="195" t="str">
        <f>L5150*(1-K5150)</f>
      </c>
    </row>
    <row r="5151">
      <c r="A5151" t="s">
        <v>167</v>
      </c>
      <c r="B5151" t="s">
        <v>272</v>
      </c>
      <c r="C5151" s="35" t="s">
        <v>274</v>
      </c>
      <c r="D5151" t="s">
        <v>502</v>
      </c>
      <c r="E5151" t="s">
        <v>520</v>
      </c>
      <c r="F5151" s="188" t="n">
        <v>2049</v>
      </c>
      <c r="G5151" s="189" t="n">
        <v>59</v>
      </c>
      <c r="H5151" s="190" t="n">
        <v>24704.2916356062</v>
      </c>
      <c r="I5151" s="191" t="n">
        <v>5885886.76587383</v>
      </c>
      <c r="J5151" s="192" t="str">
        <f>IF(I5151&gt;0,H5151/I5151,0)</f>
      </c>
      <c r="K5151" s="193" t="str">
        <f>1-EXP(-J5151)</f>
      </c>
      <c r="L5151" s="194" t="str">
        <f>IF(G5151=30,1,M5150)</f>
      </c>
      <c r="M5151" s="195" t="str">
        <f>L5151*(1-K5151)</f>
      </c>
    </row>
    <row r="5152">
      <c r="A5152" t="s">
        <v>167</v>
      </c>
      <c r="B5152" t="s">
        <v>272</v>
      </c>
      <c r="C5152" s="35" t="s">
        <v>274</v>
      </c>
      <c r="D5152" t="s">
        <v>502</v>
      </c>
      <c r="E5152" t="s">
        <v>520</v>
      </c>
      <c r="F5152" s="188" t="n">
        <v>2049</v>
      </c>
      <c r="G5152" s="189" t="n">
        <v>60</v>
      </c>
      <c r="H5152" s="190" t="n">
        <v>19483.6170241418</v>
      </c>
      <c r="I5152" s="191" t="n">
        <v>3898362.78942429</v>
      </c>
      <c r="J5152" s="192" t="str">
        <f>IF(I5152&gt;0,H5152/I5152,0)</f>
      </c>
      <c r="K5152" s="193" t="str">
        <f>1-EXP(-J5152)</f>
      </c>
      <c r="L5152" s="194" t="str">
        <f>IF(G5152=30,1,M5151)</f>
      </c>
      <c r="M5152" s="195" t="str">
        <f>L5152*(1-K5152)</f>
      </c>
    </row>
    <row r="5153">
      <c r="A5153" t="s">
        <v>167</v>
      </c>
      <c r="B5153" t="s">
        <v>272</v>
      </c>
      <c r="C5153" s="35" t="s">
        <v>274</v>
      </c>
      <c r="D5153" t="s">
        <v>502</v>
      </c>
      <c r="E5153" t="s">
        <v>520</v>
      </c>
      <c r="F5153" s="188" t="n">
        <v>2049</v>
      </c>
      <c r="G5153" s="189" t="n">
        <v>61</v>
      </c>
      <c r="H5153" s="190" t="n">
        <v>21113.3641932145</v>
      </c>
      <c r="I5153" s="191" t="n">
        <v>3845416.80114288</v>
      </c>
      <c r="J5153" s="192" t="str">
        <f>IF(I5153&gt;0,H5153/I5153,0)</f>
      </c>
      <c r="K5153" s="193" t="str">
        <f>1-EXP(-J5153)</f>
      </c>
      <c r="L5153" s="194" t="str">
        <f>IF(G5153=30,1,M5152)</f>
      </c>
      <c r="M5153" s="195" t="str">
        <f>L5153*(1-K5153)</f>
      </c>
    </row>
    <row r="5154">
      <c r="A5154" t="s">
        <v>167</v>
      </c>
      <c r="B5154" t="s">
        <v>272</v>
      </c>
      <c r="C5154" s="35" t="s">
        <v>274</v>
      </c>
      <c r="D5154" t="s">
        <v>502</v>
      </c>
      <c r="E5154" t="s">
        <v>520</v>
      </c>
      <c r="F5154" s="188" t="n">
        <v>2049</v>
      </c>
      <c r="G5154" s="189" t="n">
        <v>62</v>
      </c>
      <c r="H5154" s="190" t="n">
        <v>22251.2959684633</v>
      </c>
      <c r="I5154" s="191" t="n">
        <v>3687361.18979205</v>
      </c>
      <c r="J5154" s="192" t="str">
        <f>IF(I5154&gt;0,H5154/I5154,0)</f>
      </c>
      <c r="K5154" s="193" t="str">
        <f>1-EXP(-J5154)</f>
      </c>
      <c r="L5154" s="194" t="str">
        <f>IF(G5154=30,1,M5153)</f>
      </c>
      <c r="M5154" s="195" t="str">
        <f>L5154*(1-K5154)</f>
      </c>
    </row>
    <row r="5155">
      <c r="A5155" t="s">
        <v>167</v>
      </c>
      <c r="B5155" t="s">
        <v>272</v>
      </c>
      <c r="C5155" s="35" t="s">
        <v>274</v>
      </c>
      <c r="D5155" t="s">
        <v>502</v>
      </c>
      <c r="E5155" t="s">
        <v>520</v>
      </c>
      <c r="F5155" s="188" t="n">
        <v>2049</v>
      </c>
      <c r="G5155" s="189" t="n">
        <v>63</v>
      </c>
      <c r="H5155" s="190" t="n">
        <v>23952.0162289339</v>
      </c>
      <c r="I5155" s="191" t="n">
        <v>3613547.83330444</v>
      </c>
      <c r="J5155" s="192" t="str">
        <f>IF(I5155&gt;0,H5155/I5155,0)</f>
      </c>
      <c r="K5155" s="193" t="str">
        <f>1-EXP(-J5155)</f>
      </c>
      <c r="L5155" s="194" t="str">
        <f>IF(G5155=30,1,M5154)</f>
      </c>
      <c r="M5155" s="195" t="str">
        <f>L5155*(1-K5155)</f>
      </c>
    </row>
    <row r="5156">
      <c r="A5156" t="s">
        <v>167</v>
      </c>
      <c r="B5156" t="s">
        <v>272</v>
      </c>
      <c r="C5156" s="35" t="s">
        <v>274</v>
      </c>
      <c r="D5156" t="s">
        <v>502</v>
      </c>
      <c r="E5156" t="s">
        <v>520</v>
      </c>
      <c r="F5156" s="188" t="n">
        <v>2049</v>
      </c>
      <c r="G5156" s="189" t="n">
        <v>64</v>
      </c>
      <c r="H5156" s="190" t="n">
        <v>26328.4571529865</v>
      </c>
      <c r="I5156" s="191" t="n">
        <v>3616964.03715698</v>
      </c>
      <c r="J5156" s="192" t="str">
        <f>IF(I5156&gt;0,H5156/I5156,0)</f>
      </c>
      <c r="K5156" s="193" t="str">
        <f>1-EXP(-J5156)</f>
      </c>
      <c r="L5156" s="194" t="str">
        <f>IF(G5156=30,1,M5155)</f>
      </c>
      <c r="M5156" s="195" t="str">
        <f>L5156*(1-K5156)</f>
      </c>
    </row>
    <row r="5157">
      <c r="A5157" t="s">
        <v>167</v>
      </c>
      <c r="B5157" t="s">
        <v>272</v>
      </c>
      <c r="C5157" s="35" t="s">
        <v>274</v>
      </c>
      <c r="D5157" t="s">
        <v>502</v>
      </c>
      <c r="E5157" t="s">
        <v>520</v>
      </c>
      <c r="F5157" s="188" t="n">
        <v>2049</v>
      </c>
      <c r="G5157" s="189" t="n">
        <v>65</v>
      </c>
      <c r="H5157" s="190" t="n">
        <v>27592.816754418</v>
      </c>
      <c r="I5157" s="191" t="n">
        <v>3636164.14886315</v>
      </c>
      <c r="J5157" s="192" t="str">
        <f>IF(I5157&gt;0,H5157/I5157,0)</f>
      </c>
      <c r="K5157" s="193" t="str">
        <f>1-EXP(-J5157)</f>
      </c>
      <c r="L5157" s="194" t="str">
        <f>IF(G5157=30,1,M5156)</f>
      </c>
      <c r="M5157" s="195" t="str">
        <f>L5157*(1-K5157)</f>
      </c>
    </row>
    <row r="5158">
      <c r="A5158" t="s">
        <v>167</v>
      </c>
      <c r="B5158" t="s">
        <v>272</v>
      </c>
      <c r="C5158" s="35" t="s">
        <v>274</v>
      </c>
      <c r="D5158" t="s">
        <v>502</v>
      </c>
      <c r="E5158" t="s">
        <v>520</v>
      </c>
      <c r="F5158" s="188" t="n">
        <v>2049</v>
      </c>
      <c r="G5158" s="189" t="n">
        <v>66</v>
      </c>
      <c r="H5158" s="190" t="n">
        <v>29647.9956669742</v>
      </c>
      <c r="I5158" s="191" t="n">
        <v>3558908.95624757</v>
      </c>
      <c r="J5158" s="192" t="str">
        <f>IF(I5158&gt;0,H5158/I5158,0)</f>
      </c>
      <c r="K5158" s="193" t="str">
        <f>1-EXP(-J5158)</f>
      </c>
      <c r="L5158" s="194" t="str">
        <f>IF(G5158=30,1,M5157)</f>
      </c>
      <c r="M5158" s="195" t="str">
        <f>L5158*(1-K5158)</f>
      </c>
    </row>
    <row r="5159">
      <c r="A5159" t="s">
        <v>167</v>
      </c>
      <c r="B5159" t="s">
        <v>272</v>
      </c>
      <c r="C5159" s="35" t="s">
        <v>274</v>
      </c>
      <c r="D5159" t="s">
        <v>502</v>
      </c>
      <c r="E5159" t="s">
        <v>520</v>
      </c>
      <c r="F5159" s="188" t="n">
        <v>2049</v>
      </c>
      <c r="G5159" s="189" t="n">
        <v>67</v>
      </c>
      <c r="H5159" s="190" t="n">
        <v>31009.2653970929</v>
      </c>
      <c r="I5159" s="191" t="n">
        <v>3384435.97387038</v>
      </c>
      <c r="J5159" s="192" t="str">
        <f>IF(I5159&gt;0,H5159/I5159,0)</f>
      </c>
      <c r="K5159" s="193" t="str">
        <f>1-EXP(-J5159)</f>
      </c>
      <c r="L5159" s="194" t="str">
        <f>IF(G5159=30,1,M5158)</f>
      </c>
      <c r="M5159" s="195" t="str">
        <f>L5159*(1-K5159)</f>
      </c>
    </row>
    <row r="5160">
      <c r="A5160" t="s">
        <v>167</v>
      </c>
      <c r="B5160" t="s">
        <v>272</v>
      </c>
      <c r="C5160" s="35" t="s">
        <v>274</v>
      </c>
      <c r="D5160" t="s">
        <v>502</v>
      </c>
      <c r="E5160" t="s">
        <v>520</v>
      </c>
      <c r="F5160" s="188" t="n">
        <v>2049</v>
      </c>
      <c r="G5160" s="189" t="n">
        <v>68</v>
      </c>
      <c r="H5160" s="190" t="n">
        <v>32848.0702941281</v>
      </c>
      <c r="I5160" s="191" t="n">
        <v>3259905.78955266</v>
      </c>
      <c r="J5160" s="192" t="str">
        <f>IF(I5160&gt;0,H5160/I5160,0)</f>
      </c>
      <c r="K5160" s="193" t="str">
        <f>1-EXP(-J5160)</f>
      </c>
      <c r="L5160" s="194" t="str">
        <f>IF(G5160=30,1,M5159)</f>
      </c>
      <c r="M5160" s="195" t="str">
        <f>L5160*(1-K5160)</f>
      </c>
    </row>
    <row r="5161">
      <c r="A5161" t="s">
        <v>167</v>
      </c>
      <c r="B5161" t="s">
        <v>272</v>
      </c>
      <c r="C5161" s="35" t="s">
        <v>274</v>
      </c>
      <c r="D5161" t="s">
        <v>502</v>
      </c>
      <c r="E5161" t="s">
        <v>520</v>
      </c>
      <c r="F5161" s="188" t="n">
        <v>2049</v>
      </c>
      <c r="G5161" s="189" t="n">
        <v>69</v>
      </c>
      <c r="H5161" s="190" t="n">
        <v>34889.1844213243</v>
      </c>
      <c r="I5161" s="191" t="n">
        <v>3145249.43866301</v>
      </c>
      <c r="J5161" s="192" t="str">
        <f>IF(I5161&gt;0,H5161/I5161,0)</f>
      </c>
      <c r="K5161" s="193" t="str">
        <f>1-EXP(-J5161)</f>
      </c>
      <c r="L5161" s="194" t="str">
        <f>IF(G5161=30,1,M5160)</f>
      </c>
      <c r="M5161" s="195" t="str">
        <f>L5161*(1-K5161)</f>
      </c>
    </row>
    <row r="5162">
      <c r="A5162" t="s">
        <v>167</v>
      </c>
      <c r="B5162" t="s">
        <v>272</v>
      </c>
      <c r="C5162" s="35" t="s">
        <v>274</v>
      </c>
      <c r="D5162" t="s">
        <v>502</v>
      </c>
      <c r="E5162" t="s">
        <v>520</v>
      </c>
      <c r="F5162" s="188" t="n">
        <v>2050</v>
      </c>
      <c r="G5162" s="189" t="n">
        <v>30</v>
      </c>
      <c r="H5162" s="190" t="n">
        <v>597.492268988925</v>
      </c>
      <c r="I5162" s="191" t="n">
        <v>4253353.18216</v>
      </c>
      <c r="J5162" s="192" t="str">
        <f>IF(I5162&gt;0,H5162/I5162,0)</f>
      </c>
      <c r="K5162" s="193" t="str">
        <f>1-EXP(-J5162)</f>
      </c>
      <c r="L5162" s="194" t="str">
        <f>IF(G5162=30,1,M5161)</f>
      </c>
      <c r="M5162" s="195" t="str">
        <f>L5162*(1-K5162)</f>
      </c>
    </row>
    <row r="5163">
      <c r="A5163" t="s">
        <v>167</v>
      </c>
      <c r="B5163" t="s">
        <v>272</v>
      </c>
      <c r="C5163" s="35" t="s">
        <v>274</v>
      </c>
      <c r="D5163" t="s">
        <v>502</v>
      </c>
      <c r="E5163" t="s">
        <v>520</v>
      </c>
      <c r="F5163" s="188" t="n">
        <v>2050</v>
      </c>
      <c r="G5163" s="189" t="n">
        <v>31</v>
      </c>
      <c r="H5163" s="190" t="n">
        <v>823.20903001282</v>
      </c>
      <c r="I5163" s="191" t="n">
        <v>4262085.33123652</v>
      </c>
      <c r="J5163" s="192" t="str">
        <f>IF(I5163&gt;0,H5163/I5163,0)</f>
      </c>
      <c r="K5163" s="193" t="str">
        <f>1-EXP(-J5163)</f>
      </c>
      <c r="L5163" s="194" t="str">
        <f>IF(G5163=30,1,M5162)</f>
      </c>
      <c r="M5163" s="195" t="str">
        <f>L5163*(1-K5163)</f>
      </c>
    </row>
    <row r="5164">
      <c r="A5164" t="s">
        <v>167</v>
      </c>
      <c r="B5164" t="s">
        <v>272</v>
      </c>
      <c r="C5164" s="35" t="s">
        <v>274</v>
      </c>
      <c r="D5164" t="s">
        <v>502</v>
      </c>
      <c r="E5164" t="s">
        <v>520</v>
      </c>
      <c r="F5164" s="188" t="n">
        <v>2050</v>
      </c>
      <c r="G5164" s="189" t="n">
        <v>32</v>
      </c>
      <c r="H5164" s="190" t="n">
        <v>869.615354442285</v>
      </c>
      <c r="I5164" s="191" t="n">
        <v>4266266.29820028</v>
      </c>
      <c r="J5164" s="192" t="str">
        <f>IF(I5164&gt;0,H5164/I5164,0)</f>
      </c>
      <c r="K5164" s="193" t="str">
        <f>1-EXP(-J5164)</f>
      </c>
      <c r="L5164" s="194" t="str">
        <f>IF(G5164=30,1,M5163)</f>
      </c>
      <c r="M5164" s="195" t="str">
        <f>L5164*(1-K5164)</f>
      </c>
    </row>
    <row r="5165">
      <c r="A5165" t="s">
        <v>167</v>
      </c>
      <c r="B5165" t="s">
        <v>272</v>
      </c>
      <c r="C5165" s="35" t="s">
        <v>274</v>
      </c>
      <c r="D5165" t="s">
        <v>502</v>
      </c>
      <c r="E5165" t="s">
        <v>520</v>
      </c>
      <c r="F5165" s="188" t="n">
        <v>2050</v>
      </c>
      <c r="G5165" s="189" t="n">
        <v>33</v>
      </c>
      <c r="H5165" s="190" t="n">
        <v>931.164224391608</v>
      </c>
      <c r="I5165" s="191" t="n">
        <v>4306604.7037305</v>
      </c>
      <c r="J5165" s="192" t="str">
        <f>IF(I5165&gt;0,H5165/I5165,0)</f>
      </c>
      <c r="K5165" s="193" t="str">
        <f>1-EXP(-J5165)</f>
      </c>
      <c r="L5165" s="194" t="str">
        <f>IF(G5165=30,1,M5164)</f>
      </c>
      <c r="M5165" s="195" t="str">
        <f>L5165*(1-K5165)</f>
      </c>
    </row>
    <row r="5166">
      <c r="A5166" t="s">
        <v>167</v>
      </c>
      <c r="B5166" t="s">
        <v>272</v>
      </c>
      <c r="C5166" s="35" t="s">
        <v>274</v>
      </c>
      <c r="D5166" t="s">
        <v>502</v>
      </c>
      <c r="E5166" t="s">
        <v>520</v>
      </c>
      <c r="F5166" s="188" t="n">
        <v>2050</v>
      </c>
      <c r="G5166" s="189" t="n">
        <v>34</v>
      </c>
      <c r="H5166" s="190" t="n">
        <v>1089.94585310213</v>
      </c>
      <c r="I5166" s="191" t="n">
        <v>4568058.31169586</v>
      </c>
      <c r="J5166" s="192" t="str">
        <f>IF(I5166&gt;0,H5166/I5166,0)</f>
      </c>
      <c r="K5166" s="193" t="str">
        <f>1-EXP(-J5166)</f>
      </c>
      <c r="L5166" s="194" t="str">
        <f>IF(G5166=30,1,M5165)</f>
      </c>
      <c r="M5166" s="195" t="str">
        <f>L5166*(1-K5166)</f>
      </c>
    </row>
    <row r="5167">
      <c r="A5167" t="s">
        <v>167</v>
      </c>
      <c r="B5167" t="s">
        <v>272</v>
      </c>
      <c r="C5167" s="35" t="s">
        <v>274</v>
      </c>
      <c r="D5167" t="s">
        <v>502</v>
      </c>
      <c r="E5167" t="s">
        <v>520</v>
      </c>
      <c r="F5167" s="188" t="n">
        <v>2050</v>
      </c>
      <c r="G5167" s="189" t="n">
        <v>35</v>
      </c>
      <c r="H5167" s="190" t="n">
        <v>1463.27207908434</v>
      </c>
      <c r="I5167" s="191" t="n">
        <v>4615891.35821404</v>
      </c>
      <c r="J5167" s="192" t="str">
        <f>IF(I5167&gt;0,H5167/I5167,0)</f>
      </c>
      <c r="K5167" s="193" t="str">
        <f>1-EXP(-J5167)</f>
      </c>
      <c r="L5167" s="194" t="str">
        <f>IF(G5167=30,1,M5166)</f>
      </c>
      <c r="M5167" s="195" t="str">
        <f>L5167*(1-K5167)</f>
      </c>
    </row>
    <row r="5168">
      <c r="A5168" t="s">
        <v>167</v>
      </c>
      <c r="B5168" t="s">
        <v>272</v>
      </c>
      <c r="C5168" s="35" t="s">
        <v>274</v>
      </c>
      <c r="D5168" t="s">
        <v>502</v>
      </c>
      <c r="E5168" t="s">
        <v>520</v>
      </c>
      <c r="F5168" s="188" t="n">
        <v>2050</v>
      </c>
      <c r="G5168" s="189" t="n">
        <v>36</v>
      </c>
      <c r="H5168" s="190" t="n">
        <v>1760.77790190015</v>
      </c>
      <c r="I5168" s="191" t="n">
        <v>4680773.68825274</v>
      </c>
      <c r="J5168" s="192" t="str">
        <f>IF(I5168&gt;0,H5168/I5168,0)</f>
      </c>
      <c r="K5168" s="193" t="str">
        <f>1-EXP(-J5168)</f>
      </c>
      <c r="L5168" s="194" t="str">
        <f>IF(G5168=30,1,M5167)</f>
      </c>
      <c r="M5168" s="195" t="str">
        <f>L5168*(1-K5168)</f>
      </c>
    </row>
    <row r="5169">
      <c r="A5169" t="s">
        <v>167</v>
      </c>
      <c r="B5169" t="s">
        <v>272</v>
      </c>
      <c r="C5169" s="35" t="s">
        <v>274</v>
      </c>
      <c r="D5169" t="s">
        <v>502</v>
      </c>
      <c r="E5169" t="s">
        <v>520</v>
      </c>
      <c r="F5169" s="188" t="n">
        <v>2050</v>
      </c>
      <c r="G5169" s="189" t="n">
        <v>37</v>
      </c>
      <c r="H5169" s="190" t="n">
        <v>1919.76338828347</v>
      </c>
      <c r="I5169" s="191" t="n">
        <v>4746986.83072607</v>
      </c>
      <c r="J5169" s="192" t="str">
        <f>IF(I5169&gt;0,H5169/I5169,0)</f>
      </c>
      <c r="K5169" s="193" t="str">
        <f>1-EXP(-J5169)</f>
      </c>
      <c r="L5169" s="194" t="str">
        <f>IF(G5169=30,1,M5168)</f>
      </c>
      <c r="M5169" s="195" t="str">
        <f>L5169*(1-K5169)</f>
      </c>
    </row>
    <row r="5170">
      <c r="A5170" t="s">
        <v>167</v>
      </c>
      <c r="B5170" t="s">
        <v>272</v>
      </c>
      <c r="C5170" s="35" t="s">
        <v>274</v>
      </c>
      <c r="D5170" t="s">
        <v>502</v>
      </c>
      <c r="E5170" t="s">
        <v>520</v>
      </c>
      <c r="F5170" s="188" t="n">
        <v>2050</v>
      </c>
      <c r="G5170" s="189" t="n">
        <v>38</v>
      </c>
      <c r="H5170" s="190" t="n">
        <v>2170.6226565761</v>
      </c>
      <c r="I5170" s="191" t="n">
        <v>4856720.52474923</v>
      </c>
      <c r="J5170" s="192" t="str">
        <f>IF(I5170&gt;0,H5170/I5170,0)</f>
      </c>
      <c r="K5170" s="193" t="str">
        <f>1-EXP(-J5170)</f>
      </c>
      <c r="L5170" s="194" t="str">
        <f>IF(G5170=30,1,M5169)</f>
      </c>
      <c r="M5170" s="195" t="str">
        <f>L5170*(1-K5170)</f>
      </c>
    </row>
    <row r="5171">
      <c r="A5171" t="s">
        <v>167</v>
      </c>
      <c r="B5171" t="s">
        <v>272</v>
      </c>
      <c r="C5171" s="35" t="s">
        <v>274</v>
      </c>
      <c r="D5171" t="s">
        <v>502</v>
      </c>
      <c r="E5171" t="s">
        <v>520</v>
      </c>
      <c r="F5171" s="188" t="n">
        <v>2050</v>
      </c>
      <c r="G5171" s="189" t="n">
        <v>39</v>
      </c>
      <c r="H5171" s="190" t="n">
        <v>2332.92304607395</v>
      </c>
      <c r="I5171" s="191" t="n">
        <v>4826360.95222058</v>
      </c>
      <c r="J5171" s="192" t="str">
        <f>IF(I5171&gt;0,H5171/I5171,0)</f>
      </c>
      <c r="K5171" s="193" t="str">
        <f>1-EXP(-J5171)</f>
      </c>
      <c r="L5171" s="194" t="str">
        <f>IF(G5171=30,1,M5170)</f>
      </c>
      <c r="M5171" s="195" t="str">
        <f>L5171*(1-K5171)</f>
      </c>
    </row>
    <row r="5172">
      <c r="A5172" t="s">
        <v>167</v>
      </c>
      <c r="B5172" t="s">
        <v>272</v>
      </c>
      <c r="C5172" s="35" t="s">
        <v>274</v>
      </c>
      <c r="D5172" t="s">
        <v>502</v>
      </c>
      <c r="E5172" t="s">
        <v>520</v>
      </c>
      <c r="F5172" s="188" t="n">
        <v>2050</v>
      </c>
      <c r="G5172" s="189" t="n">
        <v>40</v>
      </c>
      <c r="H5172" s="190" t="n">
        <v>3041.36454891905</v>
      </c>
      <c r="I5172" s="191" t="n">
        <v>4690947.11612168</v>
      </c>
      <c r="J5172" s="192" t="str">
        <f>IF(I5172&gt;0,H5172/I5172,0)</f>
      </c>
      <c r="K5172" s="193" t="str">
        <f>1-EXP(-J5172)</f>
      </c>
      <c r="L5172" s="194" t="str">
        <f>IF(G5172=30,1,M5171)</f>
      </c>
      <c r="M5172" s="195" t="str">
        <f>L5172*(1-K5172)</f>
      </c>
    </row>
    <row r="5173">
      <c r="A5173" t="s">
        <v>167</v>
      </c>
      <c r="B5173" t="s">
        <v>272</v>
      </c>
      <c r="C5173" s="35" t="s">
        <v>274</v>
      </c>
      <c r="D5173" t="s">
        <v>502</v>
      </c>
      <c r="E5173" t="s">
        <v>520</v>
      </c>
      <c r="F5173" s="188" t="n">
        <v>2050</v>
      </c>
      <c r="G5173" s="189" t="n">
        <v>41</v>
      </c>
      <c r="H5173" s="190" t="n">
        <v>3383.77572194937</v>
      </c>
      <c r="I5173" s="191" t="n">
        <v>4616765.50557607</v>
      </c>
      <c r="J5173" s="192" t="str">
        <f>IF(I5173&gt;0,H5173/I5173,0)</f>
      </c>
      <c r="K5173" s="193" t="str">
        <f>1-EXP(-J5173)</f>
      </c>
      <c r="L5173" s="194" t="str">
        <f>IF(G5173=30,1,M5172)</f>
      </c>
      <c r="M5173" s="195" t="str">
        <f>L5173*(1-K5173)</f>
      </c>
    </row>
    <row r="5174">
      <c r="A5174" t="s">
        <v>167</v>
      </c>
      <c r="B5174" t="s">
        <v>272</v>
      </c>
      <c r="C5174" s="35" t="s">
        <v>274</v>
      </c>
      <c r="D5174" t="s">
        <v>502</v>
      </c>
      <c r="E5174" t="s">
        <v>520</v>
      </c>
      <c r="F5174" s="188" t="n">
        <v>2050</v>
      </c>
      <c r="G5174" s="189" t="n">
        <v>42</v>
      </c>
      <c r="H5174" s="190" t="n">
        <v>3635.59868009135</v>
      </c>
      <c r="I5174" s="191" t="n">
        <v>4570374.86403576</v>
      </c>
      <c r="J5174" s="192" t="str">
        <f>IF(I5174&gt;0,H5174/I5174,0)</f>
      </c>
      <c r="K5174" s="193" t="str">
        <f>1-EXP(-J5174)</f>
      </c>
      <c r="L5174" s="194" t="str">
        <f>IF(G5174=30,1,M5173)</f>
      </c>
      <c r="M5174" s="195" t="str">
        <f>L5174*(1-K5174)</f>
      </c>
    </row>
    <row r="5175">
      <c r="A5175" t="s">
        <v>167</v>
      </c>
      <c r="B5175" t="s">
        <v>272</v>
      </c>
      <c r="C5175" s="35" t="s">
        <v>274</v>
      </c>
      <c r="D5175" t="s">
        <v>502</v>
      </c>
      <c r="E5175" t="s">
        <v>520</v>
      </c>
      <c r="F5175" s="188" t="n">
        <v>2050</v>
      </c>
      <c r="G5175" s="189" t="n">
        <v>43</v>
      </c>
      <c r="H5175" s="190" t="n">
        <v>4032.05895694501</v>
      </c>
      <c r="I5175" s="191" t="n">
        <v>4590321.73617825</v>
      </c>
      <c r="J5175" s="192" t="str">
        <f>IF(I5175&gt;0,H5175/I5175,0)</f>
      </c>
      <c r="K5175" s="193" t="str">
        <f>1-EXP(-J5175)</f>
      </c>
      <c r="L5175" s="194" t="str">
        <f>IF(G5175=30,1,M5174)</f>
      </c>
      <c r="M5175" s="195" t="str">
        <f>L5175*(1-K5175)</f>
      </c>
    </row>
    <row r="5176">
      <c r="A5176" t="s">
        <v>167</v>
      </c>
      <c r="B5176" t="s">
        <v>272</v>
      </c>
      <c r="C5176" s="35" t="s">
        <v>274</v>
      </c>
      <c r="D5176" t="s">
        <v>502</v>
      </c>
      <c r="E5176" t="s">
        <v>520</v>
      </c>
      <c r="F5176" s="188" t="n">
        <v>2050</v>
      </c>
      <c r="G5176" s="189" t="n">
        <v>44</v>
      </c>
      <c r="H5176" s="190" t="n">
        <v>4307.7856290439</v>
      </c>
      <c r="I5176" s="191" t="n">
        <v>4502931.81545094</v>
      </c>
      <c r="J5176" s="192" t="str">
        <f>IF(I5176&gt;0,H5176/I5176,0)</f>
      </c>
      <c r="K5176" s="193" t="str">
        <f>1-EXP(-J5176)</f>
      </c>
      <c r="L5176" s="194" t="str">
        <f>IF(G5176=30,1,M5175)</f>
      </c>
      <c r="M5176" s="195" t="str">
        <f>L5176*(1-K5176)</f>
      </c>
    </row>
    <row r="5177">
      <c r="A5177" t="s">
        <v>167</v>
      </c>
      <c r="B5177" t="s">
        <v>272</v>
      </c>
      <c r="C5177" s="35" t="s">
        <v>274</v>
      </c>
      <c r="D5177" t="s">
        <v>502</v>
      </c>
      <c r="E5177" t="s">
        <v>520</v>
      </c>
      <c r="F5177" s="188" t="n">
        <v>2050</v>
      </c>
      <c r="G5177" s="189" t="n">
        <v>45</v>
      </c>
      <c r="H5177" s="190" t="n">
        <v>5439.9958883661</v>
      </c>
      <c r="I5177" s="191" t="n">
        <v>4436438.40580729</v>
      </c>
      <c r="J5177" s="192" t="str">
        <f>IF(I5177&gt;0,H5177/I5177,0)</f>
      </c>
      <c r="K5177" s="193" t="str">
        <f>1-EXP(-J5177)</f>
      </c>
      <c r="L5177" s="194" t="str">
        <f>IF(G5177=30,1,M5176)</f>
      </c>
      <c r="M5177" s="195" t="str">
        <f>L5177*(1-K5177)</f>
      </c>
    </row>
    <row r="5178">
      <c r="A5178" t="s">
        <v>167</v>
      </c>
      <c r="B5178" t="s">
        <v>272</v>
      </c>
      <c r="C5178" s="35" t="s">
        <v>274</v>
      </c>
      <c r="D5178" t="s">
        <v>502</v>
      </c>
      <c r="E5178" t="s">
        <v>520</v>
      </c>
      <c r="F5178" s="188" t="n">
        <v>2050</v>
      </c>
      <c r="G5178" s="189" t="n">
        <v>46</v>
      </c>
      <c r="H5178" s="190" t="n">
        <v>5889.51132094766</v>
      </c>
      <c r="I5178" s="191" t="n">
        <v>4302393.98723744</v>
      </c>
      <c r="J5178" s="192" t="str">
        <f>IF(I5178&gt;0,H5178/I5178,0)</f>
      </c>
      <c r="K5178" s="193" t="str">
        <f>1-EXP(-J5178)</f>
      </c>
      <c r="L5178" s="194" t="str">
        <f>IF(G5178=30,1,M5177)</f>
      </c>
      <c r="M5178" s="195" t="str">
        <f>L5178*(1-K5178)</f>
      </c>
    </row>
    <row r="5179">
      <c r="A5179" t="s">
        <v>167</v>
      </c>
      <c r="B5179" t="s">
        <v>272</v>
      </c>
      <c r="C5179" s="35" t="s">
        <v>274</v>
      </c>
      <c r="D5179" t="s">
        <v>502</v>
      </c>
      <c r="E5179" t="s">
        <v>520</v>
      </c>
      <c r="F5179" s="188" t="n">
        <v>2050</v>
      </c>
      <c r="G5179" s="189" t="n">
        <v>47</v>
      </c>
      <c r="H5179" s="190" t="n">
        <v>6348.06445956688</v>
      </c>
      <c r="I5179" s="191" t="n">
        <v>4229916.32358695</v>
      </c>
      <c r="J5179" s="192" t="str">
        <f>IF(I5179&gt;0,H5179/I5179,0)</f>
      </c>
      <c r="K5179" s="193" t="str">
        <f>1-EXP(-J5179)</f>
      </c>
      <c r="L5179" s="194" t="str">
        <f>IF(G5179=30,1,M5178)</f>
      </c>
      <c r="M5179" s="195" t="str">
        <f>L5179*(1-K5179)</f>
      </c>
    </row>
    <row r="5180">
      <c r="A5180" t="s">
        <v>167</v>
      </c>
      <c r="B5180" t="s">
        <v>272</v>
      </c>
      <c r="C5180" s="35" t="s">
        <v>274</v>
      </c>
      <c r="D5180" t="s">
        <v>502</v>
      </c>
      <c r="E5180" t="s">
        <v>520</v>
      </c>
      <c r="F5180" s="188" t="n">
        <v>2050</v>
      </c>
      <c r="G5180" s="189" t="n">
        <v>48</v>
      </c>
      <c r="H5180" s="190" t="n">
        <v>7065.27653587556</v>
      </c>
      <c r="I5180" s="191" t="n">
        <v>4196608.24864545</v>
      </c>
      <c r="J5180" s="192" t="str">
        <f>IF(I5180&gt;0,H5180/I5180,0)</f>
      </c>
      <c r="K5180" s="193" t="str">
        <f>1-EXP(-J5180)</f>
      </c>
      <c r="L5180" s="194" t="str">
        <f>IF(G5180=30,1,M5179)</f>
      </c>
      <c r="M5180" s="195" t="str">
        <f>L5180*(1-K5180)</f>
      </c>
    </row>
    <row r="5181">
      <c r="A5181" t="s">
        <v>167</v>
      </c>
      <c r="B5181" t="s">
        <v>272</v>
      </c>
      <c r="C5181" s="35" t="s">
        <v>274</v>
      </c>
      <c r="D5181" t="s">
        <v>502</v>
      </c>
      <c r="E5181" t="s">
        <v>520</v>
      </c>
      <c r="F5181" s="188" t="n">
        <v>2050</v>
      </c>
      <c r="G5181" s="189" t="n">
        <v>49</v>
      </c>
      <c r="H5181" s="190" t="n">
        <v>7708.54129298035</v>
      </c>
      <c r="I5181" s="191" t="n">
        <v>4165981.39500855</v>
      </c>
      <c r="J5181" s="192" t="str">
        <f>IF(I5181&gt;0,H5181/I5181,0)</f>
      </c>
      <c r="K5181" s="193" t="str">
        <f>1-EXP(-J5181)</f>
      </c>
      <c r="L5181" s="194" t="str">
        <f>IF(G5181=30,1,M5180)</f>
      </c>
      <c r="M5181" s="195" t="str">
        <f>L5181*(1-K5181)</f>
      </c>
    </row>
    <row r="5182">
      <c r="A5182" t="s">
        <v>167</v>
      </c>
      <c r="B5182" t="s">
        <v>272</v>
      </c>
      <c r="C5182" s="35" t="s">
        <v>274</v>
      </c>
      <c r="D5182" t="s">
        <v>502</v>
      </c>
      <c r="E5182" t="s">
        <v>520</v>
      </c>
      <c r="F5182" s="188" t="n">
        <v>2050</v>
      </c>
      <c r="G5182" s="189" t="n">
        <v>50</v>
      </c>
      <c r="H5182" s="190" t="n">
        <v>8714.85534352617</v>
      </c>
      <c r="I5182" s="191" t="n">
        <v>4133833.87319646</v>
      </c>
      <c r="J5182" s="192" t="str">
        <f>IF(I5182&gt;0,H5182/I5182,0)</f>
      </c>
      <c r="K5182" s="193" t="str">
        <f>1-EXP(-J5182)</f>
      </c>
      <c r="L5182" s="194" t="str">
        <f>IF(G5182=30,1,M5181)</f>
      </c>
      <c r="M5182" s="195" t="str">
        <f>L5182*(1-K5182)</f>
      </c>
    </row>
    <row r="5183">
      <c r="A5183" t="s">
        <v>167</v>
      </c>
      <c r="B5183" t="s">
        <v>272</v>
      </c>
      <c r="C5183" s="35" t="s">
        <v>274</v>
      </c>
      <c r="D5183" t="s">
        <v>502</v>
      </c>
      <c r="E5183" t="s">
        <v>520</v>
      </c>
      <c r="F5183" s="188" t="n">
        <v>2050</v>
      </c>
      <c r="G5183" s="189" t="n">
        <v>51</v>
      </c>
      <c r="H5183" s="190" t="n">
        <v>9618.25292367494</v>
      </c>
      <c r="I5183" s="191" t="n">
        <v>4137751.47817595</v>
      </c>
      <c r="J5183" s="192" t="str">
        <f>IF(I5183&gt;0,H5183/I5183,0)</f>
      </c>
      <c r="K5183" s="193" t="str">
        <f>1-EXP(-J5183)</f>
      </c>
      <c r="L5183" s="194" t="str">
        <f>IF(G5183=30,1,M5182)</f>
      </c>
      <c r="M5183" s="195" t="str">
        <f>L5183*(1-K5183)</f>
      </c>
    </row>
    <row r="5184">
      <c r="A5184" t="s">
        <v>167</v>
      </c>
      <c r="B5184" t="s">
        <v>272</v>
      </c>
      <c r="C5184" s="35" t="s">
        <v>274</v>
      </c>
      <c r="D5184" t="s">
        <v>502</v>
      </c>
      <c r="E5184" t="s">
        <v>520</v>
      </c>
      <c r="F5184" s="188" t="n">
        <v>2050</v>
      </c>
      <c r="G5184" s="189" t="n">
        <v>52</v>
      </c>
      <c r="H5184" s="190" t="n">
        <v>10629.8189301</v>
      </c>
      <c r="I5184" s="191" t="n">
        <v>4177639.81541523</v>
      </c>
      <c r="J5184" s="192" t="str">
        <f>IF(I5184&gt;0,H5184/I5184,0)</f>
      </c>
      <c r="K5184" s="193" t="str">
        <f>1-EXP(-J5184)</f>
      </c>
      <c r="L5184" s="194" t="str">
        <f>IF(G5184=30,1,M5183)</f>
      </c>
      <c r="M5184" s="195" t="str">
        <f>L5184*(1-K5184)</f>
      </c>
    </row>
    <row r="5185">
      <c r="A5185" t="s">
        <v>167</v>
      </c>
      <c r="B5185" t="s">
        <v>272</v>
      </c>
      <c r="C5185" s="35" t="s">
        <v>274</v>
      </c>
      <c r="D5185" t="s">
        <v>502</v>
      </c>
      <c r="E5185" t="s">
        <v>520</v>
      </c>
      <c r="F5185" s="188" t="n">
        <v>2050</v>
      </c>
      <c r="G5185" s="189" t="n">
        <v>53</v>
      </c>
      <c r="H5185" s="190" t="n">
        <v>12058.8903739657</v>
      </c>
      <c r="I5185" s="191" t="n">
        <v>4286613.07174329</v>
      </c>
      <c r="J5185" s="192" t="str">
        <f>IF(I5185&gt;0,H5185/I5185,0)</f>
      </c>
      <c r="K5185" s="193" t="str">
        <f>1-EXP(-J5185)</f>
      </c>
      <c r="L5185" s="194" t="str">
        <f>IF(G5185=30,1,M5184)</f>
      </c>
      <c r="M5185" s="195" t="str">
        <f>L5185*(1-K5185)</f>
      </c>
    </row>
    <row r="5186">
      <c r="A5186" t="s">
        <v>167</v>
      </c>
      <c r="B5186" t="s">
        <v>272</v>
      </c>
      <c r="C5186" s="35" t="s">
        <v>274</v>
      </c>
      <c r="D5186" t="s">
        <v>502</v>
      </c>
      <c r="E5186" t="s">
        <v>520</v>
      </c>
      <c r="F5186" s="188" t="n">
        <v>2050</v>
      </c>
      <c r="G5186" s="189" t="n">
        <v>54</v>
      </c>
      <c r="H5186" s="190" t="n">
        <v>12933.5611551694</v>
      </c>
      <c r="I5186" s="191" t="n">
        <v>4224563.75492032</v>
      </c>
      <c r="J5186" s="192" t="str">
        <f>IF(I5186&gt;0,H5186/I5186,0)</f>
      </c>
      <c r="K5186" s="193" t="str">
        <f>1-EXP(-J5186)</f>
      </c>
      <c r="L5186" s="194" t="str">
        <f>IF(G5186=30,1,M5185)</f>
      </c>
      <c r="M5186" s="195" t="str">
        <f>L5186*(1-K5186)</f>
      </c>
    </row>
    <row r="5187">
      <c r="A5187" t="s">
        <v>167</v>
      </c>
      <c r="B5187" t="s">
        <v>272</v>
      </c>
      <c r="C5187" s="35" t="s">
        <v>274</v>
      </c>
      <c r="D5187" t="s">
        <v>502</v>
      </c>
      <c r="E5187" t="s">
        <v>520</v>
      </c>
      <c r="F5187" s="188" t="n">
        <v>2050</v>
      </c>
      <c r="G5187" s="189" t="n">
        <v>55</v>
      </c>
      <c r="H5187" s="190" t="n">
        <v>13455.6674626393</v>
      </c>
      <c r="I5187" s="191" t="n">
        <v>4132730.22698091</v>
      </c>
      <c r="J5187" s="192" t="str">
        <f>IF(I5187&gt;0,H5187/I5187,0)</f>
      </c>
      <c r="K5187" s="193" t="str">
        <f>1-EXP(-J5187)</f>
      </c>
      <c r="L5187" s="194" t="str">
        <f>IF(G5187=30,1,M5186)</f>
      </c>
      <c r="M5187" s="195" t="str">
        <f>L5187*(1-K5187)</f>
      </c>
    </row>
    <row r="5188">
      <c r="A5188" t="s">
        <v>167</v>
      </c>
      <c r="B5188" t="s">
        <v>272</v>
      </c>
      <c r="C5188" s="35" t="s">
        <v>274</v>
      </c>
      <c r="D5188" t="s">
        <v>502</v>
      </c>
      <c r="E5188" t="s">
        <v>520</v>
      </c>
      <c r="F5188" s="188" t="n">
        <v>2050</v>
      </c>
      <c r="G5188" s="189" t="n">
        <v>56</v>
      </c>
      <c r="H5188" s="190" t="n">
        <v>14331.7401812408</v>
      </c>
      <c r="I5188" s="191" t="n">
        <v>4054171.95528344</v>
      </c>
      <c r="J5188" s="192" t="str">
        <f>IF(I5188&gt;0,H5188/I5188,0)</f>
      </c>
      <c r="K5188" s="193" t="str">
        <f>1-EXP(-J5188)</f>
      </c>
      <c r="L5188" s="194" t="str">
        <f>IF(G5188=30,1,M5187)</f>
      </c>
      <c r="M5188" s="195" t="str">
        <f>L5188*(1-K5188)</f>
      </c>
    </row>
    <row r="5189">
      <c r="A5189" t="s">
        <v>167</v>
      </c>
      <c r="B5189" t="s">
        <v>272</v>
      </c>
      <c r="C5189" s="35" t="s">
        <v>274</v>
      </c>
      <c r="D5189" t="s">
        <v>502</v>
      </c>
      <c r="E5189" t="s">
        <v>520</v>
      </c>
      <c r="F5189" s="188" t="n">
        <v>2050</v>
      </c>
      <c r="G5189" s="189" t="n">
        <v>57</v>
      </c>
      <c r="H5189" s="190" t="n">
        <v>15323.0339516771</v>
      </c>
      <c r="I5189" s="191" t="n">
        <v>3977399.06297551</v>
      </c>
      <c r="J5189" s="192" t="str">
        <f>IF(I5189&gt;0,H5189/I5189,0)</f>
      </c>
      <c r="K5189" s="193" t="str">
        <f>1-EXP(-J5189)</f>
      </c>
      <c r="L5189" s="194" t="str">
        <f>IF(G5189=30,1,M5188)</f>
      </c>
      <c r="M5189" s="195" t="str">
        <f>L5189*(1-K5189)</f>
      </c>
    </row>
    <row r="5190">
      <c r="A5190" t="s">
        <v>167</v>
      </c>
      <c r="B5190" t="s">
        <v>272</v>
      </c>
      <c r="C5190" s="35" t="s">
        <v>274</v>
      </c>
      <c r="D5190" t="s">
        <v>502</v>
      </c>
      <c r="E5190" t="s">
        <v>520</v>
      </c>
      <c r="F5190" s="188" t="n">
        <v>2050</v>
      </c>
      <c r="G5190" s="189" t="n">
        <v>58</v>
      </c>
      <c r="H5190" s="190" t="n">
        <v>16732.2276256664</v>
      </c>
      <c r="I5190" s="191" t="n">
        <v>3982821.92078495</v>
      </c>
      <c r="J5190" s="192" t="str">
        <f>IF(I5190&gt;0,H5190/I5190,0)</f>
      </c>
      <c r="K5190" s="193" t="str">
        <f>1-EXP(-J5190)</f>
      </c>
      <c r="L5190" s="194" t="str">
        <f>IF(G5190=30,1,M5189)</f>
      </c>
      <c r="M5190" s="195" t="str">
        <f>L5190*(1-K5190)</f>
      </c>
    </row>
    <row r="5191">
      <c r="A5191" t="s">
        <v>167</v>
      </c>
      <c r="B5191" t="s">
        <v>272</v>
      </c>
      <c r="C5191" s="35" t="s">
        <v>274</v>
      </c>
      <c r="D5191" t="s">
        <v>502</v>
      </c>
      <c r="E5191" t="s">
        <v>520</v>
      </c>
      <c r="F5191" s="188" t="n">
        <v>2050</v>
      </c>
      <c r="G5191" s="189" t="n">
        <v>59</v>
      </c>
      <c r="H5191" s="190" t="n">
        <v>18241.1822389141</v>
      </c>
      <c r="I5191" s="191" t="n">
        <v>3966870.27236381</v>
      </c>
      <c r="J5191" s="192" t="str">
        <f>IF(I5191&gt;0,H5191/I5191,0)</f>
      </c>
      <c r="K5191" s="193" t="str">
        <f>1-EXP(-J5191)</f>
      </c>
      <c r="L5191" s="194" t="str">
        <f>IF(G5191=30,1,M5190)</f>
      </c>
      <c r="M5191" s="195" t="str">
        <f>L5191*(1-K5191)</f>
      </c>
    </row>
    <row r="5192">
      <c r="A5192" t="s">
        <v>167</v>
      </c>
      <c r="B5192" t="s">
        <v>272</v>
      </c>
      <c r="C5192" s="35" t="s">
        <v>274</v>
      </c>
      <c r="D5192" t="s">
        <v>502</v>
      </c>
      <c r="E5192" t="s">
        <v>520</v>
      </c>
      <c r="F5192" s="188" t="n">
        <v>2050</v>
      </c>
      <c r="G5192" s="189" t="n">
        <v>60</v>
      </c>
      <c r="H5192" s="190" t="n">
        <v>26353.0892620401</v>
      </c>
      <c r="I5192" s="191" t="n">
        <v>5832803.9236284</v>
      </c>
      <c r="J5192" s="192" t="str">
        <f>IF(I5192&gt;0,H5192/I5192,0)</f>
      </c>
      <c r="K5192" s="193" t="str">
        <f>1-EXP(-J5192)</f>
      </c>
      <c r="L5192" s="194" t="str">
        <f>IF(G5192=30,1,M5191)</f>
      </c>
      <c r="M5192" s="195" t="str">
        <f>L5192*(1-K5192)</f>
      </c>
    </row>
    <row r="5193">
      <c r="A5193" t="s">
        <v>167</v>
      </c>
      <c r="B5193" t="s">
        <v>272</v>
      </c>
      <c r="C5193" s="35" t="s">
        <v>274</v>
      </c>
      <c r="D5193" t="s">
        <v>502</v>
      </c>
      <c r="E5193" t="s">
        <v>520</v>
      </c>
      <c r="F5193" s="188" t="n">
        <v>2050</v>
      </c>
      <c r="G5193" s="189" t="n">
        <v>61</v>
      </c>
      <c r="H5193" s="190" t="n">
        <v>20928.166330795</v>
      </c>
      <c r="I5193" s="191" t="n">
        <v>3856184.10375913</v>
      </c>
      <c r="J5193" s="192" t="str">
        <f>IF(I5193&gt;0,H5193/I5193,0)</f>
      </c>
      <c r="K5193" s="193" t="str">
        <f>1-EXP(-J5193)</f>
      </c>
      <c r="L5193" s="194" t="str">
        <f>IF(G5193=30,1,M5192)</f>
      </c>
      <c r="M5193" s="195" t="str">
        <f>L5193*(1-K5193)</f>
      </c>
    </row>
    <row r="5194">
      <c r="A5194" t="s">
        <v>167</v>
      </c>
      <c r="B5194" t="s">
        <v>272</v>
      </c>
      <c r="C5194" s="35" t="s">
        <v>274</v>
      </c>
      <c r="D5194" t="s">
        <v>502</v>
      </c>
      <c r="E5194" t="s">
        <v>520</v>
      </c>
      <c r="F5194" s="188" t="n">
        <v>2050</v>
      </c>
      <c r="G5194" s="189" t="n">
        <v>62</v>
      </c>
      <c r="H5194" s="190" t="n">
        <v>22661.7655106823</v>
      </c>
      <c r="I5194" s="191" t="n">
        <v>3799741.66421437</v>
      </c>
      <c r="J5194" s="192" t="str">
        <f>IF(I5194&gt;0,H5194/I5194,0)</f>
      </c>
      <c r="K5194" s="193" t="str">
        <f>1-EXP(-J5194)</f>
      </c>
      <c r="L5194" s="194" t="str">
        <f>IF(G5194=30,1,M5193)</f>
      </c>
      <c r="M5194" s="195" t="str">
        <f>L5194*(1-K5194)</f>
      </c>
    </row>
    <row r="5195">
      <c r="A5195" t="s">
        <v>167</v>
      </c>
      <c r="B5195" t="s">
        <v>272</v>
      </c>
      <c r="C5195" s="35" t="s">
        <v>274</v>
      </c>
      <c r="D5195" t="s">
        <v>502</v>
      </c>
      <c r="E5195" t="s">
        <v>520</v>
      </c>
      <c r="F5195" s="188" t="n">
        <v>2050</v>
      </c>
      <c r="G5195" s="189" t="n">
        <v>63</v>
      </c>
      <c r="H5195" s="190" t="n">
        <v>23858.0026850453</v>
      </c>
      <c r="I5195" s="191" t="n">
        <v>3639247.9607103</v>
      </c>
      <c r="J5195" s="192" t="str">
        <f>IF(I5195&gt;0,H5195/I5195,0)</f>
      </c>
      <c r="K5195" s="193" t="str">
        <f>1-EXP(-J5195)</f>
      </c>
      <c r="L5195" s="194" t="str">
        <f>IF(G5195=30,1,M5194)</f>
      </c>
      <c r="M5195" s="195" t="str">
        <f>L5195*(1-K5195)</f>
      </c>
    </row>
    <row r="5196">
      <c r="A5196" t="s">
        <v>167</v>
      </c>
      <c r="B5196" t="s">
        <v>272</v>
      </c>
      <c r="C5196" s="35" t="s">
        <v>274</v>
      </c>
      <c r="D5196" t="s">
        <v>502</v>
      </c>
      <c r="E5196" t="s">
        <v>520</v>
      </c>
      <c r="F5196" s="188" t="n">
        <v>2050</v>
      </c>
      <c r="G5196" s="189" t="n">
        <v>64</v>
      </c>
      <c r="H5196" s="190" t="n">
        <v>25641.1878319785</v>
      </c>
      <c r="I5196" s="191" t="n">
        <v>3561771.52405624</v>
      </c>
      <c r="J5196" s="192" t="str">
        <f>IF(I5196&gt;0,H5196/I5196,0)</f>
      </c>
      <c r="K5196" s="193" t="str">
        <f>1-EXP(-J5196)</f>
      </c>
      <c r="L5196" s="194" t="str">
        <f>IF(G5196=30,1,M5195)</f>
      </c>
      <c r="M5196" s="195" t="str">
        <f>L5196*(1-K5196)</f>
      </c>
    </row>
    <row r="5197">
      <c r="A5197" t="s">
        <v>167</v>
      </c>
      <c r="B5197" t="s">
        <v>272</v>
      </c>
      <c r="C5197" s="35" t="s">
        <v>274</v>
      </c>
      <c r="D5197" t="s">
        <v>502</v>
      </c>
      <c r="E5197" t="s">
        <v>520</v>
      </c>
      <c r="F5197" s="188" t="n">
        <v>2050</v>
      </c>
      <c r="G5197" s="189" t="n">
        <v>65</v>
      </c>
      <c r="H5197" s="190" t="n">
        <v>26696.4506119972</v>
      </c>
      <c r="I5197" s="191" t="n">
        <v>3560058.32836041</v>
      </c>
      <c r="J5197" s="192" t="str">
        <f>IF(I5197&gt;0,H5197/I5197,0)</f>
      </c>
      <c r="K5197" s="193" t="str">
        <f>1-EXP(-J5197)</f>
      </c>
      <c r="L5197" s="194" t="str">
        <f>IF(G5197=30,1,M5196)</f>
      </c>
      <c r="M5197" s="195" t="str">
        <f>L5197*(1-K5197)</f>
      </c>
    </row>
    <row r="5198">
      <c r="A5198" t="s">
        <v>167</v>
      </c>
      <c r="B5198" t="s">
        <v>272</v>
      </c>
      <c r="C5198" s="35" t="s">
        <v>274</v>
      </c>
      <c r="D5198" t="s">
        <v>502</v>
      </c>
      <c r="E5198" t="s">
        <v>520</v>
      </c>
      <c r="F5198" s="188" t="n">
        <v>2050</v>
      </c>
      <c r="G5198" s="189" t="n">
        <v>66</v>
      </c>
      <c r="H5198" s="190" t="n">
        <v>29429.3284662919</v>
      </c>
      <c r="I5198" s="191" t="n">
        <v>3574170.52227029</v>
      </c>
      <c r="J5198" s="192" t="str">
        <f>IF(I5198&gt;0,H5198/I5198,0)</f>
      </c>
      <c r="K5198" s="193" t="str">
        <f>1-EXP(-J5198)</f>
      </c>
      <c r="L5198" s="194" t="str">
        <f>IF(G5198=30,1,M5197)</f>
      </c>
      <c r="M5198" s="195" t="str">
        <f>L5198*(1-K5198)</f>
      </c>
    </row>
    <row r="5199">
      <c r="A5199" t="s">
        <v>167</v>
      </c>
      <c r="B5199" t="s">
        <v>272</v>
      </c>
      <c r="C5199" s="35" t="s">
        <v>274</v>
      </c>
      <c r="D5199" t="s">
        <v>502</v>
      </c>
      <c r="E5199" t="s">
        <v>520</v>
      </c>
      <c r="F5199" s="188" t="n">
        <v>2050</v>
      </c>
      <c r="G5199" s="189" t="n">
        <v>67</v>
      </c>
      <c r="H5199" s="190" t="n">
        <v>31599.4131666584</v>
      </c>
      <c r="I5199" s="191" t="n">
        <v>3491545.27100593</v>
      </c>
      <c r="J5199" s="192" t="str">
        <f>IF(I5199&gt;0,H5199/I5199,0)</f>
      </c>
      <c r="K5199" s="193" t="str">
        <f>1-EXP(-J5199)</f>
      </c>
      <c r="L5199" s="194" t="str">
        <f>IF(G5199=30,1,M5198)</f>
      </c>
      <c r="M5199" s="195" t="str">
        <f>L5199*(1-K5199)</f>
      </c>
    </row>
    <row r="5200">
      <c r="A5200" t="s">
        <v>167</v>
      </c>
      <c r="B5200" t="s">
        <v>272</v>
      </c>
      <c r="C5200" s="35" t="s">
        <v>274</v>
      </c>
      <c r="D5200" t="s">
        <v>502</v>
      </c>
      <c r="E5200" t="s">
        <v>520</v>
      </c>
      <c r="F5200" s="188" t="n">
        <v>2050</v>
      </c>
      <c r="G5200" s="189" t="n">
        <v>68</v>
      </c>
      <c r="H5200" s="190" t="n">
        <v>33013.7270223398</v>
      </c>
      <c r="I5200" s="191" t="n">
        <v>3314031.92435738</v>
      </c>
      <c r="J5200" s="192" t="str">
        <f>IF(I5200&gt;0,H5200/I5200,0)</f>
      </c>
      <c r="K5200" s="193" t="str">
        <f>1-EXP(-J5200)</f>
      </c>
      <c r="L5200" s="194" t="str">
        <f>IF(G5200=30,1,M5199)</f>
      </c>
      <c r="M5200" s="195" t="str">
        <f>L5200*(1-K5200)</f>
      </c>
    </row>
    <row r="5201">
      <c r="A5201" t="s">
        <v>167</v>
      </c>
      <c r="B5201" t="s">
        <v>272</v>
      </c>
      <c r="C5201" s="35" t="s">
        <v>274</v>
      </c>
      <c r="D5201" t="s">
        <v>502</v>
      </c>
      <c r="E5201" t="s">
        <v>520</v>
      </c>
      <c r="F5201" s="188" t="n">
        <v>2050</v>
      </c>
      <c r="G5201" s="189" t="n">
        <v>69</v>
      </c>
      <c r="H5201" s="190" t="n">
        <v>34936.6128374215</v>
      </c>
      <c r="I5201" s="191" t="n">
        <v>3185419.4786665</v>
      </c>
      <c r="J5201" s="192" t="str">
        <f>IF(I5201&gt;0,H5201/I5201,0)</f>
      </c>
      <c r="K5201" s="193" t="str">
        <f>1-EXP(-J5201)</f>
      </c>
      <c r="L5201" s="194" t="str">
        <f>IF(G5201=30,1,M5200)</f>
      </c>
      <c r="M5201" s="195" t="str">
        <f>L5201*(1-K5201)</f>
      </c>
    </row>
    <row r="5202">
      <c r="A5202" t="s">
        <v>167</v>
      </c>
      <c r="B5202" t="s">
        <v>116</v>
      </c>
      <c r="C5202" s="35" t="s">
        <v>422</v>
      </c>
      <c r="D5202" t="s">
        <v>502</v>
      </c>
      <c r="E5202" t="s">
        <v>520</v>
      </c>
      <c r="F5202" s="188" t="n">
        <v>2025</v>
      </c>
      <c r="G5202" s="189" t="n">
        <v>30</v>
      </c>
      <c r="H5202" s="190" t="n">
        <v>1282.14808007526</v>
      </c>
      <c r="I5202" s="191" t="n">
        <v>4467259.00744984</v>
      </c>
      <c r="J5202" s="192" t="str">
        <f>IF(I5202&gt;0,H5202/I5202,0)</f>
      </c>
      <c r="K5202" s="193" t="str">
        <f>1-EXP(-J5202)</f>
      </c>
      <c r="L5202" s="194" t="str">
        <f>IF(G5202=30,1,M5201)</f>
      </c>
      <c r="M5202" s="195" t="str">
        <f>L5202*(1-K5202)</f>
      </c>
    </row>
    <row r="5203">
      <c r="A5203" t="s">
        <v>167</v>
      </c>
      <c r="B5203" t="s">
        <v>116</v>
      </c>
      <c r="C5203" s="35" t="s">
        <v>422</v>
      </c>
      <c r="D5203" t="s">
        <v>502</v>
      </c>
      <c r="E5203" t="s">
        <v>520</v>
      </c>
      <c r="F5203" s="188" t="n">
        <v>2025</v>
      </c>
      <c r="G5203" s="189" t="n">
        <v>31</v>
      </c>
      <c r="H5203" s="190" t="n">
        <v>1315.23908698248</v>
      </c>
      <c r="I5203" s="191" t="n">
        <v>4410712.39044934</v>
      </c>
      <c r="J5203" s="192" t="str">
        <f>IF(I5203&gt;0,H5203/I5203,0)</f>
      </c>
      <c r="K5203" s="193" t="str">
        <f>1-EXP(-J5203)</f>
      </c>
      <c r="L5203" s="194" t="str">
        <f>IF(G5203=30,1,M5202)</f>
      </c>
      <c r="M5203" s="195" t="str">
        <f>L5203*(1-K5203)</f>
      </c>
    </row>
    <row r="5204">
      <c r="A5204" t="s">
        <v>167</v>
      </c>
      <c r="B5204" t="s">
        <v>116</v>
      </c>
      <c r="C5204" s="35" t="s">
        <v>422</v>
      </c>
      <c r="D5204" t="s">
        <v>502</v>
      </c>
      <c r="E5204" t="s">
        <v>520</v>
      </c>
      <c r="F5204" s="188" t="n">
        <v>2025</v>
      </c>
      <c r="G5204" s="189" t="n">
        <v>32</v>
      </c>
      <c r="H5204" s="190" t="n">
        <v>1358.36874107968</v>
      </c>
      <c r="I5204" s="191" t="n">
        <v>4358505.80076359</v>
      </c>
      <c r="J5204" s="192" t="str">
        <f>IF(I5204&gt;0,H5204/I5204,0)</f>
      </c>
      <c r="K5204" s="193" t="str">
        <f>1-EXP(-J5204)</f>
      </c>
      <c r="L5204" s="194" t="str">
        <f>IF(G5204=30,1,M5203)</f>
      </c>
      <c r="M5204" s="195" t="str">
        <f>L5204*(1-K5204)</f>
      </c>
    </row>
    <row r="5205">
      <c r="A5205" t="s">
        <v>167</v>
      </c>
      <c r="B5205" t="s">
        <v>116</v>
      </c>
      <c r="C5205" s="35" t="s">
        <v>422</v>
      </c>
      <c r="D5205" t="s">
        <v>502</v>
      </c>
      <c r="E5205" t="s">
        <v>520</v>
      </c>
      <c r="F5205" s="188" t="n">
        <v>2025</v>
      </c>
      <c r="G5205" s="189" t="n">
        <v>33</v>
      </c>
      <c r="H5205" s="190" t="n">
        <v>1441.84186563352</v>
      </c>
      <c r="I5205" s="191" t="n">
        <v>4398745.92791286</v>
      </c>
      <c r="J5205" s="192" t="str">
        <f>IF(I5205&gt;0,H5205/I5205,0)</f>
      </c>
      <c r="K5205" s="193" t="str">
        <f>1-EXP(-J5205)</f>
      </c>
      <c r="L5205" s="194" t="str">
        <f>IF(G5205=30,1,M5204)</f>
      </c>
      <c r="M5205" s="195" t="str">
        <f>L5205*(1-K5205)</f>
      </c>
    </row>
    <row r="5206">
      <c r="A5206" t="s">
        <v>167</v>
      </c>
      <c r="B5206" t="s">
        <v>116</v>
      </c>
      <c r="C5206" s="35" t="s">
        <v>422</v>
      </c>
      <c r="D5206" t="s">
        <v>502</v>
      </c>
      <c r="E5206" t="s">
        <v>520</v>
      </c>
      <c r="F5206" s="188" t="n">
        <v>2025</v>
      </c>
      <c r="G5206" s="189" t="n">
        <v>34</v>
      </c>
      <c r="H5206" s="190" t="n">
        <v>1533.78714702233</v>
      </c>
      <c r="I5206" s="191" t="n">
        <v>4419468.588996</v>
      </c>
      <c r="J5206" s="192" t="str">
        <f>IF(I5206&gt;0,H5206/I5206,0)</f>
      </c>
      <c r="K5206" s="193" t="str">
        <f>1-EXP(-J5206)</f>
      </c>
      <c r="L5206" s="194" t="str">
        <f>IF(G5206=30,1,M5205)</f>
      </c>
      <c r="M5206" s="195" t="str">
        <f>L5206*(1-K5206)</f>
      </c>
    </row>
    <row r="5207">
      <c r="A5207" t="s">
        <v>167</v>
      </c>
      <c r="B5207" t="s">
        <v>116</v>
      </c>
      <c r="C5207" s="35" t="s">
        <v>422</v>
      </c>
      <c r="D5207" t="s">
        <v>502</v>
      </c>
      <c r="E5207" t="s">
        <v>520</v>
      </c>
      <c r="F5207" s="188" t="n">
        <v>2025</v>
      </c>
      <c r="G5207" s="189" t="n">
        <v>35</v>
      </c>
      <c r="H5207" s="190" t="n">
        <v>3016.10693161697</v>
      </c>
      <c r="I5207" s="191" t="n">
        <v>6509663.36688188</v>
      </c>
      <c r="J5207" s="192" t="str">
        <f>IF(I5207&gt;0,H5207/I5207,0)</f>
      </c>
      <c r="K5207" s="193" t="str">
        <f>1-EXP(-J5207)</f>
      </c>
      <c r="L5207" s="194" t="str">
        <f>IF(G5207=30,1,M5206)</f>
      </c>
      <c r="M5207" s="195" t="str">
        <f>L5207*(1-K5207)</f>
      </c>
    </row>
    <row r="5208">
      <c r="A5208" t="s">
        <v>167</v>
      </c>
      <c r="B5208" t="s">
        <v>116</v>
      </c>
      <c r="C5208" s="35" t="s">
        <v>422</v>
      </c>
      <c r="D5208" t="s">
        <v>502</v>
      </c>
      <c r="E5208" t="s">
        <v>520</v>
      </c>
      <c r="F5208" s="188" t="n">
        <v>2025</v>
      </c>
      <c r="G5208" s="189" t="n">
        <v>36</v>
      </c>
      <c r="H5208" s="190" t="n">
        <v>2254.70933318993</v>
      </c>
      <c r="I5208" s="191" t="n">
        <v>4383096.00549538</v>
      </c>
      <c r="J5208" s="192" t="str">
        <f>IF(I5208&gt;0,H5208/I5208,0)</f>
      </c>
      <c r="K5208" s="193" t="str">
        <f>1-EXP(-J5208)</f>
      </c>
      <c r="L5208" s="194" t="str">
        <f>IF(G5208=30,1,M5207)</f>
      </c>
      <c r="M5208" s="195" t="str">
        <f>L5208*(1-K5208)</f>
      </c>
    </row>
    <row r="5209">
      <c r="A5209" t="s">
        <v>167</v>
      </c>
      <c r="B5209" t="s">
        <v>116</v>
      </c>
      <c r="C5209" s="35" t="s">
        <v>422</v>
      </c>
      <c r="D5209" t="s">
        <v>502</v>
      </c>
      <c r="E5209" t="s">
        <v>520</v>
      </c>
      <c r="F5209" s="188" t="n">
        <v>2025</v>
      </c>
      <c r="G5209" s="189" t="n">
        <v>37</v>
      </c>
      <c r="H5209" s="190" t="n">
        <v>2406.72848505594</v>
      </c>
      <c r="I5209" s="191" t="n">
        <v>4369642.29305489</v>
      </c>
      <c r="J5209" s="192" t="str">
        <f>IF(I5209&gt;0,H5209/I5209,0)</f>
      </c>
      <c r="K5209" s="193" t="str">
        <f>1-EXP(-J5209)</f>
      </c>
      <c r="L5209" s="194" t="str">
        <f>IF(G5209=30,1,M5208)</f>
      </c>
      <c r="M5209" s="195" t="str">
        <f>L5209*(1-K5209)</f>
      </c>
    </row>
    <row r="5210">
      <c r="A5210" t="s">
        <v>167</v>
      </c>
      <c r="B5210" t="s">
        <v>116</v>
      </c>
      <c r="C5210" s="35" t="s">
        <v>422</v>
      </c>
      <c r="D5210" t="s">
        <v>502</v>
      </c>
      <c r="E5210" t="s">
        <v>520</v>
      </c>
      <c r="F5210" s="188" t="n">
        <v>2025</v>
      </c>
      <c r="G5210" s="189" t="n">
        <v>38</v>
      </c>
      <c r="H5210" s="190" t="n">
        <v>2504.26492550023</v>
      </c>
      <c r="I5210" s="191" t="n">
        <v>4239505.8530855</v>
      </c>
      <c r="J5210" s="192" t="str">
        <f>IF(I5210&gt;0,H5210/I5210,0)</f>
      </c>
      <c r="K5210" s="193" t="str">
        <f>1-EXP(-J5210)</f>
      </c>
      <c r="L5210" s="194" t="str">
        <f>IF(G5210=30,1,M5209)</f>
      </c>
      <c r="M5210" s="195" t="str">
        <f>L5210*(1-K5210)</f>
      </c>
    </row>
    <row r="5211">
      <c r="A5211" t="s">
        <v>167</v>
      </c>
      <c r="B5211" t="s">
        <v>116</v>
      </c>
      <c r="C5211" s="35" t="s">
        <v>422</v>
      </c>
      <c r="D5211" t="s">
        <v>502</v>
      </c>
      <c r="E5211" t="s">
        <v>520</v>
      </c>
      <c r="F5211" s="188" t="n">
        <v>2025</v>
      </c>
      <c r="G5211" s="189" t="n">
        <v>39</v>
      </c>
      <c r="H5211" s="190" t="n">
        <v>2668.85044983619</v>
      </c>
      <c r="I5211" s="191" t="n">
        <v>4208510.72085438</v>
      </c>
      <c r="J5211" s="192" t="str">
        <f>IF(I5211&gt;0,H5211/I5211,0)</f>
      </c>
      <c r="K5211" s="193" t="str">
        <f>1-EXP(-J5211)</f>
      </c>
      <c r="L5211" s="194" t="str">
        <f>IF(G5211=30,1,M5210)</f>
      </c>
      <c r="M5211" s="195" t="str">
        <f>L5211*(1-K5211)</f>
      </c>
    </row>
    <row r="5212">
      <c r="A5212" t="s">
        <v>167</v>
      </c>
      <c r="B5212" t="s">
        <v>116</v>
      </c>
      <c r="C5212" s="35" t="s">
        <v>422</v>
      </c>
      <c r="D5212" t="s">
        <v>502</v>
      </c>
      <c r="E5212" t="s">
        <v>520</v>
      </c>
      <c r="F5212" s="188" t="n">
        <v>2025</v>
      </c>
      <c r="G5212" s="189" t="n">
        <v>40</v>
      </c>
      <c r="H5212" s="190" t="n">
        <v>3657.34535610759</v>
      </c>
      <c r="I5212" s="191" t="n">
        <v>4272859.94162918</v>
      </c>
      <c r="J5212" s="192" t="str">
        <f>IF(I5212&gt;0,H5212/I5212,0)</f>
      </c>
      <c r="K5212" s="193" t="str">
        <f>1-EXP(-J5212)</f>
      </c>
      <c r="L5212" s="194" t="str">
        <f>IF(G5212=30,1,M5211)</f>
      </c>
      <c r="M5212" s="195" t="str">
        <f>L5212*(1-K5212)</f>
      </c>
    </row>
    <row r="5213">
      <c r="A5213" t="s">
        <v>167</v>
      </c>
      <c r="B5213" t="s">
        <v>116</v>
      </c>
      <c r="C5213" s="35" t="s">
        <v>422</v>
      </c>
      <c r="D5213" t="s">
        <v>502</v>
      </c>
      <c r="E5213" t="s">
        <v>520</v>
      </c>
      <c r="F5213" s="188" t="n">
        <v>2025</v>
      </c>
      <c r="G5213" s="189" t="n">
        <v>41</v>
      </c>
      <c r="H5213" s="190" t="n">
        <v>4027.13767921727</v>
      </c>
      <c r="I5213" s="191" t="n">
        <v>4362484.66303299</v>
      </c>
      <c r="J5213" s="192" t="str">
        <f>IF(I5213&gt;0,H5213/I5213,0)</f>
      </c>
      <c r="K5213" s="193" t="str">
        <f>1-EXP(-J5213)</f>
      </c>
      <c r="L5213" s="194" t="str">
        <f>IF(G5213=30,1,M5212)</f>
      </c>
      <c r="M5213" s="195" t="str">
        <f>L5213*(1-K5213)</f>
      </c>
    </row>
    <row r="5214">
      <c r="A5214" t="s">
        <v>167</v>
      </c>
      <c r="B5214" t="s">
        <v>116</v>
      </c>
      <c r="C5214" s="35" t="s">
        <v>422</v>
      </c>
      <c r="D5214" t="s">
        <v>502</v>
      </c>
      <c r="E5214" t="s">
        <v>520</v>
      </c>
      <c r="F5214" s="188" t="n">
        <v>2025</v>
      </c>
      <c r="G5214" s="189" t="n">
        <v>42</v>
      </c>
      <c r="H5214" s="190" t="n">
        <v>4338.50110850914</v>
      </c>
      <c r="I5214" s="191" t="n">
        <v>4343004.76876643</v>
      </c>
      <c r="J5214" s="192" t="str">
        <f>IF(I5214&gt;0,H5214/I5214,0)</f>
      </c>
      <c r="K5214" s="193" t="str">
        <f>1-EXP(-J5214)</f>
      </c>
      <c r="L5214" s="194" t="str">
        <f>IF(G5214=30,1,M5213)</f>
      </c>
      <c r="M5214" s="195" t="str">
        <f>L5214*(1-K5214)</f>
      </c>
    </row>
    <row r="5215">
      <c r="A5215" t="s">
        <v>167</v>
      </c>
      <c r="B5215" t="s">
        <v>116</v>
      </c>
      <c r="C5215" s="35" t="s">
        <v>422</v>
      </c>
      <c r="D5215" t="s">
        <v>502</v>
      </c>
      <c r="E5215" t="s">
        <v>520</v>
      </c>
      <c r="F5215" s="188" t="n">
        <v>2025</v>
      </c>
      <c r="G5215" s="189" t="n">
        <v>43</v>
      </c>
      <c r="H5215" s="190" t="n">
        <v>4570.23561452701</v>
      </c>
      <c r="I5215" s="191" t="n">
        <v>4209764.82229798</v>
      </c>
      <c r="J5215" s="192" t="str">
        <f>IF(I5215&gt;0,H5215/I5215,0)</f>
      </c>
      <c r="K5215" s="193" t="str">
        <f>1-EXP(-J5215)</f>
      </c>
      <c r="L5215" s="194" t="str">
        <f>IF(G5215=30,1,M5214)</f>
      </c>
      <c r="M5215" s="195" t="str">
        <f>L5215*(1-K5215)</f>
      </c>
    </row>
    <row r="5216">
      <c r="A5216" t="s">
        <v>167</v>
      </c>
      <c r="B5216" t="s">
        <v>116</v>
      </c>
      <c r="C5216" s="35" t="s">
        <v>422</v>
      </c>
      <c r="D5216" t="s">
        <v>502</v>
      </c>
      <c r="E5216" t="s">
        <v>520</v>
      </c>
      <c r="F5216" s="188" t="n">
        <v>2025</v>
      </c>
      <c r="G5216" s="189" t="n">
        <v>44</v>
      </c>
      <c r="H5216" s="190" t="n">
        <v>4899.11975851417</v>
      </c>
      <c r="I5216" s="191" t="n">
        <v>4140245.42433907</v>
      </c>
      <c r="J5216" s="192" t="str">
        <f>IF(I5216&gt;0,H5216/I5216,0)</f>
      </c>
      <c r="K5216" s="193" t="str">
        <f>1-EXP(-J5216)</f>
      </c>
      <c r="L5216" s="194" t="str">
        <f>IF(G5216=30,1,M5215)</f>
      </c>
      <c r="M5216" s="195" t="str">
        <f>L5216*(1-K5216)</f>
      </c>
    </row>
    <row r="5217">
      <c r="A5217" t="s">
        <v>167</v>
      </c>
      <c r="B5217" t="s">
        <v>116</v>
      </c>
      <c r="C5217" s="35" t="s">
        <v>422</v>
      </c>
      <c r="D5217" t="s">
        <v>502</v>
      </c>
      <c r="E5217" t="s">
        <v>520</v>
      </c>
      <c r="F5217" s="188" t="n">
        <v>2025</v>
      </c>
      <c r="G5217" s="189" t="n">
        <v>45</v>
      </c>
      <c r="H5217" s="190" t="n">
        <v>6269.58995124239</v>
      </c>
      <c r="I5217" s="191" t="n">
        <v>4087263.42645959</v>
      </c>
      <c r="J5217" s="192" t="str">
        <f>IF(I5217&gt;0,H5217/I5217,0)</f>
      </c>
      <c r="K5217" s="193" t="str">
        <f>1-EXP(-J5217)</f>
      </c>
      <c r="L5217" s="194" t="str">
        <f>IF(G5217=30,1,M5216)</f>
      </c>
      <c r="M5217" s="195" t="str">
        <f>L5217*(1-K5217)</f>
      </c>
    </row>
    <row r="5218">
      <c r="A5218" t="s">
        <v>167</v>
      </c>
      <c r="B5218" t="s">
        <v>116</v>
      </c>
      <c r="C5218" s="35" t="s">
        <v>422</v>
      </c>
      <c r="D5218" t="s">
        <v>502</v>
      </c>
      <c r="E5218" t="s">
        <v>520</v>
      </c>
      <c r="F5218" s="188" t="n">
        <v>2025</v>
      </c>
      <c r="G5218" s="189" t="n">
        <v>46</v>
      </c>
      <c r="H5218" s="190" t="n">
        <v>6759.61099672677</v>
      </c>
      <c r="I5218" s="191" t="n">
        <v>4028051.8565677</v>
      </c>
      <c r="J5218" s="192" t="str">
        <f>IF(I5218&gt;0,H5218/I5218,0)</f>
      </c>
      <c r="K5218" s="193" t="str">
        <f>1-EXP(-J5218)</f>
      </c>
      <c r="L5218" s="194" t="str">
        <f>IF(G5218=30,1,M5217)</f>
      </c>
      <c r="M5218" s="195" t="str">
        <f>L5218*(1-K5218)</f>
      </c>
    </row>
    <row r="5219">
      <c r="A5219" t="s">
        <v>167</v>
      </c>
      <c r="B5219" t="s">
        <v>116</v>
      </c>
      <c r="C5219" s="35" t="s">
        <v>422</v>
      </c>
      <c r="D5219" t="s">
        <v>502</v>
      </c>
      <c r="E5219" t="s">
        <v>520</v>
      </c>
      <c r="F5219" s="188" t="n">
        <v>2025</v>
      </c>
      <c r="G5219" s="189" t="n">
        <v>47</v>
      </c>
      <c r="H5219" s="190" t="n">
        <v>7252.18511271875</v>
      </c>
      <c r="I5219" s="191" t="n">
        <v>3950277.12889061</v>
      </c>
      <c r="J5219" s="192" t="str">
        <f>IF(I5219&gt;0,H5219/I5219,0)</f>
      </c>
      <c r="K5219" s="193" t="str">
        <f>1-EXP(-J5219)</f>
      </c>
      <c r="L5219" s="194" t="str">
        <f>IF(G5219=30,1,M5218)</f>
      </c>
      <c r="M5219" s="195" t="str">
        <f>L5219*(1-K5219)</f>
      </c>
    </row>
    <row r="5220">
      <c r="A5220" t="s">
        <v>167</v>
      </c>
      <c r="B5220" t="s">
        <v>116</v>
      </c>
      <c r="C5220" s="35" t="s">
        <v>422</v>
      </c>
      <c r="D5220" t="s">
        <v>502</v>
      </c>
      <c r="E5220" t="s">
        <v>520</v>
      </c>
      <c r="F5220" s="188" t="n">
        <v>2025</v>
      </c>
      <c r="G5220" s="189" t="n">
        <v>48</v>
      </c>
      <c r="H5220" s="190" t="n">
        <v>7813.40832117215</v>
      </c>
      <c r="I5220" s="191" t="n">
        <v>3890339.92856643</v>
      </c>
      <c r="J5220" s="192" t="str">
        <f>IF(I5220&gt;0,H5220/I5220,0)</f>
      </c>
      <c r="K5220" s="193" t="str">
        <f>1-EXP(-J5220)</f>
      </c>
      <c r="L5220" s="194" t="str">
        <f>IF(G5220=30,1,M5219)</f>
      </c>
      <c r="M5220" s="195" t="str">
        <f>L5220*(1-K5220)</f>
      </c>
    </row>
    <row r="5221">
      <c r="A5221" t="s">
        <v>167</v>
      </c>
      <c r="B5221" t="s">
        <v>116</v>
      </c>
      <c r="C5221" s="35" t="s">
        <v>422</v>
      </c>
      <c r="D5221" t="s">
        <v>502</v>
      </c>
      <c r="E5221" t="s">
        <v>520</v>
      </c>
      <c r="F5221" s="188" t="n">
        <v>2025</v>
      </c>
      <c r="G5221" s="189" t="n">
        <v>49</v>
      </c>
      <c r="H5221" s="190" t="n">
        <v>8372.78717400612</v>
      </c>
      <c r="I5221" s="191" t="n">
        <v>3818493.26996543</v>
      </c>
      <c r="J5221" s="192" t="str">
        <f>IF(I5221&gt;0,H5221/I5221,0)</f>
      </c>
      <c r="K5221" s="193" t="str">
        <f>1-EXP(-J5221)</f>
      </c>
      <c r="L5221" s="194" t="str">
        <f>IF(G5221=30,1,M5220)</f>
      </c>
      <c r="M5221" s="195" t="str">
        <f>L5221*(1-K5221)</f>
      </c>
    </row>
    <row r="5222">
      <c r="A5222" t="s">
        <v>167</v>
      </c>
      <c r="B5222" t="s">
        <v>116</v>
      </c>
      <c r="C5222" s="35" t="s">
        <v>422</v>
      </c>
      <c r="D5222" t="s">
        <v>502</v>
      </c>
      <c r="E5222" t="s">
        <v>520</v>
      </c>
      <c r="F5222" s="188" t="n">
        <v>2025</v>
      </c>
      <c r="G5222" s="189" t="n">
        <v>50</v>
      </c>
      <c r="H5222" s="190" t="n">
        <v>9615.55870918643</v>
      </c>
      <c r="I5222" s="191" t="n">
        <v>3746208.3894556</v>
      </c>
      <c r="J5222" s="192" t="str">
        <f>IF(I5222&gt;0,H5222/I5222,0)</f>
      </c>
      <c r="K5222" s="193" t="str">
        <f>1-EXP(-J5222)</f>
      </c>
      <c r="L5222" s="194" t="str">
        <f>IF(G5222=30,1,M5221)</f>
      </c>
      <c r="M5222" s="195" t="str">
        <f>L5222*(1-K5222)</f>
      </c>
    </row>
    <row r="5223">
      <c r="A5223" t="s">
        <v>167</v>
      </c>
      <c r="B5223" t="s">
        <v>116</v>
      </c>
      <c r="C5223" s="35" t="s">
        <v>422</v>
      </c>
      <c r="D5223" t="s">
        <v>502</v>
      </c>
      <c r="E5223" t="s">
        <v>520</v>
      </c>
      <c r="F5223" s="188" t="n">
        <v>2025</v>
      </c>
      <c r="G5223" s="189" t="n">
        <v>51</v>
      </c>
      <c r="H5223" s="190" t="n">
        <v>10197.7741864065</v>
      </c>
      <c r="I5223" s="191" t="n">
        <v>3645044.21523223</v>
      </c>
      <c r="J5223" s="192" t="str">
        <f>IF(I5223&gt;0,H5223/I5223,0)</f>
      </c>
      <c r="K5223" s="193" t="str">
        <f>1-EXP(-J5223)</f>
      </c>
      <c r="L5223" s="194" t="str">
        <f>IF(G5223=30,1,M5222)</f>
      </c>
      <c r="M5223" s="195" t="str">
        <f>L5223*(1-K5223)</f>
      </c>
    </row>
    <row r="5224">
      <c r="A5224" t="s">
        <v>167</v>
      </c>
      <c r="B5224" t="s">
        <v>116</v>
      </c>
      <c r="C5224" s="35" t="s">
        <v>422</v>
      </c>
      <c r="D5224" t="s">
        <v>502</v>
      </c>
      <c r="E5224" t="s">
        <v>520</v>
      </c>
      <c r="F5224" s="188" t="n">
        <v>2025</v>
      </c>
      <c r="G5224" s="189" t="n">
        <v>52</v>
      </c>
      <c r="H5224" s="190" t="n">
        <v>10999.1856381924</v>
      </c>
      <c r="I5224" s="191" t="n">
        <v>3606935.96429087</v>
      </c>
      <c r="J5224" s="192" t="str">
        <f>IF(I5224&gt;0,H5224/I5224,0)</f>
      </c>
      <c r="K5224" s="193" t="str">
        <f>1-EXP(-J5224)</f>
      </c>
      <c r="L5224" s="194" t="str">
        <f>IF(G5224=30,1,M5223)</f>
      </c>
      <c r="M5224" s="195" t="str">
        <f>L5224*(1-K5224)</f>
      </c>
    </row>
    <row r="5225">
      <c r="A5225" t="s">
        <v>167</v>
      </c>
      <c r="B5225" t="s">
        <v>116</v>
      </c>
      <c r="C5225" s="35" t="s">
        <v>422</v>
      </c>
      <c r="D5225" t="s">
        <v>502</v>
      </c>
      <c r="E5225" t="s">
        <v>520</v>
      </c>
      <c r="F5225" s="188" t="n">
        <v>2025</v>
      </c>
      <c r="G5225" s="189" t="n">
        <v>53</v>
      </c>
      <c r="H5225" s="190" t="n">
        <v>11320.211791169</v>
      </c>
      <c r="I5225" s="191" t="n">
        <v>3400438.09374049</v>
      </c>
      <c r="J5225" s="192" t="str">
        <f>IF(I5225&gt;0,H5225/I5225,0)</f>
      </c>
      <c r="K5225" s="193" t="str">
        <f>1-EXP(-J5225)</f>
      </c>
      <c r="L5225" s="194" t="str">
        <f>IF(G5225=30,1,M5224)</f>
      </c>
      <c r="M5225" s="195" t="str">
        <f>L5225*(1-K5225)</f>
      </c>
    </row>
    <row r="5226">
      <c r="A5226" t="s">
        <v>167</v>
      </c>
      <c r="B5226" t="s">
        <v>116</v>
      </c>
      <c r="C5226" s="35" t="s">
        <v>422</v>
      </c>
      <c r="D5226" t="s">
        <v>502</v>
      </c>
      <c r="E5226" t="s">
        <v>520</v>
      </c>
      <c r="F5226" s="188" t="n">
        <v>2025</v>
      </c>
      <c r="G5226" s="189" t="n">
        <v>54</v>
      </c>
      <c r="H5226" s="190" t="n">
        <v>12058.0132264927</v>
      </c>
      <c r="I5226" s="191" t="n">
        <v>3319306.02358973</v>
      </c>
      <c r="J5226" s="192" t="str">
        <f>IF(I5226&gt;0,H5226/I5226,0)</f>
      </c>
      <c r="K5226" s="193" t="str">
        <f>1-EXP(-J5226)</f>
      </c>
      <c r="L5226" s="194" t="str">
        <f>IF(G5226=30,1,M5225)</f>
      </c>
      <c r="M5226" s="195" t="str">
        <f>L5226*(1-K5226)</f>
      </c>
    </row>
    <row r="5227">
      <c r="A5227" t="s">
        <v>167</v>
      </c>
      <c r="B5227" t="s">
        <v>116</v>
      </c>
      <c r="C5227" s="35" t="s">
        <v>422</v>
      </c>
      <c r="D5227" t="s">
        <v>502</v>
      </c>
      <c r="E5227" t="s">
        <v>520</v>
      </c>
      <c r="F5227" s="188" t="n">
        <v>2025</v>
      </c>
      <c r="G5227" s="189" t="n">
        <v>55</v>
      </c>
      <c r="H5227" s="190" t="n">
        <v>13121.8630224673</v>
      </c>
      <c r="I5227" s="191" t="n">
        <v>3243129.6175784</v>
      </c>
      <c r="J5227" s="192" t="str">
        <f>IF(I5227&gt;0,H5227/I5227,0)</f>
      </c>
      <c r="K5227" s="193" t="str">
        <f>1-EXP(-J5227)</f>
      </c>
      <c r="L5227" s="194" t="str">
        <f>IF(G5227=30,1,M5226)</f>
      </c>
      <c r="M5227" s="195" t="str">
        <f>L5227*(1-K5227)</f>
      </c>
    </row>
    <row r="5228">
      <c r="A5228" t="s">
        <v>167</v>
      </c>
      <c r="B5228" t="s">
        <v>116</v>
      </c>
      <c r="C5228" s="35" t="s">
        <v>422</v>
      </c>
      <c r="D5228" t="s">
        <v>502</v>
      </c>
      <c r="E5228" t="s">
        <v>520</v>
      </c>
      <c r="F5228" s="188" t="n">
        <v>2025</v>
      </c>
      <c r="G5228" s="189" t="n">
        <v>56</v>
      </c>
      <c r="H5228" s="190" t="n">
        <v>13949.400946191</v>
      </c>
      <c r="I5228" s="191" t="n">
        <v>3157182.63240391</v>
      </c>
      <c r="J5228" s="192" t="str">
        <f>IF(I5228&gt;0,H5228/I5228,0)</f>
      </c>
      <c r="K5228" s="193" t="str">
        <f>1-EXP(-J5228)</f>
      </c>
      <c r="L5228" s="194" t="str">
        <f>IF(G5228=30,1,M5227)</f>
      </c>
      <c r="M5228" s="195" t="str">
        <f>L5228*(1-K5228)</f>
      </c>
    </row>
    <row r="5229">
      <c r="A5229" t="s">
        <v>167</v>
      </c>
      <c r="B5229" t="s">
        <v>116</v>
      </c>
      <c r="C5229" s="35" t="s">
        <v>422</v>
      </c>
      <c r="D5229" t="s">
        <v>502</v>
      </c>
      <c r="E5229" t="s">
        <v>520</v>
      </c>
      <c r="F5229" s="188" t="n">
        <v>2025</v>
      </c>
      <c r="G5229" s="189" t="n">
        <v>57</v>
      </c>
      <c r="H5229" s="190" t="n">
        <v>14724.9347216004</v>
      </c>
      <c r="I5229" s="191" t="n">
        <v>3051443.9184786</v>
      </c>
      <c r="J5229" s="192" t="str">
        <f>IF(I5229&gt;0,H5229/I5229,0)</f>
      </c>
      <c r="K5229" s="193" t="str">
        <f>1-EXP(-J5229)</f>
      </c>
      <c r="L5229" s="194" t="str">
        <f>IF(G5229=30,1,M5228)</f>
      </c>
      <c r="M5229" s="195" t="str">
        <f>L5229*(1-K5229)</f>
      </c>
    </row>
    <row r="5230">
      <c r="A5230" t="s">
        <v>167</v>
      </c>
      <c r="B5230" t="s">
        <v>116</v>
      </c>
      <c r="C5230" s="35" t="s">
        <v>422</v>
      </c>
      <c r="D5230" t="s">
        <v>502</v>
      </c>
      <c r="E5230" t="s">
        <v>520</v>
      </c>
      <c r="F5230" s="188" t="n">
        <v>2025</v>
      </c>
      <c r="G5230" s="189" t="n">
        <v>58</v>
      </c>
      <c r="H5230" s="190" t="n">
        <v>15371.2074623555</v>
      </c>
      <c r="I5230" s="191" t="n">
        <v>2913456.20780408</v>
      </c>
      <c r="J5230" s="192" t="str">
        <f>IF(I5230&gt;0,H5230/I5230,0)</f>
      </c>
      <c r="K5230" s="193" t="str">
        <f>1-EXP(-J5230)</f>
      </c>
      <c r="L5230" s="194" t="str">
        <f>IF(G5230=30,1,M5229)</f>
      </c>
      <c r="M5230" s="195" t="str">
        <f>L5230*(1-K5230)</f>
      </c>
    </row>
    <row r="5231">
      <c r="A5231" t="s">
        <v>167</v>
      </c>
      <c r="B5231" t="s">
        <v>116</v>
      </c>
      <c r="C5231" s="35" t="s">
        <v>422</v>
      </c>
      <c r="D5231" t="s">
        <v>502</v>
      </c>
      <c r="E5231" t="s">
        <v>520</v>
      </c>
      <c r="F5231" s="188" t="n">
        <v>2025</v>
      </c>
      <c r="G5231" s="189" t="n">
        <v>59</v>
      </c>
      <c r="H5231" s="190" t="n">
        <v>16213.8109625709</v>
      </c>
      <c r="I5231" s="191" t="n">
        <v>2813535.58615437</v>
      </c>
      <c r="J5231" s="192" t="str">
        <f>IF(I5231&gt;0,H5231/I5231,0)</f>
      </c>
      <c r="K5231" s="193" t="str">
        <f>1-EXP(-J5231)</f>
      </c>
      <c r="L5231" s="194" t="str">
        <f>IF(G5231=30,1,M5230)</f>
      </c>
      <c r="M5231" s="195" t="str">
        <f>L5231*(1-K5231)</f>
      </c>
    </row>
    <row r="5232">
      <c r="A5232" t="s">
        <v>167</v>
      </c>
      <c r="B5232" t="s">
        <v>116</v>
      </c>
      <c r="C5232" s="35" t="s">
        <v>422</v>
      </c>
      <c r="D5232" t="s">
        <v>502</v>
      </c>
      <c r="E5232" t="s">
        <v>520</v>
      </c>
      <c r="F5232" s="188" t="n">
        <v>2025</v>
      </c>
      <c r="G5232" s="189" t="n">
        <v>60</v>
      </c>
      <c r="H5232" s="190" t="n">
        <v>17442.466213005</v>
      </c>
      <c r="I5232" s="191" t="n">
        <v>2691047.17153736</v>
      </c>
      <c r="J5232" s="192" t="str">
        <f>IF(I5232&gt;0,H5232/I5232,0)</f>
      </c>
      <c r="K5232" s="193" t="str">
        <f>1-EXP(-J5232)</f>
      </c>
      <c r="L5232" s="194" t="str">
        <f>IF(G5232=30,1,M5231)</f>
      </c>
      <c r="M5232" s="195" t="str">
        <f>L5232*(1-K5232)</f>
      </c>
    </row>
    <row r="5233">
      <c r="A5233" t="s">
        <v>167</v>
      </c>
      <c r="B5233" t="s">
        <v>116</v>
      </c>
      <c r="C5233" s="35" t="s">
        <v>422</v>
      </c>
      <c r="D5233" t="s">
        <v>502</v>
      </c>
      <c r="E5233" t="s">
        <v>520</v>
      </c>
      <c r="F5233" s="188" t="n">
        <v>2025</v>
      </c>
      <c r="G5233" s="189" t="n">
        <v>61</v>
      </c>
      <c r="H5233" s="190" t="n">
        <v>18185.5962140586</v>
      </c>
      <c r="I5233" s="191" t="n">
        <v>2568096.94973173</v>
      </c>
      <c r="J5233" s="192" t="str">
        <f>IF(I5233&gt;0,H5233/I5233,0)</f>
      </c>
      <c r="K5233" s="193" t="str">
        <f>1-EXP(-J5233)</f>
      </c>
      <c r="L5233" s="194" t="str">
        <f>IF(G5233=30,1,M5232)</f>
      </c>
      <c r="M5233" s="195" t="str">
        <f>L5233*(1-K5233)</f>
      </c>
    </row>
    <row r="5234">
      <c r="A5234" t="s">
        <v>167</v>
      </c>
      <c r="B5234" t="s">
        <v>116</v>
      </c>
      <c r="C5234" s="35" t="s">
        <v>422</v>
      </c>
      <c r="D5234" t="s">
        <v>502</v>
      </c>
      <c r="E5234" t="s">
        <v>520</v>
      </c>
      <c r="F5234" s="188" t="n">
        <v>2025</v>
      </c>
      <c r="G5234" s="189" t="n">
        <v>62</v>
      </c>
      <c r="H5234" s="190" t="n">
        <v>18970.1376231544</v>
      </c>
      <c r="I5234" s="191" t="n">
        <v>2450910.06582199</v>
      </c>
      <c r="J5234" s="192" t="str">
        <f>IF(I5234&gt;0,H5234/I5234,0)</f>
      </c>
      <c r="K5234" s="193" t="str">
        <f>1-EXP(-J5234)</f>
      </c>
      <c r="L5234" s="194" t="str">
        <f>IF(G5234=30,1,M5233)</f>
      </c>
      <c r="M5234" s="195" t="str">
        <f>L5234*(1-K5234)</f>
      </c>
    </row>
    <row r="5235">
      <c r="A5235" t="s">
        <v>167</v>
      </c>
      <c r="B5235" t="s">
        <v>116</v>
      </c>
      <c r="C5235" s="35" t="s">
        <v>422</v>
      </c>
      <c r="D5235" t="s">
        <v>502</v>
      </c>
      <c r="E5235" t="s">
        <v>520</v>
      </c>
      <c r="F5235" s="188" t="n">
        <v>2025</v>
      </c>
      <c r="G5235" s="189" t="n">
        <v>63</v>
      </c>
      <c r="H5235" s="190" t="n">
        <v>19616.8921947261</v>
      </c>
      <c r="I5235" s="191" t="n">
        <v>2307352.6622382</v>
      </c>
      <c r="J5235" s="192" t="str">
        <f>IF(I5235&gt;0,H5235/I5235,0)</f>
      </c>
      <c r="K5235" s="193" t="str">
        <f>1-EXP(-J5235)</f>
      </c>
      <c r="L5235" s="194" t="str">
        <f>IF(G5235=30,1,M5234)</f>
      </c>
      <c r="M5235" s="195" t="str">
        <f>L5235*(1-K5235)</f>
      </c>
    </row>
    <row r="5236">
      <c r="A5236" t="s">
        <v>167</v>
      </c>
      <c r="B5236" t="s">
        <v>116</v>
      </c>
      <c r="C5236" s="35" t="s">
        <v>422</v>
      </c>
      <c r="D5236" t="s">
        <v>502</v>
      </c>
      <c r="E5236" t="s">
        <v>520</v>
      </c>
      <c r="F5236" s="188" t="n">
        <v>2025</v>
      </c>
      <c r="G5236" s="189" t="n">
        <v>64</v>
      </c>
      <c r="H5236" s="190" t="n">
        <v>20366.5260402308</v>
      </c>
      <c r="I5236" s="191" t="n">
        <v>2189442.45160812</v>
      </c>
      <c r="J5236" s="192" t="str">
        <f>IF(I5236&gt;0,H5236/I5236,0)</f>
      </c>
      <c r="K5236" s="193" t="str">
        <f>1-EXP(-J5236)</f>
      </c>
      <c r="L5236" s="194" t="str">
        <f>IF(G5236=30,1,M5235)</f>
      </c>
      <c r="M5236" s="195" t="str">
        <f>L5236*(1-K5236)</f>
      </c>
    </row>
    <row r="5237">
      <c r="A5237" t="s">
        <v>167</v>
      </c>
      <c r="B5237" t="s">
        <v>116</v>
      </c>
      <c r="C5237" s="35" t="s">
        <v>422</v>
      </c>
      <c r="D5237" t="s">
        <v>502</v>
      </c>
      <c r="E5237" t="s">
        <v>520</v>
      </c>
      <c r="F5237" s="188" t="n">
        <v>2025</v>
      </c>
      <c r="G5237" s="189" t="n">
        <v>65</v>
      </c>
      <c r="H5237" s="190" t="n">
        <v>20564.8182811925</v>
      </c>
      <c r="I5237" s="191" t="n">
        <v>2067379.29561573</v>
      </c>
      <c r="J5237" s="192" t="str">
        <f>IF(I5237&gt;0,H5237/I5237,0)</f>
      </c>
      <c r="K5237" s="193" t="str">
        <f>1-EXP(-J5237)</f>
      </c>
      <c r="L5237" s="194" t="str">
        <f>IF(G5237=30,1,M5236)</f>
      </c>
      <c r="M5237" s="195" t="str">
        <f>L5237*(1-K5237)</f>
      </c>
    </row>
    <row r="5238">
      <c r="A5238" t="s">
        <v>167</v>
      </c>
      <c r="B5238" t="s">
        <v>116</v>
      </c>
      <c r="C5238" s="35" t="s">
        <v>422</v>
      </c>
      <c r="D5238" t="s">
        <v>502</v>
      </c>
      <c r="E5238" t="s">
        <v>520</v>
      </c>
      <c r="F5238" s="188" t="n">
        <v>2025</v>
      </c>
      <c r="G5238" s="189" t="n">
        <v>66</v>
      </c>
      <c r="H5238" s="190" t="n">
        <v>21128.4842212808</v>
      </c>
      <c r="I5238" s="191" t="n">
        <v>1938977.04767675</v>
      </c>
      <c r="J5238" s="192" t="str">
        <f>IF(I5238&gt;0,H5238/I5238,0)</f>
      </c>
      <c r="K5238" s="193" t="str">
        <f>1-EXP(-J5238)</f>
      </c>
      <c r="L5238" s="194" t="str">
        <f>IF(G5238=30,1,M5237)</f>
      </c>
      <c r="M5238" s="195" t="str">
        <f>L5238*(1-K5238)</f>
      </c>
    </row>
    <row r="5239">
      <c r="A5239" t="s">
        <v>167</v>
      </c>
      <c r="B5239" t="s">
        <v>116</v>
      </c>
      <c r="C5239" s="35" t="s">
        <v>422</v>
      </c>
      <c r="D5239" t="s">
        <v>502</v>
      </c>
      <c r="E5239" t="s">
        <v>520</v>
      </c>
      <c r="F5239" s="188" t="n">
        <v>2025</v>
      </c>
      <c r="G5239" s="189" t="n">
        <v>67</v>
      </c>
      <c r="H5239" s="190" t="n">
        <v>21650.1531142985</v>
      </c>
      <c r="I5239" s="191" t="n">
        <v>1812804.58670767</v>
      </c>
      <c r="J5239" s="192" t="str">
        <f>IF(I5239&gt;0,H5239/I5239,0)</f>
      </c>
      <c r="K5239" s="193" t="str">
        <f>1-EXP(-J5239)</f>
      </c>
      <c r="L5239" s="194" t="str">
        <f>IF(G5239=30,1,M5238)</f>
      </c>
      <c r="M5239" s="195" t="str">
        <f>L5239*(1-K5239)</f>
      </c>
    </row>
    <row r="5240">
      <c r="A5240" t="s">
        <v>167</v>
      </c>
      <c r="B5240" t="s">
        <v>116</v>
      </c>
      <c r="C5240" s="35" t="s">
        <v>422</v>
      </c>
      <c r="D5240" t="s">
        <v>502</v>
      </c>
      <c r="E5240" t="s">
        <v>520</v>
      </c>
      <c r="F5240" s="188" t="n">
        <v>2025</v>
      </c>
      <c r="G5240" s="189" t="n">
        <v>68</v>
      </c>
      <c r="H5240" s="190" t="n">
        <v>22443.5912394105</v>
      </c>
      <c r="I5240" s="191" t="n">
        <v>1708817.0374287</v>
      </c>
      <c r="J5240" s="192" t="str">
        <f>IF(I5240&gt;0,H5240/I5240,0)</f>
      </c>
      <c r="K5240" s="193" t="str">
        <f>1-EXP(-J5240)</f>
      </c>
      <c r="L5240" s="194" t="str">
        <f>IF(G5240=30,1,M5239)</f>
      </c>
      <c r="M5240" s="195" t="str">
        <f>L5240*(1-K5240)</f>
      </c>
    </row>
    <row r="5241">
      <c r="A5241" t="s">
        <v>167</v>
      </c>
      <c r="B5241" t="s">
        <v>116</v>
      </c>
      <c r="C5241" s="35" t="s">
        <v>422</v>
      </c>
      <c r="D5241" t="s">
        <v>502</v>
      </c>
      <c r="E5241" t="s">
        <v>520</v>
      </c>
      <c r="F5241" s="188" t="n">
        <v>2025</v>
      </c>
      <c r="G5241" s="189" t="n">
        <v>69</v>
      </c>
      <c r="H5241" s="190" t="n">
        <v>22887.5139092692</v>
      </c>
      <c r="I5241" s="191" t="n">
        <v>1588246.5017458</v>
      </c>
      <c r="J5241" s="192" t="str">
        <f>IF(I5241&gt;0,H5241/I5241,0)</f>
      </c>
      <c r="K5241" s="193" t="str">
        <f>1-EXP(-J5241)</f>
      </c>
      <c r="L5241" s="194" t="str">
        <f>IF(G5241=30,1,M5240)</f>
      </c>
      <c r="M5241" s="195" t="str">
        <f>L5241*(1-K5241)</f>
      </c>
    </row>
    <row r="5242">
      <c r="A5242" t="s">
        <v>167</v>
      </c>
      <c r="B5242" t="s">
        <v>116</v>
      </c>
      <c r="C5242" s="35" t="s">
        <v>422</v>
      </c>
      <c r="D5242" t="s">
        <v>502</v>
      </c>
      <c r="E5242" t="s">
        <v>520</v>
      </c>
      <c r="F5242" s="188" t="n">
        <v>2026</v>
      </c>
      <c r="G5242" s="189" t="n">
        <v>30</v>
      </c>
      <c r="H5242" s="190" t="n">
        <v>1280.54932341267</v>
      </c>
      <c r="I5242" s="191" t="n">
        <v>4533066.05431128</v>
      </c>
      <c r="J5242" s="192" t="str">
        <f>IF(I5242&gt;0,H5242/I5242,0)</f>
      </c>
      <c r="K5242" s="193" t="str">
        <f>1-EXP(-J5242)</f>
      </c>
      <c r="L5242" s="194" t="str">
        <f>IF(G5242=30,1,M5241)</f>
      </c>
      <c r="M5242" s="195" t="str">
        <f>L5242*(1-K5242)</f>
      </c>
    </row>
    <row r="5243">
      <c r="A5243" t="s">
        <v>167</v>
      </c>
      <c r="B5243" t="s">
        <v>116</v>
      </c>
      <c r="C5243" s="35" t="s">
        <v>422</v>
      </c>
      <c r="D5243" t="s">
        <v>502</v>
      </c>
      <c r="E5243" t="s">
        <v>520</v>
      </c>
      <c r="F5243" s="188" t="n">
        <v>2026</v>
      </c>
      <c r="G5243" s="189" t="n">
        <v>31</v>
      </c>
      <c r="H5243" s="190" t="n">
        <v>1309.35760031935</v>
      </c>
      <c r="I5243" s="191" t="n">
        <v>4460323.13013529</v>
      </c>
      <c r="J5243" s="192" t="str">
        <f>IF(I5243&gt;0,H5243/I5243,0)</f>
      </c>
      <c r="K5243" s="193" t="str">
        <f>1-EXP(-J5243)</f>
      </c>
      <c r="L5243" s="194" t="str">
        <f>IF(G5243=30,1,M5242)</f>
      </c>
      <c r="M5243" s="195" t="str">
        <f>L5243*(1-K5243)</f>
      </c>
    </row>
    <row r="5244">
      <c r="A5244" t="s">
        <v>167</v>
      </c>
      <c r="B5244" t="s">
        <v>116</v>
      </c>
      <c r="C5244" s="35" t="s">
        <v>422</v>
      </c>
      <c r="D5244" t="s">
        <v>502</v>
      </c>
      <c r="E5244" t="s">
        <v>520</v>
      </c>
      <c r="F5244" s="188" t="n">
        <v>2026</v>
      </c>
      <c r="G5244" s="189" t="n">
        <v>32</v>
      </c>
      <c r="H5244" s="190" t="n">
        <v>1351.53555436817</v>
      </c>
      <c r="I5244" s="191" t="n">
        <v>4404105.59550118</v>
      </c>
      <c r="J5244" s="192" t="str">
        <f>IF(I5244&gt;0,H5244/I5244,0)</f>
      </c>
      <c r="K5244" s="193" t="str">
        <f>1-EXP(-J5244)</f>
      </c>
      <c r="L5244" s="194" t="str">
        <f>IF(G5244=30,1,M5243)</f>
      </c>
      <c r="M5244" s="195" t="str">
        <f>L5244*(1-K5244)</f>
      </c>
    </row>
    <row r="5245">
      <c r="A5245" t="s">
        <v>167</v>
      </c>
      <c r="B5245" t="s">
        <v>116</v>
      </c>
      <c r="C5245" s="35" t="s">
        <v>422</v>
      </c>
      <c r="D5245" t="s">
        <v>502</v>
      </c>
      <c r="E5245" t="s">
        <v>520</v>
      </c>
      <c r="F5245" s="188" t="n">
        <v>2026</v>
      </c>
      <c r="G5245" s="189" t="n">
        <v>33</v>
      </c>
      <c r="H5245" s="190" t="n">
        <v>1405.35483594233</v>
      </c>
      <c r="I5245" s="191" t="n">
        <v>4351714.92353231</v>
      </c>
      <c r="J5245" s="192" t="str">
        <f>IF(I5245&gt;0,H5245/I5245,0)</f>
      </c>
      <c r="K5245" s="193" t="str">
        <f>1-EXP(-J5245)</f>
      </c>
      <c r="L5245" s="194" t="str">
        <f>IF(G5245=30,1,M5244)</f>
      </c>
      <c r="M5245" s="195" t="str">
        <f>L5245*(1-K5245)</f>
      </c>
    </row>
    <row r="5246">
      <c r="A5246" t="s">
        <v>167</v>
      </c>
      <c r="B5246" t="s">
        <v>116</v>
      </c>
      <c r="C5246" s="35" t="s">
        <v>422</v>
      </c>
      <c r="D5246" t="s">
        <v>502</v>
      </c>
      <c r="E5246" t="s">
        <v>520</v>
      </c>
      <c r="F5246" s="188" t="n">
        <v>2026</v>
      </c>
      <c r="G5246" s="189" t="n">
        <v>34</v>
      </c>
      <c r="H5246" s="190" t="n">
        <v>1501.18146032531</v>
      </c>
      <c r="I5246" s="191" t="n">
        <v>4391577.80533736</v>
      </c>
      <c r="J5246" s="192" t="str">
        <f>IF(I5246&gt;0,H5246/I5246,0)</f>
      </c>
      <c r="K5246" s="193" t="str">
        <f>1-EXP(-J5246)</f>
      </c>
      <c r="L5246" s="194" t="str">
        <f>IF(G5246=30,1,M5245)</f>
      </c>
      <c r="M5246" s="195" t="str">
        <f>L5246*(1-K5246)</f>
      </c>
    </row>
    <row r="5247">
      <c r="A5247" t="s">
        <v>167</v>
      </c>
      <c r="B5247" t="s">
        <v>116</v>
      </c>
      <c r="C5247" s="35" t="s">
        <v>422</v>
      </c>
      <c r="D5247" t="s">
        <v>502</v>
      </c>
      <c r="E5247" t="s">
        <v>520</v>
      </c>
      <c r="F5247" s="188" t="n">
        <v>2026</v>
      </c>
      <c r="G5247" s="189" t="n">
        <v>35</v>
      </c>
      <c r="H5247" s="190" t="n">
        <v>2082.88557954658</v>
      </c>
      <c r="I5247" s="191" t="n">
        <v>4411881.63741314</v>
      </c>
      <c r="J5247" s="192" t="str">
        <f>IF(I5247&gt;0,H5247/I5247,0)</f>
      </c>
      <c r="K5247" s="193" t="str">
        <f>1-EXP(-J5247)</f>
      </c>
      <c r="L5247" s="194" t="str">
        <f>IF(G5247=30,1,M5246)</f>
      </c>
      <c r="M5247" s="195" t="str">
        <f>L5247*(1-K5247)</f>
      </c>
    </row>
    <row r="5248">
      <c r="A5248" t="s">
        <v>167</v>
      </c>
      <c r="B5248" t="s">
        <v>116</v>
      </c>
      <c r="C5248" s="35" t="s">
        <v>422</v>
      </c>
      <c r="D5248" t="s">
        <v>502</v>
      </c>
      <c r="E5248" t="s">
        <v>520</v>
      </c>
      <c r="F5248" s="188" t="n">
        <v>2026</v>
      </c>
      <c r="G5248" s="189" t="n">
        <v>36</v>
      </c>
      <c r="H5248" s="190" t="n">
        <v>3151.94829062013</v>
      </c>
      <c r="I5248" s="191" t="n">
        <v>6497474.08312581</v>
      </c>
      <c r="J5248" s="192" t="str">
        <f>IF(I5248&gt;0,H5248/I5248,0)</f>
      </c>
      <c r="K5248" s="193" t="str">
        <f>1-EXP(-J5248)</f>
      </c>
      <c r="L5248" s="194" t="str">
        <f>IF(G5248=30,1,M5247)</f>
      </c>
      <c r="M5248" s="195" t="str">
        <f>L5248*(1-K5248)</f>
      </c>
    </row>
    <row r="5249">
      <c r="A5249" t="s">
        <v>167</v>
      </c>
      <c r="B5249" t="s">
        <v>116</v>
      </c>
      <c r="C5249" s="35" t="s">
        <v>422</v>
      </c>
      <c r="D5249" t="s">
        <v>502</v>
      </c>
      <c r="E5249" t="s">
        <v>520</v>
      </c>
      <c r="F5249" s="188" t="n">
        <v>2026</v>
      </c>
      <c r="G5249" s="189" t="n">
        <v>37</v>
      </c>
      <c r="H5249" s="190" t="n">
        <v>2363.26861243048</v>
      </c>
      <c r="I5249" s="191" t="n">
        <v>4374564.95231593</v>
      </c>
      <c r="J5249" s="192" t="str">
        <f>IF(I5249&gt;0,H5249/I5249,0)</f>
      </c>
      <c r="K5249" s="193" t="str">
        <f>1-EXP(-J5249)</f>
      </c>
      <c r="L5249" s="194" t="str">
        <f>IF(G5249=30,1,M5248)</f>
      </c>
      <c r="M5249" s="195" t="str">
        <f>L5249*(1-K5249)</f>
      </c>
    </row>
    <row r="5250">
      <c r="A5250" t="s">
        <v>167</v>
      </c>
      <c r="B5250" t="s">
        <v>116</v>
      </c>
      <c r="C5250" s="35" t="s">
        <v>422</v>
      </c>
      <c r="D5250" t="s">
        <v>502</v>
      </c>
      <c r="E5250" t="s">
        <v>520</v>
      </c>
      <c r="F5250" s="188" t="n">
        <v>2026</v>
      </c>
      <c r="G5250" s="189" t="n">
        <v>38</v>
      </c>
      <c r="H5250" s="190" t="n">
        <v>2527.10791988421</v>
      </c>
      <c r="I5250" s="191" t="n">
        <v>4360550.03715021</v>
      </c>
      <c r="J5250" s="192" t="str">
        <f>IF(I5250&gt;0,H5250/I5250,0)</f>
      </c>
      <c r="K5250" s="193" t="str">
        <f>1-EXP(-J5250)</f>
      </c>
      <c r="L5250" s="194" t="str">
        <f>IF(G5250=30,1,M5249)</f>
      </c>
      <c r="M5250" s="195" t="str">
        <f>L5250*(1-K5250)</f>
      </c>
    </row>
    <row r="5251">
      <c r="A5251" t="s">
        <v>167</v>
      </c>
      <c r="B5251" t="s">
        <v>116</v>
      </c>
      <c r="C5251" s="35" t="s">
        <v>422</v>
      </c>
      <c r="D5251" t="s">
        <v>502</v>
      </c>
      <c r="E5251" t="s">
        <v>520</v>
      </c>
      <c r="F5251" s="188" t="n">
        <v>2026</v>
      </c>
      <c r="G5251" s="189" t="n">
        <v>39</v>
      </c>
      <c r="H5251" s="190" t="n">
        <v>2633.74666696597</v>
      </c>
      <c r="I5251" s="191" t="n">
        <v>4230055.14654035</v>
      </c>
      <c r="J5251" s="192" t="str">
        <f>IF(I5251&gt;0,H5251/I5251,0)</f>
      </c>
      <c r="K5251" s="193" t="str">
        <f>1-EXP(-J5251)</f>
      </c>
      <c r="L5251" s="194" t="str">
        <f>IF(G5251=30,1,M5250)</f>
      </c>
      <c r="M5251" s="195" t="str">
        <f>L5251*(1-K5251)</f>
      </c>
    </row>
    <row r="5252">
      <c r="A5252" t="s">
        <v>167</v>
      </c>
      <c r="B5252" t="s">
        <v>116</v>
      </c>
      <c r="C5252" s="35" t="s">
        <v>422</v>
      </c>
      <c r="D5252" t="s">
        <v>502</v>
      </c>
      <c r="E5252" t="s">
        <v>520</v>
      </c>
      <c r="F5252" s="188" t="n">
        <v>2026</v>
      </c>
      <c r="G5252" s="189" t="n">
        <v>40</v>
      </c>
      <c r="H5252" s="190" t="n">
        <v>3525.16665636472</v>
      </c>
      <c r="I5252" s="191" t="n">
        <v>4198447.80357072</v>
      </c>
      <c r="J5252" s="192" t="str">
        <f>IF(I5252&gt;0,H5252/I5252,0)</f>
      </c>
      <c r="K5252" s="193" t="str">
        <f>1-EXP(-J5252)</f>
      </c>
      <c r="L5252" s="194" t="str">
        <f>IF(G5252=30,1,M5251)</f>
      </c>
      <c r="M5252" s="195" t="str">
        <f>L5252*(1-K5252)</f>
      </c>
    </row>
    <row r="5253">
      <c r="A5253" t="s">
        <v>167</v>
      </c>
      <c r="B5253" t="s">
        <v>116</v>
      </c>
      <c r="C5253" s="35" t="s">
        <v>422</v>
      </c>
      <c r="D5253" t="s">
        <v>502</v>
      </c>
      <c r="E5253" t="s">
        <v>520</v>
      </c>
      <c r="F5253" s="188" t="n">
        <v>2026</v>
      </c>
      <c r="G5253" s="189" t="n">
        <v>41</v>
      </c>
      <c r="H5253" s="190" t="n">
        <v>3869.11654237001</v>
      </c>
      <c r="I5253" s="191" t="n">
        <v>4261037.22561078</v>
      </c>
      <c r="J5253" s="192" t="str">
        <f>IF(I5253&gt;0,H5253/I5253,0)</f>
      </c>
      <c r="K5253" s="193" t="str">
        <f>1-EXP(-J5253)</f>
      </c>
      <c r="L5253" s="194" t="str">
        <f>IF(G5253=30,1,M5252)</f>
      </c>
      <c r="M5253" s="195" t="str">
        <f>L5253*(1-K5253)</f>
      </c>
    </row>
    <row r="5254">
      <c r="A5254" t="s">
        <v>167</v>
      </c>
      <c r="B5254" t="s">
        <v>116</v>
      </c>
      <c r="C5254" s="35" t="s">
        <v>422</v>
      </c>
      <c r="D5254" t="s">
        <v>502</v>
      </c>
      <c r="E5254" t="s">
        <v>520</v>
      </c>
      <c r="F5254" s="188" t="n">
        <v>2026</v>
      </c>
      <c r="G5254" s="189" t="n">
        <v>42</v>
      </c>
      <c r="H5254" s="190" t="n">
        <v>4276.57804530678</v>
      </c>
      <c r="I5254" s="191" t="n">
        <v>4350355.93271131</v>
      </c>
      <c r="J5254" s="192" t="str">
        <f>IF(I5254&gt;0,H5254/I5254,0)</f>
      </c>
      <c r="K5254" s="193" t="str">
        <f>1-EXP(-J5254)</f>
      </c>
      <c r="L5254" s="194" t="str">
        <f>IF(G5254=30,1,M5253)</f>
      </c>
      <c r="M5254" s="195" t="str">
        <f>L5254*(1-K5254)</f>
      </c>
    </row>
    <row r="5255">
      <c r="A5255" t="s">
        <v>167</v>
      </c>
      <c r="B5255" t="s">
        <v>116</v>
      </c>
      <c r="C5255" s="35" t="s">
        <v>422</v>
      </c>
      <c r="D5255" t="s">
        <v>502</v>
      </c>
      <c r="E5255" t="s">
        <v>520</v>
      </c>
      <c r="F5255" s="188" t="n">
        <v>2026</v>
      </c>
      <c r="G5255" s="189" t="n">
        <v>43</v>
      </c>
      <c r="H5255" s="190" t="n">
        <v>4625.28081629029</v>
      </c>
      <c r="I5255" s="191" t="n">
        <v>4329966.95829214</v>
      </c>
      <c r="J5255" s="192" t="str">
        <f>IF(I5255&gt;0,H5255/I5255,0)</f>
      </c>
      <c r="K5255" s="193" t="str">
        <f>1-EXP(-J5255)</f>
      </c>
      <c r="L5255" s="194" t="str">
        <f>IF(G5255=30,1,M5254)</f>
      </c>
      <c r="M5255" s="195" t="str">
        <f>L5255*(1-K5255)</f>
      </c>
    </row>
    <row r="5256">
      <c r="A5256" t="s">
        <v>167</v>
      </c>
      <c r="B5256" t="s">
        <v>116</v>
      </c>
      <c r="C5256" s="35" t="s">
        <v>422</v>
      </c>
      <c r="D5256" t="s">
        <v>502</v>
      </c>
      <c r="E5256" t="s">
        <v>520</v>
      </c>
      <c r="F5256" s="188" t="n">
        <v>2026</v>
      </c>
      <c r="G5256" s="189" t="n">
        <v>44</v>
      </c>
      <c r="H5256" s="190" t="n">
        <v>4889.11170289164</v>
      </c>
      <c r="I5256" s="191" t="n">
        <v>4196064.82449968</v>
      </c>
      <c r="J5256" s="192" t="str">
        <f>IF(I5256&gt;0,H5256/I5256,0)</f>
      </c>
      <c r="K5256" s="193" t="str">
        <f>1-EXP(-J5256)</f>
      </c>
      <c r="L5256" s="194" t="str">
        <f>IF(G5256=30,1,M5255)</f>
      </c>
      <c r="M5256" s="195" t="str">
        <f>L5256*(1-K5256)</f>
      </c>
    </row>
    <row r="5257">
      <c r="A5257" t="s">
        <v>167</v>
      </c>
      <c r="B5257" t="s">
        <v>116</v>
      </c>
      <c r="C5257" s="35" t="s">
        <v>422</v>
      </c>
      <c r="D5257" t="s">
        <v>502</v>
      </c>
      <c r="E5257" t="s">
        <v>520</v>
      </c>
      <c r="F5257" s="188" t="n">
        <v>2026</v>
      </c>
      <c r="G5257" s="189" t="n">
        <v>45</v>
      </c>
      <c r="H5257" s="190" t="n">
        <v>6228.94386245653</v>
      </c>
      <c r="I5257" s="191" t="n">
        <v>4125591.44550924</v>
      </c>
      <c r="J5257" s="192" t="str">
        <f>IF(I5257&gt;0,H5257/I5257,0)</f>
      </c>
      <c r="K5257" s="193" t="str">
        <f>1-EXP(-J5257)</f>
      </c>
      <c r="L5257" s="194" t="str">
        <f>IF(G5257=30,1,M5256)</f>
      </c>
      <c r="M5257" s="195" t="str">
        <f>L5257*(1-K5257)</f>
      </c>
    </row>
    <row r="5258">
      <c r="A5258" t="s">
        <v>167</v>
      </c>
      <c r="B5258" t="s">
        <v>116</v>
      </c>
      <c r="C5258" s="35" t="s">
        <v>422</v>
      </c>
      <c r="D5258" t="s">
        <v>502</v>
      </c>
      <c r="E5258" t="s">
        <v>520</v>
      </c>
      <c r="F5258" s="188" t="n">
        <v>2026</v>
      </c>
      <c r="G5258" s="189" t="n">
        <v>46</v>
      </c>
      <c r="H5258" s="190" t="n">
        <v>6724.38179677561</v>
      </c>
      <c r="I5258" s="191" t="n">
        <v>4070423.79660791</v>
      </c>
      <c r="J5258" s="192" t="str">
        <f>IF(I5258&gt;0,H5258/I5258,0)</f>
      </c>
      <c r="K5258" s="193" t="str">
        <f>1-EXP(-J5258)</f>
      </c>
      <c r="L5258" s="194" t="str">
        <f>IF(G5258=30,1,M5257)</f>
      </c>
      <c r="M5258" s="195" t="str">
        <f>L5258*(1-K5258)</f>
      </c>
    </row>
    <row r="5259">
      <c r="A5259" t="s">
        <v>167</v>
      </c>
      <c r="B5259" t="s">
        <v>116</v>
      </c>
      <c r="C5259" s="35" t="s">
        <v>422</v>
      </c>
      <c r="D5259" t="s">
        <v>502</v>
      </c>
      <c r="E5259" t="s">
        <v>520</v>
      </c>
      <c r="F5259" s="188" t="n">
        <v>2026</v>
      </c>
      <c r="G5259" s="189" t="n">
        <v>47</v>
      </c>
      <c r="H5259" s="190" t="n">
        <v>7251.5869693476</v>
      </c>
      <c r="I5259" s="191" t="n">
        <v>4010952.63156028</v>
      </c>
      <c r="J5259" s="192" t="str">
        <f>IF(I5259&gt;0,H5259/I5259,0)</f>
      </c>
      <c r="K5259" s="193" t="str">
        <f>1-EXP(-J5259)</f>
      </c>
      <c r="L5259" s="194" t="str">
        <f>IF(G5259=30,1,M5258)</f>
      </c>
      <c r="M5259" s="195" t="str">
        <f>L5259*(1-K5259)</f>
      </c>
    </row>
    <row r="5260">
      <c r="A5260" t="s">
        <v>167</v>
      </c>
      <c r="B5260" t="s">
        <v>116</v>
      </c>
      <c r="C5260" s="35" t="s">
        <v>422</v>
      </c>
      <c r="D5260" t="s">
        <v>502</v>
      </c>
      <c r="E5260" t="s">
        <v>520</v>
      </c>
      <c r="F5260" s="188" t="n">
        <v>2026</v>
      </c>
      <c r="G5260" s="189" t="n">
        <v>48</v>
      </c>
      <c r="H5260" s="190" t="n">
        <v>7774.61381379317</v>
      </c>
      <c r="I5260" s="191" t="n">
        <v>3931934.3335516</v>
      </c>
      <c r="J5260" s="192" t="str">
        <f>IF(I5260&gt;0,H5260/I5260,0)</f>
      </c>
      <c r="K5260" s="193" t="str">
        <f>1-EXP(-J5260)</f>
      </c>
      <c r="L5260" s="194" t="str">
        <f>IF(G5260=30,1,M5259)</f>
      </c>
      <c r="M5260" s="195" t="str">
        <f>L5260*(1-K5260)</f>
      </c>
    </row>
    <row r="5261">
      <c r="A5261" t="s">
        <v>167</v>
      </c>
      <c r="B5261" t="s">
        <v>116</v>
      </c>
      <c r="C5261" s="35" t="s">
        <v>422</v>
      </c>
      <c r="D5261" t="s">
        <v>502</v>
      </c>
      <c r="E5261" t="s">
        <v>520</v>
      </c>
      <c r="F5261" s="188" t="n">
        <v>2026</v>
      </c>
      <c r="G5261" s="189" t="n">
        <v>49</v>
      </c>
      <c r="H5261" s="190" t="n">
        <v>8368.55004215312</v>
      </c>
      <c r="I5261" s="191" t="n">
        <v>3870575.54514656</v>
      </c>
      <c r="J5261" s="192" t="str">
        <f>IF(I5261&gt;0,H5261/I5261,0)</f>
      </c>
      <c r="K5261" s="193" t="str">
        <f>1-EXP(-J5261)</f>
      </c>
      <c r="L5261" s="194" t="str">
        <f>IF(G5261=30,1,M5260)</f>
      </c>
      <c r="M5261" s="195" t="str">
        <f>L5261*(1-K5261)</f>
      </c>
    </row>
    <row r="5262">
      <c r="A5262" t="s">
        <v>167</v>
      </c>
      <c r="B5262" t="s">
        <v>116</v>
      </c>
      <c r="C5262" s="35" t="s">
        <v>422</v>
      </c>
      <c r="D5262" t="s">
        <v>502</v>
      </c>
      <c r="E5262" t="s">
        <v>520</v>
      </c>
      <c r="F5262" s="188" t="n">
        <v>2026</v>
      </c>
      <c r="G5262" s="189" t="n">
        <v>50</v>
      </c>
      <c r="H5262" s="190" t="n">
        <v>9600.33956460984</v>
      </c>
      <c r="I5262" s="191" t="n">
        <v>3797304.37229286</v>
      </c>
      <c r="J5262" s="192" t="str">
        <f>IF(I5262&gt;0,H5262/I5262,0)</f>
      </c>
      <c r="K5262" s="193" t="str">
        <f>1-EXP(-J5262)</f>
      </c>
      <c r="L5262" s="194" t="str">
        <f>IF(G5262=30,1,M5261)</f>
      </c>
      <c r="M5262" s="195" t="str">
        <f>L5262*(1-K5262)</f>
      </c>
    </row>
    <row r="5263">
      <c r="A5263" t="s">
        <v>167</v>
      </c>
      <c r="B5263" t="s">
        <v>116</v>
      </c>
      <c r="C5263" s="35" t="s">
        <v>422</v>
      </c>
      <c r="D5263" t="s">
        <v>502</v>
      </c>
      <c r="E5263" t="s">
        <v>520</v>
      </c>
      <c r="F5263" s="188" t="n">
        <v>2026</v>
      </c>
      <c r="G5263" s="189" t="n">
        <v>51</v>
      </c>
      <c r="H5263" s="190" t="n">
        <v>10282.0774112431</v>
      </c>
      <c r="I5263" s="191" t="n">
        <v>3722619.16466465</v>
      </c>
      <c r="J5263" s="192" t="str">
        <f>IF(I5263&gt;0,H5263/I5263,0)</f>
      </c>
      <c r="K5263" s="193" t="str">
        <f>1-EXP(-J5263)</f>
      </c>
      <c r="L5263" s="194" t="str">
        <f>IF(G5263=30,1,M5262)</f>
      </c>
      <c r="M5263" s="195" t="str">
        <f>L5263*(1-K5263)</f>
      </c>
    </row>
    <row r="5264">
      <c r="A5264" t="s">
        <v>167</v>
      </c>
      <c r="B5264" t="s">
        <v>116</v>
      </c>
      <c r="C5264" s="35" t="s">
        <v>422</v>
      </c>
      <c r="D5264" t="s">
        <v>502</v>
      </c>
      <c r="E5264" t="s">
        <v>520</v>
      </c>
      <c r="F5264" s="188" t="n">
        <v>2026</v>
      </c>
      <c r="G5264" s="189" t="n">
        <v>52</v>
      </c>
      <c r="H5264" s="190" t="n">
        <v>10906.0290989888</v>
      </c>
      <c r="I5264" s="191" t="n">
        <v>3620908.90429281</v>
      </c>
      <c r="J5264" s="192" t="str">
        <f>IF(I5264&gt;0,H5264/I5264,0)</f>
      </c>
      <c r="K5264" s="193" t="str">
        <f>1-EXP(-J5264)</f>
      </c>
      <c r="L5264" s="194" t="str">
        <f>IF(G5264=30,1,M5263)</f>
      </c>
      <c r="M5264" s="195" t="str">
        <f>L5264*(1-K5264)</f>
      </c>
    </row>
    <row r="5265">
      <c r="A5265" t="s">
        <v>167</v>
      </c>
      <c r="B5265" t="s">
        <v>116</v>
      </c>
      <c r="C5265" s="35" t="s">
        <v>422</v>
      </c>
      <c r="D5265" t="s">
        <v>502</v>
      </c>
      <c r="E5265" t="s">
        <v>520</v>
      </c>
      <c r="F5265" s="188" t="n">
        <v>2026</v>
      </c>
      <c r="G5265" s="189" t="n">
        <v>53</v>
      </c>
      <c r="H5265" s="190" t="n">
        <v>11764.9357187919</v>
      </c>
      <c r="I5265" s="191" t="n">
        <v>3580910.06551612</v>
      </c>
      <c r="J5265" s="192" t="str">
        <f>IF(I5265&gt;0,H5265/I5265,0)</f>
      </c>
      <c r="K5265" s="193" t="str">
        <f>1-EXP(-J5265)</f>
      </c>
      <c r="L5265" s="194" t="str">
        <f>IF(G5265=30,1,M5264)</f>
      </c>
      <c r="M5265" s="195" t="str">
        <f>L5265*(1-K5265)</f>
      </c>
    </row>
    <row r="5266">
      <c r="A5266" t="s">
        <v>167</v>
      </c>
      <c r="B5266" t="s">
        <v>116</v>
      </c>
      <c r="C5266" s="35" t="s">
        <v>422</v>
      </c>
      <c r="D5266" t="s">
        <v>502</v>
      </c>
      <c r="E5266" t="s">
        <v>520</v>
      </c>
      <c r="F5266" s="188" t="n">
        <v>2026</v>
      </c>
      <c r="G5266" s="189" t="n">
        <v>54</v>
      </c>
      <c r="H5266" s="190" t="n">
        <v>12110.7540108373</v>
      </c>
      <c r="I5266" s="191" t="n">
        <v>3373668.63498524</v>
      </c>
      <c r="J5266" s="192" t="str">
        <f>IF(I5266&gt;0,H5266/I5266,0)</f>
      </c>
      <c r="K5266" s="193" t="str">
        <f>1-EXP(-J5266)</f>
      </c>
      <c r="L5266" s="194" t="str">
        <f>IF(G5266=30,1,M5265)</f>
      </c>
      <c r="M5266" s="195" t="str">
        <f>L5266*(1-K5266)</f>
      </c>
    </row>
    <row r="5267">
      <c r="A5267" t="s">
        <v>167</v>
      </c>
      <c r="B5267" t="s">
        <v>116</v>
      </c>
      <c r="C5267" s="35" t="s">
        <v>422</v>
      </c>
      <c r="D5267" t="s">
        <v>502</v>
      </c>
      <c r="E5267" t="s">
        <v>520</v>
      </c>
      <c r="F5267" s="188" t="n">
        <v>2026</v>
      </c>
      <c r="G5267" s="189" t="n">
        <v>55</v>
      </c>
      <c r="H5267" s="190" t="n">
        <v>13131.7932754785</v>
      </c>
      <c r="I5267" s="191" t="n">
        <v>3290805.96393673</v>
      </c>
      <c r="J5267" s="192" t="str">
        <f>IF(I5267&gt;0,H5267/I5267,0)</f>
      </c>
      <c r="K5267" s="193" t="str">
        <f>1-EXP(-J5267)</f>
      </c>
      <c r="L5267" s="194" t="str">
        <f>IF(G5267=30,1,M5266)</f>
      </c>
      <c r="M5267" s="195" t="str">
        <f>L5267*(1-K5267)</f>
      </c>
    </row>
    <row r="5268">
      <c r="A5268" t="s">
        <v>167</v>
      </c>
      <c r="B5268" t="s">
        <v>116</v>
      </c>
      <c r="C5268" s="35" t="s">
        <v>422</v>
      </c>
      <c r="D5268" t="s">
        <v>502</v>
      </c>
      <c r="E5268" t="s">
        <v>520</v>
      </c>
      <c r="F5268" s="188" t="n">
        <v>2026</v>
      </c>
      <c r="G5268" s="189" t="n">
        <v>56</v>
      </c>
      <c r="H5268" s="190" t="n">
        <v>13997.7846539709</v>
      </c>
      <c r="I5268" s="191" t="n">
        <v>3212214.28114487</v>
      </c>
      <c r="J5268" s="192" t="str">
        <f>IF(I5268&gt;0,H5268/I5268,0)</f>
      </c>
      <c r="K5268" s="193" t="str">
        <f>1-EXP(-J5268)</f>
      </c>
      <c r="L5268" s="194" t="str">
        <f>IF(G5268=30,1,M5267)</f>
      </c>
      <c r="M5268" s="195" t="str">
        <f>L5268*(1-K5268)</f>
      </c>
    </row>
    <row r="5269">
      <c r="A5269" t="s">
        <v>167</v>
      </c>
      <c r="B5269" t="s">
        <v>116</v>
      </c>
      <c r="C5269" s="35" t="s">
        <v>422</v>
      </c>
      <c r="D5269" t="s">
        <v>502</v>
      </c>
      <c r="E5269" t="s">
        <v>520</v>
      </c>
      <c r="F5269" s="188" t="n">
        <v>2026</v>
      </c>
      <c r="G5269" s="189" t="n">
        <v>57</v>
      </c>
      <c r="H5269" s="190" t="n">
        <v>14873.7191025326</v>
      </c>
      <c r="I5269" s="191" t="n">
        <v>3124836.70281465</v>
      </c>
      <c r="J5269" s="192" t="str">
        <f>IF(I5269&gt;0,H5269/I5269,0)</f>
      </c>
      <c r="K5269" s="193" t="str">
        <f>1-EXP(-J5269)</f>
      </c>
      <c r="L5269" s="194" t="str">
        <f>IF(G5269=30,1,M5268)</f>
      </c>
      <c r="M5269" s="195" t="str">
        <f>L5269*(1-K5269)</f>
      </c>
    </row>
    <row r="5270">
      <c r="A5270" t="s">
        <v>167</v>
      </c>
      <c r="B5270" t="s">
        <v>116</v>
      </c>
      <c r="C5270" s="35" t="s">
        <v>422</v>
      </c>
      <c r="D5270" t="s">
        <v>502</v>
      </c>
      <c r="E5270" t="s">
        <v>520</v>
      </c>
      <c r="F5270" s="188" t="n">
        <v>2026</v>
      </c>
      <c r="G5270" s="189" t="n">
        <v>58</v>
      </c>
      <c r="H5270" s="190" t="n">
        <v>15689.2558057321</v>
      </c>
      <c r="I5270" s="191" t="n">
        <v>3017305.28674744</v>
      </c>
      <c r="J5270" s="192" t="str">
        <f>IF(I5270&gt;0,H5270/I5270,0)</f>
      </c>
      <c r="K5270" s="193" t="str">
        <f>1-EXP(-J5270)</f>
      </c>
      <c r="L5270" s="194" t="str">
        <f>IF(G5270=30,1,M5269)</f>
      </c>
      <c r="M5270" s="195" t="str">
        <f>L5270*(1-K5270)</f>
      </c>
    </row>
    <row r="5271">
      <c r="A5271" t="s">
        <v>167</v>
      </c>
      <c r="B5271" t="s">
        <v>116</v>
      </c>
      <c r="C5271" s="35" t="s">
        <v>422</v>
      </c>
      <c r="D5271" t="s">
        <v>502</v>
      </c>
      <c r="E5271" t="s">
        <v>520</v>
      </c>
      <c r="F5271" s="188" t="n">
        <v>2026</v>
      </c>
      <c r="G5271" s="189" t="n">
        <v>59</v>
      </c>
      <c r="H5271" s="190" t="n">
        <v>16365.9447815765</v>
      </c>
      <c r="I5271" s="191" t="n">
        <v>2877825.9895627</v>
      </c>
      <c r="J5271" s="192" t="str">
        <f>IF(I5271&gt;0,H5271/I5271,0)</f>
      </c>
      <c r="K5271" s="193" t="str">
        <f>1-EXP(-J5271)</f>
      </c>
      <c r="L5271" s="194" t="str">
        <f>IF(G5271=30,1,M5270)</f>
      </c>
      <c r="M5271" s="195" t="str">
        <f>L5271*(1-K5271)</f>
      </c>
    </row>
    <row r="5272">
      <c r="A5272" t="s">
        <v>167</v>
      </c>
      <c r="B5272" t="s">
        <v>116</v>
      </c>
      <c r="C5272" s="35" t="s">
        <v>422</v>
      </c>
      <c r="D5272" t="s">
        <v>502</v>
      </c>
      <c r="E5272" t="s">
        <v>520</v>
      </c>
      <c r="F5272" s="188" t="n">
        <v>2026</v>
      </c>
      <c r="G5272" s="189" t="n">
        <v>60</v>
      </c>
      <c r="H5272" s="190" t="n">
        <v>17721.9448454449</v>
      </c>
      <c r="I5272" s="191" t="n">
        <v>2775955.73233662</v>
      </c>
      <c r="J5272" s="192" t="str">
        <f>IF(I5272&gt;0,H5272/I5272,0)</f>
      </c>
      <c r="K5272" s="193" t="str">
        <f>1-EXP(-J5272)</f>
      </c>
      <c r="L5272" s="194" t="str">
        <f>IF(G5272=30,1,M5271)</f>
      </c>
      <c r="M5272" s="195" t="str">
        <f>L5272*(1-K5272)</f>
      </c>
    </row>
    <row r="5273">
      <c r="A5273" t="s">
        <v>167</v>
      </c>
      <c r="B5273" t="s">
        <v>116</v>
      </c>
      <c r="C5273" s="35" t="s">
        <v>422</v>
      </c>
      <c r="D5273" t="s">
        <v>502</v>
      </c>
      <c r="E5273" t="s">
        <v>520</v>
      </c>
      <c r="F5273" s="188" t="n">
        <v>2026</v>
      </c>
      <c r="G5273" s="189" t="n">
        <v>61</v>
      </c>
      <c r="H5273" s="190" t="n">
        <v>18558.1021227897</v>
      </c>
      <c r="I5273" s="191" t="n">
        <v>2651125.82517609</v>
      </c>
      <c r="J5273" s="192" t="str">
        <f>IF(I5273&gt;0,H5273/I5273,0)</f>
      </c>
      <c r="K5273" s="193" t="str">
        <f>1-EXP(-J5273)</f>
      </c>
      <c r="L5273" s="194" t="str">
        <f>IF(G5273=30,1,M5272)</f>
      </c>
      <c r="M5273" s="195" t="str">
        <f>L5273*(1-K5273)</f>
      </c>
    </row>
    <row r="5274">
      <c r="A5274" t="s">
        <v>167</v>
      </c>
      <c r="B5274" t="s">
        <v>116</v>
      </c>
      <c r="C5274" s="35" t="s">
        <v>422</v>
      </c>
      <c r="D5274" t="s">
        <v>502</v>
      </c>
      <c r="E5274" t="s">
        <v>520</v>
      </c>
      <c r="F5274" s="188" t="n">
        <v>2026</v>
      </c>
      <c r="G5274" s="189" t="n">
        <v>62</v>
      </c>
      <c r="H5274" s="190" t="n">
        <v>19340.4639964318</v>
      </c>
      <c r="I5274" s="191" t="n">
        <v>2527118.34779537</v>
      </c>
      <c r="J5274" s="192" t="str">
        <f>IF(I5274&gt;0,H5274/I5274,0)</f>
      </c>
      <c r="K5274" s="193" t="str">
        <f>1-EXP(-J5274)</f>
      </c>
      <c r="L5274" s="194" t="str">
        <f>IF(G5274=30,1,M5273)</f>
      </c>
      <c r="M5274" s="195" t="str">
        <f>L5274*(1-K5274)</f>
      </c>
    </row>
    <row r="5275">
      <c r="A5275" t="s">
        <v>167</v>
      </c>
      <c r="B5275" t="s">
        <v>116</v>
      </c>
      <c r="C5275" s="35" t="s">
        <v>422</v>
      </c>
      <c r="D5275" t="s">
        <v>502</v>
      </c>
      <c r="E5275" t="s">
        <v>520</v>
      </c>
      <c r="F5275" s="188" t="n">
        <v>2026</v>
      </c>
      <c r="G5275" s="189" t="n">
        <v>63</v>
      </c>
      <c r="H5275" s="190" t="n">
        <v>20161.0580548955</v>
      </c>
      <c r="I5275" s="191" t="n">
        <v>2408174.82995322</v>
      </c>
      <c r="J5275" s="192" t="str">
        <f>IF(I5275&gt;0,H5275/I5275,0)</f>
      </c>
      <c r="K5275" s="193" t="str">
        <f>1-EXP(-J5275)</f>
      </c>
      <c r="L5275" s="194" t="str">
        <f>IF(G5275=30,1,M5274)</f>
      </c>
      <c r="M5275" s="195" t="str">
        <f>L5275*(1-K5275)</f>
      </c>
    </row>
    <row r="5276">
      <c r="A5276" t="s">
        <v>167</v>
      </c>
      <c r="B5276" t="s">
        <v>116</v>
      </c>
      <c r="C5276" s="35" t="s">
        <v>422</v>
      </c>
      <c r="D5276" t="s">
        <v>502</v>
      </c>
      <c r="E5276" t="s">
        <v>520</v>
      </c>
      <c r="F5276" s="188" t="n">
        <v>2026</v>
      </c>
      <c r="G5276" s="189" t="n">
        <v>64</v>
      </c>
      <c r="H5276" s="190" t="n">
        <v>20829.6178343437</v>
      </c>
      <c r="I5276" s="191" t="n">
        <v>2263177.14570695</v>
      </c>
      <c r="J5276" s="192" t="str">
        <f>IF(I5276&gt;0,H5276/I5276,0)</f>
      </c>
      <c r="K5276" s="193" t="str">
        <f>1-EXP(-J5276)</f>
      </c>
      <c r="L5276" s="194" t="str">
        <f>IF(G5276=30,1,M5275)</f>
      </c>
      <c r="M5276" s="195" t="str">
        <f>L5276*(1-K5276)</f>
      </c>
    </row>
    <row r="5277">
      <c r="A5277" t="s">
        <v>167</v>
      </c>
      <c r="B5277" t="s">
        <v>116</v>
      </c>
      <c r="C5277" s="35" t="s">
        <v>422</v>
      </c>
      <c r="D5277" t="s">
        <v>502</v>
      </c>
      <c r="E5277" t="s">
        <v>520</v>
      </c>
      <c r="F5277" s="188" t="n">
        <v>2026</v>
      </c>
      <c r="G5277" s="189" t="n">
        <v>65</v>
      </c>
      <c r="H5277" s="190" t="n">
        <v>21072.656154151</v>
      </c>
      <c r="I5277" s="191" t="n">
        <v>2143592.88562047</v>
      </c>
      <c r="J5277" s="192" t="str">
        <f>IF(I5277&gt;0,H5277/I5277,0)</f>
      </c>
      <c r="K5277" s="193" t="str">
        <f>1-EXP(-J5277)</f>
      </c>
      <c r="L5277" s="194" t="str">
        <f>IF(G5277=30,1,M5276)</f>
      </c>
      <c r="M5277" s="195" t="str">
        <f>L5277*(1-K5277)</f>
      </c>
    </row>
    <row r="5278">
      <c r="A5278" t="s">
        <v>167</v>
      </c>
      <c r="B5278" t="s">
        <v>116</v>
      </c>
      <c r="C5278" s="35" t="s">
        <v>422</v>
      </c>
      <c r="D5278" t="s">
        <v>502</v>
      </c>
      <c r="E5278" t="s">
        <v>520</v>
      </c>
      <c r="F5278" s="188" t="n">
        <v>2026</v>
      </c>
      <c r="G5278" s="189" t="n">
        <v>66</v>
      </c>
      <c r="H5278" s="190" t="n">
        <v>21758.3554295821</v>
      </c>
      <c r="I5278" s="191" t="n">
        <v>2020123.65624815</v>
      </c>
      <c r="J5278" s="192" t="str">
        <f>IF(I5278&gt;0,H5278/I5278,0)</f>
      </c>
      <c r="K5278" s="193" t="str">
        <f>1-EXP(-J5278)</f>
      </c>
      <c r="L5278" s="194" t="str">
        <f>IF(G5278=30,1,M5277)</f>
      </c>
      <c r="M5278" s="195" t="str">
        <f>L5278*(1-K5278)</f>
      </c>
    </row>
    <row r="5279">
      <c r="A5279" t="s">
        <v>167</v>
      </c>
      <c r="B5279" t="s">
        <v>116</v>
      </c>
      <c r="C5279" s="35" t="s">
        <v>422</v>
      </c>
      <c r="D5279" t="s">
        <v>502</v>
      </c>
      <c r="E5279" t="s">
        <v>520</v>
      </c>
      <c r="F5279" s="188" t="n">
        <v>2026</v>
      </c>
      <c r="G5279" s="189" t="n">
        <v>67</v>
      </c>
      <c r="H5279" s="190" t="n">
        <v>22317.2503804339</v>
      </c>
      <c r="I5279" s="191" t="n">
        <v>1890337.26910044</v>
      </c>
      <c r="J5279" s="192" t="str">
        <f>IF(I5279&gt;0,H5279/I5279,0)</f>
      </c>
      <c r="K5279" s="193" t="str">
        <f>1-EXP(-J5279)</f>
      </c>
      <c r="L5279" s="194" t="str">
        <f>IF(G5279=30,1,M5278)</f>
      </c>
      <c r="M5279" s="195" t="str">
        <f>L5279*(1-K5279)</f>
      </c>
    </row>
    <row r="5280">
      <c r="A5280" t="s">
        <v>167</v>
      </c>
      <c r="B5280" t="s">
        <v>116</v>
      </c>
      <c r="C5280" s="35" t="s">
        <v>422</v>
      </c>
      <c r="D5280" t="s">
        <v>502</v>
      </c>
      <c r="E5280" t="s">
        <v>520</v>
      </c>
      <c r="F5280" s="188" t="n">
        <v>2026</v>
      </c>
      <c r="G5280" s="189" t="n">
        <v>68</v>
      </c>
      <c r="H5280" s="190" t="n">
        <v>22828.8511098007</v>
      </c>
      <c r="I5280" s="191" t="n">
        <v>1762993.47698247</v>
      </c>
      <c r="J5280" s="192" t="str">
        <f>IF(I5280&gt;0,H5280/I5280,0)</f>
      </c>
      <c r="K5280" s="193" t="str">
        <f>1-EXP(-J5280)</f>
      </c>
      <c r="L5280" s="194" t="str">
        <f>IF(G5280=30,1,M5279)</f>
      </c>
      <c r="M5280" s="195" t="str">
        <f>L5280*(1-K5280)</f>
      </c>
    </row>
    <row r="5281">
      <c r="A5281" t="s">
        <v>167</v>
      </c>
      <c r="B5281" t="s">
        <v>116</v>
      </c>
      <c r="C5281" s="35" t="s">
        <v>422</v>
      </c>
      <c r="D5281" t="s">
        <v>502</v>
      </c>
      <c r="E5281" t="s">
        <v>520</v>
      </c>
      <c r="F5281" s="188" t="n">
        <v>2026</v>
      </c>
      <c r="G5281" s="189" t="n">
        <v>69</v>
      </c>
      <c r="H5281" s="190" t="n">
        <v>23618.0750270952</v>
      </c>
      <c r="I5281" s="191" t="n">
        <v>1657190.39223472</v>
      </c>
      <c r="J5281" s="192" t="str">
        <f>IF(I5281&gt;0,H5281/I5281,0)</f>
      </c>
      <c r="K5281" s="193" t="str">
        <f>1-EXP(-J5281)</f>
      </c>
      <c r="L5281" s="194" t="str">
        <f>IF(G5281=30,1,M5280)</f>
      </c>
      <c r="M5281" s="195" t="str">
        <f>L5281*(1-K5281)</f>
      </c>
    </row>
    <row r="5282">
      <c r="A5282" t="s">
        <v>167</v>
      </c>
      <c r="B5282" t="s">
        <v>116</v>
      </c>
      <c r="C5282" s="35" t="s">
        <v>422</v>
      </c>
      <c r="D5282" t="s">
        <v>502</v>
      </c>
      <c r="E5282" t="s">
        <v>520</v>
      </c>
      <c r="F5282" s="188" t="n">
        <v>2027</v>
      </c>
      <c r="G5282" s="189" t="n">
        <v>30</v>
      </c>
      <c r="H5282" s="190" t="n">
        <v>1269.37019777938</v>
      </c>
      <c r="I5282" s="191" t="n">
        <v>4568819.12927604</v>
      </c>
      <c r="J5282" s="192" t="str">
        <f>IF(I5282&gt;0,H5282/I5282,0)</f>
      </c>
      <c r="K5282" s="193" t="str">
        <f>1-EXP(-J5282)</f>
      </c>
      <c r="L5282" s="194" t="str">
        <f>IF(G5282=30,1,M5281)</f>
      </c>
      <c r="M5282" s="195" t="str">
        <f>L5282*(1-K5282)</f>
      </c>
    </row>
    <row r="5283">
      <c r="A5283" t="s">
        <v>167</v>
      </c>
      <c r="B5283" t="s">
        <v>116</v>
      </c>
      <c r="C5283" s="35" t="s">
        <v>422</v>
      </c>
      <c r="D5283" t="s">
        <v>502</v>
      </c>
      <c r="E5283" t="s">
        <v>520</v>
      </c>
      <c r="F5283" s="188" t="n">
        <v>2027</v>
      </c>
      <c r="G5283" s="189" t="n">
        <v>31</v>
      </c>
      <c r="H5283" s="190" t="n">
        <v>1304.70232013652</v>
      </c>
      <c r="I5283" s="191" t="n">
        <v>4526158.96877956</v>
      </c>
      <c r="J5283" s="192" t="str">
        <f>IF(I5283&gt;0,H5283/I5283,0)</f>
      </c>
      <c r="K5283" s="193" t="str">
        <f>1-EXP(-J5283)</f>
      </c>
      <c r="L5283" s="194" t="str">
        <f>IF(G5283=30,1,M5282)</f>
      </c>
      <c r="M5283" s="195" t="str">
        <f>L5283*(1-K5283)</f>
      </c>
    </row>
    <row r="5284">
      <c r="A5284" t="s">
        <v>167</v>
      </c>
      <c r="B5284" t="s">
        <v>116</v>
      </c>
      <c r="C5284" s="35" t="s">
        <v>422</v>
      </c>
      <c r="D5284" t="s">
        <v>502</v>
      </c>
      <c r="E5284" t="s">
        <v>520</v>
      </c>
      <c r="F5284" s="188" t="n">
        <v>2027</v>
      </c>
      <c r="G5284" s="189" t="n">
        <v>32</v>
      </c>
      <c r="H5284" s="190" t="n">
        <v>1344.81231432549</v>
      </c>
      <c r="I5284" s="191" t="n">
        <v>4453770.84627123</v>
      </c>
      <c r="J5284" s="192" t="str">
        <f>IF(I5284&gt;0,H5284/I5284,0)</f>
      </c>
      <c r="K5284" s="193" t="str">
        <f>1-EXP(-J5284)</f>
      </c>
      <c r="L5284" s="194" t="str">
        <f>IF(G5284=30,1,M5283)</f>
      </c>
      <c r="M5284" s="195" t="str">
        <f>L5284*(1-K5284)</f>
      </c>
    </row>
    <row r="5285">
      <c r="A5285" t="s">
        <v>167</v>
      </c>
      <c r="B5285" t="s">
        <v>116</v>
      </c>
      <c r="C5285" s="35" t="s">
        <v>422</v>
      </c>
      <c r="D5285" t="s">
        <v>502</v>
      </c>
      <c r="E5285" t="s">
        <v>520</v>
      </c>
      <c r="F5285" s="188" t="n">
        <v>2027</v>
      </c>
      <c r="G5285" s="189" t="n">
        <v>33</v>
      </c>
      <c r="H5285" s="190" t="n">
        <v>1397.48796364589</v>
      </c>
      <c r="I5285" s="191" t="n">
        <v>4397374.24552796</v>
      </c>
      <c r="J5285" s="192" t="str">
        <f>IF(I5285&gt;0,H5285/I5285,0)</f>
      </c>
      <c r="K5285" s="193" t="str">
        <f>1-EXP(-J5285)</f>
      </c>
      <c r="L5285" s="194" t="str">
        <f>IF(G5285=30,1,M5284)</f>
      </c>
      <c r="M5285" s="195" t="str">
        <f>L5285*(1-K5285)</f>
      </c>
    </row>
    <row r="5286">
      <c r="A5286" t="s">
        <v>167</v>
      </c>
      <c r="B5286" t="s">
        <v>116</v>
      </c>
      <c r="C5286" s="35" t="s">
        <v>422</v>
      </c>
      <c r="D5286" t="s">
        <v>502</v>
      </c>
      <c r="E5286" t="s">
        <v>520</v>
      </c>
      <c r="F5286" s="188" t="n">
        <v>2027</v>
      </c>
      <c r="G5286" s="189" t="n">
        <v>34</v>
      </c>
      <c r="H5286" s="190" t="n">
        <v>1462.30385753519</v>
      </c>
      <c r="I5286" s="191" t="n">
        <v>4344752.74641806</v>
      </c>
      <c r="J5286" s="192" t="str">
        <f>IF(I5286&gt;0,H5286/I5286,0)</f>
      </c>
      <c r="K5286" s="193" t="str">
        <f>1-EXP(-J5286)</f>
      </c>
      <c r="L5286" s="194" t="str">
        <f>IF(G5286=30,1,M5285)</f>
      </c>
      <c r="M5286" s="195" t="str">
        <f>L5286*(1-K5286)</f>
      </c>
    </row>
    <row r="5287">
      <c r="A5287" t="s">
        <v>167</v>
      </c>
      <c r="B5287" t="s">
        <v>116</v>
      </c>
      <c r="C5287" s="35" t="s">
        <v>422</v>
      </c>
      <c r="D5287" t="s">
        <v>502</v>
      </c>
      <c r="E5287" t="s">
        <v>520</v>
      </c>
      <c r="F5287" s="188" t="n">
        <v>2027</v>
      </c>
      <c r="G5287" s="189" t="n">
        <v>35</v>
      </c>
      <c r="H5287" s="190" t="n">
        <v>2028.03536634016</v>
      </c>
      <c r="I5287" s="191" t="n">
        <v>4384179.57240163</v>
      </c>
      <c r="J5287" s="192" t="str">
        <f>IF(I5287&gt;0,H5287/I5287,0)</f>
      </c>
      <c r="K5287" s="193" t="str">
        <f>1-EXP(-J5287)</f>
      </c>
      <c r="L5287" s="194" t="str">
        <f>IF(G5287=30,1,M5286)</f>
      </c>
      <c r="M5287" s="195" t="str">
        <f>L5287*(1-K5287)</f>
      </c>
    </row>
    <row r="5288">
      <c r="A5288" t="s">
        <v>167</v>
      </c>
      <c r="B5288" t="s">
        <v>116</v>
      </c>
      <c r="C5288" s="35" t="s">
        <v>422</v>
      </c>
      <c r="D5288" t="s">
        <v>502</v>
      </c>
      <c r="E5288" t="s">
        <v>520</v>
      </c>
      <c r="F5288" s="188" t="n">
        <v>2027</v>
      </c>
      <c r="G5288" s="189" t="n">
        <v>36</v>
      </c>
      <c r="H5288" s="190" t="n">
        <v>2173.27216191343</v>
      </c>
      <c r="I5288" s="191" t="n">
        <v>4403473.20221151</v>
      </c>
      <c r="J5288" s="192" t="str">
        <f>IF(I5288&gt;0,H5288/I5288,0)</f>
      </c>
      <c r="K5288" s="193" t="str">
        <f>1-EXP(-J5288)</f>
      </c>
      <c r="L5288" s="194" t="str">
        <f>IF(G5288=30,1,M5287)</f>
      </c>
      <c r="M5288" s="195" t="str">
        <f>L5288*(1-K5288)</f>
      </c>
    </row>
    <row r="5289">
      <c r="A5289" t="s">
        <v>167</v>
      </c>
      <c r="B5289" t="s">
        <v>116</v>
      </c>
      <c r="C5289" s="35" t="s">
        <v>422</v>
      </c>
      <c r="D5289" t="s">
        <v>502</v>
      </c>
      <c r="E5289" t="s">
        <v>520</v>
      </c>
      <c r="F5289" s="188" t="n">
        <v>2027</v>
      </c>
      <c r="G5289" s="189" t="n">
        <v>37</v>
      </c>
      <c r="H5289" s="190" t="n">
        <v>3299.91280500833</v>
      </c>
      <c r="I5289" s="191" t="n">
        <v>6485481.70173303</v>
      </c>
      <c r="J5289" s="192" t="str">
        <f>IF(I5289&gt;0,H5289/I5289,0)</f>
      </c>
      <c r="K5289" s="193" t="str">
        <f>1-EXP(-J5289)</f>
      </c>
      <c r="L5289" s="194" t="str">
        <f>IF(G5289=30,1,M5288)</f>
      </c>
      <c r="M5289" s="195" t="str">
        <f>L5289*(1-K5289)</f>
      </c>
    </row>
    <row r="5290">
      <c r="A5290" t="s">
        <v>167</v>
      </c>
      <c r="B5290" t="s">
        <v>116</v>
      </c>
      <c r="C5290" s="35" t="s">
        <v>422</v>
      </c>
      <c r="D5290" t="s">
        <v>502</v>
      </c>
      <c r="E5290" t="s">
        <v>520</v>
      </c>
      <c r="F5290" s="188" t="n">
        <v>2027</v>
      </c>
      <c r="G5290" s="189" t="n">
        <v>38</v>
      </c>
      <c r="H5290" s="190" t="n">
        <v>2481.23854979438</v>
      </c>
      <c r="I5290" s="191" t="n">
        <v>4365636.23214236</v>
      </c>
      <c r="J5290" s="192" t="str">
        <f>IF(I5290&gt;0,H5290/I5290,0)</f>
      </c>
      <c r="K5290" s="193" t="str">
        <f>1-EXP(-J5290)</f>
      </c>
      <c r="L5290" s="194" t="str">
        <f>IF(G5290=30,1,M5289)</f>
      </c>
      <c r="M5290" s="195" t="str">
        <f>L5290*(1-K5290)</f>
      </c>
    </row>
    <row r="5291">
      <c r="A5291" t="s">
        <v>167</v>
      </c>
      <c r="B5291" t="s">
        <v>116</v>
      </c>
      <c r="C5291" s="35" t="s">
        <v>422</v>
      </c>
      <c r="D5291" t="s">
        <v>502</v>
      </c>
      <c r="E5291" t="s">
        <v>520</v>
      </c>
      <c r="F5291" s="188" t="n">
        <v>2027</v>
      </c>
      <c r="G5291" s="189" t="n">
        <v>39</v>
      </c>
      <c r="H5291" s="190" t="n">
        <v>2657.72811452898</v>
      </c>
      <c r="I5291" s="191" t="n">
        <v>4351012.90616205</v>
      </c>
      <c r="J5291" s="192" t="str">
        <f>IF(I5291&gt;0,H5291/I5291,0)</f>
      </c>
      <c r="K5291" s="193" t="str">
        <f>1-EXP(-J5291)</f>
      </c>
      <c r="L5291" s="194" t="str">
        <f>IF(G5291=30,1,M5290)</f>
      </c>
      <c r="M5291" s="195" t="str">
        <f>L5291*(1-K5291)</f>
      </c>
    </row>
    <row r="5292">
      <c r="A5292" t="s">
        <v>167</v>
      </c>
      <c r="B5292" t="s">
        <v>116</v>
      </c>
      <c r="C5292" s="35" t="s">
        <v>422</v>
      </c>
      <c r="D5292" t="s">
        <v>502</v>
      </c>
      <c r="E5292" t="s">
        <v>520</v>
      </c>
      <c r="F5292" s="188" t="n">
        <v>2027</v>
      </c>
      <c r="G5292" s="189" t="n">
        <v>40</v>
      </c>
      <c r="H5292" s="190" t="n">
        <v>3474.54791893451</v>
      </c>
      <c r="I5292" s="191" t="n">
        <v>4220125.34602742</v>
      </c>
      <c r="J5292" s="192" t="str">
        <f>IF(I5292&gt;0,H5292/I5292,0)</f>
      </c>
      <c r="K5292" s="193" t="str">
        <f>1-EXP(-J5292)</f>
      </c>
      <c r="L5292" s="194" t="str">
        <f>IF(G5292=30,1,M5291)</f>
      </c>
      <c r="M5292" s="195" t="str">
        <f>L5292*(1-K5292)</f>
      </c>
    </row>
    <row r="5293">
      <c r="A5293" t="s">
        <v>167</v>
      </c>
      <c r="B5293" t="s">
        <v>116</v>
      </c>
      <c r="C5293" s="35" t="s">
        <v>422</v>
      </c>
      <c r="D5293" t="s">
        <v>502</v>
      </c>
      <c r="E5293" t="s">
        <v>520</v>
      </c>
      <c r="F5293" s="188" t="n">
        <v>2027</v>
      </c>
      <c r="G5293" s="189" t="n">
        <v>41</v>
      </c>
      <c r="H5293" s="190" t="n">
        <v>3732.4488702045</v>
      </c>
      <c r="I5293" s="191" t="n">
        <v>4187042.30077763</v>
      </c>
      <c r="J5293" s="192" t="str">
        <f>IF(I5293&gt;0,H5293/I5293,0)</f>
      </c>
      <c r="K5293" s="193" t="str">
        <f>1-EXP(-J5293)</f>
      </c>
      <c r="L5293" s="194" t="str">
        <f>IF(G5293=30,1,M5292)</f>
      </c>
      <c r="M5293" s="195" t="str">
        <f>L5293*(1-K5293)</f>
      </c>
    </row>
    <row r="5294">
      <c r="A5294" t="s">
        <v>167</v>
      </c>
      <c r="B5294" t="s">
        <v>116</v>
      </c>
      <c r="C5294" s="35" t="s">
        <v>422</v>
      </c>
      <c r="D5294" t="s">
        <v>502</v>
      </c>
      <c r="E5294" t="s">
        <v>520</v>
      </c>
      <c r="F5294" s="188" t="n">
        <v>2027</v>
      </c>
      <c r="G5294" s="189" t="n">
        <v>42</v>
      </c>
      <c r="H5294" s="190" t="n">
        <v>4108.8695081732</v>
      </c>
      <c r="I5294" s="191" t="n">
        <v>4249397.78036614</v>
      </c>
      <c r="J5294" s="192" t="str">
        <f>IF(I5294&gt;0,H5294/I5294,0)</f>
      </c>
      <c r="K5294" s="193" t="str">
        <f>1-EXP(-J5294)</f>
      </c>
      <c r="L5294" s="194" t="str">
        <f>IF(G5294=30,1,M5293)</f>
      </c>
      <c r="M5294" s="195" t="str">
        <f>L5294*(1-K5294)</f>
      </c>
    </row>
    <row r="5295">
      <c r="A5295" t="s">
        <v>167</v>
      </c>
      <c r="B5295" t="s">
        <v>116</v>
      </c>
      <c r="C5295" s="35" t="s">
        <v>422</v>
      </c>
      <c r="D5295" t="s">
        <v>502</v>
      </c>
      <c r="E5295" t="s">
        <v>520</v>
      </c>
      <c r="F5295" s="188" t="n">
        <v>2027</v>
      </c>
      <c r="G5295" s="189" t="n">
        <v>43</v>
      </c>
      <c r="H5295" s="190" t="n">
        <v>4559.10062197461</v>
      </c>
      <c r="I5295" s="191" t="n">
        <v>4337518.69439783</v>
      </c>
      <c r="J5295" s="192" t="str">
        <f>IF(I5295&gt;0,H5295/I5295,0)</f>
      </c>
      <c r="K5295" s="193" t="str">
        <f>1-EXP(-J5295)</f>
      </c>
      <c r="L5295" s="194" t="str">
        <f>IF(G5295=30,1,M5294)</f>
      </c>
      <c r="M5295" s="195" t="str">
        <f>L5295*(1-K5295)</f>
      </c>
    </row>
    <row r="5296">
      <c r="A5296" t="s">
        <v>167</v>
      </c>
      <c r="B5296" t="s">
        <v>116</v>
      </c>
      <c r="C5296" s="35" t="s">
        <v>422</v>
      </c>
      <c r="D5296" t="s">
        <v>502</v>
      </c>
      <c r="E5296" t="s">
        <v>520</v>
      </c>
      <c r="F5296" s="188" t="n">
        <v>2027</v>
      </c>
      <c r="G5296" s="189" t="n">
        <v>44</v>
      </c>
      <c r="H5296" s="190" t="n">
        <v>4947.48724655497</v>
      </c>
      <c r="I5296" s="191" t="n">
        <v>4316116.59212875</v>
      </c>
      <c r="J5296" s="192" t="str">
        <f>IF(I5296&gt;0,H5296/I5296,0)</f>
      </c>
      <c r="K5296" s="193" t="str">
        <f>1-EXP(-J5296)</f>
      </c>
      <c r="L5296" s="194" t="str">
        <f>IF(G5296=30,1,M5295)</f>
      </c>
      <c r="M5296" s="195" t="str">
        <f>L5296*(1-K5296)</f>
      </c>
    </row>
    <row r="5297">
      <c r="A5297" t="s">
        <v>167</v>
      </c>
      <c r="B5297" t="s">
        <v>116</v>
      </c>
      <c r="C5297" s="35" t="s">
        <v>422</v>
      </c>
      <c r="D5297" t="s">
        <v>502</v>
      </c>
      <c r="E5297" t="s">
        <v>520</v>
      </c>
      <c r="F5297" s="188" t="n">
        <v>2027</v>
      </c>
      <c r="G5297" s="189" t="n">
        <v>45</v>
      </c>
      <c r="H5297" s="190" t="n">
        <v>6212.24187175033</v>
      </c>
      <c r="I5297" s="191" t="n">
        <v>4181456.90820016</v>
      </c>
      <c r="J5297" s="192" t="str">
        <f>IF(I5297&gt;0,H5297/I5297,0)</f>
      </c>
      <c r="K5297" s="193" t="str">
        <f>1-EXP(-J5297)</f>
      </c>
      <c r="L5297" s="194" t="str">
        <f>IF(G5297=30,1,M5296)</f>
      </c>
      <c r="M5297" s="195" t="str">
        <f>L5297*(1-K5297)</f>
      </c>
    </row>
    <row r="5298">
      <c r="A5298" t="s">
        <v>167</v>
      </c>
      <c r="B5298" t="s">
        <v>116</v>
      </c>
      <c r="C5298" s="35" t="s">
        <v>422</v>
      </c>
      <c r="D5298" t="s">
        <v>502</v>
      </c>
      <c r="E5298" t="s">
        <v>520</v>
      </c>
      <c r="F5298" s="188" t="n">
        <v>2027</v>
      </c>
      <c r="G5298" s="189" t="n">
        <v>46</v>
      </c>
      <c r="H5298" s="190" t="n">
        <v>6673.10296802781</v>
      </c>
      <c r="I5298" s="191" t="n">
        <v>4108873.0422671</v>
      </c>
      <c r="J5298" s="192" t="str">
        <f>IF(I5298&gt;0,H5298/I5298,0)</f>
      </c>
      <c r="K5298" s="193" t="str">
        <f>1-EXP(-J5298)</f>
      </c>
      <c r="L5298" s="194" t="str">
        <f>IF(G5298=30,1,M5297)</f>
      </c>
      <c r="M5298" s="195" t="str">
        <f>L5298*(1-K5298)</f>
      </c>
    </row>
    <row r="5299">
      <c r="A5299" t="s">
        <v>167</v>
      </c>
      <c r="B5299" t="s">
        <v>116</v>
      </c>
      <c r="C5299" s="35" t="s">
        <v>422</v>
      </c>
      <c r="D5299" t="s">
        <v>502</v>
      </c>
      <c r="E5299" t="s">
        <v>520</v>
      </c>
      <c r="F5299" s="188" t="n">
        <v>2027</v>
      </c>
      <c r="G5299" s="189" t="n">
        <v>47</v>
      </c>
      <c r="H5299" s="190" t="n">
        <v>7215.01742690786</v>
      </c>
      <c r="I5299" s="191" t="n">
        <v>4053432.14462996</v>
      </c>
      <c r="J5299" s="192" t="str">
        <f>IF(I5299&gt;0,H5299/I5299,0)</f>
      </c>
      <c r="K5299" s="193" t="str">
        <f>1-EXP(-J5299)</f>
      </c>
      <c r="L5299" s="194" t="str">
        <f>IF(G5299=30,1,M5298)</f>
      </c>
      <c r="M5299" s="195" t="str">
        <f>L5299*(1-K5299)</f>
      </c>
    </row>
    <row r="5300">
      <c r="A5300" t="s">
        <v>167</v>
      </c>
      <c r="B5300" t="s">
        <v>116</v>
      </c>
      <c r="C5300" s="35" t="s">
        <v>422</v>
      </c>
      <c r="D5300" t="s">
        <v>502</v>
      </c>
      <c r="E5300" t="s">
        <v>520</v>
      </c>
      <c r="F5300" s="188" t="n">
        <v>2027</v>
      </c>
      <c r="G5300" s="189" t="n">
        <v>48</v>
      </c>
      <c r="H5300" s="190" t="n">
        <v>7776.52627965775</v>
      </c>
      <c r="I5300" s="191" t="n">
        <v>3992633.00341713</v>
      </c>
      <c r="J5300" s="192" t="str">
        <f>IF(I5300&gt;0,H5300/I5300,0)</f>
      </c>
      <c r="K5300" s="193" t="str">
        <f>1-EXP(-J5300)</f>
      </c>
      <c r="L5300" s="194" t="str">
        <f>IF(G5300=30,1,M5299)</f>
      </c>
      <c r="M5300" s="195" t="str">
        <f>L5300*(1-K5300)</f>
      </c>
    </row>
    <row r="5301">
      <c r="A5301" t="s">
        <v>167</v>
      </c>
      <c r="B5301" t="s">
        <v>116</v>
      </c>
      <c r="C5301" s="35" t="s">
        <v>422</v>
      </c>
      <c r="D5301" t="s">
        <v>502</v>
      </c>
      <c r="E5301" t="s">
        <v>520</v>
      </c>
      <c r="F5301" s="188" t="n">
        <v>2027</v>
      </c>
      <c r="G5301" s="189" t="n">
        <v>49</v>
      </c>
      <c r="H5301" s="190" t="n">
        <v>8330.38303141776</v>
      </c>
      <c r="I5301" s="191" t="n">
        <v>3912290.45091121</v>
      </c>
      <c r="J5301" s="192" t="str">
        <f>IF(I5301&gt;0,H5301/I5301,0)</f>
      </c>
      <c r="K5301" s="193" t="str">
        <f>1-EXP(-J5301)</f>
      </c>
      <c r="L5301" s="194" t="str">
        <f>IF(G5301=30,1,M5300)</f>
      </c>
      <c r="M5301" s="195" t="str">
        <f>L5301*(1-K5301)</f>
      </c>
    </row>
    <row r="5302">
      <c r="A5302" t="s">
        <v>167</v>
      </c>
      <c r="B5302" t="s">
        <v>116</v>
      </c>
      <c r="C5302" s="35" t="s">
        <v>422</v>
      </c>
      <c r="D5302" t="s">
        <v>502</v>
      </c>
      <c r="E5302" t="s">
        <v>520</v>
      </c>
      <c r="F5302" s="188" t="n">
        <v>2027</v>
      </c>
      <c r="G5302" s="189" t="n">
        <v>50</v>
      </c>
      <c r="H5302" s="190" t="n">
        <v>9584.6546631554</v>
      </c>
      <c r="I5302" s="191" t="n">
        <v>3849427.92086418</v>
      </c>
      <c r="J5302" s="192" t="str">
        <f>IF(I5302&gt;0,H5302/I5302,0)</f>
      </c>
      <c r="K5302" s="193" t="str">
        <f>1-EXP(-J5302)</f>
      </c>
      <c r="L5302" s="194" t="str">
        <f>IF(G5302=30,1,M5301)</f>
      </c>
      <c r="M5302" s="195" t="str">
        <f>L5302*(1-K5302)</f>
      </c>
    </row>
    <row r="5303">
      <c r="A5303" t="s">
        <v>167</v>
      </c>
      <c r="B5303" t="s">
        <v>116</v>
      </c>
      <c r="C5303" s="35" t="s">
        <v>422</v>
      </c>
      <c r="D5303" t="s">
        <v>502</v>
      </c>
      <c r="E5303" t="s">
        <v>520</v>
      </c>
      <c r="F5303" s="188" t="n">
        <v>2027</v>
      </c>
      <c r="G5303" s="189" t="n">
        <v>51</v>
      </c>
      <c r="H5303" s="190" t="n">
        <v>10279.3237078006</v>
      </c>
      <c r="I5303" s="191" t="n">
        <v>3773760.52307103</v>
      </c>
      <c r="J5303" s="192" t="str">
        <f>IF(I5303&gt;0,H5303/I5303,0)</f>
      </c>
      <c r="K5303" s="193" t="str">
        <f>1-EXP(-J5303)</f>
      </c>
      <c r="L5303" s="194" t="str">
        <f>IF(G5303=30,1,M5302)</f>
      </c>
      <c r="M5303" s="195" t="str">
        <f>L5303*(1-K5303)</f>
      </c>
    </row>
    <row r="5304">
      <c r="A5304" t="s">
        <v>167</v>
      </c>
      <c r="B5304" t="s">
        <v>116</v>
      </c>
      <c r="C5304" s="35" t="s">
        <v>422</v>
      </c>
      <c r="D5304" t="s">
        <v>502</v>
      </c>
      <c r="E5304" t="s">
        <v>520</v>
      </c>
      <c r="F5304" s="188" t="n">
        <v>2027</v>
      </c>
      <c r="G5304" s="189" t="n">
        <v>52</v>
      </c>
      <c r="H5304" s="190" t="n">
        <v>10999.6351740172</v>
      </c>
      <c r="I5304" s="191" t="n">
        <v>3698312.16133669</v>
      </c>
      <c r="J5304" s="192" t="str">
        <f>IF(I5304&gt;0,H5304/I5304,0)</f>
      </c>
      <c r="K5304" s="193" t="str">
        <f>1-EXP(-J5304)</f>
      </c>
      <c r="L5304" s="194" t="str">
        <f>IF(G5304=30,1,M5303)</f>
      </c>
      <c r="M5304" s="195" t="str">
        <f>L5304*(1-K5304)</f>
      </c>
    </row>
    <row r="5305">
      <c r="A5305" t="s">
        <v>167</v>
      </c>
      <c r="B5305" t="s">
        <v>116</v>
      </c>
      <c r="C5305" s="35" t="s">
        <v>422</v>
      </c>
      <c r="D5305" t="s">
        <v>502</v>
      </c>
      <c r="E5305" t="s">
        <v>520</v>
      </c>
      <c r="F5305" s="188" t="n">
        <v>2027</v>
      </c>
      <c r="G5305" s="189" t="n">
        <v>53</v>
      </c>
      <c r="H5305" s="190" t="n">
        <v>11668.2607045589</v>
      </c>
      <c r="I5305" s="191" t="n">
        <v>3595132.95474632</v>
      </c>
      <c r="J5305" s="192" t="str">
        <f>IF(I5305&gt;0,H5305/I5305,0)</f>
      </c>
      <c r="K5305" s="193" t="str">
        <f>1-EXP(-J5305)</f>
      </c>
      <c r="L5305" s="194" t="str">
        <f>IF(G5305=30,1,M5304)</f>
      </c>
      <c r="M5305" s="195" t="str">
        <f>L5305*(1-K5305)</f>
      </c>
    </row>
    <row r="5306">
      <c r="A5306" t="s">
        <v>167</v>
      </c>
      <c r="B5306" t="s">
        <v>116</v>
      </c>
      <c r="C5306" s="35" t="s">
        <v>422</v>
      </c>
      <c r="D5306" t="s">
        <v>502</v>
      </c>
      <c r="E5306" t="s">
        <v>520</v>
      </c>
      <c r="F5306" s="188" t="n">
        <v>2027</v>
      </c>
      <c r="G5306" s="189" t="n">
        <v>54</v>
      </c>
      <c r="H5306" s="190" t="n">
        <v>12588.4900939004</v>
      </c>
      <c r="I5306" s="191" t="n">
        <v>3553115.72055517</v>
      </c>
      <c r="J5306" s="192" t="str">
        <f>IF(I5306&gt;0,H5306/I5306,0)</f>
      </c>
      <c r="K5306" s="193" t="str">
        <f>1-EXP(-J5306)</f>
      </c>
      <c r="L5306" s="194" t="str">
        <f>IF(G5306=30,1,M5305)</f>
      </c>
      <c r="M5306" s="195" t="str">
        <f>L5306*(1-K5306)</f>
      </c>
    </row>
    <row r="5307">
      <c r="A5307" t="s">
        <v>167</v>
      </c>
      <c r="B5307" t="s">
        <v>116</v>
      </c>
      <c r="C5307" s="35" t="s">
        <v>422</v>
      </c>
      <c r="D5307" t="s">
        <v>502</v>
      </c>
      <c r="E5307" t="s">
        <v>520</v>
      </c>
      <c r="F5307" s="188" t="n">
        <v>2027</v>
      </c>
      <c r="G5307" s="189" t="n">
        <v>55</v>
      </c>
      <c r="H5307" s="190" t="n">
        <v>13165.0158235215</v>
      </c>
      <c r="I5307" s="191" t="n">
        <v>3345075.63882049</v>
      </c>
      <c r="J5307" s="192" t="str">
        <f>IF(I5307&gt;0,H5307/I5307,0)</f>
      </c>
      <c r="K5307" s="193" t="str">
        <f>1-EXP(-J5307)</f>
      </c>
      <c r="L5307" s="194" t="str">
        <f>IF(G5307=30,1,M5306)</f>
      </c>
      <c r="M5307" s="195" t="str">
        <f>L5307*(1-K5307)</f>
      </c>
    </row>
    <row r="5308">
      <c r="A5308" t="s">
        <v>167</v>
      </c>
      <c r="B5308" t="s">
        <v>116</v>
      </c>
      <c r="C5308" s="35" t="s">
        <v>422</v>
      </c>
      <c r="D5308" t="s">
        <v>502</v>
      </c>
      <c r="E5308" t="s">
        <v>520</v>
      </c>
      <c r="F5308" s="188" t="n">
        <v>2027</v>
      </c>
      <c r="G5308" s="189" t="n">
        <v>56</v>
      </c>
      <c r="H5308" s="190" t="n">
        <v>13998.1009467889</v>
      </c>
      <c r="I5308" s="191" t="n">
        <v>3259861.74743514</v>
      </c>
      <c r="J5308" s="192" t="str">
        <f>IF(I5308&gt;0,H5308/I5308,0)</f>
      </c>
      <c r="K5308" s="193" t="str">
        <f>1-EXP(-J5308)</f>
      </c>
      <c r="L5308" s="194" t="str">
        <f>IF(G5308=30,1,M5307)</f>
      </c>
      <c r="M5308" s="195" t="str">
        <f>L5308*(1-K5308)</f>
      </c>
    </row>
    <row r="5309">
      <c r="A5309" t="s">
        <v>167</v>
      </c>
      <c r="B5309" t="s">
        <v>116</v>
      </c>
      <c r="C5309" s="35" t="s">
        <v>422</v>
      </c>
      <c r="D5309" t="s">
        <v>502</v>
      </c>
      <c r="E5309" t="s">
        <v>520</v>
      </c>
      <c r="F5309" s="188" t="n">
        <v>2027</v>
      </c>
      <c r="G5309" s="189" t="n">
        <v>57</v>
      </c>
      <c r="H5309" s="190" t="n">
        <v>14928.6407215801</v>
      </c>
      <c r="I5309" s="191" t="n">
        <v>3179727.40403403</v>
      </c>
      <c r="J5309" s="192" t="str">
        <f>IF(I5309&gt;0,H5309/I5309,0)</f>
      </c>
      <c r="K5309" s="193" t="str">
        <f>1-EXP(-J5309)</f>
      </c>
      <c r="L5309" s="194" t="str">
        <f>IF(G5309=30,1,M5308)</f>
      </c>
      <c r="M5309" s="195" t="str">
        <f>L5309*(1-K5309)</f>
      </c>
    </row>
    <row r="5310">
      <c r="A5310" t="s">
        <v>167</v>
      </c>
      <c r="B5310" t="s">
        <v>116</v>
      </c>
      <c r="C5310" s="35" t="s">
        <v>422</v>
      </c>
      <c r="D5310" t="s">
        <v>502</v>
      </c>
      <c r="E5310" t="s">
        <v>520</v>
      </c>
      <c r="F5310" s="188" t="n">
        <v>2027</v>
      </c>
      <c r="G5310" s="189" t="n">
        <v>58</v>
      </c>
      <c r="H5310" s="190" t="n">
        <v>15853.6022788109</v>
      </c>
      <c r="I5310" s="191" t="n">
        <v>3090324.49976635</v>
      </c>
      <c r="J5310" s="192" t="str">
        <f>IF(I5310&gt;0,H5310/I5310,0)</f>
      </c>
      <c r="K5310" s="193" t="str">
        <f>1-EXP(-J5310)</f>
      </c>
      <c r="L5310" s="194" t="str">
        <f>IF(G5310=30,1,M5309)</f>
      </c>
      <c r="M5310" s="195" t="str">
        <f>L5310*(1-K5310)</f>
      </c>
    </row>
    <row r="5311">
      <c r="A5311" t="s">
        <v>167</v>
      </c>
      <c r="B5311" t="s">
        <v>116</v>
      </c>
      <c r="C5311" s="35" t="s">
        <v>422</v>
      </c>
      <c r="D5311" t="s">
        <v>502</v>
      </c>
      <c r="E5311" t="s">
        <v>520</v>
      </c>
      <c r="F5311" s="188" t="n">
        <v>2027</v>
      </c>
      <c r="G5311" s="189" t="n">
        <v>59</v>
      </c>
      <c r="H5311" s="190" t="n">
        <v>16712.7963559852</v>
      </c>
      <c r="I5311" s="191" t="n">
        <v>2980907.04790471</v>
      </c>
      <c r="J5311" s="192" t="str">
        <f>IF(I5311&gt;0,H5311/I5311,0)</f>
      </c>
      <c r="K5311" s="193" t="str">
        <f>1-EXP(-J5311)</f>
      </c>
      <c r="L5311" s="194" t="str">
        <f>IF(G5311=30,1,M5310)</f>
      </c>
      <c r="M5311" s="195" t="str">
        <f>L5311*(1-K5311)</f>
      </c>
    </row>
    <row r="5312">
      <c r="A5312" t="s">
        <v>167</v>
      </c>
      <c r="B5312" t="s">
        <v>116</v>
      </c>
      <c r="C5312" s="35" t="s">
        <v>422</v>
      </c>
      <c r="D5312" t="s">
        <v>502</v>
      </c>
      <c r="E5312" t="s">
        <v>520</v>
      </c>
      <c r="F5312" s="188" t="n">
        <v>2027</v>
      </c>
      <c r="G5312" s="189" t="n">
        <v>60</v>
      </c>
      <c r="H5312" s="190" t="n">
        <v>17856.4985766672</v>
      </c>
      <c r="I5312" s="191" t="n">
        <v>2839867.67372037</v>
      </c>
      <c r="J5312" s="192" t="str">
        <f>IF(I5312&gt;0,H5312/I5312,0)</f>
      </c>
      <c r="K5312" s="193" t="str">
        <f>1-EXP(-J5312)</f>
      </c>
      <c r="L5312" s="194" t="str">
        <f>IF(G5312=30,1,M5311)</f>
      </c>
      <c r="M5312" s="195" t="str">
        <f>L5312*(1-K5312)</f>
      </c>
    </row>
    <row r="5313">
      <c r="A5313" t="s">
        <v>167</v>
      </c>
      <c r="B5313" t="s">
        <v>116</v>
      </c>
      <c r="C5313" s="35" t="s">
        <v>422</v>
      </c>
      <c r="D5313" t="s">
        <v>502</v>
      </c>
      <c r="E5313" t="s">
        <v>520</v>
      </c>
      <c r="F5313" s="188" t="n">
        <v>2027</v>
      </c>
      <c r="G5313" s="189" t="n">
        <v>61</v>
      </c>
      <c r="H5313" s="190" t="n">
        <v>18920.3438727252</v>
      </c>
      <c r="I5313" s="191" t="n">
        <v>2735307.55092668</v>
      </c>
      <c r="J5313" s="192" t="str">
        <f>IF(I5313&gt;0,H5313/I5313,0)</f>
      </c>
      <c r="K5313" s="193" t="str">
        <f>1-EXP(-J5313)</f>
      </c>
      <c r="L5313" s="194" t="str">
        <f>IF(G5313=30,1,M5312)</f>
      </c>
      <c r="M5313" s="195" t="str">
        <f>L5313*(1-K5313)</f>
      </c>
    </row>
    <row r="5314">
      <c r="A5314" t="s">
        <v>167</v>
      </c>
      <c r="B5314" t="s">
        <v>116</v>
      </c>
      <c r="C5314" s="35" t="s">
        <v>422</v>
      </c>
      <c r="D5314" t="s">
        <v>502</v>
      </c>
      <c r="E5314" t="s">
        <v>520</v>
      </c>
      <c r="F5314" s="188" t="n">
        <v>2027</v>
      </c>
      <c r="G5314" s="189" t="n">
        <v>62</v>
      </c>
      <c r="H5314" s="190" t="n">
        <v>19742.36601323</v>
      </c>
      <c r="I5314" s="191" t="n">
        <v>2609270.75577084</v>
      </c>
      <c r="J5314" s="192" t="str">
        <f>IF(I5314&gt;0,H5314/I5314,0)</f>
      </c>
      <c r="K5314" s="193" t="str">
        <f>1-EXP(-J5314)</f>
      </c>
      <c r="L5314" s="194" t="str">
        <f>IF(G5314=30,1,M5313)</f>
      </c>
      <c r="M5314" s="195" t="str">
        <f>L5314*(1-K5314)</f>
      </c>
    </row>
    <row r="5315">
      <c r="A5315" t="s">
        <v>167</v>
      </c>
      <c r="B5315" t="s">
        <v>116</v>
      </c>
      <c r="C5315" s="35" t="s">
        <v>422</v>
      </c>
      <c r="D5315" t="s">
        <v>502</v>
      </c>
      <c r="E5315" t="s">
        <v>520</v>
      </c>
      <c r="F5315" s="188" t="n">
        <v>2027</v>
      </c>
      <c r="G5315" s="189" t="n">
        <v>63</v>
      </c>
      <c r="H5315" s="190" t="n">
        <v>20561.2208548975</v>
      </c>
      <c r="I5315" s="191" t="n">
        <v>2483511.35992647</v>
      </c>
      <c r="J5315" s="192" t="str">
        <f>IF(I5315&gt;0,H5315/I5315,0)</f>
      </c>
      <c r="K5315" s="193" t="str">
        <f>1-EXP(-J5315)</f>
      </c>
      <c r="L5315" s="194" t="str">
        <f>IF(G5315=30,1,M5314)</f>
      </c>
      <c r="M5315" s="195" t="str">
        <f>L5315*(1-K5315)</f>
      </c>
    </row>
    <row r="5316">
      <c r="A5316" t="s">
        <v>167</v>
      </c>
      <c r="B5316" t="s">
        <v>116</v>
      </c>
      <c r="C5316" s="35" t="s">
        <v>422</v>
      </c>
      <c r="D5316" t="s">
        <v>502</v>
      </c>
      <c r="E5316" t="s">
        <v>520</v>
      </c>
      <c r="F5316" s="188" t="n">
        <v>2027</v>
      </c>
      <c r="G5316" s="189" t="n">
        <v>64</v>
      </c>
      <c r="H5316" s="190" t="n">
        <v>21416.2200669286</v>
      </c>
      <c r="I5316" s="191" t="n">
        <v>2362732.73858013</v>
      </c>
      <c r="J5316" s="192" t="str">
        <f>IF(I5316&gt;0,H5316/I5316,0)</f>
      </c>
      <c r="K5316" s="193" t="str">
        <f>1-EXP(-J5316)</f>
      </c>
      <c r="L5316" s="194" t="str">
        <f>IF(G5316=30,1,M5315)</f>
      </c>
      <c r="M5316" s="195" t="str">
        <f>L5316*(1-K5316)</f>
      </c>
    </row>
    <row r="5317">
      <c r="A5317" t="s">
        <v>167</v>
      </c>
      <c r="B5317" t="s">
        <v>116</v>
      </c>
      <c r="C5317" s="35" t="s">
        <v>422</v>
      </c>
      <c r="D5317" t="s">
        <v>502</v>
      </c>
      <c r="E5317" t="s">
        <v>520</v>
      </c>
      <c r="F5317" s="188" t="n">
        <v>2027</v>
      </c>
      <c r="G5317" s="189" t="n">
        <v>65</v>
      </c>
      <c r="H5317" s="190" t="n">
        <v>21528.8070799375</v>
      </c>
      <c r="I5317" s="191" t="n">
        <v>2216246.09034226</v>
      </c>
      <c r="J5317" s="192" t="str">
        <f>IF(I5317&gt;0,H5317/I5317,0)</f>
      </c>
      <c r="K5317" s="193" t="str">
        <f>1-EXP(-J5317)</f>
      </c>
      <c r="L5317" s="194" t="str">
        <f>IF(G5317=30,1,M5316)</f>
      </c>
      <c r="M5317" s="195" t="str">
        <f>L5317*(1-K5317)</f>
      </c>
    </row>
    <row r="5318">
      <c r="A5318" t="s">
        <v>167</v>
      </c>
      <c r="B5318" t="s">
        <v>116</v>
      </c>
      <c r="C5318" s="35" t="s">
        <v>422</v>
      </c>
      <c r="D5318" t="s">
        <v>502</v>
      </c>
      <c r="E5318" t="s">
        <v>520</v>
      </c>
      <c r="F5318" s="188" t="n">
        <v>2027</v>
      </c>
      <c r="G5318" s="189" t="n">
        <v>66</v>
      </c>
      <c r="H5318" s="190" t="n">
        <v>22295.7794534166</v>
      </c>
      <c r="I5318" s="191" t="n">
        <v>2095083.27013717</v>
      </c>
      <c r="J5318" s="192" t="str">
        <f>IF(I5318&gt;0,H5318/I5318,0)</f>
      </c>
      <c r="K5318" s="193" t="str">
        <f>1-EXP(-J5318)</f>
      </c>
      <c r="L5318" s="194" t="str">
        <f>IF(G5318=30,1,M5317)</f>
      </c>
      <c r="M5318" s="195" t="str">
        <f>L5318*(1-K5318)</f>
      </c>
    </row>
    <row r="5319">
      <c r="A5319" t="s">
        <v>167</v>
      </c>
      <c r="B5319" t="s">
        <v>116</v>
      </c>
      <c r="C5319" s="35" t="s">
        <v>422</v>
      </c>
      <c r="D5319" t="s">
        <v>502</v>
      </c>
      <c r="E5319" t="s">
        <v>520</v>
      </c>
      <c r="F5319" s="188" t="n">
        <v>2027</v>
      </c>
      <c r="G5319" s="189" t="n">
        <v>67</v>
      </c>
      <c r="H5319" s="190" t="n">
        <v>22992.0694641347</v>
      </c>
      <c r="I5319" s="191" t="n">
        <v>1969920.88488935</v>
      </c>
      <c r="J5319" s="192" t="str">
        <f>IF(I5319&gt;0,H5319/I5319,0)</f>
      </c>
      <c r="K5319" s="193" t="str">
        <f>1-EXP(-J5319)</f>
      </c>
      <c r="L5319" s="194" t="str">
        <f>IF(G5319=30,1,M5318)</f>
      </c>
      <c r="M5319" s="195" t="str">
        <f>L5319*(1-K5319)</f>
      </c>
    </row>
    <row r="5320">
      <c r="A5320" t="s">
        <v>167</v>
      </c>
      <c r="B5320" t="s">
        <v>116</v>
      </c>
      <c r="C5320" s="35" t="s">
        <v>422</v>
      </c>
      <c r="D5320" t="s">
        <v>502</v>
      </c>
      <c r="E5320" t="s">
        <v>520</v>
      </c>
      <c r="F5320" s="188" t="n">
        <v>2027</v>
      </c>
      <c r="G5320" s="189" t="n">
        <v>68</v>
      </c>
      <c r="H5320" s="190" t="n">
        <v>23543.8251538575</v>
      </c>
      <c r="I5320" s="191" t="n">
        <v>1838879.3184865</v>
      </c>
      <c r="J5320" s="192" t="str">
        <f>IF(I5320&gt;0,H5320/I5320,0)</f>
      </c>
      <c r="K5320" s="193" t="str">
        <f>1-EXP(-J5320)</f>
      </c>
      <c r="L5320" s="194" t="str">
        <f>IF(G5320=30,1,M5319)</f>
      </c>
      <c r="M5320" s="195" t="str">
        <f>L5320*(1-K5320)</f>
      </c>
    </row>
    <row r="5321">
      <c r="A5321" t="s">
        <v>167</v>
      </c>
      <c r="B5321" t="s">
        <v>116</v>
      </c>
      <c r="C5321" s="35" t="s">
        <v>422</v>
      </c>
      <c r="D5321" t="s">
        <v>502</v>
      </c>
      <c r="E5321" t="s">
        <v>520</v>
      </c>
      <c r="F5321" s="188" t="n">
        <v>2027</v>
      </c>
      <c r="G5321" s="189" t="n">
        <v>69</v>
      </c>
      <c r="H5321" s="190" t="n">
        <v>24041.6916009658</v>
      </c>
      <c r="I5321" s="191" t="n">
        <v>1710394.70711673</v>
      </c>
      <c r="J5321" s="192" t="str">
        <f>IF(I5321&gt;0,H5321/I5321,0)</f>
      </c>
      <c r="K5321" s="193" t="str">
        <f>1-EXP(-J5321)</f>
      </c>
      <c r="L5321" s="194" t="str">
        <f>IF(G5321=30,1,M5320)</f>
      </c>
      <c r="M5321" s="195" t="str">
        <f>L5321*(1-K5321)</f>
      </c>
    </row>
    <row r="5322">
      <c r="A5322" t="s">
        <v>167</v>
      </c>
      <c r="B5322" t="s">
        <v>116</v>
      </c>
      <c r="C5322" s="35" t="s">
        <v>422</v>
      </c>
      <c r="D5322" t="s">
        <v>502</v>
      </c>
      <c r="E5322" t="s">
        <v>520</v>
      </c>
      <c r="F5322" s="188" t="n">
        <v>2028</v>
      </c>
      <c r="G5322" s="189" t="n">
        <v>30</v>
      </c>
      <c r="H5322" s="190" t="n">
        <v>946.153624904998</v>
      </c>
      <c r="I5322" s="191" t="n">
        <v>4420077.04658791</v>
      </c>
      <c r="J5322" s="192" t="str">
        <f>IF(I5322&gt;0,H5322/I5322,0)</f>
      </c>
      <c r="K5322" s="193" t="str">
        <f>1-EXP(-J5322)</f>
      </c>
      <c r="L5322" s="194" t="str">
        <f>IF(G5322=30,1,M5321)</f>
      </c>
      <c r="M5322" s="195" t="str">
        <f>L5322*(1-K5322)</f>
      </c>
    </row>
    <row r="5323">
      <c r="A5323" t="s">
        <v>167</v>
      </c>
      <c r="B5323" t="s">
        <v>116</v>
      </c>
      <c r="C5323" s="35" t="s">
        <v>422</v>
      </c>
      <c r="D5323" t="s">
        <v>502</v>
      </c>
      <c r="E5323" t="s">
        <v>520</v>
      </c>
      <c r="F5323" s="188" t="n">
        <v>2028</v>
      </c>
      <c r="G5323" s="189" t="n">
        <v>31</v>
      </c>
      <c r="H5323" s="190" t="n">
        <v>1289.6602451568</v>
      </c>
      <c r="I5323" s="191" t="n">
        <v>4561990.6181084</v>
      </c>
      <c r="J5323" s="192" t="str">
        <f>IF(I5323&gt;0,H5323/I5323,0)</f>
      </c>
      <c r="K5323" s="193" t="str">
        <f>1-EXP(-J5323)</f>
      </c>
      <c r="L5323" s="194" t="str">
        <f>IF(G5323=30,1,M5322)</f>
      </c>
      <c r="M5323" s="195" t="str">
        <f>L5323*(1-K5323)</f>
      </c>
    </row>
    <row r="5324">
      <c r="A5324" t="s">
        <v>167</v>
      </c>
      <c r="B5324" t="s">
        <v>116</v>
      </c>
      <c r="C5324" s="35" t="s">
        <v>422</v>
      </c>
      <c r="D5324" t="s">
        <v>502</v>
      </c>
      <c r="E5324" t="s">
        <v>520</v>
      </c>
      <c r="F5324" s="188" t="n">
        <v>2028</v>
      </c>
      <c r="G5324" s="189" t="n">
        <v>32</v>
      </c>
      <c r="H5324" s="190" t="n">
        <v>1338.83750567769</v>
      </c>
      <c r="I5324" s="191" t="n">
        <v>4519644.1138666</v>
      </c>
      <c r="J5324" s="192" t="str">
        <f>IF(I5324&gt;0,H5324/I5324,0)</f>
      </c>
      <c r="K5324" s="193" t="str">
        <f>1-EXP(-J5324)</f>
      </c>
      <c r="L5324" s="194" t="str">
        <f>IF(G5324=30,1,M5323)</f>
      </c>
      <c r="M5324" s="195" t="str">
        <f>L5324*(1-K5324)</f>
      </c>
    </row>
    <row r="5325">
      <c r="A5325" t="s">
        <v>167</v>
      </c>
      <c r="B5325" t="s">
        <v>116</v>
      </c>
      <c r="C5325" s="35" t="s">
        <v>422</v>
      </c>
      <c r="D5325" t="s">
        <v>502</v>
      </c>
      <c r="E5325" t="s">
        <v>520</v>
      </c>
      <c r="F5325" s="188" t="n">
        <v>2028</v>
      </c>
      <c r="G5325" s="189" t="n">
        <v>33</v>
      </c>
      <c r="H5325" s="190" t="n">
        <v>1389.22791393015</v>
      </c>
      <c r="I5325" s="191" t="n">
        <v>4447096.87896714</v>
      </c>
      <c r="J5325" s="192" t="str">
        <f>IF(I5325&gt;0,H5325/I5325,0)</f>
      </c>
      <c r="K5325" s="193" t="str">
        <f>1-EXP(-J5325)</f>
      </c>
      <c r="L5325" s="194" t="str">
        <f>IF(G5325=30,1,M5324)</f>
      </c>
      <c r="M5325" s="195" t="str">
        <f>L5325*(1-K5325)</f>
      </c>
    </row>
    <row r="5326">
      <c r="A5326" t="s">
        <v>167</v>
      </c>
      <c r="B5326" t="s">
        <v>116</v>
      </c>
      <c r="C5326" s="35" t="s">
        <v>422</v>
      </c>
      <c r="D5326" t="s">
        <v>502</v>
      </c>
      <c r="E5326" t="s">
        <v>520</v>
      </c>
      <c r="F5326" s="188" t="n">
        <v>2028</v>
      </c>
      <c r="G5326" s="189" t="n">
        <v>34</v>
      </c>
      <c r="H5326" s="190" t="n">
        <v>1452.78542035537</v>
      </c>
      <c r="I5326" s="191" t="n">
        <v>4390475.51555154</v>
      </c>
      <c r="J5326" s="192" t="str">
        <f>IF(I5326&gt;0,H5326/I5326,0)</f>
      </c>
      <c r="K5326" s="193" t="str">
        <f>1-EXP(-J5326)</f>
      </c>
      <c r="L5326" s="194" t="str">
        <f>IF(G5326=30,1,M5325)</f>
      </c>
      <c r="M5326" s="195" t="str">
        <f>L5326*(1-K5326)</f>
      </c>
    </row>
    <row r="5327">
      <c r="A5327" t="s">
        <v>167</v>
      </c>
      <c r="B5327" t="s">
        <v>116</v>
      </c>
      <c r="C5327" s="35" t="s">
        <v>422</v>
      </c>
      <c r="D5327" t="s">
        <v>502</v>
      </c>
      <c r="E5327" t="s">
        <v>520</v>
      </c>
      <c r="F5327" s="188" t="n">
        <v>2028</v>
      </c>
      <c r="G5327" s="189" t="n">
        <v>35</v>
      </c>
      <c r="H5327" s="190" t="n">
        <v>1965.60466173546</v>
      </c>
      <c r="I5327" s="191" t="n">
        <v>4337570.07834258</v>
      </c>
      <c r="J5327" s="192" t="str">
        <f>IF(I5327&gt;0,H5327/I5327,0)</f>
      </c>
      <c r="K5327" s="193" t="str">
        <f>1-EXP(-J5327)</f>
      </c>
      <c r="L5327" s="194" t="str">
        <f>IF(G5327=30,1,M5326)</f>
      </c>
      <c r="M5327" s="195" t="str">
        <f>L5327*(1-K5327)</f>
      </c>
    </row>
    <row r="5328">
      <c r="A5328" t="s">
        <v>167</v>
      </c>
      <c r="B5328" t="s">
        <v>116</v>
      </c>
      <c r="C5328" s="35" t="s">
        <v>422</v>
      </c>
      <c r="D5328" t="s">
        <v>502</v>
      </c>
      <c r="E5328" t="s">
        <v>520</v>
      </c>
      <c r="F5328" s="188" t="n">
        <v>2028</v>
      </c>
      <c r="G5328" s="189" t="n">
        <v>36</v>
      </c>
      <c r="H5328" s="190" t="n">
        <v>2111.29618786187</v>
      </c>
      <c r="I5328" s="191" t="n">
        <v>4375991.02293906</v>
      </c>
      <c r="J5328" s="192" t="str">
        <f>IF(I5328&gt;0,H5328/I5328,0)</f>
      </c>
      <c r="K5328" s="193" t="str">
        <f>1-EXP(-J5328)</f>
      </c>
      <c r="L5328" s="194" t="str">
        <f>IF(G5328=30,1,M5327)</f>
      </c>
      <c r="M5328" s="195" t="str">
        <f>L5328*(1-K5328)</f>
      </c>
    </row>
    <row r="5329">
      <c r="A5329" t="s">
        <v>167</v>
      </c>
      <c r="B5329" t="s">
        <v>116</v>
      </c>
      <c r="C5329" s="35" t="s">
        <v>422</v>
      </c>
      <c r="D5329" t="s">
        <v>502</v>
      </c>
      <c r="E5329" t="s">
        <v>520</v>
      </c>
      <c r="F5329" s="188" t="n">
        <v>2028</v>
      </c>
      <c r="G5329" s="189" t="n">
        <v>37</v>
      </c>
      <c r="H5329" s="190" t="n">
        <v>2276.71451714134</v>
      </c>
      <c r="I5329" s="191" t="n">
        <v>4395238.36433185</v>
      </c>
      <c r="J5329" s="192" t="str">
        <f>IF(I5329&gt;0,H5329/I5329,0)</f>
      </c>
      <c r="K5329" s="193" t="str">
        <f>1-EXP(-J5329)</f>
      </c>
      <c r="L5329" s="194" t="str">
        <f>IF(G5329=30,1,M5328)</f>
      </c>
      <c r="M5329" s="195" t="str">
        <f>L5329*(1-K5329)</f>
      </c>
    </row>
    <row r="5330">
      <c r="A5330" t="s">
        <v>167</v>
      </c>
      <c r="B5330" t="s">
        <v>116</v>
      </c>
      <c r="C5330" s="35" t="s">
        <v>422</v>
      </c>
      <c r="D5330" t="s">
        <v>502</v>
      </c>
      <c r="E5330" t="s">
        <v>520</v>
      </c>
      <c r="F5330" s="188" t="n">
        <v>2028</v>
      </c>
      <c r="G5330" s="189" t="n">
        <v>38</v>
      </c>
      <c r="H5330" s="190" t="n">
        <v>3458.85353703839</v>
      </c>
      <c r="I5330" s="191" t="n">
        <v>6472941.6476477</v>
      </c>
      <c r="J5330" s="192" t="str">
        <f>IF(I5330&gt;0,H5330/I5330,0)</f>
      </c>
      <c r="K5330" s="193" t="str">
        <f>1-EXP(-J5330)</f>
      </c>
      <c r="L5330" s="194" t="str">
        <f>IF(G5330=30,1,M5329)</f>
      </c>
      <c r="M5330" s="195" t="str">
        <f>L5330*(1-K5330)</f>
      </c>
    </row>
    <row r="5331">
      <c r="A5331" t="s">
        <v>167</v>
      </c>
      <c r="B5331" t="s">
        <v>116</v>
      </c>
      <c r="C5331" s="35" t="s">
        <v>422</v>
      </c>
      <c r="D5331" t="s">
        <v>502</v>
      </c>
      <c r="E5331" t="s">
        <v>520</v>
      </c>
      <c r="F5331" s="188" t="n">
        <v>2028</v>
      </c>
      <c r="G5331" s="189" t="n">
        <v>39</v>
      </c>
      <c r="H5331" s="190" t="n">
        <v>2609.3429084013</v>
      </c>
      <c r="I5331" s="191" t="n">
        <v>4356272.4975734</v>
      </c>
      <c r="J5331" s="192" t="str">
        <f>IF(I5331&gt;0,H5331/I5331,0)</f>
      </c>
      <c r="K5331" s="193" t="str">
        <f>1-EXP(-J5331)</f>
      </c>
      <c r="L5331" s="194" t="str">
        <f>IF(G5331=30,1,M5330)</f>
      </c>
      <c r="M5331" s="195" t="str">
        <f>L5331*(1-K5331)</f>
      </c>
    </row>
    <row r="5332">
      <c r="A5332" t="s">
        <v>167</v>
      </c>
      <c r="B5332" t="s">
        <v>116</v>
      </c>
      <c r="C5332" s="35" t="s">
        <v>422</v>
      </c>
      <c r="D5332" t="s">
        <v>502</v>
      </c>
      <c r="E5332" t="s">
        <v>520</v>
      </c>
      <c r="F5332" s="188" t="n">
        <v>2028</v>
      </c>
      <c r="G5332" s="189" t="n">
        <v>40</v>
      </c>
      <c r="H5332" s="190" t="n">
        <v>3502.12068302581</v>
      </c>
      <c r="I5332" s="191" t="n">
        <v>4340993.49123805</v>
      </c>
      <c r="J5332" s="192" t="str">
        <f>IF(I5332&gt;0,H5332/I5332,0)</f>
      </c>
      <c r="K5332" s="193" t="str">
        <f>1-EXP(-J5332)</f>
      </c>
      <c r="L5332" s="194" t="str">
        <f>IF(G5332=30,1,M5331)</f>
      </c>
      <c r="M5332" s="195" t="str">
        <f>L5332*(1-K5332)</f>
      </c>
    </row>
    <row r="5333">
      <c r="A5333" t="s">
        <v>167</v>
      </c>
      <c r="B5333" t="s">
        <v>116</v>
      </c>
      <c r="C5333" s="35" t="s">
        <v>422</v>
      </c>
      <c r="D5333" t="s">
        <v>502</v>
      </c>
      <c r="E5333" t="s">
        <v>520</v>
      </c>
      <c r="F5333" s="188" t="n">
        <v>2028</v>
      </c>
      <c r="G5333" s="189" t="n">
        <v>41</v>
      </c>
      <c r="H5333" s="190" t="n">
        <v>3682.06267237664</v>
      </c>
      <c r="I5333" s="191" t="n">
        <v>4208874.94927392</v>
      </c>
      <c r="J5333" s="192" t="str">
        <f>IF(I5333&gt;0,H5333/I5333,0)</f>
      </c>
      <c r="K5333" s="193" t="str">
        <f>1-EXP(-J5333)</f>
      </c>
      <c r="L5333" s="194" t="str">
        <f>IF(G5333=30,1,M5332)</f>
      </c>
      <c r="M5333" s="195" t="str">
        <f>L5333*(1-K5333)</f>
      </c>
    </row>
    <row r="5334">
      <c r="A5334" t="s">
        <v>167</v>
      </c>
      <c r="B5334" t="s">
        <v>116</v>
      </c>
      <c r="C5334" s="35" t="s">
        <v>422</v>
      </c>
      <c r="D5334" t="s">
        <v>502</v>
      </c>
      <c r="E5334" t="s">
        <v>520</v>
      </c>
      <c r="F5334" s="188" t="n">
        <v>2028</v>
      </c>
      <c r="G5334" s="189" t="n">
        <v>42</v>
      </c>
      <c r="H5334" s="190" t="n">
        <v>3964.4343720979</v>
      </c>
      <c r="I5334" s="191" t="n">
        <v>4175817.31507754</v>
      </c>
      <c r="J5334" s="192" t="str">
        <f>IF(I5334&gt;0,H5334/I5334,0)</f>
      </c>
      <c r="K5334" s="193" t="str">
        <f>1-EXP(-J5334)</f>
      </c>
      <c r="L5334" s="194" t="str">
        <f>IF(G5334=30,1,M5333)</f>
      </c>
      <c r="M5334" s="195" t="str">
        <f>L5334*(1-K5334)</f>
      </c>
    </row>
    <row r="5335">
      <c r="A5335" t="s">
        <v>167</v>
      </c>
      <c r="B5335" t="s">
        <v>116</v>
      </c>
      <c r="C5335" s="35" t="s">
        <v>422</v>
      </c>
      <c r="D5335" t="s">
        <v>502</v>
      </c>
      <c r="E5335" t="s">
        <v>520</v>
      </c>
      <c r="F5335" s="188" t="n">
        <v>2028</v>
      </c>
      <c r="G5335" s="189" t="n">
        <v>43</v>
      </c>
      <c r="H5335" s="190" t="n">
        <v>4380.87441451301</v>
      </c>
      <c r="I5335" s="191" t="n">
        <v>4237079.48045448</v>
      </c>
      <c r="J5335" s="192" t="str">
        <f>IF(I5335&gt;0,H5335/I5335,0)</f>
      </c>
      <c r="K5335" s="193" t="str">
        <f>1-EXP(-J5335)</f>
      </c>
      <c r="L5335" s="194" t="str">
        <f>IF(G5335=30,1,M5334)</f>
      </c>
      <c r="M5335" s="195" t="str">
        <f>L5335*(1-K5335)</f>
      </c>
    </row>
    <row r="5336">
      <c r="A5336" t="s">
        <v>167</v>
      </c>
      <c r="B5336" t="s">
        <v>116</v>
      </c>
      <c r="C5336" s="35" t="s">
        <v>422</v>
      </c>
      <c r="D5336" t="s">
        <v>502</v>
      </c>
      <c r="E5336" t="s">
        <v>520</v>
      </c>
      <c r="F5336" s="188" t="n">
        <v>2028</v>
      </c>
      <c r="G5336" s="189" t="n">
        <v>44</v>
      </c>
      <c r="H5336" s="190" t="n">
        <v>4877.45811032304</v>
      </c>
      <c r="I5336" s="191" t="n">
        <v>4323883.54526481</v>
      </c>
      <c r="J5336" s="192" t="str">
        <f>IF(I5336&gt;0,H5336/I5336,0)</f>
      </c>
      <c r="K5336" s="193" t="str">
        <f>1-EXP(-J5336)</f>
      </c>
      <c r="L5336" s="194" t="str">
        <f>IF(G5336=30,1,M5335)</f>
      </c>
      <c r="M5336" s="195" t="str">
        <f>L5336*(1-K5336)</f>
      </c>
    </row>
    <row r="5337">
      <c r="A5337" t="s">
        <v>167</v>
      </c>
      <c r="B5337" t="s">
        <v>116</v>
      </c>
      <c r="C5337" s="35" t="s">
        <v>422</v>
      </c>
      <c r="D5337" t="s">
        <v>502</v>
      </c>
      <c r="E5337" t="s">
        <v>520</v>
      </c>
      <c r="F5337" s="188" t="n">
        <v>2028</v>
      </c>
      <c r="G5337" s="189" t="n">
        <v>45</v>
      </c>
      <c r="H5337" s="190" t="n">
        <v>6283.4849244175</v>
      </c>
      <c r="I5337" s="191" t="n">
        <v>4301352.09535528</v>
      </c>
      <c r="J5337" s="192" t="str">
        <f>IF(I5337&gt;0,H5337/I5337,0)</f>
      </c>
      <c r="K5337" s="193" t="str">
        <f>1-EXP(-J5337)</f>
      </c>
      <c r="L5337" s="194" t="str">
        <f>IF(G5337=30,1,M5336)</f>
      </c>
      <c r="M5337" s="195" t="str">
        <f>L5337*(1-K5337)</f>
      </c>
    </row>
    <row r="5338">
      <c r="A5338" t="s">
        <v>167</v>
      </c>
      <c r="B5338" t="s">
        <v>116</v>
      </c>
      <c r="C5338" s="35" t="s">
        <v>422</v>
      </c>
      <c r="D5338" t="s">
        <v>502</v>
      </c>
      <c r="E5338" t="s">
        <v>520</v>
      </c>
      <c r="F5338" s="188" t="n">
        <v>2028</v>
      </c>
      <c r="G5338" s="189" t="n">
        <v>46</v>
      </c>
      <c r="H5338" s="190" t="n">
        <v>6648.89259770675</v>
      </c>
      <c r="I5338" s="191" t="n">
        <v>4164798.91036573</v>
      </c>
      <c r="J5338" s="192" t="str">
        <f>IF(I5338&gt;0,H5338/I5338,0)</f>
      </c>
      <c r="K5338" s="193" t="str">
        <f>1-EXP(-J5338)</f>
      </c>
      <c r="L5338" s="194" t="str">
        <f>IF(G5338=30,1,M5337)</f>
      </c>
      <c r="M5338" s="195" t="str">
        <f>L5338*(1-K5338)</f>
      </c>
    </row>
    <row r="5339">
      <c r="A5339" t="s">
        <v>167</v>
      </c>
      <c r="B5339" t="s">
        <v>116</v>
      </c>
      <c r="C5339" s="35" t="s">
        <v>422</v>
      </c>
      <c r="D5339" t="s">
        <v>502</v>
      </c>
      <c r="E5339" t="s">
        <v>520</v>
      </c>
      <c r="F5339" s="188" t="n">
        <v>2028</v>
      </c>
      <c r="G5339" s="189" t="n">
        <v>47</v>
      </c>
      <c r="H5339" s="190" t="n">
        <v>7164.03574673879</v>
      </c>
      <c r="I5339" s="191" t="n">
        <v>4092022.03619346</v>
      </c>
      <c r="J5339" s="192" t="str">
        <f>IF(I5339&gt;0,H5339/I5339,0)</f>
      </c>
      <c r="K5339" s="193" t="str">
        <f>1-EXP(-J5339)</f>
      </c>
      <c r="L5339" s="194" t="str">
        <f>IF(G5339=30,1,M5338)</f>
      </c>
      <c r="M5339" s="195" t="str">
        <f>L5339*(1-K5339)</f>
      </c>
    </row>
    <row r="5340">
      <c r="A5340" t="s">
        <v>167</v>
      </c>
      <c r="B5340" t="s">
        <v>116</v>
      </c>
      <c r="C5340" s="35" t="s">
        <v>422</v>
      </c>
      <c r="D5340" t="s">
        <v>502</v>
      </c>
      <c r="E5340" t="s">
        <v>520</v>
      </c>
      <c r="F5340" s="188" t="n">
        <v>2028</v>
      </c>
      <c r="G5340" s="189" t="n">
        <v>48</v>
      </c>
      <c r="H5340" s="190" t="n">
        <v>7742.90220646974</v>
      </c>
      <c r="I5340" s="191" t="n">
        <v>4035230.69593671</v>
      </c>
      <c r="J5340" s="192" t="str">
        <f>IF(I5340&gt;0,H5340/I5340,0)</f>
      </c>
      <c r="K5340" s="193" t="str">
        <f>1-EXP(-J5340)</f>
      </c>
      <c r="L5340" s="194" t="str">
        <f>IF(G5340=30,1,M5339)</f>
      </c>
      <c r="M5340" s="195" t="str">
        <f>L5340*(1-K5340)</f>
      </c>
    </row>
    <row r="5341">
      <c r="A5341" t="s">
        <v>167</v>
      </c>
      <c r="B5341" t="s">
        <v>116</v>
      </c>
      <c r="C5341" s="35" t="s">
        <v>422</v>
      </c>
      <c r="D5341" t="s">
        <v>502</v>
      </c>
      <c r="E5341" t="s">
        <v>520</v>
      </c>
      <c r="F5341" s="188" t="n">
        <v>2028</v>
      </c>
      <c r="G5341" s="189" t="n">
        <v>49</v>
      </c>
      <c r="H5341" s="190" t="n">
        <v>8339.97667297862</v>
      </c>
      <c r="I5341" s="191" t="n">
        <v>3973014.66597182</v>
      </c>
      <c r="J5341" s="192" t="str">
        <f>IF(I5341&gt;0,H5341/I5341,0)</f>
      </c>
      <c r="K5341" s="193" t="str">
        <f>1-EXP(-J5341)</f>
      </c>
      <c r="L5341" s="194" t="str">
        <f>IF(G5341=30,1,M5340)</f>
      </c>
      <c r="M5341" s="195" t="str">
        <f>L5341*(1-K5341)</f>
      </c>
    </row>
    <row r="5342">
      <c r="A5342" t="s">
        <v>167</v>
      </c>
      <c r="B5342" t="s">
        <v>116</v>
      </c>
      <c r="C5342" s="35" t="s">
        <v>422</v>
      </c>
      <c r="D5342" t="s">
        <v>502</v>
      </c>
      <c r="E5342" t="s">
        <v>520</v>
      </c>
      <c r="F5342" s="188" t="n">
        <v>2028</v>
      </c>
      <c r="G5342" s="189" t="n">
        <v>50</v>
      </c>
      <c r="H5342" s="190" t="n">
        <v>9534.40359422605</v>
      </c>
      <c r="I5342" s="191" t="n">
        <v>3891270.95927548</v>
      </c>
      <c r="J5342" s="192" t="str">
        <f>IF(I5342&gt;0,H5342/I5342,0)</f>
      </c>
      <c r="K5342" s="193" t="str">
        <f>1-EXP(-J5342)</f>
      </c>
      <c r="L5342" s="194" t="str">
        <f>IF(G5342=30,1,M5341)</f>
      </c>
      <c r="M5342" s="195" t="str">
        <f>L5342*(1-K5342)</f>
      </c>
    </row>
    <row r="5343">
      <c r="A5343" t="s">
        <v>167</v>
      </c>
      <c r="B5343" t="s">
        <v>116</v>
      </c>
      <c r="C5343" s="35" t="s">
        <v>422</v>
      </c>
      <c r="D5343" t="s">
        <v>502</v>
      </c>
      <c r="E5343" t="s">
        <v>520</v>
      </c>
      <c r="F5343" s="188" t="n">
        <v>2028</v>
      </c>
      <c r="G5343" s="189" t="n">
        <v>51</v>
      </c>
      <c r="H5343" s="190" t="n">
        <v>10279.8438776355</v>
      </c>
      <c r="I5343" s="191" t="n">
        <v>3825938.20729043</v>
      </c>
      <c r="J5343" s="192" t="str">
        <f>IF(I5343&gt;0,H5343/I5343,0)</f>
      </c>
      <c r="K5343" s="193" t="str">
        <f>1-EXP(-J5343)</f>
      </c>
      <c r="L5343" s="194" t="str">
        <f>IF(G5343=30,1,M5342)</f>
      </c>
      <c r="M5343" s="195" t="str">
        <f>L5343*(1-K5343)</f>
      </c>
    </row>
    <row r="5344">
      <c r="A5344" t="s">
        <v>167</v>
      </c>
      <c r="B5344" t="s">
        <v>116</v>
      </c>
      <c r="C5344" s="35" t="s">
        <v>422</v>
      </c>
      <c r="D5344" t="s">
        <v>502</v>
      </c>
      <c r="E5344" t="s">
        <v>520</v>
      </c>
      <c r="F5344" s="188" t="n">
        <v>2028</v>
      </c>
      <c r="G5344" s="189" t="n">
        <v>52</v>
      </c>
      <c r="H5344" s="190" t="n">
        <v>11006.5070298518</v>
      </c>
      <c r="I5344" s="191" t="n">
        <v>3749481.51088678</v>
      </c>
      <c r="J5344" s="192" t="str">
        <f>IF(I5344&gt;0,H5344/I5344,0)</f>
      </c>
      <c r="K5344" s="193" t="str">
        <f>1-EXP(-J5344)</f>
      </c>
      <c r="L5344" s="194" t="str">
        <f>IF(G5344=30,1,M5343)</f>
      </c>
      <c r="M5344" s="195" t="str">
        <f>L5344*(1-K5344)</f>
      </c>
    </row>
    <row r="5345">
      <c r="A5345" t="s">
        <v>167</v>
      </c>
      <c r="B5345" t="s">
        <v>116</v>
      </c>
      <c r="C5345" s="35" t="s">
        <v>422</v>
      </c>
      <c r="D5345" t="s">
        <v>502</v>
      </c>
      <c r="E5345" t="s">
        <v>520</v>
      </c>
      <c r="F5345" s="188" t="n">
        <v>2028</v>
      </c>
      <c r="G5345" s="189" t="n">
        <v>53</v>
      </c>
      <c r="H5345" s="190" t="n">
        <v>11778.0416097973</v>
      </c>
      <c r="I5345" s="191" t="n">
        <v>3672351.29376621</v>
      </c>
      <c r="J5345" s="192" t="str">
        <f>IF(I5345&gt;0,H5345/I5345,0)</f>
      </c>
      <c r="K5345" s="193" t="str">
        <f>1-EXP(-J5345)</f>
      </c>
      <c r="L5345" s="194" t="str">
        <f>IF(G5345=30,1,M5344)</f>
      </c>
      <c r="M5345" s="195" t="str">
        <f>L5345*(1-K5345)</f>
      </c>
    </row>
    <row r="5346">
      <c r="A5346" t="s">
        <v>167</v>
      </c>
      <c r="B5346" t="s">
        <v>116</v>
      </c>
      <c r="C5346" s="35" t="s">
        <v>422</v>
      </c>
      <c r="D5346" t="s">
        <v>502</v>
      </c>
      <c r="E5346" t="s">
        <v>520</v>
      </c>
      <c r="F5346" s="188" t="n">
        <v>2028</v>
      </c>
      <c r="G5346" s="189" t="n">
        <v>54</v>
      </c>
      <c r="H5346" s="190" t="n">
        <v>12494.9709007205</v>
      </c>
      <c r="I5346" s="191" t="n">
        <v>3567605.71539126</v>
      </c>
      <c r="J5346" s="192" t="str">
        <f>IF(I5346&gt;0,H5346/I5346,0)</f>
      </c>
      <c r="K5346" s="193" t="str">
        <f>1-EXP(-J5346)</f>
      </c>
      <c r="L5346" s="194" t="str">
        <f>IF(G5346=30,1,M5345)</f>
      </c>
      <c r="M5346" s="195" t="str">
        <f>L5346*(1-K5346)</f>
      </c>
    </row>
    <row r="5347">
      <c r="A5347" t="s">
        <v>167</v>
      </c>
      <c r="B5347" t="s">
        <v>116</v>
      </c>
      <c r="C5347" s="35" t="s">
        <v>422</v>
      </c>
      <c r="D5347" t="s">
        <v>502</v>
      </c>
      <c r="E5347" t="s">
        <v>520</v>
      </c>
      <c r="F5347" s="188" t="n">
        <v>2028</v>
      </c>
      <c r="G5347" s="189" t="n">
        <v>55</v>
      </c>
      <c r="H5347" s="190" t="n">
        <v>13668.0546940142</v>
      </c>
      <c r="I5347" s="191" t="n">
        <v>3523431.80208738</v>
      </c>
      <c r="J5347" s="192" t="str">
        <f>IF(I5347&gt;0,H5347/I5347,0)</f>
      </c>
      <c r="K5347" s="193" t="str">
        <f>1-EXP(-J5347)</f>
      </c>
      <c r="L5347" s="194" t="str">
        <f>IF(G5347=30,1,M5346)</f>
      </c>
      <c r="M5347" s="195" t="str">
        <f>L5347*(1-K5347)</f>
      </c>
    </row>
    <row r="5348">
      <c r="A5348" t="s">
        <v>167</v>
      </c>
      <c r="B5348" t="s">
        <v>116</v>
      </c>
      <c r="C5348" s="35" t="s">
        <v>422</v>
      </c>
      <c r="D5348" t="s">
        <v>502</v>
      </c>
      <c r="E5348" t="s">
        <v>520</v>
      </c>
      <c r="F5348" s="188" t="n">
        <v>2028</v>
      </c>
      <c r="G5348" s="189" t="n">
        <v>56</v>
      </c>
      <c r="H5348" s="190" t="n">
        <v>14030.8334671764</v>
      </c>
      <c r="I5348" s="191" t="n">
        <v>3314058.5509547</v>
      </c>
      <c r="J5348" s="192" t="str">
        <f>IF(I5348&gt;0,H5348/I5348,0)</f>
      </c>
      <c r="K5348" s="193" t="str">
        <f>1-EXP(-J5348)</f>
      </c>
      <c r="L5348" s="194" t="str">
        <f>IF(G5348=30,1,M5347)</f>
      </c>
      <c r="M5348" s="195" t="str">
        <f>L5348*(1-K5348)</f>
      </c>
    </row>
    <row r="5349">
      <c r="A5349" t="s">
        <v>167</v>
      </c>
      <c r="B5349" t="s">
        <v>116</v>
      </c>
      <c r="C5349" s="35" t="s">
        <v>422</v>
      </c>
      <c r="D5349" t="s">
        <v>502</v>
      </c>
      <c r="E5349" t="s">
        <v>520</v>
      </c>
      <c r="F5349" s="188" t="n">
        <v>2028</v>
      </c>
      <c r="G5349" s="189" t="n">
        <v>57</v>
      </c>
      <c r="H5349" s="190" t="n">
        <v>14942.563282063</v>
      </c>
      <c r="I5349" s="191" t="n">
        <v>3227341.50797445</v>
      </c>
      <c r="J5349" s="192" t="str">
        <f>IF(I5349&gt;0,H5349/I5349,0)</f>
      </c>
      <c r="K5349" s="193" t="str">
        <f>1-EXP(-J5349)</f>
      </c>
      <c r="L5349" s="194" t="str">
        <f>IF(G5349=30,1,M5348)</f>
      </c>
      <c r="M5349" s="195" t="str">
        <f>L5349*(1-K5349)</f>
      </c>
    </row>
    <row r="5350">
      <c r="A5350" t="s">
        <v>167</v>
      </c>
      <c r="B5350" t="s">
        <v>116</v>
      </c>
      <c r="C5350" s="35" t="s">
        <v>422</v>
      </c>
      <c r="D5350" t="s">
        <v>502</v>
      </c>
      <c r="E5350" t="s">
        <v>520</v>
      </c>
      <c r="F5350" s="188" t="n">
        <v>2028</v>
      </c>
      <c r="G5350" s="189" t="n">
        <v>58</v>
      </c>
      <c r="H5350" s="190" t="n">
        <v>15928.4096915529</v>
      </c>
      <c r="I5350" s="191" t="n">
        <v>3145071.1008392</v>
      </c>
      <c r="J5350" s="192" t="str">
        <f>IF(I5350&gt;0,H5350/I5350,0)</f>
      </c>
      <c r="K5350" s="193" t="str">
        <f>1-EXP(-J5350)</f>
      </c>
      <c r="L5350" s="194" t="str">
        <f>IF(G5350=30,1,M5349)</f>
      </c>
      <c r="M5350" s="195" t="str">
        <f>L5350*(1-K5350)</f>
      </c>
    </row>
    <row r="5351">
      <c r="A5351" t="s">
        <v>167</v>
      </c>
      <c r="B5351" t="s">
        <v>116</v>
      </c>
      <c r="C5351" s="35" t="s">
        <v>422</v>
      </c>
      <c r="D5351" t="s">
        <v>502</v>
      </c>
      <c r="E5351" t="s">
        <v>520</v>
      </c>
      <c r="F5351" s="188" t="n">
        <v>2028</v>
      </c>
      <c r="G5351" s="189" t="n">
        <v>59</v>
      </c>
      <c r="H5351" s="190" t="n">
        <v>16907.710937302</v>
      </c>
      <c r="I5351" s="191" t="n">
        <v>3053530.99846319</v>
      </c>
      <c r="J5351" s="192" t="str">
        <f>IF(I5351&gt;0,H5351/I5351,0)</f>
      </c>
      <c r="K5351" s="193" t="str">
        <f>1-EXP(-J5351)</f>
      </c>
      <c r="L5351" s="194" t="str">
        <f>IF(G5351=30,1,M5350)</f>
      </c>
      <c r="M5351" s="195" t="str">
        <f>L5351*(1-K5351)</f>
      </c>
    </row>
    <row r="5352">
      <c r="A5352" t="s">
        <v>167</v>
      </c>
      <c r="B5352" t="s">
        <v>116</v>
      </c>
      <c r="C5352" s="35" t="s">
        <v>422</v>
      </c>
      <c r="D5352" t="s">
        <v>502</v>
      </c>
      <c r="E5352" t="s">
        <v>520</v>
      </c>
      <c r="F5352" s="188" t="n">
        <v>2028</v>
      </c>
      <c r="G5352" s="189" t="n">
        <v>60</v>
      </c>
      <c r="H5352" s="190" t="n">
        <v>18215.6190866026</v>
      </c>
      <c r="I5352" s="191" t="n">
        <v>2942130.1308513</v>
      </c>
      <c r="J5352" s="192" t="str">
        <f>IF(I5352&gt;0,H5352/I5352,0)</f>
      </c>
      <c r="K5352" s="193" t="str">
        <f>1-EXP(-J5352)</f>
      </c>
      <c r="L5352" s="194" t="str">
        <f>IF(G5352=30,1,M5351)</f>
      </c>
      <c r="M5352" s="195" t="str">
        <f>L5352*(1-K5352)</f>
      </c>
    </row>
    <row r="5353">
      <c r="A5353" t="s">
        <v>167</v>
      </c>
      <c r="B5353" t="s">
        <v>116</v>
      </c>
      <c r="C5353" s="35" t="s">
        <v>422</v>
      </c>
      <c r="D5353" t="s">
        <v>502</v>
      </c>
      <c r="E5353" t="s">
        <v>520</v>
      </c>
      <c r="F5353" s="188" t="n">
        <v>2028</v>
      </c>
      <c r="G5353" s="189" t="n">
        <v>61</v>
      </c>
      <c r="H5353" s="190" t="n">
        <v>19142.0364175195</v>
      </c>
      <c r="I5353" s="191" t="n">
        <v>2798839.90995425</v>
      </c>
      <c r="J5353" s="192" t="str">
        <f>IF(I5353&gt;0,H5353/I5353,0)</f>
      </c>
      <c r="K5353" s="193" t="str">
        <f>1-EXP(-J5353)</f>
      </c>
      <c r="L5353" s="194" t="str">
        <f>IF(G5353=30,1,M5352)</f>
      </c>
      <c r="M5353" s="195" t="str">
        <f>L5353*(1-K5353)</f>
      </c>
    </row>
    <row r="5354">
      <c r="A5354" t="s">
        <v>167</v>
      </c>
      <c r="B5354" t="s">
        <v>116</v>
      </c>
      <c r="C5354" s="35" t="s">
        <v>422</v>
      </c>
      <c r="D5354" t="s">
        <v>502</v>
      </c>
      <c r="E5354" t="s">
        <v>520</v>
      </c>
      <c r="F5354" s="188" t="n">
        <v>2028</v>
      </c>
      <c r="G5354" s="189" t="n">
        <v>62</v>
      </c>
      <c r="H5354" s="190" t="n">
        <v>20148.1313771827</v>
      </c>
      <c r="I5354" s="191" t="n">
        <v>2692600.70316086</v>
      </c>
      <c r="J5354" s="192" t="str">
        <f>IF(I5354&gt;0,H5354/I5354,0)</f>
      </c>
      <c r="K5354" s="193" t="str">
        <f>1-EXP(-J5354)</f>
      </c>
      <c r="L5354" s="194" t="str">
        <f>IF(G5354=30,1,M5353)</f>
      </c>
      <c r="M5354" s="195" t="str">
        <f>L5354*(1-K5354)</f>
      </c>
    </row>
    <row r="5355">
      <c r="A5355" t="s">
        <v>167</v>
      </c>
      <c r="B5355" t="s">
        <v>116</v>
      </c>
      <c r="C5355" s="35" t="s">
        <v>422</v>
      </c>
      <c r="D5355" t="s">
        <v>502</v>
      </c>
      <c r="E5355" t="s">
        <v>520</v>
      </c>
      <c r="F5355" s="188" t="n">
        <v>2028</v>
      </c>
      <c r="G5355" s="189" t="n">
        <v>63</v>
      </c>
      <c r="H5355" s="190" t="n">
        <v>21011.2870734465</v>
      </c>
      <c r="I5355" s="191" t="n">
        <v>2564731.21471675</v>
      </c>
      <c r="J5355" s="192" t="str">
        <f>IF(I5355&gt;0,H5355/I5355,0)</f>
      </c>
      <c r="K5355" s="193" t="str">
        <f>1-EXP(-J5355)</f>
      </c>
      <c r="L5355" s="194" t="str">
        <f>IF(G5355=30,1,M5354)</f>
      </c>
      <c r="M5355" s="195" t="str">
        <f>L5355*(1-K5355)</f>
      </c>
    </row>
    <row r="5356">
      <c r="A5356" t="s">
        <v>167</v>
      </c>
      <c r="B5356" t="s">
        <v>116</v>
      </c>
      <c r="C5356" s="35" t="s">
        <v>422</v>
      </c>
      <c r="D5356" t="s">
        <v>502</v>
      </c>
      <c r="E5356" t="s">
        <v>520</v>
      </c>
      <c r="F5356" s="188" t="n">
        <v>2028</v>
      </c>
      <c r="G5356" s="189" t="n">
        <v>64</v>
      </c>
      <c r="H5356" s="190" t="n">
        <v>21865.3721206127</v>
      </c>
      <c r="I5356" s="191" t="n">
        <v>2437141.62108632</v>
      </c>
      <c r="J5356" s="192" t="str">
        <f>IF(I5356&gt;0,H5356/I5356,0)</f>
      </c>
      <c r="K5356" s="193" t="str">
        <f>1-EXP(-J5356)</f>
      </c>
      <c r="L5356" s="194" t="str">
        <f>IF(G5356=30,1,M5355)</f>
      </c>
      <c r="M5356" s="195" t="str">
        <f>L5356*(1-K5356)</f>
      </c>
    </row>
    <row r="5357">
      <c r="A5357" t="s">
        <v>167</v>
      </c>
      <c r="B5357" t="s">
        <v>116</v>
      </c>
      <c r="C5357" s="35" t="s">
        <v>422</v>
      </c>
      <c r="D5357" t="s">
        <v>502</v>
      </c>
      <c r="E5357" t="s">
        <v>520</v>
      </c>
      <c r="F5357" s="188" t="n">
        <v>2028</v>
      </c>
      <c r="G5357" s="189" t="n">
        <v>65</v>
      </c>
      <c r="H5357" s="190" t="n">
        <v>22145.427863952</v>
      </c>
      <c r="I5357" s="191" t="n">
        <v>2314453.01780723</v>
      </c>
      <c r="J5357" s="192" t="str">
        <f>IF(I5357&gt;0,H5357/I5357,0)</f>
      </c>
      <c r="K5357" s="193" t="str">
        <f>1-EXP(-J5357)</f>
      </c>
      <c r="L5357" s="194" t="str">
        <f>IF(G5357=30,1,M5356)</f>
      </c>
      <c r="M5357" s="195" t="str">
        <f>L5357*(1-K5357)</f>
      </c>
    </row>
    <row r="5358">
      <c r="A5358" t="s">
        <v>167</v>
      </c>
      <c r="B5358" t="s">
        <v>116</v>
      </c>
      <c r="C5358" s="35" t="s">
        <v>422</v>
      </c>
      <c r="D5358" t="s">
        <v>502</v>
      </c>
      <c r="E5358" t="s">
        <v>520</v>
      </c>
      <c r="F5358" s="188" t="n">
        <v>2028</v>
      </c>
      <c r="G5358" s="189" t="n">
        <v>66</v>
      </c>
      <c r="H5358" s="190" t="n">
        <v>22795.458865459</v>
      </c>
      <c r="I5358" s="191" t="n">
        <v>2166614.51992305</v>
      </c>
      <c r="J5358" s="192" t="str">
        <f>IF(I5358&gt;0,H5358/I5358,0)</f>
      </c>
      <c r="K5358" s="193" t="str">
        <f>1-EXP(-J5358)</f>
      </c>
      <c r="L5358" s="194" t="str">
        <f>IF(G5358=30,1,M5357)</f>
      </c>
      <c r="M5358" s="195" t="str">
        <f>L5358*(1-K5358)</f>
      </c>
    </row>
    <row r="5359">
      <c r="A5359" t="s">
        <v>167</v>
      </c>
      <c r="B5359" t="s">
        <v>116</v>
      </c>
      <c r="C5359" s="35" t="s">
        <v>422</v>
      </c>
      <c r="D5359" t="s">
        <v>502</v>
      </c>
      <c r="E5359" t="s">
        <v>520</v>
      </c>
      <c r="F5359" s="188" t="n">
        <v>2028</v>
      </c>
      <c r="G5359" s="189" t="n">
        <v>67</v>
      </c>
      <c r="H5359" s="190" t="n">
        <v>23587.2060145339</v>
      </c>
      <c r="I5359" s="191" t="n">
        <v>2043532.60517714</v>
      </c>
      <c r="J5359" s="192" t="str">
        <f>IF(I5359&gt;0,H5359/I5359,0)</f>
      </c>
      <c r="K5359" s="193" t="str">
        <f>1-EXP(-J5359)</f>
      </c>
      <c r="L5359" s="194" t="str">
        <f>IF(G5359=30,1,M5358)</f>
      </c>
      <c r="M5359" s="195" t="str">
        <f>L5359*(1-K5359)</f>
      </c>
    </row>
    <row r="5360">
      <c r="A5360" t="s">
        <v>167</v>
      </c>
      <c r="B5360" t="s">
        <v>116</v>
      </c>
      <c r="C5360" s="35" t="s">
        <v>422</v>
      </c>
      <c r="D5360" t="s">
        <v>502</v>
      </c>
      <c r="E5360" t="s">
        <v>520</v>
      </c>
      <c r="F5360" s="188" t="n">
        <v>2028</v>
      </c>
      <c r="G5360" s="189" t="n">
        <v>68</v>
      </c>
      <c r="H5360" s="190" t="n">
        <v>24284.6728586561</v>
      </c>
      <c r="I5360" s="191" t="n">
        <v>1916810.32527934</v>
      </c>
      <c r="J5360" s="192" t="str">
        <f>IF(I5360&gt;0,H5360/I5360,0)</f>
      </c>
      <c r="K5360" s="193" t="str">
        <f>1-EXP(-J5360)</f>
      </c>
      <c r="L5360" s="194" t="str">
        <f>IF(G5360=30,1,M5359)</f>
      </c>
      <c r="M5360" s="195" t="str">
        <f>L5360*(1-K5360)</f>
      </c>
    </row>
    <row r="5361">
      <c r="A5361" t="s">
        <v>167</v>
      </c>
      <c r="B5361" t="s">
        <v>116</v>
      </c>
      <c r="C5361" s="35" t="s">
        <v>422</v>
      </c>
      <c r="D5361" t="s">
        <v>502</v>
      </c>
      <c r="E5361" t="s">
        <v>520</v>
      </c>
      <c r="F5361" s="188" t="n">
        <v>2028</v>
      </c>
      <c r="G5361" s="189" t="n">
        <v>69</v>
      </c>
      <c r="H5361" s="190" t="n">
        <v>24825.638157928</v>
      </c>
      <c r="I5361" s="191" t="n">
        <v>1784540.18684223</v>
      </c>
      <c r="J5361" s="192" t="str">
        <f>IF(I5361&gt;0,H5361/I5361,0)</f>
      </c>
      <c r="K5361" s="193" t="str">
        <f>1-EXP(-J5361)</f>
      </c>
      <c r="L5361" s="194" t="str">
        <f>IF(G5361=30,1,M5360)</f>
      </c>
      <c r="M5361" s="195" t="str">
        <f>L5361*(1-K5361)</f>
      </c>
    </row>
    <row r="5362">
      <c r="A5362" t="s">
        <v>167</v>
      </c>
      <c r="B5362" t="s">
        <v>116</v>
      </c>
      <c r="C5362" s="35" t="s">
        <v>422</v>
      </c>
      <c r="D5362" t="s">
        <v>502</v>
      </c>
      <c r="E5362" t="s">
        <v>520</v>
      </c>
      <c r="F5362" s="188" t="n">
        <v>2029</v>
      </c>
      <c r="G5362" s="189" t="n">
        <v>30</v>
      </c>
      <c r="H5362" s="190" t="n">
        <v>914.449175139012</v>
      </c>
      <c r="I5362" s="191" t="n">
        <v>4353663.47353503</v>
      </c>
      <c r="J5362" s="192" t="str">
        <f>IF(I5362&gt;0,H5362/I5362,0)</f>
      </c>
      <c r="K5362" s="193" t="str">
        <f>1-EXP(-J5362)</f>
      </c>
      <c r="L5362" s="194" t="str">
        <f>IF(G5362=30,1,M5361)</f>
      </c>
      <c r="M5362" s="195" t="str">
        <f>L5362*(1-K5362)</f>
      </c>
    </row>
    <row r="5363">
      <c r="A5363" t="s">
        <v>167</v>
      </c>
      <c r="B5363" t="s">
        <v>116</v>
      </c>
      <c r="C5363" s="35" t="s">
        <v>422</v>
      </c>
      <c r="D5363" t="s">
        <v>502</v>
      </c>
      <c r="E5363" t="s">
        <v>520</v>
      </c>
      <c r="F5363" s="188" t="n">
        <v>2029</v>
      </c>
      <c r="G5363" s="189" t="n">
        <v>31</v>
      </c>
      <c r="H5363" s="190" t="n">
        <v>1051.45758878272</v>
      </c>
      <c r="I5363" s="191" t="n">
        <v>4413895.44082779</v>
      </c>
      <c r="J5363" s="192" t="str">
        <f>IF(I5363&gt;0,H5363/I5363,0)</f>
      </c>
      <c r="K5363" s="193" t="str">
        <f>1-EXP(-J5363)</f>
      </c>
      <c r="L5363" s="194" t="str">
        <f>IF(G5363=30,1,M5362)</f>
      </c>
      <c r="M5363" s="195" t="str">
        <f>L5363*(1-K5363)</f>
      </c>
    </row>
    <row r="5364">
      <c r="A5364" t="s">
        <v>167</v>
      </c>
      <c r="B5364" t="s">
        <v>116</v>
      </c>
      <c r="C5364" s="35" t="s">
        <v>422</v>
      </c>
      <c r="D5364" t="s">
        <v>502</v>
      </c>
      <c r="E5364" t="s">
        <v>520</v>
      </c>
      <c r="F5364" s="188" t="n">
        <v>2029</v>
      </c>
      <c r="G5364" s="189" t="n">
        <v>32</v>
      </c>
      <c r="H5364" s="190" t="n">
        <v>1327.53131835124</v>
      </c>
      <c r="I5364" s="191" t="n">
        <v>4555563.50406491</v>
      </c>
      <c r="J5364" s="192" t="str">
        <f>IF(I5364&gt;0,H5364/I5364,0)</f>
      </c>
      <c r="K5364" s="193" t="str">
        <f>1-EXP(-J5364)</f>
      </c>
      <c r="L5364" s="194" t="str">
        <f>IF(G5364=30,1,M5363)</f>
      </c>
      <c r="M5364" s="195" t="str">
        <f>L5364*(1-K5364)</f>
      </c>
    </row>
    <row r="5365">
      <c r="A5365" t="s">
        <v>167</v>
      </c>
      <c r="B5365" t="s">
        <v>116</v>
      </c>
      <c r="C5365" s="35" t="s">
        <v>422</v>
      </c>
      <c r="D5365" t="s">
        <v>502</v>
      </c>
      <c r="E5365" t="s">
        <v>520</v>
      </c>
      <c r="F5365" s="188" t="n">
        <v>2029</v>
      </c>
      <c r="G5365" s="189" t="n">
        <v>33</v>
      </c>
      <c r="H5365" s="190" t="n">
        <v>1387.14703236273</v>
      </c>
      <c r="I5365" s="191" t="n">
        <v>4513013.13811864</v>
      </c>
      <c r="J5365" s="192" t="str">
        <f>IF(I5365&gt;0,H5365/I5365,0)</f>
      </c>
      <c r="K5365" s="193" t="str">
        <f>1-EXP(-J5365)</f>
      </c>
      <c r="L5365" s="194" t="str">
        <f>IF(G5365=30,1,M5364)</f>
      </c>
      <c r="M5365" s="195" t="str">
        <f>L5365*(1-K5365)</f>
      </c>
    </row>
    <row r="5366">
      <c r="A5366" t="s">
        <v>167</v>
      </c>
      <c r="B5366" t="s">
        <v>116</v>
      </c>
      <c r="C5366" s="35" t="s">
        <v>422</v>
      </c>
      <c r="D5366" t="s">
        <v>502</v>
      </c>
      <c r="E5366" t="s">
        <v>520</v>
      </c>
      <c r="F5366" s="188" t="n">
        <v>2029</v>
      </c>
      <c r="G5366" s="189" t="n">
        <v>34</v>
      </c>
      <c r="H5366" s="190" t="n">
        <v>1448.22962933276</v>
      </c>
      <c r="I5366" s="191" t="n">
        <v>4440262.15913368</v>
      </c>
      <c r="J5366" s="192" t="str">
        <f>IF(I5366&gt;0,H5366/I5366,0)</f>
      </c>
      <c r="K5366" s="193" t="str">
        <f>1-EXP(-J5366)</f>
      </c>
      <c r="L5366" s="194" t="str">
        <f>IF(G5366=30,1,M5365)</f>
      </c>
      <c r="M5366" s="195" t="str">
        <f>L5366*(1-K5366)</f>
      </c>
    </row>
    <row r="5367">
      <c r="A5367" t="s">
        <v>167</v>
      </c>
      <c r="B5367" t="s">
        <v>116</v>
      </c>
      <c r="C5367" s="35" t="s">
        <v>422</v>
      </c>
      <c r="D5367" t="s">
        <v>502</v>
      </c>
      <c r="E5367" t="s">
        <v>520</v>
      </c>
      <c r="F5367" s="188" t="n">
        <v>2029</v>
      </c>
      <c r="G5367" s="189" t="n">
        <v>35</v>
      </c>
      <c r="H5367" s="190" t="n">
        <v>1949.62581934058</v>
      </c>
      <c r="I5367" s="191" t="n">
        <v>4383363.81516941</v>
      </c>
      <c r="J5367" s="192" t="str">
        <f>IF(I5367&gt;0,H5367/I5367,0)</f>
      </c>
      <c r="K5367" s="193" t="str">
        <f>1-EXP(-J5367)</f>
      </c>
      <c r="L5367" s="194" t="str">
        <f>IF(G5367=30,1,M5366)</f>
      </c>
      <c r="M5367" s="195" t="str">
        <f>L5367*(1-K5367)</f>
      </c>
    </row>
    <row r="5368">
      <c r="A5368" t="s">
        <v>167</v>
      </c>
      <c r="B5368" t="s">
        <v>116</v>
      </c>
      <c r="C5368" s="35" t="s">
        <v>422</v>
      </c>
      <c r="D5368" t="s">
        <v>502</v>
      </c>
      <c r="E5368" t="s">
        <v>520</v>
      </c>
      <c r="F5368" s="188" t="n">
        <v>2029</v>
      </c>
      <c r="G5368" s="189" t="n">
        <v>36</v>
      </c>
      <c r="H5368" s="190" t="n">
        <v>2048.48798904634</v>
      </c>
      <c r="I5368" s="191" t="n">
        <v>4329632.16972119</v>
      </c>
      <c r="J5368" s="192" t="str">
        <f>IF(I5368&gt;0,H5368/I5368,0)</f>
      </c>
      <c r="K5368" s="193" t="str">
        <f>1-EXP(-J5368)</f>
      </c>
      <c r="L5368" s="194" t="str">
        <f>IF(G5368=30,1,M5367)</f>
      </c>
      <c r="M5368" s="195" t="str">
        <f>L5368*(1-K5368)</f>
      </c>
    </row>
    <row r="5369">
      <c r="A5369" t="s">
        <v>167</v>
      </c>
      <c r="B5369" t="s">
        <v>116</v>
      </c>
      <c r="C5369" s="35" t="s">
        <v>422</v>
      </c>
      <c r="D5369" t="s">
        <v>502</v>
      </c>
      <c r="E5369" t="s">
        <v>520</v>
      </c>
      <c r="F5369" s="188" t="n">
        <v>2029</v>
      </c>
      <c r="G5369" s="189" t="n">
        <v>37</v>
      </c>
      <c r="H5369" s="190" t="n">
        <v>2218.172525504</v>
      </c>
      <c r="I5369" s="191" t="n">
        <v>4367980.35798495</v>
      </c>
      <c r="J5369" s="192" t="str">
        <f>IF(I5369&gt;0,H5369/I5369,0)</f>
      </c>
      <c r="K5369" s="193" t="str">
        <f>1-EXP(-J5369)</f>
      </c>
      <c r="L5369" s="194" t="str">
        <f>IF(G5369=30,1,M5368)</f>
      </c>
      <c r="M5369" s="195" t="str">
        <f>L5369*(1-K5369)</f>
      </c>
    </row>
    <row r="5370">
      <c r="A5370" t="s">
        <v>167</v>
      </c>
      <c r="B5370" t="s">
        <v>116</v>
      </c>
      <c r="C5370" s="35" t="s">
        <v>422</v>
      </c>
      <c r="D5370" t="s">
        <v>502</v>
      </c>
      <c r="E5370" t="s">
        <v>520</v>
      </c>
      <c r="F5370" s="188" t="n">
        <v>2029</v>
      </c>
      <c r="G5370" s="189" t="n">
        <v>38</v>
      </c>
      <c r="H5370" s="190" t="n">
        <v>2396.78290015768</v>
      </c>
      <c r="I5370" s="191" t="n">
        <v>4386626.18811532</v>
      </c>
      <c r="J5370" s="192" t="str">
        <f>IF(I5370&gt;0,H5370/I5370,0)</f>
      </c>
      <c r="K5370" s="193" t="str">
        <f>1-EXP(-J5370)</f>
      </c>
      <c r="L5370" s="194" t="str">
        <f>IF(G5370=30,1,M5369)</f>
      </c>
      <c r="M5370" s="195" t="str">
        <f>L5370*(1-K5370)</f>
      </c>
    </row>
    <row r="5371">
      <c r="A5371" t="s">
        <v>167</v>
      </c>
      <c r="B5371" t="s">
        <v>116</v>
      </c>
      <c r="C5371" s="35" t="s">
        <v>422</v>
      </c>
      <c r="D5371" t="s">
        <v>502</v>
      </c>
      <c r="E5371" t="s">
        <v>520</v>
      </c>
      <c r="F5371" s="188" t="n">
        <v>2029</v>
      </c>
      <c r="G5371" s="189" t="n">
        <v>39</v>
      </c>
      <c r="H5371" s="190" t="n">
        <v>3640.70772178422</v>
      </c>
      <c r="I5371" s="191" t="n">
        <v>6459809.46559133</v>
      </c>
      <c r="J5371" s="192" t="str">
        <f>IF(I5371&gt;0,H5371/I5371,0)</f>
      </c>
      <c r="K5371" s="193" t="str">
        <f>1-EXP(-J5371)</f>
      </c>
      <c r="L5371" s="194" t="str">
        <f>IF(G5371=30,1,M5370)</f>
      </c>
      <c r="M5371" s="195" t="str">
        <f>L5371*(1-K5371)</f>
      </c>
    </row>
    <row r="5372">
      <c r="A5372" t="s">
        <v>167</v>
      </c>
      <c r="B5372" t="s">
        <v>116</v>
      </c>
      <c r="C5372" s="35" t="s">
        <v>422</v>
      </c>
      <c r="D5372" t="s">
        <v>502</v>
      </c>
      <c r="E5372" t="s">
        <v>520</v>
      </c>
      <c r="F5372" s="188" t="n">
        <v>2029</v>
      </c>
      <c r="G5372" s="189" t="n">
        <v>40</v>
      </c>
      <c r="H5372" s="190" t="n">
        <v>3443.86431462767</v>
      </c>
      <c r="I5372" s="191" t="n">
        <v>4346437.03272965</v>
      </c>
      <c r="J5372" s="192" t="str">
        <f>IF(I5372&gt;0,H5372/I5372,0)</f>
      </c>
      <c r="K5372" s="193" t="str">
        <f>1-EXP(-J5372)</f>
      </c>
      <c r="L5372" s="194" t="str">
        <f>IF(G5372=30,1,M5371)</f>
      </c>
      <c r="M5372" s="195" t="str">
        <f>L5372*(1-K5372)</f>
      </c>
    </row>
    <row r="5373">
      <c r="A5373" t="s">
        <v>167</v>
      </c>
      <c r="B5373" t="s">
        <v>116</v>
      </c>
      <c r="C5373" s="35" t="s">
        <v>422</v>
      </c>
      <c r="D5373" t="s">
        <v>502</v>
      </c>
      <c r="E5373" t="s">
        <v>520</v>
      </c>
      <c r="F5373" s="188" t="n">
        <v>2029</v>
      </c>
      <c r="G5373" s="189" t="n">
        <v>41</v>
      </c>
      <c r="H5373" s="190" t="n">
        <v>3715.68433691386</v>
      </c>
      <c r="I5373" s="191" t="n">
        <v>4329645.9398217</v>
      </c>
      <c r="J5373" s="192" t="str">
        <f>IF(I5373&gt;0,H5373/I5373,0)</f>
      </c>
      <c r="K5373" s="193" t="str">
        <f>1-EXP(-J5373)</f>
      </c>
      <c r="L5373" s="194" t="str">
        <f>IF(G5373=30,1,M5372)</f>
      </c>
      <c r="M5373" s="195" t="str">
        <f>L5373*(1-K5373)</f>
      </c>
    </row>
    <row r="5374">
      <c r="A5374" t="s">
        <v>167</v>
      </c>
      <c r="B5374" t="s">
        <v>116</v>
      </c>
      <c r="C5374" s="35" t="s">
        <v>422</v>
      </c>
      <c r="D5374" t="s">
        <v>502</v>
      </c>
      <c r="E5374" t="s">
        <v>520</v>
      </c>
      <c r="F5374" s="188" t="n">
        <v>2029</v>
      </c>
      <c r="G5374" s="189" t="n">
        <v>42</v>
      </c>
      <c r="H5374" s="190" t="n">
        <v>3912.47937969049</v>
      </c>
      <c r="I5374" s="191" t="n">
        <v>4197806.06452917</v>
      </c>
      <c r="J5374" s="192" t="str">
        <f>IF(I5374&gt;0,H5374/I5374,0)</f>
      </c>
      <c r="K5374" s="193" t="str">
        <f>1-EXP(-J5374)</f>
      </c>
      <c r="L5374" s="194" t="str">
        <f>IF(G5374=30,1,M5373)</f>
      </c>
      <c r="M5374" s="195" t="str">
        <f>L5374*(1-K5374)</f>
      </c>
    </row>
    <row r="5375">
      <c r="A5375" t="s">
        <v>167</v>
      </c>
      <c r="B5375" t="s">
        <v>116</v>
      </c>
      <c r="C5375" s="35" t="s">
        <v>422</v>
      </c>
      <c r="D5375" t="s">
        <v>502</v>
      </c>
      <c r="E5375" t="s">
        <v>520</v>
      </c>
      <c r="F5375" s="188" t="n">
        <v>2029</v>
      </c>
      <c r="G5375" s="189" t="n">
        <v>43</v>
      </c>
      <c r="H5375" s="190" t="n">
        <v>4227.80039502063</v>
      </c>
      <c r="I5375" s="191" t="n">
        <v>4163937.31362978</v>
      </c>
      <c r="J5375" s="192" t="str">
        <f>IF(I5375&gt;0,H5375/I5375,0)</f>
      </c>
      <c r="K5375" s="193" t="str">
        <f>1-EXP(-J5375)</f>
      </c>
      <c r="L5375" s="194" t="str">
        <f>IF(G5375=30,1,M5374)</f>
      </c>
      <c r="M5375" s="195" t="str">
        <f>L5375*(1-K5375)</f>
      </c>
    </row>
    <row r="5376">
      <c r="A5376" t="s">
        <v>167</v>
      </c>
      <c r="B5376" t="s">
        <v>116</v>
      </c>
      <c r="C5376" s="35" t="s">
        <v>422</v>
      </c>
      <c r="D5376" t="s">
        <v>502</v>
      </c>
      <c r="E5376" t="s">
        <v>520</v>
      </c>
      <c r="F5376" s="188" t="n">
        <v>2029</v>
      </c>
      <c r="G5376" s="189" t="n">
        <v>44</v>
      </c>
      <c r="H5376" s="190" t="n">
        <v>4686.98636397624</v>
      </c>
      <c r="I5376" s="191" t="n">
        <v>4223995.53116404</v>
      </c>
      <c r="J5376" s="192" t="str">
        <f>IF(I5376&gt;0,H5376/I5376,0)</f>
      </c>
      <c r="K5376" s="193" t="str">
        <f>1-EXP(-J5376)</f>
      </c>
      <c r="L5376" s="194" t="str">
        <f>IF(G5376=30,1,M5375)</f>
      </c>
      <c r="M5376" s="195" t="str">
        <f>L5376*(1-K5376)</f>
      </c>
    </row>
    <row r="5377">
      <c r="A5377" t="s">
        <v>167</v>
      </c>
      <c r="B5377" t="s">
        <v>116</v>
      </c>
      <c r="C5377" s="35" t="s">
        <v>422</v>
      </c>
      <c r="D5377" t="s">
        <v>502</v>
      </c>
      <c r="E5377" t="s">
        <v>520</v>
      </c>
      <c r="F5377" s="188" t="n">
        <v>2029</v>
      </c>
      <c r="G5377" s="189" t="n">
        <v>45</v>
      </c>
      <c r="H5377" s="190" t="n">
        <v>6190.84884792257</v>
      </c>
      <c r="I5377" s="191" t="n">
        <v>4309348.6515388</v>
      </c>
      <c r="J5377" s="192" t="str">
        <f>IF(I5377&gt;0,H5377/I5377,0)</f>
      </c>
      <c r="K5377" s="193" t="str">
        <f>1-EXP(-J5377)</f>
      </c>
      <c r="L5377" s="194" t="str">
        <f>IF(G5377=30,1,M5376)</f>
      </c>
      <c r="M5377" s="195" t="str">
        <f>L5377*(1-K5377)</f>
      </c>
    </row>
    <row r="5378">
      <c r="A5378" t="s">
        <v>167</v>
      </c>
      <c r="B5378" t="s">
        <v>116</v>
      </c>
      <c r="C5378" s="35" t="s">
        <v>422</v>
      </c>
      <c r="D5378" t="s">
        <v>502</v>
      </c>
      <c r="E5378" t="s">
        <v>520</v>
      </c>
      <c r="F5378" s="188" t="n">
        <v>2029</v>
      </c>
      <c r="G5378" s="189" t="n">
        <v>46</v>
      </c>
      <c r="H5378" s="190" t="n">
        <v>6714.82572767027</v>
      </c>
      <c r="I5378" s="191" t="n">
        <v>4284519.49777867</v>
      </c>
      <c r="J5378" s="192" t="str">
        <f>IF(I5378&gt;0,H5378/I5378,0)</f>
      </c>
      <c r="K5378" s="193" t="str">
        <f>1-EXP(-J5378)</f>
      </c>
      <c r="L5378" s="194" t="str">
        <f>IF(G5378=30,1,M5377)</f>
      </c>
      <c r="M5378" s="195" t="str">
        <f>L5378*(1-K5378)</f>
      </c>
    </row>
    <row r="5379">
      <c r="A5379" t="s">
        <v>167</v>
      </c>
      <c r="B5379" t="s">
        <v>116</v>
      </c>
      <c r="C5379" s="35" t="s">
        <v>422</v>
      </c>
      <c r="D5379" t="s">
        <v>502</v>
      </c>
      <c r="E5379" t="s">
        <v>520</v>
      </c>
      <c r="F5379" s="188" t="n">
        <v>2029</v>
      </c>
      <c r="G5379" s="189" t="n">
        <v>47</v>
      </c>
      <c r="H5379" s="190" t="n">
        <v>7137.84072275798</v>
      </c>
      <c r="I5379" s="191" t="n">
        <v>4148022.58028935</v>
      </c>
      <c r="J5379" s="192" t="str">
        <f>IF(I5379&gt;0,H5379/I5379,0)</f>
      </c>
      <c r="K5379" s="193" t="str">
        <f>1-EXP(-J5379)</f>
      </c>
      <c r="L5379" s="194" t="str">
        <f>IF(G5379=30,1,M5378)</f>
      </c>
      <c r="M5379" s="195" t="str">
        <f>L5379*(1-K5379)</f>
      </c>
    </row>
    <row r="5380">
      <c r="A5380" t="s">
        <v>167</v>
      </c>
      <c r="B5380" t="s">
        <v>116</v>
      </c>
      <c r="C5380" s="35" t="s">
        <v>422</v>
      </c>
      <c r="D5380" t="s">
        <v>502</v>
      </c>
      <c r="E5380" t="s">
        <v>520</v>
      </c>
      <c r="F5380" s="188" t="n">
        <v>2029</v>
      </c>
      <c r="G5380" s="189" t="n">
        <v>48</v>
      </c>
      <c r="H5380" s="190" t="n">
        <v>7688.38376870497</v>
      </c>
      <c r="I5380" s="191" t="n">
        <v>4073967.19588607</v>
      </c>
      <c r="J5380" s="192" t="str">
        <f>IF(I5380&gt;0,H5380/I5380,0)</f>
      </c>
      <c r="K5380" s="193" t="str">
        <f>1-EXP(-J5380)</f>
      </c>
      <c r="L5380" s="194" t="str">
        <f>IF(G5380=30,1,M5379)</f>
      </c>
      <c r="M5380" s="195" t="str">
        <f>L5380*(1-K5380)</f>
      </c>
    </row>
    <row r="5381">
      <c r="A5381" t="s">
        <v>167</v>
      </c>
      <c r="B5381" t="s">
        <v>116</v>
      </c>
      <c r="C5381" s="35" t="s">
        <v>422</v>
      </c>
      <c r="D5381" t="s">
        <v>502</v>
      </c>
      <c r="E5381" t="s">
        <v>520</v>
      </c>
      <c r="F5381" s="188" t="n">
        <v>2029</v>
      </c>
      <c r="G5381" s="189" t="n">
        <v>49</v>
      </c>
      <c r="H5381" s="190" t="n">
        <v>8304.07417676704</v>
      </c>
      <c r="I5381" s="191" t="n">
        <v>4015731.55865775</v>
      </c>
      <c r="J5381" s="192" t="str">
        <f>IF(I5381&gt;0,H5381/I5381,0)</f>
      </c>
      <c r="K5381" s="193" t="str">
        <f>1-EXP(-J5381)</f>
      </c>
      <c r="L5381" s="194" t="str">
        <f>IF(G5381=30,1,M5380)</f>
      </c>
      <c r="M5381" s="195" t="str">
        <f>L5381*(1-K5381)</f>
      </c>
    </row>
    <row r="5382">
      <c r="A5382" t="s">
        <v>167</v>
      </c>
      <c r="B5382" t="s">
        <v>116</v>
      </c>
      <c r="C5382" s="35" t="s">
        <v>422</v>
      </c>
      <c r="D5382" t="s">
        <v>502</v>
      </c>
      <c r="E5382" t="s">
        <v>520</v>
      </c>
      <c r="F5382" s="188" t="n">
        <v>2029</v>
      </c>
      <c r="G5382" s="189" t="n">
        <v>50</v>
      </c>
      <c r="H5382" s="190" t="n">
        <v>9529.83309597542</v>
      </c>
      <c r="I5382" s="191" t="n">
        <v>3952011.06459988</v>
      </c>
      <c r="J5382" s="192" t="str">
        <f>IF(I5382&gt;0,H5382/I5382,0)</f>
      </c>
      <c r="K5382" s="193" t="str">
        <f>1-EXP(-J5382)</f>
      </c>
      <c r="L5382" s="194" t="str">
        <f>IF(G5382=30,1,M5381)</f>
      </c>
      <c r="M5382" s="195" t="str">
        <f>L5382*(1-K5382)</f>
      </c>
    </row>
    <row r="5383">
      <c r="A5383" t="s">
        <v>167</v>
      </c>
      <c r="B5383" t="s">
        <v>116</v>
      </c>
      <c r="C5383" s="35" t="s">
        <v>422</v>
      </c>
      <c r="D5383" t="s">
        <v>502</v>
      </c>
      <c r="E5383" t="s">
        <v>520</v>
      </c>
      <c r="F5383" s="188" t="n">
        <v>2029</v>
      </c>
      <c r="G5383" s="189" t="n">
        <v>51</v>
      </c>
      <c r="H5383" s="190" t="n">
        <v>10235.7011924757</v>
      </c>
      <c r="I5383" s="191" t="n">
        <v>3867920.84477502</v>
      </c>
      <c r="J5383" s="192" t="str">
        <f>IF(I5383&gt;0,H5383/I5383,0)</f>
      </c>
      <c r="K5383" s="193" t="str">
        <f>1-EXP(-J5383)</f>
      </c>
      <c r="L5383" s="194" t="str">
        <f>IF(G5383=30,1,M5382)</f>
      </c>
      <c r="M5383" s="195" t="str">
        <f>L5383*(1-K5383)</f>
      </c>
    </row>
    <row r="5384">
      <c r="A5384" t="s">
        <v>167</v>
      </c>
      <c r="B5384" t="s">
        <v>116</v>
      </c>
      <c r="C5384" s="35" t="s">
        <v>422</v>
      </c>
      <c r="D5384" t="s">
        <v>502</v>
      </c>
      <c r="E5384" t="s">
        <v>520</v>
      </c>
      <c r="F5384" s="188" t="n">
        <v>2029</v>
      </c>
      <c r="G5384" s="189" t="n">
        <v>52</v>
      </c>
      <c r="H5384" s="190" t="n">
        <v>11009.4280534265</v>
      </c>
      <c r="I5384" s="191" t="n">
        <v>3801684.65197058</v>
      </c>
      <c r="J5384" s="192" t="str">
        <f>IF(I5384&gt;0,H5384/I5384,0)</f>
      </c>
      <c r="K5384" s="193" t="str">
        <f>1-EXP(-J5384)</f>
      </c>
      <c r="L5384" s="194" t="str">
        <f>IF(G5384=30,1,M5383)</f>
      </c>
      <c r="M5384" s="195" t="str">
        <f>L5384*(1-K5384)</f>
      </c>
    </row>
    <row r="5385">
      <c r="A5385" t="s">
        <v>167</v>
      </c>
      <c r="B5385" t="s">
        <v>116</v>
      </c>
      <c r="C5385" s="35" t="s">
        <v>422</v>
      </c>
      <c r="D5385" t="s">
        <v>502</v>
      </c>
      <c r="E5385" t="s">
        <v>520</v>
      </c>
      <c r="F5385" s="188" t="n">
        <v>2029</v>
      </c>
      <c r="G5385" s="189" t="n">
        <v>53</v>
      </c>
      <c r="H5385" s="190" t="n">
        <v>11786.3182291189</v>
      </c>
      <c r="I5385" s="191" t="n">
        <v>3723533.55545001</v>
      </c>
      <c r="J5385" s="192" t="str">
        <f>IF(I5385&gt;0,H5385/I5385,0)</f>
      </c>
      <c r="K5385" s="193" t="str">
        <f>1-EXP(-J5385)</f>
      </c>
      <c r="L5385" s="194" t="str">
        <f>IF(G5385=30,1,M5384)</f>
      </c>
      <c r="M5385" s="195" t="str">
        <f>L5385*(1-K5385)</f>
      </c>
    </row>
    <row r="5386">
      <c r="A5386" t="s">
        <v>167</v>
      </c>
      <c r="B5386" t="s">
        <v>116</v>
      </c>
      <c r="C5386" s="35" t="s">
        <v>422</v>
      </c>
      <c r="D5386" t="s">
        <v>502</v>
      </c>
      <c r="E5386" t="s">
        <v>520</v>
      </c>
      <c r="F5386" s="188" t="n">
        <v>2029</v>
      </c>
      <c r="G5386" s="189" t="n">
        <v>54</v>
      </c>
      <c r="H5386" s="190" t="n">
        <v>12611.4150790048</v>
      </c>
      <c r="I5386" s="191" t="n">
        <v>3644609.93624705</v>
      </c>
      <c r="J5386" s="192" t="str">
        <f>IF(I5386&gt;0,H5386/I5386,0)</f>
      </c>
      <c r="K5386" s="193" t="str">
        <f>1-EXP(-J5386)</f>
      </c>
      <c r="L5386" s="194" t="str">
        <f>IF(G5386=30,1,M5385)</f>
      </c>
      <c r="M5386" s="195" t="str">
        <f>L5386*(1-K5386)</f>
      </c>
    </row>
    <row r="5387">
      <c r="A5387" t="s">
        <v>167</v>
      </c>
      <c r="B5387" t="s">
        <v>116</v>
      </c>
      <c r="C5387" s="35" t="s">
        <v>422</v>
      </c>
      <c r="D5387" t="s">
        <v>502</v>
      </c>
      <c r="E5387" t="s">
        <v>520</v>
      </c>
      <c r="F5387" s="188" t="n">
        <v>2029</v>
      </c>
      <c r="G5387" s="189" t="n">
        <v>55</v>
      </c>
      <c r="H5387" s="190" t="n">
        <v>13537.0249716809</v>
      </c>
      <c r="I5387" s="191" t="n">
        <v>3538190.81332051</v>
      </c>
      <c r="J5387" s="192" t="str">
        <f>IF(I5387&gt;0,H5387/I5387,0)</f>
      </c>
      <c r="K5387" s="193" t="str">
        <f>1-EXP(-J5387)</f>
      </c>
      <c r="L5387" s="194" t="str">
        <f>IF(G5387=30,1,M5386)</f>
      </c>
      <c r="M5387" s="195" t="str">
        <f>L5387*(1-K5387)</f>
      </c>
    </row>
    <row r="5388">
      <c r="A5388" t="s">
        <v>167</v>
      </c>
      <c r="B5388" t="s">
        <v>116</v>
      </c>
      <c r="C5388" s="35" t="s">
        <v>422</v>
      </c>
      <c r="D5388" t="s">
        <v>502</v>
      </c>
      <c r="E5388" t="s">
        <v>520</v>
      </c>
      <c r="F5388" s="188" t="n">
        <v>2029</v>
      </c>
      <c r="G5388" s="189" t="n">
        <v>56</v>
      </c>
      <c r="H5388" s="190" t="n">
        <v>14546.9752220662</v>
      </c>
      <c r="I5388" s="191" t="n">
        <v>3491238.63263307</v>
      </c>
      <c r="J5388" s="192" t="str">
        <f>IF(I5388&gt;0,H5388/I5388,0)</f>
      </c>
      <c r="K5388" s="193" t="str">
        <f>1-EXP(-J5388)</f>
      </c>
      <c r="L5388" s="194" t="str">
        <f>IF(G5388=30,1,M5387)</f>
      </c>
      <c r="M5388" s="195" t="str">
        <f>L5388*(1-K5388)</f>
      </c>
    </row>
    <row r="5389">
      <c r="A5389" t="s">
        <v>167</v>
      </c>
      <c r="B5389" t="s">
        <v>116</v>
      </c>
      <c r="C5389" s="35" t="s">
        <v>422</v>
      </c>
      <c r="D5389" t="s">
        <v>502</v>
      </c>
      <c r="E5389" t="s">
        <v>520</v>
      </c>
      <c r="F5389" s="188" t="n">
        <v>2029</v>
      </c>
      <c r="G5389" s="189" t="n">
        <v>57</v>
      </c>
      <c r="H5389" s="190" t="n">
        <v>14973.9890505636</v>
      </c>
      <c r="I5389" s="191" t="n">
        <v>3281437.59431732</v>
      </c>
      <c r="J5389" s="192" t="str">
        <f>IF(I5389&gt;0,H5389/I5389,0)</f>
      </c>
      <c r="K5389" s="193" t="str">
        <f>1-EXP(-J5389)</f>
      </c>
      <c r="L5389" s="194" t="str">
        <f>IF(G5389=30,1,M5388)</f>
      </c>
      <c r="M5389" s="195" t="str">
        <f>L5389*(1-K5389)</f>
      </c>
    </row>
    <row r="5390">
      <c r="A5390" t="s">
        <v>167</v>
      </c>
      <c r="B5390" t="s">
        <v>116</v>
      </c>
      <c r="C5390" s="35" t="s">
        <v>422</v>
      </c>
      <c r="D5390" t="s">
        <v>502</v>
      </c>
      <c r="E5390" t="s">
        <v>520</v>
      </c>
      <c r="F5390" s="188" t="n">
        <v>2029</v>
      </c>
      <c r="G5390" s="189" t="n">
        <v>58</v>
      </c>
      <c r="H5390" s="190" t="n">
        <v>15940.6483637562</v>
      </c>
      <c r="I5390" s="191" t="n">
        <v>3192630.59118413</v>
      </c>
      <c r="J5390" s="192" t="str">
        <f>IF(I5390&gt;0,H5390/I5390,0)</f>
      </c>
      <c r="K5390" s="193" t="str">
        <f>1-EXP(-J5390)</f>
      </c>
      <c r="L5390" s="194" t="str">
        <f>IF(G5390=30,1,M5389)</f>
      </c>
      <c r="M5390" s="195" t="str">
        <f>L5390*(1-K5390)</f>
      </c>
    </row>
    <row r="5391">
      <c r="A5391" t="s">
        <v>167</v>
      </c>
      <c r="B5391" t="s">
        <v>116</v>
      </c>
      <c r="C5391" s="35" t="s">
        <v>422</v>
      </c>
      <c r="D5391" t="s">
        <v>502</v>
      </c>
      <c r="E5391" t="s">
        <v>520</v>
      </c>
      <c r="F5391" s="188" t="n">
        <v>2029</v>
      </c>
      <c r="G5391" s="189" t="n">
        <v>59</v>
      </c>
      <c r="H5391" s="190" t="n">
        <v>16985.3112988868</v>
      </c>
      <c r="I5391" s="191" t="n">
        <v>3108100.053726</v>
      </c>
      <c r="J5391" s="192" t="str">
        <f>IF(I5391&gt;0,H5391/I5391,0)</f>
      </c>
      <c r="K5391" s="193" t="str">
        <f>1-EXP(-J5391)</f>
      </c>
      <c r="L5391" s="194" t="str">
        <f>IF(G5391=30,1,M5390)</f>
      </c>
      <c r="M5391" s="195" t="str">
        <f>L5391*(1-K5391)</f>
      </c>
    </row>
    <row r="5392">
      <c r="A5392" t="s">
        <v>167</v>
      </c>
      <c r="B5392" t="s">
        <v>116</v>
      </c>
      <c r="C5392" s="35" t="s">
        <v>422</v>
      </c>
      <c r="D5392" t="s">
        <v>502</v>
      </c>
      <c r="E5392" t="s">
        <v>520</v>
      </c>
      <c r="F5392" s="188" t="n">
        <v>2029</v>
      </c>
      <c r="G5392" s="189" t="n">
        <v>60</v>
      </c>
      <c r="H5392" s="190" t="n">
        <v>18381.9499089967</v>
      </c>
      <c r="I5392" s="191" t="n">
        <v>3014302.50367395</v>
      </c>
      <c r="J5392" s="192" t="str">
        <f>IF(I5392&gt;0,H5392/I5392,0)</f>
      </c>
      <c r="K5392" s="193" t="str">
        <f>1-EXP(-J5392)</f>
      </c>
      <c r="L5392" s="194" t="str">
        <f>IF(G5392=30,1,M5391)</f>
      </c>
      <c r="M5392" s="195" t="str">
        <f>L5392*(1-K5392)</f>
      </c>
    </row>
    <row r="5393">
      <c r="A5393" t="s">
        <v>167</v>
      </c>
      <c r="B5393" t="s">
        <v>116</v>
      </c>
      <c r="C5393" s="35" t="s">
        <v>422</v>
      </c>
      <c r="D5393" t="s">
        <v>502</v>
      </c>
      <c r="E5393" t="s">
        <v>520</v>
      </c>
      <c r="F5393" s="188" t="n">
        <v>2029</v>
      </c>
      <c r="G5393" s="189" t="n">
        <v>61</v>
      </c>
      <c r="H5393" s="190" t="n">
        <v>19573.715302181</v>
      </c>
      <c r="I5393" s="191" t="n">
        <v>2900214.96648227</v>
      </c>
      <c r="J5393" s="192" t="str">
        <f>IF(I5393&gt;0,H5393/I5393,0)</f>
      </c>
      <c r="K5393" s="193" t="str">
        <f>1-EXP(-J5393)</f>
      </c>
      <c r="L5393" s="194" t="str">
        <f>IF(G5393=30,1,M5392)</f>
      </c>
      <c r="M5393" s="195" t="str">
        <f>L5393*(1-K5393)</f>
      </c>
    </row>
    <row r="5394">
      <c r="A5394" t="s">
        <v>167</v>
      </c>
      <c r="B5394" t="s">
        <v>116</v>
      </c>
      <c r="C5394" s="35" t="s">
        <v>422</v>
      </c>
      <c r="D5394" t="s">
        <v>502</v>
      </c>
      <c r="E5394" t="s">
        <v>520</v>
      </c>
      <c r="F5394" s="188" t="n">
        <v>2029</v>
      </c>
      <c r="G5394" s="189" t="n">
        <v>62</v>
      </c>
      <c r="H5394" s="190" t="n">
        <v>20369.8193704331</v>
      </c>
      <c r="I5394" s="191" t="n">
        <v>2755611.03460576</v>
      </c>
      <c r="J5394" s="192" t="str">
        <f>IF(I5394&gt;0,H5394/I5394,0)</f>
      </c>
      <c r="K5394" s="193" t="str">
        <f>1-EXP(-J5394)</f>
      </c>
      <c r="L5394" s="194" t="str">
        <f>IF(G5394=30,1,M5393)</f>
      </c>
      <c r="M5394" s="195" t="str">
        <f>L5394*(1-K5394)</f>
      </c>
    </row>
    <row r="5395">
      <c r="A5395" t="s">
        <v>167</v>
      </c>
      <c r="B5395" t="s">
        <v>116</v>
      </c>
      <c r="C5395" s="35" t="s">
        <v>422</v>
      </c>
      <c r="D5395" t="s">
        <v>502</v>
      </c>
      <c r="E5395" t="s">
        <v>520</v>
      </c>
      <c r="F5395" s="188" t="n">
        <v>2029</v>
      </c>
      <c r="G5395" s="189" t="n">
        <v>63</v>
      </c>
      <c r="H5395" s="190" t="n">
        <v>21429.0092560832</v>
      </c>
      <c r="I5395" s="191" t="n">
        <v>2647117.98880725</v>
      </c>
      <c r="J5395" s="192" t="str">
        <f>IF(I5395&gt;0,H5395/I5395,0)</f>
      </c>
      <c r="K5395" s="193" t="str">
        <f>1-EXP(-J5395)</f>
      </c>
      <c r="L5395" s="194" t="str">
        <f>IF(G5395=30,1,M5394)</f>
      </c>
      <c r="M5395" s="195" t="str">
        <f>L5395*(1-K5395)</f>
      </c>
    </row>
    <row r="5396">
      <c r="A5396" t="s">
        <v>167</v>
      </c>
      <c r="B5396" t="s">
        <v>116</v>
      </c>
      <c r="C5396" s="35" t="s">
        <v>422</v>
      </c>
      <c r="D5396" t="s">
        <v>502</v>
      </c>
      <c r="E5396" t="s">
        <v>520</v>
      </c>
      <c r="F5396" s="188" t="n">
        <v>2029</v>
      </c>
      <c r="G5396" s="189" t="n">
        <v>64</v>
      </c>
      <c r="H5396" s="190" t="n">
        <v>22329.1931035674</v>
      </c>
      <c r="I5396" s="191" t="n">
        <v>2517329.42214167</v>
      </c>
      <c r="J5396" s="192" t="str">
        <f>IF(I5396&gt;0,H5396/I5396,0)</f>
      </c>
      <c r="K5396" s="193" t="str">
        <f>1-EXP(-J5396)</f>
      </c>
      <c r="L5396" s="194" t="str">
        <f>IF(G5396=30,1,M5395)</f>
      </c>
      <c r="M5396" s="195" t="str">
        <f>L5396*(1-K5396)</f>
      </c>
    </row>
    <row r="5397">
      <c r="A5397" t="s">
        <v>167</v>
      </c>
      <c r="B5397" t="s">
        <v>116</v>
      </c>
      <c r="C5397" s="35" t="s">
        <v>422</v>
      </c>
      <c r="D5397" t="s">
        <v>502</v>
      </c>
      <c r="E5397" t="s">
        <v>520</v>
      </c>
      <c r="F5397" s="188" t="n">
        <v>2029</v>
      </c>
      <c r="G5397" s="189" t="n">
        <v>65</v>
      </c>
      <c r="H5397" s="190" t="n">
        <v>22563.1656002119</v>
      </c>
      <c r="I5397" s="191" t="n">
        <v>2387833.80712649</v>
      </c>
      <c r="J5397" s="192" t="str">
        <f>IF(I5397&gt;0,H5397/I5397,0)</f>
      </c>
      <c r="K5397" s="193" t="str">
        <f>1-EXP(-J5397)</f>
      </c>
      <c r="L5397" s="194" t="str">
        <f>IF(G5397=30,1,M5396)</f>
      </c>
      <c r="M5397" s="195" t="str">
        <f>L5397*(1-K5397)</f>
      </c>
    </row>
    <row r="5398">
      <c r="A5398" t="s">
        <v>167</v>
      </c>
      <c r="B5398" t="s">
        <v>116</v>
      </c>
      <c r="C5398" s="35" t="s">
        <v>422</v>
      </c>
      <c r="D5398" t="s">
        <v>502</v>
      </c>
      <c r="E5398" t="s">
        <v>520</v>
      </c>
      <c r="F5398" s="188" t="n">
        <v>2029</v>
      </c>
      <c r="G5398" s="189" t="n">
        <v>66</v>
      </c>
      <c r="H5398" s="190" t="n">
        <v>23425.5045611321</v>
      </c>
      <c r="I5398" s="191" t="n">
        <v>2263356.85997685</v>
      </c>
      <c r="J5398" s="192" t="str">
        <f>IF(I5398&gt;0,H5398/I5398,0)</f>
      </c>
      <c r="K5398" s="193" t="str">
        <f>1-EXP(-J5398)</f>
      </c>
      <c r="L5398" s="194" t="str">
        <f>IF(G5398=30,1,M5397)</f>
      </c>
      <c r="M5398" s="195" t="str">
        <f>L5398*(1-K5398)</f>
      </c>
    </row>
    <row r="5399">
      <c r="A5399" t="s">
        <v>167</v>
      </c>
      <c r="B5399" t="s">
        <v>116</v>
      </c>
      <c r="C5399" s="35" t="s">
        <v>422</v>
      </c>
      <c r="D5399" t="s">
        <v>502</v>
      </c>
      <c r="E5399" t="s">
        <v>520</v>
      </c>
      <c r="F5399" s="188" t="n">
        <v>2029</v>
      </c>
      <c r="G5399" s="189" t="n">
        <v>67</v>
      </c>
      <c r="H5399" s="190" t="n">
        <v>24097.7530885495</v>
      </c>
      <c r="I5399" s="191" t="n">
        <v>2113811.11513063</v>
      </c>
      <c r="J5399" s="192" t="str">
        <f>IF(I5399&gt;0,H5399/I5399,0)</f>
      </c>
      <c r="K5399" s="193" t="str">
        <f>1-EXP(-J5399)</f>
      </c>
      <c r="L5399" s="194" t="str">
        <f>IF(G5399=30,1,M5398)</f>
      </c>
      <c r="M5399" s="195" t="str">
        <f>L5399*(1-K5399)</f>
      </c>
    </row>
    <row r="5400">
      <c r="A5400" t="s">
        <v>167</v>
      </c>
      <c r="B5400" t="s">
        <v>116</v>
      </c>
      <c r="C5400" s="35" t="s">
        <v>422</v>
      </c>
      <c r="D5400" t="s">
        <v>502</v>
      </c>
      <c r="E5400" t="s">
        <v>520</v>
      </c>
      <c r="F5400" s="188" t="n">
        <v>2029</v>
      </c>
      <c r="G5400" s="189" t="n">
        <v>68</v>
      </c>
      <c r="H5400" s="190" t="n">
        <v>24895.2704231349</v>
      </c>
      <c r="I5400" s="191" t="n">
        <v>1988949.93403042</v>
      </c>
      <c r="J5400" s="192" t="str">
        <f>IF(I5400&gt;0,H5400/I5400,0)</f>
      </c>
      <c r="K5400" s="193" t="str">
        <f>1-EXP(-J5400)</f>
      </c>
      <c r="L5400" s="194" t="str">
        <f>IF(G5400=30,1,M5399)</f>
      </c>
      <c r="M5400" s="195" t="str">
        <f>L5400*(1-K5400)</f>
      </c>
    </row>
    <row r="5401">
      <c r="A5401" t="s">
        <v>167</v>
      </c>
      <c r="B5401" t="s">
        <v>116</v>
      </c>
      <c r="C5401" s="35" t="s">
        <v>422</v>
      </c>
      <c r="D5401" t="s">
        <v>502</v>
      </c>
      <c r="E5401" t="s">
        <v>520</v>
      </c>
      <c r="F5401" s="188" t="n">
        <v>2029</v>
      </c>
      <c r="G5401" s="189" t="n">
        <v>69</v>
      </c>
      <c r="H5401" s="190" t="n">
        <v>25588.6049380203</v>
      </c>
      <c r="I5401" s="191" t="n">
        <v>1860676.92706363</v>
      </c>
      <c r="J5401" s="192" t="str">
        <f>IF(I5401&gt;0,H5401/I5401,0)</f>
      </c>
      <c r="K5401" s="193" t="str">
        <f>1-EXP(-J5401)</f>
      </c>
      <c r="L5401" s="194" t="str">
        <f>IF(G5401=30,1,M5400)</f>
      </c>
      <c r="M5401" s="195" t="str">
        <f>L5401*(1-K5401)</f>
      </c>
    </row>
    <row r="5402">
      <c r="A5402" t="s">
        <v>167</v>
      </c>
      <c r="B5402" t="s">
        <v>116</v>
      </c>
      <c r="C5402" s="35" t="s">
        <v>422</v>
      </c>
      <c r="D5402" t="s">
        <v>502</v>
      </c>
      <c r="E5402" t="s">
        <v>520</v>
      </c>
      <c r="F5402" s="188" t="n">
        <v>2030</v>
      </c>
      <c r="G5402" s="189" t="n">
        <v>30</v>
      </c>
      <c r="H5402" s="190" t="n">
        <v>891.276046944729</v>
      </c>
      <c r="I5402" s="191" t="n">
        <v>4327223.12323887</v>
      </c>
      <c r="J5402" s="192" t="str">
        <f>IF(I5402&gt;0,H5402/I5402,0)</f>
      </c>
      <c r="K5402" s="193" t="str">
        <f>1-EXP(-J5402)</f>
      </c>
      <c r="L5402" s="194" t="str">
        <f>IF(G5402=30,1,M5401)</f>
      </c>
      <c r="M5402" s="195" t="str">
        <f>L5402*(1-K5402)</f>
      </c>
    </row>
    <row r="5403">
      <c r="A5403" t="s">
        <v>167</v>
      </c>
      <c r="B5403" t="s">
        <v>116</v>
      </c>
      <c r="C5403" s="35" t="s">
        <v>422</v>
      </c>
      <c r="D5403" t="s">
        <v>502</v>
      </c>
      <c r="E5403" t="s">
        <v>520</v>
      </c>
      <c r="F5403" s="188" t="n">
        <v>2030</v>
      </c>
      <c r="G5403" s="189" t="n">
        <v>31</v>
      </c>
      <c r="H5403" s="190" t="n">
        <v>1013.97817752274</v>
      </c>
      <c r="I5403" s="191" t="n">
        <v>4347683.29751936</v>
      </c>
      <c r="J5403" s="192" t="str">
        <f>IF(I5403&gt;0,H5403/I5403,0)</f>
      </c>
      <c r="K5403" s="193" t="str">
        <f>1-EXP(-J5403)</f>
      </c>
      <c r="L5403" s="194" t="str">
        <f>IF(G5403=30,1,M5402)</f>
      </c>
      <c r="M5403" s="195" t="str">
        <f>L5403*(1-K5403)</f>
      </c>
    </row>
    <row r="5404">
      <c r="A5404" t="s">
        <v>167</v>
      </c>
      <c r="B5404" t="s">
        <v>116</v>
      </c>
      <c r="C5404" s="35" t="s">
        <v>422</v>
      </c>
      <c r="D5404" t="s">
        <v>502</v>
      </c>
      <c r="E5404" t="s">
        <v>520</v>
      </c>
      <c r="F5404" s="188" t="n">
        <v>2030</v>
      </c>
      <c r="G5404" s="189" t="n">
        <v>32</v>
      </c>
      <c r="H5404" s="190" t="n">
        <v>1084.59829965338</v>
      </c>
      <c r="I5404" s="191" t="n">
        <v>4407986.18353661</v>
      </c>
      <c r="J5404" s="192" t="str">
        <f>IF(I5404&gt;0,H5404/I5404,0)</f>
      </c>
      <c r="K5404" s="193" t="str">
        <f>1-EXP(-J5404)</f>
      </c>
      <c r="L5404" s="194" t="str">
        <f>IF(G5404=30,1,M5403)</f>
      </c>
      <c r="M5404" s="195" t="str">
        <f>L5404*(1-K5404)</f>
      </c>
    </row>
    <row r="5405">
      <c r="A5405" t="s">
        <v>167</v>
      </c>
      <c r="B5405" t="s">
        <v>116</v>
      </c>
      <c r="C5405" s="35" t="s">
        <v>422</v>
      </c>
      <c r="D5405" t="s">
        <v>502</v>
      </c>
      <c r="E5405" t="s">
        <v>520</v>
      </c>
      <c r="F5405" s="188" t="n">
        <v>2030</v>
      </c>
      <c r="G5405" s="189" t="n">
        <v>33</v>
      </c>
      <c r="H5405" s="190" t="n">
        <v>1372.84099788187</v>
      </c>
      <c r="I5405" s="191" t="n">
        <v>4548999.74380921</v>
      </c>
      <c r="J5405" s="192" t="str">
        <f>IF(I5405&gt;0,H5405/I5405,0)</f>
      </c>
      <c r="K5405" s="193" t="str">
        <f>1-EXP(-J5405)</f>
      </c>
      <c r="L5405" s="194" t="str">
        <f>IF(G5405=30,1,M5404)</f>
      </c>
      <c r="M5405" s="195" t="str">
        <f>L5405*(1-K5405)</f>
      </c>
    </row>
    <row r="5406">
      <c r="A5406" t="s">
        <v>167</v>
      </c>
      <c r="B5406" t="s">
        <v>116</v>
      </c>
      <c r="C5406" s="35" t="s">
        <v>422</v>
      </c>
      <c r="D5406" t="s">
        <v>502</v>
      </c>
      <c r="E5406" t="s">
        <v>520</v>
      </c>
      <c r="F5406" s="188" t="n">
        <v>2030</v>
      </c>
      <c r="G5406" s="189" t="n">
        <v>34</v>
      </c>
      <c r="H5406" s="190" t="n">
        <v>1443.39370336282</v>
      </c>
      <c r="I5406" s="191" t="n">
        <v>4506200.66098762</v>
      </c>
      <c r="J5406" s="192" t="str">
        <f>IF(I5406&gt;0,H5406/I5406,0)</f>
      </c>
      <c r="K5406" s="193" t="str">
        <f>1-EXP(-J5406)</f>
      </c>
      <c r="L5406" s="194" t="str">
        <f>IF(G5406=30,1,M5405)</f>
      </c>
      <c r="M5406" s="195" t="str">
        <f>L5406*(1-K5406)</f>
      </c>
    </row>
    <row r="5407">
      <c r="A5407" t="s">
        <v>167</v>
      </c>
      <c r="B5407" t="s">
        <v>116</v>
      </c>
      <c r="C5407" s="35" t="s">
        <v>422</v>
      </c>
      <c r="D5407" t="s">
        <v>502</v>
      </c>
      <c r="E5407" t="s">
        <v>520</v>
      </c>
      <c r="F5407" s="188" t="n">
        <v>2030</v>
      </c>
      <c r="G5407" s="189" t="n">
        <v>35</v>
      </c>
      <c r="H5407" s="190" t="n">
        <v>1931.94737296151</v>
      </c>
      <c r="I5407" s="191" t="n">
        <v>4433195.03637844</v>
      </c>
      <c r="J5407" s="192" t="str">
        <f>IF(I5407&gt;0,H5407/I5407,0)</f>
      </c>
      <c r="K5407" s="193" t="str">
        <f>1-EXP(-J5407)</f>
      </c>
      <c r="L5407" s="194" t="str">
        <f>IF(G5407=30,1,M5406)</f>
      </c>
      <c r="M5407" s="195" t="str">
        <f>L5407*(1-K5407)</f>
      </c>
    </row>
    <row r="5408">
      <c r="A5408" t="s">
        <v>167</v>
      </c>
      <c r="B5408" t="s">
        <v>116</v>
      </c>
      <c r="C5408" s="35" t="s">
        <v>422</v>
      </c>
      <c r="D5408" t="s">
        <v>502</v>
      </c>
      <c r="E5408" t="s">
        <v>520</v>
      </c>
      <c r="F5408" s="188" t="n">
        <v>2030</v>
      </c>
      <c r="G5408" s="189" t="n">
        <v>36</v>
      </c>
      <c r="H5408" s="190" t="n">
        <v>2025.1544349339</v>
      </c>
      <c r="I5408" s="191" t="n">
        <v>4375487.91336777</v>
      </c>
      <c r="J5408" s="192" t="str">
        <f>IF(I5408&gt;0,H5408/I5408,0)</f>
      </c>
      <c r="K5408" s="193" t="str">
        <f>1-EXP(-J5408)</f>
      </c>
      <c r="L5408" s="194" t="str">
        <f>IF(G5408=30,1,M5407)</f>
      </c>
      <c r="M5408" s="195" t="str">
        <f>L5408*(1-K5408)</f>
      </c>
    </row>
    <row r="5409">
      <c r="A5409" t="s">
        <v>167</v>
      </c>
      <c r="B5409" t="s">
        <v>116</v>
      </c>
      <c r="C5409" s="35" t="s">
        <v>422</v>
      </c>
      <c r="D5409" t="s">
        <v>502</v>
      </c>
      <c r="E5409" t="s">
        <v>520</v>
      </c>
      <c r="F5409" s="188" t="n">
        <v>2030</v>
      </c>
      <c r="G5409" s="189" t="n">
        <v>37</v>
      </c>
      <c r="H5409" s="190" t="n">
        <v>2149.50260114853</v>
      </c>
      <c r="I5409" s="191" t="n">
        <v>4321848.73404185</v>
      </c>
      <c r="J5409" s="192" t="str">
        <f>IF(I5409&gt;0,H5409/I5409,0)</f>
      </c>
      <c r="K5409" s="193" t="str">
        <f>1-EXP(-J5409)</f>
      </c>
      <c r="L5409" s="194" t="str">
        <f>IF(G5409=30,1,M5408)</f>
      </c>
      <c r="M5409" s="195" t="str">
        <f>L5409*(1-K5409)</f>
      </c>
    </row>
    <row r="5410">
      <c r="A5410" t="s">
        <v>167</v>
      </c>
      <c r="B5410" t="s">
        <v>116</v>
      </c>
      <c r="C5410" s="35" t="s">
        <v>422</v>
      </c>
      <c r="D5410" t="s">
        <v>502</v>
      </c>
      <c r="E5410" t="s">
        <v>520</v>
      </c>
      <c r="F5410" s="188" t="n">
        <v>2030</v>
      </c>
      <c r="G5410" s="189" t="n">
        <v>38</v>
      </c>
      <c r="H5410" s="190" t="n">
        <v>2332.62202982272</v>
      </c>
      <c r="I5410" s="191" t="n">
        <v>4359578.56452386</v>
      </c>
      <c r="J5410" s="192" t="str">
        <f>IF(I5410&gt;0,H5410/I5410,0)</f>
      </c>
      <c r="K5410" s="193" t="str">
        <f>1-EXP(-J5410)</f>
      </c>
      <c r="L5410" s="194" t="str">
        <f>IF(G5410=30,1,M5409)</f>
      </c>
      <c r="M5410" s="195" t="str">
        <f>L5410*(1-K5410)</f>
      </c>
    </row>
    <row r="5411">
      <c r="A5411" t="s">
        <v>167</v>
      </c>
      <c r="B5411" t="s">
        <v>116</v>
      </c>
      <c r="C5411" s="35" t="s">
        <v>422</v>
      </c>
      <c r="D5411" t="s">
        <v>502</v>
      </c>
      <c r="E5411" t="s">
        <v>520</v>
      </c>
      <c r="F5411" s="188" t="n">
        <v>2030</v>
      </c>
      <c r="G5411" s="189" t="n">
        <v>39</v>
      </c>
      <c r="H5411" s="190" t="n">
        <v>2525.27813917784</v>
      </c>
      <c r="I5411" s="191" t="n">
        <v>4377571.56823837</v>
      </c>
      <c r="J5411" s="192" t="str">
        <f>IF(I5411&gt;0,H5411/I5411,0)</f>
      </c>
      <c r="K5411" s="193" t="str">
        <f>1-EXP(-J5411)</f>
      </c>
      <c r="L5411" s="194" t="str">
        <f>IF(G5411=30,1,M5410)</f>
      </c>
      <c r="M5411" s="195" t="str">
        <f>L5411*(1-K5411)</f>
      </c>
    </row>
    <row r="5412">
      <c r="A5412" t="s">
        <v>167</v>
      </c>
      <c r="B5412" t="s">
        <v>116</v>
      </c>
      <c r="C5412" s="35" t="s">
        <v>422</v>
      </c>
      <c r="D5412" t="s">
        <v>502</v>
      </c>
      <c r="E5412" t="s">
        <v>520</v>
      </c>
      <c r="F5412" s="188" t="n">
        <v>2030</v>
      </c>
      <c r="G5412" s="189" t="n">
        <v>40</v>
      </c>
      <c r="H5412" s="190" t="n">
        <v>4778.04914791092</v>
      </c>
      <c r="I5412" s="191" t="n">
        <v>6445998.21057195</v>
      </c>
      <c r="J5412" s="192" t="str">
        <f>IF(I5412&gt;0,H5412/I5412,0)</f>
      </c>
      <c r="K5412" s="193" t="str">
        <f>1-EXP(-J5412)</f>
      </c>
      <c r="L5412" s="194" t="str">
        <f>IF(G5412=30,1,M5411)</f>
      </c>
      <c r="M5412" s="195" t="str">
        <f>L5412*(1-K5412)</f>
      </c>
    </row>
    <row r="5413">
      <c r="A5413" t="s">
        <v>167</v>
      </c>
      <c r="B5413" t="s">
        <v>116</v>
      </c>
      <c r="C5413" s="35" t="s">
        <v>422</v>
      </c>
      <c r="D5413" t="s">
        <v>502</v>
      </c>
      <c r="E5413" t="s">
        <v>520</v>
      </c>
      <c r="F5413" s="188" t="n">
        <v>2030</v>
      </c>
      <c r="G5413" s="189" t="n">
        <v>41</v>
      </c>
      <c r="H5413" s="190" t="n">
        <v>3645.55905426732</v>
      </c>
      <c r="I5413" s="191" t="n">
        <v>4335270.25126859</v>
      </c>
      <c r="J5413" s="192" t="str">
        <f>IF(I5413&gt;0,H5413/I5413,0)</f>
      </c>
      <c r="K5413" s="193" t="str">
        <f>1-EXP(-J5413)</f>
      </c>
      <c r="L5413" s="194" t="str">
        <f>IF(G5413=30,1,M5412)</f>
      </c>
      <c r="M5413" s="195" t="str">
        <f>L5413*(1-K5413)</f>
      </c>
    </row>
    <row r="5414">
      <c r="A5414" t="s">
        <v>167</v>
      </c>
      <c r="B5414" t="s">
        <v>116</v>
      </c>
      <c r="C5414" s="35" t="s">
        <v>422</v>
      </c>
      <c r="D5414" t="s">
        <v>502</v>
      </c>
      <c r="E5414" t="s">
        <v>520</v>
      </c>
      <c r="F5414" s="188" t="n">
        <v>2030</v>
      </c>
      <c r="G5414" s="189" t="n">
        <v>42</v>
      </c>
      <c r="H5414" s="190" t="n">
        <v>3945.46990304128</v>
      </c>
      <c r="I5414" s="191" t="n">
        <v>4318463.61340557</v>
      </c>
      <c r="J5414" s="192" t="str">
        <f>IF(I5414&gt;0,H5414/I5414,0)</f>
      </c>
      <c r="K5414" s="193" t="str">
        <f>1-EXP(-J5414)</f>
      </c>
      <c r="L5414" s="194" t="str">
        <f>IF(G5414=30,1,M5413)</f>
      </c>
      <c r="M5414" s="195" t="str">
        <f>L5414*(1-K5414)</f>
      </c>
    </row>
    <row r="5415">
      <c r="A5415" t="s">
        <v>167</v>
      </c>
      <c r="B5415" t="s">
        <v>116</v>
      </c>
      <c r="C5415" s="35" t="s">
        <v>422</v>
      </c>
      <c r="D5415" t="s">
        <v>502</v>
      </c>
      <c r="E5415" t="s">
        <v>520</v>
      </c>
      <c r="F5415" s="188" t="n">
        <v>2030</v>
      </c>
      <c r="G5415" s="189" t="n">
        <v>43</v>
      </c>
      <c r="H5415" s="190" t="n">
        <v>4169.63146700386</v>
      </c>
      <c r="I5415" s="191" t="n">
        <v>4186070.15891314</v>
      </c>
      <c r="J5415" s="192" t="str">
        <f>IF(I5415&gt;0,H5415/I5415,0)</f>
      </c>
      <c r="K5415" s="193" t="str">
        <f>1-EXP(-J5415)</f>
      </c>
      <c r="L5415" s="194" t="str">
        <f>IF(G5415=30,1,M5414)</f>
      </c>
      <c r="M5415" s="195" t="str">
        <f>L5415*(1-K5415)</f>
      </c>
    </row>
    <row r="5416">
      <c r="A5416" t="s">
        <v>167</v>
      </c>
      <c r="B5416" t="s">
        <v>116</v>
      </c>
      <c r="C5416" s="35" t="s">
        <v>422</v>
      </c>
      <c r="D5416" t="s">
        <v>502</v>
      </c>
      <c r="E5416" t="s">
        <v>520</v>
      </c>
      <c r="F5416" s="188" t="n">
        <v>2030</v>
      </c>
      <c r="G5416" s="189" t="n">
        <v>44</v>
      </c>
      <c r="H5416" s="190" t="n">
        <v>4520.37856996863</v>
      </c>
      <c r="I5416" s="191" t="n">
        <v>4151298.57032224</v>
      </c>
      <c r="J5416" s="192" t="str">
        <f>IF(I5416&gt;0,H5416/I5416,0)</f>
      </c>
      <c r="K5416" s="193" t="str">
        <f>1-EXP(-J5416)</f>
      </c>
      <c r="L5416" s="194" t="str">
        <f>IF(G5416=30,1,M5415)</f>
      </c>
      <c r="M5416" s="195" t="str">
        <f>L5416*(1-K5416)</f>
      </c>
    </row>
    <row r="5417">
      <c r="A5417" t="s">
        <v>167</v>
      </c>
      <c r="B5417" t="s">
        <v>116</v>
      </c>
      <c r="C5417" s="35" t="s">
        <v>422</v>
      </c>
      <c r="D5417" t="s">
        <v>502</v>
      </c>
      <c r="E5417" t="s">
        <v>520</v>
      </c>
      <c r="F5417" s="188" t="n">
        <v>2030</v>
      </c>
      <c r="G5417" s="189" t="n">
        <v>45</v>
      </c>
      <c r="H5417" s="190" t="n">
        <v>5942.43329815658</v>
      </c>
      <c r="I5417" s="191" t="n">
        <v>4210028.35666516</v>
      </c>
      <c r="J5417" s="192" t="str">
        <f>IF(I5417&gt;0,H5417/I5417,0)</f>
      </c>
      <c r="K5417" s="193" t="str">
        <f>1-EXP(-J5417)</f>
      </c>
      <c r="L5417" s="194" t="str">
        <f>IF(G5417=30,1,M5416)</f>
      </c>
      <c r="M5417" s="195" t="str">
        <f>L5417*(1-K5417)</f>
      </c>
    </row>
    <row r="5418">
      <c r="A5418" t="s">
        <v>167</v>
      </c>
      <c r="B5418" t="s">
        <v>116</v>
      </c>
      <c r="C5418" s="35" t="s">
        <v>422</v>
      </c>
      <c r="D5418" t="s">
        <v>502</v>
      </c>
      <c r="E5418" t="s">
        <v>520</v>
      </c>
      <c r="F5418" s="188" t="n">
        <v>2030</v>
      </c>
      <c r="G5418" s="189" t="n">
        <v>46</v>
      </c>
      <c r="H5418" s="190" t="n">
        <v>6601.60975987998</v>
      </c>
      <c r="I5418" s="191" t="n">
        <v>4292760.92159154</v>
      </c>
      <c r="J5418" s="192" t="str">
        <f>IF(I5418&gt;0,H5418/I5418,0)</f>
      </c>
      <c r="K5418" s="193" t="str">
        <f>1-EXP(-J5418)</f>
      </c>
      <c r="L5418" s="194" t="str">
        <f>IF(G5418=30,1,M5417)</f>
      </c>
      <c r="M5418" s="195" t="str">
        <f>L5418*(1-K5418)</f>
      </c>
    </row>
    <row r="5419">
      <c r="A5419" t="s">
        <v>167</v>
      </c>
      <c r="B5419" t="s">
        <v>116</v>
      </c>
      <c r="C5419" s="35" t="s">
        <v>422</v>
      </c>
      <c r="D5419" t="s">
        <v>502</v>
      </c>
      <c r="E5419" t="s">
        <v>520</v>
      </c>
      <c r="F5419" s="188" t="n">
        <v>2030</v>
      </c>
      <c r="G5419" s="189" t="n">
        <v>47</v>
      </c>
      <c r="H5419" s="190" t="n">
        <v>7206.72232518172</v>
      </c>
      <c r="I5419" s="191" t="n">
        <v>4267565.53220736</v>
      </c>
      <c r="J5419" s="192" t="str">
        <f>IF(I5419&gt;0,H5419/I5419,0)</f>
      </c>
      <c r="K5419" s="193" t="str">
        <f>1-EXP(-J5419)</f>
      </c>
      <c r="L5419" s="194" t="str">
        <f>IF(G5419=30,1,M5418)</f>
      </c>
      <c r="M5419" s="195" t="str">
        <f>L5419*(1-K5419)</f>
      </c>
    </row>
    <row r="5420">
      <c r="A5420" t="s">
        <v>167</v>
      </c>
      <c r="B5420" t="s">
        <v>116</v>
      </c>
      <c r="C5420" s="35" t="s">
        <v>422</v>
      </c>
      <c r="D5420" t="s">
        <v>502</v>
      </c>
      <c r="E5420" t="s">
        <v>520</v>
      </c>
      <c r="F5420" s="188" t="n">
        <v>2030</v>
      </c>
      <c r="G5420" s="189" t="n">
        <v>48</v>
      </c>
      <c r="H5420" s="190" t="n">
        <v>7660.12702139099</v>
      </c>
      <c r="I5420" s="191" t="n">
        <v>4130028.93538738</v>
      </c>
      <c r="J5420" s="192" t="str">
        <f>IF(I5420&gt;0,H5420/I5420,0)</f>
      </c>
      <c r="K5420" s="193" t="str">
        <f>1-EXP(-J5420)</f>
      </c>
      <c r="L5420" s="194" t="str">
        <f>IF(G5420=30,1,M5419)</f>
      </c>
      <c r="M5420" s="195" t="str">
        <f>L5420*(1-K5420)</f>
      </c>
    </row>
    <row r="5421">
      <c r="A5421" t="s">
        <v>167</v>
      </c>
      <c r="B5421" t="s">
        <v>116</v>
      </c>
      <c r="C5421" s="35" t="s">
        <v>422</v>
      </c>
      <c r="D5421" t="s">
        <v>502</v>
      </c>
      <c r="E5421" t="s">
        <v>520</v>
      </c>
      <c r="F5421" s="188" t="n">
        <v>2030</v>
      </c>
      <c r="G5421" s="189" t="n">
        <v>49</v>
      </c>
      <c r="H5421" s="190" t="n">
        <v>8246.93084539782</v>
      </c>
      <c r="I5421" s="191" t="n">
        <v>4054604.37875959</v>
      </c>
      <c r="J5421" s="192" t="str">
        <f>IF(I5421&gt;0,H5421/I5421,0)</f>
      </c>
      <c r="K5421" s="193" t="str">
        <f>1-EXP(-J5421)</f>
      </c>
      <c r="L5421" s="194" t="str">
        <f>IF(G5421=30,1,M5420)</f>
      </c>
      <c r="M5421" s="195" t="str">
        <f>L5421*(1-K5421)</f>
      </c>
    </row>
    <row r="5422">
      <c r="A5422" t="s">
        <v>167</v>
      </c>
      <c r="B5422" t="s">
        <v>116</v>
      </c>
      <c r="C5422" s="35" t="s">
        <v>422</v>
      </c>
      <c r="D5422" t="s">
        <v>502</v>
      </c>
      <c r="E5422" t="s">
        <v>520</v>
      </c>
      <c r="F5422" s="188" t="n">
        <v>2030</v>
      </c>
      <c r="G5422" s="189" t="n">
        <v>50</v>
      </c>
      <c r="H5422" s="190" t="n">
        <v>9475.90781781416</v>
      </c>
      <c r="I5422" s="191" t="n">
        <v>3994833.01987633</v>
      </c>
      <c r="J5422" s="192" t="str">
        <f>IF(I5422&gt;0,H5422/I5422,0)</f>
      </c>
      <c r="K5422" s="193" t="str">
        <f>1-EXP(-J5422)</f>
      </c>
      <c r="L5422" s="194" t="str">
        <f>IF(G5422=30,1,M5421)</f>
      </c>
      <c r="M5422" s="195" t="str">
        <f>L5422*(1-K5422)</f>
      </c>
    </row>
    <row r="5423">
      <c r="A5423" t="s">
        <v>167</v>
      </c>
      <c r="B5423" t="s">
        <v>116</v>
      </c>
      <c r="C5423" s="35" t="s">
        <v>422</v>
      </c>
      <c r="D5423" t="s">
        <v>502</v>
      </c>
      <c r="E5423" t="s">
        <v>520</v>
      </c>
      <c r="F5423" s="188" t="n">
        <v>2030</v>
      </c>
      <c r="G5423" s="189" t="n">
        <v>51</v>
      </c>
      <c r="H5423" s="190" t="n">
        <v>10242.0921996155</v>
      </c>
      <c r="I5423" s="191" t="n">
        <v>3928665.93287961</v>
      </c>
      <c r="J5423" s="192" t="str">
        <f>IF(I5423&gt;0,H5423/I5423,0)</f>
      </c>
      <c r="K5423" s="193" t="str">
        <f>1-EXP(-J5423)</f>
      </c>
      <c r="L5423" s="194" t="str">
        <f>IF(G5423=30,1,M5422)</f>
      </c>
      <c r="M5423" s="195" t="str">
        <f>L5423*(1-K5423)</f>
      </c>
    </row>
    <row r="5424">
      <c r="A5424" t="s">
        <v>167</v>
      </c>
      <c r="B5424" t="s">
        <v>116</v>
      </c>
      <c r="C5424" s="35" t="s">
        <v>422</v>
      </c>
      <c r="D5424" t="s">
        <v>502</v>
      </c>
      <c r="E5424" t="s">
        <v>520</v>
      </c>
      <c r="F5424" s="188" t="n">
        <v>2030</v>
      </c>
      <c r="G5424" s="189" t="n">
        <v>52</v>
      </c>
      <c r="H5424" s="190" t="n">
        <v>10962.8341651889</v>
      </c>
      <c r="I5424" s="191" t="n">
        <v>3843772.80524142</v>
      </c>
      <c r="J5424" s="192" t="str">
        <f>IF(I5424&gt;0,H5424/I5424,0)</f>
      </c>
      <c r="K5424" s="193" t="str">
        <f>1-EXP(-J5424)</f>
      </c>
      <c r="L5424" s="194" t="str">
        <f>IF(G5424=30,1,M5423)</f>
      </c>
      <c r="M5424" s="195" t="str">
        <f>L5424*(1-K5424)</f>
      </c>
    </row>
    <row r="5425">
      <c r="A5425" t="s">
        <v>167</v>
      </c>
      <c r="B5425" t="s">
        <v>116</v>
      </c>
      <c r="C5425" s="35" t="s">
        <v>422</v>
      </c>
      <c r="D5425" t="s">
        <v>502</v>
      </c>
      <c r="E5425" t="s">
        <v>520</v>
      </c>
      <c r="F5425" s="188" t="n">
        <v>2030</v>
      </c>
      <c r="G5425" s="189" t="n">
        <v>53</v>
      </c>
      <c r="H5425" s="190" t="n">
        <v>11790.4449748063</v>
      </c>
      <c r="I5425" s="191" t="n">
        <v>3775738.30361369</v>
      </c>
      <c r="J5425" s="192" t="str">
        <f>IF(I5425&gt;0,H5425/I5425,0)</f>
      </c>
      <c r="K5425" s="193" t="str">
        <f>1-EXP(-J5425)</f>
      </c>
      <c r="L5425" s="194" t="str">
        <f>IF(G5425=30,1,M5424)</f>
      </c>
      <c r="M5425" s="195" t="str">
        <f>L5425*(1-K5425)</f>
      </c>
    </row>
    <row r="5426">
      <c r="A5426" t="s">
        <v>167</v>
      </c>
      <c r="B5426" t="s">
        <v>116</v>
      </c>
      <c r="C5426" s="35" t="s">
        <v>422</v>
      </c>
      <c r="D5426" t="s">
        <v>502</v>
      </c>
      <c r="E5426" t="s">
        <v>520</v>
      </c>
      <c r="F5426" s="188" t="n">
        <v>2030</v>
      </c>
      <c r="G5426" s="189" t="n">
        <v>54</v>
      </c>
      <c r="H5426" s="190" t="n">
        <v>12621.009810259</v>
      </c>
      <c r="I5426" s="191" t="n">
        <v>3695782.57624855</v>
      </c>
      <c r="J5426" s="192" t="str">
        <f>IF(I5426&gt;0,H5426/I5426,0)</f>
      </c>
      <c r="K5426" s="193" t="str">
        <f>1-EXP(-J5426)</f>
      </c>
      <c r="L5426" s="194" t="str">
        <f>IF(G5426=30,1,M5425)</f>
      </c>
      <c r="M5426" s="195" t="str">
        <f>L5426*(1-K5426)</f>
      </c>
    </row>
    <row r="5427">
      <c r="A5427" t="s">
        <v>167</v>
      </c>
      <c r="B5427" t="s">
        <v>116</v>
      </c>
      <c r="C5427" s="35" t="s">
        <v>422</v>
      </c>
      <c r="D5427" t="s">
        <v>502</v>
      </c>
      <c r="E5427" t="s">
        <v>520</v>
      </c>
      <c r="F5427" s="188" t="n">
        <v>2030</v>
      </c>
      <c r="G5427" s="189" t="n">
        <v>55</v>
      </c>
      <c r="H5427" s="190" t="n">
        <v>13636.7020949508</v>
      </c>
      <c r="I5427" s="191" t="n">
        <v>3614946.27650153</v>
      </c>
      <c r="J5427" s="192" t="str">
        <f>IF(I5427&gt;0,H5427/I5427,0)</f>
      </c>
      <c r="K5427" s="193" t="str">
        <f>1-EXP(-J5427)</f>
      </c>
      <c r="L5427" s="194" t="str">
        <f>IF(G5427=30,1,M5426)</f>
      </c>
      <c r="M5427" s="195" t="str">
        <f>L5427*(1-K5427)</f>
      </c>
    </row>
    <row r="5428">
      <c r="A5428" t="s">
        <v>167</v>
      </c>
      <c r="B5428" t="s">
        <v>116</v>
      </c>
      <c r="C5428" s="35" t="s">
        <v>422</v>
      </c>
      <c r="D5428" t="s">
        <v>502</v>
      </c>
      <c r="E5428" t="s">
        <v>520</v>
      </c>
      <c r="F5428" s="188" t="n">
        <v>2030</v>
      </c>
      <c r="G5428" s="189" t="n">
        <v>56</v>
      </c>
      <c r="H5428" s="190" t="n">
        <v>14389.9809776793</v>
      </c>
      <c r="I5428" s="191" t="n">
        <v>3506296.01284389</v>
      </c>
      <c r="J5428" s="192" t="str">
        <f>IF(I5428&gt;0,H5428/I5428,0)</f>
      </c>
      <c r="K5428" s="193" t="str">
        <f>1-EXP(-J5428)</f>
      </c>
      <c r="L5428" s="194" t="str">
        <f>IF(G5428=30,1,M5427)</f>
      </c>
      <c r="M5428" s="195" t="str">
        <f>L5428*(1-K5428)</f>
      </c>
    </row>
    <row r="5429">
      <c r="A5429" t="s">
        <v>167</v>
      </c>
      <c r="B5429" t="s">
        <v>116</v>
      </c>
      <c r="C5429" s="35" t="s">
        <v>422</v>
      </c>
      <c r="D5429" t="s">
        <v>502</v>
      </c>
      <c r="E5429" t="s">
        <v>520</v>
      </c>
      <c r="F5429" s="188" t="n">
        <v>2030</v>
      </c>
      <c r="G5429" s="189" t="n">
        <v>57</v>
      </c>
      <c r="H5429" s="190" t="n">
        <v>15526.6775764708</v>
      </c>
      <c r="I5429" s="191" t="n">
        <v>3457361.81603715</v>
      </c>
      <c r="J5429" s="192" t="str">
        <f>IF(I5429&gt;0,H5429/I5429,0)</f>
      </c>
      <c r="K5429" s="193" t="str">
        <f>1-EXP(-J5429)</f>
      </c>
      <c r="L5429" s="194" t="str">
        <f>IF(G5429=30,1,M5428)</f>
      </c>
      <c r="M5429" s="195" t="str">
        <f>L5429*(1-K5429)</f>
      </c>
    </row>
    <row r="5430">
      <c r="A5430" t="s">
        <v>167</v>
      </c>
      <c r="B5430" t="s">
        <v>116</v>
      </c>
      <c r="C5430" s="35" t="s">
        <v>422</v>
      </c>
      <c r="D5430" t="s">
        <v>502</v>
      </c>
      <c r="E5430" t="s">
        <v>520</v>
      </c>
      <c r="F5430" s="188" t="n">
        <v>2030</v>
      </c>
      <c r="G5430" s="189" t="n">
        <v>58</v>
      </c>
      <c r="H5430" s="190" t="n">
        <v>15978.7772695134</v>
      </c>
      <c r="I5430" s="191" t="n">
        <v>3246605.7018296</v>
      </c>
      <c r="J5430" s="192" t="str">
        <f>IF(I5430&gt;0,H5430/I5430,0)</f>
      </c>
      <c r="K5430" s="193" t="str">
        <f>1-EXP(-J5430)</f>
      </c>
      <c r="L5430" s="194" t="str">
        <f>IF(G5430=30,1,M5429)</f>
      </c>
      <c r="M5430" s="195" t="str">
        <f>L5430*(1-K5430)</f>
      </c>
    </row>
    <row r="5431">
      <c r="A5431" t="s">
        <v>167</v>
      </c>
      <c r="B5431" t="s">
        <v>116</v>
      </c>
      <c r="C5431" s="35" t="s">
        <v>422</v>
      </c>
      <c r="D5431" t="s">
        <v>502</v>
      </c>
      <c r="E5431" t="s">
        <v>520</v>
      </c>
      <c r="F5431" s="188" t="n">
        <v>2030</v>
      </c>
      <c r="G5431" s="189" t="n">
        <v>59</v>
      </c>
      <c r="H5431" s="190" t="n">
        <v>17005.6168616433</v>
      </c>
      <c r="I5431" s="191" t="n">
        <v>3155585.52023893</v>
      </c>
      <c r="J5431" s="192" t="str">
        <f>IF(I5431&gt;0,H5431/I5431,0)</f>
      </c>
      <c r="K5431" s="193" t="str">
        <f>1-EXP(-J5431)</f>
      </c>
      <c r="L5431" s="194" t="str">
        <f>IF(G5431=30,1,M5430)</f>
      </c>
      <c r="M5431" s="195" t="str">
        <f>L5431*(1-K5431)</f>
      </c>
    </row>
    <row r="5432">
      <c r="A5432" t="s">
        <v>167</v>
      </c>
      <c r="B5432" t="s">
        <v>116</v>
      </c>
      <c r="C5432" s="35" t="s">
        <v>422</v>
      </c>
      <c r="D5432" t="s">
        <v>502</v>
      </c>
      <c r="E5432" t="s">
        <v>520</v>
      </c>
      <c r="F5432" s="188" t="n">
        <v>2030</v>
      </c>
      <c r="G5432" s="189" t="n">
        <v>60</v>
      </c>
      <c r="H5432" s="190" t="n">
        <v>18431.2167284684</v>
      </c>
      <c r="I5432" s="191" t="n">
        <v>3068664.06687137</v>
      </c>
      <c r="J5432" s="192" t="str">
        <f>IF(I5432&gt;0,H5432/I5432,0)</f>
      </c>
      <c r="K5432" s="193" t="str">
        <f>1-EXP(-J5432)</f>
      </c>
      <c r="L5432" s="194" t="str">
        <f>IF(G5432=30,1,M5431)</f>
      </c>
      <c r="M5432" s="195" t="str">
        <f>L5432*(1-K5432)</f>
      </c>
    </row>
    <row r="5433">
      <c r="A5433" t="s">
        <v>167</v>
      </c>
      <c r="B5433" t="s">
        <v>116</v>
      </c>
      <c r="C5433" s="35" t="s">
        <v>422</v>
      </c>
      <c r="D5433" t="s">
        <v>502</v>
      </c>
      <c r="E5433" t="s">
        <v>520</v>
      </c>
      <c r="F5433" s="188" t="n">
        <v>2030</v>
      </c>
      <c r="G5433" s="189" t="n">
        <v>61</v>
      </c>
      <c r="H5433" s="190" t="n">
        <v>19810.720181522</v>
      </c>
      <c r="I5433" s="191" t="n">
        <v>2971914.52757257</v>
      </c>
      <c r="J5433" s="192" t="str">
        <f>IF(I5433&gt;0,H5433/I5433,0)</f>
      </c>
      <c r="K5433" s="193" t="str">
        <f>1-EXP(-J5433)</f>
      </c>
      <c r="L5433" s="194" t="str">
        <f>IF(G5433=30,1,M5432)</f>
      </c>
      <c r="M5433" s="195" t="str">
        <f>L5433*(1-K5433)</f>
      </c>
    </row>
    <row r="5434">
      <c r="A5434" t="s">
        <v>167</v>
      </c>
      <c r="B5434" t="s">
        <v>116</v>
      </c>
      <c r="C5434" s="35" t="s">
        <v>422</v>
      </c>
      <c r="D5434" t="s">
        <v>502</v>
      </c>
      <c r="E5434" t="s">
        <v>520</v>
      </c>
      <c r="F5434" s="188" t="n">
        <v>2030</v>
      </c>
      <c r="G5434" s="189" t="n">
        <v>62</v>
      </c>
      <c r="H5434" s="190" t="n">
        <v>20834.6970468669</v>
      </c>
      <c r="I5434" s="191" t="n">
        <v>2855952.92271357</v>
      </c>
      <c r="J5434" s="192" t="str">
        <f>IF(I5434&gt;0,H5434/I5434,0)</f>
      </c>
      <c r="K5434" s="193" t="str">
        <f>1-EXP(-J5434)</f>
      </c>
      <c r="L5434" s="194" t="str">
        <f>IF(G5434=30,1,M5433)</f>
      </c>
      <c r="M5434" s="195" t="str">
        <f>L5434*(1-K5434)</f>
      </c>
    </row>
    <row r="5435">
      <c r="A5435" t="s">
        <v>167</v>
      </c>
      <c r="B5435" t="s">
        <v>116</v>
      </c>
      <c r="C5435" s="35" t="s">
        <v>422</v>
      </c>
      <c r="D5435" t="s">
        <v>502</v>
      </c>
      <c r="E5435" t="s">
        <v>520</v>
      </c>
      <c r="F5435" s="188" t="n">
        <v>2030</v>
      </c>
      <c r="G5435" s="189" t="n">
        <v>63</v>
      </c>
      <c r="H5435" s="190" t="n">
        <v>21672.3551559895</v>
      </c>
      <c r="I5435" s="191" t="n">
        <v>2709564.22823548</v>
      </c>
      <c r="J5435" s="192" t="str">
        <f>IF(I5435&gt;0,H5435/I5435,0)</f>
      </c>
      <c r="K5435" s="193" t="str">
        <f>1-EXP(-J5435)</f>
      </c>
      <c r="L5435" s="194" t="str">
        <f>IF(G5435=30,1,M5434)</f>
      </c>
      <c r="M5435" s="195" t="str">
        <f>L5435*(1-K5435)</f>
      </c>
    </row>
    <row r="5436">
      <c r="A5436" t="s">
        <v>167</v>
      </c>
      <c r="B5436" t="s">
        <v>116</v>
      </c>
      <c r="C5436" s="35" t="s">
        <v>422</v>
      </c>
      <c r="D5436" t="s">
        <v>502</v>
      </c>
      <c r="E5436" t="s">
        <v>520</v>
      </c>
      <c r="F5436" s="188" t="n">
        <v>2030</v>
      </c>
      <c r="G5436" s="189" t="n">
        <v>64</v>
      </c>
      <c r="H5436" s="190" t="n">
        <v>22782.6689677492</v>
      </c>
      <c r="I5436" s="191" t="n">
        <v>2598703.58283653</v>
      </c>
      <c r="J5436" s="192" t="str">
        <f>IF(I5436&gt;0,H5436/I5436,0)</f>
      </c>
      <c r="K5436" s="193" t="str">
        <f>1-EXP(-J5436)</f>
      </c>
      <c r="L5436" s="194" t="str">
        <f>IF(G5436=30,1,M5435)</f>
      </c>
      <c r="M5436" s="195" t="str">
        <f>L5436*(1-K5436)</f>
      </c>
    </row>
    <row r="5437">
      <c r="A5437" t="s">
        <v>167</v>
      </c>
      <c r="B5437" t="s">
        <v>116</v>
      </c>
      <c r="C5437" s="35" t="s">
        <v>422</v>
      </c>
      <c r="D5437" t="s">
        <v>502</v>
      </c>
      <c r="E5437" t="s">
        <v>520</v>
      </c>
      <c r="F5437" s="188" t="n">
        <v>2030</v>
      </c>
      <c r="G5437" s="189" t="n">
        <v>65</v>
      </c>
      <c r="H5437" s="190" t="n">
        <v>23021.591631427</v>
      </c>
      <c r="I5437" s="191" t="n">
        <v>2466916.60140787</v>
      </c>
      <c r="J5437" s="192" t="str">
        <f>IF(I5437&gt;0,H5437/I5437,0)</f>
      </c>
      <c r="K5437" s="193" t="str">
        <f>1-EXP(-J5437)</f>
      </c>
      <c r="L5437" s="194" t="str">
        <f>IF(G5437=30,1,M5436)</f>
      </c>
      <c r="M5437" s="195" t="str">
        <f>L5437*(1-K5437)</f>
      </c>
    </row>
    <row r="5438">
      <c r="A5438" t="s">
        <v>167</v>
      </c>
      <c r="B5438" t="s">
        <v>116</v>
      </c>
      <c r="C5438" s="35" t="s">
        <v>422</v>
      </c>
      <c r="D5438" t="s">
        <v>502</v>
      </c>
      <c r="E5438" t="s">
        <v>520</v>
      </c>
      <c r="F5438" s="188" t="n">
        <v>2030</v>
      </c>
      <c r="G5438" s="189" t="n">
        <v>66</v>
      </c>
      <c r="H5438" s="190" t="n">
        <v>23866.9817208181</v>
      </c>
      <c r="I5438" s="191" t="n">
        <v>2335666.4665158</v>
      </c>
      <c r="J5438" s="192" t="str">
        <f>IF(I5438&gt;0,H5438/I5438,0)</f>
      </c>
      <c r="K5438" s="193" t="str">
        <f>1-EXP(-J5438)</f>
      </c>
      <c r="L5438" s="194" t="str">
        <f>IF(G5438=30,1,M5437)</f>
      </c>
      <c r="M5438" s="195" t="str">
        <f>L5438*(1-K5438)</f>
      </c>
    </row>
    <row r="5439">
      <c r="A5439" t="s">
        <v>167</v>
      </c>
      <c r="B5439" t="s">
        <v>116</v>
      </c>
      <c r="C5439" s="35" t="s">
        <v>422</v>
      </c>
      <c r="D5439" t="s">
        <v>502</v>
      </c>
      <c r="E5439" t="s">
        <v>520</v>
      </c>
      <c r="F5439" s="188" t="n">
        <v>2030</v>
      </c>
      <c r="G5439" s="189" t="n">
        <v>67</v>
      </c>
      <c r="H5439" s="190" t="n">
        <v>24781.3831625992</v>
      </c>
      <c r="I5439" s="191" t="n">
        <v>2208981.94053647</v>
      </c>
      <c r="J5439" s="192" t="str">
        <f>IF(I5439&gt;0,H5439/I5439,0)</f>
      </c>
      <c r="K5439" s="193" t="str">
        <f>1-EXP(-J5439)</f>
      </c>
      <c r="L5439" s="194" t="str">
        <f>IF(G5439=30,1,M5438)</f>
      </c>
      <c r="M5439" s="195" t="str">
        <f>L5439*(1-K5439)</f>
      </c>
    </row>
    <row r="5440">
      <c r="A5440" t="s">
        <v>167</v>
      </c>
      <c r="B5440" t="s">
        <v>116</v>
      </c>
      <c r="C5440" s="35" t="s">
        <v>422</v>
      </c>
      <c r="D5440" t="s">
        <v>502</v>
      </c>
      <c r="E5440" t="s">
        <v>520</v>
      </c>
      <c r="F5440" s="188" t="n">
        <v>2030</v>
      </c>
      <c r="G5440" s="189" t="n">
        <v>68</v>
      </c>
      <c r="H5440" s="190" t="n">
        <v>25448.503233745</v>
      </c>
      <c r="I5440" s="191" t="n">
        <v>2057900.78612389</v>
      </c>
      <c r="J5440" s="192" t="str">
        <f>IF(I5440&gt;0,H5440/I5440,0)</f>
      </c>
      <c r="K5440" s="193" t="str">
        <f>1-EXP(-J5440)</f>
      </c>
      <c r="L5440" s="194" t="str">
        <f>IF(G5440=30,1,M5439)</f>
      </c>
      <c r="M5440" s="195" t="str">
        <f>L5440*(1-K5440)</f>
      </c>
    </row>
    <row r="5441">
      <c r="A5441" t="s">
        <v>167</v>
      </c>
      <c r="B5441" t="s">
        <v>116</v>
      </c>
      <c r="C5441" s="35" t="s">
        <v>422</v>
      </c>
      <c r="D5441" t="s">
        <v>502</v>
      </c>
      <c r="E5441" t="s">
        <v>520</v>
      </c>
      <c r="F5441" s="188" t="n">
        <v>2030</v>
      </c>
      <c r="G5441" s="189" t="n">
        <v>69</v>
      </c>
      <c r="H5441" s="190" t="n">
        <v>26248.510774717</v>
      </c>
      <c r="I5441" s="191" t="n">
        <v>1931259.33252673</v>
      </c>
      <c r="J5441" s="192" t="str">
        <f>IF(I5441&gt;0,H5441/I5441,0)</f>
      </c>
      <c r="K5441" s="193" t="str">
        <f>1-EXP(-J5441)</f>
      </c>
      <c r="L5441" s="194" t="str">
        <f>IF(G5441=30,1,M5440)</f>
      </c>
      <c r="M5441" s="195" t="str">
        <f>L5441*(1-K5441)</f>
      </c>
    </row>
    <row r="5442">
      <c r="A5442" t="s">
        <v>167</v>
      </c>
      <c r="B5442" t="s">
        <v>116</v>
      </c>
      <c r="C5442" s="35" t="s">
        <v>422</v>
      </c>
      <c r="D5442" t="s">
        <v>502</v>
      </c>
      <c r="E5442" t="s">
        <v>520</v>
      </c>
      <c r="F5442" s="188" t="n">
        <v>2031</v>
      </c>
      <c r="G5442" s="189" t="n">
        <v>30</v>
      </c>
      <c r="H5442" s="190" t="n">
        <v>892.433765280375</v>
      </c>
      <c r="I5442" s="191" t="n">
        <v>4341098.99874664</v>
      </c>
      <c r="J5442" s="192" t="str">
        <f>IF(I5442&gt;0,H5442/I5442,0)</f>
      </c>
      <c r="K5442" s="193" t="str">
        <f>1-EXP(-J5442)</f>
      </c>
      <c r="L5442" s="194" t="str">
        <f>IF(G5442=30,1,M5441)</f>
      </c>
      <c r="M5442" s="195" t="str">
        <f>L5442*(1-K5442)</f>
      </c>
    </row>
    <row r="5443">
      <c r="A5443" t="s">
        <v>167</v>
      </c>
      <c r="B5443" t="s">
        <v>116</v>
      </c>
      <c r="C5443" s="35" t="s">
        <v>422</v>
      </c>
      <c r="D5443" t="s">
        <v>502</v>
      </c>
      <c r="E5443" t="s">
        <v>520</v>
      </c>
      <c r="F5443" s="188" t="n">
        <v>2031</v>
      </c>
      <c r="G5443" s="189" t="n">
        <v>31</v>
      </c>
      <c r="H5443" s="190" t="n">
        <v>1007.34669823957</v>
      </c>
      <c r="I5443" s="191" t="n">
        <v>4321395.32742959</v>
      </c>
      <c r="J5443" s="192" t="str">
        <f>IF(I5443&gt;0,H5443/I5443,0)</f>
      </c>
      <c r="K5443" s="193" t="str">
        <f>1-EXP(-J5443)</f>
      </c>
      <c r="L5443" s="194" t="str">
        <f>IF(G5443=30,1,M5442)</f>
      </c>
      <c r="M5443" s="195" t="str">
        <f>L5443*(1-K5443)</f>
      </c>
    </row>
    <row r="5444">
      <c r="A5444" t="s">
        <v>167</v>
      </c>
      <c r="B5444" t="s">
        <v>116</v>
      </c>
      <c r="C5444" s="35" t="s">
        <v>422</v>
      </c>
      <c r="D5444" t="s">
        <v>502</v>
      </c>
      <c r="E5444" t="s">
        <v>520</v>
      </c>
      <c r="F5444" s="188" t="n">
        <v>2031</v>
      </c>
      <c r="G5444" s="189" t="n">
        <v>32</v>
      </c>
      <c r="H5444" s="190" t="n">
        <v>1067.24999262226</v>
      </c>
      <c r="I5444" s="191" t="n">
        <v>4341982.66258413</v>
      </c>
      <c r="J5444" s="192" t="str">
        <f>IF(I5444&gt;0,H5444/I5444,0)</f>
      </c>
      <c r="K5444" s="193" t="str">
        <f>1-EXP(-J5444)</f>
      </c>
      <c r="L5444" s="194" t="str">
        <f>IF(G5444=30,1,M5443)</f>
      </c>
      <c r="M5444" s="195" t="str">
        <f>L5444*(1-K5444)</f>
      </c>
    </row>
    <row r="5445">
      <c r="A5445" t="s">
        <v>167</v>
      </c>
      <c r="B5445" t="s">
        <v>116</v>
      </c>
      <c r="C5445" s="35" t="s">
        <v>422</v>
      </c>
      <c r="D5445" t="s">
        <v>502</v>
      </c>
      <c r="E5445" t="s">
        <v>520</v>
      </c>
      <c r="F5445" s="188" t="n">
        <v>2031</v>
      </c>
      <c r="G5445" s="189" t="n">
        <v>33</v>
      </c>
      <c r="H5445" s="190" t="n">
        <v>1148.62087844117</v>
      </c>
      <c r="I5445" s="191" t="n">
        <v>4401958.71642852</v>
      </c>
      <c r="J5445" s="192" t="str">
        <f>IF(I5445&gt;0,H5445/I5445,0)</f>
      </c>
      <c r="K5445" s="193" t="str">
        <f>1-EXP(-J5445)</f>
      </c>
      <c r="L5445" s="194" t="str">
        <f>IF(G5445=30,1,M5444)</f>
      </c>
      <c r="M5445" s="195" t="str">
        <f>L5445*(1-K5445)</f>
      </c>
    </row>
    <row r="5446">
      <c r="A5446" t="s">
        <v>167</v>
      </c>
      <c r="B5446" t="s">
        <v>116</v>
      </c>
      <c r="C5446" s="35" t="s">
        <v>422</v>
      </c>
      <c r="D5446" t="s">
        <v>502</v>
      </c>
      <c r="E5446" t="s">
        <v>520</v>
      </c>
      <c r="F5446" s="188" t="n">
        <v>2031</v>
      </c>
      <c r="G5446" s="189" t="n">
        <v>34</v>
      </c>
      <c r="H5446" s="190" t="n">
        <v>1456.76743434234</v>
      </c>
      <c r="I5446" s="191" t="n">
        <v>4542267.95596009</v>
      </c>
      <c r="J5446" s="192" t="str">
        <f>IF(I5446&gt;0,H5446/I5446,0)</f>
      </c>
      <c r="K5446" s="193" t="str">
        <f>1-EXP(-J5446)</f>
      </c>
      <c r="L5446" s="194" t="str">
        <f>IF(G5446=30,1,M5445)</f>
      </c>
      <c r="M5446" s="195" t="str">
        <f>L5446*(1-K5446)</f>
      </c>
    </row>
    <row r="5447">
      <c r="A5447" t="s">
        <v>167</v>
      </c>
      <c r="B5447" t="s">
        <v>116</v>
      </c>
      <c r="C5447" s="35" t="s">
        <v>422</v>
      </c>
      <c r="D5447" t="s">
        <v>502</v>
      </c>
      <c r="E5447" t="s">
        <v>520</v>
      </c>
      <c r="F5447" s="188" t="n">
        <v>2031</v>
      </c>
      <c r="G5447" s="189" t="n">
        <v>35</v>
      </c>
      <c r="H5447" s="190" t="n">
        <v>1955.66794773461</v>
      </c>
      <c r="I5447" s="191" t="n">
        <v>4499168.68841042</v>
      </c>
      <c r="J5447" s="192" t="str">
        <f>IF(I5447&gt;0,H5447/I5447,0)</f>
      </c>
      <c r="K5447" s="193" t="str">
        <f>1-EXP(-J5447)</f>
      </c>
      <c r="L5447" s="194" t="str">
        <f>IF(G5447=30,1,M5446)</f>
      </c>
      <c r="M5447" s="195" t="str">
        <f>L5447*(1-K5447)</f>
      </c>
    </row>
    <row r="5448">
      <c r="A5448" t="s">
        <v>167</v>
      </c>
      <c r="B5448" t="s">
        <v>116</v>
      </c>
      <c r="C5448" s="35" t="s">
        <v>422</v>
      </c>
      <c r="D5448" t="s">
        <v>502</v>
      </c>
      <c r="E5448" t="s">
        <v>520</v>
      </c>
      <c r="F5448" s="188" t="n">
        <v>2031</v>
      </c>
      <c r="G5448" s="189" t="n">
        <v>36</v>
      </c>
      <c r="H5448" s="190" t="n">
        <v>2042.38634207859</v>
      </c>
      <c r="I5448" s="191" t="n">
        <v>4425387.89495739</v>
      </c>
      <c r="J5448" s="192" t="str">
        <f>IF(I5448&gt;0,H5448/I5448,0)</f>
      </c>
      <c r="K5448" s="193" t="str">
        <f>1-EXP(-J5448)</f>
      </c>
      <c r="L5448" s="194" t="str">
        <f>IF(G5448=30,1,M5447)</f>
      </c>
      <c r="M5448" s="195" t="str">
        <f>L5448*(1-K5448)</f>
      </c>
    </row>
    <row r="5449">
      <c r="A5449" t="s">
        <v>167</v>
      </c>
      <c r="B5449" t="s">
        <v>116</v>
      </c>
      <c r="C5449" s="35" t="s">
        <v>422</v>
      </c>
      <c r="D5449" t="s">
        <v>502</v>
      </c>
      <c r="E5449" t="s">
        <v>520</v>
      </c>
      <c r="F5449" s="188" t="n">
        <v>2031</v>
      </c>
      <c r="G5449" s="189" t="n">
        <v>37</v>
      </c>
      <c r="H5449" s="190" t="n">
        <v>2166.32362895086</v>
      </c>
      <c r="I5449" s="191" t="n">
        <v>4367781.20159394</v>
      </c>
      <c r="J5449" s="192" t="str">
        <f>IF(I5449&gt;0,H5449/I5449,0)</f>
      </c>
      <c r="K5449" s="193" t="str">
        <f>1-EXP(-J5449)</f>
      </c>
      <c r="L5449" s="194" t="str">
        <f>IF(G5449=30,1,M5448)</f>
      </c>
      <c r="M5449" s="195" t="str">
        <f>L5449*(1-K5449)</f>
      </c>
    </row>
    <row r="5450">
      <c r="A5450" t="s">
        <v>167</v>
      </c>
      <c r="B5450" t="s">
        <v>116</v>
      </c>
      <c r="C5450" s="35" t="s">
        <v>422</v>
      </c>
      <c r="D5450" t="s">
        <v>502</v>
      </c>
      <c r="E5450" t="s">
        <v>520</v>
      </c>
      <c r="F5450" s="188" t="n">
        <v>2031</v>
      </c>
      <c r="G5450" s="189" t="n">
        <v>38</v>
      </c>
      <c r="H5450" s="190" t="n">
        <v>2303.82616424175</v>
      </c>
      <c r="I5450" s="191" t="n">
        <v>4313696.60628849</v>
      </c>
      <c r="J5450" s="192" t="str">
        <f>IF(I5450&gt;0,H5450/I5450,0)</f>
      </c>
      <c r="K5450" s="193" t="str">
        <f>1-EXP(-J5450)</f>
      </c>
      <c r="L5450" s="194" t="str">
        <f>IF(G5450=30,1,M5449)</f>
      </c>
      <c r="M5450" s="195" t="str">
        <f>L5450*(1-K5450)</f>
      </c>
    </row>
    <row r="5451">
      <c r="A5451" t="s">
        <v>167</v>
      </c>
      <c r="B5451" t="s">
        <v>116</v>
      </c>
      <c r="C5451" s="35" t="s">
        <v>422</v>
      </c>
      <c r="D5451" t="s">
        <v>502</v>
      </c>
      <c r="E5451" t="s">
        <v>520</v>
      </c>
      <c r="F5451" s="188" t="n">
        <v>2031</v>
      </c>
      <c r="G5451" s="189" t="n">
        <v>39</v>
      </c>
      <c r="H5451" s="190" t="n">
        <v>2504.14615922552</v>
      </c>
      <c r="I5451" s="191" t="n">
        <v>4350756.06157969</v>
      </c>
      <c r="J5451" s="192" t="str">
        <f>IF(I5451&gt;0,H5451/I5451,0)</f>
      </c>
      <c r="K5451" s="193" t="str">
        <f>1-EXP(-J5451)</f>
      </c>
      <c r="L5451" s="194" t="str">
        <f>IF(G5451=30,1,M5450)</f>
      </c>
      <c r="M5451" s="195" t="str">
        <f>L5451*(1-K5451)</f>
      </c>
    </row>
    <row r="5452">
      <c r="A5452" t="s">
        <v>167</v>
      </c>
      <c r="B5452" t="s">
        <v>116</v>
      </c>
      <c r="C5452" s="35" t="s">
        <v>422</v>
      </c>
      <c r="D5452" t="s">
        <v>502</v>
      </c>
      <c r="E5452" t="s">
        <v>520</v>
      </c>
      <c r="F5452" s="188" t="n">
        <v>2031</v>
      </c>
      <c r="G5452" s="189" t="n">
        <v>40</v>
      </c>
      <c r="H5452" s="190" t="n">
        <v>3385.19443090442</v>
      </c>
      <c r="I5452" s="191" t="n">
        <v>4368044.18929553</v>
      </c>
      <c r="J5452" s="192" t="str">
        <f>IF(I5452&gt;0,H5452/I5452,0)</f>
      </c>
      <c r="K5452" s="193" t="str">
        <f>1-EXP(-J5452)</f>
      </c>
      <c r="L5452" s="194" t="str">
        <f>IF(G5452=30,1,M5451)</f>
      </c>
      <c r="M5452" s="195" t="str">
        <f>L5452*(1-K5452)</f>
      </c>
    </row>
    <row r="5453">
      <c r="A5453" t="s">
        <v>167</v>
      </c>
      <c r="B5453" t="s">
        <v>116</v>
      </c>
      <c r="C5453" s="35" t="s">
        <v>422</v>
      </c>
      <c r="D5453" t="s">
        <v>502</v>
      </c>
      <c r="E5453" t="s">
        <v>520</v>
      </c>
      <c r="F5453" s="188" t="n">
        <v>2031</v>
      </c>
      <c r="G5453" s="189" t="n">
        <v>41</v>
      </c>
      <c r="H5453" s="190" t="n">
        <v>5108.73519331941</v>
      </c>
      <c r="I5453" s="191" t="n">
        <v>6430404.3048164</v>
      </c>
      <c r="J5453" s="192" t="str">
        <f>IF(I5453&gt;0,H5453/I5453,0)</f>
      </c>
      <c r="K5453" s="193" t="str">
        <f>1-EXP(-J5453)</f>
      </c>
      <c r="L5453" s="194" t="str">
        <f>IF(G5453=30,1,M5452)</f>
      </c>
      <c r="M5453" s="195" t="str">
        <f>L5453*(1-K5453)</f>
      </c>
    </row>
    <row r="5454">
      <c r="A5454" t="s">
        <v>167</v>
      </c>
      <c r="B5454" t="s">
        <v>116</v>
      </c>
      <c r="C5454" s="35" t="s">
        <v>422</v>
      </c>
      <c r="D5454" t="s">
        <v>502</v>
      </c>
      <c r="E5454" t="s">
        <v>520</v>
      </c>
      <c r="F5454" s="188" t="n">
        <v>2031</v>
      </c>
      <c r="G5454" s="189" t="n">
        <v>42</v>
      </c>
      <c r="H5454" s="190" t="n">
        <v>3931.02657979664</v>
      </c>
      <c r="I5454" s="191" t="n">
        <v>4324287.51112943</v>
      </c>
      <c r="J5454" s="192" t="str">
        <f>IF(I5454&gt;0,H5454/I5454,0)</f>
      </c>
      <c r="K5454" s="193" t="str">
        <f>1-EXP(-J5454)</f>
      </c>
      <c r="L5454" s="194" t="str">
        <f>IF(G5454=30,1,M5453)</f>
      </c>
      <c r="M5454" s="195" t="str">
        <f>L5454*(1-K5454)</f>
      </c>
    </row>
    <row r="5455">
      <c r="A5455" t="s">
        <v>167</v>
      </c>
      <c r="B5455" t="s">
        <v>116</v>
      </c>
      <c r="C5455" s="35" t="s">
        <v>422</v>
      </c>
      <c r="D5455" t="s">
        <v>502</v>
      </c>
      <c r="E5455" t="s">
        <v>520</v>
      </c>
      <c r="F5455" s="188" t="n">
        <v>2031</v>
      </c>
      <c r="G5455" s="189" t="n">
        <v>43</v>
      </c>
      <c r="H5455" s="190" t="n">
        <v>4267.94657939443</v>
      </c>
      <c r="I5455" s="191" t="n">
        <v>4306617.35971016</v>
      </c>
      <c r="J5455" s="192" t="str">
        <f>IF(I5455&gt;0,H5455/I5455,0)</f>
      </c>
      <c r="K5455" s="193" t="str">
        <f>1-EXP(-J5455)</f>
      </c>
      <c r="L5455" s="194" t="str">
        <f>IF(G5455=30,1,M5454)</f>
      </c>
      <c r="M5455" s="195" t="str">
        <f>L5455*(1-K5455)</f>
      </c>
    </row>
    <row r="5456">
      <c r="A5456" t="s">
        <v>167</v>
      </c>
      <c r="B5456" t="s">
        <v>116</v>
      </c>
      <c r="C5456" s="35" t="s">
        <v>422</v>
      </c>
      <c r="D5456" t="s">
        <v>502</v>
      </c>
      <c r="E5456" t="s">
        <v>520</v>
      </c>
      <c r="F5456" s="188" t="n">
        <v>2031</v>
      </c>
      <c r="G5456" s="189" t="n">
        <v>44</v>
      </c>
      <c r="H5456" s="190" t="n">
        <v>4523.26448177676</v>
      </c>
      <c r="I5456" s="191" t="n">
        <v>4173595.00135049</v>
      </c>
      <c r="J5456" s="192" t="str">
        <f>IF(I5456&gt;0,H5456/I5456,0)</f>
      </c>
      <c r="K5456" s="193" t="str">
        <f>1-EXP(-J5456)</f>
      </c>
      <c r="L5456" s="194" t="str">
        <f>IF(G5456=30,1,M5455)</f>
      </c>
      <c r="M5456" s="195" t="str">
        <f>L5456*(1-K5456)</f>
      </c>
    </row>
    <row r="5457">
      <c r="A5457" t="s">
        <v>167</v>
      </c>
      <c r="B5457" t="s">
        <v>116</v>
      </c>
      <c r="C5457" s="35" t="s">
        <v>422</v>
      </c>
      <c r="D5457" t="s">
        <v>502</v>
      </c>
      <c r="E5457" t="s">
        <v>520</v>
      </c>
      <c r="F5457" s="188" t="n">
        <v>2031</v>
      </c>
      <c r="G5457" s="189" t="n">
        <v>45</v>
      </c>
      <c r="H5457" s="190" t="n">
        <v>5809.27225082381</v>
      </c>
      <c r="I5457" s="191" t="n">
        <v>4137817.76150098</v>
      </c>
      <c r="J5457" s="192" t="str">
        <f>IF(I5457&gt;0,H5457/I5457,0)</f>
      </c>
      <c r="K5457" s="193" t="str">
        <f>1-EXP(-J5457)</f>
      </c>
      <c r="L5457" s="194" t="str">
        <f>IF(G5457=30,1,M5456)</f>
      </c>
      <c r="M5457" s="195" t="str">
        <f>L5457*(1-K5457)</f>
      </c>
    </row>
    <row r="5458">
      <c r="A5458" t="s">
        <v>167</v>
      </c>
      <c r="B5458" t="s">
        <v>116</v>
      </c>
      <c r="C5458" s="35" t="s">
        <v>422</v>
      </c>
      <c r="D5458" t="s">
        <v>502</v>
      </c>
      <c r="E5458" t="s">
        <v>520</v>
      </c>
      <c r="F5458" s="188" t="n">
        <v>2031</v>
      </c>
      <c r="G5458" s="189" t="n">
        <v>46</v>
      </c>
      <c r="H5458" s="190" t="n">
        <v>6413.06234657321</v>
      </c>
      <c r="I5458" s="191" t="n">
        <v>4194105.23540583</v>
      </c>
      <c r="J5458" s="192" t="str">
        <f>IF(I5458&gt;0,H5458/I5458,0)</f>
      </c>
      <c r="K5458" s="193" t="str">
        <f>1-EXP(-J5458)</f>
      </c>
      <c r="L5458" s="194" t="str">
        <f>IF(G5458=30,1,M5457)</f>
      </c>
      <c r="M5458" s="195" t="str">
        <f>L5458*(1-K5458)</f>
      </c>
    </row>
    <row r="5459">
      <c r="A5459" t="s">
        <v>167</v>
      </c>
      <c r="B5459" t="s">
        <v>116</v>
      </c>
      <c r="C5459" s="35" t="s">
        <v>422</v>
      </c>
      <c r="D5459" t="s">
        <v>502</v>
      </c>
      <c r="E5459" t="s">
        <v>520</v>
      </c>
      <c r="F5459" s="188" t="n">
        <v>2031</v>
      </c>
      <c r="G5459" s="189" t="n">
        <v>47</v>
      </c>
      <c r="H5459" s="190" t="n">
        <v>7181.91869047608</v>
      </c>
      <c r="I5459" s="191" t="n">
        <v>4276083.93295471</v>
      </c>
      <c r="J5459" s="192" t="str">
        <f>IF(I5459&gt;0,H5459/I5459,0)</f>
      </c>
      <c r="K5459" s="193" t="str">
        <f>1-EXP(-J5459)</f>
      </c>
      <c r="L5459" s="194" t="str">
        <f>IF(G5459=30,1,M5458)</f>
      </c>
      <c r="M5459" s="195" t="str">
        <f>L5459*(1-K5459)</f>
      </c>
    </row>
    <row r="5460">
      <c r="A5460" t="s">
        <v>167</v>
      </c>
      <c r="B5460" t="s">
        <v>116</v>
      </c>
      <c r="C5460" s="35" t="s">
        <v>422</v>
      </c>
      <c r="D5460" t="s">
        <v>502</v>
      </c>
      <c r="E5460" t="s">
        <v>520</v>
      </c>
      <c r="F5460" s="188" t="n">
        <v>2031</v>
      </c>
      <c r="G5460" s="189" t="n">
        <v>48</v>
      </c>
      <c r="H5460" s="190" t="n">
        <v>7837.30547457485</v>
      </c>
      <c r="I5460" s="191" t="n">
        <v>4249391.89199019</v>
      </c>
      <c r="J5460" s="192" t="str">
        <f>IF(I5460&gt;0,H5460/I5460,0)</f>
      </c>
      <c r="K5460" s="193" t="str">
        <f>1-EXP(-J5460)</f>
      </c>
      <c r="L5460" s="194" t="str">
        <f>IF(G5460=30,1,M5459)</f>
      </c>
      <c r="M5460" s="195" t="str">
        <f>L5460*(1-K5460)</f>
      </c>
    </row>
    <row r="5461">
      <c r="A5461" t="s">
        <v>167</v>
      </c>
      <c r="B5461" t="s">
        <v>116</v>
      </c>
      <c r="C5461" s="35" t="s">
        <v>422</v>
      </c>
      <c r="D5461" t="s">
        <v>502</v>
      </c>
      <c r="E5461" t="s">
        <v>520</v>
      </c>
      <c r="F5461" s="188" t="n">
        <v>2031</v>
      </c>
      <c r="G5461" s="189" t="n">
        <v>49</v>
      </c>
      <c r="H5461" s="190" t="n">
        <v>8324.42562201011</v>
      </c>
      <c r="I5461" s="191" t="n">
        <v>4110738.92456414</v>
      </c>
      <c r="J5461" s="192" t="str">
        <f>IF(I5461&gt;0,H5461/I5461,0)</f>
      </c>
      <c r="K5461" s="193" t="str">
        <f>1-EXP(-J5461)</f>
      </c>
      <c r="L5461" s="194" t="str">
        <f>IF(G5461=30,1,M5460)</f>
      </c>
      <c r="M5461" s="195" t="str">
        <f>L5461*(1-K5461)</f>
      </c>
    </row>
    <row r="5462">
      <c r="A5462" t="s">
        <v>167</v>
      </c>
      <c r="B5462" t="s">
        <v>116</v>
      </c>
      <c r="C5462" s="35" t="s">
        <v>422</v>
      </c>
      <c r="D5462" t="s">
        <v>502</v>
      </c>
      <c r="E5462" t="s">
        <v>520</v>
      </c>
      <c r="F5462" s="188" t="n">
        <v>2031</v>
      </c>
      <c r="G5462" s="189" t="n">
        <v>50</v>
      </c>
      <c r="H5462" s="190" t="n">
        <v>9516.35665176702</v>
      </c>
      <c r="I5462" s="191" t="n">
        <v>4033856.07109108</v>
      </c>
      <c r="J5462" s="192" t="str">
        <f>IF(I5462&gt;0,H5462/I5462,0)</f>
      </c>
      <c r="K5462" s="193" t="str">
        <f>1-EXP(-J5462)</f>
      </c>
      <c r="L5462" s="194" t="str">
        <f>IF(G5462=30,1,M5461)</f>
      </c>
      <c r="M5462" s="195" t="str">
        <f>L5462*(1-K5462)</f>
      </c>
    </row>
    <row r="5463">
      <c r="A5463" t="s">
        <v>167</v>
      </c>
      <c r="B5463" t="s">
        <v>116</v>
      </c>
      <c r="C5463" s="35" t="s">
        <v>422</v>
      </c>
      <c r="D5463" t="s">
        <v>502</v>
      </c>
      <c r="E5463" t="s">
        <v>520</v>
      </c>
      <c r="F5463" s="188" t="n">
        <v>2031</v>
      </c>
      <c r="G5463" s="189" t="n">
        <v>51</v>
      </c>
      <c r="H5463" s="190" t="n">
        <v>10299.2273143158</v>
      </c>
      <c r="I5463" s="191" t="n">
        <v>3971618.40084232</v>
      </c>
      <c r="J5463" s="192" t="str">
        <f>IF(I5463&gt;0,H5463/I5463,0)</f>
      </c>
      <c r="K5463" s="193" t="str">
        <f>1-EXP(-J5463)</f>
      </c>
      <c r="L5463" s="194" t="str">
        <f>IF(G5463=30,1,M5462)</f>
      </c>
      <c r="M5463" s="195" t="str">
        <f>L5463*(1-K5463)</f>
      </c>
    </row>
    <row r="5464">
      <c r="A5464" t="s">
        <v>167</v>
      </c>
      <c r="B5464" t="s">
        <v>116</v>
      </c>
      <c r="C5464" s="35" t="s">
        <v>422</v>
      </c>
      <c r="D5464" t="s">
        <v>502</v>
      </c>
      <c r="E5464" t="s">
        <v>520</v>
      </c>
      <c r="F5464" s="188" t="n">
        <v>2031</v>
      </c>
      <c r="G5464" s="189" t="n">
        <v>52</v>
      </c>
      <c r="H5464" s="190" t="n">
        <v>11079.6211297604</v>
      </c>
      <c r="I5464" s="191" t="n">
        <v>3904509.40091116</v>
      </c>
      <c r="J5464" s="192" t="str">
        <f>IF(I5464&gt;0,H5464/I5464,0)</f>
      </c>
      <c r="K5464" s="193" t="str">
        <f>1-EXP(-J5464)</f>
      </c>
      <c r="L5464" s="194" t="str">
        <f>IF(G5464=30,1,M5463)</f>
      </c>
      <c r="M5464" s="195" t="str">
        <f>L5464*(1-K5464)</f>
      </c>
    </row>
    <row r="5465">
      <c r="A5465" t="s">
        <v>167</v>
      </c>
      <c r="B5465" t="s">
        <v>116</v>
      </c>
      <c r="C5465" s="35" t="s">
        <v>422</v>
      </c>
      <c r="D5465" t="s">
        <v>502</v>
      </c>
      <c r="E5465" t="s">
        <v>520</v>
      </c>
      <c r="F5465" s="188" t="n">
        <v>2031</v>
      </c>
      <c r="G5465" s="189" t="n">
        <v>53</v>
      </c>
      <c r="H5465" s="190" t="n">
        <v>11852.9161259561</v>
      </c>
      <c r="I5465" s="191" t="n">
        <v>3817942.89543379</v>
      </c>
      <c r="J5465" s="192" t="str">
        <f>IF(I5465&gt;0,H5465/I5465,0)</f>
      </c>
      <c r="K5465" s="193" t="str">
        <f>1-EXP(-J5465)</f>
      </c>
      <c r="L5465" s="194" t="str">
        <f>IF(G5465=30,1,M5464)</f>
      </c>
      <c r="M5465" s="195" t="str">
        <f>L5465*(1-K5465)</f>
      </c>
    </row>
    <row r="5466">
      <c r="A5466" t="s">
        <v>167</v>
      </c>
      <c r="B5466" t="s">
        <v>116</v>
      </c>
      <c r="C5466" s="35" t="s">
        <v>422</v>
      </c>
      <c r="D5466" t="s">
        <v>502</v>
      </c>
      <c r="E5466" t="s">
        <v>520</v>
      </c>
      <c r="F5466" s="188" t="n">
        <v>2031</v>
      </c>
      <c r="G5466" s="189" t="n">
        <v>54</v>
      </c>
      <c r="H5466" s="190" t="n">
        <v>12742.0292879721</v>
      </c>
      <c r="I5466" s="191" t="n">
        <v>3747992.42055756</v>
      </c>
      <c r="J5466" s="192" t="str">
        <f>IF(I5466&gt;0,H5466/I5466,0)</f>
      </c>
      <c r="K5466" s="193" t="str">
        <f>1-EXP(-J5466)</f>
      </c>
      <c r="L5466" s="194" t="str">
        <f>IF(G5466=30,1,M5465)</f>
      </c>
      <c r="M5466" s="195" t="str">
        <f>L5466*(1-K5466)</f>
      </c>
    </row>
    <row r="5467">
      <c r="A5467" t="s">
        <v>167</v>
      </c>
      <c r="B5467" t="s">
        <v>116</v>
      </c>
      <c r="C5467" s="35" t="s">
        <v>422</v>
      </c>
      <c r="D5467" t="s">
        <v>502</v>
      </c>
      <c r="E5467" t="s">
        <v>520</v>
      </c>
      <c r="F5467" s="188" t="n">
        <v>2031</v>
      </c>
      <c r="G5467" s="189" t="n">
        <v>55</v>
      </c>
      <c r="H5467" s="190" t="n">
        <v>13741.3519894567</v>
      </c>
      <c r="I5467" s="191" t="n">
        <v>3666113.60571006</v>
      </c>
      <c r="J5467" s="192" t="str">
        <f>IF(I5467&gt;0,H5467/I5467,0)</f>
      </c>
      <c r="K5467" s="193" t="str">
        <f>1-EXP(-J5467)</f>
      </c>
      <c r="L5467" s="194" t="str">
        <f>IF(G5467=30,1,M5466)</f>
      </c>
      <c r="M5467" s="195" t="str">
        <f>L5467*(1-K5467)</f>
      </c>
    </row>
    <row r="5468">
      <c r="A5468" t="s">
        <v>167</v>
      </c>
      <c r="B5468" t="s">
        <v>116</v>
      </c>
      <c r="C5468" s="35" t="s">
        <v>422</v>
      </c>
      <c r="D5468" t="s">
        <v>502</v>
      </c>
      <c r="E5468" t="s">
        <v>520</v>
      </c>
      <c r="F5468" s="188" t="n">
        <v>2031</v>
      </c>
      <c r="G5468" s="189" t="n">
        <v>56</v>
      </c>
      <c r="H5468" s="190" t="n">
        <v>14602.2478442506</v>
      </c>
      <c r="I5468" s="191" t="n">
        <v>3582812.2216045</v>
      </c>
      <c r="J5468" s="192" t="str">
        <f>IF(I5468&gt;0,H5468/I5468,0)</f>
      </c>
      <c r="K5468" s="193" t="str">
        <f>1-EXP(-J5468)</f>
      </c>
      <c r="L5468" s="194" t="str">
        <f>IF(G5468=30,1,M5467)</f>
      </c>
      <c r="M5468" s="195" t="str">
        <f>L5468*(1-K5468)</f>
      </c>
    </row>
    <row r="5469">
      <c r="A5469" t="s">
        <v>167</v>
      </c>
      <c r="B5469" t="s">
        <v>116</v>
      </c>
      <c r="C5469" s="35" t="s">
        <v>422</v>
      </c>
      <c r="D5469" t="s">
        <v>502</v>
      </c>
      <c r="E5469" t="s">
        <v>520</v>
      </c>
      <c r="F5469" s="188" t="n">
        <v>2031</v>
      </c>
      <c r="G5469" s="189" t="n">
        <v>57</v>
      </c>
      <c r="H5469" s="190" t="n">
        <v>15490.0428772018</v>
      </c>
      <c r="I5469" s="191" t="n">
        <v>3472736.37328443</v>
      </c>
      <c r="J5469" s="192" t="str">
        <f>IF(I5469&gt;0,H5469/I5469,0)</f>
      </c>
      <c r="K5469" s="193" t="str">
        <f>1-EXP(-J5469)</f>
      </c>
      <c r="L5469" s="194" t="str">
        <f>IF(G5469=30,1,M5468)</f>
      </c>
      <c r="M5469" s="195" t="str">
        <f>L5469*(1-K5469)</f>
      </c>
    </row>
    <row r="5470">
      <c r="A5470" t="s">
        <v>167</v>
      </c>
      <c r="B5470" t="s">
        <v>116</v>
      </c>
      <c r="C5470" s="35" t="s">
        <v>422</v>
      </c>
      <c r="D5470" t="s">
        <v>502</v>
      </c>
      <c r="E5470" t="s">
        <v>520</v>
      </c>
      <c r="F5470" s="188" t="n">
        <v>2031</v>
      </c>
      <c r="G5470" s="189" t="n">
        <v>58</v>
      </c>
      <c r="H5470" s="190" t="n">
        <v>16707.1440102702</v>
      </c>
      <c r="I5470" s="191" t="n">
        <v>3421196.14117052</v>
      </c>
      <c r="J5470" s="192" t="str">
        <f>IF(I5470&gt;0,H5470/I5470,0)</f>
      </c>
      <c r="K5470" s="193" t="str">
        <f>1-EXP(-J5470)</f>
      </c>
      <c r="L5470" s="194" t="str">
        <f>IF(G5470=30,1,M5469)</f>
      </c>
      <c r="M5470" s="195" t="str">
        <f>L5470*(1-K5470)</f>
      </c>
    </row>
    <row r="5471">
      <c r="A5471" t="s">
        <v>167</v>
      </c>
      <c r="B5471" t="s">
        <v>116</v>
      </c>
      <c r="C5471" s="35" t="s">
        <v>422</v>
      </c>
      <c r="D5471" t="s">
        <v>502</v>
      </c>
      <c r="E5471" t="s">
        <v>520</v>
      </c>
      <c r="F5471" s="188" t="n">
        <v>2031</v>
      </c>
      <c r="G5471" s="189" t="n">
        <v>59</v>
      </c>
      <c r="H5471" s="190" t="n">
        <v>17187.1058214021</v>
      </c>
      <c r="I5471" s="191" t="n">
        <v>3209433.70732692</v>
      </c>
      <c r="J5471" s="192" t="str">
        <f>IF(I5471&gt;0,H5471/I5471,0)</f>
      </c>
      <c r="K5471" s="193" t="str">
        <f>1-EXP(-J5471)</f>
      </c>
      <c r="L5471" s="194" t="str">
        <f>IF(G5471=30,1,M5470)</f>
      </c>
      <c r="M5471" s="195" t="str">
        <f>L5471*(1-K5471)</f>
      </c>
    </row>
    <row r="5472">
      <c r="A5472" t="s">
        <v>167</v>
      </c>
      <c r="B5472" t="s">
        <v>116</v>
      </c>
      <c r="C5472" s="35" t="s">
        <v>422</v>
      </c>
      <c r="D5472" t="s">
        <v>502</v>
      </c>
      <c r="E5472" t="s">
        <v>520</v>
      </c>
      <c r="F5472" s="188" t="n">
        <v>2031</v>
      </c>
      <c r="G5472" s="189" t="n">
        <v>60</v>
      </c>
      <c r="H5472" s="190" t="n">
        <v>18558.3668375965</v>
      </c>
      <c r="I5472" s="191" t="n">
        <v>3116067.92785213</v>
      </c>
      <c r="J5472" s="192" t="str">
        <f>IF(I5472&gt;0,H5472/I5472,0)</f>
      </c>
      <c r="K5472" s="193" t="str">
        <f>1-EXP(-J5472)</f>
      </c>
      <c r="L5472" s="194" t="str">
        <f>IF(G5472=30,1,M5471)</f>
      </c>
      <c r="M5472" s="195" t="str">
        <f>L5472*(1-K5472)</f>
      </c>
    </row>
    <row r="5473">
      <c r="A5473" t="s">
        <v>167</v>
      </c>
      <c r="B5473" t="s">
        <v>116</v>
      </c>
      <c r="C5473" s="35" t="s">
        <v>422</v>
      </c>
      <c r="D5473" t="s">
        <v>502</v>
      </c>
      <c r="E5473" t="s">
        <v>520</v>
      </c>
      <c r="F5473" s="188" t="n">
        <v>2031</v>
      </c>
      <c r="G5473" s="189" t="n">
        <v>61</v>
      </c>
      <c r="H5473" s="190" t="n">
        <v>19998.1667282531</v>
      </c>
      <c r="I5473" s="191" t="n">
        <v>3026081.12175133</v>
      </c>
      <c r="J5473" s="192" t="str">
        <f>IF(I5473&gt;0,H5473/I5473,0)</f>
      </c>
      <c r="K5473" s="193" t="str">
        <f>1-EXP(-J5473)</f>
      </c>
      <c r="L5473" s="194" t="str">
        <f>IF(G5473=30,1,M5472)</f>
      </c>
      <c r="M5473" s="195" t="str">
        <f>L5473*(1-K5473)</f>
      </c>
    </row>
    <row r="5474">
      <c r="A5474" t="s">
        <v>167</v>
      </c>
      <c r="B5474" t="s">
        <v>116</v>
      </c>
      <c r="C5474" s="35" t="s">
        <v>422</v>
      </c>
      <c r="D5474" t="s">
        <v>502</v>
      </c>
      <c r="E5474" t="s">
        <v>520</v>
      </c>
      <c r="F5474" s="188" t="n">
        <v>2031</v>
      </c>
      <c r="G5474" s="189" t="n">
        <v>62</v>
      </c>
      <c r="H5474" s="190" t="n">
        <v>21170.0795256793</v>
      </c>
      <c r="I5474" s="191" t="n">
        <v>2927065.20424214</v>
      </c>
      <c r="J5474" s="192" t="str">
        <f>IF(I5474&gt;0,H5474/I5474,0)</f>
      </c>
      <c r="K5474" s="193" t="str">
        <f>1-EXP(-J5474)</f>
      </c>
      <c r="L5474" s="194" t="str">
        <f>IF(G5474=30,1,M5473)</f>
      </c>
      <c r="M5474" s="195" t="str">
        <f>L5474*(1-K5474)</f>
      </c>
    </row>
    <row r="5475">
      <c r="A5475" t="s">
        <v>167</v>
      </c>
      <c r="B5475" t="s">
        <v>116</v>
      </c>
      <c r="C5475" s="35" t="s">
        <v>422</v>
      </c>
      <c r="D5475" t="s">
        <v>502</v>
      </c>
      <c r="E5475" t="s">
        <v>520</v>
      </c>
      <c r="F5475" s="188" t="n">
        <v>2031</v>
      </c>
      <c r="G5475" s="189" t="n">
        <v>63</v>
      </c>
      <c r="H5475" s="190" t="n">
        <v>22252.7137704177</v>
      </c>
      <c r="I5475" s="191" t="n">
        <v>2808801.05125203</v>
      </c>
      <c r="J5475" s="192" t="str">
        <f>IF(I5475&gt;0,H5475/I5475,0)</f>
      </c>
      <c r="K5475" s="193" t="str">
        <f>1-EXP(-J5475)</f>
      </c>
      <c r="L5475" s="194" t="str">
        <f>IF(G5475=30,1,M5474)</f>
      </c>
      <c r="M5475" s="195" t="str">
        <f>L5475*(1-K5475)</f>
      </c>
    </row>
    <row r="5476">
      <c r="A5476" t="s">
        <v>167</v>
      </c>
      <c r="B5476" t="s">
        <v>116</v>
      </c>
      <c r="C5476" s="35" t="s">
        <v>422</v>
      </c>
      <c r="D5476" t="s">
        <v>502</v>
      </c>
      <c r="E5476" t="s">
        <v>520</v>
      </c>
      <c r="F5476" s="188" t="n">
        <v>2031</v>
      </c>
      <c r="G5476" s="189" t="n">
        <v>64</v>
      </c>
      <c r="H5476" s="190" t="n">
        <v>23127.9997957567</v>
      </c>
      <c r="I5476" s="191" t="n">
        <v>2660541.772682</v>
      </c>
      <c r="J5476" s="192" t="str">
        <f>IF(I5476&gt;0,H5476/I5476,0)</f>
      </c>
      <c r="K5476" s="193" t="str">
        <f>1-EXP(-J5476)</f>
      </c>
      <c r="L5476" s="194" t="str">
        <f>IF(G5476=30,1,M5475)</f>
      </c>
      <c r="M5476" s="195" t="str">
        <f>L5476*(1-K5476)</f>
      </c>
    </row>
    <row r="5477">
      <c r="A5477" t="s">
        <v>167</v>
      </c>
      <c r="B5477" t="s">
        <v>116</v>
      </c>
      <c r="C5477" s="35" t="s">
        <v>422</v>
      </c>
      <c r="D5477" t="s">
        <v>502</v>
      </c>
      <c r="E5477" t="s">
        <v>520</v>
      </c>
      <c r="F5477" s="188" t="n">
        <v>2031</v>
      </c>
      <c r="G5477" s="189" t="n">
        <v>65</v>
      </c>
      <c r="H5477" s="190" t="n">
        <v>23543.2861159779</v>
      </c>
      <c r="I5477" s="191" t="n">
        <v>2547204.00391181</v>
      </c>
      <c r="J5477" s="192" t="str">
        <f>IF(I5477&gt;0,H5477/I5477,0)</f>
      </c>
      <c r="K5477" s="193" t="str">
        <f>1-EXP(-J5477)</f>
      </c>
      <c r="L5477" s="194" t="str">
        <f>IF(G5477=30,1,M5476)</f>
      </c>
      <c r="M5477" s="195" t="str">
        <f>L5477*(1-K5477)</f>
      </c>
    </row>
    <row r="5478">
      <c r="A5478" t="s">
        <v>167</v>
      </c>
      <c r="B5478" t="s">
        <v>116</v>
      </c>
      <c r="C5478" s="35" t="s">
        <v>422</v>
      </c>
      <c r="D5478" t="s">
        <v>502</v>
      </c>
      <c r="E5478" t="s">
        <v>520</v>
      </c>
      <c r="F5478" s="188" t="n">
        <v>2031</v>
      </c>
      <c r="G5478" s="189" t="n">
        <v>66</v>
      </c>
      <c r="H5478" s="190" t="n">
        <v>24425.7486673539</v>
      </c>
      <c r="I5478" s="191" t="n">
        <v>2413591.12348875</v>
      </c>
      <c r="J5478" s="192" t="str">
        <f>IF(I5478&gt;0,H5478/I5478,0)</f>
      </c>
      <c r="K5478" s="193" t="str">
        <f>1-EXP(-J5478)</f>
      </c>
      <c r="L5478" s="194" t="str">
        <f>IF(G5478=30,1,M5477)</f>
      </c>
      <c r="M5478" s="195" t="str">
        <f>L5478*(1-K5478)</f>
      </c>
    </row>
    <row r="5479">
      <c r="A5479" t="s">
        <v>167</v>
      </c>
      <c r="B5479" t="s">
        <v>116</v>
      </c>
      <c r="C5479" s="35" t="s">
        <v>422</v>
      </c>
      <c r="D5479" t="s">
        <v>502</v>
      </c>
      <c r="E5479" t="s">
        <v>520</v>
      </c>
      <c r="F5479" s="188" t="n">
        <v>2031</v>
      </c>
      <c r="G5479" s="189" t="n">
        <v>67</v>
      </c>
      <c r="H5479" s="190" t="n">
        <v>25336.2093213492</v>
      </c>
      <c r="I5479" s="191" t="n">
        <v>2280127.49018146</v>
      </c>
      <c r="J5479" s="192" t="str">
        <f>IF(I5479&gt;0,H5479/I5479,0)</f>
      </c>
      <c r="K5479" s="193" t="str">
        <f>1-EXP(-J5479)</f>
      </c>
      <c r="L5479" s="194" t="str">
        <f>IF(G5479=30,1,M5478)</f>
      </c>
      <c r="M5479" s="195" t="str">
        <f>L5479*(1-K5479)</f>
      </c>
    </row>
    <row r="5480">
      <c r="A5480" t="s">
        <v>167</v>
      </c>
      <c r="B5480" t="s">
        <v>116</v>
      </c>
      <c r="C5480" s="35" t="s">
        <v>422</v>
      </c>
      <c r="D5480" t="s">
        <v>502</v>
      </c>
      <c r="E5480" t="s">
        <v>520</v>
      </c>
      <c r="F5480" s="188" t="n">
        <v>2031</v>
      </c>
      <c r="G5480" s="189" t="n">
        <v>68</v>
      </c>
      <c r="H5480" s="190" t="n">
        <v>26265.8830812322</v>
      </c>
      <c r="I5480" s="191" t="n">
        <v>2151387.08498984</v>
      </c>
      <c r="J5480" s="192" t="str">
        <f>IF(I5480&gt;0,H5480/I5480,0)</f>
      </c>
      <c r="K5480" s="193" t="str">
        <f>1-EXP(-J5480)</f>
      </c>
      <c r="L5480" s="194" t="str">
        <f>IF(G5480=30,1,M5479)</f>
      </c>
      <c r="M5480" s="195" t="str">
        <f>L5480*(1-K5480)</f>
      </c>
    </row>
    <row r="5481">
      <c r="A5481" t="s">
        <v>167</v>
      </c>
      <c r="B5481" t="s">
        <v>116</v>
      </c>
      <c r="C5481" s="35" t="s">
        <v>422</v>
      </c>
      <c r="D5481" t="s">
        <v>502</v>
      </c>
      <c r="E5481" t="s">
        <v>520</v>
      </c>
      <c r="F5481" s="188" t="n">
        <v>2031</v>
      </c>
      <c r="G5481" s="189" t="n">
        <v>69</v>
      </c>
      <c r="H5481" s="190" t="n">
        <v>26921.393891366</v>
      </c>
      <c r="I5481" s="191" t="n">
        <v>1998793.20562787</v>
      </c>
      <c r="J5481" s="192" t="str">
        <f>IF(I5481&gt;0,H5481/I5481,0)</f>
      </c>
      <c r="K5481" s="193" t="str">
        <f>1-EXP(-J5481)</f>
      </c>
      <c r="L5481" s="194" t="str">
        <f>IF(G5481=30,1,M5480)</f>
      </c>
      <c r="M5481" s="195" t="str">
        <f>L5481*(1-K5481)</f>
      </c>
    </row>
    <row r="5482">
      <c r="A5482" t="s">
        <v>167</v>
      </c>
      <c r="B5482" t="s">
        <v>116</v>
      </c>
      <c r="C5482" s="35" t="s">
        <v>422</v>
      </c>
      <c r="D5482" t="s">
        <v>502</v>
      </c>
      <c r="E5482" t="s">
        <v>520</v>
      </c>
      <c r="F5482" s="188" t="n">
        <v>2032</v>
      </c>
      <c r="G5482" s="189" t="n">
        <v>30</v>
      </c>
      <c r="H5482" s="190" t="n">
        <v>893.670588494454</v>
      </c>
      <c r="I5482" s="191" t="n">
        <v>4354998.82337052</v>
      </c>
      <c r="J5482" s="192" t="str">
        <f>IF(I5482&gt;0,H5482/I5482,0)</f>
      </c>
      <c r="K5482" s="193" t="str">
        <f>1-EXP(-J5482)</f>
      </c>
      <c r="L5482" s="194" t="str">
        <f>IF(G5482=30,1,M5481)</f>
      </c>
      <c r="M5482" s="195" t="str">
        <f>L5482*(1-K5482)</f>
      </c>
    </row>
    <row r="5483">
      <c r="A5483" t="s">
        <v>167</v>
      </c>
      <c r="B5483" t="s">
        <v>116</v>
      </c>
      <c r="C5483" s="35" t="s">
        <v>422</v>
      </c>
      <c r="D5483" t="s">
        <v>502</v>
      </c>
      <c r="E5483" t="s">
        <v>520</v>
      </c>
      <c r="F5483" s="188" t="n">
        <v>2032</v>
      </c>
      <c r="G5483" s="189" t="n">
        <v>31</v>
      </c>
      <c r="H5483" s="190" t="n">
        <v>1009.14869174192</v>
      </c>
      <c r="I5483" s="191" t="n">
        <v>4335319.02083272</v>
      </c>
      <c r="J5483" s="192" t="str">
        <f>IF(I5483&gt;0,H5483/I5483,0)</f>
      </c>
      <c r="K5483" s="193" t="str">
        <f>1-EXP(-J5483)</f>
      </c>
      <c r="L5483" s="194" t="str">
        <f>IF(G5483=30,1,M5482)</f>
      </c>
      <c r="M5483" s="195" t="str">
        <f>L5483*(1-K5483)</f>
      </c>
    </row>
    <row r="5484">
      <c r="A5484" t="s">
        <v>167</v>
      </c>
      <c r="B5484" t="s">
        <v>116</v>
      </c>
      <c r="C5484" s="35" t="s">
        <v>422</v>
      </c>
      <c r="D5484" t="s">
        <v>502</v>
      </c>
      <c r="E5484" t="s">
        <v>520</v>
      </c>
      <c r="F5484" s="188" t="n">
        <v>2032</v>
      </c>
      <c r="G5484" s="189" t="n">
        <v>32</v>
      </c>
      <c r="H5484" s="190" t="n">
        <v>1059.04709708157</v>
      </c>
      <c r="I5484" s="191" t="n">
        <v>4315796.0604082</v>
      </c>
      <c r="J5484" s="192" t="str">
        <f>IF(I5484&gt;0,H5484/I5484,0)</f>
      </c>
      <c r="K5484" s="193" t="str">
        <f>1-EXP(-J5484)</f>
      </c>
      <c r="L5484" s="194" t="str">
        <f>IF(G5484=30,1,M5483)</f>
      </c>
      <c r="M5484" s="195" t="str">
        <f>L5484*(1-K5484)</f>
      </c>
    </row>
    <row r="5485">
      <c r="A5485" t="s">
        <v>167</v>
      </c>
      <c r="B5485" t="s">
        <v>116</v>
      </c>
      <c r="C5485" s="35" t="s">
        <v>422</v>
      </c>
      <c r="D5485" t="s">
        <v>502</v>
      </c>
      <c r="E5485" t="s">
        <v>520</v>
      </c>
      <c r="F5485" s="188" t="n">
        <v>2032</v>
      </c>
      <c r="G5485" s="189" t="n">
        <v>33</v>
      </c>
      <c r="H5485" s="190" t="n">
        <v>1128.9779486536</v>
      </c>
      <c r="I5485" s="191" t="n">
        <v>4336115.96413604</v>
      </c>
      <c r="J5485" s="192" t="str">
        <f>IF(I5485&gt;0,H5485/I5485,0)</f>
      </c>
      <c r="K5485" s="193" t="str">
        <f>1-EXP(-J5485)</f>
      </c>
      <c r="L5485" s="194" t="str">
        <f>IF(G5485=30,1,M5484)</f>
      </c>
      <c r="M5485" s="195" t="str">
        <f>L5485*(1-K5485)</f>
      </c>
    </row>
    <row r="5486">
      <c r="A5486" t="s">
        <v>167</v>
      </c>
      <c r="B5486" t="s">
        <v>116</v>
      </c>
      <c r="C5486" s="35" t="s">
        <v>422</v>
      </c>
      <c r="D5486" t="s">
        <v>502</v>
      </c>
      <c r="E5486" t="s">
        <v>520</v>
      </c>
      <c r="F5486" s="188" t="n">
        <v>2032</v>
      </c>
      <c r="G5486" s="189" t="n">
        <v>34</v>
      </c>
      <c r="H5486" s="190" t="n">
        <v>1222.17707696044</v>
      </c>
      <c r="I5486" s="191" t="n">
        <v>4395720.31865892</v>
      </c>
      <c r="J5486" s="192" t="str">
        <f>IF(I5486&gt;0,H5486/I5486,0)</f>
      </c>
      <c r="K5486" s="193" t="str">
        <f>1-EXP(-J5486)</f>
      </c>
      <c r="L5486" s="194" t="str">
        <f>IF(G5486=30,1,M5485)</f>
      </c>
      <c r="M5486" s="195" t="str">
        <f>L5486*(1-K5486)</f>
      </c>
    </row>
    <row r="5487">
      <c r="A5487" t="s">
        <v>167</v>
      </c>
      <c r="B5487" t="s">
        <v>116</v>
      </c>
      <c r="C5487" s="35" t="s">
        <v>422</v>
      </c>
      <c r="D5487" t="s">
        <v>502</v>
      </c>
      <c r="E5487" t="s">
        <v>520</v>
      </c>
      <c r="F5487" s="188" t="n">
        <v>2032</v>
      </c>
      <c r="G5487" s="189" t="n">
        <v>35</v>
      </c>
      <c r="H5487" s="190" t="n">
        <v>1964.13157914865</v>
      </c>
      <c r="I5487" s="191" t="n">
        <v>4535258.67103434</v>
      </c>
      <c r="J5487" s="192" t="str">
        <f>IF(I5487&gt;0,H5487/I5487,0)</f>
      </c>
      <c r="K5487" s="193" t="str">
        <f>1-EXP(-J5487)</f>
      </c>
      <c r="L5487" s="194" t="str">
        <f>IF(G5487=30,1,M5486)</f>
      </c>
      <c r="M5487" s="195" t="str">
        <f>L5487*(1-K5487)</f>
      </c>
    </row>
    <row r="5488">
      <c r="A5488" t="s">
        <v>167</v>
      </c>
      <c r="B5488" t="s">
        <v>116</v>
      </c>
      <c r="C5488" s="35" t="s">
        <v>422</v>
      </c>
      <c r="D5488" t="s">
        <v>502</v>
      </c>
      <c r="E5488" t="s">
        <v>520</v>
      </c>
      <c r="F5488" s="188" t="n">
        <v>2032</v>
      </c>
      <c r="G5488" s="189" t="n">
        <v>36</v>
      </c>
      <c r="H5488" s="190" t="n">
        <v>2065.64320453916</v>
      </c>
      <c r="I5488" s="191" t="n">
        <v>4491336.28546089</v>
      </c>
      <c r="J5488" s="192" t="str">
        <f>IF(I5488&gt;0,H5488/I5488,0)</f>
      </c>
      <c r="K5488" s="193" t="str">
        <f>1-EXP(-J5488)</f>
      </c>
      <c r="L5488" s="194" t="str">
        <f>IF(G5488=30,1,M5487)</f>
      </c>
      <c r="M5488" s="195" t="str">
        <f>L5488*(1-K5488)</f>
      </c>
    </row>
    <row r="5489">
      <c r="A5489" t="s">
        <v>167</v>
      </c>
      <c r="B5489" t="s">
        <v>116</v>
      </c>
      <c r="C5489" s="35" t="s">
        <v>422</v>
      </c>
      <c r="D5489" t="s">
        <v>502</v>
      </c>
      <c r="E5489" t="s">
        <v>520</v>
      </c>
      <c r="F5489" s="188" t="n">
        <v>2032</v>
      </c>
      <c r="G5489" s="189" t="n">
        <v>37</v>
      </c>
      <c r="H5489" s="190" t="n">
        <v>2182.60757255438</v>
      </c>
      <c r="I5489" s="191" t="n">
        <v>4417682.75995577</v>
      </c>
      <c r="J5489" s="192" t="str">
        <f>IF(I5489&gt;0,H5489/I5489,0)</f>
      </c>
      <c r="K5489" s="193" t="str">
        <f>1-EXP(-J5489)</f>
      </c>
      <c r="L5489" s="194" t="str">
        <f>IF(G5489=30,1,M5488)</f>
      </c>
      <c r="M5489" s="195" t="str">
        <f>L5489*(1-K5489)</f>
      </c>
    </row>
    <row r="5490">
      <c r="A5490" t="s">
        <v>167</v>
      </c>
      <c r="B5490" t="s">
        <v>116</v>
      </c>
      <c r="C5490" s="35" t="s">
        <v>422</v>
      </c>
      <c r="D5490" t="s">
        <v>502</v>
      </c>
      <c r="E5490" t="s">
        <v>520</v>
      </c>
      <c r="F5490" s="188" t="n">
        <v>2032</v>
      </c>
      <c r="G5490" s="189" t="n">
        <v>38</v>
      </c>
      <c r="H5490" s="190" t="n">
        <v>2319.80034046193</v>
      </c>
      <c r="I5490" s="191" t="n">
        <v>4359637.55861443</v>
      </c>
      <c r="J5490" s="192" t="str">
        <f>IF(I5490&gt;0,H5490/I5490,0)</f>
      </c>
      <c r="K5490" s="193" t="str">
        <f>1-EXP(-J5490)</f>
      </c>
      <c r="L5490" s="194" t="str">
        <f>IF(G5490=30,1,M5489)</f>
      </c>
      <c r="M5490" s="195" t="str">
        <f>L5490*(1-K5490)</f>
      </c>
    </row>
    <row r="5491">
      <c r="A5491" t="s">
        <v>167</v>
      </c>
      <c r="B5491" t="s">
        <v>116</v>
      </c>
      <c r="C5491" s="35" t="s">
        <v>422</v>
      </c>
      <c r="D5491" t="s">
        <v>502</v>
      </c>
      <c r="E5491" t="s">
        <v>520</v>
      </c>
      <c r="F5491" s="188" t="n">
        <v>2032</v>
      </c>
      <c r="G5491" s="189" t="n">
        <v>39</v>
      </c>
      <c r="H5491" s="190" t="n">
        <v>2471.32035370166</v>
      </c>
      <c r="I5491" s="191" t="n">
        <v>4305061.92302581</v>
      </c>
      <c r="J5491" s="192" t="str">
        <f>IF(I5491&gt;0,H5491/I5491,0)</f>
      </c>
      <c r="K5491" s="193" t="str">
        <f>1-EXP(-J5491)</f>
      </c>
      <c r="L5491" s="194" t="str">
        <f>IF(G5491=30,1,M5490)</f>
      </c>
      <c r="M5491" s="195" t="str">
        <f>L5491*(1-K5491)</f>
      </c>
    </row>
    <row r="5492">
      <c r="A5492" t="s">
        <v>167</v>
      </c>
      <c r="B5492" t="s">
        <v>116</v>
      </c>
      <c r="C5492" s="35" t="s">
        <v>422</v>
      </c>
      <c r="D5492" t="s">
        <v>502</v>
      </c>
      <c r="E5492" t="s">
        <v>520</v>
      </c>
      <c r="F5492" s="188" t="n">
        <v>2032</v>
      </c>
      <c r="G5492" s="189" t="n">
        <v>40</v>
      </c>
      <c r="H5492" s="190" t="n">
        <v>3351.41304668951</v>
      </c>
      <c r="I5492" s="191" t="n">
        <v>4341394.71405031</v>
      </c>
      <c r="J5492" s="192" t="str">
        <f>IF(I5492&gt;0,H5492/I5492,0)</f>
      </c>
      <c r="K5492" s="193" t="str">
        <f>1-EXP(-J5492)</f>
      </c>
      <c r="L5492" s="194" t="str">
        <f>IF(G5492=30,1,M5491)</f>
      </c>
      <c r="M5492" s="195" t="str">
        <f>L5492*(1-K5492)</f>
      </c>
    </row>
    <row r="5493">
      <c r="A5493" t="s">
        <v>167</v>
      </c>
      <c r="B5493" t="s">
        <v>116</v>
      </c>
      <c r="C5493" s="35" t="s">
        <v>422</v>
      </c>
      <c r="D5493" t="s">
        <v>502</v>
      </c>
      <c r="E5493" t="s">
        <v>520</v>
      </c>
      <c r="F5493" s="188" t="n">
        <v>2032</v>
      </c>
      <c r="G5493" s="189" t="n">
        <v>41</v>
      </c>
      <c r="H5493" s="190" t="n">
        <v>3624.21259177539</v>
      </c>
      <c r="I5493" s="191" t="n">
        <v>4357149.20982795</v>
      </c>
      <c r="J5493" s="192" t="str">
        <f>IF(I5493&gt;0,H5493/I5493,0)</f>
      </c>
      <c r="K5493" s="193" t="str">
        <f>1-EXP(-J5493)</f>
      </c>
      <c r="L5493" s="194" t="str">
        <f>IF(G5493=30,1,M5492)</f>
      </c>
      <c r="M5493" s="195" t="str">
        <f>L5493*(1-K5493)</f>
      </c>
    </row>
    <row r="5494">
      <c r="A5494" t="s">
        <v>167</v>
      </c>
      <c r="B5494" t="s">
        <v>116</v>
      </c>
      <c r="C5494" s="35" t="s">
        <v>422</v>
      </c>
      <c r="D5494" t="s">
        <v>502</v>
      </c>
      <c r="E5494" t="s">
        <v>520</v>
      </c>
      <c r="F5494" s="188" t="n">
        <v>2032</v>
      </c>
      <c r="G5494" s="189" t="n">
        <v>42</v>
      </c>
      <c r="H5494" s="190" t="n">
        <v>5490.79884616338</v>
      </c>
      <c r="I5494" s="191" t="n">
        <v>6414970.19630978</v>
      </c>
      <c r="J5494" s="192" t="str">
        <f>IF(I5494&gt;0,H5494/I5494,0)</f>
      </c>
      <c r="K5494" s="193" t="str">
        <f>1-EXP(-J5494)</f>
      </c>
      <c r="L5494" s="194" t="str">
        <f>IF(G5494=30,1,M5493)</f>
      </c>
      <c r="M5494" s="195" t="str">
        <f>L5494*(1-K5494)</f>
      </c>
    </row>
    <row r="5495">
      <c r="A5495" t="s">
        <v>167</v>
      </c>
      <c r="B5495" t="s">
        <v>116</v>
      </c>
      <c r="C5495" s="35" t="s">
        <v>422</v>
      </c>
      <c r="D5495" t="s">
        <v>502</v>
      </c>
      <c r="E5495" t="s">
        <v>520</v>
      </c>
      <c r="F5495" s="188" t="n">
        <v>2032</v>
      </c>
      <c r="G5495" s="189" t="n">
        <v>43</v>
      </c>
      <c r="H5495" s="190" t="n">
        <v>4248.54712072624</v>
      </c>
      <c r="I5495" s="191" t="n">
        <v>4312564.87741695</v>
      </c>
      <c r="J5495" s="192" t="str">
        <f>IF(I5495&gt;0,H5495/I5495,0)</f>
      </c>
      <c r="K5495" s="193" t="str">
        <f>1-EXP(-J5495)</f>
      </c>
      <c r="L5495" s="194" t="str">
        <f>IF(G5495=30,1,M5494)</f>
      </c>
      <c r="M5495" s="195" t="str">
        <f>L5495*(1-K5495)</f>
      </c>
    </row>
    <row r="5496">
      <c r="A5496" t="s">
        <v>167</v>
      </c>
      <c r="B5496" t="s">
        <v>116</v>
      </c>
      <c r="C5496" s="35" t="s">
        <v>422</v>
      </c>
      <c r="D5496" t="s">
        <v>502</v>
      </c>
      <c r="E5496" t="s">
        <v>520</v>
      </c>
      <c r="F5496" s="188" t="n">
        <v>2032</v>
      </c>
      <c r="G5496" s="189" t="n">
        <v>44</v>
      </c>
      <c r="H5496" s="190" t="n">
        <v>4625.53950381472</v>
      </c>
      <c r="I5496" s="191" t="n">
        <v>4293935.59776132</v>
      </c>
      <c r="J5496" s="192" t="str">
        <f>IF(I5496&gt;0,H5496/I5496,0)</f>
      </c>
      <c r="K5496" s="193" t="str">
        <f>1-EXP(-J5496)</f>
      </c>
      <c r="L5496" s="194" t="str">
        <f>IF(G5496=30,1,M5495)</f>
      </c>
      <c r="M5496" s="195" t="str">
        <f>L5496*(1-K5496)</f>
      </c>
    </row>
    <row r="5497">
      <c r="A5497" t="s">
        <v>167</v>
      </c>
      <c r="B5497" t="s">
        <v>116</v>
      </c>
      <c r="C5497" s="35" t="s">
        <v>422</v>
      </c>
      <c r="D5497" t="s">
        <v>502</v>
      </c>
      <c r="E5497" t="s">
        <v>520</v>
      </c>
      <c r="F5497" s="188" t="n">
        <v>2032</v>
      </c>
      <c r="G5497" s="189" t="n">
        <v>45</v>
      </c>
      <c r="H5497" s="190" t="n">
        <v>5804.39488473008</v>
      </c>
      <c r="I5497" s="191" t="n">
        <v>4160200.00504683</v>
      </c>
      <c r="J5497" s="192" t="str">
        <f>IF(I5497&gt;0,H5497/I5497,0)</f>
      </c>
      <c r="K5497" s="193" t="str">
        <f>1-EXP(-J5497)</f>
      </c>
      <c r="L5497" s="194" t="str">
        <f>IF(G5497=30,1,M5496)</f>
      </c>
      <c r="M5497" s="195" t="str">
        <f>L5497*(1-K5497)</f>
      </c>
    </row>
    <row r="5498">
      <c r="A5498" t="s">
        <v>167</v>
      </c>
      <c r="B5498" t="s">
        <v>116</v>
      </c>
      <c r="C5498" s="35" t="s">
        <v>422</v>
      </c>
      <c r="D5498" t="s">
        <v>502</v>
      </c>
      <c r="E5498" t="s">
        <v>520</v>
      </c>
      <c r="F5498" s="188" t="n">
        <v>2032</v>
      </c>
      <c r="G5498" s="189" t="n">
        <v>46</v>
      </c>
      <c r="H5498" s="190" t="n">
        <v>6261.77022368868</v>
      </c>
      <c r="I5498" s="191" t="n">
        <v>4122351.16937602</v>
      </c>
      <c r="J5498" s="192" t="str">
        <f>IF(I5498&gt;0,H5498/I5498,0)</f>
      </c>
      <c r="K5498" s="193" t="str">
        <f>1-EXP(-J5498)</f>
      </c>
      <c r="L5498" s="194" t="str">
        <f>IF(G5498=30,1,M5497)</f>
      </c>
      <c r="M5498" s="195" t="str">
        <f>L5498*(1-K5498)</f>
      </c>
    </row>
    <row r="5499">
      <c r="A5499" t="s">
        <v>167</v>
      </c>
      <c r="B5499" t="s">
        <v>116</v>
      </c>
      <c r="C5499" s="35" t="s">
        <v>422</v>
      </c>
      <c r="D5499" t="s">
        <v>502</v>
      </c>
      <c r="E5499" t="s">
        <v>520</v>
      </c>
      <c r="F5499" s="188" t="n">
        <v>2032</v>
      </c>
      <c r="G5499" s="189" t="n">
        <v>47</v>
      </c>
      <c r="H5499" s="190" t="n">
        <v>6971.45889151075</v>
      </c>
      <c r="I5499" s="191" t="n">
        <v>4178009.41576395</v>
      </c>
      <c r="J5499" s="192" t="str">
        <f>IF(I5499&gt;0,H5499/I5499,0)</f>
      </c>
      <c r="K5499" s="193" t="str">
        <f>1-EXP(-J5499)</f>
      </c>
      <c r="L5499" s="194" t="str">
        <f>IF(G5499=30,1,M5498)</f>
      </c>
      <c r="M5499" s="195" t="str">
        <f>L5499*(1-K5499)</f>
      </c>
    </row>
    <row r="5500">
      <c r="A5500" t="s">
        <v>167</v>
      </c>
      <c r="B5500" t="s">
        <v>116</v>
      </c>
      <c r="C5500" s="35" t="s">
        <v>422</v>
      </c>
      <c r="D5500" t="s">
        <v>502</v>
      </c>
      <c r="E5500" t="s">
        <v>520</v>
      </c>
      <c r="F5500" s="188" t="n">
        <v>2032</v>
      </c>
      <c r="G5500" s="189" t="n">
        <v>48</v>
      </c>
      <c r="H5500" s="190" t="n">
        <v>7805.2034974068</v>
      </c>
      <c r="I5500" s="191" t="n">
        <v>4258094.18389298</v>
      </c>
      <c r="J5500" s="192" t="str">
        <f>IF(I5500&gt;0,H5500/I5500,0)</f>
      </c>
      <c r="K5500" s="193" t="str">
        <f>1-EXP(-J5500)</f>
      </c>
      <c r="L5500" s="194" t="str">
        <f>IF(G5500=30,1,M5499)</f>
      </c>
      <c r="M5500" s="195" t="str">
        <f>L5500*(1-K5500)</f>
      </c>
    </row>
    <row r="5501">
      <c r="A5501" t="s">
        <v>167</v>
      </c>
      <c r="B5501" t="s">
        <v>116</v>
      </c>
      <c r="C5501" s="35" t="s">
        <v>422</v>
      </c>
      <c r="D5501" t="s">
        <v>502</v>
      </c>
      <c r="E5501" t="s">
        <v>520</v>
      </c>
      <c r="F5501" s="188" t="n">
        <v>2032</v>
      </c>
      <c r="G5501" s="189" t="n">
        <v>49</v>
      </c>
      <c r="H5501" s="190" t="n">
        <v>8511.72321051589</v>
      </c>
      <c r="I5501" s="191" t="n">
        <v>4229791.07661543</v>
      </c>
      <c r="J5501" s="192" t="str">
        <f>IF(I5501&gt;0,H5501/I5501,0)</f>
      </c>
      <c r="K5501" s="193" t="str">
        <f>1-EXP(-J5501)</f>
      </c>
      <c r="L5501" s="194" t="str">
        <f>IF(G5501=30,1,M5500)</f>
      </c>
      <c r="M5501" s="195" t="str">
        <f>L5501*(1-K5501)</f>
      </c>
    </row>
    <row r="5502">
      <c r="A5502" t="s">
        <v>167</v>
      </c>
      <c r="B5502" t="s">
        <v>116</v>
      </c>
      <c r="C5502" s="35" t="s">
        <v>422</v>
      </c>
      <c r="D5502" t="s">
        <v>502</v>
      </c>
      <c r="E5502" t="s">
        <v>520</v>
      </c>
      <c r="F5502" s="188" t="n">
        <v>2032</v>
      </c>
      <c r="G5502" s="189" t="n">
        <v>50</v>
      </c>
      <c r="H5502" s="190" t="n">
        <v>9585.90017222956</v>
      </c>
      <c r="I5502" s="191" t="n">
        <v>4089948.06545027</v>
      </c>
      <c r="J5502" s="192" t="str">
        <f>IF(I5502&gt;0,H5502/I5502,0)</f>
      </c>
      <c r="K5502" s="193" t="str">
        <f>1-EXP(-J5502)</f>
      </c>
      <c r="L5502" s="194" t="str">
        <f>IF(G5502=30,1,M5501)</f>
      </c>
      <c r="M5502" s="195" t="str">
        <f>L5502*(1-K5502)</f>
      </c>
    </row>
    <row r="5503">
      <c r="A5503" t="s">
        <v>167</v>
      </c>
      <c r="B5503" t="s">
        <v>116</v>
      </c>
      <c r="C5503" s="35" t="s">
        <v>422</v>
      </c>
      <c r="D5503" t="s">
        <v>502</v>
      </c>
      <c r="E5503" t="s">
        <v>520</v>
      </c>
      <c r="F5503" s="188" t="n">
        <v>2032</v>
      </c>
      <c r="G5503" s="189" t="n">
        <v>51</v>
      </c>
      <c r="H5503" s="190" t="n">
        <v>10338.6997631772</v>
      </c>
      <c r="I5503" s="191" t="n">
        <v>4010689.32749116</v>
      </c>
      <c r="J5503" s="192" t="str">
        <f>IF(I5503&gt;0,H5503/I5503,0)</f>
      </c>
      <c r="K5503" s="193" t="str">
        <f>1-EXP(-J5503)</f>
      </c>
      <c r="L5503" s="194" t="str">
        <f>IF(G5503=30,1,M5502)</f>
      </c>
      <c r="M5503" s="195" t="str">
        <f>L5503*(1-K5503)</f>
      </c>
    </row>
    <row r="5504">
      <c r="A5504" t="s">
        <v>167</v>
      </c>
      <c r="B5504" t="s">
        <v>116</v>
      </c>
      <c r="C5504" s="35" t="s">
        <v>422</v>
      </c>
      <c r="D5504" t="s">
        <v>502</v>
      </c>
      <c r="E5504" t="s">
        <v>520</v>
      </c>
      <c r="F5504" s="188" t="n">
        <v>2032</v>
      </c>
      <c r="G5504" s="189" t="n">
        <v>52</v>
      </c>
      <c r="H5504" s="190" t="n">
        <v>11134.4210192052</v>
      </c>
      <c r="I5504" s="191" t="n">
        <v>3947470.2160103</v>
      </c>
      <c r="J5504" s="192" t="str">
        <f>IF(I5504&gt;0,H5504/I5504,0)</f>
      </c>
      <c r="K5504" s="193" t="str">
        <f>1-EXP(-J5504)</f>
      </c>
      <c r="L5504" s="194" t="str">
        <f>IF(G5504=30,1,M5503)</f>
      </c>
      <c r="M5504" s="195" t="str">
        <f>L5504*(1-K5504)</f>
      </c>
    </row>
    <row r="5505">
      <c r="A5505" t="s">
        <v>167</v>
      </c>
      <c r="B5505" t="s">
        <v>116</v>
      </c>
      <c r="C5505" s="35" t="s">
        <v>422</v>
      </c>
      <c r="D5505" t="s">
        <v>502</v>
      </c>
      <c r="E5505" t="s">
        <v>520</v>
      </c>
      <c r="F5505" s="188" t="n">
        <v>2032</v>
      </c>
      <c r="G5505" s="189" t="n">
        <v>53</v>
      </c>
      <c r="H5505" s="190" t="n">
        <v>11970.1992124439</v>
      </c>
      <c r="I5505" s="191" t="n">
        <v>3878559.18340653</v>
      </c>
      <c r="J5505" s="192" t="str">
        <f>IF(I5505&gt;0,H5505/I5505,0)</f>
      </c>
      <c r="K5505" s="193" t="str">
        <f>1-EXP(-J5505)</f>
      </c>
      <c r="L5505" s="194" t="str">
        <f>IF(G5505=30,1,M5504)</f>
      </c>
      <c r="M5505" s="195" t="str">
        <f>L5505*(1-K5505)</f>
      </c>
    </row>
    <row r="5506">
      <c r="A5506" t="s">
        <v>167</v>
      </c>
      <c r="B5506" t="s">
        <v>116</v>
      </c>
      <c r="C5506" s="35" t="s">
        <v>422</v>
      </c>
      <c r="D5506" t="s">
        <v>502</v>
      </c>
      <c r="E5506" t="s">
        <v>520</v>
      </c>
      <c r="F5506" s="188" t="n">
        <v>2032</v>
      </c>
      <c r="G5506" s="189" t="n">
        <v>54</v>
      </c>
      <c r="H5506" s="190" t="n">
        <v>12797.8781111532</v>
      </c>
      <c r="I5506" s="191" t="n">
        <v>3790213.86250762</v>
      </c>
      <c r="J5506" s="192" t="str">
        <f>IF(I5506&gt;0,H5506/I5506,0)</f>
      </c>
      <c r="K5506" s="193" t="str">
        <f>1-EXP(-J5506)</f>
      </c>
      <c r="L5506" s="194" t="str">
        <f>IF(G5506=30,1,M5505)</f>
      </c>
      <c r="M5506" s="195" t="str">
        <f>L5506*(1-K5506)</f>
      </c>
    </row>
    <row r="5507">
      <c r="A5507" t="s">
        <v>167</v>
      </c>
      <c r="B5507" t="s">
        <v>116</v>
      </c>
      <c r="C5507" s="35" t="s">
        <v>422</v>
      </c>
      <c r="D5507" t="s">
        <v>502</v>
      </c>
      <c r="E5507" t="s">
        <v>520</v>
      </c>
      <c r="F5507" s="188" t="n">
        <v>2032</v>
      </c>
      <c r="G5507" s="189" t="n">
        <v>55</v>
      </c>
      <c r="H5507" s="190" t="n">
        <v>13833.2559053271</v>
      </c>
      <c r="I5507" s="191" t="n">
        <v>3718223.01696194</v>
      </c>
      <c r="J5507" s="192" t="str">
        <f>IF(I5507&gt;0,H5507/I5507,0)</f>
      </c>
      <c r="K5507" s="193" t="str">
        <f>1-EXP(-J5507)</f>
      </c>
      <c r="L5507" s="194" t="str">
        <f>IF(G5507=30,1,M5506)</f>
      </c>
      <c r="M5507" s="195" t="str">
        <f>L5507*(1-K5507)</f>
      </c>
    </row>
    <row r="5508">
      <c r="A5508" t="s">
        <v>167</v>
      </c>
      <c r="B5508" t="s">
        <v>116</v>
      </c>
      <c r="C5508" s="35" t="s">
        <v>422</v>
      </c>
      <c r="D5508" t="s">
        <v>502</v>
      </c>
      <c r="E5508" t="s">
        <v>520</v>
      </c>
      <c r="F5508" s="188" t="n">
        <v>2032</v>
      </c>
      <c r="G5508" s="189" t="n">
        <v>56</v>
      </c>
      <c r="H5508" s="190" t="n">
        <v>14697.2118838359</v>
      </c>
      <c r="I5508" s="191" t="n">
        <v>3633894.7407408</v>
      </c>
      <c r="J5508" s="192" t="str">
        <f>IF(I5508&gt;0,H5508/I5508,0)</f>
      </c>
      <c r="K5508" s="193" t="str">
        <f>1-EXP(-J5508)</f>
      </c>
      <c r="L5508" s="194" t="str">
        <f>IF(G5508=30,1,M5507)</f>
      </c>
      <c r="M5508" s="195" t="str">
        <f>L5508*(1-K5508)</f>
      </c>
    </row>
    <row r="5509">
      <c r="A5509" t="s">
        <v>167</v>
      </c>
      <c r="B5509" t="s">
        <v>116</v>
      </c>
      <c r="C5509" s="35" t="s">
        <v>422</v>
      </c>
      <c r="D5509" t="s">
        <v>502</v>
      </c>
      <c r="E5509" t="s">
        <v>520</v>
      </c>
      <c r="F5509" s="188" t="n">
        <v>2032</v>
      </c>
      <c r="G5509" s="189" t="n">
        <v>57</v>
      </c>
      <c r="H5509" s="190" t="n">
        <v>15705.6241594512</v>
      </c>
      <c r="I5509" s="191" t="n">
        <v>3548897.43549434</v>
      </c>
      <c r="J5509" s="192" t="str">
        <f>IF(I5509&gt;0,H5509/I5509,0)</f>
      </c>
      <c r="K5509" s="193" t="str">
        <f>1-EXP(-J5509)</f>
      </c>
      <c r="L5509" s="194" t="str">
        <f>IF(G5509=30,1,M5508)</f>
      </c>
      <c r="M5509" s="195" t="str">
        <f>L5509*(1-K5509)</f>
      </c>
    </row>
    <row r="5510">
      <c r="A5510" t="s">
        <v>167</v>
      </c>
      <c r="B5510" t="s">
        <v>116</v>
      </c>
      <c r="C5510" s="35" t="s">
        <v>422</v>
      </c>
      <c r="D5510" t="s">
        <v>502</v>
      </c>
      <c r="E5510" t="s">
        <v>520</v>
      </c>
      <c r="F5510" s="188" t="n">
        <v>2032</v>
      </c>
      <c r="G5510" s="189" t="n">
        <v>58</v>
      </c>
      <c r="H5510" s="190" t="n">
        <v>16654.932941841</v>
      </c>
      <c r="I5510" s="191" t="n">
        <v>3436809.4482124</v>
      </c>
      <c r="J5510" s="192" t="str">
        <f>IF(I5510&gt;0,H5510/I5510,0)</f>
      </c>
      <c r="K5510" s="193" t="str">
        <f>1-EXP(-J5510)</f>
      </c>
      <c r="L5510" s="194" t="str">
        <f>IF(G5510=30,1,M5509)</f>
      </c>
      <c r="M5510" s="195" t="str">
        <f>L5510*(1-K5510)</f>
      </c>
    </row>
    <row r="5511">
      <c r="A5511" t="s">
        <v>167</v>
      </c>
      <c r="B5511" t="s">
        <v>116</v>
      </c>
      <c r="C5511" s="35" t="s">
        <v>422</v>
      </c>
      <c r="D5511" t="s">
        <v>502</v>
      </c>
      <c r="E5511" t="s">
        <v>520</v>
      </c>
      <c r="F5511" s="188" t="n">
        <v>2032</v>
      </c>
      <c r="G5511" s="189" t="n">
        <v>59</v>
      </c>
      <c r="H5511" s="190" t="n">
        <v>17957.0740877424</v>
      </c>
      <c r="I5511" s="191" t="n">
        <v>3382498.48978479</v>
      </c>
      <c r="J5511" s="192" t="str">
        <f>IF(I5511&gt;0,H5511/I5511,0)</f>
      </c>
      <c r="K5511" s="193" t="str">
        <f>1-EXP(-J5511)</f>
      </c>
      <c r="L5511" s="194" t="str">
        <f>IF(G5511=30,1,M5510)</f>
      </c>
      <c r="M5511" s="195" t="str">
        <f>L5511*(1-K5511)</f>
      </c>
    </row>
    <row r="5512">
      <c r="A5512" t="s">
        <v>167</v>
      </c>
      <c r="B5512" t="s">
        <v>116</v>
      </c>
      <c r="C5512" s="35" t="s">
        <v>422</v>
      </c>
      <c r="D5512" t="s">
        <v>502</v>
      </c>
      <c r="E5512" t="s">
        <v>520</v>
      </c>
      <c r="F5512" s="188" t="n">
        <v>2032</v>
      </c>
      <c r="G5512" s="189" t="n">
        <v>60</v>
      </c>
      <c r="H5512" s="190" t="n">
        <v>18699.5226640332</v>
      </c>
      <c r="I5512" s="191" t="n">
        <v>3169678.52328967</v>
      </c>
      <c r="J5512" s="192" t="str">
        <f>IF(I5512&gt;0,H5512/I5512,0)</f>
      </c>
      <c r="K5512" s="193" t="str">
        <f>1-EXP(-J5512)</f>
      </c>
      <c r="L5512" s="194" t="str">
        <f>IF(G5512=30,1,M5511)</f>
      </c>
      <c r="M5512" s="195" t="str">
        <f>L5512*(1-K5512)</f>
      </c>
    </row>
    <row r="5513">
      <c r="A5513" t="s">
        <v>167</v>
      </c>
      <c r="B5513" t="s">
        <v>116</v>
      </c>
      <c r="C5513" s="35" t="s">
        <v>422</v>
      </c>
      <c r="D5513" t="s">
        <v>502</v>
      </c>
      <c r="E5513" t="s">
        <v>520</v>
      </c>
      <c r="F5513" s="188" t="n">
        <v>2032</v>
      </c>
      <c r="G5513" s="189" t="n">
        <v>61</v>
      </c>
      <c r="H5513" s="190" t="n">
        <v>20117.0096241089</v>
      </c>
      <c r="I5513" s="191" t="n">
        <v>3073327.22178216</v>
      </c>
      <c r="J5513" s="192" t="str">
        <f>IF(I5513&gt;0,H5513/I5513,0)</f>
      </c>
      <c r="K5513" s="193" t="str">
        <f>1-EXP(-J5513)</f>
      </c>
      <c r="L5513" s="194" t="str">
        <f>IF(G5513=30,1,M5512)</f>
      </c>
      <c r="M5513" s="195" t="str">
        <f>L5513*(1-K5513)</f>
      </c>
    </row>
    <row r="5514">
      <c r="A5514" t="s">
        <v>167</v>
      </c>
      <c r="B5514" t="s">
        <v>116</v>
      </c>
      <c r="C5514" s="35" t="s">
        <v>422</v>
      </c>
      <c r="D5514" t="s">
        <v>502</v>
      </c>
      <c r="E5514" t="s">
        <v>520</v>
      </c>
      <c r="F5514" s="188" t="n">
        <v>2032</v>
      </c>
      <c r="G5514" s="189" t="n">
        <v>62</v>
      </c>
      <c r="H5514" s="190" t="n">
        <v>21358.0091132767</v>
      </c>
      <c r="I5514" s="191" t="n">
        <v>2980908.51454574</v>
      </c>
      <c r="J5514" s="192" t="str">
        <f>IF(I5514&gt;0,H5514/I5514,0)</f>
      </c>
      <c r="K5514" s="193" t="str">
        <f>1-EXP(-J5514)</f>
      </c>
      <c r="L5514" s="194" t="str">
        <f>IF(G5514=30,1,M5513)</f>
      </c>
      <c r="M5514" s="195" t="str">
        <f>L5514*(1-K5514)</f>
      </c>
    </row>
    <row r="5515">
      <c r="A5515" t="s">
        <v>167</v>
      </c>
      <c r="B5515" t="s">
        <v>116</v>
      </c>
      <c r="C5515" s="35" t="s">
        <v>422</v>
      </c>
      <c r="D5515" t="s">
        <v>502</v>
      </c>
      <c r="E5515" t="s">
        <v>520</v>
      </c>
      <c r="F5515" s="188" t="n">
        <v>2032</v>
      </c>
      <c r="G5515" s="189" t="n">
        <v>63</v>
      </c>
      <c r="H5515" s="190" t="n">
        <v>22598.0352777371</v>
      </c>
      <c r="I5515" s="191" t="n">
        <v>2879257.74914251</v>
      </c>
      <c r="J5515" s="192" t="str">
        <f>IF(I5515&gt;0,H5515/I5515,0)</f>
      </c>
      <c r="K5515" s="193" t="str">
        <f>1-EXP(-J5515)</f>
      </c>
      <c r="L5515" s="194" t="str">
        <f>IF(G5515=30,1,M5514)</f>
      </c>
      <c r="M5515" s="195" t="str">
        <f>L5515*(1-K5515)</f>
      </c>
    </row>
    <row r="5516">
      <c r="A5516" t="s">
        <v>167</v>
      </c>
      <c r="B5516" t="s">
        <v>116</v>
      </c>
      <c r="C5516" s="35" t="s">
        <v>422</v>
      </c>
      <c r="D5516" t="s">
        <v>502</v>
      </c>
      <c r="E5516" t="s">
        <v>520</v>
      </c>
      <c r="F5516" s="188" t="n">
        <v>2032</v>
      </c>
      <c r="G5516" s="189" t="n">
        <v>64</v>
      </c>
      <c r="H5516" s="190" t="n">
        <v>23733.8911640643</v>
      </c>
      <c r="I5516" s="191" t="n">
        <v>2758574.01617517</v>
      </c>
      <c r="J5516" s="192" t="str">
        <f>IF(I5516&gt;0,H5516/I5516,0)</f>
      </c>
      <c r="K5516" s="193" t="str">
        <f>1-EXP(-J5516)</f>
      </c>
      <c r="L5516" s="194" t="str">
        <f>IF(G5516=30,1,M5515)</f>
      </c>
      <c r="M5516" s="195" t="str">
        <f>L5516*(1-K5516)</f>
      </c>
    </row>
    <row r="5517">
      <c r="A5517" t="s">
        <v>167</v>
      </c>
      <c r="B5517" t="s">
        <v>116</v>
      </c>
      <c r="C5517" s="35" t="s">
        <v>422</v>
      </c>
      <c r="D5517" t="s">
        <v>502</v>
      </c>
      <c r="E5517" t="s">
        <v>520</v>
      </c>
      <c r="F5517" s="188" t="n">
        <v>2032</v>
      </c>
      <c r="G5517" s="189" t="n">
        <v>65</v>
      </c>
      <c r="H5517" s="190" t="n">
        <v>23854.6339383131</v>
      </c>
      <c r="I5517" s="191" t="n">
        <v>2608371.16348168</v>
      </c>
      <c r="J5517" s="192" t="str">
        <f>IF(I5517&gt;0,H5517/I5517,0)</f>
      </c>
      <c r="K5517" s="193" t="str">
        <f>1-EXP(-J5517)</f>
      </c>
      <c r="L5517" s="194" t="str">
        <f>IF(G5517=30,1,M5516)</f>
      </c>
      <c r="M5517" s="195" t="str">
        <f>L5517*(1-K5517)</f>
      </c>
    </row>
    <row r="5518">
      <c r="A5518" t="s">
        <v>167</v>
      </c>
      <c r="B5518" t="s">
        <v>116</v>
      </c>
      <c r="C5518" s="35" t="s">
        <v>422</v>
      </c>
      <c r="D5518" t="s">
        <v>502</v>
      </c>
      <c r="E5518" t="s">
        <v>520</v>
      </c>
      <c r="F5518" s="188" t="n">
        <v>2032</v>
      </c>
      <c r="G5518" s="189" t="n">
        <v>66</v>
      </c>
      <c r="H5518" s="190" t="n">
        <v>24964.0981275628</v>
      </c>
      <c r="I5518" s="191" t="n">
        <v>2492735.11673872</v>
      </c>
      <c r="J5518" s="192" t="str">
        <f>IF(I5518&gt;0,H5518/I5518,0)</f>
      </c>
      <c r="K5518" s="193" t="str">
        <f>1-EXP(-J5518)</f>
      </c>
      <c r="L5518" s="194" t="str">
        <f>IF(G5518=30,1,M5517)</f>
      </c>
      <c r="M5518" s="195" t="str">
        <f>L5518*(1-K5518)</f>
      </c>
    </row>
    <row r="5519">
      <c r="A5519" t="s">
        <v>167</v>
      </c>
      <c r="B5519" t="s">
        <v>116</v>
      </c>
      <c r="C5519" s="35" t="s">
        <v>422</v>
      </c>
      <c r="D5519" t="s">
        <v>502</v>
      </c>
      <c r="E5519" t="s">
        <v>520</v>
      </c>
      <c r="F5519" s="188" t="n">
        <v>2032</v>
      </c>
      <c r="G5519" s="189" t="n">
        <v>67</v>
      </c>
      <c r="H5519" s="190" t="n">
        <v>25914.1858881342</v>
      </c>
      <c r="I5519" s="191" t="n">
        <v>2356795.49992632</v>
      </c>
      <c r="J5519" s="192" t="str">
        <f>IF(I5519&gt;0,H5519/I5519,0)</f>
      </c>
      <c r="K5519" s="193" t="str">
        <f>1-EXP(-J5519)</f>
      </c>
      <c r="L5519" s="194" t="str">
        <f>IF(G5519=30,1,M5518)</f>
      </c>
      <c r="M5519" s="195" t="str">
        <f>L5519*(1-K5519)</f>
      </c>
    </row>
    <row r="5520">
      <c r="A5520" t="s">
        <v>167</v>
      </c>
      <c r="B5520" t="s">
        <v>116</v>
      </c>
      <c r="C5520" s="35" t="s">
        <v>422</v>
      </c>
      <c r="D5520" t="s">
        <v>502</v>
      </c>
      <c r="E5520" t="s">
        <v>520</v>
      </c>
      <c r="F5520" s="188" t="n">
        <v>2032</v>
      </c>
      <c r="G5520" s="189" t="n">
        <v>68</v>
      </c>
      <c r="H5520" s="190" t="n">
        <v>26838.2110723461</v>
      </c>
      <c r="I5520" s="191" t="n">
        <v>2221291.1141956</v>
      </c>
      <c r="J5520" s="192" t="str">
        <f>IF(I5520&gt;0,H5520/I5520,0)</f>
      </c>
      <c r="K5520" s="193" t="str">
        <f>1-EXP(-J5520)</f>
      </c>
      <c r="L5520" s="194" t="str">
        <f>IF(G5520=30,1,M5519)</f>
      </c>
      <c r="M5520" s="195" t="str">
        <f>L5520*(1-K5520)</f>
      </c>
    </row>
    <row r="5521">
      <c r="A5521" t="s">
        <v>167</v>
      </c>
      <c r="B5521" t="s">
        <v>116</v>
      </c>
      <c r="C5521" s="35" t="s">
        <v>422</v>
      </c>
      <c r="D5521" t="s">
        <v>502</v>
      </c>
      <c r="E5521" t="s">
        <v>520</v>
      </c>
      <c r="F5521" s="188" t="n">
        <v>2032</v>
      </c>
      <c r="G5521" s="189" t="n">
        <v>69</v>
      </c>
      <c r="H5521" s="190" t="n">
        <v>27776.5455902332</v>
      </c>
      <c r="I5521" s="191" t="n">
        <v>2090478.68799405</v>
      </c>
      <c r="J5521" s="192" t="str">
        <f>IF(I5521&gt;0,H5521/I5521,0)</f>
      </c>
      <c r="K5521" s="193" t="str">
        <f>1-EXP(-J5521)</f>
      </c>
      <c r="L5521" s="194" t="str">
        <f>IF(G5521=30,1,M5520)</f>
      </c>
      <c r="M5521" s="195" t="str">
        <f>L5521*(1-K5521)</f>
      </c>
    </row>
    <row r="5522">
      <c r="A5522" t="s">
        <v>167</v>
      </c>
      <c r="B5522" t="s">
        <v>116</v>
      </c>
      <c r="C5522" s="35" t="s">
        <v>422</v>
      </c>
      <c r="D5522" t="s">
        <v>502</v>
      </c>
      <c r="E5522" t="s">
        <v>520</v>
      </c>
      <c r="F5522" s="188" t="n">
        <v>2033</v>
      </c>
      <c r="G5522" s="189" t="n">
        <v>30</v>
      </c>
      <c r="H5522" s="190" t="n">
        <v>709.447364295678</v>
      </c>
      <c r="I5522" s="191" t="n">
        <v>4369930.02369237</v>
      </c>
      <c r="J5522" s="192" t="str">
        <f>IF(I5522&gt;0,H5522/I5522,0)</f>
      </c>
      <c r="K5522" s="193" t="str">
        <f>1-EXP(-J5522)</f>
      </c>
      <c r="L5522" s="194" t="str">
        <f>IF(G5522=30,1,M5521)</f>
      </c>
      <c r="M5522" s="195" t="str">
        <f>L5522*(1-K5522)</f>
      </c>
    </row>
    <row r="5523">
      <c r="A5523" t="s">
        <v>167</v>
      </c>
      <c r="B5523" t="s">
        <v>116</v>
      </c>
      <c r="C5523" s="35" t="s">
        <v>422</v>
      </c>
      <c r="D5523" t="s">
        <v>502</v>
      </c>
      <c r="E5523" t="s">
        <v>520</v>
      </c>
      <c r="F5523" s="188" t="n">
        <v>2033</v>
      </c>
      <c r="G5523" s="189" t="n">
        <v>31</v>
      </c>
      <c r="H5523" s="190" t="n">
        <v>1010.13688840321</v>
      </c>
      <c r="I5523" s="191" t="n">
        <v>4349270.64742688</v>
      </c>
      <c r="J5523" s="192" t="str">
        <f>IF(I5523&gt;0,H5523/I5523,0)</f>
      </c>
      <c r="K5523" s="193" t="str">
        <f>1-EXP(-J5523)</f>
      </c>
      <c r="L5523" s="194" t="str">
        <f>IF(G5523=30,1,M5522)</f>
      </c>
      <c r="M5523" s="195" t="str">
        <f>L5523*(1-K5523)</f>
      </c>
    </row>
    <row r="5524">
      <c r="A5524" t="s">
        <v>167</v>
      </c>
      <c r="B5524" t="s">
        <v>116</v>
      </c>
      <c r="C5524" s="35" t="s">
        <v>422</v>
      </c>
      <c r="D5524" t="s">
        <v>502</v>
      </c>
      <c r="E5524" t="s">
        <v>520</v>
      </c>
      <c r="F5524" s="188" t="n">
        <v>2033</v>
      </c>
      <c r="G5524" s="189" t="n">
        <v>32</v>
      </c>
      <c r="H5524" s="190" t="n">
        <v>1059.35269757578</v>
      </c>
      <c r="I5524" s="191" t="n">
        <v>4329772.70589804</v>
      </c>
      <c r="J5524" s="192" t="str">
        <f>IF(I5524&gt;0,H5524/I5524,0)</f>
      </c>
      <c r="K5524" s="193" t="str">
        <f>1-EXP(-J5524)</f>
      </c>
      <c r="L5524" s="194" t="str">
        <f>IF(G5524=30,1,M5523)</f>
      </c>
      <c r="M5524" s="195" t="str">
        <f>L5524*(1-K5524)</f>
      </c>
    </row>
    <row r="5525">
      <c r="A5525" t="s">
        <v>167</v>
      </c>
      <c r="B5525" t="s">
        <v>116</v>
      </c>
      <c r="C5525" s="35" t="s">
        <v>422</v>
      </c>
      <c r="D5525" t="s">
        <v>502</v>
      </c>
      <c r="E5525" t="s">
        <v>520</v>
      </c>
      <c r="F5525" s="188" t="n">
        <v>2033</v>
      </c>
      <c r="G5525" s="189" t="n">
        <v>33</v>
      </c>
      <c r="H5525" s="190" t="n">
        <v>1118.64135120159</v>
      </c>
      <c r="I5525" s="191" t="n">
        <v>4310038.71453044</v>
      </c>
      <c r="J5525" s="192" t="str">
        <f>IF(I5525&gt;0,H5525/I5525,0)</f>
      </c>
      <c r="K5525" s="193" t="str">
        <f>1-EXP(-J5525)</f>
      </c>
      <c r="L5525" s="194" t="str">
        <f>IF(G5525=30,1,M5524)</f>
      </c>
      <c r="M5525" s="195" t="str">
        <f>L5525*(1-K5525)</f>
      </c>
    </row>
    <row r="5526">
      <c r="A5526" t="s">
        <v>167</v>
      </c>
      <c r="B5526" t="s">
        <v>116</v>
      </c>
      <c r="C5526" s="35" t="s">
        <v>422</v>
      </c>
      <c r="D5526" t="s">
        <v>502</v>
      </c>
      <c r="E5526" t="s">
        <v>520</v>
      </c>
      <c r="F5526" s="188" t="n">
        <v>2033</v>
      </c>
      <c r="G5526" s="189" t="n">
        <v>34</v>
      </c>
      <c r="H5526" s="190" t="n">
        <v>1199.50745704073</v>
      </c>
      <c r="I5526" s="191" t="n">
        <v>4330049.45525938</v>
      </c>
      <c r="J5526" s="192" t="str">
        <f>IF(I5526&gt;0,H5526/I5526,0)</f>
      </c>
      <c r="K5526" s="193" t="str">
        <f>1-EXP(-J5526)</f>
      </c>
      <c r="L5526" s="194" t="str">
        <f>IF(G5526=30,1,M5525)</f>
      </c>
      <c r="M5526" s="195" t="str">
        <f>L5526*(1-K5526)</f>
      </c>
    </row>
    <row r="5527">
      <c r="A5527" t="s">
        <v>167</v>
      </c>
      <c r="B5527" t="s">
        <v>116</v>
      </c>
      <c r="C5527" s="35" t="s">
        <v>422</v>
      </c>
      <c r="D5527" t="s">
        <v>502</v>
      </c>
      <c r="E5527" t="s">
        <v>520</v>
      </c>
      <c r="F5527" s="188" t="n">
        <v>2033</v>
      </c>
      <c r="G5527" s="189" t="n">
        <v>35</v>
      </c>
      <c r="H5527" s="190" t="n">
        <v>1652.89091271238</v>
      </c>
      <c r="I5527" s="191" t="n">
        <v>4389229.6740768</v>
      </c>
      <c r="J5527" s="192" t="str">
        <f>IF(I5527&gt;0,H5527/I5527,0)</f>
      </c>
      <c r="K5527" s="193" t="str">
        <f>1-EXP(-J5527)</f>
      </c>
      <c r="L5527" s="194" t="str">
        <f>IF(G5527=30,1,M5526)</f>
      </c>
      <c r="M5527" s="195" t="str">
        <f>L5527*(1-K5527)</f>
      </c>
    </row>
    <row r="5528">
      <c r="A5528" t="s">
        <v>167</v>
      </c>
      <c r="B5528" t="s">
        <v>116</v>
      </c>
      <c r="C5528" s="35" t="s">
        <v>422</v>
      </c>
      <c r="D5528" t="s">
        <v>502</v>
      </c>
      <c r="E5528" t="s">
        <v>520</v>
      </c>
      <c r="F5528" s="188" t="n">
        <v>2033</v>
      </c>
      <c r="G5528" s="189" t="n">
        <v>36</v>
      </c>
      <c r="H5528" s="190" t="n">
        <v>2072.2153660871</v>
      </c>
      <c r="I5528" s="191" t="n">
        <v>4527460.81208688</v>
      </c>
      <c r="J5528" s="192" t="str">
        <f>IF(I5528&gt;0,H5528/I5528,0)</f>
      </c>
      <c r="K5528" s="193" t="str">
        <f>1-EXP(-J5528)</f>
      </c>
      <c r="L5528" s="194" t="str">
        <f>IF(G5528=30,1,M5527)</f>
      </c>
      <c r="M5528" s="195" t="str">
        <f>L5528*(1-K5528)</f>
      </c>
    </row>
    <row r="5529">
      <c r="A5529" t="s">
        <v>167</v>
      </c>
      <c r="B5529" t="s">
        <v>116</v>
      </c>
      <c r="C5529" s="35" t="s">
        <v>422</v>
      </c>
      <c r="D5529" t="s">
        <v>502</v>
      </c>
      <c r="E5529" t="s">
        <v>520</v>
      </c>
      <c r="F5529" s="188" t="n">
        <v>2033</v>
      </c>
      <c r="G5529" s="189" t="n">
        <v>37</v>
      </c>
      <c r="H5529" s="190" t="n">
        <v>2204.62733324237</v>
      </c>
      <c r="I5529" s="191" t="n">
        <v>4483611.73237771</v>
      </c>
      <c r="J5529" s="192" t="str">
        <f>IF(I5529&gt;0,H5529/I5529,0)</f>
      </c>
      <c r="K5529" s="193" t="str">
        <f>1-EXP(-J5529)</f>
      </c>
      <c r="L5529" s="194" t="str">
        <f>IF(G5529=30,1,M5528)</f>
      </c>
      <c r="M5529" s="195" t="str">
        <f>L5529*(1-K5529)</f>
      </c>
    </row>
    <row r="5530">
      <c r="A5530" t="s">
        <v>167</v>
      </c>
      <c r="B5530" t="s">
        <v>116</v>
      </c>
      <c r="C5530" s="35" t="s">
        <v>422</v>
      </c>
      <c r="D5530" t="s">
        <v>502</v>
      </c>
      <c r="E5530" t="s">
        <v>520</v>
      </c>
      <c r="F5530" s="188" t="n">
        <v>2033</v>
      </c>
      <c r="G5530" s="189" t="n">
        <v>38</v>
      </c>
      <c r="H5530" s="190" t="n">
        <v>2334.51848711469</v>
      </c>
      <c r="I5530" s="191" t="n">
        <v>4409548.09095773</v>
      </c>
      <c r="J5530" s="192" t="str">
        <f>IF(I5530&gt;0,H5530/I5530,0)</f>
      </c>
      <c r="K5530" s="193" t="str">
        <f>1-EXP(-J5530)</f>
      </c>
      <c r="L5530" s="194" t="str">
        <f>IF(G5530=30,1,M5529)</f>
      </c>
      <c r="M5530" s="195" t="str">
        <f>L5530*(1-K5530)</f>
      </c>
    </row>
    <row r="5531">
      <c r="A5531" t="s">
        <v>167</v>
      </c>
      <c r="B5531" t="s">
        <v>116</v>
      </c>
      <c r="C5531" s="35" t="s">
        <v>422</v>
      </c>
      <c r="D5531" t="s">
        <v>502</v>
      </c>
      <c r="E5531" t="s">
        <v>520</v>
      </c>
      <c r="F5531" s="188" t="n">
        <v>2033</v>
      </c>
      <c r="G5531" s="189" t="n">
        <v>39</v>
      </c>
      <c r="H5531" s="190" t="n">
        <v>2485.77212748199</v>
      </c>
      <c r="I5531" s="191" t="n">
        <v>4351018.70444266</v>
      </c>
      <c r="J5531" s="192" t="str">
        <f>IF(I5531&gt;0,H5531/I5531,0)</f>
      </c>
      <c r="K5531" s="193" t="str">
        <f>1-EXP(-J5531)</f>
      </c>
      <c r="L5531" s="194" t="str">
        <f>IF(G5531=30,1,M5530)</f>
      </c>
      <c r="M5531" s="195" t="str">
        <f>L5531*(1-K5531)</f>
      </c>
    </row>
    <row r="5532">
      <c r="A5532" t="s">
        <v>167</v>
      </c>
      <c r="B5532" t="s">
        <v>116</v>
      </c>
      <c r="C5532" s="35" t="s">
        <v>422</v>
      </c>
      <c r="D5532" t="s">
        <v>502</v>
      </c>
      <c r="E5532" t="s">
        <v>520</v>
      </c>
      <c r="F5532" s="188" t="n">
        <v>2033</v>
      </c>
      <c r="G5532" s="189" t="n">
        <v>40</v>
      </c>
      <c r="H5532" s="190" t="n">
        <v>3301.50422960128</v>
      </c>
      <c r="I5532" s="191" t="n">
        <v>4295906.04249611</v>
      </c>
      <c r="J5532" s="192" t="str">
        <f>IF(I5532&gt;0,H5532/I5532,0)</f>
      </c>
      <c r="K5532" s="193" t="str">
        <f>1-EXP(-J5532)</f>
      </c>
      <c r="L5532" s="194" t="str">
        <f>IF(G5532=30,1,M5531)</f>
      </c>
      <c r="M5532" s="195" t="str">
        <f>L5532*(1-K5532)</f>
      </c>
    </row>
    <row r="5533">
      <c r="A5533" t="s">
        <v>167</v>
      </c>
      <c r="B5533" t="s">
        <v>116</v>
      </c>
      <c r="C5533" s="35" t="s">
        <v>422</v>
      </c>
      <c r="D5533" t="s">
        <v>502</v>
      </c>
      <c r="E5533" t="s">
        <v>520</v>
      </c>
      <c r="F5533" s="188" t="n">
        <v>2033</v>
      </c>
      <c r="G5533" s="189" t="n">
        <v>41</v>
      </c>
      <c r="H5533" s="190" t="n">
        <v>3576.71398538613</v>
      </c>
      <c r="I5533" s="191" t="n">
        <v>4330692.96000234</v>
      </c>
      <c r="J5533" s="192" t="str">
        <f>IF(I5533&gt;0,H5533/I5533,0)</f>
      </c>
      <c r="K5533" s="193" t="str">
        <f>1-EXP(-J5533)</f>
      </c>
      <c r="L5533" s="194" t="str">
        <f>IF(G5533=30,1,M5532)</f>
      </c>
      <c r="M5533" s="195" t="str">
        <f>L5533*(1-K5533)</f>
      </c>
    </row>
    <row r="5534">
      <c r="A5534" t="s">
        <v>167</v>
      </c>
      <c r="B5534" t="s">
        <v>116</v>
      </c>
      <c r="C5534" s="35" t="s">
        <v>422</v>
      </c>
      <c r="D5534" t="s">
        <v>502</v>
      </c>
      <c r="E5534" t="s">
        <v>520</v>
      </c>
      <c r="F5534" s="188" t="n">
        <v>2033</v>
      </c>
      <c r="G5534" s="189" t="n">
        <v>42</v>
      </c>
      <c r="H5534" s="190" t="n">
        <v>3900.51385015138</v>
      </c>
      <c r="I5534" s="191" t="n">
        <v>4346377.93463022</v>
      </c>
      <c r="J5534" s="192" t="str">
        <f>IF(I5534&gt;0,H5534/I5534,0)</f>
      </c>
      <c r="K5534" s="193" t="str">
        <f>1-EXP(-J5534)</f>
      </c>
      <c r="L5534" s="194" t="str">
        <f>IF(G5534=30,1,M5533)</f>
      </c>
      <c r="M5534" s="195" t="str">
        <f>L5534*(1-K5534)</f>
      </c>
    </row>
    <row r="5535">
      <c r="A5535" t="s">
        <v>167</v>
      </c>
      <c r="B5535" t="s">
        <v>116</v>
      </c>
      <c r="C5535" s="35" t="s">
        <v>422</v>
      </c>
      <c r="D5535" t="s">
        <v>502</v>
      </c>
      <c r="E5535" t="s">
        <v>520</v>
      </c>
      <c r="F5535" s="188" t="n">
        <v>2033</v>
      </c>
      <c r="G5535" s="189" t="n">
        <v>43</v>
      </c>
      <c r="H5535" s="190" t="n">
        <v>5914.06664713704</v>
      </c>
      <c r="I5535" s="191" t="n">
        <v>6398541.44838069</v>
      </c>
      <c r="J5535" s="192" t="str">
        <f>IF(I5535&gt;0,H5535/I5535,0)</f>
      </c>
      <c r="K5535" s="193" t="str">
        <f>1-EXP(-J5535)</f>
      </c>
      <c r="L5535" s="194" t="str">
        <f>IF(G5535=30,1,M5534)</f>
      </c>
      <c r="M5535" s="195" t="str">
        <f>L5535*(1-K5535)</f>
      </c>
    </row>
    <row r="5536">
      <c r="A5536" t="s">
        <v>167</v>
      </c>
      <c r="B5536" t="s">
        <v>116</v>
      </c>
      <c r="C5536" s="35" t="s">
        <v>422</v>
      </c>
      <c r="D5536" t="s">
        <v>502</v>
      </c>
      <c r="E5536" t="s">
        <v>520</v>
      </c>
      <c r="F5536" s="188" t="n">
        <v>2033</v>
      </c>
      <c r="G5536" s="189" t="n">
        <v>44</v>
      </c>
      <c r="H5536" s="190" t="n">
        <v>4598.93803490448</v>
      </c>
      <c r="I5536" s="191" t="n">
        <v>4300024.68396227</v>
      </c>
      <c r="J5536" s="192" t="str">
        <f>IF(I5536&gt;0,H5536/I5536,0)</f>
      </c>
      <c r="K5536" s="193" t="str">
        <f>1-EXP(-J5536)</f>
      </c>
      <c r="L5536" s="194" t="str">
        <f>IF(G5536=30,1,M5535)</f>
      </c>
      <c r="M5536" s="195" t="str">
        <f>L5536*(1-K5536)</f>
      </c>
    </row>
    <row r="5537">
      <c r="A5537" t="s">
        <v>167</v>
      </c>
      <c r="B5537" t="s">
        <v>116</v>
      </c>
      <c r="C5537" s="35" t="s">
        <v>422</v>
      </c>
      <c r="D5537" t="s">
        <v>502</v>
      </c>
      <c r="E5537" t="s">
        <v>520</v>
      </c>
      <c r="F5537" s="188" t="n">
        <v>2033</v>
      </c>
      <c r="G5537" s="189" t="n">
        <v>45</v>
      </c>
      <c r="H5537" s="190" t="n">
        <v>5924.86542358572</v>
      </c>
      <c r="I5537" s="191" t="n">
        <v>4280329.74296956</v>
      </c>
      <c r="J5537" s="192" t="str">
        <f>IF(I5537&gt;0,H5537/I5537,0)</f>
      </c>
      <c r="K5537" s="193" t="str">
        <f>1-EXP(-J5537)</f>
      </c>
      <c r="L5537" s="194" t="str">
        <f>IF(G5537=30,1,M5536)</f>
      </c>
      <c r="M5537" s="195" t="str">
        <f>L5537*(1-K5537)</f>
      </c>
    </row>
    <row r="5538">
      <c r="A5538" t="s">
        <v>167</v>
      </c>
      <c r="B5538" t="s">
        <v>116</v>
      </c>
      <c r="C5538" s="35" t="s">
        <v>422</v>
      </c>
      <c r="D5538" t="s">
        <v>502</v>
      </c>
      <c r="E5538" t="s">
        <v>520</v>
      </c>
      <c r="F5538" s="188" t="n">
        <v>2033</v>
      </c>
      <c r="G5538" s="189" t="n">
        <v>46</v>
      </c>
      <c r="H5538" s="190" t="n">
        <v>6247.58930281404</v>
      </c>
      <c r="I5538" s="191" t="n">
        <v>4144842.7352062</v>
      </c>
      <c r="J5538" s="192" t="str">
        <f>IF(I5538&gt;0,H5538/I5538,0)</f>
      </c>
      <c r="K5538" s="193" t="str">
        <f>1-EXP(-J5538)</f>
      </c>
      <c r="L5538" s="194" t="str">
        <f>IF(G5538=30,1,M5537)</f>
      </c>
      <c r="M5538" s="195" t="str">
        <f>L5538*(1-K5538)</f>
      </c>
    </row>
    <row r="5539">
      <c r="A5539" t="s">
        <v>167</v>
      </c>
      <c r="B5539" t="s">
        <v>116</v>
      </c>
      <c r="C5539" s="35" t="s">
        <v>422</v>
      </c>
      <c r="D5539" t="s">
        <v>502</v>
      </c>
      <c r="E5539" t="s">
        <v>520</v>
      </c>
      <c r="F5539" s="188" t="n">
        <v>2033</v>
      </c>
      <c r="G5539" s="189" t="n">
        <v>47</v>
      </c>
      <c r="H5539" s="190" t="n">
        <v>6799.92075347478</v>
      </c>
      <c r="I5539" s="191" t="n">
        <v>4106734.97958748</v>
      </c>
      <c r="J5539" s="192" t="str">
        <f>IF(I5539&gt;0,H5539/I5539,0)</f>
      </c>
      <c r="K5539" s="193" t="str">
        <f>1-EXP(-J5539)</f>
      </c>
      <c r="L5539" s="194" t="str">
        <f>IF(G5539=30,1,M5538)</f>
      </c>
      <c r="M5539" s="195" t="str">
        <f>L5539*(1-K5539)</f>
      </c>
    </row>
    <row r="5540">
      <c r="A5540" t="s">
        <v>167</v>
      </c>
      <c r="B5540" t="s">
        <v>116</v>
      </c>
      <c r="C5540" s="35" t="s">
        <v>422</v>
      </c>
      <c r="D5540" t="s">
        <v>502</v>
      </c>
      <c r="E5540" t="s">
        <v>520</v>
      </c>
      <c r="F5540" s="188" t="n">
        <v>2033</v>
      </c>
      <c r="G5540" s="189" t="n">
        <v>48</v>
      </c>
      <c r="H5540" s="190" t="n">
        <v>7569.5922485409</v>
      </c>
      <c r="I5540" s="191" t="n">
        <v>4160659.37050496</v>
      </c>
      <c r="J5540" s="192" t="str">
        <f>IF(I5540&gt;0,H5540/I5540,0)</f>
      </c>
      <c r="K5540" s="193" t="str">
        <f>1-EXP(-J5540)</f>
      </c>
      <c r="L5540" s="194" t="str">
        <f>IF(G5540=30,1,M5539)</f>
      </c>
      <c r="M5540" s="195" t="str">
        <f>L5540*(1-K5540)</f>
      </c>
    </row>
    <row r="5541">
      <c r="A5541" t="s">
        <v>167</v>
      </c>
      <c r="B5541" t="s">
        <v>116</v>
      </c>
      <c r="C5541" s="35" t="s">
        <v>422</v>
      </c>
      <c r="D5541" t="s">
        <v>502</v>
      </c>
      <c r="E5541" t="s">
        <v>520</v>
      </c>
      <c r="F5541" s="188" t="n">
        <v>2033</v>
      </c>
      <c r="G5541" s="189" t="n">
        <v>49</v>
      </c>
      <c r="H5541" s="190" t="n">
        <v>8469.95167010736</v>
      </c>
      <c r="I5541" s="191" t="n">
        <v>4238703.8276407</v>
      </c>
      <c r="J5541" s="192" t="str">
        <f>IF(I5541&gt;0,H5541/I5541,0)</f>
      </c>
      <c r="K5541" s="193" t="str">
        <f>1-EXP(-J5541)</f>
      </c>
      <c r="L5541" s="194" t="str">
        <f>IF(G5541=30,1,M5540)</f>
      </c>
      <c r="M5541" s="195" t="str">
        <f>L5541*(1-K5541)</f>
      </c>
    </row>
    <row r="5542">
      <c r="A5542" t="s">
        <v>167</v>
      </c>
      <c r="B5542" t="s">
        <v>116</v>
      </c>
      <c r="C5542" s="35" t="s">
        <v>422</v>
      </c>
      <c r="D5542" t="s">
        <v>502</v>
      </c>
      <c r="E5542" t="s">
        <v>520</v>
      </c>
      <c r="F5542" s="188" t="n">
        <v>2033</v>
      </c>
      <c r="G5542" s="189" t="n">
        <v>50</v>
      </c>
      <c r="H5542" s="190" t="n">
        <v>9779.14626857445</v>
      </c>
      <c r="I5542" s="191" t="n">
        <v>4208676.87171368</v>
      </c>
      <c r="J5542" s="192" t="str">
        <f>IF(I5542&gt;0,H5542/I5542,0)</f>
      </c>
      <c r="K5542" s="193" t="str">
        <f>1-EXP(-J5542)</f>
      </c>
      <c r="L5542" s="194" t="str">
        <f>IF(G5542=30,1,M5541)</f>
      </c>
      <c r="M5542" s="195" t="str">
        <f>L5542*(1-K5542)</f>
      </c>
    </row>
    <row r="5543">
      <c r="A5543" t="s">
        <v>167</v>
      </c>
      <c r="B5543" t="s">
        <v>116</v>
      </c>
      <c r="C5543" s="35" t="s">
        <v>422</v>
      </c>
      <c r="D5543" t="s">
        <v>502</v>
      </c>
      <c r="E5543" t="s">
        <v>520</v>
      </c>
      <c r="F5543" s="188" t="n">
        <v>2033</v>
      </c>
      <c r="G5543" s="189" t="n">
        <v>51</v>
      </c>
      <c r="H5543" s="190" t="n">
        <v>10408.020037494</v>
      </c>
      <c r="I5543" s="191" t="n">
        <v>4066753.19618543</v>
      </c>
      <c r="J5543" s="192" t="str">
        <f>IF(I5543&gt;0,H5543/I5543,0)</f>
      </c>
      <c r="K5543" s="193" t="str">
        <f>1-EXP(-J5543)</f>
      </c>
      <c r="L5543" s="194" t="str">
        <f>IF(G5543=30,1,M5542)</f>
      </c>
      <c r="M5543" s="195" t="str">
        <f>L5543*(1-K5543)</f>
      </c>
    </row>
    <row r="5544">
      <c r="A5544" t="s">
        <v>167</v>
      </c>
      <c r="B5544" t="s">
        <v>116</v>
      </c>
      <c r="C5544" s="35" t="s">
        <v>422</v>
      </c>
      <c r="D5544" t="s">
        <v>502</v>
      </c>
      <c r="E5544" t="s">
        <v>520</v>
      </c>
      <c r="F5544" s="188" t="n">
        <v>2033</v>
      </c>
      <c r="G5544" s="189" t="n">
        <v>52</v>
      </c>
      <c r="H5544" s="190" t="n">
        <v>11167.1089205205</v>
      </c>
      <c r="I5544" s="191" t="n">
        <v>3986590.51004922</v>
      </c>
      <c r="J5544" s="192" t="str">
        <f>IF(I5544&gt;0,H5544/I5544,0)</f>
      </c>
      <c r="K5544" s="193" t="str">
        <f>1-EXP(-J5544)</f>
      </c>
      <c r="L5544" s="194" t="str">
        <f>IF(G5544=30,1,M5543)</f>
      </c>
      <c r="M5544" s="195" t="str">
        <f>L5544*(1-K5544)</f>
      </c>
    </row>
    <row r="5545">
      <c r="A5545" t="s">
        <v>167</v>
      </c>
      <c r="B5545" t="s">
        <v>116</v>
      </c>
      <c r="C5545" s="35" t="s">
        <v>422</v>
      </c>
      <c r="D5545" t="s">
        <v>502</v>
      </c>
      <c r="E5545" t="s">
        <v>520</v>
      </c>
      <c r="F5545" s="188" t="n">
        <v>2033</v>
      </c>
      <c r="G5545" s="189" t="n">
        <v>53</v>
      </c>
      <c r="H5545" s="190" t="n">
        <v>12017.3030645628</v>
      </c>
      <c r="I5545" s="191" t="n">
        <v>3921541.05970642</v>
      </c>
      <c r="J5545" s="192" t="str">
        <f>IF(I5545&gt;0,H5545/I5545,0)</f>
      </c>
      <c r="K5545" s="193" t="str">
        <f>1-EXP(-J5545)</f>
      </c>
      <c r="L5545" s="194" t="str">
        <f>IF(G5545=30,1,M5544)</f>
      </c>
      <c r="M5545" s="195" t="str">
        <f>L5545*(1-K5545)</f>
      </c>
    </row>
    <row r="5546">
      <c r="A5546" t="s">
        <v>167</v>
      </c>
      <c r="B5546" t="s">
        <v>116</v>
      </c>
      <c r="C5546" s="35" t="s">
        <v>422</v>
      </c>
      <c r="D5546" t="s">
        <v>502</v>
      </c>
      <c r="E5546" t="s">
        <v>520</v>
      </c>
      <c r="F5546" s="188" t="n">
        <v>2033</v>
      </c>
      <c r="G5546" s="189" t="n">
        <v>54</v>
      </c>
      <c r="H5546" s="190" t="n">
        <v>12910.0720409524</v>
      </c>
      <c r="I5546" s="191" t="n">
        <v>3850716.47535999</v>
      </c>
      <c r="J5546" s="192" t="str">
        <f>IF(I5546&gt;0,H5546/I5546,0)</f>
      </c>
      <c r="K5546" s="193" t="str">
        <f>1-EXP(-J5546)</f>
      </c>
      <c r="L5546" s="194" t="str">
        <f>IF(G5546=30,1,M5545)</f>
      </c>
      <c r="M5546" s="195" t="str">
        <f>L5546*(1-K5546)</f>
      </c>
    </row>
    <row r="5547">
      <c r="A5547" t="s">
        <v>167</v>
      </c>
      <c r="B5547" t="s">
        <v>116</v>
      </c>
      <c r="C5547" s="35" t="s">
        <v>422</v>
      </c>
      <c r="D5547" t="s">
        <v>502</v>
      </c>
      <c r="E5547" t="s">
        <v>520</v>
      </c>
      <c r="F5547" s="188" t="n">
        <v>2033</v>
      </c>
      <c r="G5547" s="189" t="n">
        <v>55</v>
      </c>
      <c r="H5547" s="190" t="n">
        <v>13852.0919059399</v>
      </c>
      <c r="I5547" s="191" t="n">
        <v>3760483.22545277</v>
      </c>
      <c r="J5547" s="192" t="str">
        <f>IF(I5547&gt;0,H5547/I5547,0)</f>
      </c>
      <c r="K5547" s="193" t="str">
        <f>1-EXP(-J5547)</f>
      </c>
      <c r="L5547" s="194" t="str">
        <f>IF(G5547=30,1,M5546)</f>
      </c>
      <c r="M5547" s="195" t="str">
        <f>L5547*(1-K5547)</f>
      </c>
    </row>
    <row r="5548">
      <c r="A5548" t="s">
        <v>167</v>
      </c>
      <c r="B5548" t="s">
        <v>116</v>
      </c>
      <c r="C5548" s="35" t="s">
        <v>422</v>
      </c>
      <c r="D5548" t="s">
        <v>502</v>
      </c>
      <c r="E5548" t="s">
        <v>520</v>
      </c>
      <c r="F5548" s="188" t="n">
        <v>2033</v>
      </c>
      <c r="G5548" s="189" t="n">
        <v>56</v>
      </c>
      <c r="H5548" s="190" t="n">
        <v>14775.5797603191</v>
      </c>
      <c r="I5548" s="191" t="n">
        <v>3685943.17114031</v>
      </c>
      <c r="J5548" s="192" t="str">
        <f>IF(I5548&gt;0,H5548/I5548,0)</f>
      </c>
      <c r="K5548" s="193" t="str">
        <f>1-EXP(-J5548)</f>
      </c>
      <c r="L5548" s="194" t="str">
        <f>IF(G5548=30,1,M5547)</f>
      </c>
      <c r="M5548" s="195" t="str">
        <f>L5548*(1-K5548)</f>
      </c>
    </row>
    <row r="5549">
      <c r="A5549" t="s">
        <v>167</v>
      </c>
      <c r="B5549" t="s">
        <v>116</v>
      </c>
      <c r="C5549" s="35" t="s">
        <v>422</v>
      </c>
      <c r="D5549" t="s">
        <v>502</v>
      </c>
      <c r="E5549" t="s">
        <v>520</v>
      </c>
      <c r="F5549" s="188" t="n">
        <v>2033</v>
      </c>
      <c r="G5549" s="189" t="n">
        <v>57</v>
      </c>
      <c r="H5549" s="190" t="n">
        <v>15791.1269234681</v>
      </c>
      <c r="I5549" s="191" t="n">
        <v>3599895.90755548</v>
      </c>
      <c r="J5549" s="192" t="str">
        <f>IF(I5549&gt;0,H5549/I5549,0)</f>
      </c>
      <c r="K5549" s="193" t="str">
        <f>1-EXP(-J5549)</f>
      </c>
      <c r="L5549" s="194" t="str">
        <f>IF(G5549=30,1,M5548)</f>
      </c>
      <c r="M5549" s="195" t="str">
        <f>L5549*(1-K5549)</f>
      </c>
    </row>
    <row r="5550">
      <c r="A5550" t="s">
        <v>167</v>
      </c>
      <c r="B5550" t="s">
        <v>116</v>
      </c>
      <c r="C5550" s="35" t="s">
        <v>422</v>
      </c>
      <c r="D5550" t="s">
        <v>502</v>
      </c>
      <c r="E5550" t="s">
        <v>520</v>
      </c>
      <c r="F5550" s="188" t="n">
        <v>2033</v>
      </c>
      <c r="G5550" s="189" t="n">
        <v>58</v>
      </c>
      <c r="H5550" s="190" t="n">
        <v>16870.3382617363</v>
      </c>
      <c r="I5550" s="191" t="n">
        <v>3512615.25285689</v>
      </c>
      <c r="J5550" s="192" t="str">
        <f>IF(I5550&gt;0,H5550/I5550,0)</f>
      </c>
      <c r="K5550" s="193" t="str">
        <f>1-EXP(-J5550)</f>
      </c>
      <c r="L5550" s="194" t="str">
        <f>IF(G5550=30,1,M5549)</f>
      </c>
      <c r="M5550" s="195" t="str">
        <f>L5550*(1-K5550)</f>
      </c>
    </row>
    <row r="5551">
      <c r="A5551" t="s">
        <v>167</v>
      </c>
      <c r="B5551" t="s">
        <v>116</v>
      </c>
      <c r="C5551" s="35" t="s">
        <v>422</v>
      </c>
      <c r="D5551" t="s">
        <v>502</v>
      </c>
      <c r="E5551" t="s">
        <v>520</v>
      </c>
      <c r="F5551" s="188" t="n">
        <v>2033</v>
      </c>
      <c r="G5551" s="189" t="n">
        <v>59</v>
      </c>
      <c r="H5551" s="190" t="n">
        <v>17884.7638497987</v>
      </c>
      <c r="I5551" s="191" t="n">
        <v>3398391.05528789</v>
      </c>
      <c r="J5551" s="192" t="str">
        <f>IF(I5551&gt;0,H5551/I5551,0)</f>
      </c>
      <c r="K5551" s="193" t="str">
        <f>1-EXP(-J5551)</f>
      </c>
      <c r="L5551" s="194" t="str">
        <f>IF(G5551=30,1,M5550)</f>
      </c>
      <c r="M5551" s="195" t="str">
        <f>L5551*(1-K5551)</f>
      </c>
    </row>
    <row r="5552">
      <c r="A5552" t="s">
        <v>167</v>
      </c>
      <c r="B5552" t="s">
        <v>116</v>
      </c>
      <c r="C5552" s="35" t="s">
        <v>422</v>
      </c>
      <c r="D5552" t="s">
        <v>502</v>
      </c>
      <c r="E5552" t="s">
        <v>520</v>
      </c>
      <c r="F5552" s="188" t="n">
        <v>2033</v>
      </c>
      <c r="G5552" s="189" t="n">
        <v>60</v>
      </c>
      <c r="H5552" s="190" t="n">
        <v>19477.9493274295</v>
      </c>
      <c r="I5552" s="191" t="n">
        <v>3341135.13233448</v>
      </c>
      <c r="J5552" s="192" t="str">
        <f>IF(I5552&gt;0,H5552/I5552,0)</f>
      </c>
      <c r="K5552" s="193" t="str">
        <f>1-EXP(-J5552)</f>
      </c>
      <c r="L5552" s="194" t="str">
        <f>IF(G5552=30,1,M5551)</f>
      </c>
      <c r="M5552" s="195" t="str">
        <f>L5552*(1-K5552)</f>
      </c>
    </row>
    <row r="5553">
      <c r="A5553" t="s">
        <v>167</v>
      </c>
      <c r="B5553" t="s">
        <v>116</v>
      </c>
      <c r="C5553" s="35" t="s">
        <v>422</v>
      </c>
      <c r="D5553" t="s">
        <v>502</v>
      </c>
      <c r="E5553" t="s">
        <v>520</v>
      </c>
      <c r="F5553" s="188" t="n">
        <v>2033</v>
      </c>
      <c r="G5553" s="189" t="n">
        <v>61</v>
      </c>
      <c r="H5553" s="190" t="n">
        <v>20248.2639771837</v>
      </c>
      <c r="I5553" s="191" t="n">
        <v>3126736.58994418</v>
      </c>
      <c r="J5553" s="192" t="str">
        <f>IF(I5553&gt;0,H5553/I5553,0)</f>
      </c>
      <c r="K5553" s="193" t="str">
        <f>1-EXP(-J5553)</f>
      </c>
      <c r="L5553" s="194" t="str">
        <f>IF(G5553=30,1,M5552)</f>
      </c>
      <c r="M5553" s="195" t="str">
        <f>L5553*(1-K5553)</f>
      </c>
    </row>
    <row r="5554">
      <c r="A5554" t="s">
        <v>167</v>
      </c>
      <c r="B5554" t="s">
        <v>116</v>
      </c>
      <c r="C5554" s="35" t="s">
        <v>422</v>
      </c>
      <c r="D5554" t="s">
        <v>502</v>
      </c>
      <c r="E5554" t="s">
        <v>520</v>
      </c>
      <c r="F5554" s="188" t="n">
        <v>2033</v>
      </c>
      <c r="G5554" s="189" t="n">
        <v>62</v>
      </c>
      <c r="H5554" s="190" t="n">
        <v>21469.4835519348</v>
      </c>
      <c r="I5554" s="191" t="n">
        <v>3027978.45378282</v>
      </c>
      <c r="J5554" s="192" t="str">
        <f>IF(I5554&gt;0,H5554/I5554,0)</f>
      </c>
      <c r="K5554" s="193" t="str">
        <f>1-EXP(-J5554)</f>
      </c>
      <c r="L5554" s="194" t="str">
        <f>IF(G5554=30,1,M5553)</f>
      </c>
      <c r="M5554" s="195" t="str">
        <f>L5554*(1-K5554)</f>
      </c>
    </row>
    <row r="5555">
      <c r="A5555" t="s">
        <v>167</v>
      </c>
      <c r="B5555" t="s">
        <v>116</v>
      </c>
      <c r="C5555" s="35" t="s">
        <v>422</v>
      </c>
      <c r="D5555" t="s">
        <v>502</v>
      </c>
      <c r="E5555" t="s">
        <v>520</v>
      </c>
      <c r="F5555" s="188" t="n">
        <v>2033</v>
      </c>
      <c r="G5555" s="189" t="n">
        <v>63</v>
      </c>
      <c r="H5555" s="190" t="n">
        <v>22781.3301943358</v>
      </c>
      <c r="I5555" s="191" t="n">
        <v>2932773.24082908</v>
      </c>
      <c r="J5555" s="192" t="str">
        <f>IF(I5555&gt;0,H5555/I5555,0)</f>
      </c>
      <c r="K5555" s="193" t="str">
        <f>1-EXP(-J5555)</f>
      </c>
      <c r="L5555" s="194" t="str">
        <f>IF(G5555=30,1,M5554)</f>
      </c>
      <c r="M5555" s="195" t="str">
        <f>L5555*(1-K5555)</f>
      </c>
    </row>
    <row r="5556">
      <c r="A5556" t="s">
        <v>167</v>
      </c>
      <c r="B5556" t="s">
        <v>116</v>
      </c>
      <c r="C5556" s="35" t="s">
        <v>422</v>
      </c>
      <c r="D5556" t="s">
        <v>502</v>
      </c>
      <c r="E5556" t="s">
        <v>520</v>
      </c>
      <c r="F5556" s="188" t="n">
        <v>2033</v>
      </c>
      <c r="G5556" s="189" t="n">
        <v>64</v>
      </c>
      <c r="H5556" s="190" t="n">
        <v>24084.0800147551</v>
      </c>
      <c r="I5556" s="191" t="n">
        <v>2828349.33030763</v>
      </c>
      <c r="J5556" s="192" t="str">
        <f>IF(I5556&gt;0,H5556/I5556,0)</f>
      </c>
      <c r="K5556" s="193" t="str">
        <f>1-EXP(-J5556)</f>
      </c>
      <c r="L5556" s="194" t="str">
        <f>IF(G5556=30,1,M5555)</f>
      </c>
      <c r="M5556" s="195" t="str">
        <f>L5556*(1-K5556)</f>
      </c>
    </row>
    <row r="5557">
      <c r="A5557" t="s">
        <v>167</v>
      </c>
      <c r="B5557" t="s">
        <v>116</v>
      </c>
      <c r="C5557" s="35" t="s">
        <v>422</v>
      </c>
      <c r="D5557" t="s">
        <v>502</v>
      </c>
      <c r="E5557" t="s">
        <v>520</v>
      </c>
      <c r="F5557" s="188" t="n">
        <v>2033</v>
      </c>
      <c r="G5557" s="189" t="n">
        <v>65</v>
      </c>
      <c r="H5557" s="190" t="n">
        <v>24434.468144552</v>
      </c>
      <c r="I5557" s="191" t="n">
        <v>2705139.11704497</v>
      </c>
      <c r="J5557" s="192" t="str">
        <f>IF(I5557&gt;0,H5557/I5557,0)</f>
      </c>
      <c r="K5557" s="193" t="str">
        <f>1-EXP(-J5557)</f>
      </c>
      <c r="L5557" s="194" t="str">
        <f>IF(G5557=30,1,M5556)</f>
      </c>
      <c r="M5557" s="195" t="str">
        <f>L5557*(1-K5557)</f>
      </c>
    </row>
    <row r="5558">
      <c r="A5558" t="s">
        <v>167</v>
      </c>
      <c r="B5558" t="s">
        <v>116</v>
      </c>
      <c r="C5558" s="35" t="s">
        <v>422</v>
      </c>
      <c r="D5558" t="s">
        <v>502</v>
      </c>
      <c r="E5558" t="s">
        <v>520</v>
      </c>
      <c r="F5558" s="188" t="n">
        <v>2033</v>
      </c>
      <c r="G5558" s="189" t="n">
        <v>66</v>
      </c>
      <c r="H5558" s="190" t="n">
        <v>25276.4156947024</v>
      </c>
      <c r="I5558" s="191" t="n">
        <v>2553237.37767672</v>
      </c>
      <c r="J5558" s="192" t="str">
        <f>IF(I5558&gt;0,H5558/I5558,0)</f>
      </c>
      <c r="K5558" s="193" t="str">
        <f>1-EXP(-J5558)</f>
      </c>
      <c r="L5558" s="194" t="str">
        <f>IF(G5558=30,1,M5557)</f>
      </c>
      <c r="M5558" s="195" t="str">
        <f>L5558*(1-K5558)</f>
      </c>
    </row>
    <row r="5559">
      <c r="A5559" t="s">
        <v>167</v>
      </c>
      <c r="B5559" t="s">
        <v>116</v>
      </c>
      <c r="C5559" s="35" t="s">
        <v>422</v>
      </c>
      <c r="D5559" t="s">
        <v>502</v>
      </c>
      <c r="E5559" t="s">
        <v>520</v>
      </c>
      <c r="F5559" s="188" t="n">
        <v>2033</v>
      </c>
      <c r="G5559" s="189" t="n">
        <v>67</v>
      </c>
      <c r="H5559" s="190" t="n">
        <v>26468.5273237892</v>
      </c>
      <c r="I5559" s="191" t="n">
        <v>2434716.36924262</v>
      </c>
      <c r="J5559" s="192" t="str">
        <f>IF(I5559&gt;0,H5559/I5559,0)</f>
      </c>
      <c r="K5559" s="193" t="str">
        <f>1-EXP(-J5559)</f>
      </c>
      <c r="L5559" s="194" t="str">
        <f>IF(G5559=30,1,M5558)</f>
      </c>
      <c r="M5559" s="195" t="str">
        <f>L5559*(1-K5559)</f>
      </c>
    </row>
    <row r="5560">
      <c r="A5560" t="s">
        <v>167</v>
      </c>
      <c r="B5560" t="s">
        <v>116</v>
      </c>
      <c r="C5560" s="35" t="s">
        <v>422</v>
      </c>
      <c r="D5560" t="s">
        <v>502</v>
      </c>
      <c r="E5560" t="s">
        <v>520</v>
      </c>
      <c r="F5560" s="188" t="n">
        <v>2033</v>
      </c>
      <c r="G5560" s="189" t="n">
        <v>68</v>
      </c>
      <c r="H5560" s="190" t="n">
        <v>27434.6300244208</v>
      </c>
      <c r="I5560" s="191" t="n">
        <v>2296647.39267594</v>
      </c>
      <c r="J5560" s="192" t="str">
        <f>IF(I5560&gt;0,H5560/I5560,0)</f>
      </c>
      <c r="K5560" s="193" t="str">
        <f>1-EXP(-J5560)</f>
      </c>
      <c r="L5560" s="194" t="str">
        <f>IF(G5560=30,1,M5559)</f>
      </c>
      <c r="M5560" s="195" t="str">
        <f>L5560*(1-K5560)</f>
      </c>
    </row>
    <row r="5561">
      <c r="A5561" t="s">
        <v>167</v>
      </c>
      <c r="B5561" t="s">
        <v>116</v>
      </c>
      <c r="C5561" s="35" t="s">
        <v>422</v>
      </c>
      <c r="D5561" t="s">
        <v>502</v>
      </c>
      <c r="E5561" t="s">
        <v>520</v>
      </c>
      <c r="F5561" s="188" t="n">
        <v>2033</v>
      </c>
      <c r="G5561" s="189" t="n">
        <v>69</v>
      </c>
      <c r="H5561" s="190" t="n">
        <v>28366.9953864396</v>
      </c>
      <c r="I5561" s="191" t="n">
        <v>2159088.84379178</v>
      </c>
      <c r="J5561" s="192" t="str">
        <f>IF(I5561&gt;0,H5561/I5561,0)</f>
      </c>
      <c r="K5561" s="193" t="str">
        <f>1-EXP(-J5561)</f>
      </c>
      <c r="L5561" s="194" t="str">
        <f>IF(G5561=30,1,M5560)</f>
      </c>
      <c r="M5561" s="195" t="str">
        <f>L5561*(1-K5561)</f>
      </c>
    </row>
    <row r="5562">
      <c r="A5562" t="s">
        <v>167</v>
      </c>
      <c r="B5562" t="s">
        <v>116</v>
      </c>
      <c r="C5562" s="35" t="s">
        <v>422</v>
      </c>
      <c r="D5562" t="s">
        <v>502</v>
      </c>
      <c r="E5562" t="s">
        <v>520</v>
      </c>
      <c r="F5562" s="188" t="n">
        <v>2034</v>
      </c>
      <c r="G5562" s="189" t="n">
        <v>30</v>
      </c>
      <c r="H5562" s="190" t="n">
        <v>720.533760296746</v>
      </c>
      <c r="I5562" s="191" t="n">
        <v>4429822.31203515</v>
      </c>
      <c r="J5562" s="192" t="str">
        <f>IF(I5562&gt;0,H5562/I5562,0)</f>
      </c>
      <c r="K5562" s="193" t="str">
        <f>1-EXP(-J5562)</f>
      </c>
      <c r="L5562" s="194" t="str">
        <f>IF(G5562=30,1,M5561)</f>
      </c>
      <c r="M5562" s="195" t="str">
        <f>L5562*(1-K5562)</f>
      </c>
    </row>
    <row r="5563">
      <c r="A5563" t="s">
        <v>167</v>
      </c>
      <c r="B5563" t="s">
        <v>116</v>
      </c>
      <c r="C5563" s="35" t="s">
        <v>422</v>
      </c>
      <c r="D5563" t="s">
        <v>502</v>
      </c>
      <c r="E5563" t="s">
        <v>520</v>
      </c>
      <c r="F5563" s="188" t="n">
        <v>2034</v>
      </c>
      <c r="G5563" s="189" t="n">
        <v>31</v>
      </c>
      <c r="H5563" s="190" t="n">
        <v>885.36308135064</v>
      </c>
      <c r="I5563" s="191" t="n">
        <v>4364469.87700231</v>
      </c>
      <c r="J5563" s="192" t="str">
        <f>IF(I5563&gt;0,H5563/I5563,0)</f>
      </c>
      <c r="K5563" s="193" t="str">
        <f>1-EXP(-J5563)</f>
      </c>
      <c r="L5563" s="194" t="str">
        <f>IF(G5563=30,1,M5562)</f>
      </c>
      <c r="M5563" s="195" t="str">
        <f>L5563*(1-K5563)</f>
      </c>
    </row>
    <row r="5564">
      <c r="A5564" t="s">
        <v>167</v>
      </c>
      <c r="B5564" t="s">
        <v>116</v>
      </c>
      <c r="C5564" s="35" t="s">
        <v>422</v>
      </c>
      <c r="D5564" t="s">
        <v>502</v>
      </c>
      <c r="E5564" t="s">
        <v>520</v>
      </c>
      <c r="F5564" s="188" t="n">
        <v>2034</v>
      </c>
      <c r="G5564" s="189" t="n">
        <v>32</v>
      </c>
      <c r="H5564" s="190" t="n">
        <v>1065.97445722868</v>
      </c>
      <c r="I5564" s="191" t="n">
        <v>4343783.20790428</v>
      </c>
      <c r="J5564" s="192" t="str">
        <f>IF(I5564&gt;0,H5564/I5564,0)</f>
      </c>
      <c r="K5564" s="193" t="str">
        <f>1-EXP(-J5564)</f>
      </c>
      <c r="L5564" s="194" t="str">
        <f>IF(G5564=30,1,M5563)</f>
      </c>
      <c r="M5564" s="195" t="str">
        <f>L5564*(1-K5564)</f>
      </c>
    </row>
    <row r="5565">
      <c r="A5565" t="s">
        <v>167</v>
      </c>
      <c r="B5565" t="s">
        <v>116</v>
      </c>
      <c r="C5565" s="35" t="s">
        <v>422</v>
      </c>
      <c r="D5565" t="s">
        <v>502</v>
      </c>
      <c r="E5565" t="s">
        <v>520</v>
      </c>
      <c r="F5565" s="188" t="n">
        <v>2034</v>
      </c>
      <c r="G5565" s="189" t="n">
        <v>33</v>
      </c>
      <c r="H5565" s="190" t="n">
        <v>1124.57095947102</v>
      </c>
      <c r="I5565" s="191" t="n">
        <v>4324076.71297555</v>
      </c>
      <c r="J5565" s="192" t="str">
        <f>IF(I5565&gt;0,H5565/I5565,0)</f>
      </c>
      <c r="K5565" s="193" t="str">
        <f>1-EXP(-J5565)</f>
      </c>
      <c r="L5565" s="194" t="str">
        <f>IF(G5565=30,1,M5564)</f>
      </c>
      <c r="M5565" s="195" t="str">
        <f>L5565*(1-K5565)</f>
      </c>
    </row>
    <row r="5566">
      <c r="A5566" t="s">
        <v>167</v>
      </c>
      <c r="B5566" t="s">
        <v>116</v>
      </c>
      <c r="C5566" s="35" t="s">
        <v>422</v>
      </c>
      <c r="D5566" t="s">
        <v>502</v>
      </c>
      <c r="E5566" t="s">
        <v>520</v>
      </c>
      <c r="F5566" s="188" t="n">
        <v>2034</v>
      </c>
      <c r="G5566" s="189" t="n">
        <v>34</v>
      </c>
      <c r="H5566" s="190" t="n">
        <v>1194.20545303413</v>
      </c>
      <c r="I5566" s="191" t="n">
        <v>4304092.67045925</v>
      </c>
      <c r="J5566" s="192" t="str">
        <f>IF(I5566&gt;0,H5566/I5566,0)</f>
      </c>
      <c r="K5566" s="193" t="str">
        <f>1-EXP(-J5566)</f>
      </c>
      <c r="L5566" s="194" t="str">
        <f>IF(G5566=30,1,M5565)</f>
      </c>
      <c r="M5566" s="195" t="str">
        <f>L5566*(1-K5566)</f>
      </c>
    </row>
    <row r="5567">
      <c r="A5567" t="s">
        <v>167</v>
      </c>
      <c r="B5567" t="s">
        <v>116</v>
      </c>
      <c r="C5567" s="35" t="s">
        <v>422</v>
      </c>
      <c r="D5567" t="s">
        <v>502</v>
      </c>
      <c r="E5567" t="s">
        <v>520</v>
      </c>
      <c r="F5567" s="188" t="n">
        <v>2034</v>
      </c>
      <c r="G5567" s="189" t="n">
        <v>35</v>
      </c>
      <c r="H5567" s="190" t="n">
        <v>1624.40081422154</v>
      </c>
      <c r="I5567" s="191" t="n">
        <v>4323745.68521213</v>
      </c>
      <c r="J5567" s="192" t="str">
        <f>IF(I5567&gt;0,H5567/I5567,0)</f>
      </c>
      <c r="K5567" s="193" t="str">
        <f>1-EXP(-J5567)</f>
      </c>
      <c r="L5567" s="194" t="str">
        <f>IF(G5567=30,1,M5566)</f>
      </c>
      <c r="M5567" s="195" t="str">
        <f>L5567*(1-K5567)</f>
      </c>
    </row>
    <row r="5568">
      <c r="A5568" t="s">
        <v>167</v>
      </c>
      <c r="B5568" t="s">
        <v>116</v>
      </c>
      <c r="C5568" s="35" t="s">
        <v>422</v>
      </c>
      <c r="D5568" t="s">
        <v>502</v>
      </c>
      <c r="E5568" t="s">
        <v>520</v>
      </c>
      <c r="F5568" s="188" t="n">
        <v>2034</v>
      </c>
      <c r="G5568" s="189" t="n">
        <v>36</v>
      </c>
      <c r="H5568" s="190" t="n">
        <v>1829.67918358489</v>
      </c>
      <c r="I5568" s="191" t="n">
        <v>4382057.30983266</v>
      </c>
      <c r="J5568" s="192" t="str">
        <f>IF(I5568&gt;0,H5568/I5568,0)</f>
      </c>
      <c r="K5568" s="193" t="str">
        <f>1-EXP(-J5568)</f>
      </c>
      <c r="L5568" s="194" t="str">
        <f>IF(G5568=30,1,M5567)</f>
      </c>
      <c r="M5568" s="195" t="str">
        <f>L5568*(1-K5568)</f>
      </c>
    </row>
    <row r="5569">
      <c r="A5569" t="s">
        <v>167</v>
      </c>
      <c r="B5569" t="s">
        <v>116</v>
      </c>
      <c r="C5569" s="35" t="s">
        <v>422</v>
      </c>
      <c r="D5569" t="s">
        <v>502</v>
      </c>
      <c r="E5569" t="s">
        <v>520</v>
      </c>
      <c r="F5569" s="188" t="n">
        <v>2034</v>
      </c>
      <c r="G5569" s="189" t="n">
        <v>37</v>
      </c>
      <c r="H5569" s="190" t="n">
        <v>2220.7794216102</v>
      </c>
      <c r="I5569" s="191" t="n">
        <v>4519778.03180379</v>
      </c>
      <c r="J5569" s="192" t="str">
        <f>IF(I5569&gt;0,H5569/I5569,0)</f>
      </c>
      <c r="K5569" s="193" t="str">
        <f>1-EXP(-J5569)</f>
      </c>
      <c r="L5569" s="194" t="str">
        <f>IF(G5569=30,1,M5568)</f>
      </c>
      <c r="M5569" s="195" t="str">
        <f>L5569*(1-K5569)</f>
      </c>
    </row>
    <row r="5570">
      <c r="A5570" t="s">
        <v>167</v>
      </c>
      <c r="B5570" t="s">
        <v>116</v>
      </c>
      <c r="C5570" s="35" t="s">
        <v>422</v>
      </c>
      <c r="D5570" t="s">
        <v>502</v>
      </c>
      <c r="E5570" t="s">
        <v>520</v>
      </c>
      <c r="F5570" s="188" t="n">
        <v>2034</v>
      </c>
      <c r="G5570" s="189" t="n">
        <v>38</v>
      </c>
      <c r="H5570" s="190" t="n">
        <v>2367.38877300855</v>
      </c>
      <c r="I5570" s="191" t="n">
        <v>4475466.25060635</v>
      </c>
      <c r="J5570" s="192" t="str">
        <f>IF(I5570&gt;0,H5570/I5570,0)</f>
      </c>
      <c r="K5570" s="193" t="str">
        <f>1-EXP(-J5570)</f>
      </c>
      <c r="L5570" s="194" t="str">
        <f>IF(G5570=30,1,M5569)</f>
      </c>
      <c r="M5570" s="195" t="str">
        <f>L5570*(1-K5570)</f>
      </c>
    </row>
    <row r="5571">
      <c r="A5571" t="s">
        <v>167</v>
      </c>
      <c r="B5571" t="s">
        <v>116</v>
      </c>
      <c r="C5571" s="35" t="s">
        <v>422</v>
      </c>
      <c r="D5571" t="s">
        <v>502</v>
      </c>
      <c r="E5571" t="s">
        <v>520</v>
      </c>
      <c r="F5571" s="188" t="n">
        <v>2034</v>
      </c>
      <c r="G5571" s="189" t="n">
        <v>39</v>
      </c>
      <c r="H5571" s="190" t="n">
        <v>2510.95258404408</v>
      </c>
      <c r="I5571" s="191" t="n">
        <v>4400947.9611248</v>
      </c>
      <c r="J5571" s="192" t="str">
        <f>IF(I5571&gt;0,H5571/I5571,0)</f>
      </c>
      <c r="K5571" s="193" t="str">
        <f>1-EXP(-J5571)</f>
      </c>
      <c r="L5571" s="194" t="str">
        <f>IF(G5571=30,1,M5570)</f>
      </c>
      <c r="M5571" s="195" t="str">
        <f>L5571*(1-K5571)</f>
      </c>
    </row>
    <row r="5572">
      <c r="A5572" t="s">
        <v>167</v>
      </c>
      <c r="B5572" t="s">
        <v>116</v>
      </c>
      <c r="C5572" s="35" t="s">
        <v>422</v>
      </c>
      <c r="D5572" t="s">
        <v>502</v>
      </c>
      <c r="E5572" t="s">
        <v>520</v>
      </c>
      <c r="F5572" s="188" t="n">
        <v>2034</v>
      </c>
      <c r="G5572" s="189" t="n">
        <v>40</v>
      </c>
      <c r="H5572" s="190" t="n">
        <v>3329.76371850896</v>
      </c>
      <c r="I5572" s="191" t="n">
        <v>4341888.43650486</v>
      </c>
      <c r="J5572" s="192" t="str">
        <f>IF(I5572&gt;0,H5572/I5572,0)</f>
      </c>
      <c r="K5572" s="193" t="str">
        <f>1-EXP(-J5572)</f>
      </c>
      <c r="L5572" s="194" t="str">
        <f>IF(G5572=30,1,M5571)</f>
      </c>
      <c r="M5572" s="195" t="str">
        <f>L5572*(1-K5572)</f>
      </c>
    </row>
    <row r="5573">
      <c r="A5573" t="s">
        <v>167</v>
      </c>
      <c r="B5573" t="s">
        <v>116</v>
      </c>
      <c r="C5573" s="35" t="s">
        <v>422</v>
      </c>
      <c r="D5573" t="s">
        <v>502</v>
      </c>
      <c r="E5573" t="s">
        <v>520</v>
      </c>
      <c r="F5573" s="188" t="n">
        <v>2034</v>
      </c>
      <c r="G5573" s="189" t="n">
        <v>41</v>
      </c>
      <c r="H5573" s="190" t="n">
        <v>3535.47108554843</v>
      </c>
      <c r="I5573" s="191" t="n">
        <v>4285444.75740954</v>
      </c>
      <c r="J5573" s="192" t="str">
        <f>IF(I5573&gt;0,H5573/I5573,0)</f>
      </c>
      <c r="K5573" s="193" t="str">
        <f>1-EXP(-J5573)</f>
      </c>
      <c r="L5573" s="194" t="str">
        <f>IF(G5573=30,1,M5572)</f>
      </c>
      <c r="M5573" s="195" t="str">
        <f>L5573*(1-K5573)</f>
      </c>
    </row>
    <row r="5574">
      <c r="A5574" t="s">
        <v>167</v>
      </c>
      <c r="B5574" t="s">
        <v>116</v>
      </c>
      <c r="C5574" s="35" t="s">
        <v>422</v>
      </c>
      <c r="D5574" t="s">
        <v>502</v>
      </c>
      <c r="E5574" t="s">
        <v>520</v>
      </c>
      <c r="F5574" s="188" t="n">
        <v>2034</v>
      </c>
      <c r="G5574" s="189" t="n">
        <v>42</v>
      </c>
      <c r="H5574" s="190" t="n">
        <v>3869.19385458007</v>
      </c>
      <c r="I5574" s="191" t="n">
        <v>4320132.86077511</v>
      </c>
      <c r="J5574" s="192" t="str">
        <f>IF(I5574&gt;0,H5574/I5574,0)</f>
      </c>
      <c r="K5574" s="193" t="str">
        <f>1-EXP(-J5574)</f>
      </c>
      <c r="L5574" s="194" t="str">
        <f>IF(G5574=30,1,M5573)</f>
      </c>
      <c r="M5574" s="195" t="str">
        <f>L5574*(1-K5574)</f>
      </c>
    </row>
    <row r="5575">
      <c r="A5575" t="s">
        <v>167</v>
      </c>
      <c r="B5575" t="s">
        <v>116</v>
      </c>
      <c r="C5575" s="35" t="s">
        <v>422</v>
      </c>
      <c r="D5575" t="s">
        <v>502</v>
      </c>
      <c r="E5575" t="s">
        <v>520</v>
      </c>
      <c r="F5575" s="188" t="n">
        <v>2034</v>
      </c>
      <c r="G5575" s="189" t="n">
        <v>43</v>
      </c>
      <c r="H5575" s="190" t="n">
        <v>4230.94502395342</v>
      </c>
      <c r="I5575" s="191" t="n">
        <v>4334899.6307788</v>
      </c>
      <c r="J5575" s="192" t="str">
        <f>IF(I5575&gt;0,H5575/I5575,0)</f>
      </c>
      <c r="K5575" s="193" t="str">
        <f>1-EXP(-J5575)</f>
      </c>
      <c r="L5575" s="194" t="str">
        <f>IF(G5575=30,1,M5574)</f>
      </c>
      <c r="M5575" s="195" t="str">
        <f>L5575*(1-K5575)</f>
      </c>
    </row>
    <row r="5576">
      <c r="A5576" t="s">
        <v>167</v>
      </c>
      <c r="B5576" t="s">
        <v>116</v>
      </c>
      <c r="C5576" s="35" t="s">
        <v>422</v>
      </c>
      <c r="D5576" t="s">
        <v>502</v>
      </c>
      <c r="E5576" t="s">
        <v>520</v>
      </c>
      <c r="F5576" s="188" t="n">
        <v>2034</v>
      </c>
      <c r="G5576" s="189" t="n">
        <v>44</v>
      </c>
      <c r="H5576" s="190" t="n">
        <v>6413.84132316722</v>
      </c>
      <c r="I5576" s="191" t="n">
        <v>6381018.47865954</v>
      </c>
      <c r="J5576" s="192" t="str">
        <f>IF(I5576&gt;0,H5576/I5576,0)</f>
      </c>
      <c r="K5576" s="193" t="str">
        <f>1-EXP(-J5576)</f>
      </c>
      <c r="L5576" s="194" t="str">
        <f>IF(G5576=30,1,M5575)</f>
      </c>
      <c r="M5576" s="195" t="str">
        <f>L5576*(1-K5576)</f>
      </c>
    </row>
    <row r="5577">
      <c r="A5577" t="s">
        <v>167</v>
      </c>
      <c r="B5577" t="s">
        <v>116</v>
      </c>
      <c r="C5577" s="35" t="s">
        <v>422</v>
      </c>
      <c r="D5577" t="s">
        <v>502</v>
      </c>
      <c r="E5577" t="s">
        <v>520</v>
      </c>
      <c r="F5577" s="188" t="n">
        <v>2034</v>
      </c>
      <c r="G5577" s="189" t="n">
        <v>45</v>
      </c>
      <c r="H5577" s="190" t="n">
        <v>5912.94198889413</v>
      </c>
      <c r="I5577" s="191" t="n">
        <v>4286585.05748108</v>
      </c>
      <c r="J5577" s="192" t="str">
        <f>IF(I5577&gt;0,H5577/I5577,0)</f>
      </c>
      <c r="K5577" s="193" t="str">
        <f>1-EXP(-J5577)</f>
      </c>
      <c r="L5577" s="194" t="str">
        <f>IF(G5577=30,1,M5576)</f>
      </c>
      <c r="M5577" s="195" t="str">
        <f>L5577*(1-K5577)</f>
      </c>
    </row>
    <row r="5578">
      <c r="A5578" t="s">
        <v>167</v>
      </c>
      <c r="B5578" t="s">
        <v>116</v>
      </c>
      <c r="C5578" s="35" t="s">
        <v>422</v>
      </c>
      <c r="D5578" t="s">
        <v>502</v>
      </c>
      <c r="E5578" t="s">
        <v>520</v>
      </c>
      <c r="F5578" s="188" t="n">
        <v>2034</v>
      </c>
      <c r="G5578" s="189" t="n">
        <v>46</v>
      </c>
      <c r="H5578" s="190" t="n">
        <v>6402.38358320343</v>
      </c>
      <c r="I5578" s="191" t="n">
        <v>4264746.44850404</v>
      </c>
      <c r="J5578" s="192" t="str">
        <f>IF(I5578&gt;0,H5578/I5578,0)</f>
      </c>
      <c r="K5578" s="193" t="str">
        <f>1-EXP(-J5578)</f>
      </c>
      <c r="L5578" s="194" t="str">
        <f>IF(G5578=30,1,M5577)</f>
      </c>
      <c r="M5578" s="195" t="str">
        <f>L5578*(1-K5578)</f>
      </c>
    </row>
    <row r="5579">
      <c r="A5579" t="s">
        <v>167</v>
      </c>
      <c r="B5579" t="s">
        <v>116</v>
      </c>
      <c r="C5579" s="35" t="s">
        <v>422</v>
      </c>
      <c r="D5579" t="s">
        <v>502</v>
      </c>
      <c r="E5579" t="s">
        <v>520</v>
      </c>
      <c r="F5579" s="188" t="n">
        <v>2034</v>
      </c>
      <c r="G5579" s="189" t="n">
        <v>47</v>
      </c>
      <c r="H5579" s="190" t="n">
        <v>6812.41908401043</v>
      </c>
      <c r="I5579" s="191" t="n">
        <v>4129358.50900526</v>
      </c>
      <c r="J5579" s="192" t="str">
        <f>IF(I5579&gt;0,H5579/I5579,0)</f>
      </c>
      <c r="K5579" s="193" t="str">
        <f>1-EXP(-J5579)</f>
      </c>
      <c r="L5579" s="194" t="str">
        <f>IF(G5579=30,1,M5578)</f>
      </c>
      <c r="M5579" s="195" t="str">
        <f>L5579*(1-K5579)</f>
      </c>
    </row>
    <row r="5580">
      <c r="A5580" t="s">
        <v>167</v>
      </c>
      <c r="B5580" t="s">
        <v>116</v>
      </c>
      <c r="C5580" s="35" t="s">
        <v>422</v>
      </c>
      <c r="D5580" t="s">
        <v>502</v>
      </c>
      <c r="E5580" t="s">
        <v>520</v>
      </c>
      <c r="F5580" s="188" t="n">
        <v>2034</v>
      </c>
      <c r="G5580" s="189" t="n">
        <v>48</v>
      </c>
      <c r="H5580" s="190" t="n">
        <v>7413.05291141339</v>
      </c>
      <c r="I5580" s="191" t="n">
        <v>4089918.41336147</v>
      </c>
      <c r="J5580" s="192" t="str">
        <f>IF(I5580&gt;0,H5580/I5580,0)</f>
      </c>
      <c r="K5580" s="193" t="str">
        <f>1-EXP(-J5580)</f>
      </c>
      <c r="L5580" s="194" t="str">
        <f>IF(G5580=30,1,M5579)</f>
      </c>
      <c r="M5580" s="195" t="str">
        <f>L5580*(1-K5580)</f>
      </c>
    </row>
    <row r="5581">
      <c r="A5581" t="s">
        <v>167</v>
      </c>
      <c r="B5581" t="s">
        <v>116</v>
      </c>
      <c r="C5581" s="35" t="s">
        <v>422</v>
      </c>
      <c r="D5581" t="s">
        <v>502</v>
      </c>
      <c r="E5581" t="s">
        <v>520</v>
      </c>
      <c r="F5581" s="188" t="n">
        <v>2034</v>
      </c>
      <c r="G5581" s="189" t="n">
        <v>49</v>
      </c>
      <c r="H5581" s="190" t="n">
        <v>8246.61159412815</v>
      </c>
      <c r="I5581" s="191" t="n">
        <v>4141974.51051437</v>
      </c>
      <c r="J5581" s="192" t="str">
        <f>IF(I5581&gt;0,H5581/I5581,0)</f>
      </c>
      <c r="K5581" s="193" t="str">
        <f>1-EXP(-J5581)</f>
      </c>
      <c r="L5581" s="194" t="str">
        <f>IF(G5581=30,1,M5580)</f>
      </c>
      <c r="M5581" s="195" t="str">
        <f>L5581*(1-K5581)</f>
      </c>
    </row>
    <row r="5582">
      <c r="A5582" t="s">
        <v>167</v>
      </c>
      <c r="B5582" t="s">
        <v>116</v>
      </c>
      <c r="C5582" s="35" t="s">
        <v>422</v>
      </c>
      <c r="D5582" t="s">
        <v>502</v>
      </c>
      <c r="E5582" t="s">
        <v>520</v>
      </c>
      <c r="F5582" s="188" t="n">
        <v>2034</v>
      </c>
      <c r="G5582" s="189" t="n">
        <v>50</v>
      </c>
      <c r="H5582" s="190" t="n">
        <v>9753.44688009235</v>
      </c>
      <c r="I5582" s="191" t="n">
        <v>4217831.77544781</v>
      </c>
      <c r="J5582" s="192" t="str">
        <f>IF(I5582&gt;0,H5582/I5582,0)</f>
      </c>
      <c r="K5582" s="193" t="str">
        <f>1-EXP(-J5582)</f>
      </c>
      <c r="L5582" s="194" t="str">
        <f>IF(G5582=30,1,M5581)</f>
      </c>
      <c r="M5582" s="195" t="str">
        <f>L5582*(1-K5582)</f>
      </c>
    </row>
    <row r="5583">
      <c r="A5583" t="s">
        <v>167</v>
      </c>
      <c r="B5583" t="s">
        <v>116</v>
      </c>
      <c r="C5583" s="35" t="s">
        <v>422</v>
      </c>
      <c r="D5583" t="s">
        <v>502</v>
      </c>
      <c r="E5583" t="s">
        <v>520</v>
      </c>
      <c r="F5583" s="188" t="n">
        <v>2034</v>
      </c>
      <c r="G5583" s="189" t="n">
        <v>51</v>
      </c>
      <c r="H5583" s="190" t="n">
        <v>10652.2031539291</v>
      </c>
      <c r="I5583" s="191" t="n">
        <v>4185146.76120106</v>
      </c>
      <c r="J5583" s="192" t="str">
        <f>IF(I5583&gt;0,H5583/I5583,0)</f>
      </c>
      <c r="K5583" s="193" t="str">
        <f>1-EXP(-J5583)</f>
      </c>
      <c r="L5583" s="194" t="str">
        <f>IF(G5583=30,1,M5582)</f>
      </c>
      <c r="M5583" s="195" t="str">
        <f>L5583*(1-K5583)</f>
      </c>
    </row>
    <row r="5584">
      <c r="A5584" t="s">
        <v>167</v>
      </c>
      <c r="B5584" t="s">
        <v>116</v>
      </c>
      <c r="C5584" s="35" t="s">
        <v>422</v>
      </c>
      <c r="D5584" t="s">
        <v>502</v>
      </c>
      <c r="E5584" t="s">
        <v>520</v>
      </c>
      <c r="F5584" s="188" t="n">
        <v>2034</v>
      </c>
      <c r="G5584" s="189" t="n">
        <v>52</v>
      </c>
      <c r="H5584" s="190" t="n">
        <v>11273.0968495853</v>
      </c>
      <c r="I5584" s="191" t="n">
        <v>4042629.40816285</v>
      </c>
      <c r="J5584" s="192" t="str">
        <f>IF(I5584&gt;0,H5584/I5584,0)</f>
      </c>
      <c r="K5584" s="193" t="str">
        <f>1-EXP(-J5584)</f>
      </c>
      <c r="L5584" s="194" t="str">
        <f>IF(G5584=30,1,M5583)</f>
      </c>
      <c r="M5584" s="195" t="str">
        <f>L5584*(1-K5584)</f>
      </c>
    </row>
    <row r="5585">
      <c r="A5585" t="s">
        <v>167</v>
      </c>
      <c r="B5585" t="s">
        <v>116</v>
      </c>
      <c r="C5585" s="35" t="s">
        <v>422</v>
      </c>
      <c r="D5585" t="s">
        <v>502</v>
      </c>
      <c r="E5585" t="s">
        <v>520</v>
      </c>
      <c r="F5585" s="188" t="n">
        <v>2034</v>
      </c>
      <c r="G5585" s="189" t="n">
        <v>53</v>
      </c>
      <c r="H5585" s="190" t="n">
        <v>12082.623689549</v>
      </c>
      <c r="I5585" s="191" t="n">
        <v>3960732.70226663</v>
      </c>
      <c r="J5585" s="192" t="str">
        <f>IF(I5585&gt;0,H5585/I5585,0)</f>
      </c>
      <c r="K5585" s="193" t="str">
        <f>1-EXP(-J5585)</f>
      </c>
      <c r="L5585" s="194" t="str">
        <f>IF(G5585=30,1,M5584)</f>
      </c>
      <c r="M5585" s="195" t="str">
        <f>L5585*(1-K5585)</f>
      </c>
    </row>
    <row r="5586">
      <c r="A5586" t="s">
        <v>167</v>
      </c>
      <c r="B5586" t="s">
        <v>116</v>
      </c>
      <c r="C5586" s="35" t="s">
        <v>422</v>
      </c>
      <c r="D5586" t="s">
        <v>502</v>
      </c>
      <c r="E5586" t="s">
        <v>520</v>
      </c>
      <c r="F5586" s="188" t="n">
        <v>2034</v>
      </c>
      <c r="G5586" s="189" t="n">
        <v>54</v>
      </c>
      <c r="H5586" s="190" t="n">
        <v>12989.9378904651</v>
      </c>
      <c r="I5586" s="191" t="n">
        <v>3893743.14574506</v>
      </c>
      <c r="J5586" s="192" t="str">
        <f>IF(I5586&gt;0,H5586/I5586,0)</f>
      </c>
      <c r="K5586" s="193" t="str">
        <f>1-EXP(-J5586)</f>
      </c>
      <c r="L5586" s="194" t="str">
        <f>IF(G5586=30,1,M5585)</f>
      </c>
      <c r="M5586" s="195" t="str">
        <f>L5586*(1-K5586)</f>
      </c>
    </row>
    <row r="5587">
      <c r="A5587" t="s">
        <v>167</v>
      </c>
      <c r="B5587" t="s">
        <v>116</v>
      </c>
      <c r="C5587" s="35" t="s">
        <v>422</v>
      </c>
      <c r="D5587" t="s">
        <v>502</v>
      </c>
      <c r="E5587" t="s">
        <v>520</v>
      </c>
      <c r="F5587" s="188" t="n">
        <v>2034</v>
      </c>
      <c r="G5587" s="189" t="n">
        <v>55</v>
      </c>
      <c r="H5587" s="190" t="n">
        <v>13976.0700239324</v>
      </c>
      <c r="I5587" s="191" t="n">
        <v>3820890.84952185</v>
      </c>
      <c r="J5587" s="192" t="str">
        <f>IF(I5587&gt;0,H5587/I5587,0)</f>
      </c>
      <c r="K5587" s="193" t="str">
        <f>1-EXP(-J5587)</f>
      </c>
      <c r="L5587" s="194" t="str">
        <f>IF(G5587=30,1,M5586)</f>
      </c>
      <c r="M5587" s="195" t="str">
        <f>L5587*(1-K5587)</f>
      </c>
    </row>
    <row r="5588">
      <c r="A5588" t="s">
        <v>167</v>
      </c>
      <c r="B5588" t="s">
        <v>116</v>
      </c>
      <c r="C5588" s="35" t="s">
        <v>422</v>
      </c>
      <c r="D5588" t="s">
        <v>502</v>
      </c>
      <c r="E5588" t="s">
        <v>520</v>
      </c>
      <c r="F5588" s="188" t="n">
        <v>2034</v>
      </c>
      <c r="G5588" s="189" t="n">
        <v>56</v>
      </c>
      <c r="H5588" s="190" t="n">
        <v>14821.5354110326</v>
      </c>
      <c r="I5588" s="191" t="n">
        <v>3728300.125505</v>
      </c>
      <c r="J5588" s="192" t="str">
        <f>IF(I5588&gt;0,H5588/I5588,0)</f>
      </c>
      <c r="K5588" s="193" t="str">
        <f>1-EXP(-J5588)</f>
      </c>
      <c r="L5588" s="194" t="str">
        <f>IF(G5588=30,1,M5587)</f>
      </c>
      <c r="M5588" s="195" t="str">
        <f>L5588*(1-K5588)</f>
      </c>
    </row>
    <row r="5589">
      <c r="A5589" t="s">
        <v>167</v>
      </c>
      <c r="B5589" t="s">
        <v>116</v>
      </c>
      <c r="C5589" s="35" t="s">
        <v>422</v>
      </c>
      <c r="D5589" t="s">
        <v>502</v>
      </c>
      <c r="E5589" t="s">
        <v>520</v>
      </c>
      <c r="F5589" s="188" t="n">
        <v>2034</v>
      </c>
      <c r="G5589" s="189" t="n">
        <v>57</v>
      </c>
      <c r="H5589" s="190" t="n">
        <v>15905.836944812</v>
      </c>
      <c r="I5589" s="191" t="n">
        <v>3651893.06772881</v>
      </c>
      <c r="J5589" s="192" t="str">
        <f>IF(I5589&gt;0,H5589/I5589,0)</f>
      </c>
      <c r="K5589" s="193" t="str">
        <f>1-EXP(-J5589)</f>
      </c>
      <c r="L5589" s="194" t="str">
        <f>IF(G5589=30,1,M5588)</f>
      </c>
      <c r="M5589" s="195" t="str">
        <f>L5589*(1-K5589)</f>
      </c>
    </row>
    <row r="5590">
      <c r="A5590" t="s">
        <v>167</v>
      </c>
      <c r="B5590" t="s">
        <v>116</v>
      </c>
      <c r="C5590" s="35" t="s">
        <v>422</v>
      </c>
      <c r="D5590" t="s">
        <v>502</v>
      </c>
      <c r="E5590" t="s">
        <v>520</v>
      </c>
      <c r="F5590" s="188" t="n">
        <v>2034</v>
      </c>
      <c r="G5590" s="189" t="n">
        <v>58</v>
      </c>
      <c r="H5590" s="190" t="n">
        <v>16994.1388762141</v>
      </c>
      <c r="I5590" s="191" t="n">
        <v>3563557.52531414</v>
      </c>
      <c r="J5590" s="192" t="str">
        <f>IF(I5590&gt;0,H5590/I5590,0)</f>
      </c>
      <c r="K5590" s="193" t="str">
        <f>1-EXP(-J5590)</f>
      </c>
      <c r="L5590" s="194" t="str">
        <f>IF(G5590=30,1,M5589)</f>
      </c>
      <c r="M5590" s="195" t="str">
        <f>L5590*(1-K5590)</f>
      </c>
    </row>
    <row r="5591">
      <c r="A5591" t="s">
        <v>167</v>
      </c>
      <c r="B5591" t="s">
        <v>116</v>
      </c>
      <c r="C5591" s="35" t="s">
        <v>422</v>
      </c>
      <c r="D5591" t="s">
        <v>502</v>
      </c>
      <c r="E5591" t="s">
        <v>520</v>
      </c>
      <c r="F5591" s="188" t="n">
        <v>2034</v>
      </c>
      <c r="G5591" s="189" t="n">
        <v>59</v>
      </c>
      <c r="H5591" s="190" t="n">
        <v>18149.674634054</v>
      </c>
      <c r="I5591" s="191" t="n">
        <v>3473849.82717667</v>
      </c>
      <c r="J5591" s="192" t="str">
        <f>IF(I5591&gt;0,H5591/I5591,0)</f>
      </c>
      <c r="K5591" s="193" t="str">
        <f>1-EXP(-J5591)</f>
      </c>
      <c r="L5591" s="194" t="str">
        <f>IF(G5591=30,1,M5590)</f>
      </c>
      <c r="M5591" s="195" t="str">
        <f>L5591*(1-K5591)</f>
      </c>
    </row>
    <row r="5592">
      <c r="A5592" t="s">
        <v>167</v>
      </c>
      <c r="B5592" t="s">
        <v>116</v>
      </c>
      <c r="C5592" s="35" t="s">
        <v>422</v>
      </c>
      <c r="D5592" t="s">
        <v>502</v>
      </c>
      <c r="E5592" t="s">
        <v>520</v>
      </c>
      <c r="F5592" s="188" t="n">
        <v>2034</v>
      </c>
      <c r="G5592" s="189" t="n">
        <v>60</v>
      </c>
      <c r="H5592" s="190" t="n">
        <v>19390.7436029465</v>
      </c>
      <c r="I5592" s="191" t="n">
        <v>3357357.40770558</v>
      </c>
      <c r="J5592" s="192" t="str">
        <f>IF(I5592&gt;0,H5592/I5592,0)</f>
      </c>
      <c r="K5592" s="193" t="str">
        <f>1-EXP(-J5592)</f>
      </c>
      <c r="L5592" s="194" t="str">
        <f>IF(G5592=30,1,M5591)</f>
      </c>
      <c r="M5592" s="195" t="str">
        <f>L5592*(1-K5592)</f>
      </c>
    </row>
    <row r="5593">
      <c r="A5593" t="s">
        <v>167</v>
      </c>
      <c r="B5593" t="s">
        <v>116</v>
      </c>
      <c r="C5593" s="35" t="s">
        <v>422</v>
      </c>
      <c r="D5593" t="s">
        <v>502</v>
      </c>
      <c r="E5593" t="s">
        <v>520</v>
      </c>
      <c r="F5593" s="188" t="n">
        <v>2034</v>
      </c>
      <c r="G5593" s="189" t="n">
        <v>61</v>
      </c>
      <c r="H5593" s="190" t="n">
        <v>21127.3944220806</v>
      </c>
      <c r="I5593" s="191" t="n">
        <v>3296520.81180236</v>
      </c>
      <c r="J5593" s="192" t="str">
        <f>IF(I5593&gt;0,H5593/I5593,0)</f>
      </c>
      <c r="K5593" s="193" t="str">
        <f>1-EXP(-J5593)</f>
      </c>
      <c r="L5593" s="194" t="str">
        <f>IF(G5593=30,1,M5592)</f>
      </c>
      <c r="M5593" s="195" t="str">
        <f>L5593*(1-K5593)</f>
      </c>
    </row>
    <row r="5594">
      <c r="A5594" t="s">
        <v>167</v>
      </c>
      <c r="B5594" t="s">
        <v>116</v>
      </c>
      <c r="C5594" s="35" t="s">
        <v>422</v>
      </c>
      <c r="D5594" t="s">
        <v>502</v>
      </c>
      <c r="E5594" t="s">
        <v>520</v>
      </c>
      <c r="F5594" s="188" t="n">
        <v>2034</v>
      </c>
      <c r="G5594" s="189" t="n">
        <v>62</v>
      </c>
      <c r="H5594" s="190" t="n">
        <v>21651.8221616126</v>
      </c>
      <c r="I5594" s="191" t="n">
        <v>3081174.60651397</v>
      </c>
      <c r="J5594" s="192" t="str">
        <f>IF(I5594&gt;0,H5594/I5594,0)</f>
      </c>
      <c r="K5594" s="193" t="str">
        <f>1-EXP(-J5594)</f>
      </c>
      <c r="L5594" s="194" t="str">
        <f>IF(G5594=30,1,M5593)</f>
      </c>
      <c r="M5594" s="195" t="str">
        <f>L5594*(1-K5594)</f>
      </c>
    </row>
    <row r="5595">
      <c r="A5595" t="s">
        <v>167</v>
      </c>
      <c r="B5595" t="s">
        <v>116</v>
      </c>
      <c r="C5595" s="35" t="s">
        <v>422</v>
      </c>
      <c r="D5595" t="s">
        <v>502</v>
      </c>
      <c r="E5595" t="s">
        <v>520</v>
      </c>
      <c r="F5595" s="188" t="n">
        <v>2034</v>
      </c>
      <c r="G5595" s="189" t="n">
        <v>63</v>
      </c>
      <c r="H5595" s="190" t="n">
        <v>22941.6743914163</v>
      </c>
      <c r="I5595" s="191" t="n">
        <v>2979682.3636065</v>
      </c>
      <c r="J5595" s="192" t="str">
        <f>IF(I5595&gt;0,H5595/I5595,0)</f>
      </c>
      <c r="K5595" s="193" t="str">
        <f>1-EXP(-J5595)</f>
      </c>
      <c r="L5595" s="194" t="str">
        <f>IF(G5595=30,1,M5594)</f>
      </c>
      <c r="M5595" s="195" t="str">
        <f>L5595*(1-K5595)</f>
      </c>
    </row>
    <row r="5596">
      <c r="A5596" t="s">
        <v>167</v>
      </c>
      <c r="B5596" t="s">
        <v>116</v>
      </c>
      <c r="C5596" s="35" t="s">
        <v>422</v>
      </c>
      <c r="D5596" t="s">
        <v>502</v>
      </c>
      <c r="E5596" t="s">
        <v>520</v>
      </c>
      <c r="F5596" s="188" t="n">
        <v>2034</v>
      </c>
      <c r="G5596" s="189" t="n">
        <v>64</v>
      </c>
      <c r="H5596" s="190" t="n">
        <v>24319.7840346618</v>
      </c>
      <c r="I5596" s="191" t="n">
        <v>2881544.61652376</v>
      </c>
      <c r="J5596" s="192" t="str">
        <f>IF(I5596&gt;0,H5596/I5596,0)</f>
      </c>
      <c r="K5596" s="193" t="str">
        <f>1-EXP(-J5596)</f>
      </c>
      <c r="L5596" s="194" t="str">
        <f>IF(G5596=30,1,M5595)</f>
      </c>
      <c r="M5596" s="195" t="str">
        <f>L5596*(1-K5596)</f>
      </c>
    </row>
    <row r="5597">
      <c r="A5597" t="s">
        <v>167</v>
      </c>
      <c r="B5597" t="s">
        <v>116</v>
      </c>
      <c r="C5597" s="35" t="s">
        <v>422</v>
      </c>
      <c r="D5597" t="s">
        <v>502</v>
      </c>
      <c r="E5597" t="s">
        <v>520</v>
      </c>
      <c r="F5597" s="188" t="n">
        <v>2034</v>
      </c>
      <c r="G5597" s="189" t="n">
        <v>65</v>
      </c>
      <c r="H5597" s="190" t="n">
        <v>24801.4645707769</v>
      </c>
      <c r="I5597" s="191" t="n">
        <v>2774219.94499236</v>
      </c>
      <c r="J5597" s="192" t="str">
        <f>IF(I5597&gt;0,H5597/I5597,0)</f>
      </c>
      <c r="K5597" s="193" t="str">
        <f>1-EXP(-J5597)</f>
      </c>
      <c r="L5597" s="194" t="str">
        <f>IF(G5597=30,1,M5596)</f>
      </c>
      <c r="M5597" s="195" t="str">
        <f>L5597*(1-K5597)</f>
      </c>
    </row>
    <row r="5598">
      <c r="A5598" t="s">
        <v>167</v>
      </c>
      <c r="B5598" t="s">
        <v>116</v>
      </c>
      <c r="C5598" s="35" t="s">
        <v>422</v>
      </c>
      <c r="D5598" t="s">
        <v>502</v>
      </c>
      <c r="E5598" t="s">
        <v>520</v>
      </c>
      <c r="F5598" s="188" t="n">
        <v>2034</v>
      </c>
      <c r="G5598" s="189" t="n">
        <v>66</v>
      </c>
      <c r="H5598" s="190" t="n">
        <v>25929.2456011692</v>
      </c>
      <c r="I5598" s="191" t="n">
        <v>2648721.91639926</v>
      </c>
      <c r="J5598" s="192" t="str">
        <f>IF(I5598&gt;0,H5598/I5598,0)</f>
      </c>
      <c r="K5598" s="193" t="str">
        <f>1-EXP(-J5598)</f>
      </c>
      <c r="L5598" s="194" t="str">
        <f>IF(G5598=30,1,M5597)</f>
      </c>
      <c r="M5598" s="195" t="str">
        <f>L5598*(1-K5598)</f>
      </c>
    </row>
    <row r="5599">
      <c r="A5599" t="s">
        <v>167</v>
      </c>
      <c r="B5599" t="s">
        <v>116</v>
      </c>
      <c r="C5599" s="35" t="s">
        <v>422</v>
      </c>
      <c r="D5599" t="s">
        <v>502</v>
      </c>
      <c r="E5599" t="s">
        <v>520</v>
      </c>
      <c r="F5599" s="188" t="n">
        <v>2034</v>
      </c>
      <c r="G5599" s="189" t="n">
        <v>67</v>
      </c>
      <c r="H5599" s="190" t="n">
        <v>26838.0100197229</v>
      </c>
      <c r="I5599" s="191" t="n">
        <v>2494517.08413172</v>
      </c>
      <c r="J5599" s="192" t="str">
        <f>IF(I5599&gt;0,H5599/I5599,0)</f>
      </c>
      <c r="K5599" s="193" t="str">
        <f>1-EXP(-J5599)</f>
      </c>
      <c r="L5599" s="194" t="str">
        <f>IF(G5599=30,1,M5598)</f>
      </c>
      <c r="M5599" s="195" t="str">
        <f>L5599*(1-K5599)</f>
      </c>
    </row>
    <row r="5600">
      <c r="A5600" t="s">
        <v>167</v>
      </c>
      <c r="B5600" t="s">
        <v>116</v>
      </c>
      <c r="C5600" s="35" t="s">
        <v>422</v>
      </c>
      <c r="D5600" t="s">
        <v>502</v>
      </c>
      <c r="E5600" t="s">
        <v>520</v>
      </c>
      <c r="F5600" s="188" t="n">
        <v>2034</v>
      </c>
      <c r="G5600" s="189" t="n">
        <v>68</v>
      </c>
      <c r="H5600" s="190" t="n">
        <v>28059.8313455942</v>
      </c>
      <c r="I5600" s="191" t="n">
        <v>2373303.82205327</v>
      </c>
      <c r="J5600" s="192" t="str">
        <f>IF(I5600&gt;0,H5600/I5600,0)</f>
      </c>
      <c r="K5600" s="193" t="str">
        <f>1-EXP(-J5600)</f>
      </c>
      <c r="L5600" s="194" t="str">
        <f>IF(G5600=30,1,M5599)</f>
      </c>
      <c r="M5600" s="195" t="str">
        <f>L5600*(1-K5600)</f>
      </c>
    </row>
    <row r="5601">
      <c r="A5601" t="s">
        <v>167</v>
      </c>
      <c r="B5601" t="s">
        <v>116</v>
      </c>
      <c r="C5601" s="35" t="s">
        <v>422</v>
      </c>
      <c r="D5601" t="s">
        <v>502</v>
      </c>
      <c r="E5601" t="s">
        <v>520</v>
      </c>
      <c r="F5601" s="188" t="n">
        <v>2034</v>
      </c>
      <c r="G5601" s="189" t="n">
        <v>69</v>
      </c>
      <c r="H5601" s="190" t="n">
        <v>29035.5871911729</v>
      </c>
      <c r="I5601" s="191" t="n">
        <v>2233087.29471224</v>
      </c>
      <c r="J5601" s="192" t="str">
        <f>IF(I5601&gt;0,H5601/I5601,0)</f>
      </c>
      <c r="K5601" s="193" t="str">
        <f>1-EXP(-J5601)</f>
      </c>
      <c r="L5601" s="194" t="str">
        <f>IF(G5601=30,1,M5600)</f>
      </c>
      <c r="M5601" s="195" t="str">
        <f>L5601*(1-K5601)</f>
      </c>
    </row>
    <row r="5602">
      <c r="A5602" t="s">
        <v>167</v>
      </c>
      <c r="B5602" t="s">
        <v>116</v>
      </c>
      <c r="C5602" s="35" t="s">
        <v>422</v>
      </c>
      <c r="D5602" t="s">
        <v>502</v>
      </c>
      <c r="E5602" t="s">
        <v>520</v>
      </c>
      <c r="F5602" s="188" t="n">
        <v>2035</v>
      </c>
      <c r="G5602" s="189" t="n">
        <v>30</v>
      </c>
      <c r="H5602" s="190" t="n">
        <v>741.799842624457</v>
      </c>
      <c r="I5602" s="191" t="n">
        <v>4553034.02530477</v>
      </c>
      <c r="J5602" s="192" t="str">
        <f>IF(I5602&gt;0,H5602/I5602,0)</f>
      </c>
      <c r="K5602" s="193" t="str">
        <f>1-EXP(-J5602)</f>
      </c>
      <c r="L5602" s="194" t="str">
        <f>IF(G5602=30,1,M5601)</f>
      </c>
      <c r="M5602" s="195" t="str">
        <f>L5602*(1-K5602)</f>
      </c>
    </row>
    <row r="5603">
      <c r="A5603" t="s">
        <v>167</v>
      </c>
      <c r="B5603" t="s">
        <v>116</v>
      </c>
      <c r="C5603" s="35" t="s">
        <v>422</v>
      </c>
      <c r="D5603" t="s">
        <v>502</v>
      </c>
      <c r="E5603" t="s">
        <v>520</v>
      </c>
      <c r="F5603" s="188" t="n">
        <v>2035</v>
      </c>
      <c r="G5603" s="189" t="n">
        <v>31</v>
      </c>
      <c r="H5603" s="190" t="n">
        <v>900.654866913268</v>
      </c>
      <c r="I5603" s="191" t="n">
        <v>4424331.06183266</v>
      </c>
      <c r="J5603" s="192" t="str">
        <f>IF(I5603&gt;0,H5603/I5603,0)</f>
      </c>
      <c r="K5603" s="193" t="str">
        <f>1-EXP(-J5603)</f>
      </c>
      <c r="L5603" s="194" t="str">
        <f>IF(G5603=30,1,M5602)</f>
      </c>
      <c r="M5603" s="195" t="str">
        <f>L5603*(1-K5603)</f>
      </c>
    </row>
    <row r="5604">
      <c r="A5604" t="s">
        <v>167</v>
      </c>
      <c r="B5604" t="s">
        <v>116</v>
      </c>
      <c r="C5604" s="35" t="s">
        <v>422</v>
      </c>
      <c r="D5604" t="s">
        <v>502</v>
      </c>
      <c r="E5604" t="s">
        <v>520</v>
      </c>
      <c r="F5604" s="188" t="n">
        <v>2035</v>
      </c>
      <c r="G5604" s="189" t="n">
        <v>32</v>
      </c>
      <c r="H5604" s="190" t="n">
        <v>937.46912466095</v>
      </c>
      <c r="I5604" s="191" t="n">
        <v>4359156.82222256</v>
      </c>
      <c r="J5604" s="192" t="str">
        <f>IF(I5604&gt;0,H5604/I5604,0)</f>
      </c>
      <c r="K5604" s="193" t="str">
        <f>1-EXP(-J5604)</f>
      </c>
      <c r="L5604" s="194" t="str">
        <f>IF(G5604=30,1,M5603)</f>
      </c>
      <c r="M5604" s="195" t="str">
        <f>L5604*(1-K5604)</f>
      </c>
    </row>
    <row r="5605">
      <c r="A5605" t="s">
        <v>167</v>
      </c>
      <c r="B5605" t="s">
        <v>116</v>
      </c>
      <c r="C5605" s="35" t="s">
        <v>422</v>
      </c>
      <c r="D5605" t="s">
        <v>502</v>
      </c>
      <c r="E5605" t="s">
        <v>520</v>
      </c>
      <c r="F5605" s="188" t="n">
        <v>2035</v>
      </c>
      <c r="G5605" s="189" t="n">
        <v>33</v>
      </c>
      <c r="H5605" s="190" t="n">
        <v>1131.06820670615</v>
      </c>
      <c r="I5605" s="191" t="n">
        <v>4338115.24494417</v>
      </c>
      <c r="J5605" s="192" t="str">
        <f>IF(I5605&gt;0,H5605/I5605,0)</f>
      </c>
      <c r="K5605" s="193" t="str">
        <f>1-EXP(-J5605)</f>
      </c>
      <c r="L5605" s="194" t="str">
        <f>IF(G5605=30,1,M5604)</f>
      </c>
      <c r="M5605" s="195" t="str">
        <f>L5605*(1-K5605)</f>
      </c>
    </row>
    <row r="5606">
      <c r="A5606" t="s">
        <v>167</v>
      </c>
      <c r="B5606" t="s">
        <v>116</v>
      </c>
      <c r="C5606" s="35" t="s">
        <v>422</v>
      </c>
      <c r="D5606" t="s">
        <v>502</v>
      </c>
      <c r="E5606" t="s">
        <v>520</v>
      </c>
      <c r="F5606" s="188" t="n">
        <v>2035</v>
      </c>
      <c r="G5606" s="189" t="n">
        <v>34</v>
      </c>
      <c r="H5606" s="190" t="n">
        <v>1199.96947045639</v>
      </c>
      <c r="I5606" s="191" t="n">
        <v>4318161.89134464</v>
      </c>
      <c r="J5606" s="192" t="str">
        <f>IF(I5606&gt;0,H5606/I5606,0)</f>
      </c>
      <c r="K5606" s="193" t="str">
        <f>1-EXP(-J5606)</f>
      </c>
      <c r="L5606" s="194" t="str">
        <f>IF(G5606=30,1,M5605)</f>
      </c>
      <c r="M5606" s="195" t="str">
        <f>L5606*(1-K5606)</f>
      </c>
    </row>
    <row r="5607">
      <c r="A5607" t="s">
        <v>167</v>
      </c>
      <c r="B5607" t="s">
        <v>116</v>
      </c>
      <c r="C5607" s="35" t="s">
        <v>422</v>
      </c>
      <c r="D5607" t="s">
        <v>502</v>
      </c>
      <c r="E5607" t="s">
        <v>520</v>
      </c>
      <c r="F5607" s="188" t="n">
        <v>2035</v>
      </c>
      <c r="G5607" s="189" t="n">
        <v>35</v>
      </c>
      <c r="H5607" s="190" t="n">
        <v>1611.21320818878</v>
      </c>
      <c r="I5607" s="191" t="n">
        <v>4297882.0852955</v>
      </c>
      <c r="J5607" s="192" t="str">
        <f>IF(I5607&gt;0,H5607/I5607,0)</f>
      </c>
      <c r="K5607" s="193" t="str">
        <f>1-EXP(-J5607)</f>
      </c>
      <c r="L5607" s="194" t="str">
        <f>IF(G5607=30,1,M5606)</f>
      </c>
      <c r="M5607" s="195" t="str">
        <f>L5607*(1-K5607)</f>
      </c>
    </row>
    <row r="5608">
      <c r="A5608" t="s">
        <v>167</v>
      </c>
      <c r="B5608" t="s">
        <v>116</v>
      </c>
      <c r="C5608" s="35" t="s">
        <v>422</v>
      </c>
      <c r="D5608" t="s">
        <v>502</v>
      </c>
      <c r="E5608" t="s">
        <v>520</v>
      </c>
      <c r="F5608" s="188" t="n">
        <v>2035</v>
      </c>
      <c r="G5608" s="189" t="n">
        <v>36</v>
      </c>
      <c r="H5608" s="190" t="n">
        <v>1799.30421578385</v>
      </c>
      <c r="I5608" s="191" t="n">
        <v>4316747.17894291</v>
      </c>
      <c r="J5608" s="192" t="str">
        <f>IF(I5608&gt;0,H5608/I5608,0)</f>
      </c>
      <c r="K5608" s="193" t="str">
        <f>1-EXP(-J5608)</f>
      </c>
      <c r="L5608" s="194" t="str">
        <f>IF(G5608=30,1,M5607)</f>
      </c>
      <c r="M5608" s="195" t="str">
        <f>L5608*(1-K5608)</f>
      </c>
    </row>
    <row r="5609">
      <c r="A5609" t="s">
        <v>167</v>
      </c>
      <c r="B5609" t="s">
        <v>116</v>
      </c>
      <c r="C5609" s="35" t="s">
        <v>422</v>
      </c>
      <c r="D5609" t="s">
        <v>502</v>
      </c>
      <c r="E5609" t="s">
        <v>520</v>
      </c>
      <c r="F5609" s="188" t="n">
        <v>2035</v>
      </c>
      <c r="G5609" s="189" t="n">
        <v>37</v>
      </c>
      <c r="H5609" s="190" t="n">
        <v>1965.32236690736</v>
      </c>
      <c r="I5609" s="191" t="n">
        <v>4374886.2045737</v>
      </c>
      <c r="J5609" s="192" t="str">
        <f>IF(I5609&gt;0,H5609/I5609,0)</f>
      </c>
      <c r="K5609" s="193" t="str">
        <f>1-EXP(-J5609)</f>
      </c>
      <c r="L5609" s="194" t="str">
        <f>IF(G5609=30,1,M5608)</f>
      </c>
      <c r="M5609" s="195" t="str">
        <f>L5609*(1-K5609)</f>
      </c>
    </row>
    <row r="5610">
      <c r="A5610" t="s">
        <v>167</v>
      </c>
      <c r="B5610" t="s">
        <v>116</v>
      </c>
      <c r="C5610" s="35" t="s">
        <v>422</v>
      </c>
      <c r="D5610" t="s">
        <v>502</v>
      </c>
      <c r="E5610" t="s">
        <v>520</v>
      </c>
      <c r="F5610" s="188" t="n">
        <v>2035</v>
      </c>
      <c r="G5610" s="189" t="n">
        <v>38</v>
      </c>
      <c r="H5610" s="190" t="n">
        <v>2383.83593648842</v>
      </c>
      <c r="I5610" s="191" t="n">
        <v>4511640.78104035</v>
      </c>
      <c r="J5610" s="192" t="str">
        <f>IF(I5610&gt;0,H5610/I5610,0)</f>
      </c>
      <c r="K5610" s="193" t="str">
        <f>1-EXP(-J5610)</f>
      </c>
      <c r="L5610" s="194" t="str">
        <f>IF(G5610=30,1,M5609)</f>
      </c>
      <c r="M5610" s="195" t="str">
        <f>L5610*(1-K5610)</f>
      </c>
    </row>
    <row r="5611">
      <c r="A5611" t="s">
        <v>167</v>
      </c>
      <c r="B5611" t="s">
        <v>116</v>
      </c>
      <c r="C5611" s="35" t="s">
        <v>422</v>
      </c>
      <c r="D5611" t="s">
        <v>502</v>
      </c>
      <c r="E5611" t="s">
        <v>520</v>
      </c>
      <c r="F5611" s="188" t="n">
        <v>2035</v>
      </c>
      <c r="G5611" s="189" t="n">
        <v>39</v>
      </c>
      <c r="H5611" s="190" t="n">
        <v>2545.46208278589</v>
      </c>
      <c r="I5611" s="191" t="n">
        <v>4466818.083187</v>
      </c>
      <c r="J5611" s="192" t="str">
        <f>IF(I5611&gt;0,H5611/I5611,0)</f>
      </c>
      <c r="K5611" s="193" t="str">
        <f>1-EXP(-J5611)</f>
      </c>
      <c r="L5611" s="194" t="str">
        <f>IF(G5611=30,1,M5610)</f>
      </c>
      <c r="M5611" s="195" t="str">
        <f>L5611*(1-K5611)</f>
      </c>
    </row>
    <row r="5612">
      <c r="A5612" t="s">
        <v>167</v>
      </c>
      <c r="B5612" t="s">
        <v>116</v>
      </c>
      <c r="C5612" s="35" t="s">
        <v>422</v>
      </c>
      <c r="D5612" t="s">
        <v>502</v>
      </c>
      <c r="E5612" t="s">
        <v>520</v>
      </c>
      <c r="F5612" s="188" t="n">
        <v>2035</v>
      </c>
      <c r="G5612" s="189" t="n">
        <v>40</v>
      </c>
      <c r="H5612" s="190" t="n">
        <v>3359.75916395342</v>
      </c>
      <c r="I5612" s="191" t="n">
        <v>4391800.47040797</v>
      </c>
      <c r="J5612" s="192" t="str">
        <f>IF(I5612&gt;0,H5612/I5612,0)</f>
      </c>
      <c r="K5612" s="193" t="str">
        <f>1-EXP(-J5612)</f>
      </c>
      <c r="L5612" s="194" t="str">
        <f>IF(G5612=30,1,M5611)</f>
      </c>
      <c r="M5612" s="195" t="str">
        <f>L5612*(1-K5612)</f>
      </c>
    </row>
    <row r="5613">
      <c r="A5613" t="s">
        <v>167</v>
      </c>
      <c r="B5613" t="s">
        <v>116</v>
      </c>
      <c r="C5613" s="35" t="s">
        <v>422</v>
      </c>
      <c r="D5613" t="s">
        <v>502</v>
      </c>
      <c r="E5613" t="s">
        <v>520</v>
      </c>
      <c r="F5613" s="188" t="n">
        <v>2035</v>
      </c>
      <c r="G5613" s="189" t="n">
        <v>41</v>
      </c>
      <c r="H5613" s="190" t="n">
        <v>3565.05872352701</v>
      </c>
      <c r="I5613" s="191" t="n">
        <v>4331413.44557475</v>
      </c>
      <c r="J5613" s="192" t="str">
        <f>IF(I5613&gt;0,H5613/I5613,0)</f>
      </c>
      <c r="K5613" s="193" t="str">
        <f>1-EXP(-J5613)</f>
      </c>
      <c r="L5613" s="194" t="str">
        <f>IF(G5613=30,1,M5612)</f>
      </c>
      <c r="M5613" s="195" t="str">
        <f>L5613*(1-K5613)</f>
      </c>
    </row>
    <row r="5614">
      <c r="A5614" t="s">
        <v>167</v>
      </c>
      <c r="B5614" t="s">
        <v>116</v>
      </c>
      <c r="C5614" s="35" t="s">
        <v>422</v>
      </c>
      <c r="D5614" t="s">
        <v>502</v>
      </c>
      <c r="E5614" t="s">
        <v>520</v>
      </c>
      <c r="F5614" s="188" t="n">
        <v>2035</v>
      </c>
      <c r="G5614" s="189" t="n">
        <v>42</v>
      </c>
      <c r="H5614" s="190" t="n">
        <v>3822.89942318506</v>
      </c>
      <c r="I5614" s="191" t="n">
        <v>4275088.07419031</v>
      </c>
      <c r="J5614" s="192" t="str">
        <f>IF(I5614&gt;0,H5614/I5614,0)</f>
      </c>
      <c r="K5614" s="193" t="str">
        <f>1-EXP(-J5614)</f>
      </c>
      <c r="L5614" s="194" t="str">
        <f>IF(G5614=30,1,M5613)</f>
      </c>
      <c r="M5614" s="195" t="str">
        <f>L5614*(1-K5614)</f>
      </c>
    </row>
    <row r="5615">
      <c r="A5615" t="s">
        <v>167</v>
      </c>
      <c r="B5615" t="s">
        <v>116</v>
      </c>
      <c r="C5615" s="35" t="s">
        <v>422</v>
      </c>
      <c r="D5615" t="s">
        <v>502</v>
      </c>
      <c r="E5615" t="s">
        <v>520</v>
      </c>
      <c r="F5615" s="188" t="n">
        <v>2035</v>
      </c>
      <c r="G5615" s="189" t="n">
        <v>43</v>
      </c>
      <c r="H5615" s="190" t="n">
        <v>4194.48654223512</v>
      </c>
      <c r="I5615" s="191" t="n">
        <v>4308834.60839202</v>
      </c>
      <c r="J5615" s="192" t="str">
        <f>IF(I5615&gt;0,H5615/I5615,0)</f>
      </c>
      <c r="K5615" s="193" t="str">
        <f>1-EXP(-J5615)</f>
      </c>
      <c r="L5615" s="194" t="str">
        <f>IF(G5615=30,1,M5614)</f>
      </c>
      <c r="M5615" s="195" t="str">
        <f>L5615*(1-K5615)</f>
      </c>
    </row>
    <row r="5616">
      <c r="A5616" t="s">
        <v>167</v>
      </c>
      <c r="B5616" t="s">
        <v>116</v>
      </c>
      <c r="C5616" s="35" t="s">
        <v>422</v>
      </c>
      <c r="D5616" t="s">
        <v>502</v>
      </c>
      <c r="E5616" t="s">
        <v>520</v>
      </c>
      <c r="F5616" s="188" t="n">
        <v>2035</v>
      </c>
      <c r="G5616" s="189" t="n">
        <v>44</v>
      </c>
      <c r="H5616" s="190" t="n">
        <v>4597.58192896967</v>
      </c>
      <c r="I5616" s="191" t="n">
        <v>4322587.95273569</v>
      </c>
      <c r="J5616" s="192" t="str">
        <f>IF(I5616&gt;0,H5616/I5616,0)</f>
      </c>
      <c r="K5616" s="193" t="str">
        <f>1-EXP(-J5616)</f>
      </c>
      <c r="L5616" s="194" t="str">
        <f>IF(G5616=30,1,M5615)</f>
      </c>
      <c r="M5616" s="195" t="str">
        <f>L5616*(1-K5616)</f>
      </c>
    </row>
    <row r="5617">
      <c r="A5617" t="s">
        <v>167</v>
      </c>
      <c r="B5617" t="s">
        <v>116</v>
      </c>
      <c r="C5617" s="35" t="s">
        <v>422</v>
      </c>
      <c r="D5617" t="s">
        <v>502</v>
      </c>
      <c r="E5617" t="s">
        <v>520</v>
      </c>
      <c r="F5617" s="188" t="n">
        <v>2035</v>
      </c>
      <c r="G5617" s="189" t="n">
        <v>45</v>
      </c>
      <c r="H5617" s="190" t="n">
        <v>8126.75671249578</v>
      </c>
      <c r="I5617" s="191" t="n">
        <v>6362213.22939259</v>
      </c>
      <c r="J5617" s="192" t="str">
        <f>IF(I5617&gt;0,H5617/I5617,0)</f>
      </c>
      <c r="K5617" s="193" t="str">
        <f>1-EXP(-J5617)</f>
      </c>
      <c r="L5617" s="194" t="str">
        <f>IF(G5617=30,1,M5616)</f>
      </c>
      <c r="M5617" s="195" t="str">
        <f>L5617*(1-K5617)</f>
      </c>
    </row>
    <row r="5618">
      <c r="A5618" t="s">
        <v>167</v>
      </c>
      <c r="B5618" t="s">
        <v>116</v>
      </c>
      <c r="C5618" s="35" t="s">
        <v>422</v>
      </c>
      <c r="D5618" t="s">
        <v>502</v>
      </c>
      <c r="E5618" t="s">
        <v>520</v>
      </c>
      <c r="F5618" s="188" t="n">
        <v>2035</v>
      </c>
      <c r="G5618" s="189" t="n">
        <v>46</v>
      </c>
      <c r="H5618" s="190" t="n">
        <v>6385.61126199788</v>
      </c>
      <c r="I5618" s="191" t="n">
        <v>4271141.66000267</v>
      </c>
      <c r="J5618" s="192" t="str">
        <f>IF(I5618&gt;0,H5618/I5618,0)</f>
      </c>
      <c r="K5618" s="193" t="str">
        <f>1-EXP(-J5618)</f>
      </c>
      <c r="L5618" s="194" t="str">
        <f>IF(G5618=30,1,M5617)</f>
      </c>
      <c r="M5618" s="195" t="str">
        <f>L5618*(1-K5618)</f>
      </c>
    </row>
    <row r="5619">
      <c r="A5619" t="s">
        <v>167</v>
      </c>
      <c r="B5619" t="s">
        <v>116</v>
      </c>
      <c r="C5619" s="35" t="s">
        <v>422</v>
      </c>
      <c r="D5619" t="s">
        <v>502</v>
      </c>
      <c r="E5619" t="s">
        <v>520</v>
      </c>
      <c r="F5619" s="188" t="n">
        <v>2035</v>
      </c>
      <c r="G5619" s="189" t="n">
        <v>47</v>
      </c>
      <c r="H5619" s="190" t="n">
        <v>6977.08485074478</v>
      </c>
      <c r="I5619" s="191" t="n">
        <v>4248991.5739943</v>
      </c>
      <c r="J5619" s="192" t="str">
        <f>IF(I5619&gt;0,H5619/I5619,0)</f>
      </c>
      <c r="K5619" s="193" t="str">
        <f>1-EXP(-J5619)</f>
      </c>
      <c r="L5619" s="194" t="str">
        <f>IF(G5619=30,1,M5618)</f>
      </c>
      <c r="M5619" s="195" t="str">
        <f>L5619*(1-K5619)</f>
      </c>
    </row>
    <row r="5620">
      <c r="A5620" t="s">
        <v>167</v>
      </c>
      <c r="B5620" t="s">
        <v>116</v>
      </c>
      <c r="C5620" s="35" t="s">
        <v>422</v>
      </c>
      <c r="D5620" t="s">
        <v>502</v>
      </c>
      <c r="E5620" t="s">
        <v>520</v>
      </c>
      <c r="F5620" s="188" t="n">
        <v>2035</v>
      </c>
      <c r="G5620" s="189" t="n">
        <v>48</v>
      </c>
      <c r="H5620" s="190" t="n">
        <v>7423.07700786863</v>
      </c>
      <c r="I5620" s="191" t="n">
        <v>4112635.46705881</v>
      </c>
      <c r="J5620" s="192" t="str">
        <f>IF(I5620&gt;0,H5620/I5620,0)</f>
      </c>
      <c r="K5620" s="193" t="str">
        <f>1-EXP(-J5620)</f>
      </c>
      <c r="L5620" s="194" t="str">
        <f>IF(G5620=30,1,M5619)</f>
      </c>
      <c r="M5620" s="195" t="str">
        <f>L5620*(1-K5620)</f>
      </c>
    </row>
    <row r="5621">
      <c r="A5621" t="s">
        <v>167</v>
      </c>
      <c r="B5621" t="s">
        <v>116</v>
      </c>
      <c r="C5621" s="35" t="s">
        <v>422</v>
      </c>
      <c r="D5621" t="s">
        <v>502</v>
      </c>
      <c r="E5621" t="s">
        <v>520</v>
      </c>
      <c r="F5621" s="188" t="n">
        <v>2035</v>
      </c>
      <c r="G5621" s="189" t="n">
        <v>49</v>
      </c>
      <c r="H5621" s="190" t="n">
        <v>8072.62775244451</v>
      </c>
      <c r="I5621" s="191" t="n">
        <v>4071756.92681161</v>
      </c>
      <c r="J5621" s="192" t="str">
        <f>IF(I5621&gt;0,H5621/I5621,0)</f>
      </c>
      <c r="K5621" s="193" t="str">
        <f>1-EXP(-J5621)</f>
      </c>
      <c r="L5621" s="194" t="str">
        <f>IF(G5621=30,1,M5620)</f>
      </c>
      <c r="M5621" s="195" t="str">
        <f>L5621*(1-K5621)</f>
      </c>
    </row>
    <row r="5622">
      <c r="A5622" t="s">
        <v>167</v>
      </c>
      <c r="B5622" t="s">
        <v>116</v>
      </c>
      <c r="C5622" s="35" t="s">
        <v>422</v>
      </c>
      <c r="D5622" t="s">
        <v>502</v>
      </c>
      <c r="E5622" t="s">
        <v>520</v>
      </c>
      <c r="F5622" s="188" t="n">
        <v>2035</v>
      </c>
      <c r="G5622" s="189" t="n">
        <v>50</v>
      </c>
      <c r="H5622" s="190" t="n">
        <v>9478.56930741654</v>
      </c>
      <c r="I5622" s="191" t="n">
        <v>4121806.69648893</v>
      </c>
      <c r="J5622" s="192" t="str">
        <f>IF(I5622&gt;0,H5622/I5622,0)</f>
      </c>
      <c r="K5622" s="193" t="str">
        <f>1-EXP(-J5622)</f>
      </c>
      <c r="L5622" s="194" t="str">
        <f>IF(G5622=30,1,M5621)</f>
      </c>
      <c r="M5622" s="195" t="str">
        <f>L5622*(1-K5622)</f>
      </c>
    </row>
    <row r="5623">
      <c r="A5623" t="s">
        <v>167</v>
      </c>
      <c r="B5623" t="s">
        <v>116</v>
      </c>
      <c r="C5623" s="35" t="s">
        <v>422</v>
      </c>
      <c r="D5623" t="s">
        <v>502</v>
      </c>
      <c r="E5623" t="s">
        <v>520</v>
      </c>
      <c r="F5623" s="188" t="n">
        <v>2035</v>
      </c>
      <c r="G5623" s="189" t="n">
        <v>51</v>
      </c>
      <c r="H5623" s="190" t="n">
        <v>10619.8803845239</v>
      </c>
      <c r="I5623" s="191" t="n">
        <v>4194519.50439867</v>
      </c>
      <c r="J5623" s="192" t="str">
        <f>IF(I5623&gt;0,H5623/I5623,0)</f>
      </c>
      <c r="K5623" s="193" t="str">
        <f>1-EXP(-J5623)</f>
      </c>
      <c r="L5623" s="194" t="str">
        <f>IF(G5623=30,1,M5622)</f>
      </c>
      <c r="M5623" s="195" t="str">
        <f>L5623*(1-K5623)</f>
      </c>
    </row>
    <row r="5624">
      <c r="A5624" t="s">
        <v>167</v>
      </c>
      <c r="B5624" t="s">
        <v>116</v>
      </c>
      <c r="C5624" s="35" t="s">
        <v>422</v>
      </c>
      <c r="D5624" t="s">
        <v>502</v>
      </c>
      <c r="E5624" t="s">
        <v>520</v>
      </c>
      <c r="F5624" s="188" t="n">
        <v>2035</v>
      </c>
      <c r="G5624" s="189" t="n">
        <v>52</v>
      </c>
      <c r="H5624" s="190" t="n">
        <v>11531.4568949334</v>
      </c>
      <c r="I5624" s="191" t="n">
        <v>4160608.27792485</v>
      </c>
      <c r="J5624" s="192" t="str">
        <f>IF(I5624&gt;0,H5624/I5624,0)</f>
      </c>
      <c r="K5624" s="193" t="str">
        <f>1-EXP(-J5624)</f>
      </c>
      <c r="L5624" s="194" t="str">
        <f>IF(G5624=30,1,M5623)</f>
      </c>
      <c r="M5624" s="195" t="str">
        <f>L5624*(1-K5624)</f>
      </c>
    </row>
    <row r="5625">
      <c r="A5625" t="s">
        <v>167</v>
      </c>
      <c r="B5625" t="s">
        <v>116</v>
      </c>
      <c r="C5625" s="35" t="s">
        <v>422</v>
      </c>
      <c r="D5625" t="s">
        <v>502</v>
      </c>
      <c r="E5625" t="s">
        <v>520</v>
      </c>
      <c r="F5625" s="188" t="n">
        <v>2035</v>
      </c>
      <c r="G5625" s="189" t="n">
        <v>53</v>
      </c>
      <c r="H5625" s="190" t="n">
        <v>12189.4613861059</v>
      </c>
      <c r="I5625" s="191" t="n">
        <v>4016691.86144547</v>
      </c>
      <c r="J5625" s="192" t="str">
        <f>IF(I5625&gt;0,H5625/I5625,0)</f>
      </c>
      <c r="K5625" s="193" t="str">
        <f>1-EXP(-J5625)</f>
      </c>
      <c r="L5625" s="194" t="str">
        <f>IF(G5625=30,1,M5624)</f>
      </c>
      <c r="M5625" s="195" t="str">
        <f>L5625*(1-K5625)</f>
      </c>
    </row>
    <row r="5626">
      <c r="A5626" t="s">
        <v>167</v>
      </c>
      <c r="B5626" t="s">
        <v>116</v>
      </c>
      <c r="C5626" s="35" t="s">
        <v>422</v>
      </c>
      <c r="D5626" t="s">
        <v>502</v>
      </c>
      <c r="E5626" t="s">
        <v>520</v>
      </c>
      <c r="F5626" s="188" t="n">
        <v>2035</v>
      </c>
      <c r="G5626" s="189" t="n">
        <v>54</v>
      </c>
      <c r="H5626" s="190" t="n">
        <v>13050.2987712084</v>
      </c>
      <c r="I5626" s="191" t="n">
        <v>3932961.30199232</v>
      </c>
      <c r="J5626" s="192" t="str">
        <f>IF(I5626&gt;0,H5626/I5626,0)</f>
      </c>
      <c r="K5626" s="193" t="str">
        <f>1-EXP(-J5626)</f>
      </c>
      <c r="L5626" s="194" t="str">
        <f>IF(G5626=30,1,M5625)</f>
      </c>
      <c r="M5626" s="195" t="str">
        <f>L5626*(1-K5626)</f>
      </c>
    </row>
    <row r="5627">
      <c r="A5627" t="s">
        <v>167</v>
      </c>
      <c r="B5627" t="s">
        <v>116</v>
      </c>
      <c r="C5627" s="35" t="s">
        <v>422</v>
      </c>
      <c r="D5627" t="s">
        <v>502</v>
      </c>
      <c r="E5627" t="s">
        <v>520</v>
      </c>
      <c r="F5627" s="188" t="n">
        <v>2035</v>
      </c>
      <c r="G5627" s="189" t="n">
        <v>55</v>
      </c>
      <c r="H5627" s="190" t="n">
        <v>14024.9567253752</v>
      </c>
      <c r="I5627" s="191" t="n">
        <v>3863919.16023669</v>
      </c>
      <c r="J5627" s="192" t="str">
        <f>IF(I5627&gt;0,H5627/I5627,0)</f>
      </c>
      <c r="K5627" s="193" t="str">
        <f>1-EXP(-J5627)</f>
      </c>
      <c r="L5627" s="194" t="str">
        <f>IF(G5627=30,1,M5626)</f>
      </c>
      <c r="M5627" s="195" t="str">
        <f>L5627*(1-K5627)</f>
      </c>
    </row>
    <row r="5628">
      <c r="A5628" t="s">
        <v>167</v>
      </c>
      <c r="B5628" t="s">
        <v>116</v>
      </c>
      <c r="C5628" s="35" t="s">
        <v>422</v>
      </c>
      <c r="D5628" t="s">
        <v>502</v>
      </c>
      <c r="E5628" t="s">
        <v>520</v>
      </c>
      <c r="F5628" s="188" t="n">
        <v>2035</v>
      </c>
      <c r="G5628" s="189" t="n">
        <v>56</v>
      </c>
      <c r="H5628" s="190" t="n">
        <v>14942.7509004414</v>
      </c>
      <c r="I5628" s="191" t="n">
        <v>3788585.6345629</v>
      </c>
      <c r="J5628" s="192" t="str">
        <f>IF(I5628&gt;0,H5628/I5628,0)</f>
      </c>
      <c r="K5628" s="193" t="str">
        <f>1-EXP(-J5628)</f>
      </c>
      <c r="L5628" s="194" t="str">
        <f>IF(G5628=30,1,M5627)</f>
      </c>
      <c r="M5628" s="195" t="str">
        <f>L5628*(1-K5628)</f>
      </c>
    </row>
    <row r="5629">
      <c r="A5629" t="s">
        <v>167</v>
      </c>
      <c r="B5629" t="s">
        <v>116</v>
      </c>
      <c r="C5629" s="35" t="s">
        <v>422</v>
      </c>
      <c r="D5629" t="s">
        <v>502</v>
      </c>
      <c r="E5629" t="s">
        <v>520</v>
      </c>
      <c r="F5629" s="188" t="n">
        <v>2035</v>
      </c>
      <c r="G5629" s="189" t="n">
        <v>57</v>
      </c>
      <c r="H5629" s="190" t="n">
        <v>15943.1885987161</v>
      </c>
      <c r="I5629" s="191" t="n">
        <v>3694293.64720113</v>
      </c>
      <c r="J5629" s="192" t="str">
        <f>IF(I5629&gt;0,H5629/I5629,0)</f>
      </c>
      <c r="K5629" s="193" t="str">
        <f>1-EXP(-J5629)</f>
      </c>
      <c r="L5629" s="194" t="str">
        <f>IF(G5629=30,1,M5628)</f>
      </c>
      <c r="M5629" s="195" t="str">
        <f>L5629*(1-K5629)</f>
      </c>
    </row>
    <row r="5630">
      <c r="A5630" t="s">
        <v>167</v>
      </c>
      <c r="B5630" t="s">
        <v>116</v>
      </c>
      <c r="C5630" s="35" t="s">
        <v>422</v>
      </c>
      <c r="D5630" t="s">
        <v>502</v>
      </c>
      <c r="E5630" t="s">
        <v>520</v>
      </c>
      <c r="F5630" s="188" t="n">
        <v>2035</v>
      </c>
      <c r="G5630" s="189" t="n">
        <v>58</v>
      </c>
      <c r="H5630" s="190" t="n">
        <v>17106.181625494</v>
      </c>
      <c r="I5630" s="191" t="n">
        <v>3615458.30155177</v>
      </c>
      <c r="J5630" s="192" t="str">
        <f>IF(I5630&gt;0,H5630/I5630,0)</f>
      </c>
      <c r="K5630" s="193" t="str">
        <f>1-EXP(-J5630)</f>
      </c>
      <c r="L5630" s="194" t="str">
        <f>IF(G5630=30,1,M5629)</f>
      </c>
      <c r="M5630" s="195" t="str">
        <f>L5630*(1-K5630)</f>
      </c>
    </row>
    <row r="5631">
      <c r="A5631" t="s">
        <v>167</v>
      </c>
      <c r="B5631" t="s">
        <v>116</v>
      </c>
      <c r="C5631" s="35" t="s">
        <v>422</v>
      </c>
      <c r="D5631" t="s">
        <v>502</v>
      </c>
      <c r="E5631" t="s">
        <v>520</v>
      </c>
      <c r="F5631" s="188" t="n">
        <v>2035</v>
      </c>
      <c r="G5631" s="189" t="n">
        <v>59</v>
      </c>
      <c r="H5631" s="190" t="n">
        <v>18271.9071632429</v>
      </c>
      <c r="I5631" s="191" t="n">
        <v>3524689.0174766</v>
      </c>
      <c r="J5631" s="192" t="str">
        <f>IF(I5631&gt;0,H5631/I5631,0)</f>
      </c>
      <c r="K5631" s="193" t="str">
        <f>1-EXP(-J5631)</f>
      </c>
      <c r="L5631" s="194" t="str">
        <f>IF(G5631=30,1,M5630)</f>
      </c>
      <c r="M5631" s="195" t="str">
        <f>L5631*(1-K5631)</f>
      </c>
    </row>
    <row r="5632">
      <c r="A5632" t="s">
        <v>167</v>
      </c>
      <c r="B5632" t="s">
        <v>116</v>
      </c>
      <c r="C5632" s="35" t="s">
        <v>422</v>
      </c>
      <c r="D5632" t="s">
        <v>502</v>
      </c>
      <c r="E5632" t="s">
        <v>520</v>
      </c>
      <c r="F5632" s="188" t="n">
        <v>2035</v>
      </c>
      <c r="G5632" s="189" t="n">
        <v>60</v>
      </c>
      <c r="H5632" s="190" t="n">
        <v>19624.3571285223</v>
      </c>
      <c r="I5632" s="191" t="n">
        <v>3432400.34743108</v>
      </c>
      <c r="J5632" s="192" t="str">
        <f>IF(I5632&gt;0,H5632/I5632,0)</f>
      </c>
      <c r="K5632" s="193" t="str">
        <f>1-EXP(-J5632)</f>
      </c>
      <c r="L5632" s="194" t="str">
        <f>IF(G5632=30,1,M5631)</f>
      </c>
      <c r="M5632" s="195" t="str">
        <f>L5632*(1-K5632)</f>
      </c>
    </row>
    <row r="5633">
      <c r="A5633" t="s">
        <v>167</v>
      </c>
      <c r="B5633" t="s">
        <v>116</v>
      </c>
      <c r="C5633" s="35" t="s">
        <v>422</v>
      </c>
      <c r="D5633" t="s">
        <v>502</v>
      </c>
      <c r="E5633" t="s">
        <v>520</v>
      </c>
      <c r="F5633" s="188" t="n">
        <v>2035</v>
      </c>
      <c r="G5633" s="189" t="n">
        <v>61</v>
      </c>
      <c r="H5633" s="190" t="n">
        <v>21025.9416329988</v>
      </c>
      <c r="I5633" s="191" t="n">
        <v>3313087.18926844</v>
      </c>
      <c r="J5633" s="192" t="str">
        <f>IF(I5633&gt;0,H5633/I5633,0)</f>
      </c>
      <c r="K5633" s="193" t="str">
        <f>1-EXP(-J5633)</f>
      </c>
      <c r="L5633" s="194" t="str">
        <f>IF(G5633=30,1,M5632)</f>
      </c>
      <c r="M5633" s="195" t="str">
        <f>L5633*(1-K5633)</f>
      </c>
    </row>
    <row r="5634">
      <c r="A5634" t="s">
        <v>167</v>
      </c>
      <c r="B5634" t="s">
        <v>116</v>
      </c>
      <c r="C5634" s="35" t="s">
        <v>422</v>
      </c>
      <c r="D5634" t="s">
        <v>502</v>
      </c>
      <c r="E5634" t="s">
        <v>520</v>
      </c>
      <c r="F5634" s="188" t="n">
        <v>2035</v>
      </c>
      <c r="G5634" s="189" t="n">
        <v>62</v>
      </c>
      <c r="H5634" s="190" t="n">
        <v>22583.1433424495</v>
      </c>
      <c r="I5634" s="191" t="n">
        <v>3249104.64071598</v>
      </c>
      <c r="J5634" s="192" t="str">
        <f>IF(I5634&gt;0,H5634/I5634,0)</f>
      </c>
      <c r="K5634" s="193" t="str">
        <f>1-EXP(-J5634)</f>
      </c>
      <c r="L5634" s="194" t="str">
        <f>IF(G5634=30,1,M5633)</f>
      </c>
      <c r="M5634" s="195" t="str">
        <f>L5634*(1-K5634)</f>
      </c>
    </row>
    <row r="5635">
      <c r="A5635" t="s">
        <v>167</v>
      </c>
      <c r="B5635" t="s">
        <v>116</v>
      </c>
      <c r="C5635" s="35" t="s">
        <v>422</v>
      </c>
      <c r="D5635" t="s">
        <v>502</v>
      </c>
      <c r="E5635" t="s">
        <v>520</v>
      </c>
      <c r="F5635" s="188" t="n">
        <v>2035</v>
      </c>
      <c r="G5635" s="189" t="n">
        <v>63</v>
      </c>
      <c r="H5635" s="190" t="n">
        <v>23126.4680577062</v>
      </c>
      <c r="I5635" s="191" t="n">
        <v>3032597.33058927</v>
      </c>
      <c r="J5635" s="192" t="str">
        <f>IF(I5635&gt;0,H5635/I5635,0)</f>
      </c>
      <c r="K5635" s="193" t="str">
        <f>1-EXP(-J5635)</f>
      </c>
      <c r="L5635" s="194" t="str">
        <f>IF(G5635=30,1,M5634)</f>
      </c>
      <c r="M5635" s="195" t="str">
        <f>L5635*(1-K5635)</f>
      </c>
    </row>
    <row r="5636">
      <c r="A5636" t="s">
        <v>167</v>
      </c>
      <c r="B5636" t="s">
        <v>116</v>
      </c>
      <c r="C5636" s="35" t="s">
        <v>422</v>
      </c>
      <c r="D5636" t="s">
        <v>502</v>
      </c>
      <c r="E5636" t="s">
        <v>520</v>
      </c>
      <c r="F5636" s="188" t="n">
        <v>2035</v>
      </c>
      <c r="G5636" s="189" t="n">
        <v>64</v>
      </c>
      <c r="H5636" s="190" t="n">
        <v>24478.903145955</v>
      </c>
      <c r="I5636" s="191" t="n">
        <v>2928230.664568</v>
      </c>
      <c r="J5636" s="192" t="str">
        <f>IF(I5636&gt;0,H5636/I5636,0)</f>
      </c>
      <c r="K5636" s="193" t="str">
        <f>1-EXP(-J5636)</f>
      </c>
      <c r="L5636" s="194" t="str">
        <f>IF(G5636=30,1,M5635)</f>
      </c>
      <c r="M5636" s="195" t="str">
        <f>L5636*(1-K5636)</f>
      </c>
    </row>
    <row r="5637">
      <c r="A5637" t="s">
        <v>167</v>
      </c>
      <c r="B5637" t="s">
        <v>116</v>
      </c>
      <c r="C5637" s="35" t="s">
        <v>422</v>
      </c>
      <c r="D5637" t="s">
        <v>502</v>
      </c>
      <c r="E5637" t="s">
        <v>520</v>
      </c>
      <c r="F5637" s="188" t="n">
        <v>2035</v>
      </c>
      <c r="G5637" s="189" t="n">
        <v>65</v>
      </c>
      <c r="H5637" s="190" t="n">
        <v>24998.833244688</v>
      </c>
      <c r="I5637" s="191" t="n">
        <v>2827026.19340926</v>
      </c>
      <c r="J5637" s="192" t="str">
        <f>IF(I5637&gt;0,H5637/I5637,0)</f>
      </c>
      <c r="K5637" s="193" t="str">
        <f>1-EXP(-J5637)</f>
      </c>
      <c r="L5637" s="194" t="str">
        <f>IF(G5637=30,1,M5636)</f>
      </c>
      <c r="M5637" s="195" t="str">
        <f>L5637*(1-K5637)</f>
      </c>
    </row>
    <row r="5638">
      <c r="A5638" t="s">
        <v>167</v>
      </c>
      <c r="B5638" t="s">
        <v>116</v>
      </c>
      <c r="C5638" s="35" t="s">
        <v>422</v>
      </c>
      <c r="D5638" t="s">
        <v>502</v>
      </c>
      <c r="E5638" t="s">
        <v>520</v>
      </c>
      <c r="F5638" s="188" t="n">
        <v>2035</v>
      </c>
      <c r="G5638" s="189" t="n">
        <v>66</v>
      </c>
      <c r="H5638" s="190" t="n">
        <v>26309.3617130725</v>
      </c>
      <c r="I5638" s="191" t="n">
        <v>2717051.63227233</v>
      </c>
      <c r="J5638" s="192" t="str">
        <f>IF(I5638&gt;0,H5638/I5638,0)</f>
      </c>
      <c r="K5638" s="193" t="str">
        <f>1-EXP(-J5638)</f>
      </c>
      <c r="L5638" s="194" t="str">
        <f>IF(G5638=30,1,M5637)</f>
      </c>
      <c r="M5638" s="195" t="str">
        <f>L5638*(1-K5638)</f>
      </c>
    </row>
    <row r="5639">
      <c r="A5639" t="s">
        <v>167</v>
      </c>
      <c r="B5639" t="s">
        <v>116</v>
      </c>
      <c r="C5639" s="35" t="s">
        <v>422</v>
      </c>
      <c r="D5639" t="s">
        <v>502</v>
      </c>
      <c r="E5639" t="s">
        <v>520</v>
      </c>
      <c r="F5639" s="188" t="n">
        <v>2035</v>
      </c>
      <c r="G5639" s="189" t="n">
        <v>67</v>
      </c>
      <c r="H5639" s="190" t="n">
        <v>27521.3332836492</v>
      </c>
      <c r="I5639" s="191" t="n">
        <v>2588570.12186667</v>
      </c>
      <c r="J5639" s="192" t="str">
        <f>IF(I5639&gt;0,H5639/I5639,0)</f>
      </c>
      <c r="K5639" s="193" t="str">
        <f>1-EXP(-J5639)</f>
      </c>
      <c r="L5639" s="194" t="str">
        <f>IF(G5639=30,1,M5638)</f>
      </c>
      <c r="M5639" s="195" t="str">
        <f>L5639*(1-K5639)</f>
      </c>
    </row>
    <row r="5640">
      <c r="A5640" t="s">
        <v>167</v>
      </c>
      <c r="B5640" t="s">
        <v>116</v>
      </c>
      <c r="C5640" s="35" t="s">
        <v>422</v>
      </c>
      <c r="D5640" t="s">
        <v>502</v>
      </c>
      <c r="E5640" t="s">
        <v>520</v>
      </c>
      <c r="F5640" s="188" t="n">
        <v>2035</v>
      </c>
      <c r="G5640" s="189" t="n">
        <v>68</v>
      </c>
      <c r="H5640" s="190" t="n">
        <v>28441.7429643734</v>
      </c>
      <c r="I5640" s="191" t="n">
        <v>2432322.1079426</v>
      </c>
      <c r="J5640" s="192" t="str">
        <f>IF(I5640&gt;0,H5640/I5640,0)</f>
      </c>
      <c r="K5640" s="193" t="str">
        <f>1-EXP(-J5640)</f>
      </c>
      <c r="L5640" s="194" t="str">
        <f>IF(G5640=30,1,M5639)</f>
      </c>
      <c r="M5640" s="195" t="str">
        <f>L5640*(1-K5640)</f>
      </c>
    </row>
    <row r="5641">
      <c r="A5641" t="s">
        <v>167</v>
      </c>
      <c r="B5641" t="s">
        <v>116</v>
      </c>
      <c r="C5641" s="35" t="s">
        <v>422</v>
      </c>
      <c r="D5641" t="s">
        <v>502</v>
      </c>
      <c r="E5641" t="s">
        <v>520</v>
      </c>
      <c r="F5641" s="188" t="n">
        <v>2035</v>
      </c>
      <c r="G5641" s="189" t="n">
        <v>69</v>
      </c>
      <c r="H5641" s="190" t="n">
        <v>29688.6734957198</v>
      </c>
      <c r="I5641" s="191" t="n">
        <v>2308369.89155244</v>
      </c>
      <c r="J5641" s="192" t="str">
        <f>IF(I5641&gt;0,H5641/I5641,0)</f>
      </c>
      <c r="K5641" s="193" t="str">
        <f>1-EXP(-J5641)</f>
      </c>
      <c r="L5641" s="194" t="str">
        <f>IF(G5641=30,1,M5640)</f>
      </c>
      <c r="M5641" s="195" t="str">
        <f>L5641*(1-K5641)</f>
      </c>
    </row>
    <row r="5642">
      <c r="A5642" t="s">
        <v>167</v>
      </c>
      <c r="B5642" t="s">
        <v>116</v>
      </c>
      <c r="C5642" s="35" t="s">
        <v>422</v>
      </c>
      <c r="D5642" t="s">
        <v>502</v>
      </c>
      <c r="E5642" t="s">
        <v>520</v>
      </c>
      <c r="F5642" s="188" t="n">
        <v>2036</v>
      </c>
      <c r="G5642" s="189" t="n">
        <v>30</v>
      </c>
      <c r="H5642" s="190" t="n">
        <v>754.548170238802</v>
      </c>
      <c r="I5642" s="191" t="n">
        <v>4608357.39723189</v>
      </c>
      <c r="J5642" s="192" t="str">
        <f>IF(I5642&gt;0,H5642/I5642,0)</f>
      </c>
      <c r="K5642" s="193" t="str">
        <f>1-EXP(-J5642)</f>
      </c>
      <c r="L5642" s="194" t="str">
        <f>IF(G5642=30,1,M5641)</f>
      </c>
      <c r="M5642" s="195" t="str">
        <f>L5642*(1-K5642)</f>
      </c>
    </row>
    <row r="5643">
      <c r="A5643" t="s">
        <v>167</v>
      </c>
      <c r="B5643" t="s">
        <v>116</v>
      </c>
      <c r="C5643" s="35" t="s">
        <v>422</v>
      </c>
      <c r="D5643" t="s">
        <v>502</v>
      </c>
      <c r="E5643" t="s">
        <v>520</v>
      </c>
      <c r="F5643" s="188" t="n">
        <v>2036</v>
      </c>
      <c r="G5643" s="189" t="n">
        <v>31</v>
      </c>
      <c r="H5643" s="190" t="n">
        <v>928.724854934997</v>
      </c>
      <c r="I5643" s="191" t="n">
        <v>4547434.45531849</v>
      </c>
      <c r="J5643" s="192" t="str">
        <f>IF(I5643&gt;0,H5643/I5643,0)</f>
      </c>
      <c r="K5643" s="193" t="str">
        <f>1-EXP(-J5643)</f>
      </c>
      <c r="L5643" s="194" t="str">
        <f>IF(G5643=30,1,M5642)</f>
      </c>
      <c r="M5643" s="195" t="str">
        <f>L5643*(1-K5643)</f>
      </c>
    </row>
    <row r="5644">
      <c r="A5644" t="s">
        <v>167</v>
      </c>
      <c r="B5644" t="s">
        <v>116</v>
      </c>
      <c r="C5644" s="35" t="s">
        <v>422</v>
      </c>
      <c r="D5644" t="s">
        <v>502</v>
      </c>
      <c r="E5644" t="s">
        <v>520</v>
      </c>
      <c r="F5644" s="188" t="n">
        <v>2036</v>
      </c>
      <c r="G5644" s="189" t="n">
        <v>32</v>
      </c>
      <c r="H5644" s="190" t="n">
        <v>953.311669296022</v>
      </c>
      <c r="I5644" s="191" t="n">
        <v>4418989.04211681</v>
      </c>
      <c r="J5644" s="192" t="str">
        <f>IF(I5644&gt;0,H5644/I5644,0)</f>
      </c>
      <c r="K5644" s="193" t="str">
        <f>1-EXP(-J5644)</f>
      </c>
      <c r="L5644" s="194" t="str">
        <f>IF(G5644=30,1,M5643)</f>
      </c>
      <c r="M5644" s="195" t="str">
        <f>L5644*(1-K5644)</f>
      </c>
    </row>
    <row r="5645">
      <c r="A5645" t="s">
        <v>167</v>
      </c>
      <c r="B5645" t="s">
        <v>116</v>
      </c>
      <c r="C5645" s="35" t="s">
        <v>422</v>
      </c>
      <c r="D5645" t="s">
        <v>502</v>
      </c>
      <c r="E5645" t="s">
        <v>520</v>
      </c>
      <c r="F5645" s="188" t="n">
        <v>2036</v>
      </c>
      <c r="G5645" s="189" t="n">
        <v>33</v>
      </c>
      <c r="H5645" s="190" t="n">
        <v>998.205889602037</v>
      </c>
      <c r="I5645" s="191" t="n">
        <v>4353668.82435073</v>
      </c>
      <c r="J5645" s="192" t="str">
        <f>IF(I5645&gt;0,H5645/I5645,0)</f>
      </c>
      <c r="K5645" s="193" t="str">
        <f>1-EXP(-J5645)</f>
      </c>
      <c r="L5645" s="194" t="str">
        <f>IF(G5645=30,1,M5644)</f>
      </c>
      <c r="M5645" s="195" t="str">
        <f>L5645*(1-K5645)</f>
      </c>
    </row>
    <row r="5646">
      <c r="A5646" t="s">
        <v>167</v>
      </c>
      <c r="B5646" t="s">
        <v>116</v>
      </c>
      <c r="C5646" s="35" t="s">
        <v>422</v>
      </c>
      <c r="D5646" t="s">
        <v>502</v>
      </c>
      <c r="E5646" t="s">
        <v>520</v>
      </c>
      <c r="F5646" s="188" t="n">
        <v>2036</v>
      </c>
      <c r="G5646" s="189" t="n">
        <v>34</v>
      </c>
      <c r="H5646" s="190" t="n">
        <v>1206.33805163413</v>
      </c>
      <c r="I5646" s="191" t="n">
        <v>4332230.49759405</v>
      </c>
      <c r="J5646" s="192" t="str">
        <f>IF(I5646&gt;0,H5646/I5646,0)</f>
      </c>
      <c r="K5646" s="193" t="str">
        <f>1-EXP(-J5646)</f>
      </c>
      <c r="L5646" s="194" t="str">
        <f>IF(G5646=30,1,M5645)</f>
      </c>
      <c r="M5646" s="195" t="str">
        <f>L5646*(1-K5646)</f>
      </c>
    </row>
    <row r="5647">
      <c r="A5647" t="s">
        <v>167</v>
      </c>
      <c r="B5647" t="s">
        <v>116</v>
      </c>
      <c r="C5647" s="35" t="s">
        <v>422</v>
      </c>
      <c r="D5647" t="s">
        <v>502</v>
      </c>
      <c r="E5647" t="s">
        <v>520</v>
      </c>
      <c r="F5647" s="188" t="n">
        <v>2036</v>
      </c>
      <c r="G5647" s="189" t="n">
        <v>35</v>
      </c>
      <c r="H5647" s="190" t="n">
        <v>1613.14009641076</v>
      </c>
      <c r="I5647" s="191" t="n">
        <v>4311985.34165124</v>
      </c>
      <c r="J5647" s="192" t="str">
        <f>IF(I5647&gt;0,H5647/I5647,0)</f>
      </c>
      <c r="K5647" s="193" t="str">
        <f>1-EXP(-J5647)</f>
      </c>
      <c r="L5647" s="194" t="str">
        <f>IF(G5647=30,1,M5646)</f>
      </c>
      <c r="M5647" s="195" t="str">
        <f>L5647*(1-K5647)</f>
      </c>
    </row>
    <row r="5648">
      <c r="A5648" t="s">
        <v>167</v>
      </c>
      <c r="B5648" t="s">
        <v>116</v>
      </c>
      <c r="C5648" s="35" t="s">
        <v>422</v>
      </c>
      <c r="D5648" t="s">
        <v>502</v>
      </c>
      <c r="E5648" t="s">
        <v>520</v>
      </c>
      <c r="F5648" s="188" t="n">
        <v>2036</v>
      </c>
      <c r="G5648" s="189" t="n">
        <v>36</v>
      </c>
      <c r="H5648" s="190" t="n">
        <v>1785.52469105741</v>
      </c>
      <c r="I5648" s="191" t="n">
        <v>4290990.52848645</v>
      </c>
      <c r="J5648" s="192" t="str">
        <f>IF(I5648&gt;0,H5648/I5648,0)</f>
      </c>
      <c r="K5648" s="193" t="str">
        <f>1-EXP(-J5648)</f>
      </c>
      <c r="L5648" s="194" t="str">
        <f>IF(G5648=30,1,M5647)</f>
      </c>
      <c r="M5648" s="195" t="str">
        <f>L5648*(1-K5648)</f>
      </c>
    </row>
    <row r="5649">
      <c r="A5649" t="s">
        <v>167</v>
      </c>
      <c r="B5649" t="s">
        <v>116</v>
      </c>
      <c r="C5649" s="35" t="s">
        <v>422</v>
      </c>
      <c r="D5649" t="s">
        <v>502</v>
      </c>
      <c r="E5649" t="s">
        <v>520</v>
      </c>
      <c r="F5649" s="188" t="n">
        <v>2036</v>
      </c>
      <c r="G5649" s="189" t="n">
        <v>37</v>
      </c>
      <c r="H5649" s="190" t="n">
        <v>1932.0696369497</v>
      </c>
      <c r="I5649" s="191" t="n">
        <v>4309748.3252416</v>
      </c>
      <c r="J5649" s="192" t="str">
        <f>IF(I5649&gt;0,H5649/I5649,0)</f>
      </c>
      <c r="K5649" s="193" t="str">
        <f>1-EXP(-J5649)</f>
      </c>
      <c r="L5649" s="194" t="str">
        <f>IF(G5649=30,1,M5648)</f>
      </c>
      <c r="M5649" s="195" t="str">
        <f>L5649*(1-K5649)</f>
      </c>
    </row>
    <row r="5650">
      <c r="A5650" t="s">
        <v>167</v>
      </c>
      <c r="B5650" t="s">
        <v>116</v>
      </c>
      <c r="C5650" s="35" t="s">
        <v>422</v>
      </c>
      <c r="D5650" t="s">
        <v>502</v>
      </c>
      <c r="E5650" t="s">
        <v>520</v>
      </c>
      <c r="F5650" s="188" t="n">
        <v>2036</v>
      </c>
      <c r="G5650" s="189" t="n">
        <v>38</v>
      </c>
      <c r="H5650" s="190" t="n">
        <v>2115.11593635256</v>
      </c>
      <c r="I5650" s="191" t="n">
        <v>4367290.07075076</v>
      </c>
      <c r="J5650" s="192" t="str">
        <f>IF(I5650&gt;0,H5650/I5650,0)</f>
      </c>
      <c r="K5650" s="193" t="str">
        <f>1-EXP(-J5650)</f>
      </c>
      <c r="L5650" s="194" t="str">
        <f>IF(G5650=30,1,M5649)</f>
      </c>
      <c r="M5650" s="195" t="str">
        <f>L5650*(1-K5650)</f>
      </c>
    </row>
    <row r="5651">
      <c r="A5651" t="s">
        <v>167</v>
      </c>
      <c r="B5651" t="s">
        <v>116</v>
      </c>
      <c r="C5651" s="35" t="s">
        <v>422</v>
      </c>
      <c r="D5651" t="s">
        <v>502</v>
      </c>
      <c r="E5651" t="s">
        <v>520</v>
      </c>
      <c r="F5651" s="188" t="n">
        <v>2036</v>
      </c>
      <c r="G5651" s="189" t="n">
        <v>39</v>
      </c>
      <c r="H5651" s="190" t="n">
        <v>2562.73845535321</v>
      </c>
      <c r="I5651" s="191" t="n">
        <v>4503003.6296157</v>
      </c>
      <c r="J5651" s="192" t="str">
        <f>IF(I5651&gt;0,H5651/I5651,0)</f>
      </c>
      <c r="K5651" s="193" t="str">
        <f>1-EXP(-J5651)</f>
      </c>
      <c r="L5651" s="194" t="str">
        <f>IF(G5651=30,1,M5650)</f>
      </c>
      <c r="M5651" s="195" t="str">
        <f>L5651*(1-K5651)</f>
      </c>
    </row>
    <row r="5652">
      <c r="A5652" t="s">
        <v>167</v>
      </c>
      <c r="B5652" t="s">
        <v>116</v>
      </c>
      <c r="C5652" s="35" t="s">
        <v>422</v>
      </c>
      <c r="D5652" t="s">
        <v>502</v>
      </c>
      <c r="E5652" t="s">
        <v>520</v>
      </c>
      <c r="F5652" s="188" t="n">
        <v>2036</v>
      </c>
      <c r="G5652" s="189" t="n">
        <v>40</v>
      </c>
      <c r="H5652" s="190" t="n">
        <v>3402.88574122948</v>
      </c>
      <c r="I5652" s="191" t="n">
        <v>4457621.37058752</v>
      </c>
      <c r="J5652" s="192" t="str">
        <f>IF(I5652&gt;0,H5652/I5652,0)</f>
      </c>
      <c r="K5652" s="193" t="str">
        <f>1-EXP(-J5652)</f>
      </c>
      <c r="L5652" s="194" t="str">
        <f>IF(G5652=30,1,M5651)</f>
      </c>
      <c r="M5652" s="195" t="str">
        <f>L5652*(1-K5652)</f>
      </c>
    </row>
    <row r="5653">
      <c r="A5653" t="s">
        <v>167</v>
      </c>
      <c r="B5653" t="s">
        <v>116</v>
      </c>
      <c r="C5653" s="35" t="s">
        <v>422</v>
      </c>
      <c r="D5653" t="s">
        <v>502</v>
      </c>
      <c r="E5653" t="s">
        <v>520</v>
      </c>
      <c r="F5653" s="188" t="n">
        <v>2036</v>
      </c>
      <c r="G5653" s="189" t="n">
        <v>41</v>
      </c>
      <c r="H5653" s="190" t="n">
        <v>3587.96765236418</v>
      </c>
      <c r="I5653" s="191" t="n">
        <v>4381304.77949219</v>
      </c>
      <c r="J5653" s="192" t="str">
        <f>IF(I5653&gt;0,H5653/I5653,0)</f>
      </c>
      <c r="K5653" s="193" t="str">
        <f>1-EXP(-J5653)</f>
      </c>
      <c r="L5653" s="194" t="str">
        <f>IF(G5653=30,1,M5652)</f>
      </c>
      <c r="M5653" s="195" t="str">
        <f>L5653*(1-K5653)</f>
      </c>
    </row>
    <row r="5654">
      <c r="A5654" t="s">
        <v>167</v>
      </c>
      <c r="B5654" t="s">
        <v>116</v>
      </c>
      <c r="C5654" s="35" t="s">
        <v>422</v>
      </c>
      <c r="D5654" t="s">
        <v>502</v>
      </c>
      <c r="E5654" t="s">
        <v>520</v>
      </c>
      <c r="F5654" s="188" t="n">
        <v>2036</v>
      </c>
      <c r="G5654" s="189" t="n">
        <v>42</v>
      </c>
      <c r="H5654" s="190" t="n">
        <v>3843.93336446051</v>
      </c>
      <c r="I5654" s="191" t="n">
        <v>4321047.96186871</v>
      </c>
      <c r="J5654" s="192" t="str">
        <f>IF(I5654&gt;0,H5654/I5654,0)</f>
      </c>
      <c r="K5654" s="193" t="str">
        <f>1-EXP(-J5654)</f>
      </c>
      <c r="L5654" s="194" t="str">
        <f>IF(G5654=30,1,M5653)</f>
      </c>
      <c r="M5654" s="195" t="str">
        <f>L5654*(1-K5654)</f>
      </c>
    </row>
    <row r="5655">
      <c r="A5655" t="s">
        <v>167</v>
      </c>
      <c r="B5655" t="s">
        <v>116</v>
      </c>
      <c r="C5655" s="35" t="s">
        <v>422</v>
      </c>
      <c r="D5655" t="s">
        <v>502</v>
      </c>
      <c r="E5655" t="s">
        <v>520</v>
      </c>
      <c r="F5655" s="188" t="n">
        <v>2036</v>
      </c>
      <c r="G5655" s="189" t="n">
        <v>43</v>
      </c>
      <c r="H5655" s="190" t="n">
        <v>4132.42192553167</v>
      </c>
      <c r="I5655" s="191" t="n">
        <v>4264010.25706103</v>
      </c>
      <c r="J5655" s="192" t="str">
        <f>IF(I5655&gt;0,H5655/I5655,0)</f>
      </c>
      <c r="K5655" s="193" t="str">
        <f>1-EXP(-J5655)</f>
      </c>
      <c r="L5655" s="194" t="str">
        <f>IF(G5655=30,1,M5654)</f>
      </c>
      <c r="M5655" s="195" t="str">
        <f>L5655*(1-K5655)</f>
      </c>
    </row>
    <row r="5656">
      <c r="A5656" t="s">
        <v>167</v>
      </c>
      <c r="B5656" t="s">
        <v>116</v>
      </c>
      <c r="C5656" s="35" t="s">
        <v>422</v>
      </c>
      <c r="D5656" t="s">
        <v>502</v>
      </c>
      <c r="E5656" t="s">
        <v>520</v>
      </c>
      <c r="F5656" s="188" t="n">
        <v>2036</v>
      </c>
      <c r="G5656" s="189" t="n">
        <v>44</v>
      </c>
      <c r="H5656" s="190" t="n">
        <v>4544.57513034305</v>
      </c>
      <c r="I5656" s="191" t="n">
        <v>4296720.65473923</v>
      </c>
      <c r="J5656" s="192" t="str">
        <f>IF(I5656&gt;0,H5656/I5656,0)</f>
      </c>
      <c r="K5656" s="193" t="str">
        <f>1-EXP(-J5656)</f>
      </c>
      <c r="L5656" s="194" t="str">
        <f>IF(G5656=30,1,M5655)</f>
      </c>
      <c r="M5656" s="195" t="str">
        <f>L5656*(1-K5656)</f>
      </c>
    </row>
    <row r="5657">
      <c r="A5657" t="s">
        <v>167</v>
      </c>
      <c r="B5657" t="s">
        <v>116</v>
      </c>
      <c r="C5657" s="35" t="s">
        <v>422</v>
      </c>
      <c r="D5657" t="s">
        <v>502</v>
      </c>
      <c r="E5657" t="s">
        <v>520</v>
      </c>
      <c r="F5657" s="188" t="n">
        <v>2036</v>
      </c>
      <c r="G5657" s="189" t="n">
        <v>45</v>
      </c>
      <c r="H5657" s="190" t="n">
        <v>5883.62909401153</v>
      </c>
      <c r="I5657" s="191" t="n">
        <v>4309354.90434105</v>
      </c>
      <c r="J5657" s="192" t="str">
        <f>IF(I5657&gt;0,H5657/I5657,0)</f>
      </c>
      <c r="K5657" s="193" t="str">
        <f>1-EXP(-J5657)</f>
      </c>
      <c r="L5657" s="194" t="str">
        <f>IF(G5657=30,1,M5656)</f>
      </c>
      <c r="M5657" s="195" t="str">
        <f>L5657*(1-K5657)</f>
      </c>
    </row>
    <row r="5658">
      <c r="A5658" t="s">
        <v>167</v>
      </c>
      <c r="B5658" t="s">
        <v>116</v>
      </c>
      <c r="C5658" s="35" t="s">
        <v>422</v>
      </c>
      <c r="D5658" t="s">
        <v>502</v>
      </c>
      <c r="E5658" t="s">
        <v>520</v>
      </c>
      <c r="F5658" s="188" t="n">
        <v>2036</v>
      </c>
      <c r="G5658" s="189" t="n">
        <v>46</v>
      </c>
      <c r="H5658" s="190" t="n">
        <v>8725.75469702415</v>
      </c>
      <c r="I5658" s="191" t="n">
        <v>6340728.89804281</v>
      </c>
      <c r="J5658" s="192" t="str">
        <f>IF(I5658&gt;0,H5658/I5658,0)</f>
      </c>
      <c r="K5658" s="193" t="str">
        <f>1-EXP(-J5658)</f>
      </c>
      <c r="L5658" s="194" t="str">
        <f>IF(G5658=30,1,M5657)</f>
      </c>
      <c r="M5658" s="195" t="str">
        <f>L5658*(1-K5658)</f>
      </c>
    </row>
    <row r="5659">
      <c r="A5659" t="s">
        <v>167</v>
      </c>
      <c r="B5659" t="s">
        <v>116</v>
      </c>
      <c r="C5659" s="35" t="s">
        <v>422</v>
      </c>
      <c r="D5659" t="s">
        <v>502</v>
      </c>
      <c r="E5659" t="s">
        <v>520</v>
      </c>
      <c r="F5659" s="188" t="n">
        <v>2036</v>
      </c>
      <c r="G5659" s="189" t="n">
        <v>47</v>
      </c>
      <c r="H5659" s="190" t="n">
        <v>6939.93400526107</v>
      </c>
      <c r="I5659" s="191" t="n">
        <v>4255539.26861741</v>
      </c>
      <c r="J5659" s="192" t="str">
        <f>IF(I5659&gt;0,H5659/I5659,0)</f>
      </c>
      <c r="K5659" s="193" t="str">
        <f>1-EXP(-J5659)</f>
      </c>
      <c r="L5659" s="194" t="str">
        <f>IF(G5659=30,1,M5658)</f>
      </c>
      <c r="M5659" s="195" t="str">
        <f>L5659*(1-K5659)</f>
      </c>
    </row>
    <row r="5660">
      <c r="A5660" t="s">
        <v>167</v>
      </c>
      <c r="B5660" t="s">
        <v>116</v>
      </c>
      <c r="C5660" s="35" t="s">
        <v>422</v>
      </c>
      <c r="D5660" t="s">
        <v>502</v>
      </c>
      <c r="E5660" t="s">
        <v>520</v>
      </c>
      <c r="F5660" s="188" t="n">
        <v>2036</v>
      </c>
      <c r="G5660" s="189" t="n">
        <v>48</v>
      </c>
      <c r="H5660" s="190" t="n">
        <v>7582.81670366827</v>
      </c>
      <c r="I5660" s="191" t="n">
        <v>4231984.58396197</v>
      </c>
      <c r="J5660" s="192" t="str">
        <f>IF(I5660&gt;0,H5660/I5660,0)</f>
      </c>
      <c r="K5660" s="193" t="str">
        <f>1-EXP(-J5660)</f>
      </c>
      <c r="L5660" s="194" t="str">
        <f>IF(G5660=30,1,M5659)</f>
      </c>
      <c r="M5660" s="195" t="str">
        <f>L5660*(1-K5660)</f>
      </c>
    </row>
    <row r="5661">
      <c r="A5661" t="s">
        <v>167</v>
      </c>
      <c r="B5661" t="s">
        <v>116</v>
      </c>
      <c r="C5661" s="35" t="s">
        <v>422</v>
      </c>
      <c r="D5661" t="s">
        <v>502</v>
      </c>
      <c r="E5661" t="s">
        <v>520</v>
      </c>
      <c r="F5661" s="188" t="n">
        <v>2036</v>
      </c>
      <c r="G5661" s="189" t="n">
        <v>49</v>
      </c>
      <c r="H5661" s="190" t="n">
        <v>8063.66669181178</v>
      </c>
      <c r="I5661" s="191" t="n">
        <v>4094582.05739587</v>
      </c>
      <c r="J5661" s="192" t="str">
        <f>IF(I5661&gt;0,H5661/I5661,0)</f>
      </c>
      <c r="K5661" s="193" t="str">
        <f>1-EXP(-J5661)</f>
      </c>
      <c r="L5661" s="194" t="str">
        <f>IF(G5661=30,1,M5660)</f>
      </c>
      <c r="M5661" s="195" t="str">
        <f>L5661*(1-K5661)</f>
      </c>
    </row>
    <row r="5662">
      <c r="A5662" t="s">
        <v>167</v>
      </c>
      <c r="B5662" t="s">
        <v>116</v>
      </c>
      <c r="C5662" s="35" t="s">
        <v>422</v>
      </c>
      <c r="D5662" t="s">
        <v>502</v>
      </c>
      <c r="E5662" t="s">
        <v>520</v>
      </c>
      <c r="F5662" s="188" t="n">
        <v>2036</v>
      </c>
      <c r="G5662" s="189" t="n">
        <v>50</v>
      </c>
      <c r="H5662" s="190" t="n">
        <v>9243.00958267762</v>
      </c>
      <c r="I5662" s="191" t="n">
        <v>4052160.18081385</v>
      </c>
      <c r="J5662" s="192" t="str">
        <f>IF(I5662&gt;0,H5662/I5662,0)</f>
      </c>
      <c r="K5662" s="193" t="str">
        <f>1-EXP(-J5662)</f>
      </c>
      <c r="L5662" s="194" t="str">
        <f>IF(G5662=30,1,M5661)</f>
      </c>
      <c r="M5662" s="195" t="str">
        <f>L5662*(1-K5662)</f>
      </c>
    </row>
    <row r="5663">
      <c r="A5663" t="s">
        <v>167</v>
      </c>
      <c r="B5663" t="s">
        <v>116</v>
      </c>
      <c r="C5663" s="35" t="s">
        <v>422</v>
      </c>
      <c r="D5663" t="s">
        <v>502</v>
      </c>
      <c r="E5663" t="s">
        <v>520</v>
      </c>
      <c r="F5663" s="188" t="n">
        <v>2036</v>
      </c>
      <c r="G5663" s="189" t="n">
        <v>51</v>
      </c>
      <c r="H5663" s="190" t="n">
        <v>10277.5301610211</v>
      </c>
      <c r="I5663" s="191" t="n">
        <v>4099295.52642504</v>
      </c>
      <c r="J5663" s="192" t="str">
        <f>IF(I5663&gt;0,H5663/I5663,0)</f>
      </c>
      <c r="K5663" s="193" t="str">
        <f>1-EXP(-J5663)</f>
      </c>
      <c r="L5663" s="194" t="str">
        <f>IF(G5663=30,1,M5662)</f>
      </c>
      <c r="M5663" s="195" t="str">
        <f>L5663*(1-K5663)</f>
      </c>
    </row>
    <row r="5664">
      <c r="A5664" t="s">
        <v>167</v>
      </c>
      <c r="B5664" t="s">
        <v>116</v>
      </c>
      <c r="C5664" s="35" t="s">
        <v>422</v>
      </c>
      <c r="D5664" t="s">
        <v>502</v>
      </c>
      <c r="E5664" t="s">
        <v>520</v>
      </c>
      <c r="F5664" s="188" t="n">
        <v>2036</v>
      </c>
      <c r="G5664" s="189" t="n">
        <v>52</v>
      </c>
      <c r="H5664" s="190" t="n">
        <v>11447.2733395802</v>
      </c>
      <c r="I5664" s="191" t="n">
        <v>4170204.45713979</v>
      </c>
      <c r="J5664" s="192" t="str">
        <f>IF(I5664&gt;0,H5664/I5664,0)</f>
      </c>
      <c r="K5664" s="193" t="str">
        <f>1-EXP(-J5664)</f>
      </c>
      <c r="L5664" s="194" t="str">
        <f>IF(G5664=30,1,M5663)</f>
      </c>
      <c r="M5664" s="195" t="str">
        <f>L5664*(1-K5664)</f>
      </c>
    </row>
    <row r="5665">
      <c r="A5665" t="s">
        <v>167</v>
      </c>
      <c r="B5665" t="s">
        <v>116</v>
      </c>
      <c r="C5665" s="35" t="s">
        <v>422</v>
      </c>
      <c r="D5665" t="s">
        <v>502</v>
      </c>
      <c r="E5665" t="s">
        <v>520</v>
      </c>
      <c r="F5665" s="188" t="n">
        <v>2036</v>
      </c>
      <c r="G5665" s="189" t="n">
        <v>53</v>
      </c>
      <c r="H5665" s="190" t="n">
        <v>12413.8339323297</v>
      </c>
      <c r="I5665" s="191" t="n">
        <v>4134233.42661376</v>
      </c>
      <c r="J5665" s="192" t="str">
        <f>IF(I5665&gt;0,H5665/I5665,0)</f>
      </c>
      <c r="K5665" s="193" t="str">
        <f>1-EXP(-J5665)</f>
      </c>
      <c r="L5665" s="194" t="str">
        <f>IF(G5665=30,1,M5664)</f>
      </c>
      <c r="M5665" s="195" t="str">
        <f>L5665*(1-K5665)</f>
      </c>
    </row>
    <row r="5666">
      <c r="A5666" t="s">
        <v>167</v>
      </c>
      <c r="B5666" t="s">
        <v>116</v>
      </c>
      <c r="C5666" s="35" t="s">
        <v>422</v>
      </c>
      <c r="D5666" t="s">
        <v>502</v>
      </c>
      <c r="E5666" t="s">
        <v>520</v>
      </c>
      <c r="F5666" s="188" t="n">
        <v>2036</v>
      </c>
      <c r="G5666" s="189" t="n">
        <v>54</v>
      </c>
      <c r="H5666" s="190" t="n">
        <v>13106.8993257934</v>
      </c>
      <c r="I5666" s="191" t="n">
        <v>3988846.15796719</v>
      </c>
      <c r="J5666" s="192" t="str">
        <f>IF(I5666&gt;0,H5666/I5666,0)</f>
      </c>
      <c r="K5666" s="193" t="str">
        <f>1-EXP(-J5666)</f>
      </c>
      <c r="L5666" s="194" t="str">
        <f>IF(G5666=30,1,M5665)</f>
      </c>
      <c r="M5666" s="195" t="str">
        <f>L5666*(1-K5666)</f>
      </c>
    </row>
    <row r="5667">
      <c r="A5667" t="s">
        <v>167</v>
      </c>
      <c r="B5667" t="s">
        <v>116</v>
      </c>
      <c r="C5667" s="35" t="s">
        <v>422</v>
      </c>
      <c r="D5667" t="s">
        <v>502</v>
      </c>
      <c r="E5667" t="s">
        <v>520</v>
      </c>
      <c r="F5667" s="188" t="n">
        <v>2036</v>
      </c>
      <c r="G5667" s="189" t="n">
        <v>55</v>
      </c>
      <c r="H5667" s="190" t="n">
        <v>14001.9190900335</v>
      </c>
      <c r="I5667" s="191" t="n">
        <v>3903181.75505213</v>
      </c>
      <c r="J5667" s="192" t="str">
        <f>IF(I5667&gt;0,H5667/I5667,0)</f>
      </c>
      <c r="K5667" s="193" t="str">
        <f>1-EXP(-J5667)</f>
      </c>
      <c r="L5667" s="194" t="str">
        <f>IF(G5667=30,1,M5666)</f>
      </c>
      <c r="M5667" s="195" t="str">
        <f>L5667*(1-K5667)</f>
      </c>
    </row>
    <row r="5668">
      <c r="A5668" t="s">
        <v>167</v>
      </c>
      <c r="B5668" t="s">
        <v>116</v>
      </c>
      <c r="C5668" s="35" t="s">
        <v>422</v>
      </c>
      <c r="D5668" t="s">
        <v>502</v>
      </c>
      <c r="E5668" t="s">
        <v>520</v>
      </c>
      <c r="F5668" s="188" t="n">
        <v>2036</v>
      </c>
      <c r="G5668" s="189" t="n">
        <v>56</v>
      </c>
      <c r="H5668" s="190" t="n">
        <v>14929.8329898249</v>
      </c>
      <c r="I5668" s="191" t="n">
        <v>3831659.62466811</v>
      </c>
      <c r="J5668" s="192" t="str">
        <f>IF(I5668&gt;0,H5668/I5668,0)</f>
      </c>
      <c r="K5668" s="193" t="str">
        <f>1-EXP(-J5668)</f>
      </c>
      <c r="L5668" s="194" t="str">
        <f>IF(G5668=30,1,M5667)</f>
      </c>
      <c r="M5668" s="195" t="str">
        <f>L5668*(1-K5668)</f>
      </c>
    </row>
    <row r="5669">
      <c r="A5669" t="s">
        <v>167</v>
      </c>
      <c r="B5669" t="s">
        <v>116</v>
      </c>
      <c r="C5669" s="35" t="s">
        <v>422</v>
      </c>
      <c r="D5669" t="s">
        <v>502</v>
      </c>
      <c r="E5669" t="s">
        <v>520</v>
      </c>
      <c r="F5669" s="188" t="n">
        <v>2036</v>
      </c>
      <c r="G5669" s="189" t="n">
        <v>57</v>
      </c>
      <c r="H5669" s="190" t="n">
        <v>16004.3413167417</v>
      </c>
      <c r="I5669" s="191" t="n">
        <v>3754448.52131109</v>
      </c>
      <c r="J5669" s="192" t="str">
        <f>IF(I5669&gt;0,H5669/I5669,0)</f>
      </c>
      <c r="K5669" s="193" t="str">
        <f>1-EXP(-J5669)</f>
      </c>
      <c r="L5669" s="194" t="str">
        <f>IF(G5669=30,1,M5668)</f>
      </c>
      <c r="M5669" s="195" t="str">
        <f>L5669*(1-K5669)</f>
      </c>
    </row>
    <row r="5670">
      <c r="A5670" t="s">
        <v>167</v>
      </c>
      <c r="B5670" t="s">
        <v>116</v>
      </c>
      <c r="C5670" s="35" t="s">
        <v>422</v>
      </c>
      <c r="D5670" t="s">
        <v>502</v>
      </c>
      <c r="E5670" t="s">
        <v>520</v>
      </c>
      <c r="F5670" s="188" t="n">
        <v>2036</v>
      </c>
      <c r="G5670" s="189" t="n">
        <v>58</v>
      </c>
      <c r="H5670" s="190" t="n">
        <v>17074.1175841994</v>
      </c>
      <c r="I5670" s="191" t="n">
        <v>3657927.74613889</v>
      </c>
      <c r="J5670" s="192" t="str">
        <f>IF(I5670&gt;0,H5670/I5670,0)</f>
      </c>
      <c r="K5670" s="193" t="str">
        <f>1-EXP(-J5670)</f>
      </c>
      <c r="L5670" s="194" t="str">
        <f>IF(G5670=30,1,M5669)</f>
      </c>
      <c r="M5670" s="195" t="str">
        <f>L5670*(1-K5670)</f>
      </c>
    </row>
    <row r="5671">
      <c r="A5671" t="s">
        <v>167</v>
      </c>
      <c r="B5671" t="s">
        <v>116</v>
      </c>
      <c r="C5671" s="35" t="s">
        <v>422</v>
      </c>
      <c r="D5671" t="s">
        <v>502</v>
      </c>
      <c r="E5671" t="s">
        <v>520</v>
      </c>
      <c r="F5671" s="188" t="n">
        <v>2036</v>
      </c>
      <c r="G5671" s="189" t="n">
        <v>59</v>
      </c>
      <c r="H5671" s="190" t="n">
        <v>18317.5077358891</v>
      </c>
      <c r="I5671" s="191" t="n">
        <v>3576506.83877999</v>
      </c>
      <c r="J5671" s="192" t="str">
        <f>IF(I5671&gt;0,H5671/I5671,0)</f>
      </c>
      <c r="K5671" s="193" t="str">
        <f>1-EXP(-J5671)</f>
      </c>
      <c r="L5671" s="194" t="str">
        <f>IF(G5671=30,1,M5670)</f>
      </c>
      <c r="M5671" s="195" t="str">
        <f>L5671*(1-K5671)</f>
      </c>
    </row>
    <row r="5672">
      <c r="A5672" t="s">
        <v>167</v>
      </c>
      <c r="B5672" t="s">
        <v>116</v>
      </c>
      <c r="C5672" s="35" t="s">
        <v>422</v>
      </c>
      <c r="D5672" t="s">
        <v>502</v>
      </c>
      <c r="E5672" t="s">
        <v>520</v>
      </c>
      <c r="F5672" s="188" t="n">
        <v>2036</v>
      </c>
      <c r="G5672" s="189" t="n">
        <v>60</v>
      </c>
      <c r="H5672" s="190" t="n">
        <v>19635.8405588817</v>
      </c>
      <c r="I5672" s="191" t="n">
        <v>3483147.46283534</v>
      </c>
      <c r="J5672" s="192" t="str">
        <f>IF(I5672&gt;0,H5672/I5672,0)</f>
      </c>
      <c r="K5672" s="193" t="str">
        <f>1-EXP(-J5672)</f>
      </c>
      <c r="L5672" s="194" t="str">
        <f>IF(G5672=30,1,M5671)</f>
      </c>
      <c r="M5672" s="195" t="str">
        <f>L5672*(1-K5672)</f>
      </c>
    </row>
    <row r="5673">
      <c r="A5673" t="s">
        <v>167</v>
      </c>
      <c r="B5673" t="s">
        <v>116</v>
      </c>
      <c r="C5673" s="35" t="s">
        <v>422</v>
      </c>
      <c r="D5673" t="s">
        <v>502</v>
      </c>
      <c r="E5673" t="s">
        <v>520</v>
      </c>
      <c r="F5673" s="188" t="n">
        <v>2036</v>
      </c>
      <c r="G5673" s="189" t="n">
        <v>61</v>
      </c>
      <c r="H5673" s="190" t="n">
        <v>21156.6697954878</v>
      </c>
      <c r="I5673" s="191" t="n">
        <v>3387732.55611943</v>
      </c>
      <c r="J5673" s="192" t="str">
        <f>IF(I5673&gt;0,H5673/I5673,0)</f>
      </c>
      <c r="K5673" s="193" t="str">
        <f>1-EXP(-J5673)</f>
      </c>
      <c r="L5673" s="194" t="str">
        <f>IF(G5673=30,1,M5672)</f>
      </c>
      <c r="M5673" s="195" t="str">
        <f>L5673*(1-K5673)</f>
      </c>
    </row>
    <row r="5674">
      <c r="A5674" t="s">
        <v>167</v>
      </c>
      <c r="B5674" t="s">
        <v>116</v>
      </c>
      <c r="C5674" s="35" t="s">
        <v>422</v>
      </c>
      <c r="D5674" t="s">
        <v>502</v>
      </c>
      <c r="E5674" t="s">
        <v>520</v>
      </c>
      <c r="F5674" s="188" t="n">
        <v>2036</v>
      </c>
      <c r="G5674" s="189" t="n">
        <v>62</v>
      </c>
      <c r="H5674" s="190" t="n">
        <v>22344.4990514874</v>
      </c>
      <c r="I5674" s="191" t="n">
        <v>3266012.74385696</v>
      </c>
      <c r="J5674" s="192" t="str">
        <f>IF(I5674&gt;0,H5674/I5674,0)</f>
      </c>
      <c r="K5674" s="193" t="str">
        <f>1-EXP(-J5674)</f>
      </c>
      <c r="L5674" s="194" t="str">
        <f>IF(G5674=30,1,M5673)</f>
      </c>
      <c r="M5674" s="195" t="str">
        <f>L5674*(1-K5674)</f>
      </c>
    </row>
    <row r="5675">
      <c r="A5675" t="s">
        <v>167</v>
      </c>
      <c r="B5675" t="s">
        <v>116</v>
      </c>
      <c r="C5675" s="35" t="s">
        <v>422</v>
      </c>
      <c r="D5675" t="s">
        <v>502</v>
      </c>
      <c r="E5675" t="s">
        <v>520</v>
      </c>
      <c r="F5675" s="188" t="n">
        <v>2036</v>
      </c>
      <c r="G5675" s="189" t="n">
        <v>63</v>
      </c>
      <c r="H5675" s="190" t="n">
        <v>23982.1480462385</v>
      </c>
      <c r="I5675" s="191" t="n">
        <v>3198561.73544221</v>
      </c>
      <c r="J5675" s="192" t="str">
        <f>IF(I5675&gt;0,H5675/I5675,0)</f>
      </c>
      <c r="K5675" s="193" t="str">
        <f>1-EXP(-J5675)</f>
      </c>
      <c r="L5675" s="194" t="str">
        <f>IF(G5675=30,1,M5674)</f>
      </c>
      <c r="M5675" s="195" t="str">
        <f>L5675*(1-K5675)</f>
      </c>
    </row>
    <row r="5676">
      <c r="A5676" t="s">
        <v>167</v>
      </c>
      <c r="B5676" t="s">
        <v>116</v>
      </c>
      <c r="C5676" s="35" t="s">
        <v>422</v>
      </c>
      <c r="D5676" t="s">
        <v>502</v>
      </c>
      <c r="E5676" t="s">
        <v>520</v>
      </c>
      <c r="F5676" s="188" t="n">
        <v>2036</v>
      </c>
      <c r="G5676" s="189" t="n">
        <v>64</v>
      </c>
      <c r="H5676" s="190" t="n">
        <v>24533.7741219463</v>
      </c>
      <c r="I5676" s="191" t="n">
        <v>2980857.99700391</v>
      </c>
      <c r="J5676" s="192" t="str">
        <f>IF(I5676&gt;0,H5676/I5676,0)</f>
      </c>
      <c r="K5676" s="193" t="str">
        <f>1-EXP(-J5676)</f>
      </c>
      <c r="L5676" s="194" t="str">
        <f>IF(G5676=30,1,M5675)</f>
      </c>
      <c r="M5676" s="195" t="str">
        <f>L5676*(1-K5676)</f>
      </c>
    </row>
    <row r="5677">
      <c r="A5677" t="s">
        <v>167</v>
      </c>
      <c r="B5677" t="s">
        <v>116</v>
      </c>
      <c r="C5677" s="35" t="s">
        <v>422</v>
      </c>
      <c r="D5677" t="s">
        <v>502</v>
      </c>
      <c r="E5677" t="s">
        <v>520</v>
      </c>
      <c r="F5677" s="188" t="n">
        <v>2036</v>
      </c>
      <c r="G5677" s="189" t="n">
        <v>65</v>
      </c>
      <c r="H5677" s="190" t="n">
        <v>24985.1049992008</v>
      </c>
      <c r="I5677" s="191" t="n">
        <v>2873489.237873</v>
      </c>
      <c r="J5677" s="192" t="str">
        <f>IF(I5677&gt;0,H5677/I5677,0)</f>
      </c>
      <c r="K5677" s="193" t="str">
        <f>1-EXP(-J5677)</f>
      </c>
      <c r="L5677" s="194" t="str">
        <f>IF(G5677=30,1,M5676)</f>
      </c>
      <c r="M5677" s="195" t="str">
        <f>L5677*(1-K5677)</f>
      </c>
    </row>
    <row r="5678">
      <c r="A5678" t="s">
        <v>167</v>
      </c>
      <c r="B5678" t="s">
        <v>116</v>
      </c>
      <c r="C5678" s="35" t="s">
        <v>422</v>
      </c>
      <c r="D5678" t="s">
        <v>502</v>
      </c>
      <c r="E5678" t="s">
        <v>520</v>
      </c>
      <c r="F5678" s="188" t="n">
        <v>2036</v>
      </c>
      <c r="G5678" s="189" t="n">
        <v>66</v>
      </c>
      <c r="H5678" s="190" t="n">
        <v>26370.54686339</v>
      </c>
      <c r="I5678" s="191" t="n">
        <v>2769490.7101736</v>
      </c>
      <c r="J5678" s="192" t="str">
        <f>IF(I5678&gt;0,H5678/I5678,0)</f>
      </c>
      <c r="K5678" s="193" t="str">
        <f>1-EXP(-J5678)</f>
      </c>
      <c r="L5678" s="194" t="str">
        <f>IF(G5678=30,1,M5677)</f>
      </c>
      <c r="M5678" s="195" t="str">
        <f>L5678*(1-K5678)</f>
      </c>
    </row>
    <row r="5679">
      <c r="A5679" t="s">
        <v>167</v>
      </c>
      <c r="B5679" t="s">
        <v>116</v>
      </c>
      <c r="C5679" s="35" t="s">
        <v>422</v>
      </c>
      <c r="D5679" t="s">
        <v>502</v>
      </c>
      <c r="E5679" t="s">
        <v>520</v>
      </c>
      <c r="F5679" s="188" t="n">
        <v>2036</v>
      </c>
      <c r="G5679" s="189" t="n">
        <v>67</v>
      </c>
      <c r="H5679" s="190" t="n">
        <v>27769.4622077756</v>
      </c>
      <c r="I5679" s="191" t="n">
        <v>2656085.89565786</v>
      </c>
      <c r="J5679" s="192" t="str">
        <f>IF(I5679&gt;0,H5679/I5679,0)</f>
      </c>
      <c r="K5679" s="193" t="str">
        <f>1-EXP(-J5679)</f>
      </c>
      <c r="L5679" s="194" t="str">
        <f>IF(G5679=30,1,M5678)</f>
      </c>
      <c r="M5679" s="195" t="str">
        <f>L5679*(1-K5679)</f>
      </c>
    </row>
    <row r="5680">
      <c r="A5680" t="s">
        <v>167</v>
      </c>
      <c r="B5680" t="s">
        <v>116</v>
      </c>
      <c r="C5680" s="35" t="s">
        <v>422</v>
      </c>
      <c r="D5680" t="s">
        <v>502</v>
      </c>
      <c r="E5680" t="s">
        <v>520</v>
      </c>
      <c r="F5680" s="188" t="n">
        <v>2036</v>
      </c>
      <c r="G5680" s="189" t="n">
        <v>68</v>
      </c>
      <c r="H5680" s="190" t="n">
        <v>29009.2480858427</v>
      </c>
      <c r="I5680" s="191" t="n">
        <v>2524869.93506094</v>
      </c>
      <c r="J5680" s="192" t="str">
        <f>IF(I5680&gt;0,H5680/I5680,0)</f>
      </c>
      <c r="K5680" s="193" t="str">
        <f>1-EXP(-J5680)</f>
      </c>
      <c r="L5680" s="194" t="str">
        <f>IF(G5680=30,1,M5679)</f>
      </c>
      <c r="M5680" s="195" t="str">
        <f>L5680*(1-K5680)</f>
      </c>
    </row>
    <row r="5681">
      <c r="A5681" t="s">
        <v>167</v>
      </c>
      <c r="B5681" t="s">
        <v>116</v>
      </c>
      <c r="C5681" s="35" t="s">
        <v>422</v>
      </c>
      <c r="D5681" t="s">
        <v>502</v>
      </c>
      <c r="E5681" t="s">
        <v>520</v>
      </c>
      <c r="F5681" s="188" t="n">
        <v>2036</v>
      </c>
      <c r="G5681" s="189" t="n">
        <v>69</v>
      </c>
      <c r="H5681" s="190" t="n">
        <v>29934.6052767682</v>
      </c>
      <c r="I5681" s="191" t="n">
        <v>2366571.88974595</v>
      </c>
      <c r="J5681" s="192" t="str">
        <f>IF(I5681&gt;0,H5681/I5681,0)</f>
      </c>
      <c r="K5681" s="193" t="str">
        <f>1-EXP(-J5681)</f>
      </c>
      <c r="L5681" s="194" t="str">
        <f>IF(G5681=30,1,M5680)</f>
      </c>
      <c r="M5681" s="195" t="str">
        <f>L5681*(1-K5681)</f>
      </c>
    </row>
    <row r="5682">
      <c r="A5682" t="s">
        <v>167</v>
      </c>
      <c r="B5682" t="s">
        <v>116</v>
      </c>
      <c r="C5682" s="35" t="s">
        <v>422</v>
      </c>
      <c r="D5682" t="s">
        <v>502</v>
      </c>
      <c r="E5682" t="s">
        <v>520</v>
      </c>
      <c r="F5682" s="188" t="n">
        <v>2037</v>
      </c>
      <c r="G5682" s="189" t="n">
        <v>30</v>
      </c>
      <c r="H5682" s="190" t="n">
        <v>770.766986781208</v>
      </c>
      <c r="I5682" s="191" t="n">
        <v>4685728.85507783</v>
      </c>
      <c r="J5682" s="192" t="str">
        <f>IF(I5682&gt;0,H5682/I5682,0)</f>
      </c>
      <c r="K5682" s="193" t="str">
        <f>1-EXP(-J5682)</f>
      </c>
      <c r="L5682" s="194" t="str">
        <f>IF(G5682=30,1,M5681)</f>
      </c>
      <c r="M5682" s="195" t="str">
        <f>L5682*(1-K5682)</f>
      </c>
    </row>
    <row r="5683">
      <c r="A5683" t="s">
        <v>167</v>
      </c>
      <c r="B5683" t="s">
        <v>116</v>
      </c>
      <c r="C5683" s="35" t="s">
        <v>422</v>
      </c>
      <c r="D5683" t="s">
        <v>502</v>
      </c>
      <c r="E5683" t="s">
        <v>520</v>
      </c>
      <c r="F5683" s="188" t="n">
        <v>2037</v>
      </c>
      <c r="G5683" s="189" t="n">
        <v>31</v>
      </c>
      <c r="H5683" s="190" t="n">
        <v>944.357338573923</v>
      </c>
      <c r="I5683" s="191" t="n">
        <v>4602731.51212056</v>
      </c>
      <c r="J5683" s="192" t="str">
        <f>IF(I5683&gt;0,H5683/I5683,0)</f>
      </c>
      <c r="K5683" s="193" t="str">
        <f>1-EXP(-J5683)</f>
      </c>
      <c r="L5683" s="194" t="str">
        <f>IF(G5683=30,1,M5682)</f>
      </c>
      <c r="M5683" s="195" t="str">
        <f>L5683*(1-K5683)</f>
      </c>
    </row>
    <row r="5684">
      <c r="A5684" t="s">
        <v>167</v>
      </c>
      <c r="B5684" t="s">
        <v>116</v>
      </c>
      <c r="C5684" s="35" t="s">
        <v>422</v>
      </c>
      <c r="D5684" t="s">
        <v>502</v>
      </c>
      <c r="E5684" t="s">
        <v>520</v>
      </c>
      <c r="F5684" s="188" t="n">
        <v>2037</v>
      </c>
      <c r="G5684" s="189" t="n">
        <v>32</v>
      </c>
      <c r="H5684" s="190" t="n">
        <v>982.435227697822</v>
      </c>
      <c r="I5684" s="191" t="n">
        <v>4541988.54883562</v>
      </c>
      <c r="J5684" s="192" t="str">
        <f>IF(I5684&gt;0,H5684/I5684,0)</f>
      </c>
      <c r="K5684" s="193" t="str">
        <f>1-EXP(-J5684)</f>
      </c>
      <c r="L5684" s="194" t="str">
        <f>IF(G5684=30,1,M5683)</f>
      </c>
      <c r="M5684" s="195" t="str">
        <f>L5684*(1-K5684)</f>
      </c>
    </row>
    <row r="5685">
      <c r="A5685" t="s">
        <v>167</v>
      </c>
      <c r="B5685" t="s">
        <v>116</v>
      </c>
      <c r="C5685" s="35" t="s">
        <v>422</v>
      </c>
      <c r="D5685" t="s">
        <v>502</v>
      </c>
      <c r="E5685" t="s">
        <v>520</v>
      </c>
      <c r="F5685" s="188" t="n">
        <v>2037</v>
      </c>
      <c r="G5685" s="189" t="n">
        <v>33</v>
      </c>
      <c r="H5685" s="190" t="n">
        <v>1014.40587551692</v>
      </c>
      <c r="I5685" s="191" t="n">
        <v>4413471.72478331</v>
      </c>
      <c r="J5685" s="192" t="str">
        <f>IF(I5685&gt;0,H5685/I5685,0)</f>
      </c>
      <c r="K5685" s="193" t="str">
        <f>1-EXP(-J5685)</f>
      </c>
      <c r="L5685" s="194" t="str">
        <f>IF(G5685=30,1,M5684)</f>
      </c>
      <c r="M5685" s="195" t="str">
        <f>L5685*(1-K5685)</f>
      </c>
    </row>
    <row r="5686">
      <c r="A5686" t="s">
        <v>167</v>
      </c>
      <c r="B5686" t="s">
        <v>116</v>
      </c>
      <c r="C5686" s="35" t="s">
        <v>422</v>
      </c>
      <c r="D5686" t="s">
        <v>502</v>
      </c>
      <c r="E5686" t="s">
        <v>520</v>
      </c>
      <c r="F5686" s="188" t="n">
        <v>2037</v>
      </c>
      <c r="G5686" s="189" t="n">
        <v>34</v>
      </c>
      <c r="H5686" s="190" t="n">
        <v>1068.57300515855</v>
      </c>
      <c r="I5686" s="191" t="n">
        <v>4347971.03081308</v>
      </c>
      <c r="J5686" s="192" t="str">
        <f>IF(I5686&gt;0,H5686/I5686,0)</f>
      </c>
      <c r="K5686" s="193" t="str">
        <f>1-EXP(-J5686)</f>
      </c>
      <c r="L5686" s="194" t="str">
        <f>IF(G5686=30,1,M5685)</f>
      </c>
      <c r="M5686" s="195" t="str">
        <f>L5686*(1-K5686)</f>
      </c>
    </row>
    <row r="5687">
      <c r="A5687" t="s">
        <v>167</v>
      </c>
      <c r="B5687" t="s">
        <v>116</v>
      </c>
      <c r="C5687" s="35" t="s">
        <v>422</v>
      </c>
      <c r="D5687" t="s">
        <v>502</v>
      </c>
      <c r="E5687" t="s">
        <v>520</v>
      </c>
      <c r="F5687" s="188" t="n">
        <v>2037</v>
      </c>
      <c r="G5687" s="189" t="n">
        <v>35</v>
      </c>
      <c r="H5687" s="190" t="n">
        <v>1615.5651886316</v>
      </c>
      <c r="I5687" s="191" t="n">
        <v>4326086.8346623</v>
      </c>
      <c r="J5687" s="192" t="str">
        <f>IF(I5687&gt;0,H5687/I5687,0)</f>
      </c>
      <c r="K5687" s="193" t="str">
        <f>1-EXP(-J5687)</f>
      </c>
      <c r="L5687" s="194" t="str">
        <f>IF(G5687=30,1,M5686)</f>
      </c>
      <c r="M5687" s="195" t="str">
        <f>L5687*(1-K5687)</f>
      </c>
    </row>
    <row r="5688">
      <c r="A5688" t="s">
        <v>167</v>
      </c>
      <c r="B5688" t="s">
        <v>116</v>
      </c>
      <c r="C5688" s="35" t="s">
        <v>422</v>
      </c>
      <c r="D5688" t="s">
        <v>502</v>
      </c>
      <c r="E5688" t="s">
        <v>520</v>
      </c>
      <c r="F5688" s="188" t="n">
        <v>2037</v>
      </c>
      <c r="G5688" s="189" t="n">
        <v>36</v>
      </c>
      <c r="H5688" s="190" t="n">
        <v>1787.7050956212</v>
      </c>
      <c r="I5688" s="191" t="n">
        <v>4305134.8264049</v>
      </c>
      <c r="J5688" s="192" t="str">
        <f>IF(I5688&gt;0,H5688/I5688,0)</f>
      </c>
      <c r="K5688" s="193" t="str">
        <f>1-EXP(-J5688)</f>
      </c>
      <c r="L5688" s="194" t="str">
        <f>IF(G5688=30,1,M5687)</f>
      </c>
      <c r="M5688" s="195" t="str">
        <f>L5688*(1-K5688)</f>
      </c>
    </row>
    <row r="5689">
      <c r="A5689" t="s">
        <v>167</v>
      </c>
      <c r="B5689" t="s">
        <v>116</v>
      </c>
      <c r="C5689" s="35" t="s">
        <v>422</v>
      </c>
      <c r="D5689" t="s">
        <v>502</v>
      </c>
      <c r="E5689" t="s">
        <v>520</v>
      </c>
      <c r="F5689" s="188" t="n">
        <v>2037</v>
      </c>
      <c r="G5689" s="189" t="n">
        <v>37</v>
      </c>
      <c r="H5689" s="190" t="n">
        <v>1916.20144359383</v>
      </c>
      <c r="I5689" s="191" t="n">
        <v>4284097.13724126</v>
      </c>
      <c r="J5689" s="192" t="str">
        <f>IF(I5689&gt;0,H5689/I5689,0)</f>
      </c>
      <c r="K5689" s="193" t="str">
        <f>1-EXP(-J5689)</f>
      </c>
      <c r="L5689" s="194" t="str">
        <f>IF(G5689=30,1,M5688)</f>
      </c>
      <c r="M5689" s="195" t="str">
        <f>L5689*(1-K5689)</f>
      </c>
    </row>
    <row r="5690">
      <c r="A5690" t="s">
        <v>167</v>
      </c>
      <c r="B5690" t="s">
        <v>116</v>
      </c>
      <c r="C5690" s="35" t="s">
        <v>422</v>
      </c>
      <c r="D5690" t="s">
        <v>502</v>
      </c>
      <c r="E5690" t="s">
        <v>520</v>
      </c>
      <c r="F5690" s="188" t="n">
        <v>2037</v>
      </c>
      <c r="G5690" s="189" t="n">
        <v>38</v>
      </c>
      <c r="H5690" s="190" t="n">
        <v>2078.3305426773</v>
      </c>
      <c r="I5690" s="191" t="n">
        <v>4302336.41380563</v>
      </c>
      <c r="J5690" s="192" t="str">
        <f>IF(I5690&gt;0,H5690/I5690,0)</f>
      </c>
      <c r="K5690" s="193" t="str">
        <f>1-EXP(-J5690)</f>
      </c>
      <c r="L5690" s="194" t="str">
        <f>IF(G5690=30,1,M5689)</f>
      </c>
      <c r="M5690" s="195" t="str">
        <f>L5690*(1-K5690)</f>
      </c>
    </row>
    <row r="5691">
      <c r="A5691" t="s">
        <v>167</v>
      </c>
      <c r="B5691" t="s">
        <v>116</v>
      </c>
      <c r="C5691" s="35" t="s">
        <v>422</v>
      </c>
      <c r="D5691" t="s">
        <v>502</v>
      </c>
      <c r="E5691" t="s">
        <v>520</v>
      </c>
      <c r="F5691" s="188" t="n">
        <v>2037</v>
      </c>
      <c r="G5691" s="189" t="n">
        <v>39</v>
      </c>
      <c r="H5691" s="190" t="n">
        <v>2279.58937542678</v>
      </c>
      <c r="I5691" s="191" t="n">
        <v>4359224.38559058</v>
      </c>
      <c r="J5691" s="192" t="str">
        <f>IF(I5691&gt;0,H5691/I5691,0)</f>
      </c>
      <c r="K5691" s="193" t="str">
        <f>1-EXP(-J5691)</f>
      </c>
      <c r="L5691" s="194" t="str">
        <f>IF(G5691=30,1,M5690)</f>
      </c>
      <c r="M5691" s="195" t="str">
        <f>L5691*(1-K5691)</f>
      </c>
    </row>
    <row r="5692">
      <c r="A5692" t="s">
        <v>167</v>
      </c>
      <c r="B5692" t="s">
        <v>116</v>
      </c>
      <c r="C5692" s="35" t="s">
        <v>422</v>
      </c>
      <c r="D5692" t="s">
        <v>502</v>
      </c>
      <c r="E5692" t="s">
        <v>520</v>
      </c>
      <c r="F5692" s="188" t="n">
        <v>2037</v>
      </c>
      <c r="G5692" s="189" t="n">
        <v>40</v>
      </c>
      <c r="H5692" s="190" t="n">
        <v>3422.00836021692</v>
      </c>
      <c r="I5692" s="191" t="n">
        <v>4493819.10661727</v>
      </c>
      <c r="J5692" s="192" t="str">
        <f>IF(I5692&gt;0,H5692/I5692,0)</f>
      </c>
      <c r="K5692" s="193" t="str">
        <f>1-EXP(-J5692)</f>
      </c>
      <c r="L5692" s="194" t="str">
        <f>IF(G5692=30,1,M5691)</f>
      </c>
      <c r="M5692" s="195" t="str">
        <f>L5692*(1-K5692)</f>
      </c>
    </row>
    <row r="5693">
      <c r="A5693" t="s">
        <v>167</v>
      </c>
      <c r="B5693" t="s">
        <v>116</v>
      </c>
      <c r="C5693" s="35" t="s">
        <v>422</v>
      </c>
      <c r="D5693" t="s">
        <v>502</v>
      </c>
      <c r="E5693" t="s">
        <v>520</v>
      </c>
      <c r="F5693" s="188" t="n">
        <v>2037</v>
      </c>
      <c r="G5693" s="189" t="n">
        <v>41</v>
      </c>
      <c r="H5693" s="190" t="n">
        <v>3623.16963678912</v>
      </c>
      <c r="I5693" s="191" t="n">
        <v>4447066.22645504</v>
      </c>
      <c r="J5693" s="192" t="str">
        <f>IF(I5693&gt;0,H5693/I5693,0)</f>
      </c>
      <c r="K5693" s="193" t="str">
        <f>1-EXP(-J5693)</f>
      </c>
      <c r="L5693" s="194" t="str">
        <f>IF(G5693=30,1,M5692)</f>
      </c>
      <c r="M5693" s="195" t="str">
        <f>L5693*(1-K5693)</f>
      </c>
    </row>
    <row r="5694">
      <c r="A5694" t="s">
        <v>167</v>
      </c>
      <c r="B5694" t="s">
        <v>116</v>
      </c>
      <c r="C5694" s="35" t="s">
        <v>422</v>
      </c>
      <c r="D5694" t="s">
        <v>502</v>
      </c>
      <c r="E5694" t="s">
        <v>520</v>
      </c>
      <c r="F5694" s="188" t="n">
        <v>2037</v>
      </c>
      <c r="G5694" s="189" t="n">
        <v>42</v>
      </c>
      <c r="H5694" s="190" t="n">
        <v>3866.80565737769</v>
      </c>
      <c r="I5694" s="191" t="n">
        <v>4370930.72728744</v>
      </c>
      <c r="J5694" s="192" t="str">
        <f>IF(I5694&gt;0,H5694/I5694,0)</f>
      </c>
      <c r="K5694" s="193" t="str">
        <f>1-EXP(-J5694)</f>
      </c>
      <c r="L5694" s="194" t="str">
        <f>IF(G5694=30,1,M5693)</f>
      </c>
      <c r="M5694" s="195" t="str">
        <f>L5694*(1-K5694)</f>
      </c>
    </row>
    <row r="5695">
      <c r="A5695" t="s">
        <v>167</v>
      </c>
      <c r="B5695" t="s">
        <v>116</v>
      </c>
      <c r="C5695" s="35" t="s">
        <v>422</v>
      </c>
      <c r="D5695" t="s">
        <v>502</v>
      </c>
      <c r="E5695" t="s">
        <v>520</v>
      </c>
      <c r="F5695" s="188" t="n">
        <v>2037</v>
      </c>
      <c r="G5695" s="189" t="n">
        <v>43</v>
      </c>
      <c r="H5695" s="190" t="n">
        <v>4152.83647693911</v>
      </c>
      <c r="I5695" s="191" t="n">
        <v>4309971.23235593</v>
      </c>
      <c r="J5695" s="192" t="str">
        <f>IF(I5695&gt;0,H5695/I5695,0)</f>
      </c>
      <c r="K5695" s="193" t="str">
        <f>1-EXP(-J5695)</f>
      </c>
      <c r="L5695" s="194" t="str">
        <f>IF(G5695=30,1,M5694)</f>
      </c>
      <c r="M5695" s="195" t="str">
        <f>L5695*(1-K5695)</f>
      </c>
    </row>
    <row r="5696">
      <c r="A5696" t="s">
        <v>167</v>
      </c>
      <c r="B5696" t="s">
        <v>116</v>
      </c>
      <c r="C5696" s="35" t="s">
        <v>422</v>
      </c>
      <c r="D5696" t="s">
        <v>502</v>
      </c>
      <c r="E5696" t="s">
        <v>520</v>
      </c>
      <c r="F5696" s="188" t="n">
        <v>2037</v>
      </c>
      <c r="G5696" s="189" t="n">
        <v>44</v>
      </c>
      <c r="H5696" s="190" t="n">
        <v>4474.77471610784</v>
      </c>
      <c r="I5696" s="191" t="n">
        <v>4252144.26562112</v>
      </c>
      <c r="J5696" s="192" t="str">
        <f>IF(I5696&gt;0,H5696/I5696,0)</f>
      </c>
      <c r="K5696" s="193" t="str">
        <f>1-EXP(-J5696)</f>
      </c>
      <c r="L5696" s="194" t="str">
        <f>IF(G5696=30,1,M5695)</f>
      </c>
      <c r="M5696" s="195" t="str">
        <f>L5696*(1-K5696)</f>
      </c>
    </row>
    <row r="5697">
      <c r="A5697" t="s">
        <v>167</v>
      </c>
      <c r="B5697" t="s">
        <v>116</v>
      </c>
      <c r="C5697" s="35" t="s">
        <v>422</v>
      </c>
      <c r="D5697" t="s">
        <v>502</v>
      </c>
      <c r="E5697" t="s">
        <v>520</v>
      </c>
      <c r="F5697" s="188" t="n">
        <v>2037</v>
      </c>
      <c r="G5697" s="189" t="n">
        <v>45</v>
      </c>
      <c r="H5697" s="190" t="n">
        <v>5809.27248153872</v>
      </c>
      <c r="I5697" s="191" t="n">
        <v>4283713.95773155</v>
      </c>
      <c r="J5697" s="192" t="str">
        <f>IF(I5697&gt;0,H5697/I5697,0)</f>
      </c>
      <c r="K5697" s="193" t="str">
        <f>1-EXP(-J5697)</f>
      </c>
      <c r="L5697" s="194" t="str">
        <f>IF(G5697=30,1,M5696)</f>
      </c>
      <c r="M5697" s="195" t="str">
        <f>L5697*(1-K5697)</f>
      </c>
    </row>
    <row r="5698">
      <c r="A5698" t="s">
        <v>167</v>
      </c>
      <c r="B5698" t="s">
        <v>116</v>
      </c>
      <c r="C5698" s="35" t="s">
        <v>422</v>
      </c>
      <c r="D5698" t="s">
        <v>502</v>
      </c>
      <c r="E5698" t="s">
        <v>520</v>
      </c>
      <c r="F5698" s="188" t="n">
        <v>2037</v>
      </c>
      <c r="G5698" s="189" t="n">
        <v>46</v>
      </c>
      <c r="H5698" s="190" t="n">
        <v>6331.88029803517</v>
      </c>
      <c r="I5698" s="191" t="n">
        <v>4294170.12866916</v>
      </c>
      <c r="J5698" s="192" t="str">
        <f>IF(I5698&gt;0,H5698/I5698,0)</f>
      </c>
      <c r="K5698" s="193" t="str">
        <f>1-EXP(-J5698)</f>
      </c>
      <c r="L5698" s="194" t="str">
        <f>IF(G5698=30,1,M5697)</f>
      </c>
      <c r="M5698" s="195" t="str">
        <f>L5698*(1-K5698)</f>
      </c>
    </row>
    <row r="5699">
      <c r="A5699" t="s">
        <v>167</v>
      </c>
      <c r="B5699" t="s">
        <v>116</v>
      </c>
      <c r="C5699" s="35" t="s">
        <v>422</v>
      </c>
      <c r="D5699" t="s">
        <v>502</v>
      </c>
      <c r="E5699" t="s">
        <v>520</v>
      </c>
      <c r="F5699" s="188" t="n">
        <v>2037</v>
      </c>
      <c r="G5699" s="189" t="n">
        <v>47</v>
      </c>
      <c r="H5699" s="190" t="n">
        <v>9445.02904225425</v>
      </c>
      <c r="I5699" s="191" t="n">
        <v>6319029.69739527</v>
      </c>
      <c r="J5699" s="192" t="str">
        <f>IF(I5699&gt;0,H5699/I5699,0)</f>
      </c>
      <c r="K5699" s="193" t="str">
        <f>1-EXP(-J5699)</f>
      </c>
      <c r="L5699" s="194" t="str">
        <f>IF(G5699=30,1,M5698)</f>
      </c>
      <c r="M5699" s="195" t="str">
        <f>L5699*(1-K5699)</f>
      </c>
    </row>
    <row r="5700">
      <c r="A5700" t="s">
        <v>167</v>
      </c>
      <c r="B5700" t="s">
        <v>116</v>
      </c>
      <c r="C5700" s="35" t="s">
        <v>422</v>
      </c>
      <c r="D5700" t="s">
        <v>502</v>
      </c>
      <c r="E5700" t="s">
        <v>520</v>
      </c>
      <c r="F5700" s="188" t="n">
        <v>2037</v>
      </c>
      <c r="G5700" s="189" t="n">
        <v>48</v>
      </c>
      <c r="H5700" s="190" t="n">
        <v>7540.1150676587</v>
      </c>
      <c r="I5700" s="191" t="n">
        <v>4238715.36304208</v>
      </c>
      <c r="J5700" s="192" t="str">
        <f>IF(I5700&gt;0,H5700/I5700,0)</f>
      </c>
      <c r="K5700" s="193" t="str">
        <f>1-EXP(-J5700)</f>
      </c>
      <c r="L5700" s="194" t="str">
        <f>IF(G5700=30,1,M5699)</f>
      </c>
      <c r="M5700" s="195" t="str">
        <f>L5700*(1-K5700)</f>
      </c>
    </row>
    <row r="5701">
      <c r="A5701" t="s">
        <v>167</v>
      </c>
      <c r="B5701" t="s">
        <v>116</v>
      </c>
      <c r="C5701" s="35" t="s">
        <v>422</v>
      </c>
      <c r="D5701" t="s">
        <v>502</v>
      </c>
      <c r="E5701" t="s">
        <v>520</v>
      </c>
      <c r="F5701" s="188" t="n">
        <v>2037</v>
      </c>
      <c r="G5701" s="189" t="n">
        <v>49</v>
      </c>
      <c r="H5701" s="190" t="n">
        <v>8235.37264735768</v>
      </c>
      <c r="I5701" s="191" t="n">
        <v>4213642.70217464</v>
      </c>
      <c r="J5701" s="192" t="str">
        <f>IF(I5701&gt;0,H5701/I5701,0)</f>
      </c>
      <c r="K5701" s="193" t="str">
        <f>1-EXP(-J5701)</f>
      </c>
      <c r="L5701" s="194" t="str">
        <f>IF(G5701=30,1,M5700)</f>
      </c>
      <c r="M5701" s="195" t="str">
        <f>L5701*(1-K5701)</f>
      </c>
    </row>
    <row r="5702">
      <c r="A5702" t="s">
        <v>167</v>
      </c>
      <c r="B5702" t="s">
        <v>116</v>
      </c>
      <c r="C5702" s="35" t="s">
        <v>422</v>
      </c>
      <c r="D5702" t="s">
        <v>502</v>
      </c>
      <c r="E5702" t="s">
        <v>520</v>
      </c>
      <c r="F5702" s="188" t="n">
        <v>2037</v>
      </c>
      <c r="G5702" s="189" t="n">
        <v>50</v>
      </c>
      <c r="H5702" s="190" t="n">
        <v>9218.26172351841</v>
      </c>
      <c r="I5702" s="191" t="n">
        <v>4075118.43612711</v>
      </c>
      <c r="J5702" s="192" t="str">
        <f>IF(I5702&gt;0,H5702/I5702,0)</f>
      </c>
      <c r="K5702" s="193" t="str">
        <f>1-EXP(-J5702)</f>
      </c>
      <c r="L5702" s="194" t="str">
        <f>IF(G5702=30,1,M5701)</f>
      </c>
      <c r="M5702" s="195" t="str">
        <f>L5702*(1-K5702)</f>
      </c>
    </row>
    <row r="5703">
      <c r="A5703" t="s">
        <v>167</v>
      </c>
      <c r="B5703" t="s">
        <v>116</v>
      </c>
      <c r="C5703" s="35" t="s">
        <v>422</v>
      </c>
      <c r="D5703" t="s">
        <v>502</v>
      </c>
      <c r="E5703" t="s">
        <v>520</v>
      </c>
      <c r="F5703" s="188" t="n">
        <v>2037</v>
      </c>
      <c r="G5703" s="189" t="n">
        <v>51</v>
      </c>
      <c r="H5703" s="190" t="n">
        <v>10000.0770993432</v>
      </c>
      <c r="I5703" s="191" t="n">
        <v>4030312.1574617</v>
      </c>
      <c r="J5703" s="192" t="str">
        <f>IF(I5703&gt;0,H5703/I5703,0)</f>
      </c>
      <c r="K5703" s="193" t="str">
        <f>1-EXP(-J5703)</f>
      </c>
      <c r="L5703" s="194" t="str">
        <f>IF(G5703=30,1,M5702)</f>
      </c>
      <c r="M5703" s="195" t="str">
        <f>L5703*(1-K5703)</f>
      </c>
    </row>
    <row r="5704">
      <c r="A5704" t="s">
        <v>167</v>
      </c>
      <c r="B5704" t="s">
        <v>116</v>
      </c>
      <c r="C5704" s="35" t="s">
        <v>422</v>
      </c>
      <c r="D5704" t="s">
        <v>502</v>
      </c>
      <c r="E5704" t="s">
        <v>520</v>
      </c>
      <c r="F5704" s="188" t="n">
        <v>2037</v>
      </c>
      <c r="G5704" s="189" t="n">
        <v>52</v>
      </c>
      <c r="H5704" s="190" t="n">
        <v>11076.913150004</v>
      </c>
      <c r="I5704" s="191" t="n">
        <v>4075843.78166171</v>
      </c>
      <c r="J5704" s="192" t="str">
        <f>IF(I5704&gt;0,H5704/I5704,0)</f>
      </c>
      <c r="K5704" s="193" t="str">
        <f>1-EXP(-J5704)</f>
      </c>
      <c r="L5704" s="194" t="str">
        <f>IF(G5704=30,1,M5703)</f>
      </c>
      <c r="M5704" s="195" t="str">
        <f>L5704*(1-K5704)</f>
      </c>
    </row>
    <row r="5705">
      <c r="A5705" t="s">
        <v>167</v>
      </c>
      <c r="B5705" t="s">
        <v>116</v>
      </c>
      <c r="C5705" s="35" t="s">
        <v>422</v>
      </c>
      <c r="D5705" t="s">
        <v>502</v>
      </c>
      <c r="E5705" t="s">
        <v>520</v>
      </c>
      <c r="F5705" s="188" t="n">
        <v>2037</v>
      </c>
      <c r="G5705" s="189" t="n">
        <v>53</v>
      </c>
      <c r="H5705" s="190" t="n">
        <v>12320.3580875124</v>
      </c>
      <c r="I5705" s="191" t="n">
        <v>4144112.02096592</v>
      </c>
      <c r="J5705" s="192" t="str">
        <f>IF(I5705&gt;0,H5705/I5705,0)</f>
      </c>
      <c r="K5705" s="193" t="str">
        <f>1-EXP(-J5705)</f>
      </c>
      <c r="L5705" s="194" t="str">
        <f>IF(G5705=30,1,M5704)</f>
      </c>
      <c r="M5705" s="195" t="str">
        <f>L5705*(1-K5705)</f>
      </c>
    </row>
    <row r="5706">
      <c r="A5706" t="s">
        <v>167</v>
      </c>
      <c r="B5706" t="s">
        <v>116</v>
      </c>
      <c r="C5706" s="35" t="s">
        <v>422</v>
      </c>
      <c r="D5706" t="s">
        <v>502</v>
      </c>
      <c r="E5706" t="s">
        <v>520</v>
      </c>
      <c r="F5706" s="188" t="n">
        <v>2037</v>
      </c>
      <c r="G5706" s="189" t="n">
        <v>54</v>
      </c>
      <c r="H5706" s="190" t="n">
        <v>13343.3659953652</v>
      </c>
      <c r="I5706" s="191" t="n">
        <v>4105967.23798064</v>
      </c>
      <c r="J5706" s="192" t="str">
        <f>IF(I5706&gt;0,H5706/I5706,0)</f>
      </c>
      <c r="K5706" s="193" t="str">
        <f>1-EXP(-J5706)</f>
      </c>
      <c r="L5706" s="194" t="str">
        <f>IF(G5706=30,1,M5705)</f>
      </c>
      <c r="M5706" s="195" t="str">
        <f>L5706*(1-K5706)</f>
      </c>
    </row>
    <row r="5707">
      <c r="A5707" t="s">
        <v>167</v>
      </c>
      <c r="B5707" t="s">
        <v>116</v>
      </c>
      <c r="C5707" s="35" t="s">
        <v>422</v>
      </c>
      <c r="D5707" t="s">
        <v>502</v>
      </c>
      <c r="E5707" t="s">
        <v>520</v>
      </c>
      <c r="F5707" s="188" t="n">
        <v>2037</v>
      </c>
      <c r="G5707" s="189" t="n">
        <v>55</v>
      </c>
      <c r="H5707" s="190" t="n">
        <v>14032.7351570828</v>
      </c>
      <c r="I5707" s="191" t="n">
        <v>3959040.4517833</v>
      </c>
      <c r="J5707" s="192" t="str">
        <f>IF(I5707&gt;0,H5707/I5707,0)</f>
      </c>
      <c r="K5707" s="193" t="str">
        <f>1-EXP(-J5707)</f>
      </c>
      <c r="L5707" s="194" t="str">
        <f>IF(G5707=30,1,M5706)</f>
      </c>
      <c r="M5707" s="195" t="str">
        <f>L5707*(1-K5707)</f>
      </c>
    </row>
    <row r="5708">
      <c r="A5708" t="s">
        <v>167</v>
      </c>
      <c r="B5708" t="s">
        <v>116</v>
      </c>
      <c r="C5708" s="35" t="s">
        <v>422</v>
      </c>
      <c r="D5708" t="s">
        <v>502</v>
      </c>
      <c r="E5708" t="s">
        <v>520</v>
      </c>
      <c r="F5708" s="188" t="n">
        <v>2037</v>
      </c>
      <c r="G5708" s="189" t="n">
        <v>56</v>
      </c>
      <c r="H5708" s="190" t="n">
        <v>14894.6787703312</v>
      </c>
      <c r="I5708" s="191" t="n">
        <v>3871052.46746425</v>
      </c>
      <c r="J5708" s="192" t="str">
        <f>IF(I5708&gt;0,H5708/I5708,0)</f>
      </c>
      <c r="K5708" s="193" t="str">
        <f>1-EXP(-J5708)</f>
      </c>
      <c r="L5708" s="194" t="str">
        <f>IF(G5708=30,1,M5707)</f>
      </c>
      <c r="M5708" s="195" t="str">
        <f>L5708*(1-K5708)</f>
      </c>
    </row>
    <row r="5709">
      <c r="A5709" t="s">
        <v>167</v>
      </c>
      <c r="B5709" t="s">
        <v>116</v>
      </c>
      <c r="C5709" s="35" t="s">
        <v>422</v>
      </c>
      <c r="D5709" t="s">
        <v>502</v>
      </c>
      <c r="E5709" t="s">
        <v>520</v>
      </c>
      <c r="F5709" s="188" t="n">
        <v>2037</v>
      </c>
      <c r="G5709" s="189" t="n">
        <v>57</v>
      </c>
      <c r="H5709" s="190" t="n">
        <v>15986.6582191992</v>
      </c>
      <c r="I5709" s="191" t="n">
        <v>3797609.37050227</v>
      </c>
      <c r="J5709" s="192" t="str">
        <f>IF(I5709&gt;0,H5709/I5709,0)</f>
      </c>
      <c r="K5709" s="193" t="str">
        <f>1-EXP(-J5709)</f>
      </c>
      <c r="L5709" s="194" t="str">
        <f>IF(G5709=30,1,M5708)</f>
      </c>
      <c r="M5709" s="195" t="str">
        <f>L5709*(1-K5709)</f>
      </c>
    </row>
    <row r="5710">
      <c r="A5710" t="s">
        <v>167</v>
      </c>
      <c r="B5710" t="s">
        <v>116</v>
      </c>
      <c r="C5710" s="35" t="s">
        <v>422</v>
      </c>
      <c r="D5710" t="s">
        <v>502</v>
      </c>
      <c r="E5710" t="s">
        <v>520</v>
      </c>
      <c r="F5710" s="188" t="n">
        <v>2037</v>
      </c>
      <c r="G5710" s="189" t="n">
        <v>58</v>
      </c>
      <c r="H5710" s="190" t="n">
        <v>17137.427452809</v>
      </c>
      <c r="I5710" s="191" t="n">
        <v>3718006.5591746</v>
      </c>
      <c r="J5710" s="192" t="str">
        <f>IF(I5710&gt;0,H5710/I5710,0)</f>
      </c>
      <c r="K5710" s="193" t="str">
        <f>1-EXP(-J5710)</f>
      </c>
      <c r="L5710" s="194" t="str">
        <f>IF(G5710=30,1,M5709)</f>
      </c>
      <c r="M5710" s="195" t="str">
        <f>L5710*(1-K5710)</f>
      </c>
    </row>
    <row r="5711">
      <c r="A5711" t="s">
        <v>167</v>
      </c>
      <c r="B5711" t="s">
        <v>116</v>
      </c>
      <c r="C5711" s="35" t="s">
        <v>422</v>
      </c>
      <c r="D5711" t="s">
        <v>502</v>
      </c>
      <c r="E5711" t="s">
        <v>520</v>
      </c>
      <c r="F5711" s="188" t="n">
        <v>2037</v>
      </c>
      <c r="G5711" s="189" t="n">
        <v>59</v>
      </c>
      <c r="H5711" s="190" t="n">
        <v>18282.7017787152</v>
      </c>
      <c r="I5711" s="191" t="n">
        <v>3619114.85489928</v>
      </c>
      <c r="J5711" s="192" t="str">
        <f>IF(I5711&gt;0,H5711/I5711,0)</f>
      </c>
      <c r="K5711" s="193" t="str">
        <f>1-EXP(-J5711)</f>
      </c>
      <c r="L5711" s="194" t="str">
        <f>IF(G5711=30,1,M5710)</f>
      </c>
      <c r="M5711" s="195" t="str">
        <f>L5711*(1-K5711)</f>
      </c>
    </row>
    <row r="5712">
      <c r="A5712" t="s">
        <v>167</v>
      </c>
      <c r="B5712" t="s">
        <v>116</v>
      </c>
      <c r="C5712" s="35" t="s">
        <v>422</v>
      </c>
      <c r="D5712" t="s">
        <v>502</v>
      </c>
      <c r="E5712" t="s">
        <v>520</v>
      </c>
      <c r="F5712" s="188" t="n">
        <v>2037</v>
      </c>
      <c r="G5712" s="189" t="n">
        <v>60</v>
      </c>
      <c r="H5712" s="190" t="n">
        <v>19644.8165551224</v>
      </c>
      <c r="I5712" s="191" t="n">
        <v>3534940.56965523</v>
      </c>
      <c r="J5712" s="192" t="str">
        <f>IF(I5712&gt;0,H5712/I5712,0)</f>
      </c>
      <c r="K5712" s="193" t="str">
        <f>1-EXP(-J5712)</f>
      </c>
      <c r="L5712" s="194" t="str">
        <f>IF(G5712=30,1,M5711)</f>
      </c>
      <c r="M5712" s="195" t="str">
        <f>L5712*(1-K5712)</f>
      </c>
    </row>
    <row r="5713">
      <c r="A5713" t="s">
        <v>167</v>
      </c>
      <c r="B5713" t="s">
        <v>116</v>
      </c>
      <c r="C5713" s="35" t="s">
        <v>422</v>
      </c>
      <c r="D5713" t="s">
        <v>502</v>
      </c>
      <c r="E5713" t="s">
        <v>520</v>
      </c>
      <c r="F5713" s="188" t="n">
        <v>2037</v>
      </c>
      <c r="G5713" s="189" t="n">
        <v>61</v>
      </c>
      <c r="H5713" s="190" t="n">
        <v>21124.510625865</v>
      </c>
      <c r="I5713" s="191" t="n">
        <v>3438478.96088838</v>
      </c>
      <c r="J5713" s="192" t="str">
        <f>IF(I5713&gt;0,H5713/I5713,0)</f>
      </c>
      <c r="K5713" s="193" t="str">
        <f>1-EXP(-J5713)</f>
      </c>
      <c r="L5713" s="194" t="str">
        <f>IF(G5713=30,1,M5712)</f>
      </c>
      <c r="M5713" s="195" t="str">
        <f>L5713*(1-K5713)</f>
      </c>
    </row>
    <row r="5714">
      <c r="A5714" t="s">
        <v>167</v>
      </c>
      <c r="B5714" t="s">
        <v>116</v>
      </c>
      <c r="C5714" s="35" t="s">
        <v>422</v>
      </c>
      <c r="D5714" t="s">
        <v>502</v>
      </c>
      <c r="E5714" t="s">
        <v>520</v>
      </c>
      <c r="F5714" s="188" t="n">
        <v>2037</v>
      </c>
      <c r="G5714" s="189" t="n">
        <v>62</v>
      </c>
      <c r="H5714" s="190" t="n">
        <v>22493.7333397152</v>
      </c>
      <c r="I5714" s="191" t="n">
        <v>3340306.03121998</v>
      </c>
      <c r="J5714" s="192" t="str">
        <f>IF(I5714&gt;0,H5714/I5714,0)</f>
      </c>
      <c r="K5714" s="193" t="str">
        <f>1-EXP(-J5714)</f>
      </c>
      <c r="L5714" s="194" t="str">
        <f>IF(G5714=30,1,M5713)</f>
      </c>
      <c r="M5714" s="195" t="str">
        <f>L5714*(1-K5714)</f>
      </c>
    </row>
    <row r="5715">
      <c r="A5715" t="s">
        <v>167</v>
      </c>
      <c r="B5715" t="s">
        <v>116</v>
      </c>
      <c r="C5715" s="35" t="s">
        <v>422</v>
      </c>
      <c r="D5715" t="s">
        <v>502</v>
      </c>
      <c r="E5715" t="s">
        <v>520</v>
      </c>
      <c r="F5715" s="188" t="n">
        <v>2037</v>
      </c>
      <c r="G5715" s="189" t="n">
        <v>63</v>
      </c>
      <c r="H5715" s="190" t="n">
        <v>23740.167611593</v>
      </c>
      <c r="I5715" s="191" t="n">
        <v>3215943.87162929</v>
      </c>
      <c r="J5715" s="192" t="str">
        <f>IF(I5715&gt;0,H5715/I5715,0)</f>
      </c>
      <c r="K5715" s="193" t="str">
        <f>1-EXP(-J5715)</f>
      </c>
      <c r="L5715" s="194" t="str">
        <f>IF(G5715=30,1,M5714)</f>
      </c>
      <c r="M5715" s="195" t="str">
        <f>L5715*(1-K5715)</f>
      </c>
    </row>
    <row r="5716">
      <c r="A5716" t="s">
        <v>167</v>
      </c>
      <c r="B5716" t="s">
        <v>116</v>
      </c>
      <c r="C5716" s="35" t="s">
        <v>422</v>
      </c>
      <c r="D5716" t="s">
        <v>502</v>
      </c>
      <c r="E5716" t="s">
        <v>520</v>
      </c>
      <c r="F5716" s="188" t="n">
        <v>2037</v>
      </c>
      <c r="G5716" s="189" t="n">
        <v>64</v>
      </c>
      <c r="H5716" s="190" t="n">
        <v>25454.7376075721</v>
      </c>
      <c r="I5716" s="191" t="n">
        <v>3144845.7844088</v>
      </c>
      <c r="J5716" s="192" t="str">
        <f>IF(I5716&gt;0,H5716/I5716,0)</f>
      </c>
      <c r="K5716" s="193" t="str">
        <f>1-EXP(-J5716)</f>
      </c>
      <c r="L5716" s="194" t="str">
        <f>IF(G5716=30,1,M5715)</f>
      </c>
      <c r="M5716" s="195" t="str">
        <f>L5716*(1-K5716)</f>
      </c>
    </row>
    <row r="5717">
      <c r="A5717" t="s">
        <v>167</v>
      </c>
      <c r="B5717" t="s">
        <v>116</v>
      </c>
      <c r="C5717" s="35" t="s">
        <v>422</v>
      </c>
      <c r="D5717" t="s">
        <v>502</v>
      </c>
      <c r="E5717" t="s">
        <v>520</v>
      </c>
      <c r="F5717" s="188" t="n">
        <v>2037</v>
      </c>
      <c r="G5717" s="189" t="n">
        <v>65</v>
      </c>
      <c r="H5717" s="190" t="n">
        <v>25021.389483381</v>
      </c>
      <c r="I5717" s="191" t="n">
        <v>2925930.62054115</v>
      </c>
      <c r="J5717" s="192" t="str">
        <f>IF(I5717&gt;0,H5717/I5717,0)</f>
      </c>
      <c r="K5717" s="193" t="str">
        <f>1-EXP(-J5717)</f>
      </c>
      <c r="L5717" s="194" t="str">
        <f>IF(G5717=30,1,M5716)</f>
      </c>
      <c r="M5717" s="195" t="str">
        <f>L5717*(1-K5717)</f>
      </c>
    </row>
    <row r="5718">
      <c r="A5718" t="s">
        <v>167</v>
      </c>
      <c r="B5718" t="s">
        <v>116</v>
      </c>
      <c r="C5718" s="35" t="s">
        <v>422</v>
      </c>
      <c r="D5718" t="s">
        <v>502</v>
      </c>
      <c r="E5718" t="s">
        <v>520</v>
      </c>
      <c r="F5718" s="188" t="n">
        <v>2037</v>
      </c>
      <c r="G5718" s="189" t="n">
        <v>66</v>
      </c>
      <c r="H5718" s="190" t="n">
        <v>26363.2558586673</v>
      </c>
      <c r="I5718" s="191" t="n">
        <v>2815867.72708856</v>
      </c>
      <c r="J5718" s="192" t="str">
        <f>IF(I5718&gt;0,H5718/I5718,0)</f>
      </c>
      <c r="K5718" s="193" t="str">
        <f>1-EXP(-J5718)</f>
      </c>
      <c r="L5718" s="194" t="str">
        <f>IF(G5718=30,1,M5717)</f>
      </c>
      <c r="M5718" s="195" t="str">
        <f>L5718*(1-K5718)</f>
      </c>
    </row>
    <row r="5719">
      <c r="A5719" t="s">
        <v>167</v>
      </c>
      <c r="B5719" t="s">
        <v>116</v>
      </c>
      <c r="C5719" s="35" t="s">
        <v>422</v>
      </c>
      <c r="D5719" t="s">
        <v>502</v>
      </c>
      <c r="E5719" t="s">
        <v>520</v>
      </c>
      <c r="F5719" s="188" t="n">
        <v>2037</v>
      </c>
      <c r="G5719" s="189" t="n">
        <v>67</v>
      </c>
      <c r="H5719" s="190" t="n">
        <v>27853.6423870959</v>
      </c>
      <c r="I5719" s="191" t="n">
        <v>2708231.14291621</v>
      </c>
      <c r="J5719" s="192" t="str">
        <f>IF(I5719&gt;0,H5719/I5719,0)</f>
      </c>
      <c r="K5719" s="193" t="str">
        <f>1-EXP(-J5719)</f>
      </c>
      <c r="L5719" s="194" t="str">
        <f>IF(G5719=30,1,M5718)</f>
      </c>
      <c r="M5719" s="195" t="str">
        <f>L5719*(1-K5719)</f>
      </c>
    </row>
    <row r="5720">
      <c r="A5720" t="s">
        <v>167</v>
      </c>
      <c r="B5720" t="s">
        <v>116</v>
      </c>
      <c r="C5720" s="35" t="s">
        <v>422</v>
      </c>
      <c r="D5720" t="s">
        <v>502</v>
      </c>
      <c r="E5720" t="s">
        <v>520</v>
      </c>
      <c r="F5720" s="188" t="n">
        <v>2037</v>
      </c>
      <c r="G5720" s="189" t="n">
        <v>68</v>
      </c>
      <c r="H5720" s="190" t="n">
        <v>29295.0934800966</v>
      </c>
      <c r="I5720" s="191" t="n">
        <v>2591652.28341891</v>
      </c>
      <c r="J5720" s="192" t="str">
        <f>IF(I5720&gt;0,H5720/I5720,0)</f>
      </c>
      <c r="K5720" s="193" t="str">
        <f>1-EXP(-J5720)</f>
      </c>
      <c r="L5720" s="194" t="str">
        <f>IF(G5720=30,1,M5719)</f>
      </c>
      <c r="M5720" s="195" t="str">
        <f>L5720*(1-K5720)</f>
      </c>
    </row>
    <row r="5721">
      <c r="A5721" t="s">
        <v>167</v>
      </c>
      <c r="B5721" t="s">
        <v>116</v>
      </c>
      <c r="C5721" s="35" t="s">
        <v>422</v>
      </c>
      <c r="D5721" t="s">
        <v>502</v>
      </c>
      <c r="E5721" t="s">
        <v>520</v>
      </c>
      <c r="F5721" s="188" t="n">
        <v>2037</v>
      </c>
      <c r="G5721" s="189" t="n">
        <v>69</v>
      </c>
      <c r="H5721" s="190" t="n">
        <v>30562.9797068779</v>
      </c>
      <c r="I5721" s="191" t="n">
        <v>2457655.34314908</v>
      </c>
      <c r="J5721" s="192" t="str">
        <f>IF(I5721&gt;0,H5721/I5721,0)</f>
      </c>
      <c r="K5721" s="193" t="str">
        <f>1-EXP(-J5721)</f>
      </c>
      <c r="L5721" s="194" t="str">
        <f>IF(G5721=30,1,M5720)</f>
      </c>
      <c r="M5721" s="195" t="str">
        <f>L5721*(1-K5721)</f>
      </c>
    </row>
    <row r="5722">
      <c r="A5722" t="s">
        <v>167</v>
      </c>
      <c r="B5722" t="s">
        <v>116</v>
      </c>
      <c r="C5722" s="35" t="s">
        <v>422</v>
      </c>
      <c r="D5722" t="s">
        <v>502</v>
      </c>
      <c r="E5722" t="s">
        <v>520</v>
      </c>
      <c r="F5722" s="188" t="n">
        <v>2038</v>
      </c>
      <c r="G5722" s="189" t="n">
        <v>30</v>
      </c>
      <c r="H5722" s="190" t="n">
        <v>711.008415011105</v>
      </c>
      <c r="I5722" s="191" t="n">
        <v>4653619.82218347</v>
      </c>
      <c r="J5722" s="192" t="str">
        <f>IF(I5722&gt;0,H5722/I5722,0)</f>
      </c>
      <c r="K5722" s="193" t="str">
        <f>1-EXP(-J5722)</f>
      </c>
      <c r="L5722" s="194" t="str">
        <f>IF(G5722=30,1,M5721)</f>
      </c>
      <c r="M5722" s="195" t="str">
        <f>L5722*(1-K5722)</f>
      </c>
    </row>
    <row r="5723">
      <c r="A5723" t="s">
        <v>167</v>
      </c>
      <c r="B5723" t="s">
        <v>116</v>
      </c>
      <c r="C5723" s="35" t="s">
        <v>422</v>
      </c>
      <c r="D5723" t="s">
        <v>502</v>
      </c>
      <c r="E5723" t="s">
        <v>520</v>
      </c>
      <c r="F5723" s="188" t="n">
        <v>2038</v>
      </c>
      <c r="G5723" s="189" t="n">
        <v>31</v>
      </c>
      <c r="H5723" s="190" t="n">
        <v>964.204983795014</v>
      </c>
      <c r="I5723" s="191" t="n">
        <v>4680051.94485226</v>
      </c>
      <c r="J5723" s="192" t="str">
        <f>IF(I5723&gt;0,H5723/I5723,0)</f>
      </c>
      <c r="K5723" s="193" t="str">
        <f>1-EXP(-J5723)</f>
      </c>
      <c r="L5723" s="194" t="str">
        <f>IF(G5723=30,1,M5722)</f>
      </c>
      <c r="M5723" s="195" t="str">
        <f>L5723*(1-K5723)</f>
      </c>
    </row>
    <row r="5724">
      <c r="A5724" t="s">
        <v>167</v>
      </c>
      <c r="B5724" t="s">
        <v>116</v>
      </c>
      <c r="C5724" s="35" t="s">
        <v>422</v>
      </c>
      <c r="D5724" t="s">
        <v>502</v>
      </c>
      <c r="E5724" t="s">
        <v>520</v>
      </c>
      <c r="F5724" s="188" t="n">
        <v>2038</v>
      </c>
      <c r="G5724" s="189" t="n">
        <v>32</v>
      </c>
      <c r="H5724" s="190" t="n">
        <v>998.270129697931</v>
      </c>
      <c r="I5724" s="191" t="n">
        <v>4597263.70876981</v>
      </c>
      <c r="J5724" s="192" t="str">
        <f>IF(I5724&gt;0,H5724/I5724,0)</f>
      </c>
      <c r="K5724" s="193" t="str">
        <f>1-EXP(-J5724)</f>
      </c>
      <c r="L5724" s="194" t="str">
        <f>IF(G5724=30,1,M5723)</f>
      </c>
      <c r="M5724" s="195" t="str">
        <f>L5724*(1-K5724)</f>
      </c>
    </row>
    <row r="5725">
      <c r="A5725" t="s">
        <v>167</v>
      </c>
      <c r="B5725" t="s">
        <v>116</v>
      </c>
      <c r="C5725" s="35" t="s">
        <v>422</v>
      </c>
      <c r="D5725" t="s">
        <v>502</v>
      </c>
      <c r="E5725" t="s">
        <v>520</v>
      </c>
      <c r="F5725" s="188" t="n">
        <v>2038</v>
      </c>
      <c r="G5725" s="189" t="n">
        <v>33</v>
      </c>
      <c r="H5725" s="190" t="n">
        <v>1044.63745449511</v>
      </c>
      <c r="I5725" s="191" t="n">
        <v>4536365.89366934</v>
      </c>
      <c r="J5725" s="192" t="str">
        <f>IF(I5725&gt;0,H5725/I5725,0)</f>
      </c>
      <c r="K5725" s="193" t="str">
        <f>1-EXP(-J5725)</f>
      </c>
      <c r="L5725" s="194" t="str">
        <f>IF(G5725=30,1,M5724)</f>
      </c>
      <c r="M5725" s="195" t="str">
        <f>L5725*(1-K5725)</f>
      </c>
    </row>
    <row r="5726">
      <c r="A5726" t="s">
        <v>167</v>
      </c>
      <c r="B5726" t="s">
        <v>116</v>
      </c>
      <c r="C5726" s="35" t="s">
        <v>422</v>
      </c>
      <c r="D5726" t="s">
        <v>502</v>
      </c>
      <c r="E5726" t="s">
        <v>520</v>
      </c>
      <c r="F5726" s="188" t="n">
        <v>2038</v>
      </c>
      <c r="G5726" s="189" t="n">
        <v>34</v>
      </c>
      <c r="H5726" s="190" t="n">
        <v>1085.07122442107</v>
      </c>
      <c r="I5726" s="191" t="n">
        <v>4407745.81209862</v>
      </c>
      <c r="J5726" s="192" t="str">
        <f>IF(I5726&gt;0,H5726/I5726,0)</f>
      </c>
      <c r="K5726" s="193" t="str">
        <f>1-EXP(-J5726)</f>
      </c>
      <c r="L5726" s="194" t="str">
        <f>IF(G5726=30,1,M5725)</f>
      </c>
      <c r="M5726" s="195" t="str">
        <f>L5726*(1-K5726)</f>
      </c>
    </row>
    <row r="5727">
      <c r="A5727" t="s">
        <v>167</v>
      </c>
      <c r="B5727" t="s">
        <v>116</v>
      </c>
      <c r="C5727" s="35" t="s">
        <v>422</v>
      </c>
      <c r="D5727" t="s">
        <v>502</v>
      </c>
      <c r="E5727" t="s">
        <v>520</v>
      </c>
      <c r="F5727" s="188" t="n">
        <v>2038</v>
      </c>
      <c r="G5727" s="189" t="n">
        <v>35</v>
      </c>
      <c r="H5727" s="190" t="n">
        <v>1438.29800912157</v>
      </c>
      <c r="I5727" s="191" t="n">
        <v>4342023.65194062</v>
      </c>
      <c r="J5727" s="192" t="str">
        <f>IF(I5727&gt;0,H5727/I5727,0)</f>
      </c>
      <c r="K5727" s="193" t="str">
        <f>1-EXP(-J5727)</f>
      </c>
      <c r="L5727" s="194" t="str">
        <f>IF(G5727=30,1,M5726)</f>
      </c>
      <c r="M5727" s="195" t="str">
        <f>L5727*(1-K5727)</f>
      </c>
    </row>
    <row r="5728">
      <c r="A5728" t="s">
        <v>167</v>
      </c>
      <c r="B5728" t="s">
        <v>116</v>
      </c>
      <c r="C5728" s="35" t="s">
        <v>422</v>
      </c>
      <c r="D5728" t="s">
        <v>502</v>
      </c>
      <c r="E5728" t="s">
        <v>520</v>
      </c>
      <c r="F5728" s="188" t="n">
        <v>2038</v>
      </c>
      <c r="G5728" s="189" t="n">
        <v>36</v>
      </c>
      <c r="H5728" s="190" t="n">
        <v>1789.79589845468</v>
      </c>
      <c r="I5728" s="191" t="n">
        <v>4319277.43220058</v>
      </c>
      <c r="J5728" s="192" t="str">
        <f>IF(I5728&gt;0,H5728/I5728,0)</f>
      </c>
      <c r="K5728" s="193" t="str">
        <f>1-EXP(-J5728)</f>
      </c>
      <c r="L5728" s="194" t="str">
        <f>IF(G5728=30,1,M5727)</f>
      </c>
      <c r="M5728" s="195" t="str">
        <f>L5728*(1-K5728)</f>
      </c>
    </row>
    <row r="5729">
      <c r="A5729" t="s">
        <v>167</v>
      </c>
      <c r="B5729" t="s">
        <v>116</v>
      </c>
      <c r="C5729" s="35" t="s">
        <v>422</v>
      </c>
      <c r="D5729" t="s">
        <v>502</v>
      </c>
      <c r="E5729" t="s">
        <v>520</v>
      </c>
      <c r="F5729" s="188" t="n">
        <v>2038</v>
      </c>
      <c r="G5729" s="189" t="n">
        <v>37</v>
      </c>
      <c r="H5729" s="190" t="n">
        <v>1917.26709808136</v>
      </c>
      <c r="I5729" s="191" t="n">
        <v>4298283.02242393</v>
      </c>
      <c r="J5729" s="192" t="str">
        <f>IF(I5729&gt;0,H5729/I5729,0)</f>
      </c>
      <c r="K5729" s="193" t="str">
        <f>1-EXP(-J5729)</f>
      </c>
      <c r="L5729" s="194" t="str">
        <f>IF(G5729=30,1,M5728)</f>
      </c>
      <c r="M5729" s="195" t="str">
        <f>L5729*(1-K5729)</f>
      </c>
    </row>
    <row r="5730">
      <c r="A5730" t="s">
        <v>167</v>
      </c>
      <c r="B5730" t="s">
        <v>116</v>
      </c>
      <c r="C5730" s="35" t="s">
        <v>422</v>
      </c>
      <c r="D5730" t="s">
        <v>502</v>
      </c>
      <c r="E5730" t="s">
        <v>520</v>
      </c>
      <c r="F5730" s="188" t="n">
        <v>2038</v>
      </c>
      <c r="G5730" s="189" t="n">
        <v>38</v>
      </c>
      <c r="H5730" s="190" t="n">
        <v>2060.05262346515</v>
      </c>
      <c r="I5730" s="191" t="n">
        <v>4276800.41439334</v>
      </c>
      <c r="J5730" s="192" t="str">
        <f>IF(I5730&gt;0,H5730/I5730,0)</f>
      </c>
      <c r="K5730" s="193" t="str">
        <f>1-EXP(-J5730)</f>
      </c>
      <c r="L5730" s="194" t="str">
        <f>IF(G5730=30,1,M5729)</f>
      </c>
      <c r="M5730" s="195" t="str">
        <f>L5730*(1-K5730)</f>
      </c>
    </row>
    <row r="5731">
      <c r="A5731" t="s">
        <v>167</v>
      </c>
      <c r="B5731" t="s">
        <v>116</v>
      </c>
      <c r="C5731" s="35" t="s">
        <v>422</v>
      </c>
      <c r="D5731" t="s">
        <v>502</v>
      </c>
      <c r="E5731" t="s">
        <v>520</v>
      </c>
      <c r="F5731" s="188" t="n">
        <v>2038</v>
      </c>
      <c r="G5731" s="189" t="n">
        <v>39</v>
      </c>
      <c r="H5731" s="190" t="n">
        <v>2238.77197845632</v>
      </c>
      <c r="I5731" s="191" t="n">
        <v>4294469.48076141</v>
      </c>
      <c r="J5731" s="192" t="str">
        <f>IF(I5731&gt;0,H5731/I5731,0)</f>
      </c>
      <c r="K5731" s="193" t="str">
        <f>1-EXP(-J5731)</f>
      </c>
      <c r="L5731" s="194" t="str">
        <f>IF(G5731=30,1,M5730)</f>
      </c>
      <c r="M5731" s="195" t="str">
        <f>L5731*(1-K5731)</f>
      </c>
    </row>
    <row r="5732">
      <c r="A5732" t="s">
        <v>167</v>
      </c>
      <c r="B5732" t="s">
        <v>116</v>
      </c>
      <c r="C5732" s="35" t="s">
        <v>422</v>
      </c>
      <c r="D5732" t="s">
        <v>502</v>
      </c>
      <c r="E5732" t="s">
        <v>520</v>
      </c>
      <c r="F5732" s="188" t="n">
        <v>2038</v>
      </c>
      <c r="G5732" s="189" t="n">
        <v>40</v>
      </c>
      <c r="H5732" s="190" t="n">
        <v>3056.50353580736</v>
      </c>
      <c r="I5732" s="191" t="n">
        <v>4350645.51624637</v>
      </c>
      <c r="J5732" s="192" t="str">
        <f>IF(I5732&gt;0,H5732/I5732,0)</f>
      </c>
      <c r="K5732" s="193" t="str">
        <f>1-EXP(-J5732)</f>
      </c>
      <c r="L5732" s="194" t="str">
        <f>IF(G5732=30,1,M5731)</f>
      </c>
      <c r="M5732" s="195" t="str">
        <f>L5732*(1-K5732)</f>
      </c>
    </row>
    <row r="5733">
      <c r="A5733" t="s">
        <v>167</v>
      </c>
      <c r="B5733" t="s">
        <v>116</v>
      </c>
      <c r="C5733" s="35" t="s">
        <v>422</v>
      </c>
      <c r="D5733" t="s">
        <v>502</v>
      </c>
      <c r="E5733" t="s">
        <v>520</v>
      </c>
      <c r="F5733" s="188" t="n">
        <v>2038</v>
      </c>
      <c r="G5733" s="189" t="n">
        <v>41</v>
      </c>
      <c r="H5733" s="190" t="n">
        <v>3632.39308433165</v>
      </c>
      <c r="I5733" s="191" t="n">
        <v>4483278.10683962</v>
      </c>
      <c r="J5733" s="192" t="str">
        <f>IF(I5733&gt;0,H5733/I5733,0)</f>
      </c>
      <c r="K5733" s="193" t="str">
        <f>1-EXP(-J5733)</f>
      </c>
      <c r="L5733" s="194" t="str">
        <f>IF(G5733=30,1,M5732)</f>
      </c>
      <c r="M5733" s="195" t="str">
        <f>L5733*(1-K5733)</f>
      </c>
    </row>
    <row r="5734">
      <c r="A5734" t="s">
        <v>167</v>
      </c>
      <c r="B5734" t="s">
        <v>116</v>
      </c>
      <c r="C5734" s="35" t="s">
        <v>422</v>
      </c>
      <c r="D5734" t="s">
        <v>502</v>
      </c>
      <c r="E5734" t="s">
        <v>520</v>
      </c>
      <c r="F5734" s="188" t="n">
        <v>2038</v>
      </c>
      <c r="G5734" s="189" t="n">
        <v>42</v>
      </c>
      <c r="H5734" s="190" t="n">
        <v>3902.56930100119</v>
      </c>
      <c r="I5734" s="191" t="n">
        <v>4436649.08306865</v>
      </c>
      <c r="J5734" s="192" t="str">
        <f>IF(I5734&gt;0,H5734/I5734,0)</f>
      </c>
      <c r="K5734" s="193" t="str">
        <f>1-EXP(-J5734)</f>
      </c>
      <c r="L5734" s="194" t="str">
        <f>IF(G5734=30,1,M5733)</f>
      </c>
      <c r="M5734" s="195" t="str">
        <f>L5734*(1-K5734)</f>
      </c>
    </row>
    <row r="5735">
      <c r="A5735" t="s">
        <v>167</v>
      </c>
      <c r="B5735" t="s">
        <v>116</v>
      </c>
      <c r="C5735" s="35" t="s">
        <v>422</v>
      </c>
      <c r="D5735" t="s">
        <v>502</v>
      </c>
      <c r="E5735" t="s">
        <v>520</v>
      </c>
      <c r="F5735" s="188" t="n">
        <v>2038</v>
      </c>
      <c r="G5735" s="189" t="n">
        <v>43</v>
      </c>
      <c r="H5735" s="190" t="n">
        <v>4174.96217563959</v>
      </c>
      <c r="I5735" s="191" t="n">
        <v>4359848.79056439</v>
      </c>
      <c r="J5735" s="192" t="str">
        <f>IF(I5735&gt;0,H5735/I5735,0)</f>
      </c>
      <c r="K5735" s="193" t="str">
        <f>1-EXP(-J5735)</f>
      </c>
      <c r="L5735" s="194" t="str">
        <f>IF(G5735=30,1,M5734)</f>
      </c>
      <c r="M5735" s="195" t="str">
        <f>L5735*(1-K5735)</f>
      </c>
    </row>
    <row r="5736">
      <c r="A5736" t="s">
        <v>167</v>
      </c>
      <c r="B5736" t="s">
        <v>116</v>
      </c>
      <c r="C5736" s="35" t="s">
        <v>422</v>
      </c>
      <c r="D5736" t="s">
        <v>502</v>
      </c>
      <c r="E5736" t="s">
        <v>520</v>
      </c>
      <c r="F5736" s="188" t="n">
        <v>2038</v>
      </c>
      <c r="G5736" s="189" t="n">
        <v>44</v>
      </c>
      <c r="H5736" s="190" t="n">
        <v>4493.90115184871</v>
      </c>
      <c r="I5736" s="191" t="n">
        <v>4298111.59961692</v>
      </c>
      <c r="J5736" s="192" t="str">
        <f>IF(I5736&gt;0,H5736/I5736,0)</f>
      </c>
      <c r="K5736" s="193" t="str">
        <f>1-EXP(-J5736)</f>
      </c>
      <c r="L5736" s="194" t="str">
        <f>IF(G5736=30,1,M5735)</f>
      </c>
      <c r="M5736" s="195" t="str">
        <f>L5736*(1-K5736)</f>
      </c>
    </row>
    <row r="5737">
      <c r="A5737" t="s">
        <v>167</v>
      </c>
      <c r="B5737" t="s">
        <v>116</v>
      </c>
      <c r="C5737" s="35" t="s">
        <v>422</v>
      </c>
      <c r="D5737" t="s">
        <v>502</v>
      </c>
      <c r="E5737" t="s">
        <v>520</v>
      </c>
      <c r="F5737" s="188" t="n">
        <v>2038</v>
      </c>
      <c r="G5737" s="189" t="n">
        <v>45</v>
      </c>
      <c r="H5737" s="190" t="n">
        <v>5714.637737627</v>
      </c>
      <c r="I5737" s="191" t="n">
        <v>4239409.94388647</v>
      </c>
      <c r="J5737" s="192" t="str">
        <f>IF(I5737&gt;0,H5737/I5737,0)</f>
      </c>
      <c r="K5737" s="193" t="str">
        <f>1-EXP(-J5737)</f>
      </c>
      <c r="L5737" s="194" t="str">
        <f>IF(G5737=30,1,M5736)</f>
      </c>
      <c r="M5737" s="195" t="str">
        <f>L5737*(1-K5737)</f>
      </c>
    </row>
    <row r="5738">
      <c r="A5738" t="s">
        <v>167</v>
      </c>
      <c r="B5738" t="s">
        <v>116</v>
      </c>
      <c r="C5738" s="35" t="s">
        <v>422</v>
      </c>
      <c r="D5738" t="s">
        <v>502</v>
      </c>
      <c r="E5738" t="s">
        <v>520</v>
      </c>
      <c r="F5738" s="188" t="n">
        <v>2038</v>
      </c>
      <c r="G5738" s="189" t="n">
        <v>46</v>
      </c>
      <c r="H5738" s="190" t="n">
        <v>6247.02299440106</v>
      </c>
      <c r="I5738" s="191" t="n">
        <v>4268796.23984721</v>
      </c>
      <c r="J5738" s="192" t="str">
        <f>IF(I5738&gt;0,H5738/I5738,0)</f>
      </c>
      <c r="K5738" s="193" t="str">
        <f>1-EXP(-J5738)</f>
      </c>
      <c r="L5738" s="194" t="str">
        <f>IF(G5738=30,1,M5737)</f>
      </c>
      <c r="M5738" s="195" t="str">
        <f>L5738*(1-K5738)</f>
      </c>
    </row>
    <row r="5739">
      <c r="A5739" t="s">
        <v>167</v>
      </c>
      <c r="B5739" t="s">
        <v>116</v>
      </c>
      <c r="C5739" s="35" t="s">
        <v>422</v>
      </c>
      <c r="D5739" t="s">
        <v>502</v>
      </c>
      <c r="E5739" t="s">
        <v>520</v>
      </c>
      <c r="F5739" s="188" t="n">
        <v>2038</v>
      </c>
      <c r="G5739" s="189" t="n">
        <v>47</v>
      </c>
      <c r="H5739" s="190" t="n">
        <v>6875.55999100267</v>
      </c>
      <c r="I5739" s="191" t="n">
        <v>4278862.76306665</v>
      </c>
      <c r="J5739" s="192" t="str">
        <f>IF(I5739&gt;0,H5739/I5739,0)</f>
      </c>
      <c r="K5739" s="193" t="str">
        <f>1-EXP(-J5739)</f>
      </c>
      <c r="L5739" s="194" t="str">
        <f>IF(G5739=30,1,M5738)</f>
      </c>
      <c r="M5739" s="195" t="str">
        <f>L5739*(1-K5739)</f>
      </c>
    </row>
    <row r="5740">
      <c r="A5740" t="s">
        <v>167</v>
      </c>
      <c r="B5740" t="s">
        <v>116</v>
      </c>
      <c r="C5740" s="35" t="s">
        <v>422</v>
      </c>
      <c r="D5740" t="s">
        <v>502</v>
      </c>
      <c r="E5740" t="s">
        <v>520</v>
      </c>
      <c r="F5740" s="188" t="n">
        <v>2038</v>
      </c>
      <c r="G5740" s="189" t="n">
        <v>48</v>
      </c>
      <c r="H5740" s="190" t="n">
        <v>10218.9730685611</v>
      </c>
      <c r="I5740" s="191" t="n">
        <v>6295703.74591665</v>
      </c>
      <c r="J5740" s="192" t="str">
        <f>IF(I5740&gt;0,H5740/I5740,0)</f>
      </c>
      <c r="K5740" s="193" t="str">
        <f>1-EXP(-J5740)</f>
      </c>
      <c r="L5740" s="194" t="str">
        <f>IF(G5740=30,1,M5739)</f>
      </c>
      <c r="M5740" s="195" t="str">
        <f>L5740*(1-K5740)</f>
      </c>
    </row>
    <row r="5741">
      <c r="A5741" t="s">
        <v>167</v>
      </c>
      <c r="B5741" t="s">
        <v>116</v>
      </c>
      <c r="C5741" s="35" t="s">
        <v>422</v>
      </c>
      <c r="D5741" t="s">
        <v>502</v>
      </c>
      <c r="E5741" t="s">
        <v>520</v>
      </c>
      <c r="F5741" s="188" t="n">
        <v>2038</v>
      </c>
      <c r="G5741" s="189" t="n">
        <v>49</v>
      </c>
      <c r="H5741" s="190" t="n">
        <v>8187.17265863871</v>
      </c>
      <c r="I5741" s="191" t="n">
        <v>4220576.98251169</v>
      </c>
      <c r="J5741" s="192" t="str">
        <f>IF(I5741&gt;0,H5741/I5741,0)</f>
      </c>
      <c r="K5741" s="193" t="str">
        <f>1-EXP(-J5741)</f>
      </c>
      <c r="L5741" s="194" t="str">
        <f>IF(G5741=30,1,M5740)</f>
      </c>
      <c r="M5741" s="195" t="str">
        <f>L5741*(1-K5741)</f>
      </c>
    </row>
    <row r="5742">
      <c r="A5742" t="s">
        <v>167</v>
      </c>
      <c r="B5742" t="s">
        <v>116</v>
      </c>
      <c r="C5742" s="35" t="s">
        <v>422</v>
      </c>
      <c r="D5742" t="s">
        <v>502</v>
      </c>
      <c r="E5742" t="s">
        <v>520</v>
      </c>
      <c r="F5742" s="188" t="n">
        <v>2038</v>
      </c>
      <c r="G5742" s="189" t="n">
        <v>50</v>
      </c>
      <c r="H5742" s="190" t="n">
        <v>9400.12776936185</v>
      </c>
      <c r="I5742" s="191" t="n">
        <v>4193872.78641359</v>
      </c>
      <c r="J5742" s="192" t="str">
        <f>IF(I5742&gt;0,H5742/I5742,0)</f>
      </c>
      <c r="K5742" s="193" t="str">
        <f>1-EXP(-J5742)</f>
      </c>
      <c r="L5742" s="194" t="str">
        <f>IF(G5742=30,1,M5741)</f>
      </c>
      <c r="M5742" s="195" t="str">
        <f>L5742*(1-K5742)</f>
      </c>
    </row>
    <row r="5743">
      <c r="A5743" t="s">
        <v>167</v>
      </c>
      <c r="B5743" t="s">
        <v>116</v>
      </c>
      <c r="C5743" s="35" t="s">
        <v>422</v>
      </c>
      <c r="D5743" t="s">
        <v>502</v>
      </c>
      <c r="E5743" t="s">
        <v>520</v>
      </c>
      <c r="F5743" s="188" t="n">
        <v>2038</v>
      </c>
      <c r="G5743" s="189" t="n">
        <v>51</v>
      </c>
      <c r="H5743" s="190" t="n">
        <v>9951.6626073632</v>
      </c>
      <c r="I5743" s="191" t="n">
        <v>4053430.96044851</v>
      </c>
      <c r="J5743" s="192" t="str">
        <f>IF(I5743&gt;0,H5743/I5743,0)</f>
      </c>
      <c r="K5743" s="193" t="str">
        <f>1-EXP(-J5743)</f>
      </c>
      <c r="L5743" s="194" t="str">
        <f>IF(G5743=30,1,M5742)</f>
      </c>
      <c r="M5743" s="195" t="str">
        <f>L5743*(1-K5743)</f>
      </c>
    </row>
    <row r="5744">
      <c r="A5744" t="s">
        <v>167</v>
      </c>
      <c r="B5744" t="s">
        <v>116</v>
      </c>
      <c r="C5744" s="35" t="s">
        <v>422</v>
      </c>
      <c r="D5744" t="s">
        <v>502</v>
      </c>
      <c r="E5744" t="s">
        <v>520</v>
      </c>
      <c r="F5744" s="188" t="n">
        <v>2038</v>
      </c>
      <c r="G5744" s="189" t="n">
        <v>52</v>
      </c>
      <c r="H5744" s="190" t="n">
        <v>10776.7913013479</v>
      </c>
      <c r="I5744" s="191" t="n">
        <v>4007566.73522576</v>
      </c>
      <c r="J5744" s="192" t="str">
        <f>IF(I5744&gt;0,H5744/I5744,0)</f>
      </c>
      <c r="K5744" s="193" t="str">
        <f>1-EXP(-J5744)</f>
      </c>
      <c r="L5744" s="194" t="str">
        <f>IF(G5744=30,1,M5743)</f>
      </c>
      <c r="M5744" s="195" t="str">
        <f>L5744*(1-K5744)</f>
      </c>
    </row>
    <row r="5745">
      <c r="A5745" t="s">
        <v>167</v>
      </c>
      <c r="B5745" t="s">
        <v>116</v>
      </c>
      <c r="C5745" s="35" t="s">
        <v>422</v>
      </c>
      <c r="D5745" t="s">
        <v>502</v>
      </c>
      <c r="E5745" t="s">
        <v>520</v>
      </c>
      <c r="F5745" s="188" t="n">
        <v>2038</v>
      </c>
      <c r="G5745" s="189" t="n">
        <v>53</v>
      </c>
      <c r="H5745" s="190" t="n">
        <v>11919.1700162202</v>
      </c>
      <c r="I5745" s="191" t="n">
        <v>4050680.6987767</v>
      </c>
      <c r="J5745" s="192" t="str">
        <f>IF(I5745&gt;0,H5745/I5745,0)</f>
      </c>
      <c r="K5745" s="193" t="str">
        <f>1-EXP(-J5745)</f>
      </c>
      <c r="L5745" s="194" t="str">
        <f>IF(G5745=30,1,M5744)</f>
      </c>
      <c r="M5745" s="195" t="str">
        <f>L5745*(1-K5745)</f>
      </c>
    </row>
    <row r="5746">
      <c r="A5746" t="s">
        <v>167</v>
      </c>
      <c r="B5746" t="s">
        <v>116</v>
      </c>
      <c r="C5746" s="35" t="s">
        <v>422</v>
      </c>
      <c r="D5746" t="s">
        <v>502</v>
      </c>
      <c r="E5746" t="s">
        <v>520</v>
      </c>
      <c r="F5746" s="188" t="n">
        <v>2038</v>
      </c>
      <c r="G5746" s="189" t="n">
        <v>54</v>
      </c>
      <c r="H5746" s="190" t="n">
        <v>13238.7882447666</v>
      </c>
      <c r="I5746" s="191" t="n">
        <v>4116154.34831162</v>
      </c>
      <c r="J5746" s="192" t="str">
        <f>IF(I5746&gt;0,H5746/I5746,0)</f>
      </c>
      <c r="K5746" s="193" t="str">
        <f>1-EXP(-J5746)</f>
      </c>
      <c r="L5746" s="194" t="str">
        <f>IF(G5746=30,1,M5745)</f>
      </c>
      <c r="M5746" s="195" t="str">
        <f>L5746*(1-K5746)</f>
      </c>
    </row>
    <row r="5747">
      <c r="A5747" t="s">
        <v>167</v>
      </c>
      <c r="B5747" t="s">
        <v>116</v>
      </c>
      <c r="C5747" s="35" t="s">
        <v>422</v>
      </c>
      <c r="D5747" t="s">
        <v>502</v>
      </c>
      <c r="E5747" t="s">
        <v>520</v>
      </c>
      <c r="F5747" s="188" t="n">
        <v>2038</v>
      </c>
      <c r="G5747" s="189" t="n">
        <v>55</v>
      </c>
      <c r="H5747" s="190" t="n">
        <v>14257.4143139178</v>
      </c>
      <c r="I5747" s="191" t="n">
        <v>4075721.76252206</v>
      </c>
      <c r="J5747" s="192" t="str">
        <f>IF(I5747&gt;0,H5747/I5747,0)</f>
      </c>
      <c r="K5747" s="193" t="str">
        <f>1-EXP(-J5747)</f>
      </c>
      <c r="L5747" s="194" t="str">
        <f>IF(G5747=30,1,M5746)</f>
      </c>
      <c r="M5747" s="195" t="str">
        <f>L5747*(1-K5747)</f>
      </c>
    </row>
    <row r="5748">
      <c r="A5748" t="s">
        <v>167</v>
      </c>
      <c r="B5748" t="s">
        <v>116</v>
      </c>
      <c r="C5748" s="35" t="s">
        <v>422</v>
      </c>
      <c r="D5748" t="s">
        <v>502</v>
      </c>
      <c r="E5748" t="s">
        <v>520</v>
      </c>
      <c r="F5748" s="188" t="n">
        <v>2038</v>
      </c>
      <c r="G5748" s="189" t="n">
        <v>56</v>
      </c>
      <c r="H5748" s="190" t="n">
        <v>14917.5031672128</v>
      </c>
      <c r="I5748" s="191" t="n">
        <v>3926917.91029301</v>
      </c>
      <c r="J5748" s="192" t="str">
        <f>IF(I5748&gt;0,H5748/I5748,0)</f>
      </c>
      <c r="K5748" s="193" t="str">
        <f>1-EXP(-J5748)</f>
      </c>
      <c r="L5748" s="194" t="str">
        <f>IF(G5748=30,1,M5747)</f>
      </c>
      <c r="M5748" s="195" t="str">
        <f>L5748*(1-K5748)</f>
      </c>
    </row>
    <row r="5749">
      <c r="A5749" t="s">
        <v>167</v>
      </c>
      <c r="B5749" t="s">
        <v>116</v>
      </c>
      <c r="C5749" s="35" t="s">
        <v>422</v>
      </c>
      <c r="D5749" t="s">
        <v>502</v>
      </c>
      <c r="E5749" t="s">
        <v>520</v>
      </c>
      <c r="F5749" s="188" t="n">
        <v>2038</v>
      </c>
      <c r="G5749" s="189" t="n">
        <v>57</v>
      </c>
      <c r="H5749" s="190" t="n">
        <v>15946.1842545558</v>
      </c>
      <c r="I5749" s="191" t="n">
        <v>3837136.55630842</v>
      </c>
      <c r="J5749" s="192" t="str">
        <f>IF(I5749&gt;0,H5749/I5749,0)</f>
      </c>
      <c r="K5749" s="193" t="str">
        <f>1-EXP(-J5749)</f>
      </c>
      <c r="L5749" s="194" t="str">
        <f>IF(G5749=30,1,M5748)</f>
      </c>
      <c r="M5749" s="195" t="str">
        <f>L5749*(1-K5749)</f>
      </c>
    </row>
    <row r="5750">
      <c r="A5750" t="s">
        <v>167</v>
      </c>
      <c r="B5750" t="s">
        <v>116</v>
      </c>
      <c r="C5750" s="35" t="s">
        <v>422</v>
      </c>
      <c r="D5750" t="s">
        <v>502</v>
      </c>
      <c r="E5750" t="s">
        <v>520</v>
      </c>
      <c r="F5750" s="188" t="n">
        <v>2038</v>
      </c>
      <c r="G5750" s="189" t="n">
        <v>58</v>
      </c>
      <c r="H5750" s="190" t="n">
        <v>17117.2323203714</v>
      </c>
      <c r="I5750" s="191" t="n">
        <v>3761271.79681364</v>
      </c>
      <c r="J5750" s="192" t="str">
        <f>IF(I5750&gt;0,H5750/I5750,0)</f>
      </c>
      <c r="K5750" s="193" t="str">
        <f>1-EXP(-J5750)</f>
      </c>
      <c r="L5750" s="194" t="str">
        <f>IF(G5750=30,1,M5749)</f>
      </c>
      <c r="M5750" s="195" t="str">
        <f>L5750*(1-K5750)</f>
      </c>
    </row>
    <row r="5751">
      <c r="A5751" t="s">
        <v>167</v>
      </c>
      <c r="B5751" t="s">
        <v>116</v>
      </c>
      <c r="C5751" s="35" t="s">
        <v>422</v>
      </c>
      <c r="D5751" t="s">
        <v>502</v>
      </c>
      <c r="E5751" t="s">
        <v>520</v>
      </c>
      <c r="F5751" s="188" t="n">
        <v>2038</v>
      </c>
      <c r="G5751" s="189" t="n">
        <v>59</v>
      </c>
      <c r="H5751" s="190" t="n">
        <v>18351.3303912893</v>
      </c>
      <c r="I5751" s="191" t="n">
        <v>3679121.42822355</v>
      </c>
      <c r="J5751" s="192" t="str">
        <f>IF(I5751&gt;0,H5751/I5751,0)</f>
      </c>
      <c r="K5751" s="193" t="str">
        <f>1-EXP(-J5751)</f>
      </c>
      <c r="L5751" s="194" t="str">
        <f>IF(G5751=30,1,M5750)</f>
      </c>
      <c r="M5751" s="195" t="str">
        <f>L5751*(1-K5751)</f>
      </c>
    </row>
    <row r="5752">
      <c r="A5752" t="s">
        <v>167</v>
      </c>
      <c r="B5752" t="s">
        <v>116</v>
      </c>
      <c r="C5752" s="35" t="s">
        <v>422</v>
      </c>
      <c r="D5752" t="s">
        <v>502</v>
      </c>
      <c r="E5752" t="s">
        <v>520</v>
      </c>
      <c r="F5752" s="188" t="n">
        <v>2038</v>
      </c>
      <c r="G5752" s="189" t="n">
        <v>60</v>
      </c>
      <c r="H5752" s="190" t="n">
        <v>19571.9190966455</v>
      </c>
      <c r="I5752" s="191" t="n">
        <v>3577702.28426071</v>
      </c>
      <c r="J5752" s="192" t="str">
        <f>IF(I5752&gt;0,H5752/I5752,0)</f>
      </c>
      <c r="K5752" s="193" t="str">
        <f>1-EXP(-J5752)</f>
      </c>
      <c r="L5752" s="194" t="str">
        <f>IF(G5752=30,1,M5751)</f>
      </c>
      <c r="M5752" s="195" t="str">
        <f>L5752*(1-K5752)</f>
      </c>
    </row>
    <row r="5753">
      <c r="A5753" t="s">
        <v>167</v>
      </c>
      <c r="B5753" t="s">
        <v>116</v>
      </c>
      <c r="C5753" s="35" t="s">
        <v>422</v>
      </c>
      <c r="D5753" t="s">
        <v>502</v>
      </c>
      <c r="E5753" t="s">
        <v>520</v>
      </c>
      <c r="F5753" s="188" t="n">
        <v>2038</v>
      </c>
      <c r="G5753" s="189" t="n">
        <v>61</v>
      </c>
      <c r="H5753" s="190" t="n">
        <v>21090.7382201056</v>
      </c>
      <c r="I5753" s="191" t="n">
        <v>3490280.38443211</v>
      </c>
      <c r="J5753" s="192" t="str">
        <f>IF(I5753&gt;0,H5753/I5753,0)</f>
      </c>
      <c r="K5753" s="193" t="str">
        <f>1-EXP(-J5753)</f>
      </c>
      <c r="L5753" s="194" t="str">
        <f>IF(G5753=30,1,M5752)</f>
      </c>
      <c r="M5753" s="195" t="str">
        <f>L5753*(1-K5753)</f>
      </c>
    </row>
    <row r="5754">
      <c r="A5754" t="s">
        <v>167</v>
      </c>
      <c r="B5754" t="s">
        <v>116</v>
      </c>
      <c r="C5754" s="35" t="s">
        <v>422</v>
      </c>
      <c r="D5754" t="s">
        <v>502</v>
      </c>
      <c r="E5754" t="s">
        <v>520</v>
      </c>
      <c r="F5754" s="188" t="n">
        <v>2038</v>
      </c>
      <c r="G5754" s="189" t="n">
        <v>62</v>
      </c>
      <c r="H5754" s="190" t="n">
        <v>22471.0338834096</v>
      </c>
      <c r="I5754" s="191" t="n">
        <v>3391063.30714447</v>
      </c>
      <c r="J5754" s="192" t="str">
        <f>IF(I5754&gt;0,H5754/I5754,0)</f>
      </c>
      <c r="K5754" s="193" t="str">
        <f>1-EXP(-J5754)</f>
      </c>
      <c r="L5754" s="194" t="str">
        <f>IF(G5754=30,1,M5753)</f>
      </c>
      <c r="M5754" s="195" t="str">
        <f>L5754*(1-K5754)</f>
      </c>
    </row>
    <row r="5755">
      <c r="A5755" t="s">
        <v>167</v>
      </c>
      <c r="B5755" t="s">
        <v>116</v>
      </c>
      <c r="C5755" s="35" t="s">
        <v>422</v>
      </c>
      <c r="D5755" t="s">
        <v>502</v>
      </c>
      <c r="E5755" t="s">
        <v>520</v>
      </c>
      <c r="F5755" s="188" t="n">
        <v>2038</v>
      </c>
      <c r="G5755" s="189" t="n">
        <v>63</v>
      </c>
      <c r="H5755" s="190" t="n">
        <v>23910.0322382746</v>
      </c>
      <c r="I5755" s="191" t="n">
        <v>3289849.80154556</v>
      </c>
      <c r="J5755" s="192" t="str">
        <f>IF(I5755&gt;0,H5755/I5755,0)</f>
      </c>
      <c r="K5755" s="193" t="str">
        <f>1-EXP(-J5755)</f>
      </c>
      <c r="L5755" s="194" t="str">
        <f>IF(G5755=30,1,M5754)</f>
      </c>
      <c r="M5755" s="195" t="str">
        <f>L5755*(1-K5755)</f>
      </c>
    </row>
    <row r="5756">
      <c r="A5756" t="s">
        <v>167</v>
      </c>
      <c r="B5756" t="s">
        <v>116</v>
      </c>
      <c r="C5756" s="35" t="s">
        <v>422</v>
      </c>
      <c r="D5756" t="s">
        <v>502</v>
      </c>
      <c r="E5756" t="s">
        <v>520</v>
      </c>
      <c r="F5756" s="188" t="n">
        <v>2038</v>
      </c>
      <c r="G5756" s="189" t="n">
        <v>64</v>
      </c>
      <c r="H5756" s="190" t="n">
        <v>25209.5043302659</v>
      </c>
      <c r="I5756" s="191" t="n">
        <v>3162716.92750317</v>
      </c>
      <c r="J5756" s="192" t="str">
        <f>IF(I5756&gt;0,H5756/I5756,0)</f>
      </c>
      <c r="K5756" s="193" t="str">
        <f>1-EXP(-J5756)</f>
      </c>
      <c r="L5756" s="194" t="str">
        <f>IF(G5756=30,1,M5755)</f>
      </c>
      <c r="M5756" s="195" t="str">
        <f>L5756*(1-K5756)</f>
      </c>
    </row>
    <row r="5757">
      <c r="A5757" t="s">
        <v>167</v>
      </c>
      <c r="B5757" t="s">
        <v>116</v>
      </c>
      <c r="C5757" s="35" t="s">
        <v>422</v>
      </c>
      <c r="D5757" t="s">
        <v>502</v>
      </c>
      <c r="E5757" t="s">
        <v>520</v>
      </c>
      <c r="F5757" s="188" t="n">
        <v>2038</v>
      </c>
      <c r="G5757" s="189" t="n">
        <v>65</v>
      </c>
      <c r="H5757" s="190" t="n">
        <v>25944.9244352225</v>
      </c>
      <c r="I5757" s="191" t="n">
        <v>3087803.14542926</v>
      </c>
      <c r="J5757" s="192" t="str">
        <f>IF(I5757&gt;0,H5757/I5757,0)</f>
      </c>
      <c r="K5757" s="193" t="str">
        <f>1-EXP(-J5757)</f>
      </c>
      <c r="L5757" s="194" t="str">
        <f>IF(G5757=30,1,M5756)</f>
      </c>
      <c r="M5757" s="195" t="str">
        <f>L5757*(1-K5757)</f>
      </c>
    </row>
    <row r="5758">
      <c r="A5758" t="s">
        <v>167</v>
      </c>
      <c r="B5758" t="s">
        <v>116</v>
      </c>
      <c r="C5758" s="35" t="s">
        <v>422</v>
      </c>
      <c r="D5758" t="s">
        <v>502</v>
      </c>
      <c r="E5758" t="s">
        <v>520</v>
      </c>
      <c r="F5758" s="188" t="n">
        <v>2038</v>
      </c>
      <c r="G5758" s="189" t="n">
        <v>66</v>
      </c>
      <c r="H5758" s="190" t="n">
        <v>26406.6971294797</v>
      </c>
      <c r="I5758" s="191" t="n">
        <v>2868120.2638739</v>
      </c>
      <c r="J5758" s="192" t="str">
        <f>IF(I5758&gt;0,H5758/I5758,0)</f>
      </c>
      <c r="K5758" s="193" t="str">
        <f>1-EXP(-J5758)</f>
      </c>
      <c r="L5758" s="194" t="str">
        <f>IF(G5758=30,1,M5757)</f>
      </c>
      <c r="M5758" s="195" t="str">
        <f>L5758*(1-K5758)</f>
      </c>
    </row>
    <row r="5759">
      <c r="A5759" t="s">
        <v>167</v>
      </c>
      <c r="B5759" t="s">
        <v>116</v>
      </c>
      <c r="C5759" s="35" t="s">
        <v>422</v>
      </c>
      <c r="D5759" t="s">
        <v>502</v>
      </c>
      <c r="E5759" t="s">
        <v>520</v>
      </c>
      <c r="F5759" s="188" t="n">
        <v>2038</v>
      </c>
      <c r="G5759" s="189" t="n">
        <v>67</v>
      </c>
      <c r="H5759" s="190" t="n">
        <v>27862.1129085476</v>
      </c>
      <c r="I5759" s="191" t="n">
        <v>2754478.41887263</v>
      </c>
      <c r="J5759" s="192" t="str">
        <f>IF(I5759&gt;0,H5759/I5759,0)</f>
      </c>
      <c r="K5759" s="193" t="str">
        <f>1-EXP(-J5759)</f>
      </c>
      <c r="L5759" s="194" t="str">
        <f>IF(G5759=30,1,M5758)</f>
      </c>
      <c r="M5759" s="195" t="str">
        <f>L5759*(1-K5759)</f>
      </c>
    </row>
    <row r="5760">
      <c r="A5760" t="s">
        <v>167</v>
      </c>
      <c r="B5760" t="s">
        <v>116</v>
      </c>
      <c r="C5760" s="35" t="s">
        <v>422</v>
      </c>
      <c r="D5760" t="s">
        <v>502</v>
      </c>
      <c r="E5760" t="s">
        <v>520</v>
      </c>
      <c r="F5760" s="188" t="n">
        <v>2038</v>
      </c>
      <c r="G5760" s="189" t="n">
        <v>68</v>
      </c>
      <c r="H5760" s="190" t="n">
        <v>29402.2250761769</v>
      </c>
      <c r="I5760" s="191" t="n">
        <v>2643461.53967765</v>
      </c>
      <c r="J5760" s="192" t="str">
        <f>IF(I5760&gt;0,H5760/I5760,0)</f>
      </c>
      <c r="K5760" s="193" t="str">
        <f>1-EXP(-J5760)</f>
      </c>
      <c r="L5760" s="194" t="str">
        <f>IF(G5760=30,1,M5759)</f>
      </c>
      <c r="M5760" s="195" t="str">
        <f>L5760*(1-K5760)</f>
      </c>
    </row>
    <row r="5761">
      <c r="A5761" t="s">
        <v>167</v>
      </c>
      <c r="B5761" t="s">
        <v>116</v>
      </c>
      <c r="C5761" s="35" t="s">
        <v>422</v>
      </c>
      <c r="D5761" t="s">
        <v>502</v>
      </c>
      <c r="E5761" t="s">
        <v>520</v>
      </c>
      <c r="F5761" s="188" t="n">
        <v>2038</v>
      </c>
      <c r="G5761" s="189" t="n">
        <v>69</v>
      </c>
      <c r="H5761" s="190" t="n">
        <v>30885.6146884423</v>
      </c>
      <c r="I5761" s="191" t="n">
        <v>2523632.09681456</v>
      </c>
      <c r="J5761" s="192" t="str">
        <f>IF(I5761&gt;0,H5761/I5761,0)</f>
      </c>
      <c r="K5761" s="193" t="str">
        <f>1-EXP(-J5761)</f>
      </c>
      <c r="L5761" s="194" t="str">
        <f>IF(G5761=30,1,M5760)</f>
      </c>
      <c r="M5761" s="195" t="str">
        <f>L5761*(1-K5761)</f>
      </c>
    </row>
    <row r="5762">
      <c r="A5762" t="s">
        <v>167</v>
      </c>
      <c r="B5762" t="s">
        <v>116</v>
      </c>
      <c r="C5762" s="35" t="s">
        <v>422</v>
      </c>
      <c r="D5762" t="s">
        <v>502</v>
      </c>
      <c r="E5762" t="s">
        <v>520</v>
      </c>
      <c r="F5762" s="188" t="n">
        <v>2039</v>
      </c>
      <c r="G5762" s="189" t="n">
        <v>30</v>
      </c>
      <c r="H5762" s="190" t="n">
        <v>719.845515395305</v>
      </c>
      <c r="I5762" s="191" t="n">
        <v>4690680.34666894</v>
      </c>
      <c r="J5762" s="192" t="str">
        <f>IF(I5762&gt;0,H5762/I5762,0)</f>
      </c>
      <c r="K5762" s="193" t="str">
        <f>1-EXP(-J5762)</f>
      </c>
      <c r="L5762" s="194" t="str">
        <f>IF(G5762=30,1,M5761)</f>
      </c>
      <c r="M5762" s="195" t="str">
        <f>L5762*(1-K5762)</f>
      </c>
    </row>
    <row r="5763">
      <c r="A5763" t="s">
        <v>167</v>
      </c>
      <c r="B5763" t="s">
        <v>116</v>
      </c>
      <c r="C5763" s="35" t="s">
        <v>422</v>
      </c>
      <c r="D5763" t="s">
        <v>502</v>
      </c>
      <c r="E5763" t="s">
        <v>520</v>
      </c>
      <c r="F5763" s="188" t="n">
        <v>2039</v>
      </c>
      <c r="G5763" s="189" t="n">
        <v>31</v>
      </c>
      <c r="H5763" s="190" t="n">
        <v>915.555677664183</v>
      </c>
      <c r="I5763" s="191" t="n">
        <v>4648084.37235891</v>
      </c>
      <c r="J5763" s="192" t="str">
        <f>IF(I5763&gt;0,H5763/I5763,0)</f>
      </c>
      <c r="K5763" s="193" t="str">
        <f>1-EXP(-J5763)</f>
      </c>
      <c r="L5763" s="194" t="str">
        <f>IF(G5763=30,1,M5762)</f>
      </c>
      <c r="M5763" s="195" t="str">
        <f>L5763*(1-K5763)</f>
      </c>
    </row>
    <row r="5764">
      <c r="A5764" t="s">
        <v>167</v>
      </c>
      <c r="B5764" t="s">
        <v>116</v>
      </c>
      <c r="C5764" s="35" t="s">
        <v>422</v>
      </c>
      <c r="D5764" t="s">
        <v>502</v>
      </c>
      <c r="E5764" t="s">
        <v>520</v>
      </c>
      <c r="F5764" s="188" t="n">
        <v>2039</v>
      </c>
      <c r="G5764" s="189" t="n">
        <v>32</v>
      </c>
      <c r="H5764" s="190" t="n">
        <v>1018.89412515167</v>
      </c>
      <c r="I5764" s="191" t="n">
        <v>4674538.44674173</v>
      </c>
      <c r="J5764" s="192" t="str">
        <f>IF(I5764&gt;0,H5764/I5764,0)</f>
      </c>
      <c r="K5764" s="193" t="str">
        <f>1-EXP(-J5764)</f>
      </c>
      <c r="L5764" s="194" t="str">
        <f>IF(G5764=30,1,M5763)</f>
      </c>
      <c r="M5764" s="195" t="str">
        <f>L5764*(1-K5764)</f>
      </c>
    </row>
    <row r="5765">
      <c r="A5765" t="s">
        <v>167</v>
      </c>
      <c r="B5765" t="s">
        <v>116</v>
      </c>
      <c r="C5765" s="35" t="s">
        <v>422</v>
      </c>
      <c r="D5765" t="s">
        <v>502</v>
      </c>
      <c r="E5765" t="s">
        <v>520</v>
      </c>
      <c r="F5765" s="188" t="n">
        <v>2039</v>
      </c>
      <c r="G5765" s="189" t="n">
        <v>33</v>
      </c>
      <c r="H5765" s="190" t="n">
        <v>1061.03891548391</v>
      </c>
      <c r="I5765" s="191" t="n">
        <v>4591620.69021115</v>
      </c>
      <c r="J5765" s="192" t="str">
        <f>IF(I5765&gt;0,H5765/I5765,0)</f>
      </c>
      <c r="K5765" s="193" t="str">
        <f>1-EXP(-J5765)</f>
      </c>
      <c r="L5765" s="194" t="str">
        <f>IF(G5765=30,1,M5764)</f>
      </c>
      <c r="M5765" s="195" t="str">
        <f>L5765*(1-K5765)</f>
      </c>
    </row>
    <row r="5766">
      <c r="A5766" t="s">
        <v>167</v>
      </c>
      <c r="B5766" t="s">
        <v>116</v>
      </c>
      <c r="C5766" s="35" t="s">
        <v>422</v>
      </c>
      <c r="D5766" t="s">
        <v>502</v>
      </c>
      <c r="E5766" t="s">
        <v>520</v>
      </c>
      <c r="F5766" s="188" t="n">
        <v>2039</v>
      </c>
      <c r="G5766" s="189" t="n">
        <v>34</v>
      </c>
      <c r="H5766" s="190" t="n">
        <v>1116.97889583252</v>
      </c>
      <c r="I5766" s="191" t="n">
        <v>4530533.36464915</v>
      </c>
      <c r="J5766" s="192" t="str">
        <f>IF(I5766&gt;0,H5766/I5766,0)</f>
      </c>
      <c r="K5766" s="193" t="str">
        <f>1-EXP(-J5766)</f>
      </c>
      <c r="L5766" s="194" t="str">
        <f>IF(G5766=30,1,M5765)</f>
      </c>
      <c r="M5766" s="195" t="str">
        <f>L5766*(1-K5766)</f>
      </c>
    </row>
    <row r="5767">
      <c r="A5767" t="s">
        <v>167</v>
      </c>
      <c r="B5767" t="s">
        <v>116</v>
      </c>
      <c r="C5767" s="35" t="s">
        <v>422</v>
      </c>
      <c r="D5767" t="s">
        <v>502</v>
      </c>
      <c r="E5767" t="s">
        <v>520</v>
      </c>
      <c r="F5767" s="188" t="n">
        <v>2039</v>
      </c>
      <c r="G5767" s="189" t="n">
        <v>35</v>
      </c>
      <c r="H5767" s="190" t="n">
        <v>1455.78105390019</v>
      </c>
      <c r="I5767" s="191" t="n">
        <v>4401772.21994027</v>
      </c>
      <c r="J5767" s="192" t="str">
        <f>IF(I5767&gt;0,H5767/I5767,0)</f>
      </c>
      <c r="K5767" s="193" t="str">
        <f>1-EXP(-J5767)</f>
      </c>
      <c r="L5767" s="194" t="str">
        <f>IF(G5767=30,1,M5766)</f>
      </c>
      <c r="M5767" s="195" t="str">
        <f>L5767*(1-K5767)</f>
      </c>
    </row>
    <row r="5768">
      <c r="A5768" t="s">
        <v>167</v>
      </c>
      <c r="B5768" t="s">
        <v>116</v>
      </c>
      <c r="C5768" s="35" t="s">
        <v>422</v>
      </c>
      <c r="D5768" t="s">
        <v>502</v>
      </c>
      <c r="E5768" t="s">
        <v>520</v>
      </c>
      <c r="F5768" s="188" t="n">
        <v>2039</v>
      </c>
      <c r="G5768" s="189" t="n">
        <v>36</v>
      </c>
      <c r="H5768" s="190" t="n">
        <v>1658.68137746598</v>
      </c>
      <c r="I5768" s="191" t="n">
        <v>4335462.44362862</v>
      </c>
      <c r="J5768" s="192" t="str">
        <f>IF(I5768&gt;0,H5768/I5768,0)</f>
      </c>
      <c r="K5768" s="193" t="str">
        <f>1-EXP(-J5768)</f>
      </c>
      <c r="L5768" s="194" t="str">
        <f>IF(G5768=30,1,M5767)</f>
      </c>
      <c r="M5768" s="195" t="str">
        <f>L5768*(1-K5768)</f>
      </c>
    </row>
    <row r="5769">
      <c r="A5769" t="s">
        <v>167</v>
      </c>
      <c r="B5769" t="s">
        <v>116</v>
      </c>
      <c r="C5769" s="35" t="s">
        <v>422</v>
      </c>
      <c r="D5769" t="s">
        <v>502</v>
      </c>
      <c r="E5769" t="s">
        <v>520</v>
      </c>
      <c r="F5769" s="188" t="n">
        <v>2039</v>
      </c>
      <c r="G5769" s="189" t="n">
        <v>37</v>
      </c>
      <c r="H5769" s="190" t="n">
        <v>1919.09979161812</v>
      </c>
      <c r="I5769" s="191" t="n">
        <v>4312468.28771839</v>
      </c>
      <c r="J5769" s="192" t="str">
        <f>IF(I5769&gt;0,H5769/I5769,0)</f>
      </c>
      <c r="K5769" s="193" t="str">
        <f>1-EXP(-J5769)</f>
      </c>
      <c r="L5769" s="194" t="str">
        <f>IF(G5769=30,1,M5768)</f>
      </c>
      <c r="M5769" s="195" t="str">
        <f>L5769*(1-K5769)</f>
      </c>
    </row>
    <row r="5770">
      <c r="A5770" t="s">
        <v>167</v>
      </c>
      <c r="B5770" t="s">
        <v>116</v>
      </c>
      <c r="C5770" s="35" t="s">
        <v>422</v>
      </c>
      <c r="D5770" t="s">
        <v>502</v>
      </c>
      <c r="E5770" t="s">
        <v>520</v>
      </c>
      <c r="F5770" s="188" t="n">
        <v>2039</v>
      </c>
      <c r="G5770" s="189" t="n">
        <v>38</v>
      </c>
      <c r="H5770" s="190" t="n">
        <v>2060.99315305923</v>
      </c>
      <c r="I5770" s="191" t="n">
        <v>4291034.53090451</v>
      </c>
      <c r="J5770" s="192" t="str">
        <f>IF(I5770&gt;0,H5770/I5770,0)</f>
      </c>
      <c r="K5770" s="193" t="str">
        <f>1-EXP(-J5770)</f>
      </c>
      <c r="L5770" s="194" t="str">
        <f>IF(G5770=30,1,M5769)</f>
      </c>
      <c r="M5770" s="195" t="str">
        <f>L5770*(1-K5770)</f>
      </c>
    </row>
    <row r="5771">
      <c r="A5771" t="s">
        <v>167</v>
      </c>
      <c r="B5771" t="s">
        <v>116</v>
      </c>
      <c r="C5771" s="35" t="s">
        <v>422</v>
      </c>
      <c r="D5771" t="s">
        <v>502</v>
      </c>
      <c r="E5771" t="s">
        <v>520</v>
      </c>
      <c r="F5771" s="188" t="n">
        <v>2039</v>
      </c>
      <c r="G5771" s="189" t="n">
        <v>39</v>
      </c>
      <c r="H5771" s="190" t="n">
        <v>2219.00129667855</v>
      </c>
      <c r="I5771" s="191" t="n">
        <v>4269059.60018255</v>
      </c>
      <c r="J5771" s="192" t="str">
        <f>IF(I5771&gt;0,H5771/I5771,0)</f>
      </c>
      <c r="K5771" s="193" t="str">
        <f>1-EXP(-J5771)</f>
      </c>
      <c r="L5771" s="194" t="str">
        <f>IF(G5771=30,1,M5770)</f>
      </c>
      <c r="M5771" s="195" t="str">
        <f>L5771*(1-K5771)</f>
      </c>
    </row>
    <row r="5772">
      <c r="A5772" t="s">
        <v>167</v>
      </c>
      <c r="B5772" t="s">
        <v>116</v>
      </c>
      <c r="C5772" s="35" t="s">
        <v>422</v>
      </c>
      <c r="D5772" t="s">
        <v>502</v>
      </c>
      <c r="E5772" t="s">
        <v>520</v>
      </c>
      <c r="F5772" s="188" t="n">
        <v>2039</v>
      </c>
      <c r="G5772" s="189" t="n">
        <v>40</v>
      </c>
      <c r="H5772" s="190" t="n">
        <v>2999.79153453763</v>
      </c>
      <c r="I5772" s="191" t="n">
        <v>4286105.50472957</v>
      </c>
      <c r="J5772" s="192" t="str">
        <f>IF(I5772&gt;0,H5772/I5772,0)</f>
      </c>
      <c r="K5772" s="193" t="str">
        <f>1-EXP(-J5772)</f>
      </c>
      <c r="L5772" s="194" t="str">
        <f>IF(G5772=30,1,M5771)</f>
      </c>
      <c r="M5772" s="195" t="str">
        <f>L5772*(1-K5772)</f>
      </c>
    </row>
    <row r="5773">
      <c r="A5773" t="s">
        <v>167</v>
      </c>
      <c r="B5773" t="s">
        <v>116</v>
      </c>
      <c r="C5773" s="35" t="s">
        <v>422</v>
      </c>
      <c r="D5773" t="s">
        <v>502</v>
      </c>
      <c r="E5773" t="s">
        <v>520</v>
      </c>
      <c r="F5773" s="188" t="n">
        <v>2039</v>
      </c>
      <c r="G5773" s="189" t="n">
        <v>41</v>
      </c>
      <c r="H5773" s="190" t="n">
        <v>3315.15773632084</v>
      </c>
      <c r="I5773" s="191" t="n">
        <v>4340829.93453539</v>
      </c>
      <c r="J5773" s="192" t="str">
        <f>IF(I5773&gt;0,H5773/I5773,0)</f>
      </c>
      <c r="K5773" s="193" t="str">
        <f>1-EXP(-J5773)</f>
      </c>
      <c r="L5773" s="194" t="str">
        <f>IF(G5773=30,1,M5772)</f>
      </c>
      <c r="M5773" s="195" t="str">
        <f>L5773*(1-K5773)</f>
      </c>
    </row>
    <row r="5774">
      <c r="A5774" t="s">
        <v>167</v>
      </c>
      <c r="B5774" t="s">
        <v>116</v>
      </c>
      <c r="C5774" s="35" t="s">
        <v>422</v>
      </c>
      <c r="D5774" t="s">
        <v>502</v>
      </c>
      <c r="E5774" t="s">
        <v>520</v>
      </c>
      <c r="F5774" s="188" t="n">
        <v>2039</v>
      </c>
      <c r="G5774" s="189" t="n">
        <v>42</v>
      </c>
      <c r="H5774" s="190" t="n">
        <v>3912.32874215137</v>
      </c>
      <c r="I5774" s="191" t="n">
        <v>4472891.44121813</v>
      </c>
      <c r="J5774" s="192" t="str">
        <f>IF(I5774&gt;0,H5774/I5774,0)</f>
      </c>
      <c r="K5774" s="193" t="str">
        <f>1-EXP(-J5774)</f>
      </c>
      <c r="L5774" s="194" t="str">
        <f>IF(G5774=30,1,M5773)</f>
      </c>
      <c r="M5774" s="195" t="str">
        <f>L5774*(1-K5774)</f>
      </c>
    </row>
    <row r="5775">
      <c r="A5775" t="s">
        <v>167</v>
      </c>
      <c r="B5775" t="s">
        <v>116</v>
      </c>
      <c r="C5775" s="35" t="s">
        <v>422</v>
      </c>
      <c r="D5775" t="s">
        <v>502</v>
      </c>
      <c r="E5775" t="s">
        <v>520</v>
      </c>
      <c r="F5775" s="188" t="n">
        <v>2039</v>
      </c>
      <c r="G5775" s="189" t="n">
        <v>43</v>
      </c>
      <c r="H5775" s="190" t="n">
        <v>4213.10308356109</v>
      </c>
      <c r="I5775" s="191" t="n">
        <v>4425525.88074473</v>
      </c>
      <c r="J5775" s="192" t="str">
        <f>IF(I5775&gt;0,H5775/I5775,0)</f>
      </c>
      <c r="K5775" s="193" t="str">
        <f>1-EXP(-J5775)</f>
      </c>
      <c r="L5775" s="194" t="str">
        <f>IF(G5775=30,1,M5774)</f>
      </c>
      <c r="M5775" s="195" t="str">
        <f>L5775*(1-K5775)</f>
      </c>
    </row>
    <row r="5776">
      <c r="A5776" t="s">
        <v>167</v>
      </c>
      <c r="B5776" t="s">
        <v>116</v>
      </c>
      <c r="C5776" s="35" t="s">
        <v>422</v>
      </c>
      <c r="D5776" t="s">
        <v>502</v>
      </c>
      <c r="E5776" t="s">
        <v>520</v>
      </c>
      <c r="F5776" s="188" t="n">
        <v>2039</v>
      </c>
      <c r="G5776" s="189" t="n">
        <v>44</v>
      </c>
      <c r="H5776" s="190" t="n">
        <v>4517.22256063423</v>
      </c>
      <c r="I5776" s="191" t="n">
        <v>4347989.43434317</v>
      </c>
      <c r="J5776" s="192" t="str">
        <f>IF(I5776&gt;0,H5776/I5776,0)</f>
      </c>
      <c r="K5776" s="193" t="str">
        <f>1-EXP(-J5776)</f>
      </c>
      <c r="L5776" s="194" t="str">
        <f>IF(G5776=30,1,M5775)</f>
      </c>
      <c r="M5776" s="195" t="str">
        <f>L5776*(1-K5776)</f>
      </c>
    </row>
    <row r="5777">
      <c r="A5777" t="s">
        <v>167</v>
      </c>
      <c r="B5777" t="s">
        <v>116</v>
      </c>
      <c r="C5777" s="35" t="s">
        <v>422</v>
      </c>
      <c r="D5777" t="s">
        <v>502</v>
      </c>
      <c r="E5777" t="s">
        <v>520</v>
      </c>
      <c r="F5777" s="188" t="n">
        <v>2039</v>
      </c>
      <c r="G5777" s="189" t="n">
        <v>45</v>
      </c>
      <c r="H5777" s="190" t="n">
        <v>5735.51937880678</v>
      </c>
      <c r="I5777" s="191" t="n">
        <v>4285391.1547084</v>
      </c>
      <c r="J5777" s="192" t="str">
        <f>IF(I5777&gt;0,H5777/I5777,0)</f>
      </c>
      <c r="K5777" s="193" t="str">
        <f>1-EXP(-J5777)</f>
      </c>
      <c r="L5777" s="194" t="str">
        <f>IF(G5777=30,1,M5776)</f>
      </c>
      <c r="M5777" s="195" t="str">
        <f>L5777*(1-K5777)</f>
      </c>
    </row>
    <row r="5778">
      <c r="A5778" t="s">
        <v>167</v>
      </c>
      <c r="B5778" t="s">
        <v>116</v>
      </c>
      <c r="C5778" s="35" t="s">
        <v>422</v>
      </c>
      <c r="D5778" t="s">
        <v>502</v>
      </c>
      <c r="E5778" t="s">
        <v>520</v>
      </c>
      <c r="F5778" s="188" t="n">
        <v>2039</v>
      </c>
      <c r="G5778" s="189" t="n">
        <v>46</v>
      </c>
      <c r="H5778" s="190" t="n">
        <v>6144.32529547093</v>
      </c>
      <c r="I5778" s="191" t="n">
        <v>4224811.03223609</v>
      </c>
      <c r="J5778" s="192" t="str">
        <f>IF(I5778&gt;0,H5778/I5778,0)</f>
      </c>
      <c r="K5778" s="193" t="str">
        <f>1-EXP(-J5778)</f>
      </c>
      <c r="L5778" s="194" t="str">
        <f>IF(G5778=30,1,M5777)</f>
      </c>
      <c r="M5778" s="195" t="str">
        <f>L5778*(1-K5778)</f>
      </c>
    </row>
    <row r="5779">
      <c r="A5779" t="s">
        <v>167</v>
      </c>
      <c r="B5779" t="s">
        <v>116</v>
      </c>
      <c r="C5779" s="35" t="s">
        <v>422</v>
      </c>
      <c r="D5779" t="s">
        <v>502</v>
      </c>
      <c r="E5779" t="s">
        <v>520</v>
      </c>
      <c r="F5779" s="188" t="n">
        <v>2039</v>
      </c>
      <c r="G5779" s="189" t="n">
        <v>47</v>
      </c>
      <c r="H5779" s="190" t="n">
        <v>6784.19461188397</v>
      </c>
      <c r="I5779" s="191" t="n">
        <v>4253771.11869217</v>
      </c>
      <c r="J5779" s="192" t="str">
        <f>IF(I5779&gt;0,H5779/I5779,0)</f>
      </c>
      <c r="K5779" s="193" t="str">
        <f>1-EXP(-J5779)</f>
      </c>
      <c r="L5779" s="194" t="str">
        <f>IF(G5779=30,1,M5778)</f>
      </c>
      <c r="M5779" s="195" t="str">
        <f>L5779*(1-K5779)</f>
      </c>
    </row>
    <row r="5780">
      <c r="A5780" t="s">
        <v>167</v>
      </c>
      <c r="B5780" t="s">
        <v>116</v>
      </c>
      <c r="C5780" s="35" t="s">
        <v>422</v>
      </c>
      <c r="D5780" t="s">
        <v>502</v>
      </c>
      <c r="E5780" t="s">
        <v>520</v>
      </c>
      <c r="F5780" s="188" t="n">
        <v>2039</v>
      </c>
      <c r="G5780" s="189" t="n">
        <v>48</v>
      </c>
      <c r="H5780" s="190" t="n">
        <v>7469.59181271353</v>
      </c>
      <c r="I5780" s="191" t="n">
        <v>4262371.47235119</v>
      </c>
      <c r="J5780" s="192" t="str">
        <f>IF(I5780&gt;0,H5780/I5780,0)</f>
      </c>
      <c r="K5780" s="193" t="str">
        <f>1-EXP(-J5780)</f>
      </c>
      <c r="L5780" s="194" t="str">
        <f>IF(G5780=30,1,M5779)</f>
      </c>
      <c r="M5780" s="195" t="str">
        <f>L5780*(1-K5780)</f>
      </c>
    </row>
    <row r="5781">
      <c r="A5781" t="s">
        <v>167</v>
      </c>
      <c r="B5781" t="s">
        <v>116</v>
      </c>
      <c r="C5781" s="35" t="s">
        <v>422</v>
      </c>
      <c r="D5781" t="s">
        <v>502</v>
      </c>
      <c r="E5781" t="s">
        <v>520</v>
      </c>
      <c r="F5781" s="188" t="n">
        <v>2039</v>
      </c>
      <c r="G5781" s="189" t="n">
        <v>49</v>
      </c>
      <c r="H5781" s="190" t="n">
        <v>11054.1292568725</v>
      </c>
      <c r="I5781" s="191" t="n">
        <v>6270636.78222341</v>
      </c>
      <c r="J5781" s="192" t="str">
        <f>IF(I5781&gt;0,H5781/I5781,0)</f>
      </c>
      <c r="K5781" s="193" t="str">
        <f>1-EXP(-J5781)</f>
      </c>
      <c r="L5781" s="194" t="str">
        <f>IF(G5781=30,1,M5780)</f>
      </c>
      <c r="M5781" s="195" t="str">
        <f>L5781*(1-K5781)</f>
      </c>
    </row>
    <row r="5782">
      <c r="A5782" t="s">
        <v>167</v>
      </c>
      <c r="B5782" t="s">
        <v>116</v>
      </c>
      <c r="C5782" s="35" t="s">
        <v>422</v>
      </c>
      <c r="D5782" t="s">
        <v>502</v>
      </c>
      <c r="E5782" t="s">
        <v>520</v>
      </c>
      <c r="F5782" s="188" t="n">
        <v>2039</v>
      </c>
      <c r="G5782" s="189" t="n">
        <v>50</v>
      </c>
      <c r="H5782" s="190" t="n">
        <v>9336.35625387466</v>
      </c>
      <c r="I5782" s="191" t="n">
        <v>4201030.55517433</v>
      </c>
      <c r="J5782" s="192" t="str">
        <f>IF(I5782&gt;0,H5782/I5782,0)</f>
      </c>
      <c r="K5782" s="193" t="str">
        <f>1-EXP(-J5782)</f>
      </c>
      <c r="L5782" s="194" t="str">
        <f>IF(G5782=30,1,M5781)</f>
      </c>
      <c r="M5782" s="195" t="str">
        <f>L5782*(1-K5782)</f>
      </c>
    </row>
    <row r="5783">
      <c r="A5783" t="s">
        <v>167</v>
      </c>
      <c r="B5783" t="s">
        <v>116</v>
      </c>
      <c r="C5783" s="35" t="s">
        <v>422</v>
      </c>
      <c r="D5783" t="s">
        <v>502</v>
      </c>
      <c r="E5783" t="s">
        <v>520</v>
      </c>
      <c r="F5783" s="188" t="n">
        <v>2039</v>
      </c>
      <c r="G5783" s="189" t="n">
        <v>51</v>
      </c>
      <c r="H5783" s="190" t="n">
        <v>10131.6663110486</v>
      </c>
      <c r="I5783" s="191" t="n">
        <v>4171855.83481649</v>
      </c>
      <c r="J5783" s="192" t="str">
        <f>IF(I5783&gt;0,H5783/I5783,0)</f>
      </c>
      <c r="K5783" s="193" t="str">
        <f>1-EXP(-J5783)</f>
      </c>
      <c r="L5783" s="194" t="str">
        <f>IF(G5783=30,1,M5782)</f>
      </c>
      <c r="M5783" s="195" t="str">
        <f>L5783*(1-K5783)</f>
      </c>
    </row>
    <row r="5784">
      <c r="A5784" t="s">
        <v>167</v>
      </c>
      <c r="B5784" t="s">
        <v>116</v>
      </c>
      <c r="C5784" s="35" t="s">
        <v>422</v>
      </c>
      <c r="D5784" t="s">
        <v>502</v>
      </c>
      <c r="E5784" t="s">
        <v>520</v>
      </c>
      <c r="F5784" s="188" t="n">
        <v>2039</v>
      </c>
      <c r="G5784" s="189" t="n">
        <v>52</v>
      </c>
      <c r="H5784" s="190" t="n">
        <v>10729.8735399574</v>
      </c>
      <c r="I5784" s="191" t="n">
        <v>4030866.98152851</v>
      </c>
      <c r="J5784" s="192" t="str">
        <f>IF(I5784&gt;0,H5784/I5784,0)</f>
      </c>
      <c r="K5784" s="193" t="str">
        <f>1-EXP(-J5784)</f>
      </c>
      <c r="L5784" s="194" t="str">
        <f>IF(G5784=30,1,M5783)</f>
      </c>
      <c r="M5784" s="195" t="str">
        <f>L5784*(1-K5784)</f>
      </c>
    </row>
    <row r="5785">
      <c r="A5785" t="s">
        <v>167</v>
      </c>
      <c r="B5785" t="s">
        <v>116</v>
      </c>
      <c r="C5785" s="35" t="s">
        <v>422</v>
      </c>
      <c r="D5785" t="s">
        <v>502</v>
      </c>
      <c r="E5785" t="s">
        <v>520</v>
      </c>
      <c r="F5785" s="188" t="n">
        <v>2039</v>
      </c>
      <c r="G5785" s="189" t="n">
        <v>53</v>
      </c>
      <c r="H5785" s="190" t="n">
        <v>11600.5694011771</v>
      </c>
      <c r="I5785" s="191" t="n">
        <v>3983163.3434256</v>
      </c>
      <c r="J5785" s="192" t="str">
        <f>IF(I5785&gt;0,H5785/I5785,0)</f>
      </c>
      <c r="K5785" s="193" t="str">
        <f>1-EXP(-J5785)</f>
      </c>
      <c r="L5785" s="194" t="str">
        <f>IF(G5785=30,1,M5784)</f>
      </c>
      <c r="M5785" s="195" t="str">
        <f>L5785*(1-K5785)</f>
      </c>
    </row>
    <row r="5786">
      <c r="A5786" t="s">
        <v>167</v>
      </c>
      <c r="B5786" t="s">
        <v>116</v>
      </c>
      <c r="C5786" s="35" t="s">
        <v>422</v>
      </c>
      <c r="D5786" t="s">
        <v>502</v>
      </c>
      <c r="E5786" t="s">
        <v>520</v>
      </c>
      <c r="F5786" s="188" t="n">
        <v>2039</v>
      </c>
      <c r="G5786" s="189" t="n">
        <v>54</v>
      </c>
      <c r="H5786" s="190" t="n">
        <v>12811.2152080118</v>
      </c>
      <c r="I5786" s="191" t="n">
        <v>4023723.28580859</v>
      </c>
      <c r="J5786" s="192" t="str">
        <f>IF(I5786&gt;0,H5786/I5786,0)</f>
      </c>
      <c r="K5786" s="193" t="str">
        <f>1-EXP(-J5786)</f>
      </c>
      <c r="L5786" s="194" t="str">
        <f>IF(G5786=30,1,M5785)</f>
      </c>
      <c r="M5786" s="195" t="str">
        <f>L5786*(1-K5786)</f>
      </c>
    </row>
    <row r="5787">
      <c r="A5787" t="s">
        <v>167</v>
      </c>
      <c r="B5787" t="s">
        <v>116</v>
      </c>
      <c r="C5787" s="35" t="s">
        <v>422</v>
      </c>
      <c r="D5787" t="s">
        <v>502</v>
      </c>
      <c r="E5787" t="s">
        <v>520</v>
      </c>
      <c r="F5787" s="188" t="n">
        <v>2039</v>
      </c>
      <c r="G5787" s="189" t="n">
        <v>55</v>
      </c>
      <c r="H5787" s="190" t="n">
        <v>14125.2753365675</v>
      </c>
      <c r="I5787" s="191" t="n">
        <v>4086246.88402666</v>
      </c>
      <c r="J5787" s="192" t="str">
        <f>IF(I5787&gt;0,H5787/I5787,0)</f>
      </c>
      <c r="K5787" s="193" t="str">
        <f>1-EXP(-J5787)</f>
      </c>
      <c r="L5787" s="194" t="str">
        <f>IF(G5787=30,1,M5786)</f>
      </c>
      <c r="M5787" s="195" t="str">
        <f>L5787*(1-K5787)</f>
      </c>
    </row>
    <row r="5788">
      <c r="A5788" t="s">
        <v>167</v>
      </c>
      <c r="B5788" t="s">
        <v>116</v>
      </c>
      <c r="C5788" s="35" t="s">
        <v>422</v>
      </c>
      <c r="D5788" t="s">
        <v>502</v>
      </c>
      <c r="E5788" t="s">
        <v>520</v>
      </c>
      <c r="F5788" s="188" t="n">
        <v>2039</v>
      </c>
      <c r="G5788" s="189" t="n">
        <v>56</v>
      </c>
      <c r="H5788" s="190" t="n">
        <v>15154.6678983686</v>
      </c>
      <c r="I5788" s="191" t="n">
        <v>4043157.59218605</v>
      </c>
      <c r="J5788" s="192" t="str">
        <f>IF(I5788&gt;0,H5788/I5788,0)</f>
      </c>
      <c r="K5788" s="193" t="str">
        <f>1-EXP(-J5788)</f>
      </c>
      <c r="L5788" s="194" t="str">
        <f>IF(G5788=30,1,M5787)</f>
      </c>
      <c r="M5788" s="195" t="str">
        <f>L5788*(1-K5788)</f>
      </c>
    </row>
    <row r="5789">
      <c r="A5789" t="s">
        <v>167</v>
      </c>
      <c r="B5789" t="s">
        <v>116</v>
      </c>
      <c r="C5789" s="35" t="s">
        <v>422</v>
      </c>
      <c r="D5789" t="s">
        <v>502</v>
      </c>
      <c r="E5789" t="s">
        <v>520</v>
      </c>
      <c r="F5789" s="188" t="n">
        <v>2039</v>
      </c>
      <c r="G5789" s="189" t="n">
        <v>57</v>
      </c>
      <c r="H5789" s="190" t="n">
        <v>15977.1523167591</v>
      </c>
      <c r="I5789" s="191" t="n">
        <v>3893003.49353581</v>
      </c>
      <c r="J5789" s="192" t="str">
        <f>IF(I5789&gt;0,H5789/I5789,0)</f>
      </c>
      <c r="K5789" s="193" t="str">
        <f>1-EXP(-J5789)</f>
      </c>
      <c r="L5789" s="194" t="str">
        <f>IF(G5789=30,1,M5788)</f>
      </c>
      <c r="M5789" s="195" t="str">
        <f>L5789*(1-K5789)</f>
      </c>
    </row>
    <row r="5790">
      <c r="A5790" t="s">
        <v>167</v>
      </c>
      <c r="B5790" t="s">
        <v>116</v>
      </c>
      <c r="C5790" s="35" t="s">
        <v>422</v>
      </c>
      <c r="D5790" t="s">
        <v>502</v>
      </c>
      <c r="E5790" t="s">
        <v>520</v>
      </c>
      <c r="F5790" s="188" t="n">
        <v>2039</v>
      </c>
      <c r="G5790" s="189" t="n">
        <v>58</v>
      </c>
      <c r="H5790" s="190" t="n">
        <v>17082.8145908132</v>
      </c>
      <c r="I5790" s="191" t="n">
        <v>3800950.98806661</v>
      </c>
      <c r="J5790" s="192" t="str">
        <f>IF(I5790&gt;0,H5790/I5790,0)</f>
      </c>
      <c r="K5790" s="193" t="str">
        <f>1-EXP(-J5790)</f>
      </c>
      <c r="L5790" s="194" t="str">
        <f>IF(G5790=30,1,M5789)</f>
      </c>
      <c r="M5790" s="195" t="str">
        <f>L5790*(1-K5790)</f>
      </c>
    </row>
    <row r="5791">
      <c r="A5791" t="s">
        <v>167</v>
      </c>
      <c r="B5791" t="s">
        <v>116</v>
      </c>
      <c r="C5791" s="35" t="s">
        <v>422</v>
      </c>
      <c r="D5791" t="s">
        <v>502</v>
      </c>
      <c r="E5791" t="s">
        <v>520</v>
      </c>
      <c r="F5791" s="188" t="n">
        <v>2039</v>
      </c>
      <c r="G5791" s="189" t="n">
        <v>59</v>
      </c>
      <c r="H5791" s="190" t="n">
        <v>18341.2591875217</v>
      </c>
      <c r="I5791" s="191" t="n">
        <v>3722503.83310734</v>
      </c>
      <c r="J5791" s="192" t="str">
        <f>IF(I5791&gt;0,H5791/I5791,0)</f>
      </c>
      <c r="K5791" s="193" t="str">
        <f>1-EXP(-J5791)</f>
      </c>
      <c r="L5791" s="194" t="str">
        <f>IF(G5791=30,1,M5790)</f>
      </c>
      <c r="M5791" s="195" t="str">
        <f>L5791*(1-K5791)</f>
      </c>
    </row>
    <row r="5792">
      <c r="A5792" t="s">
        <v>167</v>
      </c>
      <c r="B5792" t="s">
        <v>116</v>
      </c>
      <c r="C5792" s="35" t="s">
        <v>422</v>
      </c>
      <c r="D5792" t="s">
        <v>502</v>
      </c>
      <c r="E5792" t="s">
        <v>520</v>
      </c>
      <c r="F5792" s="188" t="n">
        <v>2039</v>
      </c>
      <c r="G5792" s="189" t="n">
        <v>60</v>
      </c>
      <c r="H5792" s="190" t="n">
        <v>19619.5079739214</v>
      </c>
      <c r="I5792" s="191" t="n">
        <v>3637633.32065742</v>
      </c>
      <c r="J5792" s="192" t="str">
        <f>IF(I5792&gt;0,H5792/I5792,0)</f>
      </c>
      <c r="K5792" s="193" t="str">
        <f>1-EXP(-J5792)</f>
      </c>
      <c r="L5792" s="194" t="str">
        <f>IF(G5792=30,1,M5791)</f>
      </c>
      <c r="M5792" s="195" t="str">
        <f>L5792*(1-K5792)</f>
      </c>
    </row>
    <row r="5793">
      <c r="A5793" t="s">
        <v>167</v>
      </c>
      <c r="B5793" t="s">
        <v>116</v>
      </c>
      <c r="C5793" s="35" t="s">
        <v>422</v>
      </c>
      <c r="D5793" t="s">
        <v>502</v>
      </c>
      <c r="E5793" t="s">
        <v>520</v>
      </c>
      <c r="F5793" s="188" t="n">
        <v>2039</v>
      </c>
      <c r="G5793" s="189" t="n">
        <v>61</v>
      </c>
      <c r="H5793" s="190" t="n">
        <v>20981.0465015266</v>
      </c>
      <c r="I5793" s="191" t="n">
        <v>3533235.18972294</v>
      </c>
      <c r="J5793" s="192" t="str">
        <f>IF(I5793&gt;0,H5793/I5793,0)</f>
      </c>
      <c r="K5793" s="193" t="str">
        <f>1-EXP(-J5793)</f>
      </c>
      <c r="L5793" s="194" t="str">
        <f>IF(G5793=30,1,M5792)</f>
      </c>
      <c r="M5793" s="195" t="str">
        <f>L5793*(1-K5793)</f>
      </c>
    </row>
    <row r="5794">
      <c r="A5794" t="s">
        <v>167</v>
      </c>
      <c r="B5794" t="s">
        <v>116</v>
      </c>
      <c r="C5794" s="35" t="s">
        <v>422</v>
      </c>
      <c r="D5794" t="s">
        <v>502</v>
      </c>
      <c r="E5794" t="s">
        <v>520</v>
      </c>
      <c r="F5794" s="188" t="n">
        <v>2039</v>
      </c>
      <c r="G5794" s="189" t="n">
        <v>62</v>
      </c>
      <c r="H5794" s="190" t="n">
        <v>22459.4687979251</v>
      </c>
      <c r="I5794" s="191" t="n">
        <v>3442881.24914118</v>
      </c>
      <c r="J5794" s="192" t="str">
        <f>IF(I5794&gt;0,H5794/I5794,0)</f>
      </c>
      <c r="K5794" s="193" t="str">
        <f>1-EXP(-J5794)</f>
      </c>
      <c r="L5794" s="194" t="str">
        <f>IF(G5794=30,1,M5793)</f>
      </c>
      <c r="M5794" s="195" t="str">
        <f>L5794*(1-K5794)</f>
      </c>
    </row>
    <row r="5795">
      <c r="A5795" t="s">
        <v>167</v>
      </c>
      <c r="B5795" t="s">
        <v>116</v>
      </c>
      <c r="C5795" s="35" t="s">
        <v>422</v>
      </c>
      <c r="D5795" t="s">
        <v>502</v>
      </c>
      <c r="E5795" t="s">
        <v>520</v>
      </c>
      <c r="F5795" s="188" t="n">
        <v>2039</v>
      </c>
      <c r="G5795" s="189" t="n">
        <v>63</v>
      </c>
      <c r="H5795" s="190" t="n">
        <v>23911.2487345947</v>
      </c>
      <c r="I5795" s="191" t="n">
        <v>3340601.75151759</v>
      </c>
      <c r="J5795" s="192" t="str">
        <f>IF(I5795&gt;0,H5795/I5795,0)</f>
      </c>
      <c r="K5795" s="193" t="str">
        <f>1-EXP(-J5795)</f>
      </c>
      <c r="L5795" s="194" t="str">
        <f>IF(G5795=30,1,M5794)</f>
      </c>
      <c r="M5795" s="195" t="str">
        <f>L5795*(1-K5795)</f>
      </c>
    </row>
    <row r="5796">
      <c r="A5796" t="s">
        <v>167</v>
      </c>
      <c r="B5796" t="s">
        <v>116</v>
      </c>
      <c r="C5796" s="35" t="s">
        <v>422</v>
      </c>
      <c r="D5796" t="s">
        <v>502</v>
      </c>
      <c r="E5796" t="s">
        <v>520</v>
      </c>
      <c r="F5796" s="188" t="n">
        <v>2039</v>
      </c>
      <c r="G5796" s="189" t="n">
        <v>64</v>
      </c>
      <c r="H5796" s="190" t="n">
        <v>25415.5721532834</v>
      </c>
      <c r="I5796" s="191" t="n">
        <v>3236193.75556226</v>
      </c>
      <c r="J5796" s="192" t="str">
        <f>IF(I5796&gt;0,H5796/I5796,0)</f>
      </c>
      <c r="K5796" s="193" t="str">
        <f>1-EXP(-J5796)</f>
      </c>
      <c r="L5796" s="194" t="str">
        <f>IF(G5796=30,1,M5795)</f>
      </c>
      <c r="M5796" s="195" t="str">
        <f>L5796*(1-K5796)</f>
      </c>
    </row>
    <row r="5797">
      <c r="A5797" t="s">
        <v>167</v>
      </c>
      <c r="B5797" t="s">
        <v>116</v>
      </c>
      <c r="C5797" s="35" t="s">
        <v>422</v>
      </c>
      <c r="D5797" t="s">
        <v>502</v>
      </c>
      <c r="E5797" t="s">
        <v>520</v>
      </c>
      <c r="F5797" s="188" t="n">
        <v>2039</v>
      </c>
      <c r="G5797" s="189" t="n">
        <v>65</v>
      </c>
      <c r="H5797" s="190" t="n">
        <v>25687.8910250105</v>
      </c>
      <c r="I5797" s="191" t="n">
        <v>3106176.09990306</v>
      </c>
      <c r="J5797" s="192" t="str">
        <f>IF(I5797&gt;0,H5797/I5797,0)</f>
      </c>
      <c r="K5797" s="193" t="str">
        <f>1-EXP(-J5797)</f>
      </c>
      <c r="L5797" s="194" t="str">
        <f>IF(G5797=30,1,M5796)</f>
      </c>
      <c r="M5797" s="195" t="str">
        <f>L5797*(1-K5797)</f>
      </c>
    </row>
    <row r="5798">
      <c r="A5798" t="s">
        <v>167</v>
      </c>
      <c r="B5798" t="s">
        <v>116</v>
      </c>
      <c r="C5798" s="35" t="s">
        <v>422</v>
      </c>
      <c r="D5798" t="s">
        <v>502</v>
      </c>
      <c r="E5798" t="s">
        <v>520</v>
      </c>
      <c r="F5798" s="188" t="n">
        <v>2039</v>
      </c>
      <c r="G5798" s="189" t="n">
        <v>66</v>
      </c>
      <c r="H5798" s="190" t="n">
        <v>27402.2859793539</v>
      </c>
      <c r="I5798" s="191" t="n">
        <v>3027766.88026707</v>
      </c>
      <c r="J5798" s="192" t="str">
        <f>IF(I5798&gt;0,H5798/I5798,0)</f>
      </c>
      <c r="K5798" s="193" t="str">
        <f>1-EXP(-J5798)</f>
      </c>
      <c r="L5798" s="194" t="str">
        <f>IF(G5798=30,1,M5797)</f>
      </c>
      <c r="M5798" s="195" t="str">
        <f>L5798*(1-K5798)</f>
      </c>
    </row>
    <row r="5799">
      <c r="A5799" t="s">
        <v>167</v>
      </c>
      <c r="B5799" t="s">
        <v>116</v>
      </c>
      <c r="C5799" s="35" t="s">
        <v>422</v>
      </c>
      <c r="D5799" t="s">
        <v>502</v>
      </c>
      <c r="E5799" t="s">
        <v>520</v>
      </c>
      <c r="F5799" s="188" t="n">
        <v>2039</v>
      </c>
      <c r="G5799" s="189" t="n">
        <v>67</v>
      </c>
      <c r="H5799" s="190" t="n">
        <v>27938.3974287277</v>
      </c>
      <c r="I5799" s="191" t="n">
        <v>2806491.57055805</v>
      </c>
      <c r="J5799" s="192" t="str">
        <f>IF(I5799&gt;0,H5799/I5799,0)</f>
      </c>
      <c r="K5799" s="193" t="str">
        <f>1-EXP(-J5799)</f>
      </c>
      <c r="L5799" s="194" t="str">
        <f>IF(G5799=30,1,M5798)</f>
      </c>
      <c r="M5799" s="195" t="str">
        <f>L5799*(1-K5799)</f>
      </c>
    </row>
    <row r="5800">
      <c r="A5800" t="s">
        <v>167</v>
      </c>
      <c r="B5800" t="s">
        <v>116</v>
      </c>
      <c r="C5800" s="35" t="s">
        <v>422</v>
      </c>
      <c r="D5800" t="s">
        <v>502</v>
      </c>
      <c r="E5800" t="s">
        <v>520</v>
      </c>
      <c r="F5800" s="188" t="n">
        <v>2039</v>
      </c>
      <c r="G5800" s="189" t="n">
        <v>68</v>
      </c>
      <c r="H5800" s="190" t="n">
        <v>29444.7019534228</v>
      </c>
      <c r="I5800" s="191" t="n">
        <v>2689548.27248084</v>
      </c>
      <c r="J5800" s="192" t="str">
        <f>IF(I5800&gt;0,H5800/I5800,0)</f>
      </c>
      <c r="K5800" s="193" t="str">
        <f>1-EXP(-J5800)</f>
      </c>
      <c r="L5800" s="194" t="str">
        <f>IF(G5800=30,1,M5799)</f>
      </c>
      <c r="M5800" s="195" t="str">
        <f>L5800*(1-K5800)</f>
      </c>
    </row>
    <row r="5801">
      <c r="A5801" t="s">
        <v>167</v>
      </c>
      <c r="B5801" t="s">
        <v>116</v>
      </c>
      <c r="C5801" s="35" t="s">
        <v>422</v>
      </c>
      <c r="D5801" t="s">
        <v>502</v>
      </c>
      <c r="E5801" t="s">
        <v>520</v>
      </c>
      <c r="F5801" s="188" t="n">
        <v>2039</v>
      </c>
      <c r="G5801" s="189" t="n">
        <v>69</v>
      </c>
      <c r="H5801" s="190" t="n">
        <v>31035.0475156558</v>
      </c>
      <c r="I5801" s="191" t="n">
        <v>2575060.39969088</v>
      </c>
      <c r="J5801" s="192" t="str">
        <f>IF(I5801&gt;0,H5801/I5801,0)</f>
      </c>
      <c r="K5801" s="193" t="str">
        <f>1-EXP(-J5801)</f>
      </c>
      <c r="L5801" s="194" t="str">
        <f>IF(G5801=30,1,M5800)</f>
      </c>
      <c r="M5801" s="195" t="str">
        <f>L5801*(1-K5801)</f>
      </c>
    </row>
    <row r="5802">
      <c r="A5802" t="s">
        <v>167</v>
      </c>
      <c r="B5802" t="s">
        <v>116</v>
      </c>
      <c r="C5802" s="35" t="s">
        <v>422</v>
      </c>
      <c r="D5802" t="s">
        <v>502</v>
      </c>
      <c r="E5802" t="s">
        <v>520</v>
      </c>
      <c r="F5802" s="188" t="n">
        <v>2040</v>
      </c>
      <c r="G5802" s="189" t="n">
        <v>30</v>
      </c>
      <c r="H5802" s="190" t="n">
        <v>732.722044824658</v>
      </c>
      <c r="I5802" s="191" t="n">
        <v>4755963.32881892</v>
      </c>
      <c r="J5802" s="192" t="str">
        <f>IF(I5802&gt;0,H5802/I5802,0)</f>
      </c>
      <c r="K5802" s="193" t="str">
        <f>1-EXP(-J5802)</f>
      </c>
      <c r="L5802" s="194" t="str">
        <f>IF(G5802=30,1,M5801)</f>
      </c>
      <c r="M5802" s="195" t="str">
        <f>L5802*(1-K5802)</f>
      </c>
    </row>
    <row r="5803">
      <c r="A5803" t="s">
        <v>167</v>
      </c>
      <c r="B5803" t="s">
        <v>116</v>
      </c>
      <c r="C5803" s="35" t="s">
        <v>422</v>
      </c>
      <c r="D5803" t="s">
        <v>502</v>
      </c>
      <c r="E5803" t="s">
        <v>520</v>
      </c>
      <c r="F5803" s="188" t="n">
        <v>2040</v>
      </c>
      <c r="G5803" s="189" t="n">
        <v>31</v>
      </c>
      <c r="H5803" s="190" t="n">
        <v>926.092335316682</v>
      </c>
      <c r="I5803" s="191" t="n">
        <v>4685144.52916749</v>
      </c>
      <c r="J5803" s="192" t="str">
        <f>IF(I5803&gt;0,H5803/I5803,0)</f>
      </c>
      <c r="K5803" s="193" t="str">
        <f>1-EXP(-J5803)</f>
      </c>
      <c r="L5803" s="194" t="str">
        <f>IF(G5803=30,1,M5802)</f>
      </c>
      <c r="M5803" s="195" t="str">
        <f>L5803*(1-K5803)</f>
      </c>
    </row>
    <row r="5804">
      <c r="A5804" t="s">
        <v>167</v>
      </c>
      <c r="B5804" t="s">
        <v>116</v>
      </c>
      <c r="C5804" s="35" t="s">
        <v>422</v>
      </c>
      <c r="D5804" t="s">
        <v>502</v>
      </c>
      <c r="E5804" t="s">
        <v>520</v>
      </c>
      <c r="F5804" s="188" t="n">
        <v>2040</v>
      </c>
      <c r="G5804" s="189" t="n">
        <v>32</v>
      </c>
      <c r="H5804" s="190" t="n">
        <v>968.129832288623</v>
      </c>
      <c r="I5804" s="191" t="n">
        <v>4642700.06942964</v>
      </c>
      <c r="J5804" s="192" t="str">
        <f>IF(I5804&gt;0,H5804/I5804,0)</f>
      </c>
      <c r="K5804" s="193" t="str">
        <f>1-EXP(-J5804)</f>
      </c>
      <c r="L5804" s="194" t="str">
        <f>IF(G5804=30,1,M5803)</f>
      </c>
      <c r="M5804" s="195" t="str">
        <f>L5804*(1-K5804)</f>
      </c>
    </row>
    <row r="5805">
      <c r="A5805" t="s">
        <v>167</v>
      </c>
      <c r="B5805" t="s">
        <v>116</v>
      </c>
      <c r="C5805" s="35" t="s">
        <v>422</v>
      </c>
      <c r="D5805" t="s">
        <v>502</v>
      </c>
      <c r="E5805" t="s">
        <v>520</v>
      </c>
      <c r="F5805" s="188" t="n">
        <v>2040</v>
      </c>
      <c r="G5805" s="189" t="n">
        <v>33</v>
      </c>
      <c r="H5805" s="190" t="n">
        <v>1081.88707691602</v>
      </c>
      <c r="I5805" s="191" t="n">
        <v>4668848.62563773</v>
      </c>
      <c r="J5805" s="192" t="str">
        <f>IF(I5805&gt;0,H5805/I5805,0)</f>
      </c>
      <c r="K5805" s="193" t="str">
        <f>1-EXP(-J5805)</f>
      </c>
      <c r="L5805" s="194" t="str">
        <f>IF(G5805=30,1,M5804)</f>
      </c>
      <c r="M5805" s="195" t="str">
        <f>L5805*(1-K5805)</f>
      </c>
    </row>
    <row r="5806">
      <c r="A5806" t="s">
        <v>167</v>
      </c>
      <c r="B5806" t="s">
        <v>116</v>
      </c>
      <c r="C5806" s="35" t="s">
        <v>422</v>
      </c>
      <c r="D5806" t="s">
        <v>502</v>
      </c>
      <c r="E5806" t="s">
        <v>520</v>
      </c>
      <c r="F5806" s="188" t="n">
        <v>2040</v>
      </c>
      <c r="G5806" s="189" t="n">
        <v>34</v>
      </c>
      <c r="H5806" s="190" t="n">
        <v>1133.34972815227</v>
      </c>
      <c r="I5806" s="191" t="n">
        <v>4585767.68241618</v>
      </c>
      <c r="J5806" s="192" t="str">
        <f>IF(I5806&gt;0,H5806/I5806,0)</f>
      </c>
      <c r="K5806" s="193" t="str">
        <f>1-EXP(-J5806)</f>
      </c>
      <c r="L5806" s="194" t="str">
        <f>IF(G5806=30,1,M5805)</f>
      </c>
      <c r="M5806" s="195" t="str">
        <f>L5806*(1-K5806)</f>
      </c>
    </row>
    <row r="5807">
      <c r="A5807" t="s">
        <v>167</v>
      </c>
      <c r="B5807" t="s">
        <v>116</v>
      </c>
      <c r="C5807" s="35" t="s">
        <v>422</v>
      </c>
      <c r="D5807" t="s">
        <v>502</v>
      </c>
      <c r="E5807" t="s">
        <v>520</v>
      </c>
      <c r="F5807" s="188" t="n">
        <v>2040</v>
      </c>
      <c r="G5807" s="189" t="n">
        <v>35</v>
      </c>
      <c r="H5807" s="190" t="n">
        <v>1492.93876672695</v>
      </c>
      <c r="I5807" s="191" t="n">
        <v>4524449.47001872</v>
      </c>
      <c r="J5807" s="192" t="str">
        <f>IF(I5807&gt;0,H5807/I5807,0)</f>
      </c>
      <c r="K5807" s="193" t="str">
        <f>1-EXP(-J5807)</f>
      </c>
      <c r="L5807" s="194" t="str">
        <f>IF(G5807=30,1,M5806)</f>
      </c>
      <c r="M5807" s="195" t="str">
        <f>L5807*(1-K5807)</f>
      </c>
    </row>
    <row r="5808">
      <c r="A5808" t="s">
        <v>167</v>
      </c>
      <c r="B5808" t="s">
        <v>116</v>
      </c>
      <c r="C5808" s="35" t="s">
        <v>422</v>
      </c>
      <c r="D5808" t="s">
        <v>502</v>
      </c>
      <c r="E5808" t="s">
        <v>520</v>
      </c>
      <c r="F5808" s="188" t="n">
        <v>2040</v>
      </c>
      <c r="G5808" s="189" t="n">
        <v>36</v>
      </c>
      <c r="H5808" s="190" t="n">
        <v>1678.00846836742</v>
      </c>
      <c r="I5808" s="191" t="n">
        <v>4395183.99749142</v>
      </c>
      <c r="J5808" s="192" t="str">
        <f>IF(I5808&gt;0,H5808/I5808,0)</f>
      </c>
      <c r="K5808" s="193" t="str">
        <f>1-EXP(-J5808)</f>
      </c>
      <c r="L5808" s="194" t="str">
        <f>IF(G5808=30,1,M5807)</f>
      </c>
      <c r="M5808" s="195" t="str">
        <f>L5808*(1-K5808)</f>
      </c>
    </row>
    <row r="5809">
      <c r="A5809" t="s">
        <v>167</v>
      </c>
      <c r="B5809" t="s">
        <v>116</v>
      </c>
      <c r="C5809" s="35" t="s">
        <v>422</v>
      </c>
      <c r="D5809" t="s">
        <v>502</v>
      </c>
      <c r="E5809" t="s">
        <v>520</v>
      </c>
      <c r="F5809" s="188" t="n">
        <v>2040</v>
      </c>
      <c r="G5809" s="189" t="n">
        <v>37</v>
      </c>
      <c r="H5809" s="190" t="n">
        <v>1781.76910243349</v>
      </c>
      <c r="I5809" s="191" t="n">
        <v>4328847.05075043</v>
      </c>
      <c r="J5809" s="192" t="str">
        <f>IF(I5809&gt;0,H5809/I5809,0)</f>
      </c>
      <c r="K5809" s="193" t="str">
        <f>1-EXP(-J5809)</f>
      </c>
      <c r="L5809" s="194" t="str">
        <f>IF(G5809=30,1,M5808)</f>
      </c>
      <c r="M5809" s="195" t="str">
        <f>L5809*(1-K5809)</f>
      </c>
    </row>
    <row r="5810">
      <c r="A5810" t="s">
        <v>167</v>
      </c>
      <c r="B5810" t="s">
        <v>116</v>
      </c>
      <c r="C5810" s="35" t="s">
        <v>422</v>
      </c>
      <c r="D5810" t="s">
        <v>502</v>
      </c>
      <c r="E5810" t="s">
        <v>520</v>
      </c>
      <c r="F5810" s="188" t="n">
        <v>2040</v>
      </c>
      <c r="G5810" s="189" t="n">
        <v>38</v>
      </c>
      <c r="H5810" s="190" t="n">
        <v>2061.31297869538</v>
      </c>
      <c r="I5810" s="191" t="n">
        <v>4305265.88669907</v>
      </c>
      <c r="J5810" s="192" t="str">
        <f>IF(I5810&gt;0,H5810/I5810,0)</f>
      </c>
      <c r="K5810" s="193" t="str">
        <f>1-EXP(-J5810)</f>
      </c>
      <c r="L5810" s="194" t="str">
        <f>IF(G5810=30,1,M5809)</f>
      </c>
      <c r="M5810" s="195" t="str">
        <f>L5810*(1-K5810)</f>
      </c>
    </row>
    <row r="5811">
      <c r="A5811" t="s">
        <v>167</v>
      </c>
      <c r="B5811" t="s">
        <v>116</v>
      </c>
      <c r="C5811" s="35" t="s">
        <v>422</v>
      </c>
      <c r="D5811" t="s">
        <v>502</v>
      </c>
      <c r="E5811" t="s">
        <v>520</v>
      </c>
      <c r="F5811" s="188" t="n">
        <v>2040</v>
      </c>
      <c r="G5811" s="189" t="n">
        <v>39</v>
      </c>
      <c r="H5811" s="190" t="n">
        <v>2218.39978146922</v>
      </c>
      <c r="I5811" s="191" t="n">
        <v>4283345.12532647</v>
      </c>
      <c r="J5811" s="192" t="str">
        <f>IF(I5811&gt;0,H5811/I5811,0)</f>
      </c>
      <c r="K5811" s="193" t="str">
        <f>1-EXP(-J5811)</f>
      </c>
      <c r="L5811" s="194" t="str">
        <f>IF(G5811=30,1,M5810)</f>
      </c>
      <c r="M5811" s="195" t="str">
        <f>L5811*(1-K5811)</f>
      </c>
    </row>
    <row r="5812">
      <c r="A5812" t="s">
        <v>167</v>
      </c>
      <c r="B5812" t="s">
        <v>116</v>
      </c>
      <c r="C5812" s="35" t="s">
        <v>422</v>
      </c>
      <c r="D5812" t="s">
        <v>502</v>
      </c>
      <c r="E5812" t="s">
        <v>520</v>
      </c>
      <c r="F5812" s="188" t="n">
        <v>2040</v>
      </c>
      <c r="G5812" s="189" t="n">
        <v>40</v>
      </c>
      <c r="H5812" s="190" t="n">
        <v>2969.23446231865</v>
      </c>
      <c r="I5812" s="191" t="n">
        <v>4260829.226673</v>
      </c>
      <c r="J5812" s="192" t="str">
        <f>IF(I5812&gt;0,H5812/I5812,0)</f>
      </c>
      <c r="K5812" s="193" t="str">
        <f>1-EXP(-J5812)</f>
      </c>
      <c r="L5812" s="194" t="str">
        <f>IF(G5812=30,1,M5811)</f>
      </c>
      <c r="M5812" s="195" t="str">
        <f>L5812*(1-K5812)</f>
      </c>
    </row>
    <row r="5813">
      <c r="A5813" t="s">
        <v>167</v>
      </c>
      <c r="B5813" t="s">
        <v>116</v>
      </c>
      <c r="C5813" s="35" t="s">
        <v>422</v>
      </c>
      <c r="D5813" t="s">
        <v>502</v>
      </c>
      <c r="E5813" t="s">
        <v>520</v>
      </c>
      <c r="F5813" s="188" t="n">
        <v>2040</v>
      </c>
      <c r="G5813" s="189" t="n">
        <v>41</v>
      </c>
      <c r="H5813" s="190" t="n">
        <v>3244.1788185762</v>
      </c>
      <c r="I5813" s="191" t="n">
        <v>4276532.63743836</v>
      </c>
      <c r="J5813" s="192" t="str">
        <f>IF(I5813&gt;0,H5813/I5813,0)</f>
      </c>
      <c r="K5813" s="193" t="str">
        <f>1-EXP(-J5813)</f>
      </c>
      <c r="L5813" s="194" t="str">
        <f>IF(G5813=30,1,M5812)</f>
      </c>
      <c r="M5813" s="195" t="str">
        <f>L5813*(1-K5813)</f>
      </c>
    </row>
    <row r="5814">
      <c r="A5814" t="s">
        <v>167</v>
      </c>
      <c r="B5814" t="s">
        <v>116</v>
      </c>
      <c r="C5814" s="35" t="s">
        <v>422</v>
      </c>
      <c r="D5814" t="s">
        <v>502</v>
      </c>
      <c r="E5814" t="s">
        <v>520</v>
      </c>
      <c r="F5814" s="188" t="n">
        <v>2040</v>
      </c>
      <c r="G5814" s="189" t="n">
        <v>42</v>
      </c>
      <c r="H5814" s="190" t="n">
        <v>3575.45368872658</v>
      </c>
      <c r="I5814" s="191" t="n">
        <v>4331098.70913012</v>
      </c>
      <c r="J5814" s="192" t="str">
        <f>IF(I5814&gt;0,H5814/I5814,0)</f>
      </c>
      <c r="K5814" s="193" t="str">
        <f>1-EXP(-J5814)</f>
      </c>
      <c r="L5814" s="194" t="str">
        <f>IF(G5814=30,1,M5813)</f>
      </c>
      <c r="M5814" s="195" t="str">
        <f>L5814*(1-K5814)</f>
      </c>
    </row>
    <row r="5815">
      <c r="A5815" t="s">
        <v>167</v>
      </c>
      <c r="B5815" t="s">
        <v>116</v>
      </c>
      <c r="C5815" s="35" t="s">
        <v>422</v>
      </c>
      <c r="D5815" t="s">
        <v>502</v>
      </c>
      <c r="E5815" t="s">
        <v>520</v>
      </c>
      <c r="F5815" s="188" t="n">
        <v>2040</v>
      </c>
      <c r="G5815" s="189" t="n">
        <v>43</v>
      </c>
      <c r="H5815" s="190" t="n">
        <v>4219.88909092492</v>
      </c>
      <c r="I5815" s="191" t="n">
        <v>4461799.99817291</v>
      </c>
      <c r="J5815" s="192" t="str">
        <f>IF(I5815&gt;0,H5815/I5815,0)</f>
      </c>
      <c r="K5815" s="193" t="str">
        <f>1-EXP(-J5815)</f>
      </c>
      <c r="L5815" s="194" t="str">
        <f>IF(G5815=30,1,M5814)</f>
      </c>
      <c r="M5815" s="195" t="str">
        <f>L5815*(1-K5815)</f>
      </c>
    </row>
    <row r="5816">
      <c r="A5816" t="s">
        <v>167</v>
      </c>
      <c r="B5816" t="s">
        <v>116</v>
      </c>
      <c r="C5816" s="35" t="s">
        <v>422</v>
      </c>
      <c r="D5816" t="s">
        <v>502</v>
      </c>
      <c r="E5816" t="s">
        <v>520</v>
      </c>
      <c r="F5816" s="188" t="n">
        <v>2040</v>
      </c>
      <c r="G5816" s="189" t="n">
        <v>44</v>
      </c>
      <c r="H5816" s="190" t="n">
        <v>4554.1755247813</v>
      </c>
      <c r="I5816" s="191" t="n">
        <v>4413622.2260502</v>
      </c>
      <c r="J5816" s="192" t="str">
        <f>IF(I5816&gt;0,H5816/I5816,0)</f>
      </c>
      <c r="K5816" s="193" t="str">
        <f>1-EXP(-J5816)</f>
      </c>
      <c r="L5816" s="194" t="str">
        <f>IF(G5816=30,1,M5815)</f>
      </c>
      <c r="M5816" s="195" t="str">
        <f>L5816*(1-K5816)</f>
      </c>
    </row>
    <row r="5817">
      <c r="A5817" t="s">
        <v>167</v>
      </c>
      <c r="B5817" t="s">
        <v>116</v>
      </c>
      <c r="C5817" s="35" t="s">
        <v>422</v>
      </c>
      <c r="D5817" t="s">
        <v>502</v>
      </c>
      <c r="E5817" t="s">
        <v>520</v>
      </c>
      <c r="F5817" s="188" t="n">
        <v>2040</v>
      </c>
      <c r="G5817" s="189" t="n">
        <v>45</v>
      </c>
      <c r="H5817" s="190" t="n">
        <v>5756.98197008603</v>
      </c>
      <c r="I5817" s="191" t="n">
        <v>4335269.80865568</v>
      </c>
      <c r="J5817" s="192" t="str">
        <f>IF(I5817&gt;0,H5817/I5817,0)</f>
      </c>
      <c r="K5817" s="193" t="str">
        <f>1-EXP(-J5817)</f>
      </c>
      <c r="L5817" s="194" t="str">
        <f>IF(G5817=30,1,M5816)</f>
      </c>
      <c r="M5817" s="195" t="str">
        <f>L5817*(1-K5817)</f>
      </c>
    </row>
    <row r="5818">
      <c r="A5818" t="s">
        <v>167</v>
      </c>
      <c r="B5818" t="s">
        <v>116</v>
      </c>
      <c r="C5818" s="35" t="s">
        <v>422</v>
      </c>
      <c r="D5818" t="s">
        <v>502</v>
      </c>
      <c r="E5818" t="s">
        <v>520</v>
      </c>
      <c r="F5818" s="188" t="n">
        <v>2040</v>
      </c>
      <c r="G5818" s="189" t="n">
        <v>46</v>
      </c>
      <c r="H5818" s="190" t="n">
        <v>6160.23478792381</v>
      </c>
      <c r="I5818" s="191" t="n">
        <v>4270808.27029655</v>
      </c>
      <c r="J5818" s="192" t="str">
        <f>IF(I5818&gt;0,H5818/I5818,0)</f>
      </c>
      <c r="K5818" s="193" t="str">
        <f>1-EXP(-J5818)</f>
      </c>
      <c r="L5818" s="194" t="str">
        <f>IF(G5818=30,1,M5817)</f>
      </c>
      <c r="M5818" s="195" t="str">
        <f>L5818*(1-K5818)</f>
      </c>
    </row>
    <row r="5819">
      <c r="A5819" t="s">
        <v>167</v>
      </c>
      <c r="B5819" t="s">
        <v>116</v>
      </c>
      <c r="C5819" s="35" t="s">
        <v>422</v>
      </c>
      <c r="D5819" t="s">
        <v>502</v>
      </c>
      <c r="E5819" t="s">
        <v>520</v>
      </c>
      <c r="F5819" s="188" t="n">
        <v>2040</v>
      </c>
      <c r="G5819" s="189" t="n">
        <v>47</v>
      </c>
      <c r="H5819" s="190" t="n">
        <v>6667.86113756329</v>
      </c>
      <c r="I5819" s="191" t="n">
        <v>4210112.05106065</v>
      </c>
      <c r="J5819" s="192" t="str">
        <f>IF(I5819&gt;0,H5819/I5819,0)</f>
      </c>
      <c r="K5819" s="193" t="str">
        <f>1-EXP(-J5819)</f>
      </c>
      <c r="L5819" s="194" t="str">
        <f>IF(G5819=30,1,M5818)</f>
      </c>
      <c r="M5819" s="195" t="str">
        <f>L5819*(1-K5819)</f>
      </c>
    </row>
    <row r="5820">
      <c r="A5820" t="s">
        <v>167</v>
      </c>
      <c r="B5820" t="s">
        <v>116</v>
      </c>
      <c r="C5820" s="35" t="s">
        <v>422</v>
      </c>
      <c r="D5820" t="s">
        <v>502</v>
      </c>
      <c r="E5820" t="s">
        <v>520</v>
      </c>
      <c r="F5820" s="188" t="n">
        <v>2040</v>
      </c>
      <c r="G5820" s="189" t="n">
        <v>48</v>
      </c>
      <c r="H5820" s="190" t="n">
        <v>7365.48081125281</v>
      </c>
      <c r="I5820" s="191" t="n">
        <v>4237582.19889539</v>
      </c>
      <c r="J5820" s="192" t="str">
        <f>IF(I5820&gt;0,H5820/I5820,0)</f>
      </c>
      <c r="K5820" s="193" t="str">
        <f>1-EXP(-J5820)</f>
      </c>
      <c r="L5820" s="194" t="str">
        <f>IF(G5820=30,1,M5819)</f>
      </c>
      <c r="M5820" s="195" t="str">
        <f>L5820*(1-K5820)</f>
      </c>
    </row>
    <row r="5821">
      <c r="A5821" t="s">
        <v>167</v>
      </c>
      <c r="B5821" t="s">
        <v>116</v>
      </c>
      <c r="C5821" s="35" t="s">
        <v>422</v>
      </c>
      <c r="D5821" t="s">
        <v>502</v>
      </c>
      <c r="E5821" t="s">
        <v>520</v>
      </c>
      <c r="F5821" s="188" t="n">
        <v>2040</v>
      </c>
      <c r="G5821" s="189" t="n">
        <v>49</v>
      </c>
      <c r="H5821" s="190" t="n">
        <v>8108.94369657588</v>
      </c>
      <c r="I5821" s="191" t="n">
        <v>4244593.36654869</v>
      </c>
      <c r="J5821" s="192" t="str">
        <f>IF(I5821&gt;0,H5821/I5821,0)</f>
      </c>
      <c r="K5821" s="193" t="str">
        <f>1-EXP(-J5821)</f>
      </c>
      <c r="L5821" s="194" t="str">
        <f>IF(G5821=30,1,M5820)</f>
      </c>
      <c r="M5821" s="195" t="str">
        <f>L5821*(1-K5821)</f>
      </c>
    </row>
    <row r="5822">
      <c r="A5822" t="s">
        <v>167</v>
      </c>
      <c r="B5822" t="s">
        <v>116</v>
      </c>
      <c r="C5822" s="35" t="s">
        <v>422</v>
      </c>
      <c r="D5822" t="s">
        <v>502</v>
      </c>
      <c r="E5822" t="s">
        <v>520</v>
      </c>
      <c r="F5822" s="188" t="n">
        <v>2040</v>
      </c>
      <c r="G5822" s="189" t="n">
        <v>50</v>
      </c>
      <c r="H5822" s="190" t="n">
        <v>12607.250506818</v>
      </c>
      <c r="I5822" s="191" t="n">
        <v>6243701.89549065</v>
      </c>
      <c r="J5822" s="192" t="str">
        <f>IF(I5822&gt;0,H5822/I5822,0)</f>
      </c>
      <c r="K5822" s="193" t="str">
        <f>1-EXP(-J5822)</f>
      </c>
      <c r="L5822" s="194" t="str">
        <f>IF(G5822=30,1,M5821)</f>
      </c>
      <c r="M5822" s="195" t="str">
        <f>L5822*(1-K5822)</f>
      </c>
    </row>
    <row r="5823">
      <c r="A5823" t="s">
        <v>167</v>
      </c>
      <c r="B5823" t="s">
        <v>116</v>
      </c>
      <c r="C5823" s="35" t="s">
        <v>422</v>
      </c>
      <c r="D5823" t="s">
        <v>502</v>
      </c>
      <c r="E5823" t="s">
        <v>520</v>
      </c>
      <c r="F5823" s="188" t="n">
        <v>2040</v>
      </c>
      <c r="G5823" s="189" t="n">
        <v>51</v>
      </c>
      <c r="H5823" s="190" t="n">
        <v>10036.7927717532</v>
      </c>
      <c r="I5823" s="191" t="n">
        <v>4179261.71175252</v>
      </c>
      <c r="J5823" s="192" t="str">
        <f>IF(I5823&gt;0,H5823/I5823,0)</f>
      </c>
      <c r="K5823" s="193" t="str">
        <f>1-EXP(-J5823)</f>
      </c>
      <c r="L5823" s="194" t="str">
        <f>IF(G5823=30,1,M5822)</f>
      </c>
      <c r="M5823" s="195" t="str">
        <f>L5823*(1-K5823)</f>
      </c>
    </row>
    <row r="5824">
      <c r="A5824" t="s">
        <v>167</v>
      </c>
      <c r="B5824" t="s">
        <v>116</v>
      </c>
      <c r="C5824" s="35" t="s">
        <v>422</v>
      </c>
      <c r="D5824" t="s">
        <v>502</v>
      </c>
      <c r="E5824" t="s">
        <v>520</v>
      </c>
      <c r="F5824" s="188" t="n">
        <v>2040</v>
      </c>
      <c r="G5824" s="189" t="n">
        <v>52</v>
      </c>
      <c r="H5824" s="190" t="n">
        <v>10918.5083638534</v>
      </c>
      <c r="I5824" s="191" t="n">
        <v>4148951.49340636</v>
      </c>
      <c r="J5824" s="192" t="str">
        <f>IF(I5824&gt;0,H5824/I5824,0)</f>
      </c>
      <c r="K5824" s="193" t="str">
        <f>1-EXP(-J5824)</f>
      </c>
      <c r="L5824" s="194" t="str">
        <f>IF(G5824=30,1,M5823)</f>
      </c>
      <c r="M5824" s="195" t="str">
        <f>L5824*(1-K5824)</f>
      </c>
    </row>
    <row r="5825">
      <c r="A5825" t="s">
        <v>167</v>
      </c>
      <c r="B5825" t="s">
        <v>116</v>
      </c>
      <c r="C5825" s="35" t="s">
        <v>422</v>
      </c>
      <c r="D5825" t="s">
        <v>502</v>
      </c>
      <c r="E5825" t="s">
        <v>520</v>
      </c>
      <c r="F5825" s="188" t="n">
        <v>2040</v>
      </c>
      <c r="G5825" s="189" t="n">
        <v>53</v>
      </c>
      <c r="H5825" s="190" t="n">
        <v>11543.0948777304</v>
      </c>
      <c r="I5825" s="191" t="n">
        <v>4006646.13737589</v>
      </c>
      <c r="J5825" s="192" t="str">
        <f>IF(I5825&gt;0,H5825/I5825,0)</f>
      </c>
      <c r="K5825" s="193" t="str">
        <f>1-EXP(-J5825)</f>
      </c>
      <c r="L5825" s="194" t="str">
        <f>IF(G5825=30,1,M5824)</f>
      </c>
      <c r="M5825" s="195" t="str">
        <f>L5825*(1-K5825)</f>
      </c>
    </row>
    <row r="5826">
      <c r="A5826" t="s">
        <v>167</v>
      </c>
      <c r="B5826" t="s">
        <v>116</v>
      </c>
      <c r="C5826" s="35" t="s">
        <v>422</v>
      </c>
      <c r="D5826" t="s">
        <v>502</v>
      </c>
      <c r="E5826" t="s">
        <v>520</v>
      </c>
      <c r="F5826" s="188" t="n">
        <v>2040</v>
      </c>
      <c r="G5826" s="189" t="n">
        <v>54</v>
      </c>
      <c r="H5826" s="190" t="n">
        <v>12459.7042839841</v>
      </c>
      <c r="I5826" s="191" t="n">
        <v>3957009.18083054</v>
      </c>
      <c r="J5826" s="192" t="str">
        <f>IF(I5826&gt;0,H5826/I5826,0)</f>
      </c>
      <c r="K5826" s="193" t="str">
        <f>1-EXP(-J5826)</f>
      </c>
      <c r="L5826" s="194" t="str">
        <f>IF(G5826=30,1,M5825)</f>
      </c>
      <c r="M5826" s="195" t="str">
        <f>L5826*(1-K5826)</f>
      </c>
    </row>
    <row r="5827">
      <c r="A5827" t="s">
        <v>167</v>
      </c>
      <c r="B5827" t="s">
        <v>116</v>
      </c>
      <c r="C5827" s="35" t="s">
        <v>422</v>
      </c>
      <c r="D5827" t="s">
        <v>502</v>
      </c>
      <c r="E5827" t="s">
        <v>520</v>
      </c>
      <c r="F5827" s="188" t="n">
        <v>2040</v>
      </c>
      <c r="G5827" s="189" t="n">
        <v>55</v>
      </c>
      <c r="H5827" s="190" t="n">
        <v>13635.811237645</v>
      </c>
      <c r="I5827" s="191" t="n">
        <v>3994876.95012677</v>
      </c>
      <c r="J5827" s="192" t="str">
        <f>IF(I5827&gt;0,H5827/I5827,0)</f>
      </c>
      <c r="K5827" s="193" t="str">
        <f>1-EXP(-J5827)</f>
      </c>
      <c r="L5827" s="194" t="str">
        <f>IF(G5827=30,1,M5826)</f>
      </c>
      <c r="M5827" s="195" t="str">
        <f>L5827*(1-K5827)</f>
      </c>
    </row>
    <row r="5828">
      <c r="A5828" t="s">
        <v>167</v>
      </c>
      <c r="B5828" t="s">
        <v>116</v>
      </c>
      <c r="C5828" s="35" t="s">
        <v>422</v>
      </c>
      <c r="D5828" t="s">
        <v>502</v>
      </c>
      <c r="E5828" t="s">
        <v>520</v>
      </c>
      <c r="F5828" s="188" t="n">
        <v>2040</v>
      </c>
      <c r="G5828" s="189" t="n">
        <v>56</v>
      </c>
      <c r="H5828" s="190" t="n">
        <v>14996.8701409019</v>
      </c>
      <c r="I5828" s="191" t="n">
        <v>4054060.42457716</v>
      </c>
      <c r="J5828" s="192" t="str">
        <f>IF(I5828&gt;0,H5828/I5828,0)</f>
      </c>
      <c r="K5828" s="193" t="str">
        <f>1-EXP(-J5828)</f>
      </c>
      <c r="L5828" s="194" t="str">
        <f>IF(G5828=30,1,M5827)</f>
      </c>
      <c r="M5828" s="195" t="str">
        <f>L5828*(1-K5828)</f>
      </c>
    </row>
    <row r="5829">
      <c r="A5829" t="s">
        <v>167</v>
      </c>
      <c r="B5829" t="s">
        <v>116</v>
      </c>
      <c r="C5829" s="35" t="s">
        <v>422</v>
      </c>
      <c r="D5829" t="s">
        <v>502</v>
      </c>
      <c r="E5829" t="s">
        <v>520</v>
      </c>
      <c r="F5829" s="188" t="n">
        <v>2040</v>
      </c>
      <c r="G5829" s="189" t="n">
        <v>57</v>
      </c>
      <c r="H5829" s="190" t="n">
        <v>16220.3285437103</v>
      </c>
      <c r="I5829" s="191" t="n">
        <v>4008753.8455757</v>
      </c>
      <c r="J5829" s="192" t="str">
        <f>IF(I5829&gt;0,H5829/I5829,0)</f>
      </c>
      <c r="K5829" s="193" t="str">
        <f>1-EXP(-J5829)</f>
      </c>
      <c r="L5829" s="194" t="str">
        <f>IF(G5829=30,1,M5828)</f>
      </c>
      <c r="M5829" s="195" t="str">
        <f>L5829*(1-K5829)</f>
      </c>
    </row>
    <row r="5830">
      <c r="A5830" t="s">
        <v>167</v>
      </c>
      <c r="B5830" t="s">
        <v>116</v>
      </c>
      <c r="C5830" s="35" t="s">
        <v>422</v>
      </c>
      <c r="D5830" t="s">
        <v>502</v>
      </c>
      <c r="E5830" t="s">
        <v>520</v>
      </c>
      <c r="F5830" s="188" t="n">
        <v>2040</v>
      </c>
      <c r="G5830" s="189" t="n">
        <v>58</v>
      </c>
      <c r="H5830" s="190" t="n">
        <v>17106.6035462588</v>
      </c>
      <c r="I5830" s="191" t="n">
        <v>3856807.08631912</v>
      </c>
      <c r="J5830" s="192" t="str">
        <f>IF(I5830&gt;0,H5830/I5830,0)</f>
      </c>
      <c r="K5830" s="193" t="str">
        <f>1-EXP(-J5830)</f>
      </c>
      <c r="L5830" s="194" t="str">
        <f>IF(G5830=30,1,M5829)</f>
      </c>
      <c r="M5830" s="195" t="str">
        <f>L5830*(1-K5830)</f>
      </c>
    </row>
    <row r="5831">
      <c r="A5831" t="s">
        <v>167</v>
      </c>
      <c r="B5831" t="s">
        <v>116</v>
      </c>
      <c r="C5831" s="35" t="s">
        <v>422</v>
      </c>
      <c r="D5831" t="s">
        <v>502</v>
      </c>
      <c r="E5831" t="s">
        <v>520</v>
      </c>
      <c r="F5831" s="188" t="n">
        <v>2040</v>
      </c>
      <c r="G5831" s="189" t="n">
        <v>59</v>
      </c>
      <c r="H5831" s="190" t="n">
        <v>18296.2676255515</v>
      </c>
      <c r="I5831" s="191" t="n">
        <v>3762328.16716218</v>
      </c>
      <c r="J5831" s="192" t="str">
        <f>IF(I5831&gt;0,H5831/I5831,0)</f>
      </c>
      <c r="K5831" s="193" t="str">
        <f>1-EXP(-J5831)</f>
      </c>
      <c r="L5831" s="194" t="str">
        <f>IF(G5831=30,1,M5830)</f>
      </c>
      <c r="M5831" s="195" t="str">
        <f>L5831*(1-K5831)</f>
      </c>
    </row>
    <row r="5832">
      <c r="A5832" t="s">
        <v>167</v>
      </c>
      <c r="B5832" t="s">
        <v>116</v>
      </c>
      <c r="C5832" s="35" t="s">
        <v>422</v>
      </c>
      <c r="D5832" t="s">
        <v>502</v>
      </c>
      <c r="E5832" t="s">
        <v>520</v>
      </c>
      <c r="F5832" s="188" t="n">
        <v>2040</v>
      </c>
      <c r="G5832" s="189" t="n">
        <v>60</v>
      </c>
      <c r="H5832" s="190" t="n">
        <v>19562.1831548494</v>
      </c>
      <c r="I5832" s="191" t="n">
        <v>3681117.9716042</v>
      </c>
      <c r="J5832" s="192" t="str">
        <f>IF(I5832&gt;0,H5832/I5832,0)</f>
      </c>
      <c r="K5832" s="193" t="str">
        <f>1-EXP(-J5832)</f>
      </c>
      <c r="L5832" s="194" t="str">
        <f>IF(G5832=30,1,M5831)</f>
      </c>
      <c r="M5832" s="195" t="str">
        <f>L5832*(1-K5832)</f>
      </c>
    </row>
    <row r="5833">
      <c r="A5833" t="s">
        <v>167</v>
      </c>
      <c r="B5833" t="s">
        <v>116</v>
      </c>
      <c r="C5833" s="35" t="s">
        <v>422</v>
      </c>
      <c r="D5833" t="s">
        <v>502</v>
      </c>
      <c r="E5833" t="s">
        <v>520</v>
      </c>
      <c r="F5833" s="188" t="n">
        <v>2040</v>
      </c>
      <c r="G5833" s="189" t="n">
        <v>61</v>
      </c>
      <c r="H5833" s="190" t="n">
        <v>20977.4917336663</v>
      </c>
      <c r="I5833" s="191" t="n">
        <v>3593088.58904218</v>
      </c>
      <c r="J5833" s="192" t="str">
        <f>IF(I5833&gt;0,H5833/I5833,0)</f>
      </c>
      <c r="K5833" s="193" t="str">
        <f>1-EXP(-J5833)</f>
      </c>
      <c r="L5833" s="194" t="str">
        <f>IF(G5833=30,1,M5832)</f>
      </c>
      <c r="M5833" s="195" t="str">
        <f>L5833*(1-K5833)</f>
      </c>
    </row>
    <row r="5834">
      <c r="A5834" t="s">
        <v>167</v>
      </c>
      <c r="B5834" t="s">
        <v>116</v>
      </c>
      <c r="C5834" s="35" t="s">
        <v>422</v>
      </c>
      <c r="D5834" t="s">
        <v>502</v>
      </c>
      <c r="E5834" t="s">
        <v>520</v>
      </c>
      <c r="F5834" s="188" t="n">
        <v>2040</v>
      </c>
      <c r="G5834" s="189" t="n">
        <v>62</v>
      </c>
      <c r="H5834" s="190" t="n">
        <v>22342.5147125736</v>
      </c>
      <c r="I5834" s="191" t="n">
        <v>3486025.31004159</v>
      </c>
      <c r="J5834" s="192" t="str">
        <f>IF(I5834&gt;0,H5834/I5834,0)</f>
      </c>
      <c r="K5834" s="193" t="str">
        <f>1-EXP(-J5834)</f>
      </c>
      <c r="L5834" s="194" t="str">
        <f>IF(G5834=30,1,M5833)</f>
      </c>
      <c r="M5834" s="195" t="str">
        <f>L5834*(1-K5834)</f>
      </c>
    </row>
    <row r="5835">
      <c r="A5835" t="s">
        <v>167</v>
      </c>
      <c r="B5835" t="s">
        <v>116</v>
      </c>
      <c r="C5835" s="35" t="s">
        <v>422</v>
      </c>
      <c r="D5835" t="s">
        <v>502</v>
      </c>
      <c r="E5835" t="s">
        <v>520</v>
      </c>
      <c r="F5835" s="188" t="n">
        <v>2040</v>
      </c>
      <c r="G5835" s="189" t="n">
        <v>63</v>
      </c>
      <c r="H5835" s="190" t="n">
        <v>23898.1855385209</v>
      </c>
      <c r="I5835" s="191" t="n">
        <v>3392390.57693547</v>
      </c>
      <c r="J5835" s="192" t="str">
        <f>IF(I5835&gt;0,H5835/I5835,0)</f>
      </c>
      <c r="K5835" s="193" t="str">
        <f>1-EXP(-J5835)</f>
      </c>
      <c r="L5835" s="194" t="str">
        <f>IF(G5835=30,1,M5834)</f>
      </c>
      <c r="M5835" s="195" t="str">
        <f>L5835*(1-K5835)</f>
      </c>
    </row>
    <row r="5836">
      <c r="A5836" t="s">
        <v>167</v>
      </c>
      <c r="B5836" t="s">
        <v>116</v>
      </c>
      <c r="C5836" s="35" t="s">
        <v>422</v>
      </c>
      <c r="D5836" t="s">
        <v>502</v>
      </c>
      <c r="E5836" t="s">
        <v>520</v>
      </c>
      <c r="F5836" s="188" t="n">
        <v>2040</v>
      </c>
      <c r="G5836" s="189" t="n">
        <v>64</v>
      </c>
      <c r="H5836" s="190" t="n">
        <v>25414.9996509762</v>
      </c>
      <c r="I5836" s="191" t="n">
        <v>3286890.44677343</v>
      </c>
      <c r="J5836" s="192" t="str">
        <f>IF(I5836&gt;0,H5836/I5836,0)</f>
      </c>
      <c r="K5836" s="193" t="str">
        <f>1-EXP(-J5836)</f>
      </c>
      <c r="L5836" s="194" t="str">
        <f>IF(G5836=30,1,M5835)</f>
      </c>
      <c r="M5836" s="195" t="str">
        <f>L5836*(1-K5836)</f>
      </c>
    </row>
    <row r="5837">
      <c r="A5837" t="s">
        <v>167</v>
      </c>
      <c r="B5837" t="s">
        <v>116</v>
      </c>
      <c r="C5837" s="35" t="s">
        <v>422</v>
      </c>
      <c r="D5837" t="s">
        <v>502</v>
      </c>
      <c r="E5837" t="s">
        <v>520</v>
      </c>
      <c r="F5837" s="188" t="n">
        <v>2040</v>
      </c>
      <c r="G5837" s="189" t="n">
        <v>65</v>
      </c>
      <c r="H5837" s="190" t="n">
        <v>25862.6051494731</v>
      </c>
      <c r="I5837" s="191" t="n">
        <v>3179145.99530023</v>
      </c>
      <c r="J5837" s="192" t="str">
        <f>IF(I5837&gt;0,H5837/I5837,0)</f>
      </c>
      <c r="K5837" s="193" t="str">
        <f>1-EXP(-J5837)</f>
      </c>
      <c r="L5837" s="194" t="str">
        <f>IF(G5837=30,1,M5836)</f>
      </c>
      <c r="M5837" s="195" t="str">
        <f>L5837*(1-K5837)</f>
      </c>
    </row>
    <row r="5838">
      <c r="A5838" t="s">
        <v>167</v>
      </c>
      <c r="B5838" t="s">
        <v>116</v>
      </c>
      <c r="C5838" s="35" t="s">
        <v>422</v>
      </c>
      <c r="D5838" t="s">
        <v>502</v>
      </c>
      <c r="E5838" t="s">
        <v>520</v>
      </c>
      <c r="F5838" s="188" t="n">
        <v>2040</v>
      </c>
      <c r="G5838" s="189" t="n">
        <v>66</v>
      </c>
      <c r="H5838" s="190" t="n">
        <v>27119.9342298715</v>
      </c>
      <c r="I5838" s="191" t="n">
        <v>3046638.96542354</v>
      </c>
      <c r="J5838" s="192" t="str">
        <f>IF(I5838&gt;0,H5838/I5838,0)</f>
      </c>
      <c r="K5838" s="193" t="str">
        <f>1-EXP(-J5838)</f>
      </c>
      <c r="L5838" s="194" t="str">
        <f>IF(G5838=30,1,M5837)</f>
      </c>
      <c r="M5838" s="195" t="str">
        <f>L5838*(1-K5838)</f>
      </c>
    </row>
    <row r="5839">
      <c r="A5839" t="s">
        <v>167</v>
      </c>
      <c r="B5839" t="s">
        <v>116</v>
      </c>
      <c r="C5839" s="35" t="s">
        <v>422</v>
      </c>
      <c r="D5839" t="s">
        <v>502</v>
      </c>
      <c r="E5839" t="s">
        <v>520</v>
      </c>
      <c r="F5839" s="188" t="n">
        <v>2040</v>
      </c>
      <c r="G5839" s="189" t="n">
        <v>67</v>
      </c>
      <c r="H5839" s="190" t="n">
        <v>28992.3832123067</v>
      </c>
      <c r="I5839" s="191" t="n">
        <v>2963690.54408845</v>
      </c>
      <c r="J5839" s="192" t="str">
        <f>IF(I5839&gt;0,H5839/I5839,0)</f>
      </c>
      <c r="K5839" s="193" t="str">
        <f>1-EXP(-J5839)</f>
      </c>
      <c r="L5839" s="194" t="str">
        <f>IF(G5839=30,1,M5838)</f>
      </c>
      <c r="M5839" s="195" t="str">
        <f>L5839*(1-K5839)</f>
      </c>
    </row>
    <row r="5840">
      <c r="A5840" t="s">
        <v>167</v>
      </c>
      <c r="B5840" t="s">
        <v>116</v>
      </c>
      <c r="C5840" s="35" t="s">
        <v>422</v>
      </c>
      <c r="D5840" t="s">
        <v>502</v>
      </c>
      <c r="E5840" t="s">
        <v>520</v>
      </c>
      <c r="F5840" s="188" t="n">
        <v>2040</v>
      </c>
      <c r="G5840" s="189" t="n">
        <v>68</v>
      </c>
      <c r="H5840" s="190" t="n">
        <v>29526.0073015728</v>
      </c>
      <c r="I5840" s="191" t="n">
        <v>2741246.84785719</v>
      </c>
      <c r="J5840" s="192" t="str">
        <f>IF(I5840&gt;0,H5840/I5840,0)</f>
      </c>
      <c r="K5840" s="193" t="str">
        <f>1-EXP(-J5840)</f>
      </c>
      <c r="L5840" s="194" t="str">
        <f>IF(G5840=30,1,M5839)</f>
      </c>
      <c r="M5840" s="195" t="str">
        <f>L5840*(1-K5840)</f>
      </c>
    </row>
    <row r="5841">
      <c r="A5841" t="s">
        <v>167</v>
      </c>
      <c r="B5841" t="s">
        <v>116</v>
      </c>
      <c r="C5841" s="35" t="s">
        <v>422</v>
      </c>
      <c r="D5841" t="s">
        <v>502</v>
      </c>
      <c r="E5841" t="s">
        <v>520</v>
      </c>
      <c r="F5841" s="188" t="n">
        <v>2040</v>
      </c>
      <c r="G5841" s="189" t="n">
        <v>69</v>
      </c>
      <c r="H5841" s="190" t="n">
        <v>31082.4527809077</v>
      </c>
      <c r="I5841" s="191" t="n">
        <v>2620910.62553859</v>
      </c>
      <c r="J5841" s="192" t="str">
        <f>IF(I5841&gt;0,H5841/I5841,0)</f>
      </c>
      <c r="K5841" s="193" t="str">
        <f>1-EXP(-J5841)</f>
      </c>
      <c r="L5841" s="194" t="str">
        <f>IF(G5841=30,1,M5840)</f>
      </c>
      <c r="M5841" s="195" t="str">
        <f>L5841*(1-K5841)</f>
      </c>
    </row>
    <row r="5842">
      <c r="A5842" t="s">
        <v>167</v>
      </c>
      <c r="B5842" t="s">
        <v>116</v>
      </c>
      <c r="C5842" s="35" t="s">
        <v>422</v>
      </c>
      <c r="D5842" t="s">
        <v>502</v>
      </c>
      <c r="E5842" t="s">
        <v>520</v>
      </c>
      <c r="F5842" s="188" t="n">
        <v>2041</v>
      </c>
      <c r="G5842" s="189" t="n">
        <v>30</v>
      </c>
      <c r="H5842" s="190" t="n">
        <v>755.411694439336</v>
      </c>
      <c r="I5842" s="191" t="n">
        <v>4884323.8246653</v>
      </c>
      <c r="J5842" s="192" t="str">
        <f>IF(I5842&gt;0,H5842/I5842,0)</f>
      </c>
      <c r="K5842" s="193" t="str">
        <f>1-EXP(-J5842)</f>
      </c>
      <c r="L5842" s="194" t="str">
        <f>IF(G5842=30,1,M5841)</f>
      </c>
      <c r="M5842" s="195" t="str">
        <f>L5842*(1-K5842)</f>
      </c>
    </row>
    <row r="5843">
      <c r="A5843" t="s">
        <v>167</v>
      </c>
      <c r="B5843" t="s">
        <v>116</v>
      </c>
      <c r="C5843" s="35" t="s">
        <v>422</v>
      </c>
      <c r="D5843" t="s">
        <v>502</v>
      </c>
      <c r="E5843" t="s">
        <v>520</v>
      </c>
      <c r="F5843" s="188" t="n">
        <v>2041</v>
      </c>
      <c r="G5843" s="189" t="n">
        <v>31</v>
      </c>
      <c r="H5843" s="190" t="n">
        <v>942.305552971268</v>
      </c>
      <c r="I5843" s="191" t="n">
        <v>4750396.8485464</v>
      </c>
      <c r="J5843" s="192" t="str">
        <f>IF(I5843&gt;0,H5843/I5843,0)</f>
      </c>
      <c r="K5843" s="193" t="str">
        <f>1-EXP(-J5843)</f>
      </c>
      <c r="L5843" s="194" t="str">
        <f>IF(G5843=30,1,M5842)</f>
      </c>
      <c r="M5843" s="195" t="str">
        <f>L5843*(1-K5843)</f>
      </c>
    </row>
    <row r="5844">
      <c r="A5844" t="s">
        <v>167</v>
      </c>
      <c r="B5844" t="s">
        <v>116</v>
      </c>
      <c r="C5844" s="35" t="s">
        <v>422</v>
      </c>
      <c r="D5844" t="s">
        <v>502</v>
      </c>
      <c r="E5844" t="s">
        <v>520</v>
      </c>
      <c r="F5844" s="188" t="n">
        <v>2041</v>
      </c>
      <c r="G5844" s="189" t="n">
        <v>32</v>
      </c>
      <c r="H5844" s="190" t="n">
        <v>978.976270298</v>
      </c>
      <c r="I5844" s="191" t="n">
        <v>4679764.92605892</v>
      </c>
      <c r="J5844" s="192" t="str">
        <f>IF(I5844&gt;0,H5844/I5844,0)</f>
      </c>
      <c r="K5844" s="193" t="str">
        <f>1-EXP(-J5844)</f>
      </c>
      <c r="L5844" s="194" t="str">
        <f>IF(G5844=30,1,M5843)</f>
      </c>
      <c r="M5844" s="195" t="str">
        <f>L5844*(1-K5844)</f>
      </c>
    </row>
    <row r="5845">
      <c r="A5845" t="s">
        <v>167</v>
      </c>
      <c r="B5845" t="s">
        <v>116</v>
      </c>
      <c r="C5845" s="35" t="s">
        <v>422</v>
      </c>
      <c r="D5845" t="s">
        <v>502</v>
      </c>
      <c r="E5845" t="s">
        <v>520</v>
      </c>
      <c r="F5845" s="188" t="n">
        <v>2041</v>
      </c>
      <c r="G5845" s="189" t="n">
        <v>33</v>
      </c>
      <c r="H5845" s="190" t="n">
        <v>1029.20952952088</v>
      </c>
      <c r="I5845" s="191" t="n">
        <v>4637146.56143455</v>
      </c>
      <c r="J5845" s="192" t="str">
        <f>IF(I5845&gt;0,H5845/I5845,0)</f>
      </c>
      <c r="K5845" s="193" t="str">
        <f>1-EXP(-J5845)</f>
      </c>
      <c r="L5845" s="194" t="str">
        <f>IF(G5845=30,1,M5844)</f>
      </c>
      <c r="M5845" s="195" t="str">
        <f>L5845*(1-K5845)</f>
      </c>
    </row>
    <row r="5846">
      <c r="A5846" t="s">
        <v>167</v>
      </c>
      <c r="B5846" t="s">
        <v>116</v>
      </c>
      <c r="C5846" s="35" t="s">
        <v>422</v>
      </c>
      <c r="D5846" t="s">
        <v>502</v>
      </c>
      <c r="E5846" t="s">
        <v>520</v>
      </c>
      <c r="F5846" s="188" t="n">
        <v>2041</v>
      </c>
      <c r="G5846" s="189" t="n">
        <v>34</v>
      </c>
      <c r="H5846" s="190" t="n">
        <v>1155.10959168942</v>
      </c>
      <c r="I5846" s="191" t="n">
        <v>4662951.07860343</v>
      </c>
      <c r="J5846" s="192" t="str">
        <f>IF(I5846&gt;0,H5846/I5846,0)</f>
      </c>
      <c r="K5846" s="193" t="str">
        <f>1-EXP(-J5846)</f>
      </c>
      <c r="L5846" s="194" t="str">
        <f>IF(G5846=30,1,M5845)</f>
      </c>
      <c r="M5846" s="195" t="str">
        <f>L5846*(1-K5846)</f>
      </c>
    </row>
    <row r="5847">
      <c r="A5847" t="s">
        <v>167</v>
      </c>
      <c r="B5847" t="s">
        <v>116</v>
      </c>
      <c r="C5847" s="35" t="s">
        <v>422</v>
      </c>
      <c r="D5847" t="s">
        <v>502</v>
      </c>
      <c r="E5847" t="s">
        <v>520</v>
      </c>
      <c r="F5847" s="188" t="n">
        <v>2041</v>
      </c>
      <c r="G5847" s="189" t="n">
        <v>35</v>
      </c>
      <c r="H5847" s="190" t="n">
        <v>1509.94533669037</v>
      </c>
      <c r="I5847" s="191" t="n">
        <v>4579666.93077805</v>
      </c>
      <c r="J5847" s="192" t="str">
        <f>IF(I5847&gt;0,H5847/I5847,0)</f>
      </c>
      <c r="K5847" s="193" t="str">
        <f>1-EXP(-J5847)</f>
      </c>
      <c r="L5847" s="194" t="str">
        <f>IF(G5847=30,1,M5846)</f>
      </c>
      <c r="M5847" s="195" t="str">
        <f>L5847*(1-K5847)</f>
      </c>
    </row>
    <row r="5848">
      <c r="A5848" t="s">
        <v>167</v>
      </c>
      <c r="B5848" t="s">
        <v>116</v>
      </c>
      <c r="C5848" s="35" t="s">
        <v>422</v>
      </c>
      <c r="D5848" t="s">
        <v>502</v>
      </c>
      <c r="E5848" t="s">
        <v>520</v>
      </c>
      <c r="F5848" s="188" t="n">
        <v>2041</v>
      </c>
      <c r="G5848" s="189" t="n">
        <v>36</v>
      </c>
      <c r="H5848" s="190" t="n">
        <v>1721.00252370355</v>
      </c>
      <c r="I5848" s="191" t="n">
        <v>4517745.55138505</v>
      </c>
      <c r="J5848" s="192" t="str">
        <f>IF(I5848&gt;0,H5848/I5848,0)</f>
      </c>
      <c r="K5848" s="193" t="str">
        <f>1-EXP(-J5848)</f>
      </c>
      <c r="L5848" s="194" t="str">
        <f>IF(G5848=30,1,M5847)</f>
      </c>
      <c r="M5848" s="195" t="str">
        <f>L5848*(1-K5848)</f>
      </c>
    </row>
    <row r="5849">
      <c r="A5849" t="s">
        <v>167</v>
      </c>
      <c r="B5849" t="s">
        <v>116</v>
      </c>
      <c r="C5849" s="35" t="s">
        <v>422</v>
      </c>
      <c r="D5849" t="s">
        <v>502</v>
      </c>
      <c r="E5849" t="s">
        <v>520</v>
      </c>
      <c r="F5849" s="188" t="n">
        <v>2041</v>
      </c>
      <c r="G5849" s="189" t="n">
        <v>37</v>
      </c>
      <c r="H5849" s="190" t="n">
        <v>1801.96624759952</v>
      </c>
      <c r="I5849" s="191" t="n">
        <v>4388543.48128823</v>
      </c>
      <c r="J5849" s="192" t="str">
        <f>IF(I5849&gt;0,H5849/I5849,0)</f>
      </c>
      <c r="K5849" s="193" t="str">
        <f>1-EXP(-J5849)</f>
      </c>
      <c r="L5849" s="194" t="str">
        <f>IF(G5849=30,1,M5848)</f>
      </c>
      <c r="M5849" s="195" t="str">
        <f>L5849*(1-K5849)</f>
      </c>
    </row>
    <row r="5850">
      <c r="A5850" t="s">
        <v>167</v>
      </c>
      <c r="B5850" t="s">
        <v>116</v>
      </c>
      <c r="C5850" s="35" t="s">
        <v>422</v>
      </c>
      <c r="D5850" t="s">
        <v>502</v>
      </c>
      <c r="E5850" t="s">
        <v>520</v>
      </c>
      <c r="F5850" s="188" t="n">
        <v>2041</v>
      </c>
      <c r="G5850" s="189" t="n">
        <v>38</v>
      </c>
      <c r="H5850" s="190" t="n">
        <v>1918.71454336349</v>
      </c>
      <c r="I5850" s="191" t="n">
        <v>4321851.97222344</v>
      </c>
      <c r="J5850" s="192" t="str">
        <f>IF(I5850&gt;0,H5850/I5850,0)</f>
      </c>
      <c r="K5850" s="193" t="str">
        <f>1-EXP(-J5850)</f>
      </c>
      <c r="L5850" s="194" t="str">
        <f>IF(G5850=30,1,M5849)</f>
      </c>
      <c r="M5850" s="195" t="str">
        <f>L5850*(1-K5850)</f>
      </c>
    </row>
    <row r="5851">
      <c r="A5851" t="s">
        <v>167</v>
      </c>
      <c r="B5851" t="s">
        <v>116</v>
      </c>
      <c r="C5851" s="35" t="s">
        <v>422</v>
      </c>
      <c r="D5851" t="s">
        <v>502</v>
      </c>
      <c r="E5851" t="s">
        <v>520</v>
      </c>
      <c r="F5851" s="188" t="n">
        <v>2041</v>
      </c>
      <c r="G5851" s="189" t="n">
        <v>39</v>
      </c>
      <c r="H5851" s="190" t="n">
        <v>2218.38429085568</v>
      </c>
      <c r="I5851" s="191" t="n">
        <v>4297630.71993314</v>
      </c>
      <c r="J5851" s="192" t="str">
        <f>IF(I5851&gt;0,H5851/I5851,0)</f>
      </c>
      <c r="K5851" s="193" t="str">
        <f>1-EXP(-J5851)</f>
      </c>
      <c r="L5851" s="194" t="str">
        <f>IF(G5851=30,1,M5850)</f>
      </c>
      <c r="M5851" s="195" t="str">
        <f>L5851*(1-K5851)</f>
      </c>
    </row>
    <row r="5852">
      <c r="A5852" t="s">
        <v>167</v>
      </c>
      <c r="B5852" t="s">
        <v>116</v>
      </c>
      <c r="C5852" s="35" t="s">
        <v>422</v>
      </c>
      <c r="D5852" t="s">
        <v>502</v>
      </c>
      <c r="E5852" t="s">
        <v>520</v>
      </c>
      <c r="F5852" s="188" t="n">
        <v>2041</v>
      </c>
      <c r="G5852" s="189" t="n">
        <v>40</v>
      </c>
      <c r="H5852" s="190" t="n">
        <v>2966.26622770208</v>
      </c>
      <c r="I5852" s="191" t="n">
        <v>4275174.5485366</v>
      </c>
      <c r="J5852" s="192" t="str">
        <f>IF(I5852&gt;0,H5852/I5852,0)</f>
      </c>
      <c r="K5852" s="193" t="str">
        <f>1-EXP(-J5852)</f>
      </c>
      <c r="L5852" s="194" t="str">
        <f>IF(G5852=30,1,M5851)</f>
      </c>
      <c r="M5852" s="195" t="str">
        <f>L5852*(1-K5852)</f>
      </c>
    </row>
    <row r="5853">
      <c r="A5853" t="s">
        <v>167</v>
      </c>
      <c r="B5853" t="s">
        <v>116</v>
      </c>
      <c r="C5853" s="35" t="s">
        <v>422</v>
      </c>
      <c r="D5853" t="s">
        <v>502</v>
      </c>
      <c r="E5853" t="s">
        <v>520</v>
      </c>
      <c r="F5853" s="188" t="n">
        <v>2041</v>
      </c>
      <c r="G5853" s="189" t="n">
        <v>41</v>
      </c>
      <c r="H5853" s="190" t="n">
        <v>3211.88534466726</v>
      </c>
      <c r="I5853" s="191" t="n">
        <v>4251412.70601253</v>
      </c>
      <c r="J5853" s="192" t="str">
        <f>IF(I5853&gt;0,H5853/I5853,0)</f>
      </c>
      <c r="K5853" s="193" t="str">
        <f>1-EXP(-J5853)</f>
      </c>
      <c r="L5853" s="194" t="str">
        <f>IF(G5853=30,1,M5852)</f>
      </c>
      <c r="M5853" s="195" t="str">
        <f>L5853*(1-K5853)</f>
      </c>
    </row>
    <row r="5854">
      <c r="A5854" t="s">
        <v>167</v>
      </c>
      <c r="B5854" t="s">
        <v>116</v>
      </c>
      <c r="C5854" s="35" t="s">
        <v>422</v>
      </c>
      <c r="D5854" t="s">
        <v>502</v>
      </c>
      <c r="E5854" t="s">
        <v>520</v>
      </c>
      <c r="F5854" s="188" t="n">
        <v>2041</v>
      </c>
      <c r="G5854" s="189" t="n">
        <v>42</v>
      </c>
      <c r="H5854" s="190" t="n">
        <v>3507.44402149582</v>
      </c>
      <c r="I5854" s="191" t="n">
        <v>4267057.66968914</v>
      </c>
      <c r="J5854" s="192" t="str">
        <f>IF(I5854&gt;0,H5854/I5854,0)</f>
      </c>
      <c r="K5854" s="193" t="str">
        <f>1-EXP(-J5854)</f>
      </c>
      <c r="L5854" s="194" t="str">
        <f>IF(G5854=30,1,M5853)</f>
      </c>
      <c r="M5854" s="195" t="str">
        <f>L5854*(1-K5854)</f>
      </c>
    </row>
    <row r="5855">
      <c r="A5855" t="s">
        <v>167</v>
      </c>
      <c r="B5855" t="s">
        <v>116</v>
      </c>
      <c r="C5855" s="35" t="s">
        <v>422</v>
      </c>
      <c r="D5855" t="s">
        <v>502</v>
      </c>
      <c r="E5855" t="s">
        <v>520</v>
      </c>
      <c r="F5855" s="188" t="n">
        <v>2041</v>
      </c>
      <c r="G5855" s="189" t="n">
        <v>43</v>
      </c>
      <c r="H5855" s="190" t="n">
        <v>3874.1954144914</v>
      </c>
      <c r="I5855" s="191" t="n">
        <v>4320707.66093395</v>
      </c>
      <c r="J5855" s="192" t="str">
        <f>IF(I5855&gt;0,H5855/I5855,0)</f>
      </c>
      <c r="K5855" s="193" t="str">
        <f>1-EXP(-J5855)</f>
      </c>
      <c r="L5855" s="194" t="str">
        <f>IF(G5855=30,1,M5854)</f>
      </c>
      <c r="M5855" s="195" t="str">
        <f>L5855*(1-K5855)</f>
      </c>
    </row>
    <row r="5856">
      <c r="A5856" t="s">
        <v>167</v>
      </c>
      <c r="B5856" t="s">
        <v>116</v>
      </c>
      <c r="C5856" s="35" t="s">
        <v>422</v>
      </c>
      <c r="D5856" t="s">
        <v>502</v>
      </c>
      <c r="E5856" t="s">
        <v>520</v>
      </c>
      <c r="F5856" s="188" t="n">
        <v>2041</v>
      </c>
      <c r="G5856" s="189" t="n">
        <v>44</v>
      </c>
      <c r="H5856" s="190" t="n">
        <v>4571.98227385493</v>
      </c>
      <c r="I5856" s="191" t="n">
        <v>4449939.22359445</v>
      </c>
      <c r="J5856" s="192" t="str">
        <f>IF(I5856&gt;0,H5856/I5856,0)</f>
      </c>
      <c r="K5856" s="193" t="str">
        <f>1-EXP(-J5856)</f>
      </c>
      <c r="L5856" s="194" t="str">
        <f>IF(G5856=30,1,M5855)</f>
      </c>
      <c r="M5856" s="195" t="str">
        <f>L5856*(1-K5856)</f>
      </c>
    </row>
    <row r="5857">
      <c r="A5857" t="s">
        <v>167</v>
      </c>
      <c r="B5857" t="s">
        <v>116</v>
      </c>
      <c r="C5857" s="35" t="s">
        <v>422</v>
      </c>
      <c r="D5857" t="s">
        <v>502</v>
      </c>
      <c r="E5857" t="s">
        <v>520</v>
      </c>
      <c r="F5857" s="188" t="n">
        <v>2041</v>
      </c>
      <c r="G5857" s="189" t="n">
        <v>45</v>
      </c>
      <c r="H5857" s="190" t="n">
        <v>5814.47113775836</v>
      </c>
      <c r="I5857" s="191" t="n">
        <v>4400865.61857279</v>
      </c>
      <c r="J5857" s="192" t="str">
        <f>IF(I5857&gt;0,H5857/I5857,0)</f>
      </c>
      <c r="K5857" s="193" t="str">
        <f>1-EXP(-J5857)</f>
      </c>
      <c r="L5857" s="194" t="str">
        <f>IF(G5857=30,1,M5856)</f>
      </c>
      <c r="M5857" s="195" t="str">
        <f>L5857*(1-K5857)</f>
      </c>
    </row>
    <row r="5858">
      <c r="A5858" t="s">
        <v>167</v>
      </c>
      <c r="B5858" t="s">
        <v>116</v>
      </c>
      <c r="C5858" s="35" t="s">
        <v>422</v>
      </c>
      <c r="D5858" t="s">
        <v>502</v>
      </c>
      <c r="E5858" t="s">
        <v>520</v>
      </c>
      <c r="F5858" s="188" t="n">
        <v>2041</v>
      </c>
      <c r="G5858" s="189" t="n">
        <v>46</v>
      </c>
      <c r="H5858" s="190" t="n">
        <v>6196.9222791247</v>
      </c>
      <c r="I5858" s="191" t="n">
        <v>4320699.80159967</v>
      </c>
      <c r="J5858" s="192" t="str">
        <f>IF(I5858&gt;0,H5858/I5858,0)</f>
      </c>
      <c r="K5858" s="193" t="str">
        <f>1-EXP(-J5858)</f>
      </c>
      <c r="L5858" s="194" t="str">
        <f>IF(G5858=30,1,M5857)</f>
      </c>
      <c r="M5858" s="195" t="str">
        <f>L5858*(1-K5858)</f>
      </c>
    </row>
    <row r="5859">
      <c r="A5859" t="s">
        <v>167</v>
      </c>
      <c r="B5859" t="s">
        <v>116</v>
      </c>
      <c r="C5859" s="35" t="s">
        <v>422</v>
      </c>
      <c r="D5859" t="s">
        <v>502</v>
      </c>
      <c r="E5859" t="s">
        <v>520</v>
      </c>
      <c r="F5859" s="188" t="n">
        <v>2041</v>
      </c>
      <c r="G5859" s="189" t="n">
        <v>47</v>
      </c>
      <c r="H5859" s="190" t="n">
        <v>6701.77734646958</v>
      </c>
      <c r="I5859" s="191" t="n">
        <v>4256142.382951</v>
      </c>
      <c r="J5859" s="192" t="str">
        <f>IF(I5859&gt;0,H5859/I5859,0)</f>
      </c>
      <c r="K5859" s="193" t="str">
        <f>1-EXP(-J5859)</f>
      </c>
      <c r="L5859" s="194" t="str">
        <f>IF(G5859=30,1,M5858)</f>
      </c>
      <c r="M5859" s="195" t="str">
        <f>L5859*(1-K5859)</f>
      </c>
    </row>
    <row r="5860">
      <c r="A5860" t="s">
        <v>167</v>
      </c>
      <c r="B5860" t="s">
        <v>116</v>
      </c>
      <c r="C5860" s="35" t="s">
        <v>422</v>
      </c>
      <c r="D5860" t="s">
        <v>502</v>
      </c>
      <c r="E5860" t="s">
        <v>520</v>
      </c>
      <c r="F5860" s="188" t="n">
        <v>2041</v>
      </c>
      <c r="G5860" s="189" t="n">
        <v>48</v>
      </c>
      <c r="H5860" s="190" t="n">
        <v>7258.4641274751</v>
      </c>
      <c r="I5860" s="191" t="n">
        <v>4194285.89538219</v>
      </c>
      <c r="J5860" s="192" t="str">
        <f>IF(I5860&gt;0,H5860/I5860,0)</f>
      </c>
      <c r="K5860" s="193" t="str">
        <f>1-EXP(-J5860)</f>
      </c>
      <c r="L5860" s="194" t="str">
        <f>IF(G5860=30,1,M5859)</f>
      </c>
      <c r="M5860" s="195" t="str">
        <f>L5860*(1-K5860)</f>
      </c>
    </row>
    <row r="5861">
      <c r="A5861" t="s">
        <v>167</v>
      </c>
      <c r="B5861" t="s">
        <v>116</v>
      </c>
      <c r="C5861" s="35" t="s">
        <v>422</v>
      </c>
      <c r="D5861" t="s">
        <v>502</v>
      </c>
      <c r="E5861" t="s">
        <v>520</v>
      </c>
      <c r="F5861" s="188" t="n">
        <v>2041</v>
      </c>
      <c r="G5861" s="189" t="n">
        <v>49</v>
      </c>
      <c r="H5861" s="190" t="n">
        <v>8017.54482653454</v>
      </c>
      <c r="I5861" s="191" t="n">
        <v>4220141.43734407</v>
      </c>
      <c r="J5861" s="192" t="str">
        <f>IF(I5861&gt;0,H5861/I5861,0)</f>
      </c>
      <c r="K5861" s="193" t="str">
        <f>1-EXP(-J5861)</f>
      </c>
      <c r="L5861" s="194" t="str">
        <f>IF(G5861=30,1,M5860)</f>
      </c>
      <c r="M5861" s="195" t="str">
        <f>L5861*(1-K5861)</f>
      </c>
    </row>
    <row r="5862">
      <c r="A5862" t="s">
        <v>167</v>
      </c>
      <c r="B5862" t="s">
        <v>116</v>
      </c>
      <c r="C5862" s="35" t="s">
        <v>422</v>
      </c>
      <c r="D5862" t="s">
        <v>502</v>
      </c>
      <c r="E5862" t="s">
        <v>520</v>
      </c>
      <c r="F5862" s="188" t="n">
        <v>2041</v>
      </c>
      <c r="G5862" s="189" t="n">
        <v>50</v>
      </c>
      <c r="H5862" s="190" t="n">
        <v>9243.3626826734</v>
      </c>
      <c r="I5862" s="191" t="n">
        <v>4225438.95920015</v>
      </c>
      <c r="J5862" s="192" t="str">
        <f>IF(I5862&gt;0,H5862/I5862,0)</f>
      </c>
      <c r="K5862" s="193" t="str">
        <f>1-EXP(-J5862)</f>
      </c>
      <c r="L5862" s="194" t="str">
        <f>IF(G5862=30,1,M5861)</f>
      </c>
      <c r="M5862" s="195" t="str">
        <f>L5862*(1-K5862)</f>
      </c>
    </row>
    <row r="5863">
      <c r="A5863" t="s">
        <v>167</v>
      </c>
      <c r="B5863" t="s">
        <v>116</v>
      </c>
      <c r="C5863" s="35" t="s">
        <v>422</v>
      </c>
      <c r="D5863" t="s">
        <v>502</v>
      </c>
      <c r="E5863" t="s">
        <v>520</v>
      </c>
      <c r="F5863" s="188" t="n">
        <v>2041</v>
      </c>
      <c r="G5863" s="189" t="n">
        <v>51</v>
      </c>
      <c r="H5863" s="190" t="n">
        <v>13538.7922037254</v>
      </c>
      <c r="I5863" s="191" t="n">
        <v>6213771.81296014</v>
      </c>
      <c r="J5863" s="192" t="str">
        <f>IF(I5863&gt;0,H5863/I5863,0)</f>
      </c>
      <c r="K5863" s="193" t="str">
        <f>1-EXP(-J5863)</f>
      </c>
      <c r="L5863" s="194" t="str">
        <f>IF(G5863=30,1,M5862)</f>
      </c>
      <c r="M5863" s="195" t="str">
        <f>L5863*(1-K5863)</f>
      </c>
    </row>
    <row r="5864">
      <c r="A5864" t="s">
        <v>167</v>
      </c>
      <c r="B5864" t="s">
        <v>116</v>
      </c>
      <c r="C5864" s="35" t="s">
        <v>422</v>
      </c>
      <c r="D5864" t="s">
        <v>502</v>
      </c>
      <c r="E5864" t="s">
        <v>520</v>
      </c>
      <c r="F5864" s="188" t="n">
        <v>2041</v>
      </c>
      <c r="G5864" s="189" t="n">
        <v>52</v>
      </c>
      <c r="H5864" s="190" t="n">
        <v>10866.6787968832</v>
      </c>
      <c r="I5864" s="191" t="n">
        <v>4156639.24465027</v>
      </c>
      <c r="J5864" s="192" t="str">
        <f>IF(I5864&gt;0,H5864/I5864,0)</f>
      </c>
      <c r="K5864" s="193" t="str">
        <f>1-EXP(-J5864)</f>
      </c>
      <c r="L5864" s="194" t="str">
        <f>IF(G5864=30,1,M5863)</f>
      </c>
      <c r="M5864" s="195" t="str">
        <f>L5864*(1-K5864)</f>
      </c>
    </row>
    <row r="5865">
      <c r="A5865" t="s">
        <v>167</v>
      </c>
      <c r="B5865" t="s">
        <v>116</v>
      </c>
      <c r="C5865" s="35" t="s">
        <v>422</v>
      </c>
      <c r="D5865" t="s">
        <v>502</v>
      </c>
      <c r="E5865" t="s">
        <v>520</v>
      </c>
      <c r="F5865" s="188" t="n">
        <v>2041</v>
      </c>
      <c r="G5865" s="189" t="n">
        <v>53</v>
      </c>
      <c r="H5865" s="190" t="n">
        <v>11799.0933739772</v>
      </c>
      <c r="I5865" s="191" t="n">
        <v>4124376.75643328</v>
      </c>
      <c r="J5865" s="192" t="str">
        <f>IF(I5865&gt;0,H5865/I5865,0)</f>
      </c>
      <c r="K5865" s="193" t="str">
        <f>1-EXP(-J5865)</f>
      </c>
      <c r="L5865" s="194" t="str">
        <f>IF(G5865=30,1,M5864)</f>
      </c>
      <c r="M5865" s="195" t="str">
        <f>L5865*(1-K5865)</f>
      </c>
    </row>
    <row r="5866">
      <c r="A5866" t="s">
        <v>167</v>
      </c>
      <c r="B5866" t="s">
        <v>116</v>
      </c>
      <c r="C5866" s="35" t="s">
        <v>422</v>
      </c>
      <c r="D5866" t="s">
        <v>502</v>
      </c>
      <c r="E5866" t="s">
        <v>520</v>
      </c>
      <c r="F5866" s="188" t="n">
        <v>2041</v>
      </c>
      <c r="G5866" s="189" t="n">
        <v>54</v>
      </c>
      <c r="H5866" s="190" t="n">
        <v>12452.5788670237</v>
      </c>
      <c r="I5866" s="191" t="n">
        <v>3980701.9396262</v>
      </c>
      <c r="J5866" s="192" t="str">
        <f>IF(I5866&gt;0,H5866/I5866,0)</f>
      </c>
      <c r="K5866" s="193" t="str">
        <f>1-EXP(-J5866)</f>
      </c>
      <c r="L5866" s="194" t="str">
        <f>IF(G5866=30,1,M5865)</f>
      </c>
      <c r="M5866" s="195" t="str">
        <f>L5866*(1-K5866)</f>
      </c>
    </row>
    <row r="5867">
      <c r="A5867" t="s">
        <v>167</v>
      </c>
      <c r="B5867" t="s">
        <v>116</v>
      </c>
      <c r="C5867" s="35" t="s">
        <v>422</v>
      </c>
      <c r="D5867" t="s">
        <v>502</v>
      </c>
      <c r="E5867" t="s">
        <v>520</v>
      </c>
      <c r="F5867" s="188" t="n">
        <v>2041</v>
      </c>
      <c r="G5867" s="189" t="n">
        <v>55</v>
      </c>
      <c r="H5867" s="190" t="n">
        <v>13297.6940171823</v>
      </c>
      <c r="I5867" s="191" t="n">
        <v>3929041.22822644</v>
      </c>
      <c r="J5867" s="192" t="str">
        <f>IF(I5867&gt;0,H5867/I5867,0)</f>
      </c>
      <c r="K5867" s="193" t="str">
        <f>1-EXP(-J5867)</f>
      </c>
      <c r="L5867" s="194" t="str">
        <f>IF(G5867=30,1,M5866)</f>
      </c>
      <c r="M5867" s="195" t="str">
        <f>L5867*(1-K5867)</f>
      </c>
    </row>
    <row r="5868">
      <c r="A5868" t="s">
        <v>167</v>
      </c>
      <c r="B5868" t="s">
        <v>116</v>
      </c>
      <c r="C5868" s="35" t="s">
        <v>422</v>
      </c>
      <c r="D5868" t="s">
        <v>502</v>
      </c>
      <c r="E5868" t="s">
        <v>520</v>
      </c>
      <c r="F5868" s="188" t="n">
        <v>2041</v>
      </c>
      <c r="G5868" s="189" t="n">
        <v>56</v>
      </c>
      <c r="H5868" s="190" t="n">
        <v>14534.5535730268</v>
      </c>
      <c r="I5868" s="191" t="n">
        <v>3963876.51105556</v>
      </c>
      <c r="J5868" s="192" t="str">
        <f>IF(I5868&gt;0,H5868/I5868,0)</f>
      </c>
      <c r="K5868" s="193" t="str">
        <f>1-EXP(-J5868)</f>
      </c>
      <c r="L5868" s="194" t="str">
        <f>IF(G5868=30,1,M5867)</f>
      </c>
      <c r="M5868" s="195" t="str">
        <f>L5868*(1-K5868)</f>
      </c>
    </row>
    <row r="5869">
      <c r="A5869" t="s">
        <v>167</v>
      </c>
      <c r="B5869" t="s">
        <v>116</v>
      </c>
      <c r="C5869" s="35" t="s">
        <v>422</v>
      </c>
      <c r="D5869" t="s">
        <v>502</v>
      </c>
      <c r="E5869" t="s">
        <v>520</v>
      </c>
      <c r="F5869" s="188" t="n">
        <v>2041</v>
      </c>
      <c r="G5869" s="189" t="n">
        <v>57</v>
      </c>
      <c r="H5869" s="190" t="n">
        <v>16122.8986028023</v>
      </c>
      <c r="I5869" s="191" t="n">
        <v>4020066.05631051</v>
      </c>
      <c r="J5869" s="192" t="str">
        <f>IF(I5869&gt;0,H5869/I5869,0)</f>
      </c>
      <c r="K5869" s="193" t="str">
        <f>1-EXP(-J5869)</f>
      </c>
      <c r="L5869" s="194" t="str">
        <f>IF(G5869=30,1,M5868)</f>
      </c>
      <c r="M5869" s="195" t="str">
        <f>L5869*(1-K5869)</f>
      </c>
    </row>
    <row r="5870">
      <c r="A5870" t="s">
        <v>167</v>
      </c>
      <c r="B5870" t="s">
        <v>116</v>
      </c>
      <c r="C5870" s="35" t="s">
        <v>422</v>
      </c>
      <c r="D5870" t="s">
        <v>502</v>
      </c>
      <c r="E5870" t="s">
        <v>520</v>
      </c>
      <c r="F5870" s="188" t="n">
        <v>2041</v>
      </c>
      <c r="G5870" s="189" t="n">
        <v>58</v>
      </c>
      <c r="H5870" s="190" t="n">
        <v>17445.4998397589</v>
      </c>
      <c r="I5870" s="191" t="n">
        <v>3972061.34719126</v>
      </c>
      <c r="J5870" s="192" t="str">
        <f>IF(I5870&gt;0,H5870/I5870,0)</f>
      </c>
      <c r="K5870" s="193" t="str">
        <f>1-EXP(-J5870)</f>
      </c>
      <c r="L5870" s="194" t="str">
        <f>IF(G5870=30,1,M5869)</f>
      </c>
      <c r="M5870" s="195" t="str">
        <f>L5870*(1-K5870)</f>
      </c>
    </row>
    <row r="5871">
      <c r="A5871" t="s">
        <v>167</v>
      </c>
      <c r="B5871" t="s">
        <v>116</v>
      </c>
      <c r="C5871" s="35" t="s">
        <v>422</v>
      </c>
      <c r="D5871" t="s">
        <v>502</v>
      </c>
      <c r="E5871" t="s">
        <v>520</v>
      </c>
      <c r="F5871" s="188" t="n">
        <v>2041</v>
      </c>
      <c r="G5871" s="189" t="n">
        <v>59</v>
      </c>
      <c r="H5871" s="190" t="n">
        <v>18406.4711307022</v>
      </c>
      <c r="I5871" s="191" t="n">
        <v>3818196.22266985</v>
      </c>
      <c r="J5871" s="192" t="str">
        <f>IF(I5871&gt;0,H5871/I5871,0)</f>
      </c>
      <c r="K5871" s="193" t="str">
        <f>1-EXP(-J5871)</f>
      </c>
      <c r="L5871" s="194" t="str">
        <f>IF(G5871=30,1,M5870)</f>
      </c>
      <c r="M5871" s="195" t="str">
        <f>L5871*(1-K5871)</f>
      </c>
    </row>
    <row r="5872">
      <c r="A5872" t="s">
        <v>167</v>
      </c>
      <c r="B5872" t="s">
        <v>116</v>
      </c>
      <c r="C5872" s="35" t="s">
        <v>422</v>
      </c>
      <c r="D5872" t="s">
        <v>502</v>
      </c>
      <c r="E5872" t="s">
        <v>520</v>
      </c>
      <c r="F5872" s="188" t="n">
        <v>2041</v>
      </c>
      <c r="G5872" s="189" t="n">
        <v>60</v>
      </c>
      <c r="H5872" s="190" t="n">
        <v>19566.8150377264</v>
      </c>
      <c r="I5872" s="191" t="n">
        <v>3721118.1427442</v>
      </c>
      <c r="J5872" s="192" t="str">
        <f>IF(I5872&gt;0,H5872/I5872,0)</f>
      </c>
      <c r="K5872" s="193" t="str">
        <f>1-EXP(-J5872)</f>
      </c>
      <c r="L5872" s="194" t="str">
        <f>IF(G5872=30,1,M5871)</f>
      </c>
      <c r="M5872" s="195" t="str">
        <f>L5872*(1-K5872)</f>
      </c>
    </row>
    <row r="5873">
      <c r="A5873" t="s">
        <v>167</v>
      </c>
      <c r="B5873" t="s">
        <v>116</v>
      </c>
      <c r="C5873" s="35" t="s">
        <v>422</v>
      </c>
      <c r="D5873" t="s">
        <v>502</v>
      </c>
      <c r="E5873" t="s">
        <v>520</v>
      </c>
      <c r="F5873" s="188" t="n">
        <v>2041</v>
      </c>
      <c r="G5873" s="189" t="n">
        <v>61</v>
      </c>
      <c r="H5873" s="190" t="n">
        <v>21010.4138260618</v>
      </c>
      <c r="I5873" s="191" t="n">
        <v>3636733.46153306</v>
      </c>
      <c r="J5873" s="192" t="str">
        <f>IF(I5873&gt;0,H5873/I5873,0)</f>
      </c>
      <c r="K5873" s="193" t="str">
        <f>1-EXP(-J5873)</f>
      </c>
      <c r="L5873" s="194" t="str">
        <f>IF(G5873=30,1,M5872)</f>
      </c>
      <c r="M5873" s="195" t="str">
        <f>L5873*(1-K5873)</f>
      </c>
    </row>
    <row r="5874">
      <c r="A5874" t="s">
        <v>167</v>
      </c>
      <c r="B5874" t="s">
        <v>116</v>
      </c>
      <c r="C5874" s="35" t="s">
        <v>422</v>
      </c>
      <c r="D5874" t="s">
        <v>502</v>
      </c>
      <c r="E5874" t="s">
        <v>520</v>
      </c>
      <c r="F5874" s="188" t="n">
        <v>2041</v>
      </c>
      <c r="G5874" s="189" t="n">
        <v>62</v>
      </c>
      <c r="H5874" s="190" t="n">
        <v>22496.6639506431</v>
      </c>
      <c r="I5874" s="191" t="n">
        <v>3545828.46224996</v>
      </c>
      <c r="J5874" s="192" t="str">
        <f>IF(I5874&gt;0,H5874/I5874,0)</f>
      </c>
      <c r="K5874" s="193" t="str">
        <f>1-EXP(-J5874)</f>
      </c>
      <c r="L5874" s="194" t="str">
        <f>IF(G5874=30,1,M5873)</f>
      </c>
      <c r="M5874" s="195" t="str">
        <f>L5874*(1-K5874)</f>
      </c>
    </row>
    <row r="5875">
      <c r="A5875" t="s">
        <v>167</v>
      </c>
      <c r="B5875" t="s">
        <v>116</v>
      </c>
      <c r="C5875" s="35" t="s">
        <v>422</v>
      </c>
      <c r="D5875" t="s">
        <v>502</v>
      </c>
      <c r="E5875" t="s">
        <v>520</v>
      </c>
      <c r="F5875" s="188" t="n">
        <v>2041</v>
      </c>
      <c r="G5875" s="189" t="n">
        <v>63</v>
      </c>
      <c r="H5875" s="190" t="n">
        <v>23940.2114826982</v>
      </c>
      <c r="I5875" s="191" t="n">
        <v>3435744.15485624</v>
      </c>
      <c r="J5875" s="192" t="str">
        <f>IF(I5875&gt;0,H5875/I5875,0)</f>
      </c>
      <c r="K5875" s="193" t="str">
        <f>1-EXP(-J5875)</f>
      </c>
      <c r="L5875" s="194" t="str">
        <f>IF(G5875=30,1,M5874)</f>
      </c>
      <c r="M5875" s="195" t="str">
        <f>L5875*(1-K5875)</f>
      </c>
    </row>
    <row r="5876">
      <c r="A5876" t="s">
        <v>167</v>
      </c>
      <c r="B5876" t="s">
        <v>116</v>
      </c>
      <c r="C5876" s="35" t="s">
        <v>422</v>
      </c>
      <c r="D5876" t="s">
        <v>502</v>
      </c>
      <c r="E5876" t="s">
        <v>520</v>
      </c>
      <c r="F5876" s="188" t="n">
        <v>2041</v>
      </c>
      <c r="G5876" s="189" t="n">
        <v>64</v>
      </c>
      <c r="H5876" s="190" t="n">
        <v>25576.1345924364</v>
      </c>
      <c r="I5876" s="191" t="n">
        <v>3338656.43166491</v>
      </c>
      <c r="J5876" s="192" t="str">
        <f>IF(I5876&gt;0,H5876/I5876,0)</f>
      </c>
      <c r="K5876" s="193" t="str">
        <f>1-EXP(-J5876)</f>
      </c>
      <c r="L5876" s="194" t="str">
        <f>IF(G5876=30,1,M5875)</f>
      </c>
      <c r="M5876" s="195" t="str">
        <f>L5876*(1-K5876)</f>
      </c>
    </row>
    <row r="5877">
      <c r="A5877" t="s">
        <v>167</v>
      </c>
      <c r="B5877" t="s">
        <v>116</v>
      </c>
      <c r="C5877" s="35" t="s">
        <v>422</v>
      </c>
      <c r="D5877" t="s">
        <v>502</v>
      </c>
      <c r="E5877" t="s">
        <v>520</v>
      </c>
      <c r="F5877" s="188" t="n">
        <v>2041</v>
      </c>
      <c r="G5877" s="189" t="n">
        <v>65</v>
      </c>
      <c r="H5877" s="190" t="n">
        <v>26006.9802130231</v>
      </c>
      <c r="I5877" s="191" t="n">
        <v>3229793.91179552</v>
      </c>
      <c r="J5877" s="192" t="str">
        <f>IF(I5877&gt;0,H5877/I5877,0)</f>
      </c>
      <c r="K5877" s="193" t="str">
        <f>1-EXP(-J5877)</f>
      </c>
      <c r="L5877" s="194" t="str">
        <f>IF(G5877=30,1,M5876)</f>
      </c>
      <c r="M5877" s="195" t="str">
        <f>L5877*(1-K5877)</f>
      </c>
    </row>
    <row r="5878">
      <c r="A5878" t="s">
        <v>167</v>
      </c>
      <c r="B5878" t="s">
        <v>116</v>
      </c>
      <c r="C5878" s="35" t="s">
        <v>422</v>
      </c>
      <c r="D5878" t="s">
        <v>502</v>
      </c>
      <c r="E5878" t="s">
        <v>520</v>
      </c>
      <c r="F5878" s="188" t="n">
        <v>2041</v>
      </c>
      <c r="G5878" s="189" t="n">
        <v>66</v>
      </c>
      <c r="H5878" s="190" t="n">
        <v>27480.7532181458</v>
      </c>
      <c r="I5878" s="191" t="n">
        <v>3119110.27701618</v>
      </c>
      <c r="J5878" s="192" t="str">
        <f>IF(I5878&gt;0,H5878/I5878,0)</f>
      </c>
      <c r="K5878" s="193" t="str">
        <f>1-EXP(-J5878)</f>
      </c>
      <c r="L5878" s="194" t="str">
        <f>IF(G5878=30,1,M5877)</f>
      </c>
      <c r="M5878" s="195" t="str">
        <f>L5878*(1-K5878)</f>
      </c>
    </row>
    <row r="5879">
      <c r="A5879" t="s">
        <v>167</v>
      </c>
      <c r="B5879" t="s">
        <v>116</v>
      </c>
      <c r="C5879" s="35" t="s">
        <v>422</v>
      </c>
      <c r="D5879" t="s">
        <v>502</v>
      </c>
      <c r="E5879" t="s">
        <v>520</v>
      </c>
      <c r="F5879" s="188" t="n">
        <v>2041</v>
      </c>
      <c r="G5879" s="189" t="n">
        <v>67</v>
      </c>
      <c r="H5879" s="190" t="n">
        <v>28887.1217135298</v>
      </c>
      <c r="I5879" s="191" t="n">
        <v>2983088.27633248</v>
      </c>
      <c r="J5879" s="192" t="str">
        <f>IF(I5879&gt;0,H5879/I5879,0)</f>
      </c>
      <c r="K5879" s="193" t="str">
        <f>1-EXP(-J5879)</f>
      </c>
      <c r="L5879" s="194" t="str">
        <f>IF(G5879=30,1,M5878)</f>
      </c>
      <c r="M5879" s="195" t="str">
        <f>L5879*(1-K5879)</f>
      </c>
    </row>
    <row r="5880">
      <c r="A5880" t="s">
        <v>167</v>
      </c>
      <c r="B5880" t="s">
        <v>116</v>
      </c>
      <c r="C5880" s="35" t="s">
        <v>422</v>
      </c>
      <c r="D5880" t="s">
        <v>502</v>
      </c>
      <c r="E5880" t="s">
        <v>520</v>
      </c>
      <c r="F5880" s="188" t="n">
        <v>2041</v>
      </c>
      <c r="G5880" s="189" t="n">
        <v>68</v>
      </c>
      <c r="H5880" s="190" t="n">
        <v>30846.9649845376</v>
      </c>
      <c r="I5880" s="191" t="n">
        <v>2895861.60601549</v>
      </c>
      <c r="J5880" s="192" t="str">
        <f>IF(I5880&gt;0,H5880/I5880,0)</f>
      </c>
      <c r="K5880" s="193" t="str">
        <f>1-EXP(-J5880)</f>
      </c>
      <c r="L5880" s="194" t="str">
        <f>IF(G5880=30,1,M5879)</f>
      </c>
      <c r="M5880" s="195" t="str">
        <f>L5880*(1-K5880)</f>
      </c>
    </row>
    <row r="5881">
      <c r="A5881" t="s">
        <v>167</v>
      </c>
      <c r="B5881" t="s">
        <v>116</v>
      </c>
      <c r="C5881" s="35" t="s">
        <v>422</v>
      </c>
      <c r="D5881" t="s">
        <v>502</v>
      </c>
      <c r="E5881" t="s">
        <v>520</v>
      </c>
      <c r="F5881" s="188" t="n">
        <v>2041</v>
      </c>
      <c r="G5881" s="189" t="n">
        <v>69</v>
      </c>
      <c r="H5881" s="190" t="n">
        <v>31375.4129258167</v>
      </c>
      <c r="I5881" s="191" t="n">
        <v>2672284.09985272</v>
      </c>
      <c r="J5881" s="192" t="str">
        <f>IF(I5881&gt;0,H5881/I5881,0)</f>
      </c>
      <c r="K5881" s="193" t="str">
        <f>1-EXP(-J5881)</f>
      </c>
      <c r="L5881" s="194" t="str">
        <f>IF(G5881=30,1,M5880)</f>
      </c>
      <c r="M5881" s="195" t="str">
        <f>L5881*(1-K5881)</f>
      </c>
    </row>
    <row r="5882">
      <c r="A5882" t="s">
        <v>167</v>
      </c>
      <c r="B5882" t="s">
        <v>116</v>
      </c>
      <c r="C5882" s="35" t="s">
        <v>422</v>
      </c>
      <c r="D5882" t="s">
        <v>502</v>
      </c>
      <c r="E5882" t="s">
        <v>520</v>
      </c>
      <c r="F5882" s="188" t="n">
        <v>2042</v>
      </c>
      <c r="G5882" s="189" t="n">
        <v>30</v>
      </c>
      <c r="H5882" s="190" t="n">
        <v>761.167941168159</v>
      </c>
      <c r="I5882" s="191" t="n">
        <v>4906739.81488412</v>
      </c>
      <c r="J5882" s="192" t="str">
        <f>IF(I5882&gt;0,H5882/I5882,0)</f>
      </c>
      <c r="K5882" s="193" t="str">
        <f>1-EXP(-J5882)</f>
      </c>
      <c r="L5882" s="194" t="str">
        <f>IF(G5882=30,1,M5881)</f>
      </c>
      <c r="M5882" s="195" t="str">
        <f>L5882*(1-K5882)</f>
      </c>
    </row>
    <row r="5883">
      <c r="A5883" t="s">
        <v>167</v>
      </c>
      <c r="B5883" t="s">
        <v>116</v>
      </c>
      <c r="C5883" s="35" t="s">
        <v>422</v>
      </c>
      <c r="D5883" t="s">
        <v>502</v>
      </c>
      <c r="E5883" t="s">
        <v>520</v>
      </c>
      <c r="F5883" s="188" t="n">
        <v>2042</v>
      </c>
      <c r="G5883" s="189" t="n">
        <v>31</v>
      </c>
      <c r="H5883" s="190" t="n">
        <v>970.414644955622</v>
      </c>
      <c r="I5883" s="191" t="n">
        <v>4878653.19914095</v>
      </c>
      <c r="J5883" s="192" t="str">
        <f>IF(I5883&gt;0,H5883/I5883,0)</f>
      </c>
      <c r="K5883" s="193" t="str">
        <f>1-EXP(-J5883)</f>
      </c>
      <c r="L5883" s="194" t="str">
        <f>IF(G5883=30,1,M5882)</f>
      </c>
      <c r="M5883" s="195" t="str">
        <f>L5883*(1-K5883)</f>
      </c>
    </row>
    <row r="5884">
      <c r="A5884" t="s">
        <v>167</v>
      </c>
      <c r="B5884" t="s">
        <v>116</v>
      </c>
      <c r="C5884" s="35" t="s">
        <v>422</v>
      </c>
      <c r="D5884" t="s">
        <v>502</v>
      </c>
      <c r="E5884" t="s">
        <v>520</v>
      </c>
      <c r="F5884" s="188" t="n">
        <v>2042</v>
      </c>
      <c r="G5884" s="189" t="n">
        <v>32</v>
      </c>
      <c r="H5884" s="190" t="n">
        <v>995.125168990105</v>
      </c>
      <c r="I5884" s="191" t="n">
        <v>4744989.04418291</v>
      </c>
      <c r="J5884" s="192" t="str">
        <f>IF(I5884&gt;0,H5884/I5884,0)</f>
      </c>
      <c r="K5884" s="193" t="str">
        <f>1-EXP(-J5884)</f>
      </c>
      <c r="L5884" s="194" t="str">
        <f>IF(G5884=30,1,M5883)</f>
      </c>
      <c r="M5884" s="195" t="str">
        <f>L5884*(1-K5884)</f>
      </c>
    </row>
    <row r="5885">
      <c r="A5885" t="s">
        <v>167</v>
      </c>
      <c r="B5885" t="s">
        <v>116</v>
      </c>
      <c r="C5885" s="35" t="s">
        <v>422</v>
      </c>
      <c r="D5885" t="s">
        <v>502</v>
      </c>
      <c r="E5885" t="s">
        <v>520</v>
      </c>
      <c r="F5885" s="188" t="n">
        <v>2042</v>
      </c>
      <c r="G5885" s="189" t="n">
        <v>33</v>
      </c>
      <c r="H5885" s="190" t="n">
        <v>1039.65047295259</v>
      </c>
      <c r="I5885" s="191" t="n">
        <v>4674216.15281126</v>
      </c>
      <c r="J5885" s="192" t="str">
        <f>IF(I5885&gt;0,H5885/I5885,0)</f>
      </c>
      <c r="K5885" s="193" t="str">
        <f>1-EXP(-J5885)</f>
      </c>
      <c r="L5885" s="194" t="str">
        <f>IF(G5885=30,1,M5884)</f>
      </c>
      <c r="M5885" s="195" t="str">
        <f>L5885*(1-K5885)</f>
      </c>
    </row>
    <row r="5886">
      <c r="A5886" t="s">
        <v>167</v>
      </c>
      <c r="B5886" t="s">
        <v>116</v>
      </c>
      <c r="C5886" s="35" t="s">
        <v>422</v>
      </c>
      <c r="D5886" t="s">
        <v>502</v>
      </c>
      <c r="E5886" t="s">
        <v>520</v>
      </c>
      <c r="F5886" s="188" t="n">
        <v>2042</v>
      </c>
      <c r="G5886" s="189" t="n">
        <v>34</v>
      </c>
      <c r="H5886" s="190" t="n">
        <v>1099.4031124673</v>
      </c>
      <c r="I5886" s="191" t="n">
        <v>4631390.14113395</v>
      </c>
      <c r="J5886" s="192" t="str">
        <f>IF(I5886&gt;0,H5886/I5886,0)</f>
      </c>
      <c r="K5886" s="193" t="str">
        <f>1-EXP(-J5886)</f>
      </c>
      <c r="L5886" s="194" t="str">
        <f>IF(G5886=30,1,M5885)</f>
      </c>
      <c r="M5886" s="195" t="str">
        <f>L5886*(1-K5886)</f>
      </c>
    </row>
    <row r="5887">
      <c r="A5887" t="s">
        <v>167</v>
      </c>
      <c r="B5887" t="s">
        <v>116</v>
      </c>
      <c r="C5887" s="35" t="s">
        <v>422</v>
      </c>
      <c r="D5887" t="s">
        <v>502</v>
      </c>
      <c r="E5887" t="s">
        <v>520</v>
      </c>
      <c r="F5887" s="188" t="n">
        <v>2042</v>
      </c>
      <c r="G5887" s="189" t="n">
        <v>35</v>
      </c>
      <c r="H5887" s="190" t="n">
        <v>1533.15048527817</v>
      </c>
      <c r="I5887" s="191" t="n">
        <v>4656804.67561335</v>
      </c>
      <c r="J5887" s="192" t="str">
        <f>IF(I5887&gt;0,H5887/I5887,0)</f>
      </c>
      <c r="K5887" s="193" t="str">
        <f>1-EXP(-J5887)</f>
      </c>
      <c r="L5887" s="194" t="str">
        <f>IF(G5887=30,1,M5886)</f>
      </c>
      <c r="M5887" s="195" t="str">
        <f>L5887*(1-K5887)</f>
      </c>
    </row>
    <row r="5888">
      <c r="A5888" t="s">
        <v>167</v>
      </c>
      <c r="B5888" t="s">
        <v>116</v>
      </c>
      <c r="C5888" s="35" t="s">
        <v>422</v>
      </c>
      <c r="D5888" t="s">
        <v>502</v>
      </c>
      <c r="E5888" t="s">
        <v>520</v>
      </c>
      <c r="F5888" s="188" t="n">
        <v>2042</v>
      </c>
      <c r="G5888" s="189" t="n">
        <v>36</v>
      </c>
      <c r="H5888" s="190" t="n">
        <v>1738.72912775238</v>
      </c>
      <c r="I5888" s="191" t="n">
        <v>4572946.1285115</v>
      </c>
      <c r="J5888" s="192" t="str">
        <f>IF(I5888&gt;0,H5888/I5888,0)</f>
      </c>
      <c r="K5888" s="193" t="str">
        <f>1-EXP(-J5888)</f>
      </c>
      <c r="L5888" s="194" t="str">
        <f>IF(G5888=30,1,M5887)</f>
      </c>
      <c r="M5888" s="195" t="str">
        <f>L5888*(1-K5888)</f>
      </c>
    </row>
    <row r="5889">
      <c r="A5889" t="s">
        <v>167</v>
      </c>
      <c r="B5889" t="s">
        <v>116</v>
      </c>
      <c r="C5889" s="35" t="s">
        <v>422</v>
      </c>
      <c r="D5889" t="s">
        <v>502</v>
      </c>
      <c r="E5889" t="s">
        <v>520</v>
      </c>
      <c r="F5889" s="188" t="n">
        <v>2042</v>
      </c>
      <c r="G5889" s="189" t="n">
        <v>37</v>
      </c>
      <c r="H5889" s="190" t="n">
        <v>1846.52809153691</v>
      </c>
      <c r="I5889" s="191" t="n">
        <v>4510986.61144723</v>
      </c>
      <c r="J5889" s="192" t="str">
        <f>IF(I5889&gt;0,H5889/I5889,0)</f>
      </c>
      <c r="K5889" s="193" t="str">
        <f>1-EXP(-J5889)</f>
      </c>
      <c r="L5889" s="194" t="str">
        <f>IF(G5889=30,1,M5888)</f>
      </c>
      <c r="M5889" s="195" t="str">
        <f>L5889*(1-K5889)</f>
      </c>
    </row>
    <row r="5890">
      <c r="A5890" t="s">
        <v>167</v>
      </c>
      <c r="B5890" t="s">
        <v>116</v>
      </c>
      <c r="C5890" s="35" t="s">
        <v>422</v>
      </c>
      <c r="D5890" t="s">
        <v>502</v>
      </c>
      <c r="E5890" t="s">
        <v>520</v>
      </c>
      <c r="F5890" s="188" t="n">
        <v>2042</v>
      </c>
      <c r="G5890" s="189" t="n">
        <v>38</v>
      </c>
      <c r="H5890" s="190" t="n">
        <v>1938.9614925133</v>
      </c>
      <c r="I5890" s="191" t="n">
        <v>4381523.25679647</v>
      </c>
      <c r="J5890" s="192" t="str">
        <f>IF(I5890&gt;0,H5890/I5890,0)</f>
      </c>
      <c r="K5890" s="193" t="str">
        <f>1-EXP(-J5890)</f>
      </c>
      <c r="L5890" s="194" t="str">
        <f>IF(G5890=30,1,M5889)</f>
      </c>
      <c r="M5890" s="195" t="str">
        <f>L5890*(1-K5890)</f>
      </c>
    </row>
    <row r="5891">
      <c r="A5891" t="s">
        <v>167</v>
      </c>
      <c r="B5891" t="s">
        <v>116</v>
      </c>
      <c r="C5891" s="35" t="s">
        <v>422</v>
      </c>
      <c r="D5891" t="s">
        <v>502</v>
      </c>
      <c r="E5891" t="s">
        <v>520</v>
      </c>
      <c r="F5891" s="188" t="n">
        <v>2042</v>
      </c>
      <c r="G5891" s="189" t="n">
        <v>39</v>
      </c>
      <c r="H5891" s="190" t="n">
        <v>2069.41527843274</v>
      </c>
      <c r="I5891" s="191" t="n">
        <v>4314433.99246062</v>
      </c>
      <c r="J5891" s="192" t="str">
        <f>IF(I5891&gt;0,H5891/I5891,0)</f>
      </c>
      <c r="K5891" s="193" t="str">
        <f>1-EXP(-J5891)</f>
      </c>
      <c r="L5891" s="194" t="str">
        <f>IF(G5891=30,1,M5890)</f>
      </c>
      <c r="M5891" s="195" t="str">
        <f>L5891*(1-K5891)</f>
      </c>
    </row>
    <row r="5892">
      <c r="A5892" t="s">
        <v>167</v>
      </c>
      <c r="B5892" t="s">
        <v>116</v>
      </c>
      <c r="C5892" s="35" t="s">
        <v>422</v>
      </c>
      <c r="D5892" t="s">
        <v>502</v>
      </c>
      <c r="E5892" t="s">
        <v>520</v>
      </c>
      <c r="F5892" s="188" t="n">
        <v>2042</v>
      </c>
      <c r="G5892" s="189" t="n">
        <v>40</v>
      </c>
      <c r="H5892" s="190" t="n">
        <v>2962.60994183831</v>
      </c>
      <c r="I5892" s="191" t="n">
        <v>4289518.28694455</v>
      </c>
      <c r="J5892" s="192" t="str">
        <f>IF(I5892&gt;0,H5892/I5892,0)</f>
      </c>
      <c r="K5892" s="193" t="str">
        <f>1-EXP(-J5892)</f>
      </c>
      <c r="L5892" s="194" t="str">
        <f>IF(G5892=30,1,M5891)</f>
      </c>
      <c r="M5892" s="195" t="str">
        <f>L5892*(1-K5892)</f>
      </c>
    </row>
    <row r="5893">
      <c r="A5893" t="s">
        <v>167</v>
      </c>
      <c r="B5893" t="s">
        <v>116</v>
      </c>
      <c r="C5893" s="35" t="s">
        <v>422</v>
      </c>
      <c r="D5893" t="s">
        <v>502</v>
      </c>
      <c r="E5893" t="s">
        <v>520</v>
      </c>
      <c r="F5893" s="188" t="n">
        <v>2042</v>
      </c>
      <c r="G5893" s="189" t="n">
        <v>41</v>
      </c>
      <c r="H5893" s="190" t="n">
        <v>3207.67108214136</v>
      </c>
      <c r="I5893" s="191" t="n">
        <v>4265824.34511556</v>
      </c>
      <c r="J5893" s="192" t="str">
        <f>IF(I5893&gt;0,H5893/I5893,0)</f>
      </c>
      <c r="K5893" s="193" t="str">
        <f>1-EXP(-J5893)</f>
      </c>
      <c r="L5893" s="194" t="str">
        <f>IF(G5893=30,1,M5892)</f>
      </c>
      <c r="M5893" s="195" t="str">
        <f>L5893*(1-K5893)</f>
      </c>
    </row>
    <row r="5894">
      <c r="A5894" t="s">
        <v>167</v>
      </c>
      <c r="B5894" t="s">
        <v>116</v>
      </c>
      <c r="C5894" s="35" t="s">
        <v>422</v>
      </c>
      <c r="D5894" t="s">
        <v>502</v>
      </c>
      <c r="E5894" t="s">
        <v>520</v>
      </c>
      <c r="F5894" s="188" t="n">
        <v>2042</v>
      </c>
      <c r="G5894" s="189" t="n">
        <v>42</v>
      </c>
      <c r="H5894" s="190" t="n">
        <v>3469.90955146397</v>
      </c>
      <c r="I5894" s="191" t="n">
        <v>4242094.40057149</v>
      </c>
      <c r="J5894" s="192" t="str">
        <f>IF(I5894&gt;0,H5894/I5894,0)</f>
      </c>
      <c r="K5894" s="193" t="str">
        <f>1-EXP(-J5894)</f>
      </c>
      <c r="L5894" s="194" t="str">
        <f>IF(G5894=30,1,M5893)</f>
      </c>
      <c r="M5894" s="195" t="str">
        <f>L5894*(1-K5894)</f>
      </c>
    </row>
    <row r="5895">
      <c r="A5895" t="s">
        <v>167</v>
      </c>
      <c r="B5895" t="s">
        <v>116</v>
      </c>
      <c r="C5895" s="35" t="s">
        <v>422</v>
      </c>
      <c r="D5895" t="s">
        <v>502</v>
      </c>
      <c r="E5895" t="s">
        <v>520</v>
      </c>
      <c r="F5895" s="188" t="n">
        <v>2042</v>
      </c>
      <c r="G5895" s="189" t="n">
        <v>43</v>
      </c>
      <c r="H5895" s="190" t="n">
        <v>3797.35969000893</v>
      </c>
      <c r="I5895" s="191" t="n">
        <v>4256931.90456376</v>
      </c>
      <c r="J5895" s="192" t="str">
        <f>IF(I5895&gt;0,H5895/I5895,0)</f>
      </c>
      <c r="K5895" s="193" t="str">
        <f>1-EXP(-J5895)</f>
      </c>
      <c r="L5895" s="194" t="str">
        <f>IF(G5895=30,1,M5894)</f>
      </c>
      <c r="M5895" s="195" t="str">
        <f>L5895*(1-K5895)</f>
      </c>
    </row>
    <row r="5896">
      <c r="A5896" t="s">
        <v>167</v>
      </c>
      <c r="B5896" t="s">
        <v>116</v>
      </c>
      <c r="C5896" s="35" t="s">
        <v>422</v>
      </c>
      <c r="D5896" t="s">
        <v>502</v>
      </c>
      <c r="E5896" t="s">
        <v>520</v>
      </c>
      <c r="F5896" s="188" t="n">
        <v>2042</v>
      </c>
      <c r="G5896" s="189" t="n">
        <v>44</v>
      </c>
      <c r="H5896" s="190" t="n">
        <v>4203.36273314803</v>
      </c>
      <c r="I5896" s="191" t="n">
        <v>4309580.18662162</v>
      </c>
      <c r="J5896" s="192" t="str">
        <f>IF(I5896&gt;0,H5896/I5896,0)</f>
      </c>
      <c r="K5896" s="193" t="str">
        <f>1-EXP(-J5896)</f>
      </c>
      <c r="L5896" s="194" t="str">
        <f>IF(G5896=30,1,M5895)</f>
      </c>
      <c r="M5896" s="195" t="str">
        <f>L5896*(1-K5896)</f>
      </c>
    </row>
    <row r="5897">
      <c r="A5897" t="s">
        <v>167</v>
      </c>
      <c r="B5897" t="s">
        <v>116</v>
      </c>
      <c r="C5897" s="35" t="s">
        <v>422</v>
      </c>
      <c r="D5897" t="s">
        <v>502</v>
      </c>
      <c r="E5897" t="s">
        <v>520</v>
      </c>
      <c r="F5897" s="188" t="n">
        <v>2042</v>
      </c>
      <c r="G5897" s="189" t="n">
        <v>45</v>
      </c>
      <c r="H5897" s="190" t="n">
        <v>5829.37542935996</v>
      </c>
      <c r="I5897" s="191" t="n">
        <v>4437219.62821614</v>
      </c>
      <c r="J5897" s="192" t="str">
        <f>IF(I5897&gt;0,H5897/I5897,0)</f>
      </c>
      <c r="K5897" s="193" t="str">
        <f>1-EXP(-J5897)</f>
      </c>
      <c r="L5897" s="194" t="str">
        <f>IF(G5897=30,1,M5896)</f>
      </c>
      <c r="M5897" s="195" t="str">
        <f>L5897*(1-K5897)</f>
      </c>
    </row>
    <row r="5898">
      <c r="A5898" t="s">
        <v>167</v>
      </c>
      <c r="B5898" t="s">
        <v>116</v>
      </c>
      <c r="C5898" s="35" t="s">
        <v>422</v>
      </c>
      <c r="D5898" t="s">
        <v>502</v>
      </c>
      <c r="E5898" t="s">
        <v>520</v>
      </c>
      <c r="F5898" s="188" t="n">
        <v>2042</v>
      </c>
      <c r="G5898" s="189" t="n">
        <v>46</v>
      </c>
      <c r="H5898" s="190" t="n">
        <v>6254.11718033911</v>
      </c>
      <c r="I5898" s="191" t="n">
        <v>4386241.3974007</v>
      </c>
      <c r="J5898" s="192" t="str">
        <f>IF(I5898&gt;0,H5898/I5898,0)</f>
      </c>
      <c r="K5898" s="193" t="str">
        <f>1-EXP(-J5898)</f>
      </c>
      <c r="L5898" s="194" t="str">
        <f>IF(G5898=30,1,M5897)</f>
      </c>
      <c r="M5898" s="195" t="str">
        <f>L5898*(1-K5898)</f>
      </c>
    </row>
    <row r="5899">
      <c r="A5899" t="s">
        <v>167</v>
      </c>
      <c r="B5899" t="s">
        <v>116</v>
      </c>
      <c r="C5899" s="35" t="s">
        <v>422</v>
      </c>
      <c r="D5899" t="s">
        <v>502</v>
      </c>
      <c r="E5899" t="s">
        <v>520</v>
      </c>
      <c r="F5899" s="188" t="n">
        <v>2042</v>
      </c>
      <c r="G5899" s="189" t="n">
        <v>47</v>
      </c>
      <c r="H5899" s="190" t="n">
        <v>6737.34172401408</v>
      </c>
      <c r="I5899" s="191" t="n">
        <v>4306038.70918129</v>
      </c>
      <c r="J5899" s="192" t="str">
        <f>IF(I5899&gt;0,H5899/I5899,0)</f>
      </c>
      <c r="K5899" s="193" t="str">
        <f>1-EXP(-J5899)</f>
      </c>
      <c r="L5899" s="194" t="str">
        <f>IF(G5899=30,1,M5898)</f>
      </c>
      <c r="M5899" s="195" t="str">
        <f>L5899*(1-K5899)</f>
      </c>
    </row>
    <row r="5900">
      <c r="A5900" t="s">
        <v>167</v>
      </c>
      <c r="B5900" t="s">
        <v>116</v>
      </c>
      <c r="C5900" s="35" t="s">
        <v>422</v>
      </c>
      <c r="D5900" t="s">
        <v>502</v>
      </c>
      <c r="E5900" t="s">
        <v>520</v>
      </c>
      <c r="F5900" s="188" t="n">
        <v>2042</v>
      </c>
      <c r="G5900" s="189" t="n">
        <v>48</v>
      </c>
      <c r="H5900" s="190" t="n">
        <v>7291.58452730818</v>
      </c>
      <c r="I5900" s="191" t="n">
        <v>4240336.67890814</v>
      </c>
      <c r="J5900" s="192" t="str">
        <f>IF(I5900&gt;0,H5900/I5900,0)</f>
      </c>
      <c r="K5900" s="193" t="str">
        <f>1-EXP(-J5900)</f>
      </c>
      <c r="L5900" s="194" t="str">
        <f>IF(G5900=30,1,M5899)</f>
      </c>
      <c r="M5900" s="195" t="str">
        <f>L5900*(1-K5900)</f>
      </c>
    </row>
    <row r="5901">
      <c r="A5901" t="s">
        <v>167</v>
      </c>
      <c r="B5901" t="s">
        <v>116</v>
      </c>
      <c r="C5901" s="35" t="s">
        <v>422</v>
      </c>
      <c r="D5901" t="s">
        <v>502</v>
      </c>
      <c r="E5901" t="s">
        <v>520</v>
      </c>
      <c r="F5901" s="188" t="n">
        <v>2042</v>
      </c>
      <c r="G5901" s="189" t="n">
        <v>49</v>
      </c>
      <c r="H5901" s="190" t="n">
        <v>7898.25262759512</v>
      </c>
      <c r="I5901" s="191" t="n">
        <v>4177216.83828566</v>
      </c>
      <c r="J5901" s="192" t="str">
        <f>IF(I5901&gt;0,H5901/I5901,0)</f>
      </c>
      <c r="K5901" s="193" t="str">
        <f>1-EXP(-J5901)</f>
      </c>
      <c r="L5901" s="194" t="str">
        <f>IF(G5901=30,1,M5900)</f>
      </c>
      <c r="M5901" s="195" t="str">
        <f>L5901*(1-K5901)</f>
      </c>
    </row>
    <row r="5902">
      <c r="A5902" t="s">
        <v>167</v>
      </c>
      <c r="B5902" t="s">
        <v>116</v>
      </c>
      <c r="C5902" s="35" t="s">
        <v>422</v>
      </c>
      <c r="D5902" t="s">
        <v>502</v>
      </c>
      <c r="E5902" t="s">
        <v>520</v>
      </c>
      <c r="F5902" s="188" t="n">
        <v>2042</v>
      </c>
      <c r="G5902" s="189" t="n">
        <v>50</v>
      </c>
      <c r="H5902" s="190" t="n">
        <v>9124.19778148344</v>
      </c>
      <c r="I5902" s="191" t="n">
        <v>4201328.17496448</v>
      </c>
      <c r="J5902" s="192" t="str">
        <f>IF(I5902&gt;0,H5902/I5902,0)</f>
      </c>
      <c r="K5902" s="193" t="str">
        <f>1-EXP(-J5902)</f>
      </c>
      <c r="L5902" s="194" t="str">
        <f>IF(G5902=30,1,M5901)</f>
      </c>
      <c r="M5902" s="195" t="str">
        <f>L5902*(1-K5902)</f>
      </c>
    </row>
    <row r="5903">
      <c r="A5903" t="s">
        <v>167</v>
      </c>
      <c r="B5903" t="s">
        <v>116</v>
      </c>
      <c r="C5903" s="35" t="s">
        <v>422</v>
      </c>
      <c r="D5903" t="s">
        <v>502</v>
      </c>
      <c r="E5903" t="s">
        <v>520</v>
      </c>
      <c r="F5903" s="188" t="n">
        <v>2042</v>
      </c>
      <c r="G5903" s="189" t="n">
        <v>51</v>
      </c>
      <c r="H5903" s="190" t="n">
        <v>9959.22707885697</v>
      </c>
      <c r="I5903" s="191" t="n">
        <v>4204106.46198048</v>
      </c>
      <c r="J5903" s="192" t="str">
        <f>IF(I5903&gt;0,H5903/I5903,0)</f>
      </c>
      <c r="K5903" s="193" t="str">
        <f>1-EXP(-J5903)</f>
      </c>
      <c r="L5903" s="194" t="str">
        <f>IF(G5903=30,1,M5902)</f>
      </c>
      <c r="M5903" s="195" t="str">
        <f>L5903*(1-K5903)</f>
      </c>
    </row>
    <row r="5904">
      <c r="A5904" t="s">
        <v>167</v>
      </c>
      <c r="B5904" t="s">
        <v>116</v>
      </c>
      <c r="C5904" s="35" t="s">
        <v>422</v>
      </c>
      <c r="D5904" t="s">
        <v>502</v>
      </c>
      <c r="E5904" t="s">
        <v>520</v>
      </c>
      <c r="F5904" s="188" t="n">
        <v>2042</v>
      </c>
      <c r="G5904" s="189" t="n">
        <v>52</v>
      </c>
      <c r="H5904" s="190" t="n">
        <v>14600.555321429</v>
      </c>
      <c r="I5904" s="191" t="n">
        <v>6182786.34664548</v>
      </c>
      <c r="J5904" s="192" t="str">
        <f>IF(I5904&gt;0,H5904/I5904,0)</f>
      </c>
      <c r="K5904" s="193" t="str">
        <f>1-EXP(-J5904)</f>
      </c>
      <c r="L5904" s="194" t="str">
        <f>IF(G5904=30,1,M5903)</f>
      </c>
      <c r="M5904" s="195" t="str">
        <f>L5904*(1-K5904)</f>
      </c>
    </row>
    <row r="5905">
      <c r="A5905" t="s">
        <v>167</v>
      </c>
      <c r="B5905" t="s">
        <v>116</v>
      </c>
      <c r="C5905" s="35" t="s">
        <v>422</v>
      </c>
      <c r="D5905" t="s">
        <v>502</v>
      </c>
      <c r="E5905" t="s">
        <v>520</v>
      </c>
      <c r="F5905" s="188" t="n">
        <v>2042</v>
      </c>
      <c r="G5905" s="189" t="n">
        <v>53</v>
      </c>
      <c r="H5905" s="190" t="n">
        <v>11736.662528605</v>
      </c>
      <c r="I5905" s="191" t="n">
        <v>4132313.87765159</v>
      </c>
      <c r="J5905" s="192" t="str">
        <f>IF(I5905&gt;0,H5905/I5905,0)</f>
      </c>
      <c r="K5905" s="193" t="str">
        <f>1-EXP(-J5905)</f>
      </c>
      <c r="L5905" s="194" t="str">
        <f>IF(G5905=30,1,M5904)</f>
      </c>
      <c r="M5905" s="195" t="str">
        <f>L5905*(1-K5905)</f>
      </c>
    </row>
    <row r="5906">
      <c r="A5906" t="s">
        <v>167</v>
      </c>
      <c r="B5906" t="s">
        <v>116</v>
      </c>
      <c r="C5906" s="35" t="s">
        <v>422</v>
      </c>
      <c r="D5906" t="s">
        <v>502</v>
      </c>
      <c r="E5906" t="s">
        <v>520</v>
      </c>
      <c r="F5906" s="188" t="n">
        <v>2042</v>
      </c>
      <c r="G5906" s="189" t="n">
        <v>54</v>
      </c>
      <c r="H5906" s="190" t="n">
        <v>12720.1125335476</v>
      </c>
      <c r="I5906" s="191" t="n">
        <v>4097998.89789853</v>
      </c>
      <c r="J5906" s="192" t="str">
        <f>IF(I5906&gt;0,H5906/I5906,0)</f>
      </c>
      <c r="K5906" s="193" t="str">
        <f>1-EXP(-J5906)</f>
      </c>
      <c r="L5906" s="194" t="str">
        <f>IF(G5906=30,1,M5905)</f>
      </c>
      <c r="M5906" s="195" t="str">
        <f>L5906*(1-K5906)</f>
      </c>
    </row>
    <row r="5907">
      <c r="A5907" t="s">
        <v>167</v>
      </c>
      <c r="B5907" t="s">
        <v>116</v>
      </c>
      <c r="C5907" s="35" t="s">
        <v>422</v>
      </c>
      <c r="D5907" t="s">
        <v>502</v>
      </c>
      <c r="E5907" t="s">
        <v>520</v>
      </c>
      <c r="F5907" s="188" t="n">
        <v>2042</v>
      </c>
      <c r="G5907" s="189" t="n">
        <v>55</v>
      </c>
      <c r="H5907" s="190" t="n">
        <v>13259.2022857836</v>
      </c>
      <c r="I5907" s="191" t="n">
        <v>3952903.78442385</v>
      </c>
      <c r="J5907" s="192" t="str">
        <f>IF(I5907&gt;0,H5907/I5907,0)</f>
      </c>
      <c r="K5907" s="193" t="str">
        <f>1-EXP(-J5907)</f>
      </c>
      <c r="L5907" s="194" t="str">
        <f>IF(G5907=30,1,M5906)</f>
      </c>
      <c r="M5907" s="195" t="str">
        <f>L5907*(1-K5907)</f>
      </c>
    </row>
    <row r="5908">
      <c r="A5908" t="s">
        <v>167</v>
      </c>
      <c r="B5908" t="s">
        <v>116</v>
      </c>
      <c r="C5908" s="35" t="s">
        <v>422</v>
      </c>
      <c r="D5908" t="s">
        <v>502</v>
      </c>
      <c r="E5908" t="s">
        <v>520</v>
      </c>
      <c r="F5908" s="188" t="n">
        <v>2042</v>
      </c>
      <c r="G5908" s="189" t="n">
        <v>56</v>
      </c>
      <c r="H5908" s="190" t="n">
        <v>14164.6994840687</v>
      </c>
      <c r="I5908" s="191" t="n">
        <v>3898948.4877442</v>
      </c>
      <c r="J5908" s="192" t="str">
        <f>IF(I5908&gt;0,H5908/I5908,0)</f>
      </c>
      <c r="K5908" s="193" t="str">
        <f>1-EXP(-J5908)</f>
      </c>
      <c r="L5908" s="194" t="str">
        <f>IF(G5908=30,1,M5907)</f>
      </c>
      <c r="M5908" s="195" t="str">
        <f>L5908*(1-K5908)</f>
      </c>
    </row>
    <row r="5909">
      <c r="A5909" t="s">
        <v>167</v>
      </c>
      <c r="B5909" t="s">
        <v>116</v>
      </c>
      <c r="C5909" s="35" t="s">
        <v>422</v>
      </c>
      <c r="D5909" t="s">
        <v>502</v>
      </c>
      <c r="E5909" t="s">
        <v>520</v>
      </c>
      <c r="F5909" s="188" t="n">
        <v>2042</v>
      </c>
      <c r="G5909" s="189" t="n">
        <v>57</v>
      </c>
      <c r="H5909" s="190" t="n">
        <v>15616.6253317338</v>
      </c>
      <c r="I5909" s="191" t="n">
        <v>3931059.13306945</v>
      </c>
      <c r="J5909" s="192" t="str">
        <f>IF(I5909&gt;0,H5909/I5909,0)</f>
      </c>
      <c r="K5909" s="193" t="str">
        <f>1-EXP(-J5909)</f>
      </c>
      <c r="L5909" s="194" t="str">
        <f>IF(G5909=30,1,M5908)</f>
      </c>
      <c r="M5909" s="195" t="str">
        <f>L5909*(1-K5909)</f>
      </c>
    </row>
    <row r="5910">
      <c r="A5910" t="s">
        <v>167</v>
      </c>
      <c r="B5910" t="s">
        <v>116</v>
      </c>
      <c r="C5910" s="35" t="s">
        <v>422</v>
      </c>
      <c r="D5910" t="s">
        <v>502</v>
      </c>
      <c r="E5910" t="s">
        <v>520</v>
      </c>
      <c r="F5910" s="188" t="n">
        <v>2042</v>
      </c>
      <c r="G5910" s="189" t="n">
        <v>58</v>
      </c>
      <c r="H5910" s="190" t="n">
        <v>17331.9630281821</v>
      </c>
      <c r="I5910" s="191" t="n">
        <v>3983740.21548097</v>
      </c>
      <c r="J5910" s="192" t="str">
        <f>IF(I5910&gt;0,H5910/I5910,0)</f>
      </c>
      <c r="K5910" s="193" t="str">
        <f>1-EXP(-J5910)</f>
      </c>
      <c r="L5910" s="194" t="str">
        <f>IF(G5910=30,1,M5909)</f>
      </c>
      <c r="M5910" s="195" t="str">
        <f>L5910*(1-K5910)</f>
      </c>
    </row>
    <row r="5911">
      <c r="A5911" t="s">
        <v>167</v>
      </c>
      <c r="B5911" t="s">
        <v>116</v>
      </c>
      <c r="C5911" s="35" t="s">
        <v>422</v>
      </c>
      <c r="D5911" t="s">
        <v>502</v>
      </c>
      <c r="E5911" t="s">
        <v>520</v>
      </c>
      <c r="F5911" s="188" t="n">
        <v>2042</v>
      </c>
      <c r="G5911" s="189" t="n">
        <v>59</v>
      </c>
      <c r="H5911" s="190" t="n">
        <v>18763.0284534839</v>
      </c>
      <c r="I5911" s="191" t="n">
        <v>3932843.08393147</v>
      </c>
      <c r="J5911" s="192" t="str">
        <f>IF(I5911&gt;0,H5911/I5911,0)</f>
      </c>
      <c r="K5911" s="193" t="str">
        <f>1-EXP(-J5911)</f>
      </c>
      <c r="L5911" s="194" t="str">
        <f>IF(G5911=30,1,M5910)</f>
      </c>
      <c r="M5911" s="195" t="str">
        <f>L5911*(1-K5911)</f>
      </c>
    </row>
    <row r="5912">
      <c r="A5912" t="s">
        <v>167</v>
      </c>
      <c r="B5912" t="s">
        <v>116</v>
      </c>
      <c r="C5912" s="35" t="s">
        <v>422</v>
      </c>
      <c r="D5912" t="s">
        <v>502</v>
      </c>
      <c r="E5912" t="s">
        <v>520</v>
      </c>
      <c r="F5912" s="188" t="n">
        <v>2042</v>
      </c>
      <c r="G5912" s="189" t="n">
        <v>60</v>
      </c>
      <c r="H5912" s="190" t="n">
        <v>19639.6757459172</v>
      </c>
      <c r="I5912" s="191" t="n">
        <v>3776911.74726923</v>
      </c>
      <c r="J5912" s="192" t="str">
        <f>IF(I5912&gt;0,H5912/I5912,0)</f>
      </c>
      <c r="K5912" s="193" t="str">
        <f>1-EXP(-J5912)</f>
      </c>
      <c r="L5912" s="194" t="str">
        <f>IF(G5912=30,1,M5911)</f>
      </c>
      <c r="M5912" s="195" t="str">
        <f>L5912*(1-K5912)</f>
      </c>
    </row>
    <row r="5913">
      <c r="A5913" t="s">
        <v>167</v>
      </c>
      <c r="B5913" t="s">
        <v>116</v>
      </c>
      <c r="C5913" s="35" t="s">
        <v>422</v>
      </c>
      <c r="D5913" t="s">
        <v>502</v>
      </c>
      <c r="E5913" t="s">
        <v>520</v>
      </c>
      <c r="F5913" s="188" t="n">
        <v>2042</v>
      </c>
      <c r="G5913" s="189" t="n">
        <v>61</v>
      </c>
      <c r="H5913" s="190" t="n">
        <v>21012.3893586036</v>
      </c>
      <c r="I5913" s="191" t="n">
        <v>3676857.00624163</v>
      </c>
      <c r="J5913" s="192" t="str">
        <f>IF(I5913&gt;0,H5913/I5913,0)</f>
      </c>
      <c r="K5913" s="193" t="str">
        <f>1-EXP(-J5913)</f>
      </c>
      <c r="L5913" s="194" t="str">
        <f>IF(G5913=30,1,M5912)</f>
      </c>
      <c r="M5913" s="195" t="str">
        <f>L5913*(1-K5913)</f>
      </c>
    </row>
    <row r="5914">
      <c r="A5914" t="s">
        <v>167</v>
      </c>
      <c r="B5914" t="s">
        <v>116</v>
      </c>
      <c r="C5914" s="35" t="s">
        <v>422</v>
      </c>
      <c r="D5914" t="s">
        <v>502</v>
      </c>
      <c r="E5914" t="s">
        <v>520</v>
      </c>
      <c r="F5914" s="188" t="n">
        <v>2042</v>
      </c>
      <c r="G5914" s="189" t="n">
        <v>62</v>
      </c>
      <c r="H5914" s="190" t="n">
        <v>22527.85717317</v>
      </c>
      <c r="I5914" s="191" t="n">
        <v>3589509.44728694</v>
      </c>
      <c r="J5914" s="192" t="str">
        <f>IF(I5914&gt;0,H5914/I5914,0)</f>
      </c>
      <c r="K5914" s="193" t="str">
        <f>1-EXP(-J5914)</f>
      </c>
      <c r="L5914" s="194" t="str">
        <f>IF(G5914=30,1,M5913)</f>
      </c>
      <c r="M5914" s="195" t="str">
        <f>L5914*(1-K5914)</f>
      </c>
    </row>
    <row r="5915">
      <c r="A5915" t="s">
        <v>167</v>
      </c>
      <c r="B5915" t="s">
        <v>116</v>
      </c>
      <c r="C5915" s="35" t="s">
        <v>422</v>
      </c>
      <c r="D5915" t="s">
        <v>502</v>
      </c>
      <c r="E5915" t="s">
        <v>520</v>
      </c>
      <c r="F5915" s="188" t="n">
        <v>2042</v>
      </c>
      <c r="G5915" s="189" t="n">
        <v>63</v>
      </c>
      <c r="H5915" s="190" t="n">
        <v>24099.3757981214</v>
      </c>
      <c r="I5915" s="191" t="n">
        <v>3495324.55952002</v>
      </c>
      <c r="J5915" s="192" t="str">
        <f>IF(I5915&gt;0,H5915/I5915,0)</f>
      </c>
      <c r="K5915" s="193" t="str">
        <f>1-EXP(-J5915)</f>
      </c>
      <c r="L5915" s="194" t="str">
        <f>IF(G5915=30,1,M5914)</f>
      </c>
      <c r="M5915" s="195" t="str">
        <f>L5915*(1-K5915)</f>
      </c>
    </row>
    <row r="5916">
      <c r="A5916" t="s">
        <v>167</v>
      </c>
      <c r="B5916" t="s">
        <v>116</v>
      </c>
      <c r="C5916" s="35" t="s">
        <v>422</v>
      </c>
      <c r="D5916" t="s">
        <v>502</v>
      </c>
      <c r="E5916" t="s">
        <v>520</v>
      </c>
      <c r="F5916" s="188" t="n">
        <v>2042</v>
      </c>
      <c r="G5916" s="189" t="n">
        <v>64</v>
      </c>
      <c r="H5916" s="190" t="n">
        <v>25613.0658797943</v>
      </c>
      <c r="I5916" s="191" t="n">
        <v>3382054.14598749</v>
      </c>
      <c r="J5916" s="192" t="str">
        <f>IF(I5916&gt;0,H5916/I5916,0)</f>
      </c>
      <c r="K5916" s="193" t="str">
        <f>1-EXP(-J5916)</f>
      </c>
      <c r="L5916" s="194" t="str">
        <f>IF(G5916=30,1,M5915)</f>
      </c>
      <c r="M5916" s="195" t="str">
        <f>L5916*(1-K5916)</f>
      </c>
    </row>
    <row r="5917">
      <c r="A5917" t="s">
        <v>167</v>
      </c>
      <c r="B5917" t="s">
        <v>116</v>
      </c>
      <c r="C5917" s="35" t="s">
        <v>422</v>
      </c>
      <c r="D5917" t="s">
        <v>502</v>
      </c>
      <c r="E5917" t="s">
        <v>520</v>
      </c>
      <c r="F5917" s="188" t="n">
        <v>2042</v>
      </c>
      <c r="G5917" s="189" t="n">
        <v>65</v>
      </c>
      <c r="H5917" s="190" t="n">
        <v>26130.2599924343</v>
      </c>
      <c r="I5917" s="191" t="n">
        <v>3281347.82568777</v>
      </c>
      <c r="J5917" s="192" t="str">
        <f>IF(I5917&gt;0,H5917/I5917,0)</f>
      </c>
      <c r="K5917" s="193" t="str">
        <f>1-EXP(-J5917)</f>
      </c>
      <c r="L5917" s="194" t="str">
        <f>IF(G5917=30,1,M5916)</f>
      </c>
      <c r="M5917" s="195" t="str">
        <f>L5917*(1-K5917)</f>
      </c>
    </row>
    <row r="5918">
      <c r="A5918" t="s">
        <v>167</v>
      </c>
      <c r="B5918" t="s">
        <v>116</v>
      </c>
      <c r="C5918" s="35" t="s">
        <v>422</v>
      </c>
      <c r="D5918" t="s">
        <v>502</v>
      </c>
      <c r="E5918" t="s">
        <v>520</v>
      </c>
      <c r="F5918" s="188" t="n">
        <v>2042</v>
      </c>
      <c r="G5918" s="189" t="n">
        <v>66</v>
      </c>
      <c r="H5918" s="190" t="n">
        <v>27624.3061512843</v>
      </c>
      <c r="I5918" s="191" t="n">
        <v>3169539.4344196</v>
      </c>
      <c r="J5918" s="192" t="str">
        <f>IF(I5918&gt;0,H5918/I5918,0)</f>
      </c>
      <c r="K5918" s="193" t="str">
        <f>1-EXP(-J5918)</f>
      </c>
      <c r="L5918" s="194" t="str">
        <f>IF(G5918=30,1,M5917)</f>
      </c>
      <c r="M5918" s="195" t="str">
        <f>L5918*(1-K5918)</f>
      </c>
    </row>
    <row r="5919">
      <c r="A5919" t="s">
        <v>167</v>
      </c>
      <c r="B5919" t="s">
        <v>116</v>
      </c>
      <c r="C5919" s="35" t="s">
        <v>422</v>
      </c>
      <c r="D5919" t="s">
        <v>502</v>
      </c>
      <c r="E5919" t="s">
        <v>520</v>
      </c>
      <c r="F5919" s="188" t="n">
        <v>2042</v>
      </c>
      <c r="G5919" s="189" t="n">
        <v>67</v>
      </c>
      <c r="H5919" s="190" t="n">
        <v>29256.9551793479</v>
      </c>
      <c r="I5919" s="191" t="n">
        <v>3054809.62081066</v>
      </c>
      <c r="J5919" s="192" t="str">
        <f>IF(I5919&gt;0,H5919/I5919,0)</f>
      </c>
      <c r="K5919" s="193" t="str">
        <f>1-EXP(-J5919)</f>
      </c>
      <c r="L5919" s="194" t="str">
        <f>IF(G5919=30,1,M5918)</f>
      </c>
      <c r="M5919" s="195" t="str">
        <f>L5919*(1-K5919)</f>
      </c>
    </row>
    <row r="5920">
      <c r="A5920" t="s">
        <v>167</v>
      </c>
      <c r="B5920" t="s">
        <v>116</v>
      </c>
      <c r="C5920" s="35" t="s">
        <v>422</v>
      </c>
      <c r="D5920" t="s">
        <v>502</v>
      </c>
      <c r="E5920" t="s">
        <v>520</v>
      </c>
      <c r="F5920" s="188" t="n">
        <v>2042</v>
      </c>
      <c r="G5920" s="189" t="n">
        <v>68</v>
      </c>
      <c r="H5920" s="190" t="n">
        <v>30719.1848134685</v>
      </c>
      <c r="I5920" s="191" t="n">
        <v>2915606.76068977</v>
      </c>
      <c r="J5920" s="192" t="str">
        <f>IF(I5920&gt;0,H5920/I5920,0)</f>
      </c>
      <c r="K5920" s="193" t="str">
        <f>1-EXP(-J5920)</f>
      </c>
      <c r="L5920" s="194" t="str">
        <f>IF(G5920=30,1,M5919)</f>
      </c>
      <c r="M5920" s="195" t="str">
        <f>L5920*(1-K5920)</f>
      </c>
    </row>
    <row r="5921">
      <c r="A5921" t="s">
        <v>167</v>
      </c>
      <c r="B5921" t="s">
        <v>116</v>
      </c>
      <c r="C5921" s="35" t="s">
        <v>422</v>
      </c>
      <c r="D5921" t="s">
        <v>502</v>
      </c>
      <c r="E5921" t="s">
        <v>520</v>
      </c>
      <c r="F5921" s="188" t="n">
        <v>2042</v>
      </c>
      <c r="G5921" s="189" t="n">
        <v>69</v>
      </c>
      <c r="H5921" s="190" t="n">
        <v>32764.2644539317</v>
      </c>
      <c r="I5921" s="191" t="n">
        <v>2823941.33740724</v>
      </c>
      <c r="J5921" s="192" t="str">
        <f>IF(I5921&gt;0,H5921/I5921,0)</f>
      </c>
      <c r="K5921" s="193" t="str">
        <f>1-EXP(-J5921)</f>
      </c>
      <c r="L5921" s="194" t="str">
        <f>IF(G5921=30,1,M5920)</f>
      </c>
      <c r="M5921" s="195" t="str">
        <f>L5921*(1-K5921)</f>
      </c>
    </row>
    <row r="5922">
      <c r="A5922" t="s">
        <v>167</v>
      </c>
      <c r="B5922" t="s">
        <v>116</v>
      </c>
      <c r="C5922" s="35" t="s">
        <v>422</v>
      </c>
      <c r="D5922" t="s">
        <v>502</v>
      </c>
      <c r="E5922" t="s">
        <v>520</v>
      </c>
      <c r="F5922" s="188" t="n">
        <v>2043</v>
      </c>
      <c r="G5922" s="189" t="n">
        <v>30</v>
      </c>
      <c r="H5922" s="190" t="n">
        <v>694.587933331237</v>
      </c>
      <c r="I5922" s="191" t="n">
        <v>4788004.52924333</v>
      </c>
      <c r="J5922" s="192" t="str">
        <f>IF(I5922&gt;0,H5922/I5922,0)</f>
      </c>
      <c r="K5922" s="193" t="str">
        <f>1-EXP(-J5922)</f>
      </c>
      <c r="L5922" s="194" t="str">
        <f>IF(G5922=30,1,M5921)</f>
      </c>
      <c r="M5922" s="195" t="str">
        <f>L5922*(1-K5922)</f>
      </c>
    </row>
    <row r="5923">
      <c r="A5923" t="s">
        <v>167</v>
      </c>
      <c r="B5923" t="s">
        <v>116</v>
      </c>
      <c r="C5923" s="35" t="s">
        <v>422</v>
      </c>
      <c r="D5923" t="s">
        <v>502</v>
      </c>
      <c r="E5923" t="s">
        <v>520</v>
      </c>
      <c r="F5923" s="188" t="n">
        <v>2043</v>
      </c>
      <c r="G5923" s="189" t="n">
        <v>31</v>
      </c>
      <c r="H5923" s="190" t="n">
        <v>976.895252775897</v>
      </c>
      <c r="I5923" s="191" t="n">
        <v>4901092.8670724</v>
      </c>
      <c r="J5923" s="192" t="str">
        <f>IF(I5923&gt;0,H5923/I5923,0)</f>
      </c>
      <c r="K5923" s="193" t="str">
        <f>1-EXP(-J5923)</f>
      </c>
      <c r="L5923" s="194" t="str">
        <f>IF(G5923=30,1,M5922)</f>
      </c>
      <c r="M5923" s="195" t="str">
        <f>L5923*(1-K5923)</f>
      </c>
    </row>
    <row r="5924">
      <c r="A5924" t="s">
        <v>167</v>
      </c>
      <c r="B5924" t="s">
        <v>116</v>
      </c>
      <c r="C5924" s="35" t="s">
        <v>422</v>
      </c>
      <c r="D5924" t="s">
        <v>502</v>
      </c>
      <c r="E5924" t="s">
        <v>520</v>
      </c>
      <c r="F5924" s="188" t="n">
        <v>2043</v>
      </c>
      <c r="G5924" s="189" t="n">
        <v>32</v>
      </c>
      <c r="H5924" s="190" t="n">
        <v>1023.96847529692</v>
      </c>
      <c r="I5924" s="191" t="n">
        <v>4873149.98489284</v>
      </c>
      <c r="J5924" s="192" t="str">
        <f>IF(I5924&gt;0,H5924/I5924,0)</f>
      </c>
      <c r="K5924" s="193" t="str">
        <f>1-EXP(-J5924)</f>
      </c>
      <c r="L5924" s="194" t="str">
        <f>IF(G5924=30,1,M5923)</f>
      </c>
      <c r="M5924" s="195" t="str">
        <f>L5924*(1-K5924)</f>
      </c>
    </row>
    <row r="5925">
      <c r="A5925" t="s">
        <v>167</v>
      </c>
      <c r="B5925" t="s">
        <v>116</v>
      </c>
      <c r="C5925" s="35" t="s">
        <v>422</v>
      </c>
      <c r="D5925" t="s">
        <v>502</v>
      </c>
      <c r="E5925" t="s">
        <v>520</v>
      </c>
      <c r="F5925" s="188" t="n">
        <v>2043</v>
      </c>
      <c r="G5925" s="189" t="n">
        <v>33</v>
      </c>
      <c r="H5925" s="190" t="n">
        <v>1055.85498603478</v>
      </c>
      <c r="I5925" s="191" t="n">
        <v>4739415.07260193</v>
      </c>
      <c r="J5925" s="192" t="str">
        <f>IF(I5925&gt;0,H5925/I5925,0)</f>
      </c>
      <c r="K5925" s="193" t="str">
        <f>1-EXP(-J5925)</f>
      </c>
      <c r="L5925" s="194" t="str">
        <f>IF(G5925=30,1,M5924)</f>
      </c>
      <c r="M5925" s="195" t="str">
        <f>L5925*(1-K5925)</f>
      </c>
    </row>
    <row r="5926">
      <c r="A5926" t="s">
        <v>167</v>
      </c>
      <c r="B5926" t="s">
        <v>116</v>
      </c>
      <c r="C5926" s="35" t="s">
        <v>422</v>
      </c>
      <c r="D5926" t="s">
        <v>502</v>
      </c>
      <c r="E5926" t="s">
        <v>520</v>
      </c>
      <c r="F5926" s="188" t="n">
        <v>2043</v>
      </c>
      <c r="G5926" s="189" t="n">
        <v>34</v>
      </c>
      <c r="H5926" s="190" t="n">
        <v>1109.51455415106</v>
      </c>
      <c r="I5926" s="191" t="n">
        <v>4668468.90594836</v>
      </c>
      <c r="J5926" s="192" t="str">
        <f>IF(I5926&gt;0,H5926/I5926,0)</f>
      </c>
      <c r="K5926" s="193" t="str">
        <f>1-EXP(-J5926)</f>
      </c>
      <c r="L5926" s="194" t="str">
        <f>IF(G5926=30,1,M5925)</f>
      </c>
      <c r="M5926" s="195" t="str">
        <f>L5926*(1-K5926)</f>
      </c>
    </row>
    <row r="5927">
      <c r="A5927" t="s">
        <v>167</v>
      </c>
      <c r="B5927" t="s">
        <v>116</v>
      </c>
      <c r="C5927" s="35" t="s">
        <v>422</v>
      </c>
      <c r="D5927" t="s">
        <v>502</v>
      </c>
      <c r="E5927" t="s">
        <v>520</v>
      </c>
      <c r="F5927" s="188" t="n">
        <v>2043</v>
      </c>
      <c r="G5927" s="189" t="n">
        <v>35</v>
      </c>
      <c r="H5927" s="190" t="n">
        <v>1452.10446518035</v>
      </c>
      <c r="I5927" s="191" t="n">
        <v>4625394.9722631</v>
      </c>
      <c r="J5927" s="192" t="str">
        <f>IF(I5927&gt;0,H5927/I5927,0)</f>
      </c>
      <c r="K5927" s="193" t="str">
        <f>1-EXP(-J5927)</f>
      </c>
      <c r="L5927" s="194" t="str">
        <f>IF(G5927=30,1,M5926)</f>
      </c>
      <c r="M5927" s="195" t="str">
        <f>L5927*(1-K5927)</f>
      </c>
    </row>
    <row r="5928">
      <c r="A5928" t="s">
        <v>167</v>
      </c>
      <c r="B5928" t="s">
        <v>116</v>
      </c>
      <c r="C5928" s="35" t="s">
        <v>422</v>
      </c>
      <c r="D5928" t="s">
        <v>502</v>
      </c>
      <c r="E5928" t="s">
        <v>520</v>
      </c>
      <c r="F5928" s="188" t="n">
        <v>2043</v>
      </c>
      <c r="G5928" s="189" t="n">
        <v>36</v>
      </c>
      <c r="H5928" s="190" t="n">
        <v>1763.73269433495</v>
      </c>
      <c r="I5928" s="191" t="n">
        <v>4650039.57118308</v>
      </c>
      <c r="J5928" s="192" t="str">
        <f>IF(I5928&gt;0,H5928/I5928,0)</f>
      </c>
      <c r="K5928" s="193" t="str">
        <f>1-EXP(-J5928)</f>
      </c>
      <c r="L5928" s="194" t="str">
        <f>IF(G5928=30,1,M5927)</f>
      </c>
      <c r="M5928" s="195" t="str">
        <f>L5928*(1-K5928)</f>
      </c>
    </row>
    <row r="5929">
      <c r="A5929" t="s">
        <v>167</v>
      </c>
      <c r="B5929" t="s">
        <v>116</v>
      </c>
      <c r="C5929" s="35" t="s">
        <v>422</v>
      </c>
      <c r="D5929" t="s">
        <v>502</v>
      </c>
      <c r="E5929" t="s">
        <v>520</v>
      </c>
      <c r="F5929" s="188" t="n">
        <v>2043</v>
      </c>
      <c r="G5929" s="189" t="n">
        <v>37</v>
      </c>
      <c r="H5929" s="190" t="n">
        <v>1864.06239168473</v>
      </c>
      <c r="I5929" s="191" t="n">
        <v>4566173.11539831</v>
      </c>
      <c r="J5929" s="192" t="str">
        <f>IF(I5929&gt;0,H5929/I5929,0)</f>
      </c>
      <c r="K5929" s="193" t="str">
        <f>1-EXP(-J5929)</f>
      </c>
      <c r="L5929" s="194" t="str">
        <f>IF(G5929=30,1,M5928)</f>
      </c>
      <c r="M5929" s="195" t="str">
        <f>L5929*(1-K5929)</f>
      </c>
    </row>
    <row r="5930">
      <c r="A5930" t="s">
        <v>167</v>
      </c>
      <c r="B5930" t="s">
        <v>116</v>
      </c>
      <c r="C5930" s="35" t="s">
        <v>422</v>
      </c>
      <c r="D5930" t="s">
        <v>502</v>
      </c>
      <c r="E5930" t="s">
        <v>520</v>
      </c>
      <c r="F5930" s="188" t="n">
        <v>2043</v>
      </c>
      <c r="G5930" s="189" t="n">
        <v>38</v>
      </c>
      <c r="H5930" s="190" t="n">
        <v>1985.52877511045</v>
      </c>
      <c r="I5930" s="191" t="n">
        <v>4503846.64990124</v>
      </c>
      <c r="J5930" s="192" t="str">
        <f>IF(I5930&gt;0,H5930/I5930,0)</f>
      </c>
      <c r="K5930" s="193" t="str">
        <f>1-EXP(-J5930)</f>
      </c>
      <c r="L5930" s="194" t="str">
        <f>IF(G5930=30,1,M5929)</f>
      </c>
      <c r="M5930" s="195" t="str">
        <f>L5930*(1-K5930)</f>
      </c>
    </row>
    <row r="5931">
      <c r="A5931" t="s">
        <v>167</v>
      </c>
      <c r="B5931" t="s">
        <v>116</v>
      </c>
      <c r="C5931" s="35" t="s">
        <v>422</v>
      </c>
      <c r="D5931" t="s">
        <v>502</v>
      </c>
      <c r="E5931" t="s">
        <v>520</v>
      </c>
      <c r="F5931" s="188" t="n">
        <v>2043</v>
      </c>
      <c r="G5931" s="189" t="n">
        <v>39</v>
      </c>
      <c r="H5931" s="190" t="n">
        <v>2089.92235418837</v>
      </c>
      <c r="I5931" s="191" t="n">
        <v>4374083.59054126</v>
      </c>
      <c r="J5931" s="192" t="str">
        <f>IF(I5931&gt;0,H5931/I5931,0)</f>
      </c>
      <c r="K5931" s="193" t="str">
        <f>1-EXP(-J5931)</f>
      </c>
      <c r="L5931" s="194" t="str">
        <f>IF(G5931=30,1,M5930)</f>
      </c>
      <c r="M5931" s="195" t="str">
        <f>L5931*(1-K5931)</f>
      </c>
    </row>
    <row r="5932">
      <c r="A5932" t="s">
        <v>167</v>
      </c>
      <c r="B5932" t="s">
        <v>116</v>
      </c>
      <c r="C5932" s="35" t="s">
        <v>422</v>
      </c>
      <c r="D5932" t="s">
        <v>502</v>
      </c>
      <c r="E5932" t="s">
        <v>520</v>
      </c>
      <c r="F5932" s="188" t="n">
        <v>2043</v>
      </c>
      <c r="G5932" s="189" t="n">
        <v>40</v>
      </c>
      <c r="H5932" s="190" t="n">
        <v>2775.47281518599</v>
      </c>
      <c r="I5932" s="191" t="n">
        <v>4306552.71779038</v>
      </c>
      <c r="J5932" s="192" t="str">
        <f>IF(I5932&gt;0,H5932/I5932,0)</f>
      </c>
      <c r="K5932" s="193" t="str">
        <f>1-EXP(-J5932)</f>
      </c>
      <c r="L5932" s="194" t="str">
        <f>IF(G5932=30,1,M5931)</f>
      </c>
      <c r="M5932" s="195" t="str">
        <f>L5932*(1-K5932)</f>
      </c>
    </row>
    <row r="5933">
      <c r="A5933" t="s">
        <v>167</v>
      </c>
      <c r="B5933" t="s">
        <v>116</v>
      </c>
      <c r="C5933" s="35" t="s">
        <v>422</v>
      </c>
      <c r="D5933" t="s">
        <v>502</v>
      </c>
      <c r="E5933" t="s">
        <v>520</v>
      </c>
      <c r="F5933" s="188" t="n">
        <v>2043</v>
      </c>
      <c r="G5933" s="189" t="n">
        <v>41</v>
      </c>
      <c r="H5933" s="190" t="n">
        <v>3202.51537093396</v>
      </c>
      <c r="I5933" s="191" t="n">
        <v>4280237.14109941</v>
      </c>
      <c r="J5933" s="192" t="str">
        <f>IF(I5933&gt;0,H5933/I5933,0)</f>
      </c>
      <c r="K5933" s="193" t="str">
        <f>1-EXP(-J5933)</f>
      </c>
      <c r="L5933" s="194" t="str">
        <f>IF(G5933=30,1,M5932)</f>
      </c>
      <c r="M5933" s="195" t="str">
        <f>L5933*(1-K5933)</f>
      </c>
    </row>
    <row r="5934">
      <c r="A5934" t="s">
        <v>167</v>
      </c>
      <c r="B5934" t="s">
        <v>116</v>
      </c>
      <c r="C5934" s="35" t="s">
        <v>422</v>
      </c>
      <c r="D5934" t="s">
        <v>502</v>
      </c>
      <c r="E5934" t="s">
        <v>520</v>
      </c>
      <c r="F5934" s="188" t="n">
        <v>2043</v>
      </c>
      <c r="G5934" s="189" t="n">
        <v>42</v>
      </c>
      <c r="H5934" s="190" t="n">
        <v>3462.92211984313</v>
      </c>
      <c r="I5934" s="191" t="n">
        <v>4256578.34689723</v>
      </c>
      <c r="J5934" s="192" t="str">
        <f>IF(I5934&gt;0,H5934/I5934,0)</f>
      </c>
      <c r="K5934" s="193" t="str">
        <f>1-EXP(-J5934)</f>
      </c>
      <c r="L5934" s="194" t="str">
        <f>IF(G5934=30,1,M5933)</f>
      </c>
      <c r="M5934" s="195" t="str">
        <f>L5934*(1-K5934)</f>
      </c>
    </row>
    <row r="5935">
      <c r="A5935" t="s">
        <v>167</v>
      </c>
      <c r="B5935" t="s">
        <v>116</v>
      </c>
      <c r="C5935" s="35" t="s">
        <v>422</v>
      </c>
      <c r="D5935" t="s">
        <v>502</v>
      </c>
      <c r="E5935" t="s">
        <v>520</v>
      </c>
      <c r="F5935" s="188" t="n">
        <v>2043</v>
      </c>
      <c r="G5935" s="189" t="n">
        <v>43</v>
      </c>
      <c r="H5935" s="190" t="n">
        <v>3753.76176644653</v>
      </c>
      <c r="I5935" s="191" t="n">
        <v>4232141.80680921</v>
      </c>
      <c r="J5935" s="192" t="str">
        <f>IF(I5935&gt;0,H5935/I5935,0)</f>
      </c>
      <c r="K5935" s="193" t="str">
        <f>1-EXP(-J5935)</f>
      </c>
      <c r="L5935" s="194" t="str">
        <f>IF(G5935=30,1,M5934)</f>
      </c>
      <c r="M5935" s="195" t="str">
        <f>L5935*(1-K5935)</f>
      </c>
    </row>
    <row r="5936">
      <c r="A5936" t="s">
        <v>167</v>
      </c>
      <c r="B5936" t="s">
        <v>116</v>
      </c>
      <c r="C5936" s="35" t="s">
        <v>422</v>
      </c>
      <c r="D5936" t="s">
        <v>502</v>
      </c>
      <c r="E5936" t="s">
        <v>520</v>
      </c>
      <c r="F5936" s="188" t="n">
        <v>2043</v>
      </c>
      <c r="G5936" s="189" t="n">
        <v>44</v>
      </c>
      <c r="H5936" s="190" t="n">
        <v>4116.5326115228</v>
      </c>
      <c r="I5936" s="191" t="n">
        <v>4246095.43309499</v>
      </c>
      <c r="J5936" s="192" t="str">
        <f>IF(I5936&gt;0,H5936/I5936,0)</f>
      </c>
      <c r="K5936" s="193" t="str">
        <f>1-EXP(-J5936)</f>
      </c>
      <c r="L5936" s="194" t="str">
        <f>IF(G5936=30,1,M5935)</f>
      </c>
      <c r="M5936" s="195" t="str">
        <f>L5936*(1-K5936)</f>
      </c>
    </row>
    <row r="5937">
      <c r="A5937" t="s">
        <v>167</v>
      </c>
      <c r="B5937" t="s">
        <v>116</v>
      </c>
      <c r="C5937" s="35" t="s">
        <v>422</v>
      </c>
      <c r="D5937" t="s">
        <v>502</v>
      </c>
      <c r="E5937" t="s">
        <v>520</v>
      </c>
      <c r="F5937" s="188" t="n">
        <v>2043</v>
      </c>
      <c r="G5937" s="189" t="n">
        <v>45</v>
      </c>
      <c r="H5937" s="190" t="n">
        <v>5375.75183314876</v>
      </c>
      <c r="I5937" s="191" t="n">
        <v>4297647.28719004</v>
      </c>
      <c r="J5937" s="192" t="str">
        <f>IF(I5937&gt;0,H5937/I5937,0)</f>
      </c>
      <c r="K5937" s="193" t="str">
        <f>1-EXP(-J5937)</f>
      </c>
      <c r="L5937" s="194" t="str">
        <f>IF(G5937=30,1,M5936)</f>
      </c>
      <c r="M5937" s="195" t="str">
        <f>L5937*(1-K5937)</f>
      </c>
    </row>
    <row r="5938">
      <c r="A5938" t="s">
        <v>167</v>
      </c>
      <c r="B5938" t="s">
        <v>116</v>
      </c>
      <c r="C5938" s="35" t="s">
        <v>422</v>
      </c>
      <c r="D5938" t="s">
        <v>502</v>
      </c>
      <c r="E5938" t="s">
        <v>520</v>
      </c>
      <c r="F5938" s="188" t="n">
        <v>2043</v>
      </c>
      <c r="G5938" s="189" t="n">
        <v>46</v>
      </c>
      <c r="H5938" s="190" t="n">
        <v>6265.72342023053</v>
      </c>
      <c r="I5938" s="191" t="n">
        <v>4422646.37233603</v>
      </c>
      <c r="J5938" s="192" t="str">
        <f>IF(I5938&gt;0,H5938/I5938,0)</f>
      </c>
      <c r="K5938" s="193" t="str">
        <f>1-EXP(-J5938)</f>
      </c>
      <c r="L5938" s="194" t="str">
        <f>IF(G5938=30,1,M5937)</f>
      </c>
      <c r="M5938" s="195" t="str">
        <f>L5938*(1-K5938)</f>
      </c>
    </row>
    <row r="5939">
      <c r="A5939" t="s">
        <v>167</v>
      </c>
      <c r="B5939" t="s">
        <v>116</v>
      </c>
      <c r="C5939" s="35" t="s">
        <v>422</v>
      </c>
      <c r="D5939" t="s">
        <v>502</v>
      </c>
      <c r="E5939" t="s">
        <v>520</v>
      </c>
      <c r="F5939" s="188" t="n">
        <v>2043</v>
      </c>
      <c r="G5939" s="189" t="n">
        <v>47</v>
      </c>
      <c r="H5939" s="190" t="n">
        <v>6795.01805359397</v>
      </c>
      <c r="I5939" s="191" t="n">
        <v>4371538.15112822</v>
      </c>
      <c r="J5939" s="192" t="str">
        <f>IF(I5939&gt;0,H5939/I5939,0)</f>
      </c>
      <c r="K5939" s="193" t="str">
        <f>1-EXP(-J5939)</f>
      </c>
      <c r="L5939" s="194" t="str">
        <f>IF(G5939=30,1,M5938)</f>
      </c>
      <c r="M5939" s="195" t="str">
        <f>L5939*(1-K5939)</f>
      </c>
    </row>
    <row r="5940">
      <c r="A5940" t="s">
        <v>167</v>
      </c>
      <c r="B5940" t="s">
        <v>116</v>
      </c>
      <c r="C5940" s="35" t="s">
        <v>422</v>
      </c>
      <c r="D5940" t="s">
        <v>502</v>
      </c>
      <c r="E5940" t="s">
        <v>520</v>
      </c>
      <c r="F5940" s="188" t="n">
        <v>2043</v>
      </c>
      <c r="G5940" s="189" t="n">
        <v>48</v>
      </c>
      <c r="H5940" s="190" t="n">
        <v>7326.36133097072</v>
      </c>
      <c r="I5940" s="191" t="n">
        <v>4290247.3098968</v>
      </c>
      <c r="J5940" s="192" t="str">
        <f>IF(I5940&gt;0,H5940/I5940,0)</f>
      </c>
      <c r="K5940" s="193" t="str">
        <f>1-EXP(-J5940)</f>
      </c>
      <c r="L5940" s="194" t="str">
        <f>IF(G5940=30,1,M5939)</f>
      </c>
      <c r="M5940" s="195" t="str">
        <f>L5940*(1-K5940)</f>
      </c>
    </row>
    <row r="5941">
      <c r="A5941" t="s">
        <v>167</v>
      </c>
      <c r="B5941" t="s">
        <v>116</v>
      </c>
      <c r="C5941" s="35" t="s">
        <v>422</v>
      </c>
      <c r="D5941" t="s">
        <v>502</v>
      </c>
      <c r="E5941" t="s">
        <v>520</v>
      </c>
      <c r="F5941" s="188" t="n">
        <v>2043</v>
      </c>
      <c r="G5941" s="189" t="n">
        <v>49</v>
      </c>
      <c r="H5941" s="190" t="n">
        <v>7930.84446425863</v>
      </c>
      <c r="I5941" s="191" t="n">
        <v>4223297.49987445</v>
      </c>
      <c r="J5941" s="192" t="str">
        <f>IF(I5941&gt;0,H5941/I5941,0)</f>
      </c>
      <c r="K5941" s="193" t="str">
        <f>1-EXP(-J5941)</f>
      </c>
      <c r="L5941" s="194" t="str">
        <f>IF(G5941=30,1,M5940)</f>
      </c>
      <c r="M5941" s="195" t="str">
        <f>L5941*(1-K5941)</f>
      </c>
    </row>
    <row r="5942">
      <c r="A5942" t="s">
        <v>167</v>
      </c>
      <c r="B5942" t="s">
        <v>116</v>
      </c>
      <c r="C5942" s="35" t="s">
        <v>422</v>
      </c>
      <c r="D5942" t="s">
        <v>502</v>
      </c>
      <c r="E5942" t="s">
        <v>520</v>
      </c>
      <c r="F5942" s="188" t="n">
        <v>2043</v>
      </c>
      <c r="G5942" s="189" t="n">
        <v>50</v>
      </c>
      <c r="H5942" s="190" t="n">
        <v>8973.3679930827</v>
      </c>
      <c r="I5942" s="191" t="n">
        <v>4158809.88865896</v>
      </c>
      <c r="J5942" s="192" t="str">
        <f>IF(I5942&gt;0,H5942/I5942,0)</f>
      </c>
      <c r="K5942" s="193" t="str">
        <f>1-EXP(-J5942)</f>
      </c>
      <c r="L5942" s="194" t="str">
        <f>IF(G5942=30,1,M5941)</f>
      </c>
      <c r="M5942" s="195" t="str">
        <f>L5942*(1-K5942)</f>
      </c>
    </row>
    <row r="5943">
      <c r="A5943" t="s">
        <v>167</v>
      </c>
      <c r="B5943" t="s">
        <v>116</v>
      </c>
      <c r="C5943" s="35" t="s">
        <v>422</v>
      </c>
      <c r="D5943" t="s">
        <v>502</v>
      </c>
      <c r="E5943" t="s">
        <v>520</v>
      </c>
      <c r="F5943" s="188" t="n">
        <v>2043</v>
      </c>
      <c r="G5943" s="189" t="n">
        <v>51</v>
      </c>
      <c r="H5943" s="190" t="n">
        <v>9827.86272893105</v>
      </c>
      <c r="I5943" s="191" t="n">
        <v>4180388.93156514</v>
      </c>
      <c r="J5943" s="192" t="str">
        <f>IF(I5943&gt;0,H5943/I5943,0)</f>
      </c>
      <c r="K5943" s="193" t="str">
        <f>1-EXP(-J5943)</f>
      </c>
      <c r="L5943" s="194" t="str">
        <f>IF(G5943=30,1,M5942)</f>
      </c>
      <c r="M5943" s="195" t="str">
        <f>L5943*(1-K5943)</f>
      </c>
    </row>
    <row r="5944">
      <c r="A5944" t="s">
        <v>167</v>
      </c>
      <c r="B5944" t="s">
        <v>116</v>
      </c>
      <c r="C5944" s="35" t="s">
        <v>422</v>
      </c>
      <c r="D5944" t="s">
        <v>502</v>
      </c>
      <c r="E5944" t="s">
        <v>520</v>
      </c>
      <c r="F5944" s="188" t="n">
        <v>2043</v>
      </c>
      <c r="G5944" s="189" t="n">
        <v>52</v>
      </c>
      <c r="H5944" s="190" t="n">
        <v>10773.3750991186</v>
      </c>
      <c r="I5944" s="191" t="n">
        <v>4181898.89648695</v>
      </c>
      <c r="J5944" s="192" t="str">
        <f>IF(I5944&gt;0,H5944/I5944,0)</f>
      </c>
      <c r="K5944" s="193" t="str">
        <f>1-EXP(-J5944)</f>
      </c>
      <c r="L5944" s="194" t="str">
        <f>IF(G5944=30,1,M5943)</f>
      </c>
      <c r="M5944" s="195" t="str">
        <f>L5944*(1-K5944)</f>
      </c>
    </row>
    <row r="5945">
      <c r="A5945" t="s">
        <v>167</v>
      </c>
      <c r="B5945" t="s">
        <v>116</v>
      </c>
      <c r="C5945" s="35" t="s">
        <v>422</v>
      </c>
      <c r="D5945" t="s">
        <v>502</v>
      </c>
      <c r="E5945" t="s">
        <v>520</v>
      </c>
      <c r="F5945" s="188" t="n">
        <v>2043</v>
      </c>
      <c r="G5945" s="189" t="n">
        <v>53</v>
      </c>
      <c r="H5945" s="190" t="n">
        <v>15710.0909100909</v>
      </c>
      <c r="I5945" s="191" t="n">
        <v>6149584.67133066</v>
      </c>
      <c r="J5945" s="192" t="str">
        <f>IF(I5945&gt;0,H5945/I5945,0)</f>
      </c>
      <c r="K5945" s="193" t="str">
        <f>1-EXP(-J5945)</f>
      </c>
      <c r="L5945" s="194" t="str">
        <f>IF(G5945=30,1,M5944)</f>
      </c>
      <c r="M5945" s="195" t="str">
        <f>L5945*(1-K5945)</f>
      </c>
    </row>
    <row r="5946">
      <c r="A5946" t="s">
        <v>167</v>
      </c>
      <c r="B5946" t="s">
        <v>116</v>
      </c>
      <c r="C5946" s="35" t="s">
        <v>422</v>
      </c>
      <c r="D5946" t="s">
        <v>502</v>
      </c>
      <c r="E5946" t="s">
        <v>520</v>
      </c>
      <c r="F5946" s="188" t="n">
        <v>2043</v>
      </c>
      <c r="G5946" s="189" t="n">
        <v>54</v>
      </c>
      <c r="H5946" s="190" t="n">
        <v>12643.8451640428</v>
      </c>
      <c r="I5946" s="191" t="n">
        <v>4106213.03674978</v>
      </c>
      <c r="J5946" s="192" t="str">
        <f>IF(I5946&gt;0,H5946/I5946,0)</f>
      </c>
      <c r="K5946" s="193" t="str">
        <f>1-EXP(-J5946)</f>
      </c>
      <c r="L5946" s="194" t="str">
        <f>IF(G5946=30,1,M5945)</f>
      </c>
      <c r="M5946" s="195" t="str">
        <f>L5946*(1-K5946)</f>
      </c>
    </row>
    <row r="5947">
      <c r="A5947" t="s">
        <v>167</v>
      </c>
      <c r="B5947" t="s">
        <v>116</v>
      </c>
      <c r="C5947" s="35" t="s">
        <v>422</v>
      </c>
      <c r="D5947" t="s">
        <v>502</v>
      </c>
      <c r="E5947" t="s">
        <v>520</v>
      </c>
      <c r="F5947" s="188" t="n">
        <v>2043</v>
      </c>
      <c r="G5947" s="189" t="n">
        <v>55</v>
      </c>
      <c r="H5947" s="190" t="n">
        <v>13513.1104086414</v>
      </c>
      <c r="I5947" s="191" t="n">
        <v>4069749.67320107</v>
      </c>
      <c r="J5947" s="192" t="str">
        <f>IF(I5947&gt;0,H5947/I5947,0)</f>
      </c>
      <c r="K5947" s="193" t="str">
        <f>1-EXP(-J5947)</f>
      </c>
      <c r="L5947" s="194" t="str">
        <f>IF(G5947=30,1,M5946)</f>
      </c>
      <c r="M5947" s="195" t="str">
        <f>L5947*(1-K5947)</f>
      </c>
    </row>
    <row r="5948">
      <c r="A5948" t="s">
        <v>167</v>
      </c>
      <c r="B5948" t="s">
        <v>116</v>
      </c>
      <c r="C5948" s="35" t="s">
        <v>422</v>
      </c>
      <c r="D5948" t="s">
        <v>502</v>
      </c>
      <c r="E5948" t="s">
        <v>520</v>
      </c>
      <c r="F5948" s="188" t="n">
        <v>2043</v>
      </c>
      <c r="G5948" s="189" t="n">
        <v>56</v>
      </c>
      <c r="H5948" s="190" t="n">
        <v>14114.2783736194</v>
      </c>
      <c r="I5948" s="191" t="n">
        <v>3923030.40410863</v>
      </c>
      <c r="J5948" s="192" t="str">
        <f>IF(I5948&gt;0,H5948/I5948,0)</f>
      </c>
      <c r="K5948" s="193" t="str">
        <f>1-EXP(-J5948)</f>
      </c>
      <c r="L5948" s="194" t="str">
        <f>IF(G5948=30,1,M5947)</f>
      </c>
      <c r="M5948" s="195" t="str">
        <f>L5948*(1-K5948)</f>
      </c>
    </row>
    <row r="5949">
      <c r="A5949" t="s">
        <v>167</v>
      </c>
      <c r="B5949" t="s">
        <v>116</v>
      </c>
      <c r="C5949" s="35" t="s">
        <v>422</v>
      </c>
      <c r="D5949" t="s">
        <v>502</v>
      </c>
      <c r="E5949" t="s">
        <v>520</v>
      </c>
      <c r="F5949" s="188" t="n">
        <v>2043</v>
      </c>
      <c r="G5949" s="189" t="n">
        <v>57</v>
      </c>
      <c r="H5949" s="190" t="n">
        <v>15209.2326594577</v>
      </c>
      <c r="I5949" s="191" t="n">
        <v>3867089.48098384</v>
      </c>
      <c r="J5949" s="192" t="str">
        <f>IF(I5949&gt;0,H5949/I5949,0)</f>
      </c>
      <c r="K5949" s="193" t="str">
        <f>1-EXP(-J5949)</f>
      </c>
      <c r="L5949" s="194" t="str">
        <f>IF(G5949=30,1,M5948)</f>
      </c>
      <c r="M5949" s="195" t="str">
        <f>L5949*(1-K5949)</f>
      </c>
    </row>
    <row r="5950">
      <c r="A5950" t="s">
        <v>167</v>
      </c>
      <c r="B5950" t="s">
        <v>116</v>
      </c>
      <c r="C5950" s="35" t="s">
        <v>422</v>
      </c>
      <c r="D5950" t="s">
        <v>502</v>
      </c>
      <c r="E5950" t="s">
        <v>520</v>
      </c>
      <c r="F5950" s="188" t="n">
        <v>2043</v>
      </c>
      <c r="G5950" s="189" t="n">
        <v>58</v>
      </c>
      <c r="H5950" s="190" t="n">
        <v>16778.3647690053</v>
      </c>
      <c r="I5950" s="191" t="n">
        <v>3896007.62698499</v>
      </c>
      <c r="J5950" s="192" t="str">
        <f>IF(I5950&gt;0,H5950/I5950,0)</f>
      </c>
      <c r="K5950" s="193" t="str">
        <f>1-EXP(-J5950)</f>
      </c>
      <c r="L5950" s="194" t="str">
        <f>IF(G5950=30,1,M5949)</f>
      </c>
      <c r="M5950" s="195" t="str">
        <f>L5950*(1-K5950)</f>
      </c>
    </row>
    <row r="5951">
      <c r="A5951" t="s">
        <v>167</v>
      </c>
      <c r="B5951" t="s">
        <v>116</v>
      </c>
      <c r="C5951" s="35" t="s">
        <v>422</v>
      </c>
      <c r="D5951" t="s">
        <v>502</v>
      </c>
      <c r="E5951" t="s">
        <v>520</v>
      </c>
      <c r="F5951" s="188" t="n">
        <v>2043</v>
      </c>
      <c r="G5951" s="189" t="n">
        <v>59</v>
      </c>
      <c r="H5951" s="190" t="n">
        <v>18632.2634576057</v>
      </c>
      <c r="I5951" s="191" t="n">
        <v>3944928.87237917</v>
      </c>
      <c r="J5951" s="192" t="str">
        <f>IF(I5951&gt;0,H5951/I5951,0)</f>
      </c>
      <c r="K5951" s="193" t="str">
        <f>1-EXP(-J5951)</f>
      </c>
      <c r="L5951" s="194" t="str">
        <f>IF(G5951=30,1,M5950)</f>
      </c>
      <c r="M5951" s="195" t="str">
        <f>L5951*(1-K5951)</f>
      </c>
    </row>
    <row r="5952">
      <c r="A5952" t="s">
        <v>167</v>
      </c>
      <c r="B5952" t="s">
        <v>116</v>
      </c>
      <c r="C5952" s="35" t="s">
        <v>422</v>
      </c>
      <c r="D5952" t="s">
        <v>502</v>
      </c>
      <c r="E5952" t="s">
        <v>520</v>
      </c>
      <c r="F5952" s="188" t="n">
        <v>2043</v>
      </c>
      <c r="G5952" s="189" t="n">
        <v>60</v>
      </c>
      <c r="H5952" s="190" t="n">
        <v>19976.5821288987</v>
      </c>
      <c r="I5952" s="191" t="n">
        <v>3890921.77263311</v>
      </c>
      <c r="J5952" s="192" t="str">
        <f>IF(I5952&gt;0,H5952/I5952,0)</f>
      </c>
      <c r="K5952" s="193" t="str">
        <f>1-EXP(-J5952)</f>
      </c>
      <c r="L5952" s="194" t="str">
        <f>IF(G5952=30,1,M5951)</f>
      </c>
      <c r="M5952" s="195" t="str">
        <f>L5952*(1-K5952)</f>
      </c>
    </row>
    <row r="5953">
      <c r="A5953" t="s">
        <v>167</v>
      </c>
      <c r="B5953" t="s">
        <v>116</v>
      </c>
      <c r="C5953" s="35" t="s">
        <v>422</v>
      </c>
      <c r="D5953" t="s">
        <v>502</v>
      </c>
      <c r="E5953" t="s">
        <v>520</v>
      </c>
      <c r="F5953" s="188" t="n">
        <v>2043</v>
      </c>
      <c r="G5953" s="189" t="n">
        <v>61</v>
      </c>
      <c r="H5953" s="190" t="n">
        <v>21087.1542269947</v>
      </c>
      <c r="I5953" s="191" t="n">
        <v>3732611.11420082</v>
      </c>
      <c r="J5953" s="192" t="str">
        <f>IF(I5953&gt;0,H5953/I5953,0)</f>
      </c>
      <c r="K5953" s="193" t="str">
        <f>1-EXP(-J5953)</f>
      </c>
      <c r="L5953" s="194" t="str">
        <f>IF(G5953=30,1,M5952)</f>
      </c>
      <c r="M5953" s="195" t="str">
        <f>L5953*(1-K5953)</f>
      </c>
    </row>
    <row r="5954">
      <c r="A5954" t="s">
        <v>167</v>
      </c>
      <c r="B5954" t="s">
        <v>116</v>
      </c>
      <c r="C5954" s="35" t="s">
        <v>422</v>
      </c>
      <c r="D5954" t="s">
        <v>502</v>
      </c>
      <c r="E5954" t="s">
        <v>520</v>
      </c>
      <c r="F5954" s="188" t="n">
        <v>2043</v>
      </c>
      <c r="G5954" s="189" t="n">
        <v>62</v>
      </c>
      <c r="H5954" s="190" t="n">
        <v>22524.7500873923</v>
      </c>
      <c r="I5954" s="191" t="n">
        <v>3629734.99585314</v>
      </c>
      <c r="J5954" s="192" t="str">
        <f>IF(I5954&gt;0,H5954/I5954,0)</f>
      </c>
      <c r="K5954" s="193" t="str">
        <f>1-EXP(-J5954)</f>
      </c>
      <c r="L5954" s="194" t="str">
        <f>IF(G5954=30,1,M5953)</f>
      </c>
      <c r="M5954" s="195" t="str">
        <f>L5954*(1-K5954)</f>
      </c>
    </row>
    <row r="5955">
      <c r="A5955" t="s">
        <v>167</v>
      </c>
      <c r="B5955" t="s">
        <v>116</v>
      </c>
      <c r="C5955" s="35" t="s">
        <v>422</v>
      </c>
      <c r="D5955" t="s">
        <v>502</v>
      </c>
      <c r="E5955" t="s">
        <v>520</v>
      </c>
      <c r="F5955" s="188" t="n">
        <v>2043</v>
      </c>
      <c r="G5955" s="189" t="n">
        <v>63</v>
      </c>
      <c r="H5955" s="190" t="n">
        <v>24126.7972438355</v>
      </c>
      <c r="I5955" s="191" t="n">
        <v>3539045.2602835</v>
      </c>
      <c r="J5955" s="192" t="str">
        <f>IF(I5955&gt;0,H5955/I5955,0)</f>
      </c>
      <c r="K5955" s="193" t="str">
        <f>1-EXP(-J5955)</f>
      </c>
      <c r="L5955" s="194" t="str">
        <f>IF(G5955=30,1,M5954)</f>
      </c>
      <c r="M5955" s="195" t="str">
        <f>L5955*(1-K5955)</f>
      </c>
    </row>
    <row r="5956">
      <c r="A5956" t="s">
        <v>167</v>
      </c>
      <c r="B5956" t="s">
        <v>116</v>
      </c>
      <c r="C5956" s="35" t="s">
        <v>422</v>
      </c>
      <c r="D5956" t="s">
        <v>502</v>
      </c>
      <c r="E5956" t="s">
        <v>520</v>
      </c>
      <c r="F5956" s="188" t="n">
        <v>2043</v>
      </c>
      <c r="G5956" s="189" t="n">
        <v>64</v>
      </c>
      <c r="H5956" s="190" t="n">
        <v>25775.1549933901</v>
      </c>
      <c r="I5956" s="191" t="n">
        <v>3441398.93325991</v>
      </c>
      <c r="J5956" s="192" t="str">
        <f>IF(I5956&gt;0,H5956/I5956,0)</f>
      </c>
      <c r="K5956" s="193" t="str">
        <f>1-EXP(-J5956)</f>
      </c>
      <c r="L5956" s="194" t="str">
        <f>IF(G5956=30,1,M5955)</f>
      </c>
      <c r="M5956" s="195" t="str">
        <f>L5956*(1-K5956)</f>
      </c>
    </row>
    <row r="5957">
      <c r="A5957" t="s">
        <v>167</v>
      </c>
      <c r="B5957" t="s">
        <v>116</v>
      </c>
      <c r="C5957" s="35" t="s">
        <v>422</v>
      </c>
      <c r="D5957" t="s">
        <v>502</v>
      </c>
      <c r="E5957" t="s">
        <v>520</v>
      </c>
      <c r="F5957" s="188" t="n">
        <v>2043</v>
      </c>
      <c r="G5957" s="189" t="n">
        <v>65</v>
      </c>
      <c r="H5957" s="190" t="n">
        <v>26133.9349692105</v>
      </c>
      <c r="I5957" s="191" t="n">
        <v>3324796.66968361</v>
      </c>
      <c r="J5957" s="192" t="str">
        <f>IF(I5957&gt;0,H5957/I5957,0)</f>
      </c>
      <c r="K5957" s="193" t="str">
        <f>1-EXP(-J5957)</f>
      </c>
      <c r="L5957" s="194" t="str">
        <f>IF(G5957=30,1,M5956)</f>
      </c>
      <c r="M5957" s="195" t="str">
        <f>L5957*(1-K5957)</f>
      </c>
    </row>
    <row r="5958">
      <c r="A5958" t="s">
        <v>167</v>
      </c>
      <c r="B5958" t="s">
        <v>116</v>
      </c>
      <c r="C5958" s="35" t="s">
        <v>422</v>
      </c>
      <c r="D5958" t="s">
        <v>502</v>
      </c>
      <c r="E5958" t="s">
        <v>520</v>
      </c>
      <c r="F5958" s="188" t="n">
        <v>2043</v>
      </c>
      <c r="G5958" s="189" t="n">
        <v>66</v>
      </c>
      <c r="H5958" s="190" t="n">
        <v>27747.0306974969</v>
      </c>
      <c r="I5958" s="191" t="n">
        <v>3220904.07375421</v>
      </c>
      <c r="J5958" s="192" t="str">
        <f>IF(I5958&gt;0,H5958/I5958,0)</f>
      </c>
      <c r="K5958" s="193" t="str">
        <f>1-EXP(-J5958)</f>
      </c>
      <c r="L5958" s="194" t="str">
        <f>IF(G5958=30,1,M5957)</f>
      </c>
      <c r="M5958" s="195" t="str">
        <f>L5958*(1-K5958)</f>
      </c>
    </row>
    <row r="5959">
      <c r="A5959" t="s">
        <v>167</v>
      </c>
      <c r="B5959" t="s">
        <v>116</v>
      </c>
      <c r="C5959" s="35" t="s">
        <v>422</v>
      </c>
      <c r="D5959" t="s">
        <v>502</v>
      </c>
      <c r="E5959" t="s">
        <v>520</v>
      </c>
      <c r="F5959" s="188" t="n">
        <v>2043</v>
      </c>
      <c r="G5959" s="189" t="n">
        <v>67</v>
      </c>
      <c r="H5959" s="190" t="n">
        <v>29397.5542018982</v>
      </c>
      <c r="I5959" s="191" t="n">
        <v>3104985.10506702</v>
      </c>
      <c r="J5959" s="192" t="str">
        <f>IF(I5959&gt;0,H5959/I5959,0)</f>
      </c>
      <c r="K5959" s="193" t="str">
        <f>1-EXP(-J5959)</f>
      </c>
      <c r="L5959" s="194" t="str">
        <f>IF(G5959=30,1,M5958)</f>
      </c>
      <c r="M5959" s="195" t="str">
        <f>L5959*(1-K5959)</f>
      </c>
    </row>
    <row r="5960">
      <c r="A5960" t="s">
        <v>167</v>
      </c>
      <c r="B5960" t="s">
        <v>116</v>
      </c>
      <c r="C5960" s="35" t="s">
        <v>422</v>
      </c>
      <c r="D5960" t="s">
        <v>502</v>
      </c>
      <c r="E5960" t="s">
        <v>520</v>
      </c>
      <c r="F5960" s="188" t="n">
        <v>2043</v>
      </c>
      <c r="G5960" s="189" t="n">
        <v>68</v>
      </c>
      <c r="H5960" s="190" t="n">
        <v>31100.0350017609</v>
      </c>
      <c r="I5960" s="191" t="n">
        <v>2986541.36687356</v>
      </c>
      <c r="J5960" s="192" t="str">
        <f>IF(I5960&gt;0,H5960/I5960,0)</f>
      </c>
      <c r="K5960" s="193" t="str">
        <f>1-EXP(-J5960)</f>
      </c>
      <c r="L5960" s="194" t="str">
        <f>IF(G5960=30,1,M5959)</f>
      </c>
      <c r="M5960" s="195" t="str">
        <f>L5960*(1-K5960)</f>
      </c>
    </row>
    <row r="5961">
      <c r="A5961" t="s">
        <v>167</v>
      </c>
      <c r="B5961" t="s">
        <v>116</v>
      </c>
      <c r="C5961" s="35" t="s">
        <v>422</v>
      </c>
      <c r="D5961" t="s">
        <v>502</v>
      </c>
      <c r="E5961" t="s">
        <v>520</v>
      </c>
      <c r="F5961" s="188" t="n">
        <v>2043</v>
      </c>
      <c r="G5961" s="189" t="n">
        <v>69</v>
      </c>
      <c r="H5961" s="190" t="n">
        <v>32616.4447142416</v>
      </c>
      <c r="I5961" s="191" t="n">
        <v>2844064.88065535</v>
      </c>
      <c r="J5961" s="192" t="str">
        <f>IF(I5961&gt;0,H5961/I5961,0)</f>
      </c>
      <c r="K5961" s="193" t="str">
        <f>1-EXP(-J5961)</f>
      </c>
      <c r="L5961" s="194" t="str">
        <f>IF(G5961=30,1,M5960)</f>
      </c>
      <c r="M5961" s="195" t="str">
        <f>L5961*(1-K5961)</f>
      </c>
    </row>
    <row r="5962">
      <c r="A5962" t="s">
        <v>167</v>
      </c>
      <c r="B5962" t="s">
        <v>116</v>
      </c>
      <c r="C5962" s="35" t="s">
        <v>422</v>
      </c>
      <c r="D5962" t="s">
        <v>502</v>
      </c>
      <c r="E5962" t="s">
        <v>520</v>
      </c>
      <c r="F5962" s="188" t="n">
        <v>2044</v>
      </c>
      <c r="G5962" s="189" t="n">
        <v>30</v>
      </c>
      <c r="H5962" s="190" t="n">
        <v>685.506852172418</v>
      </c>
      <c r="I5962" s="191" t="n">
        <v>4714364.97750566</v>
      </c>
      <c r="J5962" s="192" t="str">
        <f>IF(I5962&gt;0,H5962/I5962,0)</f>
      </c>
      <c r="K5962" s="193" t="str">
        <f>1-EXP(-J5962)</f>
      </c>
      <c r="L5962" s="194" t="str">
        <f>IF(G5962=30,1,M5961)</f>
      </c>
      <c r="M5962" s="195" t="str">
        <f>L5962*(1-K5962)</f>
      </c>
    </row>
    <row r="5963">
      <c r="A5963" t="s">
        <v>167</v>
      </c>
      <c r="B5963" t="s">
        <v>116</v>
      </c>
      <c r="C5963" s="35" t="s">
        <v>422</v>
      </c>
      <c r="D5963" t="s">
        <v>502</v>
      </c>
      <c r="E5963" t="s">
        <v>520</v>
      </c>
      <c r="F5963" s="188" t="n">
        <v>2044</v>
      </c>
      <c r="G5963" s="189" t="n">
        <v>31</v>
      </c>
      <c r="H5963" s="190" t="n">
        <v>917.075673961677</v>
      </c>
      <c r="I5963" s="191" t="n">
        <v>4782595.02494089</v>
      </c>
      <c r="J5963" s="192" t="str">
        <f>IF(I5963&gt;0,H5963/I5963,0)</f>
      </c>
      <c r="K5963" s="193" t="str">
        <f>1-EXP(-J5963)</f>
      </c>
      <c r="L5963" s="194" t="str">
        <f>IF(G5963=30,1,M5962)</f>
      </c>
      <c r="M5963" s="195" t="str">
        <f>L5963*(1-K5963)</f>
      </c>
    </row>
    <row r="5964">
      <c r="A5964" t="s">
        <v>167</v>
      </c>
      <c r="B5964" t="s">
        <v>116</v>
      </c>
      <c r="C5964" s="35" t="s">
        <v>422</v>
      </c>
      <c r="D5964" t="s">
        <v>502</v>
      </c>
      <c r="E5964" t="s">
        <v>520</v>
      </c>
      <c r="F5964" s="188" t="n">
        <v>2044</v>
      </c>
      <c r="G5964" s="189" t="n">
        <v>32</v>
      </c>
      <c r="H5964" s="190" t="n">
        <v>1030.53754754834</v>
      </c>
      <c r="I5964" s="191" t="n">
        <v>4895617.17730485</v>
      </c>
      <c r="J5964" s="192" t="str">
        <f>IF(I5964&gt;0,H5964/I5964,0)</f>
      </c>
      <c r="K5964" s="193" t="str">
        <f>1-EXP(-J5964)</f>
      </c>
      <c r="L5964" s="194" t="str">
        <f>IF(G5964=30,1,M5963)</f>
      </c>
      <c r="M5964" s="195" t="str">
        <f>L5964*(1-K5964)</f>
      </c>
    </row>
    <row r="5965">
      <c r="A5965" t="s">
        <v>167</v>
      </c>
      <c r="B5965" t="s">
        <v>116</v>
      </c>
      <c r="C5965" s="35" t="s">
        <v>422</v>
      </c>
      <c r="D5965" t="s">
        <v>502</v>
      </c>
      <c r="E5965" t="s">
        <v>520</v>
      </c>
      <c r="F5965" s="188" t="n">
        <v>2044</v>
      </c>
      <c r="G5965" s="189" t="n">
        <v>33</v>
      </c>
      <c r="H5965" s="190" t="n">
        <v>1086.06141184501</v>
      </c>
      <c r="I5965" s="191" t="n">
        <v>4867480.55663082</v>
      </c>
      <c r="J5965" s="192" t="str">
        <f>IF(I5965&gt;0,H5965/I5965,0)</f>
      </c>
      <c r="K5965" s="193" t="str">
        <f>1-EXP(-J5965)</f>
      </c>
      <c r="L5965" s="194" t="str">
        <f>IF(G5965=30,1,M5964)</f>
      </c>
      <c r="M5965" s="195" t="str">
        <f>L5965*(1-K5965)</f>
      </c>
    </row>
    <row r="5966">
      <c r="A5966" t="s">
        <v>167</v>
      </c>
      <c r="B5966" t="s">
        <v>116</v>
      </c>
      <c r="C5966" s="35" t="s">
        <v>422</v>
      </c>
      <c r="D5966" t="s">
        <v>502</v>
      </c>
      <c r="E5966" t="s">
        <v>520</v>
      </c>
      <c r="F5966" s="188" t="n">
        <v>2044</v>
      </c>
      <c r="G5966" s="189" t="n">
        <v>34</v>
      </c>
      <c r="H5966" s="190" t="n">
        <v>1126.33096250431</v>
      </c>
      <c r="I5966" s="191" t="n">
        <v>4733644.9909373</v>
      </c>
      <c r="J5966" s="192" t="str">
        <f>IF(I5966&gt;0,H5966/I5966,0)</f>
      </c>
      <c r="K5966" s="193" t="str">
        <f>1-EXP(-J5966)</f>
      </c>
      <c r="L5966" s="194" t="str">
        <f>IF(G5966=30,1,M5965)</f>
      </c>
      <c r="M5966" s="195" t="str">
        <f>L5966*(1-K5966)</f>
      </c>
    </row>
    <row r="5967">
      <c r="A5967" t="s">
        <v>167</v>
      </c>
      <c r="B5967" t="s">
        <v>116</v>
      </c>
      <c r="C5967" s="35" t="s">
        <v>422</v>
      </c>
      <c r="D5967" t="s">
        <v>502</v>
      </c>
      <c r="E5967" t="s">
        <v>520</v>
      </c>
      <c r="F5967" s="188" t="n">
        <v>2044</v>
      </c>
      <c r="G5967" s="189" t="n">
        <v>35</v>
      </c>
      <c r="H5967" s="190" t="n">
        <v>1461.1096304347</v>
      </c>
      <c r="I5967" s="191" t="n">
        <v>4662487.01010621</v>
      </c>
      <c r="J5967" s="192" t="str">
        <f>IF(I5967&gt;0,H5967/I5967,0)</f>
      </c>
      <c r="K5967" s="193" t="str">
        <f>1-EXP(-J5967)</f>
      </c>
      <c r="L5967" s="194" t="str">
        <f>IF(G5967=30,1,M5966)</f>
      </c>
      <c r="M5967" s="195" t="str">
        <f>L5967*(1-K5967)</f>
      </c>
    </row>
    <row r="5968">
      <c r="A5968" t="s">
        <v>167</v>
      </c>
      <c r="B5968" t="s">
        <v>116</v>
      </c>
      <c r="C5968" s="35" t="s">
        <v>422</v>
      </c>
      <c r="D5968" t="s">
        <v>502</v>
      </c>
      <c r="E5968" t="s">
        <v>520</v>
      </c>
      <c r="F5968" s="188" t="n">
        <v>2044</v>
      </c>
      <c r="G5968" s="189" t="n">
        <v>36</v>
      </c>
      <c r="H5968" s="190" t="n">
        <v>1694.63553159645</v>
      </c>
      <c r="I5968" s="191" t="n">
        <v>4618814.29523049</v>
      </c>
      <c r="J5968" s="192" t="str">
        <f>IF(I5968&gt;0,H5968/I5968,0)</f>
      </c>
      <c r="K5968" s="193" t="str">
        <f>1-EXP(-J5968)</f>
      </c>
      <c r="L5968" s="194" t="str">
        <f>IF(G5968=30,1,M5967)</f>
      </c>
      <c r="M5968" s="195" t="str">
        <f>L5968*(1-K5968)</f>
      </c>
    </row>
    <row r="5969">
      <c r="A5969" t="s">
        <v>167</v>
      </c>
      <c r="B5969" t="s">
        <v>116</v>
      </c>
      <c r="C5969" s="35" t="s">
        <v>422</v>
      </c>
      <c r="D5969" t="s">
        <v>502</v>
      </c>
      <c r="E5969" t="s">
        <v>520</v>
      </c>
      <c r="F5969" s="188" t="n">
        <v>2044</v>
      </c>
      <c r="G5969" s="189" t="n">
        <v>37</v>
      </c>
      <c r="H5969" s="190" t="n">
        <v>1890.26965455415</v>
      </c>
      <c r="I5969" s="191" t="n">
        <v>4643224.02943323</v>
      </c>
      <c r="J5969" s="192" t="str">
        <f>IF(I5969&gt;0,H5969/I5969,0)</f>
      </c>
      <c r="K5969" s="193" t="str">
        <f>1-EXP(-J5969)</f>
      </c>
      <c r="L5969" s="194" t="str">
        <f>IF(G5969=30,1,M5968)</f>
      </c>
      <c r="M5969" s="195" t="str">
        <f>L5969*(1-K5969)</f>
      </c>
    </row>
    <row r="5970">
      <c r="A5970" t="s">
        <v>167</v>
      </c>
      <c r="B5970" t="s">
        <v>116</v>
      </c>
      <c r="C5970" s="35" t="s">
        <v>422</v>
      </c>
      <c r="D5970" t="s">
        <v>502</v>
      </c>
      <c r="E5970" t="s">
        <v>520</v>
      </c>
      <c r="F5970" s="188" t="n">
        <v>2044</v>
      </c>
      <c r="G5970" s="189" t="n">
        <v>38</v>
      </c>
      <c r="H5970" s="190" t="n">
        <v>2003.87327459862</v>
      </c>
      <c r="I5970" s="191" t="n">
        <v>4559023.02829615</v>
      </c>
      <c r="J5970" s="192" t="str">
        <f>IF(I5970&gt;0,H5970/I5970,0)</f>
      </c>
      <c r="K5970" s="193" t="str">
        <f>1-EXP(-J5970)</f>
      </c>
      <c r="L5970" s="194" t="str">
        <f>IF(G5970=30,1,M5969)</f>
      </c>
      <c r="M5970" s="195" t="str">
        <f>L5970*(1-K5970)</f>
      </c>
    </row>
    <row r="5971">
      <c r="A5971" t="s">
        <v>167</v>
      </c>
      <c r="B5971" t="s">
        <v>116</v>
      </c>
      <c r="C5971" s="35" t="s">
        <v>422</v>
      </c>
      <c r="D5971" t="s">
        <v>502</v>
      </c>
      <c r="E5971" t="s">
        <v>520</v>
      </c>
      <c r="F5971" s="188" t="n">
        <v>2044</v>
      </c>
      <c r="G5971" s="189" t="n">
        <v>39</v>
      </c>
      <c r="H5971" s="190" t="n">
        <v>2139.72505795808</v>
      </c>
      <c r="I5971" s="191" t="n">
        <v>4496284.5118602</v>
      </c>
      <c r="J5971" s="192" t="str">
        <f>IF(I5971&gt;0,H5971/I5971,0)</f>
      </c>
      <c r="K5971" s="193" t="str">
        <f>1-EXP(-J5971)</f>
      </c>
      <c r="L5971" s="194" t="str">
        <f>IF(G5971=30,1,M5970)</f>
      </c>
      <c r="M5971" s="195" t="str">
        <f>L5971*(1-K5971)</f>
      </c>
    </row>
    <row r="5972">
      <c r="A5972" t="s">
        <v>167</v>
      </c>
      <c r="B5972" t="s">
        <v>116</v>
      </c>
      <c r="C5972" s="35" t="s">
        <v>422</v>
      </c>
      <c r="D5972" t="s">
        <v>502</v>
      </c>
      <c r="E5972" t="s">
        <v>520</v>
      </c>
      <c r="F5972" s="188" t="n">
        <v>2044</v>
      </c>
      <c r="G5972" s="189" t="n">
        <v>40</v>
      </c>
      <c r="H5972" s="190" t="n">
        <v>2800.94612014085</v>
      </c>
      <c r="I5972" s="191" t="n">
        <v>4366183.31832554</v>
      </c>
      <c r="J5972" s="192" t="str">
        <f>IF(I5972&gt;0,H5972/I5972,0)</f>
      </c>
      <c r="K5972" s="193" t="str">
        <f>1-EXP(-J5972)</f>
      </c>
      <c r="L5972" s="194" t="str">
        <f>IF(G5972=30,1,M5971)</f>
      </c>
      <c r="M5972" s="195" t="str">
        <f>L5972*(1-K5972)</f>
      </c>
    </row>
    <row r="5973">
      <c r="A5973" t="s">
        <v>167</v>
      </c>
      <c r="B5973" t="s">
        <v>116</v>
      </c>
      <c r="C5973" s="35" t="s">
        <v>422</v>
      </c>
      <c r="D5973" t="s">
        <v>502</v>
      </c>
      <c r="E5973" t="s">
        <v>520</v>
      </c>
      <c r="F5973" s="188" t="n">
        <v>2044</v>
      </c>
      <c r="G5973" s="189" t="n">
        <v>41</v>
      </c>
      <c r="H5973" s="190" t="n">
        <v>3062.07816771699</v>
      </c>
      <c r="I5973" s="191" t="n">
        <v>4297557.30755638</v>
      </c>
      <c r="J5973" s="192" t="str">
        <f>IF(I5973&gt;0,H5973/I5973,0)</f>
      </c>
      <c r="K5973" s="193" t="str">
        <f>1-EXP(-J5973)</f>
      </c>
      <c r="L5973" s="194" t="str">
        <f>IF(G5973=30,1,M5972)</f>
      </c>
      <c r="M5973" s="195" t="str">
        <f>L5973*(1-K5973)</f>
      </c>
    </row>
    <row r="5974">
      <c r="A5974" t="s">
        <v>167</v>
      </c>
      <c r="B5974" t="s">
        <v>116</v>
      </c>
      <c r="C5974" s="35" t="s">
        <v>422</v>
      </c>
      <c r="D5974" t="s">
        <v>502</v>
      </c>
      <c r="E5974" t="s">
        <v>520</v>
      </c>
      <c r="F5974" s="188" t="n">
        <v>2044</v>
      </c>
      <c r="G5974" s="189" t="n">
        <v>42</v>
      </c>
      <c r="H5974" s="190" t="n">
        <v>3456.36093550981</v>
      </c>
      <c r="I5974" s="191" t="n">
        <v>4271065.86199852</v>
      </c>
      <c r="J5974" s="192" t="str">
        <f>IF(I5974&gt;0,H5974/I5974,0)</f>
      </c>
      <c r="K5974" s="193" t="str">
        <f>1-EXP(-J5974)</f>
      </c>
      <c r="L5974" s="194" t="str">
        <f>IF(G5974=30,1,M5973)</f>
      </c>
      <c r="M5974" s="195" t="str">
        <f>L5974*(1-K5974)</f>
      </c>
    </row>
    <row r="5975">
      <c r="A5975" t="s">
        <v>167</v>
      </c>
      <c r="B5975" t="s">
        <v>116</v>
      </c>
      <c r="C5975" s="35" t="s">
        <v>422</v>
      </c>
      <c r="D5975" t="s">
        <v>502</v>
      </c>
      <c r="E5975" t="s">
        <v>520</v>
      </c>
      <c r="F5975" s="188" t="n">
        <v>2044</v>
      </c>
      <c r="G5975" s="189" t="n">
        <v>43</v>
      </c>
      <c r="H5975" s="190" t="n">
        <v>3744.83344596524</v>
      </c>
      <c r="I5975" s="191" t="n">
        <v>4246708.27165897</v>
      </c>
      <c r="J5975" s="192" t="str">
        <f>IF(I5975&gt;0,H5975/I5975,0)</f>
      </c>
      <c r="K5975" s="193" t="str">
        <f>1-EXP(-J5975)</f>
      </c>
      <c r="L5975" s="194" t="str">
        <f>IF(G5975=30,1,M5974)</f>
      </c>
      <c r="M5975" s="195" t="str">
        <f>L5975*(1-K5975)</f>
      </c>
    </row>
    <row r="5976">
      <c r="A5976" t="s">
        <v>167</v>
      </c>
      <c r="B5976" t="s">
        <v>116</v>
      </c>
      <c r="C5976" s="35" t="s">
        <v>422</v>
      </c>
      <c r="D5976" t="s">
        <v>502</v>
      </c>
      <c r="E5976" t="s">
        <v>520</v>
      </c>
      <c r="F5976" s="188" t="n">
        <v>2044</v>
      </c>
      <c r="G5976" s="189" t="n">
        <v>44</v>
      </c>
      <c r="H5976" s="190" t="n">
        <v>4067.49436498489</v>
      </c>
      <c r="I5976" s="191" t="n">
        <v>4221497.1672117</v>
      </c>
      <c r="J5976" s="192" t="str">
        <f>IF(I5976&gt;0,H5976/I5976,0)</f>
      </c>
      <c r="K5976" s="193" t="str">
        <f>1-EXP(-J5976)</f>
      </c>
      <c r="L5976" s="194" t="str">
        <f>IF(G5976=30,1,M5975)</f>
      </c>
      <c r="M5976" s="195" t="str">
        <f>L5976*(1-K5976)</f>
      </c>
    </row>
    <row r="5977">
      <c r="A5977" t="s">
        <v>167</v>
      </c>
      <c r="B5977" t="s">
        <v>116</v>
      </c>
      <c r="C5977" s="35" t="s">
        <v>422</v>
      </c>
      <c r="D5977" t="s">
        <v>502</v>
      </c>
      <c r="E5977" t="s">
        <v>520</v>
      </c>
      <c r="F5977" s="188" t="n">
        <v>2044</v>
      </c>
      <c r="G5977" s="189" t="n">
        <v>45</v>
      </c>
      <c r="H5977" s="190" t="n">
        <v>5260.14242564351</v>
      </c>
      <c r="I5977" s="191" t="n">
        <v>4234482.47891382</v>
      </c>
      <c r="J5977" s="192" t="str">
        <f>IF(I5977&gt;0,H5977/I5977,0)</f>
      </c>
      <c r="K5977" s="193" t="str">
        <f>1-EXP(-J5977)</f>
      </c>
      <c r="L5977" s="194" t="str">
        <f>IF(G5977=30,1,M5976)</f>
      </c>
      <c r="M5977" s="195" t="str">
        <f>L5977*(1-K5977)</f>
      </c>
    </row>
    <row r="5978">
      <c r="A5978" t="s">
        <v>167</v>
      </c>
      <c r="B5978" t="s">
        <v>116</v>
      </c>
      <c r="C5978" s="35" t="s">
        <v>422</v>
      </c>
      <c r="D5978" t="s">
        <v>502</v>
      </c>
      <c r="E5978" t="s">
        <v>520</v>
      </c>
      <c r="F5978" s="188" t="n">
        <v>2044</v>
      </c>
      <c r="G5978" s="189" t="n">
        <v>46</v>
      </c>
      <c r="H5978" s="190" t="n">
        <v>5858.48631910464</v>
      </c>
      <c r="I5978" s="191" t="n">
        <v>4283986.5787107</v>
      </c>
      <c r="J5978" s="192" t="str">
        <f>IF(I5978&gt;0,H5978/I5978,0)</f>
      </c>
      <c r="K5978" s="193" t="str">
        <f>1-EXP(-J5978)</f>
      </c>
      <c r="L5978" s="194" t="str">
        <f>IF(G5978=30,1,M5977)</f>
      </c>
      <c r="M5978" s="195" t="str">
        <f>L5978*(1-K5978)</f>
      </c>
    </row>
    <row r="5979">
      <c r="A5979" t="s">
        <v>167</v>
      </c>
      <c r="B5979" t="s">
        <v>116</v>
      </c>
      <c r="C5979" s="35" t="s">
        <v>422</v>
      </c>
      <c r="D5979" t="s">
        <v>502</v>
      </c>
      <c r="E5979" t="s">
        <v>520</v>
      </c>
      <c r="F5979" s="188" t="n">
        <v>2044</v>
      </c>
      <c r="G5979" s="189" t="n">
        <v>47</v>
      </c>
      <c r="H5979" s="190" t="n">
        <v>6805.61141014978</v>
      </c>
      <c r="I5979" s="191" t="n">
        <v>4408006.58489096</v>
      </c>
      <c r="J5979" s="192" t="str">
        <f>IF(I5979&gt;0,H5979/I5979,0)</f>
      </c>
      <c r="K5979" s="193" t="str">
        <f>1-EXP(-J5979)</f>
      </c>
      <c r="L5979" s="194" t="str">
        <f>IF(G5979=30,1,M5978)</f>
      </c>
      <c r="M5979" s="195" t="str">
        <f>L5979*(1-K5979)</f>
      </c>
    </row>
    <row r="5980">
      <c r="A5980" t="s">
        <v>167</v>
      </c>
      <c r="B5980" t="s">
        <v>116</v>
      </c>
      <c r="C5980" s="35" t="s">
        <v>422</v>
      </c>
      <c r="D5980" t="s">
        <v>502</v>
      </c>
      <c r="E5980" t="s">
        <v>520</v>
      </c>
      <c r="F5980" s="188" t="n">
        <v>2044</v>
      </c>
      <c r="G5980" s="189" t="n">
        <v>48</v>
      </c>
      <c r="H5980" s="190" t="n">
        <v>7387.68022891271</v>
      </c>
      <c r="I5980" s="191" t="n">
        <v>4355710.85010884</v>
      </c>
      <c r="J5980" s="192" t="str">
        <f>IF(I5980&gt;0,H5980/I5980,0)</f>
      </c>
      <c r="K5980" s="193" t="str">
        <f>1-EXP(-J5980)</f>
      </c>
      <c r="L5980" s="194" t="str">
        <f>IF(G5980=30,1,M5979)</f>
      </c>
      <c r="M5980" s="195" t="str">
        <f>L5980*(1-K5980)</f>
      </c>
    </row>
    <row r="5981">
      <c r="A5981" t="s">
        <v>167</v>
      </c>
      <c r="B5981" t="s">
        <v>116</v>
      </c>
      <c r="C5981" s="35" t="s">
        <v>422</v>
      </c>
      <c r="D5981" t="s">
        <v>502</v>
      </c>
      <c r="E5981" t="s">
        <v>520</v>
      </c>
      <c r="F5981" s="188" t="n">
        <v>2044</v>
      </c>
      <c r="G5981" s="189" t="n">
        <v>49</v>
      </c>
      <c r="H5981" s="190" t="n">
        <v>7968.00410592249</v>
      </c>
      <c r="I5981" s="191" t="n">
        <v>4273231.80993248</v>
      </c>
      <c r="J5981" s="192" t="str">
        <f>IF(I5981&gt;0,H5981/I5981,0)</f>
      </c>
      <c r="K5981" s="193" t="str">
        <f>1-EXP(-J5981)</f>
      </c>
      <c r="L5981" s="194" t="str">
        <f>IF(G5981=30,1,M5980)</f>
      </c>
      <c r="M5981" s="195" t="str">
        <f>L5981*(1-K5981)</f>
      </c>
    </row>
    <row r="5982">
      <c r="A5982" t="s">
        <v>167</v>
      </c>
      <c r="B5982" t="s">
        <v>116</v>
      </c>
      <c r="C5982" s="35" t="s">
        <v>422</v>
      </c>
      <c r="D5982" t="s">
        <v>502</v>
      </c>
      <c r="E5982" t="s">
        <v>520</v>
      </c>
      <c r="F5982" s="188" t="n">
        <v>2044</v>
      </c>
      <c r="G5982" s="189" t="n">
        <v>50</v>
      </c>
      <c r="H5982" s="190" t="n">
        <v>8999.01358488809</v>
      </c>
      <c r="I5982" s="191" t="n">
        <v>4204929.67327143</v>
      </c>
      <c r="J5982" s="192" t="str">
        <f>IF(I5982&gt;0,H5982/I5982,0)</f>
      </c>
      <c r="K5982" s="193" t="str">
        <f>1-EXP(-J5982)</f>
      </c>
      <c r="L5982" s="194" t="str">
        <f>IF(G5982=30,1,M5981)</f>
      </c>
      <c r="M5982" s="195" t="str">
        <f>L5982*(1-K5982)</f>
      </c>
    </row>
    <row r="5983">
      <c r="A5983" t="s">
        <v>167</v>
      </c>
      <c r="B5983" t="s">
        <v>116</v>
      </c>
      <c r="C5983" s="35" t="s">
        <v>422</v>
      </c>
      <c r="D5983" t="s">
        <v>502</v>
      </c>
      <c r="E5983" t="s">
        <v>520</v>
      </c>
      <c r="F5983" s="188" t="n">
        <v>2044</v>
      </c>
      <c r="G5983" s="189" t="n">
        <v>51</v>
      </c>
      <c r="H5983" s="190" t="n">
        <v>9666.65242824002</v>
      </c>
      <c r="I5983" s="191" t="n">
        <v>4138336.27592544</v>
      </c>
      <c r="J5983" s="192" t="str">
        <f>IF(I5983&gt;0,H5983/I5983,0)</f>
      </c>
      <c r="K5983" s="193" t="str">
        <f>1-EXP(-J5983)</f>
      </c>
      <c r="L5983" s="194" t="str">
        <f>IF(G5983=30,1,M5982)</f>
      </c>
      <c r="M5983" s="195" t="str">
        <f>L5983*(1-K5983)</f>
      </c>
    </row>
    <row r="5984">
      <c r="A5984" t="s">
        <v>167</v>
      </c>
      <c r="B5984" t="s">
        <v>116</v>
      </c>
      <c r="C5984" s="35" t="s">
        <v>422</v>
      </c>
      <c r="D5984" t="s">
        <v>502</v>
      </c>
      <c r="E5984" t="s">
        <v>520</v>
      </c>
      <c r="F5984" s="188" t="n">
        <v>2044</v>
      </c>
      <c r="G5984" s="189" t="n">
        <v>52</v>
      </c>
      <c r="H5984" s="190" t="n">
        <v>10630.0082510817</v>
      </c>
      <c r="I5984" s="191" t="n">
        <v>4158588.16118242</v>
      </c>
      <c r="J5984" s="192" t="str">
        <f>IF(I5984&gt;0,H5984/I5984,0)</f>
      </c>
      <c r="K5984" s="193" t="str">
        <f>1-EXP(-J5984)</f>
      </c>
      <c r="L5984" s="194" t="str">
        <f>IF(G5984=30,1,M5983)</f>
      </c>
      <c r="M5984" s="195" t="str">
        <f>L5984*(1-K5984)</f>
      </c>
    </row>
    <row r="5985">
      <c r="A5985" t="s">
        <v>167</v>
      </c>
      <c r="B5985" t="s">
        <v>116</v>
      </c>
      <c r="C5985" s="35" t="s">
        <v>422</v>
      </c>
      <c r="D5985" t="s">
        <v>502</v>
      </c>
      <c r="E5985" t="s">
        <v>520</v>
      </c>
      <c r="F5985" s="188" t="n">
        <v>2044</v>
      </c>
      <c r="G5985" s="189" t="n">
        <v>53</v>
      </c>
      <c r="H5985" s="190" t="n">
        <v>11626.1697324836</v>
      </c>
      <c r="I5985" s="191" t="n">
        <v>4158033.02463856</v>
      </c>
      <c r="J5985" s="192" t="str">
        <f>IF(I5985&gt;0,H5985/I5985,0)</f>
      </c>
      <c r="K5985" s="193" t="str">
        <f>1-EXP(-J5985)</f>
      </c>
      <c r="L5985" s="194" t="str">
        <f>IF(G5985=30,1,M5984)</f>
      </c>
      <c r="M5985" s="195" t="str">
        <f>L5985*(1-K5985)</f>
      </c>
    </row>
    <row r="5986">
      <c r="A5986" t="s">
        <v>167</v>
      </c>
      <c r="B5986" t="s">
        <v>116</v>
      </c>
      <c r="C5986" s="35" t="s">
        <v>422</v>
      </c>
      <c r="D5986" t="s">
        <v>502</v>
      </c>
      <c r="E5986" t="s">
        <v>520</v>
      </c>
      <c r="F5986" s="188" t="n">
        <v>2044</v>
      </c>
      <c r="G5986" s="189" t="n">
        <v>54</v>
      </c>
      <c r="H5986" s="190" t="n">
        <v>16871.9135159594</v>
      </c>
      <c r="I5986" s="191" t="n">
        <v>6114079.89379063</v>
      </c>
      <c r="J5986" s="192" t="str">
        <f>IF(I5986&gt;0,H5986/I5986,0)</f>
      </c>
      <c r="K5986" s="193" t="str">
        <f>1-EXP(-J5986)</f>
      </c>
      <c r="L5986" s="194" t="str">
        <f>IF(G5986=30,1,M5985)</f>
      </c>
      <c r="M5986" s="195" t="str">
        <f>L5986*(1-K5986)</f>
      </c>
    </row>
    <row r="5987">
      <c r="A5987" t="s">
        <v>167</v>
      </c>
      <c r="B5987" t="s">
        <v>116</v>
      </c>
      <c r="C5987" s="35" t="s">
        <v>422</v>
      </c>
      <c r="D5987" t="s">
        <v>502</v>
      </c>
      <c r="E5987" t="s">
        <v>520</v>
      </c>
      <c r="F5987" s="188" t="n">
        <v>2044</v>
      </c>
      <c r="G5987" s="189" t="n">
        <v>55</v>
      </c>
      <c r="H5987" s="190" t="n">
        <v>13405.8635365936</v>
      </c>
      <c r="I5987" s="191" t="n">
        <v>4078275.33836941</v>
      </c>
      <c r="J5987" s="192" t="str">
        <f>IF(I5987&gt;0,H5987/I5987,0)</f>
      </c>
      <c r="K5987" s="193" t="str">
        <f>1-EXP(-J5987)</f>
      </c>
      <c r="L5987" s="194" t="str">
        <f>IF(G5987=30,1,M5986)</f>
      </c>
      <c r="M5987" s="195" t="str">
        <f>L5987*(1-K5987)</f>
      </c>
    </row>
    <row r="5988">
      <c r="A5988" t="s">
        <v>167</v>
      </c>
      <c r="B5988" t="s">
        <v>116</v>
      </c>
      <c r="C5988" s="35" t="s">
        <v>422</v>
      </c>
      <c r="D5988" t="s">
        <v>502</v>
      </c>
      <c r="E5988" t="s">
        <v>520</v>
      </c>
      <c r="F5988" s="188" t="n">
        <v>2044</v>
      </c>
      <c r="G5988" s="189" t="n">
        <v>56</v>
      </c>
      <c r="H5988" s="190" t="n">
        <v>14380.0460423633</v>
      </c>
      <c r="I5988" s="191" t="n">
        <v>4039429.91721711</v>
      </c>
      <c r="J5988" s="192" t="str">
        <f>IF(I5988&gt;0,H5988/I5988,0)</f>
      </c>
      <c r="K5988" s="193" t="str">
        <f>1-EXP(-J5988)</f>
      </c>
      <c r="L5988" s="194" t="str">
        <f>IF(G5988=30,1,M5987)</f>
      </c>
      <c r="M5988" s="195" t="str">
        <f>L5988*(1-K5988)</f>
      </c>
    </row>
    <row r="5989">
      <c r="A5989" t="s">
        <v>167</v>
      </c>
      <c r="B5989" t="s">
        <v>116</v>
      </c>
      <c r="C5989" s="35" t="s">
        <v>422</v>
      </c>
      <c r="D5989" t="s">
        <v>502</v>
      </c>
      <c r="E5989" t="s">
        <v>520</v>
      </c>
      <c r="F5989" s="188" t="n">
        <v>2044</v>
      </c>
      <c r="G5989" s="189" t="n">
        <v>57</v>
      </c>
      <c r="H5989" s="190" t="n">
        <v>15150.1190771281</v>
      </c>
      <c r="I5989" s="191" t="n">
        <v>3891402.37364437</v>
      </c>
      <c r="J5989" s="192" t="str">
        <f>IF(I5989&gt;0,H5989/I5989,0)</f>
      </c>
      <c r="K5989" s="193" t="str">
        <f>1-EXP(-J5989)</f>
      </c>
      <c r="L5989" s="194" t="str">
        <f>IF(G5989=30,1,M5988)</f>
      </c>
      <c r="M5989" s="195" t="str">
        <f>L5989*(1-K5989)</f>
      </c>
    </row>
    <row r="5990">
      <c r="A5990" t="s">
        <v>167</v>
      </c>
      <c r="B5990" t="s">
        <v>116</v>
      </c>
      <c r="C5990" s="35" t="s">
        <v>422</v>
      </c>
      <c r="D5990" t="s">
        <v>502</v>
      </c>
      <c r="E5990" t="s">
        <v>520</v>
      </c>
      <c r="F5990" s="188" t="n">
        <v>2044</v>
      </c>
      <c r="G5990" s="189" t="n">
        <v>58</v>
      </c>
      <c r="H5990" s="190" t="n">
        <v>16336.652317441</v>
      </c>
      <c r="I5990" s="191" t="n">
        <v>3833080.4622245</v>
      </c>
      <c r="J5990" s="192" t="str">
        <f>IF(I5990&gt;0,H5990/I5990,0)</f>
      </c>
      <c r="K5990" s="193" t="str">
        <f>1-EXP(-J5990)</f>
      </c>
      <c r="L5990" s="194" t="str">
        <f>IF(G5990=30,1,M5989)</f>
      </c>
      <c r="M5990" s="195" t="str">
        <f>L5990*(1-K5990)</f>
      </c>
    </row>
    <row r="5991">
      <c r="A5991" t="s">
        <v>167</v>
      </c>
      <c r="B5991" t="s">
        <v>116</v>
      </c>
      <c r="C5991" s="35" t="s">
        <v>422</v>
      </c>
      <c r="D5991" t="s">
        <v>502</v>
      </c>
      <c r="E5991" t="s">
        <v>520</v>
      </c>
      <c r="F5991" s="188" t="n">
        <v>2044</v>
      </c>
      <c r="G5991" s="189" t="n">
        <v>59</v>
      </c>
      <c r="H5991" s="190" t="n">
        <v>18034.6050224952</v>
      </c>
      <c r="I5991" s="191" t="n">
        <v>3858575.23663421</v>
      </c>
      <c r="J5991" s="192" t="str">
        <f>IF(I5991&gt;0,H5991/I5991,0)</f>
      </c>
      <c r="K5991" s="193" t="str">
        <f>1-EXP(-J5991)</f>
      </c>
      <c r="L5991" s="194" t="str">
        <f>IF(G5991=30,1,M5990)</f>
      </c>
      <c r="M5991" s="195" t="str">
        <f>L5991*(1-K5991)</f>
      </c>
    </row>
    <row r="5992">
      <c r="A5992" t="s">
        <v>167</v>
      </c>
      <c r="B5992" t="s">
        <v>116</v>
      </c>
      <c r="C5992" s="35" t="s">
        <v>422</v>
      </c>
      <c r="D5992" t="s">
        <v>502</v>
      </c>
      <c r="E5992" t="s">
        <v>520</v>
      </c>
      <c r="F5992" s="188" t="n">
        <v>2044</v>
      </c>
      <c r="G5992" s="189" t="n">
        <v>60</v>
      </c>
      <c r="H5992" s="190" t="n">
        <v>19799.7101224514</v>
      </c>
      <c r="I5992" s="191" t="n">
        <v>3903457.6017723</v>
      </c>
      <c r="J5992" s="192" t="str">
        <f>IF(I5992&gt;0,H5992/I5992,0)</f>
      </c>
      <c r="K5992" s="193" t="str">
        <f>1-EXP(-J5992)</f>
      </c>
      <c r="L5992" s="194" t="str">
        <f>IF(G5992=30,1,M5991)</f>
      </c>
      <c r="M5992" s="195" t="str">
        <f>L5992*(1-K5992)</f>
      </c>
    </row>
    <row r="5993">
      <c r="A5993" t="s">
        <v>167</v>
      </c>
      <c r="B5993" t="s">
        <v>116</v>
      </c>
      <c r="C5993" s="35" t="s">
        <v>422</v>
      </c>
      <c r="D5993" t="s">
        <v>502</v>
      </c>
      <c r="E5993" t="s">
        <v>520</v>
      </c>
      <c r="F5993" s="188" t="n">
        <v>2044</v>
      </c>
      <c r="G5993" s="189" t="n">
        <v>61</v>
      </c>
      <c r="H5993" s="190" t="n">
        <v>21452.8922942777</v>
      </c>
      <c r="I5993" s="191" t="n">
        <v>3845979.60947243</v>
      </c>
      <c r="J5993" s="192" t="str">
        <f>IF(I5993&gt;0,H5993/I5993,0)</f>
      </c>
      <c r="K5993" s="193" t="str">
        <f>1-EXP(-J5993)</f>
      </c>
      <c r="L5993" s="194" t="str">
        <f>IF(G5993=30,1,M5992)</f>
      </c>
      <c r="M5993" s="195" t="str">
        <f>L5993*(1-K5993)</f>
      </c>
    </row>
    <row r="5994">
      <c r="A5994" t="s">
        <v>167</v>
      </c>
      <c r="B5994" t="s">
        <v>116</v>
      </c>
      <c r="C5994" s="35" t="s">
        <v>422</v>
      </c>
      <c r="D5994" t="s">
        <v>502</v>
      </c>
      <c r="E5994" t="s">
        <v>520</v>
      </c>
      <c r="F5994" s="188" t="n">
        <v>2044</v>
      </c>
      <c r="G5994" s="189" t="n">
        <v>62</v>
      </c>
      <c r="H5994" s="190" t="n">
        <v>22607.3771558018</v>
      </c>
      <c r="I5994" s="191" t="n">
        <v>3685420.96836776</v>
      </c>
      <c r="J5994" s="192" t="str">
        <f>IF(I5994&gt;0,H5994/I5994,0)</f>
      </c>
      <c r="K5994" s="193" t="str">
        <f>1-EXP(-J5994)</f>
      </c>
      <c r="L5994" s="194" t="str">
        <f>IF(G5994=30,1,M5993)</f>
      </c>
      <c r="M5994" s="195" t="str">
        <f>L5994*(1-K5994)</f>
      </c>
    </row>
    <row r="5995">
      <c r="A5995" t="s">
        <v>167</v>
      </c>
      <c r="B5995" t="s">
        <v>116</v>
      </c>
      <c r="C5995" s="35" t="s">
        <v>422</v>
      </c>
      <c r="D5995" t="s">
        <v>502</v>
      </c>
      <c r="E5995" t="s">
        <v>520</v>
      </c>
      <c r="F5995" s="188" t="n">
        <v>2044</v>
      </c>
      <c r="G5995" s="189" t="n">
        <v>63</v>
      </c>
      <c r="H5995" s="190" t="n">
        <v>24125.480702146</v>
      </c>
      <c r="I5995" s="191" t="n">
        <v>3579384.87411974</v>
      </c>
      <c r="J5995" s="192" t="str">
        <f>IF(I5995&gt;0,H5995/I5995,0)</f>
      </c>
      <c r="K5995" s="193" t="str">
        <f>1-EXP(-J5995)</f>
      </c>
      <c r="L5995" s="194" t="str">
        <f>IF(G5995=30,1,M5994)</f>
      </c>
      <c r="M5995" s="195" t="str">
        <f>L5995*(1-K5995)</f>
      </c>
    </row>
    <row r="5996">
      <c r="A5996" t="s">
        <v>167</v>
      </c>
      <c r="B5996" t="s">
        <v>116</v>
      </c>
      <c r="C5996" s="35" t="s">
        <v>422</v>
      </c>
      <c r="D5996" t="s">
        <v>502</v>
      </c>
      <c r="E5996" t="s">
        <v>520</v>
      </c>
      <c r="F5996" s="188" t="n">
        <v>2044</v>
      </c>
      <c r="G5996" s="189" t="n">
        <v>64</v>
      </c>
      <c r="H5996" s="190" t="n">
        <v>25805.877050274</v>
      </c>
      <c r="I5996" s="191" t="n">
        <v>3485167.326521</v>
      </c>
      <c r="J5996" s="192" t="str">
        <f>IF(I5996&gt;0,H5996/I5996,0)</f>
      </c>
      <c r="K5996" s="193" t="str">
        <f>1-EXP(-J5996)</f>
      </c>
      <c r="L5996" s="194" t="str">
        <f>IF(G5996=30,1,M5995)</f>
      </c>
      <c r="M5996" s="195" t="str">
        <f>L5996*(1-K5996)</f>
      </c>
    </row>
    <row r="5997">
      <c r="A5997" t="s">
        <v>167</v>
      </c>
      <c r="B5997" t="s">
        <v>116</v>
      </c>
      <c r="C5997" s="35" t="s">
        <v>422</v>
      </c>
      <c r="D5997" t="s">
        <v>502</v>
      </c>
      <c r="E5997" t="s">
        <v>520</v>
      </c>
      <c r="F5997" s="188" t="n">
        <v>2044</v>
      </c>
      <c r="G5997" s="189" t="n">
        <v>65</v>
      </c>
      <c r="H5997" s="190" t="n">
        <v>26270.616598881</v>
      </c>
      <c r="I5997" s="191" t="n">
        <v>3383897.98186703</v>
      </c>
      <c r="J5997" s="192" t="str">
        <f>IF(I5997&gt;0,H5997/I5997,0)</f>
      </c>
      <c r="K5997" s="193" t="str">
        <f>1-EXP(-J5997)</f>
      </c>
      <c r="L5997" s="194" t="str">
        <f>IF(G5997=30,1,M5996)</f>
      </c>
      <c r="M5997" s="195" t="str">
        <f>L5997*(1-K5997)</f>
      </c>
    </row>
    <row r="5998">
      <c r="A5998" t="s">
        <v>167</v>
      </c>
      <c r="B5998" t="s">
        <v>116</v>
      </c>
      <c r="C5998" s="35" t="s">
        <v>422</v>
      </c>
      <c r="D5998" t="s">
        <v>502</v>
      </c>
      <c r="E5998" t="s">
        <v>520</v>
      </c>
      <c r="F5998" s="188" t="n">
        <v>2044</v>
      </c>
      <c r="G5998" s="189" t="n">
        <v>66</v>
      </c>
      <c r="H5998" s="190" t="n">
        <v>27755.9816907532</v>
      </c>
      <c r="I5998" s="191" t="n">
        <v>3264437.26713465</v>
      </c>
      <c r="J5998" s="192" t="str">
        <f>IF(I5998&gt;0,H5998/I5998,0)</f>
      </c>
      <c r="K5998" s="193" t="str">
        <f>1-EXP(-J5998)</f>
      </c>
      <c r="L5998" s="194" t="str">
        <f>IF(G5998=30,1,M5997)</f>
      </c>
      <c r="M5998" s="195" t="str">
        <f>L5998*(1-K5998)</f>
      </c>
    </row>
    <row r="5999">
      <c r="A5999" t="s">
        <v>167</v>
      </c>
      <c r="B5999" t="s">
        <v>116</v>
      </c>
      <c r="C5999" s="35" t="s">
        <v>422</v>
      </c>
      <c r="D5999" t="s">
        <v>502</v>
      </c>
      <c r="E5999" t="s">
        <v>520</v>
      </c>
      <c r="F5999" s="188" t="n">
        <v>2044</v>
      </c>
      <c r="G5999" s="189" t="n">
        <v>67</v>
      </c>
      <c r="H5999" s="190" t="n">
        <v>29528.9400863893</v>
      </c>
      <c r="I5999" s="191" t="n">
        <v>3156130.06141201</v>
      </c>
      <c r="J5999" s="192" t="str">
        <f>IF(I5999&gt;0,H5999/I5999,0)</f>
      </c>
      <c r="K5999" s="193" t="str">
        <f>1-EXP(-J5999)</f>
      </c>
      <c r="L5999" s="194" t="str">
        <f>IF(G5999=30,1,M5998)</f>
      </c>
      <c r="M5999" s="195" t="str">
        <f>L5999*(1-K5999)</f>
      </c>
    </row>
    <row r="6000">
      <c r="A6000" t="s">
        <v>167</v>
      </c>
      <c r="B6000" t="s">
        <v>116</v>
      </c>
      <c r="C6000" s="35" t="s">
        <v>422</v>
      </c>
      <c r="D6000" t="s">
        <v>502</v>
      </c>
      <c r="E6000" t="s">
        <v>520</v>
      </c>
      <c r="F6000" s="188" t="n">
        <v>2044</v>
      </c>
      <c r="G6000" s="189" t="n">
        <v>68</v>
      </c>
      <c r="H6000" s="190" t="n">
        <v>31250.7689398424</v>
      </c>
      <c r="I6000" s="191" t="n">
        <v>3036459.42063144</v>
      </c>
      <c r="J6000" s="192" t="str">
        <f>IF(I6000&gt;0,H6000/I6000,0)</f>
      </c>
      <c r="K6000" s="193" t="str">
        <f>1-EXP(-J6000)</f>
      </c>
      <c r="L6000" s="194" t="str">
        <f>IF(G6000=30,1,M5999)</f>
      </c>
      <c r="M6000" s="195" t="str">
        <f>L6000*(1-K6000)</f>
      </c>
    </row>
    <row r="6001">
      <c r="A6001" t="s">
        <v>167</v>
      </c>
      <c r="B6001" t="s">
        <v>116</v>
      </c>
      <c r="C6001" s="35" t="s">
        <v>422</v>
      </c>
      <c r="D6001" t="s">
        <v>502</v>
      </c>
      <c r="E6001" t="s">
        <v>520</v>
      </c>
      <c r="F6001" s="188" t="n">
        <v>2044</v>
      </c>
      <c r="G6001" s="189" t="n">
        <v>69</v>
      </c>
      <c r="H6001" s="190" t="n">
        <v>33023.8957656296</v>
      </c>
      <c r="I6001" s="191" t="n">
        <v>2914176.82270874</v>
      </c>
      <c r="J6001" s="192" t="str">
        <f>IF(I6001&gt;0,H6001/I6001,0)</f>
      </c>
      <c r="K6001" s="193" t="str">
        <f>1-EXP(-J6001)</f>
      </c>
      <c r="L6001" s="194" t="str">
        <f>IF(G6001=30,1,M6000)</f>
      </c>
      <c r="M6001" s="195" t="str">
        <f>L6001*(1-K6001)</f>
      </c>
    </row>
    <row r="6002">
      <c r="A6002" t="s">
        <v>167</v>
      </c>
      <c r="B6002" t="s">
        <v>116</v>
      </c>
      <c r="C6002" s="35" t="s">
        <v>422</v>
      </c>
      <c r="D6002" t="s">
        <v>502</v>
      </c>
      <c r="E6002" t="s">
        <v>520</v>
      </c>
      <c r="F6002" s="188" t="n">
        <v>2045</v>
      </c>
      <c r="G6002" s="189" t="n">
        <v>30</v>
      </c>
      <c r="H6002" s="190" t="n">
        <v>676.285032811325</v>
      </c>
      <c r="I6002" s="191" t="n">
        <v>4642507.73988388</v>
      </c>
      <c r="J6002" s="192" t="str">
        <f>IF(I6002&gt;0,H6002/I6002,0)</f>
      </c>
      <c r="K6002" s="193" t="str">
        <f>1-EXP(-J6002)</f>
      </c>
      <c r="L6002" s="194" t="str">
        <f>IF(G6002=30,1,M6001)</f>
      </c>
      <c r="M6002" s="195" t="str">
        <f>L6002*(1-K6002)</f>
      </c>
    </row>
    <row r="6003">
      <c r="A6003" t="s">
        <v>167</v>
      </c>
      <c r="B6003" t="s">
        <v>116</v>
      </c>
      <c r="C6003" s="35" t="s">
        <v>422</v>
      </c>
      <c r="D6003" t="s">
        <v>502</v>
      </c>
      <c r="E6003" t="s">
        <v>520</v>
      </c>
      <c r="F6003" s="188" t="n">
        <v>2045</v>
      </c>
      <c r="G6003" s="189" t="n">
        <v>31</v>
      </c>
      <c r="H6003" s="190" t="n">
        <v>904.400329388559</v>
      </c>
      <c r="I6003" s="191" t="n">
        <v>4709086.86545577</v>
      </c>
      <c r="J6003" s="192" t="str">
        <f>IF(I6003&gt;0,H6003/I6003,0)</f>
      </c>
      <c r="K6003" s="193" t="str">
        <f>1-EXP(-J6003)</f>
      </c>
      <c r="L6003" s="194" t="str">
        <f>IF(G6003=30,1,M6002)</f>
      </c>
      <c r="M6003" s="195" t="str">
        <f>L6003*(1-K6003)</f>
      </c>
    </row>
    <row r="6004">
      <c r="A6004" t="s">
        <v>167</v>
      </c>
      <c r="B6004" t="s">
        <v>116</v>
      </c>
      <c r="C6004" s="35" t="s">
        <v>422</v>
      </c>
      <c r="D6004" t="s">
        <v>502</v>
      </c>
      <c r="E6004" t="s">
        <v>520</v>
      </c>
      <c r="F6004" s="188" t="n">
        <v>2045</v>
      </c>
      <c r="G6004" s="189" t="n">
        <v>32</v>
      </c>
      <c r="H6004" s="190" t="n">
        <v>968.349306543624</v>
      </c>
      <c r="I6004" s="191" t="n">
        <v>4777340.37204882</v>
      </c>
      <c r="J6004" s="192" t="str">
        <f>IF(I6004&gt;0,H6004/I6004,0)</f>
      </c>
      <c r="K6004" s="193" t="str">
        <f>1-EXP(-J6004)</f>
      </c>
      <c r="L6004" s="194" t="str">
        <f>IF(G6004=30,1,M6003)</f>
      </c>
      <c r="M6004" s="195" t="str">
        <f>L6004*(1-K6004)</f>
      </c>
    </row>
    <row r="6005">
      <c r="A6005" t="s">
        <v>167</v>
      </c>
      <c r="B6005" t="s">
        <v>116</v>
      </c>
      <c r="C6005" s="35" t="s">
        <v>422</v>
      </c>
      <c r="D6005" t="s">
        <v>502</v>
      </c>
      <c r="E6005" t="s">
        <v>520</v>
      </c>
      <c r="F6005" s="188" t="n">
        <v>2045</v>
      </c>
      <c r="G6005" s="189" t="n">
        <v>33</v>
      </c>
      <c r="H6005" s="190" t="n">
        <v>1092.31696044366</v>
      </c>
      <c r="I6005" s="191" t="n">
        <v>4889975.69711094</v>
      </c>
      <c r="J6005" s="192" t="str">
        <f>IF(I6005&gt;0,H6005/I6005,0)</f>
      </c>
      <c r="K6005" s="193" t="str">
        <f>1-EXP(-J6005)</f>
      </c>
      <c r="L6005" s="194" t="str">
        <f>IF(G6005=30,1,M6004)</f>
      </c>
      <c r="M6005" s="195" t="str">
        <f>L6005*(1-K6005)</f>
      </c>
    </row>
    <row r="6006">
      <c r="A6006" t="s">
        <v>167</v>
      </c>
      <c r="B6006" t="s">
        <v>116</v>
      </c>
      <c r="C6006" s="35" t="s">
        <v>422</v>
      </c>
      <c r="D6006" t="s">
        <v>502</v>
      </c>
      <c r="E6006" t="s">
        <v>520</v>
      </c>
      <c r="F6006" s="188" t="n">
        <v>2045</v>
      </c>
      <c r="G6006" s="189" t="n">
        <v>34</v>
      </c>
      <c r="H6006" s="190" t="n">
        <v>1157.82744570545</v>
      </c>
      <c r="I6006" s="191" t="n">
        <v>4861611.71240605</v>
      </c>
      <c r="J6006" s="192" t="str">
        <f>IF(I6006&gt;0,H6006/I6006,0)</f>
      </c>
      <c r="K6006" s="193" t="str">
        <f>1-EXP(-J6006)</f>
      </c>
      <c r="L6006" s="194" t="str">
        <f>IF(G6006=30,1,M6005)</f>
      </c>
      <c r="M6006" s="195" t="str">
        <f>L6006*(1-K6006)</f>
      </c>
    </row>
    <row r="6007">
      <c r="A6007" t="s">
        <v>167</v>
      </c>
      <c r="B6007" t="s">
        <v>116</v>
      </c>
      <c r="C6007" s="35" t="s">
        <v>422</v>
      </c>
      <c r="D6007" t="s">
        <v>502</v>
      </c>
      <c r="E6007" t="s">
        <v>520</v>
      </c>
      <c r="F6007" s="188" t="n">
        <v>2045</v>
      </c>
      <c r="G6007" s="189" t="n">
        <v>35</v>
      </c>
      <c r="H6007" s="190" t="n">
        <v>1478.64229741387</v>
      </c>
      <c r="I6007" s="191" t="n">
        <v>4727639.81356027</v>
      </c>
      <c r="J6007" s="192" t="str">
        <f>IF(I6007&gt;0,H6007/I6007,0)</f>
      </c>
      <c r="K6007" s="193" t="str">
        <f>1-EXP(-J6007)</f>
      </c>
      <c r="L6007" s="194" t="str">
        <f>IF(G6007=30,1,M6006)</f>
      </c>
      <c r="M6007" s="195" t="str">
        <f>L6007*(1-K6007)</f>
      </c>
    </row>
    <row r="6008">
      <c r="A6008" t="s">
        <v>167</v>
      </c>
      <c r="B6008" t="s">
        <v>116</v>
      </c>
      <c r="C6008" s="35" t="s">
        <v>422</v>
      </c>
      <c r="D6008" t="s">
        <v>502</v>
      </c>
      <c r="E6008" t="s">
        <v>520</v>
      </c>
      <c r="F6008" s="188" t="n">
        <v>2045</v>
      </c>
      <c r="G6008" s="189" t="n">
        <v>36</v>
      </c>
      <c r="H6008" s="190" t="n">
        <v>1703.90071071408</v>
      </c>
      <c r="I6008" s="191" t="n">
        <v>4655922.21173574</v>
      </c>
      <c r="J6008" s="192" t="str">
        <f>IF(I6008&gt;0,H6008/I6008,0)</f>
      </c>
      <c r="K6008" s="193" t="str">
        <f>1-EXP(-J6008)</f>
      </c>
      <c r="L6008" s="194" t="str">
        <f>IF(G6008=30,1,M6007)</f>
      </c>
      <c r="M6008" s="195" t="str">
        <f>L6008*(1-K6008)</f>
      </c>
    </row>
    <row r="6009">
      <c r="A6009" t="s">
        <v>167</v>
      </c>
      <c r="B6009" t="s">
        <v>116</v>
      </c>
      <c r="C6009" s="35" t="s">
        <v>422</v>
      </c>
      <c r="D6009" t="s">
        <v>502</v>
      </c>
      <c r="E6009" t="s">
        <v>520</v>
      </c>
      <c r="F6009" s="188" t="n">
        <v>2045</v>
      </c>
      <c r="G6009" s="189" t="n">
        <v>37</v>
      </c>
      <c r="H6009" s="190" t="n">
        <v>1817.6368567854</v>
      </c>
      <c r="I6009" s="191" t="n">
        <v>4612167.70298974</v>
      </c>
      <c r="J6009" s="192" t="str">
        <f>IF(I6009&gt;0,H6009/I6009,0)</f>
      </c>
      <c r="K6009" s="193" t="str">
        <f>1-EXP(-J6009)</f>
      </c>
      <c r="L6009" s="194" t="str">
        <f>IF(G6009=30,1,M6008)</f>
      </c>
      <c r="M6009" s="195" t="str">
        <f>L6009*(1-K6009)</f>
      </c>
    </row>
    <row r="6010">
      <c r="A6010" t="s">
        <v>167</v>
      </c>
      <c r="B6010" t="s">
        <v>116</v>
      </c>
      <c r="C6010" s="35" t="s">
        <v>422</v>
      </c>
      <c r="D6010" t="s">
        <v>502</v>
      </c>
      <c r="E6010" t="s">
        <v>520</v>
      </c>
      <c r="F6010" s="188" t="n">
        <v>2045</v>
      </c>
      <c r="G6010" s="189" t="n">
        <v>38</v>
      </c>
      <c r="H6010" s="190" t="n">
        <v>2031.33937003105</v>
      </c>
      <c r="I6010" s="191" t="n">
        <v>4636030.32064112</v>
      </c>
      <c r="J6010" s="192" t="str">
        <f>IF(I6010&gt;0,H6010/I6010,0)</f>
      </c>
      <c r="K6010" s="193" t="str">
        <f>1-EXP(-J6010)</f>
      </c>
      <c r="L6010" s="194" t="str">
        <f>IF(G6010=30,1,M6009)</f>
      </c>
      <c r="M6010" s="195" t="str">
        <f>L6010*(1-K6010)</f>
      </c>
    </row>
    <row r="6011">
      <c r="A6011" t="s">
        <v>167</v>
      </c>
      <c r="B6011" t="s">
        <v>116</v>
      </c>
      <c r="C6011" s="35" t="s">
        <v>422</v>
      </c>
      <c r="D6011" t="s">
        <v>502</v>
      </c>
      <c r="E6011" t="s">
        <v>520</v>
      </c>
      <c r="F6011" s="188" t="n">
        <v>2045</v>
      </c>
      <c r="G6011" s="189" t="n">
        <v>39</v>
      </c>
      <c r="H6011" s="190" t="n">
        <v>2158.91785033238</v>
      </c>
      <c r="I6011" s="191" t="n">
        <v>4551451.00587822</v>
      </c>
      <c r="J6011" s="192" t="str">
        <f>IF(I6011&gt;0,H6011/I6011,0)</f>
      </c>
      <c r="K6011" s="193" t="str">
        <f>1-EXP(-J6011)</f>
      </c>
      <c r="L6011" s="194" t="str">
        <f>IF(G6011=30,1,M6010)</f>
      </c>
      <c r="M6011" s="195" t="str">
        <f>L6011*(1-K6011)</f>
      </c>
    </row>
    <row r="6012">
      <c r="A6012" t="s">
        <v>167</v>
      </c>
      <c r="B6012" t="s">
        <v>116</v>
      </c>
      <c r="C6012" s="35" t="s">
        <v>422</v>
      </c>
      <c r="D6012" t="s">
        <v>502</v>
      </c>
      <c r="E6012" t="s">
        <v>520</v>
      </c>
      <c r="F6012" s="188" t="n">
        <v>2045</v>
      </c>
      <c r="G6012" s="189" t="n">
        <v>40</v>
      </c>
      <c r="H6012" s="190" t="n">
        <v>2865.55466730384</v>
      </c>
      <c r="I6012" s="191" t="n">
        <v>4488254.55141967</v>
      </c>
      <c r="J6012" s="192" t="str">
        <f>IF(I6012&gt;0,H6012/I6012,0)</f>
      </c>
      <c r="K6012" s="193" t="str">
        <f>1-EXP(-J6012)</f>
      </c>
      <c r="L6012" s="194" t="str">
        <f>IF(G6012=30,1,M6011)</f>
      </c>
      <c r="M6012" s="195" t="str">
        <f>L6012*(1-K6012)</f>
      </c>
    </row>
    <row r="6013">
      <c r="A6013" t="s">
        <v>167</v>
      </c>
      <c r="B6013" t="s">
        <v>116</v>
      </c>
      <c r="C6013" s="35" t="s">
        <v>422</v>
      </c>
      <c r="D6013" t="s">
        <v>502</v>
      </c>
      <c r="E6013" t="s">
        <v>520</v>
      </c>
      <c r="F6013" s="188" t="n">
        <v>2045</v>
      </c>
      <c r="G6013" s="189" t="n">
        <v>41</v>
      </c>
      <c r="H6013" s="190" t="n">
        <v>3090.00928591324</v>
      </c>
      <c r="I6013" s="191" t="n">
        <v>4357163.89192538</v>
      </c>
      <c r="J6013" s="192" t="str">
        <f>IF(I6013&gt;0,H6013/I6013,0)</f>
      </c>
      <c r="K6013" s="193" t="str">
        <f>1-EXP(-J6013)</f>
      </c>
      <c r="L6013" s="194" t="str">
        <f>IF(G6013=30,1,M6012)</f>
      </c>
      <c r="M6013" s="195" t="str">
        <f>L6013*(1-K6013)</f>
      </c>
    </row>
    <row r="6014">
      <c r="A6014" t="s">
        <v>167</v>
      </c>
      <c r="B6014" t="s">
        <v>116</v>
      </c>
      <c r="C6014" s="35" t="s">
        <v>422</v>
      </c>
      <c r="D6014" t="s">
        <v>502</v>
      </c>
      <c r="E6014" t="s">
        <v>520</v>
      </c>
      <c r="F6014" s="188" t="n">
        <v>2045</v>
      </c>
      <c r="G6014" s="189" t="n">
        <v>42</v>
      </c>
      <c r="H6014" s="190" t="n">
        <v>3310.06387111388</v>
      </c>
      <c r="I6014" s="191" t="n">
        <v>4288618.4815668</v>
      </c>
      <c r="J6014" s="192" t="str">
        <f>IF(I6014&gt;0,H6014/I6014,0)</f>
      </c>
      <c r="K6014" s="193" t="str">
        <f>1-EXP(-J6014)</f>
      </c>
      <c r="L6014" s="194" t="str">
        <f>IF(G6014=30,1,M6013)</f>
      </c>
      <c r="M6014" s="195" t="str">
        <f>L6014*(1-K6014)</f>
      </c>
    </row>
    <row r="6015">
      <c r="A6015" t="s">
        <v>167</v>
      </c>
      <c r="B6015" t="s">
        <v>116</v>
      </c>
      <c r="C6015" s="35" t="s">
        <v>422</v>
      </c>
      <c r="D6015" t="s">
        <v>502</v>
      </c>
      <c r="E6015" t="s">
        <v>520</v>
      </c>
      <c r="F6015" s="188" t="n">
        <v>2045</v>
      </c>
      <c r="G6015" s="189" t="n">
        <v>43</v>
      </c>
      <c r="H6015" s="190" t="n">
        <v>3736.62580332956</v>
      </c>
      <c r="I6015" s="191" t="n">
        <v>4261276.57862701</v>
      </c>
      <c r="J6015" s="192" t="str">
        <f>IF(I6015&gt;0,H6015/I6015,0)</f>
      </c>
      <c r="K6015" s="193" t="str">
        <f>1-EXP(-J6015)</f>
      </c>
      <c r="L6015" s="194" t="str">
        <f>IF(G6015=30,1,M6014)</f>
      </c>
      <c r="M6015" s="195" t="str">
        <f>L6015*(1-K6015)</f>
      </c>
    </row>
    <row r="6016">
      <c r="A6016" t="s">
        <v>167</v>
      </c>
      <c r="B6016" t="s">
        <v>116</v>
      </c>
      <c r="C6016" s="35" t="s">
        <v>422</v>
      </c>
      <c r="D6016" t="s">
        <v>502</v>
      </c>
      <c r="E6016" t="s">
        <v>520</v>
      </c>
      <c r="F6016" s="188" t="n">
        <v>2045</v>
      </c>
      <c r="G6016" s="189" t="n">
        <v>44</v>
      </c>
      <c r="H6016" s="190" t="n">
        <v>4056.59176644443</v>
      </c>
      <c r="I6016" s="191" t="n">
        <v>4236153.81815701</v>
      </c>
      <c r="J6016" s="192" t="str">
        <f>IF(I6016&gt;0,H6016/I6016,0)</f>
      </c>
      <c r="K6016" s="193" t="str">
        <f>1-EXP(-J6016)</f>
      </c>
      <c r="L6016" s="194" t="str">
        <f>IF(G6016=30,1,M6015)</f>
      </c>
      <c r="M6016" s="195" t="str">
        <f>L6016*(1-K6016)</f>
      </c>
    </row>
    <row r="6017">
      <c r="A6017" t="s">
        <v>167</v>
      </c>
      <c r="B6017" t="s">
        <v>116</v>
      </c>
      <c r="C6017" s="35" t="s">
        <v>422</v>
      </c>
      <c r="D6017" t="s">
        <v>502</v>
      </c>
      <c r="E6017" t="s">
        <v>520</v>
      </c>
      <c r="F6017" s="188" t="n">
        <v>2045</v>
      </c>
      <c r="G6017" s="189" t="n">
        <v>45</v>
      </c>
      <c r="H6017" s="190" t="n">
        <v>5193.66931119595</v>
      </c>
      <c r="I6017" s="191" t="n">
        <v>4210092.79367493</v>
      </c>
      <c r="J6017" s="192" t="str">
        <f>IF(I6017&gt;0,H6017/I6017,0)</f>
      </c>
      <c r="K6017" s="193" t="str">
        <f>1-EXP(-J6017)</f>
      </c>
      <c r="L6017" s="194" t="str">
        <f>IF(G6017=30,1,M6016)</f>
      </c>
      <c r="M6017" s="195" t="str">
        <f>L6017*(1-K6017)</f>
      </c>
    </row>
    <row r="6018">
      <c r="A6018" t="s">
        <v>167</v>
      </c>
      <c r="B6018" t="s">
        <v>116</v>
      </c>
      <c r="C6018" s="35" t="s">
        <v>422</v>
      </c>
      <c r="D6018" t="s">
        <v>502</v>
      </c>
      <c r="E6018" t="s">
        <v>520</v>
      </c>
      <c r="F6018" s="188" t="n">
        <v>2045</v>
      </c>
      <c r="G6018" s="189" t="n">
        <v>46</v>
      </c>
      <c r="H6018" s="190" t="n">
        <v>5733.32809428411</v>
      </c>
      <c r="I6018" s="191" t="n">
        <v>4221190.32498342</v>
      </c>
      <c r="J6018" s="192" t="str">
        <f>IF(I6018&gt;0,H6018/I6018,0)</f>
      </c>
      <c r="K6018" s="193" t="str">
        <f>1-EXP(-J6018)</f>
      </c>
      <c r="L6018" s="194" t="str">
        <f>IF(G6018=30,1,M6017)</f>
      </c>
      <c r="M6018" s="195" t="str">
        <f>L6018*(1-K6018)</f>
      </c>
    </row>
    <row r="6019">
      <c r="A6019" t="s">
        <v>167</v>
      </c>
      <c r="B6019" t="s">
        <v>116</v>
      </c>
      <c r="C6019" s="35" t="s">
        <v>422</v>
      </c>
      <c r="D6019" t="s">
        <v>502</v>
      </c>
      <c r="E6019" t="s">
        <v>520</v>
      </c>
      <c r="F6019" s="188" t="n">
        <v>2045</v>
      </c>
      <c r="G6019" s="189" t="n">
        <v>47</v>
      </c>
      <c r="H6019" s="190" t="n">
        <v>6372.78627143655</v>
      </c>
      <c r="I6019" s="191" t="n">
        <v>4270193.81437278</v>
      </c>
      <c r="J6019" s="192" t="str">
        <f>IF(I6019&gt;0,H6019/I6019,0)</f>
      </c>
      <c r="K6019" s="193" t="str">
        <f>1-EXP(-J6019)</f>
      </c>
      <c r="L6019" s="194" t="str">
        <f>IF(G6019=30,1,M6018)</f>
      </c>
      <c r="M6019" s="195" t="str">
        <f>L6019*(1-K6019)</f>
      </c>
    </row>
    <row r="6020">
      <c r="A6020" t="s">
        <v>167</v>
      </c>
      <c r="B6020" t="s">
        <v>116</v>
      </c>
      <c r="C6020" s="35" t="s">
        <v>422</v>
      </c>
      <c r="D6020" t="s">
        <v>502</v>
      </c>
      <c r="E6020" t="s">
        <v>520</v>
      </c>
      <c r="F6020" s="188" t="n">
        <v>2045</v>
      </c>
      <c r="G6020" s="189" t="n">
        <v>48</v>
      </c>
      <c r="H6020" s="190" t="n">
        <v>7399.86741885894</v>
      </c>
      <c r="I6020" s="191" t="n">
        <v>4392250.90861098</v>
      </c>
      <c r="J6020" s="192" t="str">
        <f>IF(I6020&gt;0,H6020/I6020,0)</f>
      </c>
      <c r="K6020" s="193" t="str">
        <f>1-EXP(-J6020)</f>
      </c>
      <c r="L6020" s="194" t="str">
        <f>IF(G6020=30,1,M6019)</f>
      </c>
      <c r="M6020" s="195" t="str">
        <f>L6020*(1-K6020)</f>
      </c>
    </row>
    <row r="6021">
      <c r="A6021" t="s">
        <v>167</v>
      </c>
      <c r="B6021" t="s">
        <v>116</v>
      </c>
      <c r="C6021" s="35" t="s">
        <v>422</v>
      </c>
      <c r="D6021" t="s">
        <v>502</v>
      </c>
      <c r="E6021" t="s">
        <v>520</v>
      </c>
      <c r="F6021" s="188" t="n">
        <v>2045</v>
      </c>
      <c r="G6021" s="189" t="n">
        <v>49</v>
      </c>
      <c r="H6021" s="190" t="n">
        <v>8036.3369945505</v>
      </c>
      <c r="I6021" s="191" t="n">
        <v>4338658.49981819</v>
      </c>
      <c r="J6021" s="192" t="str">
        <f>IF(I6021&gt;0,H6021/I6021,0)</f>
      </c>
      <c r="K6021" s="193" t="str">
        <f>1-EXP(-J6021)</f>
      </c>
      <c r="L6021" s="194" t="str">
        <f>IF(G6021=30,1,M6020)</f>
      </c>
      <c r="M6021" s="195" t="str">
        <f>L6021*(1-K6021)</f>
      </c>
    </row>
    <row r="6022">
      <c r="A6022" t="s">
        <v>167</v>
      </c>
      <c r="B6022" t="s">
        <v>116</v>
      </c>
      <c r="C6022" s="35" t="s">
        <v>422</v>
      </c>
      <c r="D6022" t="s">
        <v>502</v>
      </c>
      <c r="E6022" t="s">
        <v>520</v>
      </c>
      <c r="F6022" s="188" t="n">
        <v>2045</v>
      </c>
      <c r="G6022" s="189" t="n">
        <v>50</v>
      </c>
      <c r="H6022" s="190" t="n">
        <v>9032.98246295146</v>
      </c>
      <c r="I6022" s="191" t="n">
        <v>4254889.48034726</v>
      </c>
      <c r="J6022" s="192" t="str">
        <f>IF(I6022&gt;0,H6022/I6022,0)</f>
      </c>
      <c r="K6022" s="193" t="str">
        <f>1-EXP(-J6022)</f>
      </c>
      <c r="L6022" s="194" t="str">
        <f>IF(G6022=30,1,M6021)</f>
      </c>
      <c r="M6022" s="195" t="str">
        <f>L6022*(1-K6022)</f>
      </c>
    </row>
    <row r="6023">
      <c r="A6023" t="s">
        <v>167</v>
      </c>
      <c r="B6023" t="s">
        <v>116</v>
      </c>
      <c r="C6023" s="35" t="s">
        <v>422</v>
      </c>
      <c r="D6023" t="s">
        <v>502</v>
      </c>
      <c r="E6023" t="s">
        <v>520</v>
      </c>
      <c r="F6023" s="188" t="n">
        <v>2045</v>
      </c>
      <c r="G6023" s="189" t="n">
        <v>51</v>
      </c>
      <c r="H6023" s="190" t="n">
        <v>9698.50808969741</v>
      </c>
      <c r="I6023" s="191" t="n">
        <v>4184505.6915244</v>
      </c>
      <c r="J6023" s="192" t="str">
        <f>IF(I6023&gt;0,H6023/I6023,0)</f>
      </c>
      <c r="K6023" s="193" t="str">
        <f>1-EXP(-J6023)</f>
      </c>
      <c r="L6023" s="194" t="str">
        <f>IF(G6023=30,1,M6022)</f>
      </c>
      <c r="M6023" s="195" t="str">
        <f>L6023*(1-K6023)</f>
      </c>
    </row>
    <row r="6024">
      <c r="A6024" t="s">
        <v>167</v>
      </c>
      <c r="B6024" t="s">
        <v>116</v>
      </c>
      <c r="C6024" s="35" t="s">
        <v>422</v>
      </c>
      <c r="D6024" t="s">
        <v>502</v>
      </c>
      <c r="E6024" t="s">
        <v>520</v>
      </c>
      <c r="F6024" s="188" t="n">
        <v>2045</v>
      </c>
      <c r="G6024" s="189" t="n">
        <v>52</v>
      </c>
      <c r="H6024" s="190" t="n">
        <v>10458.7218278931</v>
      </c>
      <c r="I6024" s="191" t="n">
        <v>4117007.90076006</v>
      </c>
      <c r="J6024" s="192" t="str">
        <f>IF(I6024&gt;0,H6024/I6024,0)</f>
      </c>
      <c r="K6024" s="193" t="str">
        <f>1-EXP(-J6024)</f>
      </c>
      <c r="L6024" s="194" t="str">
        <f>IF(G6024=30,1,M6023)</f>
      </c>
      <c r="M6024" s="195" t="str">
        <f>L6024*(1-K6024)</f>
      </c>
    </row>
    <row r="6025">
      <c r="A6025" t="s">
        <v>167</v>
      </c>
      <c r="B6025" t="s">
        <v>116</v>
      </c>
      <c r="C6025" s="35" t="s">
        <v>422</v>
      </c>
      <c r="D6025" t="s">
        <v>502</v>
      </c>
      <c r="E6025" t="s">
        <v>520</v>
      </c>
      <c r="F6025" s="188" t="n">
        <v>2045</v>
      </c>
      <c r="G6025" s="189" t="n">
        <v>53</v>
      </c>
      <c r="H6025" s="190" t="n">
        <v>11472.9897624073</v>
      </c>
      <c r="I6025" s="191" t="n">
        <v>4135158.26328078</v>
      </c>
      <c r="J6025" s="192" t="str">
        <f>IF(I6025&gt;0,H6025/I6025,0)</f>
      </c>
      <c r="K6025" s="193" t="str">
        <f>1-EXP(-J6025)</f>
      </c>
      <c r="L6025" s="194" t="str">
        <f>IF(G6025=30,1,M6024)</f>
      </c>
      <c r="M6025" s="195" t="str">
        <f>L6025*(1-K6025)</f>
      </c>
    </row>
    <row r="6026">
      <c r="A6026" t="s">
        <v>167</v>
      </c>
      <c r="B6026" t="s">
        <v>116</v>
      </c>
      <c r="C6026" s="35" t="s">
        <v>422</v>
      </c>
      <c r="D6026" t="s">
        <v>502</v>
      </c>
      <c r="E6026" t="s">
        <v>520</v>
      </c>
      <c r="F6026" s="188" t="n">
        <v>2045</v>
      </c>
      <c r="G6026" s="189" t="n">
        <v>54</v>
      </c>
      <c r="H6026" s="190" t="n">
        <v>12520.5005112382</v>
      </c>
      <c r="I6026" s="191" t="n">
        <v>4132437.28759783</v>
      </c>
      <c r="J6026" s="192" t="str">
        <f>IF(I6026&gt;0,H6026/I6026,0)</f>
      </c>
      <c r="K6026" s="193" t="str">
        <f>1-EXP(-J6026)</f>
      </c>
      <c r="L6026" s="194" t="str">
        <f>IF(G6026=30,1,M6025)</f>
      </c>
      <c r="M6026" s="195" t="str">
        <f>L6026*(1-K6026)</f>
      </c>
    </row>
    <row r="6027">
      <c r="A6027" t="s">
        <v>167</v>
      </c>
      <c r="B6027" t="s">
        <v>116</v>
      </c>
      <c r="C6027" s="35" t="s">
        <v>422</v>
      </c>
      <c r="D6027" t="s">
        <v>502</v>
      </c>
      <c r="E6027" t="s">
        <v>520</v>
      </c>
      <c r="F6027" s="188" t="n">
        <v>2045</v>
      </c>
      <c r="G6027" s="189" t="n">
        <v>55</v>
      </c>
      <c r="H6027" s="190" t="n">
        <v>18034.4583905983</v>
      </c>
      <c r="I6027" s="191" t="n">
        <v>6076178.37970548</v>
      </c>
      <c r="J6027" s="192" t="str">
        <f>IF(I6027&gt;0,H6027/I6027,0)</f>
      </c>
      <c r="K6027" s="193" t="str">
        <f>1-EXP(-J6027)</f>
      </c>
      <c r="L6027" s="194" t="str">
        <f>IF(G6027=30,1,M6026)</f>
      </c>
      <c r="M6027" s="195" t="str">
        <f>L6027*(1-K6027)</f>
      </c>
    </row>
    <row r="6028">
      <c r="A6028" t="s">
        <v>167</v>
      </c>
      <c r="B6028" t="s">
        <v>116</v>
      </c>
      <c r="C6028" s="35" t="s">
        <v>422</v>
      </c>
      <c r="D6028" t="s">
        <v>502</v>
      </c>
      <c r="E6028" t="s">
        <v>520</v>
      </c>
      <c r="F6028" s="188" t="n">
        <v>2045</v>
      </c>
      <c r="G6028" s="189" t="n">
        <v>56</v>
      </c>
      <c r="H6028" s="190" t="n">
        <v>14268.3267274504</v>
      </c>
      <c r="I6028" s="191" t="n">
        <v>4048317.66286405</v>
      </c>
      <c r="J6028" s="192" t="str">
        <f>IF(I6028&gt;0,H6028/I6028,0)</f>
      </c>
      <c r="K6028" s="193" t="str">
        <f>1-EXP(-J6028)</f>
      </c>
      <c r="L6028" s="194" t="str">
        <f>IF(G6028=30,1,M6027)</f>
      </c>
      <c r="M6028" s="195" t="str">
        <f>L6028*(1-K6028)</f>
      </c>
    </row>
    <row r="6029">
      <c r="A6029" t="s">
        <v>167</v>
      </c>
      <c r="B6029" t="s">
        <v>116</v>
      </c>
      <c r="C6029" s="35" t="s">
        <v>422</v>
      </c>
      <c r="D6029" t="s">
        <v>502</v>
      </c>
      <c r="E6029" t="s">
        <v>520</v>
      </c>
      <c r="F6029" s="188" t="n">
        <v>2045</v>
      </c>
      <c r="G6029" s="189" t="n">
        <v>57</v>
      </c>
      <c r="H6029" s="190" t="n">
        <v>15437.9129032693</v>
      </c>
      <c r="I6029" s="191" t="n">
        <v>4007318.36308764</v>
      </c>
      <c r="J6029" s="192" t="str">
        <f>IF(I6029&gt;0,H6029/I6029,0)</f>
      </c>
      <c r="K6029" s="193" t="str">
        <f>1-EXP(-J6029)</f>
      </c>
      <c r="L6029" s="194" t="str">
        <f>IF(G6029=30,1,M6028)</f>
      </c>
      <c r="M6029" s="195" t="str">
        <f>L6029*(1-K6029)</f>
      </c>
    </row>
    <row r="6030">
      <c r="A6030" t="s">
        <v>167</v>
      </c>
      <c r="B6030" t="s">
        <v>116</v>
      </c>
      <c r="C6030" s="35" t="s">
        <v>422</v>
      </c>
      <c r="D6030" t="s">
        <v>502</v>
      </c>
      <c r="E6030" t="s">
        <v>520</v>
      </c>
      <c r="F6030" s="188" t="n">
        <v>2045</v>
      </c>
      <c r="G6030" s="189" t="n">
        <v>58</v>
      </c>
      <c r="H6030" s="190" t="n">
        <v>16277.7361389579</v>
      </c>
      <c r="I6030" s="191" t="n">
        <v>3857647.59787132</v>
      </c>
      <c r="J6030" s="192" t="str">
        <f>IF(I6030&gt;0,H6030/I6030,0)</f>
      </c>
      <c r="K6030" s="193" t="str">
        <f>1-EXP(-J6030)</f>
      </c>
      <c r="L6030" s="194" t="str">
        <f>IF(G6030=30,1,M6029)</f>
      </c>
      <c r="M6030" s="195" t="str">
        <f>L6030*(1-K6030)</f>
      </c>
    </row>
    <row r="6031">
      <c r="A6031" t="s">
        <v>167</v>
      </c>
      <c r="B6031" t="s">
        <v>116</v>
      </c>
      <c r="C6031" s="35" t="s">
        <v>422</v>
      </c>
      <c r="D6031" t="s">
        <v>502</v>
      </c>
      <c r="E6031" t="s">
        <v>520</v>
      </c>
      <c r="F6031" s="188" t="n">
        <v>2045</v>
      </c>
      <c r="G6031" s="189" t="n">
        <v>59</v>
      </c>
      <c r="H6031" s="190" t="n">
        <v>17566.6219746276</v>
      </c>
      <c r="I6031" s="191" t="n">
        <v>3796766.87011479</v>
      </c>
      <c r="J6031" s="192" t="str">
        <f>IF(I6031&gt;0,H6031/I6031,0)</f>
      </c>
      <c r="K6031" s="193" t="str">
        <f>1-EXP(-J6031)</f>
      </c>
      <c r="L6031" s="194" t="str">
        <f>IF(G6031=30,1,M6030)</f>
      </c>
      <c r="M6031" s="195" t="str">
        <f>L6031*(1-K6031)</f>
      </c>
    </row>
    <row r="6032">
      <c r="A6032" t="s">
        <v>167</v>
      </c>
      <c r="B6032" t="s">
        <v>116</v>
      </c>
      <c r="C6032" s="35" t="s">
        <v>422</v>
      </c>
      <c r="D6032" t="s">
        <v>502</v>
      </c>
      <c r="E6032" t="s">
        <v>520</v>
      </c>
      <c r="F6032" s="188" t="n">
        <v>2045</v>
      </c>
      <c r="G6032" s="189" t="n">
        <v>60</v>
      </c>
      <c r="H6032" s="190" t="n">
        <v>19139.8792810894</v>
      </c>
      <c r="I6032" s="191" t="n">
        <v>3818579.23137205</v>
      </c>
      <c r="J6032" s="192" t="str">
        <f>IF(I6032&gt;0,H6032/I6032,0)</f>
      </c>
      <c r="K6032" s="193" t="str">
        <f>1-EXP(-J6032)</f>
      </c>
      <c r="L6032" s="194" t="str">
        <f>IF(G6032=30,1,M6031)</f>
      </c>
      <c r="M6032" s="195" t="str">
        <f>L6032*(1-K6032)</f>
      </c>
    </row>
    <row r="6033">
      <c r="A6033" t="s">
        <v>167</v>
      </c>
      <c r="B6033" t="s">
        <v>116</v>
      </c>
      <c r="C6033" s="35" t="s">
        <v>422</v>
      </c>
      <c r="D6033" t="s">
        <v>502</v>
      </c>
      <c r="E6033" t="s">
        <v>520</v>
      </c>
      <c r="F6033" s="188" t="n">
        <v>2045</v>
      </c>
      <c r="G6033" s="189" t="n">
        <v>61</v>
      </c>
      <c r="H6033" s="190" t="n">
        <v>21278.8844098797</v>
      </c>
      <c r="I6033" s="191" t="n">
        <v>3859026.18676551</v>
      </c>
      <c r="J6033" s="192" t="str">
        <f>IF(I6033&gt;0,H6033/I6033,0)</f>
      </c>
      <c r="K6033" s="193" t="str">
        <f>1-EXP(-J6033)</f>
      </c>
      <c r="L6033" s="194" t="str">
        <f>IF(G6033=30,1,M6032)</f>
      </c>
      <c r="M6033" s="195" t="str">
        <f>L6033*(1-K6033)</f>
      </c>
    </row>
    <row r="6034">
      <c r="A6034" t="s">
        <v>167</v>
      </c>
      <c r="B6034" t="s">
        <v>116</v>
      </c>
      <c r="C6034" s="35" t="s">
        <v>422</v>
      </c>
      <c r="D6034" t="s">
        <v>502</v>
      </c>
      <c r="E6034" t="s">
        <v>520</v>
      </c>
      <c r="F6034" s="188" t="n">
        <v>2045</v>
      </c>
      <c r="G6034" s="189" t="n">
        <v>62</v>
      </c>
      <c r="H6034" s="190" t="n">
        <v>23015.003715898</v>
      </c>
      <c r="I6034" s="191" t="n">
        <v>3798067.68707117</v>
      </c>
      <c r="J6034" s="192" t="str">
        <f>IF(I6034&gt;0,H6034/I6034,0)</f>
      </c>
      <c r="K6034" s="193" t="str">
        <f>1-EXP(-J6034)</f>
      </c>
      <c r="L6034" s="194" t="str">
        <f>IF(G6034=30,1,M6033)</f>
      </c>
      <c r="M6034" s="195" t="str">
        <f>L6034*(1-K6034)</f>
      </c>
    </row>
    <row r="6035">
      <c r="A6035" t="s">
        <v>167</v>
      </c>
      <c r="B6035" t="s">
        <v>116</v>
      </c>
      <c r="C6035" s="35" t="s">
        <v>422</v>
      </c>
      <c r="D6035" t="s">
        <v>502</v>
      </c>
      <c r="E6035" t="s">
        <v>520</v>
      </c>
      <c r="F6035" s="188" t="n">
        <v>2045</v>
      </c>
      <c r="G6035" s="189" t="n">
        <v>63</v>
      </c>
      <c r="H6035" s="190" t="n">
        <v>24229.9285511388</v>
      </c>
      <c r="I6035" s="191" t="n">
        <v>3634987.39901127</v>
      </c>
      <c r="J6035" s="192" t="str">
        <f>IF(I6035&gt;0,H6035/I6035,0)</f>
      </c>
      <c r="K6035" s="193" t="str">
        <f>1-EXP(-J6035)</f>
      </c>
      <c r="L6035" s="194" t="str">
        <f>IF(G6035=30,1,M6034)</f>
      </c>
      <c r="M6035" s="195" t="str">
        <f>L6035*(1-K6035)</f>
      </c>
    </row>
    <row r="6036">
      <c r="A6036" t="s">
        <v>167</v>
      </c>
      <c r="B6036" t="s">
        <v>116</v>
      </c>
      <c r="C6036" s="35" t="s">
        <v>422</v>
      </c>
      <c r="D6036" t="s">
        <v>502</v>
      </c>
      <c r="E6036" t="s">
        <v>520</v>
      </c>
      <c r="F6036" s="188" t="n">
        <v>2045</v>
      </c>
      <c r="G6036" s="189" t="n">
        <v>64</v>
      </c>
      <c r="H6036" s="190" t="n">
        <v>25820.6997361853</v>
      </c>
      <c r="I6036" s="191" t="n">
        <v>3525617.65112996</v>
      </c>
      <c r="J6036" s="192" t="str">
        <f>IF(I6036&gt;0,H6036/I6036,0)</f>
      </c>
      <c r="K6036" s="193" t="str">
        <f>1-EXP(-J6036)</f>
      </c>
      <c r="L6036" s="194" t="str">
        <f>IF(G6036=30,1,M6035)</f>
      </c>
      <c r="M6036" s="195" t="str">
        <f>L6036*(1-K6036)</f>
      </c>
    </row>
    <row r="6037">
      <c r="A6037" t="s">
        <v>167</v>
      </c>
      <c r="B6037" t="s">
        <v>116</v>
      </c>
      <c r="C6037" s="35" t="s">
        <v>422</v>
      </c>
      <c r="D6037" t="s">
        <v>502</v>
      </c>
      <c r="E6037" t="s">
        <v>520</v>
      </c>
      <c r="F6037" s="188" t="n">
        <v>2045</v>
      </c>
      <c r="G6037" s="189" t="n">
        <v>65</v>
      </c>
      <c r="H6037" s="190" t="n">
        <v>26289.8828522412</v>
      </c>
      <c r="I6037" s="191" t="n">
        <v>3427706.63126682</v>
      </c>
      <c r="J6037" s="192" t="str">
        <f>IF(I6037&gt;0,H6037/I6037,0)</f>
      </c>
      <c r="K6037" s="193" t="str">
        <f>1-EXP(-J6037)</f>
      </c>
      <c r="L6037" s="194" t="str">
        <f>IF(G6037=30,1,M6036)</f>
      </c>
      <c r="M6037" s="195" t="str">
        <f>L6037*(1-K6037)</f>
      </c>
    </row>
    <row r="6038">
      <c r="A6038" t="s">
        <v>167</v>
      </c>
      <c r="B6038" t="s">
        <v>116</v>
      </c>
      <c r="C6038" s="35" t="s">
        <v>422</v>
      </c>
      <c r="D6038" t="s">
        <v>502</v>
      </c>
      <c r="E6038" t="s">
        <v>520</v>
      </c>
      <c r="F6038" s="188" t="n">
        <v>2045</v>
      </c>
      <c r="G6038" s="189" t="n">
        <v>66</v>
      </c>
      <c r="H6038" s="190" t="n">
        <v>27922.1720566352</v>
      </c>
      <c r="I6038" s="191" t="n">
        <v>3323297.25211645</v>
      </c>
      <c r="J6038" s="192" t="str">
        <f>IF(I6038&gt;0,H6038/I6038,0)</f>
      </c>
      <c r="K6038" s="193" t="str">
        <f>1-EXP(-J6038)</f>
      </c>
      <c r="L6038" s="194" t="str">
        <f>IF(G6038=30,1,M6037)</f>
      </c>
      <c r="M6038" s="195" t="str">
        <f>L6038*(1-K6038)</f>
      </c>
    </row>
    <row r="6039">
      <c r="A6039" t="s">
        <v>167</v>
      </c>
      <c r="B6039" t="s">
        <v>116</v>
      </c>
      <c r="C6039" s="35" t="s">
        <v>422</v>
      </c>
      <c r="D6039" t="s">
        <v>502</v>
      </c>
      <c r="E6039" t="s">
        <v>520</v>
      </c>
      <c r="F6039" s="188" t="n">
        <v>2045</v>
      </c>
      <c r="G6039" s="189" t="n">
        <v>67</v>
      </c>
      <c r="H6039" s="190" t="n">
        <v>29559.2729191627</v>
      </c>
      <c r="I6039" s="191" t="n">
        <v>3199717.99580562</v>
      </c>
      <c r="J6039" s="192" t="str">
        <f>IF(I6039&gt;0,H6039/I6039,0)</f>
      </c>
      <c r="K6039" s="193" t="str">
        <f>1-EXP(-J6039)</f>
      </c>
      <c r="L6039" s="194" t="str">
        <f>IF(G6039=30,1,M6038)</f>
      </c>
      <c r="M6039" s="195" t="str">
        <f>L6039*(1-K6039)</f>
      </c>
    </row>
    <row r="6040">
      <c r="A6040" t="s">
        <v>167</v>
      </c>
      <c r="B6040" t="s">
        <v>116</v>
      </c>
      <c r="C6040" s="35" t="s">
        <v>422</v>
      </c>
      <c r="D6040" t="s">
        <v>502</v>
      </c>
      <c r="E6040" t="s">
        <v>520</v>
      </c>
      <c r="F6040" s="188" t="n">
        <v>2045</v>
      </c>
      <c r="G6040" s="189" t="n">
        <v>68</v>
      </c>
      <c r="H6040" s="190" t="n">
        <v>31411.5361935511</v>
      </c>
      <c r="I6040" s="191" t="n">
        <v>3087359.95246065</v>
      </c>
      <c r="J6040" s="192" t="str">
        <f>IF(I6040&gt;0,H6040/I6040,0)</f>
      </c>
      <c r="K6040" s="193" t="str">
        <f>1-EXP(-J6040)</f>
      </c>
      <c r="L6040" s="194" t="str">
        <f>IF(G6040=30,1,M6039)</f>
      </c>
      <c r="M6040" s="195" t="str">
        <f>L6040*(1-K6040)</f>
      </c>
    </row>
    <row r="6041">
      <c r="A6041" t="s">
        <v>167</v>
      </c>
      <c r="B6041" t="s">
        <v>116</v>
      </c>
      <c r="C6041" s="35" t="s">
        <v>422</v>
      </c>
      <c r="D6041" t="s">
        <v>502</v>
      </c>
      <c r="E6041" t="s">
        <v>520</v>
      </c>
      <c r="F6041" s="188" t="n">
        <v>2045</v>
      </c>
      <c r="G6041" s="189" t="n">
        <v>69</v>
      </c>
      <c r="H6041" s="190" t="n">
        <v>33207.4588404885</v>
      </c>
      <c r="I6041" s="191" t="n">
        <v>2963809.1907186</v>
      </c>
      <c r="J6041" s="192" t="str">
        <f>IF(I6041&gt;0,H6041/I6041,0)</f>
      </c>
      <c r="K6041" s="193" t="str">
        <f>1-EXP(-J6041)</f>
      </c>
      <c r="L6041" s="194" t="str">
        <f>IF(G6041=30,1,M6040)</f>
      </c>
      <c r="M6041" s="195" t="str">
        <f>L6041*(1-K6041)</f>
      </c>
    </row>
    <row r="6042">
      <c r="A6042" t="s">
        <v>167</v>
      </c>
      <c r="B6042" t="s">
        <v>116</v>
      </c>
      <c r="C6042" s="35" t="s">
        <v>422</v>
      </c>
      <c r="D6042" t="s">
        <v>502</v>
      </c>
      <c r="E6042" t="s">
        <v>520</v>
      </c>
      <c r="F6042" s="188" t="n">
        <v>2046</v>
      </c>
      <c r="G6042" s="189" t="n">
        <v>30</v>
      </c>
      <c r="H6042" s="190" t="n">
        <v>632.642855045865</v>
      </c>
      <c r="I6042" s="191" t="n">
        <v>4588482.00296703</v>
      </c>
      <c r="J6042" s="192" t="str">
        <f>IF(I6042&gt;0,H6042/I6042,0)</f>
      </c>
      <c r="K6042" s="193" t="str">
        <f>1-EXP(-J6042)</f>
      </c>
      <c r="L6042" s="194" t="str">
        <f>IF(G6042=30,1,M6041)</f>
      </c>
      <c r="M6042" s="195" t="str">
        <f>L6042*(1-K6042)</f>
      </c>
    </row>
    <row r="6043">
      <c r="A6043" t="s">
        <v>167</v>
      </c>
      <c r="B6043" t="s">
        <v>116</v>
      </c>
      <c r="C6043" s="35" t="s">
        <v>422</v>
      </c>
      <c r="D6043" t="s">
        <v>502</v>
      </c>
      <c r="E6043" t="s">
        <v>520</v>
      </c>
      <c r="F6043" s="188" t="n">
        <v>2046</v>
      </c>
      <c r="G6043" s="189" t="n">
        <v>31</v>
      </c>
      <c r="H6043" s="190" t="n">
        <v>892.124049736316</v>
      </c>
      <c r="I6043" s="191" t="n">
        <v>4637358.42516731</v>
      </c>
      <c r="J6043" s="192" t="str">
        <f>IF(I6043&gt;0,H6043/I6043,0)</f>
      </c>
      <c r="K6043" s="193" t="str">
        <f>1-EXP(-J6043)</f>
      </c>
      <c r="L6043" s="194" t="str">
        <f>IF(G6043=30,1,M6042)</f>
      </c>
      <c r="M6043" s="195" t="str">
        <f>L6043*(1-K6043)</f>
      </c>
    </row>
    <row r="6044">
      <c r="A6044" t="s">
        <v>167</v>
      </c>
      <c r="B6044" t="s">
        <v>116</v>
      </c>
      <c r="C6044" s="35" t="s">
        <v>422</v>
      </c>
      <c r="D6044" t="s">
        <v>502</v>
      </c>
      <c r="E6044" t="s">
        <v>520</v>
      </c>
      <c r="F6044" s="188" t="n">
        <v>2046</v>
      </c>
      <c r="G6044" s="189" t="n">
        <v>32</v>
      </c>
      <c r="H6044" s="190" t="n">
        <v>954.949197828737</v>
      </c>
      <c r="I6044" s="191" t="n">
        <v>4703962.991554</v>
      </c>
      <c r="J6044" s="192" t="str">
        <f>IF(I6044&gt;0,H6044/I6044,0)</f>
      </c>
      <c r="K6044" s="193" t="str">
        <f>1-EXP(-J6044)</f>
      </c>
      <c r="L6044" s="194" t="str">
        <f>IF(G6044=30,1,M6043)</f>
      </c>
      <c r="M6044" s="195" t="str">
        <f>L6044*(1-K6044)</f>
      </c>
    </row>
    <row r="6045">
      <c r="A6045" t="s">
        <v>167</v>
      </c>
      <c r="B6045" t="s">
        <v>116</v>
      </c>
      <c r="C6045" s="35" t="s">
        <v>422</v>
      </c>
      <c r="D6045" t="s">
        <v>502</v>
      </c>
      <c r="E6045" t="s">
        <v>520</v>
      </c>
      <c r="F6045" s="188" t="n">
        <v>2046</v>
      </c>
      <c r="G6045" s="189" t="n">
        <v>33</v>
      </c>
      <c r="H6045" s="190" t="n">
        <v>1027.82941296708</v>
      </c>
      <c r="I6045" s="191" t="n">
        <v>4771927.60368429</v>
      </c>
      <c r="J6045" s="192" t="str">
        <f>IF(I6045&gt;0,H6045/I6045,0)</f>
      </c>
      <c r="K6045" s="193" t="str">
        <f>1-EXP(-J6045)</f>
      </c>
      <c r="L6045" s="194" t="str">
        <f>IF(G6045=30,1,M6044)</f>
      </c>
      <c r="M6045" s="195" t="str">
        <f>L6045*(1-K6045)</f>
      </c>
    </row>
    <row r="6046">
      <c r="A6046" t="s">
        <v>167</v>
      </c>
      <c r="B6046" t="s">
        <v>116</v>
      </c>
      <c r="C6046" s="35" t="s">
        <v>422</v>
      </c>
      <c r="D6046" t="s">
        <v>502</v>
      </c>
      <c r="E6046" t="s">
        <v>520</v>
      </c>
      <c r="F6046" s="188" t="n">
        <v>2046</v>
      </c>
      <c r="G6046" s="189" t="n">
        <v>34</v>
      </c>
      <c r="H6046" s="190" t="n">
        <v>1164.33687847345</v>
      </c>
      <c r="I6046" s="191" t="n">
        <v>4884137.72526193</v>
      </c>
      <c r="J6046" s="192" t="str">
        <f>IF(I6046&gt;0,H6046/I6046,0)</f>
      </c>
      <c r="K6046" s="193" t="str">
        <f>1-EXP(-J6046)</f>
      </c>
      <c r="L6046" s="194" t="str">
        <f>IF(G6046=30,1,M6045)</f>
      </c>
      <c r="M6046" s="195" t="str">
        <f>L6046*(1-K6046)</f>
      </c>
    </row>
    <row r="6047">
      <c r="A6047" t="s">
        <v>167</v>
      </c>
      <c r="B6047" t="s">
        <v>116</v>
      </c>
      <c r="C6047" s="35" t="s">
        <v>422</v>
      </c>
      <c r="D6047" t="s">
        <v>502</v>
      </c>
      <c r="E6047" t="s">
        <v>520</v>
      </c>
      <c r="F6047" s="188" t="n">
        <v>2046</v>
      </c>
      <c r="G6047" s="189" t="n">
        <v>35</v>
      </c>
      <c r="H6047" s="190" t="n">
        <v>1515.98885456996</v>
      </c>
      <c r="I6047" s="191" t="n">
        <v>4855505.91901785</v>
      </c>
      <c r="J6047" s="192" t="str">
        <f>IF(I6047&gt;0,H6047/I6047,0)</f>
      </c>
      <c r="K6047" s="193" t="str">
        <f>1-EXP(-J6047)</f>
      </c>
      <c r="L6047" s="194" t="str">
        <f>IF(G6047=30,1,M6046)</f>
      </c>
      <c r="M6047" s="195" t="str">
        <f>L6047*(1-K6047)</f>
      </c>
    </row>
    <row r="6048">
      <c r="A6048" t="s">
        <v>167</v>
      </c>
      <c r="B6048" t="s">
        <v>116</v>
      </c>
      <c r="C6048" s="35" t="s">
        <v>422</v>
      </c>
      <c r="D6048" t="s">
        <v>502</v>
      </c>
      <c r="E6048" t="s">
        <v>520</v>
      </c>
      <c r="F6048" s="188" t="n">
        <v>2046</v>
      </c>
      <c r="G6048" s="189" t="n">
        <v>36</v>
      </c>
      <c r="H6048" s="190" t="n">
        <v>1723.76539289915</v>
      </c>
      <c r="I6048" s="191" t="n">
        <v>4721052.36771945</v>
      </c>
      <c r="J6048" s="192" t="str">
        <f>IF(I6048&gt;0,H6048/I6048,0)</f>
      </c>
      <c r="K6048" s="193" t="str">
        <f>1-EXP(-J6048)</f>
      </c>
      <c r="L6048" s="194" t="str">
        <f>IF(G6048=30,1,M6047)</f>
      </c>
      <c r="M6048" s="195" t="str">
        <f>L6048*(1-K6048)</f>
      </c>
    </row>
    <row r="6049">
      <c r="A6049" t="s">
        <v>167</v>
      </c>
      <c r="B6049" t="s">
        <v>116</v>
      </c>
      <c r="C6049" s="35" t="s">
        <v>422</v>
      </c>
      <c r="D6049" t="s">
        <v>502</v>
      </c>
      <c r="E6049" t="s">
        <v>520</v>
      </c>
      <c r="F6049" s="188" t="n">
        <v>2046</v>
      </c>
      <c r="G6049" s="189" t="n">
        <v>37</v>
      </c>
      <c r="H6049" s="190" t="n">
        <v>1827.40613423174</v>
      </c>
      <c r="I6049" s="191" t="n">
        <v>4649291.59181949</v>
      </c>
      <c r="J6049" s="192" t="str">
        <f>IF(I6049&gt;0,H6049/I6049,0)</f>
      </c>
      <c r="K6049" s="193" t="str">
        <f>1-EXP(-J6049)</f>
      </c>
      <c r="L6049" s="194" t="str">
        <f>IF(G6049=30,1,M6048)</f>
      </c>
      <c r="M6049" s="195" t="str">
        <f>L6049*(1-K6049)</f>
      </c>
    </row>
    <row r="6050">
      <c r="A6050" t="s">
        <v>167</v>
      </c>
      <c r="B6050" t="s">
        <v>116</v>
      </c>
      <c r="C6050" s="35" t="s">
        <v>422</v>
      </c>
      <c r="D6050" t="s">
        <v>502</v>
      </c>
      <c r="E6050" t="s">
        <v>520</v>
      </c>
      <c r="F6050" s="188" t="n">
        <v>2046</v>
      </c>
      <c r="G6050" s="189" t="n">
        <v>38</v>
      </c>
      <c r="H6050" s="190" t="n">
        <v>1955.70707658614</v>
      </c>
      <c r="I6050" s="191" t="n">
        <v>4605153.04514676</v>
      </c>
      <c r="J6050" s="192" t="str">
        <f>IF(I6050&gt;0,H6050/I6050,0)</f>
      </c>
      <c r="K6050" s="193" t="str">
        <f>1-EXP(-J6050)</f>
      </c>
      <c r="L6050" s="194" t="str">
        <f>IF(G6050=30,1,M6049)</f>
      </c>
      <c r="M6050" s="195" t="str">
        <f>L6050*(1-K6050)</f>
      </c>
    </row>
    <row r="6051">
      <c r="A6051" t="s">
        <v>167</v>
      </c>
      <c r="B6051" t="s">
        <v>116</v>
      </c>
      <c r="C6051" s="35" t="s">
        <v>422</v>
      </c>
      <c r="D6051" t="s">
        <v>502</v>
      </c>
      <c r="E6051" t="s">
        <v>520</v>
      </c>
      <c r="F6051" s="188" t="n">
        <v>2046</v>
      </c>
      <c r="G6051" s="189" t="n">
        <v>39</v>
      </c>
      <c r="H6051" s="190" t="n">
        <v>2188.59396384121</v>
      </c>
      <c r="I6051" s="191" t="n">
        <v>4628413.66413991</v>
      </c>
      <c r="J6051" s="192" t="str">
        <f>IF(I6051&gt;0,H6051/I6051,0)</f>
      </c>
      <c r="K6051" s="193" t="str">
        <f>1-EXP(-J6051)</f>
      </c>
      <c r="L6051" s="194" t="str">
        <f>IF(G6051=30,1,M6050)</f>
      </c>
      <c r="M6051" s="195" t="str">
        <f>L6051*(1-K6051)</f>
      </c>
    </row>
    <row r="6052">
      <c r="A6052" t="s">
        <v>167</v>
      </c>
      <c r="B6052" t="s">
        <v>116</v>
      </c>
      <c r="C6052" s="35" t="s">
        <v>422</v>
      </c>
      <c r="D6052" t="s">
        <v>502</v>
      </c>
      <c r="E6052" t="s">
        <v>520</v>
      </c>
      <c r="F6052" s="188" t="n">
        <v>2046</v>
      </c>
      <c r="G6052" s="189" t="n">
        <v>40</v>
      </c>
      <c r="H6052" s="190" t="n">
        <v>2889.86639838179</v>
      </c>
      <c r="I6052" s="191" t="n">
        <v>4543411.44806201</v>
      </c>
      <c r="J6052" s="192" t="str">
        <f>IF(I6052&gt;0,H6052/I6052,0)</f>
      </c>
      <c r="K6052" s="193" t="str">
        <f>1-EXP(-J6052)</f>
      </c>
      <c r="L6052" s="194" t="str">
        <f>IF(G6052=30,1,M6051)</f>
      </c>
      <c r="M6052" s="195" t="str">
        <f>L6052*(1-K6052)</f>
      </c>
    </row>
    <row r="6053">
      <c r="A6053" t="s">
        <v>167</v>
      </c>
      <c r="B6053" t="s">
        <v>116</v>
      </c>
      <c r="C6053" s="35" t="s">
        <v>422</v>
      </c>
      <c r="D6053" t="s">
        <v>502</v>
      </c>
      <c r="E6053" t="s">
        <v>520</v>
      </c>
      <c r="F6053" s="188" t="n">
        <v>2046</v>
      </c>
      <c r="G6053" s="189" t="n">
        <v>41</v>
      </c>
      <c r="H6053" s="190" t="n">
        <v>3161.98799543745</v>
      </c>
      <c r="I6053" s="191" t="n">
        <v>4479085.05231481</v>
      </c>
      <c r="J6053" s="192" t="str">
        <f>IF(I6053&gt;0,H6053/I6053,0)</f>
      </c>
      <c r="K6053" s="193" t="str">
        <f>1-EXP(-J6053)</f>
      </c>
      <c r="L6053" s="194" t="str">
        <f>IF(G6053=30,1,M6052)</f>
      </c>
      <c r="M6053" s="195" t="str">
        <f>L6053*(1-K6053)</f>
      </c>
    </row>
    <row r="6054">
      <c r="A6054" t="s">
        <v>167</v>
      </c>
      <c r="B6054" t="s">
        <v>116</v>
      </c>
      <c r="C6054" s="35" t="s">
        <v>422</v>
      </c>
      <c r="D6054" t="s">
        <v>502</v>
      </c>
      <c r="E6054" t="s">
        <v>520</v>
      </c>
      <c r="F6054" s="188" t="n">
        <v>2046</v>
      </c>
      <c r="G6054" s="189" t="n">
        <v>42</v>
      </c>
      <c r="H6054" s="190" t="n">
        <v>3340.07760813363</v>
      </c>
      <c r="I6054" s="191" t="n">
        <v>4348203.30257167</v>
      </c>
      <c r="J6054" s="192" t="str">
        <f>IF(I6054&gt;0,H6054/I6054,0)</f>
      </c>
      <c r="K6054" s="193" t="str">
        <f>1-EXP(-J6054)</f>
      </c>
      <c r="L6054" s="194" t="str">
        <f>IF(G6054=30,1,M6053)</f>
      </c>
      <c r="M6054" s="195" t="str">
        <f>L6054*(1-K6054)</f>
      </c>
    </row>
    <row r="6055">
      <c r="A6055" t="s">
        <v>167</v>
      </c>
      <c r="B6055" t="s">
        <v>116</v>
      </c>
      <c r="C6055" s="35" t="s">
        <v>422</v>
      </c>
      <c r="D6055" t="s">
        <v>502</v>
      </c>
      <c r="E6055" t="s">
        <v>520</v>
      </c>
      <c r="F6055" s="188" t="n">
        <v>2046</v>
      </c>
      <c r="G6055" s="189" t="n">
        <v>43</v>
      </c>
      <c r="H6055" s="190" t="n">
        <v>3584.83645706185</v>
      </c>
      <c r="I6055" s="191" t="n">
        <v>4279073.14753192</v>
      </c>
      <c r="J6055" s="192" t="str">
        <f>IF(I6055&gt;0,H6055/I6055,0)</f>
      </c>
      <c r="K6055" s="193" t="str">
        <f>1-EXP(-J6055)</f>
      </c>
      <c r="L6055" s="194" t="str">
        <f>IF(G6055=30,1,M6054)</f>
      </c>
      <c r="M6055" s="195" t="str">
        <f>L6055*(1-K6055)</f>
      </c>
    </row>
    <row r="6056">
      <c r="A6056" t="s">
        <v>167</v>
      </c>
      <c r="B6056" t="s">
        <v>116</v>
      </c>
      <c r="C6056" s="35" t="s">
        <v>422</v>
      </c>
      <c r="D6056" t="s">
        <v>502</v>
      </c>
      <c r="E6056" t="s">
        <v>520</v>
      </c>
      <c r="F6056" s="188" t="n">
        <v>2046</v>
      </c>
      <c r="G6056" s="189" t="n">
        <v>44</v>
      </c>
      <c r="H6056" s="190" t="n">
        <v>4046.94239763256</v>
      </c>
      <c r="I6056" s="191" t="n">
        <v>4250809.69317628</v>
      </c>
      <c r="J6056" s="192" t="str">
        <f>IF(I6056&gt;0,H6056/I6056,0)</f>
      </c>
      <c r="K6056" s="193" t="str">
        <f>1-EXP(-J6056)</f>
      </c>
      <c r="L6056" s="194" t="str">
        <f>IF(G6056=30,1,M6055)</f>
      </c>
      <c r="M6056" s="195" t="str">
        <f>L6056*(1-K6056)</f>
      </c>
    </row>
    <row r="6057">
      <c r="A6057" t="s">
        <v>167</v>
      </c>
      <c r="B6057" t="s">
        <v>116</v>
      </c>
      <c r="C6057" s="35" t="s">
        <v>422</v>
      </c>
      <c r="D6057" t="s">
        <v>502</v>
      </c>
      <c r="E6057" t="s">
        <v>520</v>
      </c>
      <c r="F6057" s="188" t="n">
        <v>2046</v>
      </c>
      <c r="G6057" s="189" t="n">
        <v>45</v>
      </c>
      <c r="H6057" s="190" t="n">
        <v>5176.38940370361</v>
      </c>
      <c r="I6057" s="191" t="n">
        <v>4224847.71671822</v>
      </c>
      <c r="J6057" s="192" t="str">
        <f>IF(I6057&gt;0,H6057/I6057,0)</f>
      </c>
      <c r="K6057" s="193" t="str">
        <f>1-EXP(-J6057)</f>
      </c>
      <c r="L6057" s="194" t="str">
        <f>IF(G6057=30,1,M6056)</f>
      </c>
      <c r="M6057" s="195" t="str">
        <f>L6057*(1-K6057)</f>
      </c>
    </row>
    <row r="6058">
      <c r="A6058" t="s">
        <v>167</v>
      </c>
      <c r="B6058" t="s">
        <v>116</v>
      </c>
      <c r="C6058" s="35" t="s">
        <v>422</v>
      </c>
      <c r="D6058" t="s">
        <v>502</v>
      </c>
      <c r="E6058" t="s">
        <v>520</v>
      </c>
      <c r="F6058" s="188" t="n">
        <v>2046</v>
      </c>
      <c r="G6058" s="189" t="n">
        <v>46</v>
      </c>
      <c r="H6058" s="190" t="n">
        <v>5661.66214025032</v>
      </c>
      <c r="I6058" s="191" t="n">
        <v>4197039.80912162</v>
      </c>
      <c r="J6058" s="192" t="str">
        <f>IF(I6058&gt;0,H6058/I6058,0)</f>
      </c>
      <c r="K6058" s="193" t="str">
        <f>1-EXP(-J6058)</f>
      </c>
      <c r="L6058" s="194" t="str">
        <f>IF(G6058=30,1,M6057)</f>
      </c>
      <c r="M6058" s="195" t="str">
        <f>L6058*(1-K6058)</f>
      </c>
    </row>
    <row r="6059">
      <c r="A6059" t="s">
        <v>167</v>
      </c>
      <c r="B6059" t="s">
        <v>116</v>
      </c>
      <c r="C6059" s="35" t="s">
        <v>422</v>
      </c>
      <c r="D6059" t="s">
        <v>502</v>
      </c>
      <c r="E6059" t="s">
        <v>520</v>
      </c>
      <c r="F6059" s="188" t="n">
        <v>2046</v>
      </c>
      <c r="G6059" s="189" t="n">
        <v>47</v>
      </c>
      <c r="H6059" s="190" t="n">
        <v>6236.21087654998</v>
      </c>
      <c r="I6059" s="191" t="n">
        <v>4207770.98079364</v>
      </c>
      <c r="J6059" s="192" t="str">
        <f>IF(I6059&gt;0,H6059/I6059,0)</f>
      </c>
      <c r="K6059" s="193" t="str">
        <f>1-EXP(-J6059)</f>
      </c>
      <c r="L6059" s="194" t="str">
        <f>IF(G6059=30,1,M6058)</f>
      </c>
      <c r="M6059" s="195" t="str">
        <f>L6059*(1-K6059)</f>
      </c>
    </row>
    <row r="6060">
      <c r="A6060" t="s">
        <v>167</v>
      </c>
      <c r="B6060" t="s">
        <v>116</v>
      </c>
      <c r="C6060" s="35" t="s">
        <v>422</v>
      </c>
      <c r="D6060" t="s">
        <v>502</v>
      </c>
      <c r="E6060" t="s">
        <v>520</v>
      </c>
      <c r="F6060" s="188" t="n">
        <v>2046</v>
      </c>
      <c r="G6060" s="189" t="n">
        <v>48</v>
      </c>
      <c r="H6060" s="190" t="n">
        <v>6940.52846742452</v>
      </c>
      <c r="I6060" s="191" t="n">
        <v>4255340.35229689</v>
      </c>
      <c r="J6060" s="192" t="str">
        <f>IF(I6060&gt;0,H6060/I6060,0)</f>
      </c>
      <c r="K6060" s="193" t="str">
        <f>1-EXP(-J6060)</f>
      </c>
      <c r="L6060" s="194" t="str">
        <f>IF(G6060=30,1,M6059)</f>
      </c>
      <c r="M6060" s="195" t="str">
        <f>L6060*(1-K6060)</f>
      </c>
    </row>
    <row r="6061">
      <c r="A6061" t="s">
        <v>167</v>
      </c>
      <c r="B6061" t="s">
        <v>116</v>
      </c>
      <c r="C6061" s="35" t="s">
        <v>422</v>
      </c>
      <c r="D6061" t="s">
        <v>502</v>
      </c>
      <c r="E6061" t="s">
        <v>520</v>
      </c>
      <c r="F6061" s="188" t="n">
        <v>2046</v>
      </c>
      <c r="G6061" s="189" t="n">
        <v>49</v>
      </c>
      <c r="H6061" s="190" t="n">
        <v>8050.67770007615</v>
      </c>
      <c r="I6061" s="191" t="n">
        <v>4375272.97956284</v>
      </c>
      <c r="J6061" s="192" t="str">
        <f>IF(I6061&gt;0,H6061/I6061,0)</f>
      </c>
      <c r="K6061" s="193" t="str">
        <f>1-EXP(-J6061)</f>
      </c>
      <c r="L6061" s="194" t="str">
        <f>IF(G6061=30,1,M6060)</f>
      </c>
      <c r="M6061" s="195" t="str">
        <f>L6061*(1-K6061)</f>
      </c>
    </row>
    <row r="6062">
      <c r="A6062" t="s">
        <v>167</v>
      </c>
      <c r="B6062" t="s">
        <v>116</v>
      </c>
      <c r="C6062" s="35" t="s">
        <v>422</v>
      </c>
      <c r="D6062" t="s">
        <v>502</v>
      </c>
      <c r="E6062" t="s">
        <v>520</v>
      </c>
      <c r="F6062" s="188" t="n">
        <v>2046</v>
      </c>
      <c r="G6062" s="189" t="n">
        <v>50</v>
      </c>
      <c r="H6062" s="190" t="n">
        <v>9101.42394996345</v>
      </c>
      <c r="I6062" s="191" t="n">
        <v>4320271.12321192</v>
      </c>
      <c r="J6062" s="192" t="str">
        <f>IF(I6062&gt;0,H6062/I6062,0)</f>
      </c>
      <c r="K6062" s="193" t="str">
        <f>1-EXP(-J6062)</f>
      </c>
      <c r="L6062" s="194" t="str">
        <f>IF(G6062=30,1,M6061)</f>
      </c>
      <c r="M6062" s="195" t="str">
        <f>L6062*(1-K6062)</f>
      </c>
    </row>
    <row r="6063">
      <c r="A6063" t="s">
        <v>167</v>
      </c>
      <c r="B6063" t="s">
        <v>116</v>
      </c>
      <c r="C6063" s="35" t="s">
        <v>422</v>
      </c>
      <c r="D6063" t="s">
        <v>502</v>
      </c>
      <c r="E6063" t="s">
        <v>520</v>
      </c>
      <c r="F6063" s="188" t="n">
        <v>2046</v>
      </c>
      <c r="G6063" s="189" t="n">
        <v>51</v>
      </c>
      <c r="H6063" s="190" t="n">
        <v>9738.47844431367</v>
      </c>
      <c r="I6063" s="191" t="n">
        <v>4234493.43677359</v>
      </c>
      <c r="J6063" s="192" t="str">
        <f>IF(I6063&gt;0,H6063/I6063,0)</f>
      </c>
      <c r="K6063" s="193" t="str">
        <f>1-EXP(-J6063)</f>
      </c>
      <c r="L6063" s="194" t="str">
        <f>IF(G6063=30,1,M6062)</f>
      </c>
      <c r="M6063" s="195" t="str">
        <f>L6063*(1-K6063)</f>
      </c>
    </row>
    <row r="6064">
      <c r="A6064" t="s">
        <v>167</v>
      </c>
      <c r="B6064" t="s">
        <v>116</v>
      </c>
      <c r="C6064" s="35" t="s">
        <v>422</v>
      </c>
      <c r="D6064" t="s">
        <v>502</v>
      </c>
      <c r="E6064" t="s">
        <v>520</v>
      </c>
      <c r="F6064" s="188" t="n">
        <v>2046</v>
      </c>
      <c r="G6064" s="189" t="n">
        <v>52</v>
      </c>
      <c r="H6064" s="190" t="n">
        <v>10494.4024101763</v>
      </c>
      <c r="I6064" s="191" t="n">
        <v>4163211.42770537</v>
      </c>
      <c r="J6064" s="192" t="str">
        <f>IF(I6064&gt;0,H6064/I6064,0)</f>
      </c>
      <c r="K6064" s="193" t="str">
        <f>1-EXP(-J6064)</f>
      </c>
      <c r="L6064" s="194" t="str">
        <f>IF(G6064=30,1,M6063)</f>
      </c>
      <c r="M6064" s="195" t="str">
        <f>L6064*(1-K6064)</f>
      </c>
    </row>
    <row r="6065">
      <c r="A6065" t="s">
        <v>167</v>
      </c>
      <c r="B6065" t="s">
        <v>116</v>
      </c>
      <c r="C6065" s="35" t="s">
        <v>422</v>
      </c>
      <c r="D6065" t="s">
        <v>502</v>
      </c>
      <c r="E6065" t="s">
        <v>520</v>
      </c>
      <c r="F6065" s="188" t="n">
        <v>2046</v>
      </c>
      <c r="G6065" s="189" t="n">
        <v>53</v>
      </c>
      <c r="H6065" s="190" t="n">
        <v>11288.4105133569</v>
      </c>
      <c r="I6065" s="191" t="n">
        <v>4094075.48831279</v>
      </c>
      <c r="J6065" s="192" t="str">
        <f>IF(I6065&gt;0,H6065/I6065,0)</f>
      </c>
      <c r="K6065" s="193" t="str">
        <f>1-EXP(-J6065)</f>
      </c>
      <c r="L6065" s="194" t="str">
        <f>IF(G6065=30,1,M6064)</f>
      </c>
      <c r="M6065" s="195" t="str">
        <f>L6065*(1-K6065)</f>
      </c>
    </row>
    <row r="6066">
      <c r="A6066" t="s">
        <v>167</v>
      </c>
      <c r="B6066" t="s">
        <v>116</v>
      </c>
      <c r="C6066" s="35" t="s">
        <v>422</v>
      </c>
      <c r="D6066" t="s">
        <v>502</v>
      </c>
      <c r="E6066" t="s">
        <v>520</v>
      </c>
      <c r="F6066" s="188" t="n">
        <v>2046</v>
      </c>
      <c r="G6066" s="189" t="n">
        <v>54</v>
      </c>
      <c r="H6066" s="190" t="n">
        <v>12353.6647279782</v>
      </c>
      <c r="I6066" s="191" t="n">
        <v>4110022.37833034</v>
      </c>
      <c r="J6066" s="192" t="str">
        <f>IF(I6066&gt;0,H6066/I6066,0)</f>
      </c>
      <c r="K6066" s="193" t="str">
        <f>1-EXP(-J6066)</f>
      </c>
      <c r="L6066" s="194" t="str">
        <f>IF(G6066=30,1,M6065)</f>
      </c>
      <c r="M6066" s="195" t="str">
        <f>L6066*(1-K6066)</f>
      </c>
    </row>
    <row r="6067">
      <c r="A6067" t="s">
        <v>167</v>
      </c>
      <c r="B6067" t="s">
        <v>116</v>
      </c>
      <c r="C6067" s="35" t="s">
        <v>422</v>
      </c>
      <c r="D6067" t="s">
        <v>502</v>
      </c>
      <c r="E6067" t="s">
        <v>520</v>
      </c>
      <c r="F6067" s="188" t="n">
        <v>2046</v>
      </c>
      <c r="G6067" s="189" t="n">
        <v>55</v>
      </c>
      <c r="H6067" s="190" t="n">
        <v>13233.5993607744</v>
      </c>
      <c r="I6067" s="191" t="n">
        <v>4105039.65638253</v>
      </c>
      <c r="J6067" s="192" t="str">
        <f>IF(I6067&gt;0,H6067/I6067,0)</f>
      </c>
      <c r="K6067" s="193" t="str">
        <f>1-EXP(-J6067)</f>
      </c>
      <c r="L6067" s="194" t="str">
        <f>IF(G6067=30,1,M6066)</f>
      </c>
      <c r="M6067" s="195" t="str">
        <f>L6067*(1-K6067)</f>
      </c>
    </row>
    <row r="6068">
      <c r="A6068" t="s">
        <v>167</v>
      </c>
      <c r="B6068" t="s">
        <v>116</v>
      </c>
      <c r="C6068" s="35" t="s">
        <v>422</v>
      </c>
      <c r="D6068" t="s">
        <v>502</v>
      </c>
      <c r="E6068" t="s">
        <v>520</v>
      </c>
      <c r="F6068" s="188" t="n">
        <v>2046</v>
      </c>
      <c r="G6068" s="189" t="n">
        <v>56</v>
      </c>
      <c r="H6068" s="190" t="n">
        <v>19161.1896328585</v>
      </c>
      <c r="I6068" s="191" t="n">
        <v>6035411.80056125</v>
      </c>
      <c r="J6068" s="192" t="str">
        <f>IF(I6068&gt;0,H6068/I6068,0)</f>
      </c>
      <c r="K6068" s="193" t="str">
        <f>1-EXP(-J6068)</f>
      </c>
      <c r="L6068" s="194" t="str">
        <f>IF(G6068=30,1,M6067)</f>
      </c>
      <c r="M6068" s="195" t="str">
        <f>L6068*(1-K6068)</f>
      </c>
    </row>
    <row r="6069">
      <c r="A6069" t="s">
        <v>167</v>
      </c>
      <c r="B6069" t="s">
        <v>116</v>
      </c>
      <c r="C6069" s="35" t="s">
        <v>422</v>
      </c>
      <c r="D6069" t="s">
        <v>502</v>
      </c>
      <c r="E6069" t="s">
        <v>520</v>
      </c>
      <c r="F6069" s="188" t="n">
        <v>2046</v>
      </c>
      <c r="G6069" s="189" t="n">
        <v>57</v>
      </c>
      <c r="H6069" s="190" t="n">
        <v>15316.2053593029</v>
      </c>
      <c r="I6069" s="191" t="n">
        <v>4016564.10692847</v>
      </c>
      <c r="J6069" s="192" t="str">
        <f>IF(I6069&gt;0,H6069/I6069,0)</f>
      </c>
      <c r="K6069" s="193" t="str">
        <f>1-EXP(-J6069)</f>
      </c>
      <c r="L6069" s="194" t="str">
        <f>IF(G6069=30,1,M6068)</f>
      </c>
      <c r="M6069" s="195" t="str">
        <f>L6069*(1-K6069)</f>
      </c>
    </row>
    <row r="6070">
      <c r="A6070" t="s">
        <v>167</v>
      </c>
      <c r="B6070" t="s">
        <v>116</v>
      </c>
      <c r="C6070" s="35" t="s">
        <v>422</v>
      </c>
      <c r="D6070" t="s">
        <v>502</v>
      </c>
      <c r="E6070" t="s">
        <v>520</v>
      </c>
      <c r="F6070" s="188" t="n">
        <v>2046</v>
      </c>
      <c r="G6070" s="189" t="n">
        <v>58</v>
      </c>
      <c r="H6070" s="190" t="n">
        <v>16586.529989574</v>
      </c>
      <c r="I6070" s="191" t="n">
        <v>3973039.52265262</v>
      </c>
      <c r="J6070" s="192" t="str">
        <f>IF(I6070&gt;0,H6070/I6070,0)</f>
      </c>
      <c r="K6070" s="193" t="str">
        <f>1-EXP(-J6070)</f>
      </c>
      <c r="L6070" s="194" t="str">
        <f>IF(G6070=30,1,M6069)</f>
      </c>
      <c r="M6070" s="195" t="str">
        <f>L6070*(1-K6070)</f>
      </c>
    </row>
    <row r="6071">
      <c r="A6071" t="s">
        <v>167</v>
      </c>
      <c r="B6071" t="s">
        <v>116</v>
      </c>
      <c r="C6071" s="35" t="s">
        <v>422</v>
      </c>
      <c r="D6071" t="s">
        <v>502</v>
      </c>
      <c r="E6071" t="s">
        <v>520</v>
      </c>
      <c r="F6071" s="188" t="n">
        <v>2046</v>
      </c>
      <c r="G6071" s="189" t="n">
        <v>59</v>
      </c>
      <c r="H6071" s="190" t="n">
        <v>17504.7869485595</v>
      </c>
      <c r="I6071" s="191" t="n">
        <v>3821593.02875822</v>
      </c>
      <c r="J6071" s="192" t="str">
        <f>IF(I6071&gt;0,H6071/I6071,0)</f>
      </c>
      <c r="K6071" s="193" t="str">
        <f>1-EXP(-J6071)</f>
      </c>
      <c r="L6071" s="194" t="str">
        <f>IF(G6071=30,1,M6070)</f>
      </c>
      <c r="M6071" s="195" t="str">
        <f>L6071*(1-K6071)</f>
      </c>
    </row>
    <row r="6072">
      <c r="A6072" t="s">
        <v>167</v>
      </c>
      <c r="B6072" t="s">
        <v>116</v>
      </c>
      <c r="C6072" s="35" t="s">
        <v>422</v>
      </c>
      <c r="D6072" t="s">
        <v>502</v>
      </c>
      <c r="E6072" t="s">
        <v>520</v>
      </c>
      <c r="F6072" s="188" t="n">
        <v>2046</v>
      </c>
      <c r="G6072" s="189" t="n">
        <v>60</v>
      </c>
      <c r="H6072" s="190" t="n">
        <v>18614.1299187742</v>
      </c>
      <c r="I6072" s="191" t="n">
        <v>3757948.52463093</v>
      </c>
      <c r="J6072" s="192" t="str">
        <f>IF(I6072&gt;0,H6072/I6072,0)</f>
      </c>
      <c r="K6072" s="193" t="str">
        <f>1-EXP(-J6072)</f>
      </c>
      <c r="L6072" s="194" t="str">
        <f>IF(G6072=30,1,M6071)</f>
      </c>
      <c r="M6072" s="195" t="str">
        <f>L6072*(1-K6072)</f>
      </c>
    </row>
    <row r="6073">
      <c r="A6073" t="s">
        <v>167</v>
      </c>
      <c r="B6073" t="s">
        <v>116</v>
      </c>
      <c r="C6073" s="35" t="s">
        <v>422</v>
      </c>
      <c r="D6073" t="s">
        <v>502</v>
      </c>
      <c r="E6073" t="s">
        <v>520</v>
      </c>
      <c r="F6073" s="188" t="n">
        <v>2046</v>
      </c>
      <c r="G6073" s="189" t="n">
        <v>61</v>
      </c>
      <c r="H6073" s="190" t="n">
        <v>20578.8811682388</v>
      </c>
      <c r="I6073" s="191" t="n">
        <v>3775732.42253872</v>
      </c>
      <c r="J6073" s="192" t="str">
        <f>IF(I6073&gt;0,H6073/I6073,0)</f>
      </c>
      <c r="K6073" s="193" t="str">
        <f>1-EXP(-J6073)</f>
      </c>
      <c r="L6073" s="194" t="str">
        <f>IF(G6073=30,1,M6072)</f>
      </c>
      <c r="M6073" s="195" t="str">
        <f>L6073*(1-K6073)</f>
      </c>
    </row>
    <row r="6074">
      <c r="A6074" t="s">
        <v>167</v>
      </c>
      <c r="B6074" t="s">
        <v>116</v>
      </c>
      <c r="C6074" s="35" t="s">
        <v>422</v>
      </c>
      <c r="D6074" t="s">
        <v>502</v>
      </c>
      <c r="E6074" t="s">
        <v>520</v>
      </c>
      <c r="F6074" s="188" t="n">
        <v>2046</v>
      </c>
      <c r="G6074" s="189" t="n">
        <v>62</v>
      </c>
      <c r="H6074" s="190" t="n">
        <v>22836.6468983691</v>
      </c>
      <c r="I6074" s="191" t="n">
        <v>3811593.07797608</v>
      </c>
      <c r="J6074" s="192" t="str">
        <f>IF(I6074&gt;0,H6074/I6074,0)</f>
      </c>
      <c r="K6074" s="193" t="str">
        <f>1-EXP(-J6074)</f>
      </c>
      <c r="L6074" s="194" t="str">
        <f>IF(G6074=30,1,M6073)</f>
      </c>
      <c r="M6074" s="195" t="str">
        <f>L6074*(1-K6074)</f>
      </c>
    </row>
    <row r="6075">
      <c r="A6075" t="s">
        <v>167</v>
      </c>
      <c r="B6075" t="s">
        <v>116</v>
      </c>
      <c r="C6075" s="35" t="s">
        <v>422</v>
      </c>
      <c r="D6075" t="s">
        <v>502</v>
      </c>
      <c r="E6075" t="s">
        <v>520</v>
      </c>
      <c r="F6075" s="188" t="n">
        <v>2046</v>
      </c>
      <c r="G6075" s="189" t="n">
        <v>63</v>
      </c>
      <c r="H6075" s="190" t="n">
        <v>24675.9053876527</v>
      </c>
      <c r="I6075" s="191" t="n">
        <v>3746824.35007598</v>
      </c>
      <c r="J6075" s="192" t="str">
        <f>IF(I6075&gt;0,H6075/I6075,0)</f>
      </c>
      <c r="K6075" s="193" t="str">
        <f>1-EXP(-J6075)</f>
      </c>
      <c r="L6075" s="194" t="str">
        <f>IF(G6075=30,1,M6074)</f>
      </c>
      <c r="M6075" s="195" t="str">
        <f>L6075*(1-K6075)</f>
      </c>
    </row>
    <row r="6076">
      <c r="A6076" t="s">
        <v>167</v>
      </c>
      <c r="B6076" t="s">
        <v>116</v>
      </c>
      <c r="C6076" s="35" t="s">
        <v>422</v>
      </c>
      <c r="D6076" t="s">
        <v>502</v>
      </c>
      <c r="E6076" t="s">
        <v>520</v>
      </c>
      <c r="F6076" s="188" t="n">
        <v>2046</v>
      </c>
      <c r="G6076" s="189" t="n">
        <v>64</v>
      </c>
      <c r="H6076" s="190" t="n">
        <v>25941.1260567744</v>
      </c>
      <c r="I6076" s="191" t="n">
        <v>3581090.33339683</v>
      </c>
      <c r="J6076" s="192" t="str">
        <f>IF(I6076&gt;0,H6076/I6076,0)</f>
      </c>
      <c r="K6076" s="193" t="str">
        <f>1-EXP(-J6076)</f>
      </c>
      <c r="L6076" s="194" t="str">
        <f>IF(G6076=30,1,M6075)</f>
      </c>
      <c r="M6076" s="195" t="str">
        <f>L6076*(1-K6076)</f>
      </c>
    </row>
    <row r="6077">
      <c r="A6077" t="s">
        <v>167</v>
      </c>
      <c r="B6077" t="s">
        <v>116</v>
      </c>
      <c r="C6077" s="35" t="s">
        <v>422</v>
      </c>
      <c r="D6077" t="s">
        <v>502</v>
      </c>
      <c r="E6077" t="s">
        <v>520</v>
      </c>
      <c r="F6077" s="188" t="n">
        <v>2046</v>
      </c>
      <c r="G6077" s="189" t="n">
        <v>65</v>
      </c>
      <c r="H6077" s="190" t="n">
        <v>26285.0445406353</v>
      </c>
      <c r="I6077" s="191" t="n">
        <v>3468232.72383756</v>
      </c>
      <c r="J6077" s="192" t="str">
        <f>IF(I6077&gt;0,H6077/I6077,0)</f>
      </c>
      <c r="K6077" s="193" t="str">
        <f>1-EXP(-J6077)</f>
      </c>
      <c r="L6077" s="194" t="str">
        <f>IF(G6077=30,1,M6076)</f>
      </c>
      <c r="M6077" s="195" t="str">
        <f>L6077*(1-K6077)</f>
      </c>
    </row>
    <row r="6078">
      <c r="A6078" t="s">
        <v>167</v>
      </c>
      <c r="B6078" t="s">
        <v>116</v>
      </c>
      <c r="C6078" s="35" t="s">
        <v>422</v>
      </c>
      <c r="D6078" t="s">
        <v>502</v>
      </c>
      <c r="E6078" t="s">
        <v>520</v>
      </c>
      <c r="F6078" s="188" t="n">
        <v>2046</v>
      </c>
      <c r="G6078" s="189" t="n">
        <v>66</v>
      </c>
      <c r="H6078" s="190" t="n">
        <v>27955.7468405025</v>
      </c>
      <c r="I6078" s="191" t="n">
        <v>3367128.25451756</v>
      </c>
      <c r="J6078" s="192" t="str">
        <f>IF(I6078&gt;0,H6078/I6078,0)</f>
      </c>
      <c r="K6078" s="193" t="str">
        <f>1-EXP(-J6078)</f>
      </c>
      <c r="L6078" s="194" t="str">
        <f>IF(G6078=30,1,M6077)</f>
      </c>
      <c r="M6078" s="195" t="str">
        <f>L6078*(1-K6078)</f>
      </c>
    </row>
    <row r="6079">
      <c r="A6079" t="s">
        <v>167</v>
      </c>
      <c r="B6079" t="s">
        <v>116</v>
      </c>
      <c r="C6079" s="35" t="s">
        <v>422</v>
      </c>
      <c r="D6079" t="s">
        <v>502</v>
      </c>
      <c r="E6079" t="s">
        <v>520</v>
      </c>
      <c r="F6079" s="188" t="n">
        <v>2046</v>
      </c>
      <c r="G6079" s="189" t="n">
        <v>67</v>
      </c>
      <c r="H6079" s="190" t="n">
        <v>29747.5343391457</v>
      </c>
      <c r="I6079" s="191" t="n">
        <v>3258244.23420181</v>
      </c>
      <c r="J6079" s="192" t="str">
        <f>IF(I6079&gt;0,H6079/I6079,0)</f>
      </c>
      <c r="K6079" s="193" t="str">
        <f>1-EXP(-J6079)</f>
      </c>
      <c r="L6079" s="194" t="str">
        <f>IF(G6079=30,1,M6078)</f>
      </c>
      <c r="M6079" s="195" t="str">
        <f>L6079*(1-K6079)</f>
      </c>
    </row>
    <row r="6080">
      <c r="A6080" t="s">
        <v>167</v>
      </c>
      <c r="B6080" t="s">
        <v>116</v>
      </c>
      <c r="C6080" s="35" t="s">
        <v>422</v>
      </c>
      <c r="D6080" t="s">
        <v>502</v>
      </c>
      <c r="E6080" t="s">
        <v>520</v>
      </c>
      <c r="F6080" s="188" t="n">
        <v>2046</v>
      </c>
      <c r="G6080" s="189" t="n">
        <v>68</v>
      </c>
      <c r="H6080" s="190" t="n">
        <v>31458.3594933382</v>
      </c>
      <c r="I6080" s="191" t="n">
        <v>3130951.38384072</v>
      </c>
      <c r="J6080" s="192" t="str">
        <f>IF(I6080&gt;0,H6080/I6080,0)</f>
      </c>
      <c r="K6080" s="193" t="str">
        <f>1-EXP(-J6080)</f>
      </c>
      <c r="L6080" s="194" t="str">
        <f>IF(G6080=30,1,M6079)</f>
      </c>
      <c r="M6080" s="195" t="str">
        <f>L6080*(1-K6080)</f>
      </c>
    </row>
    <row r="6081">
      <c r="A6081" t="s">
        <v>167</v>
      </c>
      <c r="B6081" t="s">
        <v>116</v>
      </c>
      <c r="C6081" s="35" t="s">
        <v>422</v>
      </c>
      <c r="D6081" t="s">
        <v>502</v>
      </c>
      <c r="E6081" t="s">
        <v>520</v>
      </c>
      <c r="F6081" s="188" t="n">
        <v>2046</v>
      </c>
      <c r="G6081" s="189" t="n">
        <v>69</v>
      </c>
      <c r="H6081" s="190" t="n">
        <v>33393.2150903235</v>
      </c>
      <c r="I6081" s="191" t="n">
        <v>3014394.78185876</v>
      </c>
      <c r="J6081" s="192" t="str">
        <f>IF(I6081&gt;0,H6081/I6081,0)</f>
      </c>
      <c r="K6081" s="193" t="str">
        <f>1-EXP(-J6081)</f>
      </c>
      <c r="L6081" s="194" t="str">
        <f>IF(G6081=30,1,M6080)</f>
      </c>
      <c r="M6081" s="195" t="str">
        <f>L6081*(1-K6081)</f>
      </c>
    </row>
    <row r="6082">
      <c r="A6082" t="s">
        <v>167</v>
      </c>
      <c r="B6082" t="s">
        <v>116</v>
      </c>
      <c r="C6082" s="35" t="s">
        <v>422</v>
      </c>
      <c r="D6082" t="s">
        <v>502</v>
      </c>
      <c r="E6082" t="s">
        <v>520</v>
      </c>
      <c r="F6082" s="188" t="n">
        <v>2047</v>
      </c>
      <c r="G6082" s="189" t="n">
        <v>30</v>
      </c>
      <c r="H6082" s="190" t="n">
        <v>563.122825127062</v>
      </c>
      <c r="I6082" s="191" t="n">
        <v>4320646.39728564</v>
      </c>
      <c r="J6082" s="192" t="str">
        <f>IF(I6082&gt;0,H6082/I6082,0)</f>
      </c>
      <c r="K6082" s="193" t="str">
        <f>1-EXP(-J6082)</f>
      </c>
      <c r="L6082" s="194" t="str">
        <f>IF(G6082=30,1,M6081)</f>
      </c>
      <c r="M6082" s="195" t="str">
        <f>L6082*(1-K6082)</f>
      </c>
    </row>
    <row r="6083">
      <c r="A6083" t="s">
        <v>167</v>
      </c>
      <c r="B6083" t="s">
        <v>116</v>
      </c>
      <c r="C6083" s="35" t="s">
        <v>422</v>
      </c>
      <c r="D6083" t="s">
        <v>502</v>
      </c>
      <c r="E6083" t="s">
        <v>520</v>
      </c>
      <c r="F6083" s="188" t="n">
        <v>2047</v>
      </c>
      <c r="G6083" s="189" t="n">
        <v>31</v>
      </c>
      <c r="H6083" s="190" t="n">
        <v>852.532420201572</v>
      </c>
      <c r="I6083" s="191" t="n">
        <v>4583474.67745578</v>
      </c>
      <c r="J6083" s="192" t="str">
        <f>IF(I6083&gt;0,H6083/I6083,0)</f>
      </c>
      <c r="K6083" s="193" t="str">
        <f>1-EXP(-J6083)</f>
      </c>
      <c r="L6083" s="194" t="str">
        <f>IF(G6083=30,1,M6082)</f>
      </c>
      <c r="M6083" s="195" t="str">
        <f>L6083*(1-K6083)</f>
      </c>
    </row>
    <row r="6084">
      <c r="A6084" t="s">
        <v>167</v>
      </c>
      <c r="B6084" t="s">
        <v>116</v>
      </c>
      <c r="C6084" s="35" t="s">
        <v>422</v>
      </c>
      <c r="D6084" t="s">
        <v>502</v>
      </c>
      <c r="E6084" t="s">
        <v>520</v>
      </c>
      <c r="F6084" s="188" t="n">
        <v>2047</v>
      </c>
      <c r="G6084" s="189" t="n">
        <v>32</v>
      </c>
      <c r="H6084" s="190" t="n">
        <v>941.179282158547</v>
      </c>
      <c r="I6084" s="191" t="n">
        <v>4632359.4745461</v>
      </c>
      <c r="J6084" s="192" t="str">
        <f>IF(I6084&gt;0,H6084/I6084,0)</f>
      </c>
      <c r="K6084" s="193" t="str">
        <f>1-EXP(-J6084)</f>
      </c>
      <c r="L6084" s="194" t="str">
        <f>IF(G6084=30,1,M6083)</f>
      </c>
      <c r="M6084" s="195" t="str">
        <f>L6084*(1-K6084)</f>
      </c>
    </row>
    <row r="6085">
      <c r="A6085" t="s">
        <v>167</v>
      </c>
      <c r="B6085" t="s">
        <v>116</v>
      </c>
      <c r="C6085" s="35" t="s">
        <v>422</v>
      </c>
      <c r="D6085" t="s">
        <v>502</v>
      </c>
      <c r="E6085" t="s">
        <v>520</v>
      </c>
      <c r="F6085" s="188" t="n">
        <v>2047</v>
      </c>
      <c r="G6085" s="189" t="n">
        <v>33</v>
      </c>
      <c r="H6085" s="190" t="n">
        <v>1012.6871273758</v>
      </c>
      <c r="I6085" s="191" t="n">
        <v>4698683.31416804</v>
      </c>
      <c r="J6085" s="192" t="str">
        <f>IF(I6085&gt;0,H6085/I6085,0)</f>
      </c>
      <c r="K6085" s="193" t="str">
        <f>1-EXP(-J6085)</f>
      </c>
      <c r="L6085" s="194" t="str">
        <f>IF(G6085=30,1,M6084)</f>
      </c>
      <c r="M6085" s="195" t="str">
        <f>L6085*(1-K6085)</f>
      </c>
    </row>
    <row r="6086">
      <c r="A6086" t="s">
        <v>167</v>
      </c>
      <c r="B6086" t="s">
        <v>116</v>
      </c>
      <c r="C6086" s="35" t="s">
        <v>422</v>
      </c>
      <c r="D6086" t="s">
        <v>502</v>
      </c>
      <c r="E6086" t="s">
        <v>520</v>
      </c>
      <c r="F6086" s="188" t="n">
        <v>2047</v>
      </c>
      <c r="G6086" s="189" t="n">
        <v>34</v>
      </c>
      <c r="H6086" s="190" t="n">
        <v>1095.90803051471</v>
      </c>
      <c r="I6086" s="191" t="n">
        <v>4766324.39637253</v>
      </c>
      <c r="J6086" s="192" t="str">
        <f>IF(I6086&gt;0,H6086/I6086,0)</f>
      </c>
      <c r="K6086" s="193" t="str">
        <f>1-EXP(-J6086)</f>
      </c>
      <c r="L6086" s="194" t="str">
        <f>IF(G6086=30,1,M6085)</f>
      </c>
      <c r="M6086" s="195" t="str">
        <f>L6086*(1-K6086)</f>
      </c>
    </row>
    <row r="6087">
      <c r="A6087" t="s">
        <v>167</v>
      </c>
      <c r="B6087" t="s">
        <v>116</v>
      </c>
      <c r="C6087" s="35" t="s">
        <v>422</v>
      </c>
      <c r="D6087" t="s">
        <v>502</v>
      </c>
      <c r="E6087" t="s">
        <v>520</v>
      </c>
      <c r="F6087" s="188" t="n">
        <v>2047</v>
      </c>
      <c r="G6087" s="189" t="n">
        <v>35</v>
      </c>
      <c r="H6087" s="190" t="n">
        <v>1519.46108291682</v>
      </c>
      <c r="I6087" s="191" t="n">
        <v>4878063.06998048</v>
      </c>
      <c r="J6087" s="192" t="str">
        <f>IF(I6087&gt;0,H6087/I6087,0)</f>
      </c>
      <c r="K6087" s="193" t="str">
        <f>1-EXP(-J6087)</f>
      </c>
      <c r="L6087" s="194" t="str">
        <f>IF(G6087=30,1,M6086)</f>
      </c>
      <c r="M6087" s="195" t="str">
        <f>L6087*(1-K6087)</f>
      </c>
    </row>
    <row r="6088">
      <c r="A6088" t="s">
        <v>167</v>
      </c>
      <c r="B6088" t="s">
        <v>116</v>
      </c>
      <c r="C6088" s="35" t="s">
        <v>422</v>
      </c>
      <c r="D6088" t="s">
        <v>502</v>
      </c>
      <c r="E6088" t="s">
        <v>520</v>
      </c>
      <c r="F6088" s="188" t="n">
        <v>2047</v>
      </c>
      <c r="G6088" s="189" t="n">
        <v>36</v>
      </c>
      <c r="H6088" s="190" t="n">
        <v>1765.51137890933</v>
      </c>
      <c r="I6088" s="191" t="n">
        <v>4848807.89738959</v>
      </c>
      <c r="J6088" s="192" t="str">
        <f>IF(I6088&gt;0,H6088/I6088,0)</f>
      </c>
      <c r="K6088" s="193" t="str">
        <f>1-EXP(-J6088)</f>
      </c>
      <c r="L6088" s="194" t="str">
        <f>IF(G6088=30,1,M6087)</f>
      </c>
      <c r="M6088" s="195" t="str">
        <f>L6088*(1-K6088)</f>
      </c>
    </row>
    <row r="6089">
      <c r="A6089" t="s">
        <v>167</v>
      </c>
      <c r="B6089" t="s">
        <v>116</v>
      </c>
      <c r="C6089" s="35" t="s">
        <v>422</v>
      </c>
      <c r="D6089" t="s">
        <v>502</v>
      </c>
      <c r="E6089" t="s">
        <v>520</v>
      </c>
      <c r="F6089" s="188" t="n">
        <v>2047</v>
      </c>
      <c r="G6089" s="189" t="n">
        <v>37</v>
      </c>
      <c r="H6089" s="190" t="n">
        <v>1847.34528684041</v>
      </c>
      <c r="I6089" s="191" t="n">
        <v>4714395.99760993</v>
      </c>
      <c r="J6089" s="192" t="str">
        <f>IF(I6089&gt;0,H6089/I6089,0)</f>
      </c>
      <c r="K6089" s="193" t="str">
        <f>1-EXP(-J6089)</f>
      </c>
      <c r="L6089" s="194" t="str">
        <f>IF(G6089=30,1,M6088)</f>
      </c>
      <c r="M6089" s="195" t="str">
        <f>L6089*(1-K6089)</f>
      </c>
    </row>
    <row r="6090">
      <c r="A6090" t="s">
        <v>167</v>
      </c>
      <c r="B6090" t="s">
        <v>116</v>
      </c>
      <c r="C6090" s="35" t="s">
        <v>422</v>
      </c>
      <c r="D6090" t="s">
        <v>502</v>
      </c>
      <c r="E6090" t="s">
        <v>520</v>
      </c>
      <c r="F6090" s="188" t="n">
        <v>2047</v>
      </c>
      <c r="G6090" s="189" t="n">
        <v>38</v>
      </c>
      <c r="H6090" s="190" t="n">
        <v>1964.94378823542</v>
      </c>
      <c r="I6090" s="191" t="n">
        <v>4642293.34980208</v>
      </c>
      <c r="J6090" s="192" t="str">
        <f>IF(I6090&gt;0,H6090/I6090,0)</f>
      </c>
      <c r="K6090" s="193" t="str">
        <f>1-EXP(-J6090)</f>
      </c>
      <c r="L6090" s="194" t="str">
        <f>IF(G6090=30,1,M6089)</f>
      </c>
      <c r="M6090" s="195" t="str">
        <f>L6090*(1-K6090)</f>
      </c>
    </row>
    <row r="6091">
      <c r="A6091" t="s">
        <v>167</v>
      </c>
      <c r="B6091" t="s">
        <v>116</v>
      </c>
      <c r="C6091" s="35" t="s">
        <v>422</v>
      </c>
      <c r="D6091" t="s">
        <v>502</v>
      </c>
      <c r="E6091" t="s">
        <v>520</v>
      </c>
      <c r="F6091" s="188" t="n">
        <v>2047</v>
      </c>
      <c r="G6091" s="189" t="n">
        <v>39</v>
      </c>
      <c r="H6091" s="190" t="n">
        <v>2108.58689507741</v>
      </c>
      <c r="I6091" s="191" t="n">
        <v>4597723.38222498</v>
      </c>
      <c r="J6091" s="192" t="str">
        <f>IF(I6091&gt;0,H6091/I6091,0)</f>
      </c>
      <c r="K6091" s="193" t="str">
        <f>1-EXP(-J6091)</f>
      </c>
      <c r="L6091" s="194" t="str">
        <f>IF(G6091=30,1,M6090)</f>
      </c>
      <c r="M6091" s="195" t="str">
        <f>L6091*(1-K6091)</f>
      </c>
    </row>
    <row r="6092">
      <c r="A6092" t="s">
        <v>167</v>
      </c>
      <c r="B6092" t="s">
        <v>116</v>
      </c>
      <c r="C6092" s="35" t="s">
        <v>422</v>
      </c>
      <c r="D6092" t="s">
        <v>502</v>
      </c>
      <c r="E6092" t="s">
        <v>520</v>
      </c>
      <c r="F6092" s="188" t="n">
        <v>2047</v>
      </c>
      <c r="G6092" s="189" t="n">
        <v>40</v>
      </c>
      <c r="H6092" s="190" t="n">
        <v>2926.44016478814</v>
      </c>
      <c r="I6092" s="191" t="n">
        <v>4620325.16187374</v>
      </c>
      <c r="J6092" s="192" t="str">
        <f>IF(I6092&gt;0,H6092/I6092,0)</f>
      </c>
      <c r="K6092" s="193" t="str">
        <f>1-EXP(-J6092)</f>
      </c>
      <c r="L6092" s="194" t="str">
        <f>IF(G6092=30,1,M6091)</f>
      </c>
      <c r="M6092" s="195" t="str">
        <f>L6092*(1-K6092)</f>
      </c>
    </row>
    <row r="6093">
      <c r="A6093" t="s">
        <v>167</v>
      </c>
      <c r="B6093" t="s">
        <v>116</v>
      </c>
      <c r="C6093" s="35" t="s">
        <v>422</v>
      </c>
      <c r="D6093" t="s">
        <v>502</v>
      </c>
      <c r="E6093" t="s">
        <v>520</v>
      </c>
      <c r="F6093" s="188" t="n">
        <v>2047</v>
      </c>
      <c r="G6093" s="189" t="n">
        <v>41</v>
      </c>
      <c r="H6093" s="190" t="n">
        <v>3186.75927365536</v>
      </c>
      <c r="I6093" s="191" t="n">
        <v>4534226.18446076</v>
      </c>
      <c r="J6093" s="192" t="str">
        <f>IF(I6093&gt;0,H6093/I6093,0)</f>
      </c>
      <c r="K6093" s="193" t="str">
        <f>1-EXP(-J6093)</f>
      </c>
      <c r="L6093" s="194" t="str">
        <f>IF(G6093=30,1,M6092)</f>
      </c>
      <c r="M6093" s="195" t="str">
        <f>L6093*(1-K6093)</f>
      </c>
    </row>
    <row r="6094">
      <c r="A6094" t="s">
        <v>167</v>
      </c>
      <c r="B6094" t="s">
        <v>116</v>
      </c>
      <c r="C6094" s="35" t="s">
        <v>422</v>
      </c>
      <c r="D6094" t="s">
        <v>502</v>
      </c>
      <c r="E6094" t="s">
        <v>520</v>
      </c>
      <c r="F6094" s="188" t="n">
        <v>2047</v>
      </c>
      <c r="G6094" s="189" t="n">
        <v>42</v>
      </c>
      <c r="H6094" s="190" t="n">
        <v>3415.76347387298</v>
      </c>
      <c r="I6094" s="191" t="n">
        <v>4469975.09364604</v>
      </c>
      <c r="J6094" s="192" t="str">
        <f>IF(I6094&gt;0,H6094/I6094,0)</f>
      </c>
      <c r="K6094" s="193" t="str">
        <f>1-EXP(-J6094)</f>
      </c>
      <c r="L6094" s="194" t="str">
        <f>IF(G6094=30,1,M6093)</f>
      </c>
      <c r="M6094" s="195" t="str">
        <f>L6094*(1-K6094)</f>
      </c>
    </row>
    <row r="6095">
      <c r="A6095" t="s">
        <v>167</v>
      </c>
      <c r="B6095" t="s">
        <v>116</v>
      </c>
      <c r="C6095" s="35" t="s">
        <v>422</v>
      </c>
      <c r="D6095" t="s">
        <v>502</v>
      </c>
      <c r="E6095" t="s">
        <v>520</v>
      </c>
      <c r="F6095" s="188" t="n">
        <v>2047</v>
      </c>
      <c r="G6095" s="189" t="n">
        <v>43</v>
      </c>
      <c r="H6095" s="190" t="n">
        <v>3614.91234239252</v>
      </c>
      <c r="I6095" s="191" t="n">
        <v>4338633.25685049</v>
      </c>
      <c r="J6095" s="192" t="str">
        <f>IF(I6095&gt;0,H6095/I6095,0)</f>
      </c>
      <c r="K6095" s="193" t="str">
        <f>1-EXP(-J6095)</f>
      </c>
      <c r="L6095" s="194" t="str">
        <f>IF(G6095=30,1,M6094)</f>
      </c>
      <c r="M6095" s="195" t="str">
        <f>L6095*(1-K6095)</f>
      </c>
    </row>
    <row r="6096">
      <c r="A6096" t="s">
        <v>167</v>
      </c>
      <c r="B6096" t="s">
        <v>116</v>
      </c>
      <c r="C6096" s="35" t="s">
        <v>422</v>
      </c>
      <c r="D6096" t="s">
        <v>502</v>
      </c>
      <c r="E6096" t="s">
        <v>520</v>
      </c>
      <c r="F6096" s="188" t="n">
        <v>2047</v>
      </c>
      <c r="G6096" s="189" t="n">
        <v>44</v>
      </c>
      <c r="H6096" s="190" t="n">
        <v>3887.51141165406</v>
      </c>
      <c r="I6096" s="191" t="n">
        <v>4268860.87426401</v>
      </c>
      <c r="J6096" s="192" t="str">
        <f>IF(I6096&gt;0,H6096/I6096,0)</f>
      </c>
      <c r="K6096" s="193" t="str">
        <f>1-EXP(-J6096)</f>
      </c>
      <c r="L6096" s="194" t="str">
        <f>IF(G6096=30,1,M6095)</f>
      </c>
      <c r="M6096" s="195" t="str">
        <f>L6096*(1-K6096)</f>
      </c>
    </row>
    <row r="6097">
      <c r="A6097" t="s">
        <v>167</v>
      </c>
      <c r="B6097" t="s">
        <v>116</v>
      </c>
      <c r="C6097" s="35" t="s">
        <v>422</v>
      </c>
      <c r="D6097" t="s">
        <v>502</v>
      </c>
      <c r="E6097" t="s">
        <v>520</v>
      </c>
      <c r="F6097" s="188" t="n">
        <v>2047</v>
      </c>
      <c r="G6097" s="189" t="n">
        <v>45</v>
      </c>
      <c r="H6097" s="190" t="n">
        <v>5158.59399246527</v>
      </c>
      <c r="I6097" s="191" t="n">
        <v>4239597.53508032</v>
      </c>
      <c r="J6097" s="192" t="str">
        <f>IF(I6097&gt;0,H6097/I6097,0)</f>
      </c>
      <c r="K6097" s="193" t="str">
        <f>1-EXP(-J6097)</f>
      </c>
      <c r="L6097" s="194" t="str">
        <f>IF(G6097=30,1,M6096)</f>
      </c>
      <c r="M6097" s="195" t="str">
        <f>L6097*(1-K6097)</f>
      </c>
    </row>
    <row r="6098">
      <c r="A6098" t="s">
        <v>167</v>
      </c>
      <c r="B6098" t="s">
        <v>116</v>
      </c>
      <c r="C6098" s="35" t="s">
        <v>422</v>
      </c>
      <c r="D6098" t="s">
        <v>502</v>
      </c>
      <c r="E6098" t="s">
        <v>520</v>
      </c>
      <c r="F6098" s="188" t="n">
        <v>2047</v>
      </c>
      <c r="G6098" s="189" t="n">
        <v>46</v>
      </c>
      <c r="H6098" s="190" t="n">
        <v>5641.48967874613</v>
      </c>
      <c r="I6098" s="191" t="n">
        <v>4211906.6393575</v>
      </c>
      <c r="J6098" s="192" t="str">
        <f>IF(I6098&gt;0,H6098/I6098,0)</f>
      </c>
      <c r="K6098" s="193" t="str">
        <f>1-EXP(-J6098)</f>
      </c>
      <c r="L6098" s="194" t="str">
        <f>IF(G6098=30,1,M6097)</f>
      </c>
      <c r="M6098" s="195" t="str">
        <f>L6098*(1-K6098)</f>
      </c>
    </row>
    <row r="6099">
      <c r="A6099" t="s">
        <v>167</v>
      </c>
      <c r="B6099" t="s">
        <v>116</v>
      </c>
      <c r="C6099" s="35" t="s">
        <v>422</v>
      </c>
      <c r="D6099" t="s">
        <v>502</v>
      </c>
      <c r="E6099" t="s">
        <v>520</v>
      </c>
      <c r="F6099" s="188" t="n">
        <v>2047</v>
      </c>
      <c r="G6099" s="189" t="n">
        <v>47</v>
      </c>
      <c r="H6099" s="190" t="n">
        <v>6155.9991562087</v>
      </c>
      <c r="I6099" s="191" t="n">
        <v>4183863.07721413</v>
      </c>
      <c r="J6099" s="192" t="str">
        <f>IF(I6099&gt;0,H6099/I6099,0)</f>
      </c>
      <c r="K6099" s="193" t="str">
        <f>1-EXP(-J6099)</f>
      </c>
      <c r="L6099" s="194" t="str">
        <f>IF(G6099=30,1,M6098)</f>
      </c>
      <c r="M6099" s="195" t="str">
        <f>L6099*(1-K6099)</f>
      </c>
    </row>
    <row r="6100">
      <c r="A6100" t="s">
        <v>167</v>
      </c>
      <c r="B6100" t="s">
        <v>116</v>
      </c>
      <c r="C6100" s="35" t="s">
        <v>422</v>
      </c>
      <c r="D6100" t="s">
        <v>502</v>
      </c>
      <c r="E6100" t="s">
        <v>520</v>
      </c>
      <c r="F6100" s="188" t="n">
        <v>2047</v>
      </c>
      <c r="G6100" s="189" t="n">
        <v>48</v>
      </c>
      <c r="H6100" s="190" t="n">
        <v>6790.24038021345</v>
      </c>
      <c r="I6100" s="191" t="n">
        <v>4193319.65091958</v>
      </c>
      <c r="J6100" s="192" t="str">
        <f>IF(I6100&gt;0,H6100/I6100,0)</f>
      </c>
      <c r="K6100" s="193" t="str">
        <f>1-EXP(-J6100)</f>
      </c>
      <c r="L6100" s="194" t="str">
        <f>IF(G6100=30,1,M6099)</f>
      </c>
      <c r="M6100" s="195" t="str">
        <f>L6100*(1-K6100)</f>
      </c>
    </row>
    <row r="6101">
      <c r="A6101" t="s">
        <v>167</v>
      </c>
      <c r="B6101" t="s">
        <v>116</v>
      </c>
      <c r="C6101" s="35" t="s">
        <v>422</v>
      </c>
      <c r="D6101" t="s">
        <v>502</v>
      </c>
      <c r="E6101" t="s">
        <v>520</v>
      </c>
      <c r="F6101" s="188" t="n">
        <v>2047</v>
      </c>
      <c r="G6101" s="189" t="n">
        <v>49</v>
      </c>
      <c r="H6101" s="190" t="n">
        <v>7562.33058122679</v>
      </c>
      <c r="I6101" s="191" t="n">
        <v>4239322.81898582</v>
      </c>
      <c r="J6101" s="192" t="str">
        <f>IF(I6101&gt;0,H6101/I6101,0)</f>
      </c>
      <c r="K6101" s="193" t="str">
        <f>1-EXP(-J6101)</f>
      </c>
      <c r="L6101" s="194" t="str">
        <f>IF(G6101=30,1,M6100)</f>
      </c>
      <c r="M6101" s="195" t="str">
        <f>L6101*(1-K6101)</f>
      </c>
    </row>
    <row r="6102">
      <c r="A6102" t="s">
        <v>167</v>
      </c>
      <c r="B6102" t="s">
        <v>116</v>
      </c>
      <c r="C6102" s="35" t="s">
        <v>422</v>
      </c>
      <c r="D6102" t="s">
        <v>502</v>
      </c>
      <c r="E6102" t="s">
        <v>520</v>
      </c>
      <c r="F6102" s="188" t="n">
        <v>2047</v>
      </c>
      <c r="G6102" s="189" t="n">
        <v>50</v>
      </c>
      <c r="H6102" s="190" t="n">
        <v>9106.79504282283</v>
      </c>
      <c r="I6102" s="191" t="n">
        <v>4356962.27762509</v>
      </c>
      <c r="J6102" s="192" t="str">
        <f>IF(I6102&gt;0,H6102/I6102,0)</f>
      </c>
      <c r="K6102" s="193" t="str">
        <f>1-EXP(-J6102)</f>
      </c>
      <c r="L6102" s="194" t="str">
        <f>IF(G6102=30,1,M6101)</f>
      </c>
      <c r="M6102" s="195" t="str">
        <f>L6102*(1-K6102)</f>
      </c>
    </row>
    <row r="6103">
      <c r="A6103" t="s">
        <v>167</v>
      </c>
      <c r="B6103" t="s">
        <v>116</v>
      </c>
      <c r="C6103" s="35" t="s">
        <v>422</v>
      </c>
      <c r="D6103" t="s">
        <v>502</v>
      </c>
      <c r="E6103" t="s">
        <v>520</v>
      </c>
      <c r="F6103" s="188" t="n">
        <v>2047</v>
      </c>
      <c r="G6103" s="189" t="n">
        <v>51</v>
      </c>
      <c r="H6103" s="190" t="n">
        <v>9812.64717956871</v>
      </c>
      <c r="I6103" s="191" t="n">
        <v>4299826.99771649</v>
      </c>
      <c r="J6103" s="192" t="str">
        <f>IF(I6103&gt;0,H6103/I6103,0)</f>
      </c>
      <c r="K6103" s="193" t="str">
        <f>1-EXP(-J6103)</f>
      </c>
      <c r="L6103" s="194" t="str">
        <f>IF(G6103=30,1,M6102)</f>
      </c>
      <c r="M6103" s="195" t="str">
        <f>L6103*(1-K6103)</f>
      </c>
    </row>
    <row r="6104">
      <c r="A6104" t="s">
        <v>167</v>
      </c>
      <c r="B6104" t="s">
        <v>116</v>
      </c>
      <c r="C6104" s="35" t="s">
        <v>422</v>
      </c>
      <c r="D6104" t="s">
        <v>502</v>
      </c>
      <c r="E6104" t="s">
        <v>520</v>
      </c>
      <c r="F6104" s="188" t="n">
        <v>2047</v>
      </c>
      <c r="G6104" s="189" t="n">
        <v>52</v>
      </c>
      <c r="H6104" s="190" t="n">
        <v>10536.6851087623</v>
      </c>
      <c r="I6104" s="191" t="n">
        <v>4213213.38059858</v>
      </c>
      <c r="J6104" s="192" t="str">
        <f>IF(I6104&gt;0,H6104/I6104,0)</f>
      </c>
      <c r="K6104" s="193" t="str">
        <f>1-EXP(-J6104)</f>
      </c>
      <c r="L6104" s="194" t="str">
        <f>IF(G6104=30,1,M6103)</f>
      </c>
      <c r="M6104" s="195" t="str">
        <f>L6104*(1-K6104)</f>
      </c>
    </row>
    <row r="6105">
      <c r="A6105" t="s">
        <v>167</v>
      </c>
      <c r="B6105" t="s">
        <v>116</v>
      </c>
      <c r="C6105" s="35" t="s">
        <v>422</v>
      </c>
      <c r="D6105" t="s">
        <v>502</v>
      </c>
      <c r="E6105" t="s">
        <v>520</v>
      </c>
      <c r="F6105" s="188" t="n">
        <v>2047</v>
      </c>
      <c r="G6105" s="189" t="n">
        <v>53</v>
      </c>
      <c r="H6105" s="190" t="n">
        <v>11324.527103764</v>
      </c>
      <c r="I6105" s="191" t="n">
        <v>4140309.93179824</v>
      </c>
      <c r="J6105" s="192" t="str">
        <f>IF(I6105&gt;0,H6105/I6105,0)</f>
      </c>
      <c r="K6105" s="193" t="str">
        <f>1-EXP(-J6105)</f>
      </c>
      <c r="L6105" s="194" t="str">
        <f>IF(G6105=30,1,M6104)</f>
      </c>
      <c r="M6105" s="195" t="str">
        <f>L6105*(1-K6105)</f>
      </c>
    </row>
    <row r="6106">
      <c r="A6106" t="s">
        <v>167</v>
      </c>
      <c r="B6106" t="s">
        <v>116</v>
      </c>
      <c r="C6106" s="35" t="s">
        <v>422</v>
      </c>
      <c r="D6106" t="s">
        <v>502</v>
      </c>
      <c r="E6106" t="s">
        <v>520</v>
      </c>
      <c r="F6106" s="188" t="n">
        <v>2047</v>
      </c>
      <c r="G6106" s="189" t="n">
        <v>54</v>
      </c>
      <c r="H6106" s="190" t="n">
        <v>12151.6101539148</v>
      </c>
      <c r="I6106" s="191" t="n">
        <v>4069468.80161628</v>
      </c>
      <c r="J6106" s="192" t="str">
        <f>IF(I6106&gt;0,H6106/I6106,0)</f>
      </c>
      <c r="K6106" s="193" t="str">
        <f>1-EXP(-J6106)</f>
      </c>
      <c r="L6106" s="194" t="str">
        <f>IF(G6106=30,1,M6105)</f>
      </c>
      <c r="M6106" s="195" t="str">
        <f>L6106*(1-K6106)</f>
      </c>
    </row>
    <row r="6107">
      <c r="A6107" t="s">
        <v>167</v>
      </c>
      <c r="B6107" t="s">
        <v>116</v>
      </c>
      <c r="C6107" s="35" t="s">
        <v>422</v>
      </c>
      <c r="D6107" t="s">
        <v>502</v>
      </c>
      <c r="E6107" t="s">
        <v>520</v>
      </c>
      <c r="F6107" s="188" t="n">
        <v>2047</v>
      </c>
      <c r="G6107" s="189" t="n">
        <v>55</v>
      </c>
      <c r="H6107" s="190" t="n">
        <v>13034.447786566</v>
      </c>
      <c r="I6107" s="191" t="n">
        <v>4083116.67211465</v>
      </c>
      <c r="J6107" s="192" t="str">
        <f>IF(I6107&gt;0,H6107/I6107,0)</f>
      </c>
      <c r="K6107" s="193" t="str">
        <f>1-EXP(-J6107)</f>
      </c>
      <c r="L6107" s="194" t="str">
        <f>IF(G6107=30,1,M6106)</f>
      </c>
      <c r="M6107" s="195" t="str">
        <f>L6107*(1-K6107)</f>
      </c>
    </row>
    <row r="6108">
      <c r="A6108" t="s">
        <v>167</v>
      </c>
      <c r="B6108" t="s">
        <v>116</v>
      </c>
      <c r="C6108" s="35" t="s">
        <v>422</v>
      </c>
      <c r="D6108" t="s">
        <v>502</v>
      </c>
      <c r="E6108" t="s">
        <v>520</v>
      </c>
      <c r="F6108" s="188" t="n">
        <v>2047</v>
      </c>
      <c r="G6108" s="189" t="n">
        <v>56</v>
      </c>
      <c r="H6108" s="190" t="n">
        <v>14081.4379676457</v>
      </c>
      <c r="I6108" s="191" t="n">
        <v>4075696.44006674</v>
      </c>
      <c r="J6108" s="192" t="str">
        <f>IF(I6108&gt;0,H6108/I6108,0)</f>
      </c>
      <c r="K6108" s="193" t="str">
        <f>1-EXP(-J6108)</f>
      </c>
      <c r="L6108" s="194" t="str">
        <f>IF(G6108=30,1,M6107)</f>
      </c>
      <c r="M6108" s="195" t="str">
        <f>L6108*(1-K6108)</f>
      </c>
    </row>
    <row r="6109">
      <c r="A6109" t="s">
        <v>167</v>
      </c>
      <c r="B6109" t="s">
        <v>116</v>
      </c>
      <c r="C6109" s="35" t="s">
        <v>422</v>
      </c>
      <c r="D6109" t="s">
        <v>502</v>
      </c>
      <c r="E6109" t="s">
        <v>520</v>
      </c>
      <c r="F6109" s="188" t="n">
        <v>2047</v>
      </c>
      <c r="G6109" s="189" t="n">
        <v>57</v>
      </c>
      <c r="H6109" s="190" t="n">
        <v>20528.7630247926</v>
      </c>
      <c r="I6109" s="191" t="n">
        <v>5992493.98978605</v>
      </c>
      <c r="J6109" s="192" t="str">
        <f>IF(I6109&gt;0,H6109/I6109,0)</f>
      </c>
      <c r="K6109" s="193" t="str">
        <f>1-EXP(-J6109)</f>
      </c>
      <c r="L6109" s="194" t="str">
        <f>IF(G6109=30,1,M6108)</f>
      </c>
      <c r="M6109" s="195" t="str">
        <f>L6109*(1-K6109)</f>
      </c>
    </row>
    <row r="6110">
      <c r="A6110" t="s">
        <v>167</v>
      </c>
      <c r="B6110" t="s">
        <v>116</v>
      </c>
      <c r="C6110" s="35" t="s">
        <v>422</v>
      </c>
      <c r="D6110" t="s">
        <v>502</v>
      </c>
      <c r="E6110" t="s">
        <v>520</v>
      </c>
      <c r="F6110" s="188" t="n">
        <v>2047</v>
      </c>
      <c r="G6110" s="189" t="n">
        <v>58</v>
      </c>
      <c r="H6110" s="190" t="n">
        <v>16455.0377941036</v>
      </c>
      <c r="I6110" s="191" t="n">
        <v>3982669.12905076</v>
      </c>
      <c r="J6110" s="192" t="str">
        <f>IF(I6110&gt;0,H6110/I6110,0)</f>
      </c>
      <c r="K6110" s="193" t="str">
        <f>1-EXP(-J6110)</f>
      </c>
      <c r="L6110" s="194" t="str">
        <f>IF(G6110=30,1,M6109)</f>
      </c>
      <c r="M6110" s="195" t="str">
        <f>L6110*(1-K6110)</f>
      </c>
    </row>
    <row r="6111">
      <c r="A6111" t="s">
        <v>167</v>
      </c>
      <c r="B6111" t="s">
        <v>116</v>
      </c>
      <c r="C6111" s="35" t="s">
        <v>422</v>
      </c>
      <c r="D6111" t="s">
        <v>502</v>
      </c>
      <c r="E6111" t="s">
        <v>520</v>
      </c>
      <c r="F6111" s="188" t="n">
        <v>2047</v>
      </c>
      <c r="G6111" s="189" t="n">
        <v>59</v>
      </c>
      <c r="H6111" s="190" t="n">
        <v>17838.0888652206</v>
      </c>
      <c r="I6111" s="191" t="n">
        <v>3936424.2155604</v>
      </c>
      <c r="J6111" s="192" t="str">
        <f>IF(I6111&gt;0,H6111/I6111,0)</f>
      </c>
      <c r="K6111" s="193" t="str">
        <f>1-EXP(-J6111)</f>
      </c>
      <c r="L6111" s="194" t="str">
        <f>IF(G6111=30,1,M6110)</f>
      </c>
      <c r="M6111" s="195" t="str">
        <f>L6111*(1-K6111)</f>
      </c>
    </row>
    <row r="6112">
      <c r="A6112" t="s">
        <v>167</v>
      </c>
      <c r="B6112" t="s">
        <v>116</v>
      </c>
      <c r="C6112" s="35" t="s">
        <v>422</v>
      </c>
      <c r="D6112" t="s">
        <v>502</v>
      </c>
      <c r="E6112" t="s">
        <v>520</v>
      </c>
      <c r="F6112" s="188" t="n">
        <v>2047</v>
      </c>
      <c r="G6112" s="189" t="n">
        <v>60</v>
      </c>
      <c r="H6112" s="190" t="n">
        <v>18519.8781209809</v>
      </c>
      <c r="I6112" s="191" t="n">
        <v>3783046.19496678</v>
      </c>
      <c r="J6112" s="192" t="str">
        <f>IF(I6112&gt;0,H6112/I6112,0)</f>
      </c>
      <c r="K6112" s="193" t="str">
        <f>1-EXP(-J6112)</f>
      </c>
      <c r="L6112" s="194" t="str">
        <f>IF(G6112=30,1,M6111)</f>
      </c>
      <c r="M6112" s="195" t="str">
        <f>L6112*(1-K6112)</f>
      </c>
    </row>
    <row r="6113">
      <c r="A6113" t="s">
        <v>167</v>
      </c>
      <c r="B6113" t="s">
        <v>116</v>
      </c>
      <c r="C6113" s="35" t="s">
        <v>422</v>
      </c>
      <c r="D6113" t="s">
        <v>502</v>
      </c>
      <c r="E6113" t="s">
        <v>520</v>
      </c>
      <c r="F6113" s="188" t="n">
        <v>2047</v>
      </c>
      <c r="G6113" s="189" t="n">
        <v>61</v>
      </c>
      <c r="H6113" s="190" t="n">
        <v>20021.1098176673</v>
      </c>
      <c r="I6113" s="191" t="n">
        <v>3716380.48932302</v>
      </c>
      <c r="J6113" s="192" t="str">
        <f>IF(I6113&gt;0,H6113/I6113,0)</f>
      </c>
      <c r="K6113" s="193" t="str">
        <f>1-EXP(-J6113)</f>
      </c>
      <c r="L6113" s="194" t="str">
        <f>IF(G6113=30,1,M6112)</f>
      </c>
      <c r="M6113" s="195" t="str">
        <f>L6113*(1-K6113)</f>
      </c>
    </row>
    <row r="6114">
      <c r="A6114" t="s">
        <v>167</v>
      </c>
      <c r="B6114" t="s">
        <v>116</v>
      </c>
      <c r="C6114" s="35" t="s">
        <v>422</v>
      </c>
      <c r="D6114" t="s">
        <v>502</v>
      </c>
      <c r="E6114" t="s">
        <v>520</v>
      </c>
      <c r="F6114" s="188" t="n">
        <v>2047</v>
      </c>
      <c r="G6114" s="189" t="n">
        <v>62</v>
      </c>
      <c r="H6114" s="190" t="n">
        <v>22092.7575530814</v>
      </c>
      <c r="I6114" s="191" t="n">
        <v>3729943.04600737</v>
      </c>
      <c r="J6114" s="192" t="str">
        <f>IF(I6114&gt;0,H6114/I6114,0)</f>
      </c>
      <c r="K6114" s="193" t="str">
        <f>1-EXP(-J6114)</f>
      </c>
      <c r="L6114" s="194" t="str">
        <f>IF(G6114=30,1,M6113)</f>
      </c>
      <c r="M6114" s="195" t="str">
        <f>L6114*(1-K6114)</f>
      </c>
    </row>
    <row r="6115">
      <c r="A6115" t="s">
        <v>167</v>
      </c>
      <c r="B6115" t="s">
        <v>116</v>
      </c>
      <c r="C6115" s="35" t="s">
        <v>422</v>
      </c>
      <c r="D6115" t="s">
        <v>502</v>
      </c>
      <c r="E6115" t="s">
        <v>520</v>
      </c>
      <c r="F6115" s="188" t="n">
        <v>2047</v>
      </c>
      <c r="G6115" s="189" t="n">
        <v>63</v>
      </c>
      <c r="H6115" s="190" t="n">
        <v>24492.3011700654</v>
      </c>
      <c r="I6115" s="191" t="n">
        <v>3760840.03071701</v>
      </c>
      <c r="J6115" s="192" t="str">
        <f>IF(I6115&gt;0,H6115/I6115,0)</f>
      </c>
      <c r="K6115" s="193" t="str">
        <f>1-EXP(-J6115)</f>
      </c>
      <c r="L6115" s="194" t="str">
        <f>IF(G6115=30,1,M6114)</f>
      </c>
      <c r="M6115" s="195" t="str">
        <f>L6115*(1-K6115)</f>
      </c>
    </row>
    <row r="6116">
      <c r="A6116" t="s">
        <v>167</v>
      </c>
      <c r="B6116" t="s">
        <v>116</v>
      </c>
      <c r="C6116" s="35" t="s">
        <v>422</v>
      </c>
      <c r="D6116" t="s">
        <v>502</v>
      </c>
      <c r="E6116" t="s">
        <v>520</v>
      </c>
      <c r="F6116" s="188" t="n">
        <v>2047</v>
      </c>
      <c r="G6116" s="189" t="n">
        <v>64</v>
      </c>
      <c r="H6116" s="190" t="n">
        <v>26426.2863979316</v>
      </c>
      <c r="I6116" s="191" t="n">
        <v>3692037.4534761</v>
      </c>
      <c r="J6116" s="192" t="str">
        <f>IF(I6116&gt;0,H6116/I6116,0)</f>
      </c>
      <c r="K6116" s="193" t="str">
        <f>1-EXP(-J6116)</f>
      </c>
      <c r="L6116" s="194" t="str">
        <f>IF(G6116=30,1,M6115)</f>
      </c>
      <c r="M6116" s="195" t="str">
        <f>L6116*(1-K6116)</f>
      </c>
    </row>
    <row r="6117">
      <c r="A6117" t="s">
        <v>167</v>
      </c>
      <c r="B6117" t="s">
        <v>116</v>
      </c>
      <c r="C6117" s="35" t="s">
        <v>422</v>
      </c>
      <c r="D6117" t="s">
        <v>502</v>
      </c>
      <c r="E6117" t="s">
        <v>520</v>
      </c>
      <c r="F6117" s="188" t="n">
        <v>2047</v>
      </c>
      <c r="G6117" s="189" t="n">
        <v>65</v>
      </c>
      <c r="H6117" s="190" t="n">
        <v>26386.4157022963</v>
      </c>
      <c r="I6117" s="191" t="n">
        <v>3523542.19294696</v>
      </c>
      <c r="J6117" s="192" t="str">
        <f>IF(I6117&gt;0,H6117/I6117,0)</f>
      </c>
      <c r="K6117" s="193" t="str">
        <f>1-EXP(-J6117)</f>
      </c>
      <c r="L6117" s="194" t="str">
        <f>IF(G6117=30,1,M6116)</f>
      </c>
      <c r="M6117" s="195" t="str">
        <f>L6117*(1-K6117)</f>
      </c>
    </row>
    <row r="6118">
      <c r="A6118" t="s">
        <v>167</v>
      </c>
      <c r="B6118" t="s">
        <v>116</v>
      </c>
      <c r="C6118" s="35" t="s">
        <v>422</v>
      </c>
      <c r="D6118" t="s">
        <v>502</v>
      </c>
      <c r="E6118" t="s">
        <v>520</v>
      </c>
      <c r="F6118" s="188" t="n">
        <v>2047</v>
      </c>
      <c r="G6118" s="189" t="n">
        <v>66</v>
      </c>
      <c r="H6118" s="190" t="n">
        <v>27960.6180197336</v>
      </c>
      <c r="I6118" s="191" t="n">
        <v>3407733.24238468</v>
      </c>
      <c r="J6118" s="192" t="str">
        <f>IF(I6118&gt;0,H6118/I6118,0)</f>
      </c>
      <c r="K6118" s="193" t="str">
        <f>1-EXP(-J6118)</f>
      </c>
      <c r="L6118" s="194" t="str">
        <f>IF(G6118=30,1,M6117)</f>
      </c>
      <c r="M6118" s="195" t="str">
        <f>L6118*(1-K6118)</f>
      </c>
    </row>
    <row r="6119">
      <c r="A6119" t="s">
        <v>167</v>
      </c>
      <c r="B6119" t="s">
        <v>116</v>
      </c>
      <c r="C6119" s="35" t="s">
        <v>422</v>
      </c>
      <c r="D6119" t="s">
        <v>502</v>
      </c>
      <c r="E6119" t="s">
        <v>520</v>
      </c>
      <c r="F6119" s="188" t="n">
        <v>2047</v>
      </c>
      <c r="G6119" s="189" t="n">
        <v>67</v>
      </c>
      <c r="H6119" s="190" t="n">
        <v>29792.4837517077</v>
      </c>
      <c r="I6119" s="191" t="n">
        <v>3302044.2501293</v>
      </c>
      <c r="J6119" s="192" t="str">
        <f>IF(I6119&gt;0,H6119/I6119,0)</f>
      </c>
      <c r="K6119" s="193" t="str">
        <f>1-EXP(-J6119)</f>
      </c>
      <c r="L6119" s="194" t="str">
        <f>IF(G6119=30,1,M6118)</f>
      </c>
      <c r="M6119" s="195" t="str">
        <f>L6119*(1-K6119)</f>
      </c>
    </row>
    <row r="6120">
      <c r="A6120" t="s">
        <v>167</v>
      </c>
      <c r="B6120" t="s">
        <v>116</v>
      </c>
      <c r="C6120" s="35" t="s">
        <v>422</v>
      </c>
      <c r="D6120" t="s">
        <v>502</v>
      </c>
      <c r="E6120" t="s">
        <v>520</v>
      </c>
      <c r="F6120" s="188" t="n">
        <v>2047</v>
      </c>
      <c r="G6120" s="189" t="n">
        <v>68</v>
      </c>
      <c r="H6120" s="190" t="n">
        <v>31668.926677366</v>
      </c>
      <c r="I6120" s="191" t="n">
        <v>3189091.35728766</v>
      </c>
      <c r="J6120" s="192" t="str">
        <f>IF(I6120&gt;0,H6120/I6120,0)</f>
      </c>
      <c r="K6120" s="193" t="str">
        <f>1-EXP(-J6120)</f>
      </c>
      <c r="L6120" s="194" t="str">
        <f>IF(G6120=30,1,M6119)</f>
      </c>
      <c r="M6120" s="195" t="str">
        <f>L6120*(1-K6120)</f>
      </c>
    </row>
    <row r="6121">
      <c r="A6121" t="s">
        <v>167</v>
      </c>
      <c r="B6121" t="s">
        <v>116</v>
      </c>
      <c r="C6121" s="35" t="s">
        <v>422</v>
      </c>
      <c r="D6121" t="s">
        <v>502</v>
      </c>
      <c r="E6121" t="s">
        <v>520</v>
      </c>
      <c r="F6121" s="188" t="n">
        <v>2047</v>
      </c>
      <c r="G6121" s="189" t="n">
        <v>69</v>
      </c>
      <c r="H6121" s="190" t="n">
        <v>33456.6081213233</v>
      </c>
      <c r="I6121" s="191" t="n">
        <v>3057951.32451867</v>
      </c>
      <c r="J6121" s="192" t="str">
        <f>IF(I6121&gt;0,H6121/I6121,0)</f>
      </c>
      <c r="K6121" s="193" t="str">
        <f>1-EXP(-J6121)</f>
      </c>
      <c r="L6121" s="194" t="str">
        <f>IF(G6121=30,1,M6120)</f>
      </c>
      <c r="M6121" s="195" t="str">
        <f>L6121*(1-K6121)</f>
      </c>
    </row>
    <row r="6122">
      <c r="A6122" t="s">
        <v>167</v>
      </c>
      <c r="B6122" t="s">
        <v>116</v>
      </c>
      <c r="C6122" s="35" t="s">
        <v>422</v>
      </c>
      <c r="D6122" t="s">
        <v>502</v>
      </c>
      <c r="E6122" t="s">
        <v>520</v>
      </c>
      <c r="F6122" s="188" t="n">
        <v>2048</v>
      </c>
      <c r="G6122" s="189" t="n">
        <v>30</v>
      </c>
      <c r="H6122" s="190" t="n">
        <v>558.021568785738</v>
      </c>
      <c r="I6122" s="191" t="n">
        <v>4275427.25860951</v>
      </c>
      <c r="J6122" s="192" t="str">
        <f>IF(I6122&gt;0,H6122/I6122,0)</f>
      </c>
      <c r="K6122" s="193" t="str">
        <f>1-EXP(-J6122)</f>
      </c>
      <c r="L6122" s="194" t="str">
        <f>IF(G6122=30,1,M6121)</f>
      </c>
      <c r="M6122" s="195" t="str">
        <f>L6122*(1-K6122)</f>
      </c>
    </row>
    <row r="6123">
      <c r="A6123" t="s">
        <v>167</v>
      </c>
      <c r="B6123" t="s">
        <v>116</v>
      </c>
      <c r="C6123" s="35" t="s">
        <v>422</v>
      </c>
      <c r="D6123" t="s">
        <v>502</v>
      </c>
      <c r="E6123" t="s">
        <v>520</v>
      </c>
      <c r="F6123" s="188" t="n">
        <v>2048</v>
      </c>
      <c r="G6123" s="189" t="n">
        <v>31</v>
      </c>
      <c r="H6123" s="190" t="n">
        <v>773.411138398977</v>
      </c>
      <c r="I6123" s="191" t="n">
        <v>4316012.91576733</v>
      </c>
      <c r="J6123" s="192" t="str">
        <f>IF(I6123&gt;0,H6123/I6123,0)</f>
      </c>
      <c r="K6123" s="193" t="str">
        <f>1-EXP(-J6123)</f>
      </c>
      <c r="L6123" s="194" t="str">
        <f>IF(G6123=30,1,M6122)</f>
      </c>
      <c r="M6123" s="195" t="str">
        <f>L6123*(1-K6123)</f>
      </c>
    </row>
    <row r="6124">
      <c r="A6124" t="s">
        <v>167</v>
      </c>
      <c r="B6124" t="s">
        <v>116</v>
      </c>
      <c r="C6124" s="35" t="s">
        <v>422</v>
      </c>
      <c r="D6124" t="s">
        <v>502</v>
      </c>
      <c r="E6124" t="s">
        <v>520</v>
      </c>
      <c r="F6124" s="188" t="n">
        <v>2048</v>
      </c>
      <c r="G6124" s="189" t="n">
        <v>32</v>
      </c>
      <c r="H6124" s="190" t="n">
        <v>900.246708825672</v>
      </c>
      <c r="I6124" s="191" t="n">
        <v>4578611.86346823</v>
      </c>
      <c r="J6124" s="192" t="str">
        <f>IF(I6124&gt;0,H6124/I6124,0)</f>
      </c>
      <c r="K6124" s="193" t="str">
        <f>1-EXP(-J6124)</f>
      </c>
      <c r="L6124" s="194" t="str">
        <f>IF(G6124=30,1,M6123)</f>
      </c>
      <c r="M6124" s="195" t="str">
        <f>L6124*(1-K6124)</f>
      </c>
    </row>
    <row r="6125">
      <c r="A6125" t="s">
        <v>167</v>
      </c>
      <c r="B6125" t="s">
        <v>116</v>
      </c>
      <c r="C6125" s="35" t="s">
        <v>422</v>
      </c>
      <c r="D6125" t="s">
        <v>502</v>
      </c>
      <c r="E6125" t="s">
        <v>520</v>
      </c>
      <c r="F6125" s="188" t="n">
        <v>2048</v>
      </c>
      <c r="G6125" s="189" t="n">
        <v>33</v>
      </c>
      <c r="H6125" s="190" t="n">
        <v>997.773965214483</v>
      </c>
      <c r="I6125" s="191" t="n">
        <v>4627211.41327715</v>
      </c>
      <c r="J6125" s="192" t="str">
        <f>IF(I6125&gt;0,H6125/I6125,0)</f>
      </c>
      <c r="K6125" s="193" t="str">
        <f>1-EXP(-J6125)</f>
      </c>
      <c r="L6125" s="194" t="str">
        <f>IF(G6125=30,1,M6124)</f>
      </c>
      <c r="M6125" s="195" t="str">
        <f>L6125*(1-K6125)</f>
      </c>
    </row>
    <row r="6126">
      <c r="A6126" t="s">
        <v>167</v>
      </c>
      <c r="B6126" t="s">
        <v>116</v>
      </c>
      <c r="C6126" s="35" t="s">
        <v>422</v>
      </c>
      <c r="D6126" t="s">
        <v>502</v>
      </c>
      <c r="E6126" t="s">
        <v>520</v>
      </c>
      <c r="F6126" s="188" t="n">
        <v>2048</v>
      </c>
      <c r="G6126" s="189" t="n">
        <v>34</v>
      </c>
      <c r="H6126" s="190" t="n">
        <v>1079.36057468373</v>
      </c>
      <c r="I6126" s="191" t="n">
        <v>4693221.18634386</v>
      </c>
      <c r="J6126" s="192" t="str">
        <f>IF(I6126&gt;0,H6126/I6126,0)</f>
      </c>
      <c r="K6126" s="193" t="str">
        <f>1-EXP(-J6126)</f>
      </c>
      <c r="L6126" s="194" t="str">
        <f>IF(G6126=30,1,M6125)</f>
      </c>
      <c r="M6126" s="195" t="str">
        <f>L6126*(1-K6126)</f>
      </c>
    </row>
    <row r="6127">
      <c r="A6127" t="s">
        <v>167</v>
      </c>
      <c r="B6127" t="s">
        <v>116</v>
      </c>
      <c r="C6127" s="35" t="s">
        <v>422</v>
      </c>
      <c r="D6127" t="s">
        <v>502</v>
      </c>
      <c r="E6127" t="s">
        <v>520</v>
      </c>
      <c r="F6127" s="188" t="n">
        <v>2048</v>
      </c>
      <c r="G6127" s="189" t="n">
        <v>35</v>
      </c>
      <c r="H6127" s="190" t="n">
        <v>1420.50912438368</v>
      </c>
      <c r="I6127" s="191" t="n">
        <v>4760497.39135261</v>
      </c>
      <c r="J6127" s="192" t="str">
        <f>IF(I6127&gt;0,H6127/I6127,0)</f>
      </c>
      <c r="K6127" s="193" t="str">
        <f>1-EXP(-J6127)</f>
      </c>
      <c r="L6127" s="194" t="str">
        <f>IF(G6127=30,1,M6126)</f>
      </c>
      <c r="M6127" s="195" t="str">
        <f>L6127*(1-K6127)</f>
      </c>
    </row>
    <row r="6128">
      <c r="A6128" t="s">
        <v>167</v>
      </c>
      <c r="B6128" t="s">
        <v>116</v>
      </c>
      <c r="C6128" s="35" t="s">
        <v>422</v>
      </c>
      <c r="D6128" t="s">
        <v>502</v>
      </c>
      <c r="E6128" t="s">
        <v>520</v>
      </c>
      <c r="F6128" s="188" t="n">
        <v>2048</v>
      </c>
      <c r="G6128" s="189" t="n">
        <v>36</v>
      </c>
      <c r="H6128" s="190" t="n">
        <v>1768.53621656572</v>
      </c>
      <c r="I6128" s="191" t="n">
        <v>4871404.09257851</v>
      </c>
      <c r="J6128" s="192" t="str">
        <f>IF(I6128&gt;0,H6128/I6128,0)</f>
      </c>
      <c r="K6128" s="193" t="str">
        <f>1-EXP(-J6128)</f>
      </c>
      <c r="L6128" s="194" t="str">
        <f>IF(G6128=30,1,M6127)</f>
      </c>
      <c r="M6128" s="195" t="str">
        <f>L6128*(1-K6128)</f>
      </c>
    </row>
    <row r="6129">
      <c r="A6129" t="s">
        <v>167</v>
      </c>
      <c r="B6129" t="s">
        <v>116</v>
      </c>
      <c r="C6129" s="35" t="s">
        <v>422</v>
      </c>
      <c r="D6129" t="s">
        <v>502</v>
      </c>
      <c r="E6129" t="s">
        <v>520</v>
      </c>
      <c r="F6129" s="188" t="n">
        <v>2048</v>
      </c>
      <c r="G6129" s="189" t="n">
        <v>37</v>
      </c>
      <c r="H6129" s="190" t="n">
        <v>1891.39293570072</v>
      </c>
      <c r="I6129" s="191" t="n">
        <v>4842041.78528785</v>
      </c>
      <c r="J6129" s="192" t="str">
        <f>IF(I6129&gt;0,H6129/I6129,0)</f>
      </c>
      <c r="K6129" s="193" t="str">
        <f>1-EXP(-J6129)</f>
      </c>
      <c r="L6129" s="194" t="str">
        <f>IF(G6129=30,1,M6128)</f>
      </c>
      <c r="M6129" s="195" t="str">
        <f>L6129*(1-K6129)</f>
      </c>
    </row>
    <row r="6130">
      <c r="A6130" t="s">
        <v>167</v>
      </c>
      <c r="B6130" t="s">
        <v>116</v>
      </c>
      <c r="C6130" s="35" t="s">
        <v>422</v>
      </c>
      <c r="D6130" t="s">
        <v>502</v>
      </c>
      <c r="E6130" t="s">
        <v>520</v>
      </c>
      <c r="F6130" s="188" t="n">
        <v>2048</v>
      </c>
      <c r="G6130" s="189" t="n">
        <v>38</v>
      </c>
      <c r="H6130" s="190" t="n">
        <v>1985.74404384212</v>
      </c>
      <c r="I6130" s="191" t="n">
        <v>4707374.87527129</v>
      </c>
      <c r="J6130" s="192" t="str">
        <f>IF(I6130&gt;0,H6130/I6130,0)</f>
      </c>
      <c r="K6130" s="193" t="str">
        <f>1-EXP(-J6130)</f>
      </c>
      <c r="L6130" s="194" t="str">
        <f>IF(G6130=30,1,M6129)</f>
      </c>
      <c r="M6130" s="195" t="str">
        <f>L6130*(1-K6130)</f>
      </c>
    </row>
    <row r="6131">
      <c r="A6131" t="s">
        <v>167</v>
      </c>
      <c r="B6131" t="s">
        <v>116</v>
      </c>
      <c r="C6131" s="35" t="s">
        <v>422</v>
      </c>
      <c r="D6131" t="s">
        <v>502</v>
      </c>
      <c r="E6131" t="s">
        <v>520</v>
      </c>
      <c r="F6131" s="188" t="n">
        <v>2048</v>
      </c>
      <c r="G6131" s="189" t="n">
        <v>39</v>
      </c>
      <c r="H6131" s="190" t="n">
        <v>2117.92964973527</v>
      </c>
      <c r="I6131" s="191" t="n">
        <v>4634884.88450375</v>
      </c>
      <c r="J6131" s="192" t="str">
        <f>IF(I6131&gt;0,H6131/I6131,0)</f>
      </c>
      <c r="K6131" s="193" t="str">
        <f>1-EXP(-J6131)</f>
      </c>
      <c r="L6131" s="194" t="str">
        <f>IF(G6131=30,1,M6130)</f>
      </c>
      <c r="M6131" s="195" t="str">
        <f>L6131*(1-K6131)</f>
      </c>
    </row>
    <row r="6132">
      <c r="A6132" t="s">
        <v>167</v>
      </c>
      <c r="B6132" t="s">
        <v>116</v>
      </c>
      <c r="C6132" s="35" t="s">
        <v>422</v>
      </c>
      <c r="D6132" t="s">
        <v>502</v>
      </c>
      <c r="E6132" t="s">
        <v>520</v>
      </c>
      <c r="F6132" s="188" t="n">
        <v>2048</v>
      </c>
      <c r="G6132" s="189" t="n">
        <v>40</v>
      </c>
      <c r="H6132" s="190" t="n">
        <v>2821.37165526927</v>
      </c>
      <c r="I6132" s="191" t="n">
        <v>4589834.94816547</v>
      </c>
      <c r="J6132" s="192" t="str">
        <f>IF(I6132&gt;0,H6132/I6132,0)</f>
      </c>
      <c r="K6132" s="193" t="str">
        <f>1-EXP(-J6132)</f>
      </c>
      <c r="L6132" s="194" t="str">
        <f>IF(G6132=30,1,M6131)</f>
      </c>
      <c r="M6132" s="195" t="str">
        <f>L6132*(1-K6132)</f>
      </c>
    </row>
    <row r="6133">
      <c r="A6133" t="s">
        <v>167</v>
      </c>
      <c r="B6133" t="s">
        <v>116</v>
      </c>
      <c r="C6133" s="35" t="s">
        <v>422</v>
      </c>
      <c r="D6133" t="s">
        <v>502</v>
      </c>
      <c r="E6133" t="s">
        <v>520</v>
      </c>
      <c r="F6133" s="188" t="n">
        <v>2048</v>
      </c>
      <c r="G6133" s="189" t="n">
        <v>41</v>
      </c>
      <c r="H6133" s="190" t="n">
        <v>3225.75494070391</v>
      </c>
      <c r="I6133" s="191" t="n">
        <v>4611084.83780736</v>
      </c>
      <c r="J6133" s="192" t="str">
        <f>IF(I6133&gt;0,H6133/I6133,0)</f>
      </c>
      <c r="K6133" s="193" t="str">
        <f>1-EXP(-J6133)</f>
      </c>
      <c r="L6133" s="194" t="str">
        <f>IF(G6133=30,1,M6132)</f>
      </c>
      <c r="M6133" s="195" t="str">
        <f>L6133*(1-K6133)</f>
      </c>
    </row>
    <row r="6134">
      <c r="A6134" t="s">
        <v>167</v>
      </c>
      <c r="B6134" t="s">
        <v>116</v>
      </c>
      <c r="C6134" s="35" t="s">
        <v>422</v>
      </c>
      <c r="D6134" t="s">
        <v>502</v>
      </c>
      <c r="E6134" t="s">
        <v>520</v>
      </c>
      <c r="F6134" s="188" t="n">
        <v>2048</v>
      </c>
      <c r="G6134" s="189" t="n">
        <v>42</v>
      </c>
      <c r="H6134" s="190" t="n">
        <v>3440.98520395475</v>
      </c>
      <c r="I6134" s="191" t="n">
        <v>4525106.38034857</v>
      </c>
      <c r="J6134" s="192" t="str">
        <f>IF(I6134&gt;0,H6134/I6134,0)</f>
      </c>
      <c r="K6134" s="193" t="str">
        <f>1-EXP(-J6134)</f>
      </c>
      <c r="L6134" s="194" t="str">
        <f>IF(G6134=30,1,M6133)</f>
      </c>
      <c r="M6134" s="195" t="str">
        <f>L6134*(1-K6134)</f>
      </c>
    </row>
    <row r="6135">
      <c r="A6135" t="s">
        <v>167</v>
      </c>
      <c r="B6135" t="s">
        <v>116</v>
      </c>
      <c r="C6135" s="35" t="s">
        <v>422</v>
      </c>
      <c r="D6135" t="s">
        <v>502</v>
      </c>
      <c r="E6135" t="s">
        <v>520</v>
      </c>
      <c r="F6135" s="188" t="n">
        <v>2048</v>
      </c>
      <c r="G6135" s="189" t="n">
        <v>43</v>
      </c>
      <c r="H6135" s="190" t="n">
        <v>3694.8480290566</v>
      </c>
      <c r="I6135" s="191" t="n">
        <v>4460249.68558517</v>
      </c>
      <c r="J6135" s="192" t="str">
        <f>IF(I6135&gt;0,H6135/I6135,0)</f>
      </c>
      <c r="K6135" s="193" t="str">
        <f>1-EXP(-J6135)</f>
      </c>
      <c r="L6135" s="194" t="str">
        <f>IF(G6135=30,1,M6134)</f>
      </c>
      <c r="M6135" s="195" t="str">
        <f>L6135*(1-K6135)</f>
      </c>
    </row>
    <row r="6136">
      <c r="A6136" t="s">
        <v>167</v>
      </c>
      <c r="B6136" t="s">
        <v>116</v>
      </c>
      <c r="C6136" s="35" t="s">
        <v>422</v>
      </c>
      <c r="D6136" t="s">
        <v>502</v>
      </c>
      <c r="E6136" t="s">
        <v>520</v>
      </c>
      <c r="F6136" s="188" t="n">
        <v>2048</v>
      </c>
      <c r="G6136" s="189" t="n">
        <v>44</v>
      </c>
      <c r="H6136" s="190" t="n">
        <v>3917.72484841551</v>
      </c>
      <c r="I6136" s="191" t="n">
        <v>4328399.45625325</v>
      </c>
      <c r="J6136" s="192" t="str">
        <f>IF(I6136&gt;0,H6136/I6136,0)</f>
      </c>
      <c r="K6136" s="193" t="str">
        <f>1-EXP(-J6136)</f>
      </c>
      <c r="L6136" s="194" t="str">
        <f>IF(G6136=30,1,M6135)</f>
      </c>
      <c r="M6136" s="195" t="str">
        <f>L6136*(1-K6136)</f>
      </c>
    </row>
    <row r="6137">
      <c r="A6137" t="s">
        <v>167</v>
      </c>
      <c r="B6137" t="s">
        <v>116</v>
      </c>
      <c r="C6137" s="35" t="s">
        <v>422</v>
      </c>
      <c r="D6137" t="s">
        <v>502</v>
      </c>
      <c r="E6137" t="s">
        <v>520</v>
      </c>
      <c r="F6137" s="188" t="n">
        <v>2048</v>
      </c>
      <c r="G6137" s="189" t="n">
        <v>45</v>
      </c>
      <c r="H6137" s="190" t="n">
        <v>4966.27148732715</v>
      </c>
      <c r="I6137" s="191" t="n">
        <v>4257920.92363815</v>
      </c>
      <c r="J6137" s="192" t="str">
        <f>IF(I6137&gt;0,H6137/I6137,0)</f>
      </c>
      <c r="K6137" s="193" t="str">
        <f>1-EXP(-J6137)</f>
      </c>
      <c r="L6137" s="194" t="str">
        <f>IF(G6137=30,1,M6136)</f>
      </c>
      <c r="M6137" s="195" t="str">
        <f>L6137*(1-K6137)</f>
      </c>
    </row>
    <row r="6138">
      <c r="A6138" t="s">
        <v>167</v>
      </c>
      <c r="B6138" t="s">
        <v>116</v>
      </c>
      <c r="C6138" s="35" t="s">
        <v>422</v>
      </c>
      <c r="D6138" t="s">
        <v>502</v>
      </c>
      <c r="E6138" t="s">
        <v>520</v>
      </c>
      <c r="F6138" s="188" t="n">
        <v>2048</v>
      </c>
      <c r="G6138" s="189" t="n">
        <v>46</v>
      </c>
      <c r="H6138" s="190" t="n">
        <v>5620.0482883746</v>
      </c>
      <c r="I6138" s="191" t="n">
        <v>4226769.0568482</v>
      </c>
      <c r="J6138" s="192" t="str">
        <f>IF(I6138&gt;0,H6138/I6138,0)</f>
      </c>
      <c r="K6138" s="193" t="str">
        <f>1-EXP(-J6138)</f>
      </c>
      <c r="L6138" s="194" t="str">
        <f>IF(G6138=30,1,M6137)</f>
      </c>
      <c r="M6138" s="195" t="str">
        <f>L6138*(1-K6138)</f>
      </c>
    </row>
    <row r="6139">
      <c r="A6139" t="s">
        <v>167</v>
      </c>
      <c r="B6139" t="s">
        <v>116</v>
      </c>
      <c r="C6139" s="35" t="s">
        <v>422</v>
      </c>
      <c r="D6139" t="s">
        <v>502</v>
      </c>
      <c r="E6139" t="s">
        <v>520</v>
      </c>
      <c r="F6139" s="188" t="n">
        <v>2048</v>
      </c>
      <c r="G6139" s="189" t="n">
        <v>47</v>
      </c>
      <c r="H6139" s="190" t="n">
        <v>6131.13058583138</v>
      </c>
      <c r="I6139" s="191" t="n">
        <v>4198849.14402779</v>
      </c>
      <c r="J6139" s="192" t="str">
        <f>IF(I6139&gt;0,H6139/I6139,0)</f>
      </c>
      <c r="K6139" s="193" t="str">
        <f>1-EXP(-J6139)</f>
      </c>
      <c r="L6139" s="194" t="str">
        <f>IF(G6139=30,1,M6138)</f>
      </c>
      <c r="M6139" s="195" t="str">
        <f>L6139*(1-K6139)</f>
      </c>
    </row>
    <row r="6140">
      <c r="A6140" t="s">
        <v>167</v>
      </c>
      <c r="B6140" t="s">
        <v>116</v>
      </c>
      <c r="C6140" s="35" t="s">
        <v>422</v>
      </c>
      <c r="D6140" t="s">
        <v>502</v>
      </c>
      <c r="E6140" t="s">
        <v>520</v>
      </c>
      <c r="F6140" s="188" t="n">
        <v>2048</v>
      </c>
      <c r="G6140" s="189" t="n">
        <v>48</v>
      </c>
      <c r="H6140" s="190" t="n">
        <v>6700.29641549047</v>
      </c>
      <c r="I6140" s="191" t="n">
        <v>4169677.50599006</v>
      </c>
      <c r="J6140" s="192" t="str">
        <f>IF(I6140&gt;0,H6140/I6140,0)</f>
      </c>
      <c r="K6140" s="193" t="str">
        <f>1-EXP(-J6140)</f>
      </c>
      <c r="L6140" s="194" t="str">
        <f>IF(G6140=30,1,M6139)</f>
      </c>
      <c r="M6140" s="195" t="str">
        <f>L6140*(1-K6140)</f>
      </c>
    </row>
    <row r="6141">
      <c r="A6141" t="s">
        <v>167</v>
      </c>
      <c r="B6141" t="s">
        <v>116</v>
      </c>
      <c r="C6141" s="35" t="s">
        <v>422</v>
      </c>
      <c r="D6141" t="s">
        <v>502</v>
      </c>
      <c r="E6141" t="s">
        <v>520</v>
      </c>
      <c r="F6141" s="188" t="n">
        <v>2048</v>
      </c>
      <c r="G6141" s="189" t="n">
        <v>49</v>
      </c>
      <c r="H6141" s="190" t="n">
        <v>7396.31312790715</v>
      </c>
      <c r="I6141" s="191" t="n">
        <v>4177738.48244218</v>
      </c>
      <c r="J6141" s="192" t="str">
        <f>IF(I6141&gt;0,H6141/I6141,0)</f>
      </c>
      <c r="K6141" s="193" t="str">
        <f>1-EXP(-J6141)</f>
      </c>
      <c r="L6141" s="194" t="str">
        <f>IF(G6141=30,1,M6140)</f>
      </c>
      <c r="M6141" s="195" t="str">
        <f>L6141*(1-K6141)</f>
      </c>
    </row>
    <row r="6142">
      <c r="A6142" t="s">
        <v>167</v>
      </c>
      <c r="B6142" t="s">
        <v>116</v>
      </c>
      <c r="C6142" s="35" t="s">
        <v>422</v>
      </c>
      <c r="D6142" t="s">
        <v>502</v>
      </c>
      <c r="E6142" t="s">
        <v>520</v>
      </c>
      <c r="F6142" s="188" t="n">
        <v>2048</v>
      </c>
      <c r="G6142" s="189" t="n">
        <v>50</v>
      </c>
      <c r="H6142" s="190" t="n">
        <v>8556.00539313991</v>
      </c>
      <c r="I6142" s="191" t="n">
        <v>4222037.02407456</v>
      </c>
      <c r="J6142" s="192" t="str">
        <f>IF(I6142&gt;0,H6142/I6142,0)</f>
      </c>
      <c r="K6142" s="193" t="str">
        <f>1-EXP(-J6142)</f>
      </c>
      <c r="L6142" s="194" t="str">
        <f>IF(G6142=30,1,M6141)</f>
      </c>
      <c r="M6142" s="195" t="str">
        <f>L6142*(1-K6142)</f>
      </c>
    </row>
    <row r="6143">
      <c r="A6143" t="s">
        <v>167</v>
      </c>
      <c r="B6143" t="s">
        <v>116</v>
      </c>
      <c r="C6143" s="35" t="s">
        <v>422</v>
      </c>
      <c r="D6143" t="s">
        <v>502</v>
      </c>
      <c r="E6143" t="s">
        <v>520</v>
      </c>
      <c r="F6143" s="188" t="n">
        <v>2048</v>
      </c>
      <c r="G6143" s="189" t="n">
        <v>51</v>
      </c>
      <c r="H6143" s="190" t="n">
        <v>9816.48311739087</v>
      </c>
      <c r="I6143" s="191" t="n">
        <v>4336609.80270783</v>
      </c>
      <c r="J6143" s="192" t="str">
        <f>IF(I6143&gt;0,H6143/I6143,0)</f>
      </c>
      <c r="K6143" s="193" t="str">
        <f>1-EXP(-J6143)</f>
      </c>
      <c r="L6143" s="194" t="str">
        <f>IF(G6143=30,1,M6142)</f>
      </c>
      <c r="M6143" s="195" t="str">
        <f>L6143*(1-K6143)</f>
      </c>
    </row>
    <row r="6144">
      <c r="A6144" t="s">
        <v>167</v>
      </c>
      <c r="B6144" t="s">
        <v>116</v>
      </c>
      <c r="C6144" s="35" t="s">
        <v>422</v>
      </c>
      <c r="D6144" t="s">
        <v>502</v>
      </c>
      <c r="E6144" t="s">
        <v>520</v>
      </c>
      <c r="F6144" s="188" t="n">
        <v>2048</v>
      </c>
      <c r="G6144" s="189" t="n">
        <v>52</v>
      </c>
      <c r="H6144" s="190" t="n">
        <v>10612.8742692114</v>
      </c>
      <c r="I6144" s="191" t="n">
        <v>4278487.15394299</v>
      </c>
      <c r="J6144" s="192" t="str">
        <f>IF(I6144&gt;0,H6144/I6144,0)</f>
      </c>
      <c r="K6144" s="193" t="str">
        <f>1-EXP(-J6144)</f>
      </c>
      <c r="L6144" s="194" t="str">
        <f>IF(G6144=30,1,M6143)</f>
      </c>
      <c r="M6144" s="195" t="str">
        <f>L6144*(1-K6144)</f>
      </c>
    </row>
    <row r="6145">
      <c r="A6145" t="s">
        <v>167</v>
      </c>
      <c r="B6145" t="s">
        <v>116</v>
      </c>
      <c r="C6145" s="35" t="s">
        <v>422</v>
      </c>
      <c r="D6145" t="s">
        <v>502</v>
      </c>
      <c r="E6145" t="s">
        <v>520</v>
      </c>
      <c r="F6145" s="188" t="n">
        <v>2048</v>
      </c>
      <c r="G6145" s="189" t="n">
        <v>53</v>
      </c>
      <c r="H6145" s="190" t="n">
        <v>11364.1607616095</v>
      </c>
      <c r="I6145" s="191" t="n">
        <v>4190326.08010864</v>
      </c>
      <c r="J6145" s="192" t="str">
        <f>IF(I6145&gt;0,H6145/I6145,0)</f>
      </c>
      <c r="K6145" s="193" t="str">
        <f>1-EXP(-J6145)</f>
      </c>
      <c r="L6145" s="194" t="str">
        <f>IF(G6145=30,1,M6144)</f>
      </c>
      <c r="M6145" s="195" t="str">
        <f>L6145*(1-K6145)</f>
      </c>
    </row>
    <row r="6146">
      <c r="A6146" t="s">
        <v>167</v>
      </c>
      <c r="B6146" t="s">
        <v>116</v>
      </c>
      <c r="C6146" s="35" t="s">
        <v>422</v>
      </c>
      <c r="D6146" t="s">
        <v>502</v>
      </c>
      <c r="E6146" t="s">
        <v>520</v>
      </c>
      <c r="F6146" s="188" t="n">
        <v>2048</v>
      </c>
      <c r="G6146" s="189" t="n">
        <v>54</v>
      </c>
      <c r="H6146" s="190" t="n">
        <v>12182.3155107219</v>
      </c>
      <c r="I6146" s="191" t="n">
        <v>4115737.71267033</v>
      </c>
      <c r="J6146" s="192" t="str">
        <f>IF(I6146&gt;0,H6146/I6146,0)</f>
      </c>
      <c r="K6146" s="193" t="str">
        <f>1-EXP(-J6146)</f>
      </c>
      <c r="L6146" s="194" t="str">
        <f>IF(G6146=30,1,M6145)</f>
      </c>
      <c r="M6146" s="195" t="str">
        <f>L6146*(1-K6146)</f>
      </c>
    </row>
    <row r="6147">
      <c r="A6147" t="s">
        <v>167</v>
      </c>
      <c r="B6147" t="s">
        <v>116</v>
      </c>
      <c r="C6147" s="35" t="s">
        <v>422</v>
      </c>
      <c r="D6147" t="s">
        <v>502</v>
      </c>
      <c r="E6147" t="s">
        <v>520</v>
      </c>
      <c r="F6147" s="188" t="n">
        <v>2048</v>
      </c>
      <c r="G6147" s="189" t="n">
        <v>55</v>
      </c>
      <c r="H6147" s="190" t="n">
        <v>12792.1504378041</v>
      </c>
      <c r="I6147" s="191" t="n">
        <v>4043132.70759306</v>
      </c>
      <c r="J6147" s="192" t="str">
        <f>IF(I6147&gt;0,H6147/I6147,0)</f>
      </c>
      <c r="K6147" s="193" t="str">
        <f>1-EXP(-J6147)</f>
      </c>
      <c r="L6147" s="194" t="str">
        <f>IF(G6147=30,1,M6146)</f>
      </c>
      <c r="M6147" s="195" t="str">
        <f>L6147*(1-K6147)</f>
      </c>
    </row>
    <row r="6148">
      <c r="A6148" t="s">
        <v>167</v>
      </c>
      <c r="B6148" t="s">
        <v>116</v>
      </c>
      <c r="C6148" s="35" t="s">
        <v>422</v>
      </c>
      <c r="D6148" t="s">
        <v>502</v>
      </c>
      <c r="E6148" t="s">
        <v>520</v>
      </c>
      <c r="F6148" s="188" t="n">
        <v>2048</v>
      </c>
      <c r="G6148" s="189" t="n">
        <v>56</v>
      </c>
      <c r="H6148" s="190" t="n">
        <v>13860.8397647984</v>
      </c>
      <c r="I6148" s="191" t="n">
        <v>4054324.41510868</v>
      </c>
      <c r="J6148" s="192" t="str">
        <f>IF(I6148&gt;0,H6148/I6148,0)</f>
      </c>
      <c r="K6148" s="193" t="str">
        <f>1-EXP(-J6148)</f>
      </c>
      <c r="L6148" s="194" t="str">
        <f>IF(G6148=30,1,M6147)</f>
      </c>
      <c r="M6148" s="195" t="str">
        <f>L6148*(1-K6148)</f>
      </c>
    </row>
    <row r="6149">
      <c r="A6149" t="s">
        <v>167</v>
      </c>
      <c r="B6149" t="s">
        <v>116</v>
      </c>
      <c r="C6149" s="35" t="s">
        <v>422</v>
      </c>
      <c r="D6149" t="s">
        <v>502</v>
      </c>
      <c r="E6149" t="s">
        <v>520</v>
      </c>
      <c r="F6149" s="188" t="n">
        <v>2048</v>
      </c>
      <c r="G6149" s="189" t="n">
        <v>57</v>
      </c>
      <c r="H6149" s="190" t="n">
        <v>15103.3956964968</v>
      </c>
      <c r="I6149" s="191" t="n">
        <v>4044563.76481947</v>
      </c>
      <c r="J6149" s="192" t="str">
        <f>IF(I6149&gt;0,H6149/I6149,0)</f>
      </c>
      <c r="K6149" s="193" t="str">
        <f>1-EXP(-J6149)</f>
      </c>
      <c r="L6149" s="194" t="str">
        <f>IF(G6149=30,1,M6148)</f>
      </c>
      <c r="M6149" s="195" t="str">
        <f>L6149*(1-K6149)</f>
      </c>
    </row>
    <row r="6150">
      <c r="A6150" t="s">
        <v>167</v>
      </c>
      <c r="B6150" t="s">
        <v>116</v>
      </c>
      <c r="C6150" s="35" t="s">
        <v>422</v>
      </c>
      <c r="D6150" t="s">
        <v>502</v>
      </c>
      <c r="E6150" t="s">
        <v>520</v>
      </c>
      <c r="F6150" s="188" t="n">
        <v>2048</v>
      </c>
      <c r="G6150" s="189" t="n">
        <v>58</v>
      </c>
      <c r="H6150" s="190" t="n">
        <v>22007.1908420126</v>
      </c>
      <c r="I6150" s="191" t="n">
        <v>5946767.13607903</v>
      </c>
      <c r="J6150" s="192" t="str">
        <f>IF(I6150&gt;0,H6150/I6150,0)</f>
      </c>
      <c r="K6150" s="193" t="str">
        <f>1-EXP(-J6150)</f>
      </c>
      <c r="L6150" s="194" t="str">
        <f>IF(G6150=30,1,M6149)</f>
      </c>
      <c r="M6150" s="195" t="str">
        <f>L6150*(1-K6150)</f>
      </c>
    </row>
    <row r="6151">
      <c r="A6151" t="s">
        <v>167</v>
      </c>
      <c r="B6151" t="s">
        <v>116</v>
      </c>
      <c r="C6151" s="35" t="s">
        <v>422</v>
      </c>
      <c r="D6151" t="s">
        <v>502</v>
      </c>
      <c r="E6151" t="s">
        <v>520</v>
      </c>
      <c r="F6151" s="188" t="n">
        <v>2048</v>
      </c>
      <c r="G6151" s="189" t="n">
        <v>59</v>
      </c>
      <c r="H6151" s="190" t="n">
        <v>17688.725136903</v>
      </c>
      <c r="I6151" s="191" t="n">
        <v>3946463.98893329</v>
      </c>
      <c r="J6151" s="192" t="str">
        <f>IF(I6151&gt;0,H6151/I6151,0)</f>
      </c>
      <c r="K6151" s="193" t="str">
        <f>1-EXP(-J6151)</f>
      </c>
      <c r="L6151" s="194" t="str">
        <f>IF(G6151=30,1,M6150)</f>
      </c>
      <c r="M6151" s="195" t="str">
        <f>L6151*(1-K6151)</f>
      </c>
    </row>
    <row r="6152">
      <c r="A6152" t="s">
        <v>167</v>
      </c>
      <c r="B6152" t="s">
        <v>116</v>
      </c>
      <c r="C6152" s="35" t="s">
        <v>422</v>
      </c>
      <c r="D6152" t="s">
        <v>502</v>
      </c>
      <c r="E6152" t="s">
        <v>520</v>
      </c>
      <c r="F6152" s="188" t="n">
        <v>2048</v>
      </c>
      <c r="G6152" s="189" t="n">
        <v>60</v>
      </c>
      <c r="H6152" s="190" t="n">
        <v>18835.4228166896</v>
      </c>
      <c r="I6152" s="191" t="n">
        <v>3897273.46694957</v>
      </c>
      <c r="J6152" s="192" t="str">
        <f>IF(I6152&gt;0,H6152/I6152,0)</f>
      </c>
      <c r="K6152" s="193" t="str">
        <f>1-EXP(-J6152)</f>
      </c>
      <c r="L6152" s="194" t="str">
        <f>IF(G6152=30,1,M6151)</f>
      </c>
      <c r="M6152" s="195" t="str">
        <f>L6152*(1-K6152)</f>
      </c>
    </row>
    <row r="6153">
      <c r="A6153" t="s">
        <v>167</v>
      </c>
      <c r="B6153" t="s">
        <v>116</v>
      </c>
      <c r="C6153" s="35" t="s">
        <v>422</v>
      </c>
      <c r="D6153" t="s">
        <v>502</v>
      </c>
      <c r="E6153" t="s">
        <v>520</v>
      </c>
      <c r="F6153" s="188" t="n">
        <v>2048</v>
      </c>
      <c r="G6153" s="189" t="n">
        <v>61</v>
      </c>
      <c r="H6153" s="190" t="n">
        <v>19916.9326117871</v>
      </c>
      <c r="I6153" s="191" t="n">
        <v>3741786.32379309</v>
      </c>
      <c r="J6153" s="192" t="str">
        <f>IF(I6153&gt;0,H6153/I6153,0)</f>
      </c>
      <c r="K6153" s="193" t="str">
        <f>1-EXP(-J6153)</f>
      </c>
      <c r="L6153" s="194" t="str">
        <f>IF(G6153=30,1,M6152)</f>
      </c>
      <c r="M6153" s="195" t="str">
        <f>L6153*(1-K6153)</f>
      </c>
    </row>
    <row r="6154">
      <c r="A6154" t="s">
        <v>167</v>
      </c>
      <c r="B6154" t="s">
        <v>116</v>
      </c>
      <c r="C6154" s="35" t="s">
        <v>422</v>
      </c>
      <c r="D6154" t="s">
        <v>502</v>
      </c>
      <c r="E6154" t="s">
        <v>520</v>
      </c>
      <c r="F6154" s="188" t="n">
        <v>2048</v>
      </c>
      <c r="G6154" s="189" t="n">
        <v>62</v>
      </c>
      <c r="H6154" s="190" t="n">
        <v>21489.8656397821</v>
      </c>
      <c r="I6154" s="191" t="n">
        <v>3671913.69697251</v>
      </c>
      <c r="J6154" s="192" t="str">
        <f>IF(I6154&gt;0,H6154/I6154,0)</f>
      </c>
      <c r="K6154" s="193" t="str">
        <f>1-EXP(-J6154)</f>
      </c>
      <c r="L6154" s="194" t="str">
        <f>IF(G6154=30,1,M6153)</f>
      </c>
      <c r="M6154" s="195" t="str">
        <f>L6154*(1-K6154)</f>
      </c>
    </row>
    <row r="6155">
      <c r="A6155" t="s">
        <v>167</v>
      </c>
      <c r="B6155" t="s">
        <v>116</v>
      </c>
      <c r="C6155" s="35" t="s">
        <v>422</v>
      </c>
      <c r="D6155" t="s">
        <v>502</v>
      </c>
      <c r="E6155" t="s">
        <v>520</v>
      </c>
      <c r="F6155" s="188" t="n">
        <v>2048</v>
      </c>
      <c r="G6155" s="189" t="n">
        <v>63</v>
      </c>
      <c r="H6155" s="190" t="n">
        <v>23689.8231838531</v>
      </c>
      <c r="I6155" s="191" t="n">
        <v>3680929.41702662</v>
      </c>
      <c r="J6155" s="192" t="str">
        <f>IF(I6155&gt;0,H6155/I6155,0)</f>
      </c>
      <c r="K6155" s="193" t="str">
        <f>1-EXP(-J6155)</f>
      </c>
      <c r="L6155" s="194" t="str">
        <f>IF(G6155=30,1,M6154)</f>
      </c>
      <c r="M6155" s="195" t="str">
        <f>L6155*(1-K6155)</f>
      </c>
    </row>
    <row r="6156">
      <c r="A6156" t="s">
        <v>167</v>
      </c>
      <c r="B6156" t="s">
        <v>116</v>
      </c>
      <c r="C6156" s="35" t="s">
        <v>422</v>
      </c>
      <c r="D6156" t="s">
        <v>502</v>
      </c>
      <c r="E6156" t="s">
        <v>520</v>
      </c>
      <c r="F6156" s="188" t="n">
        <v>2048</v>
      </c>
      <c r="G6156" s="189" t="n">
        <v>64</v>
      </c>
      <c r="H6156" s="190" t="n">
        <v>26223.672363098</v>
      </c>
      <c r="I6156" s="191" t="n">
        <v>3706556.20773522</v>
      </c>
      <c r="J6156" s="192" t="str">
        <f>IF(I6156&gt;0,H6156/I6156,0)</f>
      </c>
      <c r="K6156" s="193" t="str">
        <f>1-EXP(-J6156)</f>
      </c>
      <c r="L6156" s="194" t="str">
        <f>IF(G6156=30,1,M6155)</f>
      </c>
      <c r="M6156" s="195" t="str">
        <f>L6156*(1-K6156)</f>
      </c>
    </row>
    <row r="6157">
      <c r="A6157" t="s">
        <v>167</v>
      </c>
      <c r="B6157" t="s">
        <v>116</v>
      </c>
      <c r="C6157" s="35" t="s">
        <v>422</v>
      </c>
      <c r="D6157" t="s">
        <v>502</v>
      </c>
      <c r="E6157" t="s">
        <v>520</v>
      </c>
      <c r="F6157" s="188" t="n">
        <v>2048</v>
      </c>
      <c r="G6157" s="189" t="n">
        <v>65</v>
      </c>
      <c r="H6157" s="190" t="n">
        <v>26850.2922009238</v>
      </c>
      <c r="I6157" s="191" t="n">
        <v>3633517.46053342</v>
      </c>
      <c r="J6157" s="192" t="str">
        <f>IF(I6157&gt;0,H6157/I6157,0)</f>
      </c>
      <c r="K6157" s="193" t="str">
        <f>1-EXP(-J6157)</f>
      </c>
      <c r="L6157" s="194" t="str">
        <f>IF(G6157=30,1,M6156)</f>
      </c>
      <c r="M6157" s="195" t="str">
        <f>L6157*(1-K6157)</f>
      </c>
    </row>
    <row r="6158">
      <c r="A6158" t="s">
        <v>167</v>
      </c>
      <c r="B6158" t="s">
        <v>116</v>
      </c>
      <c r="C6158" s="35" t="s">
        <v>422</v>
      </c>
      <c r="D6158" t="s">
        <v>502</v>
      </c>
      <c r="E6158" t="s">
        <v>520</v>
      </c>
      <c r="F6158" s="188" t="n">
        <v>2048</v>
      </c>
      <c r="G6158" s="189" t="n">
        <v>66</v>
      </c>
      <c r="H6158" s="190" t="n">
        <v>28064.9100963864</v>
      </c>
      <c r="I6158" s="191" t="n">
        <v>3462873.9253273</v>
      </c>
      <c r="J6158" s="192" t="str">
        <f>IF(I6158&gt;0,H6158/I6158,0)</f>
      </c>
      <c r="K6158" s="193" t="str">
        <f>1-EXP(-J6158)</f>
      </c>
      <c r="L6158" s="194" t="str">
        <f>IF(G6158=30,1,M6157)</f>
      </c>
      <c r="M6158" s="195" t="str">
        <f>L6158*(1-K6158)</f>
      </c>
    </row>
    <row r="6159">
      <c r="A6159" t="s">
        <v>167</v>
      </c>
      <c r="B6159" t="s">
        <v>116</v>
      </c>
      <c r="C6159" s="35" t="s">
        <v>422</v>
      </c>
      <c r="D6159" t="s">
        <v>502</v>
      </c>
      <c r="E6159" t="s">
        <v>520</v>
      </c>
      <c r="F6159" s="188" t="n">
        <v>2048</v>
      </c>
      <c r="G6159" s="189" t="n">
        <v>67</v>
      </c>
      <c r="H6159" s="190" t="n">
        <v>29792.4482796692</v>
      </c>
      <c r="I6159" s="191" t="n">
        <v>3342686.14675453</v>
      </c>
      <c r="J6159" s="192" t="str">
        <f>IF(I6159&gt;0,H6159/I6159,0)</f>
      </c>
      <c r="K6159" s="193" t="str">
        <f>1-EXP(-J6159)</f>
      </c>
      <c r="L6159" s="194" t="str">
        <f>IF(G6159=30,1,M6158)</f>
      </c>
      <c r="M6159" s="195" t="str">
        <f>L6159*(1-K6159)</f>
      </c>
    </row>
    <row r="6160">
      <c r="A6160" t="s">
        <v>167</v>
      </c>
      <c r="B6160" t="s">
        <v>116</v>
      </c>
      <c r="C6160" s="35" t="s">
        <v>422</v>
      </c>
      <c r="D6160" t="s">
        <v>502</v>
      </c>
      <c r="E6160" t="s">
        <v>520</v>
      </c>
      <c r="F6160" s="188" t="n">
        <v>2048</v>
      </c>
      <c r="G6160" s="189" t="n">
        <v>68</v>
      </c>
      <c r="H6160" s="190" t="n">
        <v>31712.6431679193</v>
      </c>
      <c r="I6160" s="191" t="n">
        <v>3232833.36495324</v>
      </c>
      <c r="J6160" s="192" t="str">
        <f>IF(I6160&gt;0,H6160/I6160,0)</f>
      </c>
      <c r="K6160" s="193" t="str">
        <f>1-EXP(-J6160)</f>
      </c>
      <c r="L6160" s="194" t="str">
        <f>IF(G6160=30,1,M6159)</f>
      </c>
      <c r="M6160" s="195" t="str">
        <f>L6160*(1-K6160)</f>
      </c>
    </row>
    <row r="6161">
      <c r="A6161" t="s">
        <v>167</v>
      </c>
      <c r="B6161" t="s">
        <v>116</v>
      </c>
      <c r="C6161" s="35" t="s">
        <v>422</v>
      </c>
      <c r="D6161" t="s">
        <v>502</v>
      </c>
      <c r="E6161" t="s">
        <v>520</v>
      </c>
      <c r="F6161" s="188" t="n">
        <v>2048</v>
      </c>
      <c r="G6161" s="189" t="n">
        <v>69</v>
      </c>
      <c r="H6161" s="190" t="n">
        <v>33677.6666841975</v>
      </c>
      <c r="I6161" s="191" t="n">
        <v>3115654.04992058</v>
      </c>
      <c r="J6161" s="192" t="str">
        <f>IF(I6161&gt;0,H6161/I6161,0)</f>
      </c>
      <c r="K6161" s="193" t="str">
        <f>1-EXP(-J6161)</f>
      </c>
      <c r="L6161" s="194" t="str">
        <f>IF(G6161=30,1,M6160)</f>
      </c>
      <c r="M6161" s="195" t="str">
        <f>L6161*(1-K6161)</f>
      </c>
    </row>
    <row r="6162">
      <c r="A6162" t="s">
        <v>167</v>
      </c>
      <c r="B6162" t="s">
        <v>116</v>
      </c>
      <c r="C6162" s="35" t="s">
        <v>422</v>
      </c>
      <c r="D6162" t="s">
        <v>502</v>
      </c>
      <c r="E6162" t="s">
        <v>520</v>
      </c>
      <c r="F6162" s="188" t="n">
        <v>2049</v>
      </c>
      <c r="G6162" s="189" t="n">
        <v>30</v>
      </c>
      <c r="H6162" s="190" t="n">
        <v>557.319497814828</v>
      </c>
      <c r="I6162" s="191" t="n">
        <v>4266723.7428213</v>
      </c>
      <c r="J6162" s="192" t="str">
        <f>IF(I6162&gt;0,H6162/I6162,0)</f>
      </c>
      <c r="K6162" s="193" t="str">
        <f>1-EXP(-J6162)</f>
      </c>
      <c r="L6162" s="194" t="str">
        <f>IF(G6162=30,1,M6161)</f>
      </c>
      <c r="M6162" s="195" t="str">
        <f>L6162*(1-K6162)</f>
      </c>
    </row>
    <row r="6163">
      <c r="A6163" t="s">
        <v>167</v>
      </c>
      <c r="B6163" t="s">
        <v>116</v>
      </c>
      <c r="C6163" s="35" t="s">
        <v>422</v>
      </c>
      <c r="D6163" t="s">
        <v>502</v>
      </c>
      <c r="E6163" t="s">
        <v>520</v>
      </c>
      <c r="F6163" s="188" t="n">
        <v>2049</v>
      </c>
      <c r="G6163" s="189" t="n">
        <v>31</v>
      </c>
      <c r="H6163" s="190" t="n">
        <v>765.770557723808</v>
      </c>
      <c r="I6163" s="191" t="n">
        <v>4270884.31188726</v>
      </c>
      <c r="J6163" s="192" t="str">
        <f>IF(I6163&gt;0,H6163/I6163,0)</f>
      </c>
      <c r="K6163" s="193" t="str">
        <f>1-EXP(-J6163)</f>
      </c>
      <c r="L6163" s="194" t="str">
        <f>IF(G6163=30,1,M6162)</f>
      </c>
      <c r="M6163" s="195" t="str">
        <f>L6163*(1-K6163)</f>
      </c>
    </row>
    <row r="6164">
      <c r="A6164" t="s">
        <v>167</v>
      </c>
      <c r="B6164" t="s">
        <v>116</v>
      </c>
      <c r="C6164" s="35" t="s">
        <v>422</v>
      </c>
      <c r="D6164" t="s">
        <v>502</v>
      </c>
      <c r="E6164" t="s">
        <v>520</v>
      </c>
      <c r="F6164" s="188" t="n">
        <v>2049</v>
      </c>
      <c r="G6164" s="189" t="n">
        <v>32</v>
      </c>
      <c r="H6164" s="190" t="n">
        <v>816.935999197703</v>
      </c>
      <c r="I6164" s="191" t="n">
        <v>4311510.98336534</v>
      </c>
      <c r="J6164" s="192" t="str">
        <f>IF(I6164&gt;0,H6164/I6164,0)</f>
      </c>
      <c r="K6164" s="193" t="str">
        <f>1-EXP(-J6164)</f>
      </c>
      <c r="L6164" s="194" t="str">
        <f>IF(G6164=30,1,M6163)</f>
      </c>
      <c r="M6164" s="195" t="str">
        <f>L6164*(1-K6164)</f>
      </c>
    </row>
    <row r="6165">
      <c r="A6165" t="s">
        <v>167</v>
      </c>
      <c r="B6165" t="s">
        <v>116</v>
      </c>
      <c r="C6165" s="35" t="s">
        <v>422</v>
      </c>
      <c r="D6165" t="s">
        <v>502</v>
      </c>
      <c r="E6165" t="s">
        <v>520</v>
      </c>
      <c r="F6165" s="188" t="n">
        <v>2049</v>
      </c>
      <c r="G6165" s="189" t="n">
        <v>33</v>
      </c>
      <c r="H6165" s="190" t="n">
        <v>954.770583195842</v>
      </c>
      <c r="I6165" s="191" t="n">
        <v>4573603.14161763</v>
      </c>
      <c r="J6165" s="192" t="str">
        <f>IF(I6165&gt;0,H6165/I6165,0)</f>
      </c>
      <c r="K6165" s="193" t="str">
        <f>1-EXP(-J6165)</f>
      </c>
      <c r="L6165" s="194" t="str">
        <f>IF(G6165=30,1,M6164)</f>
      </c>
      <c r="M6165" s="195" t="str">
        <f>L6165*(1-K6165)</f>
      </c>
    </row>
    <row r="6166">
      <c r="A6166" t="s">
        <v>167</v>
      </c>
      <c r="B6166" t="s">
        <v>116</v>
      </c>
      <c r="C6166" s="35" t="s">
        <v>422</v>
      </c>
      <c r="D6166" t="s">
        <v>502</v>
      </c>
      <c r="E6166" t="s">
        <v>520</v>
      </c>
      <c r="F6166" s="188" t="n">
        <v>2049</v>
      </c>
      <c r="G6166" s="189" t="n">
        <v>34</v>
      </c>
      <c r="H6166" s="190" t="n">
        <v>1062.70147701362</v>
      </c>
      <c r="I6166" s="191" t="n">
        <v>4621885.26751624</v>
      </c>
      <c r="J6166" s="192" t="str">
        <f>IF(I6166&gt;0,H6166/I6166,0)</f>
      </c>
      <c r="K6166" s="193" t="str">
        <f>1-EXP(-J6166)</f>
      </c>
      <c r="L6166" s="194" t="str">
        <f>IF(G6166=30,1,M6165)</f>
      </c>
      <c r="M6166" s="195" t="str">
        <f>L6166*(1-K6166)</f>
      </c>
    </row>
    <row r="6167">
      <c r="A6167" t="s">
        <v>167</v>
      </c>
      <c r="B6167" t="s">
        <v>116</v>
      </c>
      <c r="C6167" s="35" t="s">
        <v>422</v>
      </c>
      <c r="D6167" t="s">
        <v>502</v>
      </c>
      <c r="E6167" t="s">
        <v>520</v>
      </c>
      <c r="F6167" s="188" t="n">
        <v>2049</v>
      </c>
      <c r="G6167" s="189" t="n">
        <v>35</v>
      </c>
      <c r="H6167" s="190" t="n">
        <v>1394.92175636876</v>
      </c>
      <c r="I6167" s="191" t="n">
        <v>4687541.16544931</v>
      </c>
      <c r="J6167" s="192" t="str">
        <f>IF(I6167&gt;0,H6167/I6167,0)</f>
      </c>
      <c r="K6167" s="193" t="str">
        <f>1-EXP(-J6167)</f>
      </c>
      <c r="L6167" s="194" t="str">
        <f>IF(G6167=30,1,M6166)</f>
      </c>
      <c r="M6167" s="195" t="str">
        <f>L6167*(1-K6167)</f>
      </c>
    </row>
    <row r="6168">
      <c r="A6168" t="s">
        <v>167</v>
      </c>
      <c r="B6168" t="s">
        <v>116</v>
      </c>
      <c r="C6168" s="35" t="s">
        <v>422</v>
      </c>
      <c r="D6168" t="s">
        <v>502</v>
      </c>
      <c r="E6168" t="s">
        <v>520</v>
      </c>
      <c r="F6168" s="188" t="n">
        <v>2049</v>
      </c>
      <c r="G6168" s="189" t="n">
        <v>36</v>
      </c>
      <c r="H6168" s="190" t="n">
        <v>1675.63691358492</v>
      </c>
      <c r="I6168" s="191" t="n">
        <v>4754125.31869437</v>
      </c>
      <c r="J6168" s="192" t="str">
        <f>IF(I6168&gt;0,H6168/I6168,0)</f>
      </c>
      <c r="K6168" s="193" t="str">
        <f>1-EXP(-J6168)</f>
      </c>
      <c r="L6168" s="194" t="str">
        <f>IF(G6168=30,1,M6167)</f>
      </c>
      <c r="M6168" s="195" t="str">
        <f>L6168*(1-K6168)</f>
      </c>
    </row>
    <row r="6169">
      <c r="A6169" t="s">
        <v>167</v>
      </c>
      <c r="B6169" t="s">
        <v>116</v>
      </c>
      <c r="C6169" s="35" t="s">
        <v>422</v>
      </c>
      <c r="D6169" t="s">
        <v>502</v>
      </c>
      <c r="E6169" t="s">
        <v>520</v>
      </c>
      <c r="F6169" s="188" t="n">
        <v>2049</v>
      </c>
      <c r="G6169" s="189" t="n">
        <v>37</v>
      </c>
      <c r="H6169" s="190" t="n">
        <v>1893.64960576024</v>
      </c>
      <c r="I6169" s="191" t="n">
        <v>4864676.30536544</v>
      </c>
      <c r="J6169" s="192" t="str">
        <f>IF(I6169&gt;0,H6169/I6169,0)</f>
      </c>
      <c r="K6169" s="193" t="str">
        <f>1-EXP(-J6169)</f>
      </c>
      <c r="L6169" s="194" t="str">
        <f>IF(G6169=30,1,M6168)</f>
      </c>
      <c r="M6169" s="195" t="str">
        <f>L6169*(1-K6169)</f>
      </c>
    </row>
    <row r="6170">
      <c r="A6170" t="s">
        <v>167</v>
      </c>
      <c r="B6170" t="s">
        <v>116</v>
      </c>
      <c r="C6170" s="35" t="s">
        <v>422</v>
      </c>
      <c r="D6170" t="s">
        <v>502</v>
      </c>
      <c r="E6170" t="s">
        <v>520</v>
      </c>
      <c r="F6170" s="188" t="n">
        <v>2049</v>
      </c>
      <c r="G6170" s="189" t="n">
        <v>38</v>
      </c>
      <c r="H6170" s="190" t="n">
        <v>2032.24139466178</v>
      </c>
      <c r="I6170" s="191" t="n">
        <v>4834906.41260593</v>
      </c>
      <c r="J6170" s="192" t="str">
        <f>IF(I6170&gt;0,H6170/I6170,0)</f>
      </c>
      <c r="K6170" s="193" t="str">
        <f>1-EXP(-J6170)</f>
      </c>
      <c r="L6170" s="194" t="str">
        <f>IF(G6170=30,1,M6169)</f>
      </c>
      <c r="M6170" s="195" t="str">
        <f>L6170*(1-K6170)</f>
      </c>
    </row>
    <row r="6171">
      <c r="A6171" t="s">
        <v>167</v>
      </c>
      <c r="B6171" t="s">
        <v>116</v>
      </c>
      <c r="C6171" s="35" t="s">
        <v>422</v>
      </c>
      <c r="D6171" t="s">
        <v>502</v>
      </c>
      <c r="E6171" t="s">
        <v>520</v>
      </c>
      <c r="F6171" s="188" t="n">
        <v>2049</v>
      </c>
      <c r="G6171" s="189" t="n">
        <v>39</v>
      </c>
      <c r="H6171" s="190" t="n">
        <v>2139.64515122517</v>
      </c>
      <c r="I6171" s="191" t="n">
        <v>4699943.44012129</v>
      </c>
      <c r="J6171" s="192" t="str">
        <f>IF(I6171&gt;0,H6171/I6171,0)</f>
      </c>
      <c r="K6171" s="193" t="str">
        <f>1-EXP(-J6171)</f>
      </c>
      <c r="L6171" s="194" t="str">
        <f>IF(G6171=30,1,M6170)</f>
      </c>
      <c r="M6171" s="195" t="str">
        <f>L6171*(1-K6171)</f>
      </c>
    </row>
    <row r="6172">
      <c r="A6172" t="s">
        <v>167</v>
      </c>
      <c r="B6172" t="s">
        <v>116</v>
      </c>
      <c r="C6172" s="35" t="s">
        <v>422</v>
      </c>
      <c r="D6172" t="s">
        <v>502</v>
      </c>
      <c r="E6172" t="s">
        <v>520</v>
      </c>
      <c r="F6172" s="188" t="n">
        <v>2049</v>
      </c>
      <c r="G6172" s="189" t="n">
        <v>40</v>
      </c>
      <c r="H6172" s="190" t="n">
        <v>2831.67632307879</v>
      </c>
      <c r="I6172" s="191" t="n">
        <v>4627019.93777974</v>
      </c>
      <c r="J6172" s="192" t="str">
        <f>IF(I6172&gt;0,H6172/I6172,0)</f>
      </c>
      <c r="K6172" s="193" t="str">
        <f>1-EXP(-J6172)</f>
      </c>
      <c r="L6172" s="194" t="str">
        <f>IF(G6172=30,1,M6171)</f>
      </c>
      <c r="M6172" s="195" t="str">
        <f>L6172*(1-K6172)</f>
      </c>
    </row>
    <row r="6173">
      <c r="A6173" t="s">
        <v>167</v>
      </c>
      <c r="B6173" t="s">
        <v>116</v>
      </c>
      <c r="C6173" s="35" t="s">
        <v>422</v>
      </c>
      <c r="D6173" t="s">
        <v>502</v>
      </c>
      <c r="E6173" t="s">
        <v>520</v>
      </c>
      <c r="F6173" s="188" t="n">
        <v>2049</v>
      </c>
      <c r="G6173" s="189" t="n">
        <v>41</v>
      </c>
      <c r="H6173" s="190" t="n">
        <v>3133.68554824877</v>
      </c>
      <c r="I6173" s="191" t="n">
        <v>4580828.71452775</v>
      </c>
      <c r="J6173" s="192" t="str">
        <f>IF(I6173&gt;0,H6173/I6173,0)</f>
      </c>
      <c r="K6173" s="193" t="str">
        <f>1-EXP(-J6173)</f>
      </c>
      <c r="L6173" s="194" t="str">
        <f>IF(G6173=30,1,M6172)</f>
      </c>
      <c r="M6173" s="195" t="str">
        <f>L6173*(1-K6173)</f>
      </c>
    </row>
    <row r="6174">
      <c r="A6174" t="s">
        <v>167</v>
      </c>
      <c r="B6174" t="s">
        <v>116</v>
      </c>
      <c r="C6174" s="35" t="s">
        <v>422</v>
      </c>
      <c r="D6174" t="s">
        <v>502</v>
      </c>
      <c r="E6174" t="s">
        <v>520</v>
      </c>
      <c r="F6174" s="188" t="n">
        <v>2049</v>
      </c>
      <c r="G6174" s="189" t="n">
        <v>42</v>
      </c>
      <c r="H6174" s="190" t="n">
        <v>3481.95523122147</v>
      </c>
      <c r="I6174" s="191" t="n">
        <v>4601914.01961132</v>
      </c>
      <c r="J6174" s="192" t="str">
        <f>IF(I6174&gt;0,H6174/I6174,0)</f>
      </c>
      <c r="K6174" s="193" t="str">
        <f>1-EXP(-J6174)</f>
      </c>
      <c r="L6174" s="194" t="str">
        <f>IF(G6174=30,1,M6173)</f>
      </c>
      <c r="M6174" s="195" t="str">
        <f>L6174*(1-K6174)</f>
      </c>
    </row>
    <row r="6175">
      <c r="A6175" t="s">
        <v>167</v>
      </c>
      <c r="B6175" t="s">
        <v>116</v>
      </c>
      <c r="C6175" s="35" t="s">
        <v>422</v>
      </c>
      <c r="D6175" t="s">
        <v>502</v>
      </c>
      <c r="E6175" t="s">
        <v>520</v>
      </c>
      <c r="F6175" s="188" t="n">
        <v>2049</v>
      </c>
      <c r="G6175" s="189" t="n">
        <v>43</v>
      </c>
      <c r="H6175" s="190" t="n">
        <v>3720.79422049651</v>
      </c>
      <c r="I6175" s="191" t="n">
        <v>4515372.71955407</v>
      </c>
      <c r="J6175" s="192" t="str">
        <f>IF(I6175&gt;0,H6175/I6175,0)</f>
      </c>
      <c r="K6175" s="193" t="str">
        <f>1-EXP(-J6175)</f>
      </c>
      <c r="L6175" s="194" t="str">
        <f>IF(G6175=30,1,M6174)</f>
      </c>
      <c r="M6175" s="195" t="str">
        <f>L6175*(1-K6175)</f>
      </c>
    </row>
    <row r="6176">
      <c r="A6176" t="s">
        <v>167</v>
      </c>
      <c r="B6176" t="s">
        <v>116</v>
      </c>
      <c r="C6176" s="35" t="s">
        <v>422</v>
      </c>
      <c r="D6176" t="s">
        <v>502</v>
      </c>
      <c r="E6176" t="s">
        <v>520</v>
      </c>
      <c r="F6176" s="188" t="n">
        <v>2049</v>
      </c>
      <c r="G6176" s="189" t="n">
        <v>44</v>
      </c>
      <c r="H6176" s="190" t="n">
        <v>4002.99741302315</v>
      </c>
      <c r="I6176" s="191" t="n">
        <v>4449853.12782725</v>
      </c>
      <c r="J6176" s="192" t="str">
        <f>IF(I6176&gt;0,H6176/I6176,0)</f>
      </c>
      <c r="K6176" s="193" t="str">
        <f>1-EXP(-J6176)</f>
      </c>
      <c r="L6176" s="194" t="str">
        <f>IF(G6176=30,1,M6175)</f>
      </c>
      <c r="M6176" s="195" t="str">
        <f>L6176*(1-K6176)</f>
      </c>
    </row>
    <row r="6177">
      <c r="A6177" t="s">
        <v>167</v>
      </c>
      <c r="B6177" t="s">
        <v>116</v>
      </c>
      <c r="C6177" s="35" t="s">
        <v>422</v>
      </c>
      <c r="D6177" t="s">
        <v>502</v>
      </c>
      <c r="E6177" t="s">
        <v>520</v>
      </c>
      <c r="F6177" s="188" t="n">
        <v>2049</v>
      </c>
      <c r="G6177" s="189" t="n">
        <v>45</v>
      </c>
      <c r="H6177" s="190" t="n">
        <v>5001.18852073437</v>
      </c>
      <c r="I6177" s="191" t="n">
        <v>4317441.04402839</v>
      </c>
      <c r="J6177" s="192" t="str">
        <f>IF(I6177&gt;0,H6177/I6177,0)</f>
      </c>
      <c r="K6177" s="193" t="str">
        <f>1-EXP(-J6177)</f>
      </c>
      <c r="L6177" s="194" t="str">
        <f>IF(G6177=30,1,M6176)</f>
      </c>
      <c r="M6177" s="195" t="str">
        <f>L6177*(1-K6177)</f>
      </c>
    </row>
    <row r="6178">
      <c r="A6178" t="s">
        <v>167</v>
      </c>
      <c r="B6178" t="s">
        <v>116</v>
      </c>
      <c r="C6178" s="35" t="s">
        <v>422</v>
      </c>
      <c r="D6178" t="s">
        <v>502</v>
      </c>
      <c r="E6178" t="s">
        <v>520</v>
      </c>
      <c r="F6178" s="188" t="n">
        <v>2049</v>
      </c>
      <c r="G6178" s="189" t="n">
        <v>46</v>
      </c>
      <c r="H6178" s="190" t="n">
        <v>5471.92140862862</v>
      </c>
      <c r="I6178" s="191" t="n">
        <v>4245412.25433011</v>
      </c>
      <c r="J6178" s="192" t="str">
        <f>IF(I6178&gt;0,H6178/I6178,0)</f>
      </c>
      <c r="K6178" s="193" t="str">
        <f>1-EXP(-J6178)</f>
      </c>
      <c r="L6178" s="194" t="str">
        <f>IF(G6178=30,1,M6177)</f>
      </c>
      <c r="M6178" s="195" t="str">
        <f>L6178*(1-K6178)</f>
      </c>
    </row>
    <row r="6179">
      <c r="A6179" t="s">
        <v>167</v>
      </c>
      <c r="B6179" t="s">
        <v>116</v>
      </c>
      <c r="C6179" s="35" t="s">
        <v>422</v>
      </c>
      <c r="D6179" t="s">
        <v>502</v>
      </c>
      <c r="E6179" t="s">
        <v>520</v>
      </c>
      <c r="F6179" s="188" t="n">
        <v>2049</v>
      </c>
      <c r="G6179" s="189" t="n">
        <v>47</v>
      </c>
      <c r="H6179" s="190" t="n">
        <v>6107.91303556902</v>
      </c>
      <c r="I6179" s="191" t="n">
        <v>4213832.15365611</v>
      </c>
      <c r="J6179" s="192" t="str">
        <f>IF(I6179&gt;0,H6179/I6179,0)</f>
      </c>
      <c r="K6179" s="193" t="str">
        <f>1-EXP(-J6179)</f>
      </c>
      <c r="L6179" s="194" t="str">
        <f>IF(G6179=30,1,M6178)</f>
      </c>
      <c r="M6179" s="195" t="str">
        <f>L6179*(1-K6179)</f>
      </c>
    </row>
    <row r="6180">
      <c r="A6180" t="s">
        <v>167</v>
      </c>
      <c r="B6180" t="s">
        <v>116</v>
      </c>
      <c r="C6180" s="35" t="s">
        <v>422</v>
      </c>
      <c r="D6180" t="s">
        <v>502</v>
      </c>
      <c r="E6180" t="s">
        <v>520</v>
      </c>
      <c r="F6180" s="188" t="n">
        <v>2049</v>
      </c>
      <c r="G6180" s="189" t="n">
        <v>48</v>
      </c>
      <c r="H6180" s="190" t="n">
        <v>6674.42713888473</v>
      </c>
      <c r="I6180" s="191" t="n">
        <v>4184797.77993843</v>
      </c>
      <c r="J6180" s="192" t="str">
        <f>IF(I6180&gt;0,H6180/I6180,0)</f>
      </c>
      <c r="K6180" s="193" t="str">
        <f>1-EXP(-J6180)</f>
      </c>
      <c r="L6180" s="194" t="str">
        <f>IF(G6180=30,1,M6179)</f>
      </c>
      <c r="M6180" s="195" t="str">
        <f>L6180*(1-K6180)</f>
      </c>
    </row>
    <row r="6181">
      <c r="A6181" t="s">
        <v>167</v>
      </c>
      <c r="B6181" t="s">
        <v>116</v>
      </c>
      <c r="C6181" s="35" t="s">
        <v>422</v>
      </c>
      <c r="D6181" t="s">
        <v>502</v>
      </c>
      <c r="E6181" t="s">
        <v>520</v>
      </c>
      <c r="F6181" s="188" t="n">
        <v>2049</v>
      </c>
      <c r="G6181" s="189" t="n">
        <v>49</v>
      </c>
      <c r="H6181" s="190" t="n">
        <v>7300.53699615365</v>
      </c>
      <c r="I6181" s="191" t="n">
        <v>4154387.91432955</v>
      </c>
      <c r="J6181" s="192" t="str">
        <f>IF(I6181&gt;0,H6181/I6181,0)</f>
      </c>
      <c r="K6181" s="193" t="str">
        <f>1-EXP(-J6181)</f>
      </c>
      <c r="L6181" s="194" t="str">
        <f>IF(G6181=30,1,M6180)</f>
      </c>
      <c r="M6181" s="195" t="str">
        <f>L6181*(1-K6181)</f>
      </c>
    </row>
    <row r="6182">
      <c r="A6182" t="s">
        <v>167</v>
      </c>
      <c r="B6182" t="s">
        <v>116</v>
      </c>
      <c r="C6182" s="35" t="s">
        <v>422</v>
      </c>
      <c r="D6182" t="s">
        <v>502</v>
      </c>
      <c r="E6182" t="s">
        <v>520</v>
      </c>
      <c r="F6182" s="188" t="n">
        <v>2049</v>
      </c>
      <c r="G6182" s="189" t="n">
        <v>50</v>
      </c>
      <c r="H6182" s="190" t="n">
        <v>8362.01776908493</v>
      </c>
      <c r="I6182" s="191" t="n">
        <v>4160927.56496237</v>
      </c>
      <c r="J6182" s="192" t="str">
        <f>IF(I6182&gt;0,H6182/I6182,0)</f>
      </c>
      <c r="K6182" s="193" t="str">
        <f>1-EXP(-J6182)</f>
      </c>
      <c r="L6182" s="194" t="str">
        <f>IF(G6182=30,1,M6181)</f>
      </c>
      <c r="M6182" s="195" t="str">
        <f>L6182*(1-K6182)</f>
      </c>
    </row>
    <row r="6183">
      <c r="A6183" t="s">
        <v>167</v>
      </c>
      <c r="B6183" t="s">
        <v>116</v>
      </c>
      <c r="C6183" s="35" t="s">
        <v>422</v>
      </c>
      <c r="D6183" t="s">
        <v>502</v>
      </c>
      <c r="E6183" t="s">
        <v>520</v>
      </c>
      <c r="F6183" s="188" t="n">
        <v>2049</v>
      </c>
      <c r="G6183" s="189" t="n">
        <v>51</v>
      </c>
      <c r="H6183" s="190" t="n">
        <v>9295.88923116982</v>
      </c>
      <c r="I6183" s="191" t="n">
        <v>4202837.17091188</v>
      </c>
      <c r="J6183" s="192" t="str">
        <f>IF(I6183&gt;0,H6183/I6183,0)</f>
      </c>
      <c r="K6183" s="193" t="str">
        <f>1-EXP(-J6183)</f>
      </c>
      <c r="L6183" s="194" t="str">
        <f>IF(G6183=30,1,M6182)</f>
      </c>
      <c r="M6183" s="195" t="str">
        <f>L6183*(1-K6183)</f>
      </c>
    </row>
    <row r="6184">
      <c r="A6184" t="s">
        <v>167</v>
      </c>
      <c r="B6184" t="s">
        <v>116</v>
      </c>
      <c r="C6184" s="35" t="s">
        <v>422</v>
      </c>
      <c r="D6184" t="s">
        <v>502</v>
      </c>
      <c r="E6184" t="s">
        <v>520</v>
      </c>
      <c r="F6184" s="188" t="n">
        <v>2049</v>
      </c>
      <c r="G6184" s="189" t="n">
        <v>52</v>
      </c>
      <c r="H6184" s="190" t="n">
        <v>10620.6804723107</v>
      </c>
      <c r="I6184" s="191" t="n">
        <v>4315361.27196742</v>
      </c>
      <c r="J6184" s="192" t="str">
        <f>IF(I6184&gt;0,H6184/I6184,0)</f>
      </c>
      <c r="K6184" s="193" t="str">
        <f>1-EXP(-J6184)</f>
      </c>
      <c r="L6184" s="194" t="str">
        <f>IF(G6184=30,1,M6183)</f>
      </c>
      <c r="M6184" s="195" t="str">
        <f>L6184*(1-K6184)</f>
      </c>
    </row>
    <row r="6185">
      <c r="A6185" t="s">
        <v>167</v>
      </c>
      <c r="B6185" t="s">
        <v>116</v>
      </c>
      <c r="C6185" s="35" t="s">
        <v>422</v>
      </c>
      <c r="D6185" t="s">
        <v>502</v>
      </c>
      <c r="E6185" t="s">
        <v>520</v>
      </c>
      <c r="F6185" s="188" t="n">
        <v>2049</v>
      </c>
      <c r="G6185" s="189" t="n">
        <v>53</v>
      </c>
      <c r="H6185" s="190" t="n">
        <v>11449.0180800501</v>
      </c>
      <c r="I6185" s="191" t="n">
        <v>4255540.90998306</v>
      </c>
      <c r="J6185" s="192" t="str">
        <f>IF(I6185&gt;0,H6185/I6185,0)</f>
      </c>
      <c r="K6185" s="193" t="str">
        <f>1-EXP(-J6185)</f>
      </c>
      <c r="L6185" s="194" t="str">
        <f>IF(G6185=30,1,M6184)</f>
      </c>
      <c r="M6185" s="195" t="str">
        <f>L6185*(1-K6185)</f>
      </c>
    </row>
    <row r="6186">
      <c r="A6186" t="s">
        <v>167</v>
      </c>
      <c r="B6186" t="s">
        <v>116</v>
      </c>
      <c r="C6186" s="35" t="s">
        <v>422</v>
      </c>
      <c r="D6186" t="s">
        <v>502</v>
      </c>
      <c r="E6186" t="s">
        <v>520</v>
      </c>
      <c r="F6186" s="188" t="n">
        <v>2049</v>
      </c>
      <c r="G6186" s="189" t="n">
        <v>54</v>
      </c>
      <c r="H6186" s="190" t="n">
        <v>12226.7925826273</v>
      </c>
      <c r="I6186" s="191" t="n">
        <v>4165777.90954621</v>
      </c>
      <c r="J6186" s="192" t="str">
        <f>IF(I6186&gt;0,H6186/I6186,0)</f>
      </c>
      <c r="K6186" s="193" t="str">
        <f>1-EXP(-J6186)</f>
      </c>
      <c r="L6186" s="194" t="str">
        <f>IF(G6186=30,1,M6185)</f>
      </c>
      <c r="M6186" s="195" t="str">
        <f>L6186*(1-K6186)</f>
      </c>
    </row>
    <row r="6187">
      <c r="A6187" t="s">
        <v>167</v>
      </c>
      <c r="B6187" t="s">
        <v>116</v>
      </c>
      <c r="C6187" s="35" t="s">
        <v>422</v>
      </c>
      <c r="D6187" t="s">
        <v>502</v>
      </c>
      <c r="E6187" t="s">
        <v>520</v>
      </c>
      <c r="F6187" s="188" t="n">
        <v>2049</v>
      </c>
      <c r="G6187" s="189" t="n">
        <v>55</v>
      </c>
      <c r="H6187" s="190" t="n">
        <v>12809.0856576309</v>
      </c>
      <c r="I6187" s="191" t="n">
        <v>4089451.71050799</v>
      </c>
      <c r="J6187" s="192" t="str">
        <f>IF(I6187&gt;0,H6187/I6187,0)</f>
      </c>
      <c r="K6187" s="193" t="str">
        <f>1-EXP(-J6187)</f>
      </c>
      <c r="L6187" s="194" t="str">
        <f>IF(G6187=30,1,M6186)</f>
      </c>
      <c r="M6187" s="195" t="str">
        <f>L6187*(1-K6187)</f>
      </c>
    </row>
    <row r="6188">
      <c r="A6188" t="s">
        <v>167</v>
      </c>
      <c r="B6188" t="s">
        <v>116</v>
      </c>
      <c r="C6188" s="35" t="s">
        <v>422</v>
      </c>
      <c r="D6188" t="s">
        <v>502</v>
      </c>
      <c r="E6188" t="s">
        <v>520</v>
      </c>
      <c r="F6188" s="188" t="n">
        <v>2049</v>
      </c>
      <c r="G6188" s="189" t="n">
        <v>56</v>
      </c>
      <c r="H6188" s="190" t="n">
        <v>13607.7737013261</v>
      </c>
      <c r="I6188" s="191" t="n">
        <v>4014985.81538109</v>
      </c>
      <c r="J6188" s="192" t="str">
        <f>IF(I6188&gt;0,H6188/I6188,0)</f>
      </c>
      <c r="K6188" s="193" t="str">
        <f>1-EXP(-J6188)</f>
      </c>
      <c r="L6188" s="194" t="str">
        <f>IF(G6188=30,1,M6187)</f>
      </c>
      <c r="M6188" s="195" t="str">
        <f>L6188*(1-K6188)</f>
      </c>
    </row>
    <row r="6189">
      <c r="A6189" t="s">
        <v>167</v>
      </c>
      <c r="B6189" t="s">
        <v>116</v>
      </c>
      <c r="C6189" s="35" t="s">
        <v>422</v>
      </c>
      <c r="D6189" t="s">
        <v>502</v>
      </c>
      <c r="E6189" t="s">
        <v>520</v>
      </c>
      <c r="F6189" s="188" t="n">
        <v>2049</v>
      </c>
      <c r="G6189" s="189" t="n">
        <v>57</v>
      </c>
      <c r="H6189" s="190" t="n">
        <v>14871.5932635828</v>
      </c>
      <c r="I6189" s="191" t="n">
        <v>4023776.54413754</v>
      </c>
      <c r="J6189" s="192" t="str">
        <f>IF(I6189&gt;0,H6189/I6189,0)</f>
      </c>
      <c r="K6189" s="193" t="str">
        <f>1-EXP(-J6189)</f>
      </c>
      <c r="L6189" s="194" t="str">
        <f>IF(G6189=30,1,M6188)</f>
      </c>
      <c r="M6189" s="195" t="str">
        <f>L6189*(1-K6189)</f>
      </c>
    </row>
    <row r="6190">
      <c r="A6190" t="s">
        <v>167</v>
      </c>
      <c r="B6190" t="s">
        <v>116</v>
      </c>
      <c r="C6190" s="35" t="s">
        <v>422</v>
      </c>
      <c r="D6190" t="s">
        <v>502</v>
      </c>
      <c r="E6190" t="s">
        <v>520</v>
      </c>
      <c r="F6190" s="188" t="n">
        <v>2049</v>
      </c>
      <c r="G6190" s="189" t="n">
        <v>58</v>
      </c>
      <c r="H6190" s="190" t="n">
        <v>16224.9052908379</v>
      </c>
      <c r="I6190" s="191" t="n">
        <v>4011354.50616793</v>
      </c>
      <c r="J6190" s="192" t="str">
        <f>IF(I6190&gt;0,H6190/I6190,0)</f>
      </c>
      <c r="K6190" s="193" t="str">
        <f>1-EXP(-J6190)</f>
      </c>
      <c r="L6190" s="194" t="str">
        <f>IF(G6190=30,1,M6189)</f>
      </c>
      <c r="M6190" s="195" t="str">
        <f>L6190*(1-K6190)</f>
      </c>
    </row>
    <row r="6191">
      <c r="A6191" t="s">
        <v>167</v>
      </c>
      <c r="B6191" t="s">
        <v>116</v>
      </c>
      <c r="C6191" s="35" t="s">
        <v>422</v>
      </c>
      <c r="D6191" t="s">
        <v>502</v>
      </c>
      <c r="E6191" t="s">
        <v>520</v>
      </c>
      <c r="F6191" s="188" t="n">
        <v>2049</v>
      </c>
      <c r="G6191" s="189" t="n">
        <v>59</v>
      </c>
      <c r="H6191" s="190" t="n">
        <v>23636.2365692044</v>
      </c>
      <c r="I6191" s="191" t="n">
        <v>5898027.54621888</v>
      </c>
      <c r="J6191" s="192" t="str">
        <f>IF(I6191&gt;0,H6191/I6191,0)</f>
      </c>
      <c r="K6191" s="193" t="str">
        <f>1-EXP(-J6191)</f>
      </c>
      <c r="L6191" s="194" t="str">
        <f>IF(G6191=30,1,M6190)</f>
      </c>
      <c r="M6191" s="195" t="str">
        <f>L6191*(1-K6191)</f>
      </c>
    </row>
    <row r="6192">
      <c r="A6192" t="s">
        <v>167</v>
      </c>
      <c r="B6192" t="s">
        <v>116</v>
      </c>
      <c r="C6192" s="35" t="s">
        <v>422</v>
      </c>
      <c r="D6192" t="s">
        <v>502</v>
      </c>
      <c r="E6192" t="s">
        <v>520</v>
      </c>
      <c r="F6192" s="188" t="n">
        <v>2049</v>
      </c>
      <c r="G6192" s="189" t="n">
        <v>60</v>
      </c>
      <c r="H6192" s="190" t="n">
        <v>18660.6667444212</v>
      </c>
      <c r="I6192" s="191" t="n">
        <v>3907767.38095898</v>
      </c>
      <c r="J6192" s="192" t="str">
        <f>IF(I6192&gt;0,H6192/I6192,0)</f>
      </c>
      <c r="K6192" s="193" t="str">
        <f>1-EXP(-J6192)</f>
      </c>
      <c r="L6192" s="194" t="str">
        <f>IF(G6192=30,1,M6191)</f>
      </c>
      <c r="M6192" s="195" t="str">
        <f>L6192*(1-K6192)</f>
      </c>
    </row>
    <row r="6193">
      <c r="A6193" t="s">
        <v>167</v>
      </c>
      <c r="B6193" t="s">
        <v>116</v>
      </c>
      <c r="C6193" s="35" t="s">
        <v>422</v>
      </c>
      <c r="D6193" t="s">
        <v>502</v>
      </c>
      <c r="E6193" t="s">
        <v>520</v>
      </c>
      <c r="F6193" s="188" t="n">
        <v>2049</v>
      </c>
      <c r="G6193" s="189" t="n">
        <v>61</v>
      </c>
      <c r="H6193" s="190" t="n">
        <v>20275.1742401302</v>
      </c>
      <c r="I6193" s="191" t="n">
        <v>3855405.32308238</v>
      </c>
      <c r="J6193" s="192" t="str">
        <f>IF(I6193&gt;0,H6193/I6193,0)</f>
      </c>
      <c r="K6193" s="193" t="str">
        <f>1-EXP(-J6193)</f>
      </c>
      <c r="L6193" s="194" t="str">
        <f>IF(G6193=30,1,M6192)</f>
      </c>
      <c r="M6193" s="195" t="str">
        <f>L6193*(1-K6193)</f>
      </c>
    </row>
    <row r="6194">
      <c r="A6194" t="s">
        <v>167</v>
      </c>
      <c r="B6194" t="s">
        <v>116</v>
      </c>
      <c r="C6194" s="35" t="s">
        <v>422</v>
      </c>
      <c r="D6194" t="s">
        <v>502</v>
      </c>
      <c r="E6194" t="s">
        <v>520</v>
      </c>
      <c r="F6194" s="188" t="n">
        <v>2049</v>
      </c>
      <c r="G6194" s="189" t="n">
        <v>62</v>
      </c>
      <c r="H6194" s="190" t="n">
        <v>21396.7964851179</v>
      </c>
      <c r="I6194" s="191" t="n">
        <v>3697628.64957957</v>
      </c>
      <c r="J6194" s="192" t="str">
        <f>IF(I6194&gt;0,H6194/I6194,0)</f>
      </c>
      <c r="K6194" s="193" t="str">
        <f>1-EXP(-J6194)</f>
      </c>
      <c r="L6194" s="194" t="str">
        <f>IF(G6194=30,1,M6193)</f>
      </c>
      <c r="M6194" s="195" t="str">
        <f>L6194*(1-K6194)</f>
      </c>
    </row>
    <row r="6195">
      <c r="A6195" t="s">
        <v>167</v>
      </c>
      <c r="B6195" t="s">
        <v>116</v>
      </c>
      <c r="C6195" s="35" t="s">
        <v>422</v>
      </c>
      <c r="D6195" t="s">
        <v>502</v>
      </c>
      <c r="E6195" t="s">
        <v>520</v>
      </c>
      <c r="F6195" s="188" t="n">
        <v>2049</v>
      </c>
      <c r="G6195" s="189" t="n">
        <v>63</v>
      </c>
      <c r="H6195" s="190" t="n">
        <v>23063.3307156718</v>
      </c>
      <c r="I6195" s="191" t="n">
        <v>3624322.37181537</v>
      </c>
      <c r="J6195" s="192" t="str">
        <f>IF(I6195&gt;0,H6195/I6195,0)</f>
      </c>
      <c r="K6195" s="193" t="str">
        <f>1-EXP(-J6195)</f>
      </c>
      <c r="L6195" s="194" t="str">
        <f>IF(G6195=30,1,M6194)</f>
      </c>
      <c r="M6195" s="195" t="str">
        <f>L6195*(1-K6195)</f>
      </c>
    </row>
    <row r="6196">
      <c r="A6196" t="s">
        <v>167</v>
      </c>
      <c r="B6196" t="s">
        <v>116</v>
      </c>
      <c r="C6196" s="35" t="s">
        <v>422</v>
      </c>
      <c r="D6196" t="s">
        <v>502</v>
      </c>
      <c r="E6196" t="s">
        <v>520</v>
      </c>
      <c r="F6196" s="188" t="n">
        <v>2049</v>
      </c>
      <c r="G6196" s="189" t="n">
        <v>64</v>
      </c>
      <c r="H6196" s="190" t="n">
        <v>25385.9361956308</v>
      </c>
      <c r="I6196" s="191" t="n">
        <v>3628512.86547832</v>
      </c>
      <c r="J6196" s="192" t="str">
        <f>IF(I6196&gt;0,H6196/I6196,0)</f>
      </c>
      <c r="K6196" s="193" t="str">
        <f>1-EXP(-J6196)</f>
      </c>
      <c r="L6196" s="194" t="str">
        <f>IF(G6196=30,1,M6195)</f>
      </c>
      <c r="M6196" s="195" t="str">
        <f>L6196*(1-K6196)</f>
      </c>
    </row>
    <row r="6197">
      <c r="A6197" t="s">
        <v>167</v>
      </c>
      <c r="B6197" t="s">
        <v>116</v>
      </c>
      <c r="C6197" s="35" t="s">
        <v>422</v>
      </c>
      <c r="D6197" t="s">
        <v>502</v>
      </c>
      <c r="E6197" t="s">
        <v>520</v>
      </c>
      <c r="F6197" s="188" t="n">
        <v>2049</v>
      </c>
      <c r="G6197" s="189" t="n">
        <v>65</v>
      </c>
      <c r="H6197" s="190" t="n">
        <v>26639.7856647221</v>
      </c>
      <c r="I6197" s="191" t="n">
        <v>3648582.39914296</v>
      </c>
      <c r="J6197" s="192" t="str">
        <f>IF(I6197&gt;0,H6197/I6197,0)</f>
      </c>
      <c r="K6197" s="193" t="str">
        <f>1-EXP(-J6197)</f>
      </c>
      <c r="L6197" s="194" t="str">
        <f>IF(G6197=30,1,M6196)</f>
      </c>
      <c r="M6197" s="195" t="str">
        <f>L6197*(1-K6197)</f>
      </c>
    </row>
    <row r="6198">
      <c r="A6198" t="s">
        <v>167</v>
      </c>
      <c r="B6198" t="s">
        <v>116</v>
      </c>
      <c r="C6198" s="35" t="s">
        <v>422</v>
      </c>
      <c r="D6198" t="s">
        <v>502</v>
      </c>
      <c r="E6198" t="s">
        <v>520</v>
      </c>
      <c r="F6198" s="188" t="n">
        <v>2049</v>
      </c>
      <c r="G6198" s="189" t="n">
        <v>66</v>
      </c>
      <c r="H6198" s="190" t="n">
        <v>28586.5710052337</v>
      </c>
      <c r="I6198" s="191" t="n">
        <v>3571854.11981266</v>
      </c>
      <c r="J6198" s="192" t="str">
        <f>IF(I6198&gt;0,H6198/I6198,0)</f>
      </c>
      <c r="K6198" s="193" t="str">
        <f>1-EXP(-J6198)</f>
      </c>
      <c r="L6198" s="194" t="str">
        <f>IF(G6198=30,1,M6197)</f>
      </c>
      <c r="M6198" s="195" t="str">
        <f>L6198*(1-K6198)</f>
      </c>
    </row>
    <row r="6199">
      <c r="A6199" t="s">
        <v>167</v>
      </c>
      <c r="B6199" t="s">
        <v>116</v>
      </c>
      <c r="C6199" s="35" t="s">
        <v>422</v>
      </c>
      <c r="D6199" t="s">
        <v>502</v>
      </c>
      <c r="E6199" t="s">
        <v>520</v>
      </c>
      <c r="F6199" s="188" t="n">
        <v>2049</v>
      </c>
      <c r="G6199" s="189" t="n">
        <v>67</v>
      </c>
      <c r="H6199" s="190" t="n">
        <v>29930.0895221331</v>
      </c>
      <c r="I6199" s="191" t="n">
        <v>3397630.33570056</v>
      </c>
      <c r="J6199" s="192" t="str">
        <f>IF(I6199&gt;0,H6199/I6199,0)</f>
      </c>
      <c r="K6199" s="193" t="str">
        <f>1-EXP(-J6199)</f>
      </c>
      <c r="L6199" s="194" t="str">
        <f>IF(G6199=30,1,M6198)</f>
      </c>
      <c r="M6199" s="195" t="str">
        <f>L6199*(1-K6199)</f>
      </c>
    </row>
    <row r="6200">
      <c r="A6200" t="s">
        <v>167</v>
      </c>
      <c r="B6200" t="s">
        <v>116</v>
      </c>
      <c r="C6200" s="35" t="s">
        <v>422</v>
      </c>
      <c r="D6200" t="s">
        <v>502</v>
      </c>
      <c r="E6200" t="s">
        <v>520</v>
      </c>
      <c r="F6200" s="188" t="n">
        <v>2049</v>
      </c>
      <c r="G6200" s="189" t="n">
        <v>68</v>
      </c>
      <c r="H6200" s="190" t="n">
        <v>31741.5706142473</v>
      </c>
      <c r="I6200" s="191" t="n">
        <v>3273523.8794697</v>
      </c>
      <c r="J6200" s="192" t="str">
        <f>IF(I6200&gt;0,H6200/I6200,0)</f>
      </c>
      <c r="K6200" s="193" t="str">
        <f>1-EXP(-J6200)</f>
      </c>
      <c r="L6200" s="194" t="str">
        <f>IF(G6200=30,1,M6199)</f>
      </c>
      <c r="M6200" s="195" t="str">
        <f>L6200*(1-K6200)</f>
      </c>
    </row>
    <row r="6201">
      <c r="A6201" t="s">
        <v>167</v>
      </c>
      <c r="B6201" t="s">
        <v>116</v>
      </c>
      <c r="C6201" s="35" t="s">
        <v>422</v>
      </c>
      <c r="D6201" t="s">
        <v>502</v>
      </c>
      <c r="E6201" t="s">
        <v>520</v>
      </c>
      <c r="F6201" s="188" t="n">
        <v>2049</v>
      </c>
      <c r="G6201" s="189" t="n">
        <v>69</v>
      </c>
      <c r="H6201" s="190" t="n">
        <v>33756.3932103677</v>
      </c>
      <c r="I6201" s="191" t="n">
        <v>3159342.17125499</v>
      </c>
      <c r="J6201" s="192" t="str">
        <f>IF(I6201&gt;0,H6201/I6201,0)</f>
      </c>
      <c r="K6201" s="193" t="str">
        <f>1-EXP(-J6201)</f>
      </c>
      <c r="L6201" s="194" t="str">
        <f>IF(G6201=30,1,M6200)</f>
      </c>
      <c r="M6201" s="195" t="str">
        <f>L6201*(1-K6201)</f>
      </c>
    </row>
    <row r="6202">
      <c r="A6202" t="s">
        <v>167</v>
      </c>
      <c r="B6202" t="s">
        <v>116</v>
      </c>
      <c r="C6202" s="35" t="s">
        <v>422</v>
      </c>
      <c r="D6202" t="s">
        <v>502</v>
      </c>
      <c r="E6202" t="s">
        <v>520</v>
      </c>
      <c r="F6202" s="188" t="n">
        <v>2050</v>
      </c>
      <c r="G6202" s="189" t="n">
        <v>30</v>
      </c>
      <c r="H6202" s="190" t="n">
        <v>555.903210929018</v>
      </c>
      <c r="I6202" s="191" t="n">
        <v>4253458.81550883</v>
      </c>
      <c r="J6202" s="192" t="str">
        <f>IF(I6202&gt;0,H6202/I6202,0)</f>
      </c>
      <c r="K6202" s="193" t="str">
        <f>1-EXP(-J6202)</f>
      </c>
      <c r="L6202" s="194" t="str">
        <f>IF(G6202=30,1,M6201)</f>
      </c>
      <c r="M6202" s="195" t="str">
        <f>L6202*(1-K6202)</f>
      </c>
    </row>
    <row r="6203">
      <c r="A6203" t="s">
        <v>167</v>
      </c>
      <c r="B6203" t="s">
        <v>116</v>
      </c>
      <c r="C6203" s="35" t="s">
        <v>422</v>
      </c>
      <c r="D6203" t="s">
        <v>502</v>
      </c>
      <c r="E6203" t="s">
        <v>520</v>
      </c>
      <c r="F6203" s="188" t="n">
        <v>2050</v>
      </c>
      <c r="G6203" s="189" t="n">
        <v>31</v>
      </c>
      <c r="H6203" s="190" t="n">
        <v>764.57192028691</v>
      </c>
      <c r="I6203" s="191" t="n">
        <v>4262233.15079053</v>
      </c>
      <c r="J6203" s="192" t="str">
        <f>IF(I6203&gt;0,H6203/I6203,0)</f>
      </c>
      <c r="K6203" s="193" t="str">
        <f>1-EXP(-J6203)</f>
      </c>
      <c r="L6203" s="194" t="str">
        <f>IF(G6203=30,1,M6202)</f>
      </c>
      <c r="M6203" s="195" t="str">
        <f>L6203*(1-K6203)</f>
      </c>
    </row>
    <row r="6204">
      <c r="A6204" t="s">
        <v>167</v>
      </c>
      <c r="B6204" t="s">
        <v>116</v>
      </c>
      <c r="C6204" s="35" t="s">
        <v>422</v>
      </c>
      <c r="D6204" t="s">
        <v>502</v>
      </c>
      <c r="E6204" t="s">
        <v>520</v>
      </c>
      <c r="F6204" s="188" t="n">
        <v>2050</v>
      </c>
      <c r="G6204" s="189" t="n">
        <v>32</v>
      </c>
      <c r="H6204" s="190" t="n">
        <v>808.664586331616</v>
      </c>
      <c r="I6204" s="191" t="n">
        <v>4266473.44464786</v>
      </c>
      <c r="J6204" s="192" t="str">
        <f>IF(I6204&gt;0,H6204/I6204,0)</f>
      </c>
      <c r="K6204" s="193" t="str">
        <f>1-EXP(-J6204)</f>
      </c>
      <c r="L6204" s="194" t="str">
        <f>IF(G6204=30,1,M6203)</f>
      </c>
      <c r="M6204" s="195" t="str">
        <f>L6204*(1-K6204)</f>
      </c>
    </row>
    <row r="6205">
      <c r="A6205" t="s">
        <v>167</v>
      </c>
      <c r="B6205" t="s">
        <v>116</v>
      </c>
      <c r="C6205" s="35" t="s">
        <v>422</v>
      </c>
      <c r="D6205" t="s">
        <v>502</v>
      </c>
      <c r="E6205" t="s">
        <v>520</v>
      </c>
      <c r="F6205" s="188" t="n">
        <v>2050</v>
      </c>
      <c r="G6205" s="189" t="n">
        <v>33</v>
      </c>
      <c r="H6205" s="190" t="n">
        <v>866.966847327574</v>
      </c>
      <c r="I6205" s="191" t="n">
        <v>4306875.67751236</v>
      </c>
      <c r="J6205" s="192" t="str">
        <f>IF(I6205&gt;0,H6205/I6205,0)</f>
      </c>
      <c r="K6205" s="193" t="str">
        <f>1-EXP(-J6205)</f>
      </c>
      <c r="L6205" s="194" t="str">
        <f>IF(G6205=30,1,M6204)</f>
      </c>
      <c r="M6205" s="195" t="str">
        <f>L6205*(1-K6205)</f>
      </c>
    </row>
    <row r="6206">
      <c r="A6206" t="s">
        <v>167</v>
      </c>
      <c r="B6206" t="s">
        <v>116</v>
      </c>
      <c r="C6206" s="35" t="s">
        <v>422</v>
      </c>
      <c r="D6206" t="s">
        <v>502</v>
      </c>
      <c r="E6206" t="s">
        <v>520</v>
      </c>
      <c r="F6206" s="188" t="n">
        <v>2050</v>
      </c>
      <c r="G6206" s="189" t="n">
        <v>34</v>
      </c>
      <c r="H6206" s="190" t="n">
        <v>1017.77010830111</v>
      </c>
      <c r="I6206" s="191" t="n">
        <v>4568423.05561673</v>
      </c>
      <c r="J6206" s="192" t="str">
        <f>IF(I6206&gt;0,H6206/I6206,0)</f>
      </c>
      <c r="K6206" s="193" t="str">
        <f>1-EXP(-J6206)</f>
      </c>
      <c r="L6206" s="194" t="str">
        <f>IF(G6206=30,1,M6205)</f>
      </c>
      <c r="M6206" s="195" t="str">
        <f>L6206*(1-K6206)</f>
      </c>
    </row>
    <row r="6207">
      <c r="A6207" t="s">
        <v>167</v>
      </c>
      <c r="B6207" t="s">
        <v>116</v>
      </c>
      <c r="C6207" s="35" t="s">
        <v>422</v>
      </c>
      <c r="D6207" t="s">
        <v>502</v>
      </c>
      <c r="E6207" t="s">
        <v>520</v>
      </c>
      <c r="F6207" s="188" t="n">
        <v>2050</v>
      </c>
      <c r="G6207" s="189" t="n">
        <v>35</v>
      </c>
      <c r="H6207" s="190" t="n">
        <v>1369.83368875532</v>
      </c>
      <c r="I6207" s="191" t="n">
        <v>4616349.17411173</v>
      </c>
      <c r="J6207" s="192" t="str">
        <f>IF(I6207&gt;0,H6207/I6207,0)</f>
      </c>
      <c r="K6207" s="193" t="str">
        <f>1-EXP(-J6207)</f>
      </c>
      <c r="L6207" s="194" t="str">
        <f>IF(G6207=30,1,M6206)</f>
      </c>
      <c r="M6207" s="195" t="str">
        <f>L6207*(1-K6207)</f>
      </c>
    </row>
    <row r="6208">
      <c r="A6208" t="s">
        <v>167</v>
      </c>
      <c r="B6208" t="s">
        <v>116</v>
      </c>
      <c r="C6208" s="35" t="s">
        <v>422</v>
      </c>
      <c r="D6208" t="s">
        <v>502</v>
      </c>
      <c r="E6208" t="s">
        <v>520</v>
      </c>
      <c r="F6208" s="188" t="n">
        <v>2050</v>
      </c>
      <c r="G6208" s="189" t="n">
        <v>36</v>
      </c>
      <c r="H6208" s="190" t="n">
        <v>1644.5899281581</v>
      </c>
      <c r="I6208" s="191" t="n">
        <v>4681333.17589506</v>
      </c>
      <c r="J6208" s="192" t="str">
        <f>IF(I6208&gt;0,H6208/I6208,0)</f>
      </c>
      <c r="K6208" s="193" t="str">
        <f>1-EXP(-J6208)</f>
      </c>
      <c r="L6208" s="194" t="str">
        <f>IF(G6208=30,1,M6207)</f>
      </c>
      <c r="M6208" s="195" t="str">
        <f>L6208*(1-K6208)</f>
      </c>
    </row>
    <row r="6209">
      <c r="A6209" t="s">
        <v>167</v>
      </c>
      <c r="B6209" t="s">
        <v>116</v>
      </c>
      <c r="C6209" s="35" t="s">
        <v>422</v>
      </c>
      <c r="D6209" t="s">
        <v>502</v>
      </c>
      <c r="E6209" t="s">
        <v>520</v>
      </c>
      <c r="F6209" s="188" t="n">
        <v>2050</v>
      </c>
      <c r="G6209" s="189" t="n">
        <v>37</v>
      </c>
      <c r="H6209" s="190" t="n">
        <v>1795.43790278562</v>
      </c>
      <c r="I6209" s="191" t="n">
        <v>4747673.12310784</v>
      </c>
      <c r="J6209" s="192" t="str">
        <f>IF(I6209&gt;0,H6209/I6209,0)</f>
      </c>
      <c r="K6209" s="193" t="str">
        <f>1-EXP(-J6209)</f>
      </c>
      <c r="L6209" s="194" t="str">
        <f>IF(G6209=30,1,M6208)</f>
      </c>
      <c r="M6209" s="195" t="str">
        <f>L6209*(1-K6209)</f>
      </c>
    </row>
    <row r="6210">
      <c r="A6210" t="s">
        <v>167</v>
      </c>
      <c r="B6210" t="s">
        <v>116</v>
      </c>
      <c r="C6210" s="35" t="s">
        <v>422</v>
      </c>
      <c r="D6210" t="s">
        <v>502</v>
      </c>
      <c r="E6210" t="s">
        <v>520</v>
      </c>
      <c r="F6210" s="188" t="n">
        <v>2050</v>
      </c>
      <c r="G6210" s="189" t="n">
        <v>38</v>
      </c>
      <c r="H6210" s="190" t="n">
        <v>2034.21970585895</v>
      </c>
      <c r="I6210" s="191" t="n">
        <v>4857584.03155714</v>
      </c>
      <c r="J6210" s="192" t="str">
        <f>IF(I6210&gt;0,H6210/I6210,0)</f>
      </c>
      <c r="K6210" s="193" t="str">
        <f>1-EXP(-J6210)</f>
      </c>
      <c r="L6210" s="194" t="str">
        <f>IF(G6210=30,1,M6209)</f>
      </c>
      <c r="M6210" s="195" t="str">
        <f>L6210*(1-K6210)</f>
      </c>
    </row>
    <row r="6211">
      <c r="A6211" t="s">
        <v>167</v>
      </c>
      <c r="B6211" t="s">
        <v>116</v>
      </c>
      <c r="C6211" s="35" t="s">
        <v>422</v>
      </c>
      <c r="D6211" t="s">
        <v>502</v>
      </c>
      <c r="E6211" t="s">
        <v>520</v>
      </c>
      <c r="F6211" s="188" t="n">
        <v>2050</v>
      </c>
      <c r="G6211" s="189" t="n">
        <v>39</v>
      </c>
      <c r="H6211" s="190" t="n">
        <v>2189.37970794149</v>
      </c>
      <c r="I6211" s="191" t="n">
        <v>4827356.07788284</v>
      </c>
      <c r="J6211" s="192" t="str">
        <f>IF(I6211&gt;0,H6211/I6211,0)</f>
      </c>
      <c r="K6211" s="193" t="str">
        <f>1-EXP(-J6211)</f>
      </c>
      <c r="L6211" s="194" t="str">
        <f>IF(G6211=30,1,M6210)</f>
      </c>
      <c r="M6211" s="195" t="str">
        <f>L6211*(1-K6211)</f>
      </c>
    </row>
    <row r="6212">
      <c r="A6212" t="s">
        <v>167</v>
      </c>
      <c r="B6212" t="s">
        <v>116</v>
      </c>
      <c r="C6212" s="35" t="s">
        <v>422</v>
      </c>
      <c r="D6212" t="s">
        <v>502</v>
      </c>
      <c r="E6212" t="s">
        <v>520</v>
      </c>
      <c r="F6212" s="188" t="n">
        <v>2050</v>
      </c>
      <c r="G6212" s="189" t="n">
        <v>40</v>
      </c>
      <c r="H6212" s="190" t="n">
        <v>2858.92506065638</v>
      </c>
      <c r="I6212" s="191" t="n">
        <v>4692055.43492085</v>
      </c>
      <c r="J6212" s="192" t="str">
        <f>IF(I6212&gt;0,H6212/I6212,0)</f>
      </c>
      <c r="K6212" s="193" t="str">
        <f>1-EXP(-J6212)</f>
      </c>
      <c r="L6212" s="194" t="str">
        <f>IF(G6212=30,1,M6211)</f>
      </c>
      <c r="M6212" s="195" t="str">
        <f>L6212*(1-K6212)</f>
      </c>
    </row>
    <row r="6213">
      <c r="A6213" t="s">
        <v>167</v>
      </c>
      <c r="B6213" t="s">
        <v>116</v>
      </c>
      <c r="C6213" s="35" t="s">
        <v>422</v>
      </c>
      <c r="D6213" t="s">
        <v>502</v>
      </c>
      <c r="E6213" t="s">
        <v>520</v>
      </c>
      <c r="F6213" s="188" t="n">
        <v>2050</v>
      </c>
      <c r="G6213" s="189" t="n">
        <v>41</v>
      </c>
      <c r="H6213" s="190" t="n">
        <v>3144.26313843643</v>
      </c>
      <c r="I6213" s="191" t="n">
        <v>4618038.83430221</v>
      </c>
      <c r="J6213" s="192" t="str">
        <f>IF(I6213&gt;0,H6213/I6213,0)</f>
      </c>
      <c r="K6213" s="193" t="str">
        <f>1-EXP(-J6213)</f>
      </c>
      <c r="L6213" s="194" t="str">
        <f>IF(G6213=30,1,M6212)</f>
      </c>
      <c r="M6213" s="195" t="str">
        <f>L6213*(1-K6213)</f>
      </c>
    </row>
    <row r="6214">
      <c r="A6214" t="s">
        <v>167</v>
      </c>
      <c r="B6214" t="s">
        <v>116</v>
      </c>
      <c r="C6214" s="35" t="s">
        <v>422</v>
      </c>
      <c r="D6214" t="s">
        <v>502</v>
      </c>
      <c r="E6214" t="s">
        <v>520</v>
      </c>
      <c r="F6214" s="188" t="n">
        <v>2050</v>
      </c>
      <c r="G6214" s="189" t="n">
        <v>42</v>
      </c>
      <c r="H6214" s="190" t="n">
        <v>3384.81990401406</v>
      </c>
      <c r="I6214" s="191" t="n">
        <v>4571876.03722248</v>
      </c>
      <c r="J6214" s="192" t="str">
        <f>IF(I6214&gt;0,H6214/I6214,0)</f>
      </c>
      <c r="K6214" s="193" t="str">
        <f>1-EXP(-J6214)</f>
      </c>
      <c r="L6214" s="194" t="str">
        <f>IF(G6214=30,1,M6213)</f>
      </c>
      <c r="M6214" s="195" t="str">
        <f>L6214*(1-K6214)</f>
      </c>
    </row>
    <row r="6215">
      <c r="A6215" t="s">
        <v>167</v>
      </c>
      <c r="B6215" t="s">
        <v>116</v>
      </c>
      <c r="C6215" s="35" t="s">
        <v>422</v>
      </c>
      <c r="D6215" t="s">
        <v>502</v>
      </c>
      <c r="E6215" t="s">
        <v>520</v>
      </c>
      <c r="F6215" s="188" t="n">
        <v>2050</v>
      </c>
      <c r="G6215" s="189" t="n">
        <v>43</v>
      </c>
      <c r="H6215" s="190" t="n">
        <v>3763.85695464824</v>
      </c>
      <c r="I6215" s="191" t="n">
        <v>4592126.94160759</v>
      </c>
      <c r="J6215" s="192" t="str">
        <f>IF(I6215&gt;0,H6215/I6215,0)</f>
      </c>
      <c r="K6215" s="193" t="str">
        <f>1-EXP(-J6215)</f>
      </c>
      <c r="L6215" s="194" t="str">
        <f>IF(G6215=30,1,M6214)</f>
      </c>
      <c r="M6215" s="195" t="str">
        <f>L6215*(1-K6215)</f>
      </c>
    </row>
    <row r="6216">
      <c r="A6216" t="s">
        <v>167</v>
      </c>
      <c r="B6216" t="s">
        <v>116</v>
      </c>
      <c r="C6216" s="35" t="s">
        <v>422</v>
      </c>
      <c r="D6216" t="s">
        <v>502</v>
      </c>
      <c r="E6216" t="s">
        <v>520</v>
      </c>
      <c r="F6216" s="188" t="n">
        <v>2050</v>
      </c>
      <c r="G6216" s="189" t="n">
        <v>44</v>
      </c>
      <c r="H6216" s="190" t="n">
        <v>4029.5882328487</v>
      </c>
      <c r="I6216" s="191" t="n">
        <v>4504968.76920658</v>
      </c>
      <c r="J6216" s="192" t="str">
        <f>IF(I6216&gt;0,H6216/I6216,0)</f>
      </c>
      <c r="K6216" s="193" t="str">
        <f>1-EXP(-J6216)</f>
      </c>
      <c r="L6216" s="194" t="str">
        <f>IF(G6216=30,1,M6215)</f>
      </c>
      <c r="M6216" s="195" t="str">
        <f>L6216*(1-K6216)</f>
      </c>
    </row>
    <row r="6217">
      <c r="A6217" t="s">
        <v>167</v>
      </c>
      <c r="B6217" t="s">
        <v>116</v>
      </c>
      <c r="C6217" s="35" t="s">
        <v>422</v>
      </c>
      <c r="D6217" t="s">
        <v>502</v>
      </c>
      <c r="E6217" t="s">
        <v>520</v>
      </c>
      <c r="F6217" s="188" t="n">
        <v>2050</v>
      </c>
      <c r="G6217" s="189" t="n">
        <v>45</v>
      </c>
      <c r="H6217" s="190" t="n">
        <v>5106.00250309807</v>
      </c>
      <c r="I6217" s="191" t="n">
        <v>4438722.17578515</v>
      </c>
      <c r="J6217" s="192" t="str">
        <f>IF(I6217&gt;0,H6217/I6217,0)</f>
      </c>
      <c r="K6217" s="193" t="str">
        <f>1-EXP(-J6217)</f>
      </c>
      <c r="L6217" s="194" t="str">
        <f>IF(G6217=30,1,M6216)</f>
      </c>
      <c r="M6217" s="195" t="str">
        <f>L6217*(1-K6217)</f>
      </c>
    </row>
    <row r="6218">
      <c r="A6218" t="s">
        <v>167</v>
      </c>
      <c r="B6218" t="s">
        <v>116</v>
      </c>
      <c r="C6218" s="35" t="s">
        <v>422</v>
      </c>
      <c r="D6218" t="s">
        <v>502</v>
      </c>
      <c r="E6218" t="s">
        <v>520</v>
      </c>
      <c r="F6218" s="188" t="n">
        <v>2050</v>
      </c>
      <c r="G6218" s="189" t="n">
        <v>46</v>
      </c>
      <c r="H6218" s="190" t="n">
        <v>5509.70836758393</v>
      </c>
      <c r="I6218" s="191" t="n">
        <v>4304911.49916498</v>
      </c>
      <c r="J6218" s="192" t="str">
        <f>IF(I6218&gt;0,H6218/I6218,0)</f>
      </c>
      <c r="K6218" s="193" t="str">
        <f>1-EXP(-J6218)</f>
      </c>
      <c r="L6218" s="194" t="str">
        <f>IF(G6218=30,1,M6217)</f>
      </c>
      <c r="M6218" s="195" t="str">
        <f>L6218*(1-K6218)</f>
      </c>
    </row>
    <row r="6219">
      <c r="A6219" t="s">
        <v>167</v>
      </c>
      <c r="B6219" t="s">
        <v>116</v>
      </c>
      <c r="C6219" s="35" t="s">
        <v>422</v>
      </c>
      <c r="D6219" t="s">
        <v>502</v>
      </c>
      <c r="E6219" t="s">
        <v>520</v>
      </c>
      <c r="F6219" s="188" t="n">
        <v>2050</v>
      </c>
      <c r="G6219" s="189" t="n">
        <v>47</v>
      </c>
      <c r="H6219" s="190" t="n">
        <v>5953.57966336644</v>
      </c>
      <c r="I6219" s="191" t="n">
        <v>4232744.21963744</v>
      </c>
      <c r="J6219" s="192" t="str">
        <f>IF(I6219&gt;0,H6219/I6219,0)</f>
      </c>
      <c r="K6219" s="193" t="str">
        <f>1-EXP(-J6219)</f>
      </c>
      <c r="L6219" s="194" t="str">
        <f>IF(G6219=30,1,M6218)</f>
      </c>
      <c r="M6219" s="195" t="str">
        <f>L6219*(1-K6219)</f>
      </c>
    </row>
    <row r="6220">
      <c r="A6220" t="s">
        <v>167</v>
      </c>
      <c r="B6220" t="s">
        <v>116</v>
      </c>
      <c r="C6220" s="35" t="s">
        <v>422</v>
      </c>
      <c r="D6220" t="s">
        <v>502</v>
      </c>
      <c r="E6220" t="s">
        <v>520</v>
      </c>
      <c r="F6220" s="188" t="n">
        <v>2050</v>
      </c>
      <c r="G6220" s="189" t="n">
        <v>48</v>
      </c>
      <c r="H6220" s="190" t="n">
        <v>6648.98762740513</v>
      </c>
      <c r="I6220" s="191" t="n">
        <v>4199909.45897252</v>
      </c>
      <c r="J6220" s="192" t="str">
        <f>IF(I6220&gt;0,H6220/I6220,0)</f>
      </c>
      <c r="K6220" s="193" t="str">
        <f>1-EXP(-J6220)</f>
      </c>
      <c r="L6220" s="194" t="str">
        <f>IF(G6220=30,1,M6219)</f>
      </c>
      <c r="M6220" s="195" t="str">
        <f>L6220*(1-K6220)</f>
      </c>
    </row>
    <row r="6221">
      <c r="A6221" t="s">
        <v>167</v>
      </c>
      <c r="B6221" t="s">
        <v>116</v>
      </c>
      <c r="C6221" s="35" t="s">
        <v>422</v>
      </c>
      <c r="D6221" t="s">
        <v>502</v>
      </c>
      <c r="E6221" t="s">
        <v>520</v>
      </c>
      <c r="F6221" s="188" t="n">
        <v>2050</v>
      </c>
      <c r="G6221" s="189" t="n">
        <v>49</v>
      </c>
      <c r="H6221" s="190" t="n">
        <v>7272.93263118616</v>
      </c>
      <c r="I6221" s="191" t="n">
        <v>4169649.32625007</v>
      </c>
      <c r="J6221" s="192" t="str">
        <f>IF(I6221&gt;0,H6221/I6221,0)</f>
      </c>
      <c r="K6221" s="193" t="str">
        <f>1-EXP(-J6221)</f>
      </c>
      <c r="L6221" s="194" t="str">
        <f>IF(G6221=30,1,M6220)</f>
      </c>
      <c r="M6221" s="195" t="str">
        <f>L6221*(1-K6221)</f>
      </c>
    </row>
    <row r="6222">
      <c r="A6222" t="s">
        <v>167</v>
      </c>
      <c r="B6222" t="s">
        <v>116</v>
      </c>
      <c r="C6222" s="35" t="s">
        <v>422</v>
      </c>
      <c r="D6222" t="s">
        <v>502</v>
      </c>
      <c r="E6222" t="s">
        <v>520</v>
      </c>
      <c r="F6222" s="188" t="n">
        <v>2050</v>
      </c>
      <c r="G6222" s="189" t="n">
        <v>50</v>
      </c>
      <c r="H6222" s="190" t="n">
        <v>8245.70077236443</v>
      </c>
      <c r="I6222" s="191" t="n">
        <v>4137885.49721327</v>
      </c>
      <c r="J6222" s="192" t="str">
        <f>IF(I6222&gt;0,H6222/I6222,0)</f>
      </c>
      <c r="K6222" s="193" t="str">
        <f>1-EXP(-J6222)</f>
      </c>
      <c r="L6222" s="194" t="str">
        <f>IF(G6222=30,1,M6221)</f>
      </c>
      <c r="M6222" s="195" t="str">
        <f>L6222*(1-K6222)</f>
      </c>
    </row>
    <row r="6223">
      <c r="A6223" t="s">
        <v>167</v>
      </c>
      <c r="B6223" t="s">
        <v>116</v>
      </c>
      <c r="C6223" s="35" t="s">
        <v>422</v>
      </c>
      <c r="D6223" t="s">
        <v>502</v>
      </c>
      <c r="E6223" t="s">
        <v>520</v>
      </c>
      <c r="F6223" s="188" t="n">
        <v>2050</v>
      </c>
      <c r="G6223" s="189" t="n">
        <v>51</v>
      </c>
      <c r="H6223" s="190" t="n">
        <v>9088.29102626709</v>
      </c>
      <c r="I6223" s="191" t="n">
        <v>4142253.42193491</v>
      </c>
      <c r="J6223" s="192" t="str">
        <f>IF(I6223&gt;0,H6223/I6223,0)</f>
      </c>
      <c r="K6223" s="193" t="str">
        <f>1-EXP(-J6223)</f>
      </c>
      <c r="L6223" s="194" t="str">
        <f>IF(G6223=30,1,M6222)</f>
      </c>
      <c r="M6223" s="195" t="str">
        <f>L6223*(1-K6223)</f>
      </c>
    </row>
    <row r="6224">
      <c r="A6224" t="s">
        <v>167</v>
      </c>
      <c r="B6224" t="s">
        <v>116</v>
      </c>
      <c r="C6224" s="35" t="s">
        <v>422</v>
      </c>
      <c r="D6224" t="s">
        <v>502</v>
      </c>
      <c r="E6224" t="s">
        <v>520</v>
      </c>
      <c r="F6224" s="188" t="n">
        <v>2050</v>
      </c>
      <c r="G6224" s="189" t="n">
        <v>52</v>
      </c>
      <c r="H6224" s="190" t="n">
        <v>10068.0666264059</v>
      </c>
      <c r="I6224" s="191" t="n">
        <v>4182694.37085705</v>
      </c>
      <c r="J6224" s="192" t="str">
        <f>IF(I6224&gt;0,H6224/I6224,0)</f>
      </c>
      <c r="K6224" s="193" t="str">
        <f>1-EXP(-J6224)</f>
      </c>
      <c r="L6224" s="194" t="str">
        <f>IF(G6224=30,1,M6223)</f>
      </c>
      <c r="M6224" s="195" t="str">
        <f>L6224*(1-K6224)</f>
      </c>
    </row>
    <row r="6225">
      <c r="A6225" t="s">
        <v>167</v>
      </c>
      <c r="B6225" t="s">
        <v>116</v>
      </c>
      <c r="C6225" s="35" t="s">
        <v>422</v>
      </c>
      <c r="D6225" t="s">
        <v>502</v>
      </c>
      <c r="E6225" t="s">
        <v>520</v>
      </c>
      <c r="F6225" s="188" t="n">
        <v>2050</v>
      </c>
      <c r="G6225" s="189" t="n">
        <v>53</v>
      </c>
      <c r="H6225" s="190" t="n">
        <v>11456.1814210306</v>
      </c>
      <c r="I6225" s="191" t="n">
        <v>4292502.14402933</v>
      </c>
      <c r="J6225" s="192" t="str">
        <f>IF(I6225&gt;0,H6225/I6225,0)</f>
      </c>
      <c r="K6225" s="193" t="str">
        <f>1-EXP(-J6225)</f>
      </c>
      <c r="L6225" s="194" t="str">
        <f>IF(G6225=30,1,M6224)</f>
      </c>
      <c r="M6225" s="195" t="str">
        <f>L6225*(1-K6225)</f>
      </c>
    </row>
    <row r="6226">
      <c r="A6226" t="s">
        <v>167</v>
      </c>
      <c r="B6226" t="s">
        <v>116</v>
      </c>
      <c r="C6226" s="35" t="s">
        <v>422</v>
      </c>
      <c r="D6226" t="s">
        <v>502</v>
      </c>
      <c r="E6226" t="s">
        <v>520</v>
      </c>
      <c r="F6226" s="188" t="n">
        <v>2050</v>
      </c>
      <c r="G6226" s="189" t="n">
        <v>54</v>
      </c>
      <c r="H6226" s="190" t="n">
        <v>12315.2206406859</v>
      </c>
      <c r="I6226" s="191" t="n">
        <v>4230919.87005492</v>
      </c>
      <c r="J6226" s="192" t="str">
        <f>IF(I6226&gt;0,H6226/I6226,0)</f>
      </c>
      <c r="K6226" s="193" t="str">
        <f>1-EXP(-J6226)</f>
      </c>
      <c r="L6226" s="194" t="str">
        <f>IF(G6226=30,1,M6225)</f>
      </c>
      <c r="M6226" s="195" t="str">
        <f>L6226*(1-K6226)</f>
      </c>
    </row>
    <row r="6227">
      <c r="A6227" t="s">
        <v>167</v>
      </c>
      <c r="B6227" t="s">
        <v>116</v>
      </c>
      <c r="C6227" s="35" t="s">
        <v>422</v>
      </c>
      <c r="D6227" t="s">
        <v>502</v>
      </c>
      <c r="E6227" t="s">
        <v>520</v>
      </c>
      <c r="F6227" s="188" t="n">
        <v>2050</v>
      </c>
      <c r="G6227" s="189" t="n">
        <v>55</v>
      </c>
      <c r="H6227" s="190" t="n">
        <v>12835.5966186155</v>
      </c>
      <c r="I6227" s="191" t="n">
        <v>4139509.78800693</v>
      </c>
      <c r="J6227" s="192" t="str">
        <f>IF(I6227&gt;0,H6227/I6227,0)</f>
      </c>
      <c r="K6227" s="193" t="str">
        <f>1-EXP(-J6227)</f>
      </c>
      <c r="L6227" s="194" t="str">
        <f>IF(G6227=30,1,M6226)</f>
      </c>
      <c r="M6227" s="195" t="str">
        <f>L6227*(1-K6227)</f>
      </c>
    </row>
    <row r="6228">
      <c r="A6228" t="s">
        <v>167</v>
      </c>
      <c r="B6228" t="s">
        <v>116</v>
      </c>
      <c r="C6228" s="35" t="s">
        <v>422</v>
      </c>
      <c r="D6228" t="s">
        <v>502</v>
      </c>
      <c r="E6228" t="s">
        <v>520</v>
      </c>
      <c r="F6228" s="188" t="n">
        <v>2050</v>
      </c>
      <c r="G6228" s="189" t="n">
        <v>56</v>
      </c>
      <c r="H6228" s="190" t="n">
        <v>13624.1650256914</v>
      </c>
      <c r="I6228" s="191" t="n">
        <v>4061368.11535186</v>
      </c>
      <c r="J6228" s="192" t="str">
        <f>IF(I6228&gt;0,H6228/I6228,0)</f>
      </c>
      <c r="K6228" s="193" t="str">
        <f>1-EXP(-J6228)</f>
      </c>
      <c r="L6228" s="194" t="str">
        <f>IF(G6228=30,1,M6227)</f>
      </c>
      <c r="M6228" s="195" t="str">
        <f>L6228*(1-K6228)</f>
      </c>
    </row>
    <row r="6229">
      <c r="A6229" t="s">
        <v>167</v>
      </c>
      <c r="B6229" t="s">
        <v>116</v>
      </c>
      <c r="C6229" s="35" t="s">
        <v>422</v>
      </c>
      <c r="D6229" t="s">
        <v>502</v>
      </c>
      <c r="E6229" t="s">
        <v>520</v>
      </c>
      <c r="F6229" s="188" t="n">
        <v>2050</v>
      </c>
      <c r="G6229" s="189" t="n">
        <v>57</v>
      </c>
      <c r="H6229" s="190" t="n">
        <v>14598.431279394</v>
      </c>
      <c r="I6229" s="191" t="n">
        <v>3985092.64432298</v>
      </c>
      <c r="J6229" s="192" t="str">
        <f>IF(I6229&gt;0,H6229/I6229,0)</f>
      </c>
      <c r="K6229" s="193" t="str">
        <f>1-EXP(-J6229)</f>
      </c>
      <c r="L6229" s="194" t="str">
        <f>IF(G6229=30,1,M6228)</f>
      </c>
      <c r="M6229" s="195" t="str">
        <f>L6229*(1-K6229)</f>
      </c>
    </row>
    <row r="6230">
      <c r="A6230" t="s">
        <v>167</v>
      </c>
      <c r="B6230" t="s">
        <v>116</v>
      </c>
      <c r="C6230" s="35" t="s">
        <v>422</v>
      </c>
      <c r="D6230" t="s">
        <v>502</v>
      </c>
      <c r="E6230" t="s">
        <v>520</v>
      </c>
      <c r="F6230" s="188" t="n">
        <v>2050</v>
      </c>
      <c r="G6230" s="189" t="n">
        <v>58</v>
      </c>
      <c r="H6230" s="190" t="n">
        <v>15975.4625899051</v>
      </c>
      <c r="I6230" s="191" t="n">
        <v>3991179.21126605</v>
      </c>
      <c r="J6230" s="192" t="str">
        <f>IF(I6230&gt;0,H6230/I6230,0)</f>
      </c>
      <c r="K6230" s="193" t="str">
        <f>1-EXP(-J6230)</f>
      </c>
      <c r="L6230" s="194" t="str">
        <f>IF(G6230=30,1,M6229)</f>
      </c>
      <c r="M6230" s="195" t="str">
        <f>L6230*(1-K6230)</f>
      </c>
    </row>
    <row r="6231">
      <c r="A6231" t="s">
        <v>167</v>
      </c>
      <c r="B6231" t="s">
        <v>116</v>
      </c>
      <c r="C6231" s="35" t="s">
        <v>422</v>
      </c>
      <c r="D6231" t="s">
        <v>502</v>
      </c>
      <c r="E6231" t="s">
        <v>520</v>
      </c>
      <c r="F6231" s="188" t="n">
        <v>2050</v>
      </c>
      <c r="G6231" s="189" t="n">
        <v>59</v>
      </c>
      <c r="H6231" s="190" t="n">
        <v>17453.2332947666</v>
      </c>
      <c r="I6231" s="191" t="n">
        <v>3975882.47109031</v>
      </c>
      <c r="J6231" s="192" t="str">
        <f>IF(I6231&gt;0,H6231/I6231,0)</f>
      </c>
      <c r="K6231" s="193" t="str">
        <f>1-EXP(-J6231)</f>
      </c>
      <c r="L6231" s="194" t="str">
        <f>IF(G6231=30,1,M6230)</f>
      </c>
      <c r="M6231" s="195" t="str">
        <f>L6231*(1-K6231)</f>
      </c>
    </row>
    <row r="6232">
      <c r="A6232" t="s">
        <v>167</v>
      </c>
      <c r="B6232" t="s">
        <v>116</v>
      </c>
      <c r="C6232" s="35" t="s">
        <v>422</v>
      </c>
      <c r="D6232" t="s">
        <v>502</v>
      </c>
      <c r="E6232" t="s">
        <v>520</v>
      </c>
      <c r="F6232" s="188" t="n">
        <v>2050</v>
      </c>
      <c r="G6232" s="189" t="n">
        <v>60</v>
      </c>
      <c r="H6232" s="190" t="n">
        <v>25236.0110769098</v>
      </c>
      <c r="I6232" s="191" t="n">
        <v>5845979.4096826</v>
      </c>
      <c r="J6232" s="192" t="str">
        <f>IF(I6232&gt;0,H6232/I6232,0)</f>
      </c>
      <c r="K6232" s="193" t="str">
        <f>1-EXP(-J6232)</f>
      </c>
      <c r="L6232" s="194" t="str">
        <f>IF(G6232=30,1,M6231)</f>
      </c>
      <c r="M6232" s="195" t="str">
        <f>L6232*(1-K6232)</f>
      </c>
    </row>
    <row r="6233">
      <c r="A6233" t="s">
        <v>167</v>
      </c>
      <c r="B6233" t="s">
        <v>116</v>
      </c>
      <c r="C6233" s="35" t="s">
        <v>422</v>
      </c>
      <c r="D6233" t="s">
        <v>502</v>
      </c>
      <c r="E6233" t="s">
        <v>520</v>
      </c>
      <c r="F6233" s="188" t="n">
        <v>2050</v>
      </c>
      <c r="G6233" s="189" t="n">
        <v>61</v>
      </c>
      <c r="H6233" s="190" t="n">
        <v>20095.0700763338</v>
      </c>
      <c r="I6233" s="191" t="n">
        <v>3866379.82982371</v>
      </c>
      <c r="J6233" s="192" t="str">
        <f>IF(I6233&gt;0,H6233/I6233,0)</f>
      </c>
      <c r="K6233" s="193" t="str">
        <f>1-EXP(-J6233)</f>
      </c>
      <c r="L6233" s="194" t="str">
        <f>IF(G6233=30,1,M6232)</f>
      </c>
      <c r="M6233" s="195" t="str">
        <f>L6233*(1-K6233)</f>
      </c>
    </row>
    <row r="6234">
      <c r="A6234" t="s">
        <v>167</v>
      </c>
      <c r="B6234" t="s">
        <v>116</v>
      </c>
      <c r="C6234" s="35" t="s">
        <v>422</v>
      </c>
      <c r="D6234" t="s">
        <v>502</v>
      </c>
      <c r="E6234" t="s">
        <v>520</v>
      </c>
      <c r="F6234" s="188" t="n">
        <v>2050</v>
      </c>
      <c r="G6234" s="189" t="n">
        <v>62</v>
      </c>
      <c r="H6234" s="190" t="n">
        <v>21789.158772332</v>
      </c>
      <c r="I6234" s="191" t="n">
        <v>3810530.60857576</v>
      </c>
      <c r="J6234" s="192" t="str">
        <f>IF(I6234&gt;0,H6234/I6234,0)</f>
      </c>
      <c r="K6234" s="193" t="str">
        <f>1-EXP(-J6234)</f>
      </c>
      <c r="L6234" s="194" t="str">
        <f>IF(G6234=30,1,M6233)</f>
      </c>
      <c r="M6234" s="195" t="str">
        <f>L6234*(1-K6234)</f>
      </c>
    </row>
    <row r="6235">
      <c r="A6235" t="s">
        <v>167</v>
      </c>
      <c r="B6235" t="s">
        <v>116</v>
      </c>
      <c r="C6235" s="35" t="s">
        <v>422</v>
      </c>
      <c r="D6235" t="s">
        <v>502</v>
      </c>
      <c r="E6235" t="s">
        <v>520</v>
      </c>
      <c r="F6235" s="188" t="n">
        <v>2050</v>
      </c>
      <c r="G6235" s="189" t="n">
        <v>63</v>
      </c>
      <c r="H6235" s="190" t="n">
        <v>22970.9441373173</v>
      </c>
      <c r="I6235" s="191" t="n">
        <v>3650324.62051863</v>
      </c>
      <c r="J6235" s="192" t="str">
        <f>IF(I6235&gt;0,H6235/I6235,0)</f>
      </c>
      <c r="K6235" s="193" t="str">
        <f>1-EXP(-J6235)</f>
      </c>
      <c r="L6235" s="194" t="str">
        <f>IF(G6235=30,1,M6234)</f>
      </c>
      <c r="M6235" s="195" t="str">
        <f>L6235*(1-K6235)</f>
      </c>
    </row>
    <row r="6236">
      <c r="A6236" t="s">
        <v>167</v>
      </c>
      <c r="B6236" t="s">
        <v>116</v>
      </c>
      <c r="C6236" s="35" t="s">
        <v>422</v>
      </c>
      <c r="D6236" t="s">
        <v>502</v>
      </c>
      <c r="E6236" t="s">
        <v>520</v>
      </c>
      <c r="F6236" s="188" t="n">
        <v>2050</v>
      </c>
      <c r="G6236" s="189" t="n">
        <v>64</v>
      </c>
      <c r="H6236" s="190" t="n">
        <v>24721.8695488446</v>
      </c>
      <c r="I6236" s="191" t="n">
        <v>3573379.72767018</v>
      </c>
      <c r="J6236" s="192" t="str">
        <f>IF(I6236&gt;0,H6236/I6236,0)</f>
      </c>
      <c r="K6236" s="193" t="str">
        <f>1-EXP(-J6236)</f>
      </c>
      <c r="L6236" s="194" t="str">
        <f>IF(G6236=30,1,M6235)</f>
      </c>
      <c r="M6236" s="195" t="str">
        <f>L6236*(1-K6236)</f>
      </c>
    </row>
    <row r="6237">
      <c r="A6237" t="s">
        <v>167</v>
      </c>
      <c r="B6237" t="s">
        <v>116</v>
      </c>
      <c r="C6237" s="35" t="s">
        <v>422</v>
      </c>
      <c r="D6237" t="s">
        <v>502</v>
      </c>
      <c r="E6237" t="s">
        <v>520</v>
      </c>
      <c r="F6237" s="188" t="n">
        <v>2050</v>
      </c>
      <c r="G6237" s="189" t="n">
        <v>65</v>
      </c>
      <c r="H6237" s="190" t="n">
        <v>25770.7338014559</v>
      </c>
      <c r="I6237" s="191" t="n">
        <v>3572482.26410304</v>
      </c>
      <c r="J6237" s="192" t="str">
        <f>IF(I6237&gt;0,H6237/I6237,0)</f>
      </c>
      <c r="K6237" s="193" t="str">
        <f>1-EXP(-J6237)</f>
      </c>
      <c r="L6237" s="194" t="str">
        <f>IF(G6237=30,1,M6236)</f>
      </c>
      <c r="M6237" s="195" t="str">
        <f>L6237*(1-K6237)</f>
      </c>
    </row>
    <row r="6238">
      <c r="A6238" t="s">
        <v>167</v>
      </c>
      <c r="B6238" t="s">
        <v>116</v>
      </c>
      <c r="C6238" s="35" t="s">
        <v>422</v>
      </c>
      <c r="D6238" t="s">
        <v>502</v>
      </c>
      <c r="E6238" t="s">
        <v>520</v>
      </c>
      <c r="F6238" s="188" t="n">
        <v>2050</v>
      </c>
      <c r="G6238" s="189" t="n">
        <v>66</v>
      </c>
      <c r="H6238" s="190" t="n">
        <v>28373.5257426776</v>
      </c>
      <c r="I6238" s="191" t="n">
        <v>3587462.62651135</v>
      </c>
      <c r="J6238" s="192" t="str">
        <f>IF(I6238&gt;0,H6238/I6238,0)</f>
      </c>
      <c r="K6238" s="193" t="str">
        <f>1-EXP(-J6238)</f>
      </c>
      <c r="L6238" s="194" t="str">
        <f>IF(G6238=30,1,M6237)</f>
      </c>
      <c r="M6238" s="195" t="str">
        <f>L6238*(1-K6238)</f>
      </c>
    </row>
    <row r="6239">
      <c r="A6239" t="s">
        <v>167</v>
      </c>
      <c r="B6239" t="s">
        <v>116</v>
      </c>
      <c r="C6239" s="35" t="s">
        <v>422</v>
      </c>
      <c r="D6239" t="s">
        <v>502</v>
      </c>
      <c r="E6239" t="s">
        <v>520</v>
      </c>
      <c r="F6239" s="188" t="n">
        <v>2050</v>
      </c>
      <c r="G6239" s="189" t="n">
        <v>67</v>
      </c>
      <c r="H6239" s="190" t="n">
        <v>30497.3943048726</v>
      </c>
      <c r="I6239" s="191" t="n">
        <v>3505456.45493688</v>
      </c>
      <c r="J6239" s="192" t="str">
        <f>IF(I6239&gt;0,H6239/I6239,0)</f>
      </c>
      <c r="K6239" s="193" t="str">
        <f>1-EXP(-J6239)</f>
      </c>
      <c r="L6239" s="194" t="str">
        <f>IF(G6239=30,1,M6238)</f>
      </c>
      <c r="M6239" s="195" t="str">
        <f>L6239*(1-K6239)</f>
      </c>
    </row>
    <row r="6240">
      <c r="A6240" t="s">
        <v>167</v>
      </c>
      <c r="B6240" t="s">
        <v>116</v>
      </c>
      <c r="C6240" s="35" t="s">
        <v>422</v>
      </c>
      <c r="D6240" t="s">
        <v>502</v>
      </c>
      <c r="E6240" t="s">
        <v>520</v>
      </c>
      <c r="F6240" s="188" t="n">
        <v>2050</v>
      </c>
      <c r="G6240" s="189" t="n">
        <v>68</v>
      </c>
      <c r="H6240" s="190" t="n">
        <v>31899.4095827453</v>
      </c>
      <c r="I6240" s="191" t="n">
        <v>3328195.03946363</v>
      </c>
      <c r="J6240" s="192" t="str">
        <f>IF(I6240&gt;0,H6240/I6240,0)</f>
      </c>
      <c r="K6240" s="193" t="str">
        <f>1-EXP(-J6240)</f>
      </c>
      <c r="L6240" s="194" t="str">
        <f>IF(G6240=30,1,M6239)</f>
      </c>
      <c r="M6240" s="195" t="str">
        <f>L6240*(1-K6240)</f>
      </c>
    </row>
    <row r="6241">
      <c r="A6241" t="s">
        <v>167</v>
      </c>
      <c r="B6241" t="s">
        <v>116</v>
      </c>
      <c r="C6241" s="35" t="s">
        <v>422</v>
      </c>
      <c r="D6241" t="s">
        <v>502</v>
      </c>
      <c r="E6241" t="s">
        <v>520</v>
      </c>
      <c r="F6241" s="188" t="n">
        <v>2050</v>
      </c>
      <c r="G6241" s="189" t="n">
        <v>69</v>
      </c>
      <c r="H6241" s="190" t="n">
        <v>33800.3140309777</v>
      </c>
      <c r="I6241" s="191" t="n">
        <v>3200015.32242671</v>
      </c>
      <c r="J6241" s="192" t="str">
        <f>IF(I6241&gt;0,H6241/I6241,0)</f>
      </c>
      <c r="K6241" s="193" t="str">
        <f>1-EXP(-J6241)</f>
      </c>
      <c r="L6241" s="194" t="str">
        <f>IF(G6241=30,1,M6240)</f>
      </c>
      <c r="M6241" s="195" t="str">
        <f>L6241*(1-K6241)</f>
      </c>
    </row>
    <row r="6242">
      <c r="A6242" t="s">
        <v>167</v>
      </c>
      <c r="B6242" t="s">
        <v>113</v>
      </c>
      <c r="C6242" s="35" t="s">
        <v>521</v>
      </c>
      <c r="D6242" t="s">
        <v>113</v>
      </c>
      <c r="E6242" t="s">
        <v>520</v>
      </c>
      <c r="F6242" s="188" t="n">
        <v>2025</v>
      </c>
      <c r="G6242" s="189" t="n">
        <v>30</v>
      </c>
      <c r="H6242" s="190" t="n">
        <v>1282.1480800753</v>
      </c>
      <c r="I6242" s="191" t="n">
        <v>4467259.00744984</v>
      </c>
      <c r="J6242" s="192" t="str">
        <f>IF(I6242&gt;0,H6242/I6242,0)</f>
      </c>
      <c r="K6242" s="193" t="str">
        <f>1-EXP(-J6242)</f>
      </c>
      <c r="L6242" s="194" t="str">
        <f>IF(G6242=30,1,M6241)</f>
      </c>
      <c r="M6242" s="195" t="str">
        <f>L6242*(1-K6242)</f>
      </c>
    </row>
    <row r="6243">
      <c r="A6243" t="s">
        <v>167</v>
      </c>
      <c r="B6243" t="s">
        <v>113</v>
      </c>
      <c r="C6243" s="35" t="s">
        <v>521</v>
      </c>
      <c r="D6243" t="s">
        <v>113</v>
      </c>
      <c r="E6243" t="s">
        <v>520</v>
      </c>
      <c r="F6243" s="188" t="n">
        <v>2025</v>
      </c>
      <c r="G6243" s="189" t="n">
        <v>31</v>
      </c>
      <c r="H6243" s="190" t="n">
        <v>1315.23908698247</v>
      </c>
      <c r="I6243" s="191" t="n">
        <v>4410712.39044934</v>
      </c>
      <c r="J6243" s="192" t="str">
        <f>IF(I6243&gt;0,H6243/I6243,0)</f>
      </c>
      <c r="K6243" s="193" t="str">
        <f>1-EXP(-J6243)</f>
      </c>
      <c r="L6243" s="194" t="str">
        <f>IF(G6243=30,1,M6242)</f>
      </c>
      <c r="M6243" s="195" t="str">
        <f>L6243*(1-K6243)</f>
      </c>
    </row>
    <row r="6244">
      <c r="A6244" t="s">
        <v>167</v>
      </c>
      <c r="B6244" t="s">
        <v>113</v>
      </c>
      <c r="C6244" s="35" t="s">
        <v>521</v>
      </c>
      <c r="D6244" t="s">
        <v>113</v>
      </c>
      <c r="E6244" t="s">
        <v>520</v>
      </c>
      <c r="F6244" s="188" t="n">
        <v>2025</v>
      </c>
      <c r="G6244" s="189" t="n">
        <v>32</v>
      </c>
      <c r="H6244" s="190" t="n">
        <v>1358.36874107966</v>
      </c>
      <c r="I6244" s="191" t="n">
        <v>4358505.80076359</v>
      </c>
      <c r="J6244" s="192" t="str">
        <f>IF(I6244&gt;0,H6244/I6244,0)</f>
      </c>
      <c r="K6244" s="193" t="str">
        <f>1-EXP(-J6244)</f>
      </c>
      <c r="L6244" s="194" t="str">
        <f>IF(G6244=30,1,M6243)</f>
      </c>
      <c r="M6244" s="195" t="str">
        <f>L6244*(1-K6244)</f>
      </c>
    </row>
    <row r="6245">
      <c r="A6245" t="s">
        <v>167</v>
      </c>
      <c r="B6245" t="s">
        <v>113</v>
      </c>
      <c r="C6245" s="35" t="s">
        <v>521</v>
      </c>
      <c r="D6245" t="s">
        <v>113</v>
      </c>
      <c r="E6245" t="s">
        <v>520</v>
      </c>
      <c r="F6245" s="188" t="n">
        <v>2025</v>
      </c>
      <c r="G6245" s="189" t="n">
        <v>33</v>
      </c>
      <c r="H6245" s="190" t="n">
        <v>1441.84186563354</v>
      </c>
      <c r="I6245" s="191" t="n">
        <v>4398745.92791286</v>
      </c>
      <c r="J6245" s="192" t="str">
        <f>IF(I6245&gt;0,H6245/I6245,0)</f>
      </c>
      <c r="K6245" s="193" t="str">
        <f>1-EXP(-J6245)</f>
      </c>
      <c r="L6245" s="194" t="str">
        <f>IF(G6245=30,1,M6244)</f>
      </c>
      <c r="M6245" s="195" t="str">
        <f>L6245*(1-K6245)</f>
      </c>
    </row>
    <row r="6246">
      <c r="A6246" t="s">
        <v>167</v>
      </c>
      <c r="B6246" t="s">
        <v>113</v>
      </c>
      <c r="C6246" s="35" t="s">
        <v>521</v>
      </c>
      <c r="D6246" t="s">
        <v>113</v>
      </c>
      <c r="E6246" t="s">
        <v>520</v>
      </c>
      <c r="F6246" s="188" t="n">
        <v>2025</v>
      </c>
      <c r="G6246" s="189" t="n">
        <v>34</v>
      </c>
      <c r="H6246" s="190" t="n">
        <v>1533.78714702233</v>
      </c>
      <c r="I6246" s="191" t="n">
        <v>4419468.58899599</v>
      </c>
      <c r="J6246" s="192" t="str">
        <f>IF(I6246&gt;0,H6246/I6246,0)</f>
      </c>
      <c r="K6246" s="193" t="str">
        <f>1-EXP(-J6246)</f>
      </c>
      <c r="L6246" s="194" t="str">
        <f>IF(G6246=30,1,M6245)</f>
      </c>
      <c r="M6246" s="195" t="str">
        <f>L6246*(1-K6246)</f>
      </c>
    </row>
    <row r="6247">
      <c r="A6247" t="s">
        <v>167</v>
      </c>
      <c r="B6247" t="s">
        <v>113</v>
      </c>
      <c r="C6247" s="35" t="s">
        <v>521</v>
      </c>
      <c r="D6247" t="s">
        <v>113</v>
      </c>
      <c r="E6247" t="s">
        <v>520</v>
      </c>
      <c r="F6247" s="188" t="n">
        <v>2025</v>
      </c>
      <c r="G6247" s="189" t="n">
        <v>35</v>
      </c>
      <c r="H6247" s="190" t="n">
        <v>3016.10693161696</v>
      </c>
      <c r="I6247" s="191" t="n">
        <v>6509663.36688188</v>
      </c>
      <c r="J6247" s="192" t="str">
        <f>IF(I6247&gt;0,H6247/I6247,0)</f>
      </c>
      <c r="K6247" s="193" t="str">
        <f>1-EXP(-J6247)</f>
      </c>
      <c r="L6247" s="194" t="str">
        <f>IF(G6247=30,1,M6246)</f>
      </c>
      <c r="M6247" s="195" t="str">
        <f>L6247*(1-K6247)</f>
      </c>
    </row>
    <row r="6248">
      <c r="A6248" t="s">
        <v>167</v>
      </c>
      <c r="B6248" t="s">
        <v>113</v>
      </c>
      <c r="C6248" s="35" t="s">
        <v>521</v>
      </c>
      <c r="D6248" t="s">
        <v>113</v>
      </c>
      <c r="E6248" t="s">
        <v>520</v>
      </c>
      <c r="F6248" s="188" t="n">
        <v>2025</v>
      </c>
      <c r="G6248" s="189" t="n">
        <v>36</v>
      </c>
      <c r="H6248" s="190" t="n">
        <v>2254.70933318993</v>
      </c>
      <c r="I6248" s="191" t="n">
        <v>4383096.00549538</v>
      </c>
      <c r="J6248" s="192" t="str">
        <f>IF(I6248&gt;0,H6248/I6248,0)</f>
      </c>
      <c r="K6248" s="193" t="str">
        <f>1-EXP(-J6248)</f>
      </c>
      <c r="L6248" s="194" t="str">
        <f>IF(G6248=30,1,M6247)</f>
      </c>
      <c r="M6248" s="195" t="str">
        <f>L6248*(1-K6248)</f>
      </c>
    </row>
    <row r="6249">
      <c r="A6249" t="s">
        <v>167</v>
      </c>
      <c r="B6249" t="s">
        <v>113</v>
      </c>
      <c r="C6249" s="35" t="s">
        <v>521</v>
      </c>
      <c r="D6249" t="s">
        <v>113</v>
      </c>
      <c r="E6249" t="s">
        <v>520</v>
      </c>
      <c r="F6249" s="188" t="n">
        <v>2025</v>
      </c>
      <c r="G6249" s="189" t="n">
        <v>37</v>
      </c>
      <c r="H6249" s="190" t="n">
        <v>2406.72848505595</v>
      </c>
      <c r="I6249" s="191" t="n">
        <v>4369642.29305489</v>
      </c>
      <c r="J6249" s="192" t="str">
        <f>IF(I6249&gt;0,H6249/I6249,0)</f>
      </c>
      <c r="K6249" s="193" t="str">
        <f>1-EXP(-J6249)</f>
      </c>
      <c r="L6249" s="194" t="str">
        <f>IF(G6249=30,1,M6248)</f>
      </c>
      <c r="M6249" s="195" t="str">
        <f>L6249*(1-K6249)</f>
      </c>
    </row>
    <row r="6250">
      <c r="A6250" t="s">
        <v>167</v>
      </c>
      <c r="B6250" t="s">
        <v>113</v>
      </c>
      <c r="C6250" s="35" t="s">
        <v>521</v>
      </c>
      <c r="D6250" t="s">
        <v>113</v>
      </c>
      <c r="E6250" t="s">
        <v>520</v>
      </c>
      <c r="F6250" s="188" t="n">
        <v>2025</v>
      </c>
      <c r="G6250" s="189" t="n">
        <v>38</v>
      </c>
      <c r="H6250" s="190" t="n">
        <v>2504.26492550027</v>
      </c>
      <c r="I6250" s="191" t="n">
        <v>4239505.8530855</v>
      </c>
      <c r="J6250" s="192" t="str">
        <f>IF(I6250&gt;0,H6250/I6250,0)</f>
      </c>
      <c r="K6250" s="193" t="str">
        <f>1-EXP(-J6250)</f>
      </c>
      <c r="L6250" s="194" t="str">
        <f>IF(G6250=30,1,M6249)</f>
      </c>
      <c r="M6250" s="195" t="str">
        <f>L6250*(1-K6250)</f>
      </c>
    </row>
    <row r="6251">
      <c r="A6251" t="s">
        <v>167</v>
      </c>
      <c r="B6251" t="s">
        <v>113</v>
      </c>
      <c r="C6251" s="35" t="s">
        <v>521</v>
      </c>
      <c r="D6251" t="s">
        <v>113</v>
      </c>
      <c r="E6251" t="s">
        <v>520</v>
      </c>
      <c r="F6251" s="188" t="n">
        <v>2025</v>
      </c>
      <c r="G6251" s="189" t="n">
        <v>39</v>
      </c>
      <c r="H6251" s="190" t="n">
        <v>2668.85044983616</v>
      </c>
      <c r="I6251" s="191" t="n">
        <v>4208510.72085438</v>
      </c>
      <c r="J6251" s="192" t="str">
        <f>IF(I6251&gt;0,H6251/I6251,0)</f>
      </c>
      <c r="K6251" s="193" t="str">
        <f>1-EXP(-J6251)</f>
      </c>
      <c r="L6251" s="194" t="str">
        <f>IF(G6251=30,1,M6250)</f>
      </c>
      <c r="M6251" s="195" t="str">
        <f>L6251*(1-K6251)</f>
      </c>
    </row>
    <row r="6252">
      <c r="A6252" t="s">
        <v>167</v>
      </c>
      <c r="B6252" t="s">
        <v>113</v>
      </c>
      <c r="C6252" s="35" t="s">
        <v>521</v>
      </c>
      <c r="D6252" t="s">
        <v>113</v>
      </c>
      <c r="E6252" t="s">
        <v>520</v>
      </c>
      <c r="F6252" s="188" t="n">
        <v>2025</v>
      </c>
      <c r="G6252" s="189" t="n">
        <v>40</v>
      </c>
      <c r="H6252" s="190" t="n">
        <v>3657.34535610758</v>
      </c>
      <c r="I6252" s="191" t="n">
        <v>4272859.94162918</v>
      </c>
      <c r="J6252" s="192" t="str">
        <f>IF(I6252&gt;0,H6252/I6252,0)</f>
      </c>
      <c r="K6252" s="193" t="str">
        <f>1-EXP(-J6252)</f>
      </c>
      <c r="L6252" s="194" t="str">
        <f>IF(G6252=30,1,M6251)</f>
      </c>
      <c r="M6252" s="195" t="str">
        <f>L6252*(1-K6252)</f>
      </c>
    </row>
    <row r="6253">
      <c r="A6253" t="s">
        <v>167</v>
      </c>
      <c r="B6253" t="s">
        <v>113</v>
      </c>
      <c r="C6253" s="35" t="s">
        <v>521</v>
      </c>
      <c r="D6253" t="s">
        <v>113</v>
      </c>
      <c r="E6253" t="s">
        <v>520</v>
      </c>
      <c r="F6253" s="188" t="n">
        <v>2025</v>
      </c>
      <c r="G6253" s="189" t="n">
        <v>41</v>
      </c>
      <c r="H6253" s="190" t="n">
        <v>4027.1376792173</v>
      </c>
      <c r="I6253" s="191" t="n">
        <v>4362484.66303299</v>
      </c>
      <c r="J6253" s="192" t="str">
        <f>IF(I6253&gt;0,H6253/I6253,0)</f>
      </c>
      <c r="K6253" s="193" t="str">
        <f>1-EXP(-J6253)</f>
      </c>
      <c r="L6253" s="194" t="str">
        <f>IF(G6253=30,1,M6252)</f>
      </c>
      <c r="M6253" s="195" t="str">
        <f>L6253*(1-K6253)</f>
      </c>
    </row>
    <row r="6254">
      <c r="A6254" t="s">
        <v>167</v>
      </c>
      <c r="B6254" t="s">
        <v>113</v>
      </c>
      <c r="C6254" s="35" t="s">
        <v>521</v>
      </c>
      <c r="D6254" t="s">
        <v>113</v>
      </c>
      <c r="E6254" t="s">
        <v>520</v>
      </c>
      <c r="F6254" s="188" t="n">
        <v>2025</v>
      </c>
      <c r="G6254" s="189" t="n">
        <v>42</v>
      </c>
      <c r="H6254" s="190" t="n">
        <v>4338.5011085091</v>
      </c>
      <c r="I6254" s="191" t="n">
        <v>4343004.76876643</v>
      </c>
      <c r="J6254" s="192" t="str">
        <f>IF(I6254&gt;0,H6254/I6254,0)</f>
      </c>
      <c r="K6254" s="193" t="str">
        <f>1-EXP(-J6254)</f>
      </c>
      <c r="L6254" s="194" t="str">
        <f>IF(G6254=30,1,M6253)</f>
      </c>
      <c r="M6254" s="195" t="str">
        <f>L6254*(1-K6254)</f>
      </c>
    </row>
    <row r="6255">
      <c r="A6255" t="s">
        <v>167</v>
      </c>
      <c r="B6255" t="s">
        <v>113</v>
      </c>
      <c r="C6255" s="35" t="s">
        <v>521</v>
      </c>
      <c r="D6255" t="s">
        <v>113</v>
      </c>
      <c r="E6255" t="s">
        <v>520</v>
      </c>
      <c r="F6255" s="188" t="n">
        <v>2025</v>
      </c>
      <c r="G6255" s="189" t="n">
        <v>43</v>
      </c>
      <c r="H6255" s="190" t="n">
        <v>4570.23561452699</v>
      </c>
      <c r="I6255" s="191" t="n">
        <v>4209764.82229798</v>
      </c>
      <c r="J6255" s="192" t="str">
        <f>IF(I6255&gt;0,H6255/I6255,0)</f>
      </c>
      <c r="K6255" s="193" t="str">
        <f>1-EXP(-J6255)</f>
      </c>
      <c r="L6255" s="194" t="str">
        <f>IF(G6255=30,1,M6254)</f>
      </c>
      <c r="M6255" s="195" t="str">
        <f>L6255*(1-K6255)</f>
      </c>
    </row>
    <row r="6256">
      <c r="A6256" t="s">
        <v>167</v>
      </c>
      <c r="B6256" t="s">
        <v>113</v>
      </c>
      <c r="C6256" s="35" t="s">
        <v>521</v>
      </c>
      <c r="D6256" t="s">
        <v>113</v>
      </c>
      <c r="E6256" t="s">
        <v>520</v>
      </c>
      <c r="F6256" s="188" t="n">
        <v>2025</v>
      </c>
      <c r="G6256" s="189" t="n">
        <v>44</v>
      </c>
      <c r="H6256" s="190" t="n">
        <v>4899.11975851415</v>
      </c>
      <c r="I6256" s="191" t="n">
        <v>4140245.42433907</v>
      </c>
      <c r="J6256" s="192" t="str">
        <f>IF(I6256&gt;0,H6256/I6256,0)</f>
      </c>
      <c r="K6256" s="193" t="str">
        <f>1-EXP(-J6256)</f>
      </c>
      <c r="L6256" s="194" t="str">
        <f>IF(G6256=30,1,M6255)</f>
      </c>
      <c r="M6256" s="195" t="str">
        <f>L6256*(1-K6256)</f>
      </c>
    </row>
    <row r="6257">
      <c r="A6257" t="s">
        <v>167</v>
      </c>
      <c r="B6257" t="s">
        <v>113</v>
      </c>
      <c r="C6257" s="35" t="s">
        <v>521</v>
      </c>
      <c r="D6257" t="s">
        <v>113</v>
      </c>
      <c r="E6257" t="s">
        <v>520</v>
      </c>
      <c r="F6257" s="188" t="n">
        <v>2025</v>
      </c>
      <c r="G6257" s="189" t="n">
        <v>45</v>
      </c>
      <c r="H6257" s="190" t="n">
        <v>6269.58995124247</v>
      </c>
      <c r="I6257" s="191" t="n">
        <v>4087263.42645959</v>
      </c>
      <c r="J6257" s="192" t="str">
        <f>IF(I6257&gt;0,H6257/I6257,0)</f>
      </c>
      <c r="K6257" s="193" t="str">
        <f>1-EXP(-J6257)</f>
      </c>
      <c r="L6257" s="194" t="str">
        <f>IF(G6257=30,1,M6256)</f>
      </c>
      <c r="M6257" s="195" t="str">
        <f>L6257*(1-K6257)</f>
      </c>
    </row>
    <row r="6258">
      <c r="A6258" t="s">
        <v>167</v>
      </c>
      <c r="B6258" t="s">
        <v>113</v>
      </c>
      <c r="C6258" s="35" t="s">
        <v>521</v>
      </c>
      <c r="D6258" t="s">
        <v>113</v>
      </c>
      <c r="E6258" t="s">
        <v>520</v>
      </c>
      <c r="F6258" s="188" t="n">
        <v>2025</v>
      </c>
      <c r="G6258" s="189" t="n">
        <v>46</v>
      </c>
      <c r="H6258" s="190" t="n">
        <v>6759.61099672681</v>
      </c>
      <c r="I6258" s="191" t="n">
        <v>4028051.8565677</v>
      </c>
      <c r="J6258" s="192" t="str">
        <f>IF(I6258&gt;0,H6258/I6258,0)</f>
      </c>
      <c r="K6258" s="193" t="str">
        <f>1-EXP(-J6258)</f>
      </c>
      <c r="L6258" s="194" t="str">
        <f>IF(G6258=30,1,M6257)</f>
      </c>
      <c r="M6258" s="195" t="str">
        <f>L6258*(1-K6258)</f>
      </c>
    </row>
    <row r="6259">
      <c r="A6259" t="s">
        <v>167</v>
      </c>
      <c r="B6259" t="s">
        <v>113</v>
      </c>
      <c r="C6259" s="35" t="s">
        <v>521</v>
      </c>
      <c r="D6259" t="s">
        <v>113</v>
      </c>
      <c r="E6259" t="s">
        <v>520</v>
      </c>
      <c r="F6259" s="188" t="n">
        <v>2025</v>
      </c>
      <c r="G6259" s="189" t="n">
        <v>47</v>
      </c>
      <c r="H6259" s="190" t="n">
        <v>7252.18511271874</v>
      </c>
      <c r="I6259" s="191" t="n">
        <v>3950277.12889061</v>
      </c>
      <c r="J6259" s="192" t="str">
        <f>IF(I6259&gt;0,H6259/I6259,0)</f>
      </c>
      <c r="K6259" s="193" t="str">
        <f>1-EXP(-J6259)</f>
      </c>
      <c r="L6259" s="194" t="str">
        <f>IF(G6259=30,1,M6258)</f>
      </c>
      <c r="M6259" s="195" t="str">
        <f>L6259*(1-K6259)</f>
      </c>
    </row>
    <row r="6260">
      <c r="A6260" t="s">
        <v>167</v>
      </c>
      <c r="B6260" t="s">
        <v>113</v>
      </c>
      <c r="C6260" s="35" t="s">
        <v>521</v>
      </c>
      <c r="D6260" t="s">
        <v>113</v>
      </c>
      <c r="E6260" t="s">
        <v>520</v>
      </c>
      <c r="F6260" s="188" t="n">
        <v>2025</v>
      </c>
      <c r="G6260" s="189" t="n">
        <v>48</v>
      </c>
      <c r="H6260" s="190" t="n">
        <v>7813.40832117217</v>
      </c>
      <c r="I6260" s="191" t="n">
        <v>3890339.92856643</v>
      </c>
      <c r="J6260" s="192" t="str">
        <f>IF(I6260&gt;0,H6260/I6260,0)</f>
      </c>
      <c r="K6260" s="193" t="str">
        <f>1-EXP(-J6260)</f>
      </c>
      <c r="L6260" s="194" t="str">
        <f>IF(G6260=30,1,M6259)</f>
      </c>
      <c r="M6260" s="195" t="str">
        <f>L6260*(1-K6260)</f>
      </c>
    </row>
    <row r="6261">
      <c r="A6261" t="s">
        <v>167</v>
      </c>
      <c r="B6261" t="s">
        <v>113</v>
      </c>
      <c r="C6261" s="35" t="s">
        <v>521</v>
      </c>
      <c r="D6261" t="s">
        <v>113</v>
      </c>
      <c r="E6261" t="s">
        <v>520</v>
      </c>
      <c r="F6261" s="188" t="n">
        <v>2025</v>
      </c>
      <c r="G6261" s="189" t="n">
        <v>49</v>
      </c>
      <c r="H6261" s="190" t="n">
        <v>8372.78717400613</v>
      </c>
      <c r="I6261" s="191" t="n">
        <v>3818493.26996543</v>
      </c>
      <c r="J6261" s="192" t="str">
        <f>IF(I6261&gt;0,H6261/I6261,0)</f>
      </c>
      <c r="K6261" s="193" t="str">
        <f>1-EXP(-J6261)</f>
      </c>
      <c r="L6261" s="194" t="str">
        <f>IF(G6261=30,1,M6260)</f>
      </c>
      <c r="M6261" s="195" t="str">
        <f>L6261*(1-K6261)</f>
      </c>
    </row>
    <row r="6262">
      <c r="A6262" t="s">
        <v>167</v>
      </c>
      <c r="B6262" t="s">
        <v>113</v>
      </c>
      <c r="C6262" s="35" t="s">
        <v>521</v>
      </c>
      <c r="D6262" t="s">
        <v>113</v>
      </c>
      <c r="E6262" t="s">
        <v>520</v>
      </c>
      <c r="F6262" s="188" t="n">
        <v>2025</v>
      </c>
      <c r="G6262" s="189" t="n">
        <v>50</v>
      </c>
      <c r="H6262" s="190" t="n">
        <v>9615.55870918642</v>
      </c>
      <c r="I6262" s="191" t="n">
        <v>3746208.3894556</v>
      </c>
      <c r="J6262" s="192" t="str">
        <f>IF(I6262&gt;0,H6262/I6262,0)</f>
      </c>
      <c r="K6262" s="193" t="str">
        <f>1-EXP(-J6262)</f>
      </c>
      <c r="L6262" s="194" t="str">
        <f>IF(G6262=30,1,M6261)</f>
      </c>
      <c r="M6262" s="195" t="str">
        <f>L6262*(1-K6262)</f>
      </c>
    </row>
    <row r="6263">
      <c r="A6263" t="s">
        <v>167</v>
      </c>
      <c r="B6263" t="s">
        <v>113</v>
      </c>
      <c r="C6263" s="35" t="s">
        <v>521</v>
      </c>
      <c r="D6263" t="s">
        <v>113</v>
      </c>
      <c r="E6263" t="s">
        <v>520</v>
      </c>
      <c r="F6263" s="188" t="n">
        <v>2025</v>
      </c>
      <c r="G6263" s="189" t="n">
        <v>51</v>
      </c>
      <c r="H6263" s="190" t="n">
        <v>10197.7741864065</v>
      </c>
      <c r="I6263" s="191" t="n">
        <v>3645044.21523223</v>
      </c>
      <c r="J6263" s="192" t="str">
        <f>IF(I6263&gt;0,H6263/I6263,0)</f>
      </c>
      <c r="K6263" s="193" t="str">
        <f>1-EXP(-J6263)</f>
      </c>
      <c r="L6263" s="194" t="str">
        <f>IF(G6263=30,1,M6262)</f>
      </c>
      <c r="M6263" s="195" t="str">
        <f>L6263*(1-K6263)</f>
      </c>
    </row>
    <row r="6264">
      <c r="A6264" t="s">
        <v>167</v>
      </c>
      <c r="B6264" t="s">
        <v>113</v>
      </c>
      <c r="C6264" s="35" t="s">
        <v>521</v>
      </c>
      <c r="D6264" t="s">
        <v>113</v>
      </c>
      <c r="E6264" t="s">
        <v>520</v>
      </c>
      <c r="F6264" s="188" t="n">
        <v>2025</v>
      </c>
      <c r="G6264" s="189" t="n">
        <v>52</v>
      </c>
      <c r="H6264" s="190" t="n">
        <v>10999.1856381924</v>
      </c>
      <c r="I6264" s="191" t="n">
        <v>3606935.96429087</v>
      </c>
      <c r="J6264" s="192" t="str">
        <f>IF(I6264&gt;0,H6264/I6264,0)</f>
      </c>
      <c r="K6264" s="193" t="str">
        <f>1-EXP(-J6264)</f>
      </c>
      <c r="L6264" s="194" t="str">
        <f>IF(G6264=30,1,M6263)</f>
      </c>
      <c r="M6264" s="195" t="str">
        <f>L6264*(1-K6264)</f>
      </c>
    </row>
    <row r="6265">
      <c r="A6265" t="s">
        <v>167</v>
      </c>
      <c r="B6265" t="s">
        <v>113</v>
      </c>
      <c r="C6265" s="35" t="s">
        <v>521</v>
      </c>
      <c r="D6265" t="s">
        <v>113</v>
      </c>
      <c r="E6265" t="s">
        <v>520</v>
      </c>
      <c r="F6265" s="188" t="n">
        <v>2025</v>
      </c>
      <c r="G6265" s="189" t="n">
        <v>53</v>
      </c>
      <c r="H6265" s="190" t="n">
        <v>11320.211791169</v>
      </c>
      <c r="I6265" s="191" t="n">
        <v>3400438.09374049</v>
      </c>
      <c r="J6265" s="192" t="str">
        <f>IF(I6265&gt;0,H6265/I6265,0)</f>
      </c>
      <c r="K6265" s="193" t="str">
        <f>1-EXP(-J6265)</f>
      </c>
      <c r="L6265" s="194" t="str">
        <f>IF(G6265=30,1,M6264)</f>
      </c>
      <c r="M6265" s="195" t="str">
        <f>L6265*(1-K6265)</f>
      </c>
    </row>
    <row r="6266">
      <c r="A6266" t="s">
        <v>167</v>
      </c>
      <c r="B6266" t="s">
        <v>113</v>
      </c>
      <c r="C6266" s="35" t="s">
        <v>521</v>
      </c>
      <c r="D6266" t="s">
        <v>113</v>
      </c>
      <c r="E6266" t="s">
        <v>520</v>
      </c>
      <c r="F6266" s="188" t="n">
        <v>2025</v>
      </c>
      <c r="G6266" s="189" t="n">
        <v>54</v>
      </c>
      <c r="H6266" s="190" t="n">
        <v>12058.0132264927</v>
      </c>
      <c r="I6266" s="191" t="n">
        <v>3319306.02358973</v>
      </c>
      <c r="J6266" s="192" t="str">
        <f>IF(I6266&gt;0,H6266/I6266,0)</f>
      </c>
      <c r="K6266" s="193" t="str">
        <f>1-EXP(-J6266)</f>
      </c>
      <c r="L6266" s="194" t="str">
        <f>IF(G6266=30,1,M6265)</f>
      </c>
      <c r="M6266" s="195" t="str">
        <f>L6266*(1-K6266)</f>
      </c>
    </row>
    <row r="6267">
      <c r="A6267" t="s">
        <v>167</v>
      </c>
      <c r="B6267" t="s">
        <v>113</v>
      </c>
      <c r="C6267" s="35" t="s">
        <v>521</v>
      </c>
      <c r="D6267" t="s">
        <v>113</v>
      </c>
      <c r="E6267" t="s">
        <v>520</v>
      </c>
      <c r="F6267" s="188" t="n">
        <v>2025</v>
      </c>
      <c r="G6267" s="189" t="n">
        <v>55</v>
      </c>
      <c r="H6267" s="190" t="n">
        <v>13121.8630224673</v>
      </c>
      <c r="I6267" s="191" t="n">
        <v>3243129.61757841</v>
      </c>
      <c r="J6267" s="192" t="str">
        <f>IF(I6267&gt;0,H6267/I6267,0)</f>
      </c>
      <c r="K6267" s="193" t="str">
        <f>1-EXP(-J6267)</f>
      </c>
      <c r="L6267" s="194" t="str">
        <f>IF(G6267=30,1,M6266)</f>
      </c>
      <c r="M6267" s="195" t="str">
        <f>L6267*(1-K6267)</f>
      </c>
    </row>
    <row r="6268">
      <c r="A6268" t="s">
        <v>167</v>
      </c>
      <c r="B6268" t="s">
        <v>113</v>
      </c>
      <c r="C6268" s="35" t="s">
        <v>521</v>
      </c>
      <c r="D6268" t="s">
        <v>113</v>
      </c>
      <c r="E6268" t="s">
        <v>520</v>
      </c>
      <c r="F6268" s="188" t="n">
        <v>2025</v>
      </c>
      <c r="G6268" s="189" t="n">
        <v>56</v>
      </c>
      <c r="H6268" s="190" t="n">
        <v>13949.400946191</v>
      </c>
      <c r="I6268" s="191" t="n">
        <v>3157182.63240391</v>
      </c>
      <c r="J6268" s="192" t="str">
        <f>IF(I6268&gt;0,H6268/I6268,0)</f>
      </c>
      <c r="K6268" s="193" t="str">
        <f>1-EXP(-J6268)</f>
      </c>
      <c r="L6268" s="194" t="str">
        <f>IF(G6268=30,1,M6267)</f>
      </c>
      <c r="M6268" s="195" t="str">
        <f>L6268*(1-K6268)</f>
      </c>
    </row>
    <row r="6269">
      <c r="A6269" t="s">
        <v>167</v>
      </c>
      <c r="B6269" t="s">
        <v>113</v>
      </c>
      <c r="C6269" s="35" t="s">
        <v>521</v>
      </c>
      <c r="D6269" t="s">
        <v>113</v>
      </c>
      <c r="E6269" t="s">
        <v>520</v>
      </c>
      <c r="F6269" s="188" t="n">
        <v>2025</v>
      </c>
      <c r="G6269" s="189" t="n">
        <v>57</v>
      </c>
      <c r="H6269" s="190" t="n">
        <v>14724.9347216005</v>
      </c>
      <c r="I6269" s="191" t="n">
        <v>3051443.9184786</v>
      </c>
      <c r="J6269" s="192" t="str">
        <f>IF(I6269&gt;0,H6269/I6269,0)</f>
      </c>
      <c r="K6269" s="193" t="str">
        <f>1-EXP(-J6269)</f>
      </c>
      <c r="L6269" s="194" t="str">
        <f>IF(G6269=30,1,M6268)</f>
      </c>
      <c r="M6269" s="195" t="str">
        <f>L6269*(1-K6269)</f>
      </c>
    </row>
    <row r="6270">
      <c r="A6270" t="s">
        <v>167</v>
      </c>
      <c r="B6270" t="s">
        <v>113</v>
      </c>
      <c r="C6270" s="35" t="s">
        <v>521</v>
      </c>
      <c r="D6270" t="s">
        <v>113</v>
      </c>
      <c r="E6270" t="s">
        <v>520</v>
      </c>
      <c r="F6270" s="188" t="n">
        <v>2025</v>
      </c>
      <c r="G6270" s="189" t="n">
        <v>58</v>
      </c>
      <c r="H6270" s="190" t="n">
        <v>15371.2074623554</v>
      </c>
      <c r="I6270" s="191" t="n">
        <v>2913456.20780408</v>
      </c>
      <c r="J6270" s="192" t="str">
        <f>IF(I6270&gt;0,H6270/I6270,0)</f>
      </c>
      <c r="K6270" s="193" t="str">
        <f>1-EXP(-J6270)</f>
      </c>
      <c r="L6270" s="194" t="str">
        <f>IF(G6270=30,1,M6269)</f>
      </c>
      <c r="M6270" s="195" t="str">
        <f>L6270*(1-K6270)</f>
      </c>
    </row>
    <row r="6271">
      <c r="A6271" t="s">
        <v>167</v>
      </c>
      <c r="B6271" t="s">
        <v>113</v>
      </c>
      <c r="C6271" s="35" t="s">
        <v>521</v>
      </c>
      <c r="D6271" t="s">
        <v>113</v>
      </c>
      <c r="E6271" t="s">
        <v>520</v>
      </c>
      <c r="F6271" s="188" t="n">
        <v>2025</v>
      </c>
      <c r="G6271" s="189" t="n">
        <v>59</v>
      </c>
      <c r="H6271" s="190" t="n">
        <v>16213.810962571</v>
      </c>
      <c r="I6271" s="191" t="n">
        <v>2813535.58615437</v>
      </c>
      <c r="J6271" s="192" t="str">
        <f>IF(I6271&gt;0,H6271/I6271,0)</f>
      </c>
      <c r="K6271" s="193" t="str">
        <f>1-EXP(-J6271)</f>
      </c>
      <c r="L6271" s="194" t="str">
        <f>IF(G6271=30,1,M6270)</f>
      </c>
      <c r="M6271" s="195" t="str">
        <f>L6271*(1-K6271)</f>
      </c>
    </row>
    <row r="6272">
      <c r="A6272" t="s">
        <v>167</v>
      </c>
      <c r="B6272" t="s">
        <v>113</v>
      </c>
      <c r="C6272" s="35" t="s">
        <v>521</v>
      </c>
      <c r="D6272" t="s">
        <v>113</v>
      </c>
      <c r="E6272" t="s">
        <v>520</v>
      </c>
      <c r="F6272" s="188" t="n">
        <v>2025</v>
      </c>
      <c r="G6272" s="189" t="n">
        <v>60</v>
      </c>
      <c r="H6272" s="190" t="n">
        <v>17442.466213005</v>
      </c>
      <c r="I6272" s="191" t="n">
        <v>2691047.17153736</v>
      </c>
      <c r="J6272" s="192" t="str">
        <f>IF(I6272&gt;0,H6272/I6272,0)</f>
      </c>
      <c r="K6272" s="193" t="str">
        <f>1-EXP(-J6272)</f>
      </c>
      <c r="L6272" s="194" t="str">
        <f>IF(G6272=30,1,M6271)</f>
      </c>
      <c r="M6272" s="195" t="str">
        <f>L6272*(1-K6272)</f>
      </c>
    </row>
    <row r="6273">
      <c r="A6273" t="s">
        <v>167</v>
      </c>
      <c r="B6273" t="s">
        <v>113</v>
      </c>
      <c r="C6273" s="35" t="s">
        <v>521</v>
      </c>
      <c r="D6273" t="s">
        <v>113</v>
      </c>
      <c r="E6273" t="s">
        <v>520</v>
      </c>
      <c r="F6273" s="188" t="n">
        <v>2025</v>
      </c>
      <c r="G6273" s="189" t="n">
        <v>61</v>
      </c>
      <c r="H6273" s="190" t="n">
        <v>18185.5962140586</v>
      </c>
      <c r="I6273" s="191" t="n">
        <v>2568096.94973173</v>
      </c>
      <c r="J6273" s="192" t="str">
        <f>IF(I6273&gt;0,H6273/I6273,0)</f>
      </c>
      <c r="K6273" s="193" t="str">
        <f>1-EXP(-J6273)</f>
      </c>
      <c r="L6273" s="194" t="str">
        <f>IF(G6273=30,1,M6272)</f>
      </c>
      <c r="M6273" s="195" t="str">
        <f>L6273*(1-K6273)</f>
      </c>
    </row>
    <row r="6274">
      <c r="A6274" t="s">
        <v>167</v>
      </c>
      <c r="B6274" t="s">
        <v>113</v>
      </c>
      <c r="C6274" s="35" t="s">
        <v>521</v>
      </c>
      <c r="D6274" t="s">
        <v>113</v>
      </c>
      <c r="E6274" t="s">
        <v>520</v>
      </c>
      <c r="F6274" s="188" t="n">
        <v>2025</v>
      </c>
      <c r="G6274" s="189" t="n">
        <v>62</v>
      </c>
      <c r="H6274" s="190" t="n">
        <v>18970.1376231544</v>
      </c>
      <c r="I6274" s="191" t="n">
        <v>2450910.06582199</v>
      </c>
      <c r="J6274" s="192" t="str">
        <f>IF(I6274&gt;0,H6274/I6274,0)</f>
      </c>
      <c r="K6274" s="193" t="str">
        <f>1-EXP(-J6274)</f>
      </c>
      <c r="L6274" s="194" t="str">
        <f>IF(G6274=30,1,M6273)</f>
      </c>
      <c r="M6274" s="195" t="str">
        <f>L6274*(1-K6274)</f>
      </c>
    </row>
    <row r="6275">
      <c r="A6275" t="s">
        <v>167</v>
      </c>
      <c r="B6275" t="s">
        <v>113</v>
      </c>
      <c r="C6275" s="35" t="s">
        <v>521</v>
      </c>
      <c r="D6275" t="s">
        <v>113</v>
      </c>
      <c r="E6275" t="s">
        <v>520</v>
      </c>
      <c r="F6275" s="188" t="n">
        <v>2025</v>
      </c>
      <c r="G6275" s="189" t="n">
        <v>63</v>
      </c>
      <c r="H6275" s="190" t="n">
        <v>19616.8921947261</v>
      </c>
      <c r="I6275" s="191" t="n">
        <v>2307352.6622382</v>
      </c>
      <c r="J6275" s="192" t="str">
        <f>IF(I6275&gt;0,H6275/I6275,0)</f>
      </c>
      <c r="K6275" s="193" t="str">
        <f>1-EXP(-J6275)</f>
      </c>
      <c r="L6275" s="194" t="str">
        <f>IF(G6275=30,1,M6274)</f>
      </c>
      <c r="M6275" s="195" t="str">
        <f>L6275*(1-K6275)</f>
      </c>
    </row>
    <row r="6276">
      <c r="A6276" t="s">
        <v>167</v>
      </c>
      <c r="B6276" t="s">
        <v>113</v>
      </c>
      <c r="C6276" s="35" t="s">
        <v>521</v>
      </c>
      <c r="D6276" t="s">
        <v>113</v>
      </c>
      <c r="E6276" t="s">
        <v>520</v>
      </c>
      <c r="F6276" s="188" t="n">
        <v>2025</v>
      </c>
      <c r="G6276" s="189" t="n">
        <v>64</v>
      </c>
      <c r="H6276" s="190" t="n">
        <v>20366.5260402307</v>
      </c>
      <c r="I6276" s="191" t="n">
        <v>2189442.45160812</v>
      </c>
      <c r="J6276" s="192" t="str">
        <f>IF(I6276&gt;0,H6276/I6276,0)</f>
      </c>
      <c r="K6276" s="193" t="str">
        <f>1-EXP(-J6276)</f>
      </c>
      <c r="L6276" s="194" t="str">
        <f>IF(G6276=30,1,M6275)</f>
      </c>
      <c r="M6276" s="195" t="str">
        <f>L6276*(1-K6276)</f>
      </c>
    </row>
    <row r="6277">
      <c r="A6277" t="s">
        <v>167</v>
      </c>
      <c r="B6277" t="s">
        <v>113</v>
      </c>
      <c r="C6277" s="35" t="s">
        <v>521</v>
      </c>
      <c r="D6277" t="s">
        <v>113</v>
      </c>
      <c r="E6277" t="s">
        <v>520</v>
      </c>
      <c r="F6277" s="188" t="n">
        <v>2025</v>
      </c>
      <c r="G6277" s="189" t="n">
        <v>65</v>
      </c>
      <c r="H6277" s="190" t="n">
        <v>20564.8182811926</v>
      </c>
      <c r="I6277" s="191" t="n">
        <v>2067379.29561573</v>
      </c>
      <c r="J6277" s="192" t="str">
        <f>IF(I6277&gt;0,H6277/I6277,0)</f>
      </c>
      <c r="K6277" s="193" t="str">
        <f>1-EXP(-J6277)</f>
      </c>
      <c r="L6277" s="194" t="str">
        <f>IF(G6277=30,1,M6276)</f>
      </c>
      <c r="M6277" s="195" t="str">
        <f>L6277*(1-K6277)</f>
      </c>
    </row>
    <row r="6278">
      <c r="A6278" t="s">
        <v>167</v>
      </c>
      <c r="B6278" t="s">
        <v>113</v>
      </c>
      <c r="C6278" s="35" t="s">
        <v>521</v>
      </c>
      <c r="D6278" t="s">
        <v>113</v>
      </c>
      <c r="E6278" t="s">
        <v>520</v>
      </c>
      <c r="F6278" s="188" t="n">
        <v>2025</v>
      </c>
      <c r="G6278" s="189" t="n">
        <v>66</v>
      </c>
      <c r="H6278" s="190" t="n">
        <v>21128.4842212808</v>
      </c>
      <c r="I6278" s="191" t="n">
        <v>1938977.04767675</v>
      </c>
      <c r="J6278" s="192" t="str">
        <f>IF(I6278&gt;0,H6278/I6278,0)</f>
      </c>
      <c r="K6278" s="193" t="str">
        <f>1-EXP(-J6278)</f>
      </c>
      <c r="L6278" s="194" t="str">
        <f>IF(G6278=30,1,M6277)</f>
      </c>
      <c r="M6278" s="195" t="str">
        <f>L6278*(1-K6278)</f>
      </c>
    </row>
    <row r="6279">
      <c r="A6279" t="s">
        <v>167</v>
      </c>
      <c r="B6279" t="s">
        <v>113</v>
      </c>
      <c r="C6279" s="35" t="s">
        <v>521</v>
      </c>
      <c r="D6279" t="s">
        <v>113</v>
      </c>
      <c r="E6279" t="s">
        <v>520</v>
      </c>
      <c r="F6279" s="188" t="n">
        <v>2025</v>
      </c>
      <c r="G6279" s="189" t="n">
        <v>67</v>
      </c>
      <c r="H6279" s="190" t="n">
        <v>21650.1531142985</v>
      </c>
      <c r="I6279" s="191" t="n">
        <v>1812804.58670767</v>
      </c>
      <c r="J6279" s="192" t="str">
        <f>IF(I6279&gt;0,H6279/I6279,0)</f>
      </c>
      <c r="K6279" s="193" t="str">
        <f>1-EXP(-J6279)</f>
      </c>
      <c r="L6279" s="194" t="str">
        <f>IF(G6279=30,1,M6278)</f>
      </c>
      <c r="M6279" s="195" t="str">
        <f>L6279*(1-K6279)</f>
      </c>
    </row>
    <row r="6280">
      <c r="A6280" t="s">
        <v>167</v>
      </c>
      <c r="B6280" t="s">
        <v>113</v>
      </c>
      <c r="C6280" s="35" t="s">
        <v>521</v>
      </c>
      <c r="D6280" t="s">
        <v>113</v>
      </c>
      <c r="E6280" t="s">
        <v>520</v>
      </c>
      <c r="F6280" s="188" t="n">
        <v>2025</v>
      </c>
      <c r="G6280" s="189" t="n">
        <v>68</v>
      </c>
      <c r="H6280" s="190" t="n">
        <v>22443.5912394105</v>
      </c>
      <c r="I6280" s="191" t="n">
        <v>1708817.0374287</v>
      </c>
      <c r="J6280" s="192" t="str">
        <f>IF(I6280&gt;0,H6280/I6280,0)</f>
      </c>
      <c r="K6280" s="193" t="str">
        <f>1-EXP(-J6280)</f>
      </c>
      <c r="L6280" s="194" t="str">
        <f>IF(G6280=30,1,M6279)</f>
      </c>
      <c r="M6280" s="195" t="str">
        <f>L6280*(1-K6280)</f>
      </c>
    </row>
    <row r="6281">
      <c r="A6281" t="s">
        <v>167</v>
      </c>
      <c r="B6281" t="s">
        <v>113</v>
      </c>
      <c r="C6281" s="35" t="s">
        <v>521</v>
      </c>
      <c r="D6281" t="s">
        <v>113</v>
      </c>
      <c r="E6281" t="s">
        <v>520</v>
      </c>
      <c r="F6281" s="188" t="n">
        <v>2025</v>
      </c>
      <c r="G6281" s="189" t="n">
        <v>69</v>
      </c>
      <c r="H6281" s="190" t="n">
        <v>22887.5139092692</v>
      </c>
      <c r="I6281" s="191" t="n">
        <v>1588246.5017458</v>
      </c>
      <c r="J6281" s="192" t="str">
        <f>IF(I6281&gt;0,H6281/I6281,0)</f>
      </c>
      <c r="K6281" s="193" t="str">
        <f>1-EXP(-J6281)</f>
      </c>
      <c r="L6281" s="194" t="str">
        <f>IF(G6281=30,1,M6280)</f>
      </c>
      <c r="M6281" s="195" t="str">
        <f>L6281*(1-K6281)</f>
      </c>
    </row>
    <row r="6282">
      <c r="A6282" t="s">
        <v>167</v>
      </c>
      <c r="B6282" t="s">
        <v>113</v>
      </c>
      <c r="C6282" s="35" t="s">
        <v>521</v>
      </c>
      <c r="D6282" t="s">
        <v>113</v>
      </c>
      <c r="E6282" t="s">
        <v>520</v>
      </c>
      <c r="F6282" s="188" t="n">
        <v>2026</v>
      </c>
      <c r="G6282" s="189" t="n">
        <v>30</v>
      </c>
      <c r="H6282" s="190" t="n">
        <v>1298.25984518349</v>
      </c>
      <c r="I6282" s="191" t="n">
        <v>4533066.05431128</v>
      </c>
      <c r="J6282" s="192" t="str">
        <f>IF(I6282&gt;0,H6282/I6282,0)</f>
      </c>
      <c r="K6282" s="193" t="str">
        <f>1-EXP(-J6282)</f>
      </c>
      <c r="L6282" s="194" t="str">
        <f>IF(G6282=30,1,M6281)</f>
      </c>
      <c r="M6282" s="195" t="str">
        <f>L6282*(1-K6282)</f>
      </c>
    </row>
    <row r="6283">
      <c r="A6283" t="s">
        <v>167</v>
      </c>
      <c r="B6283" t="s">
        <v>113</v>
      </c>
      <c r="C6283" s="35" t="s">
        <v>521</v>
      </c>
      <c r="D6283" t="s">
        <v>113</v>
      </c>
      <c r="E6283" t="s">
        <v>520</v>
      </c>
      <c r="F6283" s="188" t="n">
        <v>2026</v>
      </c>
      <c r="G6283" s="189" t="n">
        <v>31</v>
      </c>
      <c r="H6283" s="190" t="n">
        <v>1327.5583643582</v>
      </c>
      <c r="I6283" s="191" t="n">
        <v>4460323.13013529</v>
      </c>
      <c r="J6283" s="192" t="str">
        <f>IF(I6283&gt;0,H6283/I6283,0)</f>
      </c>
      <c r="K6283" s="193" t="str">
        <f>1-EXP(-J6283)</f>
      </c>
      <c r="L6283" s="194" t="str">
        <f>IF(G6283=30,1,M6282)</f>
      </c>
      <c r="M6283" s="195" t="str">
        <f>L6283*(1-K6283)</f>
      </c>
    </row>
    <row r="6284">
      <c r="A6284" t="s">
        <v>167</v>
      </c>
      <c r="B6284" t="s">
        <v>113</v>
      </c>
      <c r="C6284" s="35" t="s">
        <v>521</v>
      </c>
      <c r="D6284" t="s">
        <v>113</v>
      </c>
      <c r="E6284" t="s">
        <v>520</v>
      </c>
      <c r="F6284" s="188" t="n">
        <v>2026</v>
      </c>
      <c r="G6284" s="189" t="n">
        <v>32</v>
      </c>
      <c r="H6284" s="190" t="n">
        <v>1370.31215352811</v>
      </c>
      <c r="I6284" s="191" t="n">
        <v>4404105.59550118</v>
      </c>
      <c r="J6284" s="192" t="str">
        <f>IF(I6284&gt;0,H6284/I6284,0)</f>
      </c>
      <c r="K6284" s="193" t="str">
        <f>1-EXP(-J6284)</f>
      </c>
      <c r="L6284" s="194" t="str">
        <f>IF(G6284=30,1,M6283)</f>
      </c>
      <c r="M6284" s="195" t="str">
        <f>L6284*(1-K6284)</f>
      </c>
    </row>
    <row r="6285">
      <c r="A6285" t="s">
        <v>167</v>
      </c>
      <c r="B6285" t="s">
        <v>113</v>
      </c>
      <c r="C6285" s="35" t="s">
        <v>521</v>
      </c>
      <c r="D6285" t="s">
        <v>113</v>
      </c>
      <c r="E6285" t="s">
        <v>520</v>
      </c>
      <c r="F6285" s="188" t="n">
        <v>2026</v>
      </c>
      <c r="G6285" s="189" t="n">
        <v>33</v>
      </c>
      <c r="H6285" s="190" t="n">
        <v>1424.86612516391</v>
      </c>
      <c r="I6285" s="191" t="n">
        <v>4351714.92353231</v>
      </c>
      <c r="J6285" s="192" t="str">
        <f>IF(I6285&gt;0,H6285/I6285,0)</f>
      </c>
      <c r="K6285" s="193" t="str">
        <f>1-EXP(-J6285)</f>
      </c>
      <c r="L6285" s="194" t="str">
        <f>IF(G6285=30,1,M6284)</f>
      </c>
      <c r="M6285" s="195" t="str">
        <f>L6285*(1-K6285)</f>
      </c>
    </row>
    <row r="6286">
      <c r="A6286" t="s">
        <v>167</v>
      </c>
      <c r="B6286" t="s">
        <v>113</v>
      </c>
      <c r="C6286" s="35" t="s">
        <v>521</v>
      </c>
      <c r="D6286" t="s">
        <v>113</v>
      </c>
      <c r="E6286" t="s">
        <v>520</v>
      </c>
      <c r="F6286" s="188" t="n">
        <v>2026</v>
      </c>
      <c r="G6286" s="189" t="n">
        <v>34</v>
      </c>
      <c r="H6286" s="190" t="n">
        <v>1522.00636378282</v>
      </c>
      <c r="I6286" s="191" t="n">
        <v>4391577.80533736</v>
      </c>
      <c r="J6286" s="192" t="str">
        <f>IF(I6286&gt;0,H6286/I6286,0)</f>
      </c>
      <c r="K6286" s="193" t="str">
        <f>1-EXP(-J6286)</f>
      </c>
      <c r="L6286" s="194" t="str">
        <f>IF(G6286=30,1,M6285)</f>
      </c>
      <c r="M6286" s="195" t="str">
        <f>L6286*(1-K6286)</f>
      </c>
    </row>
    <row r="6287">
      <c r="A6287" t="s">
        <v>167</v>
      </c>
      <c r="B6287" t="s">
        <v>113</v>
      </c>
      <c r="C6287" s="35" t="s">
        <v>521</v>
      </c>
      <c r="D6287" t="s">
        <v>113</v>
      </c>
      <c r="E6287" t="s">
        <v>520</v>
      </c>
      <c r="F6287" s="188" t="n">
        <v>2026</v>
      </c>
      <c r="G6287" s="189" t="n">
        <v>35</v>
      </c>
      <c r="H6287" s="190" t="n">
        <v>2112.27243093716</v>
      </c>
      <c r="I6287" s="191" t="n">
        <v>4411881.63741314</v>
      </c>
      <c r="J6287" s="192" t="str">
        <f>IF(I6287&gt;0,H6287/I6287,0)</f>
      </c>
      <c r="K6287" s="193" t="str">
        <f>1-EXP(-J6287)</f>
      </c>
      <c r="L6287" s="194" t="str">
        <f>IF(G6287=30,1,M6286)</f>
      </c>
      <c r="M6287" s="195" t="str">
        <f>L6287*(1-K6287)</f>
      </c>
    </row>
    <row r="6288">
      <c r="A6288" t="s">
        <v>167</v>
      </c>
      <c r="B6288" t="s">
        <v>113</v>
      </c>
      <c r="C6288" s="35" t="s">
        <v>521</v>
      </c>
      <c r="D6288" t="s">
        <v>113</v>
      </c>
      <c r="E6288" t="s">
        <v>520</v>
      </c>
      <c r="F6288" s="188" t="n">
        <v>2026</v>
      </c>
      <c r="G6288" s="189" t="n">
        <v>36</v>
      </c>
      <c r="H6288" s="190" t="n">
        <v>3196.77101957638</v>
      </c>
      <c r="I6288" s="191" t="n">
        <v>6497474.08312581</v>
      </c>
      <c r="J6288" s="192" t="str">
        <f>IF(I6288&gt;0,H6288/I6288,0)</f>
      </c>
      <c r="K6288" s="193" t="str">
        <f>1-EXP(-J6288)</f>
      </c>
      <c r="L6288" s="194" t="str">
        <f>IF(G6288=30,1,M6287)</f>
      </c>
      <c r="M6288" s="195" t="str">
        <f>L6288*(1-K6288)</f>
      </c>
    </row>
    <row r="6289">
      <c r="A6289" t="s">
        <v>167</v>
      </c>
      <c r="B6289" t="s">
        <v>113</v>
      </c>
      <c r="C6289" s="35" t="s">
        <v>521</v>
      </c>
      <c r="D6289" t="s">
        <v>113</v>
      </c>
      <c r="E6289" t="s">
        <v>520</v>
      </c>
      <c r="F6289" s="188" t="n">
        <v>2026</v>
      </c>
      <c r="G6289" s="189" t="n">
        <v>37</v>
      </c>
      <c r="H6289" s="190" t="n">
        <v>2396.73913573997</v>
      </c>
      <c r="I6289" s="191" t="n">
        <v>4374564.95231593</v>
      </c>
      <c r="J6289" s="192" t="str">
        <f>IF(I6289&gt;0,H6289/I6289,0)</f>
      </c>
      <c r="K6289" s="193" t="str">
        <f>1-EXP(-J6289)</f>
      </c>
      <c r="L6289" s="194" t="str">
        <f>IF(G6289=30,1,M6288)</f>
      </c>
      <c r="M6289" s="195" t="str">
        <f>L6289*(1-K6289)</f>
      </c>
    </row>
    <row r="6290">
      <c r="A6290" t="s">
        <v>167</v>
      </c>
      <c r="B6290" t="s">
        <v>113</v>
      </c>
      <c r="C6290" s="35" t="s">
        <v>521</v>
      </c>
      <c r="D6290" t="s">
        <v>113</v>
      </c>
      <c r="E6290" t="s">
        <v>520</v>
      </c>
      <c r="F6290" s="188" t="n">
        <v>2026</v>
      </c>
      <c r="G6290" s="189" t="n">
        <v>38</v>
      </c>
      <c r="H6290" s="190" t="n">
        <v>2562.85375065259</v>
      </c>
      <c r="I6290" s="191" t="n">
        <v>4360550.03715021</v>
      </c>
      <c r="J6290" s="192" t="str">
        <f>IF(I6290&gt;0,H6290/I6290,0)</f>
      </c>
      <c r="K6290" s="193" t="str">
        <f>1-EXP(-J6290)</f>
      </c>
      <c r="L6290" s="194" t="str">
        <f>IF(G6290=30,1,M6289)</f>
      </c>
      <c r="M6290" s="195" t="str">
        <f>L6290*(1-K6290)</f>
      </c>
    </row>
    <row r="6291">
      <c r="A6291" t="s">
        <v>167</v>
      </c>
      <c r="B6291" t="s">
        <v>113</v>
      </c>
      <c r="C6291" s="35" t="s">
        <v>521</v>
      </c>
      <c r="D6291" t="s">
        <v>113</v>
      </c>
      <c r="E6291" t="s">
        <v>520</v>
      </c>
      <c r="F6291" s="188" t="n">
        <v>2026</v>
      </c>
      <c r="G6291" s="189" t="n">
        <v>39</v>
      </c>
      <c r="H6291" s="190" t="n">
        <v>2670.94824015565</v>
      </c>
      <c r="I6291" s="191" t="n">
        <v>4230055.14654035</v>
      </c>
      <c r="J6291" s="192" t="str">
        <f>IF(I6291&gt;0,H6291/I6291,0)</f>
      </c>
      <c r="K6291" s="193" t="str">
        <f>1-EXP(-J6291)</f>
      </c>
      <c r="L6291" s="194" t="str">
        <f>IF(G6291=30,1,M6290)</f>
      </c>
      <c r="M6291" s="195" t="str">
        <f>L6291*(1-K6291)</f>
      </c>
    </row>
    <row r="6292">
      <c r="A6292" t="s">
        <v>167</v>
      </c>
      <c r="B6292" t="s">
        <v>113</v>
      </c>
      <c r="C6292" s="35" t="s">
        <v>521</v>
      </c>
      <c r="D6292" t="s">
        <v>113</v>
      </c>
      <c r="E6292" t="s">
        <v>520</v>
      </c>
      <c r="F6292" s="188" t="n">
        <v>2026</v>
      </c>
      <c r="G6292" s="189" t="n">
        <v>40</v>
      </c>
      <c r="H6292" s="190" t="n">
        <v>3575.38603740421</v>
      </c>
      <c r="I6292" s="191" t="n">
        <v>4198447.80357072</v>
      </c>
      <c r="J6292" s="192" t="str">
        <f>IF(I6292&gt;0,H6292/I6292,0)</f>
      </c>
      <c r="K6292" s="193" t="str">
        <f>1-EXP(-J6292)</f>
      </c>
      <c r="L6292" s="194" t="str">
        <f>IF(G6292=30,1,M6291)</f>
      </c>
      <c r="M6292" s="195" t="str">
        <f>L6292*(1-K6292)</f>
      </c>
    </row>
    <row r="6293">
      <c r="A6293" t="s">
        <v>167</v>
      </c>
      <c r="B6293" t="s">
        <v>113</v>
      </c>
      <c r="C6293" s="35" t="s">
        <v>521</v>
      </c>
      <c r="D6293" t="s">
        <v>113</v>
      </c>
      <c r="E6293" t="s">
        <v>520</v>
      </c>
      <c r="F6293" s="188" t="n">
        <v>2026</v>
      </c>
      <c r="G6293" s="189" t="n">
        <v>41</v>
      </c>
      <c r="H6293" s="190" t="n">
        <v>3915.44034316398</v>
      </c>
      <c r="I6293" s="191" t="n">
        <v>4261037.22561078</v>
      </c>
      <c r="J6293" s="192" t="str">
        <f>IF(I6293&gt;0,H6293/I6293,0)</f>
      </c>
      <c r="K6293" s="193" t="str">
        <f>1-EXP(-J6293)</f>
      </c>
      <c r="L6293" s="194" t="str">
        <f>IF(G6293=30,1,M6292)</f>
      </c>
      <c r="M6293" s="195" t="str">
        <f>L6293*(1-K6293)</f>
      </c>
    </row>
    <row r="6294">
      <c r="A6294" t="s">
        <v>167</v>
      </c>
      <c r="B6294" t="s">
        <v>113</v>
      </c>
      <c r="C6294" s="35" t="s">
        <v>521</v>
      </c>
      <c r="D6294" t="s">
        <v>113</v>
      </c>
      <c r="E6294" t="s">
        <v>520</v>
      </c>
      <c r="F6294" s="188" t="n">
        <v>2026</v>
      </c>
      <c r="G6294" s="189" t="n">
        <v>42</v>
      </c>
      <c r="H6294" s="190" t="n">
        <v>4327.65018577359</v>
      </c>
      <c r="I6294" s="191" t="n">
        <v>4350355.9327113</v>
      </c>
      <c r="J6294" s="192" t="str">
        <f>IF(I6294&gt;0,H6294/I6294,0)</f>
      </c>
      <c r="K6294" s="193" t="str">
        <f>1-EXP(-J6294)</f>
      </c>
      <c r="L6294" s="194" t="str">
        <f>IF(G6294=30,1,M6293)</f>
      </c>
      <c r="M6294" s="195" t="str">
        <f>L6294*(1-K6294)</f>
      </c>
    </row>
    <row r="6295">
      <c r="A6295" t="s">
        <v>167</v>
      </c>
      <c r="B6295" t="s">
        <v>113</v>
      </c>
      <c r="C6295" s="35" t="s">
        <v>521</v>
      </c>
      <c r="D6295" t="s">
        <v>113</v>
      </c>
      <c r="E6295" t="s">
        <v>520</v>
      </c>
      <c r="F6295" s="188" t="n">
        <v>2026</v>
      </c>
      <c r="G6295" s="189" t="n">
        <v>43</v>
      </c>
      <c r="H6295" s="190" t="n">
        <v>4680.36669834254</v>
      </c>
      <c r="I6295" s="191" t="n">
        <v>4329966.95829214</v>
      </c>
      <c r="J6295" s="192" t="str">
        <f>IF(I6295&gt;0,H6295/I6295,0)</f>
      </c>
      <c r="K6295" s="193" t="str">
        <f>1-EXP(-J6295)</f>
      </c>
      <c r="L6295" s="194" t="str">
        <f>IF(G6295=30,1,M6294)</f>
      </c>
      <c r="M6295" s="195" t="str">
        <f>L6295*(1-K6295)</f>
      </c>
    </row>
    <row r="6296">
      <c r="A6296" t="s">
        <v>167</v>
      </c>
      <c r="B6296" t="s">
        <v>113</v>
      </c>
      <c r="C6296" s="35" t="s">
        <v>521</v>
      </c>
      <c r="D6296" t="s">
        <v>113</v>
      </c>
      <c r="E6296" t="s">
        <v>520</v>
      </c>
      <c r="F6296" s="188" t="n">
        <v>2026</v>
      </c>
      <c r="G6296" s="189" t="n">
        <v>44</v>
      </c>
      <c r="H6296" s="190" t="n">
        <v>4947.13230276352</v>
      </c>
      <c r="I6296" s="191" t="n">
        <v>4196064.82449968</v>
      </c>
      <c r="J6296" s="192" t="str">
        <f>IF(I6296&gt;0,H6296/I6296,0)</f>
      </c>
      <c r="K6296" s="193" t="str">
        <f>1-EXP(-J6296)</f>
      </c>
      <c r="L6296" s="194" t="str">
        <f>IF(G6296=30,1,M6295)</f>
      </c>
      <c r="M6296" s="195" t="str">
        <f>L6296*(1-K6296)</f>
      </c>
    </row>
    <row r="6297">
      <c r="A6297" t="s">
        <v>167</v>
      </c>
      <c r="B6297" t="s">
        <v>113</v>
      </c>
      <c r="C6297" s="35" t="s">
        <v>521</v>
      </c>
      <c r="D6297" t="s">
        <v>113</v>
      </c>
      <c r="E6297" t="s">
        <v>520</v>
      </c>
      <c r="F6297" s="188" t="n">
        <v>2026</v>
      </c>
      <c r="G6297" s="189" t="n">
        <v>45</v>
      </c>
      <c r="H6297" s="190" t="n">
        <v>6302.26668667559</v>
      </c>
      <c r="I6297" s="191" t="n">
        <v>4125591.44550924</v>
      </c>
      <c r="J6297" s="192" t="str">
        <f>IF(I6297&gt;0,H6297/I6297,0)</f>
      </c>
      <c r="K6297" s="193" t="str">
        <f>1-EXP(-J6297)</f>
      </c>
      <c r="L6297" s="194" t="str">
        <f>IF(G6297=30,1,M6296)</f>
      </c>
      <c r="M6297" s="195" t="str">
        <f>L6297*(1-K6297)</f>
      </c>
    </row>
    <row r="6298">
      <c r="A6298" t="s">
        <v>167</v>
      </c>
      <c r="B6298" t="s">
        <v>113</v>
      </c>
      <c r="C6298" s="35" t="s">
        <v>521</v>
      </c>
      <c r="D6298" t="s">
        <v>113</v>
      </c>
      <c r="E6298" t="s">
        <v>520</v>
      </c>
      <c r="F6298" s="188" t="n">
        <v>2026</v>
      </c>
      <c r="G6298" s="189" t="n">
        <v>46</v>
      </c>
      <c r="H6298" s="190" t="n">
        <v>6804.04421725213</v>
      </c>
      <c r="I6298" s="191" t="n">
        <v>4070423.79660791</v>
      </c>
      <c r="J6298" s="192" t="str">
        <f>IF(I6298&gt;0,H6298/I6298,0)</f>
      </c>
      <c r="K6298" s="193" t="str">
        <f>1-EXP(-J6298)</f>
      </c>
      <c r="L6298" s="194" t="str">
        <f>IF(G6298=30,1,M6297)</f>
      </c>
      <c r="M6298" s="195" t="str">
        <f>L6298*(1-K6298)</f>
      </c>
    </row>
    <row r="6299">
      <c r="A6299" t="s">
        <v>167</v>
      </c>
      <c r="B6299" t="s">
        <v>113</v>
      </c>
      <c r="C6299" s="35" t="s">
        <v>521</v>
      </c>
      <c r="D6299" t="s">
        <v>113</v>
      </c>
      <c r="E6299" t="s">
        <v>520</v>
      </c>
      <c r="F6299" s="188" t="n">
        <v>2026</v>
      </c>
      <c r="G6299" s="189" t="n">
        <v>47</v>
      </c>
      <c r="H6299" s="190" t="n">
        <v>7337.15883400713</v>
      </c>
      <c r="I6299" s="191" t="n">
        <v>4010952.63156028</v>
      </c>
      <c r="J6299" s="192" t="str">
        <f>IF(I6299&gt;0,H6299/I6299,0)</f>
      </c>
      <c r="K6299" s="193" t="str">
        <f>1-EXP(-J6299)</f>
      </c>
      <c r="L6299" s="194" t="str">
        <f>IF(G6299=30,1,M6298)</f>
      </c>
      <c r="M6299" s="195" t="str">
        <f>L6299*(1-K6299)</f>
      </c>
    </row>
    <row r="6300">
      <c r="A6300" t="s">
        <v>167</v>
      </c>
      <c r="B6300" t="s">
        <v>113</v>
      </c>
      <c r="C6300" s="35" t="s">
        <v>521</v>
      </c>
      <c r="D6300" t="s">
        <v>113</v>
      </c>
      <c r="E6300" t="s">
        <v>520</v>
      </c>
      <c r="F6300" s="188" t="n">
        <v>2026</v>
      </c>
      <c r="G6300" s="189" t="n">
        <v>48</v>
      </c>
      <c r="H6300" s="190" t="n">
        <v>7865.95563576659</v>
      </c>
      <c r="I6300" s="191" t="n">
        <v>3931934.3335516</v>
      </c>
      <c r="J6300" s="192" t="str">
        <f>IF(I6300&gt;0,H6300/I6300,0)</f>
      </c>
      <c r="K6300" s="193" t="str">
        <f>1-EXP(-J6300)</f>
      </c>
      <c r="L6300" s="194" t="str">
        <f>IF(G6300=30,1,M6299)</f>
      </c>
      <c r="M6300" s="195" t="str">
        <f>L6300*(1-K6300)</f>
      </c>
    </row>
    <row r="6301">
      <c r="A6301" t="s">
        <v>167</v>
      </c>
      <c r="B6301" t="s">
        <v>113</v>
      </c>
      <c r="C6301" s="35" t="s">
        <v>521</v>
      </c>
      <c r="D6301" t="s">
        <v>113</v>
      </c>
      <c r="E6301" t="s">
        <v>520</v>
      </c>
      <c r="F6301" s="188" t="n">
        <v>2026</v>
      </c>
      <c r="G6301" s="189" t="n">
        <v>49</v>
      </c>
      <c r="H6301" s="190" t="n">
        <v>8466.32186054943</v>
      </c>
      <c r="I6301" s="191" t="n">
        <v>3870575.54514656</v>
      </c>
      <c r="J6301" s="192" t="str">
        <f>IF(I6301&gt;0,H6301/I6301,0)</f>
      </c>
      <c r="K6301" s="193" t="str">
        <f>1-EXP(-J6301)</f>
      </c>
      <c r="L6301" s="194" t="str">
        <f>IF(G6301=30,1,M6300)</f>
      </c>
      <c r="M6301" s="195" t="str">
        <f>L6301*(1-K6301)</f>
      </c>
    </row>
    <row r="6302">
      <c r="A6302" t="s">
        <v>167</v>
      </c>
      <c r="B6302" t="s">
        <v>113</v>
      </c>
      <c r="C6302" s="35" t="s">
        <v>521</v>
      </c>
      <c r="D6302" t="s">
        <v>113</v>
      </c>
      <c r="E6302" t="s">
        <v>520</v>
      </c>
      <c r="F6302" s="188" t="n">
        <v>2026</v>
      </c>
      <c r="G6302" s="189" t="n">
        <v>50</v>
      </c>
      <c r="H6302" s="190" t="n">
        <v>9712.02723162967</v>
      </c>
      <c r="I6302" s="191" t="n">
        <v>3797304.37229286</v>
      </c>
      <c r="J6302" s="192" t="str">
        <f>IF(I6302&gt;0,H6302/I6302,0)</f>
      </c>
      <c r="K6302" s="193" t="str">
        <f>1-EXP(-J6302)</f>
      </c>
      <c r="L6302" s="194" t="str">
        <f>IF(G6302=30,1,M6301)</f>
      </c>
      <c r="M6302" s="195" t="str">
        <f>L6302*(1-K6302)</f>
      </c>
    </row>
    <row r="6303">
      <c r="A6303" t="s">
        <v>167</v>
      </c>
      <c r="B6303" t="s">
        <v>113</v>
      </c>
      <c r="C6303" s="35" t="s">
        <v>521</v>
      </c>
      <c r="D6303" t="s">
        <v>113</v>
      </c>
      <c r="E6303" t="s">
        <v>520</v>
      </c>
      <c r="F6303" s="188" t="n">
        <v>2026</v>
      </c>
      <c r="G6303" s="189" t="n">
        <v>51</v>
      </c>
      <c r="H6303" s="190" t="n">
        <v>10382.2543119766</v>
      </c>
      <c r="I6303" s="191" t="n">
        <v>3722619.16466465</v>
      </c>
      <c r="J6303" s="192" t="str">
        <f>IF(I6303&gt;0,H6303/I6303,0)</f>
      </c>
      <c r="K6303" s="193" t="str">
        <f>1-EXP(-J6303)</f>
      </c>
      <c r="L6303" s="194" t="str">
        <f>IF(G6303=30,1,M6302)</f>
      </c>
      <c r="M6303" s="195" t="str">
        <f>L6303*(1-K6303)</f>
      </c>
    </row>
    <row r="6304">
      <c r="A6304" t="s">
        <v>167</v>
      </c>
      <c r="B6304" t="s">
        <v>113</v>
      </c>
      <c r="C6304" s="35" t="s">
        <v>521</v>
      </c>
      <c r="D6304" t="s">
        <v>113</v>
      </c>
      <c r="E6304" t="s">
        <v>520</v>
      </c>
      <c r="F6304" s="188" t="n">
        <v>2026</v>
      </c>
      <c r="G6304" s="189" t="n">
        <v>52</v>
      </c>
      <c r="H6304" s="190" t="n">
        <v>11011.7856391279</v>
      </c>
      <c r="I6304" s="191" t="n">
        <v>3620908.90429281</v>
      </c>
      <c r="J6304" s="192" t="str">
        <f>IF(I6304&gt;0,H6304/I6304,0)</f>
      </c>
      <c r="K6304" s="193" t="str">
        <f>1-EXP(-J6304)</f>
      </c>
      <c r="L6304" s="194" t="str">
        <f>IF(G6304=30,1,M6303)</f>
      </c>
      <c r="M6304" s="195" t="str">
        <f>L6304*(1-K6304)</f>
      </c>
    </row>
    <row r="6305">
      <c r="A6305" t="s">
        <v>167</v>
      </c>
      <c r="B6305" t="s">
        <v>113</v>
      </c>
      <c r="C6305" s="35" t="s">
        <v>521</v>
      </c>
      <c r="D6305" t="s">
        <v>113</v>
      </c>
      <c r="E6305" t="s">
        <v>520</v>
      </c>
      <c r="F6305" s="188" t="n">
        <v>2026</v>
      </c>
      <c r="G6305" s="189" t="n">
        <v>53</v>
      </c>
      <c r="H6305" s="190" t="n">
        <v>11878.4494294315</v>
      </c>
      <c r="I6305" s="191" t="n">
        <v>3580910.06551612</v>
      </c>
      <c r="J6305" s="192" t="str">
        <f>IF(I6305&gt;0,H6305/I6305,0)</f>
      </c>
      <c r="K6305" s="193" t="str">
        <f>1-EXP(-J6305)</f>
      </c>
      <c r="L6305" s="194" t="str">
        <f>IF(G6305=30,1,M6304)</f>
      </c>
      <c r="M6305" s="195" t="str">
        <f>L6305*(1-K6305)</f>
      </c>
    </row>
    <row r="6306">
      <c r="A6306" t="s">
        <v>167</v>
      </c>
      <c r="B6306" t="s">
        <v>113</v>
      </c>
      <c r="C6306" s="35" t="s">
        <v>521</v>
      </c>
      <c r="D6306" t="s">
        <v>113</v>
      </c>
      <c r="E6306" t="s">
        <v>520</v>
      </c>
      <c r="F6306" s="188" t="n">
        <v>2026</v>
      </c>
      <c r="G6306" s="189" t="n">
        <v>54</v>
      </c>
      <c r="H6306" s="190" t="n">
        <v>12226.9084202932</v>
      </c>
      <c r="I6306" s="191" t="n">
        <v>3373668.63498524</v>
      </c>
      <c r="J6306" s="192" t="str">
        <f>IF(I6306&gt;0,H6306/I6306,0)</f>
      </c>
      <c r="K6306" s="193" t="str">
        <f>1-EXP(-J6306)</f>
      </c>
      <c r="L6306" s="194" t="str">
        <f>IF(G6306=30,1,M6305)</f>
      </c>
      <c r="M6306" s="195" t="str">
        <f>L6306*(1-K6306)</f>
      </c>
    </row>
    <row r="6307">
      <c r="A6307" t="s">
        <v>167</v>
      </c>
      <c r="B6307" t="s">
        <v>113</v>
      </c>
      <c r="C6307" s="35" t="s">
        <v>521</v>
      </c>
      <c r="D6307" t="s">
        <v>113</v>
      </c>
      <c r="E6307" t="s">
        <v>520</v>
      </c>
      <c r="F6307" s="188" t="n">
        <v>2026</v>
      </c>
      <c r="G6307" s="189" t="n">
        <v>55</v>
      </c>
      <c r="H6307" s="190" t="n">
        <v>13256.9049597389</v>
      </c>
      <c r="I6307" s="191" t="n">
        <v>3290805.96393673</v>
      </c>
      <c r="J6307" s="192" t="str">
        <f>IF(I6307&gt;0,H6307/I6307,0)</f>
      </c>
      <c r="K6307" s="193" t="str">
        <f>1-EXP(-J6307)</f>
      </c>
      <c r="L6307" s="194" t="str">
        <f>IF(G6307=30,1,M6306)</f>
      </c>
      <c r="M6307" s="195" t="str">
        <f>L6307*(1-K6307)</f>
      </c>
    </row>
    <row r="6308">
      <c r="A6308" t="s">
        <v>167</v>
      </c>
      <c r="B6308" t="s">
        <v>113</v>
      </c>
      <c r="C6308" s="35" t="s">
        <v>521</v>
      </c>
      <c r="D6308" t="s">
        <v>113</v>
      </c>
      <c r="E6308" t="s">
        <v>520</v>
      </c>
      <c r="F6308" s="188" t="n">
        <v>2026</v>
      </c>
      <c r="G6308" s="189" t="n">
        <v>56</v>
      </c>
      <c r="H6308" s="190" t="n">
        <v>14131.6712856715</v>
      </c>
      <c r="I6308" s="191" t="n">
        <v>3212214.28114487</v>
      </c>
      <c r="J6308" s="192" t="str">
        <f>IF(I6308&gt;0,H6308/I6308,0)</f>
      </c>
      <c r="K6308" s="193" t="str">
        <f>1-EXP(-J6308)</f>
      </c>
      <c r="L6308" s="194" t="str">
        <f>IF(G6308=30,1,M6307)</f>
      </c>
      <c r="M6308" s="195" t="str">
        <f>L6308*(1-K6308)</f>
      </c>
    </row>
    <row r="6309">
      <c r="A6309" t="s">
        <v>167</v>
      </c>
      <c r="B6309" t="s">
        <v>113</v>
      </c>
      <c r="C6309" s="35" t="s">
        <v>521</v>
      </c>
      <c r="D6309" t="s">
        <v>113</v>
      </c>
      <c r="E6309" t="s">
        <v>520</v>
      </c>
      <c r="F6309" s="188" t="n">
        <v>2026</v>
      </c>
      <c r="G6309" s="189" t="n">
        <v>57</v>
      </c>
      <c r="H6309" s="190" t="n">
        <v>15015.1295468761</v>
      </c>
      <c r="I6309" s="191" t="n">
        <v>3124836.70281465</v>
      </c>
      <c r="J6309" s="192" t="str">
        <f>IF(I6309&gt;0,H6309/I6309,0)</f>
      </c>
      <c r="K6309" s="193" t="str">
        <f>1-EXP(-J6309)</f>
      </c>
      <c r="L6309" s="194" t="str">
        <f>IF(G6309=30,1,M6308)</f>
      </c>
      <c r="M6309" s="195" t="str">
        <f>L6309*(1-K6309)</f>
      </c>
    </row>
    <row r="6310">
      <c r="A6310" t="s">
        <v>167</v>
      </c>
      <c r="B6310" t="s">
        <v>113</v>
      </c>
      <c r="C6310" s="35" t="s">
        <v>521</v>
      </c>
      <c r="D6310" t="s">
        <v>113</v>
      </c>
      <c r="E6310" t="s">
        <v>520</v>
      </c>
      <c r="F6310" s="188" t="n">
        <v>2026</v>
      </c>
      <c r="G6310" s="189" t="n">
        <v>58</v>
      </c>
      <c r="H6310" s="190" t="n">
        <v>15837.4306821562</v>
      </c>
      <c r="I6310" s="191" t="n">
        <v>3017305.28674744</v>
      </c>
      <c r="J6310" s="192" t="str">
        <f>IF(I6310&gt;0,H6310/I6310,0)</f>
      </c>
      <c r="K6310" s="193" t="str">
        <f>1-EXP(-J6310)</f>
      </c>
      <c r="L6310" s="194" t="str">
        <f>IF(G6310=30,1,M6309)</f>
      </c>
      <c r="M6310" s="195" t="str">
        <f>L6310*(1-K6310)</f>
      </c>
    </row>
    <row r="6311">
      <c r="A6311" t="s">
        <v>167</v>
      </c>
      <c r="B6311" t="s">
        <v>113</v>
      </c>
      <c r="C6311" s="35" t="s">
        <v>521</v>
      </c>
      <c r="D6311" t="s">
        <v>113</v>
      </c>
      <c r="E6311" t="s">
        <v>520</v>
      </c>
      <c r="F6311" s="188" t="n">
        <v>2026</v>
      </c>
      <c r="G6311" s="189" t="n">
        <v>59</v>
      </c>
      <c r="H6311" s="190" t="n">
        <v>16519.3067148287</v>
      </c>
      <c r="I6311" s="191" t="n">
        <v>2877825.9895627</v>
      </c>
      <c r="J6311" s="192" t="str">
        <f>IF(I6311&gt;0,H6311/I6311,0)</f>
      </c>
      <c r="K6311" s="193" t="str">
        <f>1-EXP(-J6311)</f>
      </c>
      <c r="L6311" s="194" t="str">
        <f>IF(G6311=30,1,M6310)</f>
      </c>
      <c r="M6311" s="195" t="str">
        <f>L6311*(1-K6311)</f>
      </c>
    </row>
    <row r="6312">
      <c r="A6312" t="s">
        <v>167</v>
      </c>
      <c r="B6312" t="s">
        <v>113</v>
      </c>
      <c r="C6312" s="35" t="s">
        <v>521</v>
      </c>
      <c r="D6312" t="s">
        <v>113</v>
      </c>
      <c r="E6312" t="s">
        <v>520</v>
      </c>
      <c r="F6312" s="188" t="n">
        <v>2026</v>
      </c>
      <c r="G6312" s="189" t="n">
        <v>60</v>
      </c>
      <c r="H6312" s="190" t="n">
        <v>17887.4661436529</v>
      </c>
      <c r="I6312" s="191" t="n">
        <v>2775955.73233662</v>
      </c>
      <c r="J6312" s="192" t="str">
        <f>IF(I6312&gt;0,H6312/I6312,0)</f>
      </c>
      <c r="K6312" s="193" t="str">
        <f>1-EXP(-J6312)</f>
      </c>
      <c r="L6312" s="194" t="str">
        <f>IF(G6312=30,1,M6311)</f>
      </c>
      <c r="M6312" s="195" t="str">
        <f>L6312*(1-K6312)</f>
      </c>
    </row>
    <row r="6313">
      <c r="A6313" t="s">
        <v>167</v>
      </c>
      <c r="B6313" t="s">
        <v>113</v>
      </c>
      <c r="C6313" s="35" t="s">
        <v>521</v>
      </c>
      <c r="D6313" t="s">
        <v>113</v>
      </c>
      <c r="E6313" t="s">
        <v>520</v>
      </c>
      <c r="F6313" s="188" t="n">
        <v>2026</v>
      </c>
      <c r="G6313" s="189" t="n">
        <v>61</v>
      </c>
      <c r="H6313" s="190" t="n">
        <v>18665.5457379897</v>
      </c>
      <c r="I6313" s="191" t="n">
        <v>2651125.82517609</v>
      </c>
      <c r="J6313" s="192" t="str">
        <f>IF(I6313&gt;0,H6313/I6313,0)</f>
      </c>
      <c r="K6313" s="193" t="str">
        <f>1-EXP(-J6313)</f>
      </c>
      <c r="L6313" s="194" t="str">
        <f>IF(G6313=30,1,M6312)</f>
      </c>
      <c r="M6313" s="195" t="str">
        <f>L6313*(1-K6313)</f>
      </c>
    </row>
    <row r="6314">
      <c r="A6314" t="s">
        <v>167</v>
      </c>
      <c r="B6314" t="s">
        <v>113</v>
      </c>
      <c r="C6314" s="35" t="s">
        <v>521</v>
      </c>
      <c r="D6314" t="s">
        <v>113</v>
      </c>
      <c r="E6314" t="s">
        <v>520</v>
      </c>
      <c r="F6314" s="188" t="n">
        <v>2026</v>
      </c>
      <c r="G6314" s="189" t="n">
        <v>62</v>
      </c>
      <c r="H6314" s="190" t="n">
        <v>19451.5332571585</v>
      </c>
      <c r="I6314" s="191" t="n">
        <v>2527118.34779537</v>
      </c>
      <c r="J6314" s="192" t="str">
        <f>IF(I6314&gt;0,H6314/I6314,0)</f>
      </c>
      <c r="K6314" s="193" t="str">
        <f>1-EXP(-J6314)</f>
      </c>
      <c r="L6314" s="194" t="str">
        <f>IF(G6314=30,1,M6313)</f>
      </c>
      <c r="M6314" s="195" t="str">
        <f>L6314*(1-K6314)</f>
      </c>
    </row>
    <row r="6315">
      <c r="A6315" t="s">
        <v>167</v>
      </c>
      <c r="B6315" t="s">
        <v>113</v>
      </c>
      <c r="C6315" s="35" t="s">
        <v>521</v>
      </c>
      <c r="D6315" t="s">
        <v>113</v>
      </c>
      <c r="E6315" t="s">
        <v>520</v>
      </c>
      <c r="F6315" s="188" t="n">
        <v>2026</v>
      </c>
      <c r="G6315" s="189" t="n">
        <v>63</v>
      </c>
      <c r="H6315" s="190" t="n">
        <v>20275.8104483265</v>
      </c>
      <c r="I6315" s="191" t="n">
        <v>2408174.82995322</v>
      </c>
      <c r="J6315" s="192" t="str">
        <f>IF(I6315&gt;0,H6315/I6315,0)</f>
      </c>
      <c r="K6315" s="193" t="str">
        <f>1-EXP(-J6315)</f>
      </c>
      <c r="L6315" s="194" t="str">
        <f>IF(G6315=30,1,M6314)</f>
      </c>
      <c r="M6315" s="195" t="str">
        <f>L6315*(1-K6315)</f>
      </c>
    </row>
    <row r="6316">
      <c r="A6316" t="s">
        <v>167</v>
      </c>
      <c r="B6316" t="s">
        <v>113</v>
      </c>
      <c r="C6316" s="35" t="s">
        <v>521</v>
      </c>
      <c r="D6316" t="s">
        <v>113</v>
      </c>
      <c r="E6316" t="s">
        <v>520</v>
      </c>
      <c r="F6316" s="188" t="n">
        <v>2026</v>
      </c>
      <c r="G6316" s="189" t="n">
        <v>64</v>
      </c>
      <c r="H6316" s="190" t="n">
        <v>20946.7419118203</v>
      </c>
      <c r="I6316" s="191" t="n">
        <v>2263177.14570695</v>
      </c>
      <c r="J6316" s="192" t="str">
        <f>IF(I6316&gt;0,H6316/I6316,0)</f>
      </c>
      <c r="K6316" s="193" t="str">
        <f>1-EXP(-J6316)</f>
      </c>
      <c r="L6316" s="194" t="str">
        <f>IF(G6316=30,1,M6315)</f>
      </c>
      <c r="M6316" s="195" t="str">
        <f>L6316*(1-K6316)</f>
      </c>
    </row>
    <row r="6317">
      <c r="A6317" t="s">
        <v>167</v>
      </c>
      <c r="B6317" t="s">
        <v>113</v>
      </c>
      <c r="C6317" s="35" t="s">
        <v>521</v>
      </c>
      <c r="D6317" t="s">
        <v>113</v>
      </c>
      <c r="E6317" t="s">
        <v>520</v>
      </c>
      <c r="F6317" s="188" t="n">
        <v>2026</v>
      </c>
      <c r="G6317" s="189" t="n">
        <v>65</v>
      </c>
      <c r="H6317" s="190" t="n">
        <v>21190.7485686303</v>
      </c>
      <c r="I6317" s="191" t="n">
        <v>2143592.88562047</v>
      </c>
      <c r="J6317" s="192" t="str">
        <f>IF(I6317&gt;0,H6317/I6317,0)</f>
      </c>
      <c r="K6317" s="193" t="str">
        <f>1-EXP(-J6317)</f>
      </c>
      <c r="L6317" s="194" t="str">
        <f>IF(G6317=30,1,M6316)</f>
      </c>
      <c r="M6317" s="195" t="str">
        <f>L6317*(1-K6317)</f>
      </c>
    </row>
    <row r="6318">
      <c r="A6318" t="s">
        <v>167</v>
      </c>
      <c r="B6318" t="s">
        <v>113</v>
      </c>
      <c r="C6318" s="35" t="s">
        <v>521</v>
      </c>
      <c r="D6318" t="s">
        <v>113</v>
      </c>
      <c r="E6318" t="s">
        <v>520</v>
      </c>
      <c r="F6318" s="188" t="n">
        <v>2026</v>
      </c>
      <c r="G6318" s="189" t="n">
        <v>66</v>
      </c>
      <c r="H6318" s="190" t="n">
        <v>21879.0790401448</v>
      </c>
      <c r="I6318" s="191" t="n">
        <v>2020123.65624815</v>
      </c>
      <c r="J6318" s="192" t="str">
        <f>IF(I6318&gt;0,H6318/I6318,0)</f>
      </c>
      <c r="K6318" s="193" t="str">
        <f>1-EXP(-J6318)</f>
      </c>
      <c r="L6318" s="194" t="str">
        <f>IF(G6318=30,1,M6317)</f>
      </c>
      <c r="M6318" s="195" t="str">
        <f>L6318*(1-K6318)</f>
      </c>
    </row>
    <row r="6319">
      <c r="A6319" t="s">
        <v>167</v>
      </c>
      <c r="B6319" t="s">
        <v>113</v>
      </c>
      <c r="C6319" s="35" t="s">
        <v>521</v>
      </c>
      <c r="D6319" t="s">
        <v>113</v>
      </c>
      <c r="E6319" t="s">
        <v>520</v>
      </c>
      <c r="F6319" s="188" t="n">
        <v>2026</v>
      </c>
      <c r="G6319" s="189" t="n">
        <v>67</v>
      </c>
      <c r="H6319" s="190" t="n">
        <v>22439.3299146271</v>
      </c>
      <c r="I6319" s="191" t="n">
        <v>1890337.26910044</v>
      </c>
      <c r="J6319" s="192" t="str">
        <f>IF(I6319&gt;0,H6319/I6319,0)</f>
      </c>
      <c r="K6319" s="193" t="str">
        <f>1-EXP(-J6319)</f>
      </c>
      <c r="L6319" s="194" t="str">
        <f>IF(G6319=30,1,M6318)</f>
      </c>
      <c r="M6319" s="195" t="str">
        <f>L6319*(1-K6319)</f>
      </c>
    </row>
    <row r="6320">
      <c r="A6320" t="s">
        <v>167</v>
      </c>
      <c r="B6320" t="s">
        <v>113</v>
      </c>
      <c r="C6320" s="35" t="s">
        <v>521</v>
      </c>
      <c r="D6320" t="s">
        <v>113</v>
      </c>
      <c r="E6320" t="s">
        <v>520</v>
      </c>
      <c r="F6320" s="188" t="n">
        <v>2026</v>
      </c>
      <c r="G6320" s="189" t="n">
        <v>68</v>
      </c>
      <c r="H6320" s="190" t="n">
        <v>22951.6502441811</v>
      </c>
      <c r="I6320" s="191" t="n">
        <v>1762993.47698247</v>
      </c>
      <c r="J6320" s="192" t="str">
        <f>IF(I6320&gt;0,H6320/I6320,0)</f>
      </c>
      <c r="K6320" s="193" t="str">
        <f>1-EXP(-J6320)</f>
      </c>
      <c r="L6320" s="194" t="str">
        <f>IF(G6320=30,1,M6319)</f>
      </c>
      <c r="M6320" s="195" t="str">
        <f>L6320*(1-K6320)</f>
      </c>
    </row>
    <row r="6321">
      <c r="A6321" t="s">
        <v>167</v>
      </c>
      <c r="B6321" t="s">
        <v>113</v>
      </c>
      <c r="C6321" s="35" t="s">
        <v>521</v>
      </c>
      <c r="D6321" t="s">
        <v>113</v>
      </c>
      <c r="E6321" t="s">
        <v>520</v>
      </c>
      <c r="F6321" s="188" t="n">
        <v>2026</v>
      </c>
      <c r="G6321" s="189" t="n">
        <v>69</v>
      </c>
      <c r="H6321" s="190" t="n">
        <v>23742.3841311184</v>
      </c>
      <c r="I6321" s="191" t="n">
        <v>1657190.39223472</v>
      </c>
      <c r="J6321" s="192" t="str">
        <f>IF(I6321&gt;0,H6321/I6321,0)</f>
      </c>
      <c r="K6321" s="193" t="str">
        <f>1-EXP(-J6321)</f>
      </c>
      <c r="L6321" s="194" t="str">
        <f>IF(G6321=30,1,M6320)</f>
      </c>
      <c r="M6321" s="195" t="str">
        <f>L6321*(1-K6321)</f>
      </c>
    </row>
    <row r="6322">
      <c r="A6322" t="s">
        <v>167</v>
      </c>
      <c r="B6322" t="s">
        <v>113</v>
      </c>
      <c r="C6322" s="35" t="s">
        <v>521</v>
      </c>
      <c r="D6322" t="s">
        <v>113</v>
      </c>
      <c r="E6322" t="s">
        <v>520</v>
      </c>
      <c r="F6322" s="188" t="n">
        <v>2027</v>
      </c>
      <c r="G6322" s="189" t="n">
        <v>30</v>
      </c>
      <c r="H6322" s="190" t="n">
        <v>1304.64237016457</v>
      </c>
      <c r="I6322" s="191" t="n">
        <v>4568808.45043002</v>
      </c>
      <c r="J6322" s="192" t="str">
        <f>IF(I6322&gt;0,H6322/I6322,0)</f>
      </c>
      <c r="K6322" s="193" t="str">
        <f>1-EXP(-J6322)</f>
      </c>
      <c r="L6322" s="194" t="str">
        <f>IF(G6322=30,1,M6321)</f>
      </c>
      <c r="M6322" s="195" t="str">
        <f>L6322*(1-K6322)</f>
      </c>
    </row>
    <row r="6323">
      <c r="A6323" t="s">
        <v>167</v>
      </c>
      <c r="B6323" t="s">
        <v>113</v>
      </c>
      <c r="C6323" s="35" t="s">
        <v>521</v>
      </c>
      <c r="D6323" t="s">
        <v>113</v>
      </c>
      <c r="E6323" t="s">
        <v>520</v>
      </c>
      <c r="F6323" s="188" t="n">
        <v>2027</v>
      </c>
      <c r="G6323" s="189" t="n">
        <v>31</v>
      </c>
      <c r="H6323" s="190" t="n">
        <v>1343.50942335751</v>
      </c>
      <c r="I6323" s="191" t="n">
        <v>4526141.25825779</v>
      </c>
      <c r="J6323" s="192" t="str">
        <f>IF(I6323&gt;0,H6323/I6323,0)</f>
      </c>
      <c r="K6323" s="193" t="str">
        <f>1-EXP(-J6323)</f>
      </c>
      <c r="L6323" s="194" t="str">
        <f>IF(G6323=30,1,M6322)</f>
      </c>
      <c r="M6323" s="195" t="str">
        <f>L6323*(1-K6323)</f>
      </c>
    </row>
    <row r="6324">
      <c r="A6324" t="s">
        <v>167</v>
      </c>
      <c r="B6324" t="s">
        <v>113</v>
      </c>
      <c r="C6324" s="35" t="s">
        <v>521</v>
      </c>
      <c r="D6324" t="s">
        <v>113</v>
      </c>
      <c r="E6324" t="s">
        <v>520</v>
      </c>
      <c r="F6324" s="188" t="n">
        <v>2027</v>
      </c>
      <c r="G6324" s="189" t="n">
        <v>32</v>
      </c>
      <c r="H6324" s="190" t="n">
        <v>1382.28580696875</v>
      </c>
      <c r="I6324" s="191" t="n">
        <v>4453752.64550719</v>
      </c>
      <c r="J6324" s="192" t="str">
        <f>IF(I6324&gt;0,H6324/I6324,0)</f>
      </c>
      <c r="K6324" s="193" t="str">
        <f>1-EXP(-J6324)</f>
      </c>
      <c r="L6324" s="194" t="str">
        <f>IF(G6324=30,1,M6323)</f>
      </c>
      <c r="M6324" s="195" t="str">
        <f>L6324*(1-K6324)</f>
      </c>
    </row>
    <row r="6325">
      <c r="A6325" t="s">
        <v>167</v>
      </c>
      <c r="B6325" t="s">
        <v>113</v>
      </c>
      <c r="C6325" s="35" t="s">
        <v>521</v>
      </c>
      <c r="D6325" t="s">
        <v>113</v>
      </c>
      <c r="E6325" t="s">
        <v>520</v>
      </c>
      <c r="F6325" s="188" t="n">
        <v>2027</v>
      </c>
      <c r="G6325" s="189" t="n">
        <v>33</v>
      </c>
      <c r="H6325" s="190" t="n">
        <v>1436.39101727569</v>
      </c>
      <c r="I6325" s="191" t="n">
        <v>4397355.4689288</v>
      </c>
      <c r="J6325" s="192" t="str">
        <f>IF(I6325&gt;0,H6325/I6325,0)</f>
      </c>
      <c r="K6325" s="193" t="str">
        <f>1-EXP(-J6325)</f>
      </c>
      <c r="L6325" s="194" t="str">
        <f>IF(G6325=30,1,M6324)</f>
      </c>
      <c r="M6325" s="195" t="str">
        <f>L6325*(1-K6325)</f>
      </c>
    </row>
    <row r="6326">
      <c r="A6326" t="s">
        <v>167</v>
      </c>
      <c r="B6326" t="s">
        <v>113</v>
      </c>
      <c r="C6326" s="35" t="s">
        <v>521</v>
      </c>
      <c r="D6326" t="s">
        <v>113</v>
      </c>
      <c r="E6326" t="s">
        <v>520</v>
      </c>
      <c r="F6326" s="188" t="n">
        <v>2027</v>
      </c>
      <c r="G6326" s="189" t="n">
        <v>34</v>
      </c>
      <c r="H6326" s="190" t="n">
        <v>1502.96267653677</v>
      </c>
      <c r="I6326" s="191" t="n">
        <v>4344733.23512884</v>
      </c>
      <c r="J6326" s="192" t="str">
        <f>IF(I6326&gt;0,H6326/I6326,0)</f>
      </c>
      <c r="K6326" s="193" t="str">
        <f>1-EXP(-J6326)</f>
      </c>
      <c r="L6326" s="194" t="str">
        <f>IF(G6326=30,1,M6325)</f>
      </c>
      <c r="M6326" s="195" t="str">
        <f>L6326*(1-K6326)</f>
      </c>
    </row>
    <row r="6327">
      <c r="A6327" t="s">
        <v>167</v>
      </c>
      <c r="B6327" t="s">
        <v>113</v>
      </c>
      <c r="C6327" s="35" t="s">
        <v>521</v>
      </c>
      <c r="D6327" t="s">
        <v>113</v>
      </c>
      <c r="E6327" t="s">
        <v>520</v>
      </c>
      <c r="F6327" s="188" t="n">
        <v>2027</v>
      </c>
      <c r="G6327" s="189" t="n">
        <v>35</v>
      </c>
      <c r="H6327" s="190" t="n">
        <v>2085.32356363488</v>
      </c>
      <c r="I6327" s="191" t="n">
        <v>4384158.74749818</v>
      </c>
      <c r="J6327" s="192" t="str">
        <f>IF(I6327&gt;0,H6327/I6327,0)</f>
      </c>
      <c r="K6327" s="193" t="str">
        <f>1-EXP(-J6327)</f>
      </c>
      <c r="L6327" s="194" t="str">
        <f>IF(G6327=30,1,M6326)</f>
      </c>
      <c r="M6327" s="195" t="str">
        <f>L6327*(1-K6327)</f>
      </c>
    </row>
    <row r="6328">
      <c r="A6328" t="s">
        <v>167</v>
      </c>
      <c r="B6328" t="s">
        <v>113</v>
      </c>
      <c r="C6328" s="35" t="s">
        <v>521</v>
      </c>
      <c r="D6328" t="s">
        <v>113</v>
      </c>
      <c r="E6328" t="s">
        <v>520</v>
      </c>
      <c r="F6328" s="188" t="n">
        <v>2027</v>
      </c>
      <c r="G6328" s="189" t="n">
        <v>36</v>
      </c>
      <c r="H6328" s="190" t="n">
        <v>2238.44524309505</v>
      </c>
      <c r="I6328" s="191" t="n">
        <v>4403443.81536012</v>
      </c>
      <c r="J6328" s="192" t="str">
        <f>IF(I6328&gt;0,H6328/I6328,0)</f>
      </c>
      <c r="K6328" s="193" t="str">
        <f>1-EXP(-J6328)</f>
      </c>
      <c r="L6328" s="194" t="str">
        <f>IF(G6328=30,1,M6327)</f>
      </c>
      <c r="M6328" s="195" t="str">
        <f>L6328*(1-K6328)</f>
      </c>
    </row>
    <row r="6329">
      <c r="A6329" t="s">
        <v>167</v>
      </c>
      <c r="B6329" t="s">
        <v>113</v>
      </c>
      <c r="C6329" s="35" t="s">
        <v>521</v>
      </c>
      <c r="D6329" t="s">
        <v>113</v>
      </c>
      <c r="E6329" t="s">
        <v>520</v>
      </c>
      <c r="F6329" s="188" t="n">
        <v>2027</v>
      </c>
      <c r="G6329" s="189" t="n">
        <v>37</v>
      </c>
      <c r="H6329" s="190" t="n">
        <v>3393.62215520545</v>
      </c>
      <c r="I6329" s="191" t="n">
        <v>6485436.87900408</v>
      </c>
      <c r="J6329" s="192" t="str">
        <f>IF(I6329&gt;0,H6329/I6329,0)</f>
      </c>
      <c r="K6329" s="193" t="str">
        <f>1-EXP(-J6329)</f>
      </c>
      <c r="L6329" s="194" t="str">
        <f>IF(G6329=30,1,M6328)</f>
      </c>
      <c r="M6329" s="195" t="str">
        <f>L6329*(1-K6329)</f>
      </c>
    </row>
    <row r="6330">
      <c r="A6330" t="s">
        <v>167</v>
      </c>
      <c r="B6330" t="s">
        <v>113</v>
      </c>
      <c r="C6330" s="35" t="s">
        <v>521</v>
      </c>
      <c r="D6330" t="s">
        <v>113</v>
      </c>
      <c r="E6330" t="s">
        <v>520</v>
      </c>
      <c r="F6330" s="188" t="n">
        <v>2027</v>
      </c>
      <c r="G6330" s="189" t="n">
        <v>38</v>
      </c>
      <c r="H6330" s="190" t="n">
        <v>2551.3447168988</v>
      </c>
      <c r="I6330" s="191" t="n">
        <v>4365602.76161905</v>
      </c>
      <c r="J6330" s="192" t="str">
        <f>IF(I6330&gt;0,H6330/I6330,0)</f>
      </c>
      <c r="K6330" s="193" t="str">
        <f>1-EXP(-J6330)</f>
      </c>
      <c r="L6330" s="194" t="str">
        <f>IF(G6330=30,1,M6329)</f>
      </c>
      <c r="M6330" s="195" t="str">
        <f>L6330*(1-K6330)</f>
      </c>
    </row>
    <row r="6331">
      <c r="A6331" t="s">
        <v>167</v>
      </c>
      <c r="B6331" t="s">
        <v>113</v>
      </c>
      <c r="C6331" s="35" t="s">
        <v>521</v>
      </c>
      <c r="D6331" t="s">
        <v>113</v>
      </c>
      <c r="E6331" t="s">
        <v>520</v>
      </c>
      <c r="F6331" s="188" t="n">
        <v>2027</v>
      </c>
      <c r="G6331" s="189" t="n">
        <v>39</v>
      </c>
      <c r="H6331" s="190" t="n">
        <v>2732.65406866223</v>
      </c>
      <c r="I6331" s="191" t="n">
        <v>4350977.16033128</v>
      </c>
      <c r="J6331" s="192" t="str">
        <f>IF(I6331&gt;0,H6331/I6331,0)</f>
      </c>
      <c r="K6331" s="193" t="str">
        <f>1-EXP(-J6331)</f>
      </c>
      <c r="L6331" s="194" t="str">
        <f>IF(G6331=30,1,M6330)</f>
      </c>
      <c r="M6331" s="195" t="str">
        <f>L6331*(1-K6331)</f>
      </c>
    </row>
    <row r="6332">
      <c r="A6332" t="s">
        <v>167</v>
      </c>
      <c r="B6332" t="s">
        <v>113</v>
      </c>
      <c r="C6332" s="35" t="s">
        <v>521</v>
      </c>
      <c r="D6332" t="s">
        <v>113</v>
      </c>
      <c r="E6332" t="s">
        <v>520</v>
      </c>
      <c r="F6332" s="188" t="n">
        <v>2027</v>
      </c>
      <c r="G6332" s="189" t="n">
        <v>40</v>
      </c>
      <c r="H6332" s="190" t="n">
        <v>3573.20668701116</v>
      </c>
      <c r="I6332" s="191" t="n">
        <v>4220088.14445423</v>
      </c>
      <c r="J6332" s="192" t="str">
        <f>IF(I6332&gt;0,H6332/I6332,0)</f>
      </c>
      <c r="K6332" s="193" t="str">
        <f>1-EXP(-J6332)</f>
      </c>
      <c r="L6332" s="194" t="str">
        <f>IF(G6332=30,1,M6331)</f>
      </c>
      <c r="M6332" s="195" t="str">
        <f>L6332*(1-K6332)</f>
      </c>
    </row>
    <row r="6333">
      <c r="A6333" t="s">
        <v>167</v>
      </c>
      <c r="B6333" t="s">
        <v>113</v>
      </c>
      <c r="C6333" s="35" t="s">
        <v>521</v>
      </c>
      <c r="D6333" t="s">
        <v>113</v>
      </c>
      <c r="E6333" t="s">
        <v>520</v>
      </c>
      <c r="F6333" s="188" t="n">
        <v>2027</v>
      </c>
      <c r="G6333" s="189" t="n">
        <v>41</v>
      </c>
      <c r="H6333" s="190" t="n">
        <v>3826.68864011136</v>
      </c>
      <c r="I6333" s="191" t="n">
        <v>4186992.08139659</v>
      </c>
      <c r="J6333" s="192" t="str">
        <f>IF(I6333&gt;0,H6333/I6333,0)</f>
      </c>
      <c r="K6333" s="193" t="str">
        <f>1-EXP(-J6333)</f>
      </c>
      <c r="L6333" s="194" t="str">
        <f>IF(G6333=30,1,M6332)</f>
      </c>
      <c r="M6333" s="195" t="str">
        <f>L6333*(1-K6333)</f>
      </c>
    </row>
    <row r="6334">
      <c r="A6334" t="s">
        <v>167</v>
      </c>
      <c r="B6334" t="s">
        <v>113</v>
      </c>
      <c r="C6334" s="35" t="s">
        <v>521</v>
      </c>
      <c r="D6334" t="s">
        <v>113</v>
      </c>
      <c r="E6334" t="s">
        <v>520</v>
      </c>
      <c r="F6334" s="188" t="n">
        <v>2027</v>
      </c>
      <c r="G6334" s="189" t="n">
        <v>42</v>
      </c>
      <c r="H6334" s="190" t="n">
        <v>4206.19113470598</v>
      </c>
      <c r="I6334" s="191" t="n">
        <v>4249351.45656534</v>
      </c>
      <c r="J6334" s="192" t="str">
        <f>IF(I6334&gt;0,H6334/I6334,0)</f>
      </c>
      <c r="K6334" s="193" t="str">
        <f>1-EXP(-J6334)</f>
      </c>
      <c r="L6334" s="194" t="str">
        <f>IF(G6334=30,1,M6333)</f>
      </c>
      <c r="M6334" s="195" t="str">
        <f>L6334*(1-K6334)</f>
      </c>
    </row>
    <row r="6335">
      <c r="A6335" t="s">
        <v>167</v>
      </c>
      <c r="B6335" t="s">
        <v>113</v>
      </c>
      <c r="C6335" s="35" t="s">
        <v>521</v>
      </c>
      <c r="D6335" t="s">
        <v>113</v>
      </c>
      <c r="E6335" t="s">
        <v>520</v>
      </c>
      <c r="F6335" s="188" t="n">
        <v>2027</v>
      </c>
      <c r="G6335" s="189" t="n">
        <v>43</v>
      </c>
      <c r="H6335" s="190" t="n">
        <v>4666.65589678812</v>
      </c>
      <c r="I6335" s="191" t="n">
        <v>4337467.62225737</v>
      </c>
      <c r="J6335" s="192" t="str">
        <f>IF(I6335&gt;0,H6335/I6335,0)</f>
      </c>
      <c r="K6335" s="193" t="str">
        <f>1-EXP(-J6335)</f>
      </c>
      <c r="L6335" s="194" t="str">
        <f>IF(G6335=30,1,M6334)</f>
      </c>
      <c r="M6335" s="195" t="str">
        <f>L6335*(1-K6335)</f>
      </c>
    </row>
    <row r="6336">
      <c r="A6336" t="s">
        <v>167</v>
      </c>
      <c r="B6336" t="s">
        <v>113</v>
      </c>
      <c r="C6336" s="35" t="s">
        <v>521</v>
      </c>
      <c r="D6336" t="s">
        <v>113</v>
      </c>
      <c r="E6336" t="s">
        <v>520</v>
      </c>
      <c r="F6336" s="188" t="n">
        <v>2027</v>
      </c>
      <c r="G6336" s="189" t="n">
        <v>44</v>
      </c>
      <c r="H6336" s="190" t="n">
        <v>5063.68937889697</v>
      </c>
      <c r="I6336" s="191" t="n">
        <v>4316061.5062467</v>
      </c>
      <c r="J6336" s="192" t="str">
        <f>IF(I6336&gt;0,H6336/I6336,0)</f>
      </c>
      <c r="K6336" s="193" t="str">
        <f>1-EXP(-J6336)</f>
      </c>
      <c r="L6336" s="194" t="str">
        <f>IF(G6336=30,1,M6335)</f>
      </c>
      <c r="M6336" s="195" t="str">
        <f>L6336*(1-K6336)</f>
      </c>
    </row>
    <row r="6337">
      <c r="A6337" t="s">
        <v>167</v>
      </c>
      <c r="B6337" t="s">
        <v>113</v>
      </c>
      <c r="C6337" s="35" t="s">
        <v>521</v>
      </c>
      <c r="D6337" t="s">
        <v>113</v>
      </c>
      <c r="E6337" t="s">
        <v>520</v>
      </c>
      <c r="F6337" s="188" t="n">
        <v>2027</v>
      </c>
      <c r="G6337" s="189" t="n">
        <v>45</v>
      </c>
      <c r="H6337" s="190" t="n">
        <v>6356.49710992993</v>
      </c>
      <c r="I6337" s="191" t="n">
        <v>4181398.88760029</v>
      </c>
      <c r="J6337" s="192" t="str">
        <f>IF(I6337&gt;0,H6337/I6337,0)</f>
      </c>
      <c r="K6337" s="193" t="str">
        <f>1-EXP(-J6337)</f>
      </c>
      <c r="L6337" s="194" t="str">
        <f>IF(G6337=30,1,M6336)</f>
      </c>
      <c r="M6337" s="195" t="str">
        <f>L6337*(1-K6337)</f>
      </c>
    </row>
    <row r="6338">
      <c r="A6338" t="s">
        <v>167</v>
      </c>
      <c r="B6338" t="s">
        <v>113</v>
      </c>
      <c r="C6338" s="35" t="s">
        <v>521</v>
      </c>
      <c r="D6338" t="s">
        <v>113</v>
      </c>
      <c r="E6338" t="s">
        <v>520</v>
      </c>
      <c r="F6338" s="188" t="n">
        <v>2027</v>
      </c>
      <c r="G6338" s="189" t="n">
        <v>46</v>
      </c>
      <c r="H6338" s="190" t="n">
        <v>6836.27231457112</v>
      </c>
      <c r="I6338" s="191" t="n">
        <v>4108799.71944288</v>
      </c>
      <c r="J6338" s="192" t="str">
        <f>IF(I6338&gt;0,H6338/I6338,0)</f>
      </c>
      <c r="K6338" s="193" t="str">
        <f>1-EXP(-J6338)</f>
      </c>
      <c r="L6338" s="194" t="str">
        <f>IF(G6338=30,1,M6337)</f>
      </c>
      <c r="M6338" s="195" t="str">
        <f>L6338*(1-K6338)</f>
      </c>
    </row>
    <row r="6339">
      <c r="A6339" t="s">
        <v>167</v>
      </c>
      <c r="B6339" t="s">
        <v>113</v>
      </c>
      <c r="C6339" s="35" t="s">
        <v>521</v>
      </c>
      <c r="D6339" t="s">
        <v>113</v>
      </c>
      <c r="E6339" t="s">
        <v>520</v>
      </c>
      <c r="F6339" s="188" t="n">
        <v>2027</v>
      </c>
      <c r="G6339" s="189" t="n">
        <v>47</v>
      </c>
      <c r="H6339" s="190" t="n">
        <v>7382.64054799015</v>
      </c>
      <c r="I6339" s="191" t="n">
        <v>4053352.48220948</v>
      </c>
      <c r="J6339" s="192" t="str">
        <f>IF(I6339&gt;0,H6339/I6339,0)</f>
      </c>
      <c r="K6339" s="193" t="str">
        <f>1-EXP(-J6339)</f>
      </c>
      <c r="L6339" s="194" t="str">
        <f>IF(G6339=30,1,M6338)</f>
      </c>
      <c r="M6339" s="195" t="str">
        <f>L6339*(1-K6339)</f>
      </c>
    </row>
    <row r="6340">
      <c r="A6340" t="s">
        <v>167</v>
      </c>
      <c r="B6340" t="s">
        <v>113</v>
      </c>
      <c r="C6340" s="35" t="s">
        <v>521</v>
      </c>
      <c r="D6340" t="s">
        <v>113</v>
      </c>
      <c r="E6340" t="s">
        <v>520</v>
      </c>
      <c r="F6340" s="188" t="n">
        <v>2027</v>
      </c>
      <c r="G6340" s="189" t="n">
        <v>48</v>
      </c>
      <c r="H6340" s="190" t="n">
        <v>7956.04027801747</v>
      </c>
      <c r="I6340" s="191" t="n">
        <v>3992547.43155247</v>
      </c>
      <c r="J6340" s="192" t="str">
        <f>IF(I6340&gt;0,H6340/I6340,0)</f>
      </c>
      <c r="K6340" s="193" t="str">
        <f>1-EXP(-J6340)</f>
      </c>
      <c r="L6340" s="194" t="str">
        <f>IF(G6340=30,1,M6339)</f>
      </c>
      <c r="M6340" s="195" t="str">
        <f>L6340*(1-K6340)</f>
      </c>
    </row>
    <row r="6341">
      <c r="A6341" t="s">
        <v>167</v>
      </c>
      <c r="B6341" t="s">
        <v>113</v>
      </c>
      <c r="C6341" s="35" t="s">
        <v>521</v>
      </c>
      <c r="D6341" t="s">
        <v>113</v>
      </c>
      <c r="E6341" t="s">
        <v>520</v>
      </c>
      <c r="F6341" s="188" t="n">
        <v>2027</v>
      </c>
      <c r="G6341" s="189" t="n">
        <v>49</v>
      </c>
      <c r="H6341" s="190" t="n">
        <v>8521.32346306782</v>
      </c>
      <c r="I6341" s="191" t="n">
        <v>3912199.10908924</v>
      </c>
      <c r="J6341" s="192" t="str">
        <f>IF(I6341&gt;0,H6341/I6341,0)</f>
      </c>
      <c r="K6341" s="193" t="str">
        <f>1-EXP(-J6341)</f>
      </c>
      <c r="L6341" s="194" t="str">
        <f>IF(G6341=30,1,M6340)</f>
      </c>
      <c r="M6341" s="195" t="str">
        <f>L6341*(1-K6341)</f>
      </c>
    </row>
    <row r="6342">
      <c r="A6342" t="s">
        <v>167</v>
      </c>
      <c r="B6342" t="s">
        <v>113</v>
      </c>
      <c r="C6342" s="35" t="s">
        <v>521</v>
      </c>
      <c r="D6342" t="s">
        <v>113</v>
      </c>
      <c r="E6342" t="s">
        <v>520</v>
      </c>
      <c r="F6342" s="188" t="n">
        <v>2027</v>
      </c>
      <c r="G6342" s="189" t="n">
        <v>50</v>
      </c>
      <c r="H6342" s="190" t="n">
        <v>9802.65378182527</v>
      </c>
      <c r="I6342" s="191" t="n">
        <v>3849330.14904578</v>
      </c>
      <c r="J6342" s="192" t="str">
        <f>IF(I6342&gt;0,H6342/I6342,0)</f>
      </c>
      <c r="K6342" s="193" t="str">
        <f>1-EXP(-J6342)</f>
      </c>
      <c r="L6342" s="194" t="str">
        <f>IF(G6342=30,1,M6341)</f>
      </c>
      <c r="M6342" s="195" t="str">
        <f>L6342*(1-K6342)</f>
      </c>
    </row>
    <row r="6343">
      <c r="A6343" t="s">
        <v>167</v>
      </c>
      <c r="B6343" t="s">
        <v>113</v>
      </c>
      <c r="C6343" s="35" t="s">
        <v>521</v>
      </c>
      <c r="D6343" t="s">
        <v>113</v>
      </c>
      <c r="E6343" t="s">
        <v>520</v>
      </c>
      <c r="F6343" s="188" t="n">
        <v>2027</v>
      </c>
      <c r="G6343" s="189" t="n">
        <v>51</v>
      </c>
      <c r="H6343" s="190" t="n">
        <v>10484.3835729037</v>
      </c>
      <c r="I6343" s="191" t="n">
        <v>3773648.83540401</v>
      </c>
      <c r="J6343" s="192" t="str">
        <f>IF(I6343&gt;0,H6343/I6343,0)</f>
      </c>
      <c r="K6343" s="193" t="str">
        <f>1-EXP(-J6343)</f>
      </c>
      <c r="L6343" s="194" t="str">
        <f>IF(G6343=30,1,M6342)</f>
      </c>
      <c r="M6343" s="195" t="str">
        <f>L6343*(1-K6343)</f>
      </c>
    </row>
    <row r="6344">
      <c r="A6344" t="s">
        <v>167</v>
      </c>
      <c r="B6344" t="s">
        <v>113</v>
      </c>
      <c r="C6344" s="35" t="s">
        <v>521</v>
      </c>
      <c r="D6344" t="s">
        <v>113</v>
      </c>
      <c r="E6344" t="s">
        <v>520</v>
      </c>
      <c r="F6344" s="188" t="n">
        <v>2027</v>
      </c>
      <c r="G6344" s="189" t="n">
        <v>52</v>
      </c>
      <c r="H6344" s="190" t="n">
        <v>11207.8932502941</v>
      </c>
      <c r="I6344" s="191" t="n">
        <v>3698211.98443596</v>
      </c>
      <c r="J6344" s="192" t="str">
        <f>IF(I6344&gt;0,H6344/I6344,0)</f>
      </c>
      <c r="K6344" s="193" t="str">
        <f>1-EXP(-J6344)</f>
      </c>
      <c r="L6344" s="194" t="str">
        <f>IF(G6344=30,1,M6343)</f>
      </c>
      <c r="M6344" s="195" t="str">
        <f>L6344*(1-K6344)</f>
      </c>
    </row>
    <row r="6345">
      <c r="A6345" t="s">
        <v>167</v>
      </c>
      <c r="B6345" t="s">
        <v>113</v>
      </c>
      <c r="C6345" s="35" t="s">
        <v>521</v>
      </c>
      <c r="D6345" t="s">
        <v>113</v>
      </c>
      <c r="E6345" t="s">
        <v>520</v>
      </c>
      <c r="F6345" s="188" t="n">
        <v>2027</v>
      </c>
      <c r="G6345" s="189" t="n">
        <v>53</v>
      </c>
      <c r="H6345" s="190" t="n">
        <v>11887.4988982951</v>
      </c>
      <c r="I6345" s="191" t="n">
        <v>3595027.19820618</v>
      </c>
      <c r="J6345" s="192" t="str">
        <f>IF(I6345&gt;0,H6345/I6345,0)</f>
      </c>
      <c r="K6345" s="193" t="str">
        <f>1-EXP(-J6345)</f>
      </c>
      <c r="L6345" s="194" t="str">
        <f>IF(G6345=30,1,M6344)</f>
      </c>
      <c r="M6345" s="195" t="str">
        <f>L6345*(1-K6345)</f>
      </c>
    </row>
    <row r="6346">
      <c r="A6346" t="s">
        <v>167</v>
      </c>
      <c r="B6346" t="s">
        <v>113</v>
      </c>
      <c r="C6346" s="35" t="s">
        <v>521</v>
      </c>
      <c r="D6346" t="s">
        <v>113</v>
      </c>
      <c r="E6346" t="s">
        <v>520</v>
      </c>
      <c r="F6346" s="188" t="n">
        <v>2027</v>
      </c>
      <c r="G6346" s="189" t="n">
        <v>54</v>
      </c>
      <c r="H6346" s="190" t="n">
        <v>12823.0676521048</v>
      </c>
      <c r="I6346" s="191" t="n">
        <v>3553002.20684453</v>
      </c>
      <c r="J6346" s="192" t="str">
        <f>IF(I6346&gt;0,H6346/I6346,0)</f>
      </c>
      <c r="K6346" s="193" t="str">
        <f>1-EXP(-J6346)</f>
      </c>
      <c r="L6346" s="194" t="str">
        <f>IF(G6346=30,1,M6345)</f>
      </c>
      <c r="M6346" s="195" t="str">
        <f>L6346*(1-K6346)</f>
      </c>
    </row>
    <row r="6347">
      <c r="A6347" t="s">
        <v>167</v>
      </c>
      <c r="B6347" t="s">
        <v>113</v>
      </c>
      <c r="C6347" s="35" t="s">
        <v>521</v>
      </c>
      <c r="D6347" t="s">
        <v>113</v>
      </c>
      <c r="E6347" t="s">
        <v>520</v>
      </c>
      <c r="F6347" s="188" t="n">
        <v>2027</v>
      </c>
      <c r="G6347" s="189" t="n">
        <v>55</v>
      </c>
      <c r="H6347" s="190" t="n">
        <v>13407.9794842427</v>
      </c>
      <c r="I6347" s="191" t="n">
        <v>3344959.48441103</v>
      </c>
      <c r="J6347" s="192" t="str">
        <f>IF(I6347&gt;0,H6347/I6347,0)</f>
      </c>
      <c r="K6347" s="193" t="str">
        <f>1-EXP(-J6347)</f>
      </c>
      <c r="L6347" s="194" t="str">
        <f>IF(G6347=30,1,M6346)</f>
      </c>
      <c r="M6347" s="195" t="str">
        <f>L6347*(1-K6347)</f>
      </c>
    </row>
    <row r="6348">
      <c r="A6348" t="s">
        <v>167</v>
      </c>
      <c r="B6348" t="s">
        <v>113</v>
      </c>
      <c r="C6348" s="35" t="s">
        <v>521</v>
      </c>
      <c r="D6348" t="s">
        <v>113</v>
      </c>
      <c r="E6348" t="s">
        <v>520</v>
      </c>
      <c r="F6348" s="188" t="n">
        <v>2027</v>
      </c>
      <c r="G6348" s="189" t="n">
        <v>56</v>
      </c>
      <c r="H6348" s="190" t="n">
        <v>14268.7685884565</v>
      </c>
      <c r="I6348" s="191" t="n">
        <v>3259736.63575088</v>
      </c>
      <c r="J6348" s="192" t="str">
        <f>IF(I6348&gt;0,H6348/I6348,0)</f>
      </c>
      <c r="K6348" s="193" t="str">
        <f>1-EXP(-J6348)</f>
      </c>
      <c r="L6348" s="194" t="str">
        <f>IF(G6348=30,1,M6347)</f>
      </c>
      <c r="M6348" s="195" t="str">
        <f>L6348*(1-K6348)</f>
      </c>
    </row>
    <row r="6349">
      <c r="A6349" t="s">
        <v>167</v>
      </c>
      <c r="B6349" t="s">
        <v>113</v>
      </c>
      <c r="C6349" s="35" t="s">
        <v>521</v>
      </c>
      <c r="D6349" t="s">
        <v>113</v>
      </c>
      <c r="E6349" t="s">
        <v>520</v>
      </c>
      <c r="F6349" s="188" t="n">
        <v>2027</v>
      </c>
      <c r="G6349" s="189" t="n">
        <v>57</v>
      </c>
      <c r="H6349" s="190" t="n">
        <v>15203.1986519157</v>
      </c>
      <c r="I6349" s="191" t="n">
        <v>3179593.51740233</v>
      </c>
      <c r="J6349" s="192" t="str">
        <f>IF(I6349&gt;0,H6349/I6349,0)</f>
      </c>
      <c r="K6349" s="193" t="str">
        <f>1-EXP(-J6349)</f>
      </c>
      <c r="L6349" s="194" t="str">
        <f>IF(G6349=30,1,M6348)</f>
      </c>
      <c r="M6349" s="195" t="str">
        <f>L6349*(1-K6349)</f>
      </c>
    </row>
    <row r="6350">
      <c r="A6350" t="s">
        <v>167</v>
      </c>
      <c r="B6350" t="s">
        <v>113</v>
      </c>
      <c r="C6350" s="35" t="s">
        <v>521</v>
      </c>
      <c r="D6350" t="s">
        <v>113</v>
      </c>
      <c r="E6350" t="s">
        <v>520</v>
      </c>
      <c r="F6350" s="188" t="n">
        <v>2027</v>
      </c>
      <c r="G6350" s="189" t="n">
        <v>58</v>
      </c>
      <c r="H6350" s="190" t="n">
        <v>16142.2524500568</v>
      </c>
      <c r="I6350" s="191" t="n">
        <v>3090183.089322</v>
      </c>
      <c r="J6350" s="192" t="str">
        <f>IF(I6350&gt;0,H6350/I6350,0)</f>
      </c>
      <c r="K6350" s="193" t="str">
        <f>1-EXP(-J6350)</f>
      </c>
      <c r="L6350" s="194" t="str">
        <f>IF(G6350=30,1,M6349)</f>
      </c>
      <c r="M6350" s="195" t="str">
        <f>L6350*(1-K6350)</f>
      </c>
    </row>
    <row r="6351">
      <c r="A6351" t="s">
        <v>167</v>
      </c>
      <c r="B6351" t="s">
        <v>113</v>
      </c>
      <c r="C6351" s="35" t="s">
        <v>521</v>
      </c>
      <c r="D6351" t="s">
        <v>113</v>
      </c>
      <c r="E6351" t="s">
        <v>520</v>
      </c>
      <c r="F6351" s="188" t="n">
        <v>2027</v>
      </c>
      <c r="G6351" s="189" t="n">
        <v>59</v>
      </c>
      <c r="H6351" s="190" t="n">
        <v>17013.7353543207</v>
      </c>
      <c r="I6351" s="191" t="n">
        <v>2980758.87302829</v>
      </c>
      <c r="J6351" s="192" t="str">
        <f>IF(I6351&gt;0,H6351/I6351,0)</f>
      </c>
      <c r="K6351" s="193" t="str">
        <f>1-EXP(-J6351)</f>
      </c>
      <c r="L6351" s="194" t="str">
        <f>IF(G6351=30,1,M6350)</f>
      </c>
      <c r="M6351" s="195" t="str">
        <f>L6351*(1-K6351)</f>
      </c>
    </row>
    <row r="6352">
      <c r="A6352" t="s">
        <v>167</v>
      </c>
      <c r="B6352" t="s">
        <v>113</v>
      </c>
      <c r="C6352" s="35" t="s">
        <v>521</v>
      </c>
      <c r="D6352" t="s">
        <v>113</v>
      </c>
      <c r="E6352" t="s">
        <v>520</v>
      </c>
      <c r="F6352" s="188" t="n">
        <v>2027</v>
      </c>
      <c r="G6352" s="189" t="n">
        <v>60</v>
      </c>
      <c r="H6352" s="190" t="n">
        <v>18176.5065704924</v>
      </c>
      <c r="I6352" s="191" t="n">
        <v>2839714.31178712</v>
      </c>
      <c r="J6352" s="192" t="str">
        <f>IF(I6352&gt;0,H6352/I6352,0)</f>
      </c>
      <c r="K6352" s="193" t="str">
        <f>1-EXP(-J6352)</f>
      </c>
      <c r="L6352" s="194" t="str">
        <f>IF(G6352=30,1,M6351)</f>
      </c>
      <c r="M6352" s="195" t="str">
        <f>L6352*(1-K6352)</f>
      </c>
    </row>
    <row r="6353">
      <c r="A6353" t="s">
        <v>167</v>
      </c>
      <c r="B6353" t="s">
        <v>113</v>
      </c>
      <c r="C6353" s="35" t="s">
        <v>521</v>
      </c>
      <c r="D6353" t="s">
        <v>113</v>
      </c>
      <c r="E6353" t="s">
        <v>520</v>
      </c>
      <c r="F6353" s="188" t="n">
        <v>2027</v>
      </c>
      <c r="G6353" s="189" t="n">
        <v>61</v>
      </c>
      <c r="H6353" s="190" t="n">
        <v>19136.1343776047</v>
      </c>
      <c r="I6353" s="191" t="n">
        <v>2735142.02962848</v>
      </c>
      <c r="J6353" s="192" t="str">
        <f>IF(I6353&gt;0,H6353/I6353,0)</f>
      </c>
      <c r="K6353" s="193" t="str">
        <f>1-EXP(-J6353)</f>
      </c>
      <c r="L6353" s="194" t="str">
        <f>IF(G6353=30,1,M6352)</f>
      </c>
      <c r="M6353" s="195" t="str">
        <f>L6353*(1-K6353)</f>
      </c>
    </row>
    <row r="6354">
      <c r="A6354" t="s">
        <v>167</v>
      </c>
      <c r="B6354" t="s">
        <v>113</v>
      </c>
      <c r="C6354" s="35" t="s">
        <v>521</v>
      </c>
      <c r="D6354" t="s">
        <v>113</v>
      </c>
      <c r="E6354" t="s">
        <v>520</v>
      </c>
      <c r="F6354" s="188" t="n">
        <v>2027</v>
      </c>
      <c r="G6354" s="189" t="n">
        <v>62</v>
      </c>
      <c r="H6354" s="190" t="n">
        <v>19958.9177508784</v>
      </c>
      <c r="I6354" s="191" t="n">
        <v>2609163.31215564</v>
      </c>
      <c r="J6354" s="192" t="str">
        <f>IF(I6354&gt;0,H6354/I6354,0)</f>
      </c>
      <c r="K6354" s="193" t="str">
        <f>1-EXP(-J6354)</f>
      </c>
      <c r="L6354" s="194" t="str">
        <f>IF(G6354=30,1,M6353)</f>
      </c>
      <c r="M6354" s="195" t="str">
        <f>L6354*(1-K6354)</f>
      </c>
    </row>
    <row r="6355">
      <c r="A6355" t="s">
        <v>167</v>
      </c>
      <c r="B6355" t="s">
        <v>113</v>
      </c>
      <c r="C6355" s="35" t="s">
        <v>521</v>
      </c>
      <c r="D6355" t="s">
        <v>113</v>
      </c>
      <c r="E6355" t="s">
        <v>520</v>
      </c>
      <c r="F6355" s="188" t="n">
        <v>2027</v>
      </c>
      <c r="G6355" s="189" t="n">
        <v>63</v>
      </c>
      <c r="H6355" s="190" t="n">
        <v>20783.8423613142</v>
      </c>
      <c r="I6355" s="191" t="n">
        <v>2483400.29066574</v>
      </c>
      <c r="J6355" s="192" t="str">
        <f>IF(I6355&gt;0,H6355/I6355,0)</f>
      </c>
      <c r="K6355" s="193" t="str">
        <f>1-EXP(-J6355)</f>
      </c>
      <c r="L6355" s="194" t="str">
        <f>IF(G6355=30,1,M6354)</f>
      </c>
      <c r="M6355" s="195" t="str">
        <f>L6355*(1-K6355)</f>
      </c>
    </row>
    <row r="6356">
      <c r="A6356" t="s">
        <v>167</v>
      </c>
      <c r="B6356" t="s">
        <v>113</v>
      </c>
      <c r="C6356" s="35" t="s">
        <v>521</v>
      </c>
      <c r="D6356" t="s">
        <v>113</v>
      </c>
      <c r="E6356" t="s">
        <v>520</v>
      </c>
      <c r="F6356" s="188" t="n">
        <v>2027</v>
      </c>
      <c r="G6356" s="189" t="n">
        <v>64</v>
      </c>
      <c r="H6356" s="190" t="n">
        <v>21644.7958683747</v>
      </c>
      <c r="I6356" s="191" t="n">
        <v>2362617.9861867</v>
      </c>
      <c r="J6356" s="192" t="str">
        <f>IF(I6356&gt;0,H6356/I6356,0)</f>
      </c>
      <c r="K6356" s="193" t="str">
        <f>1-EXP(-J6356)</f>
      </c>
      <c r="L6356" s="194" t="str">
        <f>IF(G6356=30,1,M6355)</f>
      </c>
      <c r="M6356" s="195" t="str">
        <f>L6356*(1-K6356)</f>
      </c>
    </row>
    <row r="6357">
      <c r="A6357" t="s">
        <v>167</v>
      </c>
      <c r="B6357" t="s">
        <v>113</v>
      </c>
      <c r="C6357" s="35" t="s">
        <v>521</v>
      </c>
      <c r="D6357" t="s">
        <v>113</v>
      </c>
      <c r="E6357" t="s">
        <v>520</v>
      </c>
      <c r="F6357" s="188" t="n">
        <v>2027</v>
      </c>
      <c r="G6357" s="189" t="n">
        <v>65</v>
      </c>
      <c r="H6357" s="190" t="n">
        <v>21756.2014563949</v>
      </c>
      <c r="I6357" s="191" t="n">
        <v>2216128.96626478</v>
      </c>
      <c r="J6357" s="192" t="str">
        <f>IF(I6357&gt;0,H6357/I6357,0)</f>
      </c>
      <c r="K6357" s="193" t="str">
        <f>1-EXP(-J6357)</f>
      </c>
      <c r="L6357" s="194" t="str">
        <f>IF(G6357=30,1,M6356)</f>
      </c>
      <c r="M6357" s="195" t="str">
        <f>L6357*(1-K6357)</f>
      </c>
    </row>
    <row r="6358">
      <c r="A6358" t="s">
        <v>167</v>
      </c>
      <c r="B6358" t="s">
        <v>113</v>
      </c>
      <c r="C6358" s="35" t="s">
        <v>521</v>
      </c>
      <c r="D6358" t="s">
        <v>113</v>
      </c>
      <c r="E6358" t="s">
        <v>520</v>
      </c>
      <c r="F6358" s="188" t="n">
        <v>2027</v>
      </c>
      <c r="G6358" s="189" t="n">
        <v>66</v>
      </c>
      <c r="H6358" s="190" t="n">
        <v>22536.157978997</v>
      </c>
      <c r="I6358" s="191" t="n">
        <v>2094965.17772269</v>
      </c>
      <c r="J6358" s="192" t="str">
        <f>IF(I6358&gt;0,H6358/I6358,0)</f>
      </c>
      <c r="K6358" s="193" t="str">
        <f>1-EXP(-J6358)</f>
      </c>
      <c r="L6358" s="194" t="str">
        <f>IF(G6358=30,1,M6357)</f>
      </c>
      <c r="M6358" s="195" t="str">
        <f>L6358*(1-K6358)</f>
      </c>
    </row>
    <row r="6359">
      <c r="A6359" t="s">
        <v>167</v>
      </c>
      <c r="B6359" t="s">
        <v>113</v>
      </c>
      <c r="C6359" s="35" t="s">
        <v>521</v>
      </c>
      <c r="D6359" t="s">
        <v>113</v>
      </c>
      <c r="E6359" t="s">
        <v>520</v>
      </c>
      <c r="F6359" s="188" t="n">
        <v>2027</v>
      </c>
      <c r="G6359" s="189" t="n">
        <v>67</v>
      </c>
      <c r="H6359" s="190" t="n">
        <v>23227.2641563752</v>
      </c>
      <c r="I6359" s="191" t="n">
        <v>1969800.16127879</v>
      </c>
      <c r="J6359" s="192" t="str">
        <f>IF(I6359&gt;0,H6359/I6359,0)</f>
      </c>
      <c r="K6359" s="193" t="str">
        <f>1-EXP(-J6359)</f>
      </c>
      <c r="L6359" s="194" t="str">
        <f>IF(G6359=30,1,M6358)</f>
      </c>
      <c r="M6359" s="195" t="str">
        <f>L6359*(1-K6359)</f>
      </c>
    </row>
    <row r="6360">
      <c r="A6360" t="s">
        <v>167</v>
      </c>
      <c r="B6360" t="s">
        <v>113</v>
      </c>
      <c r="C6360" s="35" t="s">
        <v>521</v>
      </c>
      <c r="D6360" t="s">
        <v>113</v>
      </c>
      <c r="E6360" t="s">
        <v>520</v>
      </c>
      <c r="F6360" s="188" t="n">
        <v>2027</v>
      </c>
      <c r="G6360" s="189" t="n">
        <v>68</v>
      </c>
      <c r="H6360" s="190" t="n">
        <v>23779.4649126788</v>
      </c>
      <c r="I6360" s="191" t="n">
        <v>1838757.2389523</v>
      </c>
      <c r="J6360" s="192" t="str">
        <f>IF(I6360&gt;0,H6360/I6360,0)</f>
      </c>
      <c r="K6360" s="193" t="str">
        <f>1-EXP(-J6360)</f>
      </c>
      <c r="L6360" s="194" t="str">
        <f>IF(G6360=30,1,M6359)</f>
      </c>
      <c r="M6360" s="195" t="str">
        <f>L6360*(1-K6360)</f>
      </c>
    </row>
    <row r="6361">
      <c r="A6361" t="s">
        <v>167</v>
      </c>
      <c r="B6361" t="s">
        <v>113</v>
      </c>
      <c r="C6361" s="35" t="s">
        <v>521</v>
      </c>
      <c r="D6361" t="s">
        <v>113</v>
      </c>
      <c r="E6361" t="s">
        <v>520</v>
      </c>
      <c r="F6361" s="188" t="n">
        <v>2027</v>
      </c>
      <c r="G6361" s="189" t="n">
        <v>69</v>
      </c>
      <c r="H6361" s="190" t="n">
        <v>24276.3563604012</v>
      </c>
      <c r="I6361" s="191" t="n">
        <v>1710271.90798235</v>
      </c>
      <c r="J6361" s="192" t="str">
        <f>IF(I6361&gt;0,H6361/I6361,0)</f>
      </c>
      <c r="K6361" s="193" t="str">
        <f>1-EXP(-J6361)</f>
      </c>
      <c r="L6361" s="194" t="str">
        <f>IF(G6361=30,1,M6360)</f>
      </c>
      <c r="M6361" s="195" t="str">
        <f>L6361*(1-K6361)</f>
      </c>
    </row>
    <row r="6362">
      <c r="A6362" t="s">
        <v>167</v>
      </c>
      <c r="B6362" t="s">
        <v>113</v>
      </c>
      <c r="C6362" s="35" t="s">
        <v>521</v>
      </c>
      <c r="D6362" t="s">
        <v>113</v>
      </c>
      <c r="E6362" t="s">
        <v>520</v>
      </c>
      <c r="F6362" s="188" t="n">
        <v>2028</v>
      </c>
      <c r="G6362" s="189" t="n">
        <v>30</v>
      </c>
      <c r="H6362" s="190" t="n">
        <v>986.004927108551</v>
      </c>
      <c r="I6362" s="191" t="n">
        <v>4420053.28578776</v>
      </c>
      <c r="J6362" s="192" t="str">
        <f>IF(I6362&gt;0,H6362/I6362,0)</f>
      </c>
      <c r="K6362" s="193" t="str">
        <f>1-EXP(-J6362)</f>
      </c>
      <c r="L6362" s="194" t="str">
        <f>IF(G6362=30,1,M6361)</f>
      </c>
      <c r="M6362" s="195" t="str">
        <f>L6362*(1-K6362)</f>
      </c>
    </row>
    <row r="6363">
      <c r="A6363" t="s">
        <v>167</v>
      </c>
      <c r="B6363" t="s">
        <v>113</v>
      </c>
      <c r="C6363" s="35" t="s">
        <v>521</v>
      </c>
      <c r="D6363" t="s">
        <v>113</v>
      </c>
      <c r="E6363" t="s">
        <v>520</v>
      </c>
      <c r="F6363" s="188" t="n">
        <v>2028</v>
      </c>
      <c r="G6363" s="189" t="n">
        <v>31</v>
      </c>
      <c r="H6363" s="190" t="n">
        <v>1348.75160870914</v>
      </c>
      <c r="I6363" s="191" t="n">
        <v>4561944.67980585</v>
      </c>
      <c r="J6363" s="192" t="str">
        <f>IF(I6363&gt;0,H6363/I6363,0)</f>
      </c>
      <c r="K6363" s="193" t="str">
        <f>1-EXP(-J6363)</f>
      </c>
      <c r="L6363" s="194" t="str">
        <f>IF(G6363=30,1,M6362)</f>
      </c>
      <c r="M6363" s="195" t="str">
        <f>L6363*(1-K6363)</f>
      </c>
    </row>
    <row r="6364">
      <c r="A6364" t="s">
        <v>167</v>
      </c>
      <c r="B6364" t="s">
        <v>113</v>
      </c>
      <c r="C6364" s="35" t="s">
        <v>521</v>
      </c>
      <c r="D6364" t="s">
        <v>113</v>
      </c>
      <c r="E6364" t="s">
        <v>520</v>
      </c>
      <c r="F6364" s="188" t="n">
        <v>2028</v>
      </c>
      <c r="G6364" s="189" t="n">
        <v>32</v>
      </c>
      <c r="H6364" s="190" t="n">
        <v>1397.44082171636</v>
      </c>
      <c r="I6364" s="191" t="n">
        <v>4519587.61636361</v>
      </c>
      <c r="J6364" s="192" t="str">
        <f>IF(I6364&gt;0,H6364/I6364,0)</f>
      </c>
      <c r="K6364" s="193" t="str">
        <f>1-EXP(-J6364)</f>
      </c>
      <c r="L6364" s="194" t="str">
        <f>IF(G6364=30,1,M6363)</f>
      </c>
      <c r="M6364" s="195" t="str">
        <f>L6364*(1-K6364)</f>
      </c>
    </row>
    <row r="6365">
      <c r="A6365" t="s">
        <v>167</v>
      </c>
      <c r="B6365" t="s">
        <v>113</v>
      </c>
      <c r="C6365" s="35" t="s">
        <v>521</v>
      </c>
      <c r="D6365" t="s">
        <v>113</v>
      </c>
      <c r="E6365" t="s">
        <v>520</v>
      </c>
      <c r="F6365" s="188" t="n">
        <v>2028</v>
      </c>
      <c r="G6365" s="189" t="n">
        <v>33</v>
      </c>
      <c r="H6365" s="190" t="n">
        <v>1447.40689837727</v>
      </c>
      <c r="I6365" s="191" t="n">
        <v>4447041.22617452</v>
      </c>
      <c r="J6365" s="192" t="str">
        <f>IF(I6365&gt;0,H6365/I6365,0)</f>
      </c>
      <c r="K6365" s="193" t="str">
        <f>1-EXP(-J6365)</f>
      </c>
      <c r="L6365" s="194" t="str">
        <f>IF(G6365=30,1,M6364)</f>
      </c>
      <c r="M6365" s="195" t="str">
        <f>L6365*(1-K6365)</f>
      </c>
    </row>
    <row r="6366">
      <c r="A6366" t="s">
        <v>167</v>
      </c>
      <c r="B6366" t="s">
        <v>113</v>
      </c>
      <c r="C6366" s="35" t="s">
        <v>521</v>
      </c>
      <c r="D6366" t="s">
        <v>113</v>
      </c>
      <c r="E6366" t="s">
        <v>520</v>
      </c>
      <c r="F6366" s="188" t="n">
        <v>2028</v>
      </c>
      <c r="G6366" s="189" t="n">
        <v>34</v>
      </c>
      <c r="H6366" s="190" t="n">
        <v>1513.53298482814</v>
      </c>
      <c r="I6366" s="191" t="n">
        <v>4390417.85901974</v>
      </c>
      <c r="J6366" s="192" t="str">
        <f>IF(I6366&gt;0,H6366/I6366,0)</f>
      </c>
      <c r="K6366" s="193" t="str">
        <f>1-EXP(-J6366)</f>
      </c>
      <c r="L6366" s="194" t="str">
        <f>IF(G6366=30,1,M6365)</f>
      </c>
      <c r="M6366" s="195" t="str">
        <f>L6366*(1-K6366)</f>
      </c>
    </row>
    <row r="6367">
      <c r="A6367" t="s">
        <v>167</v>
      </c>
      <c r="B6367" t="s">
        <v>113</v>
      </c>
      <c r="C6367" s="35" t="s">
        <v>521</v>
      </c>
      <c r="D6367" t="s">
        <v>113</v>
      </c>
      <c r="E6367" t="s">
        <v>520</v>
      </c>
      <c r="F6367" s="188" t="n">
        <v>2028</v>
      </c>
      <c r="G6367" s="189" t="n">
        <v>35</v>
      </c>
      <c r="H6367" s="190" t="n">
        <v>2049.0230557139</v>
      </c>
      <c r="I6367" s="191" t="n">
        <v>4337509.93349034</v>
      </c>
      <c r="J6367" s="192" t="str">
        <f>IF(I6367&gt;0,H6367/I6367,0)</f>
      </c>
      <c r="K6367" s="193" t="str">
        <f>1-EXP(-J6367)</f>
      </c>
      <c r="L6367" s="194" t="str">
        <f>IF(G6367=30,1,M6366)</f>
      </c>
      <c r="M6367" s="195" t="str">
        <f>L6367*(1-K6367)</f>
      </c>
    </row>
    <row r="6368">
      <c r="A6368" t="s">
        <v>167</v>
      </c>
      <c r="B6368" t="s">
        <v>113</v>
      </c>
      <c r="C6368" s="35" t="s">
        <v>521</v>
      </c>
      <c r="D6368" t="s">
        <v>113</v>
      </c>
      <c r="E6368" t="s">
        <v>520</v>
      </c>
      <c r="F6368" s="188" t="n">
        <v>2028</v>
      </c>
      <c r="G6368" s="189" t="n">
        <v>36</v>
      </c>
      <c r="H6368" s="190" t="n">
        <v>2208.32306509608</v>
      </c>
      <c r="I6368" s="191" t="n">
        <v>4375912.93833686</v>
      </c>
      <c r="J6368" s="192" t="str">
        <f>IF(I6368&gt;0,H6368/I6368,0)</f>
      </c>
      <c r="K6368" s="193" t="str">
        <f>1-EXP(-J6368)</f>
      </c>
      <c r="L6368" s="194" t="str">
        <f>IF(G6368=30,1,M6367)</f>
      </c>
      <c r="M6368" s="195" t="str">
        <f>L6368*(1-K6368)</f>
      </c>
    </row>
    <row r="6369">
      <c r="A6369" t="s">
        <v>167</v>
      </c>
      <c r="B6369" t="s">
        <v>113</v>
      </c>
      <c r="C6369" s="35" t="s">
        <v>521</v>
      </c>
      <c r="D6369" t="s">
        <v>113</v>
      </c>
      <c r="E6369" t="s">
        <v>520</v>
      </c>
      <c r="F6369" s="188" t="n">
        <v>2028</v>
      </c>
      <c r="G6369" s="189" t="n">
        <v>37</v>
      </c>
      <c r="H6369" s="190" t="n">
        <v>2377.08462513817</v>
      </c>
      <c r="I6369" s="191" t="n">
        <v>4395143.84372367</v>
      </c>
      <c r="J6369" s="192" t="str">
        <f>IF(I6369&gt;0,H6369/I6369,0)</f>
      </c>
      <c r="K6369" s="193" t="str">
        <f>1-EXP(-J6369)</f>
      </c>
      <c r="L6369" s="194" t="str">
        <f>IF(G6369=30,1,M6368)</f>
      </c>
      <c r="M6369" s="195" t="str">
        <f>L6369*(1-K6369)</f>
      </c>
    </row>
    <row r="6370">
      <c r="A6370" t="s">
        <v>167</v>
      </c>
      <c r="B6370" t="s">
        <v>113</v>
      </c>
      <c r="C6370" s="35" t="s">
        <v>521</v>
      </c>
      <c r="D6370" t="s">
        <v>113</v>
      </c>
      <c r="E6370" t="s">
        <v>520</v>
      </c>
      <c r="F6370" s="188" t="n">
        <v>2028</v>
      </c>
      <c r="G6370" s="189" t="n">
        <v>38</v>
      </c>
      <c r="H6370" s="190" t="n">
        <v>3605.851532561</v>
      </c>
      <c r="I6370" s="191" t="n">
        <v>6472803.17772374</v>
      </c>
      <c r="J6370" s="192" t="str">
        <f>IF(I6370&gt;0,H6370/I6370,0)</f>
      </c>
      <c r="K6370" s="193" t="str">
        <f>1-EXP(-J6370)</f>
      </c>
      <c r="L6370" s="194" t="str">
        <f>IF(G6370=30,1,M6369)</f>
      </c>
      <c r="M6370" s="195" t="str">
        <f>L6370*(1-K6370)</f>
      </c>
    </row>
    <row r="6371">
      <c r="A6371" t="s">
        <v>167</v>
      </c>
      <c r="B6371" t="s">
        <v>113</v>
      </c>
      <c r="C6371" s="35" t="s">
        <v>521</v>
      </c>
      <c r="D6371" t="s">
        <v>113</v>
      </c>
      <c r="E6371" t="s">
        <v>520</v>
      </c>
      <c r="F6371" s="188" t="n">
        <v>2028</v>
      </c>
      <c r="G6371" s="189" t="n">
        <v>39</v>
      </c>
      <c r="H6371" s="190" t="n">
        <v>2719.55952936503</v>
      </c>
      <c r="I6371" s="191" t="n">
        <v>4356168.97213635</v>
      </c>
      <c r="J6371" s="192" t="str">
        <f>IF(I6371&gt;0,H6371/I6371,0)</f>
      </c>
      <c r="K6371" s="193" t="str">
        <f>1-EXP(-J6371)</f>
      </c>
      <c r="L6371" s="194" t="str">
        <f>IF(G6371=30,1,M6370)</f>
      </c>
      <c r="M6371" s="195" t="str">
        <f>L6371*(1-K6371)</f>
      </c>
    </row>
    <row r="6372">
      <c r="A6372" t="s">
        <v>167</v>
      </c>
      <c r="B6372" t="s">
        <v>113</v>
      </c>
      <c r="C6372" s="35" t="s">
        <v>521</v>
      </c>
      <c r="D6372" t="s">
        <v>113</v>
      </c>
      <c r="E6372" t="s">
        <v>520</v>
      </c>
      <c r="F6372" s="188" t="n">
        <v>2028</v>
      </c>
      <c r="G6372" s="189" t="n">
        <v>40</v>
      </c>
      <c r="H6372" s="190" t="n">
        <v>3650.93520962329</v>
      </c>
      <c r="I6372" s="191" t="n">
        <v>4340882.87820302</v>
      </c>
      <c r="J6372" s="192" t="str">
        <f>IF(I6372&gt;0,H6372/I6372,0)</f>
      </c>
      <c r="K6372" s="193" t="str">
        <f>1-EXP(-J6372)</f>
      </c>
      <c r="L6372" s="194" t="str">
        <f>IF(G6372=30,1,M6371)</f>
      </c>
      <c r="M6372" s="195" t="str">
        <f>L6372*(1-K6372)</f>
      </c>
    </row>
    <row r="6373">
      <c r="A6373" t="s">
        <v>167</v>
      </c>
      <c r="B6373" t="s">
        <v>113</v>
      </c>
      <c r="C6373" s="35" t="s">
        <v>521</v>
      </c>
      <c r="D6373" t="s">
        <v>113</v>
      </c>
      <c r="E6373" t="s">
        <v>520</v>
      </c>
      <c r="F6373" s="188" t="n">
        <v>2028</v>
      </c>
      <c r="G6373" s="189" t="n">
        <v>41</v>
      </c>
      <c r="H6373" s="190" t="n">
        <v>3823.72680382325</v>
      </c>
      <c r="I6373" s="191" t="n">
        <v>4208739.15467603</v>
      </c>
      <c r="J6373" s="192" t="str">
        <f>IF(I6373&gt;0,H6373/I6373,0)</f>
      </c>
      <c r="K6373" s="193" t="str">
        <f>1-EXP(-J6373)</f>
      </c>
      <c r="L6373" s="194" t="str">
        <f>IF(G6373=30,1,M6372)</f>
      </c>
      <c r="M6373" s="195" t="str">
        <f>L6373*(1-K6373)</f>
      </c>
    </row>
    <row r="6374">
      <c r="A6374" t="s">
        <v>167</v>
      </c>
      <c r="B6374" t="s">
        <v>113</v>
      </c>
      <c r="C6374" s="35" t="s">
        <v>521</v>
      </c>
      <c r="D6374" t="s">
        <v>113</v>
      </c>
      <c r="E6374" t="s">
        <v>520</v>
      </c>
      <c r="F6374" s="188" t="n">
        <v>2028</v>
      </c>
      <c r="G6374" s="189" t="n">
        <v>42</v>
      </c>
      <c r="H6374" s="190" t="n">
        <v>4110.03742797513</v>
      </c>
      <c r="I6374" s="191" t="n">
        <v>4175672.94149674</v>
      </c>
      <c r="J6374" s="192" t="str">
        <f>IF(I6374&gt;0,H6374/I6374,0)</f>
      </c>
      <c r="K6374" s="193" t="str">
        <f>1-EXP(-J6374)</f>
      </c>
      <c r="L6374" s="194" t="str">
        <f>IF(G6374=30,1,M6373)</f>
      </c>
      <c r="M6374" s="195" t="str">
        <f>L6374*(1-K6374)</f>
      </c>
    </row>
    <row r="6375">
      <c r="A6375" t="s">
        <v>167</v>
      </c>
      <c r="B6375" t="s">
        <v>113</v>
      </c>
      <c r="C6375" s="35" t="s">
        <v>521</v>
      </c>
      <c r="D6375" t="s">
        <v>113</v>
      </c>
      <c r="E6375" t="s">
        <v>520</v>
      </c>
      <c r="F6375" s="188" t="n">
        <v>2028</v>
      </c>
      <c r="G6375" s="189" t="n">
        <v>43</v>
      </c>
      <c r="H6375" s="190" t="n">
        <v>4534.63507290002</v>
      </c>
      <c r="I6375" s="191" t="n">
        <v>4236935.91917249</v>
      </c>
      <c r="J6375" s="192" t="str">
        <f>IF(I6375&gt;0,H6375/I6375,0)</f>
      </c>
      <c r="K6375" s="193" t="str">
        <f>1-EXP(-J6375)</f>
      </c>
      <c r="L6375" s="194" t="str">
        <f>IF(G6375=30,1,M6374)</f>
      </c>
      <c r="M6375" s="195" t="str">
        <f>L6375*(1-K6375)</f>
      </c>
    </row>
    <row r="6376">
      <c r="A6376" t="s">
        <v>167</v>
      </c>
      <c r="B6376" t="s">
        <v>113</v>
      </c>
      <c r="C6376" s="35" t="s">
        <v>521</v>
      </c>
      <c r="D6376" t="s">
        <v>113</v>
      </c>
      <c r="E6376" t="s">
        <v>520</v>
      </c>
      <c r="F6376" s="188" t="n">
        <v>2028</v>
      </c>
      <c r="G6376" s="189" t="n">
        <v>44</v>
      </c>
      <c r="H6376" s="190" t="n">
        <v>5047.67519735825</v>
      </c>
      <c r="I6376" s="191" t="n">
        <v>4323725.01833132</v>
      </c>
      <c r="J6376" s="192" t="str">
        <f>IF(I6376&gt;0,H6376/I6376,0)</f>
      </c>
      <c r="K6376" s="193" t="str">
        <f>1-EXP(-J6376)</f>
      </c>
      <c r="L6376" s="194" t="str">
        <f>IF(G6376=30,1,M6375)</f>
      </c>
      <c r="M6376" s="195" t="str">
        <f>L6376*(1-K6376)</f>
      </c>
    </row>
    <row r="6377">
      <c r="A6377" t="s">
        <v>167</v>
      </c>
      <c r="B6377" t="s">
        <v>113</v>
      </c>
      <c r="C6377" s="35" t="s">
        <v>521</v>
      </c>
      <c r="D6377" t="s">
        <v>113</v>
      </c>
      <c r="E6377" t="s">
        <v>520</v>
      </c>
      <c r="F6377" s="188" t="n">
        <v>2028</v>
      </c>
      <c r="G6377" s="189" t="n">
        <v>45</v>
      </c>
      <c r="H6377" s="190" t="n">
        <v>6499.8978308857</v>
      </c>
      <c r="I6377" s="191" t="n">
        <v>4301180.92515842</v>
      </c>
      <c r="J6377" s="192" t="str">
        <f>IF(I6377&gt;0,H6377/I6377,0)</f>
      </c>
      <c r="K6377" s="193" t="str">
        <f>1-EXP(-J6377)</f>
      </c>
      <c r="L6377" s="194" t="str">
        <f>IF(G6377=30,1,M6376)</f>
      </c>
      <c r="M6377" s="195" t="str">
        <f>L6377*(1-K6377)</f>
      </c>
    </row>
    <row r="6378">
      <c r="A6378" t="s">
        <v>167</v>
      </c>
      <c r="B6378" t="s">
        <v>113</v>
      </c>
      <c r="C6378" s="35" t="s">
        <v>521</v>
      </c>
      <c r="D6378" t="s">
        <v>113</v>
      </c>
      <c r="E6378" t="s">
        <v>520</v>
      </c>
      <c r="F6378" s="188" t="n">
        <v>2028</v>
      </c>
      <c r="G6378" s="189" t="n">
        <v>46</v>
      </c>
      <c r="H6378" s="190" t="n">
        <v>6894.31104278522</v>
      </c>
      <c r="I6378" s="191" t="n">
        <v>4164596.76992723</v>
      </c>
      <c r="J6378" s="192" t="str">
        <f>IF(I6378&gt;0,H6378/I6378,0)</f>
      </c>
      <c r="K6378" s="193" t="str">
        <f>1-EXP(-J6378)</f>
      </c>
      <c r="L6378" s="194" t="str">
        <f>IF(G6378=30,1,M6377)</f>
      </c>
      <c r="M6378" s="195" t="str">
        <f>L6378*(1-K6378)</f>
      </c>
    </row>
    <row r="6379">
      <c r="A6379" t="s">
        <v>167</v>
      </c>
      <c r="B6379" t="s">
        <v>113</v>
      </c>
      <c r="C6379" s="35" t="s">
        <v>521</v>
      </c>
      <c r="D6379" t="s">
        <v>113</v>
      </c>
      <c r="E6379" t="s">
        <v>520</v>
      </c>
      <c r="F6379" s="188" t="n">
        <v>2028</v>
      </c>
      <c r="G6379" s="189" t="n">
        <v>47</v>
      </c>
      <c r="H6379" s="190" t="n">
        <v>7417.86218847671</v>
      </c>
      <c r="I6379" s="191" t="n">
        <v>4091785.71291177</v>
      </c>
      <c r="J6379" s="192" t="str">
        <f>IF(I6379&gt;0,H6379/I6379,0)</f>
      </c>
      <c r="K6379" s="193" t="str">
        <f>1-EXP(-J6379)</f>
      </c>
      <c r="L6379" s="194" t="str">
        <f>IF(G6379=30,1,M6378)</f>
      </c>
      <c r="M6379" s="195" t="str">
        <f>L6379*(1-K6379)</f>
      </c>
    </row>
    <row r="6380">
      <c r="A6380" t="s">
        <v>167</v>
      </c>
      <c r="B6380" t="s">
        <v>113</v>
      </c>
      <c r="C6380" s="35" t="s">
        <v>521</v>
      </c>
      <c r="D6380" t="s">
        <v>113</v>
      </c>
      <c r="E6380" t="s">
        <v>520</v>
      </c>
      <c r="F6380" s="188" t="n">
        <v>2028</v>
      </c>
      <c r="G6380" s="189" t="n">
        <v>48</v>
      </c>
      <c r="H6380" s="190" t="n">
        <v>8006.91839007541</v>
      </c>
      <c r="I6380" s="191" t="n">
        <v>4034983.61130144</v>
      </c>
      <c r="J6380" s="192" t="str">
        <f>IF(I6380&gt;0,H6380/I6380,0)</f>
      </c>
      <c r="K6380" s="193" t="str">
        <f>1-EXP(-J6380)</f>
      </c>
      <c r="L6380" s="194" t="str">
        <f>IF(G6380=30,1,M6379)</f>
      </c>
      <c r="M6380" s="195" t="str">
        <f>L6380*(1-K6380)</f>
      </c>
    </row>
    <row r="6381">
      <c r="A6381" t="s">
        <v>167</v>
      </c>
      <c r="B6381" t="s">
        <v>113</v>
      </c>
      <c r="C6381" s="35" t="s">
        <v>521</v>
      </c>
      <c r="D6381" t="s">
        <v>113</v>
      </c>
      <c r="E6381" t="s">
        <v>520</v>
      </c>
      <c r="F6381" s="188" t="n">
        <v>2028</v>
      </c>
      <c r="G6381" s="189" t="n">
        <v>49</v>
      </c>
      <c r="H6381" s="190" t="n">
        <v>8621.79462836895</v>
      </c>
      <c r="I6381" s="191" t="n">
        <v>3972749.81643991</v>
      </c>
      <c r="J6381" s="192" t="str">
        <f>IF(I6381&gt;0,H6381/I6381,0)</f>
      </c>
      <c r="K6381" s="193" t="str">
        <f>1-EXP(-J6381)</f>
      </c>
      <c r="L6381" s="194" t="str">
        <f>IF(G6381=30,1,M6380)</f>
      </c>
      <c r="M6381" s="195" t="str">
        <f>L6381*(1-K6381)</f>
      </c>
    </row>
    <row r="6382">
      <c r="A6382" t="s">
        <v>167</v>
      </c>
      <c r="B6382" t="s">
        <v>113</v>
      </c>
      <c r="C6382" s="35" t="s">
        <v>521</v>
      </c>
      <c r="D6382" t="s">
        <v>113</v>
      </c>
      <c r="E6382" t="s">
        <v>520</v>
      </c>
      <c r="F6382" s="188" t="n">
        <v>2028</v>
      </c>
      <c r="G6382" s="189" t="n">
        <v>50</v>
      </c>
      <c r="H6382" s="190" t="n">
        <v>9853.63033835849</v>
      </c>
      <c r="I6382" s="191" t="n">
        <v>3890988.95316797</v>
      </c>
      <c r="J6382" s="192" t="str">
        <f>IF(I6382&gt;0,H6382/I6382,0)</f>
      </c>
      <c r="K6382" s="193" t="str">
        <f>1-EXP(-J6382)</f>
      </c>
      <c r="L6382" s="194" t="str">
        <f>IF(G6382=30,1,M6381)</f>
      </c>
      <c r="M6382" s="195" t="str">
        <f>L6382*(1-K6382)</f>
      </c>
    </row>
    <row r="6383">
      <c r="A6383" t="s">
        <v>167</v>
      </c>
      <c r="B6383" t="s">
        <v>113</v>
      </c>
      <c r="C6383" s="35" t="s">
        <v>521</v>
      </c>
      <c r="D6383" t="s">
        <v>113</v>
      </c>
      <c r="E6383" t="s">
        <v>520</v>
      </c>
      <c r="F6383" s="188" t="n">
        <v>2028</v>
      </c>
      <c r="G6383" s="189" t="n">
        <v>51</v>
      </c>
      <c r="H6383" s="190" t="n">
        <v>10586.3081982961</v>
      </c>
      <c r="I6383" s="191" t="n">
        <v>3825622.75985549</v>
      </c>
      <c r="J6383" s="192" t="str">
        <f>IF(I6383&gt;0,H6383/I6383,0)</f>
      </c>
      <c r="K6383" s="193" t="str">
        <f>1-EXP(-J6383)</f>
      </c>
      <c r="L6383" s="194" t="str">
        <f>IF(G6383=30,1,M6382)</f>
      </c>
      <c r="M6383" s="195" t="str">
        <f>L6383*(1-K6383)</f>
      </c>
    </row>
    <row r="6384">
      <c r="A6384" t="s">
        <v>167</v>
      </c>
      <c r="B6384" t="s">
        <v>113</v>
      </c>
      <c r="C6384" s="35" t="s">
        <v>521</v>
      </c>
      <c r="D6384" t="s">
        <v>113</v>
      </c>
      <c r="E6384" t="s">
        <v>520</v>
      </c>
      <c r="F6384" s="188" t="n">
        <v>2028</v>
      </c>
      <c r="G6384" s="189" t="n">
        <v>52</v>
      </c>
      <c r="H6384" s="190" t="n">
        <v>11322.0024227386</v>
      </c>
      <c r="I6384" s="191" t="n">
        <v>3749165.1408497</v>
      </c>
      <c r="J6384" s="192" t="str">
        <f>IF(I6384&gt;0,H6384/I6384,0)</f>
      </c>
      <c r="K6384" s="193" t="str">
        <f>1-EXP(-J6384)</f>
      </c>
      <c r="L6384" s="194" t="str">
        <f>IF(G6384=30,1,M6383)</f>
      </c>
      <c r="M6384" s="195" t="str">
        <f>L6384*(1-K6384)</f>
      </c>
    </row>
    <row r="6385">
      <c r="A6385" t="s">
        <v>167</v>
      </c>
      <c r="B6385" t="s">
        <v>113</v>
      </c>
      <c r="C6385" s="35" t="s">
        <v>521</v>
      </c>
      <c r="D6385" t="s">
        <v>113</v>
      </c>
      <c r="E6385" t="s">
        <v>520</v>
      </c>
      <c r="F6385" s="188" t="n">
        <v>2028</v>
      </c>
      <c r="G6385" s="189" t="n">
        <v>53</v>
      </c>
      <c r="H6385" s="190" t="n">
        <v>12102.4064248495</v>
      </c>
      <c r="I6385" s="191" t="n">
        <v>3672043.23223773</v>
      </c>
      <c r="J6385" s="192" t="str">
        <f>IF(I6385&gt;0,H6385/I6385,0)</f>
      </c>
      <c r="K6385" s="193" t="str">
        <f>1-EXP(-J6385)</f>
      </c>
      <c r="L6385" s="194" t="str">
        <f>IF(G6385=30,1,M6384)</f>
      </c>
      <c r="M6385" s="195" t="str">
        <f>L6385*(1-K6385)</f>
      </c>
    </row>
    <row r="6386">
      <c r="A6386" t="s">
        <v>167</v>
      </c>
      <c r="B6386" t="s">
        <v>113</v>
      </c>
      <c r="C6386" s="35" t="s">
        <v>521</v>
      </c>
      <c r="D6386" t="s">
        <v>113</v>
      </c>
      <c r="E6386" t="s">
        <v>520</v>
      </c>
      <c r="F6386" s="188" t="n">
        <v>2028</v>
      </c>
      <c r="G6386" s="189" t="n">
        <v>54</v>
      </c>
      <c r="H6386" s="190" t="n">
        <v>12835.4261870621</v>
      </c>
      <c r="I6386" s="191" t="n">
        <v>3567281.15153721</v>
      </c>
      <c r="J6386" s="192" t="str">
        <f>IF(I6386&gt;0,H6386/I6386,0)</f>
      </c>
      <c r="K6386" s="193" t="str">
        <f>1-EXP(-J6386)</f>
      </c>
      <c r="L6386" s="194" t="str">
        <f>IF(G6386=30,1,M6385)</f>
      </c>
      <c r="M6386" s="195" t="str">
        <f>L6386*(1-K6386)</f>
      </c>
    </row>
    <row r="6387">
      <c r="A6387" t="s">
        <v>167</v>
      </c>
      <c r="B6387" t="s">
        <v>113</v>
      </c>
      <c r="C6387" s="35" t="s">
        <v>521</v>
      </c>
      <c r="D6387" t="s">
        <v>113</v>
      </c>
      <c r="E6387" t="s">
        <v>520</v>
      </c>
      <c r="F6387" s="188" t="n">
        <v>2028</v>
      </c>
      <c r="G6387" s="189" t="n">
        <v>55</v>
      </c>
      <c r="H6387" s="190" t="n">
        <v>14036.3871887126</v>
      </c>
      <c r="I6387" s="191" t="n">
        <v>3523084.2163612</v>
      </c>
      <c r="J6387" s="192" t="str">
        <f>IF(I6387&gt;0,H6387/I6387,0)</f>
      </c>
      <c r="K6387" s="193" t="str">
        <f>1-EXP(-J6387)</f>
      </c>
      <c r="L6387" s="194" t="str">
        <f>IF(G6387=30,1,M6386)</f>
      </c>
      <c r="M6387" s="195" t="str">
        <f>L6387*(1-K6387)</f>
      </c>
    </row>
    <row r="6388">
      <c r="A6388" t="s">
        <v>167</v>
      </c>
      <c r="B6388" t="s">
        <v>113</v>
      </c>
      <c r="C6388" s="35" t="s">
        <v>521</v>
      </c>
      <c r="D6388" t="s">
        <v>113</v>
      </c>
      <c r="E6388" t="s">
        <v>520</v>
      </c>
      <c r="F6388" s="188" t="n">
        <v>2028</v>
      </c>
      <c r="G6388" s="189" t="n">
        <v>56</v>
      </c>
      <c r="H6388" s="190" t="n">
        <v>14433.7558251005</v>
      </c>
      <c r="I6388" s="191" t="n">
        <v>3313699.99900365</v>
      </c>
      <c r="J6388" s="192" t="str">
        <f>IF(I6388&gt;0,H6388/I6388,0)</f>
      </c>
      <c r="K6388" s="193" t="str">
        <f>1-EXP(-J6388)</f>
      </c>
      <c r="L6388" s="194" t="str">
        <f>IF(G6388=30,1,M6387)</f>
      </c>
      <c r="M6388" s="195" t="str">
        <f>L6388*(1-K6388)</f>
      </c>
    </row>
    <row r="6389">
      <c r="A6389" t="s">
        <v>167</v>
      </c>
      <c r="B6389" t="s">
        <v>113</v>
      </c>
      <c r="C6389" s="35" t="s">
        <v>521</v>
      </c>
      <c r="D6389" t="s">
        <v>113</v>
      </c>
      <c r="E6389" t="s">
        <v>520</v>
      </c>
      <c r="F6389" s="188" t="n">
        <v>2028</v>
      </c>
      <c r="G6389" s="189" t="n">
        <v>57</v>
      </c>
      <c r="H6389" s="190" t="n">
        <v>15354.3499065824</v>
      </c>
      <c r="I6389" s="191" t="n">
        <v>3226946.37720527</v>
      </c>
      <c r="J6389" s="192" t="str">
        <f>IF(I6389&gt;0,H6389/I6389,0)</f>
      </c>
      <c r="K6389" s="193" t="str">
        <f>1-EXP(-J6389)</f>
      </c>
      <c r="L6389" s="194" t="str">
        <f>IF(G6389=30,1,M6388)</f>
      </c>
      <c r="M6389" s="195" t="str">
        <f>L6389*(1-K6389)</f>
      </c>
    </row>
    <row r="6390">
      <c r="A6390" t="s">
        <v>167</v>
      </c>
      <c r="B6390" t="s">
        <v>113</v>
      </c>
      <c r="C6390" s="35" t="s">
        <v>521</v>
      </c>
      <c r="D6390" t="s">
        <v>113</v>
      </c>
      <c r="E6390" t="s">
        <v>520</v>
      </c>
      <c r="F6390" s="188" t="n">
        <v>2028</v>
      </c>
      <c r="G6390" s="189" t="n">
        <v>58</v>
      </c>
      <c r="H6390" s="190" t="n">
        <v>16350.1394763948</v>
      </c>
      <c r="I6390" s="191" t="n">
        <v>3144663.41594354</v>
      </c>
      <c r="J6390" s="192" t="str">
        <f>IF(I6390&gt;0,H6390/I6390,0)</f>
      </c>
      <c r="K6390" s="193" t="str">
        <f>1-EXP(-J6390)</f>
      </c>
      <c r="L6390" s="194" t="str">
        <f>IF(G6390=30,1,M6389)</f>
      </c>
      <c r="M6390" s="195" t="str">
        <f>L6390*(1-K6390)</f>
      </c>
    </row>
    <row r="6391">
      <c r="A6391" t="s">
        <v>167</v>
      </c>
      <c r="B6391" t="s">
        <v>113</v>
      </c>
      <c r="C6391" s="35" t="s">
        <v>521</v>
      </c>
      <c r="D6391" t="s">
        <v>113</v>
      </c>
      <c r="E6391" t="s">
        <v>520</v>
      </c>
      <c r="F6391" s="188" t="n">
        <v>2028</v>
      </c>
      <c r="G6391" s="189" t="n">
        <v>59</v>
      </c>
      <c r="H6391" s="190" t="n">
        <v>17349.1536234247</v>
      </c>
      <c r="I6391" s="191" t="n">
        <v>3053101.8159012</v>
      </c>
      <c r="J6391" s="192" t="str">
        <f>IF(I6391&gt;0,H6391/I6391,0)</f>
      </c>
      <c r="K6391" s="193" t="str">
        <f>1-EXP(-J6391)</f>
      </c>
      <c r="L6391" s="194" t="str">
        <f>IF(G6391=30,1,M6390)</f>
      </c>
      <c r="M6391" s="195" t="str">
        <f>L6391*(1-K6391)</f>
      </c>
    </row>
    <row r="6392">
      <c r="A6392" t="s">
        <v>167</v>
      </c>
      <c r="B6392" t="s">
        <v>113</v>
      </c>
      <c r="C6392" s="35" t="s">
        <v>521</v>
      </c>
      <c r="D6392" t="s">
        <v>113</v>
      </c>
      <c r="E6392" t="s">
        <v>520</v>
      </c>
      <c r="F6392" s="188" t="n">
        <v>2028</v>
      </c>
      <c r="G6392" s="189" t="n">
        <v>60</v>
      </c>
      <c r="H6392" s="190" t="n">
        <v>18688.9352053873</v>
      </c>
      <c r="I6392" s="191" t="n">
        <v>2941682.0240385</v>
      </c>
      <c r="J6392" s="192" t="str">
        <f>IF(I6392&gt;0,H6392/I6392,0)</f>
      </c>
      <c r="K6392" s="193" t="str">
        <f>1-EXP(-J6392)</f>
      </c>
      <c r="L6392" s="194" t="str">
        <f>IF(G6392=30,1,M6391)</f>
      </c>
      <c r="M6392" s="195" t="str">
        <f>L6392*(1-K6392)</f>
      </c>
    </row>
    <row r="6393">
      <c r="A6393" t="s">
        <v>167</v>
      </c>
      <c r="B6393" t="s">
        <v>113</v>
      </c>
      <c r="C6393" s="35" t="s">
        <v>521</v>
      </c>
      <c r="D6393" t="s">
        <v>113</v>
      </c>
      <c r="E6393" t="s">
        <v>520</v>
      </c>
      <c r="F6393" s="188" t="n">
        <v>2028</v>
      </c>
      <c r="G6393" s="189" t="n">
        <v>61</v>
      </c>
      <c r="H6393" s="190" t="n">
        <v>19456.7298904534</v>
      </c>
      <c r="I6393" s="191" t="n">
        <v>2798367.68205206</v>
      </c>
      <c r="J6393" s="192" t="str">
        <f>IF(I6393&gt;0,H6393/I6393,0)</f>
      </c>
      <c r="K6393" s="193" t="str">
        <f>1-EXP(-J6393)</f>
      </c>
      <c r="L6393" s="194" t="str">
        <f>IF(G6393=30,1,M6392)</f>
      </c>
      <c r="M6393" s="195" t="str">
        <f>L6393*(1-K6393)</f>
      </c>
    </row>
    <row r="6394">
      <c r="A6394" t="s">
        <v>167</v>
      </c>
      <c r="B6394" t="s">
        <v>113</v>
      </c>
      <c r="C6394" s="35" t="s">
        <v>521</v>
      </c>
      <c r="D6394" t="s">
        <v>113</v>
      </c>
      <c r="E6394" t="s">
        <v>520</v>
      </c>
      <c r="F6394" s="188" t="n">
        <v>2028</v>
      </c>
      <c r="G6394" s="189" t="n">
        <v>62</v>
      </c>
      <c r="H6394" s="190" t="n">
        <v>20474.3560417192</v>
      </c>
      <c r="I6394" s="191" t="n">
        <v>2692220.70208312</v>
      </c>
      <c r="J6394" s="192" t="str">
        <f>IF(I6394&gt;0,H6394/I6394,0)</f>
      </c>
      <c r="K6394" s="193" t="str">
        <f>1-EXP(-J6394)</f>
      </c>
      <c r="L6394" s="194" t="str">
        <f>IF(G6394=30,1,M6393)</f>
      </c>
      <c r="M6394" s="195" t="str">
        <f>L6394*(1-K6394)</f>
      </c>
    </row>
    <row r="6395">
      <c r="A6395" t="s">
        <v>167</v>
      </c>
      <c r="B6395" t="s">
        <v>113</v>
      </c>
      <c r="C6395" s="35" t="s">
        <v>521</v>
      </c>
      <c r="D6395" t="s">
        <v>113</v>
      </c>
      <c r="E6395" t="s">
        <v>520</v>
      </c>
      <c r="F6395" s="188" t="n">
        <v>2028</v>
      </c>
      <c r="G6395" s="189" t="n">
        <v>63</v>
      </c>
      <c r="H6395" s="190" t="n">
        <v>21338.8631537678</v>
      </c>
      <c r="I6395" s="191" t="n">
        <v>2564408.14697145</v>
      </c>
      <c r="J6395" s="192" t="str">
        <f>IF(I6395&gt;0,H6395/I6395,0)</f>
      </c>
      <c r="K6395" s="193" t="str">
        <f>1-EXP(-J6395)</f>
      </c>
      <c r="L6395" s="194" t="str">
        <f>IF(G6395=30,1,M6394)</f>
      </c>
      <c r="M6395" s="195" t="str">
        <f>L6395*(1-K6395)</f>
      </c>
    </row>
    <row r="6396">
      <c r="A6396" t="s">
        <v>167</v>
      </c>
      <c r="B6396" t="s">
        <v>113</v>
      </c>
      <c r="C6396" s="35" t="s">
        <v>521</v>
      </c>
      <c r="D6396" t="s">
        <v>113</v>
      </c>
      <c r="E6396" t="s">
        <v>520</v>
      </c>
      <c r="F6396" s="188" t="n">
        <v>2028</v>
      </c>
      <c r="G6396" s="189" t="n">
        <v>64</v>
      </c>
      <c r="H6396" s="190" t="n">
        <v>22200.3995921389</v>
      </c>
      <c r="I6396" s="191" t="n">
        <v>2436808.97997393</v>
      </c>
      <c r="J6396" s="192" t="str">
        <f>IF(I6396&gt;0,H6396/I6396,0)</f>
      </c>
      <c r="K6396" s="193" t="str">
        <f>1-EXP(-J6396)</f>
      </c>
      <c r="L6396" s="194" t="str">
        <f>IF(G6396=30,1,M6395)</f>
      </c>
      <c r="M6396" s="195" t="str">
        <f>L6396*(1-K6396)</f>
      </c>
    </row>
    <row r="6397">
      <c r="A6397" t="s">
        <v>167</v>
      </c>
      <c r="B6397" t="s">
        <v>113</v>
      </c>
      <c r="C6397" s="35" t="s">
        <v>521</v>
      </c>
      <c r="D6397" t="s">
        <v>113</v>
      </c>
      <c r="E6397" t="s">
        <v>520</v>
      </c>
      <c r="F6397" s="188" t="n">
        <v>2028</v>
      </c>
      <c r="G6397" s="189" t="n">
        <v>65</v>
      </c>
      <c r="H6397" s="190" t="n">
        <v>22480.8797781989</v>
      </c>
      <c r="I6397" s="191" t="n">
        <v>2314110.87660723</v>
      </c>
      <c r="J6397" s="192" t="str">
        <f>IF(I6397&gt;0,H6397/I6397,0)</f>
      </c>
      <c r="K6397" s="193" t="str">
        <f>1-EXP(-J6397)</f>
      </c>
      <c r="L6397" s="194" t="str">
        <f>IF(G6397=30,1,M6396)</f>
      </c>
      <c r="M6397" s="195" t="str">
        <f>L6397*(1-K6397)</f>
      </c>
    </row>
    <row r="6398">
      <c r="A6398" t="s">
        <v>167</v>
      </c>
      <c r="B6398" t="s">
        <v>113</v>
      </c>
      <c r="C6398" s="35" t="s">
        <v>521</v>
      </c>
      <c r="D6398" t="s">
        <v>113</v>
      </c>
      <c r="E6398" t="s">
        <v>520</v>
      </c>
      <c r="F6398" s="188" t="n">
        <v>2028</v>
      </c>
      <c r="G6398" s="189" t="n">
        <v>66</v>
      </c>
      <c r="H6398" s="190" t="n">
        <v>23151.2272054209</v>
      </c>
      <c r="I6398" s="191" t="n">
        <v>2166271.33296895</v>
      </c>
      <c r="J6398" s="192" t="str">
        <f>IF(I6398&gt;0,H6398/I6398,0)</f>
      </c>
      <c r="K6398" s="193" t="str">
        <f>1-EXP(-J6398)</f>
      </c>
      <c r="L6398" s="194" t="str">
        <f>IF(G6398=30,1,M6397)</f>
      </c>
      <c r="M6398" s="195" t="str">
        <f>L6398*(1-K6398)</f>
      </c>
    </row>
    <row r="6399">
      <c r="A6399" t="s">
        <v>167</v>
      </c>
      <c r="B6399" t="s">
        <v>113</v>
      </c>
      <c r="C6399" s="35" t="s">
        <v>521</v>
      </c>
      <c r="D6399" t="s">
        <v>113</v>
      </c>
      <c r="E6399" t="s">
        <v>520</v>
      </c>
      <c r="F6399" s="188" t="n">
        <v>2028</v>
      </c>
      <c r="G6399" s="189" t="n">
        <v>67</v>
      </c>
      <c r="H6399" s="190" t="n">
        <v>23939.3178386476</v>
      </c>
      <c r="I6399" s="191" t="n">
        <v>2043175.60473171</v>
      </c>
      <c r="J6399" s="192" t="str">
        <f>IF(I6399&gt;0,H6399/I6399,0)</f>
      </c>
      <c r="K6399" s="193" t="str">
        <f>1-EXP(-J6399)</f>
      </c>
      <c r="L6399" s="194" t="str">
        <f>IF(G6399=30,1,M6398)</f>
      </c>
      <c r="M6399" s="195" t="str">
        <f>L6399*(1-K6399)</f>
      </c>
    </row>
    <row r="6400">
      <c r="A6400" t="s">
        <v>167</v>
      </c>
      <c r="B6400" t="s">
        <v>113</v>
      </c>
      <c r="C6400" s="35" t="s">
        <v>521</v>
      </c>
      <c r="D6400" t="s">
        <v>113</v>
      </c>
      <c r="E6400" t="s">
        <v>520</v>
      </c>
      <c r="F6400" s="188" t="n">
        <v>2028</v>
      </c>
      <c r="G6400" s="189" t="n">
        <v>68</v>
      </c>
      <c r="H6400" s="190" t="n">
        <v>24630.3191979731</v>
      </c>
      <c r="I6400" s="191" t="n">
        <v>1916456.05314639</v>
      </c>
      <c r="J6400" s="192" t="str">
        <f>IF(I6400&gt;0,H6400/I6400,0)</f>
      </c>
      <c r="K6400" s="193" t="str">
        <f>1-EXP(-J6400)</f>
      </c>
      <c r="L6400" s="194" t="str">
        <f>IF(G6400=30,1,M6399)</f>
      </c>
      <c r="M6400" s="195" t="str">
        <f>L6400*(1-K6400)</f>
      </c>
    </row>
    <row r="6401">
      <c r="A6401" t="s">
        <v>167</v>
      </c>
      <c r="B6401" t="s">
        <v>113</v>
      </c>
      <c r="C6401" s="35" t="s">
        <v>521</v>
      </c>
      <c r="D6401" t="s">
        <v>113</v>
      </c>
      <c r="E6401" t="s">
        <v>520</v>
      </c>
      <c r="F6401" s="188" t="n">
        <v>2028</v>
      </c>
      <c r="G6401" s="189" t="n">
        <v>69</v>
      </c>
      <c r="H6401" s="190" t="n">
        <v>25169.4709894141</v>
      </c>
      <c r="I6401" s="191" t="n">
        <v>1784184.28841199</v>
      </c>
      <c r="J6401" s="192" t="str">
        <f>IF(I6401&gt;0,H6401/I6401,0)</f>
      </c>
      <c r="K6401" s="193" t="str">
        <f>1-EXP(-J6401)</f>
      </c>
      <c r="L6401" s="194" t="str">
        <f>IF(G6401=30,1,M6400)</f>
      </c>
      <c r="M6401" s="195" t="str">
        <f>L6401*(1-K6401)</f>
      </c>
    </row>
    <row r="6402">
      <c r="A6402" t="s">
        <v>167</v>
      </c>
      <c r="B6402" t="s">
        <v>113</v>
      </c>
      <c r="C6402" s="35" t="s">
        <v>521</v>
      </c>
      <c r="D6402" t="s">
        <v>113</v>
      </c>
      <c r="E6402" t="s">
        <v>520</v>
      </c>
      <c r="F6402" s="188" t="n">
        <v>2029</v>
      </c>
      <c r="G6402" s="189" t="n">
        <v>30</v>
      </c>
      <c r="H6402" s="190" t="n">
        <v>966.089666279396</v>
      </c>
      <c r="I6402" s="191" t="n">
        <v>4353617.72664716</v>
      </c>
      <c r="J6402" s="192" t="str">
        <f>IF(I6402&gt;0,H6402/I6402,0)</f>
      </c>
      <c r="K6402" s="193" t="str">
        <f>1-EXP(-J6402)</f>
      </c>
      <c r="L6402" s="194" t="str">
        <f>IF(G6402=30,1,M6401)</f>
      </c>
      <c r="M6402" s="195" t="str">
        <f>L6402*(1-K6402)</f>
      </c>
    </row>
    <row r="6403">
      <c r="A6403" t="s">
        <v>167</v>
      </c>
      <c r="B6403" t="s">
        <v>113</v>
      </c>
      <c r="C6403" s="35" t="s">
        <v>521</v>
      </c>
      <c r="D6403" t="s">
        <v>113</v>
      </c>
      <c r="E6403" t="s">
        <v>520</v>
      </c>
      <c r="F6403" s="188" t="n">
        <v>2029</v>
      </c>
      <c r="G6403" s="189" t="n">
        <v>31</v>
      </c>
      <c r="H6403" s="190" t="n">
        <v>1118.3296221397</v>
      </c>
      <c r="I6403" s="191" t="n">
        <v>4413831.85508253</v>
      </c>
      <c r="J6403" s="192" t="str">
        <f>IF(I6403&gt;0,H6403/I6403,0)</f>
      </c>
      <c r="K6403" s="193" t="str">
        <f>1-EXP(-J6403)</f>
      </c>
      <c r="L6403" s="194" t="str">
        <f>IF(G6403=30,1,M6402)</f>
      </c>
      <c r="M6403" s="195" t="str">
        <f>L6403*(1-K6403)</f>
      </c>
    </row>
    <row r="6404">
      <c r="A6404" t="s">
        <v>167</v>
      </c>
      <c r="B6404" t="s">
        <v>113</v>
      </c>
      <c r="C6404" s="35" t="s">
        <v>521</v>
      </c>
      <c r="D6404" t="s">
        <v>113</v>
      </c>
      <c r="E6404" t="s">
        <v>520</v>
      </c>
      <c r="F6404" s="188" t="n">
        <v>2029</v>
      </c>
      <c r="G6404" s="189" t="n">
        <v>32</v>
      </c>
      <c r="H6404" s="190" t="n">
        <v>1407.06743935983</v>
      </c>
      <c r="I6404" s="191" t="n">
        <v>4555458.45774326</v>
      </c>
      <c r="J6404" s="192" t="str">
        <f>IF(I6404&gt;0,H6404/I6404,0)</f>
      </c>
      <c r="K6404" s="193" t="str">
        <f>1-EXP(-J6404)</f>
      </c>
      <c r="L6404" s="194" t="str">
        <f>IF(G6404=30,1,M6403)</f>
      </c>
      <c r="M6404" s="195" t="str">
        <f>L6404*(1-K6404)</f>
      </c>
    </row>
    <row r="6405">
      <c r="A6405" t="s">
        <v>167</v>
      </c>
      <c r="B6405" t="s">
        <v>113</v>
      </c>
      <c r="C6405" s="35" t="s">
        <v>521</v>
      </c>
      <c r="D6405" t="s">
        <v>113</v>
      </c>
      <c r="E6405" t="s">
        <v>520</v>
      </c>
      <c r="F6405" s="188" t="n">
        <v>2029</v>
      </c>
      <c r="G6405" s="189" t="n">
        <v>33</v>
      </c>
      <c r="H6405" s="190" t="n">
        <v>1467.38068217306</v>
      </c>
      <c r="I6405" s="191" t="n">
        <v>4512898.10108475</v>
      </c>
      <c r="J6405" s="192" t="str">
        <f>IF(I6405&gt;0,H6405/I6405,0)</f>
      </c>
      <c r="K6405" s="193" t="str">
        <f>1-EXP(-J6405)</f>
      </c>
      <c r="L6405" s="194" t="str">
        <f>IF(G6405=30,1,M6404)</f>
      </c>
      <c r="M6405" s="195" t="str">
        <f>L6405*(1-K6405)</f>
      </c>
    </row>
    <row r="6406">
      <c r="A6406" t="s">
        <v>167</v>
      </c>
      <c r="B6406" t="s">
        <v>113</v>
      </c>
      <c r="C6406" s="35" t="s">
        <v>521</v>
      </c>
      <c r="D6406" t="s">
        <v>113</v>
      </c>
      <c r="E6406" t="s">
        <v>520</v>
      </c>
      <c r="F6406" s="188" t="n">
        <v>2029</v>
      </c>
      <c r="G6406" s="189" t="n">
        <v>34</v>
      </c>
      <c r="H6406" s="190" t="n">
        <v>1529.20850579549</v>
      </c>
      <c r="I6406" s="191" t="n">
        <v>4440148.39287326</v>
      </c>
      <c r="J6406" s="192" t="str">
        <f>IF(I6406&gt;0,H6406/I6406,0)</f>
      </c>
      <c r="K6406" s="193" t="str">
        <f>1-EXP(-J6406)</f>
      </c>
      <c r="L6406" s="194" t="str">
        <f>IF(G6406=30,1,M6405)</f>
      </c>
      <c r="M6406" s="195" t="str">
        <f>L6406*(1-K6406)</f>
      </c>
    </row>
    <row r="6407">
      <c r="A6407" t="s">
        <v>167</v>
      </c>
      <c r="B6407" t="s">
        <v>113</v>
      </c>
      <c r="C6407" s="35" t="s">
        <v>521</v>
      </c>
      <c r="D6407" t="s">
        <v>113</v>
      </c>
      <c r="E6407" t="s">
        <v>520</v>
      </c>
      <c r="F6407" s="188" t="n">
        <v>2029</v>
      </c>
      <c r="G6407" s="189" t="n">
        <v>35</v>
      </c>
      <c r="H6407" s="190" t="n">
        <v>2060.17431457558</v>
      </c>
      <c r="I6407" s="191" t="n">
        <v>4383245.48249098</v>
      </c>
      <c r="J6407" s="192" t="str">
        <f>IF(I6407&gt;0,H6407/I6407,0)</f>
      </c>
      <c r="K6407" s="193" t="str">
        <f>1-EXP(-J6407)</f>
      </c>
      <c r="L6407" s="194" t="str">
        <f>IF(G6407=30,1,M6406)</f>
      </c>
      <c r="M6407" s="195" t="str">
        <f>L6407*(1-K6407)</f>
      </c>
    </row>
    <row r="6408">
      <c r="A6408" t="s">
        <v>167</v>
      </c>
      <c r="B6408" t="s">
        <v>113</v>
      </c>
      <c r="C6408" s="35" t="s">
        <v>521</v>
      </c>
      <c r="D6408" t="s">
        <v>113</v>
      </c>
      <c r="E6408" t="s">
        <v>520</v>
      </c>
      <c r="F6408" s="188" t="n">
        <v>2029</v>
      </c>
      <c r="G6408" s="189" t="n">
        <v>36</v>
      </c>
      <c r="H6408" s="190" t="n">
        <v>2175.69412608884</v>
      </c>
      <c r="I6408" s="191" t="n">
        <v>4329488.68477239</v>
      </c>
      <c r="J6408" s="192" t="str">
        <f>IF(I6408&gt;0,H6408/I6408,0)</f>
      </c>
      <c r="K6408" s="193" t="str">
        <f>1-EXP(-J6408)</f>
      </c>
      <c r="L6408" s="194" t="str">
        <f>IF(G6408=30,1,M6407)</f>
      </c>
      <c r="M6408" s="195" t="str">
        <f>L6408*(1-K6408)</f>
      </c>
    </row>
    <row r="6409">
      <c r="A6409" t="s">
        <v>167</v>
      </c>
      <c r="B6409" t="s">
        <v>113</v>
      </c>
      <c r="C6409" s="35" t="s">
        <v>521</v>
      </c>
      <c r="D6409" t="s">
        <v>113</v>
      </c>
      <c r="E6409" t="s">
        <v>520</v>
      </c>
      <c r="F6409" s="188" t="n">
        <v>2029</v>
      </c>
      <c r="G6409" s="189" t="n">
        <v>37</v>
      </c>
      <c r="H6409" s="190" t="n">
        <v>2351.32115687178</v>
      </c>
      <c r="I6409" s="191" t="n">
        <v>4367805.25067724</v>
      </c>
      <c r="J6409" s="192" t="str">
        <f>IF(I6409&gt;0,H6409/I6409,0)</f>
      </c>
      <c r="K6409" s="193" t="str">
        <f>1-EXP(-J6409)</f>
      </c>
      <c r="L6409" s="194" t="str">
        <f>IF(G6409=30,1,M6408)</f>
      </c>
      <c r="M6409" s="195" t="str">
        <f>L6409*(1-K6409)</f>
      </c>
    </row>
    <row r="6410">
      <c r="A6410" t="s">
        <v>167</v>
      </c>
      <c r="B6410" t="s">
        <v>113</v>
      </c>
      <c r="C6410" s="35" t="s">
        <v>521</v>
      </c>
      <c r="D6410" t="s">
        <v>113</v>
      </c>
      <c r="E6410" t="s">
        <v>520</v>
      </c>
      <c r="F6410" s="188" t="n">
        <v>2029</v>
      </c>
      <c r="G6410" s="189" t="n">
        <v>38</v>
      </c>
      <c r="H6410" s="190" t="n">
        <v>2536.0168954999</v>
      </c>
      <c r="I6410" s="191" t="n">
        <v>4386431.42700649</v>
      </c>
      <c r="J6410" s="192" t="str">
        <f>IF(I6410&gt;0,H6410/I6410,0)</f>
      </c>
      <c r="K6410" s="193" t="str">
        <f>1-EXP(-J6410)</f>
      </c>
      <c r="L6410" s="194" t="str">
        <f>IF(G6410=30,1,M6409)</f>
      </c>
      <c r="M6410" s="195" t="str">
        <f>L6410*(1-K6410)</f>
      </c>
    </row>
    <row r="6411">
      <c r="A6411" t="s">
        <v>167</v>
      </c>
      <c r="B6411" t="s">
        <v>113</v>
      </c>
      <c r="C6411" s="35" t="s">
        <v>521</v>
      </c>
      <c r="D6411" t="s">
        <v>113</v>
      </c>
      <c r="E6411" t="s">
        <v>520</v>
      </c>
      <c r="F6411" s="188" t="n">
        <v>2029</v>
      </c>
      <c r="G6411" s="189" t="n">
        <v>39</v>
      </c>
      <c r="H6411" s="190" t="n">
        <v>3846.35625698774</v>
      </c>
      <c r="I6411" s="191" t="n">
        <v>6459524.19496562</v>
      </c>
      <c r="J6411" s="192" t="str">
        <f>IF(I6411&gt;0,H6411/I6411,0)</f>
      </c>
      <c r="K6411" s="193" t="str">
        <f>1-EXP(-J6411)</f>
      </c>
      <c r="L6411" s="194" t="str">
        <f>IF(G6411=30,1,M6410)</f>
      </c>
      <c r="M6411" s="195" t="str">
        <f>L6411*(1-K6411)</f>
      </c>
    </row>
    <row r="6412">
      <c r="A6412" t="s">
        <v>167</v>
      </c>
      <c r="B6412" t="s">
        <v>113</v>
      </c>
      <c r="C6412" s="35" t="s">
        <v>521</v>
      </c>
      <c r="D6412" t="s">
        <v>113</v>
      </c>
      <c r="E6412" t="s">
        <v>520</v>
      </c>
      <c r="F6412" s="188" t="n">
        <v>2029</v>
      </c>
      <c r="G6412" s="189" t="n">
        <v>40</v>
      </c>
      <c r="H6412" s="190" t="n">
        <v>3638.6980764886</v>
      </c>
      <c r="I6412" s="191" t="n">
        <v>4346223.45409534</v>
      </c>
      <c r="J6412" s="192" t="str">
        <f>IF(I6412&gt;0,H6412/I6412,0)</f>
      </c>
      <c r="K6412" s="193" t="str">
        <f>1-EXP(-J6412)</f>
      </c>
      <c r="L6412" s="194" t="str">
        <f>IF(G6412=30,1,M6411)</f>
      </c>
      <c r="M6412" s="195" t="str">
        <f>L6412*(1-K6412)</f>
      </c>
    </row>
    <row r="6413">
      <c r="A6413" t="s">
        <v>167</v>
      </c>
      <c r="B6413" t="s">
        <v>113</v>
      </c>
      <c r="C6413" s="35" t="s">
        <v>521</v>
      </c>
      <c r="D6413" t="s">
        <v>113</v>
      </c>
      <c r="E6413" t="s">
        <v>520</v>
      </c>
      <c r="F6413" s="188" t="n">
        <v>2029</v>
      </c>
      <c r="G6413" s="189" t="n">
        <v>41</v>
      </c>
      <c r="H6413" s="190" t="n">
        <v>3916.15660914291</v>
      </c>
      <c r="I6413" s="191" t="n">
        <v>4329386.69895838</v>
      </c>
      <c r="J6413" s="192" t="str">
        <f>IF(I6413&gt;0,H6413/I6413,0)</f>
      </c>
      <c r="K6413" s="193" t="str">
        <f>1-EXP(-J6413)</f>
      </c>
      <c r="L6413" s="194" t="str">
        <f>IF(G6413=30,1,M6412)</f>
      </c>
      <c r="M6413" s="195" t="str">
        <f>L6413*(1-K6413)</f>
      </c>
    </row>
    <row r="6414">
      <c r="A6414" t="s">
        <v>167</v>
      </c>
      <c r="B6414" t="s">
        <v>113</v>
      </c>
      <c r="C6414" s="35" t="s">
        <v>521</v>
      </c>
      <c r="D6414" t="s">
        <v>113</v>
      </c>
      <c r="E6414" t="s">
        <v>520</v>
      </c>
      <c r="F6414" s="188" t="n">
        <v>2029</v>
      </c>
      <c r="G6414" s="189" t="n">
        <v>42</v>
      </c>
      <c r="H6414" s="190" t="n">
        <v>4115.88529443122</v>
      </c>
      <c r="I6414" s="191" t="n">
        <v>4197528.6705031</v>
      </c>
      <c r="J6414" s="192" t="str">
        <f>IF(I6414&gt;0,H6414/I6414,0)</f>
      </c>
      <c r="K6414" s="193" t="str">
        <f>1-EXP(-J6414)</f>
      </c>
      <c r="L6414" s="194" t="str">
        <f>IF(G6414=30,1,M6413)</f>
      </c>
      <c r="M6414" s="195" t="str">
        <f>L6414*(1-K6414)</f>
      </c>
    </row>
    <row r="6415">
      <c r="A6415" t="s">
        <v>167</v>
      </c>
      <c r="B6415" t="s">
        <v>113</v>
      </c>
      <c r="C6415" s="35" t="s">
        <v>521</v>
      </c>
      <c r="D6415" t="s">
        <v>113</v>
      </c>
      <c r="E6415" t="s">
        <v>520</v>
      </c>
      <c r="F6415" s="188" t="n">
        <v>2029</v>
      </c>
      <c r="G6415" s="189" t="n">
        <v>43</v>
      </c>
      <c r="H6415" s="190" t="n">
        <v>4439.8092680881</v>
      </c>
      <c r="I6415" s="191" t="n">
        <v>4163647.58952133</v>
      </c>
      <c r="J6415" s="192" t="str">
        <f>IF(I6415&gt;0,H6415/I6415,0)</f>
      </c>
      <c r="K6415" s="193" t="str">
        <f>1-EXP(-J6415)</f>
      </c>
      <c r="L6415" s="194" t="str">
        <f>IF(G6415=30,1,M6414)</f>
      </c>
      <c r="M6415" s="195" t="str">
        <f>L6415*(1-K6415)</f>
      </c>
    </row>
    <row r="6416">
      <c r="A6416" t="s">
        <v>167</v>
      </c>
      <c r="B6416" t="s">
        <v>113</v>
      </c>
      <c r="C6416" s="35" t="s">
        <v>521</v>
      </c>
      <c r="D6416" t="s">
        <v>113</v>
      </c>
      <c r="E6416" t="s">
        <v>520</v>
      </c>
      <c r="F6416" s="188" t="n">
        <v>2029</v>
      </c>
      <c r="G6416" s="189" t="n">
        <v>44</v>
      </c>
      <c r="H6416" s="190" t="n">
        <v>4913.87714113811</v>
      </c>
      <c r="I6416" s="191" t="n">
        <v>4223698.47933568</v>
      </c>
      <c r="J6416" s="192" t="str">
        <f>IF(I6416&gt;0,H6416/I6416,0)</f>
      </c>
      <c r="K6416" s="193" t="str">
        <f>1-EXP(-J6416)</f>
      </c>
      <c r="L6416" s="194" t="str">
        <f>IF(G6416=30,1,M6415)</f>
      </c>
      <c r="M6416" s="195" t="str">
        <f>L6416*(1-K6416)</f>
      </c>
    </row>
    <row r="6417">
      <c r="A6417" t="s">
        <v>167</v>
      </c>
      <c r="B6417" t="s">
        <v>113</v>
      </c>
      <c r="C6417" s="35" t="s">
        <v>521</v>
      </c>
      <c r="D6417" t="s">
        <v>113</v>
      </c>
      <c r="E6417" t="s">
        <v>520</v>
      </c>
      <c r="F6417" s="188" t="n">
        <v>2029</v>
      </c>
      <c r="G6417" s="189" t="n">
        <v>45</v>
      </c>
      <c r="H6417" s="190" t="n">
        <v>6486.28431747217</v>
      </c>
      <c r="I6417" s="191" t="n">
        <v>4309020.23235756</v>
      </c>
      <c r="J6417" s="192" t="str">
        <f>IF(I6417&gt;0,H6417/I6417,0)</f>
      </c>
      <c r="K6417" s="193" t="str">
        <f>1-EXP(-J6417)</f>
      </c>
      <c r="L6417" s="194" t="str">
        <f>IF(G6417=30,1,M6416)</f>
      </c>
      <c r="M6417" s="195" t="str">
        <f>L6417*(1-K6417)</f>
      </c>
    </row>
    <row r="6418">
      <c r="A6418" t="s">
        <v>167</v>
      </c>
      <c r="B6418" t="s">
        <v>113</v>
      </c>
      <c r="C6418" s="35" t="s">
        <v>521</v>
      </c>
      <c r="D6418" t="s">
        <v>113</v>
      </c>
      <c r="E6418" t="s">
        <v>520</v>
      </c>
      <c r="F6418" s="188" t="n">
        <v>2029</v>
      </c>
      <c r="G6418" s="189" t="n">
        <v>46</v>
      </c>
      <c r="H6418" s="190" t="n">
        <v>7061.29141232361</v>
      </c>
      <c r="I6418" s="191" t="n">
        <v>4284132.29700429</v>
      </c>
      <c r="J6418" s="192" t="str">
        <f>IF(I6418&gt;0,H6418/I6418,0)</f>
      </c>
      <c r="K6418" s="193" t="str">
        <f>1-EXP(-J6418)</f>
      </c>
      <c r="L6418" s="194" t="str">
        <f>IF(G6418=30,1,M6417)</f>
      </c>
      <c r="M6418" s="195" t="str">
        <f>L6418*(1-K6418)</f>
      </c>
    </row>
    <row r="6419">
      <c r="A6419" t="s">
        <v>167</v>
      </c>
      <c r="B6419" t="s">
        <v>113</v>
      </c>
      <c r="C6419" s="35" t="s">
        <v>521</v>
      </c>
      <c r="D6419" t="s">
        <v>113</v>
      </c>
      <c r="E6419" t="s">
        <v>520</v>
      </c>
      <c r="F6419" s="188" t="n">
        <v>2029</v>
      </c>
      <c r="G6419" s="189" t="n">
        <v>47</v>
      </c>
      <c r="H6419" s="190" t="n">
        <v>7493.34692776567</v>
      </c>
      <c r="I6419" s="191" t="n">
        <v>4147575.22854625</v>
      </c>
      <c r="J6419" s="192" t="str">
        <f>IF(I6419&gt;0,H6419/I6419,0)</f>
      </c>
      <c r="K6419" s="193" t="str">
        <f>1-EXP(-J6419)</f>
      </c>
      <c r="L6419" s="194" t="str">
        <f>IF(G6419=30,1,M6418)</f>
      </c>
      <c r="M6419" s="195" t="str">
        <f>L6419*(1-K6419)</f>
      </c>
    </row>
    <row r="6420">
      <c r="A6420" t="s">
        <v>167</v>
      </c>
      <c r="B6420" t="s">
        <v>113</v>
      </c>
      <c r="C6420" s="35" t="s">
        <v>521</v>
      </c>
      <c r="D6420" t="s">
        <v>113</v>
      </c>
      <c r="E6420" t="s">
        <v>520</v>
      </c>
      <c r="F6420" s="188" t="n">
        <v>2029</v>
      </c>
      <c r="G6420" s="189" t="n">
        <v>48</v>
      </c>
      <c r="H6420" s="190" t="n">
        <v>8058.76064723403</v>
      </c>
      <c r="I6420" s="191" t="n">
        <v>4073477.61978893</v>
      </c>
      <c r="J6420" s="192" t="str">
        <f>IF(I6420&gt;0,H6420/I6420,0)</f>
      </c>
      <c r="K6420" s="193" t="str">
        <f>1-EXP(-J6420)</f>
      </c>
      <c r="L6420" s="194" t="str">
        <f>IF(G6420=30,1,M6419)</f>
      </c>
      <c r="M6420" s="195" t="str">
        <f>L6420*(1-K6420)</f>
      </c>
    </row>
    <row r="6421">
      <c r="A6421" t="s">
        <v>167</v>
      </c>
      <c r="B6421" t="s">
        <v>113</v>
      </c>
      <c r="C6421" s="35" t="s">
        <v>521</v>
      </c>
      <c r="D6421" t="s">
        <v>113</v>
      </c>
      <c r="E6421" t="s">
        <v>520</v>
      </c>
      <c r="F6421" s="188" t="n">
        <v>2029</v>
      </c>
      <c r="G6421" s="189" t="n">
        <v>49</v>
      </c>
      <c r="H6421" s="190" t="n">
        <v>8691.66196114949</v>
      </c>
      <c r="I6421" s="191" t="n">
        <v>4015221.11470839</v>
      </c>
      <c r="J6421" s="192" t="str">
        <f>IF(I6421&gt;0,H6421/I6421,0)</f>
      </c>
      <c r="K6421" s="193" t="str">
        <f>1-EXP(-J6421)</f>
      </c>
      <c r="L6421" s="194" t="str">
        <f>IF(G6421=30,1,M6420)</f>
      </c>
      <c r="M6421" s="195" t="str">
        <f>L6421*(1-K6421)</f>
      </c>
    </row>
    <row r="6422">
      <c r="A6422" t="s">
        <v>167</v>
      </c>
      <c r="B6422" t="s">
        <v>113</v>
      </c>
      <c r="C6422" s="35" t="s">
        <v>521</v>
      </c>
      <c r="D6422" t="s">
        <v>113</v>
      </c>
      <c r="E6422" t="s">
        <v>520</v>
      </c>
      <c r="F6422" s="188" t="n">
        <v>2029</v>
      </c>
      <c r="G6422" s="189" t="n">
        <v>50</v>
      </c>
      <c r="H6422" s="190" t="n">
        <v>9969.81591504338</v>
      </c>
      <c r="I6422" s="191" t="n">
        <v>3951465.16914741</v>
      </c>
      <c r="J6422" s="192" t="str">
        <f>IF(I6422&gt;0,H6422/I6422,0)</f>
      </c>
      <c r="K6422" s="193" t="str">
        <f>1-EXP(-J6422)</f>
      </c>
      <c r="L6422" s="194" t="str">
        <f>IF(G6422=30,1,M6421)</f>
      </c>
      <c r="M6422" s="195" t="str">
        <f>L6422*(1-K6422)</f>
      </c>
    </row>
    <row r="6423">
      <c r="A6423" t="s">
        <v>167</v>
      </c>
      <c r="B6423" t="s">
        <v>113</v>
      </c>
      <c r="C6423" s="35" t="s">
        <v>521</v>
      </c>
      <c r="D6423" t="s">
        <v>113</v>
      </c>
      <c r="E6423" t="s">
        <v>520</v>
      </c>
      <c r="F6423" s="188" t="n">
        <v>2029</v>
      </c>
      <c r="G6423" s="189" t="n">
        <v>51</v>
      </c>
      <c r="H6423" s="190" t="n">
        <v>10656.6494309409</v>
      </c>
      <c r="I6423" s="191" t="n">
        <v>3867320.50839159</v>
      </c>
      <c r="J6423" s="192" t="str">
        <f>IF(I6423&gt;0,H6423/I6423,0)</f>
      </c>
      <c r="K6423" s="193" t="str">
        <f>1-EXP(-J6423)</f>
      </c>
      <c r="L6423" s="194" t="str">
        <f>IF(G6423=30,1,M6422)</f>
      </c>
      <c r="M6423" s="195" t="str">
        <f>L6423*(1-K6423)</f>
      </c>
    </row>
    <row r="6424">
      <c r="A6424" t="s">
        <v>167</v>
      </c>
      <c r="B6424" t="s">
        <v>113</v>
      </c>
      <c r="C6424" s="35" t="s">
        <v>521</v>
      </c>
      <c r="D6424" t="s">
        <v>113</v>
      </c>
      <c r="E6424" t="s">
        <v>520</v>
      </c>
      <c r="F6424" s="188" t="n">
        <v>2029</v>
      </c>
      <c r="G6424" s="189" t="n">
        <v>52</v>
      </c>
      <c r="H6424" s="190" t="n">
        <v>11447.4588542662</v>
      </c>
      <c r="I6424" s="191" t="n">
        <v>3801063.38645294</v>
      </c>
      <c r="J6424" s="192" t="str">
        <f>IF(I6424&gt;0,H6424/I6424,0)</f>
      </c>
      <c r="K6424" s="193" t="str">
        <f>1-EXP(-J6424)</f>
      </c>
      <c r="L6424" s="194" t="str">
        <f>IF(G6424=30,1,M6423)</f>
      </c>
      <c r="M6424" s="195" t="str">
        <f>L6424*(1-K6424)</f>
      </c>
    </row>
    <row r="6425">
      <c r="A6425" t="s">
        <v>167</v>
      </c>
      <c r="B6425" t="s">
        <v>113</v>
      </c>
      <c r="C6425" s="35" t="s">
        <v>521</v>
      </c>
      <c r="D6425" t="s">
        <v>113</v>
      </c>
      <c r="E6425" t="s">
        <v>520</v>
      </c>
      <c r="F6425" s="188" t="n">
        <v>2029</v>
      </c>
      <c r="G6425" s="189" t="n">
        <v>53</v>
      </c>
      <c r="H6425" s="190" t="n">
        <v>12239.9178004342</v>
      </c>
      <c r="I6425" s="191" t="n">
        <v>3722902.82214135</v>
      </c>
      <c r="J6425" s="192" t="str">
        <f>IF(I6425&gt;0,H6425/I6425,0)</f>
      </c>
      <c r="K6425" s="193" t="str">
        <f>1-EXP(-J6425)</f>
      </c>
      <c r="L6425" s="194" t="str">
        <f>IF(G6425=30,1,M6424)</f>
      </c>
      <c r="M6425" s="195" t="str">
        <f>L6425*(1-K6425)</f>
      </c>
    </row>
    <row r="6426">
      <c r="A6426" t="s">
        <v>167</v>
      </c>
      <c r="B6426" t="s">
        <v>113</v>
      </c>
      <c r="C6426" s="35" t="s">
        <v>521</v>
      </c>
      <c r="D6426" t="s">
        <v>113</v>
      </c>
      <c r="E6426" t="s">
        <v>520</v>
      </c>
      <c r="F6426" s="188" t="n">
        <v>2029</v>
      </c>
      <c r="G6426" s="189" t="n">
        <v>54</v>
      </c>
      <c r="H6426" s="190" t="n">
        <v>13080.5613288293</v>
      </c>
      <c r="I6426" s="191" t="n">
        <v>3643978.71737933</v>
      </c>
      <c r="J6426" s="192" t="str">
        <f>IF(I6426&gt;0,H6426/I6426,0)</f>
      </c>
      <c r="K6426" s="193" t="str">
        <f>1-EXP(-J6426)</f>
      </c>
      <c r="L6426" s="194" t="str">
        <f>IF(G6426=30,1,M6425)</f>
      </c>
      <c r="M6426" s="195" t="str">
        <f>L6426*(1-K6426)</f>
      </c>
    </row>
    <row r="6427">
      <c r="A6427" t="s">
        <v>167</v>
      </c>
      <c r="B6427" t="s">
        <v>113</v>
      </c>
      <c r="C6427" s="35" t="s">
        <v>521</v>
      </c>
      <c r="D6427" t="s">
        <v>113</v>
      </c>
      <c r="E6427" t="s">
        <v>520</v>
      </c>
      <c r="F6427" s="188" t="n">
        <v>2029</v>
      </c>
      <c r="G6427" s="189" t="n">
        <v>55</v>
      </c>
      <c r="H6427" s="190" t="n">
        <v>14034.4304888541</v>
      </c>
      <c r="I6427" s="191" t="n">
        <v>3537527.18700445</v>
      </c>
      <c r="J6427" s="192" t="str">
        <f>IF(I6427&gt;0,H6427/I6427,0)</f>
      </c>
      <c r="K6427" s="193" t="str">
        <f>1-EXP(-J6427)</f>
      </c>
      <c r="L6427" s="194" t="str">
        <f>IF(G6427=30,1,M6426)</f>
      </c>
      <c r="M6427" s="195" t="str">
        <f>L6427*(1-K6427)</f>
      </c>
    </row>
    <row r="6428">
      <c r="A6428" t="s">
        <v>167</v>
      </c>
      <c r="B6428" t="s">
        <v>113</v>
      </c>
      <c r="C6428" s="35" t="s">
        <v>521</v>
      </c>
      <c r="D6428" t="s">
        <v>113</v>
      </c>
      <c r="E6428" t="s">
        <v>520</v>
      </c>
      <c r="F6428" s="188" t="n">
        <v>2029</v>
      </c>
      <c r="G6428" s="189" t="n">
        <v>56</v>
      </c>
      <c r="H6428" s="190" t="n">
        <v>15121.5033797661</v>
      </c>
      <c r="I6428" s="191" t="n">
        <v>3490524.3422138</v>
      </c>
      <c r="J6428" s="192" t="str">
        <f>IF(I6428&gt;0,H6428/I6428,0)</f>
      </c>
      <c r="K6428" s="193" t="str">
        <f>1-EXP(-J6428)</f>
      </c>
      <c r="L6428" s="194" t="str">
        <f>IF(G6428=30,1,M6427)</f>
      </c>
      <c r="M6428" s="195" t="str">
        <f>L6428*(1-K6428)</f>
      </c>
    </row>
    <row r="6429">
      <c r="A6429" t="s">
        <v>167</v>
      </c>
      <c r="B6429" t="s">
        <v>113</v>
      </c>
      <c r="C6429" s="35" t="s">
        <v>521</v>
      </c>
      <c r="D6429" t="s">
        <v>113</v>
      </c>
      <c r="E6429" t="s">
        <v>520</v>
      </c>
      <c r="F6429" s="188" t="n">
        <v>2029</v>
      </c>
      <c r="G6429" s="189" t="n">
        <v>57</v>
      </c>
      <c r="H6429" s="190" t="n">
        <v>15543.983222116</v>
      </c>
      <c r="I6429" s="191" t="n">
        <v>3280677.41766223</v>
      </c>
      <c r="J6429" s="192" t="str">
        <f>IF(I6429&gt;0,H6429/I6429,0)</f>
      </c>
      <c r="K6429" s="193" t="str">
        <f>1-EXP(-J6429)</f>
      </c>
      <c r="L6429" s="194" t="str">
        <f>IF(G6429=30,1,M6428)</f>
      </c>
      <c r="M6429" s="195" t="str">
        <f>L6429*(1-K6429)</f>
      </c>
    </row>
    <row r="6430">
      <c r="A6430" t="s">
        <v>167</v>
      </c>
      <c r="B6430" t="s">
        <v>113</v>
      </c>
      <c r="C6430" s="35" t="s">
        <v>521</v>
      </c>
      <c r="D6430" t="s">
        <v>113</v>
      </c>
      <c r="E6430" t="s">
        <v>520</v>
      </c>
      <c r="F6430" s="188" t="n">
        <v>2029</v>
      </c>
      <c r="G6430" s="189" t="n">
        <v>58</v>
      </c>
      <c r="H6430" s="190" t="n">
        <v>16526.1369186541</v>
      </c>
      <c r="I6430" s="191" t="n">
        <v>3191825.83906932</v>
      </c>
      <c r="J6430" s="192" t="str">
        <f>IF(I6430&gt;0,H6430/I6430,0)</f>
      </c>
      <c r="K6430" s="193" t="str">
        <f>1-EXP(-J6430)</f>
      </c>
      <c r="L6430" s="194" t="str">
        <f>IF(G6430=30,1,M6429)</f>
      </c>
      <c r="M6430" s="195" t="str">
        <f>L6430*(1-K6430)</f>
      </c>
    </row>
    <row r="6431">
      <c r="A6431" t="s">
        <v>167</v>
      </c>
      <c r="B6431" t="s">
        <v>113</v>
      </c>
      <c r="C6431" s="35" t="s">
        <v>521</v>
      </c>
      <c r="D6431" t="s">
        <v>113</v>
      </c>
      <c r="E6431" t="s">
        <v>520</v>
      </c>
      <c r="F6431" s="188" t="n">
        <v>2029</v>
      </c>
      <c r="G6431" s="189" t="n">
        <v>59</v>
      </c>
      <c r="H6431" s="190" t="n">
        <v>17587.5322128681</v>
      </c>
      <c r="I6431" s="191" t="n">
        <v>3107273.08358121</v>
      </c>
      <c r="J6431" s="192" t="str">
        <f>IF(I6431&gt;0,H6431/I6431,0)</f>
      </c>
      <c r="K6431" s="193" t="str">
        <f>1-EXP(-J6431)</f>
      </c>
      <c r="L6431" s="194" t="str">
        <f>IF(G6431=30,1,M6430)</f>
      </c>
      <c r="M6431" s="195" t="str">
        <f>L6431*(1-K6431)</f>
      </c>
    </row>
    <row r="6432">
      <c r="A6432" t="s">
        <v>167</v>
      </c>
      <c r="B6432" t="s">
        <v>113</v>
      </c>
      <c r="C6432" s="35" t="s">
        <v>521</v>
      </c>
      <c r="D6432" t="s">
        <v>113</v>
      </c>
      <c r="E6432" t="s">
        <v>520</v>
      </c>
      <c r="F6432" s="188" t="n">
        <v>2029</v>
      </c>
      <c r="G6432" s="189" t="n">
        <v>60</v>
      </c>
      <c r="H6432" s="190" t="n">
        <v>19030.448933651</v>
      </c>
      <c r="I6432" s="191" t="n">
        <v>3013434.69861547</v>
      </c>
      <c r="J6432" s="192" t="str">
        <f>IF(I6432&gt;0,H6432/I6432,0)</f>
      </c>
      <c r="K6432" s="193" t="str">
        <f>1-EXP(-J6432)</f>
      </c>
      <c r="L6432" s="194" t="str">
        <f>IF(G6432=30,1,M6431)</f>
      </c>
      <c r="M6432" s="195" t="str">
        <f>L6432*(1-K6432)</f>
      </c>
    </row>
    <row r="6433">
      <c r="A6433" t="s">
        <v>167</v>
      </c>
      <c r="B6433" t="s">
        <v>113</v>
      </c>
      <c r="C6433" s="35" t="s">
        <v>521</v>
      </c>
      <c r="D6433" t="s">
        <v>113</v>
      </c>
      <c r="E6433" t="s">
        <v>520</v>
      </c>
      <c r="F6433" s="188" t="n">
        <v>2029</v>
      </c>
      <c r="G6433" s="189" t="n">
        <v>61</v>
      </c>
      <c r="H6433" s="190" t="n">
        <v>20021.7307920977</v>
      </c>
      <c r="I6433" s="191" t="n">
        <v>2899296.76636074</v>
      </c>
      <c r="J6433" s="192" t="str">
        <f>IF(I6433&gt;0,H6433/I6433,0)</f>
      </c>
      <c r="K6433" s="193" t="str">
        <f>1-EXP(-J6433)</f>
      </c>
      <c r="L6433" s="194" t="str">
        <f>IF(G6433=30,1,M6432)</f>
      </c>
      <c r="M6433" s="195" t="str">
        <f>L6433*(1-K6433)</f>
      </c>
    </row>
    <row r="6434">
      <c r="A6434" t="s">
        <v>167</v>
      </c>
      <c r="B6434" t="s">
        <v>113</v>
      </c>
      <c r="C6434" s="35" t="s">
        <v>521</v>
      </c>
      <c r="D6434" t="s">
        <v>113</v>
      </c>
      <c r="E6434" t="s">
        <v>520</v>
      </c>
      <c r="F6434" s="188" t="n">
        <v>2029</v>
      </c>
      <c r="G6434" s="189" t="n">
        <v>62</v>
      </c>
      <c r="H6434" s="190" t="n">
        <v>20833.8453660072</v>
      </c>
      <c r="I6434" s="191" t="n">
        <v>2754827.19395821</v>
      </c>
      <c r="J6434" s="192" t="str">
        <f>IF(I6434&gt;0,H6434/I6434,0)</f>
      </c>
      <c r="K6434" s="193" t="str">
        <f>1-EXP(-J6434)</f>
      </c>
      <c r="L6434" s="194" t="str">
        <f>IF(G6434=30,1,M6433)</f>
      </c>
      <c r="M6434" s="195" t="str">
        <f>L6434*(1-K6434)</f>
      </c>
    </row>
    <row r="6435">
      <c r="A6435" t="s">
        <v>167</v>
      </c>
      <c r="B6435" t="s">
        <v>113</v>
      </c>
      <c r="C6435" s="35" t="s">
        <v>521</v>
      </c>
      <c r="D6435" t="s">
        <v>113</v>
      </c>
      <c r="E6435" t="s">
        <v>520</v>
      </c>
      <c r="F6435" s="188" t="n">
        <v>2029</v>
      </c>
      <c r="G6435" s="189" t="n">
        <v>63</v>
      </c>
      <c r="H6435" s="190" t="n">
        <v>21906.1496511284</v>
      </c>
      <c r="I6435" s="191" t="n">
        <v>2646414.93847185</v>
      </c>
      <c r="J6435" s="192" t="str">
        <f>IF(I6435&gt;0,H6435/I6435,0)</f>
      </c>
      <c r="K6435" s="193" t="str">
        <f>1-EXP(-J6435)</f>
      </c>
      <c r="L6435" s="194" t="str">
        <f>IF(G6435=30,1,M6434)</f>
      </c>
      <c r="M6435" s="195" t="str">
        <f>L6435*(1-K6435)</f>
      </c>
    </row>
    <row r="6436">
      <c r="A6436" t="s">
        <v>167</v>
      </c>
      <c r="B6436" t="s">
        <v>113</v>
      </c>
      <c r="C6436" s="35" t="s">
        <v>521</v>
      </c>
      <c r="D6436" t="s">
        <v>113</v>
      </c>
      <c r="E6436" t="s">
        <v>520</v>
      </c>
      <c r="F6436" s="188" t="n">
        <v>2029</v>
      </c>
      <c r="G6436" s="189" t="n">
        <v>64</v>
      </c>
      <c r="H6436" s="190" t="n">
        <v>22808.7325304729</v>
      </c>
      <c r="I6436" s="191" t="n">
        <v>2516681.71206821</v>
      </c>
      <c r="J6436" s="192" t="str">
        <f>IF(I6436&gt;0,H6436/I6436,0)</f>
      </c>
      <c r="K6436" s="193" t="str">
        <f>1-EXP(-J6436)</f>
      </c>
      <c r="L6436" s="194" t="str">
        <f>IF(G6436=30,1,M6435)</f>
      </c>
      <c r="M6436" s="195" t="str">
        <f>L6436*(1-K6436)</f>
      </c>
    </row>
    <row r="6437">
      <c r="A6437" t="s">
        <v>167</v>
      </c>
      <c r="B6437" t="s">
        <v>113</v>
      </c>
      <c r="C6437" s="35" t="s">
        <v>521</v>
      </c>
      <c r="D6437" t="s">
        <v>113</v>
      </c>
      <c r="E6437" t="s">
        <v>520</v>
      </c>
      <c r="F6437" s="188" t="n">
        <v>2029</v>
      </c>
      <c r="G6437" s="189" t="n">
        <v>65</v>
      </c>
      <c r="H6437" s="190" t="n">
        <v>23041.077458081</v>
      </c>
      <c r="I6437" s="191" t="n">
        <v>2387169.45028782</v>
      </c>
      <c r="J6437" s="192" t="str">
        <f>IF(I6437&gt;0,H6437/I6437,0)</f>
      </c>
      <c r="K6437" s="193" t="str">
        <f>1-EXP(-J6437)</f>
      </c>
      <c r="L6437" s="194" t="str">
        <f>IF(G6437=30,1,M6436)</f>
      </c>
      <c r="M6437" s="195" t="str">
        <f>L6437*(1-K6437)</f>
      </c>
    </row>
    <row r="6438">
      <c r="A6438" t="s">
        <v>167</v>
      </c>
      <c r="B6438" t="s">
        <v>113</v>
      </c>
      <c r="C6438" s="35" t="s">
        <v>521</v>
      </c>
      <c r="D6438" t="s">
        <v>113</v>
      </c>
      <c r="E6438" t="s">
        <v>520</v>
      </c>
      <c r="F6438" s="188" t="n">
        <v>2029</v>
      </c>
      <c r="G6438" s="189" t="n">
        <v>66</v>
      </c>
      <c r="H6438" s="190" t="n">
        <v>23939.2758200833</v>
      </c>
      <c r="I6438" s="191" t="n">
        <v>2262682.98795294</v>
      </c>
      <c r="J6438" s="192" t="str">
        <f>IF(I6438&gt;0,H6438/I6438,0)</f>
      </c>
      <c r="K6438" s="193" t="str">
        <f>1-EXP(-J6438)</f>
      </c>
      <c r="L6438" s="194" t="str">
        <f>IF(G6438=30,1,M6437)</f>
      </c>
      <c r="M6438" s="195" t="str">
        <f>L6438*(1-K6438)</f>
      </c>
    </row>
    <row r="6439">
      <c r="A6439" t="s">
        <v>167</v>
      </c>
      <c r="B6439" t="s">
        <v>113</v>
      </c>
      <c r="C6439" s="35" t="s">
        <v>521</v>
      </c>
      <c r="D6439" t="s">
        <v>113</v>
      </c>
      <c r="E6439" t="s">
        <v>520</v>
      </c>
      <c r="F6439" s="188" t="n">
        <v>2029</v>
      </c>
      <c r="G6439" s="189" t="n">
        <v>67</v>
      </c>
      <c r="H6439" s="190" t="n">
        <v>24605.5217657442</v>
      </c>
      <c r="I6439" s="191" t="n">
        <v>2113115.79412733</v>
      </c>
      <c r="J6439" s="192" t="str">
        <f>IF(I6439&gt;0,H6439/I6439,0)</f>
      </c>
      <c r="K6439" s="193" t="str">
        <f>1-EXP(-J6439)</f>
      </c>
      <c r="L6439" s="194" t="str">
        <f>IF(G6439=30,1,M6438)</f>
      </c>
      <c r="M6439" s="195" t="str">
        <f>L6439*(1-K6439)</f>
      </c>
    </row>
    <row r="6440">
      <c r="A6440" t="s">
        <v>167</v>
      </c>
      <c r="B6440" t="s">
        <v>113</v>
      </c>
      <c r="C6440" s="35" t="s">
        <v>521</v>
      </c>
      <c r="D6440" t="s">
        <v>113</v>
      </c>
      <c r="E6440" t="s">
        <v>520</v>
      </c>
      <c r="F6440" s="188" t="n">
        <v>2029</v>
      </c>
      <c r="G6440" s="189" t="n">
        <v>68</v>
      </c>
      <c r="H6440" s="190" t="n">
        <v>25398.396633084</v>
      </c>
      <c r="I6440" s="191" t="n">
        <v>1988245.51846291</v>
      </c>
      <c r="J6440" s="192" t="str">
        <f>IF(I6440&gt;0,H6440/I6440,0)</f>
      </c>
      <c r="K6440" s="193" t="str">
        <f>1-EXP(-J6440)</f>
      </c>
      <c r="L6440" s="194" t="str">
        <f>IF(G6440=30,1,M6439)</f>
      </c>
      <c r="M6440" s="195" t="str">
        <f>L6440*(1-K6440)</f>
      </c>
    </row>
    <row r="6441">
      <c r="A6441" t="s">
        <v>167</v>
      </c>
      <c r="B6441" t="s">
        <v>113</v>
      </c>
      <c r="C6441" s="35" t="s">
        <v>521</v>
      </c>
      <c r="D6441" t="s">
        <v>113</v>
      </c>
      <c r="E6441" t="s">
        <v>520</v>
      </c>
      <c r="F6441" s="188" t="n">
        <v>2029</v>
      </c>
      <c r="G6441" s="189" t="n">
        <v>69</v>
      </c>
      <c r="H6441" s="190" t="n">
        <v>26083.3256147966</v>
      </c>
      <c r="I6441" s="191" t="n">
        <v>1859982.10933492</v>
      </c>
      <c r="J6441" s="192" t="str">
        <f>IF(I6441&gt;0,H6441/I6441,0)</f>
      </c>
      <c r="K6441" s="193" t="str">
        <f>1-EXP(-J6441)</f>
      </c>
      <c r="L6441" s="194" t="str">
        <f>IF(G6441=30,1,M6440)</f>
      </c>
      <c r="M6441" s="195" t="str">
        <f>L6441*(1-K6441)</f>
      </c>
    </row>
    <row r="6442">
      <c r="A6442" t="s">
        <v>167</v>
      </c>
      <c r="B6442" t="s">
        <v>113</v>
      </c>
      <c r="C6442" s="35" t="s">
        <v>521</v>
      </c>
      <c r="D6442" t="s">
        <v>113</v>
      </c>
      <c r="E6442" t="s">
        <v>520</v>
      </c>
      <c r="F6442" s="188" t="n">
        <v>2030</v>
      </c>
      <c r="G6442" s="189" t="n">
        <v>30</v>
      </c>
      <c r="H6442" s="190" t="n">
        <v>954.561909011068</v>
      </c>
      <c r="I6442" s="191" t="n">
        <v>4327148.80938421</v>
      </c>
      <c r="J6442" s="192" t="str">
        <f>IF(I6442&gt;0,H6442/I6442,0)</f>
      </c>
      <c r="K6442" s="193" t="str">
        <f>1-EXP(-J6442)</f>
      </c>
      <c r="L6442" s="194" t="str">
        <f>IF(G6442=30,1,M6441)</f>
      </c>
      <c r="M6442" s="195" t="str">
        <f>L6442*(1-K6442)</f>
      </c>
    </row>
    <row r="6443">
      <c r="A6443" t="s">
        <v>167</v>
      </c>
      <c r="B6443" t="s">
        <v>113</v>
      </c>
      <c r="C6443" s="35" t="s">
        <v>521</v>
      </c>
      <c r="D6443" t="s">
        <v>113</v>
      </c>
      <c r="E6443" t="s">
        <v>520</v>
      </c>
      <c r="F6443" s="188" t="n">
        <v>2030</v>
      </c>
      <c r="G6443" s="189" t="n">
        <v>31</v>
      </c>
      <c r="H6443" s="190" t="n">
        <v>1095.81515926344</v>
      </c>
      <c r="I6443" s="191" t="n">
        <v>4347585.95869366</v>
      </c>
      <c r="J6443" s="192" t="str">
        <f>IF(I6443&gt;0,H6443/I6443,0)</f>
      </c>
      <c r="K6443" s="193" t="str">
        <f>1-EXP(-J6443)</f>
      </c>
      <c r="L6443" s="194" t="str">
        <f>IF(G6443=30,1,M6442)</f>
      </c>
      <c r="M6443" s="195" t="str">
        <f>L6443*(1-K6443)</f>
      </c>
    </row>
    <row r="6444">
      <c r="A6444" t="s">
        <v>167</v>
      </c>
      <c r="B6444" t="s">
        <v>113</v>
      </c>
      <c r="C6444" s="35" t="s">
        <v>521</v>
      </c>
      <c r="D6444" t="s">
        <v>113</v>
      </c>
      <c r="E6444" t="s">
        <v>520</v>
      </c>
      <c r="F6444" s="188" t="n">
        <v>2030</v>
      </c>
      <c r="G6444" s="189" t="n">
        <v>32</v>
      </c>
      <c r="H6444" s="190" t="n">
        <v>1169.03203808486</v>
      </c>
      <c r="I6444" s="191" t="n">
        <v>4407855.66705833</v>
      </c>
      <c r="J6444" s="192" t="str">
        <f>IF(I6444&gt;0,H6444/I6444,0)</f>
      </c>
      <c r="K6444" s="193" t="str">
        <f>1-EXP(-J6444)</f>
      </c>
      <c r="L6444" s="194" t="str">
        <f>IF(G6444=30,1,M6443)</f>
      </c>
      <c r="M6444" s="195" t="str">
        <f>L6444*(1-K6444)</f>
      </c>
    </row>
    <row r="6445">
      <c r="A6445" t="s">
        <v>167</v>
      </c>
      <c r="B6445" t="s">
        <v>113</v>
      </c>
      <c r="C6445" s="35" t="s">
        <v>521</v>
      </c>
      <c r="D6445" t="s">
        <v>113</v>
      </c>
      <c r="E6445" t="s">
        <v>520</v>
      </c>
      <c r="F6445" s="188" t="n">
        <v>2030</v>
      </c>
      <c r="G6445" s="189" t="n">
        <v>33</v>
      </c>
      <c r="H6445" s="190" t="n">
        <v>1474.49028913935</v>
      </c>
      <c r="I6445" s="191" t="n">
        <v>4548815.20803026</v>
      </c>
      <c r="J6445" s="192" t="str">
        <f>IF(I6445&gt;0,H6445/I6445,0)</f>
      </c>
      <c r="K6445" s="193" t="str">
        <f>1-EXP(-J6445)</f>
      </c>
      <c r="L6445" s="194" t="str">
        <f>IF(G6445=30,1,M6444)</f>
      </c>
      <c r="M6445" s="195" t="str">
        <f>L6445*(1-K6445)</f>
      </c>
    </row>
    <row r="6446">
      <c r="A6446" t="s">
        <v>167</v>
      </c>
      <c r="B6446" t="s">
        <v>113</v>
      </c>
      <c r="C6446" s="35" t="s">
        <v>521</v>
      </c>
      <c r="D6446" t="s">
        <v>113</v>
      </c>
      <c r="E6446" t="s">
        <v>520</v>
      </c>
      <c r="F6446" s="188" t="n">
        <v>2030</v>
      </c>
      <c r="G6446" s="189" t="n">
        <v>34</v>
      </c>
      <c r="H6446" s="190" t="n">
        <v>1547.2120886667</v>
      </c>
      <c r="I6446" s="191" t="n">
        <v>4506005.52207515</v>
      </c>
      <c r="J6446" s="192" t="str">
        <f>IF(I6446&gt;0,H6446/I6446,0)</f>
      </c>
      <c r="K6446" s="193" t="str">
        <f>1-EXP(-J6446)</f>
      </c>
      <c r="L6446" s="194" t="str">
        <f>IF(G6446=30,1,M6445)</f>
      </c>
      <c r="M6446" s="195" t="str">
        <f>L6446*(1-K6446)</f>
      </c>
    </row>
    <row r="6447">
      <c r="A6447" t="s">
        <v>167</v>
      </c>
      <c r="B6447" t="s">
        <v>113</v>
      </c>
      <c r="C6447" s="35" t="s">
        <v>521</v>
      </c>
      <c r="D6447" t="s">
        <v>113</v>
      </c>
      <c r="E6447" t="s">
        <v>520</v>
      </c>
      <c r="F6447" s="188" t="n">
        <v>2030</v>
      </c>
      <c r="G6447" s="189" t="n">
        <v>35</v>
      </c>
      <c r="H6447" s="190" t="n">
        <v>2069.22139859699</v>
      </c>
      <c r="I6447" s="191" t="n">
        <v>4433000.42805841</v>
      </c>
      <c r="J6447" s="192" t="str">
        <f>IF(I6447&gt;0,H6447/I6447,0)</f>
      </c>
      <c r="K6447" s="193" t="str">
        <f>1-EXP(-J6447)</f>
      </c>
      <c r="L6447" s="194" t="str">
        <f>IF(G6447=30,1,M6446)</f>
      </c>
      <c r="M6447" s="195" t="str">
        <f>L6447*(1-K6447)</f>
      </c>
    </row>
    <row r="6448">
      <c r="A6448" t="s">
        <v>167</v>
      </c>
      <c r="B6448" t="s">
        <v>113</v>
      </c>
      <c r="C6448" s="35" t="s">
        <v>521</v>
      </c>
      <c r="D6448" t="s">
        <v>113</v>
      </c>
      <c r="E6448" t="s">
        <v>520</v>
      </c>
      <c r="F6448" s="188" t="n">
        <v>2030</v>
      </c>
      <c r="G6448" s="189" t="n">
        <v>36</v>
      </c>
      <c r="H6448" s="190" t="n">
        <v>2183.98021981426</v>
      </c>
      <c r="I6448" s="191" t="n">
        <v>4375259.18122334</v>
      </c>
      <c r="J6448" s="192" t="str">
        <f>IF(I6448&gt;0,H6448/I6448,0)</f>
      </c>
      <c r="K6448" s="193" t="str">
        <f>1-EXP(-J6448)</f>
      </c>
      <c r="L6448" s="194" t="str">
        <f>IF(G6448=30,1,M6447)</f>
      </c>
      <c r="M6448" s="195" t="str">
        <f>L6448*(1-K6448)</f>
      </c>
    </row>
    <row r="6449">
      <c r="A6449" t="s">
        <v>167</v>
      </c>
      <c r="B6449" t="s">
        <v>113</v>
      </c>
      <c r="C6449" s="35" t="s">
        <v>521</v>
      </c>
      <c r="D6449" t="s">
        <v>113</v>
      </c>
      <c r="E6449" t="s">
        <v>520</v>
      </c>
      <c r="F6449" s="188" t="n">
        <v>2030</v>
      </c>
      <c r="G6449" s="189" t="n">
        <v>37</v>
      </c>
      <c r="H6449" s="190" t="n">
        <v>2313.18732154473</v>
      </c>
      <c r="I6449" s="191" t="n">
        <v>4321578.0387858</v>
      </c>
      <c r="J6449" s="192" t="str">
        <f>IF(I6449&gt;0,H6449/I6449,0)</f>
      </c>
      <c r="K6449" s="193" t="str">
        <f>1-EXP(-J6449)</f>
      </c>
      <c r="L6449" s="194" t="str">
        <f>IF(G6449=30,1,M6448)</f>
      </c>
      <c r="M6449" s="195" t="str">
        <f>L6449*(1-K6449)</f>
      </c>
    </row>
    <row r="6450">
      <c r="A6450" t="s">
        <v>167</v>
      </c>
      <c r="B6450" t="s">
        <v>113</v>
      </c>
      <c r="C6450" s="35" t="s">
        <v>521</v>
      </c>
      <c r="D6450" t="s">
        <v>113</v>
      </c>
      <c r="E6450" t="s">
        <v>520</v>
      </c>
      <c r="F6450" s="188" t="n">
        <v>2030</v>
      </c>
      <c r="G6450" s="189" t="n">
        <v>38</v>
      </c>
      <c r="H6450" s="190" t="n">
        <v>2505.22702809124</v>
      </c>
      <c r="I6450" s="191" t="n">
        <v>4359270.44073093</v>
      </c>
      <c r="J6450" s="192" t="str">
        <f>IF(I6450&gt;0,H6450/I6450,0)</f>
      </c>
      <c r="K6450" s="193" t="str">
        <f>1-EXP(-J6450)</f>
      </c>
      <c r="L6450" s="194" t="str">
        <f>IF(G6450=30,1,M6449)</f>
      </c>
      <c r="M6450" s="195" t="str">
        <f>L6450*(1-K6450)</f>
      </c>
    </row>
    <row r="6451">
      <c r="A6451" t="s">
        <v>167</v>
      </c>
      <c r="B6451" t="s">
        <v>113</v>
      </c>
      <c r="C6451" s="35" t="s">
        <v>521</v>
      </c>
      <c r="D6451" t="s">
        <v>113</v>
      </c>
      <c r="E6451" t="s">
        <v>520</v>
      </c>
      <c r="F6451" s="188" t="n">
        <v>2030</v>
      </c>
      <c r="G6451" s="189" t="n">
        <v>39</v>
      </c>
      <c r="H6451" s="190" t="n">
        <v>2707.01984507836</v>
      </c>
      <c r="I6451" s="191" t="n">
        <v>4377237.85152591</v>
      </c>
      <c r="J6451" s="192" t="str">
        <f>IF(I6451&gt;0,H6451/I6451,0)</f>
      </c>
      <c r="K6451" s="193" t="str">
        <f>1-EXP(-J6451)</f>
      </c>
      <c r="L6451" s="194" t="str">
        <f>IF(G6451=30,1,M6450)</f>
      </c>
      <c r="M6451" s="195" t="str">
        <f>L6451*(1-K6451)</f>
      </c>
    </row>
    <row r="6452">
      <c r="A6452" t="s">
        <v>167</v>
      </c>
      <c r="B6452" t="s">
        <v>113</v>
      </c>
      <c r="C6452" s="35" t="s">
        <v>521</v>
      </c>
      <c r="D6452" t="s">
        <v>113</v>
      </c>
      <c r="E6452" t="s">
        <v>520</v>
      </c>
      <c r="F6452" s="188" t="n">
        <v>2030</v>
      </c>
      <c r="G6452" s="189" t="n">
        <v>40</v>
      </c>
      <c r="H6452" s="190" t="n">
        <v>5117.9545902282</v>
      </c>
      <c r="I6452" s="191" t="n">
        <v>6445507.71588637</v>
      </c>
      <c r="J6452" s="192" t="str">
        <f>IF(I6452&gt;0,H6452/I6452,0)</f>
      </c>
      <c r="K6452" s="193" t="str">
        <f>1-EXP(-J6452)</f>
      </c>
      <c r="L6452" s="194" t="str">
        <f>IF(G6452=30,1,M6451)</f>
      </c>
      <c r="M6452" s="195" t="str">
        <f>L6452*(1-K6452)</f>
      </c>
    </row>
    <row r="6453">
      <c r="A6453" t="s">
        <v>167</v>
      </c>
      <c r="B6453" t="s">
        <v>113</v>
      </c>
      <c r="C6453" s="35" t="s">
        <v>521</v>
      </c>
      <c r="D6453" t="s">
        <v>113</v>
      </c>
      <c r="E6453" t="s">
        <v>520</v>
      </c>
      <c r="F6453" s="188" t="n">
        <v>2030</v>
      </c>
      <c r="G6453" s="189" t="n">
        <v>41</v>
      </c>
      <c r="H6453" s="190" t="n">
        <v>3899.01871072117</v>
      </c>
      <c r="I6453" s="191" t="n">
        <v>4334862.18842344</v>
      </c>
      <c r="J6453" s="192" t="str">
        <f>IF(I6453&gt;0,H6453/I6453,0)</f>
      </c>
      <c r="K6453" s="193" t="str">
        <f>1-EXP(-J6453)</f>
      </c>
      <c r="L6453" s="194" t="str">
        <f>IF(G6453=30,1,M6452)</f>
      </c>
      <c r="M6453" s="195" t="str">
        <f>L6453*(1-K6453)</f>
      </c>
    </row>
    <row r="6454">
      <c r="A6454" t="s">
        <v>167</v>
      </c>
      <c r="B6454" t="s">
        <v>113</v>
      </c>
      <c r="C6454" s="35" t="s">
        <v>521</v>
      </c>
      <c r="D6454" t="s">
        <v>113</v>
      </c>
      <c r="E6454" t="s">
        <v>520</v>
      </c>
      <c r="F6454" s="188" t="n">
        <v>2030</v>
      </c>
      <c r="G6454" s="189" t="n">
        <v>42</v>
      </c>
      <c r="H6454" s="190" t="n">
        <v>4210.94436701803</v>
      </c>
      <c r="I6454" s="191" t="n">
        <v>4318004.00138514</v>
      </c>
      <c r="J6454" s="192" t="str">
        <f>IF(I6454&gt;0,H6454/I6454,0)</f>
      </c>
      <c r="K6454" s="193" t="str">
        <f>1-EXP(-J6454)</f>
      </c>
      <c r="L6454" s="194" t="str">
        <f>IF(G6454=30,1,M6453)</f>
      </c>
      <c r="M6454" s="195" t="str">
        <f>L6454*(1-K6454)</f>
      </c>
    </row>
    <row r="6455">
      <c r="A6455" t="s">
        <v>167</v>
      </c>
      <c r="B6455" t="s">
        <v>113</v>
      </c>
      <c r="C6455" s="35" t="s">
        <v>521</v>
      </c>
      <c r="D6455" t="s">
        <v>113</v>
      </c>
      <c r="E6455" t="s">
        <v>520</v>
      </c>
      <c r="F6455" s="188" t="n">
        <v>2030</v>
      </c>
      <c r="G6455" s="189" t="n">
        <v>43</v>
      </c>
      <c r="H6455" s="190" t="n">
        <v>4441.45767535182</v>
      </c>
      <c r="I6455" s="191" t="n">
        <v>4185589.6639859</v>
      </c>
      <c r="J6455" s="192" t="str">
        <f>IF(I6455&gt;0,H6455/I6455,0)</f>
      </c>
      <c r="K6455" s="193" t="str">
        <f>1-EXP(-J6455)</f>
      </c>
      <c r="L6455" s="194" t="str">
        <f>IF(G6455=30,1,M6454)</f>
      </c>
      <c r="M6455" s="195" t="str">
        <f>L6455*(1-K6455)</f>
      </c>
    </row>
    <row r="6456">
      <c r="A6456" t="s">
        <v>167</v>
      </c>
      <c r="B6456" t="s">
        <v>113</v>
      </c>
      <c r="C6456" s="35" t="s">
        <v>521</v>
      </c>
      <c r="D6456" t="s">
        <v>113</v>
      </c>
      <c r="E6456" t="s">
        <v>520</v>
      </c>
      <c r="F6456" s="188" t="n">
        <v>2030</v>
      </c>
      <c r="G6456" s="189" t="n">
        <v>44</v>
      </c>
      <c r="H6456" s="190" t="n">
        <v>4806.08729626529</v>
      </c>
      <c r="I6456" s="191" t="n">
        <v>4150797.36947069</v>
      </c>
      <c r="J6456" s="192" t="str">
        <f>IF(I6456&gt;0,H6456/I6456,0)</f>
      </c>
      <c r="K6456" s="193" t="str">
        <f>1-EXP(-J6456)</f>
      </c>
      <c r="L6456" s="194" t="str">
        <f>IF(G6456=30,1,M6455)</f>
      </c>
      <c r="M6456" s="195" t="str">
        <f>L6456*(1-K6456)</f>
      </c>
    </row>
    <row r="6457">
      <c r="A6457" t="s">
        <v>167</v>
      </c>
      <c r="B6457" t="s">
        <v>113</v>
      </c>
      <c r="C6457" s="35" t="s">
        <v>521</v>
      </c>
      <c r="D6457" t="s">
        <v>113</v>
      </c>
      <c r="E6457" t="s">
        <v>520</v>
      </c>
      <c r="F6457" s="188" t="n">
        <v>2030</v>
      </c>
      <c r="G6457" s="189" t="n">
        <v>45</v>
      </c>
      <c r="H6457" s="190" t="n">
        <v>6304.07058072601</v>
      </c>
      <c r="I6457" s="191" t="n">
        <v>4209505.00499586</v>
      </c>
      <c r="J6457" s="192" t="str">
        <f>IF(I6457&gt;0,H6457/I6457,0)</f>
      </c>
      <c r="K6457" s="193" t="str">
        <f>1-EXP(-J6457)</f>
      </c>
      <c r="L6457" s="194" t="str">
        <f>IF(G6457=30,1,M6456)</f>
      </c>
      <c r="M6457" s="195" t="str">
        <f>L6457*(1-K6457)</f>
      </c>
    </row>
    <row r="6458">
      <c r="A6458" t="s">
        <v>167</v>
      </c>
      <c r="B6458" t="s">
        <v>113</v>
      </c>
      <c r="C6458" s="35" t="s">
        <v>521</v>
      </c>
      <c r="D6458" t="s">
        <v>113</v>
      </c>
      <c r="E6458" t="s">
        <v>520</v>
      </c>
      <c r="F6458" s="188" t="n">
        <v>2030</v>
      </c>
      <c r="G6458" s="189" t="n">
        <v>46</v>
      </c>
      <c r="H6458" s="190" t="n">
        <v>7040.19572668887</v>
      </c>
      <c r="I6458" s="191" t="n">
        <v>4292137.77896133</v>
      </c>
      <c r="J6458" s="192" t="str">
        <f>IF(I6458&gt;0,H6458/I6458,0)</f>
      </c>
      <c r="K6458" s="193" t="str">
        <f>1-EXP(-J6458)</f>
      </c>
      <c r="L6458" s="194" t="str">
        <f>IF(G6458=30,1,M6457)</f>
      </c>
      <c r="M6458" s="195" t="str">
        <f>L6458*(1-K6458)</f>
      </c>
    </row>
    <row r="6459">
      <c r="A6459" t="s">
        <v>167</v>
      </c>
      <c r="B6459" t="s">
        <v>113</v>
      </c>
      <c r="C6459" s="35" t="s">
        <v>521</v>
      </c>
      <c r="D6459" t="s">
        <v>113</v>
      </c>
      <c r="E6459" t="s">
        <v>520</v>
      </c>
      <c r="F6459" s="188" t="n">
        <v>2030</v>
      </c>
      <c r="G6459" s="189" t="n">
        <v>47</v>
      </c>
      <c r="H6459" s="190" t="n">
        <v>7668.8709571623</v>
      </c>
      <c r="I6459" s="191" t="n">
        <v>4266832.22534156</v>
      </c>
      <c r="J6459" s="192" t="str">
        <f>IF(I6459&gt;0,H6459/I6459,0)</f>
      </c>
      <c r="K6459" s="193" t="str">
        <f>1-EXP(-J6459)</f>
      </c>
      <c r="L6459" s="194" t="str">
        <f>IF(G6459=30,1,M6458)</f>
      </c>
      <c r="M6459" s="195" t="str">
        <f>L6459*(1-K6459)</f>
      </c>
    </row>
    <row r="6460">
      <c r="A6460" t="s">
        <v>167</v>
      </c>
      <c r="B6460" t="s">
        <v>113</v>
      </c>
      <c r="C6460" s="35" t="s">
        <v>521</v>
      </c>
      <c r="D6460" t="s">
        <v>113</v>
      </c>
      <c r="E6460" t="s">
        <v>520</v>
      </c>
      <c r="F6460" s="188" t="n">
        <v>2030</v>
      </c>
      <c r="G6460" s="189" t="n">
        <v>48</v>
      </c>
      <c r="H6460" s="190" t="n">
        <v>8136.13145304129</v>
      </c>
      <c r="I6460" s="191" t="n">
        <v>4129226.87682948</v>
      </c>
      <c r="J6460" s="192" t="str">
        <f>IF(I6460&gt;0,H6460/I6460,0)</f>
      </c>
      <c r="K6460" s="193" t="str">
        <f>1-EXP(-J6460)</f>
      </c>
      <c r="L6460" s="194" t="str">
        <f>IF(G6460=30,1,M6459)</f>
      </c>
      <c r="M6460" s="195" t="str">
        <f>L6460*(1-K6460)</f>
      </c>
    </row>
    <row r="6461">
      <c r="A6461" t="s">
        <v>167</v>
      </c>
      <c r="B6461" t="s">
        <v>113</v>
      </c>
      <c r="C6461" s="35" t="s">
        <v>521</v>
      </c>
      <c r="D6461" t="s">
        <v>113</v>
      </c>
      <c r="E6461" t="s">
        <v>520</v>
      </c>
      <c r="F6461" s="188" t="n">
        <v>2030</v>
      </c>
      <c r="G6461" s="189" t="n">
        <v>49</v>
      </c>
      <c r="H6461" s="190" t="n">
        <v>8744.21176261784</v>
      </c>
      <c r="I6461" s="191" t="n">
        <v>4053745.69430008</v>
      </c>
      <c r="J6461" s="192" t="str">
        <f>IF(I6461&gt;0,H6461/I6461,0)</f>
      </c>
      <c r="K6461" s="193" t="str">
        <f>1-EXP(-J6461)</f>
      </c>
      <c r="L6461" s="194" t="str">
        <f>IF(G6461=30,1,M6460)</f>
      </c>
      <c r="M6461" s="195" t="str">
        <f>L6461*(1-K6461)</f>
      </c>
    </row>
    <row r="6462">
      <c r="A6462" t="s">
        <v>167</v>
      </c>
      <c r="B6462" t="s">
        <v>113</v>
      </c>
      <c r="C6462" s="35" t="s">
        <v>521</v>
      </c>
      <c r="D6462" t="s">
        <v>113</v>
      </c>
      <c r="E6462" t="s">
        <v>520</v>
      </c>
      <c r="F6462" s="188" t="n">
        <v>2030</v>
      </c>
      <c r="G6462" s="189" t="n">
        <v>50</v>
      </c>
      <c r="H6462" s="190" t="n">
        <v>10030.9803688319</v>
      </c>
      <c r="I6462" s="191" t="n">
        <v>3993936.43743749</v>
      </c>
      <c r="J6462" s="192" t="str">
        <f>IF(I6462&gt;0,H6462/I6462,0)</f>
      </c>
      <c r="K6462" s="193" t="str">
        <f>1-EXP(-J6462)</f>
      </c>
      <c r="L6462" s="194" t="str">
        <f>IF(G6462=30,1,M6461)</f>
      </c>
      <c r="M6462" s="195" t="str">
        <f>L6462*(1-K6462)</f>
      </c>
    </row>
    <row r="6463">
      <c r="A6463" t="s">
        <v>167</v>
      </c>
      <c r="B6463" t="s">
        <v>113</v>
      </c>
      <c r="C6463" s="35" t="s">
        <v>521</v>
      </c>
      <c r="D6463" t="s">
        <v>113</v>
      </c>
      <c r="E6463" t="s">
        <v>520</v>
      </c>
      <c r="F6463" s="188" t="n">
        <v>2030</v>
      </c>
      <c r="G6463" s="189" t="n">
        <v>51</v>
      </c>
      <c r="H6463" s="190" t="n">
        <v>10778.3750459237</v>
      </c>
      <c r="I6463" s="191" t="n">
        <v>3927681.7423788</v>
      </c>
      <c r="J6463" s="192" t="str">
        <f>IF(I6463&gt;0,H6463/I6463,0)</f>
      </c>
      <c r="K6463" s="193" t="str">
        <f>1-EXP(-J6463)</f>
      </c>
      <c r="L6463" s="194" t="str">
        <f>IF(G6463=30,1,M6462)</f>
      </c>
      <c r="M6463" s="195" t="str">
        <f>L6463*(1-K6463)</f>
      </c>
    </row>
    <row r="6464">
      <c r="A6464" t="s">
        <v>167</v>
      </c>
      <c r="B6464" t="s">
        <v>113</v>
      </c>
      <c r="C6464" s="35" t="s">
        <v>521</v>
      </c>
      <c r="D6464" t="s">
        <v>113</v>
      </c>
      <c r="E6464" t="s">
        <v>520</v>
      </c>
      <c r="F6464" s="188" t="n">
        <v>2030</v>
      </c>
      <c r="G6464" s="189" t="n">
        <v>52</v>
      </c>
      <c r="H6464" s="190" t="n">
        <v>11518.2292636781</v>
      </c>
      <c r="I6464" s="191" t="n">
        <v>3842752.6901234</v>
      </c>
      <c r="J6464" s="192" t="str">
        <f>IF(I6464&gt;0,H6464/I6464,0)</f>
      </c>
      <c r="K6464" s="193" t="str">
        <f>1-EXP(-J6464)</f>
      </c>
      <c r="L6464" s="194" t="str">
        <f>IF(G6464=30,1,M6463)</f>
      </c>
      <c r="M6464" s="195" t="str">
        <f>L6464*(1-K6464)</f>
      </c>
    </row>
    <row r="6465">
      <c r="A6465" t="s">
        <v>167</v>
      </c>
      <c r="B6465" t="s">
        <v>113</v>
      </c>
      <c r="C6465" s="35" t="s">
        <v>521</v>
      </c>
      <c r="D6465" t="s">
        <v>113</v>
      </c>
      <c r="E6465" t="s">
        <v>520</v>
      </c>
      <c r="F6465" s="188" t="n">
        <v>2030</v>
      </c>
      <c r="G6465" s="189" t="n">
        <v>53</v>
      </c>
      <c r="H6465" s="190" t="n">
        <v>12369.6652135168</v>
      </c>
      <c r="I6465" s="191" t="n">
        <v>3774680.76657565</v>
      </c>
      <c r="J6465" s="192" t="str">
        <f>IF(I6465&gt;0,H6465/I6465,0)</f>
      </c>
      <c r="K6465" s="193" t="str">
        <f>1-EXP(-J6465)</f>
      </c>
      <c r="L6465" s="194" t="str">
        <f>IF(G6465=30,1,M6464)</f>
      </c>
      <c r="M6465" s="195" t="str">
        <f>L6465*(1-K6465)</f>
      </c>
    </row>
    <row r="6466">
      <c r="A6466" t="s">
        <v>167</v>
      </c>
      <c r="B6466" t="s">
        <v>113</v>
      </c>
      <c r="C6466" s="35" t="s">
        <v>521</v>
      </c>
      <c r="D6466" t="s">
        <v>113</v>
      </c>
      <c r="E6466" t="s">
        <v>520</v>
      </c>
      <c r="F6466" s="188" t="n">
        <v>2030</v>
      </c>
      <c r="G6466" s="189" t="n">
        <v>54</v>
      </c>
      <c r="H6466" s="190" t="n">
        <v>13222.0731587838</v>
      </c>
      <c r="I6466" s="191" t="n">
        <v>3694700.65290494</v>
      </c>
      <c r="J6466" s="192" t="str">
        <f>IF(I6466&gt;0,H6466/I6466,0)</f>
      </c>
      <c r="K6466" s="193" t="str">
        <f>1-EXP(-J6466)</f>
      </c>
      <c r="L6466" s="194" t="str">
        <f>IF(G6466=30,1,M6465)</f>
      </c>
      <c r="M6466" s="195" t="str">
        <f>L6466*(1-K6466)</f>
      </c>
    </row>
    <row r="6467">
      <c r="A6467" t="s">
        <v>167</v>
      </c>
      <c r="B6467" t="s">
        <v>113</v>
      </c>
      <c r="C6467" s="35" t="s">
        <v>521</v>
      </c>
      <c r="D6467" t="s">
        <v>113</v>
      </c>
      <c r="E6467" t="s">
        <v>520</v>
      </c>
      <c r="F6467" s="188" t="n">
        <v>2030</v>
      </c>
      <c r="G6467" s="189" t="n">
        <v>55</v>
      </c>
      <c r="H6467" s="190" t="n">
        <v>14266.7977168917</v>
      </c>
      <c r="I6467" s="191" t="n">
        <v>3613848.55128184</v>
      </c>
      <c r="J6467" s="192" t="str">
        <f>IF(I6467&gt;0,H6467/I6467,0)</f>
      </c>
      <c r="K6467" s="193" t="str">
        <f>1-EXP(-J6467)</f>
      </c>
      <c r="L6467" s="194" t="str">
        <f>IF(G6467=30,1,M6466)</f>
      </c>
      <c r="M6467" s="195" t="str">
        <f>L6467*(1-K6467)</f>
      </c>
    </row>
    <row r="6468">
      <c r="A6468" t="s">
        <v>167</v>
      </c>
      <c r="B6468" t="s">
        <v>113</v>
      </c>
      <c r="C6468" s="35" t="s">
        <v>521</v>
      </c>
      <c r="D6468" t="s">
        <v>113</v>
      </c>
      <c r="E6468" t="s">
        <v>520</v>
      </c>
      <c r="F6468" s="188" t="n">
        <v>2030</v>
      </c>
      <c r="G6468" s="189" t="n">
        <v>56</v>
      </c>
      <c r="H6468" s="190" t="n">
        <v>15111.1298706774</v>
      </c>
      <c r="I6468" s="191" t="n">
        <v>3505138.00676963</v>
      </c>
      <c r="J6468" s="192" t="str">
        <f>IF(I6468&gt;0,H6468/I6468,0)</f>
      </c>
      <c r="K6468" s="193" t="str">
        <f>1-EXP(-J6468)</f>
      </c>
      <c r="L6468" s="194" t="str">
        <f>IF(G6468=30,1,M6467)</f>
      </c>
      <c r="M6468" s="195" t="str">
        <f>L6468*(1-K6468)</f>
      </c>
    </row>
    <row r="6469">
      <c r="A6469" t="s">
        <v>167</v>
      </c>
      <c r="B6469" t="s">
        <v>113</v>
      </c>
      <c r="C6469" s="35" t="s">
        <v>521</v>
      </c>
      <c r="D6469" t="s">
        <v>113</v>
      </c>
      <c r="E6469" t="s">
        <v>520</v>
      </c>
      <c r="F6469" s="188" t="n">
        <v>2030</v>
      </c>
      <c r="G6469" s="189" t="n">
        <v>57</v>
      </c>
      <c r="H6469" s="190" t="n">
        <v>16276.5004916135</v>
      </c>
      <c r="I6469" s="191" t="n">
        <v>3456075.48893463</v>
      </c>
      <c r="J6469" s="192" t="str">
        <f>IF(I6469&gt;0,H6469/I6469,0)</f>
      </c>
      <c r="K6469" s="193" t="str">
        <f>1-EXP(-J6469)</f>
      </c>
      <c r="L6469" s="194" t="str">
        <f>IF(G6469=30,1,M6468)</f>
      </c>
      <c r="M6469" s="195" t="str">
        <f>L6469*(1-K6469)</f>
      </c>
    </row>
    <row r="6470">
      <c r="A6470" t="s">
        <v>167</v>
      </c>
      <c r="B6470" t="s">
        <v>113</v>
      </c>
      <c r="C6470" s="35" t="s">
        <v>521</v>
      </c>
      <c r="D6470" t="s">
        <v>113</v>
      </c>
      <c r="E6470" t="s">
        <v>520</v>
      </c>
      <c r="F6470" s="188" t="n">
        <v>2030</v>
      </c>
      <c r="G6470" s="189" t="n">
        <v>58</v>
      </c>
      <c r="H6470" s="190" t="n">
        <v>16724.1934650478</v>
      </c>
      <c r="I6470" s="191" t="n">
        <v>3245279.07552653</v>
      </c>
      <c r="J6470" s="192" t="str">
        <f>IF(I6470&gt;0,H6470/I6470,0)</f>
      </c>
      <c r="K6470" s="193" t="str">
        <f>1-EXP(-J6470)</f>
      </c>
      <c r="L6470" s="194" t="str">
        <f>IF(G6470=30,1,M6469)</f>
      </c>
      <c r="M6470" s="195" t="str">
        <f>L6470*(1-K6470)</f>
      </c>
    </row>
    <row r="6471">
      <c r="A6471" t="s">
        <v>167</v>
      </c>
      <c r="B6471" t="s">
        <v>113</v>
      </c>
      <c r="C6471" s="35" t="s">
        <v>521</v>
      </c>
      <c r="D6471" t="s">
        <v>113</v>
      </c>
      <c r="E6471" t="s">
        <v>520</v>
      </c>
      <c r="F6471" s="188" t="n">
        <v>2030</v>
      </c>
      <c r="G6471" s="189" t="n">
        <v>59</v>
      </c>
      <c r="H6471" s="190" t="n">
        <v>17772.3969868456</v>
      </c>
      <c r="I6471" s="191" t="n">
        <v>3154199.99866496</v>
      </c>
      <c r="J6471" s="192" t="str">
        <f>IF(I6471&gt;0,H6471/I6471,0)</f>
      </c>
      <c r="K6471" s="193" t="str">
        <f>1-EXP(-J6471)</f>
      </c>
      <c r="L6471" s="194" t="str">
        <f>IF(G6471=30,1,M6470)</f>
      </c>
      <c r="M6471" s="195" t="str">
        <f>L6471*(1-K6471)</f>
      </c>
    </row>
    <row r="6472">
      <c r="A6472" t="s">
        <v>167</v>
      </c>
      <c r="B6472" t="s">
        <v>113</v>
      </c>
      <c r="C6472" s="35" t="s">
        <v>521</v>
      </c>
      <c r="D6472" t="s">
        <v>113</v>
      </c>
      <c r="E6472" t="s">
        <v>520</v>
      </c>
      <c r="F6472" s="188" t="n">
        <v>2030</v>
      </c>
      <c r="G6472" s="189" t="n">
        <v>60</v>
      </c>
      <c r="H6472" s="190" t="n">
        <v>19245.7996489906</v>
      </c>
      <c r="I6472" s="191" t="n">
        <v>3067240.18497588</v>
      </c>
      <c r="J6472" s="192" t="str">
        <f>IF(I6472&gt;0,H6472/I6472,0)</f>
      </c>
      <c r="K6472" s="193" t="str">
        <f>1-EXP(-J6472)</f>
      </c>
      <c r="L6472" s="194" t="str">
        <f>IF(G6472=30,1,M6471)</f>
      </c>
      <c r="M6472" s="195" t="str">
        <f>L6472*(1-K6472)</f>
      </c>
    </row>
    <row r="6473">
      <c r="A6473" t="s">
        <v>167</v>
      </c>
      <c r="B6473" t="s">
        <v>113</v>
      </c>
      <c r="C6473" s="35" t="s">
        <v>521</v>
      </c>
      <c r="D6473" t="s">
        <v>113</v>
      </c>
      <c r="E6473" t="s">
        <v>520</v>
      </c>
      <c r="F6473" s="188" t="n">
        <v>2030</v>
      </c>
      <c r="G6473" s="189" t="n">
        <v>61</v>
      </c>
      <c r="H6473" s="190" t="n">
        <v>20385.619342822</v>
      </c>
      <c r="I6473" s="191" t="n">
        <v>2970404.3206186</v>
      </c>
      <c r="J6473" s="192" t="str">
        <f>IF(I6473&gt;0,H6473/I6473,0)</f>
      </c>
      <c r="K6473" s="193" t="str">
        <f>1-EXP(-J6473)</f>
      </c>
      <c r="L6473" s="194" t="str">
        <f>IF(G6473=30,1,M6472)</f>
      </c>
      <c r="M6473" s="195" t="str">
        <f>L6473*(1-K6473)</f>
      </c>
    </row>
    <row r="6474">
      <c r="A6474" t="s">
        <v>167</v>
      </c>
      <c r="B6474" t="s">
        <v>113</v>
      </c>
      <c r="C6474" s="35" t="s">
        <v>521</v>
      </c>
      <c r="D6474" t="s">
        <v>113</v>
      </c>
      <c r="E6474" t="s">
        <v>520</v>
      </c>
      <c r="F6474" s="188" t="n">
        <v>2030</v>
      </c>
      <c r="G6474" s="189" t="n">
        <v>62</v>
      </c>
      <c r="H6474" s="190" t="n">
        <v>21437.1216889653</v>
      </c>
      <c r="I6474" s="191" t="n">
        <v>2854592.53925619</v>
      </c>
      <c r="J6474" s="192" t="str">
        <f>IF(I6474&gt;0,H6474/I6474,0)</f>
      </c>
      <c r="K6474" s="193" t="str">
        <f>1-EXP(-J6474)</f>
      </c>
      <c r="L6474" s="194" t="str">
        <f>IF(G6474=30,1,M6473)</f>
      </c>
      <c r="M6474" s="195" t="str">
        <f>L6474*(1-K6474)</f>
      </c>
    </row>
    <row r="6475">
      <c r="A6475" t="s">
        <v>167</v>
      </c>
      <c r="B6475" t="s">
        <v>113</v>
      </c>
      <c r="C6475" s="35" t="s">
        <v>521</v>
      </c>
      <c r="D6475" t="s">
        <v>113</v>
      </c>
      <c r="E6475" t="s">
        <v>520</v>
      </c>
      <c r="F6475" s="188" t="n">
        <v>2030</v>
      </c>
      <c r="G6475" s="189" t="n">
        <v>63</v>
      </c>
      <c r="H6475" s="190" t="n">
        <v>22289.0948253368</v>
      </c>
      <c r="I6475" s="191" t="n">
        <v>2708322.20673592</v>
      </c>
      <c r="J6475" s="192" t="str">
        <f>IF(I6475&gt;0,H6475/I6475,0)</f>
      </c>
      <c r="K6475" s="193" t="str">
        <f>1-EXP(-J6475)</f>
      </c>
      <c r="L6475" s="194" t="str">
        <f>IF(G6475=30,1,M6474)</f>
      </c>
      <c r="M6475" s="195" t="str">
        <f>L6475*(1-K6475)</f>
      </c>
    </row>
    <row r="6476">
      <c r="A6476" t="s">
        <v>167</v>
      </c>
      <c r="B6476" t="s">
        <v>113</v>
      </c>
      <c r="C6476" s="35" t="s">
        <v>521</v>
      </c>
      <c r="D6476" t="s">
        <v>113</v>
      </c>
      <c r="E6476" t="s">
        <v>520</v>
      </c>
      <c r="F6476" s="188" t="n">
        <v>2030</v>
      </c>
      <c r="G6476" s="189" t="n">
        <v>64</v>
      </c>
      <c r="H6476" s="190" t="n">
        <v>23413.1989512424</v>
      </c>
      <c r="I6476" s="191" t="n">
        <v>2597529.66366655</v>
      </c>
      <c r="J6476" s="192" t="str">
        <f>IF(I6476&gt;0,H6476/I6476,0)</f>
      </c>
      <c r="K6476" s="193" t="str">
        <f>1-EXP(-J6476)</f>
      </c>
      <c r="L6476" s="194" t="str">
        <f>IF(G6476=30,1,M6475)</f>
      </c>
      <c r="M6476" s="195" t="str">
        <f>L6476*(1-K6476)</f>
      </c>
    </row>
    <row r="6477">
      <c r="A6477" t="s">
        <v>167</v>
      </c>
      <c r="B6477" t="s">
        <v>113</v>
      </c>
      <c r="C6477" s="35" t="s">
        <v>521</v>
      </c>
      <c r="D6477" t="s">
        <v>113</v>
      </c>
      <c r="E6477" t="s">
        <v>520</v>
      </c>
      <c r="F6477" s="188" t="n">
        <v>2030</v>
      </c>
      <c r="G6477" s="189" t="n">
        <v>65</v>
      </c>
      <c r="H6477" s="190" t="n">
        <v>23639.7363776807</v>
      </c>
      <c r="I6477" s="191" t="n">
        <v>2465795.64494304</v>
      </c>
      <c r="J6477" s="192" t="str">
        <f>IF(I6477&gt;0,H6477/I6477,0)</f>
      </c>
      <c r="K6477" s="193" t="str">
        <f>1-EXP(-J6477)</f>
      </c>
      <c r="L6477" s="194" t="str">
        <f>IF(G6477=30,1,M6476)</f>
      </c>
      <c r="M6477" s="195" t="str">
        <f>L6477*(1-K6477)</f>
      </c>
    </row>
    <row r="6478">
      <c r="A6478" t="s">
        <v>167</v>
      </c>
      <c r="B6478" t="s">
        <v>113</v>
      </c>
      <c r="C6478" s="35" t="s">
        <v>521</v>
      </c>
      <c r="D6478" t="s">
        <v>113</v>
      </c>
      <c r="E6478" t="s">
        <v>520</v>
      </c>
      <c r="F6478" s="188" t="n">
        <v>2030</v>
      </c>
      <c r="G6478" s="189" t="n">
        <v>66</v>
      </c>
      <c r="H6478" s="190" t="n">
        <v>24535.0056446344</v>
      </c>
      <c r="I6478" s="191" t="n">
        <v>2334531.2427789</v>
      </c>
      <c r="J6478" s="192" t="str">
        <f>IF(I6478&gt;0,H6478/I6478,0)</f>
      </c>
      <c r="K6478" s="193" t="str">
        <f>1-EXP(-J6478)</f>
      </c>
      <c r="L6478" s="194" t="str">
        <f>IF(G6478=30,1,M6477)</f>
      </c>
      <c r="M6478" s="195" t="str">
        <f>L6478*(1-K6478)</f>
      </c>
    </row>
    <row r="6479">
      <c r="A6479" t="s">
        <v>167</v>
      </c>
      <c r="B6479" t="s">
        <v>113</v>
      </c>
      <c r="C6479" s="35" t="s">
        <v>521</v>
      </c>
      <c r="D6479" t="s">
        <v>113</v>
      </c>
      <c r="E6479" t="s">
        <v>520</v>
      </c>
      <c r="F6479" s="188" t="n">
        <v>2030</v>
      </c>
      <c r="G6479" s="189" t="n">
        <v>67</v>
      </c>
      <c r="H6479" s="190" t="n">
        <v>25447.6212169176</v>
      </c>
      <c r="I6479" s="191" t="n">
        <v>2207801.22022218</v>
      </c>
      <c r="J6479" s="192" t="str">
        <f>IF(I6479&gt;0,H6479/I6479,0)</f>
      </c>
      <c r="K6479" s="193" t="str">
        <f>1-EXP(-J6479)</f>
      </c>
      <c r="L6479" s="194" t="str">
        <f>IF(G6479=30,1,M6478)</f>
      </c>
      <c r="M6479" s="195" t="str">
        <f>L6479*(1-K6479)</f>
      </c>
    </row>
    <row r="6480">
      <c r="A6480" t="s">
        <v>167</v>
      </c>
      <c r="B6480" t="s">
        <v>113</v>
      </c>
      <c r="C6480" s="35" t="s">
        <v>521</v>
      </c>
      <c r="D6480" t="s">
        <v>113</v>
      </c>
      <c r="E6480" t="s">
        <v>520</v>
      </c>
      <c r="F6480" s="188" t="n">
        <v>2030</v>
      </c>
      <c r="G6480" s="189" t="n">
        <v>68</v>
      </c>
      <c r="H6480" s="190" t="n">
        <v>26105.7106031542</v>
      </c>
      <c r="I6480" s="191" t="n">
        <v>2056706.14326311</v>
      </c>
      <c r="J6480" s="192" t="str">
        <f>IF(I6480&gt;0,H6480/I6480,0)</f>
      </c>
      <c r="K6480" s="193" t="str">
        <f>1-EXP(-J6480)</f>
      </c>
      <c r="L6480" s="194" t="str">
        <f>IF(G6480=30,1,M6479)</f>
      </c>
      <c r="M6480" s="195" t="str">
        <f>L6480*(1-K6480)</f>
      </c>
    </row>
    <row r="6481">
      <c r="A6481" t="s">
        <v>167</v>
      </c>
      <c r="B6481" t="s">
        <v>113</v>
      </c>
      <c r="C6481" s="35" t="s">
        <v>521</v>
      </c>
      <c r="D6481" t="s">
        <v>113</v>
      </c>
      <c r="E6481" t="s">
        <v>520</v>
      </c>
      <c r="F6481" s="188" t="n">
        <v>2030</v>
      </c>
      <c r="G6481" s="189" t="n">
        <v>69</v>
      </c>
      <c r="H6481" s="190" t="n">
        <v>26898.6843696524</v>
      </c>
      <c r="I6481" s="191" t="n">
        <v>1930061.72943606</v>
      </c>
      <c r="J6481" s="192" t="str">
        <f>IF(I6481&gt;0,H6481/I6481,0)</f>
      </c>
      <c r="K6481" s="193" t="str">
        <f>1-EXP(-J6481)</f>
      </c>
      <c r="L6481" s="194" t="str">
        <f>IF(G6481=30,1,M6480)</f>
      </c>
      <c r="M6481" s="195" t="str">
        <f>L6481*(1-K6481)</f>
      </c>
    </row>
    <row r="6482">
      <c r="A6482" t="s">
        <v>167</v>
      </c>
      <c r="B6482" t="s">
        <v>113</v>
      </c>
      <c r="C6482" s="35" t="s">
        <v>521</v>
      </c>
      <c r="D6482" t="s">
        <v>113</v>
      </c>
      <c r="E6482" t="s">
        <v>520</v>
      </c>
      <c r="F6482" s="188" t="n">
        <v>2031</v>
      </c>
      <c r="G6482" s="189" t="n">
        <v>30</v>
      </c>
      <c r="H6482" s="190" t="n">
        <v>957.922641781584</v>
      </c>
      <c r="I6482" s="191" t="n">
        <v>4340985.19831892</v>
      </c>
      <c r="J6482" s="192" t="str">
        <f>IF(I6482&gt;0,H6482/I6482,0)</f>
      </c>
      <c r="K6482" s="193" t="str">
        <f>1-EXP(-J6482)</f>
      </c>
      <c r="L6482" s="194" t="str">
        <f>IF(G6482=30,1,M6481)</f>
      </c>
      <c r="M6482" s="195" t="str">
        <f>L6482*(1-K6482)</f>
      </c>
    </row>
    <row r="6483">
      <c r="A6483" t="s">
        <v>167</v>
      </c>
      <c r="B6483" t="s">
        <v>113</v>
      </c>
      <c r="C6483" s="35" t="s">
        <v>521</v>
      </c>
      <c r="D6483" t="s">
        <v>113</v>
      </c>
      <c r="E6483" t="s">
        <v>520</v>
      </c>
      <c r="F6483" s="188" t="n">
        <v>2031</v>
      </c>
      <c r="G6483" s="189" t="n">
        <v>31</v>
      </c>
      <c r="H6483" s="190" t="n">
        <v>1090.63361781954</v>
      </c>
      <c r="I6483" s="191" t="n">
        <v>4321257.80390265</v>
      </c>
      <c r="J6483" s="192" t="str">
        <f>IF(I6483&gt;0,H6483/I6483,0)</f>
      </c>
      <c r="K6483" s="193" t="str">
        <f>1-EXP(-J6483)</f>
      </c>
      <c r="L6483" s="194" t="str">
        <f>IF(G6483=30,1,M6482)</f>
      </c>
      <c r="M6483" s="195" t="str">
        <f>L6483*(1-K6483)</f>
      </c>
    </row>
    <row r="6484">
      <c r="A6484" t="s">
        <v>167</v>
      </c>
      <c r="B6484" t="s">
        <v>113</v>
      </c>
      <c r="C6484" s="35" t="s">
        <v>521</v>
      </c>
      <c r="D6484" t="s">
        <v>113</v>
      </c>
      <c r="E6484" t="s">
        <v>520</v>
      </c>
      <c r="F6484" s="188" t="n">
        <v>2031</v>
      </c>
      <c r="G6484" s="189" t="n">
        <v>32</v>
      </c>
      <c r="H6484" s="190" t="n">
        <v>1152.25302105854</v>
      </c>
      <c r="I6484" s="191" t="n">
        <v>4341803.40766824</v>
      </c>
      <c r="J6484" s="192" t="str">
        <f>IF(I6484&gt;0,H6484/I6484,0)</f>
      </c>
      <c r="K6484" s="193" t="str">
        <f>1-EXP(-J6484)</f>
      </c>
      <c r="L6484" s="194" t="str">
        <f>IF(G6484=30,1,M6483)</f>
      </c>
      <c r="M6484" s="195" t="str">
        <f>L6484*(1-K6484)</f>
      </c>
    </row>
    <row r="6485">
      <c r="A6485" t="s">
        <v>167</v>
      </c>
      <c r="B6485" t="s">
        <v>113</v>
      </c>
      <c r="C6485" s="35" t="s">
        <v>521</v>
      </c>
      <c r="D6485" t="s">
        <v>113</v>
      </c>
      <c r="E6485" t="s">
        <v>520</v>
      </c>
      <c r="F6485" s="188" t="n">
        <v>2031</v>
      </c>
      <c r="G6485" s="189" t="n">
        <v>33</v>
      </c>
      <c r="H6485" s="190" t="n">
        <v>1236.84199874018</v>
      </c>
      <c r="I6485" s="191" t="n">
        <v>4401743.77609188</v>
      </c>
      <c r="J6485" s="192" t="str">
        <f>IF(I6485&gt;0,H6485/I6485,0)</f>
      </c>
      <c r="K6485" s="193" t="str">
        <f>1-EXP(-J6485)</f>
      </c>
      <c r="L6485" s="194" t="str">
        <f>IF(G6485=30,1,M6484)</f>
      </c>
      <c r="M6485" s="195" t="str">
        <f>L6485*(1-K6485)</f>
      </c>
    </row>
    <row r="6486">
      <c r="A6486" t="s">
        <v>167</v>
      </c>
      <c r="B6486" t="s">
        <v>113</v>
      </c>
      <c r="C6486" s="35" t="s">
        <v>521</v>
      </c>
      <c r="D6486" t="s">
        <v>113</v>
      </c>
      <c r="E6486" t="s">
        <v>520</v>
      </c>
      <c r="F6486" s="188" t="n">
        <v>2031</v>
      </c>
      <c r="G6486" s="189" t="n">
        <v>34</v>
      </c>
      <c r="H6486" s="190" t="n">
        <v>1563.05024677474</v>
      </c>
      <c r="I6486" s="191" t="n">
        <v>4541981.90606709</v>
      </c>
      <c r="J6486" s="192" t="str">
        <f>IF(I6486&gt;0,H6486/I6486,0)</f>
      </c>
      <c r="K6486" s="193" t="str">
        <f>1-EXP(-J6486)</f>
      </c>
      <c r="L6486" s="194" t="str">
        <f>IF(G6486=30,1,M6485)</f>
      </c>
      <c r="M6486" s="195" t="str">
        <f>L6486*(1-K6486)</f>
      </c>
    </row>
    <row r="6487">
      <c r="A6487" t="s">
        <v>167</v>
      </c>
      <c r="B6487" t="s">
        <v>113</v>
      </c>
      <c r="C6487" s="35" t="s">
        <v>521</v>
      </c>
      <c r="D6487" t="s">
        <v>113</v>
      </c>
      <c r="E6487" t="s">
        <v>520</v>
      </c>
      <c r="F6487" s="188" t="n">
        <v>2031</v>
      </c>
      <c r="G6487" s="189" t="n">
        <v>35</v>
      </c>
      <c r="H6487" s="190" t="n">
        <v>2096.04354972303</v>
      </c>
      <c r="I6487" s="191" t="n">
        <v>4498869.96021848</v>
      </c>
      <c r="J6487" s="192" t="str">
        <f>IF(I6487&gt;0,H6487/I6487,0)</f>
      </c>
      <c r="K6487" s="193" t="str">
        <f>1-EXP(-J6487)</f>
      </c>
      <c r="L6487" s="194" t="str">
        <f>IF(G6487=30,1,M6486)</f>
      </c>
      <c r="M6487" s="195" t="str">
        <f>L6487*(1-K6487)</f>
      </c>
    </row>
    <row r="6488">
      <c r="A6488" t="s">
        <v>167</v>
      </c>
      <c r="B6488" t="s">
        <v>113</v>
      </c>
      <c r="C6488" s="35" t="s">
        <v>521</v>
      </c>
      <c r="D6488" t="s">
        <v>113</v>
      </c>
      <c r="E6488" t="s">
        <v>520</v>
      </c>
      <c r="F6488" s="188" t="n">
        <v>2031</v>
      </c>
      <c r="G6488" s="189" t="n">
        <v>36</v>
      </c>
      <c r="H6488" s="190" t="n">
        <v>2204.38821950991</v>
      </c>
      <c r="I6488" s="191" t="n">
        <v>4425056.25077855</v>
      </c>
      <c r="J6488" s="192" t="str">
        <f>IF(I6488&gt;0,H6488/I6488,0)</f>
      </c>
      <c r="K6488" s="193" t="str">
        <f>1-EXP(-J6488)</f>
      </c>
      <c r="L6488" s="194" t="str">
        <f>IF(G6488=30,1,M6487)</f>
      </c>
      <c r="M6488" s="195" t="str">
        <f>L6488*(1-K6488)</f>
      </c>
    </row>
    <row r="6489">
      <c r="A6489" t="s">
        <v>167</v>
      </c>
      <c r="B6489" t="s">
        <v>113</v>
      </c>
      <c r="C6489" s="35" t="s">
        <v>521</v>
      </c>
      <c r="D6489" t="s">
        <v>113</v>
      </c>
      <c r="E6489" t="s">
        <v>520</v>
      </c>
      <c r="F6489" s="188" t="n">
        <v>2031</v>
      </c>
      <c r="G6489" s="189" t="n">
        <v>37</v>
      </c>
      <c r="H6489" s="190" t="n">
        <v>2332.87485283032</v>
      </c>
      <c r="I6489" s="191" t="n">
        <v>4367393.6547434</v>
      </c>
      <c r="J6489" s="192" t="str">
        <f>IF(I6489&gt;0,H6489/I6489,0)</f>
      </c>
      <c r="K6489" s="193" t="str">
        <f>1-EXP(-J6489)</f>
      </c>
      <c r="L6489" s="194" t="str">
        <f>IF(G6489=30,1,M6488)</f>
      </c>
      <c r="M6489" s="195" t="str">
        <f>L6489*(1-K6489)</f>
      </c>
    </row>
    <row r="6490">
      <c r="A6490" t="s">
        <v>167</v>
      </c>
      <c r="B6490" t="s">
        <v>113</v>
      </c>
      <c r="C6490" s="35" t="s">
        <v>521</v>
      </c>
      <c r="D6490" t="s">
        <v>113</v>
      </c>
      <c r="E6490" t="s">
        <v>520</v>
      </c>
      <c r="F6490" s="188" t="n">
        <v>2031</v>
      </c>
      <c r="G6490" s="189" t="n">
        <v>38</v>
      </c>
      <c r="H6490" s="190" t="n">
        <v>2475.57704718943</v>
      </c>
      <c r="I6490" s="191" t="n">
        <v>4313262.38539203</v>
      </c>
      <c r="J6490" s="192" t="str">
        <f>IF(I6490&gt;0,H6490/I6490,0)</f>
      </c>
      <c r="K6490" s="193" t="str">
        <f>1-EXP(-J6490)</f>
      </c>
      <c r="L6490" s="194" t="str">
        <f>IF(G6490=30,1,M6489)</f>
      </c>
      <c r="M6490" s="195" t="str">
        <f>L6490*(1-K6490)</f>
      </c>
    </row>
    <row r="6491">
      <c r="A6491" t="s">
        <v>167</v>
      </c>
      <c r="B6491" t="s">
        <v>113</v>
      </c>
      <c r="C6491" s="35" t="s">
        <v>521</v>
      </c>
      <c r="D6491" t="s">
        <v>113</v>
      </c>
      <c r="E6491" t="s">
        <v>520</v>
      </c>
      <c r="F6491" s="188" t="n">
        <v>2031</v>
      </c>
      <c r="G6491" s="189" t="n">
        <v>39</v>
      </c>
      <c r="H6491" s="190" t="n">
        <v>2685.27257670633</v>
      </c>
      <c r="I6491" s="191" t="n">
        <v>4350275.65548629</v>
      </c>
      <c r="J6491" s="192" t="str">
        <f>IF(I6491&gt;0,H6491/I6491,0)</f>
      </c>
      <c r="K6491" s="193" t="str">
        <f>1-EXP(-J6491)</f>
      </c>
      <c r="L6491" s="194" t="str">
        <f>IF(G6491=30,1,M6490)</f>
      </c>
      <c r="M6491" s="195" t="str">
        <f>L6491*(1-K6491)</f>
      </c>
    </row>
    <row r="6492">
      <c r="A6492" t="s">
        <v>167</v>
      </c>
      <c r="B6492" t="s">
        <v>113</v>
      </c>
      <c r="C6492" s="35" t="s">
        <v>521</v>
      </c>
      <c r="D6492" t="s">
        <v>113</v>
      </c>
      <c r="E6492" t="s">
        <v>520</v>
      </c>
      <c r="F6492" s="188" t="n">
        <v>2031</v>
      </c>
      <c r="G6492" s="189" t="n">
        <v>40</v>
      </c>
      <c r="H6492" s="190" t="n">
        <v>3624.72611454853</v>
      </c>
      <c r="I6492" s="191" t="n">
        <v>4367529.23120129</v>
      </c>
      <c r="J6492" s="192" t="str">
        <f>IF(I6492&gt;0,H6492/I6492,0)</f>
      </c>
      <c r="K6492" s="193" t="str">
        <f>1-EXP(-J6492)</f>
      </c>
      <c r="L6492" s="194" t="str">
        <f>IF(G6492=30,1,M6491)</f>
      </c>
      <c r="M6492" s="195" t="str">
        <f>L6492*(1-K6492)</f>
      </c>
    </row>
    <row r="6493">
      <c r="A6493" t="s">
        <v>167</v>
      </c>
      <c r="B6493" t="s">
        <v>113</v>
      </c>
      <c r="C6493" s="35" t="s">
        <v>521</v>
      </c>
      <c r="D6493" t="s">
        <v>113</v>
      </c>
      <c r="E6493" t="s">
        <v>520</v>
      </c>
      <c r="F6493" s="188" t="n">
        <v>2031</v>
      </c>
      <c r="G6493" s="189" t="n">
        <v>41</v>
      </c>
      <c r="H6493" s="190" t="n">
        <v>5487.47088728047</v>
      </c>
      <c r="I6493" s="191" t="n">
        <v>6429574.66238572</v>
      </c>
      <c r="J6493" s="192" t="str">
        <f>IF(I6493&gt;0,H6493/I6493,0)</f>
      </c>
      <c r="K6493" s="193" t="str">
        <f>1-EXP(-J6493)</f>
      </c>
      <c r="L6493" s="194" t="str">
        <f>IF(G6493=30,1,M6492)</f>
      </c>
      <c r="M6493" s="195" t="str">
        <f>L6493*(1-K6493)</f>
      </c>
    </row>
    <row r="6494">
      <c r="A6494" t="s">
        <v>167</v>
      </c>
      <c r="B6494" t="s">
        <v>113</v>
      </c>
      <c r="C6494" s="35" t="s">
        <v>521</v>
      </c>
      <c r="D6494" t="s">
        <v>113</v>
      </c>
      <c r="E6494" t="s">
        <v>520</v>
      </c>
      <c r="F6494" s="188" t="n">
        <v>2031</v>
      </c>
      <c r="G6494" s="189" t="n">
        <v>42</v>
      </c>
      <c r="H6494" s="190" t="n">
        <v>4205.06363011738</v>
      </c>
      <c r="I6494" s="191" t="n">
        <v>4323626.17256621</v>
      </c>
      <c r="J6494" s="192" t="str">
        <f>IF(I6494&gt;0,H6494/I6494,0)</f>
      </c>
      <c r="K6494" s="193" t="str">
        <f>1-EXP(-J6494)</f>
      </c>
      <c r="L6494" s="194" t="str">
        <f>IF(G6494=30,1,M6493)</f>
      </c>
      <c r="M6494" s="195" t="str">
        <f>L6494*(1-K6494)</f>
      </c>
    </row>
    <row r="6495">
      <c r="A6495" t="s">
        <v>167</v>
      </c>
      <c r="B6495" t="s">
        <v>113</v>
      </c>
      <c r="C6495" s="35" t="s">
        <v>521</v>
      </c>
      <c r="D6495" t="s">
        <v>113</v>
      </c>
      <c r="E6495" t="s">
        <v>520</v>
      </c>
      <c r="F6495" s="188" t="n">
        <v>2031</v>
      </c>
      <c r="G6495" s="189" t="n">
        <v>43</v>
      </c>
      <c r="H6495" s="190" t="n">
        <v>4555.48280009955</v>
      </c>
      <c r="I6495" s="191" t="n">
        <v>4305892.70859998</v>
      </c>
      <c r="J6495" s="192" t="str">
        <f>IF(I6495&gt;0,H6495/I6495,0)</f>
      </c>
      <c r="K6495" s="193" t="str">
        <f>1-EXP(-J6495)</f>
      </c>
      <c r="L6495" s="194" t="str">
        <f>IF(G6495=30,1,M6494)</f>
      </c>
      <c r="M6495" s="195" t="str">
        <f>L6495*(1-K6495)</f>
      </c>
    </row>
    <row r="6496">
      <c r="A6496" t="s">
        <v>167</v>
      </c>
      <c r="B6496" t="s">
        <v>113</v>
      </c>
      <c r="C6496" s="35" t="s">
        <v>521</v>
      </c>
      <c r="D6496" t="s">
        <v>113</v>
      </c>
      <c r="E6496" t="s">
        <v>520</v>
      </c>
      <c r="F6496" s="188" t="n">
        <v>2031</v>
      </c>
      <c r="G6496" s="189" t="n">
        <v>44</v>
      </c>
      <c r="H6496" s="190" t="n">
        <v>4817.99310192304</v>
      </c>
      <c r="I6496" s="191" t="n">
        <v>4172843.36600372</v>
      </c>
      <c r="J6496" s="192" t="str">
        <f>IF(I6496&gt;0,H6496/I6496,0)</f>
      </c>
      <c r="K6496" s="193" t="str">
        <f>1-EXP(-J6496)</f>
      </c>
      <c r="L6496" s="194" t="str">
        <f>IF(G6496=30,1,M6495)</f>
      </c>
      <c r="M6496" s="195" t="str">
        <f>L6496*(1-K6496)</f>
      </c>
    </row>
    <row r="6497">
      <c r="A6497" t="s">
        <v>167</v>
      </c>
      <c r="B6497" t="s">
        <v>113</v>
      </c>
      <c r="C6497" s="35" t="s">
        <v>521</v>
      </c>
      <c r="D6497" t="s">
        <v>113</v>
      </c>
      <c r="E6497" t="s">
        <v>520</v>
      </c>
      <c r="F6497" s="188" t="n">
        <v>2031</v>
      </c>
      <c r="G6497" s="189" t="n">
        <v>45</v>
      </c>
      <c r="H6497" s="190" t="n">
        <v>6172.40750169221</v>
      </c>
      <c r="I6497" s="191" t="n">
        <v>4137031.83044637</v>
      </c>
      <c r="J6497" s="192" t="str">
        <f>IF(I6497&gt;0,H6497/I6497,0)</f>
      </c>
      <c r="K6497" s="193" t="str">
        <f>1-EXP(-J6497)</f>
      </c>
      <c r="L6497" s="194" t="str">
        <f>IF(G6497=30,1,M6496)</f>
      </c>
      <c r="M6497" s="195" t="str">
        <f>L6497*(1-K6497)</f>
      </c>
    </row>
    <row r="6498">
      <c r="A6498" t="s">
        <v>167</v>
      </c>
      <c r="B6498" t="s">
        <v>113</v>
      </c>
      <c r="C6498" s="35" t="s">
        <v>521</v>
      </c>
      <c r="D6498" t="s">
        <v>113</v>
      </c>
      <c r="E6498" t="s">
        <v>520</v>
      </c>
      <c r="F6498" s="188" t="n">
        <v>2031</v>
      </c>
      <c r="G6498" s="189" t="n">
        <v>46</v>
      </c>
      <c r="H6498" s="190" t="n">
        <v>6852.00114368135</v>
      </c>
      <c r="I6498" s="191" t="n">
        <v>4193221.35483853</v>
      </c>
      <c r="J6498" s="192" t="str">
        <f>IF(I6498&gt;0,H6498/I6498,0)</f>
      </c>
      <c r="K6498" s="193" t="str">
        <f>1-EXP(-J6498)</f>
      </c>
      <c r="L6498" s="194" t="str">
        <f>IF(G6498=30,1,M6497)</f>
      </c>
      <c r="M6498" s="195" t="str">
        <f>L6498*(1-K6498)</f>
      </c>
    </row>
    <row r="6499">
      <c r="A6499" t="s">
        <v>167</v>
      </c>
      <c r="B6499" t="s">
        <v>113</v>
      </c>
      <c r="C6499" s="35" t="s">
        <v>521</v>
      </c>
      <c r="D6499" t="s">
        <v>113</v>
      </c>
      <c r="E6499" t="s">
        <v>520</v>
      </c>
      <c r="F6499" s="188" t="n">
        <v>2031</v>
      </c>
      <c r="G6499" s="189" t="n">
        <v>47</v>
      </c>
      <c r="H6499" s="190" t="n">
        <v>7654.8561507162</v>
      </c>
      <c r="I6499" s="191" t="n">
        <v>4275022.83356804</v>
      </c>
      <c r="J6499" s="192" t="str">
        <f>IF(I6499&gt;0,H6499/I6499,0)</f>
      </c>
      <c r="K6499" s="193" t="str">
        <f>1-EXP(-J6499)</f>
      </c>
      <c r="L6499" s="194" t="str">
        <f>IF(G6499=30,1,M6498)</f>
      </c>
      <c r="M6499" s="195" t="str">
        <f>L6499*(1-K6499)</f>
      </c>
    </row>
    <row r="6500">
      <c r="A6500" t="s">
        <v>167</v>
      </c>
      <c r="B6500" t="s">
        <v>113</v>
      </c>
      <c r="C6500" s="35" t="s">
        <v>521</v>
      </c>
      <c r="D6500" t="s">
        <v>113</v>
      </c>
      <c r="E6500" t="s">
        <v>520</v>
      </c>
      <c r="F6500" s="188" t="n">
        <v>2031</v>
      </c>
      <c r="G6500" s="189" t="n">
        <v>48</v>
      </c>
      <c r="H6500" s="190" t="n">
        <v>8334.14938037892</v>
      </c>
      <c r="I6500" s="191" t="n">
        <v>4248197.62391113</v>
      </c>
      <c r="J6500" s="192" t="str">
        <f>IF(I6500&gt;0,H6500/I6500,0)</f>
      </c>
      <c r="K6500" s="193" t="str">
        <f>1-EXP(-J6500)</f>
      </c>
      <c r="L6500" s="194" t="str">
        <f>IF(G6500=30,1,M6499)</f>
      </c>
      <c r="M6500" s="195" t="str">
        <f>L6500*(1-K6500)</f>
      </c>
    </row>
    <row r="6501">
      <c r="A6501" t="s">
        <v>167</v>
      </c>
      <c r="B6501" t="s">
        <v>113</v>
      </c>
      <c r="C6501" s="35" t="s">
        <v>521</v>
      </c>
      <c r="D6501" t="s">
        <v>113</v>
      </c>
      <c r="E6501" t="s">
        <v>520</v>
      </c>
      <c r="F6501" s="188" t="n">
        <v>2031</v>
      </c>
      <c r="G6501" s="189" t="n">
        <v>49</v>
      </c>
      <c r="H6501" s="190" t="n">
        <v>8834.24861713929</v>
      </c>
      <c r="I6501" s="191" t="n">
        <v>4109462.62123767</v>
      </c>
      <c r="J6501" s="192" t="str">
        <f>IF(I6501&gt;0,H6501/I6501,0)</f>
      </c>
      <c r="K6501" s="193" t="str">
        <f>1-EXP(-J6501)</f>
      </c>
      <c r="L6501" s="194" t="str">
        <f>IF(G6501=30,1,M6500)</f>
      </c>
      <c r="M6501" s="195" t="str">
        <f>L6501*(1-K6501)</f>
      </c>
    </row>
    <row r="6502">
      <c r="A6502" t="s">
        <v>167</v>
      </c>
      <c r="B6502" t="s">
        <v>113</v>
      </c>
      <c r="C6502" s="35" t="s">
        <v>521</v>
      </c>
      <c r="D6502" t="s">
        <v>113</v>
      </c>
      <c r="E6502" t="s">
        <v>520</v>
      </c>
      <c r="F6502" s="188" t="n">
        <v>2031</v>
      </c>
      <c r="G6502" s="189" t="n">
        <v>50</v>
      </c>
      <c r="H6502" s="190" t="n">
        <v>10079.4833877301</v>
      </c>
      <c r="I6502" s="191" t="n">
        <v>4032502.49639384</v>
      </c>
      <c r="J6502" s="192" t="str">
        <f>IF(I6502&gt;0,H6502/I6502,0)</f>
      </c>
      <c r="K6502" s="193" t="str">
        <f>1-EXP(-J6502)</f>
      </c>
      <c r="L6502" s="194" t="str">
        <f>IF(G6502=30,1,M6501)</f>
      </c>
      <c r="M6502" s="195" t="str">
        <f>L6502*(1-K6502)</f>
      </c>
    </row>
    <row r="6503">
      <c r="A6503" t="s">
        <v>167</v>
      </c>
      <c r="B6503" t="s">
        <v>113</v>
      </c>
      <c r="C6503" s="35" t="s">
        <v>521</v>
      </c>
      <c r="D6503" t="s">
        <v>113</v>
      </c>
      <c r="E6503" t="s">
        <v>520</v>
      </c>
      <c r="F6503" s="188" t="n">
        <v>2031</v>
      </c>
      <c r="G6503" s="189" t="n">
        <v>51</v>
      </c>
      <c r="H6503" s="190" t="n">
        <v>10844.9848188266</v>
      </c>
      <c r="I6503" s="191" t="n">
        <v>3970169.4589667</v>
      </c>
      <c r="J6503" s="192" t="str">
        <f>IF(I6503&gt;0,H6503/I6503,0)</f>
      </c>
      <c r="K6503" s="193" t="str">
        <f>1-EXP(-J6503)</f>
      </c>
      <c r="L6503" s="194" t="str">
        <f>IF(G6503=30,1,M6502)</f>
      </c>
      <c r="M6503" s="195" t="str">
        <f>L6503*(1-K6503)</f>
      </c>
    </row>
    <row r="6504">
      <c r="A6504" t="s">
        <v>167</v>
      </c>
      <c r="B6504" t="s">
        <v>113</v>
      </c>
      <c r="C6504" s="35" t="s">
        <v>521</v>
      </c>
      <c r="D6504" t="s">
        <v>113</v>
      </c>
      <c r="E6504" t="s">
        <v>520</v>
      </c>
      <c r="F6504" s="188" t="n">
        <v>2031</v>
      </c>
      <c r="G6504" s="189" t="n">
        <v>52</v>
      </c>
      <c r="H6504" s="190" t="n">
        <v>11646.2334425743</v>
      </c>
      <c r="I6504" s="191" t="n">
        <v>3902990.9211574</v>
      </c>
      <c r="J6504" s="192" t="str">
        <f>IF(I6504&gt;0,H6504/I6504,0)</f>
      </c>
      <c r="K6504" s="193" t="str">
        <f>1-EXP(-J6504)</f>
      </c>
      <c r="L6504" s="194" t="str">
        <f>IF(G6504=30,1,M6503)</f>
      </c>
      <c r="M6504" s="195" t="str">
        <f>L6504*(1-K6504)</f>
      </c>
    </row>
    <row r="6505">
      <c r="A6505" t="s">
        <v>167</v>
      </c>
      <c r="B6505" t="s">
        <v>113</v>
      </c>
      <c r="C6505" s="35" t="s">
        <v>521</v>
      </c>
      <c r="D6505" t="s">
        <v>113</v>
      </c>
      <c r="E6505" t="s">
        <v>520</v>
      </c>
      <c r="F6505" s="188" t="n">
        <v>2031</v>
      </c>
      <c r="G6505" s="189" t="n">
        <v>53</v>
      </c>
      <c r="H6505" s="190" t="n">
        <v>12437.1071380012</v>
      </c>
      <c r="I6505" s="191" t="n">
        <v>3816370.08092106</v>
      </c>
      <c r="J6505" s="192" t="str">
        <f>IF(I6505&gt;0,H6505/I6505,0)</f>
      </c>
      <c r="K6505" s="193" t="str">
        <f>1-EXP(-J6505)</f>
      </c>
      <c r="L6505" s="194" t="str">
        <f>IF(G6505=30,1,M6504)</f>
      </c>
      <c r="M6505" s="195" t="str">
        <f>L6505*(1-K6505)</f>
      </c>
    </row>
    <row r="6506">
      <c r="A6506" t="s">
        <v>167</v>
      </c>
      <c r="B6506" t="s">
        <v>113</v>
      </c>
      <c r="C6506" s="35" t="s">
        <v>521</v>
      </c>
      <c r="D6506" t="s">
        <v>113</v>
      </c>
      <c r="E6506" t="s">
        <v>520</v>
      </c>
      <c r="F6506" s="188" t="n">
        <v>2031</v>
      </c>
      <c r="G6506" s="189" t="n">
        <v>54</v>
      </c>
      <c r="H6506" s="190" t="n">
        <v>13348.3762045828</v>
      </c>
      <c r="I6506" s="191" t="n">
        <v>3746359.18859568</v>
      </c>
      <c r="J6506" s="192" t="str">
        <f>IF(I6506&gt;0,H6506/I6506,0)</f>
      </c>
      <c r="K6506" s="193" t="str">
        <f>1-EXP(-J6506)</f>
      </c>
      <c r="L6506" s="194" t="str">
        <f>IF(G6506=30,1,M6505)</f>
      </c>
      <c r="M6506" s="195" t="str">
        <f>L6506*(1-K6506)</f>
      </c>
    </row>
    <row r="6507">
      <c r="A6507" t="s">
        <v>167</v>
      </c>
      <c r="B6507" t="s">
        <v>113</v>
      </c>
      <c r="C6507" s="35" t="s">
        <v>521</v>
      </c>
      <c r="D6507" t="s">
        <v>113</v>
      </c>
      <c r="E6507" t="s">
        <v>520</v>
      </c>
      <c r="F6507" s="188" t="n">
        <v>2031</v>
      </c>
      <c r="G6507" s="189" t="n">
        <v>55</v>
      </c>
      <c r="H6507" s="190" t="n">
        <v>14373.8933703216</v>
      </c>
      <c r="I6507" s="191" t="n">
        <v>3664435.05555886</v>
      </c>
      <c r="J6507" s="192" t="str">
        <f>IF(I6507&gt;0,H6507/I6507,0)</f>
      </c>
      <c r="K6507" s="193" t="str">
        <f>1-EXP(-J6507)</f>
      </c>
      <c r="L6507" s="194" t="str">
        <f>IF(G6507=30,1,M6506)</f>
      </c>
      <c r="M6507" s="195" t="str">
        <f>L6507*(1-K6507)</f>
      </c>
    </row>
    <row r="6508">
      <c r="A6508" t="s">
        <v>167</v>
      </c>
      <c r="B6508" t="s">
        <v>113</v>
      </c>
      <c r="C6508" s="35" t="s">
        <v>521</v>
      </c>
      <c r="D6508" t="s">
        <v>113</v>
      </c>
      <c r="E6508" t="s">
        <v>520</v>
      </c>
      <c r="F6508" s="188" t="n">
        <v>2031</v>
      </c>
      <c r="G6508" s="189" t="n">
        <v>56</v>
      </c>
      <c r="H6508" s="190" t="n">
        <v>15337.0595940543</v>
      </c>
      <c r="I6508" s="191" t="n">
        <v>3581089.29983345</v>
      </c>
      <c r="J6508" s="192" t="str">
        <f>IF(I6508&gt;0,H6508/I6508,0)</f>
      </c>
      <c r="K6508" s="193" t="str">
        <f>1-EXP(-J6508)</f>
      </c>
      <c r="L6508" s="194" t="str">
        <f>IF(G6508=30,1,M6507)</f>
      </c>
      <c r="M6508" s="195" t="str">
        <f>L6508*(1-K6508)</f>
      </c>
    </row>
    <row r="6509">
      <c r="A6509" t="s">
        <v>167</v>
      </c>
      <c r="B6509" t="s">
        <v>113</v>
      </c>
      <c r="C6509" s="35" t="s">
        <v>521</v>
      </c>
      <c r="D6509" t="s">
        <v>113</v>
      </c>
      <c r="E6509" t="s">
        <v>520</v>
      </c>
      <c r="F6509" s="188" t="n">
        <v>2031</v>
      </c>
      <c r="G6509" s="189" t="n">
        <v>57</v>
      </c>
      <c r="H6509" s="190" t="n">
        <v>16237.7225535389</v>
      </c>
      <c r="I6509" s="191" t="n">
        <v>3470861.33800933</v>
      </c>
      <c r="J6509" s="192" t="str">
        <f>IF(I6509&gt;0,H6509/I6509,0)</f>
      </c>
      <c r="K6509" s="193" t="str">
        <f>1-EXP(-J6509)</f>
      </c>
      <c r="L6509" s="194" t="str">
        <f>IF(G6509=30,1,M6508)</f>
      </c>
      <c r="M6509" s="195" t="str">
        <f>L6509*(1-K6509)</f>
      </c>
    </row>
    <row r="6510">
      <c r="A6510" t="s">
        <v>167</v>
      </c>
      <c r="B6510" t="s">
        <v>113</v>
      </c>
      <c r="C6510" s="35" t="s">
        <v>521</v>
      </c>
      <c r="D6510" t="s">
        <v>113</v>
      </c>
      <c r="E6510" t="s">
        <v>520</v>
      </c>
      <c r="F6510" s="188" t="n">
        <v>2031</v>
      </c>
      <c r="G6510" s="189" t="n">
        <v>58</v>
      </c>
      <c r="H6510" s="190" t="n">
        <v>17480.680037903</v>
      </c>
      <c r="I6510" s="191" t="n">
        <v>3419165.69315785</v>
      </c>
      <c r="J6510" s="192" t="str">
        <f>IF(I6510&gt;0,H6510/I6510,0)</f>
      </c>
      <c r="K6510" s="193" t="str">
        <f>1-EXP(-J6510)</f>
      </c>
      <c r="L6510" s="194" t="str">
        <f>IF(G6510=30,1,M6509)</f>
      </c>
      <c r="M6510" s="195" t="str">
        <f>L6510*(1-K6510)</f>
      </c>
    </row>
    <row r="6511">
      <c r="A6511" t="s">
        <v>167</v>
      </c>
      <c r="B6511" t="s">
        <v>113</v>
      </c>
      <c r="C6511" s="35" t="s">
        <v>521</v>
      </c>
      <c r="D6511" t="s">
        <v>113</v>
      </c>
      <c r="E6511" t="s">
        <v>520</v>
      </c>
      <c r="F6511" s="188" t="n">
        <v>2031</v>
      </c>
      <c r="G6511" s="189" t="n">
        <v>59</v>
      </c>
      <c r="H6511" s="190" t="n">
        <v>17951.8721474338</v>
      </c>
      <c r="I6511" s="191" t="n">
        <v>3207368.75128229</v>
      </c>
      <c r="J6511" s="192" t="str">
        <f>IF(I6511&gt;0,H6511/I6511,0)</f>
      </c>
      <c r="K6511" s="193" t="str">
        <f>1-EXP(-J6511)</f>
      </c>
      <c r="L6511" s="194" t="str">
        <f>IF(G6511=30,1,M6510)</f>
      </c>
      <c r="M6511" s="195" t="str">
        <f>L6511*(1-K6511)</f>
      </c>
    </row>
    <row r="6512">
      <c r="A6512" t="s">
        <v>167</v>
      </c>
      <c r="B6512" t="s">
        <v>113</v>
      </c>
      <c r="C6512" s="35" t="s">
        <v>521</v>
      </c>
      <c r="D6512" t="s">
        <v>113</v>
      </c>
      <c r="E6512" t="s">
        <v>520</v>
      </c>
      <c r="F6512" s="188" t="n">
        <v>2031</v>
      </c>
      <c r="G6512" s="189" t="n">
        <v>60</v>
      </c>
      <c r="H6512" s="190" t="n">
        <v>19366.5955638488</v>
      </c>
      <c r="I6512" s="191" t="n">
        <v>3113924.37224849</v>
      </c>
      <c r="J6512" s="192" t="str">
        <f>IF(I6512&gt;0,H6512/I6512,0)</f>
      </c>
      <c r="K6512" s="193" t="str">
        <f>1-EXP(-J6512)</f>
      </c>
      <c r="L6512" s="194" t="str">
        <f>IF(G6512=30,1,M6511)</f>
      </c>
      <c r="M6512" s="195" t="str">
        <f>L6512*(1-K6512)</f>
      </c>
    </row>
    <row r="6513">
      <c r="A6513" t="s">
        <v>167</v>
      </c>
      <c r="B6513" t="s">
        <v>113</v>
      </c>
      <c r="C6513" s="35" t="s">
        <v>521</v>
      </c>
      <c r="D6513" t="s">
        <v>113</v>
      </c>
      <c r="E6513" t="s">
        <v>520</v>
      </c>
      <c r="F6513" s="188" t="n">
        <v>2031</v>
      </c>
      <c r="G6513" s="189" t="n">
        <v>61</v>
      </c>
      <c r="H6513" s="190" t="n">
        <v>20574.1447652631</v>
      </c>
      <c r="I6513" s="191" t="n">
        <v>3023852.47864436</v>
      </c>
      <c r="J6513" s="192" t="str">
        <f>IF(I6513&gt;0,H6513/I6513,0)</f>
      </c>
      <c r="K6513" s="193" t="str">
        <f>1-EXP(-J6513)</f>
      </c>
      <c r="L6513" s="194" t="str">
        <f>IF(G6513=30,1,M6512)</f>
      </c>
      <c r="M6513" s="195" t="str">
        <f>L6513*(1-K6513)</f>
      </c>
    </row>
    <row r="6514">
      <c r="A6514" t="s">
        <v>167</v>
      </c>
      <c r="B6514" t="s">
        <v>113</v>
      </c>
      <c r="C6514" s="35" t="s">
        <v>521</v>
      </c>
      <c r="D6514" t="s">
        <v>113</v>
      </c>
      <c r="E6514" t="s">
        <v>520</v>
      </c>
      <c r="F6514" s="188" t="n">
        <v>2031</v>
      </c>
      <c r="G6514" s="189" t="n">
        <v>62</v>
      </c>
      <c r="H6514" s="190" t="n">
        <v>21780.4149336295</v>
      </c>
      <c r="I6514" s="191" t="n">
        <v>2924989.71609889</v>
      </c>
      <c r="J6514" s="192" t="str">
        <f>IF(I6514&gt;0,H6514/I6514,0)</f>
      </c>
      <c r="K6514" s="193" t="str">
        <f>1-EXP(-J6514)</f>
      </c>
      <c r="L6514" s="194" t="str">
        <f>IF(G6514=30,1,M6513)</f>
      </c>
      <c r="M6514" s="195" t="str">
        <f>L6514*(1-K6514)</f>
      </c>
    </row>
    <row r="6515">
      <c r="A6515" t="s">
        <v>167</v>
      </c>
      <c r="B6515" t="s">
        <v>113</v>
      </c>
      <c r="C6515" s="35" t="s">
        <v>521</v>
      </c>
      <c r="D6515" t="s">
        <v>113</v>
      </c>
      <c r="E6515" t="s">
        <v>520</v>
      </c>
      <c r="F6515" s="188" t="n">
        <v>2031</v>
      </c>
      <c r="G6515" s="189" t="n">
        <v>63</v>
      </c>
      <c r="H6515" s="190" t="n">
        <v>22884.0638636395</v>
      </c>
      <c r="I6515" s="191" t="n">
        <v>2806848.10316126</v>
      </c>
      <c r="J6515" s="192" t="str">
        <f>IF(I6515&gt;0,H6515/I6515,0)</f>
      </c>
      <c r="K6515" s="193" t="str">
        <f>1-EXP(-J6515)</f>
      </c>
      <c r="L6515" s="194" t="str">
        <f>IF(G6515=30,1,M6514)</f>
      </c>
      <c r="M6515" s="195" t="str">
        <f>L6515*(1-K6515)</f>
      </c>
    </row>
    <row r="6516">
      <c r="A6516" t="s">
        <v>167</v>
      </c>
      <c r="B6516" t="s">
        <v>113</v>
      </c>
      <c r="C6516" s="35" t="s">
        <v>521</v>
      </c>
      <c r="D6516" t="s">
        <v>113</v>
      </c>
      <c r="E6516" t="s">
        <v>520</v>
      </c>
      <c r="F6516" s="188" t="n">
        <v>2031</v>
      </c>
      <c r="G6516" s="189" t="n">
        <v>64</v>
      </c>
      <c r="H6516" s="190" t="n">
        <v>23767.3950379303</v>
      </c>
      <c r="I6516" s="191" t="n">
        <v>2658693.36124506</v>
      </c>
      <c r="J6516" s="192" t="str">
        <f>IF(I6516&gt;0,H6516/I6516,0)</f>
      </c>
      <c r="K6516" s="193" t="str">
        <f>1-EXP(-J6516)</f>
      </c>
      <c r="L6516" s="194" t="str">
        <f>IF(G6516=30,1,M6515)</f>
      </c>
      <c r="M6516" s="195" t="str">
        <f>L6516*(1-K6516)</f>
      </c>
    </row>
    <row r="6517">
      <c r="A6517" t="s">
        <v>167</v>
      </c>
      <c r="B6517" t="s">
        <v>113</v>
      </c>
      <c r="C6517" s="35" t="s">
        <v>521</v>
      </c>
      <c r="D6517" t="s">
        <v>113</v>
      </c>
      <c r="E6517" t="s">
        <v>520</v>
      </c>
      <c r="F6517" s="188" t="n">
        <v>2031</v>
      </c>
      <c r="G6517" s="189" t="n">
        <v>65</v>
      </c>
      <c r="H6517" s="190" t="n">
        <v>24174.578041978</v>
      </c>
      <c r="I6517" s="191" t="n">
        <v>2545410.85878363</v>
      </c>
      <c r="J6517" s="192" t="str">
        <f>IF(I6517&gt;0,H6517/I6517,0)</f>
      </c>
      <c r="K6517" s="193" t="str">
        <f>1-EXP(-J6517)</f>
      </c>
      <c r="L6517" s="194" t="str">
        <f>IF(G6517=30,1,M6516)</f>
      </c>
      <c r="M6517" s="195" t="str">
        <f>L6517*(1-K6517)</f>
      </c>
    </row>
    <row r="6518">
      <c r="A6518" t="s">
        <v>167</v>
      </c>
      <c r="B6518" t="s">
        <v>113</v>
      </c>
      <c r="C6518" s="35" t="s">
        <v>521</v>
      </c>
      <c r="D6518" t="s">
        <v>113</v>
      </c>
      <c r="E6518" t="s">
        <v>520</v>
      </c>
      <c r="F6518" s="188" t="n">
        <v>2031</v>
      </c>
      <c r="G6518" s="189" t="n">
        <v>66</v>
      </c>
      <c r="H6518" s="190" t="n">
        <v>25110.0012409832</v>
      </c>
      <c r="I6518" s="191" t="n">
        <v>2411863.73452626</v>
      </c>
      <c r="J6518" s="192" t="str">
        <f>IF(I6518&gt;0,H6518/I6518,0)</f>
      </c>
      <c r="K6518" s="193" t="str">
        <f>1-EXP(-J6518)</f>
      </c>
      <c r="L6518" s="194" t="str">
        <f>IF(G6518=30,1,M6517)</f>
      </c>
      <c r="M6518" s="195" t="str">
        <f>L6518*(1-K6518)</f>
      </c>
    </row>
    <row r="6519">
      <c r="A6519" t="s">
        <v>167</v>
      </c>
      <c r="B6519" t="s">
        <v>113</v>
      </c>
      <c r="C6519" s="35" t="s">
        <v>521</v>
      </c>
      <c r="D6519" t="s">
        <v>113</v>
      </c>
      <c r="E6519" t="s">
        <v>520</v>
      </c>
      <c r="F6519" s="188" t="n">
        <v>2031</v>
      </c>
      <c r="G6519" s="189" t="n">
        <v>67</v>
      </c>
      <c r="H6519" s="190" t="n">
        <v>26016.2114906118</v>
      </c>
      <c r="I6519" s="191" t="n">
        <v>2278335.96109161</v>
      </c>
      <c r="J6519" s="192" t="str">
        <f>IF(I6519&gt;0,H6519/I6519,0)</f>
      </c>
      <c r="K6519" s="193" t="str">
        <f>1-EXP(-J6519)</f>
      </c>
      <c r="L6519" s="194" t="str">
        <f>IF(G6519=30,1,M6518)</f>
      </c>
      <c r="M6519" s="195" t="str">
        <f>L6519*(1-K6519)</f>
      </c>
    </row>
    <row r="6520">
      <c r="A6520" t="s">
        <v>167</v>
      </c>
      <c r="B6520" t="s">
        <v>113</v>
      </c>
      <c r="C6520" s="35" t="s">
        <v>521</v>
      </c>
      <c r="D6520" t="s">
        <v>113</v>
      </c>
      <c r="E6520" t="s">
        <v>520</v>
      </c>
      <c r="F6520" s="188" t="n">
        <v>2031</v>
      </c>
      <c r="G6520" s="189" t="n">
        <v>68</v>
      </c>
      <c r="H6520" s="190" t="n">
        <v>26939.0442779344</v>
      </c>
      <c r="I6520" s="191" t="n">
        <v>2149554.09196838</v>
      </c>
      <c r="J6520" s="192" t="str">
        <f>IF(I6520&gt;0,H6520/I6520,0)</f>
      </c>
      <c r="K6520" s="193" t="str">
        <f>1-EXP(-J6520)</f>
      </c>
      <c r="L6520" s="194" t="str">
        <f>IF(G6520=30,1,M6519)</f>
      </c>
      <c r="M6520" s="195" t="str">
        <f>L6520*(1-K6520)</f>
      </c>
    </row>
    <row r="6521">
      <c r="A6521" t="s">
        <v>167</v>
      </c>
      <c r="B6521" t="s">
        <v>113</v>
      </c>
      <c r="C6521" s="35" t="s">
        <v>521</v>
      </c>
      <c r="D6521" t="s">
        <v>113</v>
      </c>
      <c r="E6521" t="s">
        <v>520</v>
      </c>
      <c r="F6521" s="188" t="n">
        <v>2031</v>
      </c>
      <c r="G6521" s="189" t="n">
        <v>69</v>
      </c>
      <c r="H6521" s="190" t="n">
        <v>27581.0278495446</v>
      </c>
      <c r="I6521" s="191" t="n">
        <v>1996957.50131724</v>
      </c>
      <c r="J6521" s="192" t="str">
        <f>IF(I6521&gt;0,H6521/I6521,0)</f>
      </c>
      <c r="K6521" s="193" t="str">
        <f>1-EXP(-J6521)</f>
      </c>
      <c r="L6521" s="194" t="str">
        <f>IF(G6521=30,1,M6520)</f>
      </c>
      <c r="M6521" s="195" t="str">
        <f>L6521*(1-K6521)</f>
      </c>
    </row>
    <row r="6522">
      <c r="A6522" t="s">
        <v>167</v>
      </c>
      <c r="B6522" t="s">
        <v>113</v>
      </c>
      <c r="C6522" s="35" t="s">
        <v>521</v>
      </c>
      <c r="D6522" t="s">
        <v>113</v>
      </c>
      <c r="E6522" t="s">
        <v>520</v>
      </c>
      <c r="F6522" s="188" t="n">
        <v>2032</v>
      </c>
      <c r="G6522" s="189" t="n">
        <v>30</v>
      </c>
      <c r="H6522" s="190" t="n">
        <v>961.480511664882</v>
      </c>
      <c r="I6522" s="191" t="n">
        <v>4354849.46819927</v>
      </c>
      <c r="J6522" s="192" t="str">
        <f>IF(I6522&gt;0,H6522/I6522,0)</f>
      </c>
      <c r="K6522" s="193" t="str">
        <f>1-EXP(-J6522)</f>
      </c>
      <c r="L6522" s="194" t="str">
        <f>IF(G6522=30,1,M6521)</f>
      </c>
      <c r="M6522" s="195" t="str">
        <f>L6522*(1-K6522)</f>
      </c>
    </row>
    <row r="6523">
      <c r="A6523" t="s">
        <v>167</v>
      </c>
      <c r="B6523" t="s">
        <v>113</v>
      </c>
      <c r="C6523" s="35" t="s">
        <v>521</v>
      </c>
      <c r="D6523" t="s">
        <v>113</v>
      </c>
      <c r="E6523" t="s">
        <v>520</v>
      </c>
      <c r="F6523" s="188" t="n">
        <v>2032</v>
      </c>
      <c r="G6523" s="189" t="n">
        <v>31</v>
      </c>
      <c r="H6523" s="190" t="n">
        <v>1094.02467032201</v>
      </c>
      <c r="I6523" s="191" t="n">
        <v>4335139.846239</v>
      </c>
      <c r="J6523" s="192" t="str">
        <f>IF(I6523&gt;0,H6523/I6523,0)</f>
      </c>
      <c r="K6523" s="193" t="str">
        <f>1-EXP(-J6523)</f>
      </c>
      <c r="L6523" s="194" t="str">
        <f>IF(G6523=30,1,M6522)</f>
      </c>
      <c r="M6523" s="195" t="str">
        <f>L6523*(1-K6523)</f>
      </c>
    </row>
    <row r="6524">
      <c r="A6524" t="s">
        <v>167</v>
      </c>
      <c r="B6524" t="s">
        <v>113</v>
      </c>
      <c r="C6524" s="35" t="s">
        <v>521</v>
      </c>
      <c r="D6524" t="s">
        <v>113</v>
      </c>
      <c r="E6524" t="s">
        <v>520</v>
      </c>
      <c r="F6524" s="188" t="n">
        <v>2032</v>
      </c>
      <c r="G6524" s="189" t="n">
        <v>32</v>
      </c>
      <c r="H6524" s="190" t="n">
        <v>1145.43123167908</v>
      </c>
      <c r="I6524" s="191" t="n">
        <v>4315575.15865795</v>
      </c>
      <c r="J6524" s="192" t="str">
        <f>IF(I6524&gt;0,H6524/I6524,0)</f>
      </c>
      <c r="K6524" s="193" t="str">
        <f>1-EXP(-J6524)</f>
      </c>
      <c r="L6524" s="194" t="str">
        <f>IF(G6524=30,1,M6523)</f>
      </c>
      <c r="M6524" s="195" t="str">
        <f>L6524*(1-K6524)</f>
      </c>
    </row>
    <row r="6525">
      <c r="A6525" t="s">
        <v>167</v>
      </c>
      <c r="B6525" t="s">
        <v>113</v>
      </c>
      <c r="C6525" s="35" t="s">
        <v>521</v>
      </c>
      <c r="D6525" t="s">
        <v>113</v>
      </c>
      <c r="E6525" t="s">
        <v>520</v>
      </c>
      <c r="F6525" s="188" t="n">
        <v>2032</v>
      </c>
      <c r="G6525" s="189" t="n">
        <v>33</v>
      </c>
      <c r="H6525" s="190" t="n">
        <v>1217.66413004195</v>
      </c>
      <c r="I6525" s="191" t="n">
        <v>4335851.70891478</v>
      </c>
      <c r="J6525" s="192" t="str">
        <f>IF(I6525&gt;0,H6525/I6525,0)</f>
      </c>
      <c r="K6525" s="193" t="str">
        <f>1-EXP(-J6525)</f>
      </c>
      <c r="L6525" s="194" t="str">
        <f>IF(G6525=30,1,M6524)</f>
      </c>
      <c r="M6525" s="195" t="str">
        <f>L6525*(1-K6525)</f>
      </c>
    </row>
    <row r="6526">
      <c r="A6526" t="s">
        <v>167</v>
      </c>
      <c r="B6526" t="s">
        <v>113</v>
      </c>
      <c r="C6526" s="35" t="s">
        <v>521</v>
      </c>
      <c r="D6526" t="s">
        <v>113</v>
      </c>
      <c r="E6526" t="s">
        <v>520</v>
      </c>
      <c r="F6526" s="188" t="n">
        <v>2032</v>
      </c>
      <c r="G6526" s="189" t="n">
        <v>34</v>
      </c>
      <c r="H6526" s="190" t="n">
        <v>1314.72650440902</v>
      </c>
      <c r="I6526" s="191" t="n">
        <v>4395417.25790283</v>
      </c>
      <c r="J6526" s="192" t="str">
        <f>IF(I6526&gt;0,H6526/I6526,0)</f>
      </c>
      <c r="K6526" s="193" t="str">
        <f>1-EXP(-J6526)</f>
      </c>
      <c r="L6526" s="194" t="str">
        <f>IF(G6526=30,1,M6525)</f>
      </c>
      <c r="M6526" s="195" t="str">
        <f>L6526*(1-K6526)</f>
      </c>
    </row>
    <row r="6527">
      <c r="A6527" t="s">
        <v>167</v>
      </c>
      <c r="B6527" t="s">
        <v>113</v>
      </c>
      <c r="C6527" s="35" t="s">
        <v>521</v>
      </c>
      <c r="D6527" t="s">
        <v>113</v>
      </c>
      <c r="E6527" t="s">
        <v>520</v>
      </c>
      <c r="F6527" s="188" t="n">
        <v>2032</v>
      </c>
      <c r="G6527" s="189" t="n">
        <v>35</v>
      </c>
      <c r="H6527" s="190" t="n">
        <v>2106.8388825659</v>
      </c>
      <c r="I6527" s="191" t="n">
        <v>4534866.59431152</v>
      </c>
      <c r="J6527" s="192" t="str">
        <f>IF(I6527&gt;0,H6527/I6527,0)</f>
      </c>
      <c r="K6527" s="193" t="str">
        <f>1-EXP(-J6527)</f>
      </c>
      <c r="L6527" s="194" t="str">
        <f>IF(G6527=30,1,M6526)</f>
      </c>
      <c r="M6527" s="195" t="str">
        <f>L6527*(1-K6527)</f>
      </c>
    </row>
    <row r="6528">
      <c r="A6528" t="s">
        <v>167</v>
      </c>
      <c r="B6528" t="s">
        <v>113</v>
      </c>
      <c r="C6528" s="35" t="s">
        <v>521</v>
      </c>
      <c r="D6528" t="s">
        <v>113</v>
      </c>
      <c r="E6528" t="s">
        <v>520</v>
      </c>
      <c r="F6528" s="188" t="n">
        <v>2032</v>
      </c>
      <c r="G6528" s="189" t="n">
        <v>36</v>
      </c>
      <c r="H6528" s="190" t="n">
        <v>2230.51862326961</v>
      </c>
      <c r="I6528" s="191" t="n">
        <v>4490897.54097693</v>
      </c>
      <c r="J6528" s="192" t="str">
        <f>IF(I6528&gt;0,H6528/I6528,0)</f>
      </c>
      <c r="K6528" s="193" t="str">
        <f>1-EXP(-J6528)</f>
      </c>
      <c r="L6528" s="194" t="str">
        <f>IF(G6528=30,1,M6527)</f>
      </c>
      <c r="M6528" s="195" t="str">
        <f>L6528*(1-K6528)</f>
      </c>
    </row>
    <row r="6529">
      <c r="A6529" t="s">
        <v>167</v>
      </c>
      <c r="B6529" t="s">
        <v>113</v>
      </c>
      <c r="C6529" s="35" t="s">
        <v>521</v>
      </c>
      <c r="D6529" t="s">
        <v>113</v>
      </c>
      <c r="E6529" t="s">
        <v>520</v>
      </c>
      <c r="F6529" s="188" t="n">
        <v>2032</v>
      </c>
      <c r="G6529" s="189" t="n">
        <v>37</v>
      </c>
      <c r="H6529" s="190" t="n">
        <v>2352.34360004459</v>
      </c>
      <c r="I6529" s="191" t="n">
        <v>4417189.16177599</v>
      </c>
      <c r="J6529" s="192" t="str">
        <f>IF(I6529&gt;0,H6529/I6529,0)</f>
      </c>
      <c r="K6529" s="193" t="str">
        <f>1-EXP(-J6529)</f>
      </c>
      <c r="L6529" s="194" t="str">
        <f>IF(G6529=30,1,M6528)</f>
      </c>
      <c r="M6529" s="195" t="str">
        <f>L6529*(1-K6529)</f>
      </c>
    </row>
    <row r="6530">
      <c r="A6530" t="s">
        <v>167</v>
      </c>
      <c r="B6530" t="s">
        <v>113</v>
      </c>
      <c r="C6530" s="35" t="s">
        <v>521</v>
      </c>
      <c r="D6530" t="s">
        <v>113</v>
      </c>
      <c r="E6530" t="s">
        <v>520</v>
      </c>
      <c r="F6530" s="188" t="n">
        <v>2032</v>
      </c>
      <c r="G6530" s="189" t="n">
        <v>38</v>
      </c>
      <c r="H6530" s="190" t="n">
        <v>2494.43520150997</v>
      </c>
      <c r="I6530" s="191" t="n">
        <v>4359083.67287439</v>
      </c>
      <c r="J6530" s="192" t="str">
        <f>IF(I6530&gt;0,H6530/I6530,0)</f>
      </c>
      <c r="K6530" s="193" t="str">
        <f>1-EXP(-J6530)</f>
      </c>
      <c r="L6530" s="194" t="str">
        <f>IF(G6530=30,1,M6529)</f>
      </c>
      <c r="M6530" s="195" t="str">
        <f>L6530*(1-K6530)</f>
      </c>
    </row>
    <row r="6531">
      <c r="A6531" t="s">
        <v>167</v>
      </c>
      <c r="B6531" t="s">
        <v>113</v>
      </c>
      <c r="C6531" s="35" t="s">
        <v>521</v>
      </c>
      <c r="D6531" t="s">
        <v>113</v>
      </c>
      <c r="E6531" t="s">
        <v>520</v>
      </c>
      <c r="F6531" s="188" t="n">
        <v>2032</v>
      </c>
      <c r="G6531" s="189" t="n">
        <v>39</v>
      </c>
      <c r="H6531" s="190" t="n">
        <v>2651.45387379516</v>
      </c>
      <c r="I6531" s="191" t="n">
        <v>4304456.34150383</v>
      </c>
      <c r="J6531" s="192" t="str">
        <f>IF(I6531&gt;0,H6531/I6531,0)</f>
      </c>
      <c r="K6531" s="193" t="str">
        <f>1-EXP(-J6531)</f>
      </c>
      <c r="L6531" s="194" t="str">
        <f>IF(G6531=30,1,M6530)</f>
      </c>
      <c r="M6531" s="195" t="str">
        <f>L6531*(1-K6531)</f>
      </c>
    </row>
    <row r="6532">
      <c r="A6532" t="s">
        <v>167</v>
      </c>
      <c r="B6532" t="s">
        <v>113</v>
      </c>
      <c r="C6532" s="35" t="s">
        <v>521</v>
      </c>
      <c r="D6532" t="s">
        <v>113</v>
      </c>
      <c r="E6532" t="s">
        <v>520</v>
      </c>
      <c r="F6532" s="188" t="n">
        <v>2032</v>
      </c>
      <c r="G6532" s="189" t="n">
        <v>40</v>
      </c>
      <c r="H6532" s="190" t="n">
        <v>3589.61331817177</v>
      </c>
      <c r="I6532" s="191" t="n">
        <v>4340733.7753657</v>
      </c>
      <c r="J6532" s="192" t="str">
        <f>IF(I6532&gt;0,H6532/I6532,0)</f>
      </c>
      <c r="K6532" s="193" t="str">
        <f>1-EXP(-J6532)</f>
      </c>
      <c r="L6532" s="194" t="str">
        <f>IF(G6532=30,1,M6531)</f>
      </c>
      <c r="M6532" s="195" t="str">
        <f>L6532*(1-K6532)</f>
      </c>
    </row>
    <row r="6533">
      <c r="A6533" t="s">
        <v>167</v>
      </c>
      <c r="B6533" t="s">
        <v>113</v>
      </c>
      <c r="C6533" s="35" t="s">
        <v>521</v>
      </c>
      <c r="D6533" t="s">
        <v>113</v>
      </c>
      <c r="E6533" t="s">
        <v>520</v>
      </c>
      <c r="F6533" s="188" t="n">
        <v>2032</v>
      </c>
      <c r="G6533" s="189" t="n">
        <v>41</v>
      </c>
      <c r="H6533" s="190" t="n">
        <v>3894.44639204465</v>
      </c>
      <c r="I6533" s="191" t="n">
        <v>4356395.52567176</v>
      </c>
      <c r="J6533" s="192" t="str">
        <f>IF(I6533&gt;0,H6533/I6533,0)</f>
      </c>
      <c r="K6533" s="193" t="str">
        <f>1-EXP(-J6533)</f>
      </c>
      <c r="L6533" s="194" t="str">
        <f>IF(G6533=30,1,M6532)</f>
      </c>
      <c r="M6533" s="195" t="str">
        <f>L6533*(1-K6533)</f>
      </c>
    </row>
    <row r="6534">
      <c r="A6534" t="s">
        <v>167</v>
      </c>
      <c r="B6534" t="s">
        <v>113</v>
      </c>
      <c r="C6534" s="35" t="s">
        <v>521</v>
      </c>
      <c r="D6534" t="s">
        <v>113</v>
      </c>
      <c r="E6534" t="s">
        <v>520</v>
      </c>
      <c r="F6534" s="188" t="n">
        <v>2032</v>
      </c>
      <c r="G6534" s="189" t="n">
        <v>42</v>
      </c>
      <c r="H6534" s="190" t="n">
        <v>5895.98673985277</v>
      </c>
      <c r="I6534" s="191" t="n">
        <v>6413762.28200501</v>
      </c>
      <c r="J6534" s="192" t="str">
        <f>IF(I6534&gt;0,H6534/I6534,0)</f>
      </c>
      <c r="K6534" s="193" t="str">
        <f>1-EXP(-J6534)</f>
      </c>
      <c r="L6534" s="194" t="str">
        <f>IF(G6534=30,1,M6533)</f>
      </c>
      <c r="M6534" s="195" t="str">
        <f>L6534*(1-K6534)</f>
      </c>
    </row>
    <row r="6535">
      <c r="A6535" t="s">
        <v>167</v>
      </c>
      <c r="B6535" t="s">
        <v>113</v>
      </c>
      <c r="C6535" s="35" t="s">
        <v>521</v>
      </c>
      <c r="D6535" t="s">
        <v>113</v>
      </c>
      <c r="E6535" t="s">
        <v>520</v>
      </c>
      <c r="F6535" s="188" t="n">
        <v>2032</v>
      </c>
      <c r="G6535" s="189" t="n">
        <v>43</v>
      </c>
      <c r="H6535" s="190" t="n">
        <v>4545.00620071352</v>
      </c>
      <c r="I6535" s="191" t="n">
        <v>4311630.10645228</v>
      </c>
      <c r="J6535" s="192" t="str">
        <f>IF(I6535&gt;0,H6535/I6535,0)</f>
      </c>
      <c r="K6535" s="193" t="str">
        <f>1-EXP(-J6535)</f>
      </c>
      <c r="L6535" s="194" t="str">
        <f>IF(G6535=30,1,M6534)</f>
      </c>
      <c r="M6535" s="195" t="str">
        <f>L6535*(1-K6535)</f>
      </c>
    </row>
    <row r="6536">
      <c r="A6536" t="s">
        <v>167</v>
      </c>
      <c r="B6536" t="s">
        <v>113</v>
      </c>
      <c r="C6536" s="35" t="s">
        <v>521</v>
      </c>
      <c r="D6536" t="s">
        <v>113</v>
      </c>
      <c r="E6536" t="s">
        <v>520</v>
      </c>
      <c r="F6536" s="188" t="n">
        <v>2032</v>
      </c>
      <c r="G6536" s="189" t="n">
        <v>44</v>
      </c>
      <c r="H6536" s="190" t="n">
        <v>4936.96443360888</v>
      </c>
      <c r="I6536" s="191" t="n">
        <v>4292924.33985826</v>
      </c>
      <c r="J6536" s="192" t="str">
        <f>IF(I6536&gt;0,H6536/I6536,0)</f>
      </c>
      <c r="K6536" s="193" t="str">
        <f>1-EXP(-J6536)</f>
      </c>
      <c r="L6536" s="194" t="str">
        <f>IF(G6536=30,1,M6535)</f>
      </c>
      <c r="M6536" s="195" t="str">
        <f>L6536*(1-K6536)</f>
      </c>
    </row>
    <row r="6537">
      <c r="A6537" t="s">
        <v>167</v>
      </c>
      <c r="B6537" t="s">
        <v>113</v>
      </c>
      <c r="C6537" s="35" t="s">
        <v>521</v>
      </c>
      <c r="D6537" t="s">
        <v>113</v>
      </c>
      <c r="E6537" t="s">
        <v>520</v>
      </c>
      <c r="F6537" s="188" t="n">
        <v>2032</v>
      </c>
      <c r="G6537" s="189" t="n">
        <v>45</v>
      </c>
      <c r="H6537" s="190" t="n">
        <v>6178.17623025625</v>
      </c>
      <c r="I6537" s="191" t="n">
        <v>4159154.89416938</v>
      </c>
      <c r="J6537" s="192" t="str">
        <f>IF(I6537&gt;0,H6537/I6537,0)</f>
      </c>
      <c r="K6537" s="193" t="str">
        <f>1-EXP(-J6537)</f>
      </c>
      <c r="L6537" s="194" t="str">
        <f>IF(G6537=30,1,M6536)</f>
      </c>
      <c r="M6537" s="195" t="str">
        <f>L6537*(1-K6537)</f>
      </c>
    </row>
    <row r="6538">
      <c r="A6538" t="s">
        <v>167</v>
      </c>
      <c r="B6538" t="s">
        <v>113</v>
      </c>
      <c r="C6538" s="35" t="s">
        <v>521</v>
      </c>
      <c r="D6538" t="s">
        <v>113</v>
      </c>
      <c r="E6538" t="s">
        <v>520</v>
      </c>
      <c r="F6538" s="188" t="n">
        <v>2032</v>
      </c>
      <c r="G6538" s="189" t="n">
        <v>46</v>
      </c>
      <c r="H6538" s="190" t="n">
        <v>6703.04195059818</v>
      </c>
      <c r="I6538" s="191" t="n">
        <v>4121203.743067</v>
      </c>
      <c r="J6538" s="192" t="str">
        <f>IF(I6538&gt;0,H6538/I6538,0)</f>
      </c>
      <c r="K6538" s="193" t="str">
        <f>1-EXP(-J6538)</f>
      </c>
      <c r="L6538" s="194" t="str">
        <f>IF(G6538=30,1,M6537)</f>
      </c>
      <c r="M6538" s="195" t="str">
        <f>L6538*(1-K6538)</f>
      </c>
    </row>
    <row r="6539">
      <c r="A6539" t="s">
        <v>167</v>
      </c>
      <c r="B6539" t="s">
        <v>113</v>
      </c>
      <c r="C6539" s="35" t="s">
        <v>521</v>
      </c>
      <c r="D6539" t="s">
        <v>113</v>
      </c>
      <c r="E6539" t="s">
        <v>520</v>
      </c>
      <c r="F6539" s="188" t="n">
        <v>2032</v>
      </c>
      <c r="G6539" s="189" t="n">
        <v>47</v>
      </c>
      <c r="H6539" s="190" t="n">
        <v>7444.60217640774</v>
      </c>
      <c r="I6539" s="191" t="n">
        <v>4176687.56926564</v>
      </c>
      <c r="J6539" s="192" t="str">
        <f>IF(I6539&gt;0,H6539/I6539,0)</f>
      </c>
      <c r="K6539" s="193" t="str">
        <f>1-EXP(-J6539)</f>
      </c>
      <c r="L6539" s="194" t="str">
        <f>IF(G6539=30,1,M6538)</f>
      </c>
      <c r="M6539" s="195" t="str">
        <f>L6539*(1-K6539)</f>
      </c>
    </row>
    <row r="6540">
      <c r="A6540" t="s">
        <v>167</v>
      </c>
      <c r="B6540" t="s">
        <v>113</v>
      </c>
      <c r="C6540" s="35" t="s">
        <v>521</v>
      </c>
      <c r="D6540" t="s">
        <v>113</v>
      </c>
      <c r="E6540" t="s">
        <v>520</v>
      </c>
      <c r="F6540" s="188" t="n">
        <v>2032</v>
      </c>
      <c r="G6540" s="189" t="n">
        <v>48</v>
      </c>
      <c r="H6540" s="190" t="n">
        <v>8313.696765441</v>
      </c>
      <c r="I6540" s="191" t="n">
        <v>4256561.82340379</v>
      </c>
      <c r="J6540" s="192" t="str">
        <f>IF(I6540&gt;0,H6540/I6540,0)</f>
      </c>
      <c r="K6540" s="193" t="str">
        <f>1-EXP(-J6540)</f>
      </c>
      <c r="L6540" s="194" t="str">
        <f>IF(G6540=30,1,M6539)</f>
      </c>
      <c r="M6540" s="195" t="str">
        <f>L6540*(1-K6540)</f>
      </c>
    </row>
    <row r="6541">
      <c r="A6541" t="s">
        <v>167</v>
      </c>
      <c r="B6541" t="s">
        <v>113</v>
      </c>
      <c r="C6541" s="35" t="s">
        <v>521</v>
      </c>
      <c r="D6541" t="s">
        <v>113</v>
      </c>
      <c r="E6541" t="s">
        <v>520</v>
      </c>
      <c r="F6541" s="188" t="n">
        <v>2032</v>
      </c>
      <c r="G6541" s="189" t="n">
        <v>49</v>
      </c>
      <c r="H6541" s="190" t="n">
        <v>9044.16946141965</v>
      </c>
      <c r="I6541" s="191" t="n">
        <v>4228102.39631354</v>
      </c>
      <c r="J6541" s="192" t="str">
        <f>IF(I6541&gt;0,H6541/I6541,0)</f>
      </c>
      <c r="K6541" s="193" t="str">
        <f>1-EXP(-J6541)</f>
      </c>
      <c r="L6541" s="194" t="str">
        <f>IF(G6541=30,1,M6540)</f>
      </c>
      <c r="M6541" s="195" t="str">
        <f>L6541*(1-K6541)</f>
      </c>
    </row>
    <row r="6542">
      <c r="A6542" t="s">
        <v>167</v>
      </c>
      <c r="B6542" t="s">
        <v>113</v>
      </c>
      <c r="C6542" s="35" t="s">
        <v>521</v>
      </c>
      <c r="D6542" t="s">
        <v>113</v>
      </c>
      <c r="E6542" t="s">
        <v>520</v>
      </c>
      <c r="F6542" s="188" t="n">
        <v>2032</v>
      </c>
      <c r="G6542" s="189" t="n">
        <v>50</v>
      </c>
      <c r="H6542" s="190" t="n">
        <v>10162.6209781771</v>
      </c>
      <c r="I6542" s="191" t="n">
        <v>4088165.13570877</v>
      </c>
      <c r="J6542" s="192" t="str">
        <f>IF(I6542&gt;0,H6542/I6542,0)</f>
      </c>
      <c r="K6542" s="193" t="str">
        <f>1-EXP(-J6542)</f>
      </c>
      <c r="L6542" s="194" t="str">
        <f>IF(G6542=30,1,M6541)</f>
      </c>
      <c r="M6542" s="195" t="str">
        <f>L6542*(1-K6542)</f>
      </c>
    </row>
    <row r="6543">
      <c r="A6543" t="s">
        <v>167</v>
      </c>
      <c r="B6543" t="s">
        <v>113</v>
      </c>
      <c r="C6543" s="35" t="s">
        <v>521</v>
      </c>
      <c r="D6543" t="s">
        <v>113</v>
      </c>
      <c r="E6543" t="s">
        <v>520</v>
      </c>
      <c r="F6543" s="188" t="n">
        <v>2032</v>
      </c>
      <c r="G6543" s="189" t="n">
        <v>51</v>
      </c>
      <c r="H6543" s="190" t="n">
        <v>10892.4633413442</v>
      </c>
      <c r="I6543" s="191" t="n">
        <v>4008776.65101239</v>
      </c>
      <c r="J6543" s="192" t="str">
        <f>IF(I6543&gt;0,H6543/I6543,0)</f>
      </c>
      <c r="K6543" s="193" t="str">
        <f>1-EXP(-J6543)</f>
      </c>
      <c r="L6543" s="194" t="str">
        <f>IF(G6543=30,1,M6542)</f>
      </c>
      <c r="M6543" s="195" t="str">
        <f>L6543*(1-K6543)</f>
      </c>
    </row>
    <row r="6544">
      <c r="A6544" t="s">
        <v>167</v>
      </c>
      <c r="B6544" t="s">
        <v>113</v>
      </c>
      <c r="C6544" s="35" t="s">
        <v>521</v>
      </c>
      <c r="D6544" t="s">
        <v>113</v>
      </c>
      <c r="E6544" t="s">
        <v>520</v>
      </c>
      <c r="F6544" s="188" t="n">
        <v>2032</v>
      </c>
      <c r="G6544" s="189" t="n">
        <v>52</v>
      </c>
      <c r="H6544" s="190" t="n">
        <v>11712.0332778525</v>
      </c>
      <c r="I6544" s="191" t="n">
        <v>3945478.57332312</v>
      </c>
      <c r="J6544" s="192" t="str">
        <f>IF(I6544&gt;0,H6544/I6544,0)</f>
      </c>
      <c r="K6544" s="193" t="str">
        <f>1-EXP(-J6544)</f>
      </c>
      <c r="L6544" s="194" t="str">
        <f>IF(G6544=30,1,M6543)</f>
      </c>
      <c r="M6544" s="195" t="str">
        <f>L6544*(1-K6544)</f>
      </c>
    </row>
    <row r="6545">
      <c r="A6545" t="s">
        <v>167</v>
      </c>
      <c r="B6545" t="s">
        <v>113</v>
      </c>
      <c r="C6545" s="35" t="s">
        <v>521</v>
      </c>
      <c r="D6545" t="s">
        <v>113</v>
      </c>
      <c r="E6545" t="s">
        <v>520</v>
      </c>
      <c r="F6545" s="188" t="n">
        <v>2032</v>
      </c>
      <c r="G6545" s="189" t="n">
        <v>53</v>
      </c>
      <c r="H6545" s="190" t="n">
        <v>12567.4499119161</v>
      </c>
      <c r="I6545" s="191" t="n">
        <v>3876478.03991294</v>
      </c>
      <c r="J6545" s="192" t="str">
        <f>IF(I6545&gt;0,H6545/I6545,0)</f>
      </c>
      <c r="K6545" s="193" t="str">
        <f>1-EXP(-J6545)</f>
      </c>
      <c r="L6545" s="194" t="str">
        <f>IF(G6545=30,1,M6544)</f>
      </c>
      <c r="M6545" s="195" t="str">
        <f>L6545*(1-K6545)</f>
      </c>
    </row>
    <row r="6546">
      <c r="A6546" t="s">
        <v>167</v>
      </c>
      <c r="B6546" t="s">
        <v>113</v>
      </c>
      <c r="C6546" s="35" t="s">
        <v>521</v>
      </c>
      <c r="D6546" t="s">
        <v>113</v>
      </c>
      <c r="E6546" t="s">
        <v>520</v>
      </c>
      <c r="F6546" s="188" t="n">
        <v>2032</v>
      </c>
      <c r="G6546" s="189" t="n">
        <v>54</v>
      </c>
      <c r="H6546" s="190" t="n">
        <v>13411.0410164482</v>
      </c>
      <c r="I6546" s="191" t="n">
        <v>3788061.79527493</v>
      </c>
      <c r="J6546" s="192" t="str">
        <f>IF(I6546&gt;0,H6546/I6546,0)</f>
      </c>
      <c r="K6546" s="193" t="str">
        <f>1-EXP(-J6546)</f>
      </c>
      <c r="L6546" s="194" t="str">
        <f>IF(G6546=30,1,M6545)</f>
      </c>
      <c r="M6546" s="195" t="str">
        <f>L6546*(1-K6546)</f>
      </c>
    </row>
    <row r="6547">
      <c r="A6547" t="s">
        <v>167</v>
      </c>
      <c r="B6547" t="s">
        <v>113</v>
      </c>
      <c r="C6547" s="35" t="s">
        <v>521</v>
      </c>
      <c r="D6547" t="s">
        <v>113</v>
      </c>
      <c r="E6547" t="s">
        <v>520</v>
      </c>
      <c r="F6547" s="188" t="n">
        <v>2032</v>
      </c>
      <c r="G6547" s="189" t="n">
        <v>55</v>
      </c>
      <c r="H6547" s="190" t="n">
        <v>14472.814548833</v>
      </c>
      <c r="I6547" s="191" t="n">
        <v>3715989.55284374</v>
      </c>
      <c r="J6547" s="192" t="str">
        <f>IF(I6547&gt;0,H6547/I6547,0)</f>
      </c>
      <c r="K6547" s="193" t="str">
        <f>1-EXP(-J6547)</f>
      </c>
      <c r="L6547" s="194" t="str">
        <f>IF(G6547=30,1,M6546)</f>
      </c>
      <c r="M6547" s="195" t="str">
        <f>L6547*(1-K6547)</f>
      </c>
    </row>
    <row r="6548">
      <c r="A6548" t="s">
        <v>167</v>
      </c>
      <c r="B6548" t="s">
        <v>113</v>
      </c>
      <c r="C6548" s="35" t="s">
        <v>521</v>
      </c>
      <c r="D6548" t="s">
        <v>113</v>
      </c>
      <c r="E6548" t="s">
        <v>520</v>
      </c>
      <c r="F6548" s="188" t="n">
        <v>2032</v>
      </c>
      <c r="G6548" s="189" t="n">
        <v>56</v>
      </c>
      <c r="H6548" s="190" t="n">
        <v>15441.5931500849</v>
      </c>
      <c r="I6548" s="191" t="n">
        <v>3631591.00304404</v>
      </c>
      <c r="J6548" s="192" t="str">
        <f>IF(I6548&gt;0,H6548/I6548,0)</f>
      </c>
      <c r="K6548" s="193" t="str">
        <f>1-EXP(-J6548)</f>
      </c>
      <c r="L6548" s="194" t="str">
        <f>IF(G6548=30,1,M6547)</f>
      </c>
      <c r="M6548" s="195" t="str">
        <f>L6548*(1-K6548)</f>
      </c>
    </row>
    <row r="6549">
      <c r="A6549" t="s">
        <v>167</v>
      </c>
      <c r="B6549" t="s">
        <v>113</v>
      </c>
      <c r="C6549" s="35" t="s">
        <v>521</v>
      </c>
      <c r="D6549" t="s">
        <v>113</v>
      </c>
      <c r="E6549" t="s">
        <v>520</v>
      </c>
      <c r="F6549" s="188" t="n">
        <v>2032</v>
      </c>
      <c r="G6549" s="189" t="n">
        <v>57</v>
      </c>
      <c r="H6549" s="190" t="n">
        <v>16470.272069612</v>
      </c>
      <c r="I6549" s="191" t="n">
        <v>3546445.96184909</v>
      </c>
      <c r="J6549" s="192" t="str">
        <f>IF(I6549&gt;0,H6549/I6549,0)</f>
      </c>
      <c r="K6549" s="193" t="str">
        <f>1-EXP(-J6549)</f>
      </c>
      <c r="L6549" s="194" t="str">
        <f>IF(G6549=30,1,M6548)</f>
      </c>
      <c r="M6549" s="195" t="str">
        <f>L6549*(1-K6549)</f>
      </c>
    </row>
    <row r="6550">
      <c r="A6550" t="s">
        <v>167</v>
      </c>
      <c r="B6550" t="s">
        <v>113</v>
      </c>
      <c r="C6550" s="35" t="s">
        <v>521</v>
      </c>
      <c r="D6550" t="s">
        <v>113</v>
      </c>
      <c r="E6550" t="s">
        <v>520</v>
      </c>
      <c r="F6550" s="188" t="n">
        <v>2032</v>
      </c>
      <c r="G6550" s="189" t="n">
        <v>58</v>
      </c>
      <c r="H6550" s="190" t="n">
        <v>17429.9798017942</v>
      </c>
      <c r="I6550" s="191" t="n">
        <v>3434194.8998143</v>
      </c>
      <c r="J6550" s="192" t="str">
        <f>IF(I6550&gt;0,H6550/I6550,0)</f>
      </c>
      <c r="K6550" s="193" t="str">
        <f>1-EXP(-J6550)</f>
      </c>
      <c r="L6550" s="194" t="str">
        <f>IF(G6550=30,1,M6549)</f>
      </c>
      <c r="M6550" s="195" t="str">
        <f>L6550*(1-K6550)</f>
      </c>
    </row>
    <row r="6551">
      <c r="A6551" t="s">
        <v>167</v>
      </c>
      <c r="B6551" t="s">
        <v>113</v>
      </c>
      <c r="C6551" s="35" t="s">
        <v>521</v>
      </c>
      <c r="D6551" t="s">
        <v>113</v>
      </c>
      <c r="E6551" t="s">
        <v>520</v>
      </c>
      <c r="F6551" s="188" t="n">
        <v>2032</v>
      </c>
      <c r="G6551" s="189" t="n">
        <v>59</v>
      </c>
      <c r="H6551" s="190" t="n">
        <v>18755.5674414292</v>
      </c>
      <c r="I6551" s="191" t="n">
        <v>3379704.87695241</v>
      </c>
      <c r="J6551" s="192" t="str">
        <f>IF(I6551&gt;0,H6551/I6551,0)</f>
      </c>
      <c r="K6551" s="193" t="str">
        <f>1-EXP(-J6551)</f>
      </c>
      <c r="L6551" s="194" t="str">
        <f>IF(G6551=30,1,M6550)</f>
      </c>
      <c r="M6551" s="195" t="str">
        <f>L6551*(1-K6551)</f>
      </c>
    </row>
    <row r="6552">
      <c r="A6552" t="s">
        <v>167</v>
      </c>
      <c r="B6552" t="s">
        <v>113</v>
      </c>
      <c r="C6552" s="35" t="s">
        <v>521</v>
      </c>
      <c r="D6552" t="s">
        <v>113</v>
      </c>
      <c r="E6552" t="s">
        <v>520</v>
      </c>
      <c r="F6552" s="188" t="n">
        <v>2032</v>
      </c>
      <c r="G6552" s="189" t="n">
        <v>60</v>
      </c>
      <c r="H6552" s="190" t="n">
        <v>19512.3931655353</v>
      </c>
      <c r="I6552" s="191" t="n">
        <v>3166861.02947435</v>
      </c>
      <c r="J6552" s="192" t="str">
        <f>IF(I6552&gt;0,H6552/I6552,0)</f>
      </c>
      <c r="K6552" s="193" t="str">
        <f>1-EXP(-J6552)</f>
      </c>
      <c r="L6552" s="194" t="str">
        <f>IF(G6552=30,1,M6551)</f>
      </c>
      <c r="M6552" s="195" t="str">
        <f>L6552*(1-K6552)</f>
      </c>
    </row>
    <row r="6553">
      <c r="A6553" t="s">
        <v>167</v>
      </c>
      <c r="B6553" t="s">
        <v>113</v>
      </c>
      <c r="C6553" s="35" t="s">
        <v>521</v>
      </c>
      <c r="D6553" t="s">
        <v>113</v>
      </c>
      <c r="E6553" t="s">
        <v>520</v>
      </c>
      <c r="F6553" s="188" t="n">
        <v>2032</v>
      </c>
      <c r="G6553" s="189" t="n">
        <v>61</v>
      </c>
      <c r="H6553" s="190" t="n">
        <v>20698.9892186878</v>
      </c>
      <c r="I6553" s="191" t="n">
        <v>3070389.97834508</v>
      </c>
      <c r="J6553" s="192" t="str">
        <f>IF(I6553&gt;0,H6553/I6553,0)</f>
      </c>
      <c r="K6553" s="193" t="str">
        <f>1-EXP(-J6553)</f>
      </c>
      <c r="L6553" s="194" t="str">
        <f>IF(G6553=30,1,M6552)</f>
      </c>
      <c r="M6553" s="195" t="str">
        <f>L6553*(1-K6553)</f>
      </c>
    </row>
    <row r="6554">
      <c r="A6554" t="s">
        <v>167</v>
      </c>
      <c r="B6554" t="s">
        <v>113</v>
      </c>
      <c r="C6554" s="35" t="s">
        <v>521</v>
      </c>
      <c r="D6554" t="s">
        <v>113</v>
      </c>
      <c r="E6554" t="s">
        <v>520</v>
      </c>
      <c r="F6554" s="188" t="n">
        <v>2032</v>
      </c>
      <c r="G6554" s="189" t="n">
        <v>62</v>
      </c>
      <c r="H6554" s="190" t="n">
        <v>21977.5453605243</v>
      </c>
      <c r="I6554" s="191" t="n">
        <v>2978118.13328235</v>
      </c>
      <c r="J6554" s="192" t="str">
        <f>IF(I6554&gt;0,H6554/I6554,0)</f>
      </c>
      <c r="K6554" s="193" t="str">
        <f>1-EXP(-J6554)</f>
      </c>
      <c r="L6554" s="194" t="str">
        <f>IF(G6554=30,1,M6553)</f>
      </c>
      <c r="M6554" s="195" t="str">
        <f>L6554*(1-K6554)</f>
      </c>
    </row>
    <row r="6555">
      <c r="A6555" t="s">
        <v>167</v>
      </c>
      <c r="B6555" t="s">
        <v>113</v>
      </c>
      <c r="C6555" s="35" t="s">
        <v>521</v>
      </c>
      <c r="D6555" t="s">
        <v>113</v>
      </c>
      <c r="E6555" t="s">
        <v>520</v>
      </c>
      <c r="F6555" s="188" t="n">
        <v>2032</v>
      </c>
      <c r="G6555" s="189" t="n">
        <v>63</v>
      </c>
      <c r="H6555" s="190" t="n">
        <v>23246.001776265</v>
      </c>
      <c r="I6555" s="191" t="n">
        <v>2876586.81816137</v>
      </c>
      <c r="J6555" s="192" t="str">
        <f>IF(I6555&gt;0,H6555/I6555,0)</f>
      </c>
      <c r="K6555" s="193" t="str">
        <f>1-EXP(-J6555)</f>
      </c>
      <c r="L6555" s="194" t="str">
        <f>IF(G6555=30,1,M6554)</f>
      </c>
      <c r="M6555" s="195" t="str">
        <f>L6555*(1-K6555)</f>
      </c>
    </row>
    <row r="6556">
      <c r="A6556" t="s">
        <v>167</v>
      </c>
      <c r="B6556" t="s">
        <v>113</v>
      </c>
      <c r="C6556" s="35" t="s">
        <v>521</v>
      </c>
      <c r="D6556" t="s">
        <v>113</v>
      </c>
      <c r="E6556" t="s">
        <v>520</v>
      </c>
      <c r="F6556" s="188" t="n">
        <v>2032</v>
      </c>
      <c r="G6556" s="189" t="n">
        <v>64</v>
      </c>
      <c r="H6556" s="190" t="n">
        <v>24397.190855689</v>
      </c>
      <c r="I6556" s="191" t="n">
        <v>2756005.53676857</v>
      </c>
      <c r="J6556" s="192" t="str">
        <f>IF(I6556&gt;0,H6556/I6556,0)</f>
      </c>
      <c r="K6556" s="193" t="str">
        <f>1-EXP(-J6556)</f>
      </c>
      <c r="L6556" s="194" t="str">
        <f>IF(G6556=30,1,M6555)</f>
      </c>
      <c r="M6556" s="195" t="str">
        <f>L6556*(1-K6556)</f>
      </c>
    </row>
    <row r="6557">
      <c r="A6557" t="s">
        <v>167</v>
      </c>
      <c r="B6557" t="s">
        <v>113</v>
      </c>
      <c r="C6557" s="35" t="s">
        <v>521</v>
      </c>
      <c r="D6557" t="s">
        <v>113</v>
      </c>
      <c r="E6557" t="s">
        <v>520</v>
      </c>
      <c r="F6557" s="188" t="n">
        <v>2032</v>
      </c>
      <c r="G6557" s="189" t="n">
        <v>65</v>
      </c>
      <c r="H6557" s="190" t="n">
        <v>24502.4431168295</v>
      </c>
      <c r="I6557" s="191" t="n">
        <v>2605900.330032</v>
      </c>
      <c r="J6557" s="192" t="str">
        <f>IF(I6557&gt;0,H6557/I6557,0)</f>
      </c>
      <c r="K6557" s="193" t="str">
        <f>1-EXP(-J6557)</f>
      </c>
      <c r="L6557" s="194" t="str">
        <f>IF(G6557=30,1,M6556)</f>
      </c>
      <c r="M6557" s="195" t="str">
        <f>L6557*(1-K6557)</f>
      </c>
    </row>
    <row r="6558">
      <c r="A6558" t="s">
        <v>167</v>
      </c>
      <c r="B6558" t="s">
        <v>113</v>
      </c>
      <c r="C6558" s="35" t="s">
        <v>521</v>
      </c>
      <c r="D6558" t="s">
        <v>113</v>
      </c>
      <c r="E6558" t="s">
        <v>520</v>
      </c>
      <c r="F6558" s="188" t="n">
        <v>2032</v>
      </c>
      <c r="G6558" s="189" t="n">
        <v>66</v>
      </c>
      <c r="H6558" s="190" t="n">
        <v>25674.5921602599</v>
      </c>
      <c r="I6558" s="191" t="n">
        <v>2490329.24134941</v>
      </c>
      <c r="J6558" s="192" t="str">
        <f>IF(I6558&gt;0,H6558/I6558,0)</f>
      </c>
      <c r="K6558" s="193" t="str">
        <f>1-EXP(-J6558)</f>
      </c>
      <c r="L6558" s="194" t="str">
        <f>IF(G6558=30,1,M6557)</f>
      </c>
      <c r="M6558" s="195" t="str">
        <f>L6558*(1-K6558)</f>
      </c>
    </row>
    <row r="6559">
      <c r="A6559" t="s">
        <v>167</v>
      </c>
      <c r="B6559" t="s">
        <v>113</v>
      </c>
      <c r="C6559" s="35" t="s">
        <v>521</v>
      </c>
      <c r="D6559" t="s">
        <v>113</v>
      </c>
      <c r="E6559" t="s">
        <v>520</v>
      </c>
      <c r="F6559" s="188" t="n">
        <v>2032</v>
      </c>
      <c r="G6559" s="189" t="n">
        <v>67</v>
      </c>
      <c r="H6559" s="190" t="n">
        <v>26622.9785457212</v>
      </c>
      <c r="I6559" s="191" t="n">
        <v>2354401.78396216</v>
      </c>
      <c r="J6559" s="192" t="str">
        <f>IF(I6559&gt;0,H6559/I6559,0)</f>
      </c>
      <c r="K6559" s="193" t="str">
        <f>1-EXP(-J6559)</f>
      </c>
      <c r="L6559" s="194" t="str">
        <f>IF(G6559=30,1,M6558)</f>
      </c>
      <c r="M6559" s="195" t="str">
        <f>L6559*(1-K6559)</f>
      </c>
    </row>
    <row r="6560">
      <c r="A6560" t="s">
        <v>167</v>
      </c>
      <c r="B6560" t="s">
        <v>113</v>
      </c>
      <c r="C6560" s="35" t="s">
        <v>521</v>
      </c>
      <c r="D6560" t="s">
        <v>113</v>
      </c>
      <c r="E6560" t="s">
        <v>520</v>
      </c>
      <c r="F6560" s="188" t="n">
        <v>2032</v>
      </c>
      <c r="G6560" s="189" t="n">
        <v>68</v>
      </c>
      <c r="H6560" s="190" t="n">
        <v>27539.2066666255</v>
      </c>
      <c r="I6560" s="191" t="n">
        <v>2218840.5848262</v>
      </c>
      <c r="J6560" s="192" t="str">
        <f>IF(I6560&gt;0,H6560/I6560,0)</f>
      </c>
      <c r="K6560" s="193" t="str">
        <f>1-EXP(-J6560)</f>
      </c>
      <c r="L6560" s="194" t="str">
        <f>IF(G6560=30,1,M6559)</f>
      </c>
      <c r="M6560" s="195" t="str">
        <f>L6560*(1-K6560)</f>
      </c>
    </row>
    <row r="6561">
      <c r="A6561" t="s">
        <v>167</v>
      </c>
      <c r="B6561" t="s">
        <v>113</v>
      </c>
      <c r="C6561" s="35" t="s">
        <v>521</v>
      </c>
      <c r="D6561" t="s">
        <v>113</v>
      </c>
      <c r="E6561" t="s">
        <v>520</v>
      </c>
      <c r="F6561" s="188" t="n">
        <v>2032</v>
      </c>
      <c r="G6561" s="189" t="n">
        <v>69</v>
      </c>
      <c r="H6561" s="190" t="n">
        <v>28467.7530711322</v>
      </c>
      <c r="I6561" s="191" t="n">
        <v>2087996.69247273</v>
      </c>
      <c r="J6561" s="192" t="str">
        <f>IF(I6561&gt;0,H6561/I6561,0)</f>
      </c>
      <c r="K6561" s="193" t="str">
        <f>1-EXP(-J6561)</f>
      </c>
      <c r="L6561" s="194" t="str">
        <f>IF(G6561=30,1,M6560)</f>
      </c>
      <c r="M6561" s="195" t="str">
        <f>L6561*(1-K6561)</f>
      </c>
    </row>
    <row r="6562">
      <c r="A6562" t="s">
        <v>167</v>
      </c>
      <c r="B6562" t="s">
        <v>113</v>
      </c>
      <c r="C6562" s="35" t="s">
        <v>521</v>
      </c>
      <c r="D6562" t="s">
        <v>113</v>
      </c>
      <c r="E6562" t="s">
        <v>520</v>
      </c>
      <c r="F6562" s="188" t="n">
        <v>2033</v>
      </c>
      <c r="G6562" s="189" t="n">
        <v>30</v>
      </c>
      <c r="H6562" s="190" t="n">
        <v>767.900449832632</v>
      </c>
      <c r="I6562" s="191" t="n">
        <v>4369790.32007935</v>
      </c>
      <c r="J6562" s="192" t="str">
        <f>IF(I6562&gt;0,H6562/I6562,0)</f>
      </c>
      <c r="K6562" s="193" t="str">
        <f>1-EXP(-J6562)</f>
      </c>
      <c r="L6562" s="194" t="str">
        <f>IF(G6562=30,1,M6561)</f>
      </c>
      <c r="M6562" s="195" t="str">
        <f>L6562*(1-K6562)</f>
      </c>
    </row>
    <row r="6563">
      <c r="A6563" t="s">
        <v>167</v>
      </c>
      <c r="B6563" t="s">
        <v>113</v>
      </c>
      <c r="C6563" s="35" t="s">
        <v>521</v>
      </c>
      <c r="D6563" t="s">
        <v>113</v>
      </c>
      <c r="E6563" t="s">
        <v>520</v>
      </c>
      <c r="F6563" s="188" t="n">
        <v>2033</v>
      </c>
      <c r="G6563" s="189" t="n">
        <v>31</v>
      </c>
      <c r="H6563" s="190" t="n">
        <v>1096.59751934142</v>
      </c>
      <c r="I6563" s="191" t="n">
        <v>4349053.55168678</v>
      </c>
      <c r="J6563" s="192" t="str">
        <f>IF(I6563&gt;0,H6563/I6563,0)</f>
      </c>
      <c r="K6563" s="193" t="str">
        <f>1-EXP(-J6563)</f>
      </c>
      <c r="L6563" s="194" t="str">
        <f>IF(G6563=30,1,M6562)</f>
      </c>
      <c r="M6563" s="195" t="str">
        <f>L6563*(1-K6563)</f>
      </c>
    </row>
    <row r="6564">
      <c r="A6564" t="s">
        <v>167</v>
      </c>
      <c r="B6564" t="s">
        <v>113</v>
      </c>
      <c r="C6564" s="35" t="s">
        <v>521</v>
      </c>
      <c r="D6564" t="s">
        <v>113</v>
      </c>
      <c r="E6564" t="s">
        <v>520</v>
      </c>
      <c r="F6564" s="188" t="n">
        <v>2033</v>
      </c>
      <c r="G6564" s="189" t="n">
        <v>32</v>
      </c>
      <c r="H6564" s="190" t="n">
        <v>1147.23799002757</v>
      </c>
      <c r="I6564" s="191" t="n">
        <v>4329508.55340539</v>
      </c>
      <c r="J6564" s="192" t="str">
        <f>IF(I6564&gt;0,H6564/I6564,0)</f>
      </c>
      <c r="K6564" s="193" t="str">
        <f>1-EXP(-J6564)</f>
      </c>
      <c r="L6564" s="194" t="str">
        <f>IF(G6564=30,1,M6563)</f>
      </c>
      <c r="M6564" s="195" t="str">
        <f>L6564*(1-K6564)</f>
      </c>
    </row>
    <row r="6565">
      <c r="A6565" t="s">
        <v>167</v>
      </c>
      <c r="B6565" t="s">
        <v>113</v>
      </c>
      <c r="C6565" s="35" t="s">
        <v>521</v>
      </c>
      <c r="D6565" t="s">
        <v>113</v>
      </c>
      <c r="E6565" t="s">
        <v>520</v>
      </c>
      <c r="F6565" s="188" t="n">
        <v>2033</v>
      </c>
      <c r="G6565" s="189" t="n">
        <v>33</v>
      </c>
      <c r="H6565" s="190" t="n">
        <v>1208.60610360354</v>
      </c>
      <c r="I6565" s="191" t="n">
        <v>4309731.41795628</v>
      </c>
      <c r="J6565" s="192" t="str">
        <f>IF(I6565&gt;0,H6565/I6565,0)</f>
      </c>
      <c r="K6565" s="193" t="str">
        <f>1-EXP(-J6565)</f>
      </c>
      <c r="L6565" s="194" t="str">
        <f>IF(G6565=30,1,M6564)</f>
      </c>
      <c r="M6565" s="195" t="str">
        <f>L6565*(1-K6565)</f>
      </c>
    </row>
    <row r="6566">
      <c r="A6566" t="s">
        <v>167</v>
      </c>
      <c r="B6566" t="s">
        <v>113</v>
      </c>
      <c r="C6566" s="35" t="s">
        <v>521</v>
      </c>
      <c r="D6566" t="s">
        <v>113</v>
      </c>
      <c r="E6566" t="s">
        <v>520</v>
      </c>
      <c r="F6566" s="188" t="n">
        <v>2033</v>
      </c>
      <c r="G6566" s="189" t="n">
        <v>34</v>
      </c>
      <c r="H6566" s="190" t="n">
        <v>1292.37989043285</v>
      </c>
      <c r="I6566" s="191" t="n">
        <v>4329696.60503285</v>
      </c>
      <c r="J6566" s="192" t="str">
        <f>IF(I6566&gt;0,H6566/I6566,0)</f>
      </c>
      <c r="K6566" s="193" t="str">
        <f>1-EXP(-J6566)</f>
      </c>
      <c r="L6566" s="194" t="str">
        <f>IF(G6566=30,1,M6565)</f>
      </c>
      <c r="M6566" s="195" t="str">
        <f>L6566*(1-K6566)</f>
      </c>
    </row>
    <row r="6567">
      <c r="A6567" t="s">
        <v>167</v>
      </c>
      <c r="B6567" t="s">
        <v>113</v>
      </c>
      <c r="C6567" s="35" t="s">
        <v>521</v>
      </c>
      <c r="D6567" t="s">
        <v>113</v>
      </c>
      <c r="E6567" t="s">
        <v>520</v>
      </c>
      <c r="F6567" s="188" t="n">
        <v>2033</v>
      </c>
      <c r="G6567" s="189" t="n">
        <v>35</v>
      </c>
      <c r="H6567" s="190" t="n">
        <v>1777.10566177979</v>
      </c>
      <c r="I6567" s="191" t="n">
        <v>4388834.26515718</v>
      </c>
      <c r="J6567" s="192" t="str">
        <f>IF(I6567&gt;0,H6567/I6567,0)</f>
      </c>
      <c r="K6567" s="193" t="str">
        <f>1-EXP(-J6567)</f>
      </c>
      <c r="L6567" s="194" t="str">
        <f>IF(G6567=30,1,M6566)</f>
      </c>
      <c r="M6567" s="195" t="str">
        <f>L6567*(1-K6567)</f>
      </c>
    </row>
    <row r="6568">
      <c r="A6568" t="s">
        <v>167</v>
      </c>
      <c r="B6568" t="s">
        <v>113</v>
      </c>
      <c r="C6568" s="35" t="s">
        <v>521</v>
      </c>
      <c r="D6568" t="s">
        <v>113</v>
      </c>
      <c r="E6568" t="s">
        <v>520</v>
      </c>
      <c r="F6568" s="188" t="n">
        <v>2033</v>
      </c>
      <c r="G6568" s="189" t="n">
        <v>36</v>
      </c>
      <c r="H6568" s="190" t="n">
        <v>2238.87404916333</v>
      </c>
      <c r="I6568" s="191" t="n">
        <v>4526926.38645251</v>
      </c>
      <c r="J6568" s="192" t="str">
        <f>IF(I6568&gt;0,H6568/I6568,0)</f>
      </c>
      <c r="K6568" s="193" t="str">
        <f>1-EXP(-J6568)</f>
      </c>
      <c r="L6568" s="194" t="str">
        <f>IF(G6568=30,1,M6567)</f>
      </c>
      <c r="M6568" s="195" t="str">
        <f>L6568*(1-K6568)</f>
      </c>
    </row>
    <row r="6569">
      <c r="A6569" t="s">
        <v>167</v>
      </c>
      <c r="B6569" t="s">
        <v>113</v>
      </c>
      <c r="C6569" s="35" t="s">
        <v>521</v>
      </c>
      <c r="D6569" t="s">
        <v>113</v>
      </c>
      <c r="E6569" t="s">
        <v>520</v>
      </c>
      <c r="F6569" s="188" t="n">
        <v>2033</v>
      </c>
      <c r="G6569" s="189" t="n">
        <v>37</v>
      </c>
      <c r="H6569" s="190" t="n">
        <v>2377.17656094889</v>
      </c>
      <c r="I6569" s="191" t="n">
        <v>4483008.20001819</v>
      </c>
      <c r="J6569" s="192" t="str">
        <f>IF(I6569&gt;0,H6569/I6569,0)</f>
      </c>
      <c r="K6569" s="193" t="str">
        <f>1-EXP(-J6569)</f>
      </c>
      <c r="L6569" s="194" t="str">
        <f>IF(G6569=30,1,M6568)</f>
      </c>
      <c r="M6569" s="195" t="str">
        <f>L6569*(1-K6569)</f>
      </c>
    </row>
    <row r="6570">
      <c r="A6570" t="s">
        <v>167</v>
      </c>
      <c r="B6570" t="s">
        <v>113</v>
      </c>
      <c r="C6570" s="35" t="s">
        <v>521</v>
      </c>
      <c r="D6570" t="s">
        <v>113</v>
      </c>
      <c r="E6570" t="s">
        <v>520</v>
      </c>
      <c r="F6570" s="188" t="n">
        <v>2033</v>
      </c>
      <c r="G6570" s="189" t="n">
        <v>38</v>
      </c>
      <c r="H6570" s="190" t="n">
        <v>2512.31163310013</v>
      </c>
      <c r="I6570" s="191" t="n">
        <v>4408885.0063789</v>
      </c>
      <c r="J6570" s="192" t="str">
        <f>IF(I6570&gt;0,H6570/I6570,0)</f>
      </c>
      <c r="K6570" s="193" t="str">
        <f>1-EXP(-J6570)</f>
      </c>
      <c r="L6570" s="194" t="str">
        <f>IF(G6570=30,1,M6569)</f>
      </c>
      <c r="M6570" s="195" t="str">
        <f>L6570*(1-K6570)</f>
      </c>
    </row>
    <row r="6571">
      <c r="A6571" t="s">
        <v>167</v>
      </c>
      <c r="B6571" t="s">
        <v>113</v>
      </c>
      <c r="C6571" s="35" t="s">
        <v>521</v>
      </c>
      <c r="D6571" t="s">
        <v>113</v>
      </c>
      <c r="E6571" t="s">
        <v>520</v>
      </c>
      <c r="F6571" s="188" t="n">
        <v>2033</v>
      </c>
      <c r="G6571" s="189" t="n">
        <v>39</v>
      </c>
      <c r="H6571" s="190" t="n">
        <v>2668.76985744877</v>
      </c>
      <c r="I6571" s="191" t="n">
        <v>4350290.62811854</v>
      </c>
      <c r="J6571" s="192" t="str">
        <f>IF(I6571&gt;0,H6571/I6571,0)</f>
      </c>
      <c r="K6571" s="193" t="str">
        <f>1-EXP(-J6571)</f>
      </c>
      <c r="L6571" s="194" t="str">
        <f>IF(G6571=30,1,M6570)</f>
      </c>
      <c r="M6571" s="195" t="str">
        <f>L6571*(1-K6571)</f>
      </c>
    </row>
    <row r="6572">
      <c r="A6572" t="s">
        <v>167</v>
      </c>
      <c r="B6572" t="s">
        <v>113</v>
      </c>
      <c r="C6572" s="35" t="s">
        <v>521</v>
      </c>
      <c r="D6572" t="s">
        <v>113</v>
      </c>
      <c r="E6572" t="s">
        <v>520</v>
      </c>
      <c r="F6572" s="188" t="n">
        <v>2033</v>
      </c>
      <c r="G6572" s="189" t="n">
        <v>40</v>
      </c>
      <c r="H6572" s="190" t="n">
        <v>3537.84727088073</v>
      </c>
      <c r="I6572" s="191" t="n">
        <v>4295120.98488322</v>
      </c>
      <c r="J6572" s="192" t="str">
        <f>IF(I6572&gt;0,H6572/I6572,0)</f>
      </c>
      <c r="K6572" s="193" t="str">
        <f>1-EXP(-J6572)</f>
      </c>
      <c r="L6572" s="194" t="str">
        <f>IF(G6572=30,1,M6571)</f>
      </c>
      <c r="M6572" s="195" t="str">
        <f>L6572*(1-K6572)</f>
      </c>
    </row>
    <row r="6573">
      <c r="A6573" t="s">
        <v>167</v>
      </c>
      <c r="B6573" t="s">
        <v>113</v>
      </c>
      <c r="C6573" s="35" t="s">
        <v>521</v>
      </c>
      <c r="D6573" t="s">
        <v>113</v>
      </c>
      <c r="E6573" t="s">
        <v>520</v>
      </c>
      <c r="F6573" s="188" t="n">
        <v>2033</v>
      </c>
      <c r="G6573" s="189" t="n">
        <v>41</v>
      </c>
      <c r="H6573" s="190" t="n">
        <v>3852.58225409796</v>
      </c>
      <c r="I6573" s="191" t="n">
        <v>4329794.67164144</v>
      </c>
      <c r="J6573" s="192" t="str">
        <f>IF(I6573&gt;0,H6573/I6573,0)</f>
      </c>
      <c r="K6573" s="193" t="str">
        <f>1-EXP(-J6573)</f>
      </c>
      <c r="L6573" s="194" t="str">
        <f>IF(G6573=30,1,M6572)</f>
      </c>
      <c r="M6573" s="195" t="str">
        <f>L6573*(1-K6573)</f>
      </c>
    </row>
    <row r="6574">
      <c r="A6574" t="s">
        <v>167</v>
      </c>
      <c r="B6574" t="s">
        <v>113</v>
      </c>
      <c r="C6574" s="35" t="s">
        <v>521</v>
      </c>
      <c r="D6574" t="s">
        <v>113</v>
      </c>
      <c r="E6574" t="s">
        <v>520</v>
      </c>
      <c r="F6574" s="188" t="n">
        <v>2033</v>
      </c>
      <c r="G6574" s="189" t="n">
        <v>42</v>
      </c>
      <c r="H6574" s="190" t="n">
        <v>4191.92158951773</v>
      </c>
      <c r="I6574" s="191" t="n">
        <v>4345354.44159029</v>
      </c>
      <c r="J6574" s="192" t="str">
        <f>IF(I6574&gt;0,H6574/I6574,0)</f>
      </c>
      <c r="K6574" s="193" t="str">
        <f>1-EXP(-J6574)</f>
      </c>
      <c r="L6574" s="194" t="str">
        <f>IF(G6574=30,1,M6573)</f>
      </c>
      <c r="M6574" s="195" t="str">
        <f>L6574*(1-K6574)</f>
      </c>
    </row>
    <row r="6575">
      <c r="A6575" t="s">
        <v>167</v>
      </c>
      <c r="B6575" t="s">
        <v>113</v>
      </c>
      <c r="C6575" s="35" t="s">
        <v>521</v>
      </c>
      <c r="D6575" t="s">
        <v>113</v>
      </c>
      <c r="E6575" t="s">
        <v>520</v>
      </c>
      <c r="F6575" s="188" t="n">
        <v>2033</v>
      </c>
      <c r="G6575" s="189" t="n">
        <v>43</v>
      </c>
      <c r="H6575" s="190" t="n">
        <v>6347.85274801284</v>
      </c>
      <c r="I6575" s="191" t="n">
        <v>6396929.41902344</v>
      </c>
      <c r="J6575" s="192" t="str">
        <f>IF(I6575&gt;0,H6575/I6575,0)</f>
      </c>
      <c r="K6575" s="193" t="str">
        <f>1-EXP(-J6575)</f>
      </c>
      <c r="L6575" s="194" t="str">
        <f>IF(G6575=30,1,M6574)</f>
      </c>
      <c r="M6575" s="195" t="str">
        <f>L6575*(1-K6575)</f>
      </c>
    </row>
    <row r="6576">
      <c r="A6576" t="s">
        <v>167</v>
      </c>
      <c r="B6576" t="s">
        <v>113</v>
      </c>
      <c r="C6576" s="35" t="s">
        <v>521</v>
      </c>
      <c r="D6576" t="s">
        <v>113</v>
      </c>
      <c r="E6576" t="s">
        <v>520</v>
      </c>
      <c r="F6576" s="188" t="n">
        <v>2033</v>
      </c>
      <c r="G6576" s="189" t="n">
        <v>44</v>
      </c>
      <c r="H6576" s="190" t="n">
        <v>4919.56565682802</v>
      </c>
      <c r="I6576" s="191" t="n">
        <v>4298794.56742682</v>
      </c>
      <c r="J6576" s="192" t="str">
        <f>IF(I6576&gt;0,H6576/I6576,0)</f>
      </c>
      <c r="K6576" s="193" t="str">
        <f>1-EXP(-J6576)</f>
      </c>
      <c r="L6576" s="194" t="str">
        <f>IF(G6576=30,1,M6575)</f>
      </c>
      <c r="M6576" s="195" t="str">
        <f>L6576*(1-K6576)</f>
      </c>
    </row>
    <row r="6577">
      <c r="A6577" t="s">
        <v>167</v>
      </c>
      <c r="B6577" t="s">
        <v>113</v>
      </c>
      <c r="C6577" s="35" t="s">
        <v>521</v>
      </c>
      <c r="D6577" t="s">
        <v>113</v>
      </c>
      <c r="E6577" t="s">
        <v>520</v>
      </c>
      <c r="F6577" s="188" t="n">
        <v>2033</v>
      </c>
      <c r="G6577" s="189" t="n">
        <v>45</v>
      </c>
      <c r="H6577" s="190" t="n">
        <v>6318.83034449224</v>
      </c>
      <c r="I6577" s="191" t="n">
        <v>4279008.5907238</v>
      </c>
      <c r="J6577" s="192" t="str">
        <f>IF(I6577&gt;0,H6577/I6577,0)</f>
      </c>
      <c r="K6577" s="193" t="str">
        <f>1-EXP(-J6577)</f>
      </c>
      <c r="L6577" s="194" t="str">
        <f>IF(G6577=30,1,M6576)</f>
      </c>
      <c r="M6577" s="195" t="str">
        <f>L6577*(1-K6577)</f>
      </c>
    </row>
    <row r="6578">
      <c r="A6578" t="s">
        <v>167</v>
      </c>
      <c r="B6578" t="s">
        <v>113</v>
      </c>
      <c r="C6578" s="35" t="s">
        <v>521</v>
      </c>
      <c r="D6578" t="s">
        <v>113</v>
      </c>
      <c r="E6578" t="s">
        <v>520</v>
      </c>
      <c r="F6578" s="188" t="n">
        <v>2033</v>
      </c>
      <c r="G6578" s="189" t="n">
        <v>46</v>
      </c>
      <c r="H6578" s="190" t="n">
        <v>6701.62214198287</v>
      </c>
      <c r="I6578" s="191" t="n">
        <v>4143425.75707015</v>
      </c>
      <c r="J6578" s="192" t="str">
        <f>IF(I6578&gt;0,H6578/I6578,0)</f>
      </c>
      <c r="K6578" s="193" t="str">
        <f>1-EXP(-J6578)</f>
      </c>
      <c r="L6578" s="194" t="str">
        <f>IF(G6578=30,1,M6577)</f>
      </c>
      <c r="M6578" s="195" t="str">
        <f>L6578*(1-K6578)</f>
      </c>
    </row>
    <row r="6579">
      <c r="A6579" t="s">
        <v>167</v>
      </c>
      <c r="B6579" t="s">
        <v>113</v>
      </c>
      <c r="C6579" s="35" t="s">
        <v>521</v>
      </c>
      <c r="D6579" t="s">
        <v>113</v>
      </c>
      <c r="E6579" t="s">
        <v>520</v>
      </c>
      <c r="F6579" s="188" t="n">
        <v>2033</v>
      </c>
      <c r="G6579" s="189" t="n">
        <v>47</v>
      </c>
      <c r="H6579" s="190" t="n">
        <v>7275.23109809394</v>
      </c>
      <c r="I6579" s="191" t="n">
        <v>4105147.60468926</v>
      </c>
      <c r="J6579" s="192" t="str">
        <f>IF(I6579&gt;0,H6579/I6579,0)</f>
      </c>
      <c r="K6579" s="193" t="str">
        <f>1-EXP(-J6579)</f>
      </c>
      <c r="L6579" s="194" t="str">
        <f>IF(G6579=30,1,M6578)</f>
      </c>
      <c r="M6579" s="195" t="str">
        <f>L6579*(1-K6579)</f>
      </c>
    </row>
    <row r="6580">
      <c r="A6580" t="s">
        <v>167</v>
      </c>
      <c r="B6580" t="s">
        <v>113</v>
      </c>
      <c r="C6580" s="35" t="s">
        <v>521</v>
      </c>
      <c r="D6580" t="s">
        <v>113</v>
      </c>
      <c r="E6580" t="s">
        <v>520</v>
      </c>
      <c r="F6580" s="188" t="n">
        <v>2033</v>
      </c>
      <c r="G6580" s="189" t="n">
        <v>48</v>
      </c>
      <c r="H6580" s="190" t="n">
        <v>8078.08296224965</v>
      </c>
      <c r="I6580" s="191" t="n">
        <v>4158866.40556017</v>
      </c>
      <c r="J6580" s="192" t="str">
        <f>IF(I6580&gt;0,H6580/I6580,0)</f>
      </c>
      <c r="K6580" s="193" t="str">
        <f>1-EXP(-J6580)</f>
      </c>
      <c r="L6580" s="194" t="str">
        <f>IF(G6580=30,1,M6579)</f>
      </c>
      <c r="M6580" s="195" t="str">
        <f>L6580*(1-K6580)</f>
      </c>
    </row>
    <row r="6581">
      <c r="A6581" t="s">
        <v>167</v>
      </c>
      <c r="B6581" t="s">
        <v>113</v>
      </c>
      <c r="C6581" s="35" t="s">
        <v>521</v>
      </c>
      <c r="D6581" t="s">
        <v>113</v>
      </c>
      <c r="E6581" t="s">
        <v>520</v>
      </c>
      <c r="F6581" s="188" t="n">
        <v>2033</v>
      </c>
      <c r="G6581" s="189" t="n">
        <v>49</v>
      </c>
      <c r="H6581" s="190" t="n">
        <v>9014.8765682325</v>
      </c>
      <c r="I6581" s="191" t="n">
        <v>4236665.93314331</v>
      </c>
      <c r="J6581" s="192" t="str">
        <f>IF(I6581&gt;0,H6581/I6581,0)</f>
      </c>
      <c r="K6581" s="193" t="str">
        <f>1-EXP(-J6581)</f>
      </c>
      <c r="L6581" s="194" t="str">
        <f>IF(G6581=30,1,M6580)</f>
      </c>
      <c r="M6581" s="195" t="str">
        <f>L6581*(1-K6581)</f>
      </c>
    </row>
    <row r="6582">
      <c r="A6582" t="s">
        <v>167</v>
      </c>
      <c r="B6582" t="s">
        <v>113</v>
      </c>
      <c r="C6582" s="35" t="s">
        <v>521</v>
      </c>
      <c r="D6582" t="s">
        <v>113</v>
      </c>
      <c r="E6582" t="s">
        <v>520</v>
      </c>
      <c r="F6582" s="188" t="n">
        <v>2033</v>
      </c>
      <c r="G6582" s="189" t="n">
        <v>50</v>
      </c>
      <c r="H6582" s="190" t="n">
        <v>10380.4287092684</v>
      </c>
      <c r="I6582" s="191" t="n">
        <v>4206459.69231643</v>
      </c>
      <c r="J6582" s="192" t="str">
        <f>IF(I6582&gt;0,H6582/I6582,0)</f>
      </c>
      <c r="K6582" s="193" t="str">
        <f>1-EXP(-J6582)</f>
      </c>
      <c r="L6582" s="194" t="str">
        <f>IF(G6582=30,1,M6581)</f>
      </c>
      <c r="M6582" s="195" t="str">
        <f>L6582*(1-K6582)</f>
      </c>
    </row>
    <row r="6583">
      <c r="A6583" t="s">
        <v>167</v>
      </c>
      <c r="B6583" t="s">
        <v>113</v>
      </c>
      <c r="C6583" s="35" t="s">
        <v>521</v>
      </c>
      <c r="D6583" t="s">
        <v>113</v>
      </c>
      <c r="E6583" t="s">
        <v>520</v>
      </c>
      <c r="F6583" s="188" t="n">
        <v>2033</v>
      </c>
      <c r="G6583" s="189" t="n">
        <v>51</v>
      </c>
      <c r="H6583" s="190" t="n">
        <v>10974.2975932571</v>
      </c>
      <c r="I6583" s="191" t="n">
        <v>4064398.34099793</v>
      </c>
      <c r="J6583" s="192" t="str">
        <f>IF(I6583&gt;0,H6583/I6583,0)</f>
      </c>
      <c r="K6583" s="193" t="str">
        <f>1-EXP(-J6583)</f>
      </c>
      <c r="L6583" s="194" t="str">
        <f>IF(G6583=30,1,M6582)</f>
      </c>
      <c r="M6583" s="195" t="str">
        <f>L6583*(1-K6583)</f>
      </c>
    </row>
    <row r="6584">
      <c r="A6584" t="s">
        <v>167</v>
      </c>
      <c r="B6584" t="s">
        <v>113</v>
      </c>
      <c r="C6584" s="35" t="s">
        <v>521</v>
      </c>
      <c r="D6584" t="s">
        <v>113</v>
      </c>
      <c r="E6584" t="s">
        <v>520</v>
      </c>
      <c r="F6584" s="188" t="n">
        <v>2033</v>
      </c>
      <c r="G6584" s="189" t="n">
        <v>52</v>
      </c>
      <c r="H6584" s="190" t="n">
        <v>11753.8169873007</v>
      </c>
      <c r="I6584" s="191" t="n">
        <v>3984128.16121107</v>
      </c>
      <c r="J6584" s="192" t="str">
        <f>IF(I6584&gt;0,H6584/I6584,0)</f>
      </c>
      <c r="K6584" s="193" t="str">
        <f>1-EXP(-J6584)</f>
      </c>
      <c r="L6584" s="194" t="str">
        <f>IF(G6584=30,1,M6583)</f>
      </c>
      <c r="M6584" s="195" t="str">
        <f>L6584*(1-K6584)</f>
      </c>
    </row>
    <row r="6585">
      <c r="A6585" t="s">
        <v>167</v>
      </c>
      <c r="B6585" t="s">
        <v>113</v>
      </c>
      <c r="C6585" s="35" t="s">
        <v>521</v>
      </c>
      <c r="D6585" t="s">
        <v>113</v>
      </c>
      <c r="E6585" t="s">
        <v>520</v>
      </c>
      <c r="F6585" s="188" t="n">
        <v>2033</v>
      </c>
      <c r="G6585" s="189" t="n">
        <v>53</v>
      </c>
      <c r="H6585" s="190" t="n">
        <v>12626.9595622323</v>
      </c>
      <c r="I6585" s="191" t="n">
        <v>3918976.88415313</v>
      </c>
      <c r="J6585" s="192" t="str">
        <f>IF(I6585&gt;0,H6585/I6585,0)</f>
      </c>
      <c r="K6585" s="193" t="str">
        <f>1-EXP(-J6585)</f>
      </c>
      <c r="L6585" s="194" t="str">
        <f>IF(G6585=30,1,M6584)</f>
      </c>
      <c r="M6585" s="195" t="str">
        <f>L6585*(1-K6585)</f>
      </c>
    </row>
    <row r="6586">
      <c r="A6586" t="s">
        <v>167</v>
      </c>
      <c r="B6586" t="s">
        <v>113</v>
      </c>
      <c r="C6586" s="35" t="s">
        <v>521</v>
      </c>
      <c r="D6586" t="s">
        <v>113</v>
      </c>
      <c r="E6586" t="s">
        <v>520</v>
      </c>
      <c r="F6586" s="188" t="n">
        <v>2033</v>
      </c>
      <c r="G6586" s="189" t="n">
        <v>54</v>
      </c>
      <c r="H6586" s="190" t="n">
        <v>13538.0106726468</v>
      </c>
      <c r="I6586" s="191" t="n">
        <v>3848044.35770858</v>
      </c>
      <c r="J6586" s="192" t="str">
        <f>IF(I6586&gt;0,H6586/I6586,0)</f>
      </c>
      <c r="K6586" s="193" t="str">
        <f>1-EXP(-J6586)</f>
      </c>
      <c r="L6586" s="194" t="str">
        <f>IF(G6586=30,1,M6585)</f>
      </c>
      <c r="M6586" s="195" t="str">
        <f>L6586*(1-K6586)</f>
      </c>
    </row>
    <row r="6587">
      <c r="A6587" t="s">
        <v>167</v>
      </c>
      <c r="B6587" t="s">
        <v>113</v>
      </c>
      <c r="C6587" s="35" t="s">
        <v>521</v>
      </c>
      <c r="D6587" t="s">
        <v>113</v>
      </c>
      <c r="E6587" t="s">
        <v>520</v>
      </c>
      <c r="F6587" s="188" t="n">
        <v>2033</v>
      </c>
      <c r="G6587" s="189" t="n">
        <v>55</v>
      </c>
      <c r="H6587" s="190" t="n">
        <v>14499.5945978913</v>
      </c>
      <c r="I6587" s="191" t="n">
        <v>3757725.58956788</v>
      </c>
      <c r="J6587" s="192" t="str">
        <f>IF(I6587&gt;0,H6587/I6587,0)</f>
      </c>
      <c r="K6587" s="193" t="str">
        <f>1-EXP(-J6587)</f>
      </c>
      <c r="L6587" s="194" t="str">
        <f>IF(G6587=30,1,M6586)</f>
      </c>
      <c r="M6587" s="195" t="str">
        <f>L6587*(1-K6587)</f>
      </c>
    </row>
    <row r="6588">
      <c r="A6588" t="s">
        <v>167</v>
      </c>
      <c r="B6588" t="s">
        <v>113</v>
      </c>
      <c r="C6588" s="35" t="s">
        <v>521</v>
      </c>
      <c r="D6588" t="s">
        <v>113</v>
      </c>
      <c r="E6588" t="s">
        <v>520</v>
      </c>
      <c r="F6588" s="188" t="n">
        <v>2033</v>
      </c>
      <c r="G6588" s="189" t="n">
        <v>56</v>
      </c>
      <c r="H6588" s="190" t="n">
        <v>15532.8951139146</v>
      </c>
      <c r="I6588" s="191" t="n">
        <v>3683079.15755203</v>
      </c>
      <c r="J6588" s="192" t="str">
        <f>IF(I6588&gt;0,H6588/I6588,0)</f>
      </c>
      <c r="K6588" s="193" t="str">
        <f>1-EXP(-J6588)</f>
      </c>
      <c r="L6588" s="194" t="str">
        <f>IF(G6588=30,1,M6587)</f>
      </c>
      <c r="M6588" s="195" t="str">
        <f>L6588*(1-K6588)</f>
      </c>
    </row>
    <row r="6589">
      <c r="A6589" t="s">
        <v>167</v>
      </c>
      <c r="B6589" t="s">
        <v>113</v>
      </c>
      <c r="C6589" s="35" t="s">
        <v>521</v>
      </c>
      <c r="D6589" t="s">
        <v>113</v>
      </c>
      <c r="E6589" t="s">
        <v>520</v>
      </c>
      <c r="F6589" s="188" t="n">
        <v>2033</v>
      </c>
      <c r="G6589" s="189" t="n">
        <v>57</v>
      </c>
      <c r="H6589" s="190" t="n">
        <v>16567.6986982318</v>
      </c>
      <c r="I6589" s="191" t="n">
        <v>3596856.21088381</v>
      </c>
      <c r="J6589" s="192" t="str">
        <f>IF(I6589&gt;0,H6589/I6589,0)</f>
      </c>
      <c r="K6589" s="193" t="str">
        <f>1-EXP(-J6589)</f>
      </c>
      <c r="L6589" s="194" t="str">
        <f>IF(G6589=30,1,M6588)</f>
      </c>
      <c r="M6589" s="195" t="str">
        <f>L6589*(1-K6589)</f>
      </c>
    </row>
    <row r="6590">
      <c r="A6590" t="s">
        <v>167</v>
      </c>
      <c r="B6590" t="s">
        <v>113</v>
      </c>
      <c r="C6590" s="35" t="s">
        <v>521</v>
      </c>
      <c r="D6590" t="s">
        <v>113</v>
      </c>
      <c r="E6590" t="s">
        <v>520</v>
      </c>
      <c r="F6590" s="188" t="n">
        <v>2033</v>
      </c>
      <c r="G6590" s="189" t="n">
        <v>58</v>
      </c>
      <c r="H6590" s="190" t="n">
        <v>17665.5593092795</v>
      </c>
      <c r="I6590" s="191" t="n">
        <v>3509409.58342406</v>
      </c>
      <c r="J6590" s="192" t="str">
        <f>IF(I6590&gt;0,H6590/I6590,0)</f>
      </c>
      <c r="K6590" s="193" t="str">
        <f>1-EXP(-J6590)</f>
      </c>
      <c r="L6590" s="194" t="str">
        <f>IF(G6590=30,1,M6589)</f>
      </c>
      <c r="M6590" s="195" t="str">
        <f>L6590*(1-K6590)</f>
      </c>
    </row>
    <row r="6591">
      <c r="A6591" t="s">
        <v>167</v>
      </c>
      <c r="B6591" t="s">
        <v>113</v>
      </c>
      <c r="C6591" s="35" t="s">
        <v>521</v>
      </c>
      <c r="D6591" t="s">
        <v>113</v>
      </c>
      <c r="E6591" t="s">
        <v>520</v>
      </c>
      <c r="F6591" s="188" t="n">
        <v>2033</v>
      </c>
      <c r="G6591" s="189" t="n">
        <v>59</v>
      </c>
      <c r="H6591" s="190" t="n">
        <v>18688.2186824248</v>
      </c>
      <c r="I6591" s="191" t="n">
        <v>3395014.37332297</v>
      </c>
      <c r="J6591" s="192" t="str">
        <f>IF(I6591&gt;0,H6591/I6591,0)</f>
      </c>
      <c r="K6591" s="193" t="str">
        <f>1-EXP(-J6591)</f>
      </c>
      <c r="L6591" s="194" t="str">
        <f>IF(G6591=30,1,M6590)</f>
      </c>
      <c r="M6591" s="195" t="str">
        <f>L6591*(1-K6591)</f>
      </c>
    </row>
    <row r="6592">
      <c r="A6592" t="s">
        <v>167</v>
      </c>
      <c r="B6592" t="s">
        <v>113</v>
      </c>
      <c r="C6592" s="35" t="s">
        <v>521</v>
      </c>
      <c r="D6592" t="s">
        <v>113</v>
      </c>
      <c r="E6592" t="s">
        <v>520</v>
      </c>
      <c r="F6592" s="188" t="n">
        <v>2033</v>
      </c>
      <c r="G6592" s="189" t="n">
        <v>60</v>
      </c>
      <c r="H6592" s="190" t="n">
        <v>20331.2737217238</v>
      </c>
      <c r="I6592" s="191" t="n">
        <v>3337558.84722151</v>
      </c>
      <c r="J6592" s="192" t="str">
        <f>IF(I6592&gt;0,H6592/I6592,0)</f>
      </c>
      <c r="K6592" s="193" t="str">
        <f>1-EXP(-J6592)</f>
      </c>
      <c r="L6592" s="194" t="str">
        <f>IF(G6592=30,1,M6591)</f>
      </c>
      <c r="M6592" s="195" t="str">
        <f>L6592*(1-K6592)</f>
      </c>
    </row>
    <row r="6593">
      <c r="A6593" t="s">
        <v>167</v>
      </c>
      <c r="B6593" t="s">
        <v>113</v>
      </c>
      <c r="C6593" s="35" t="s">
        <v>521</v>
      </c>
      <c r="D6593" t="s">
        <v>113</v>
      </c>
      <c r="E6593" t="s">
        <v>520</v>
      </c>
      <c r="F6593" s="188" t="n">
        <v>2033</v>
      </c>
      <c r="G6593" s="189" t="n">
        <v>61</v>
      </c>
      <c r="H6593" s="190" t="n">
        <v>20845.0223710696</v>
      </c>
      <c r="I6593" s="191" t="n">
        <v>3123124.30714858</v>
      </c>
      <c r="J6593" s="192" t="str">
        <f>IF(I6593&gt;0,H6593/I6593,0)</f>
      </c>
      <c r="K6593" s="193" t="str">
        <f>1-EXP(-J6593)</f>
      </c>
      <c r="L6593" s="194" t="str">
        <f>IF(G6593=30,1,M6592)</f>
      </c>
      <c r="M6593" s="195" t="str">
        <f>L6593*(1-K6593)</f>
      </c>
    </row>
    <row r="6594">
      <c r="A6594" t="s">
        <v>167</v>
      </c>
      <c r="B6594" t="s">
        <v>113</v>
      </c>
      <c r="C6594" s="35" t="s">
        <v>521</v>
      </c>
      <c r="D6594" t="s">
        <v>113</v>
      </c>
      <c r="E6594" t="s">
        <v>520</v>
      </c>
      <c r="F6594" s="188" t="n">
        <v>2033</v>
      </c>
      <c r="G6594" s="189" t="n">
        <v>62</v>
      </c>
      <c r="H6594" s="190" t="n">
        <v>22100.7500974464</v>
      </c>
      <c r="I6594" s="191" t="n">
        <v>3024477.90526143</v>
      </c>
      <c r="J6594" s="192" t="str">
        <f>IF(I6594&gt;0,H6594/I6594,0)</f>
      </c>
      <c r="K6594" s="193" t="str">
        <f>1-EXP(-J6594)</f>
      </c>
      <c r="L6594" s="194" t="str">
        <f>IF(G6594=30,1,M6593)</f>
      </c>
      <c r="M6594" s="195" t="str">
        <f>L6594*(1-K6594)</f>
      </c>
    </row>
    <row r="6595">
      <c r="A6595" t="s">
        <v>167</v>
      </c>
      <c r="B6595" t="s">
        <v>113</v>
      </c>
      <c r="C6595" s="35" t="s">
        <v>521</v>
      </c>
      <c r="D6595" t="s">
        <v>113</v>
      </c>
      <c r="E6595" t="s">
        <v>520</v>
      </c>
      <c r="F6595" s="188" t="n">
        <v>2033</v>
      </c>
      <c r="G6595" s="189" t="n">
        <v>63</v>
      </c>
      <c r="H6595" s="190" t="n">
        <v>23445.6053291794</v>
      </c>
      <c r="I6595" s="191" t="n">
        <v>2929383.11041376</v>
      </c>
      <c r="J6595" s="192" t="str">
        <f>IF(I6595&gt;0,H6595/I6595,0)</f>
      </c>
      <c r="K6595" s="193" t="str">
        <f>1-EXP(-J6595)</f>
      </c>
      <c r="L6595" s="194" t="str">
        <f>IF(G6595=30,1,M6594)</f>
      </c>
      <c r="M6595" s="195" t="str">
        <f>L6595*(1-K6595)</f>
      </c>
    </row>
    <row r="6596">
      <c r="A6596" t="s">
        <v>167</v>
      </c>
      <c r="B6596" t="s">
        <v>113</v>
      </c>
      <c r="C6596" s="35" t="s">
        <v>521</v>
      </c>
      <c r="D6596" t="s">
        <v>113</v>
      </c>
      <c r="E6596" t="s">
        <v>520</v>
      </c>
      <c r="F6596" s="188" t="n">
        <v>2033</v>
      </c>
      <c r="G6596" s="189" t="n">
        <v>64</v>
      </c>
      <c r="H6596" s="190" t="n">
        <v>24771.3643226587</v>
      </c>
      <c r="I6596" s="191" t="n">
        <v>2825051.64076609</v>
      </c>
      <c r="J6596" s="192" t="str">
        <f>IF(I6596&gt;0,H6596/I6596,0)</f>
      </c>
      <c r="K6596" s="193" t="str">
        <f>1-EXP(-J6596)</f>
      </c>
      <c r="L6596" s="194" t="str">
        <f>IF(G6596=30,1,M6595)</f>
      </c>
      <c r="M6596" s="195" t="str">
        <f>L6596*(1-K6596)</f>
      </c>
    </row>
    <row r="6597">
      <c r="A6597" t="s">
        <v>167</v>
      </c>
      <c r="B6597" t="s">
        <v>113</v>
      </c>
      <c r="C6597" s="35" t="s">
        <v>521</v>
      </c>
      <c r="D6597" t="s">
        <v>113</v>
      </c>
      <c r="E6597" t="s">
        <v>520</v>
      </c>
      <c r="F6597" s="188" t="n">
        <v>2033</v>
      </c>
      <c r="G6597" s="189" t="n">
        <v>65</v>
      </c>
      <c r="H6597" s="190" t="n">
        <v>25111.6956427208</v>
      </c>
      <c r="I6597" s="191" t="n">
        <v>2701930.22367656</v>
      </c>
      <c r="J6597" s="192" t="str">
        <f>IF(I6597&gt;0,H6597/I6597,0)</f>
      </c>
      <c r="K6597" s="193" t="str">
        <f>1-EXP(-J6597)</f>
      </c>
      <c r="L6597" s="194" t="str">
        <f>IF(G6597=30,1,M6596)</f>
      </c>
      <c r="M6597" s="195" t="str">
        <f>L6597*(1-K6597)</f>
      </c>
    </row>
    <row r="6598">
      <c r="A6598" t="s">
        <v>167</v>
      </c>
      <c r="B6598" t="s">
        <v>113</v>
      </c>
      <c r="C6598" s="35" t="s">
        <v>521</v>
      </c>
      <c r="D6598" t="s">
        <v>113</v>
      </c>
      <c r="E6598" t="s">
        <v>520</v>
      </c>
      <c r="F6598" s="188" t="n">
        <v>2033</v>
      </c>
      <c r="G6598" s="189" t="n">
        <v>66</v>
      </c>
      <c r="H6598" s="190" t="n">
        <v>26013.3260301641</v>
      </c>
      <c r="I6598" s="191" t="n">
        <v>2550143.24539543</v>
      </c>
      <c r="J6598" s="192" t="str">
        <f>IF(I6598&gt;0,H6598/I6598,0)</f>
      </c>
      <c r="K6598" s="193" t="str">
        <f>1-EXP(-J6598)</f>
      </c>
      <c r="L6598" s="194" t="str">
        <f>IF(G6598=30,1,M6597)</f>
      </c>
      <c r="M6598" s="195" t="str">
        <f>L6598*(1-K6598)</f>
      </c>
    </row>
    <row r="6599">
      <c r="A6599" t="s">
        <v>167</v>
      </c>
      <c r="B6599" t="s">
        <v>113</v>
      </c>
      <c r="C6599" s="35" t="s">
        <v>521</v>
      </c>
      <c r="D6599" t="s">
        <v>113</v>
      </c>
      <c r="E6599" t="s">
        <v>520</v>
      </c>
      <c r="F6599" s="188" t="n">
        <v>2033</v>
      </c>
      <c r="G6599" s="189" t="n">
        <v>67</v>
      </c>
      <c r="H6599" s="190" t="n">
        <v>27212.2026412806</v>
      </c>
      <c r="I6599" s="191" t="n">
        <v>2431625.06497656</v>
      </c>
      <c r="J6599" s="192" t="str">
        <f>IF(I6599&gt;0,H6599/I6599,0)</f>
      </c>
      <c r="K6599" s="193" t="str">
        <f>1-EXP(-J6599)</f>
      </c>
      <c r="L6599" s="194" t="str">
        <f>IF(G6599=30,1,M6598)</f>
      </c>
      <c r="M6599" s="195" t="str">
        <f>L6599*(1-K6599)</f>
      </c>
    </row>
    <row r="6600">
      <c r="A6600" t="s">
        <v>167</v>
      </c>
      <c r="B6600" t="s">
        <v>113</v>
      </c>
      <c r="C6600" s="35" t="s">
        <v>521</v>
      </c>
      <c r="D6600" t="s">
        <v>113</v>
      </c>
      <c r="E6600" t="s">
        <v>520</v>
      </c>
      <c r="F6600" s="188" t="n">
        <v>2033</v>
      </c>
      <c r="G6600" s="189" t="n">
        <v>68</v>
      </c>
      <c r="H6600" s="190" t="n">
        <v>28173.3501674345</v>
      </c>
      <c r="I6600" s="191" t="n">
        <v>2293572.63059919</v>
      </c>
      <c r="J6600" s="192" t="str">
        <f>IF(I6600&gt;0,H6600/I6600,0)</f>
      </c>
      <c r="K6600" s="193" t="str">
        <f>1-EXP(-J6600)</f>
      </c>
      <c r="L6600" s="194" t="str">
        <f>IF(G6600=30,1,M6599)</f>
      </c>
      <c r="M6600" s="195" t="str">
        <f>L6600*(1-K6600)</f>
      </c>
    </row>
    <row r="6601">
      <c r="A6601" t="s">
        <v>167</v>
      </c>
      <c r="B6601" t="s">
        <v>113</v>
      </c>
      <c r="C6601" s="35" t="s">
        <v>521</v>
      </c>
      <c r="D6601" t="s">
        <v>113</v>
      </c>
      <c r="E6601" t="s">
        <v>520</v>
      </c>
      <c r="F6601" s="188" t="n">
        <v>2033</v>
      </c>
      <c r="G6601" s="189" t="n">
        <v>69</v>
      </c>
      <c r="H6601" s="190" t="n">
        <v>29095.2839728485</v>
      </c>
      <c r="I6601" s="191" t="n">
        <v>2155969.08613913</v>
      </c>
      <c r="J6601" s="192" t="str">
        <f>IF(I6601&gt;0,H6601/I6601,0)</f>
      </c>
      <c r="K6601" s="193" t="str">
        <f>1-EXP(-J6601)</f>
      </c>
      <c r="L6601" s="194" t="str">
        <f>IF(G6601=30,1,M6600)</f>
      </c>
      <c r="M6601" s="195" t="str">
        <f>L6601*(1-K6601)</f>
      </c>
    </row>
    <row r="6602">
      <c r="A6602" t="s">
        <v>167</v>
      </c>
      <c r="B6602" t="s">
        <v>113</v>
      </c>
      <c r="C6602" s="35" t="s">
        <v>521</v>
      </c>
      <c r="D6602" t="s">
        <v>113</v>
      </c>
      <c r="E6602" t="s">
        <v>520</v>
      </c>
      <c r="F6602" s="188" t="n">
        <v>2034</v>
      </c>
      <c r="G6602" s="189" t="n">
        <v>30</v>
      </c>
      <c r="H6602" s="190" t="n">
        <v>782.693003770076</v>
      </c>
      <c r="I6602" s="191" t="n">
        <v>4429661.52582106</v>
      </c>
      <c r="J6602" s="192" t="str">
        <f>IF(I6602&gt;0,H6602/I6602,0)</f>
      </c>
      <c r="K6602" s="193" t="str">
        <f>1-EXP(-J6602)</f>
      </c>
      <c r="L6602" s="194" t="str">
        <f>IF(G6602=30,1,M6601)</f>
      </c>
      <c r="M6602" s="195" t="str">
        <f>L6602*(1-K6602)</f>
      </c>
    </row>
    <row r="6603">
      <c r="A6603" t="s">
        <v>167</v>
      </c>
      <c r="B6603" t="s">
        <v>113</v>
      </c>
      <c r="C6603" s="35" t="s">
        <v>521</v>
      </c>
      <c r="D6603" t="s">
        <v>113</v>
      </c>
      <c r="E6603" t="s">
        <v>520</v>
      </c>
      <c r="F6603" s="188" t="n">
        <v>2034</v>
      </c>
      <c r="G6603" s="189" t="n">
        <v>31</v>
      </c>
      <c r="H6603" s="190" t="n">
        <v>966.151160050142</v>
      </c>
      <c r="I6603" s="191" t="n">
        <v>4364271.69849571</v>
      </c>
      <c r="J6603" s="192" t="str">
        <f>IF(I6603&gt;0,H6603/I6603,0)</f>
      </c>
      <c r="K6603" s="193" t="str">
        <f>1-EXP(-J6603)</f>
      </c>
      <c r="L6603" s="194" t="str">
        <f>IF(G6603=30,1,M6602)</f>
      </c>
      <c r="M6603" s="195" t="str">
        <f>L6603*(1-K6603)</f>
      </c>
    </row>
    <row r="6604">
      <c r="A6604" t="s">
        <v>167</v>
      </c>
      <c r="B6604" t="s">
        <v>113</v>
      </c>
      <c r="C6604" s="35" t="s">
        <v>521</v>
      </c>
      <c r="D6604" t="s">
        <v>113</v>
      </c>
      <c r="E6604" t="s">
        <v>520</v>
      </c>
      <c r="F6604" s="188" t="n">
        <v>2034</v>
      </c>
      <c r="G6604" s="189" t="n">
        <v>32</v>
      </c>
      <c r="H6604" s="190" t="n">
        <v>1155.94909233987</v>
      </c>
      <c r="I6604" s="191" t="n">
        <v>4343479.48345724</v>
      </c>
      <c r="J6604" s="192" t="str">
        <f>IF(I6604&gt;0,H6604/I6604,0)</f>
      </c>
      <c r="K6604" s="193" t="str">
        <f>1-EXP(-J6604)</f>
      </c>
      <c r="L6604" s="194" t="str">
        <f>IF(G6604=30,1,M6603)</f>
      </c>
      <c r="M6604" s="195" t="str">
        <f>L6604*(1-K6604)</f>
      </c>
    </row>
    <row r="6605">
      <c r="A6605" t="s">
        <v>167</v>
      </c>
      <c r="B6605" t="s">
        <v>113</v>
      </c>
      <c r="C6605" s="35" t="s">
        <v>521</v>
      </c>
      <c r="D6605" t="s">
        <v>113</v>
      </c>
      <c r="E6605" t="s">
        <v>520</v>
      </c>
      <c r="F6605" s="188" t="n">
        <v>2034</v>
      </c>
      <c r="G6605" s="189" t="n">
        <v>33</v>
      </c>
      <c r="H6605" s="190" t="n">
        <v>1216.5329661356</v>
      </c>
      <c r="I6605" s="191" t="n">
        <v>4323724.65284789</v>
      </c>
      <c r="J6605" s="192" t="str">
        <f>IF(I6605&gt;0,H6605/I6605,0)</f>
      </c>
      <c r="K6605" s="193" t="str">
        <f>1-EXP(-J6605)</f>
      </c>
      <c r="L6605" s="194" t="str">
        <f>IF(G6605=30,1,M6604)</f>
      </c>
      <c r="M6605" s="195" t="str">
        <f>L6605*(1-K6605)</f>
      </c>
    </row>
    <row r="6606">
      <c r="A6606" t="s">
        <v>167</v>
      </c>
      <c r="B6606" t="s">
        <v>113</v>
      </c>
      <c r="C6606" s="35" t="s">
        <v>521</v>
      </c>
      <c r="D6606" t="s">
        <v>113</v>
      </c>
      <c r="E6606" t="s">
        <v>520</v>
      </c>
      <c r="F6606" s="188" t="n">
        <v>2034</v>
      </c>
      <c r="G6606" s="189" t="n">
        <v>34</v>
      </c>
      <c r="H6606" s="190" t="n">
        <v>1288.82982143837</v>
      </c>
      <c r="I6606" s="191" t="n">
        <v>4303695.48530788</v>
      </c>
      <c r="J6606" s="192" t="str">
        <f>IF(I6606&gt;0,H6606/I6606,0)</f>
      </c>
      <c r="K6606" s="193" t="str">
        <f>1-EXP(-J6606)</f>
      </c>
      <c r="L6606" s="194" t="str">
        <f>IF(G6606=30,1,M6605)</f>
      </c>
      <c r="M6606" s="195" t="str">
        <f>L6606*(1-K6606)</f>
      </c>
    </row>
    <row r="6607">
      <c r="A6607" t="s">
        <v>167</v>
      </c>
      <c r="B6607" t="s">
        <v>113</v>
      </c>
      <c r="C6607" s="35" t="s">
        <v>521</v>
      </c>
      <c r="D6607" t="s">
        <v>113</v>
      </c>
      <c r="E6607" t="s">
        <v>520</v>
      </c>
      <c r="F6607" s="188" t="n">
        <v>2034</v>
      </c>
      <c r="G6607" s="189" t="n">
        <v>35</v>
      </c>
      <c r="H6607" s="190" t="n">
        <v>1748.95163844485</v>
      </c>
      <c r="I6607" s="191" t="n">
        <v>4323300.15141782</v>
      </c>
      <c r="J6607" s="192" t="str">
        <f>IF(I6607&gt;0,H6607/I6607,0)</f>
      </c>
      <c r="K6607" s="193" t="str">
        <f>1-EXP(-J6607)</f>
      </c>
      <c r="L6607" s="194" t="str">
        <f>IF(G6607=30,1,M6606)</f>
      </c>
      <c r="M6607" s="195" t="str">
        <f>L6607*(1-K6607)</f>
      </c>
    </row>
    <row r="6608">
      <c r="A6608" t="s">
        <v>167</v>
      </c>
      <c r="B6608" t="s">
        <v>113</v>
      </c>
      <c r="C6608" s="35" t="s">
        <v>521</v>
      </c>
      <c r="D6608" t="s">
        <v>113</v>
      </c>
      <c r="E6608" t="s">
        <v>520</v>
      </c>
      <c r="F6608" s="188" t="n">
        <v>2034</v>
      </c>
      <c r="G6608" s="189" t="n">
        <v>36</v>
      </c>
      <c r="H6608" s="190" t="n">
        <v>1981.75957214565</v>
      </c>
      <c r="I6608" s="191" t="n">
        <v>4381537.94224758</v>
      </c>
      <c r="J6608" s="192" t="str">
        <f>IF(I6608&gt;0,H6608/I6608,0)</f>
      </c>
      <c r="K6608" s="193" t="str">
        <f>1-EXP(-J6608)</f>
      </c>
      <c r="L6608" s="194" t="str">
        <f>IF(G6608=30,1,M6607)</f>
      </c>
      <c r="M6608" s="195" t="str">
        <f>L6608*(1-K6608)</f>
      </c>
    </row>
    <row r="6609">
      <c r="A6609" t="s">
        <v>167</v>
      </c>
      <c r="B6609" t="s">
        <v>113</v>
      </c>
      <c r="C6609" s="35" t="s">
        <v>521</v>
      </c>
      <c r="D6609" t="s">
        <v>113</v>
      </c>
      <c r="E6609" t="s">
        <v>520</v>
      </c>
      <c r="F6609" s="188" t="n">
        <v>2034</v>
      </c>
      <c r="G6609" s="189" t="n">
        <v>37</v>
      </c>
      <c r="H6609" s="190" t="n">
        <v>2395.9247508658</v>
      </c>
      <c r="I6609" s="191" t="n">
        <v>4519076.98517691</v>
      </c>
      <c r="J6609" s="192" t="str">
        <f>IF(I6609&gt;0,H6609/I6609,0)</f>
      </c>
      <c r="K6609" s="193" t="str">
        <f>1-EXP(-J6609)</f>
      </c>
      <c r="L6609" s="194" t="str">
        <f>IF(G6609=30,1,M6608)</f>
      </c>
      <c r="M6609" s="195" t="str">
        <f>L6609*(1-K6609)</f>
      </c>
    </row>
    <row r="6610">
      <c r="A6610" t="s">
        <v>167</v>
      </c>
      <c r="B6610" t="s">
        <v>113</v>
      </c>
      <c r="C6610" s="35" t="s">
        <v>521</v>
      </c>
      <c r="D6610" t="s">
        <v>113</v>
      </c>
      <c r="E6610" t="s">
        <v>520</v>
      </c>
      <c r="F6610" s="188" t="n">
        <v>2034</v>
      </c>
      <c r="G6610" s="189" t="n">
        <v>38</v>
      </c>
      <c r="H6610" s="190" t="n">
        <v>2548.85793822866</v>
      </c>
      <c r="I6610" s="191" t="n">
        <v>4474690.45827496</v>
      </c>
      <c r="J6610" s="192" t="str">
        <f>IF(I6610&gt;0,H6610/I6610,0)</f>
      </c>
      <c r="K6610" s="193" t="str">
        <f>1-EXP(-J6610)</f>
      </c>
      <c r="L6610" s="194" t="str">
        <f>IF(G6610=30,1,M6609)</f>
      </c>
      <c r="M6610" s="195" t="str">
        <f>L6610*(1-K6610)</f>
      </c>
    </row>
    <row r="6611">
      <c r="A6611" t="s">
        <v>167</v>
      </c>
      <c r="B6611" t="s">
        <v>113</v>
      </c>
      <c r="C6611" s="35" t="s">
        <v>521</v>
      </c>
      <c r="D6611" t="s">
        <v>113</v>
      </c>
      <c r="E6611" t="s">
        <v>520</v>
      </c>
      <c r="F6611" s="188" t="n">
        <v>2034</v>
      </c>
      <c r="G6611" s="189" t="n">
        <v>39</v>
      </c>
      <c r="H6611" s="190" t="n">
        <v>2697.97632616406</v>
      </c>
      <c r="I6611" s="191" t="n">
        <v>4400107.56504</v>
      </c>
      <c r="J6611" s="192" t="str">
        <f>IF(I6611&gt;0,H6611/I6611,0)</f>
      </c>
      <c r="K6611" s="193" t="str">
        <f>1-EXP(-J6611)</f>
      </c>
      <c r="L6611" s="194" t="str">
        <f>IF(G6611=30,1,M6610)</f>
      </c>
      <c r="M6611" s="195" t="str">
        <f>L6611*(1-K6611)</f>
      </c>
    </row>
    <row r="6612">
      <c r="A6612" t="s">
        <v>167</v>
      </c>
      <c r="B6612" t="s">
        <v>113</v>
      </c>
      <c r="C6612" s="35" t="s">
        <v>521</v>
      </c>
      <c r="D6612" t="s">
        <v>113</v>
      </c>
      <c r="E6612" t="s">
        <v>520</v>
      </c>
      <c r="F6612" s="188" t="n">
        <v>2034</v>
      </c>
      <c r="G6612" s="189" t="n">
        <v>40</v>
      </c>
      <c r="H6612" s="190" t="n">
        <v>3570.38844961607</v>
      </c>
      <c r="I6612" s="191" t="n">
        <v>4340978.07417753</v>
      </c>
      <c r="J6612" s="192" t="str">
        <f>IF(I6612&gt;0,H6612/I6612,0)</f>
      </c>
      <c r="K6612" s="193" t="str">
        <f>1-EXP(-J6612)</f>
      </c>
      <c r="L6612" s="194" t="str">
        <f>IF(G6612=30,1,M6611)</f>
      </c>
      <c r="M6612" s="195" t="str">
        <f>L6612*(1-K6612)</f>
      </c>
    </row>
    <row r="6613">
      <c r="A6613" t="s">
        <v>167</v>
      </c>
      <c r="B6613" t="s">
        <v>113</v>
      </c>
      <c r="C6613" s="35" t="s">
        <v>521</v>
      </c>
      <c r="D6613" t="s">
        <v>113</v>
      </c>
      <c r="E6613" t="s">
        <v>520</v>
      </c>
      <c r="F6613" s="188" t="n">
        <v>2034</v>
      </c>
      <c r="G6613" s="189" t="n">
        <v>41</v>
      </c>
      <c r="H6613" s="190" t="n">
        <v>3809.37966579364</v>
      </c>
      <c r="I6613" s="191" t="n">
        <v>4284424.22407546</v>
      </c>
      <c r="J6613" s="192" t="str">
        <f>IF(I6613&gt;0,H6613/I6613,0)</f>
      </c>
      <c r="K6613" s="193" t="str">
        <f>1-EXP(-J6613)</f>
      </c>
      <c r="L6613" s="194" t="str">
        <f>IF(G6613=30,1,M6612)</f>
      </c>
      <c r="M6613" s="195" t="str">
        <f>L6613*(1-K6613)</f>
      </c>
    </row>
    <row r="6614">
      <c r="A6614" t="s">
        <v>167</v>
      </c>
      <c r="B6614" t="s">
        <v>113</v>
      </c>
      <c r="C6614" s="35" t="s">
        <v>521</v>
      </c>
      <c r="D6614" t="s">
        <v>113</v>
      </c>
      <c r="E6614" t="s">
        <v>520</v>
      </c>
      <c r="F6614" s="188" t="n">
        <v>2034</v>
      </c>
      <c r="G6614" s="189" t="n">
        <v>42</v>
      </c>
      <c r="H6614" s="190" t="n">
        <v>4158.93736600441</v>
      </c>
      <c r="I6614" s="191" t="n">
        <v>4318959.08367162</v>
      </c>
      <c r="J6614" s="192" t="str">
        <f>IF(I6614&gt;0,H6614/I6614,0)</f>
      </c>
      <c r="K6614" s="193" t="str">
        <f>1-EXP(-J6614)</f>
      </c>
      <c r="L6614" s="194" t="str">
        <f>IF(G6614=30,1,M6613)</f>
      </c>
      <c r="M6614" s="195" t="str">
        <f>L6614*(1-K6614)</f>
      </c>
    </row>
    <row r="6615">
      <c r="A6615" t="s">
        <v>167</v>
      </c>
      <c r="B6615" t="s">
        <v>113</v>
      </c>
      <c r="C6615" s="35" t="s">
        <v>521</v>
      </c>
      <c r="D6615" t="s">
        <v>113</v>
      </c>
      <c r="E6615" t="s">
        <v>520</v>
      </c>
      <c r="F6615" s="188" t="n">
        <v>2034</v>
      </c>
      <c r="G6615" s="189" t="n">
        <v>43</v>
      </c>
      <c r="H6615" s="190" t="n">
        <v>4537.15147130701</v>
      </c>
      <c r="I6615" s="191" t="n">
        <v>4333585.59733898</v>
      </c>
      <c r="J6615" s="192" t="str">
        <f>IF(I6615&gt;0,H6615/I6615,0)</f>
      </c>
      <c r="K6615" s="193" t="str">
        <f>1-EXP(-J6615)</f>
      </c>
      <c r="L6615" s="194" t="str">
        <f>IF(G6615=30,1,M6614)</f>
      </c>
      <c r="M6615" s="195" t="str">
        <f>L6615*(1-K6615)</f>
      </c>
    </row>
    <row r="6616">
      <c r="A6616" t="s">
        <v>167</v>
      </c>
      <c r="B6616" t="s">
        <v>113</v>
      </c>
      <c r="C6616" s="35" t="s">
        <v>521</v>
      </c>
      <c r="D6616" t="s">
        <v>113</v>
      </c>
      <c r="E6616" t="s">
        <v>520</v>
      </c>
      <c r="F6616" s="188" t="n">
        <v>2034</v>
      </c>
      <c r="G6616" s="189" t="n">
        <v>44</v>
      </c>
      <c r="H6616" s="190" t="n">
        <v>6868.50611759385</v>
      </c>
      <c r="I6616" s="191" t="n">
        <v>6378974.46194279</v>
      </c>
      <c r="J6616" s="192" t="str">
        <f>IF(I6616&gt;0,H6616/I6616,0)</f>
      </c>
      <c r="K6616" s="193" t="str">
        <f>1-EXP(-J6616)</f>
      </c>
      <c r="L6616" s="194" t="str">
        <f>IF(G6616=30,1,M6615)</f>
      </c>
      <c r="M6616" s="195" t="str">
        <f>L6616*(1-K6616)</f>
      </c>
    </row>
    <row r="6617">
      <c r="A6617" t="s">
        <v>167</v>
      </c>
      <c r="B6617" t="s">
        <v>113</v>
      </c>
      <c r="C6617" s="35" t="s">
        <v>521</v>
      </c>
      <c r="D6617" t="s">
        <v>113</v>
      </c>
      <c r="E6617" t="s">
        <v>520</v>
      </c>
      <c r="F6617" s="188" t="n">
        <v>2034</v>
      </c>
      <c r="G6617" s="189" t="n">
        <v>45</v>
      </c>
      <c r="H6617" s="190" t="n">
        <v>6305.74645629903</v>
      </c>
      <c r="I6617" s="191" t="n">
        <v>4285036.04391432</v>
      </c>
      <c r="J6617" s="192" t="str">
        <f>IF(I6617&gt;0,H6617/I6617,0)</f>
      </c>
      <c r="K6617" s="193" t="str">
        <f>1-EXP(-J6617)</f>
      </c>
      <c r="L6617" s="194" t="str">
        <f>IF(G6617=30,1,M6616)</f>
      </c>
      <c r="M6617" s="195" t="str">
        <f>L6617*(1-K6617)</f>
      </c>
    </row>
    <row r="6618">
      <c r="A6618" t="s">
        <v>167</v>
      </c>
      <c r="B6618" t="s">
        <v>113</v>
      </c>
      <c r="C6618" s="35" t="s">
        <v>521</v>
      </c>
      <c r="D6618" t="s">
        <v>113</v>
      </c>
      <c r="E6618" t="s">
        <v>520</v>
      </c>
      <c r="F6618" s="188" t="n">
        <v>2034</v>
      </c>
      <c r="G6618" s="189" t="n">
        <v>46</v>
      </c>
      <c r="H6618" s="190" t="n">
        <v>6867.33891484822</v>
      </c>
      <c r="I6618" s="191" t="n">
        <v>4263033.53784956</v>
      </c>
      <c r="J6618" s="192" t="str">
        <f>IF(I6618&gt;0,H6618/I6618,0)</f>
      </c>
      <c r="K6618" s="193" t="str">
        <f>1-EXP(-J6618)</f>
      </c>
      <c r="L6618" s="194" t="str">
        <f>IF(G6618=30,1,M6617)</f>
      </c>
      <c r="M6618" s="195" t="str">
        <f>L6618*(1-K6618)</f>
      </c>
    </row>
    <row r="6619">
      <c r="A6619" t="s">
        <v>167</v>
      </c>
      <c r="B6619" t="s">
        <v>113</v>
      </c>
      <c r="C6619" s="35" t="s">
        <v>521</v>
      </c>
      <c r="D6619" t="s">
        <v>113</v>
      </c>
      <c r="E6619" t="s">
        <v>520</v>
      </c>
      <c r="F6619" s="188" t="n">
        <v>2034</v>
      </c>
      <c r="G6619" s="189" t="n">
        <v>47</v>
      </c>
      <c r="H6619" s="190" t="n">
        <v>7287.17813665806</v>
      </c>
      <c r="I6619" s="191" t="n">
        <v>4127488.96735927</v>
      </c>
      <c r="J6619" s="192" t="str">
        <f>IF(I6619&gt;0,H6619/I6619,0)</f>
      </c>
      <c r="K6619" s="193" t="str">
        <f>1-EXP(-J6619)</f>
      </c>
      <c r="L6619" s="194" t="str">
        <f>IF(G6619=30,1,M6618)</f>
      </c>
      <c r="M6619" s="195" t="str">
        <f>L6619*(1-K6619)</f>
      </c>
    </row>
    <row r="6620">
      <c r="A6620" t="s">
        <v>167</v>
      </c>
      <c r="B6620" t="s">
        <v>113</v>
      </c>
      <c r="C6620" s="35" t="s">
        <v>521</v>
      </c>
      <c r="D6620" t="s">
        <v>113</v>
      </c>
      <c r="E6620" t="s">
        <v>520</v>
      </c>
      <c r="F6620" s="188" t="n">
        <v>2034</v>
      </c>
      <c r="G6620" s="189" t="n">
        <v>48</v>
      </c>
      <c r="H6620" s="190" t="n">
        <v>7908.29585691895</v>
      </c>
      <c r="I6620" s="191" t="n">
        <v>4087858.11224162</v>
      </c>
      <c r="J6620" s="192" t="str">
        <f>IF(I6620&gt;0,H6620/I6620,0)</f>
      </c>
      <c r="K6620" s="193" t="str">
        <f>1-EXP(-J6620)</f>
      </c>
      <c r="L6620" s="194" t="str">
        <f>IF(G6620=30,1,M6619)</f>
      </c>
      <c r="M6620" s="195" t="str">
        <f>L6620*(1-K6620)</f>
      </c>
    </row>
    <row r="6621">
      <c r="A6621" t="s">
        <v>167</v>
      </c>
      <c r="B6621" t="s">
        <v>113</v>
      </c>
      <c r="C6621" s="35" t="s">
        <v>521</v>
      </c>
      <c r="D6621" t="s">
        <v>113</v>
      </c>
      <c r="E6621" t="s">
        <v>520</v>
      </c>
      <c r="F6621" s="188" t="n">
        <v>2034</v>
      </c>
      <c r="G6621" s="189" t="n">
        <v>49</v>
      </c>
      <c r="H6621" s="190" t="n">
        <v>8774.162908756</v>
      </c>
      <c r="I6621" s="191" t="n">
        <v>4139676.36342141</v>
      </c>
      <c r="J6621" s="192" t="str">
        <f>IF(I6621&gt;0,H6621/I6621,0)</f>
      </c>
      <c r="K6621" s="193" t="str">
        <f>1-EXP(-J6621)</f>
      </c>
      <c r="L6621" s="194" t="str">
        <f>IF(G6621=30,1,M6620)</f>
      </c>
      <c r="M6621" s="195" t="str">
        <f>L6621*(1-K6621)</f>
      </c>
    </row>
    <row r="6622">
      <c r="A6622" t="s">
        <v>167</v>
      </c>
      <c r="B6622" t="s">
        <v>113</v>
      </c>
      <c r="C6622" s="35" t="s">
        <v>521</v>
      </c>
      <c r="D6622" t="s">
        <v>113</v>
      </c>
      <c r="E6622" t="s">
        <v>520</v>
      </c>
      <c r="F6622" s="188" t="n">
        <v>2034</v>
      </c>
      <c r="G6622" s="189" t="n">
        <v>50</v>
      </c>
      <c r="H6622" s="190" t="n">
        <v>10347.1644992363</v>
      </c>
      <c r="I6622" s="191" t="n">
        <v>4215253.47207591</v>
      </c>
      <c r="J6622" s="192" t="str">
        <f>IF(I6622&gt;0,H6622/I6622,0)</f>
      </c>
      <c r="K6622" s="193" t="str">
        <f>1-EXP(-J6622)</f>
      </c>
      <c r="L6622" s="194" t="str">
        <f>IF(G6622=30,1,M6621)</f>
      </c>
      <c r="M6622" s="195" t="str">
        <f>L6622*(1-K6622)</f>
      </c>
    </row>
    <row r="6623">
      <c r="A6623" t="s">
        <v>167</v>
      </c>
      <c r="B6623" t="s">
        <v>113</v>
      </c>
      <c r="C6623" s="35" t="s">
        <v>521</v>
      </c>
      <c r="D6623" t="s">
        <v>113</v>
      </c>
      <c r="E6623" t="s">
        <v>520</v>
      </c>
      <c r="F6623" s="188" t="n">
        <v>2034</v>
      </c>
      <c r="G6623" s="189" t="n">
        <v>51</v>
      </c>
      <c r="H6623" s="190" t="n">
        <v>11224.7251983166</v>
      </c>
      <c r="I6623" s="191" t="n">
        <v>4182333.83114874</v>
      </c>
      <c r="J6623" s="192" t="str">
        <f>IF(I6623&gt;0,H6623/I6623,0)</f>
      </c>
      <c r="K6623" s="193" t="str">
        <f>1-EXP(-J6623)</f>
      </c>
      <c r="L6623" s="194" t="str">
        <f>IF(G6623=30,1,M6622)</f>
      </c>
      <c r="M6623" s="195" t="str">
        <f>L6623*(1-K6623)</f>
      </c>
    </row>
    <row r="6624">
      <c r="A6624" t="s">
        <v>167</v>
      </c>
      <c r="B6624" t="s">
        <v>113</v>
      </c>
      <c r="C6624" s="35" t="s">
        <v>521</v>
      </c>
      <c r="D6624" t="s">
        <v>113</v>
      </c>
      <c r="E6624" t="s">
        <v>520</v>
      </c>
      <c r="F6624" s="188" t="n">
        <v>2034</v>
      </c>
      <c r="G6624" s="189" t="n">
        <v>52</v>
      </c>
      <c r="H6624" s="190" t="n">
        <v>11856.0723404478</v>
      </c>
      <c r="I6624" s="191" t="n">
        <v>4039712.95150568</v>
      </c>
      <c r="J6624" s="192" t="str">
        <f>IF(I6624&gt;0,H6624/I6624,0)</f>
      </c>
      <c r="K6624" s="193" t="str">
        <f>1-EXP(-J6624)</f>
      </c>
      <c r="L6624" s="194" t="str">
        <f>IF(G6624=30,1,M6623)</f>
      </c>
      <c r="M6624" s="195" t="str">
        <f>L6624*(1-K6624)</f>
      </c>
    </row>
    <row r="6625">
      <c r="A6625" t="s">
        <v>167</v>
      </c>
      <c r="B6625" t="s">
        <v>113</v>
      </c>
      <c r="C6625" s="35" t="s">
        <v>521</v>
      </c>
      <c r="D6625" t="s">
        <v>113</v>
      </c>
      <c r="E6625" t="s">
        <v>520</v>
      </c>
      <c r="F6625" s="188" t="n">
        <v>2034</v>
      </c>
      <c r="G6625" s="189" t="n">
        <v>53</v>
      </c>
      <c r="H6625" s="190" t="n">
        <v>12683.7845796516</v>
      </c>
      <c r="I6625" s="191" t="n">
        <v>3957689.81707711</v>
      </c>
      <c r="J6625" s="192" t="str">
        <f>IF(I6625&gt;0,H6625/I6625,0)</f>
      </c>
      <c r="K6625" s="193" t="str">
        <f>1-EXP(-J6625)</f>
      </c>
      <c r="L6625" s="194" t="str">
        <f>IF(G6625=30,1,M6624)</f>
      </c>
      <c r="M6625" s="195" t="str">
        <f>L6625*(1-K6625)</f>
      </c>
    </row>
    <row r="6626">
      <c r="A6626" t="s">
        <v>167</v>
      </c>
      <c r="B6626" t="s">
        <v>113</v>
      </c>
      <c r="C6626" s="35" t="s">
        <v>521</v>
      </c>
      <c r="D6626" t="s">
        <v>113</v>
      </c>
      <c r="E6626" t="s">
        <v>520</v>
      </c>
      <c r="F6626" s="188" t="n">
        <v>2034</v>
      </c>
      <c r="G6626" s="189" t="n">
        <v>54</v>
      </c>
      <c r="H6626" s="190" t="n">
        <v>13611.5371262049</v>
      </c>
      <c r="I6626" s="191" t="n">
        <v>3890576.79344405</v>
      </c>
      <c r="J6626" s="192" t="str">
        <f>IF(I6626&gt;0,H6626/I6626,0)</f>
      </c>
      <c r="K6626" s="193" t="str">
        <f>1-EXP(-J6626)</f>
      </c>
      <c r="L6626" s="194" t="str">
        <f>IF(G6626=30,1,M6625)</f>
      </c>
      <c r="M6626" s="195" t="str">
        <f>L6626*(1-K6626)</f>
      </c>
    </row>
    <row r="6627">
      <c r="A6627" t="s">
        <v>167</v>
      </c>
      <c r="B6627" t="s">
        <v>113</v>
      </c>
      <c r="C6627" s="35" t="s">
        <v>521</v>
      </c>
      <c r="D6627" t="s">
        <v>113</v>
      </c>
      <c r="E6627" t="s">
        <v>520</v>
      </c>
      <c r="F6627" s="188" t="n">
        <v>2034</v>
      </c>
      <c r="G6627" s="189" t="n">
        <v>55</v>
      </c>
      <c r="H6627" s="190" t="n">
        <v>14617.704126259</v>
      </c>
      <c r="I6627" s="191" t="n">
        <v>3817599.81785906</v>
      </c>
      <c r="J6627" s="192" t="str">
        <f>IF(I6627&gt;0,H6627/I6627,0)</f>
      </c>
      <c r="K6627" s="193" t="str">
        <f>1-EXP(-J6627)</f>
      </c>
      <c r="L6627" s="194" t="str">
        <f>IF(G6627=30,1,M6626)</f>
      </c>
      <c r="M6627" s="195" t="str">
        <f>L6627*(1-K6627)</f>
      </c>
    </row>
    <row r="6628">
      <c r="A6628" t="s">
        <v>167</v>
      </c>
      <c r="B6628" t="s">
        <v>113</v>
      </c>
      <c r="C6628" s="35" t="s">
        <v>521</v>
      </c>
      <c r="D6628" t="s">
        <v>113</v>
      </c>
      <c r="E6628" t="s">
        <v>520</v>
      </c>
      <c r="F6628" s="188" t="n">
        <v>2034</v>
      </c>
      <c r="G6628" s="189" t="n">
        <v>56</v>
      </c>
      <c r="H6628" s="190" t="n">
        <v>15568.2645139447</v>
      </c>
      <c r="I6628" s="191" t="n">
        <v>3724905.44253867</v>
      </c>
      <c r="J6628" s="192" t="str">
        <f>IF(I6628&gt;0,H6628/I6628,0)</f>
      </c>
      <c r="K6628" s="193" t="str">
        <f>1-EXP(-J6628)</f>
      </c>
      <c r="L6628" s="194" t="str">
        <f>IF(G6628=30,1,M6627)</f>
      </c>
      <c r="M6628" s="195" t="str">
        <f>L6628*(1-K6628)</f>
      </c>
    </row>
    <row r="6629">
      <c r="A6629" t="s">
        <v>167</v>
      </c>
      <c r="B6629" t="s">
        <v>113</v>
      </c>
      <c r="C6629" s="35" t="s">
        <v>521</v>
      </c>
      <c r="D6629" t="s">
        <v>113</v>
      </c>
      <c r="E6629" t="s">
        <v>520</v>
      </c>
      <c r="F6629" s="188" t="n">
        <v>2034</v>
      </c>
      <c r="G6629" s="189" t="n">
        <v>57</v>
      </c>
      <c r="H6629" s="190" t="n">
        <v>16672.5680367034</v>
      </c>
      <c r="I6629" s="191" t="n">
        <v>3648281.63963056</v>
      </c>
      <c r="J6629" s="192" t="str">
        <f>IF(I6629&gt;0,H6629/I6629,0)</f>
      </c>
      <c r="K6629" s="193" t="str">
        <f>1-EXP(-J6629)</f>
      </c>
      <c r="L6629" s="194" t="str">
        <f>IF(G6629=30,1,M6628)</f>
      </c>
      <c r="M6629" s="195" t="str">
        <f>L6629*(1-K6629)</f>
      </c>
    </row>
    <row r="6630">
      <c r="A6630" t="s">
        <v>167</v>
      </c>
      <c r="B6630" t="s">
        <v>113</v>
      </c>
      <c r="C6630" s="35" t="s">
        <v>521</v>
      </c>
      <c r="D6630" t="s">
        <v>113</v>
      </c>
      <c r="E6630" t="s">
        <v>520</v>
      </c>
      <c r="F6630" s="188" t="n">
        <v>2034</v>
      </c>
      <c r="G6630" s="189" t="n">
        <v>58</v>
      </c>
      <c r="H6630" s="190" t="n">
        <v>17777.268190216</v>
      </c>
      <c r="I6630" s="191" t="n">
        <v>3559753.98871241</v>
      </c>
      <c r="J6630" s="192" t="str">
        <f>IF(I6630&gt;0,H6630/I6630,0)</f>
      </c>
      <c r="K6630" s="193" t="str">
        <f>1-EXP(-J6630)</f>
      </c>
      <c r="L6630" s="194" t="str">
        <f>IF(G6630=30,1,M6629)</f>
      </c>
      <c r="M6630" s="195" t="str">
        <f>L6630*(1-K6630)</f>
      </c>
    </row>
    <row r="6631">
      <c r="A6631" t="s">
        <v>167</v>
      </c>
      <c r="B6631" t="s">
        <v>113</v>
      </c>
      <c r="C6631" s="35" t="s">
        <v>521</v>
      </c>
      <c r="D6631" t="s">
        <v>113</v>
      </c>
      <c r="E6631" t="s">
        <v>520</v>
      </c>
      <c r="F6631" s="188" t="n">
        <v>2034</v>
      </c>
      <c r="G6631" s="189" t="n">
        <v>59</v>
      </c>
      <c r="H6631" s="190" t="n">
        <v>18948.3148180102</v>
      </c>
      <c r="I6631" s="191" t="n">
        <v>3469864.29985739</v>
      </c>
      <c r="J6631" s="192" t="str">
        <f>IF(I6631&gt;0,H6631/I6631,0)</f>
      </c>
      <c r="K6631" s="193" t="str">
        <f>1-EXP(-J6631)</f>
      </c>
      <c r="L6631" s="194" t="str">
        <f>IF(G6631=30,1,M6630)</f>
      </c>
      <c r="M6631" s="195" t="str">
        <f>L6631*(1-K6631)</f>
      </c>
    </row>
    <row r="6632">
      <c r="A6632" t="s">
        <v>167</v>
      </c>
      <c r="B6632" t="s">
        <v>113</v>
      </c>
      <c r="C6632" s="35" t="s">
        <v>521</v>
      </c>
      <c r="D6632" t="s">
        <v>113</v>
      </c>
      <c r="E6632" t="s">
        <v>520</v>
      </c>
      <c r="F6632" s="188" t="n">
        <v>2034</v>
      </c>
      <c r="G6632" s="189" t="n">
        <v>60</v>
      </c>
      <c r="H6632" s="190" t="n">
        <v>20222.0453172609</v>
      </c>
      <c r="I6632" s="191" t="n">
        <v>3353195.72370935</v>
      </c>
      <c r="J6632" s="192" t="str">
        <f>IF(I6632&gt;0,H6632/I6632,0)</f>
      </c>
      <c r="K6632" s="193" t="str">
        <f>1-EXP(-J6632)</f>
      </c>
      <c r="L6632" s="194" t="str">
        <f>IF(G6632=30,1,M6631)</f>
      </c>
      <c r="M6632" s="195" t="str">
        <f>L6632*(1-K6632)</f>
      </c>
    </row>
    <row r="6633">
      <c r="A6633" t="s">
        <v>167</v>
      </c>
      <c r="B6633" t="s">
        <v>113</v>
      </c>
      <c r="C6633" s="35" t="s">
        <v>521</v>
      </c>
      <c r="D6633" t="s">
        <v>113</v>
      </c>
      <c r="E6633" t="s">
        <v>520</v>
      </c>
      <c r="F6633" s="188" t="n">
        <v>2034</v>
      </c>
      <c r="G6633" s="189" t="n">
        <v>61</v>
      </c>
      <c r="H6633" s="190" t="n">
        <v>21728.3755635263</v>
      </c>
      <c r="I6633" s="191" t="n">
        <v>3292113.15578824</v>
      </c>
      <c r="J6633" s="192" t="str">
        <f>IF(I6633&gt;0,H6633/I6633,0)</f>
      </c>
      <c r="K6633" s="193" t="str">
        <f>1-EXP(-J6633)</f>
      </c>
      <c r="L6633" s="194" t="str">
        <f>IF(G6633=30,1,M6632)</f>
      </c>
      <c r="M6633" s="195" t="str">
        <f>L6633*(1-K6633)</f>
      </c>
    </row>
    <row r="6634">
      <c r="A6634" t="s">
        <v>167</v>
      </c>
      <c r="B6634" t="s">
        <v>113</v>
      </c>
      <c r="C6634" s="35" t="s">
        <v>521</v>
      </c>
      <c r="D6634" t="s">
        <v>113</v>
      </c>
      <c r="E6634" t="s">
        <v>520</v>
      </c>
      <c r="F6634" s="188" t="n">
        <v>2034</v>
      </c>
      <c r="G6634" s="189" t="n">
        <v>62</v>
      </c>
      <c r="H6634" s="190" t="n">
        <v>22263.86516314</v>
      </c>
      <c r="I6634" s="191" t="n">
        <v>3076987.64862393</v>
      </c>
      <c r="J6634" s="192" t="str">
        <f>IF(I6634&gt;0,H6634/I6634,0)</f>
      </c>
      <c r="K6634" s="193" t="str">
        <f>1-EXP(-J6634)</f>
      </c>
      <c r="L6634" s="194" t="str">
        <f>IF(G6634=30,1,M6633)</f>
      </c>
      <c r="M6634" s="195" t="str">
        <f>L6634*(1-K6634)</f>
      </c>
    </row>
    <row r="6635">
      <c r="A6635" t="s">
        <v>167</v>
      </c>
      <c r="B6635" t="s">
        <v>113</v>
      </c>
      <c r="C6635" s="35" t="s">
        <v>521</v>
      </c>
      <c r="D6635" t="s">
        <v>113</v>
      </c>
      <c r="E6635" t="s">
        <v>520</v>
      </c>
      <c r="F6635" s="188" t="n">
        <v>2034</v>
      </c>
      <c r="G6635" s="189" t="n">
        <v>63</v>
      </c>
      <c r="H6635" s="190" t="n">
        <v>23582.4756223298</v>
      </c>
      <c r="I6635" s="191" t="n">
        <v>2975575.05804347</v>
      </c>
      <c r="J6635" s="192" t="str">
        <f>IF(I6635&gt;0,H6635/I6635,0)</f>
      </c>
      <c r="K6635" s="193" t="str">
        <f>1-EXP(-J6635)</f>
      </c>
      <c r="L6635" s="194" t="str">
        <f>IF(G6635=30,1,M6634)</f>
      </c>
      <c r="M6635" s="195" t="str">
        <f>L6635*(1-K6635)</f>
      </c>
    </row>
    <row r="6636">
      <c r="A6636" t="s">
        <v>167</v>
      </c>
      <c r="B6636" t="s">
        <v>113</v>
      </c>
      <c r="C6636" s="35" t="s">
        <v>521</v>
      </c>
      <c r="D6636" t="s">
        <v>113</v>
      </c>
      <c r="E6636" t="s">
        <v>520</v>
      </c>
      <c r="F6636" s="188" t="n">
        <v>2034</v>
      </c>
      <c r="G6636" s="189" t="n">
        <v>64</v>
      </c>
      <c r="H6636" s="190" t="n">
        <v>24987.1179118109</v>
      </c>
      <c r="I6636" s="191" t="n">
        <v>2877516.66091671</v>
      </c>
      <c r="J6636" s="192" t="str">
        <f>IF(I6636&gt;0,H6636/I6636,0)</f>
      </c>
      <c r="K6636" s="193" t="str">
        <f>1-EXP(-J6636)</f>
      </c>
      <c r="L6636" s="194" t="str">
        <f>IF(G6636=30,1,M6635)</f>
      </c>
      <c r="M6636" s="195" t="str">
        <f>L6636*(1-K6636)</f>
      </c>
    </row>
    <row r="6637">
      <c r="A6637" t="s">
        <v>167</v>
      </c>
      <c r="B6637" t="s">
        <v>113</v>
      </c>
      <c r="C6637" s="35" t="s">
        <v>521</v>
      </c>
      <c r="D6637" t="s">
        <v>113</v>
      </c>
      <c r="E6637" t="s">
        <v>520</v>
      </c>
      <c r="F6637" s="188" t="n">
        <v>2034</v>
      </c>
      <c r="G6637" s="189" t="n">
        <v>65</v>
      </c>
      <c r="H6637" s="190" t="n">
        <v>25463.9393591608</v>
      </c>
      <c r="I6637" s="191" t="n">
        <v>2770263.69819981</v>
      </c>
      <c r="J6637" s="192" t="str">
        <f>IF(I6637&gt;0,H6637/I6637,0)</f>
      </c>
      <c r="K6637" s="193" t="str">
        <f>1-EXP(-J6637)</f>
      </c>
      <c r="L6637" s="194" t="str">
        <f>IF(G6637=30,1,M6636)</f>
      </c>
      <c r="M6637" s="195" t="str">
        <f>L6637*(1-K6637)</f>
      </c>
    </row>
    <row r="6638">
      <c r="A6638" t="s">
        <v>167</v>
      </c>
      <c r="B6638" t="s">
        <v>113</v>
      </c>
      <c r="C6638" s="35" t="s">
        <v>521</v>
      </c>
      <c r="D6638" t="s">
        <v>113</v>
      </c>
      <c r="E6638" t="s">
        <v>520</v>
      </c>
      <c r="F6638" s="188" t="n">
        <v>2034</v>
      </c>
      <c r="G6638" s="189" t="n">
        <v>66</v>
      </c>
      <c r="H6638" s="190" t="n">
        <v>26661.0471505427</v>
      </c>
      <c r="I6638" s="191" t="n">
        <v>2644866.64210486</v>
      </c>
      <c r="J6638" s="192" t="str">
        <f>IF(I6638&gt;0,H6638/I6638,0)</f>
      </c>
      <c r="K6638" s="193" t="str">
        <f>1-EXP(-J6638)</f>
      </c>
      <c r="L6638" s="194" t="str">
        <f>IF(G6638=30,1,M6637)</f>
      </c>
      <c r="M6638" s="195" t="str">
        <f>L6638*(1-K6638)</f>
      </c>
    </row>
    <row r="6639">
      <c r="A6639" t="s">
        <v>167</v>
      </c>
      <c r="B6639" t="s">
        <v>113</v>
      </c>
      <c r="C6639" s="35" t="s">
        <v>521</v>
      </c>
      <c r="D6639" t="s">
        <v>113</v>
      </c>
      <c r="E6639" t="s">
        <v>520</v>
      </c>
      <c r="F6639" s="188" t="n">
        <v>2034</v>
      </c>
      <c r="G6639" s="189" t="n">
        <v>67</v>
      </c>
      <c r="H6639" s="190" t="n">
        <v>27569.4101983956</v>
      </c>
      <c r="I6639" s="191" t="n">
        <v>2490717.46588644</v>
      </c>
      <c r="J6639" s="192" t="str">
        <f>IF(I6639&gt;0,H6639/I6639,0)</f>
      </c>
      <c r="K6639" s="193" t="str">
        <f>1-EXP(-J6639)</f>
      </c>
      <c r="L6639" s="194" t="str">
        <f>IF(G6639=30,1,M6638)</f>
      </c>
      <c r="M6639" s="195" t="str">
        <f>L6639*(1-K6639)</f>
      </c>
    </row>
    <row r="6640">
      <c r="A6640" t="s">
        <v>167</v>
      </c>
      <c r="B6640" t="s">
        <v>113</v>
      </c>
      <c r="C6640" s="35" t="s">
        <v>521</v>
      </c>
      <c r="D6640" t="s">
        <v>113</v>
      </c>
      <c r="E6640" t="s">
        <v>520</v>
      </c>
      <c r="F6640" s="188" t="n">
        <v>2034</v>
      </c>
      <c r="G6640" s="189" t="n">
        <v>68</v>
      </c>
      <c r="H6640" s="190" t="n">
        <v>28793.5011240634</v>
      </c>
      <c r="I6640" s="191" t="n">
        <v>2369504.43718229</v>
      </c>
      <c r="J6640" s="192" t="str">
        <f>IF(I6640&gt;0,H6640/I6640,0)</f>
      </c>
      <c r="K6640" s="193" t="str">
        <f>1-EXP(-J6640)</f>
      </c>
      <c r="L6640" s="194" t="str">
        <f>IF(G6640=30,1,M6639)</f>
      </c>
      <c r="M6640" s="195" t="str">
        <f>L6640*(1-K6640)</f>
      </c>
    </row>
    <row r="6641">
      <c r="A6641" t="s">
        <v>167</v>
      </c>
      <c r="B6641" t="s">
        <v>113</v>
      </c>
      <c r="C6641" s="35" t="s">
        <v>521</v>
      </c>
      <c r="D6641" t="s">
        <v>113</v>
      </c>
      <c r="E6641" t="s">
        <v>520</v>
      </c>
      <c r="F6641" s="188" t="n">
        <v>2034</v>
      </c>
      <c r="G6641" s="189" t="n">
        <v>69</v>
      </c>
      <c r="H6641" s="190" t="n">
        <v>29760.8146474671</v>
      </c>
      <c r="I6641" s="191" t="n">
        <v>2229313.05701056</v>
      </c>
      <c r="J6641" s="192" t="str">
        <f>IF(I6641&gt;0,H6641/I6641,0)</f>
      </c>
      <c r="K6641" s="193" t="str">
        <f>1-EXP(-J6641)</f>
      </c>
      <c r="L6641" s="194" t="str">
        <f>IF(G6641=30,1,M6640)</f>
      </c>
      <c r="M6641" s="195" t="str">
        <f>L6641*(1-K6641)</f>
      </c>
    </row>
    <row r="6642">
      <c r="A6642" t="s">
        <v>167</v>
      </c>
      <c r="B6642" t="s">
        <v>113</v>
      </c>
      <c r="C6642" s="35" t="s">
        <v>521</v>
      </c>
      <c r="D6642" t="s">
        <v>113</v>
      </c>
      <c r="E6642" t="s">
        <v>520</v>
      </c>
      <c r="F6642" s="188" t="n">
        <v>2035</v>
      </c>
      <c r="G6642" s="189" t="n">
        <v>30</v>
      </c>
      <c r="H6642" s="190" t="n">
        <v>808.760449094376</v>
      </c>
      <c r="I6642" s="191" t="n">
        <v>4552852.62019601</v>
      </c>
      <c r="J6642" s="192" t="str">
        <f>IF(I6642&gt;0,H6642/I6642,0)</f>
      </c>
      <c r="K6642" s="193" t="str">
        <f>1-EXP(-J6642)</f>
      </c>
      <c r="L6642" s="194" t="str">
        <f>IF(G6642=30,1,M6641)</f>
      </c>
      <c r="M6642" s="195" t="str">
        <f>L6642*(1-K6642)</f>
      </c>
    </row>
    <row r="6643">
      <c r="A6643" t="s">
        <v>167</v>
      </c>
      <c r="B6643" t="s">
        <v>113</v>
      </c>
      <c r="C6643" s="35" t="s">
        <v>521</v>
      </c>
      <c r="D6643" t="s">
        <v>113</v>
      </c>
      <c r="E6643" t="s">
        <v>520</v>
      </c>
      <c r="F6643" s="188" t="n">
        <v>2035</v>
      </c>
      <c r="G6643" s="189" t="n">
        <v>31</v>
      </c>
      <c r="H6643" s="190" t="n">
        <v>984.700287497179</v>
      </c>
      <c r="I6643" s="191" t="n">
        <v>4424108.03798398</v>
      </c>
      <c r="J6643" s="192" t="str">
        <f>IF(I6643&gt;0,H6643/I6643,0)</f>
      </c>
      <c r="K6643" s="193" t="str">
        <f>1-EXP(-J6643)</f>
      </c>
      <c r="L6643" s="194" t="str">
        <f>IF(G6643=30,1,M6642)</f>
      </c>
      <c r="M6643" s="195" t="str">
        <f>L6643*(1-K6643)</f>
      </c>
    </row>
    <row r="6644">
      <c r="A6644" t="s">
        <v>167</v>
      </c>
      <c r="B6644" t="s">
        <v>113</v>
      </c>
      <c r="C6644" s="35" t="s">
        <v>521</v>
      </c>
      <c r="D6644" t="s">
        <v>113</v>
      </c>
      <c r="E6644" t="s">
        <v>520</v>
      </c>
      <c r="F6644" s="188" t="n">
        <v>2035</v>
      </c>
      <c r="G6644" s="189" t="n">
        <v>32</v>
      </c>
      <c r="H6644" s="190" t="n">
        <v>1021.78689935896</v>
      </c>
      <c r="I6644" s="191" t="n">
        <v>4358877.56557047</v>
      </c>
      <c r="J6644" s="192" t="str">
        <f>IF(I6644&gt;0,H6644/I6644,0)</f>
      </c>
      <c r="K6644" s="193" t="str">
        <f>1-EXP(-J6644)</f>
      </c>
      <c r="L6644" s="194" t="str">
        <f>IF(G6644=30,1,M6643)</f>
      </c>
      <c r="M6644" s="195" t="str">
        <f>L6644*(1-K6644)</f>
      </c>
    </row>
    <row r="6645">
      <c r="A6645" t="s">
        <v>167</v>
      </c>
      <c r="B6645" t="s">
        <v>113</v>
      </c>
      <c r="C6645" s="35" t="s">
        <v>521</v>
      </c>
      <c r="D6645" t="s">
        <v>113</v>
      </c>
      <c r="E6645" t="s">
        <v>520</v>
      </c>
      <c r="F6645" s="188" t="n">
        <v>2035</v>
      </c>
      <c r="G6645" s="189" t="n">
        <v>33</v>
      </c>
      <c r="H6645" s="190" t="n">
        <v>1225.14738533206</v>
      </c>
      <c r="I6645" s="191" t="n">
        <v>4337721.45423099</v>
      </c>
      <c r="J6645" s="192" t="str">
        <f>IF(I6645&gt;0,H6645/I6645,0)</f>
      </c>
      <c r="K6645" s="193" t="str">
        <f>1-EXP(-J6645)</f>
      </c>
      <c r="L6645" s="194" t="str">
        <f>IF(G6645=30,1,M6644)</f>
      </c>
      <c r="M6645" s="195" t="str">
        <f>L6645*(1-K6645)</f>
      </c>
    </row>
    <row r="6646">
      <c r="A6646" t="s">
        <v>167</v>
      </c>
      <c r="B6646" t="s">
        <v>113</v>
      </c>
      <c r="C6646" s="35" t="s">
        <v>521</v>
      </c>
      <c r="D6646" t="s">
        <v>113</v>
      </c>
      <c r="E6646" t="s">
        <v>520</v>
      </c>
      <c r="F6646" s="188" t="n">
        <v>2035</v>
      </c>
      <c r="G6646" s="189" t="n">
        <v>34</v>
      </c>
      <c r="H6646" s="190" t="n">
        <v>1296.62150825137</v>
      </c>
      <c r="I6646" s="191" t="n">
        <v>4317717.93276423</v>
      </c>
      <c r="J6646" s="192" t="str">
        <f>IF(I6646&gt;0,H6646/I6646,0)</f>
      </c>
      <c r="K6646" s="193" t="str">
        <f>1-EXP(-J6646)</f>
      </c>
      <c r="L6646" s="194" t="str">
        <f>IF(G6646=30,1,M6645)</f>
      </c>
      <c r="M6646" s="195" t="str">
        <f>L6646*(1-K6646)</f>
      </c>
    </row>
    <row r="6647">
      <c r="A6647" t="s">
        <v>167</v>
      </c>
      <c r="B6647" t="s">
        <v>113</v>
      </c>
      <c r="C6647" s="35" t="s">
        <v>521</v>
      </c>
      <c r="D6647" t="s">
        <v>113</v>
      </c>
      <c r="E6647" t="s">
        <v>520</v>
      </c>
      <c r="F6647" s="188" t="n">
        <v>2035</v>
      </c>
      <c r="G6647" s="189" t="n">
        <v>35</v>
      </c>
      <c r="H6647" s="190" t="n">
        <v>1737.39010831328</v>
      </c>
      <c r="I6647" s="191" t="n">
        <v>4297390.44872987</v>
      </c>
      <c r="J6647" s="192" t="str">
        <f>IF(I6647&gt;0,H6647/I6647,0)</f>
      </c>
      <c r="K6647" s="193" t="str">
        <f>1-EXP(-J6647)</f>
      </c>
      <c r="L6647" s="194" t="str">
        <f>IF(G6647=30,1,M6646)</f>
      </c>
      <c r="M6647" s="195" t="str">
        <f>L6647*(1-K6647)</f>
      </c>
    </row>
    <row r="6648">
      <c r="A6648" t="s">
        <v>167</v>
      </c>
      <c r="B6648" t="s">
        <v>113</v>
      </c>
      <c r="C6648" s="35" t="s">
        <v>521</v>
      </c>
      <c r="D6648" t="s">
        <v>113</v>
      </c>
      <c r="E6648" t="s">
        <v>520</v>
      </c>
      <c r="F6648" s="188" t="n">
        <v>2035</v>
      </c>
      <c r="G6648" s="189" t="n">
        <v>36</v>
      </c>
      <c r="H6648" s="190" t="n">
        <v>1950.67398282648</v>
      </c>
      <c r="I6648" s="191" t="n">
        <v>4316177.31312162</v>
      </c>
      <c r="J6648" s="192" t="str">
        <f>IF(I6648&gt;0,H6648/I6648,0)</f>
      </c>
      <c r="K6648" s="193" t="str">
        <f>1-EXP(-J6648)</f>
      </c>
      <c r="L6648" s="194" t="str">
        <f>IF(G6648=30,1,M6647)</f>
      </c>
      <c r="M6648" s="195" t="str">
        <f>L6648*(1-K6648)</f>
      </c>
    </row>
    <row r="6649">
      <c r="A6649" t="s">
        <v>167</v>
      </c>
      <c r="B6649" t="s">
        <v>113</v>
      </c>
      <c r="C6649" s="35" t="s">
        <v>521</v>
      </c>
      <c r="D6649" t="s">
        <v>113</v>
      </c>
      <c r="E6649" t="s">
        <v>520</v>
      </c>
      <c r="F6649" s="188" t="n">
        <v>2035</v>
      </c>
      <c r="G6649" s="189" t="n">
        <v>37</v>
      </c>
      <c r="H6649" s="190" t="n">
        <v>2125.55162550919</v>
      </c>
      <c r="I6649" s="191" t="n">
        <v>4374214.64096426</v>
      </c>
      <c r="J6649" s="192" t="str">
        <f>IF(I6649&gt;0,H6649/I6649,0)</f>
      </c>
      <c r="K6649" s="193" t="str">
        <f>1-EXP(-J6649)</f>
      </c>
      <c r="L6649" s="194" t="str">
        <f>IF(G6649=30,1,M6648)</f>
      </c>
      <c r="M6649" s="195" t="str">
        <f>L6649*(1-K6649)</f>
      </c>
    </row>
    <row r="6650">
      <c r="A6650" t="s">
        <v>167</v>
      </c>
      <c r="B6650" t="s">
        <v>113</v>
      </c>
      <c r="C6650" s="35" t="s">
        <v>521</v>
      </c>
      <c r="D6650" t="s">
        <v>113</v>
      </c>
      <c r="E6650" t="s">
        <v>520</v>
      </c>
      <c r="F6650" s="188" t="n">
        <v>2035</v>
      </c>
      <c r="G6650" s="189" t="n">
        <v>38</v>
      </c>
      <c r="H6650" s="190" t="n">
        <v>2567.97431961046</v>
      </c>
      <c r="I6650" s="191" t="n">
        <v>4510764.82370315</v>
      </c>
      <c r="J6650" s="192" t="str">
        <f>IF(I6650&gt;0,H6650/I6650,0)</f>
      </c>
      <c r="K6650" s="193" t="str">
        <f>1-EXP(-J6650)</f>
      </c>
      <c r="L6650" s="194" t="str">
        <f>IF(G6650=30,1,M6649)</f>
      </c>
      <c r="M6650" s="195" t="str">
        <f>L6650*(1-K6650)</f>
      </c>
    </row>
    <row r="6651">
      <c r="A6651" t="s">
        <v>167</v>
      </c>
      <c r="B6651" t="s">
        <v>113</v>
      </c>
      <c r="C6651" s="35" t="s">
        <v>521</v>
      </c>
      <c r="D6651" t="s">
        <v>113</v>
      </c>
      <c r="E6651" t="s">
        <v>520</v>
      </c>
      <c r="F6651" s="188" t="n">
        <v>2035</v>
      </c>
      <c r="G6651" s="189" t="n">
        <v>39</v>
      </c>
      <c r="H6651" s="190" t="n">
        <v>2736.30420069645</v>
      </c>
      <c r="I6651" s="191" t="n">
        <v>4465861.34525947</v>
      </c>
      <c r="J6651" s="192" t="str">
        <f>IF(I6651&gt;0,H6651/I6651,0)</f>
      </c>
      <c r="K6651" s="193" t="str">
        <f>1-EXP(-J6651)</f>
      </c>
      <c r="L6651" s="194" t="str">
        <f>IF(G6651=30,1,M6650)</f>
      </c>
      <c r="M6651" s="195" t="str">
        <f>L6651*(1-K6651)</f>
      </c>
    </row>
    <row r="6652">
      <c r="A6652" t="s">
        <v>167</v>
      </c>
      <c r="B6652" t="s">
        <v>113</v>
      </c>
      <c r="C6652" s="35" t="s">
        <v>521</v>
      </c>
      <c r="D6652" t="s">
        <v>113</v>
      </c>
      <c r="E6652" t="s">
        <v>520</v>
      </c>
      <c r="F6652" s="188" t="n">
        <v>2035</v>
      </c>
      <c r="G6652" s="189" t="n">
        <v>40</v>
      </c>
      <c r="H6652" s="190" t="n">
        <v>3605.2876878037</v>
      </c>
      <c r="I6652" s="191" t="n">
        <v>4390773.80312878</v>
      </c>
      <c r="J6652" s="192" t="str">
        <f>IF(I6652&gt;0,H6652/I6652,0)</f>
      </c>
      <c r="K6652" s="193" t="str">
        <f>1-EXP(-J6652)</f>
      </c>
      <c r="L6652" s="194" t="str">
        <f>IF(G6652=30,1,M6651)</f>
      </c>
      <c r="M6652" s="195" t="str">
        <f>L6652*(1-K6652)</f>
      </c>
    </row>
    <row r="6653">
      <c r="A6653" t="s">
        <v>167</v>
      </c>
      <c r="B6653" t="s">
        <v>113</v>
      </c>
      <c r="C6653" s="35" t="s">
        <v>521</v>
      </c>
      <c r="D6653" t="s">
        <v>113</v>
      </c>
      <c r="E6653" t="s">
        <v>520</v>
      </c>
      <c r="F6653" s="188" t="n">
        <v>2035</v>
      </c>
      <c r="G6653" s="189" t="n">
        <v>41</v>
      </c>
      <c r="H6653" s="190" t="n">
        <v>3842.95082668167</v>
      </c>
      <c r="I6653" s="191" t="n">
        <v>4330263.34401818</v>
      </c>
      <c r="J6653" s="192" t="str">
        <f>IF(I6653&gt;0,H6653/I6653,0)</f>
      </c>
      <c r="K6653" s="193" t="str">
        <f>1-EXP(-J6653)</f>
      </c>
      <c r="L6653" s="194" t="str">
        <f>IF(G6653=30,1,M6652)</f>
      </c>
      <c r="M6653" s="195" t="str">
        <f>L6653*(1-K6653)</f>
      </c>
    </row>
    <row r="6654">
      <c r="A6654" t="s">
        <v>167</v>
      </c>
      <c r="B6654" t="s">
        <v>113</v>
      </c>
      <c r="C6654" s="35" t="s">
        <v>521</v>
      </c>
      <c r="D6654" t="s">
        <v>113</v>
      </c>
      <c r="E6654" t="s">
        <v>520</v>
      </c>
      <c r="F6654" s="188" t="n">
        <v>2035</v>
      </c>
      <c r="G6654" s="189" t="n">
        <v>42</v>
      </c>
      <c r="H6654" s="190" t="n">
        <v>4110.52772890328</v>
      </c>
      <c r="I6654" s="191" t="n">
        <v>4273793.95097627</v>
      </c>
      <c r="J6654" s="192" t="str">
        <f>IF(I6654&gt;0,H6654/I6654,0)</f>
      </c>
      <c r="K6654" s="193" t="str">
        <f>1-EXP(-J6654)</f>
      </c>
      <c r="L6654" s="194" t="str">
        <f>IF(G6654=30,1,M6653)</f>
      </c>
      <c r="M6654" s="195" t="str">
        <f>L6654*(1-K6654)</f>
      </c>
    </row>
    <row r="6655">
      <c r="A6655" t="s">
        <v>167</v>
      </c>
      <c r="B6655" t="s">
        <v>113</v>
      </c>
      <c r="C6655" s="35" t="s">
        <v>521</v>
      </c>
      <c r="D6655" t="s">
        <v>113</v>
      </c>
      <c r="E6655" t="s">
        <v>520</v>
      </c>
      <c r="F6655" s="188" t="n">
        <v>2035</v>
      </c>
      <c r="G6655" s="189" t="n">
        <v>43</v>
      </c>
      <c r="H6655" s="190" t="n">
        <v>4498.86460028584</v>
      </c>
      <c r="I6655" s="191" t="n">
        <v>4307371.90889628</v>
      </c>
      <c r="J6655" s="192" t="str">
        <f>IF(I6655&gt;0,H6655/I6655,0)</f>
      </c>
      <c r="K6655" s="193" t="str">
        <f>1-EXP(-J6655)</f>
      </c>
      <c r="L6655" s="194" t="str">
        <f>IF(G6655=30,1,M6654)</f>
      </c>
      <c r="M6655" s="195" t="str">
        <f>L6655*(1-K6655)</f>
      </c>
    </row>
    <row r="6656">
      <c r="A6656" t="s">
        <v>167</v>
      </c>
      <c r="B6656" t="s">
        <v>113</v>
      </c>
      <c r="C6656" s="35" t="s">
        <v>521</v>
      </c>
      <c r="D6656" t="s">
        <v>113</v>
      </c>
      <c r="E6656" t="s">
        <v>520</v>
      </c>
      <c r="F6656" s="188" t="n">
        <v>2035</v>
      </c>
      <c r="G6656" s="189" t="n">
        <v>44</v>
      </c>
      <c r="H6656" s="190" t="n">
        <v>4919.22285634185</v>
      </c>
      <c r="I6656" s="191" t="n">
        <v>4320969.11778944</v>
      </c>
      <c r="J6656" s="192" t="str">
        <f>IF(I6656&gt;0,H6656/I6656,0)</f>
      </c>
      <c r="K6656" s="193" t="str">
        <f>1-EXP(-J6656)</f>
      </c>
      <c r="L6656" s="194" t="str">
        <f>IF(G6656=30,1,M6655)</f>
      </c>
      <c r="M6656" s="195" t="str">
        <f>L6656*(1-K6656)</f>
      </c>
    </row>
    <row r="6657">
      <c r="A6657" t="s">
        <v>167</v>
      </c>
      <c r="B6657" t="s">
        <v>113</v>
      </c>
      <c r="C6657" s="35" t="s">
        <v>521</v>
      </c>
      <c r="D6657" t="s">
        <v>113</v>
      </c>
      <c r="E6657" t="s">
        <v>520</v>
      </c>
      <c r="F6657" s="188" t="n">
        <v>2035</v>
      </c>
      <c r="G6657" s="189" t="n">
        <v>45</v>
      </c>
      <c r="H6657" s="190" t="n">
        <v>8675.83282376692</v>
      </c>
      <c r="I6657" s="191" t="n">
        <v>6359717.22504422</v>
      </c>
      <c r="J6657" s="192" t="str">
        <f>IF(I6657&gt;0,H6657/I6657,0)</f>
      </c>
      <c r="K6657" s="193" t="str">
        <f>1-EXP(-J6657)</f>
      </c>
      <c r="L6657" s="194" t="str">
        <f>IF(G6657=30,1,M6656)</f>
      </c>
      <c r="M6657" s="195" t="str">
        <f>L6657*(1-K6657)</f>
      </c>
    </row>
    <row r="6658">
      <c r="A6658" t="s">
        <v>167</v>
      </c>
      <c r="B6658" t="s">
        <v>113</v>
      </c>
      <c r="C6658" s="35" t="s">
        <v>521</v>
      </c>
      <c r="D6658" t="s">
        <v>113</v>
      </c>
      <c r="E6658" t="s">
        <v>520</v>
      </c>
      <c r="F6658" s="188" t="n">
        <v>2035</v>
      </c>
      <c r="G6658" s="189" t="n">
        <v>46</v>
      </c>
      <c r="H6658" s="190" t="n">
        <v>6848.94589583304</v>
      </c>
      <c r="I6658" s="191" t="n">
        <v>4269202.25384383</v>
      </c>
      <c r="J6658" s="192" t="str">
        <f>IF(I6658&gt;0,H6658/I6658,0)</f>
      </c>
      <c r="K6658" s="193" t="str">
        <f>1-EXP(-J6658)</f>
      </c>
      <c r="L6658" s="194" t="str">
        <f>IF(G6658=30,1,M6657)</f>
      </c>
      <c r="M6658" s="195" t="str">
        <f>L6658*(1-K6658)</f>
      </c>
    </row>
    <row r="6659">
      <c r="A6659" t="s">
        <v>167</v>
      </c>
      <c r="B6659" t="s">
        <v>113</v>
      </c>
      <c r="C6659" s="35" t="s">
        <v>521</v>
      </c>
      <c r="D6659" t="s">
        <v>113</v>
      </c>
      <c r="E6659" t="s">
        <v>520</v>
      </c>
      <c r="F6659" s="188" t="n">
        <v>2035</v>
      </c>
      <c r="G6659" s="189" t="n">
        <v>47</v>
      </c>
      <c r="H6659" s="190" t="n">
        <v>7463.35616704607</v>
      </c>
      <c r="I6659" s="191" t="n">
        <v>4246815.34461137</v>
      </c>
      <c r="J6659" s="192" t="str">
        <f>IF(I6659&gt;0,H6659/I6659,0)</f>
      </c>
      <c r="K6659" s="193" t="str">
        <f>1-EXP(-J6659)</f>
      </c>
      <c r="L6659" s="194" t="str">
        <f>IF(G6659=30,1,M6658)</f>
      </c>
      <c r="M6659" s="195" t="str">
        <f>L6659*(1-K6659)</f>
      </c>
    </row>
    <row r="6660">
      <c r="A6660" t="s">
        <v>167</v>
      </c>
      <c r="B6660" t="s">
        <v>113</v>
      </c>
      <c r="C6660" s="35" t="s">
        <v>521</v>
      </c>
      <c r="D6660" t="s">
        <v>113</v>
      </c>
      <c r="E6660" t="s">
        <v>520</v>
      </c>
      <c r="F6660" s="188" t="n">
        <v>2035</v>
      </c>
      <c r="G6660" s="189" t="n">
        <v>48</v>
      </c>
      <c r="H6660" s="190" t="n">
        <v>7917.97034686376</v>
      </c>
      <c r="I6660" s="191" t="n">
        <v>4110293.72133855</v>
      </c>
      <c r="J6660" s="192" t="str">
        <f>IF(I6660&gt;0,H6660/I6660,0)</f>
      </c>
      <c r="K6660" s="193" t="str">
        <f>1-EXP(-J6660)</f>
      </c>
      <c r="L6660" s="194" t="str">
        <f>IF(G6660=30,1,M6659)</f>
      </c>
      <c r="M6660" s="195" t="str">
        <f>L6660*(1-K6660)</f>
      </c>
    </row>
    <row r="6661">
      <c r="A6661" t="s">
        <v>167</v>
      </c>
      <c r="B6661" t="s">
        <v>113</v>
      </c>
      <c r="C6661" s="35" t="s">
        <v>521</v>
      </c>
      <c r="D6661" t="s">
        <v>113</v>
      </c>
      <c r="E6661" t="s">
        <v>520</v>
      </c>
      <c r="F6661" s="188" t="n">
        <v>2035</v>
      </c>
      <c r="G6661" s="189" t="n">
        <v>49</v>
      </c>
      <c r="H6661" s="190" t="n">
        <v>8586.79827761759</v>
      </c>
      <c r="I6661" s="191" t="n">
        <v>4069205.06689973</v>
      </c>
      <c r="J6661" s="192" t="str">
        <f>IF(I6661&gt;0,H6661/I6661,0)</f>
      </c>
      <c r="K6661" s="193" t="str">
        <f>1-EXP(-J6661)</f>
      </c>
      <c r="L6661" s="194" t="str">
        <f>IF(G6661=30,1,M6660)</f>
      </c>
      <c r="M6661" s="195" t="str">
        <f>L6661*(1-K6661)</f>
      </c>
    </row>
    <row r="6662">
      <c r="A6662" t="s">
        <v>167</v>
      </c>
      <c r="B6662" t="s">
        <v>113</v>
      </c>
      <c r="C6662" s="35" t="s">
        <v>521</v>
      </c>
      <c r="D6662" t="s">
        <v>113</v>
      </c>
      <c r="E6662" t="s">
        <v>520</v>
      </c>
      <c r="F6662" s="188" t="n">
        <v>2035</v>
      </c>
      <c r="G6662" s="189" t="n">
        <v>50</v>
      </c>
      <c r="H6662" s="190" t="n">
        <v>10052.8786678323</v>
      </c>
      <c r="I6662" s="191" t="n">
        <v>4118985.8726015</v>
      </c>
      <c r="J6662" s="192" t="str">
        <f>IF(I6662&gt;0,H6662/I6662,0)</f>
      </c>
      <c r="K6662" s="193" t="str">
        <f>1-EXP(-J6662)</f>
      </c>
      <c r="L6662" s="194" t="str">
        <f>IF(G6662=30,1,M6661)</f>
      </c>
      <c r="M6662" s="195" t="str">
        <f>L6662*(1-K6662)</f>
      </c>
    </row>
    <row r="6663">
      <c r="A6663" t="s">
        <v>167</v>
      </c>
      <c r="B6663" t="s">
        <v>113</v>
      </c>
      <c r="C6663" s="35" t="s">
        <v>521</v>
      </c>
      <c r="D6663" t="s">
        <v>113</v>
      </c>
      <c r="E6663" t="s">
        <v>520</v>
      </c>
      <c r="F6663" s="188" t="n">
        <v>2035</v>
      </c>
      <c r="G6663" s="189" t="n">
        <v>51</v>
      </c>
      <c r="H6663" s="190" t="n">
        <v>11185.6840013742</v>
      </c>
      <c r="I6663" s="191" t="n">
        <v>4191353.55048499</v>
      </c>
      <c r="J6663" s="192" t="str">
        <f>IF(I6663&gt;0,H6663/I6663,0)</f>
      </c>
      <c r="K6663" s="193" t="str">
        <f>1-EXP(-J6663)</f>
      </c>
      <c r="L6663" s="194" t="str">
        <f>IF(G6663=30,1,M6662)</f>
      </c>
      <c r="M6663" s="195" t="str">
        <f>L6663*(1-K6663)</f>
      </c>
    </row>
    <row r="6664">
      <c r="A6664" t="s">
        <v>167</v>
      </c>
      <c r="B6664" t="s">
        <v>113</v>
      </c>
      <c r="C6664" s="35" t="s">
        <v>521</v>
      </c>
      <c r="D6664" t="s">
        <v>113</v>
      </c>
      <c r="E6664" t="s">
        <v>520</v>
      </c>
      <c r="F6664" s="188" t="n">
        <v>2035</v>
      </c>
      <c r="G6664" s="189" t="n">
        <v>52</v>
      </c>
      <c r="H6664" s="190" t="n">
        <v>12121.681351115</v>
      </c>
      <c r="I6664" s="191" t="n">
        <v>4157228.07716632</v>
      </c>
      <c r="J6664" s="192" t="str">
        <f>IF(I6664&gt;0,H6664/I6664,0)</f>
      </c>
      <c r="K6664" s="193" t="str">
        <f>1-EXP(-J6664)</f>
      </c>
      <c r="L6664" s="194" t="str">
        <f>IF(G6664=30,1,M6663)</f>
      </c>
      <c r="M6664" s="195" t="str">
        <f>L6664*(1-K6664)</f>
      </c>
    </row>
    <row r="6665">
      <c r="A6665" t="s">
        <v>167</v>
      </c>
      <c r="B6665" t="s">
        <v>113</v>
      </c>
      <c r="C6665" s="35" t="s">
        <v>521</v>
      </c>
      <c r="D6665" t="s">
        <v>113</v>
      </c>
      <c r="E6665" t="s">
        <v>520</v>
      </c>
      <c r="F6665" s="188" t="n">
        <v>2035</v>
      </c>
      <c r="G6665" s="189" t="n">
        <v>53</v>
      </c>
      <c r="H6665" s="190" t="n">
        <v>12787.7886589042</v>
      </c>
      <c r="I6665" s="191" t="n">
        <v>4013199.24292096</v>
      </c>
      <c r="J6665" s="192" t="str">
        <f>IF(I6665&gt;0,H6665/I6665,0)</f>
      </c>
      <c r="K6665" s="193" t="str">
        <f>1-EXP(-J6665)</f>
      </c>
      <c r="L6665" s="194" t="str">
        <f>IF(G6665=30,1,M6664)</f>
      </c>
      <c r="M6665" s="195" t="str">
        <f>L6665*(1-K6665)</f>
      </c>
    </row>
    <row r="6666">
      <c r="A6666" t="s">
        <v>167</v>
      </c>
      <c r="B6666" t="s">
        <v>113</v>
      </c>
      <c r="C6666" s="35" t="s">
        <v>521</v>
      </c>
      <c r="D6666" t="s">
        <v>113</v>
      </c>
      <c r="E6666" t="s">
        <v>520</v>
      </c>
      <c r="F6666" s="188" t="n">
        <v>2035</v>
      </c>
      <c r="G6666" s="189" t="n">
        <v>54</v>
      </c>
      <c r="H6666" s="190" t="n">
        <v>13664.4403206307</v>
      </c>
      <c r="I6666" s="191" t="n">
        <v>3929325.9050972</v>
      </c>
      <c r="J6666" s="192" t="str">
        <f>IF(I6666&gt;0,H6666/I6666,0)</f>
      </c>
      <c r="K6666" s="193" t="str">
        <f>1-EXP(-J6666)</f>
      </c>
      <c r="L6666" s="194" t="str">
        <f>IF(G6666=30,1,M6665)</f>
      </c>
      <c r="M6666" s="195" t="str">
        <f>L6666*(1-K6666)</f>
      </c>
    </row>
    <row r="6667">
      <c r="A6667" t="s">
        <v>167</v>
      </c>
      <c r="B6667" t="s">
        <v>113</v>
      </c>
      <c r="C6667" s="35" t="s">
        <v>521</v>
      </c>
      <c r="D6667" t="s">
        <v>113</v>
      </c>
      <c r="E6667" t="s">
        <v>520</v>
      </c>
      <c r="F6667" s="188" t="n">
        <v>2035</v>
      </c>
      <c r="G6667" s="189" t="n">
        <v>55</v>
      </c>
      <c r="H6667" s="190" t="n">
        <v>14660.9874209964</v>
      </c>
      <c r="I6667" s="191" t="n">
        <v>3860141.53237182</v>
      </c>
      <c r="J6667" s="192" t="str">
        <f>IF(I6667&gt;0,H6667/I6667,0)</f>
      </c>
      <c r="K6667" s="193" t="str">
        <f>1-EXP(-J6667)</f>
      </c>
      <c r="L6667" s="194" t="str">
        <f>IF(G6667=30,1,M6666)</f>
      </c>
      <c r="M6667" s="195" t="str">
        <f>L6667*(1-K6667)</f>
      </c>
    </row>
    <row r="6668">
      <c r="A6668" t="s">
        <v>167</v>
      </c>
      <c r="B6668" t="s">
        <v>113</v>
      </c>
      <c r="C6668" s="35" t="s">
        <v>521</v>
      </c>
      <c r="D6668" t="s">
        <v>113</v>
      </c>
      <c r="E6668" t="s">
        <v>520</v>
      </c>
      <c r="F6668" s="188" t="n">
        <v>2035</v>
      </c>
      <c r="G6668" s="189" t="n">
        <v>56</v>
      </c>
      <c r="H6668" s="190" t="n">
        <v>15685.8185516217</v>
      </c>
      <c r="I6668" s="191" t="n">
        <v>3784664.87488385</v>
      </c>
      <c r="J6668" s="192" t="str">
        <f>IF(I6668&gt;0,H6668/I6668,0)</f>
      </c>
      <c r="K6668" s="193" t="str">
        <f>1-EXP(-J6668)</f>
      </c>
      <c r="L6668" s="194" t="str">
        <f>IF(G6668=30,1,M6667)</f>
      </c>
      <c r="M6668" s="195" t="str">
        <f>L6668*(1-K6668)</f>
      </c>
    </row>
    <row r="6669">
      <c r="A6669" t="s">
        <v>167</v>
      </c>
      <c r="B6669" t="s">
        <v>113</v>
      </c>
      <c r="C6669" s="35" t="s">
        <v>521</v>
      </c>
      <c r="D6669" t="s">
        <v>113</v>
      </c>
      <c r="E6669" t="s">
        <v>520</v>
      </c>
      <c r="F6669" s="188" t="n">
        <v>2035</v>
      </c>
      <c r="G6669" s="189" t="n">
        <v>57</v>
      </c>
      <c r="H6669" s="190" t="n">
        <v>16701.1253430426</v>
      </c>
      <c r="I6669" s="191" t="n">
        <v>3690163.4401514</v>
      </c>
      <c r="J6669" s="192" t="str">
        <f>IF(I6669&gt;0,H6669/I6669,0)</f>
      </c>
      <c r="K6669" s="193" t="str">
        <f>1-EXP(-J6669)</f>
      </c>
      <c r="L6669" s="194" t="str">
        <f>IF(G6669=30,1,M6668)</f>
      </c>
      <c r="M6669" s="195" t="str">
        <f>L6669*(1-K6669)</f>
      </c>
    </row>
    <row r="6670">
      <c r="A6670" t="s">
        <v>167</v>
      </c>
      <c r="B6670" t="s">
        <v>113</v>
      </c>
      <c r="C6670" s="35" t="s">
        <v>521</v>
      </c>
      <c r="D6670" t="s">
        <v>113</v>
      </c>
      <c r="E6670" t="s">
        <v>520</v>
      </c>
      <c r="F6670" s="188" t="n">
        <v>2035</v>
      </c>
      <c r="G6670" s="189" t="n">
        <v>58</v>
      </c>
      <c r="H6670" s="190" t="n">
        <v>17881.8322171735</v>
      </c>
      <c r="I6670" s="191" t="n">
        <v>3611094.46519662</v>
      </c>
      <c r="J6670" s="192" t="str">
        <f>IF(I6670&gt;0,H6670/I6670,0)</f>
      </c>
      <c r="K6670" s="193" t="str">
        <f>1-EXP(-J6670)</f>
      </c>
      <c r="L6670" s="194" t="str">
        <f>IF(G6670=30,1,M6669)</f>
      </c>
      <c r="M6670" s="195" t="str">
        <f>L6670*(1-K6670)</f>
      </c>
    </row>
    <row r="6671">
      <c r="A6671" t="s">
        <v>167</v>
      </c>
      <c r="B6671" t="s">
        <v>113</v>
      </c>
      <c r="C6671" s="35" t="s">
        <v>521</v>
      </c>
      <c r="D6671" t="s">
        <v>113</v>
      </c>
      <c r="E6671" t="s">
        <v>520</v>
      </c>
      <c r="F6671" s="188" t="n">
        <v>2035</v>
      </c>
      <c r="G6671" s="189" t="n">
        <v>59</v>
      </c>
      <c r="H6671" s="190" t="n">
        <v>19061.4219066024</v>
      </c>
      <c r="I6671" s="191" t="n">
        <v>3520120.14770187</v>
      </c>
      <c r="J6671" s="192" t="str">
        <f>IF(I6671&gt;0,H6671/I6671,0)</f>
      </c>
      <c r="K6671" s="193" t="str">
        <f>1-EXP(-J6671)</f>
      </c>
      <c r="L6671" s="194" t="str">
        <f>IF(G6671=30,1,M6670)</f>
      </c>
      <c r="M6671" s="195" t="str">
        <f>L6671*(1-K6671)</f>
      </c>
    </row>
    <row r="6672">
      <c r="A6672" t="s">
        <v>167</v>
      </c>
      <c r="B6672" t="s">
        <v>113</v>
      </c>
      <c r="C6672" s="35" t="s">
        <v>521</v>
      </c>
      <c r="D6672" t="s">
        <v>113</v>
      </c>
      <c r="E6672" t="s">
        <v>520</v>
      </c>
      <c r="F6672" s="188" t="n">
        <v>2035</v>
      </c>
      <c r="G6672" s="189" t="n">
        <v>60</v>
      </c>
      <c r="H6672" s="190" t="n">
        <v>20454.2829290966</v>
      </c>
      <c r="I6672" s="191" t="n">
        <v>3427637.29918462</v>
      </c>
      <c r="J6672" s="192" t="str">
        <f>IF(I6672&gt;0,H6672/I6672,0)</f>
      </c>
      <c r="K6672" s="193" t="str">
        <f>1-EXP(-J6672)</f>
      </c>
      <c r="L6672" s="194" t="str">
        <f>IF(G6672=30,1,M6671)</f>
      </c>
      <c r="M6672" s="195" t="str">
        <f>L6672*(1-K6672)</f>
      </c>
    </row>
    <row r="6673">
      <c r="A6673" t="s">
        <v>167</v>
      </c>
      <c r="B6673" t="s">
        <v>113</v>
      </c>
      <c r="C6673" s="35" t="s">
        <v>521</v>
      </c>
      <c r="D6673" t="s">
        <v>113</v>
      </c>
      <c r="E6673" t="s">
        <v>520</v>
      </c>
      <c r="F6673" s="188" t="n">
        <v>2035</v>
      </c>
      <c r="G6673" s="189" t="n">
        <v>61</v>
      </c>
      <c r="H6673" s="190" t="n">
        <v>21609.0055749234</v>
      </c>
      <c r="I6673" s="191" t="n">
        <v>3308118.84734358</v>
      </c>
      <c r="J6673" s="192" t="str">
        <f>IF(I6673&gt;0,H6673/I6673,0)</f>
      </c>
      <c r="K6673" s="193" t="str">
        <f>1-EXP(-J6673)</f>
      </c>
      <c r="L6673" s="194" t="str">
        <f>IF(G6673=30,1,M6672)</f>
      </c>
      <c r="M6673" s="195" t="str">
        <f>L6673*(1-K6673)</f>
      </c>
    </row>
    <row r="6674">
      <c r="A6674" t="s">
        <v>167</v>
      </c>
      <c r="B6674" t="s">
        <v>113</v>
      </c>
      <c r="C6674" s="35" t="s">
        <v>521</v>
      </c>
      <c r="D6674" t="s">
        <v>113</v>
      </c>
      <c r="E6674" t="s">
        <v>520</v>
      </c>
      <c r="F6674" s="188" t="n">
        <v>2035</v>
      </c>
      <c r="G6674" s="189" t="n">
        <v>62</v>
      </c>
      <c r="H6674" s="190" t="n">
        <v>23204.6300504064</v>
      </c>
      <c r="I6674" s="191" t="n">
        <v>3244122.02852549</v>
      </c>
      <c r="J6674" s="192" t="str">
        <f>IF(I6674&gt;0,H6674/I6674,0)</f>
      </c>
      <c r="K6674" s="193" t="str">
        <f>1-EXP(-J6674)</f>
      </c>
      <c r="L6674" s="194" t="str">
        <f>IF(G6674=30,1,M6673)</f>
      </c>
      <c r="M6674" s="195" t="str">
        <f>L6674*(1-K6674)</f>
      </c>
    </row>
    <row r="6675">
      <c r="A6675" t="s">
        <v>167</v>
      </c>
      <c r="B6675" t="s">
        <v>113</v>
      </c>
      <c r="C6675" s="35" t="s">
        <v>521</v>
      </c>
      <c r="D6675" t="s">
        <v>113</v>
      </c>
      <c r="E6675" t="s">
        <v>520</v>
      </c>
      <c r="F6675" s="188" t="n">
        <v>2035</v>
      </c>
      <c r="G6675" s="189" t="n">
        <v>63</v>
      </c>
      <c r="H6675" s="190" t="n">
        <v>23753.5592301736</v>
      </c>
      <c r="I6675" s="191" t="n">
        <v>3027826.57259789</v>
      </c>
      <c r="J6675" s="192" t="str">
        <f>IF(I6675&gt;0,H6675/I6675,0)</f>
      </c>
      <c r="K6675" s="193" t="str">
        <f>1-EXP(-J6675)</f>
      </c>
      <c r="L6675" s="194" t="str">
        <f>IF(G6675=30,1,M6674)</f>
      </c>
      <c r="M6675" s="195" t="str">
        <f>L6675*(1-K6675)</f>
      </c>
    </row>
    <row r="6676">
      <c r="A6676" t="s">
        <v>167</v>
      </c>
      <c r="B6676" t="s">
        <v>113</v>
      </c>
      <c r="C6676" s="35" t="s">
        <v>521</v>
      </c>
      <c r="D6676" t="s">
        <v>113</v>
      </c>
      <c r="E6676" t="s">
        <v>520</v>
      </c>
      <c r="F6676" s="188" t="n">
        <v>2035</v>
      </c>
      <c r="G6676" s="189" t="n">
        <v>64</v>
      </c>
      <c r="H6676" s="190" t="n">
        <v>25129.3216682702</v>
      </c>
      <c r="I6676" s="191" t="n">
        <v>2923514.10811697</v>
      </c>
      <c r="J6676" s="192" t="str">
        <f>IF(I6676&gt;0,H6676/I6676,0)</f>
      </c>
      <c r="K6676" s="193" t="str">
        <f>1-EXP(-J6676)</f>
      </c>
      <c r="L6676" s="194" t="str">
        <f>IF(G6676=30,1,M6675)</f>
      </c>
      <c r="M6676" s="195" t="str">
        <f>L6676*(1-K6676)</f>
      </c>
    </row>
    <row r="6677">
      <c r="A6677" t="s">
        <v>167</v>
      </c>
      <c r="B6677" t="s">
        <v>113</v>
      </c>
      <c r="C6677" s="35" t="s">
        <v>521</v>
      </c>
      <c r="D6677" t="s">
        <v>113</v>
      </c>
      <c r="E6677" t="s">
        <v>520</v>
      </c>
      <c r="F6677" s="188" t="n">
        <v>2035</v>
      </c>
      <c r="G6677" s="189" t="n">
        <v>65</v>
      </c>
      <c r="H6677" s="190" t="n">
        <v>25648.3918694076</v>
      </c>
      <c r="I6677" s="191" t="n">
        <v>2822365.33245025</v>
      </c>
      <c r="J6677" s="192" t="str">
        <f>IF(I6677&gt;0,H6677/I6677,0)</f>
      </c>
      <c r="K6677" s="193" t="str">
        <f>1-EXP(-J6677)</f>
      </c>
      <c r="L6677" s="194" t="str">
        <f>IF(G6677=30,1,M6676)</f>
      </c>
      <c r="M6677" s="195" t="str">
        <f>L6677*(1-K6677)</f>
      </c>
    </row>
    <row r="6678">
      <c r="A6678" t="s">
        <v>167</v>
      </c>
      <c r="B6678" t="s">
        <v>113</v>
      </c>
      <c r="C6678" s="35" t="s">
        <v>521</v>
      </c>
      <c r="D6678" t="s">
        <v>113</v>
      </c>
      <c r="E6678" t="s">
        <v>520</v>
      </c>
      <c r="F6678" s="188" t="n">
        <v>2035</v>
      </c>
      <c r="G6678" s="189" t="n">
        <v>66</v>
      </c>
      <c r="H6678" s="190" t="n">
        <v>27033.5508913034</v>
      </c>
      <c r="I6678" s="191" t="n">
        <v>2712470.04387973</v>
      </c>
      <c r="J6678" s="192" t="str">
        <f>IF(I6678&gt;0,H6678/I6678,0)</f>
      </c>
      <c r="K6678" s="193" t="str">
        <f>1-EXP(-J6678)</f>
      </c>
      <c r="L6678" s="194" t="str">
        <f>IF(G6678=30,1,M6677)</f>
      </c>
      <c r="M6678" s="195" t="str">
        <f>L6678*(1-K6678)</f>
      </c>
    </row>
    <row r="6679">
      <c r="A6679" t="s">
        <v>167</v>
      </c>
      <c r="B6679" t="s">
        <v>113</v>
      </c>
      <c r="C6679" s="35" t="s">
        <v>521</v>
      </c>
      <c r="D6679" t="s">
        <v>113</v>
      </c>
      <c r="E6679" t="s">
        <v>520</v>
      </c>
      <c r="F6679" s="188" t="n">
        <v>2035</v>
      </c>
      <c r="G6679" s="189" t="n">
        <v>67</v>
      </c>
      <c r="H6679" s="190" t="n">
        <v>28256.0906755603</v>
      </c>
      <c r="I6679" s="191" t="n">
        <v>2584021.39772463</v>
      </c>
      <c r="J6679" s="192" t="str">
        <f>IF(I6679&gt;0,H6679/I6679,0)</f>
      </c>
      <c r="K6679" s="193" t="str">
        <f>1-EXP(-J6679)</f>
      </c>
      <c r="L6679" s="194" t="str">
        <f>IF(G6679=30,1,M6678)</f>
      </c>
      <c r="M6679" s="195" t="str">
        <f>L6679*(1-K6679)</f>
      </c>
    </row>
    <row r="6680">
      <c r="A6680" t="s">
        <v>167</v>
      </c>
      <c r="B6680" t="s">
        <v>113</v>
      </c>
      <c r="C6680" s="35" t="s">
        <v>521</v>
      </c>
      <c r="D6680" t="s">
        <v>113</v>
      </c>
      <c r="E6680" t="s">
        <v>520</v>
      </c>
      <c r="F6680" s="188" t="n">
        <v>2035</v>
      </c>
      <c r="G6680" s="189" t="n">
        <v>68</v>
      </c>
      <c r="H6680" s="190" t="n">
        <v>29171.6991953378</v>
      </c>
      <c r="I6680" s="191" t="n">
        <v>2427833.7378996</v>
      </c>
      <c r="J6680" s="192" t="str">
        <f>IF(I6680&gt;0,H6680/I6680,0)</f>
      </c>
      <c r="K6680" s="193" t="str">
        <f>1-EXP(-J6680)</f>
      </c>
      <c r="L6680" s="194" t="str">
        <f>IF(G6680=30,1,M6679)</f>
      </c>
      <c r="M6680" s="195" t="str">
        <f>L6680*(1-K6680)</f>
      </c>
    </row>
    <row r="6681">
      <c r="A6681" t="s">
        <v>167</v>
      </c>
      <c r="B6681" t="s">
        <v>113</v>
      </c>
      <c r="C6681" s="35" t="s">
        <v>521</v>
      </c>
      <c r="D6681" t="s">
        <v>113</v>
      </c>
      <c r="E6681" t="s">
        <v>520</v>
      </c>
      <c r="F6681" s="188" t="n">
        <v>2035</v>
      </c>
      <c r="G6681" s="189" t="n">
        <v>69</v>
      </c>
      <c r="H6681" s="190" t="n">
        <v>30417.4846013716</v>
      </c>
      <c r="I6681" s="191" t="n">
        <v>2303884.82625638</v>
      </c>
      <c r="J6681" s="192" t="str">
        <f>IF(I6681&gt;0,H6681/I6681,0)</f>
      </c>
      <c r="K6681" s="193" t="str">
        <f>1-EXP(-J6681)</f>
      </c>
      <c r="L6681" s="194" t="str">
        <f>IF(G6681=30,1,M6680)</f>
      </c>
      <c r="M6681" s="195" t="str">
        <f>L6681*(1-K6681)</f>
      </c>
    </row>
    <row r="6682">
      <c r="A6682" t="s">
        <v>167</v>
      </c>
      <c r="B6682" t="s">
        <v>113</v>
      </c>
      <c r="C6682" s="35" t="s">
        <v>521</v>
      </c>
      <c r="D6682" t="s">
        <v>113</v>
      </c>
      <c r="E6682" t="s">
        <v>520</v>
      </c>
      <c r="F6682" s="188" t="n">
        <v>2036</v>
      </c>
      <c r="G6682" s="189" t="n">
        <v>30</v>
      </c>
      <c r="H6682" s="190" t="n">
        <v>822.912078373967</v>
      </c>
      <c r="I6682" s="191" t="n">
        <v>4608165.95180422</v>
      </c>
      <c r="J6682" s="192" t="str">
        <f>IF(I6682&gt;0,H6682/I6682,0)</f>
      </c>
      <c r="K6682" s="193" t="str">
        <f>1-EXP(-J6682)</f>
      </c>
      <c r="L6682" s="194" t="str">
        <f>IF(G6682=30,1,M6681)</f>
      </c>
      <c r="M6682" s="195" t="str">
        <f>L6682*(1-K6682)</f>
      </c>
    </row>
    <row r="6683">
      <c r="A6683" t="s">
        <v>167</v>
      </c>
      <c r="B6683" t="s">
        <v>113</v>
      </c>
      <c r="C6683" s="35" t="s">
        <v>521</v>
      </c>
      <c r="D6683" t="s">
        <v>113</v>
      </c>
      <c r="E6683" t="s">
        <v>520</v>
      </c>
      <c r="F6683" s="188" t="n">
        <v>2036</v>
      </c>
      <c r="G6683" s="189" t="n">
        <v>31</v>
      </c>
      <c r="H6683" s="190" t="n">
        <v>1017.36280209297</v>
      </c>
      <c r="I6683" s="191" t="n">
        <v>4547185.95109915</v>
      </c>
      <c r="J6683" s="192" t="str">
        <f>IF(I6683&gt;0,H6683/I6683,0)</f>
      </c>
      <c r="K6683" s="193" t="str">
        <f>1-EXP(-J6683)</f>
      </c>
      <c r="L6683" s="194" t="str">
        <f>IF(G6683=30,1,M6682)</f>
      </c>
      <c r="M6683" s="195" t="str">
        <f>L6683*(1-K6683)</f>
      </c>
    </row>
    <row r="6684">
      <c r="A6684" t="s">
        <v>167</v>
      </c>
      <c r="B6684" t="s">
        <v>113</v>
      </c>
      <c r="C6684" s="35" t="s">
        <v>521</v>
      </c>
      <c r="D6684" t="s">
        <v>113</v>
      </c>
      <c r="E6684" t="s">
        <v>520</v>
      </c>
      <c r="F6684" s="188" t="n">
        <v>2036</v>
      </c>
      <c r="G6684" s="189" t="n">
        <v>32</v>
      </c>
      <c r="H6684" s="190" t="n">
        <v>1040.9581265409</v>
      </c>
      <c r="I6684" s="191" t="n">
        <v>4418681.60558966</v>
      </c>
      <c r="J6684" s="192" t="str">
        <f>IF(I6684&gt;0,H6684/I6684,0)</f>
      </c>
      <c r="K6684" s="193" t="str">
        <f>1-EXP(-J6684)</f>
      </c>
      <c r="L6684" s="194" t="str">
        <f>IF(G6684=30,1,M6683)</f>
      </c>
      <c r="M6684" s="195" t="str">
        <f>L6684*(1-K6684)</f>
      </c>
    </row>
    <row r="6685">
      <c r="A6685" t="s">
        <v>167</v>
      </c>
      <c r="B6685" t="s">
        <v>113</v>
      </c>
      <c r="C6685" s="35" t="s">
        <v>521</v>
      </c>
      <c r="D6685" t="s">
        <v>113</v>
      </c>
      <c r="E6685" t="s">
        <v>520</v>
      </c>
      <c r="F6685" s="188" t="n">
        <v>2036</v>
      </c>
      <c r="G6685" s="189" t="n">
        <v>33</v>
      </c>
      <c r="H6685" s="190" t="n">
        <v>1086.63040115804</v>
      </c>
      <c r="I6685" s="191" t="n">
        <v>4353305.02484156</v>
      </c>
      <c r="J6685" s="192" t="str">
        <f>IF(I6685&gt;0,H6685/I6685,0)</f>
      </c>
      <c r="K6685" s="193" t="str">
        <f>1-EXP(-J6685)</f>
      </c>
      <c r="L6685" s="194" t="str">
        <f>IF(G6685=30,1,M6684)</f>
      </c>
      <c r="M6685" s="195" t="str">
        <f>L6685*(1-K6685)</f>
      </c>
    </row>
    <row r="6686">
      <c r="A6686" t="s">
        <v>167</v>
      </c>
      <c r="B6686" t="s">
        <v>113</v>
      </c>
      <c r="C6686" s="35" t="s">
        <v>521</v>
      </c>
      <c r="D6686" t="s">
        <v>113</v>
      </c>
      <c r="E6686" t="s">
        <v>520</v>
      </c>
      <c r="F6686" s="188" t="n">
        <v>2036</v>
      </c>
      <c r="G6686" s="189" t="n">
        <v>34</v>
      </c>
      <c r="H6686" s="190" t="n">
        <v>1305.13883026096</v>
      </c>
      <c r="I6686" s="191" t="n">
        <v>4331742.6193698</v>
      </c>
      <c r="J6686" s="192" t="str">
        <f>IF(I6686&gt;0,H6686/I6686,0)</f>
      </c>
      <c r="K6686" s="193" t="str">
        <f>1-EXP(-J6686)</f>
      </c>
      <c r="L6686" s="194" t="str">
        <f>IF(G6686=30,1,M6685)</f>
      </c>
      <c r="M6686" s="195" t="str">
        <f>L6686*(1-K6686)</f>
      </c>
    </row>
    <row r="6687">
      <c r="A6687" t="s">
        <v>167</v>
      </c>
      <c r="B6687" t="s">
        <v>113</v>
      </c>
      <c r="C6687" s="35" t="s">
        <v>521</v>
      </c>
      <c r="D6687" t="s">
        <v>113</v>
      </c>
      <c r="E6687" t="s">
        <v>520</v>
      </c>
      <c r="F6687" s="188" t="n">
        <v>2036</v>
      </c>
      <c r="G6687" s="189" t="n">
        <v>35</v>
      </c>
      <c r="H6687" s="190" t="n">
        <v>1741.34105809623</v>
      </c>
      <c r="I6687" s="191" t="n">
        <v>4311444.89080795</v>
      </c>
      <c r="J6687" s="192" t="str">
        <f>IF(I6687&gt;0,H6687/I6687,0)</f>
      </c>
      <c r="K6687" s="193" t="str">
        <f>1-EXP(-J6687)</f>
      </c>
      <c r="L6687" s="194" t="str">
        <f>IF(G6687=30,1,M6686)</f>
      </c>
      <c r="M6687" s="195" t="str">
        <f>L6687*(1-K6687)</f>
      </c>
    </row>
    <row r="6688">
      <c r="A6688" t="s">
        <v>167</v>
      </c>
      <c r="B6688" t="s">
        <v>113</v>
      </c>
      <c r="C6688" s="35" t="s">
        <v>521</v>
      </c>
      <c r="D6688" t="s">
        <v>113</v>
      </c>
      <c r="E6688" t="s">
        <v>520</v>
      </c>
      <c r="F6688" s="188" t="n">
        <v>2036</v>
      </c>
      <c r="G6688" s="189" t="n">
        <v>36</v>
      </c>
      <c r="H6688" s="190" t="n">
        <v>1937.66651589762</v>
      </c>
      <c r="I6688" s="191" t="n">
        <v>4290372.89456654</v>
      </c>
      <c r="J6688" s="192" t="str">
        <f>IF(I6688&gt;0,H6688/I6688,0)</f>
      </c>
      <c r="K6688" s="193" t="str">
        <f>1-EXP(-J6688)</f>
      </c>
      <c r="L6688" s="194" t="str">
        <f>IF(G6688=30,1,M6687)</f>
      </c>
      <c r="M6688" s="195" t="str">
        <f>L6688*(1-K6688)</f>
      </c>
    </row>
    <row r="6689">
      <c r="A6689" t="s">
        <v>167</v>
      </c>
      <c r="B6689" t="s">
        <v>113</v>
      </c>
      <c r="C6689" s="35" t="s">
        <v>521</v>
      </c>
      <c r="D6689" t="s">
        <v>113</v>
      </c>
      <c r="E6689" t="s">
        <v>520</v>
      </c>
      <c r="F6689" s="188" t="n">
        <v>2036</v>
      </c>
      <c r="G6689" s="189" t="n">
        <v>37</v>
      </c>
      <c r="H6689" s="190" t="n">
        <v>2091.48926560148</v>
      </c>
      <c r="I6689" s="191" t="n">
        <v>4309026.90496072</v>
      </c>
      <c r="J6689" s="192" t="str">
        <f>IF(I6689&gt;0,H6689/I6689,0)</f>
      </c>
      <c r="K6689" s="193" t="str">
        <f>1-EXP(-J6689)</f>
      </c>
      <c r="L6689" s="194" t="str">
        <f>IF(G6689=30,1,M6688)</f>
      </c>
      <c r="M6689" s="195" t="str">
        <f>L6689*(1-K6689)</f>
      </c>
    </row>
    <row r="6690">
      <c r="A6690" t="s">
        <v>167</v>
      </c>
      <c r="B6690" t="s">
        <v>113</v>
      </c>
      <c r="C6690" s="35" t="s">
        <v>521</v>
      </c>
      <c r="D6690" t="s">
        <v>113</v>
      </c>
      <c r="E6690" t="s">
        <v>520</v>
      </c>
      <c r="F6690" s="188" t="n">
        <v>2036</v>
      </c>
      <c r="G6690" s="189" t="n">
        <v>38</v>
      </c>
      <c r="H6690" s="190" t="n">
        <v>2284.06630854919</v>
      </c>
      <c r="I6690" s="191" t="n">
        <v>4366458.32874348</v>
      </c>
      <c r="J6690" s="192" t="str">
        <f>IF(I6690&gt;0,H6690/I6690,0)</f>
      </c>
      <c r="K6690" s="193" t="str">
        <f>1-EXP(-J6690)</f>
      </c>
      <c r="L6690" s="194" t="str">
        <f>IF(G6690=30,1,M6689)</f>
      </c>
      <c r="M6690" s="195" t="str">
        <f>L6690*(1-K6690)</f>
      </c>
    </row>
    <row r="6691">
      <c r="A6691" t="s">
        <v>167</v>
      </c>
      <c r="B6691" t="s">
        <v>113</v>
      </c>
      <c r="C6691" s="35" t="s">
        <v>521</v>
      </c>
      <c r="D6691" t="s">
        <v>113</v>
      </c>
      <c r="E6691" t="s">
        <v>520</v>
      </c>
      <c r="F6691" s="188" t="n">
        <v>2036</v>
      </c>
      <c r="G6691" s="189" t="n">
        <v>39</v>
      </c>
      <c r="H6691" s="190" t="n">
        <v>2756.36562221466</v>
      </c>
      <c r="I6691" s="191" t="n">
        <v>4501943.99798825</v>
      </c>
      <c r="J6691" s="192" t="str">
        <f>IF(I6691&gt;0,H6691/I6691,0)</f>
      </c>
      <c r="K6691" s="193" t="str">
        <f>1-EXP(-J6691)</f>
      </c>
      <c r="L6691" s="194" t="str">
        <f>IF(G6691=30,1,M6690)</f>
      </c>
      <c r="M6691" s="195" t="str">
        <f>L6691*(1-K6691)</f>
      </c>
    </row>
    <row r="6692">
      <c r="A6692" t="s">
        <v>167</v>
      </c>
      <c r="B6692" t="s">
        <v>113</v>
      </c>
      <c r="C6692" s="35" t="s">
        <v>521</v>
      </c>
      <c r="D6692" t="s">
        <v>113</v>
      </c>
      <c r="E6692" t="s">
        <v>520</v>
      </c>
      <c r="F6692" s="188" t="n">
        <v>2036</v>
      </c>
      <c r="G6692" s="189" t="n">
        <v>40</v>
      </c>
      <c r="H6692" s="190" t="n">
        <v>3653.10582894645</v>
      </c>
      <c r="I6692" s="191" t="n">
        <v>4456474.58732144</v>
      </c>
      <c r="J6692" s="192" t="str">
        <f>IF(I6692&gt;0,H6692/I6692,0)</f>
      </c>
      <c r="K6692" s="193" t="str">
        <f>1-EXP(-J6692)</f>
      </c>
      <c r="L6692" s="194" t="str">
        <f>IF(G6692=30,1,M6691)</f>
      </c>
      <c r="M6692" s="195" t="str">
        <f>L6692*(1-K6692)</f>
      </c>
    </row>
    <row r="6693">
      <c r="A6693" t="s">
        <v>167</v>
      </c>
      <c r="B6693" t="s">
        <v>113</v>
      </c>
      <c r="C6693" s="35" t="s">
        <v>521</v>
      </c>
      <c r="D6693" t="s">
        <v>113</v>
      </c>
      <c r="E6693" t="s">
        <v>520</v>
      </c>
      <c r="F6693" s="188" t="n">
        <v>2036</v>
      </c>
      <c r="G6693" s="189" t="n">
        <v>41</v>
      </c>
      <c r="H6693" s="190" t="n">
        <v>3879.92528557085</v>
      </c>
      <c r="I6693" s="191" t="n">
        <v>4380033.47373923</v>
      </c>
      <c r="J6693" s="192" t="str">
        <f>IF(I6693&gt;0,H6693/I6693,0)</f>
      </c>
      <c r="K6693" s="193" t="str">
        <f>1-EXP(-J6693)</f>
      </c>
      <c r="L6693" s="194" t="str">
        <f>IF(G6693=30,1,M6692)</f>
      </c>
      <c r="M6693" s="195" t="str">
        <f>L6693*(1-K6693)</f>
      </c>
    </row>
    <row r="6694">
      <c r="A6694" t="s">
        <v>167</v>
      </c>
      <c r="B6694" t="s">
        <v>113</v>
      </c>
      <c r="C6694" s="35" t="s">
        <v>521</v>
      </c>
      <c r="D6694" t="s">
        <v>113</v>
      </c>
      <c r="E6694" t="s">
        <v>520</v>
      </c>
      <c r="F6694" s="188" t="n">
        <v>2036</v>
      </c>
      <c r="G6694" s="189" t="n">
        <v>42</v>
      </c>
      <c r="H6694" s="190" t="n">
        <v>4145.89470859059</v>
      </c>
      <c r="I6694" s="191" t="n">
        <v>4319620.22224293</v>
      </c>
      <c r="J6694" s="192" t="str">
        <f>IF(I6694&gt;0,H6694/I6694,0)</f>
      </c>
      <c r="K6694" s="193" t="str">
        <f>1-EXP(-J6694)</f>
      </c>
      <c r="L6694" s="194" t="str">
        <f>IF(G6694=30,1,M6693)</f>
      </c>
      <c r="M6694" s="195" t="str">
        <f>L6694*(1-K6694)</f>
      </c>
    </row>
    <row r="6695">
      <c r="A6695" t="s">
        <v>167</v>
      </c>
      <c r="B6695" t="s">
        <v>113</v>
      </c>
      <c r="C6695" s="35" t="s">
        <v>521</v>
      </c>
      <c r="D6695" t="s">
        <v>113</v>
      </c>
      <c r="E6695" t="s">
        <v>520</v>
      </c>
      <c r="F6695" s="188" t="n">
        <v>2036</v>
      </c>
      <c r="G6695" s="189" t="n">
        <v>43</v>
      </c>
      <c r="H6695" s="190" t="n">
        <v>4445.48120914268</v>
      </c>
      <c r="I6695" s="191" t="n">
        <v>4262429.24973728</v>
      </c>
      <c r="J6695" s="192" t="str">
        <f>IF(I6695&gt;0,H6695/I6695,0)</f>
      </c>
      <c r="K6695" s="193" t="str">
        <f>1-EXP(-J6695)</f>
      </c>
      <c r="L6695" s="194" t="str">
        <f>IF(G6695=30,1,M6694)</f>
      </c>
      <c r="M6695" s="195" t="str">
        <f>L6695*(1-K6695)</f>
      </c>
    </row>
    <row r="6696">
      <c r="A6696" t="s">
        <v>167</v>
      </c>
      <c r="B6696" t="s">
        <v>113</v>
      </c>
      <c r="C6696" s="35" t="s">
        <v>521</v>
      </c>
      <c r="D6696" t="s">
        <v>113</v>
      </c>
      <c r="E6696" t="s">
        <v>520</v>
      </c>
      <c r="F6696" s="188" t="n">
        <v>2036</v>
      </c>
      <c r="G6696" s="189" t="n">
        <v>44</v>
      </c>
      <c r="H6696" s="190" t="n">
        <v>4876.26923713479</v>
      </c>
      <c r="I6696" s="191" t="n">
        <v>4294954.91901602</v>
      </c>
      <c r="J6696" s="192" t="str">
        <f>IF(I6696&gt;0,H6696/I6696,0)</f>
      </c>
      <c r="K6696" s="193" t="str">
        <f>1-EXP(-J6696)</f>
      </c>
      <c r="L6696" s="194" t="str">
        <f>IF(G6696=30,1,M6695)</f>
      </c>
      <c r="M6696" s="195" t="str">
        <f>L6696*(1-K6696)</f>
      </c>
    </row>
    <row r="6697">
      <c r="A6697" t="s">
        <v>167</v>
      </c>
      <c r="B6697" t="s">
        <v>113</v>
      </c>
      <c r="C6697" s="35" t="s">
        <v>521</v>
      </c>
      <c r="D6697" t="s">
        <v>113</v>
      </c>
      <c r="E6697" t="s">
        <v>520</v>
      </c>
      <c r="F6697" s="188" t="n">
        <v>2036</v>
      </c>
      <c r="G6697" s="189" t="n">
        <v>45</v>
      </c>
      <c r="H6697" s="190" t="n">
        <v>6291.90925717715</v>
      </c>
      <c r="I6697" s="191" t="n">
        <v>4307416.4693019</v>
      </c>
      <c r="J6697" s="192" t="str">
        <f>IF(I6697&gt;0,H6697/I6697,0)</f>
      </c>
      <c r="K6697" s="193" t="str">
        <f>1-EXP(-J6697)</f>
      </c>
      <c r="L6697" s="194" t="str">
        <f>IF(G6697=30,1,M6696)</f>
      </c>
      <c r="M6697" s="195" t="str">
        <f>L6697*(1-K6697)</f>
      </c>
    </row>
    <row r="6698">
      <c r="A6698" t="s">
        <v>167</v>
      </c>
      <c r="B6698" t="s">
        <v>113</v>
      </c>
      <c r="C6698" s="35" t="s">
        <v>521</v>
      </c>
      <c r="D6698" t="s">
        <v>113</v>
      </c>
      <c r="E6698" t="s">
        <v>520</v>
      </c>
      <c r="F6698" s="188" t="n">
        <v>2036</v>
      </c>
      <c r="G6698" s="189" t="n">
        <v>46</v>
      </c>
      <c r="H6698" s="190" t="n">
        <v>9391.4649035514</v>
      </c>
      <c r="I6698" s="191" t="n">
        <v>6337687.34803761</v>
      </c>
      <c r="J6698" s="192" t="str">
        <f>IF(I6698&gt;0,H6698/I6698,0)</f>
      </c>
      <c r="K6698" s="193" t="str">
        <f>1-EXP(-J6698)</f>
      </c>
      <c r="L6698" s="194" t="str">
        <f>IF(G6698=30,1,M6697)</f>
      </c>
      <c r="M6698" s="195" t="str">
        <f>L6698*(1-K6698)</f>
      </c>
    </row>
    <row r="6699">
      <c r="A6699" t="s">
        <v>167</v>
      </c>
      <c r="B6699" t="s">
        <v>113</v>
      </c>
      <c r="C6699" s="35" t="s">
        <v>521</v>
      </c>
      <c r="D6699" t="s">
        <v>113</v>
      </c>
      <c r="E6699" t="s">
        <v>520</v>
      </c>
      <c r="F6699" s="188" t="n">
        <v>2036</v>
      </c>
      <c r="G6699" s="189" t="n">
        <v>47</v>
      </c>
      <c r="H6699" s="190" t="n">
        <v>7443.02498608308</v>
      </c>
      <c r="I6699" s="191" t="n">
        <v>4253138.23607698</v>
      </c>
      <c r="J6699" s="192" t="str">
        <f>IF(I6699&gt;0,H6699/I6699,0)</f>
      </c>
      <c r="K6699" s="193" t="str">
        <f>1-EXP(-J6699)</f>
      </c>
      <c r="L6699" s="194" t="str">
        <f>IF(G6699=30,1,M6698)</f>
      </c>
      <c r="M6699" s="195" t="str">
        <f>L6699*(1-K6699)</f>
      </c>
    </row>
    <row r="6700">
      <c r="A6700" t="s">
        <v>167</v>
      </c>
      <c r="B6700" t="s">
        <v>113</v>
      </c>
      <c r="C6700" s="35" t="s">
        <v>521</v>
      </c>
      <c r="D6700" t="s">
        <v>113</v>
      </c>
      <c r="E6700" t="s">
        <v>520</v>
      </c>
      <c r="F6700" s="188" t="n">
        <v>2036</v>
      </c>
      <c r="G6700" s="189" t="n">
        <v>48</v>
      </c>
      <c r="H6700" s="190" t="n">
        <v>8110.01588531935</v>
      </c>
      <c r="I6700" s="191" t="n">
        <v>4229324.81981612</v>
      </c>
      <c r="J6700" s="192" t="str">
        <f>IF(I6700&gt;0,H6700/I6700,0)</f>
      </c>
      <c r="K6700" s="193" t="str">
        <f>1-EXP(-J6700)</f>
      </c>
      <c r="L6700" s="194" t="str">
        <f>IF(G6700=30,1,M6699)</f>
      </c>
      <c r="M6700" s="195" t="str">
        <f>L6700*(1-K6700)</f>
      </c>
    </row>
    <row r="6701">
      <c r="A6701" t="s">
        <v>167</v>
      </c>
      <c r="B6701" t="s">
        <v>113</v>
      </c>
      <c r="C6701" s="35" t="s">
        <v>521</v>
      </c>
      <c r="D6701" t="s">
        <v>113</v>
      </c>
      <c r="E6701" t="s">
        <v>520</v>
      </c>
      <c r="F6701" s="188" t="n">
        <v>2036</v>
      </c>
      <c r="G6701" s="189" t="n">
        <v>49</v>
      </c>
      <c r="H6701" s="190" t="n">
        <v>8599.13029198955</v>
      </c>
      <c r="I6701" s="191" t="n">
        <v>4091749.26114892</v>
      </c>
      <c r="J6701" s="192" t="str">
        <f>IF(I6701&gt;0,H6701/I6701,0)</f>
      </c>
      <c r="K6701" s="193" t="str">
        <f>1-EXP(-J6701)</f>
      </c>
      <c r="L6701" s="194" t="str">
        <f>IF(G6701=30,1,M6700)</f>
      </c>
      <c r="M6701" s="195" t="str">
        <f>L6701*(1-K6701)</f>
      </c>
    </row>
    <row r="6702">
      <c r="A6702" t="s">
        <v>167</v>
      </c>
      <c r="B6702" t="s">
        <v>113</v>
      </c>
      <c r="C6702" s="35" t="s">
        <v>521</v>
      </c>
      <c r="D6702" t="s">
        <v>113</v>
      </c>
      <c r="E6702" t="s">
        <v>520</v>
      </c>
      <c r="F6702" s="188" t="n">
        <v>2036</v>
      </c>
      <c r="G6702" s="189" t="n">
        <v>50</v>
      </c>
      <c r="H6702" s="190" t="n">
        <v>9826.62096543353</v>
      </c>
      <c r="I6702" s="191" t="n">
        <v>4049099.3662689</v>
      </c>
      <c r="J6702" s="192" t="str">
        <f>IF(I6702&gt;0,H6702/I6702,0)</f>
      </c>
      <c r="K6702" s="193" t="str">
        <f>1-EXP(-J6702)</f>
      </c>
      <c r="L6702" s="194" t="str">
        <f>IF(G6702=30,1,M6701)</f>
      </c>
      <c r="M6702" s="195" t="str">
        <f>L6702*(1-K6702)</f>
      </c>
    </row>
    <row r="6703">
      <c r="A6703" t="s">
        <v>167</v>
      </c>
      <c r="B6703" t="s">
        <v>113</v>
      </c>
      <c r="C6703" s="35" t="s">
        <v>521</v>
      </c>
      <c r="D6703" t="s">
        <v>113</v>
      </c>
      <c r="E6703" t="s">
        <v>520</v>
      </c>
      <c r="F6703" s="188" t="n">
        <v>2036</v>
      </c>
      <c r="G6703" s="189" t="n">
        <v>51</v>
      </c>
      <c r="H6703" s="190" t="n">
        <v>10871.1131912425</v>
      </c>
      <c r="I6703" s="191" t="n">
        <v>4095906.68611275</v>
      </c>
      <c r="J6703" s="192" t="str">
        <f>IF(I6703&gt;0,H6703/I6703,0)</f>
      </c>
      <c r="K6703" s="193" t="str">
        <f>1-EXP(-J6703)</f>
      </c>
      <c r="L6703" s="194" t="str">
        <f>IF(G6703=30,1,M6702)</f>
      </c>
      <c r="M6703" s="195" t="str">
        <f>L6703*(1-K6703)</f>
      </c>
    </row>
    <row r="6704">
      <c r="A6704" t="s">
        <v>167</v>
      </c>
      <c r="B6704" t="s">
        <v>113</v>
      </c>
      <c r="C6704" s="35" t="s">
        <v>521</v>
      </c>
      <c r="D6704" t="s">
        <v>113</v>
      </c>
      <c r="E6704" t="s">
        <v>520</v>
      </c>
      <c r="F6704" s="188" t="n">
        <v>2036</v>
      </c>
      <c r="G6704" s="189" t="n">
        <v>52</v>
      </c>
      <c r="H6704" s="190" t="n">
        <v>12082.6524959104</v>
      </c>
      <c r="I6704" s="191" t="n">
        <v>4166478.27845935</v>
      </c>
      <c r="J6704" s="192" t="str">
        <f>IF(I6704&gt;0,H6704/I6704,0)</f>
      </c>
      <c r="K6704" s="193" t="str">
        <f>1-EXP(-J6704)</f>
      </c>
      <c r="L6704" s="194" t="str">
        <f>IF(G6704=30,1,M6703)</f>
      </c>
      <c r="M6704" s="195" t="str">
        <f>L6704*(1-K6704)</f>
      </c>
    </row>
    <row r="6705">
      <c r="A6705" t="s">
        <v>167</v>
      </c>
      <c r="B6705" t="s">
        <v>113</v>
      </c>
      <c r="C6705" s="35" t="s">
        <v>521</v>
      </c>
      <c r="D6705" t="s">
        <v>113</v>
      </c>
      <c r="E6705" t="s">
        <v>520</v>
      </c>
      <c r="F6705" s="188" t="n">
        <v>2036</v>
      </c>
      <c r="G6705" s="189" t="n">
        <v>53</v>
      </c>
      <c r="H6705" s="190" t="n">
        <v>13075.9618672406</v>
      </c>
      <c r="I6705" s="191" t="n">
        <v>4130270.41404763</v>
      </c>
      <c r="J6705" s="192" t="str">
        <f>IF(I6705&gt;0,H6705/I6705,0)</f>
      </c>
      <c r="K6705" s="193" t="str">
        <f>1-EXP(-J6705)</f>
      </c>
      <c r="L6705" s="194" t="str">
        <f>IF(G6705=30,1,M6704)</f>
      </c>
      <c r="M6705" s="195" t="str">
        <f>L6705*(1-K6705)</f>
      </c>
    </row>
    <row r="6706">
      <c r="A6706" t="s">
        <v>167</v>
      </c>
      <c r="B6706" t="s">
        <v>113</v>
      </c>
      <c r="C6706" s="35" t="s">
        <v>521</v>
      </c>
      <c r="D6706" t="s">
        <v>113</v>
      </c>
      <c r="E6706" t="s">
        <v>520</v>
      </c>
      <c r="F6706" s="188" t="n">
        <v>2036</v>
      </c>
      <c r="G6706" s="189" t="n">
        <v>54</v>
      </c>
      <c r="H6706" s="190" t="n">
        <v>13777.5466401562</v>
      </c>
      <c r="I6706" s="191" t="n">
        <v>3984764.49532135</v>
      </c>
      <c r="J6706" s="192" t="str">
        <f>IF(I6706&gt;0,H6706/I6706,0)</f>
      </c>
      <c r="K6706" s="193" t="str">
        <f>1-EXP(-J6706)</f>
      </c>
      <c r="L6706" s="194" t="str">
        <f>IF(G6706=30,1,M6705)</f>
      </c>
      <c r="M6706" s="195" t="str">
        <f>L6706*(1-K6706)</f>
      </c>
    </row>
    <row r="6707">
      <c r="A6707" t="s">
        <v>167</v>
      </c>
      <c r="B6707" t="s">
        <v>113</v>
      </c>
      <c r="C6707" s="35" t="s">
        <v>521</v>
      </c>
      <c r="D6707" t="s">
        <v>113</v>
      </c>
      <c r="E6707" t="s">
        <v>520</v>
      </c>
      <c r="F6707" s="188" t="n">
        <v>2036</v>
      </c>
      <c r="G6707" s="189" t="n">
        <v>55</v>
      </c>
      <c r="H6707" s="190" t="n">
        <v>14692.8572313218</v>
      </c>
      <c r="I6707" s="191" t="n">
        <v>3898943.7078317</v>
      </c>
      <c r="J6707" s="192" t="str">
        <f>IF(I6707&gt;0,H6707/I6707,0)</f>
      </c>
      <c r="K6707" s="193" t="str">
        <f>1-EXP(-J6707)</f>
      </c>
      <c r="L6707" s="194" t="str">
        <f>IF(G6707=30,1,M6706)</f>
      </c>
      <c r="M6707" s="195" t="str">
        <f>L6707*(1-K6707)</f>
      </c>
    </row>
    <row r="6708">
      <c r="A6708" t="s">
        <v>167</v>
      </c>
      <c r="B6708" t="s">
        <v>113</v>
      </c>
      <c r="C6708" s="35" t="s">
        <v>521</v>
      </c>
      <c r="D6708" t="s">
        <v>113</v>
      </c>
      <c r="E6708" t="s">
        <v>520</v>
      </c>
      <c r="F6708" s="188" t="n">
        <v>2036</v>
      </c>
      <c r="G6708" s="189" t="n">
        <v>56</v>
      </c>
      <c r="H6708" s="190" t="n">
        <v>15734.6685133687</v>
      </c>
      <c r="I6708" s="191" t="n">
        <v>3827259.08188371</v>
      </c>
      <c r="J6708" s="192" t="str">
        <f>IF(I6708&gt;0,H6708/I6708,0)</f>
      </c>
      <c r="K6708" s="193" t="str">
        <f>1-EXP(-J6708)</f>
      </c>
      <c r="L6708" s="194" t="str">
        <f>IF(G6708=30,1,M6707)</f>
      </c>
      <c r="M6708" s="195" t="str">
        <f>L6708*(1-K6708)</f>
      </c>
    </row>
    <row r="6709">
      <c r="A6709" t="s">
        <v>167</v>
      </c>
      <c r="B6709" t="s">
        <v>113</v>
      </c>
      <c r="C6709" s="35" t="s">
        <v>521</v>
      </c>
      <c r="D6709" t="s">
        <v>113</v>
      </c>
      <c r="E6709" t="s">
        <v>520</v>
      </c>
      <c r="F6709" s="188" t="n">
        <v>2036</v>
      </c>
      <c r="G6709" s="189" t="n">
        <v>57</v>
      </c>
      <c r="H6709" s="190" t="n">
        <v>16831.0237665145</v>
      </c>
      <c r="I6709" s="191" t="n">
        <v>3749797.13973671</v>
      </c>
      <c r="J6709" s="192" t="str">
        <f>IF(I6709&gt;0,H6709/I6709,0)</f>
      </c>
      <c r="K6709" s="193" t="str">
        <f>1-EXP(-J6709)</f>
      </c>
      <c r="L6709" s="194" t="str">
        <f>IF(G6709=30,1,M6708)</f>
      </c>
      <c r="M6709" s="195" t="str">
        <f>L6709*(1-K6709)</f>
      </c>
    </row>
    <row r="6710">
      <c r="A6710" t="s">
        <v>167</v>
      </c>
      <c r="B6710" t="s">
        <v>113</v>
      </c>
      <c r="C6710" s="35" t="s">
        <v>521</v>
      </c>
      <c r="D6710" t="s">
        <v>113</v>
      </c>
      <c r="E6710" t="s">
        <v>520</v>
      </c>
      <c r="F6710" s="188" t="n">
        <v>2036</v>
      </c>
      <c r="G6710" s="189" t="n">
        <v>58</v>
      </c>
      <c r="H6710" s="190" t="n">
        <v>17918.0065120741</v>
      </c>
      <c r="I6710" s="191" t="n">
        <v>3653055.19092454</v>
      </c>
      <c r="J6710" s="192" t="str">
        <f>IF(I6710&gt;0,H6710/I6710,0)</f>
      </c>
      <c r="K6710" s="193" t="str">
        <f>1-EXP(-J6710)</f>
      </c>
      <c r="L6710" s="194" t="str">
        <f>IF(G6710=30,1,M6709)</f>
      </c>
      <c r="M6710" s="195" t="str">
        <f>L6710*(1-K6710)</f>
      </c>
    </row>
    <row r="6711">
      <c r="A6711" t="s">
        <v>167</v>
      </c>
      <c r="B6711" t="s">
        <v>113</v>
      </c>
      <c r="C6711" s="35" t="s">
        <v>521</v>
      </c>
      <c r="D6711" t="s">
        <v>113</v>
      </c>
      <c r="E6711" t="s">
        <v>520</v>
      </c>
      <c r="F6711" s="188" t="n">
        <v>2036</v>
      </c>
      <c r="G6711" s="189" t="n">
        <v>59</v>
      </c>
      <c r="H6711" s="190" t="n">
        <v>19182.0608073268</v>
      </c>
      <c r="I6711" s="191" t="n">
        <v>3571386.71573347</v>
      </c>
      <c r="J6711" s="192" t="str">
        <f>IF(I6711&gt;0,H6711/I6711,0)</f>
      </c>
      <c r="K6711" s="193" t="str">
        <f>1-EXP(-J6711)</f>
      </c>
      <c r="L6711" s="194" t="str">
        <f>IF(G6711=30,1,M6710)</f>
      </c>
      <c r="M6711" s="195" t="str">
        <f>L6711*(1-K6711)</f>
      </c>
    </row>
    <row r="6712">
      <c r="A6712" t="s">
        <v>167</v>
      </c>
      <c r="B6712" t="s">
        <v>113</v>
      </c>
      <c r="C6712" s="35" t="s">
        <v>521</v>
      </c>
      <c r="D6712" t="s">
        <v>113</v>
      </c>
      <c r="E6712" t="s">
        <v>520</v>
      </c>
      <c r="F6712" s="188" t="n">
        <v>2036</v>
      </c>
      <c r="G6712" s="189" t="n">
        <v>60</v>
      </c>
      <c r="H6712" s="190" t="n">
        <v>20544.1827138315</v>
      </c>
      <c r="I6712" s="191" t="n">
        <v>3477812.62912315</v>
      </c>
      <c r="J6712" s="192" t="str">
        <f>IF(I6712&gt;0,H6712/I6712,0)</f>
      </c>
      <c r="K6712" s="193" t="str">
        <f>1-EXP(-J6712)</f>
      </c>
      <c r="L6712" s="194" t="str">
        <f>IF(G6712=30,1,M6711)</f>
      </c>
      <c r="M6712" s="195" t="str">
        <f>L6712*(1-K6712)</f>
      </c>
    </row>
    <row r="6713">
      <c r="A6713" t="s">
        <v>167</v>
      </c>
      <c r="B6713" t="s">
        <v>113</v>
      </c>
      <c r="C6713" s="35" t="s">
        <v>521</v>
      </c>
      <c r="D6713" t="s">
        <v>113</v>
      </c>
      <c r="E6713" t="s">
        <v>520</v>
      </c>
      <c r="F6713" s="188" t="n">
        <v>2036</v>
      </c>
      <c r="G6713" s="189" t="n">
        <v>61</v>
      </c>
      <c r="H6713" s="190" t="n">
        <v>21872.2452059444</v>
      </c>
      <c r="I6713" s="191" t="n">
        <v>3382166.85773495</v>
      </c>
      <c r="J6713" s="192" t="str">
        <f>IF(I6713&gt;0,H6713/I6713,0)</f>
      </c>
      <c r="K6713" s="193" t="str">
        <f>1-EXP(-J6713)</f>
      </c>
      <c r="L6713" s="194" t="str">
        <f>IF(G6713=30,1,M6712)</f>
      </c>
      <c r="M6713" s="195" t="str">
        <f>L6713*(1-K6713)</f>
      </c>
    </row>
    <row r="6714">
      <c r="A6714" t="s">
        <v>167</v>
      </c>
      <c r="B6714" t="s">
        <v>113</v>
      </c>
      <c r="C6714" s="35" t="s">
        <v>521</v>
      </c>
      <c r="D6714" t="s">
        <v>113</v>
      </c>
      <c r="E6714" t="s">
        <v>520</v>
      </c>
      <c r="F6714" s="188" t="n">
        <v>2036</v>
      </c>
      <c r="G6714" s="189" t="n">
        <v>62</v>
      </c>
      <c r="H6714" s="190" t="n">
        <v>23093.1520008667</v>
      </c>
      <c r="I6714" s="191" t="n">
        <v>3260489.76759723</v>
      </c>
      <c r="J6714" s="192" t="str">
        <f>IF(I6714&gt;0,H6714/I6714,0)</f>
      </c>
      <c r="K6714" s="193" t="str">
        <f>1-EXP(-J6714)</f>
      </c>
      <c r="L6714" s="194" t="str">
        <f>IF(G6714=30,1,M6713)</f>
      </c>
      <c r="M6714" s="195" t="str">
        <f>L6714*(1-K6714)</f>
      </c>
    </row>
    <row r="6715">
      <c r="A6715" t="s">
        <v>167</v>
      </c>
      <c r="B6715" t="s">
        <v>113</v>
      </c>
      <c r="C6715" s="35" t="s">
        <v>521</v>
      </c>
      <c r="D6715" t="s">
        <v>113</v>
      </c>
      <c r="E6715" t="s">
        <v>520</v>
      </c>
      <c r="F6715" s="188" t="n">
        <v>2036</v>
      </c>
      <c r="G6715" s="189" t="n">
        <v>63</v>
      </c>
      <c r="H6715" s="190" t="n">
        <v>24774.4119726002</v>
      </c>
      <c r="I6715" s="191" t="n">
        <v>3192990.05106605</v>
      </c>
      <c r="J6715" s="192" t="str">
        <f>IF(I6715&gt;0,H6715/I6715,0)</f>
      </c>
      <c r="K6715" s="193" t="str">
        <f>1-EXP(-J6715)</f>
      </c>
      <c r="L6715" s="194" t="str">
        <f>IF(G6715=30,1,M6714)</f>
      </c>
      <c r="M6715" s="195" t="str">
        <f>L6715*(1-K6715)</f>
      </c>
    </row>
    <row r="6716">
      <c r="A6716" t="s">
        <v>167</v>
      </c>
      <c r="B6716" t="s">
        <v>113</v>
      </c>
      <c r="C6716" s="35" t="s">
        <v>521</v>
      </c>
      <c r="D6716" t="s">
        <v>113</v>
      </c>
      <c r="E6716" t="s">
        <v>520</v>
      </c>
      <c r="F6716" s="188" t="n">
        <v>2036</v>
      </c>
      <c r="G6716" s="189" t="n">
        <v>64</v>
      </c>
      <c r="H6716" s="190" t="n">
        <v>25328.2625662954</v>
      </c>
      <c r="I6716" s="191" t="n">
        <v>2975495.4521472</v>
      </c>
      <c r="J6716" s="192" t="str">
        <f>IF(I6716&gt;0,H6716/I6716,0)</f>
      </c>
      <c r="K6716" s="193" t="str">
        <f>1-EXP(-J6716)</f>
      </c>
      <c r="L6716" s="194" t="str">
        <f>IF(G6716=30,1,M6715)</f>
      </c>
      <c r="M6716" s="195" t="str">
        <f>L6716*(1-K6716)</f>
      </c>
    </row>
    <row r="6717">
      <c r="A6717" t="s">
        <v>167</v>
      </c>
      <c r="B6717" t="s">
        <v>113</v>
      </c>
      <c r="C6717" s="35" t="s">
        <v>521</v>
      </c>
      <c r="D6717" t="s">
        <v>113</v>
      </c>
      <c r="E6717" t="s">
        <v>520</v>
      </c>
      <c r="F6717" s="188" t="n">
        <v>2036</v>
      </c>
      <c r="G6717" s="189" t="n">
        <v>65</v>
      </c>
      <c r="H6717" s="190" t="n">
        <v>25778.0874669371</v>
      </c>
      <c r="I6717" s="191" t="n">
        <v>2868161.82058969</v>
      </c>
      <c r="J6717" s="192" t="str">
        <f>IF(I6717&gt;0,H6717/I6717,0)</f>
      </c>
      <c r="K6717" s="193" t="str">
        <f>1-EXP(-J6717)</f>
      </c>
      <c r="L6717" s="194" t="str">
        <f>IF(G6717=30,1,M6716)</f>
      </c>
      <c r="M6717" s="195" t="str">
        <f>L6717*(1-K6717)</f>
      </c>
    </row>
    <row r="6718">
      <c r="A6718" t="s">
        <v>167</v>
      </c>
      <c r="B6718" t="s">
        <v>113</v>
      </c>
      <c r="C6718" s="35" t="s">
        <v>521</v>
      </c>
      <c r="D6718" t="s">
        <v>113</v>
      </c>
      <c r="E6718" t="s">
        <v>520</v>
      </c>
      <c r="F6718" s="188" t="n">
        <v>2036</v>
      </c>
      <c r="G6718" s="189" t="n">
        <v>66</v>
      </c>
      <c r="H6718" s="190" t="n">
        <v>27249.2222074255</v>
      </c>
      <c r="I6718" s="191" t="n">
        <v>2764223.0622552</v>
      </c>
      <c r="J6718" s="192" t="str">
        <f>IF(I6718&gt;0,H6718/I6718,0)</f>
      </c>
      <c r="K6718" s="193" t="str">
        <f>1-EXP(-J6718)</f>
      </c>
      <c r="L6718" s="194" t="str">
        <f>IF(G6718=30,1,M6717)</f>
      </c>
      <c r="M6718" s="195" t="str">
        <f>L6718*(1-K6718)</f>
      </c>
    </row>
    <row r="6719">
      <c r="A6719" t="s">
        <v>167</v>
      </c>
      <c r="B6719" t="s">
        <v>113</v>
      </c>
      <c r="C6719" s="35" t="s">
        <v>521</v>
      </c>
      <c r="D6719" t="s">
        <v>113</v>
      </c>
      <c r="E6719" t="s">
        <v>520</v>
      </c>
      <c r="F6719" s="188" t="n">
        <v>2036</v>
      </c>
      <c r="G6719" s="189" t="n">
        <v>67</v>
      </c>
      <c r="H6719" s="190" t="n">
        <v>28671.8145272197</v>
      </c>
      <c r="I6719" s="191" t="n">
        <v>2650824.85585748</v>
      </c>
      <c r="J6719" s="192" t="str">
        <f>IF(I6719&gt;0,H6719/I6719,0)</f>
      </c>
      <c r="K6719" s="193" t="str">
        <f>1-EXP(-J6719)</f>
      </c>
      <c r="L6719" s="194" t="str">
        <f>IF(G6719=30,1,M6718)</f>
      </c>
      <c r="M6719" s="195" t="str">
        <f>L6719*(1-K6719)</f>
      </c>
    </row>
    <row r="6720">
      <c r="A6720" t="s">
        <v>167</v>
      </c>
      <c r="B6720" t="s">
        <v>113</v>
      </c>
      <c r="C6720" s="35" t="s">
        <v>521</v>
      </c>
      <c r="D6720" t="s">
        <v>113</v>
      </c>
      <c r="E6720" t="s">
        <v>520</v>
      </c>
      <c r="F6720" s="188" t="n">
        <v>2036</v>
      </c>
      <c r="G6720" s="189" t="n">
        <v>68</v>
      </c>
      <c r="H6720" s="190" t="n">
        <v>29922.3943499646</v>
      </c>
      <c r="I6720" s="191" t="n">
        <v>2519636.29338214</v>
      </c>
      <c r="J6720" s="192" t="str">
        <f>IF(I6720&gt;0,H6720/I6720,0)</f>
      </c>
      <c r="K6720" s="193" t="str">
        <f>1-EXP(-J6720)</f>
      </c>
      <c r="L6720" s="194" t="str">
        <f>IF(G6720=30,1,M6719)</f>
      </c>
      <c r="M6720" s="195" t="str">
        <f>L6720*(1-K6720)</f>
      </c>
    </row>
    <row r="6721">
      <c r="A6721" t="s">
        <v>167</v>
      </c>
      <c r="B6721" t="s">
        <v>113</v>
      </c>
      <c r="C6721" s="35" t="s">
        <v>521</v>
      </c>
      <c r="D6721" t="s">
        <v>113</v>
      </c>
      <c r="E6721" t="s">
        <v>520</v>
      </c>
      <c r="F6721" s="188" t="n">
        <v>2036</v>
      </c>
      <c r="G6721" s="189" t="n">
        <v>69</v>
      </c>
      <c r="H6721" s="190" t="n">
        <v>30841.3922177049</v>
      </c>
      <c r="I6721" s="191" t="n">
        <v>2361408.7688455</v>
      </c>
      <c r="J6721" s="192" t="str">
        <f>IF(I6721&gt;0,H6721/I6721,0)</f>
      </c>
      <c r="K6721" s="193" t="str">
        <f>1-EXP(-J6721)</f>
      </c>
      <c r="L6721" s="194" t="str">
        <f>IF(G6721=30,1,M6720)</f>
      </c>
      <c r="M6721" s="195" t="str">
        <f>L6721*(1-K6721)</f>
      </c>
    </row>
    <row r="6722">
      <c r="A6722" t="s">
        <v>167</v>
      </c>
      <c r="B6722" t="s">
        <v>113</v>
      </c>
      <c r="C6722" s="35" t="s">
        <v>521</v>
      </c>
      <c r="D6722" t="s">
        <v>113</v>
      </c>
      <c r="E6722" t="s">
        <v>520</v>
      </c>
      <c r="F6722" s="188" t="n">
        <v>2037</v>
      </c>
      <c r="G6722" s="189" t="n">
        <v>30</v>
      </c>
      <c r="H6722" s="190" t="n">
        <v>840.820435338457</v>
      </c>
      <c r="I6722" s="191" t="n">
        <v>4685527.89729263</v>
      </c>
      <c r="J6722" s="192" t="str">
        <f>IF(I6722&gt;0,H6722/I6722,0)</f>
      </c>
      <c r="K6722" s="193" t="str">
        <f>1-EXP(-J6722)</f>
      </c>
      <c r="L6722" s="194" t="str">
        <f>IF(G6722=30,1,M6721)</f>
      </c>
      <c r="M6722" s="195" t="str">
        <f>L6722*(1-K6722)</f>
      </c>
    </row>
    <row r="6723">
      <c r="A6723" t="s">
        <v>167</v>
      </c>
      <c r="B6723" t="s">
        <v>113</v>
      </c>
      <c r="C6723" s="35" t="s">
        <v>521</v>
      </c>
      <c r="D6723" t="s">
        <v>113</v>
      </c>
      <c r="E6723" t="s">
        <v>520</v>
      </c>
      <c r="F6723" s="188" t="n">
        <v>2037</v>
      </c>
      <c r="G6723" s="189" t="n">
        <v>31</v>
      </c>
      <c r="H6723" s="190" t="n">
        <v>1034.69913223741</v>
      </c>
      <c r="I6723" s="191" t="n">
        <v>4602471.49850647</v>
      </c>
      <c r="J6723" s="192" t="str">
        <f>IF(I6723&gt;0,H6723/I6723,0)</f>
      </c>
      <c r="K6723" s="193" t="str">
        <f>1-EXP(-J6723)</f>
      </c>
      <c r="L6723" s="194" t="str">
        <f>IF(G6723=30,1,M6722)</f>
      </c>
      <c r="M6723" s="195" t="str">
        <f>L6723*(1-K6723)</f>
      </c>
    </row>
    <row r="6724">
      <c r="A6724" t="s">
        <v>167</v>
      </c>
      <c r="B6724" t="s">
        <v>113</v>
      </c>
      <c r="C6724" s="35" t="s">
        <v>521</v>
      </c>
      <c r="D6724" t="s">
        <v>113</v>
      </c>
      <c r="E6724" t="s">
        <v>520</v>
      </c>
      <c r="F6724" s="188" t="n">
        <v>2037</v>
      </c>
      <c r="G6724" s="189" t="n">
        <v>32</v>
      </c>
      <c r="H6724" s="190" t="n">
        <v>1074.77595697754</v>
      </c>
      <c r="I6724" s="191" t="n">
        <v>4541650.95561902</v>
      </c>
      <c r="J6724" s="192" t="str">
        <f>IF(I6724&gt;0,H6724/I6724,0)</f>
      </c>
      <c r="K6724" s="193" t="str">
        <f>1-EXP(-J6724)</f>
      </c>
      <c r="L6724" s="194" t="str">
        <f>IF(G6724=30,1,M6723)</f>
      </c>
      <c r="M6724" s="195" t="str">
        <f>L6724*(1-K6724)</f>
      </c>
    </row>
    <row r="6725">
      <c r="A6725" t="s">
        <v>167</v>
      </c>
      <c r="B6725" t="s">
        <v>113</v>
      </c>
      <c r="C6725" s="35" t="s">
        <v>521</v>
      </c>
      <c r="D6725" t="s">
        <v>113</v>
      </c>
      <c r="E6725" t="s">
        <v>520</v>
      </c>
      <c r="F6725" s="188" t="n">
        <v>2037</v>
      </c>
      <c r="G6725" s="189" t="n">
        <v>33</v>
      </c>
      <c r="H6725" s="190" t="n">
        <v>1106.22121214188</v>
      </c>
      <c r="I6725" s="191" t="n">
        <v>4413076.3385403</v>
      </c>
      <c r="J6725" s="192" t="str">
        <f>IF(I6725&gt;0,H6725/I6725,0)</f>
      </c>
      <c r="K6725" s="193" t="str">
        <f>1-EXP(-J6725)</f>
      </c>
      <c r="L6725" s="194" t="str">
        <f>IF(G6725=30,1,M6724)</f>
      </c>
      <c r="M6725" s="195" t="str">
        <f>L6725*(1-K6725)</f>
      </c>
    </row>
    <row r="6726">
      <c r="A6726" t="s">
        <v>167</v>
      </c>
      <c r="B6726" t="s">
        <v>113</v>
      </c>
      <c r="C6726" s="35" t="s">
        <v>521</v>
      </c>
      <c r="D6726" t="s">
        <v>113</v>
      </c>
      <c r="E6726" t="s">
        <v>520</v>
      </c>
      <c r="F6726" s="188" t="n">
        <v>2037</v>
      </c>
      <c r="G6726" s="189" t="n">
        <v>34</v>
      </c>
      <c r="H6726" s="190" t="n">
        <v>1161.69874826334</v>
      </c>
      <c r="I6726" s="191" t="n">
        <v>4347518.65226858</v>
      </c>
      <c r="J6726" s="192" t="str">
        <f>IF(I6726&gt;0,H6726/I6726,0)</f>
      </c>
      <c r="K6726" s="193" t="str">
        <f>1-EXP(-J6726)</f>
      </c>
      <c r="L6726" s="194" t="str">
        <f>IF(G6726=30,1,M6725)</f>
      </c>
      <c r="M6726" s="195" t="str">
        <f>L6726*(1-K6726)</f>
      </c>
    </row>
    <row r="6727">
      <c r="A6727" t="s">
        <v>167</v>
      </c>
      <c r="B6727" t="s">
        <v>113</v>
      </c>
      <c r="C6727" s="35" t="s">
        <v>521</v>
      </c>
      <c r="D6727" t="s">
        <v>113</v>
      </c>
      <c r="E6727" t="s">
        <v>520</v>
      </c>
      <c r="F6727" s="188" t="n">
        <v>2037</v>
      </c>
      <c r="G6727" s="189" t="n">
        <v>35</v>
      </c>
      <c r="H6727" s="190" t="n">
        <v>1745.91340096546</v>
      </c>
      <c r="I6727" s="191" t="n">
        <v>4325500.24046208</v>
      </c>
      <c r="J6727" s="192" t="str">
        <f>IF(I6727&gt;0,H6727/I6727,0)</f>
      </c>
      <c r="K6727" s="193" t="str">
        <f>1-EXP(-J6727)</f>
      </c>
      <c r="L6727" s="194" t="str">
        <f>IF(G6727=30,1,M6726)</f>
      </c>
      <c r="M6727" s="195" t="str">
        <f>L6727*(1-K6727)</f>
      </c>
    </row>
    <row r="6728">
      <c r="A6728" t="s">
        <v>167</v>
      </c>
      <c r="B6728" t="s">
        <v>113</v>
      </c>
      <c r="C6728" s="35" t="s">
        <v>521</v>
      </c>
      <c r="D6728" t="s">
        <v>113</v>
      </c>
      <c r="E6728" t="s">
        <v>520</v>
      </c>
      <c r="F6728" s="188" t="n">
        <v>2037</v>
      </c>
      <c r="G6728" s="189" t="n">
        <v>36</v>
      </c>
      <c r="H6728" s="190" t="n">
        <v>1941.45121460133</v>
      </c>
      <c r="I6728" s="191" t="n">
        <v>4304466.31836404</v>
      </c>
      <c r="J6728" s="192" t="str">
        <f>IF(I6728&gt;0,H6728/I6728,0)</f>
      </c>
      <c r="K6728" s="193" t="str">
        <f>1-EXP(-J6728)</f>
      </c>
      <c r="L6728" s="194" t="str">
        <f>IF(G6728=30,1,M6727)</f>
      </c>
      <c r="M6728" s="195" t="str">
        <f>L6728*(1-K6728)</f>
      </c>
    </row>
    <row r="6729">
      <c r="A6729" t="s">
        <v>167</v>
      </c>
      <c r="B6729" t="s">
        <v>113</v>
      </c>
      <c r="C6729" s="35" t="s">
        <v>521</v>
      </c>
      <c r="D6729" t="s">
        <v>113</v>
      </c>
      <c r="E6729" t="s">
        <v>520</v>
      </c>
      <c r="F6729" s="188" t="n">
        <v>2037</v>
      </c>
      <c r="G6729" s="189" t="n">
        <v>37</v>
      </c>
      <c r="H6729" s="190" t="n">
        <v>2076.33493577926</v>
      </c>
      <c r="I6729" s="191" t="n">
        <v>4283327.10618521</v>
      </c>
      <c r="J6729" s="192" t="str">
        <f>IF(I6729&gt;0,H6729/I6729,0)</f>
      </c>
      <c r="K6729" s="193" t="str">
        <f>1-EXP(-J6729)</f>
      </c>
      <c r="L6729" s="194" t="str">
        <f>IF(G6729=30,1,M6728)</f>
      </c>
      <c r="M6729" s="195" t="str">
        <f>L6729*(1-K6729)</f>
      </c>
    </row>
    <row r="6730">
      <c r="A6730" t="s">
        <v>167</v>
      </c>
      <c r="B6730" t="s">
        <v>113</v>
      </c>
      <c r="C6730" s="35" t="s">
        <v>521</v>
      </c>
      <c r="D6730" t="s">
        <v>113</v>
      </c>
      <c r="E6730" t="s">
        <v>520</v>
      </c>
      <c r="F6730" s="188" t="n">
        <v>2037</v>
      </c>
      <c r="G6730" s="189" t="n">
        <v>38</v>
      </c>
      <c r="H6730" s="190" t="n">
        <v>2246.33849225523</v>
      </c>
      <c r="I6730" s="191" t="n">
        <v>4301455.54736714</v>
      </c>
      <c r="J6730" s="192" t="str">
        <f>IF(I6730&gt;0,H6730/I6730,0)</f>
      </c>
      <c r="K6730" s="193" t="str">
        <f>1-EXP(-J6730)</f>
      </c>
      <c r="L6730" s="194" t="str">
        <f>IF(G6730=30,1,M6729)</f>
      </c>
      <c r="M6730" s="195" t="str">
        <f>L6730*(1-K6730)</f>
      </c>
    </row>
    <row r="6731">
      <c r="A6731" t="s">
        <v>167</v>
      </c>
      <c r="B6731" t="s">
        <v>113</v>
      </c>
      <c r="C6731" s="35" t="s">
        <v>521</v>
      </c>
      <c r="D6731" t="s">
        <v>113</v>
      </c>
      <c r="E6731" t="s">
        <v>520</v>
      </c>
      <c r="F6731" s="188" t="n">
        <v>2037</v>
      </c>
      <c r="G6731" s="189" t="n">
        <v>39</v>
      </c>
      <c r="H6731" s="190" t="n">
        <v>2457.76937652024</v>
      </c>
      <c r="I6731" s="191" t="n">
        <v>4358223.93929822</v>
      </c>
      <c r="J6731" s="192" t="str">
        <f>IF(I6731&gt;0,H6731/I6731,0)</f>
      </c>
      <c r="K6731" s="193" t="str">
        <f>1-EXP(-J6731)</f>
      </c>
      <c r="L6731" s="194" t="str">
        <f>IF(G6731=30,1,M6730)</f>
      </c>
      <c r="M6731" s="195" t="str">
        <f>L6731*(1-K6731)</f>
      </c>
    </row>
    <row r="6732">
      <c r="A6732" t="s">
        <v>167</v>
      </c>
      <c r="B6732" t="s">
        <v>113</v>
      </c>
      <c r="C6732" s="35" t="s">
        <v>521</v>
      </c>
      <c r="D6732" t="s">
        <v>113</v>
      </c>
      <c r="E6732" t="s">
        <v>520</v>
      </c>
      <c r="F6732" s="188" t="n">
        <v>2037</v>
      </c>
      <c r="G6732" s="189" t="n">
        <v>40</v>
      </c>
      <c r="H6732" s="190" t="n">
        <v>3675.49560218975</v>
      </c>
      <c r="I6732" s="191" t="n">
        <v>4492566.57995808</v>
      </c>
      <c r="J6732" s="192" t="str">
        <f>IF(I6732&gt;0,H6732/I6732,0)</f>
      </c>
      <c r="K6732" s="193" t="str">
        <f>1-EXP(-J6732)</f>
      </c>
      <c r="L6732" s="194" t="str">
        <f>IF(G6732=30,1,M6731)</f>
      </c>
      <c r="M6732" s="195" t="str">
        <f>L6732*(1-K6732)</f>
      </c>
    </row>
    <row r="6733">
      <c r="A6733" t="s">
        <v>167</v>
      </c>
      <c r="B6733" t="s">
        <v>113</v>
      </c>
      <c r="C6733" s="35" t="s">
        <v>521</v>
      </c>
      <c r="D6733" t="s">
        <v>113</v>
      </c>
      <c r="E6733" t="s">
        <v>520</v>
      </c>
      <c r="F6733" s="188" t="n">
        <v>2037</v>
      </c>
      <c r="G6733" s="189" t="n">
        <v>41</v>
      </c>
      <c r="H6733" s="190" t="n">
        <v>3929.5537596343</v>
      </c>
      <c r="I6733" s="191" t="n">
        <v>4445670.12210756</v>
      </c>
      <c r="J6733" s="192" t="str">
        <f>IF(I6733&gt;0,H6733/I6733,0)</f>
      </c>
      <c r="K6733" s="193" t="str">
        <f>1-EXP(-J6733)</f>
      </c>
      <c r="L6733" s="194" t="str">
        <f>IF(G6733=30,1,M6732)</f>
      </c>
      <c r="M6733" s="195" t="str">
        <f>L6733*(1-K6733)</f>
      </c>
    </row>
    <row r="6734">
      <c r="A6734" t="s">
        <v>167</v>
      </c>
      <c r="B6734" t="s">
        <v>113</v>
      </c>
      <c r="C6734" s="35" t="s">
        <v>521</v>
      </c>
      <c r="D6734" t="s">
        <v>113</v>
      </c>
      <c r="E6734" t="s">
        <v>520</v>
      </c>
      <c r="F6734" s="188" t="n">
        <v>2037</v>
      </c>
      <c r="G6734" s="189" t="n">
        <v>42</v>
      </c>
      <c r="H6734" s="190" t="n">
        <v>4183.50807477629</v>
      </c>
      <c r="I6734" s="191" t="n">
        <v>4369367.64410091</v>
      </c>
      <c r="J6734" s="192" t="str">
        <f>IF(I6734&gt;0,H6734/I6734,0)</f>
      </c>
      <c r="K6734" s="193" t="str">
        <f>1-EXP(-J6734)</f>
      </c>
      <c r="L6734" s="194" t="str">
        <f>IF(G6734=30,1,M6733)</f>
      </c>
      <c r="M6734" s="195" t="str">
        <f>L6734*(1-K6734)</f>
      </c>
    </row>
    <row r="6735">
      <c r="A6735" t="s">
        <v>167</v>
      </c>
      <c r="B6735" t="s">
        <v>113</v>
      </c>
      <c r="C6735" s="35" t="s">
        <v>521</v>
      </c>
      <c r="D6735" t="s">
        <v>113</v>
      </c>
      <c r="E6735" t="s">
        <v>520</v>
      </c>
      <c r="F6735" s="188" t="n">
        <v>2037</v>
      </c>
      <c r="G6735" s="189" t="n">
        <v>43</v>
      </c>
      <c r="H6735" s="190" t="n">
        <v>4480.89673846534</v>
      </c>
      <c r="I6735" s="191" t="n">
        <v>4308242.2038057</v>
      </c>
      <c r="J6735" s="192" t="str">
        <f>IF(I6735&gt;0,H6735/I6735,0)</f>
      </c>
      <c r="K6735" s="193" t="str">
        <f>1-EXP(-J6735)</f>
      </c>
      <c r="L6735" s="194" t="str">
        <f>IF(G6735=30,1,M6734)</f>
      </c>
      <c r="M6735" s="195" t="str">
        <f>L6735*(1-K6735)</f>
      </c>
    </row>
    <row r="6736">
      <c r="A6736" t="s">
        <v>167</v>
      </c>
      <c r="B6736" t="s">
        <v>113</v>
      </c>
      <c r="C6736" s="35" t="s">
        <v>521</v>
      </c>
      <c r="D6736" t="s">
        <v>113</v>
      </c>
      <c r="E6736" t="s">
        <v>520</v>
      </c>
      <c r="F6736" s="188" t="n">
        <v>2037</v>
      </c>
      <c r="G6736" s="189" t="n">
        <v>44</v>
      </c>
      <c r="H6736" s="190" t="n">
        <v>4815.30093283384</v>
      </c>
      <c r="I6736" s="191" t="n">
        <v>4250251.44554818</v>
      </c>
      <c r="J6736" s="192" t="str">
        <f>IF(I6736&gt;0,H6736/I6736,0)</f>
      </c>
      <c r="K6736" s="193" t="str">
        <f>1-EXP(-J6736)</f>
      </c>
      <c r="L6736" s="194" t="str">
        <f>IF(G6736=30,1,M6735)</f>
      </c>
      <c r="M6736" s="195" t="str">
        <f>L6736*(1-K6736)</f>
      </c>
    </row>
    <row r="6737">
      <c r="A6737" t="s">
        <v>167</v>
      </c>
      <c r="B6737" t="s">
        <v>113</v>
      </c>
      <c r="C6737" s="35" t="s">
        <v>521</v>
      </c>
      <c r="D6737" t="s">
        <v>113</v>
      </c>
      <c r="E6737" t="s">
        <v>520</v>
      </c>
      <c r="F6737" s="188" t="n">
        <v>2037</v>
      </c>
      <c r="G6737" s="189" t="n">
        <v>45</v>
      </c>
      <c r="H6737" s="190" t="n">
        <v>6229.14034932193</v>
      </c>
      <c r="I6737" s="191" t="n">
        <v>4281618.48628419</v>
      </c>
      <c r="J6737" s="192" t="str">
        <f>IF(I6737&gt;0,H6737/I6737,0)</f>
      </c>
      <c r="K6737" s="193" t="str">
        <f>1-EXP(-J6737)</f>
      </c>
      <c r="L6737" s="194" t="str">
        <f>IF(G6737=30,1,M6736)</f>
      </c>
      <c r="M6737" s="195" t="str">
        <f>L6737*(1-K6737)</f>
      </c>
    </row>
    <row r="6738">
      <c r="A6738" t="s">
        <v>167</v>
      </c>
      <c r="B6738" t="s">
        <v>113</v>
      </c>
      <c r="C6738" s="35" t="s">
        <v>521</v>
      </c>
      <c r="D6738" t="s">
        <v>113</v>
      </c>
      <c r="E6738" t="s">
        <v>520</v>
      </c>
      <c r="F6738" s="188" t="n">
        <v>2037</v>
      </c>
      <c r="G6738" s="189" t="n">
        <v>46</v>
      </c>
      <c r="H6738" s="190" t="n">
        <v>6828.73745255221</v>
      </c>
      <c r="I6738" s="191" t="n">
        <v>4291826.09793619</v>
      </c>
      <c r="J6738" s="192" t="str">
        <f>IF(I6738&gt;0,H6738/I6738,0)</f>
      </c>
      <c r="K6738" s="193" t="str">
        <f>1-EXP(-J6738)</f>
      </c>
      <c r="L6738" s="194" t="str">
        <f>IF(G6738=30,1,M6737)</f>
      </c>
      <c r="M6738" s="195" t="str">
        <f>L6738*(1-K6738)</f>
      </c>
    </row>
    <row r="6739">
      <c r="A6739" t="s">
        <v>167</v>
      </c>
      <c r="B6739" t="s">
        <v>113</v>
      </c>
      <c r="C6739" s="35" t="s">
        <v>521</v>
      </c>
      <c r="D6739" t="s">
        <v>113</v>
      </c>
      <c r="E6739" t="s">
        <v>520</v>
      </c>
      <c r="F6739" s="188" t="n">
        <v>2037</v>
      </c>
      <c r="G6739" s="189" t="n">
        <v>47</v>
      </c>
      <c r="H6739" s="190" t="n">
        <v>10163.8196516879</v>
      </c>
      <c r="I6739" s="191" t="n">
        <v>6315324.83889989</v>
      </c>
      <c r="J6739" s="192" t="str">
        <f>IF(I6739&gt;0,H6739/I6739,0)</f>
      </c>
      <c r="K6739" s="193" t="str">
        <f>1-EXP(-J6739)</f>
      </c>
      <c r="L6739" s="194" t="str">
        <f>IF(G6739=30,1,M6738)</f>
      </c>
      <c r="M6739" s="195" t="str">
        <f>L6739*(1-K6739)</f>
      </c>
    </row>
    <row r="6740">
      <c r="A6740" t="s">
        <v>167</v>
      </c>
      <c r="B6740" t="s">
        <v>113</v>
      </c>
      <c r="C6740" s="35" t="s">
        <v>521</v>
      </c>
      <c r="D6740" t="s">
        <v>113</v>
      </c>
      <c r="E6740" t="s">
        <v>520</v>
      </c>
      <c r="F6740" s="188" t="n">
        <v>2037</v>
      </c>
      <c r="G6740" s="189" t="n">
        <v>48</v>
      </c>
      <c r="H6740" s="190" t="n">
        <v>8084.86476626289</v>
      </c>
      <c r="I6740" s="191" t="n">
        <v>4235814.02947476</v>
      </c>
      <c r="J6740" s="192" t="str">
        <f>IF(I6740&gt;0,H6740/I6740,0)</f>
      </c>
      <c r="K6740" s="193" t="str">
        <f>1-EXP(-J6740)</f>
      </c>
      <c r="L6740" s="194" t="str">
        <f>IF(G6740=30,1,M6739)</f>
      </c>
      <c r="M6740" s="195" t="str">
        <f>L6740*(1-K6740)</f>
      </c>
    </row>
    <row r="6741">
      <c r="A6741" t="s">
        <v>167</v>
      </c>
      <c r="B6741" t="s">
        <v>113</v>
      </c>
      <c r="C6741" s="35" t="s">
        <v>521</v>
      </c>
      <c r="D6741" t="s">
        <v>113</v>
      </c>
      <c r="E6741" t="s">
        <v>520</v>
      </c>
      <c r="F6741" s="188" t="n">
        <v>2037</v>
      </c>
      <c r="G6741" s="189" t="n">
        <v>49</v>
      </c>
      <c r="H6741" s="190" t="n">
        <v>8805.07666138873</v>
      </c>
      <c r="I6741" s="191" t="n">
        <v>4210459.78122692</v>
      </c>
      <c r="J6741" s="192" t="str">
        <f>IF(I6741&gt;0,H6741/I6741,0)</f>
      </c>
      <c r="K6741" s="193" t="str">
        <f>1-EXP(-J6741)</f>
      </c>
      <c r="L6741" s="194" t="str">
        <f>IF(G6741=30,1,M6740)</f>
      </c>
      <c r="M6741" s="195" t="str">
        <f>L6741*(1-K6741)</f>
      </c>
    </row>
    <row r="6742">
      <c r="A6742" t="s">
        <v>167</v>
      </c>
      <c r="B6742" t="s">
        <v>113</v>
      </c>
      <c r="C6742" s="35" t="s">
        <v>521</v>
      </c>
      <c r="D6742" t="s">
        <v>113</v>
      </c>
      <c r="E6742" t="s">
        <v>520</v>
      </c>
      <c r="F6742" s="188" t="n">
        <v>2037</v>
      </c>
      <c r="G6742" s="189" t="n">
        <v>50</v>
      </c>
      <c r="H6742" s="190" t="n">
        <v>9824.37234742012</v>
      </c>
      <c r="I6742" s="191" t="n">
        <v>4071755.5386669</v>
      </c>
      <c r="J6742" s="192" t="str">
        <f>IF(I6742&gt;0,H6742/I6742,0)</f>
      </c>
      <c r="K6742" s="193" t="str">
        <f>1-EXP(-J6742)</f>
      </c>
      <c r="L6742" s="194" t="str">
        <f>IF(G6742=30,1,M6741)</f>
      </c>
      <c r="M6742" s="195" t="str">
        <f>L6742*(1-K6742)</f>
      </c>
    </row>
    <row r="6743">
      <c r="A6743" t="s">
        <v>167</v>
      </c>
      <c r="B6743" t="s">
        <v>113</v>
      </c>
      <c r="C6743" s="35" t="s">
        <v>521</v>
      </c>
      <c r="D6743" t="s">
        <v>113</v>
      </c>
      <c r="E6743" t="s">
        <v>520</v>
      </c>
      <c r="F6743" s="188" t="n">
        <v>2037</v>
      </c>
      <c r="G6743" s="189" t="n">
        <v>51</v>
      </c>
      <c r="H6743" s="190" t="n">
        <v>10624.2471384995</v>
      </c>
      <c r="I6743" s="191" t="n">
        <v>4026674.25592216</v>
      </c>
      <c r="J6743" s="192" t="str">
        <f>IF(I6743&gt;0,H6743/I6743,0)</f>
      </c>
      <c r="K6743" s="193" t="str">
        <f>1-EXP(-J6743)</f>
      </c>
      <c r="L6743" s="194" t="str">
        <f>IF(G6743=30,1,M6742)</f>
      </c>
      <c r="M6743" s="195" t="str">
        <f>L6743*(1-K6743)</f>
      </c>
    </row>
    <row r="6744">
      <c r="A6744" t="s">
        <v>167</v>
      </c>
      <c r="B6744" t="s">
        <v>113</v>
      </c>
      <c r="C6744" s="35" t="s">
        <v>521</v>
      </c>
      <c r="D6744" t="s">
        <v>113</v>
      </c>
      <c r="E6744" t="s">
        <v>520</v>
      </c>
      <c r="F6744" s="188" t="n">
        <v>2037</v>
      </c>
      <c r="G6744" s="189" t="n">
        <v>52</v>
      </c>
      <c r="H6744" s="190" t="n">
        <v>11739.497737891</v>
      </c>
      <c r="I6744" s="191" t="n">
        <v>4071866.99640263</v>
      </c>
      <c r="J6744" s="192" t="str">
        <f>IF(I6744&gt;0,H6744/I6744,0)</f>
      </c>
      <c r="K6744" s="193" t="str">
        <f>1-EXP(-J6744)</f>
      </c>
      <c r="L6744" s="194" t="str">
        <f>IF(G6744=30,1,M6743)</f>
      </c>
      <c r="M6744" s="195" t="str">
        <f>L6744*(1-K6744)</f>
      </c>
    </row>
    <row r="6745">
      <c r="A6745" t="s">
        <v>167</v>
      </c>
      <c r="B6745" t="s">
        <v>113</v>
      </c>
      <c r="C6745" s="35" t="s">
        <v>521</v>
      </c>
      <c r="D6745" t="s">
        <v>113</v>
      </c>
      <c r="E6745" t="s">
        <v>520</v>
      </c>
      <c r="F6745" s="188" t="n">
        <v>2037</v>
      </c>
      <c r="G6745" s="189" t="n">
        <v>53</v>
      </c>
      <c r="H6745" s="190" t="n">
        <v>13028.6275404525</v>
      </c>
      <c r="I6745" s="191" t="n">
        <v>4139758.17507528</v>
      </c>
      <c r="J6745" s="192" t="str">
        <f>IF(I6745&gt;0,H6745/I6745,0)</f>
      </c>
      <c r="K6745" s="193" t="str">
        <f>1-EXP(-J6745)</f>
      </c>
      <c r="L6745" s="194" t="str">
        <f>IF(G6745=30,1,M6744)</f>
      </c>
      <c r="M6745" s="195" t="str">
        <f>L6745*(1-K6745)</f>
      </c>
    </row>
    <row r="6746">
      <c r="A6746" t="s">
        <v>167</v>
      </c>
      <c r="B6746" t="s">
        <v>113</v>
      </c>
      <c r="C6746" s="35" t="s">
        <v>521</v>
      </c>
      <c r="D6746" t="s">
        <v>113</v>
      </c>
      <c r="E6746" t="s">
        <v>520</v>
      </c>
      <c r="F6746" s="188" t="n">
        <v>2037</v>
      </c>
      <c r="G6746" s="189" t="n">
        <v>54</v>
      </c>
      <c r="H6746" s="190" t="n">
        <v>14080.4369705945</v>
      </c>
      <c r="I6746" s="191" t="n">
        <v>4101352.01155265</v>
      </c>
      <c r="J6746" s="192" t="str">
        <f>IF(I6746&gt;0,H6746/I6746,0)</f>
      </c>
      <c r="K6746" s="193" t="str">
        <f>1-EXP(-J6746)</f>
      </c>
      <c r="L6746" s="194" t="str">
        <f>IF(G6746=30,1,M6745)</f>
      </c>
      <c r="M6746" s="195" t="str">
        <f>L6746*(1-K6746)</f>
      </c>
    </row>
    <row r="6747">
      <c r="A6747" t="s">
        <v>167</v>
      </c>
      <c r="B6747" t="s">
        <v>113</v>
      </c>
      <c r="C6747" s="35" t="s">
        <v>521</v>
      </c>
      <c r="D6747" t="s">
        <v>113</v>
      </c>
      <c r="E6747" t="s">
        <v>520</v>
      </c>
      <c r="F6747" s="188" t="n">
        <v>2037</v>
      </c>
      <c r="G6747" s="189" t="n">
        <v>55</v>
      </c>
      <c r="H6747" s="190" t="n">
        <v>14780.5202657503</v>
      </c>
      <c r="I6747" s="191" t="n">
        <v>3954300.26304167</v>
      </c>
      <c r="J6747" s="192" t="str">
        <f>IF(I6747&gt;0,H6747/I6747,0)</f>
      </c>
      <c r="K6747" s="193" t="str">
        <f>1-EXP(-J6747)</f>
      </c>
      <c r="L6747" s="194" t="str">
        <f>IF(G6747=30,1,M6746)</f>
      </c>
      <c r="M6747" s="195" t="str">
        <f>L6747*(1-K6747)</f>
      </c>
    </row>
    <row r="6748">
      <c r="A6748" t="s">
        <v>167</v>
      </c>
      <c r="B6748" t="s">
        <v>113</v>
      </c>
      <c r="C6748" s="35" t="s">
        <v>521</v>
      </c>
      <c r="D6748" t="s">
        <v>113</v>
      </c>
      <c r="E6748" t="s">
        <v>520</v>
      </c>
      <c r="F6748" s="188" t="n">
        <v>2037</v>
      </c>
      <c r="G6748" s="189" t="n">
        <v>56</v>
      </c>
      <c r="H6748" s="190" t="n">
        <v>15761.2561610495</v>
      </c>
      <c r="I6748" s="191" t="n">
        <v>3866137.6775345</v>
      </c>
      <c r="J6748" s="192" t="str">
        <f>IF(I6748&gt;0,H6748/I6748,0)</f>
      </c>
      <c r="K6748" s="193" t="str">
        <f>1-EXP(-J6748)</f>
      </c>
      <c r="L6748" s="194" t="str">
        <f>IF(G6748=30,1,M6747)</f>
      </c>
      <c r="M6748" s="195" t="str">
        <f>L6748*(1-K6748)</f>
      </c>
    </row>
    <row r="6749">
      <c r="A6749" t="s">
        <v>167</v>
      </c>
      <c r="B6749" t="s">
        <v>113</v>
      </c>
      <c r="C6749" s="35" t="s">
        <v>521</v>
      </c>
      <c r="D6749" t="s">
        <v>113</v>
      </c>
      <c r="E6749" t="s">
        <v>520</v>
      </c>
      <c r="F6749" s="188" t="n">
        <v>2037</v>
      </c>
      <c r="G6749" s="189" t="n">
        <v>57</v>
      </c>
      <c r="H6749" s="190" t="n">
        <v>16876.327731085</v>
      </c>
      <c r="I6749" s="191" t="n">
        <v>3792417.46745425</v>
      </c>
      <c r="J6749" s="192" t="str">
        <f>IF(I6749&gt;0,H6749/I6749,0)</f>
      </c>
      <c r="K6749" s="193" t="str">
        <f>1-EXP(-J6749)</f>
      </c>
      <c r="L6749" s="194" t="str">
        <f>IF(G6749=30,1,M6748)</f>
      </c>
      <c r="M6749" s="195" t="str">
        <f>L6749*(1-K6749)</f>
      </c>
    </row>
    <row r="6750">
      <c r="A6750" t="s">
        <v>167</v>
      </c>
      <c r="B6750" t="s">
        <v>113</v>
      </c>
      <c r="C6750" s="35" t="s">
        <v>521</v>
      </c>
      <c r="D6750" t="s">
        <v>113</v>
      </c>
      <c r="E6750" t="s">
        <v>520</v>
      </c>
      <c r="F6750" s="188" t="n">
        <v>2037</v>
      </c>
      <c r="G6750" s="189" t="n">
        <v>58</v>
      </c>
      <c r="H6750" s="190" t="n">
        <v>18051.496674961</v>
      </c>
      <c r="I6750" s="191" t="n">
        <v>3712545.3325709</v>
      </c>
      <c r="J6750" s="192" t="str">
        <f>IF(I6750&gt;0,H6750/I6750,0)</f>
      </c>
      <c r="K6750" s="193" t="str">
        <f>1-EXP(-J6750)</f>
      </c>
      <c r="L6750" s="194" t="str">
        <f>IF(G6750=30,1,M6749)</f>
      </c>
      <c r="M6750" s="195" t="str">
        <f>L6750*(1-K6750)</f>
      </c>
    </row>
    <row r="6751">
      <c r="A6751" t="s">
        <v>167</v>
      </c>
      <c r="B6751" t="s">
        <v>113</v>
      </c>
      <c r="C6751" s="35" t="s">
        <v>521</v>
      </c>
      <c r="D6751" t="s">
        <v>113</v>
      </c>
      <c r="E6751" t="s">
        <v>520</v>
      </c>
      <c r="F6751" s="188" t="n">
        <v>2037</v>
      </c>
      <c r="G6751" s="189" t="n">
        <v>59</v>
      </c>
      <c r="H6751" s="190" t="n">
        <v>19216.1316131842</v>
      </c>
      <c r="I6751" s="191" t="n">
        <v>3613419.01301168</v>
      </c>
      <c r="J6751" s="192" t="str">
        <f>IF(I6751&gt;0,H6751/I6751,0)</f>
      </c>
      <c r="K6751" s="193" t="str">
        <f>1-EXP(-J6751)</f>
      </c>
      <c r="L6751" s="194" t="str">
        <f>IF(G6751=30,1,M6750)</f>
      </c>
      <c r="M6751" s="195" t="str">
        <f>L6751*(1-K6751)</f>
      </c>
    </row>
    <row r="6752">
      <c r="A6752" t="s">
        <v>167</v>
      </c>
      <c r="B6752" t="s">
        <v>113</v>
      </c>
      <c r="C6752" s="35" t="s">
        <v>521</v>
      </c>
      <c r="D6752" t="s">
        <v>113</v>
      </c>
      <c r="E6752" t="s">
        <v>520</v>
      </c>
      <c r="F6752" s="188" t="n">
        <v>2037</v>
      </c>
      <c r="G6752" s="189" t="n">
        <v>60</v>
      </c>
      <c r="H6752" s="190" t="n">
        <v>20628.5165692017</v>
      </c>
      <c r="I6752" s="191" t="n">
        <v>3528981.01088436</v>
      </c>
      <c r="J6752" s="192" t="str">
        <f>IF(I6752&gt;0,H6752/I6752,0)</f>
      </c>
      <c r="K6752" s="193" t="str">
        <f>1-EXP(-J6752)</f>
      </c>
      <c r="L6752" s="194" t="str">
        <f>IF(G6752=30,1,M6751)</f>
      </c>
      <c r="M6752" s="195" t="str">
        <f>L6752*(1-K6752)</f>
      </c>
    </row>
    <row r="6753">
      <c r="A6753" t="s">
        <v>167</v>
      </c>
      <c r="B6753" t="s">
        <v>113</v>
      </c>
      <c r="C6753" s="35" t="s">
        <v>521</v>
      </c>
      <c r="D6753" t="s">
        <v>113</v>
      </c>
      <c r="E6753" t="s">
        <v>520</v>
      </c>
      <c r="F6753" s="188" t="n">
        <v>2037</v>
      </c>
      <c r="G6753" s="189" t="n">
        <v>61</v>
      </c>
      <c r="H6753" s="190" t="n">
        <v>21968.6239524732</v>
      </c>
      <c r="I6753" s="191" t="n">
        <v>3432265.44074233</v>
      </c>
      <c r="J6753" s="192" t="str">
        <f>IF(I6753&gt;0,H6753/I6753,0)</f>
      </c>
      <c r="K6753" s="193" t="str">
        <f>1-EXP(-J6753)</f>
      </c>
      <c r="L6753" s="194" t="str">
        <f>IF(G6753=30,1,M6752)</f>
      </c>
      <c r="M6753" s="195" t="str">
        <f>L6753*(1-K6753)</f>
      </c>
    </row>
    <row r="6754">
      <c r="A6754" t="s">
        <v>167</v>
      </c>
      <c r="B6754" t="s">
        <v>113</v>
      </c>
      <c r="C6754" s="35" t="s">
        <v>521</v>
      </c>
      <c r="D6754" t="s">
        <v>113</v>
      </c>
      <c r="E6754" t="s">
        <v>520</v>
      </c>
      <c r="F6754" s="188" t="n">
        <v>2037</v>
      </c>
      <c r="G6754" s="189" t="n">
        <v>62</v>
      </c>
      <c r="H6754" s="190" t="n">
        <v>23375.0138688984</v>
      </c>
      <c r="I6754" s="191" t="n">
        <v>3334055.66319458</v>
      </c>
      <c r="J6754" s="192" t="str">
        <f>IF(I6754&gt;0,H6754/I6754,0)</f>
      </c>
      <c r="K6754" s="193" t="str">
        <f>1-EXP(-J6754)</f>
      </c>
      <c r="L6754" s="194" t="str">
        <f>IF(G6754=30,1,M6753)</f>
      </c>
      <c r="M6754" s="195" t="str">
        <f>L6754*(1-K6754)</f>
      </c>
    </row>
    <row r="6755">
      <c r="A6755" t="s">
        <v>167</v>
      </c>
      <c r="B6755" t="s">
        <v>113</v>
      </c>
      <c r="C6755" s="35" t="s">
        <v>521</v>
      </c>
      <c r="D6755" t="s">
        <v>113</v>
      </c>
      <c r="E6755" t="s">
        <v>520</v>
      </c>
      <c r="F6755" s="188" t="n">
        <v>2037</v>
      </c>
      <c r="G6755" s="189" t="n">
        <v>63</v>
      </c>
      <c r="H6755" s="190" t="n">
        <v>24655.8424239078</v>
      </c>
      <c r="I6755" s="191" t="n">
        <v>3209707.05151986</v>
      </c>
      <c r="J6755" s="192" t="str">
        <f>IF(I6755&gt;0,H6755/I6755,0)</f>
      </c>
      <c r="K6755" s="193" t="str">
        <f>1-EXP(-J6755)</f>
      </c>
      <c r="L6755" s="194" t="str">
        <f>IF(G6755=30,1,M6754)</f>
      </c>
      <c r="M6755" s="195" t="str">
        <f>L6755*(1-K6755)</f>
      </c>
    </row>
    <row r="6756">
      <c r="A6756" t="s">
        <v>167</v>
      </c>
      <c r="B6756" t="s">
        <v>113</v>
      </c>
      <c r="C6756" s="35" t="s">
        <v>521</v>
      </c>
      <c r="D6756" t="s">
        <v>113</v>
      </c>
      <c r="E6756" t="s">
        <v>520</v>
      </c>
      <c r="F6756" s="188" t="n">
        <v>2037</v>
      </c>
      <c r="G6756" s="189" t="n">
        <v>64</v>
      </c>
      <c r="H6756" s="190" t="n">
        <v>26417.3355844244</v>
      </c>
      <c r="I6756" s="191" t="n">
        <v>3138521.63068424</v>
      </c>
      <c r="J6756" s="192" t="str">
        <f>IF(I6756&gt;0,H6756/I6756,0)</f>
      </c>
      <c r="K6756" s="193" t="str">
        <f>1-EXP(-J6756)</f>
      </c>
      <c r="L6756" s="194" t="str">
        <f>IF(G6756=30,1,M6755)</f>
      </c>
      <c r="M6756" s="195" t="str">
        <f>L6756*(1-K6756)</f>
      </c>
    </row>
    <row r="6757">
      <c r="A6757" t="s">
        <v>167</v>
      </c>
      <c r="B6757" t="s">
        <v>113</v>
      </c>
      <c r="C6757" s="35" t="s">
        <v>521</v>
      </c>
      <c r="D6757" t="s">
        <v>113</v>
      </c>
      <c r="E6757" t="s">
        <v>520</v>
      </c>
      <c r="F6757" s="188" t="n">
        <v>2037</v>
      </c>
      <c r="G6757" s="189" t="n">
        <v>65</v>
      </c>
      <c r="H6757" s="190" t="n">
        <v>25948.6480856152</v>
      </c>
      <c r="I6757" s="191" t="n">
        <v>2919816.98707286</v>
      </c>
      <c r="J6757" s="192" t="str">
        <f>IF(I6757&gt;0,H6757/I6757,0)</f>
      </c>
      <c r="K6757" s="193" t="str">
        <f>1-EXP(-J6757)</f>
      </c>
      <c r="L6757" s="194" t="str">
        <f>IF(G6757=30,1,M6756)</f>
      </c>
      <c r="M6757" s="195" t="str">
        <f>L6757*(1-K6757)</f>
      </c>
    </row>
    <row r="6758">
      <c r="A6758" t="s">
        <v>167</v>
      </c>
      <c r="B6758" t="s">
        <v>113</v>
      </c>
      <c r="C6758" s="35" t="s">
        <v>521</v>
      </c>
      <c r="D6758" t="s">
        <v>113</v>
      </c>
      <c r="E6758" t="s">
        <v>520</v>
      </c>
      <c r="F6758" s="188" t="n">
        <v>2037</v>
      </c>
      <c r="G6758" s="189" t="n">
        <v>66</v>
      </c>
      <c r="H6758" s="190" t="n">
        <v>27389.1076667988</v>
      </c>
      <c r="I6758" s="191" t="n">
        <v>2809795.20434501</v>
      </c>
      <c r="J6758" s="192" t="str">
        <f>IF(I6758&gt;0,H6758/I6758,0)</f>
      </c>
      <c r="K6758" s="193" t="str">
        <f>1-EXP(-J6758)</f>
      </c>
      <c r="L6758" s="194" t="str">
        <f>IF(G6758=30,1,M6757)</f>
      </c>
      <c r="M6758" s="195" t="str">
        <f>L6758*(1-K6758)</f>
      </c>
    </row>
    <row r="6759">
      <c r="A6759" t="s">
        <v>167</v>
      </c>
      <c r="B6759" t="s">
        <v>113</v>
      </c>
      <c r="C6759" s="35" t="s">
        <v>521</v>
      </c>
      <c r="D6759" t="s">
        <v>113</v>
      </c>
      <c r="E6759" t="s">
        <v>520</v>
      </c>
      <c r="F6759" s="188" t="n">
        <v>2037</v>
      </c>
      <c r="G6759" s="189" t="n">
        <v>67</v>
      </c>
      <c r="H6759" s="190" t="n">
        <v>28903.2668934823</v>
      </c>
      <c r="I6759" s="191" t="n">
        <v>2702135.34491153</v>
      </c>
      <c r="J6759" s="192" t="str">
        <f>IF(I6759&gt;0,H6759/I6759,0)</f>
      </c>
      <c r="K6759" s="193" t="str">
        <f>1-EXP(-J6759)</f>
      </c>
      <c r="L6759" s="194" t="str">
        <f>IF(G6759=30,1,M6758)</f>
      </c>
      <c r="M6759" s="195" t="str">
        <f>L6759*(1-K6759)</f>
      </c>
    </row>
    <row r="6760">
      <c r="A6760" t="s">
        <v>167</v>
      </c>
      <c r="B6760" t="s">
        <v>113</v>
      </c>
      <c r="C6760" s="35" t="s">
        <v>521</v>
      </c>
      <c r="D6760" t="s">
        <v>113</v>
      </c>
      <c r="E6760" t="s">
        <v>520</v>
      </c>
      <c r="F6760" s="188" t="n">
        <v>2037</v>
      </c>
      <c r="G6760" s="189" t="n">
        <v>68</v>
      </c>
      <c r="H6760" s="190" t="n">
        <v>30366.7647152019</v>
      </c>
      <c r="I6760" s="191" t="n">
        <v>2585545.37001591</v>
      </c>
      <c r="J6760" s="192" t="str">
        <f>IF(I6760&gt;0,H6760/I6760,0)</f>
      </c>
      <c r="K6760" s="193" t="str">
        <f>1-EXP(-J6760)</f>
      </c>
      <c r="L6760" s="194" t="str">
        <f>IF(G6760=30,1,M6759)</f>
      </c>
      <c r="M6760" s="195" t="str">
        <f>L6760*(1-K6760)</f>
      </c>
    </row>
    <row r="6761">
      <c r="A6761" t="s">
        <v>167</v>
      </c>
      <c r="B6761" t="s">
        <v>113</v>
      </c>
      <c r="C6761" s="35" t="s">
        <v>521</v>
      </c>
      <c r="D6761" t="s">
        <v>113</v>
      </c>
      <c r="E6761" t="s">
        <v>520</v>
      </c>
      <c r="F6761" s="188" t="n">
        <v>2037</v>
      </c>
      <c r="G6761" s="189" t="n">
        <v>69</v>
      </c>
      <c r="H6761" s="190" t="n">
        <v>31642.6816757506</v>
      </c>
      <c r="I6761" s="191" t="n">
        <v>2451571.3742655</v>
      </c>
      <c r="J6761" s="192" t="str">
        <f>IF(I6761&gt;0,H6761/I6761,0)</f>
      </c>
      <c r="K6761" s="193" t="str">
        <f>1-EXP(-J6761)</f>
      </c>
      <c r="L6761" s="194" t="str">
        <f>IF(G6761=30,1,M6760)</f>
      </c>
      <c r="M6761" s="195" t="str">
        <f>L6761*(1-K6761)</f>
      </c>
    </row>
    <row r="6762">
      <c r="A6762" t="s">
        <v>167</v>
      </c>
      <c r="B6762" t="s">
        <v>113</v>
      </c>
      <c r="C6762" s="35" t="s">
        <v>521</v>
      </c>
      <c r="D6762" t="s">
        <v>113</v>
      </c>
      <c r="E6762" t="s">
        <v>520</v>
      </c>
      <c r="F6762" s="188" t="n">
        <v>2038</v>
      </c>
      <c r="G6762" s="189" t="n">
        <v>30</v>
      </c>
      <c r="H6762" s="190" t="n">
        <v>777.316312717667</v>
      </c>
      <c r="I6762" s="191" t="n">
        <v>4653435.833222</v>
      </c>
      <c r="J6762" s="192" t="str">
        <f>IF(I6762&gt;0,H6762/I6762,0)</f>
      </c>
      <c r="K6762" s="193" t="str">
        <f>1-EXP(-J6762)</f>
      </c>
      <c r="L6762" s="194" t="str">
        <f>IF(G6762=30,1,M6761)</f>
      </c>
      <c r="M6762" s="195" t="str">
        <f>L6762*(1-K6762)</f>
      </c>
    </row>
    <row r="6763">
      <c r="A6763" t="s">
        <v>167</v>
      </c>
      <c r="B6763" t="s">
        <v>113</v>
      </c>
      <c r="C6763" s="35" t="s">
        <v>521</v>
      </c>
      <c r="D6763" t="s">
        <v>113</v>
      </c>
      <c r="E6763" t="s">
        <v>520</v>
      </c>
      <c r="F6763" s="188" t="n">
        <v>2038</v>
      </c>
      <c r="G6763" s="189" t="n">
        <v>31</v>
      </c>
      <c r="H6763" s="190" t="n">
        <v>1056.64027631744</v>
      </c>
      <c r="I6763" s="191" t="n">
        <v>4679780.66359376</v>
      </c>
      <c r="J6763" s="192" t="str">
        <f>IF(I6763&gt;0,H6763/I6763,0)</f>
      </c>
      <c r="K6763" s="193" t="str">
        <f>1-EXP(-J6763)</f>
      </c>
      <c r="L6763" s="194" t="str">
        <f>IF(G6763=30,1,M6762)</f>
      </c>
      <c r="M6763" s="195" t="str">
        <f>L6763*(1-K6763)</f>
      </c>
    </row>
    <row r="6764">
      <c r="A6764" t="s">
        <v>167</v>
      </c>
      <c r="B6764" t="s">
        <v>113</v>
      </c>
      <c r="C6764" s="35" t="s">
        <v>521</v>
      </c>
      <c r="D6764" t="s">
        <v>113</v>
      </c>
      <c r="E6764" t="s">
        <v>520</v>
      </c>
      <c r="F6764" s="188" t="n">
        <v>2038</v>
      </c>
      <c r="G6764" s="189" t="n">
        <v>32</v>
      </c>
      <c r="H6764" s="190" t="n">
        <v>1092.3068516284</v>
      </c>
      <c r="I6764" s="191" t="n">
        <v>4596912.81640778</v>
      </c>
      <c r="J6764" s="192" t="str">
        <f>IF(I6764&gt;0,H6764/I6764,0)</f>
      </c>
      <c r="K6764" s="193" t="str">
        <f>1-EXP(-J6764)</f>
      </c>
      <c r="L6764" s="194" t="str">
        <f>IF(G6764=30,1,M6763)</f>
      </c>
      <c r="M6764" s="195" t="str">
        <f>L6764*(1-K6764)</f>
      </c>
    </row>
    <row r="6765">
      <c r="A6765" t="s">
        <v>167</v>
      </c>
      <c r="B6765" t="s">
        <v>113</v>
      </c>
      <c r="C6765" s="35" t="s">
        <v>521</v>
      </c>
      <c r="D6765" t="s">
        <v>113</v>
      </c>
      <c r="E6765" t="s">
        <v>520</v>
      </c>
      <c r="F6765" s="188" t="n">
        <v>2038</v>
      </c>
      <c r="G6765" s="189" t="n">
        <v>33</v>
      </c>
      <c r="H6765" s="190" t="n">
        <v>1141.25835237648</v>
      </c>
      <c r="I6765" s="191" t="n">
        <v>4535935.57280462</v>
      </c>
      <c r="J6765" s="192" t="str">
        <f>IF(I6765&gt;0,H6765/I6765,0)</f>
      </c>
      <c r="K6765" s="193" t="str">
        <f>1-EXP(-J6765)</f>
      </c>
      <c r="L6765" s="194" t="str">
        <f>IF(G6765=30,1,M6764)</f>
      </c>
      <c r="M6765" s="195" t="str">
        <f>L6765*(1-K6765)</f>
      </c>
    </row>
    <row r="6766">
      <c r="A6766" t="s">
        <v>167</v>
      </c>
      <c r="B6766" t="s">
        <v>113</v>
      </c>
      <c r="C6766" s="35" t="s">
        <v>521</v>
      </c>
      <c r="D6766" t="s">
        <v>113</v>
      </c>
      <c r="E6766" t="s">
        <v>520</v>
      </c>
      <c r="F6766" s="188" t="n">
        <v>2038</v>
      </c>
      <c r="G6766" s="189" t="n">
        <v>34</v>
      </c>
      <c r="H6766" s="190" t="n">
        <v>1181.65183148098</v>
      </c>
      <c r="I6766" s="191" t="n">
        <v>4407258.37649329</v>
      </c>
      <c r="J6766" s="192" t="str">
        <f>IF(I6766&gt;0,H6766/I6766,0)</f>
      </c>
      <c r="K6766" s="193" t="str">
        <f>1-EXP(-J6766)</f>
      </c>
      <c r="L6766" s="194" t="str">
        <f>IF(G6766=30,1,M6765)</f>
      </c>
      <c r="M6766" s="195" t="str">
        <f>L6766*(1-K6766)</f>
      </c>
    </row>
    <row r="6767">
      <c r="A6767" t="s">
        <v>167</v>
      </c>
      <c r="B6767" t="s">
        <v>113</v>
      </c>
      <c r="C6767" s="35" t="s">
        <v>521</v>
      </c>
      <c r="D6767" t="s">
        <v>113</v>
      </c>
      <c r="E6767" t="s">
        <v>520</v>
      </c>
      <c r="F6767" s="188" t="n">
        <v>2038</v>
      </c>
      <c r="G6767" s="189" t="n">
        <v>35</v>
      </c>
      <c r="H6767" s="190" t="n">
        <v>1561.01646158794</v>
      </c>
      <c r="I6767" s="191" t="n">
        <v>4341478.07195024</v>
      </c>
      <c r="J6767" s="192" t="str">
        <f>IF(I6767&gt;0,H6767/I6767,0)</f>
      </c>
      <c r="K6767" s="193" t="str">
        <f>1-EXP(-J6767)</f>
      </c>
      <c r="L6767" s="194" t="str">
        <f>IF(G6767=30,1,M6766)</f>
      </c>
      <c r="M6767" s="195" t="str">
        <f>L6767*(1-K6767)</f>
      </c>
    </row>
    <row r="6768">
      <c r="A6768" t="s">
        <v>167</v>
      </c>
      <c r="B6768" t="s">
        <v>113</v>
      </c>
      <c r="C6768" s="35" t="s">
        <v>521</v>
      </c>
      <c r="D6768" t="s">
        <v>113</v>
      </c>
      <c r="E6768" t="s">
        <v>520</v>
      </c>
      <c r="F6768" s="188" t="n">
        <v>2038</v>
      </c>
      <c r="G6768" s="189" t="n">
        <v>36</v>
      </c>
      <c r="H6768" s="190" t="n">
        <v>1945.19320066139</v>
      </c>
      <c r="I6768" s="191" t="n">
        <v>4318560.51290437</v>
      </c>
      <c r="J6768" s="192" t="str">
        <f>IF(I6768&gt;0,H6768/I6768,0)</f>
      </c>
      <c r="K6768" s="193" t="str">
        <f>1-EXP(-J6768)</f>
      </c>
      <c r="L6768" s="194" t="str">
        <f>IF(G6768=30,1,M6767)</f>
      </c>
      <c r="M6768" s="195" t="str">
        <f>L6768*(1-K6768)</f>
      </c>
    </row>
    <row r="6769">
      <c r="A6769" t="s">
        <v>167</v>
      </c>
      <c r="B6769" t="s">
        <v>113</v>
      </c>
      <c r="C6769" s="35" t="s">
        <v>521</v>
      </c>
      <c r="D6769" t="s">
        <v>113</v>
      </c>
      <c r="E6769" t="s">
        <v>520</v>
      </c>
      <c r="F6769" s="188" t="n">
        <v>2038</v>
      </c>
      <c r="G6769" s="189" t="n">
        <v>37</v>
      </c>
      <c r="H6769" s="190" t="n">
        <v>2078.97680294331</v>
      </c>
      <c r="I6769" s="191" t="n">
        <v>4297460.44360414</v>
      </c>
      <c r="J6769" s="192" t="str">
        <f>IF(I6769&gt;0,H6769/I6769,0)</f>
      </c>
      <c r="K6769" s="193" t="str">
        <f>1-EXP(-J6769)</f>
      </c>
      <c r="L6769" s="194" t="str">
        <f>IF(G6769=30,1,M6768)</f>
      </c>
      <c r="M6769" s="195" t="str">
        <f>L6769*(1-K6769)</f>
      </c>
    </row>
    <row r="6770">
      <c r="A6770" t="s">
        <v>167</v>
      </c>
      <c r="B6770" t="s">
        <v>113</v>
      </c>
      <c r="C6770" s="35" t="s">
        <v>521</v>
      </c>
      <c r="D6770" t="s">
        <v>113</v>
      </c>
      <c r="E6770" t="s">
        <v>520</v>
      </c>
      <c r="F6770" s="188" t="n">
        <v>2038</v>
      </c>
      <c r="G6770" s="189" t="n">
        <v>38</v>
      </c>
      <c r="H6770" s="190" t="n">
        <v>2228.7041342192</v>
      </c>
      <c r="I6770" s="191" t="n">
        <v>4275870.14623547</v>
      </c>
      <c r="J6770" s="192" t="str">
        <f>IF(I6770&gt;0,H6770/I6770,0)</f>
      </c>
      <c r="K6770" s="193" t="str">
        <f>1-EXP(-J6770)</f>
      </c>
      <c r="L6770" s="194" t="str">
        <f>IF(G6770=30,1,M6769)</f>
      </c>
      <c r="M6770" s="195" t="str">
        <f>L6770*(1-K6770)</f>
      </c>
    </row>
    <row r="6771">
      <c r="A6771" t="s">
        <v>167</v>
      </c>
      <c r="B6771" t="s">
        <v>113</v>
      </c>
      <c r="C6771" s="35" t="s">
        <v>521</v>
      </c>
      <c r="D6771" t="s">
        <v>113</v>
      </c>
      <c r="E6771" t="s">
        <v>520</v>
      </c>
      <c r="F6771" s="188" t="n">
        <v>2038</v>
      </c>
      <c r="G6771" s="189" t="n">
        <v>39</v>
      </c>
      <c r="H6771" s="190" t="n">
        <v>2415.85781001933</v>
      </c>
      <c r="I6771" s="191" t="n">
        <v>4293420.76563285</v>
      </c>
      <c r="J6771" s="192" t="str">
        <f>IF(I6771&gt;0,H6771/I6771,0)</f>
      </c>
      <c r="K6771" s="193" t="str">
        <f>1-EXP(-J6771)</f>
      </c>
      <c r="L6771" s="194" t="str">
        <f>IF(G6771=30,1,M6770)</f>
      </c>
      <c r="M6771" s="195" t="str">
        <f>L6771*(1-K6771)</f>
      </c>
    </row>
    <row r="6772">
      <c r="A6772" t="s">
        <v>167</v>
      </c>
      <c r="B6772" t="s">
        <v>113</v>
      </c>
      <c r="C6772" s="35" t="s">
        <v>521</v>
      </c>
      <c r="D6772" t="s">
        <v>113</v>
      </c>
      <c r="E6772" t="s">
        <v>520</v>
      </c>
      <c r="F6772" s="188" t="n">
        <v>2038</v>
      </c>
      <c r="G6772" s="189" t="n">
        <v>40</v>
      </c>
      <c r="H6772" s="190" t="n">
        <v>3290.28066201408</v>
      </c>
      <c r="I6772" s="191" t="n">
        <v>4349467.36557085</v>
      </c>
      <c r="J6772" s="192" t="str">
        <f>IF(I6772&gt;0,H6772/I6772,0)</f>
      </c>
      <c r="K6772" s="193" t="str">
        <f>1-EXP(-J6772)</f>
      </c>
      <c r="L6772" s="194" t="str">
        <f>IF(G6772=30,1,M6771)</f>
      </c>
      <c r="M6772" s="195" t="str">
        <f>L6772*(1-K6772)</f>
      </c>
    </row>
    <row r="6773">
      <c r="A6773" t="s">
        <v>167</v>
      </c>
      <c r="B6773" t="s">
        <v>113</v>
      </c>
      <c r="C6773" s="35" t="s">
        <v>521</v>
      </c>
      <c r="D6773" t="s">
        <v>113</v>
      </c>
      <c r="E6773" t="s">
        <v>520</v>
      </c>
      <c r="F6773" s="188" t="n">
        <v>2038</v>
      </c>
      <c r="G6773" s="189" t="n">
        <v>41</v>
      </c>
      <c r="H6773" s="190" t="n">
        <v>3951.44494181974</v>
      </c>
      <c r="I6773" s="191" t="n">
        <v>4481772.85372632</v>
      </c>
      <c r="J6773" s="192" t="str">
        <f>IF(I6773&gt;0,H6773/I6773,0)</f>
      </c>
      <c r="K6773" s="193" t="str">
        <f>1-EXP(-J6773)</f>
      </c>
      <c r="L6773" s="194" t="str">
        <f>IF(G6773=30,1,M6772)</f>
      </c>
      <c r="M6773" s="195" t="str">
        <f>L6773*(1-K6773)</f>
      </c>
    </row>
    <row r="6774">
      <c r="A6774" t="s">
        <v>167</v>
      </c>
      <c r="B6774" t="s">
        <v>113</v>
      </c>
      <c r="C6774" s="35" t="s">
        <v>521</v>
      </c>
      <c r="D6774" t="s">
        <v>113</v>
      </c>
      <c r="E6774" t="s">
        <v>520</v>
      </c>
      <c r="F6774" s="188" t="n">
        <v>2038</v>
      </c>
      <c r="G6774" s="189" t="n">
        <v>42</v>
      </c>
      <c r="H6774" s="190" t="n">
        <v>4234.39073906361</v>
      </c>
      <c r="I6774" s="191" t="n">
        <v>4434946.70413359</v>
      </c>
      <c r="J6774" s="192" t="str">
        <f>IF(I6774&gt;0,H6774/I6774,0)</f>
      </c>
      <c r="K6774" s="193" t="str">
        <f>1-EXP(-J6774)</f>
      </c>
      <c r="L6774" s="194" t="str">
        <f>IF(G6774=30,1,M6773)</f>
      </c>
      <c r="M6774" s="195" t="str">
        <f>L6774*(1-K6774)</f>
      </c>
    </row>
    <row r="6775">
      <c r="A6775" t="s">
        <v>167</v>
      </c>
      <c r="B6775" t="s">
        <v>113</v>
      </c>
      <c r="C6775" s="35" t="s">
        <v>521</v>
      </c>
      <c r="D6775" t="s">
        <v>113</v>
      </c>
      <c r="E6775" t="s">
        <v>520</v>
      </c>
      <c r="F6775" s="188" t="n">
        <v>2038</v>
      </c>
      <c r="G6775" s="189" t="n">
        <v>43</v>
      </c>
      <c r="H6775" s="190" t="n">
        <v>4518.4270192144</v>
      </c>
      <c r="I6775" s="191" t="n">
        <v>4357969.61179515</v>
      </c>
      <c r="J6775" s="192" t="str">
        <f>IF(I6775&gt;0,H6775/I6775,0)</f>
      </c>
      <c r="K6775" s="193" t="str">
        <f>1-EXP(-J6775)</f>
      </c>
      <c r="L6775" s="194" t="str">
        <f>IF(G6775=30,1,M6774)</f>
      </c>
      <c r="M6775" s="195" t="str">
        <f>L6775*(1-K6775)</f>
      </c>
    </row>
    <row r="6776">
      <c r="A6776" t="s">
        <v>167</v>
      </c>
      <c r="B6776" t="s">
        <v>113</v>
      </c>
      <c r="C6776" s="35" t="s">
        <v>521</v>
      </c>
      <c r="D6776" t="s">
        <v>113</v>
      </c>
      <c r="E6776" t="s">
        <v>520</v>
      </c>
      <c r="F6776" s="188" t="n">
        <v>2038</v>
      </c>
      <c r="G6776" s="189" t="n">
        <v>44</v>
      </c>
      <c r="H6776" s="190" t="n">
        <v>4850.08919035496</v>
      </c>
      <c r="I6776" s="191" t="n">
        <v>4296055.69478353</v>
      </c>
      <c r="J6776" s="192" t="str">
        <f>IF(I6776&gt;0,H6776/I6776,0)</f>
      </c>
      <c r="K6776" s="193" t="str">
        <f>1-EXP(-J6776)</f>
      </c>
      <c r="L6776" s="194" t="str">
        <f>IF(G6776=30,1,M6775)</f>
      </c>
      <c r="M6776" s="195" t="str">
        <f>L6776*(1-K6776)</f>
      </c>
    </row>
    <row r="6777">
      <c r="A6777" t="s">
        <v>167</v>
      </c>
      <c r="B6777" t="s">
        <v>113</v>
      </c>
      <c r="C6777" s="35" t="s">
        <v>521</v>
      </c>
      <c r="D6777" t="s">
        <v>113</v>
      </c>
      <c r="E6777" t="s">
        <v>520</v>
      </c>
      <c r="F6777" s="188" t="n">
        <v>2038</v>
      </c>
      <c r="G6777" s="189" t="n">
        <v>45</v>
      </c>
      <c r="H6777" s="190" t="n">
        <v>6144.62010395313</v>
      </c>
      <c r="I6777" s="191" t="n">
        <v>4237178.45922371</v>
      </c>
      <c r="J6777" s="192" t="str">
        <f>IF(I6777&gt;0,H6777/I6777,0)</f>
      </c>
      <c r="K6777" s="193" t="str">
        <f>1-EXP(-J6777)</f>
      </c>
      <c r="L6777" s="194" t="str">
        <f>IF(G6777=30,1,M6776)</f>
      </c>
      <c r="M6777" s="195" t="str">
        <f>L6777*(1-K6777)</f>
      </c>
    </row>
    <row r="6778">
      <c r="A6778" t="s">
        <v>167</v>
      </c>
      <c r="B6778" t="s">
        <v>113</v>
      </c>
      <c r="C6778" s="35" t="s">
        <v>521</v>
      </c>
      <c r="D6778" t="s">
        <v>113</v>
      </c>
      <c r="E6778" t="s">
        <v>520</v>
      </c>
      <c r="F6778" s="188" t="n">
        <v>2038</v>
      </c>
      <c r="G6778" s="189" t="n">
        <v>46</v>
      </c>
      <c r="H6778" s="190" t="n">
        <v>6756.31889060837</v>
      </c>
      <c r="I6778" s="191" t="n">
        <v>4266283.47518925</v>
      </c>
      <c r="J6778" s="192" t="str">
        <f>IF(I6778&gt;0,H6778/I6778,0)</f>
      </c>
      <c r="K6778" s="193" t="str">
        <f>1-EXP(-J6778)</f>
      </c>
      <c r="L6778" s="194" t="str">
        <f>IF(G6778=30,1,M6777)</f>
      </c>
      <c r="M6778" s="195" t="str">
        <f>L6778*(1-K6778)</f>
      </c>
    </row>
    <row r="6779">
      <c r="A6779" t="s">
        <v>167</v>
      </c>
      <c r="B6779" t="s">
        <v>113</v>
      </c>
      <c r="C6779" s="35" t="s">
        <v>521</v>
      </c>
      <c r="D6779" t="s">
        <v>113</v>
      </c>
      <c r="E6779" t="s">
        <v>520</v>
      </c>
      <c r="F6779" s="188" t="n">
        <v>2038</v>
      </c>
      <c r="G6779" s="189" t="n">
        <v>47</v>
      </c>
      <c r="H6779" s="190" t="n">
        <v>7413.57784930512</v>
      </c>
      <c r="I6779" s="191" t="n">
        <v>4276023.64898999</v>
      </c>
      <c r="J6779" s="192" t="str">
        <f>IF(I6779&gt;0,H6779/I6779,0)</f>
      </c>
      <c r="K6779" s="193" t="str">
        <f>1-EXP(-J6779)</f>
      </c>
      <c r="L6779" s="194" t="str">
        <f>IF(G6779=30,1,M6778)</f>
      </c>
      <c r="M6779" s="195" t="str">
        <f>L6779*(1-K6779)</f>
      </c>
    </row>
    <row r="6780">
      <c r="A6780" t="s">
        <v>167</v>
      </c>
      <c r="B6780" t="s">
        <v>113</v>
      </c>
      <c r="C6780" s="35" t="s">
        <v>521</v>
      </c>
      <c r="D6780" t="s">
        <v>113</v>
      </c>
      <c r="E6780" t="s">
        <v>520</v>
      </c>
      <c r="F6780" s="188" t="n">
        <v>2038</v>
      </c>
      <c r="G6780" s="189" t="n">
        <v>48</v>
      </c>
      <c r="H6780" s="190" t="n">
        <v>10992.9611590986</v>
      </c>
      <c r="I6780" s="191" t="n">
        <v>6291283.97684831</v>
      </c>
      <c r="J6780" s="192" t="str">
        <f>IF(I6780&gt;0,H6780/I6780,0)</f>
      </c>
      <c r="K6780" s="193" t="str">
        <f>1-EXP(-J6780)</f>
      </c>
      <c r="L6780" s="194" t="str">
        <f>IF(G6780=30,1,M6779)</f>
      </c>
      <c r="M6780" s="195" t="str">
        <f>L6780*(1-K6780)</f>
      </c>
    </row>
    <row r="6781">
      <c r="A6781" t="s">
        <v>167</v>
      </c>
      <c r="B6781" t="s">
        <v>113</v>
      </c>
      <c r="C6781" s="35" t="s">
        <v>521</v>
      </c>
      <c r="D6781" t="s">
        <v>113</v>
      </c>
      <c r="E6781" t="s">
        <v>520</v>
      </c>
      <c r="F6781" s="188" t="n">
        <v>2038</v>
      </c>
      <c r="G6781" s="189" t="n">
        <v>49</v>
      </c>
      <c r="H6781" s="190" t="n">
        <v>8775.19555262826</v>
      </c>
      <c r="I6781" s="191" t="n">
        <v>4217135.01600243</v>
      </c>
      <c r="J6781" s="192" t="str">
        <f>IF(I6781&gt;0,H6781/I6781,0)</f>
      </c>
      <c r="K6781" s="193" t="str">
        <f>1-EXP(-J6781)</f>
      </c>
      <c r="L6781" s="194" t="str">
        <f>IF(G6781=30,1,M6780)</f>
      </c>
      <c r="M6781" s="195" t="str">
        <f>L6781*(1-K6781)</f>
      </c>
    </row>
    <row r="6782">
      <c r="A6782" t="s">
        <v>167</v>
      </c>
      <c r="B6782" t="s">
        <v>113</v>
      </c>
      <c r="C6782" s="35" t="s">
        <v>521</v>
      </c>
      <c r="D6782" t="s">
        <v>113</v>
      </c>
      <c r="E6782" t="s">
        <v>520</v>
      </c>
      <c r="F6782" s="188" t="n">
        <v>2038</v>
      </c>
      <c r="G6782" s="189" t="n">
        <v>50</v>
      </c>
      <c r="H6782" s="190" t="n">
        <v>10043.3064006305</v>
      </c>
      <c r="I6782" s="191" t="n">
        <v>4190125.79571312</v>
      </c>
      <c r="J6782" s="192" t="str">
        <f>IF(I6782&gt;0,H6782/I6782,0)</f>
      </c>
      <c r="K6782" s="193" t="str">
        <f>1-EXP(-J6782)</f>
      </c>
      <c r="L6782" s="194" t="str">
        <f>IF(G6782=30,1,M6781)</f>
      </c>
      <c r="M6782" s="195" t="str">
        <f>L6782*(1-K6782)</f>
      </c>
    </row>
    <row r="6783">
      <c r="A6783" t="s">
        <v>167</v>
      </c>
      <c r="B6783" t="s">
        <v>113</v>
      </c>
      <c r="C6783" s="35" t="s">
        <v>521</v>
      </c>
      <c r="D6783" t="s">
        <v>113</v>
      </c>
      <c r="E6783" t="s">
        <v>520</v>
      </c>
      <c r="F6783" s="188" t="n">
        <v>2038</v>
      </c>
      <c r="G6783" s="189" t="n">
        <v>51</v>
      </c>
      <c r="H6783" s="190" t="n">
        <v>10619.8922098907</v>
      </c>
      <c r="I6783" s="191" t="n">
        <v>4049468.52386624</v>
      </c>
      <c r="J6783" s="192" t="str">
        <f>IF(I6783&gt;0,H6783/I6783,0)</f>
      </c>
      <c r="K6783" s="193" t="str">
        <f>1-EXP(-J6783)</f>
      </c>
      <c r="L6783" s="194" t="str">
        <f>IF(G6783=30,1,M6782)</f>
      </c>
      <c r="M6783" s="195" t="str">
        <f>L6783*(1-K6783)</f>
      </c>
    </row>
    <row r="6784">
      <c r="A6784" t="s">
        <v>167</v>
      </c>
      <c r="B6784" t="s">
        <v>113</v>
      </c>
      <c r="C6784" s="35" t="s">
        <v>521</v>
      </c>
      <c r="D6784" t="s">
        <v>113</v>
      </c>
      <c r="E6784" t="s">
        <v>520</v>
      </c>
      <c r="F6784" s="188" t="n">
        <v>2038</v>
      </c>
      <c r="G6784" s="189" t="n">
        <v>52</v>
      </c>
      <c r="H6784" s="190" t="n">
        <v>11469.8166199805</v>
      </c>
      <c r="I6784" s="191" t="n">
        <v>4003310.45539837</v>
      </c>
      <c r="J6784" s="192" t="str">
        <f>IF(I6784&gt;0,H6784/I6784,0)</f>
      </c>
      <c r="K6784" s="193" t="str">
        <f>1-EXP(-J6784)</f>
      </c>
      <c r="L6784" s="194" t="str">
        <f>IF(G6784=30,1,M6783)</f>
      </c>
      <c r="M6784" s="195" t="str">
        <f>L6784*(1-K6784)</f>
      </c>
    </row>
    <row r="6785">
      <c r="A6785" t="s">
        <v>167</v>
      </c>
      <c r="B6785" t="s">
        <v>113</v>
      </c>
      <c r="C6785" s="35" t="s">
        <v>521</v>
      </c>
      <c r="D6785" t="s">
        <v>113</v>
      </c>
      <c r="E6785" t="s">
        <v>520</v>
      </c>
      <c r="F6785" s="188" t="n">
        <v>2038</v>
      </c>
      <c r="G6785" s="189" t="n">
        <v>53</v>
      </c>
      <c r="H6785" s="190" t="n">
        <v>12653.8419707196</v>
      </c>
      <c r="I6785" s="191" t="n">
        <v>4046049.16657191</v>
      </c>
      <c r="J6785" s="192" t="str">
        <f>IF(I6785&gt;0,H6785/I6785,0)</f>
      </c>
      <c r="K6785" s="193" t="str">
        <f>1-EXP(-J6785)</f>
      </c>
      <c r="L6785" s="194" t="str">
        <f>IF(G6785=30,1,M6784)</f>
      </c>
      <c r="M6785" s="195" t="str">
        <f>L6785*(1-K6785)</f>
      </c>
    </row>
    <row r="6786">
      <c r="A6786" t="s">
        <v>167</v>
      </c>
      <c r="B6786" t="s">
        <v>113</v>
      </c>
      <c r="C6786" s="35" t="s">
        <v>521</v>
      </c>
      <c r="D6786" t="s">
        <v>113</v>
      </c>
      <c r="E6786" t="s">
        <v>520</v>
      </c>
      <c r="F6786" s="188" t="n">
        <v>2038</v>
      </c>
      <c r="G6786" s="189" t="n">
        <v>54</v>
      </c>
      <c r="H6786" s="190" t="n">
        <v>14022.834974631</v>
      </c>
      <c r="I6786" s="191" t="n">
        <v>4111102.59305467</v>
      </c>
      <c r="J6786" s="192" t="str">
        <f>IF(I6786&gt;0,H6786/I6786,0)</f>
      </c>
      <c r="K6786" s="193" t="str">
        <f>1-EXP(-J6786)</f>
      </c>
      <c r="L6786" s="194" t="str">
        <f>IF(G6786=30,1,M6785)</f>
      </c>
      <c r="M6786" s="195" t="str">
        <f>L6786*(1-K6786)</f>
      </c>
    </row>
    <row r="6787">
      <c r="A6787" t="s">
        <v>167</v>
      </c>
      <c r="B6787" t="s">
        <v>113</v>
      </c>
      <c r="C6787" s="35" t="s">
        <v>521</v>
      </c>
      <c r="D6787" t="s">
        <v>113</v>
      </c>
      <c r="E6787" t="s">
        <v>520</v>
      </c>
      <c r="F6787" s="188" t="n">
        <v>2038</v>
      </c>
      <c r="G6787" s="189" t="n">
        <v>55</v>
      </c>
      <c r="H6787" s="190" t="n">
        <v>15073.1236534546</v>
      </c>
      <c r="I6787" s="191" t="n">
        <v>4070382.46434357</v>
      </c>
      <c r="J6787" s="192" t="str">
        <f>IF(I6787&gt;0,H6787/I6787,0)</f>
      </c>
      <c r="K6787" s="193" t="str">
        <f>1-EXP(-J6787)</f>
      </c>
      <c r="L6787" s="194" t="str">
        <f>IF(G6787=30,1,M6786)</f>
      </c>
      <c r="M6787" s="195" t="str">
        <f>L6787*(1-K6787)</f>
      </c>
    </row>
    <row r="6788">
      <c r="A6788" t="s">
        <v>167</v>
      </c>
      <c r="B6788" t="s">
        <v>113</v>
      </c>
      <c r="C6788" s="35" t="s">
        <v>521</v>
      </c>
      <c r="D6788" t="s">
        <v>113</v>
      </c>
      <c r="E6788" t="s">
        <v>520</v>
      </c>
      <c r="F6788" s="188" t="n">
        <v>2038</v>
      </c>
      <c r="G6788" s="189" t="n">
        <v>56</v>
      </c>
      <c r="H6788" s="190" t="n">
        <v>15848.7824807581</v>
      </c>
      <c r="I6788" s="191" t="n">
        <v>3921444.83464497</v>
      </c>
      <c r="J6788" s="192" t="str">
        <f>IF(I6788&gt;0,H6788/I6788,0)</f>
      </c>
      <c r="K6788" s="193" t="str">
        <f>1-EXP(-J6788)</f>
      </c>
      <c r="L6788" s="194" t="str">
        <f>IF(G6788=30,1,M6787)</f>
      </c>
      <c r="M6788" s="195" t="str">
        <f>L6788*(1-K6788)</f>
      </c>
    </row>
    <row r="6789">
      <c r="A6789" t="s">
        <v>167</v>
      </c>
      <c r="B6789" t="s">
        <v>113</v>
      </c>
      <c r="C6789" s="35" t="s">
        <v>521</v>
      </c>
      <c r="D6789" t="s">
        <v>113</v>
      </c>
      <c r="E6789" t="s">
        <v>520</v>
      </c>
      <c r="F6789" s="188" t="n">
        <v>2038</v>
      </c>
      <c r="G6789" s="189" t="n">
        <v>57</v>
      </c>
      <c r="H6789" s="190" t="n">
        <v>16899.015376434</v>
      </c>
      <c r="I6789" s="191" t="n">
        <v>3831369.85003973</v>
      </c>
      <c r="J6789" s="192" t="str">
        <f>IF(I6789&gt;0,H6789/I6789,0)</f>
      </c>
      <c r="K6789" s="193" t="str">
        <f>1-EXP(-J6789)</f>
      </c>
      <c r="L6789" s="194" t="str">
        <f>IF(G6789=30,1,M6788)</f>
      </c>
      <c r="M6789" s="195" t="str">
        <f>L6789*(1-K6789)</f>
      </c>
    </row>
    <row r="6790">
      <c r="A6790" t="s">
        <v>167</v>
      </c>
      <c r="B6790" t="s">
        <v>113</v>
      </c>
      <c r="C6790" s="35" t="s">
        <v>521</v>
      </c>
      <c r="D6790" t="s">
        <v>113</v>
      </c>
      <c r="E6790" t="s">
        <v>520</v>
      </c>
      <c r="F6790" s="188" t="n">
        <v>2038</v>
      </c>
      <c r="G6790" s="189" t="n">
        <v>58</v>
      </c>
      <c r="H6790" s="190" t="n">
        <v>18095.7097669488</v>
      </c>
      <c r="I6790" s="191" t="n">
        <v>3755208.40908831</v>
      </c>
      <c r="J6790" s="192" t="str">
        <f>IF(I6790&gt;0,H6790/I6790,0)</f>
      </c>
      <c r="K6790" s="193" t="str">
        <f>1-EXP(-J6790)</f>
      </c>
      <c r="L6790" s="194" t="str">
        <f>IF(G6790=30,1,M6789)</f>
      </c>
      <c r="M6790" s="195" t="str">
        <f>L6790*(1-K6790)</f>
      </c>
    </row>
    <row r="6791">
      <c r="A6791" t="s">
        <v>167</v>
      </c>
      <c r="B6791" t="s">
        <v>113</v>
      </c>
      <c r="C6791" s="35" t="s">
        <v>521</v>
      </c>
      <c r="D6791" t="s">
        <v>113</v>
      </c>
      <c r="E6791" t="s">
        <v>520</v>
      </c>
      <c r="F6791" s="188" t="n">
        <v>2038</v>
      </c>
      <c r="G6791" s="189" t="n">
        <v>59</v>
      </c>
      <c r="H6791" s="190" t="n">
        <v>19356.6525993016</v>
      </c>
      <c r="I6791" s="191" t="n">
        <v>3672768.37775637</v>
      </c>
      <c r="J6791" s="192" t="str">
        <f>IF(I6791&gt;0,H6791/I6791,0)</f>
      </c>
      <c r="K6791" s="193" t="str">
        <f>1-EXP(-J6791)</f>
      </c>
      <c r="L6791" s="194" t="str">
        <f>IF(G6791=30,1,M6790)</f>
      </c>
      <c r="M6791" s="195" t="str">
        <f>L6791*(1-K6791)</f>
      </c>
    </row>
    <row r="6792">
      <c r="A6792" t="s">
        <v>167</v>
      </c>
      <c r="B6792" t="s">
        <v>113</v>
      </c>
      <c r="C6792" s="35" t="s">
        <v>521</v>
      </c>
      <c r="D6792" t="s">
        <v>113</v>
      </c>
      <c r="E6792" t="s">
        <v>520</v>
      </c>
      <c r="F6792" s="188" t="n">
        <v>2038</v>
      </c>
      <c r="G6792" s="189" t="n">
        <v>60</v>
      </c>
      <c r="H6792" s="190" t="n">
        <v>20624.9195711035</v>
      </c>
      <c r="I6792" s="191" t="n">
        <v>3571099.78735294</v>
      </c>
      <c r="J6792" s="192" t="str">
        <f>IF(I6792&gt;0,H6792/I6792,0)</f>
      </c>
      <c r="K6792" s="193" t="str">
        <f>1-EXP(-J6792)</f>
      </c>
      <c r="L6792" s="194" t="str">
        <f>IF(G6792=30,1,M6791)</f>
      </c>
      <c r="M6792" s="195" t="str">
        <f>L6792*(1-K6792)</f>
      </c>
    </row>
    <row r="6793">
      <c r="A6793" t="s">
        <v>167</v>
      </c>
      <c r="B6793" t="s">
        <v>113</v>
      </c>
      <c r="C6793" s="35" t="s">
        <v>521</v>
      </c>
      <c r="D6793" t="s">
        <v>113</v>
      </c>
      <c r="E6793" t="s">
        <v>520</v>
      </c>
      <c r="F6793" s="188" t="n">
        <v>2038</v>
      </c>
      <c r="G6793" s="189" t="n">
        <v>61</v>
      </c>
      <c r="H6793" s="190" t="n">
        <v>22061.3679709191</v>
      </c>
      <c r="I6793" s="191" t="n">
        <v>3483368.73278787</v>
      </c>
      <c r="J6793" s="192" t="str">
        <f>IF(I6793&gt;0,H6793/I6793,0)</f>
      </c>
      <c r="K6793" s="193" t="str">
        <f>1-EXP(-J6793)</f>
      </c>
      <c r="L6793" s="194" t="str">
        <f>IF(G6793=30,1,M6792)</f>
      </c>
      <c r="M6793" s="195" t="str">
        <f>L6793*(1-K6793)</f>
      </c>
    </row>
    <row r="6794">
      <c r="A6794" t="s">
        <v>167</v>
      </c>
      <c r="B6794" t="s">
        <v>113</v>
      </c>
      <c r="C6794" s="35" t="s">
        <v>521</v>
      </c>
      <c r="D6794" t="s">
        <v>113</v>
      </c>
      <c r="E6794" t="s">
        <v>520</v>
      </c>
      <c r="F6794" s="188" t="n">
        <v>2038</v>
      </c>
      <c r="G6794" s="189" t="n">
        <v>62</v>
      </c>
      <c r="H6794" s="190" t="n">
        <v>23480.806229939</v>
      </c>
      <c r="I6794" s="191" t="n">
        <v>3384039.3979623</v>
      </c>
      <c r="J6794" s="192" t="str">
        <f>IF(I6794&gt;0,H6794/I6794,0)</f>
      </c>
      <c r="K6794" s="193" t="str">
        <f>1-EXP(-J6794)</f>
      </c>
      <c r="L6794" s="194" t="str">
        <f>IF(G6794=30,1,M6793)</f>
      </c>
      <c r="M6794" s="195" t="str">
        <f>L6794*(1-K6794)</f>
      </c>
    </row>
    <row r="6795">
      <c r="A6795" t="s">
        <v>167</v>
      </c>
      <c r="B6795" t="s">
        <v>113</v>
      </c>
      <c r="C6795" s="35" t="s">
        <v>521</v>
      </c>
      <c r="D6795" t="s">
        <v>113</v>
      </c>
      <c r="E6795" t="s">
        <v>520</v>
      </c>
      <c r="F6795" s="188" t="n">
        <v>2038</v>
      </c>
      <c r="G6795" s="189" t="n">
        <v>63</v>
      </c>
      <c r="H6795" s="190" t="n">
        <v>24959.4161988147</v>
      </c>
      <c r="I6795" s="191" t="n">
        <v>3282756.56602043</v>
      </c>
      <c r="J6795" s="192" t="str">
        <f>IF(I6795&gt;0,H6795/I6795,0)</f>
      </c>
      <c r="K6795" s="193" t="str">
        <f>1-EXP(-J6795)</f>
      </c>
      <c r="L6795" s="194" t="str">
        <f>IF(G6795=30,1,M6794)</f>
      </c>
      <c r="M6795" s="195" t="str">
        <f>L6795*(1-K6795)</f>
      </c>
    </row>
    <row r="6796">
      <c r="A6796" t="s">
        <v>167</v>
      </c>
      <c r="B6796" t="s">
        <v>113</v>
      </c>
      <c r="C6796" s="35" t="s">
        <v>521</v>
      </c>
      <c r="D6796" t="s">
        <v>113</v>
      </c>
      <c r="E6796" t="s">
        <v>520</v>
      </c>
      <c r="F6796" s="188" t="n">
        <v>2038</v>
      </c>
      <c r="G6796" s="189" t="n">
        <v>64</v>
      </c>
      <c r="H6796" s="190" t="n">
        <v>26292.9394706154</v>
      </c>
      <c r="I6796" s="191" t="n">
        <v>3155607.79526381</v>
      </c>
      <c r="J6796" s="192" t="str">
        <f>IF(I6796&gt;0,H6796/I6796,0)</f>
      </c>
      <c r="K6796" s="193" t="str">
        <f>1-EXP(-J6796)</f>
      </c>
      <c r="L6796" s="194" t="str">
        <f>IF(G6796=30,1,M6795)</f>
      </c>
      <c r="M6796" s="195" t="str">
        <f>L6796*(1-K6796)</f>
      </c>
    </row>
    <row r="6797">
      <c r="A6797" t="s">
        <v>167</v>
      </c>
      <c r="B6797" t="s">
        <v>113</v>
      </c>
      <c r="C6797" s="35" t="s">
        <v>521</v>
      </c>
      <c r="D6797" t="s">
        <v>113</v>
      </c>
      <c r="E6797" t="s">
        <v>520</v>
      </c>
      <c r="F6797" s="188" t="n">
        <v>2038</v>
      </c>
      <c r="G6797" s="189" t="n">
        <v>65</v>
      </c>
      <c r="H6797" s="190" t="n">
        <v>27037.9779781264</v>
      </c>
      <c r="I6797" s="191" t="n">
        <v>3080566.03583216</v>
      </c>
      <c r="J6797" s="192" t="str">
        <f>IF(I6797&gt;0,H6797/I6797,0)</f>
      </c>
      <c r="K6797" s="193" t="str">
        <f>1-EXP(-J6797)</f>
      </c>
      <c r="L6797" s="194" t="str">
        <f>IF(G6797=30,1,M6796)</f>
      </c>
      <c r="M6797" s="195" t="str">
        <f>L6797*(1-K6797)</f>
      </c>
    </row>
    <row r="6798">
      <c r="A6798" t="s">
        <v>167</v>
      </c>
      <c r="B6798" t="s">
        <v>113</v>
      </c>
      <c r="C6798" s="35" t="s">
        <v>521</v>
      </c>
      <c r="D6798" t="s">
        <v>113</v>
      </c>
      <c r="E6798" t="s">
        <v>520</v>
      </c>
      <c r="F6798" s="188" t="n">
        <v>2038</v>
      </c>
      <c r="G6798" s="189" t="n">
        <v>66</v>
      </c>
      <c r="H6798" s="190" t="n">
        <v>27574.6284086862</v>
      </c>
      <c r="I6798" s="191" t="n">
        <v>2861132.50819796</v>
      </c>
      <c r="J6798" s="192" t="str">
        <f>IF(I6798&gt;0,H6798/I6798,0)</f>
      </c>
      <c r="K6798" s="193" t="str">
        <f>1-EXP(-J6798)</f>
      </c>
      <c r="L6798" s="194" t="str">
        <f>IF(G6798=30,1,M6797)</f>
      </c>
      <c r="M6798" s="195" t="str">
        <f>L6798*(1-K6798)</f>
      </c>
    </row>
    <row r="6799">
      <c r="A6799" t="s">
        <v>167</v>
      </c>
      <c r="B6799" t="s">
        <v>113</v>
      </c>
      <c r="C6799" s="35" t="s">
        <v>521</v>
      </c>
      <c r="D6799" t="s">
        <v>113</v>
      </c>
      <c r="E6799" t="s">
        <v>520</v>
      </c>
      <c r="F6799" s="188" t="n">
        <v>2038</v>
      </c>
      <c r="G6799" s="189" t="n">
        <v>67</v>
      </c>
      <c r="H6799" s="190" t="n">
        <v>29056.2940227423</v>
      </c>
      <c r="I6799" s="191" t="n">
        <v>2747437.52261609</v>
      </c>
      <c r="J6799" s="192" t="str">
        <f>IF(I6799&gt;0,H6799/I6799,0)</f>
      </c>
      <c r="K6799" s="193" t="str">
        <f>1-EXP(-J6799)</f>
      </c>
      <c r="L6799" s="194" t="str">
        <f>IF(G6799=30,1,M6798)</f>
      </c>
      <c r="M6799" s="195" t="str">
        <f>L6799*(1-K6799)</f>
      </c>
    </row>
    <row r="6800">
      <c r="A6800" t="s">
        <v>167</v>
      </c>
      <c r="B6800" t="s">
        <v>113</v>
      </c>
      <c r="C6800" s="35" t="s">
        <v>521</v>
      </c>
      <c r="D6800" t="s">
        <v>113</v>
      </c>
      <c r="E6800" t="s">
        <v>520</v>
      </c>
      <c r="F6800" s="188" t="n">
        <v>2038</v>
      </c>
      <c r="G6800" s="189" t="n">
        <v>68</v>
      </c>
      <c r="H6800" s="190" t="n">
        <v>30617.5439432817</v>
      </c>
      <c r="I6800" s="191" t="n">
        <v>2636380.55842018</v>
      </c>
      <c r="J6800" s="192" t="str">
        <f>IF(I6800&gt;0,H6800/I6800,0)</f>
      </c>
      <c r="K6800" s="193" t="str">
        <f>1-EXP(-J6800)</f>
      </c>
      <c r="L6800" s="194" t="str">
        <f>IF(G6800=30,1,M6799)</f>
      </c>
      <c r="M6800" s="195" t="str">
        <f>L6800*(1-K6800)</f>
      </c>
    </row>
    <row r="6801">
      <c r="A6801" t="s">
        <v>167</v>
      </c>
      <c r="B6801" t="s">
        <v>113</v>
      </c>
      <c r="C6801" s="35" t="s">
        <v>521</v>
      </c>
      <c r="D6801" t="s">
        <v>113</v>
      </c>
      <c r="E6801" t="s">
        <v>520</v>
      </c>
      <c r="F6801" s="188" t="n">
        <v>2038</v>
      </c>
      <c r="G6801" s="189" t="n">
        <v>69</v>
      </c>
      <c r="H6801" s="190" t="n">
        <v>32119.6883146377</v>
      </c>
      <c r="I6801" s="191" t="n">
        <v>2516525.53749147</v>
      </c>
      <c r="J6801" s="192" t="str">
        <f>IF(I6801&gt;0,H6801/I6801,0)</f>
      </c>
      <c r="K6801" s="193" t="str">
        <f>1-EXP(-J6801)</f>
      </c>
      <c r="L6801" s="194" t="str">
        <f>IF(G6801=30,1,M6800)</f>
      </c>
      <c r="M6801" s="195" t="str">
        <f>L6801*(1-K6801)</f>
      </c>
    </row>
    <row r="6802">
      <c r="A6802" t="s">
        <v>167</v>
      </c>
      <c r="B6802" t="s">
        <v>113</v>
      </c>
      <c r="C6802" s="35" t="s">
        <v>521</v>
      </c>
      <c r="D6802" t="s">
        <v>113</v>
      </c>
      <c r="E6802" t="s">
        <v>520</v>
      </c>
      <c r="F6802" s="188" t="n">
        <v>2039</v>
      </c>
      <c r="G6802" s="189" t="n">
        <v>30</v>
      </c>
      <c r="H6802" s="190" t="n">
        <v>787.120460165612</v>
      </c>
      <c r="I6802" s="191" t="n">
        <v>4690492.19261041</v>
      </c>
      <c r="J6802" s="192" t="str">
        <f>IF(I6802&gt;0,H6802/I6802,0)</f>
      </c>
      <c r="K6802" s="193" t="str">
        <f>1-EXP(-J6802)</f>
      </c>
      <c r="L6802" s="194" t="str">
        <f>IF(G6802=30,1,M6801)</f>
      </c>
      <c r="M6802" s="195" t="str">
        <f>L6802*(1-K6802)</f>
      </c>
    </row>
    <row r="6803">
      <c r="A6803" t="s">
        <v>167</v>
      </c>
      <c r="B6803" t="s">
        <v>113</v>
      </c>
      <c r="C6803" s="35" t="s">
        <v>521</v>
      </c>
      <c r="D6803" t="s">
        <v>113</v>
      </c>
      <c r="E6803" t="s">
        <v>520</v>
      </c>
      <c r="F6803" s="188" t="n">
        <v>2039</v>
      </c>
      <c r="G6803" s="189" t="n">
        <v>31</v>
      </c>
      <c r="H6803" s="190" t="n">
        <v>1005.06550804694</v>
      </c>
      <c r="I6803" s="191" t="n">
        <v>4647833.72776423</v>
      </c>
      <c r="J6803" s="192" t="str">
        <f>IF(I6803&gt;0,H6803/I6803,0)</f>
      </c>
      <c r="K6803" s="193" t="str">
        <f>1-EXP(-J6803)</f>
      </c>
      <c r="L6803" s="194" t="str">
        <f>IF(G6803=30,1,M6802)</f>
      </c>
      <c r="M6803" s="195" t="str">
        <f>L6803*(1-K6803)</f>
      </c>
    </row>
    <row r="6804">
      <c r="A6804" t="s">
        <v>167</v>
      </c>
      <c r="B6804" t="s">
        <v>113</v>
      </c>
      <c r="C6804" s="35" t="s">
        <v>521</v>
      </c>
      <c r="D6804" t="s">
        <v>113</v>
      </c>
      <c r="E6804" t="s">
        <v>520</v>
      </c>
      <c r="F6804" s="188" t="n">
        <v>2039</v>
      </c>
      <c r="G6804" s="189" t="n">
        <v>32</v>
      </c>
      <c r="H6804" s="190" t="n">
        <v>1115.06370867544</v>
      </c>
      <c r="I6804" s="191" t="n">
        <v>4674174.10659043</v>
      </c>
      <c r="J6804" s="192" t="str">
        <f>IF(I6804&gt;0,H6804/I6804,0)</f>
      </c>
      <c r="K6804" s="193" t="str">
        <f>1-EXP(-J6804)</f>
      </c>
      <c r="L6804" s="194" t="str">
        <f>IF(G6804=30,1,M6803)</f>
      </c>
      <c r="M6804" s="195" t="str">
        <f>L6804*(1-K6804)</f>
      </c>
    </row>
    <row r="6805">
      <c r="A6805" t="s">
        <v>167</v>
      </c>
      <c r="B6805" t="s">
        <v>113</v>
      </c>
      <c r="C6805" s="35" t="s">
        <v>521</v>
      </c>
      <c r="D6805" t="s">
        <v>113</v>
      </c>
      <c r="E6805" t="s">
        <v>520</v>
      </c>
      <c r="F6805" s="188" t="n">
        <v>2039</v>
      </c>
      <c r="G6805" s="189" t="n">
        <v>33</v>
      </c>
      <c r="H6805" s="190" t="n">
        <v>1159.38206812644</v>
      </c>
      <c r="I6805" s="191" t="n">
        <v>4591175.28575082</v>
      </c>
      <c r="J6805" s="192" t="str">
        <f>IF(I6805&gt;0,H6805/I6805,0)</f>
      </c>
      <c r="K6805" s="193" t="str">
        <f>1-EXP(-J6805)</f>
      </c>
      <c r="L6805" s="194" t="str">
        <f>IF(G6805=30,1,M6804)</f>
      </c>
      <c r="M6805" s="195" t="str">
        <f>L6805*(1-K6805)</f>
      </c>
    </row>
    <row r="6806">
      <c r="A6806" t="s">
        <v>167</v>
      </c>
      <c r="B6806" t="s">
        <v>113</v>
      </c>
      <c r="C6806" s="35" t="s">
        <v>521</v>
      </c>
      <c r="D6806" t="s">
        <v>113</v>
      </c>
      <c r="E6806" t="s">
        <v>520</v>
      </c>
      <c r="F6806" s="188" t="n">
        <v>2039</v>
      </c>
      <c r="G6806" s="189" t="n">
        <v>34</v>
      </c>
      <c r="H6806" s="190" t="n">
        <v>1218.53234103652</v>
      </c>
      <c r="I6806" s="191" t="n">
        <v>4530006.10505327</v>
      </c>
      <c r="J6806" s="192" t="str">
        <f>IF(I6806&gt;0,H6806/I6806,0)</f>
      </c>
      <c r="K6806" s="193" t="str">
        <f>1-EXP(-J6806)</f>
      </c>
      <c r="L6806" s="194" t="str">
        <f>IF(G6806=30,1,M6805)</f>
      </c>
      <c r="M6806" s="195" t="str">
        <f>L6806*(1-K6806)</f>
      </c>
    </row>
    <row r="6807">
      <c r="A6807" t="s">
        <v>167</v>
      </c>
      <c r="B6807" t="s">
        <v>113</v>
      </c>
      <c r="C6807" s="35" t="s">
        <v>521</v>
      </c>
      <c r="D6807" t="s">
        <v>113</v>
      </c>
      <c r="E6807" t="s">
        <v>520</v>
      </c>
      <c r="F6807" s="188" t="n">
        <v>2039</v>
      </c>
      <c r="G6807" s="189" t="n">
        <v>35</v>
      </c>
      <c r="H6807" s="190" t="n">
        <v>1582.43026588701</v>
      </c>
      <c r="I6807" s="191" t="n">
        <v>4401188.04681337</v>
      </c>
      <c r="J6807" s="192" t="str">
        <f>IF(I6807&gt;0,H6807/I6807,0)</f>
      </c>
      <c r="K6807" s="193" t="str">
        <f>1-EXP(-J6807)</f>
      </c>
      <c r="L6807" s="194" t="str">
        <f>IF(G6807=30,1,M6806)</f>
      </c>
      <c r="M6807" s="195" t="str">
        <f>L6807*(1-K6807)</f>
      </c>
    </row>
    <row r="6808">
      <c r="A6808" t="s">
        <v>167</v>
      </c>
      <c r="B6808" t="s">
        <v>113</v>
      </c>
      <c r="C6808" s="35" t="s">
        <v>521</v>
      </c>
      <c r="D6808" t="s">
        <v>113</v>
      </c>
      <c r="E6808" t="s">
        <v>520</v>
      </c>
      <c r="F6808" s="188" t="n">
        <v>2039</v>
      </c>
      <c r="G6808" s="189" t="n">
        <v>36</v>
      </c>
      <c r="H6808" s="190" t="n">
        <v>1808.95499314805</v>
      </c>
      <c r="I6808" s="191" t="n">
        <v>4334793.95043713</v>
      </c>
      <c r="J6808" s="192" t="str">
        <f>IF(I6808&gt;0,H6808/I6808,0)</f>
      </c>
      <c r="K6808" s="193" t="str">
        <f>1-EXP(-J6808)</f>
      </c>
      <c r="L6808" s="194" t="str">
        <f>IF(G6808=30,1,M6807)</f>
      </c>
      <c r="M6808" s="195" t="str">
        <f>L6808*(1-K6808)</f>
      </c>
    </row>
    <row r="6809">
      <c r="A6809" t="s">
        <v>167</v>
      </c>
      <c r="B6809" t="s">
        <v>113</v>
      </c>
      <c r="C6809" s="35" t="s">
        <v>521</v>
      </c>
      <c r="D6809" t="s">
        <v>113</v>
      </c>
      <c r="E6809" t="s">
        <v>520</v>
      </c>
      <c r="F6809" s="188" t="n">
        <v>2039</v>
      </c>
      <c r="G6809" s="189" t="n">
        <v>37</v>
      </c>
      <c r="H6809" s="190" t="n">
        <v>2082.50531928019</v>
      </c>
      <c r="I6809" s="191" t="n">
        <v>4311595.5162286</v>
      </c>
      <c r="J6809" s="192" t="str">
        <f>IF(I6809&gt;0,H6809/I6809,0)</f>
      </c>
      <c r="K6809" s="193" t="str">
        <f>1-EXP(-J6809)</f>
      </c>
      <c r="L6809" s="194" t="str">
        <f>IF(G6809=30,1,M6808)</f>
      </c>
      <c r="M6809" s="195" t="str">
        <f>L6809*(1-K6809)</f>
      </c>
    </row>
    <row r="6810">
      <c r="A6810" t="s">
        <v>167</v>
      </c>
      <c r="B6810" t="s">
        <v>113</v>
      </c>
      <c r="C6810" s="35" t="s">
        <v>521</v>
      </c>
      <c r="D6810" t="s">
        <v>113</v>
      </c>
      <c r="E6810" t="s">
        <v>520</v>
      </c>
      <c r="F6810" s="188" t="n">
        <v>2039</v>
      </c>
      <c r="G6810" s="189" t="n">
        <v>38</v>
      </c>
      <c r="H6810" s="190" t="n">
        <v>2231.28324570503</v>
      </c>
      <c r="I6810" s="191" t="n">
        <v>4290050.06409182</v>
      </c>
      <c r="J6810" s="192" t="str">
        <f>IF(I6810&gt;0,H6810/I6810,0)</f>
      </c>
      <c r="K6810" s="193" t="str">
        <f>1-EXP(-J6810)</f>
      </c>
      <c r="L6810" s="194" t="str">
        <f>IF(G6810=30,1,M6809)</f>
      </c>
      <c r="M6810" s="195" t="str">
        <f>L6810*(1-K6810)</f>
      </c>
    </row>
    <row r="6811">
      <c r="A6811" t="s">
        <v>167</v>
      </c>
      <c r="B6811" t="s">
        <v>113</v>
      </c>
      <c r="C6811" s="35" t="s">
        <v>521</v>
      </c>
      <c r="D6811" t="s">
        <v>113</v>
      </c>
      <c r="E6811" t="s">
        <v>520</v>
      </c>
      <c r="F6811" s="188" t="n">
        <v>2039</v>
      </c>
      <c r="G6811" s="189" t="n">
        <v>39</v>
      </c>
      <c r="H6811" s="190" t="n">
        <v>2396.74886169287</v>
      </c>
      <c r="I6811" s="191" t="n">
        <v>4267960.75536282</v>
      </c>
      <c r="J6811" s="192" t="str">
        <f>IF(I6811&gt;0,H6811/I6811,0)</f>
      </c>
      <c r="K6811" s="193" t="str">
        <f>1-EXP(-J6811)</f>
      </c>
      <c r="L6811" s="194" t="str">
        <f>IF(G6811=30,1,M6810)</f>
      </c>
      <c r="M6811" s="195" t="str">
        <f>L6811*(1-K6811)</f>
      </c>
    </row>
    <row r="6812">
      <c r="A6812" t="s">
        <v>167</v>
      </c>
      <c r="B6812" t="s">
        <v>113</v>
      </c>
      <c r="C6812" s="35" t="s">
        <v>521</v>
      </c>
      <c r="D6812" t="s">
        <v>113</v>
      </c>
      <c r="E6812" t="s">
        <v>520</v>
      </c>
      <c r="F6812" s="188" t="n">
        <v>2039</v>
      </c>
      <c r="G6812" s="189" t="n">
        <v>40</v>
      </c>
      <c r="H6812" s="190" t="n">
        <v>3231.89920903624</v>
      </c>
      <c r="I6812" s="191" t="n">
        <v>4284880.08182475</v>
      </c>
      <c r="J6812" s="192" t="str">
        <f>IF(I6812&gt;0,H6812/I6812,0)</f>
      </c>
      <c r="K6812" s="193" t="str">
        <f>1-EXP(-J6812)</f>
      </c>
      <c r="L6812" s="194" t="str">
        <f>IF(G6812=30,1,M6811)</f>
      </c>
      <c r="M6812" s="195" t="str">
        <f>L6812*(1-K6812)</f>
      </c>
    </row>
    <row r="6813">
      <c r="A6813" t="s">
        <v>167</v>
      </c>
      <c r="B6813" t="s">
        <v>113</v>
      </c>
      <c r="C6813" s="35" t="s">
        <v>521</v>
      </c>
      <c r="D6813" t="s">
        <v>113</v>
      </c>
      <c r="E6813" t="s">
        <v>520</v>
      </c>
      <c r="F6813" s="188" t="n">
        <v>2039</v>
      </c>
      <c r="G6813" s="189" t="n">
        <v>41</v>
      </c>
      <c r="H6813" s="190" t="n">
        <v>3623.34573804066</v>
      </c>
      <c r="I6813" s="191" t="n">
        <v>4339418.4134297</v>
      </c>
      <c r="J6813" s="192" t="str">
        <f>IF(I6813&gt;0,H6813/I6813,0)</f>
      </c>
      <c r="K6813" s="193" t="str">
        <f>1-EXP(-J6813)</f>
      </c>
      <c r="L6813" s="194" t="str">
        <f>IF(G6813=30,1,M6812)</f>
      </c>
      <c r="M6813" s="195" t="str">
        <f>L6813*(1-K6813)</f>
      </c>
    </row>
    <row r="6814">
      <c r="A6814" t="s">
        <v>167</v>
      </c>
      <c r="B6814" t="s">
        <v>113</v>
      </c>
      <c r="C6814" s="35" t="s">
        <v>521</v>
      </c>
      <c r="D6814" t="s">
        <v>113</v>
      </c>
      <c r="E6814" t="s">
        <v>520</v>
      </c>
      <c r="F6814" s="188" t="n">
        <v>2039</v>
      </c>
      <c r="G6814" s="189" t="n">
        <v>42</v>
      </c>
      <c r="H6814" s="190" t="n">
        <v>4257.50597635007</v>
      </c>
      <c r="I6814" s="191" t="n">
        <v>4471067.06587827</v>
      </c>
      <c r="J6814" s="192" t="str">
        <f>IF(I6814&gt;0,H6814/I6814,0)</f>
      </c>
      <c r="K6814" s="193" t="str">
        <f>1-EXP(-J6814)</f>
      </c>
      <c r="L6814" s="194" t="str">
        <f>IF(G6814=30,1,M6813)</f>
      </c>
      <c r="M6814" s="195" t="str">
        <f>L6814*(1-K6814)</f>
      </c>
    </row>
    <row r="6815">
      <c r="A6815" t="s">
        <v>167</v>
      </c>
      <c r="B6815" t="s">
        <v>113</v>
      </c>
      <c r="C6815" s="35" t="s">
        <v>521</v>
      </c>
      <c r="D6815" t="s">
        <v>113</v>
      </c>
      <c r="E6815" t="s">
        <v>520</v>
      </c>
      <c r="F6815" s="188" t="n">
        <v>2039</v>
      </c>
      <c r="G6815" s="189" t="n">
        <v>43</v>
      </c>
      <c r="H6815" s="190" t="n">
        <v>4572.56722454842</v>
      </c>
      <c r="I6815" s="191" t="n">
        <v>4423492.22512542</v>
      </c>
      <c r="J6815" s="192" t="str">
        <f>IF(I6815&gt;0,H6815/I6815,0)</f>
      </c>
      <c r="K6815" s="193" t="str">
        <f>1-EXP(-J6815)</f>
      </c>
      <c r="L6815" s="194" t="str">
        <f>IF(G6815=30,1,M6814)</f>
      </c>
      <c r="M6815" s="195" t="str">
        <f>L6815*(1-K6815)</f>
      </c>
    </row>
    <row r="6816">
      <c r="A6816" t="s">
        <v>167</v>
      </c>
      <c r="B6816" t="s">
        <v>113</v>
      </c>
      <c r="C6816" s="35" t="s">
        <v>521</v>
      </c>
      <c r="D6816" t="s">
        <v>113</v>
      </c>
      <c r="E6816" t="s">
        <v>520</v>
      </c>
      <c r="F6816" s="188" t="n">
        <v>2039</v>
      </c>
      <c r="G6816" s="189" t="n">
        <v>44</v>
      </c>
      <c r="H6816" s="190" t="n">
        <v>4889.67259727123</v>
      </c>
      <c r="I6816" s="191" t="n">
        <v>4345767.91907819</v>
      </c>
      <c r="J6816" s="192" t="str">
        <f>IF(I6816&gt;0,H6816/I6816,0)</f>
      </c>
      <c r="K6816" s="193" t="str">
        <f>1-EXP(-J6816)</f>
      </c>
      <c r="L6816" s="194" t="str">
        <f>IF(G6816=30,1,M6815)</f>
      </c>
      <c r="M6816" s="195" t="str">
        <f>L6816*(1-K6816)</f>
      </c>
    </row>
    <row r="6817">
      <c r="A6817" t="s">
        <v>167</v>
      </c>
      <c r="B6817" t="s">
        <v>113</v>
      </c>
      <c r="C6817" s="35" t="s">
        <v>521</v>
      </c>
      <c r="D6817" t="s">
        <v>113</v>
      </c>
      <c r="E6817" t="s">
        <v>520</v>
      </c>
      <c r="F6817" s="188" t="n">
        <v>2039</v>
      </c>
      <c r="G6817" s="189" t="n">
        <v>45</v>
      </c>
      <c r="H6817" s="190" t="n">
        <v>6184.35331547889</v>
      </c>
      <c r="I6817" s="191" t="n">
        <v>4282980.87188368</v>
      </c>
      <c r="J6817" s="192" t="str">
        <f>IF(I6817&gt;0,H6817/I6817,0)</f>
      </c>
      <c r="K6817" s="193" t="str">
        <f>1-EXP(-J6817)</f>
      </c>
      <c r="L6817" s="194" t="str">
        <f>IF(G6817=30,1,M6816)</f>
      </c>
      <c r="M6817" s="195" t="str">
        <f>L6817*(1-K6817)</f>
      </c>
    </row>
    <row r="6818">
      <c r="A6818" t="s">
        <v>167</v>
      </c>
      <c r="B6818" t="s">
        <v>113</v>
      </c>
      <c r="C6818" s="35" t="s">
        <v>521</v>
      </c>
      <c r="D6818" t="s">
        <v>113</v>
      </c>
      <c r="E6818" t="s">
        <v>520</v>
      </c>
      <c r="F6818" s="188" t="n">
        <v>2039</v>
      </c>
      <c r="G6818" s="189" t="n">
        <v>46</v>
      </c>
      <c r="H6818" s="190" t="n">
        <v>6664.41923502577</v>
      </c>
      <c r="I6818" s="191" t="n">
        <v>4222152.01834306</v>
      </c>
      <c r="J6818" s="192" t="str">
        <f>IF(I6818&gt;0,H6818/I6818,0)</f>
      </c>
      <c r="K6818" s="193" t="str">
        <f>1-EXP(-J6818)</f>
      </c>
      <c r="L6818" s="194" t="str">
        <f>IF(G6818=30,1,M6817)</f>
      </c>
      <c r="M6818" s="195" t="str">
        <f>L6818*(1-K6818)</f>
      </c>
    </row>
    <row r="6819">
      <c r="A6819" t="s">
        <v>167</v>
      </c>
      <c r="B6819" t="s">
        <v>113</v>
      </c>
      <c r="C6819" s="35" t="s">
        <v>521</v>
      </c>
      <c r="D6819" t="s">
        <v>113</v>
      </c>
      <c r="E6819" t="s">
        <v>520</v>
      </c>
      <c r="F6819" s="188" t="n">
        <v>2039</v>
      </c>
      <c r="G6819" s="189" t="n">
        <v>47</v>
      </c>
      <c r="H6819" s="190" t="n">
        <v>7335.25138446508</v>
      </c>
      <c r="I6819" s="191" t="n">
        <v>4250750.68786266</v>
      </c>
      <c r="J6819" s="192" t="str">
        <f>IF(I6819&gt;0,H6819/I6819,0)</f>
      </c>
      <c r="K6819" s="193" t="str">
        <f>1-EXP(-J6819)</f>
      </c>
      <c r="L6819" s="194" t="str">
        <f>IF(G6819=30,1,M6818)</f>
      </c>
      <c r="M6819" s="195" t="str">
        <f>L6819*(1-K6819)</f>
      </c>
    </row>
    <row r="6820">
      <c r="A6820" t="s">
        <v>167</v>
      </c>
      <c r="B6820" t="s">
        <v>113</v>
      </c>
      <c r="C6820" s="35" t="s">
        <v>521</v>
      </c>
      <c r="D6820" t="s">
        <v>113</v>
      </c>
      <c r="E6820" t="s">
        <v>520</v>
      </c>
      <c r="F6820" s="188" t="n">
        <v>2039</v>
      </c>
      <c r="G6820" s="189" t="n">
        <v>48</v>
      </c>
      <c r="H6820" s="190" t="n">
        <v>8051.09102224396</v>
      </c>
      <c r="I6820" s="191" t="n">
        <v>4258997.23169957</v>
      </c>
      <c r="J6820" s="192" t="str">
        <f>IF(I6820&gt;0,H6820/I6820,0)</f>
      </c>
      <c r="K6820" s="193" t="str">
        <f>1-EXP(-J6820)</f>
      </c>
      <c r="L6820" s="194" t="str">
        <f>IF(G6820=30,1,M6819)</f>
      </c>
      <c r="M6820" s="195" t="str">
        <f>L6820*(1-K6820)</f>
      </c>
    </row>
    <row r="6821">
      <c r="A6821" t="s">
        <v>167</v>
      </c>
      <c r="B6821" t="s">
        <v>113</v>
      </c>
      <c r="C6821" s="35" t="s">
        <v>521</v>
      </c>
      <c r="D6821" t="s">
        <v>113</v>
      </c>
      <c r="E6821" t="s">
        <v>520</v>
      </c>
      <c r="F6821" s="188" t="n">
        <v>2039</v>
      </c>
      <c r="G6821" s="189" t="n">
        <v>49</v>
      </c>
      <c r="H6821" s="190" t="n">
        <v>11885.4353705468</v>
      </c>
      <c r="I6821" s="191" t="n">
        <v>6265448.70255709</v>
      </c>
      <c r="J6821" s="192" t="str">
        <f>IF(I6821&gt;0,H6821/I6821,0)</f>
      </c>
      <c r="K6821" s="193" t="str">
        <f>1-EXP(-J6821)</f>
      </c>
      <c r="L6821" s="194" t="str">
        <f>IF(G6821=30,1,M6820)</f>
      </c>
      <c r="M6821" s="195" t="str">
        <f>L6821*(1-K6821)</f>
      </c>
    </row>
    <row r="6822">
      <c r="A6822" t="s">
        <v>167</v>
      </c>
      <c r="B6822" t="s">
        <v>113</v>
      </c>
      <c r="C6822" s="35" t="s">
        <v>521</v>
      </c>
      <c r="D6822" t="s">
        <v>113</v>
      </c>
      <c r="E6822" t="s">
        <v>520</v>
      </c>
      <c r="F6822" s="188" t="n">
        <v>2039</v>
      </c>
      <c r="G6822" s="189" t="n">
        <v>50</v>
      </c>
      <c r="H6822" s="190" t="n">
        <v>9998.97976182667</v>
      </c>
      <c r="I6822" s="191" t="n">
        <v>4197006.29895948</v>
      </c>
      <c r="J6822" s="192" t="str">
        <f>IF(I6822&gt;0,H6822/I6822,0)</f>
      </c>
      <c r="K6822" s="193" t="str">
        <f>1-EXP(-J6822)</f>
      </c>
      <c r="L6822" s="194" t="str">
        <f>IF(G6822=30,1,M6821)</f>
      </c>
      <c r="M6822" s="195" t="str">
        <f>L6822*(1-K6822)</f>
      </c>
    </row>
    <row r="6823">
      <c r="A6823" t="s">
        <v>167</v>
      </c>
      <c r="B6823" t="s">
        <v>113</v>
      </c>
      <c r="C6823" s="35" t="s">
        <v>521</v>
      </c>
      <c r="D6823" t="s">
        <v>113</v>
      </c>
      <c r="E6823" t="s">
        <v>520</v>
      </c>
      <c r="F6823" s="188" t="n">
        <v>2039</v>
      </c>
      <c r="G6823" s="189" t="n">
        <v>51</v>
      </c>
      <c r="H6823" s="190" t="n">
        <v>10860.6154105012</v>
      </c>
      <c r="I6823" s="191" t="n">
        <v>4167472.44172932</v>
      </c>
      <c r="J6823" s="192" t="str">
        <f>IF(I6823&gt;0,H6823/I6823,0)</f>
      </c>
      <c r="K6823" s="193" t="str">
        <f>1-EXP(-J6823)</f>
      </c>
      <c r="L6823" s="194" t="str">
        <f>IF(G6823=30,1,M6822)</f>
      </c>
      <c r="M6823" s="195" t="str">
        <f>L6823*(1-K6823)</f>
      </c>
    </row>
    <row r="6824">
      <c r="A6824" t="s">
        <v>167</v>
      </c>
      <c r="B6824" t="s">
        <v>113</v>
      </c>
      <c r="C6824" s="35" t="s">
        <v>521</v>
      </c>
      <c r="D6824" t="s">
        <v>113</v>
      </c>
      <c r="E6824" t="s">
        <v>520</v>
      </c>
      <c r="F6824" s="188" t="n">
        <v>2039</v>
      </c>
      <c r="G6824" s="189" t="n">
        <v>52</v>
      </c>
      <c r="H6824" s="190" t="n">
        <v>11468.7786644474</v>
      </c>
      <c r="I6824" s="191" t="n">
        <v>4026242.12653055</v>
      </c>
      <c r="J6824" s="192" t="str">
        <f>IF(I6824&gt;0,H6824/I6824,0)</f>
      </c>
      <c r="K6824" s="193" t="str">
        <f>1-EXP(-J6824)</f>
      </c>
      <c r="L6824" s="194" t="str">
        <f>IF(G6824=30,1,M6823)</f>
      </c>
      <c r="M6824" s="195" t="str">
        <f>L6824*(1-K6824)</f>
      </c>
    </row>
    <row r="6825">
      <c r="A6825" t="s">
        <v>167</v>
      </c>
      <c r="B6825" t="s">
        <v>113</v>
      </c>
      <c r="C6825" s="35" t="s">
        <v>521</v>
      </c>
      <c r="D6825" t="s">
        <v>113</v>
      </c>
      <c r="E6825" t="s">
        <v>520</v>
      </c>
      <c r="F6825" s="188" t="n">
        <v>2039</v>
      </c>
      <c r="G6825" s="189" t="n">
        <v>53</v>
      </c>
      <c r="H6825" s="190" t="n">
        <v>12365.7042315829</v>
      </c>
      <c r="I6825" s="191" t="n">
        <v>3978222.10922993</v>
      </c>
      <c r="J6825" s="192" t="str">
        <f>IF(I6825&gt;0,H6825/I6825,0)</f>
      </c>
      <c r="K6825" s="193" t="str">
        <f>1-EXP(-J6825)</f>
      </c>
      <c r="L6825" s="194" t="str">
        <f>IF(G6825=30,1,M6824)</f>
      </c>
      <c r="M6825" s="195" t="str">
        <f>L6825*(1-K6825)</f>
      </c>
    </row>
    <row r="6826">
      <c r="A6826" t="s">
        <v>167</v>
      </c>
      <c r="B6826" t="s">
        <v>113</v>
      </c>
      <c r="C6826" s="35" t="s">
        <v>521</v>
      </c>
      <c r="D6826" t="s">
        <v>113</v>
      </c>
      <c r="E6826" t="s">
        <v>520</v>
      </c>
      <c r="F6826" s="188" t="n">
        <v>2039</v>
      </c>
      <c r="G6826" s="189" t="n">
        <v>54</v>
      </c>
      <c r="H6826" s="190" t="n">
        <v>13621.0428785518</v>
      </c>
      <c r="I6826" s="191" t="n">
        <v>4018367.63837857</v>
      </c>
      <c r="J6826" s="192" t="str">
        <f>IF(I6826&gt;0,H6826/I6826,0)</f>
      </c>
      <c r="K6826" s="193" t="str">
        <f>1-EXP(-J6826)</f>
      </c>
      <c r="L6826" s="194" t="str">
        <f>IF(G6826=30,1,M6825)</f>
      </c>
      <c r="M6826" s="195" t="str">
        <f>L6826*(1-K6826)</f>
      </c>
    </row>
    <row r="6827">
      <c r="A6827" t="s">
        <v>167</v>
      </c>
      <c r="B6827" t="s">
        <v>113</v>
      </c>
      <c r="C6827" s="35" t="s">
        <v>521</v>
      </c>
      <c r="D6827" t="s">
        <v>113</v>
      </c>
      <c r="E6827" t="s">
        <v>520</v>
      </c>
      <c r="F6827" s="188" t="n">
        <v>2039</v>
      </c>
      <c r="G6827" s="189" t="n">
        <v>55</v>
      </c>
      <c r="H6827" s="190" t="n">
        <v>14987.8151181471</v>
      </c>
      <c r="I6827" s="191" t="n">
        <v>4080424.69216688</v>
      </c>
      <c r="J6827" s="192" t="str">
        <f>IF(I6827&gt;0,H6827/I6827,0)</f>
      </c>
      <c r="K6827" s="193" t="str">
        <f>1-EXP(-J6827)</f>
      </c>
      <c r="L6827" s="194" t="str">
        <f>IF(G6827=30,1,M6826)</f>
      </c>
      <c r="M6827" s="195" t="str">
        <f>L6827*(1-K6827)</f>
      </c>
    </row>
    <row r="6828">
      <c r="A6828" t="s">
        <v>167</v>
      </c>
      <c r="B6828" t="s">
        <v>113</v>
      </c>
      <c r="C6828" s="35" t="s">
        <v>521</v>
      </c>
      <c r="D6828" t="s">
        <v>113</v>
      </c>
      <c r="E6828" t="s">
        <v>520</v>
      </c>
      <c r="F6828" s="188" t="n">
        <v>2039</v>
      </c>
      <c r="G6828" s="189" t="n">
        <v>56</v>
      </c>
      <c r="H6828" s="190" t="n">
        <v>16165.0721165315</v>
      </c>
      <c r="I6828" s="191" t="n">
        <v>4037018.47297291</v>
      </c>
      <c r="J6828" s="192" t="str">
        <f>IF(I6828&gt;0,H6828/I6828,0)</f>
      </c>
      <c r="K6828" s="193" t="str">
        <f>1-EXP(-J6828)</f>
      </c>
      <c r="L6828" s="194" t="str">
        <f>IF(G6828=30,1,M6827)</f>
      </c>
      <c r="M6828" s="195" t="str">
        <f>L6828*(1-K6828)</f>
      </c>
    </row>
    <row r="6829">
      <c r="A6829" t="s">
        <v>167</v>
      </c>
      <c r="B6829" t="s">
        <v>113</v>
      </c>
      <c r="C6829" s="35" t="s">
        <v>521</v>
      </c>
      <c r="D6829" t="s">
        <v>113</v>
      </c>
      <c r="E6829" t="s">
        <v>520</v>
      </c>
      <c r="F6829" s="188" t="n">
        <v>2039</v>
      </c>
      <c r="G6829" s="189" t="n">
        <v>57</v>
      </c>
      <c r="H6829" s="190" t="n">
        <v>16997.1497871554</v>
      </c>
      <c r="I6829" s="191" t="n">
        <v>3886614.70055799</v>
      </c>
      <c r="J6829" s="192" t="str">
        <f>IF(I6829&gt;0,H6829/I6829,0)</f>
      </c>
      <c r="K6829" s="193" t="str">
        <f>1-EXP(-J6829)</f>
      </c>
      <c r="L6829" s="194" t="str">
        <f>IF(G6829=30,1,M6828)</f>
      </c>
      <c r="M6829" s="195" t="str">
        <f>L6829*(1-K6829)</f>
      </c>
    </row>
    <row r="6830">
      <c r="A6830" t="s">
        <v>167</v>
      </c>
      <c r="B6830" t="s">
        <v>113</v>
      </c>
      <c r="C6830" s="35" t="s">
        <v>521</v>
      </c>
      <c r="D6830" t="s">
        <v>113</v>
      </c>
      <c r="E6830" t="s">
        <v>520</v>
      </c>
      <c r="F6830" s="188" t="n">
        <v>2039</v>
      </c>
      <c r="G6830" s="189" t="n">
        <v>58</v>
      </c>
      <c r="H6830" s="190" t="n">
        <v>18126.5572430505</v>
      </c>
      <c r="I6830" s="191" t="n">
        <v>3794251.14104816</v>
      </c>
      <c r="J6830" s="192" t="str">
        <f>IF(I6830&gt;0,H6830/I6830,0)</f>
      </c>
      <c r="K6830" s="193" t="str">
        <f>1-EXP(-J6830)</f>
      </c>
      <c r="L6830" s="194" t="str">
        <f>IF(G6830=30,1,M6829)</f>
      </c>
      <c r="M6830" s="195" t="str">
        <f>L6830*(1-K6830)</f>
      </c>
    </row>
    <row r="6831">
      <c r="A6831" t="s">
        <v>167</v>
      </c>
      <c r="B6831" t="s">
        <v>113</v>
      </c>
      <c r="C6831" s="35" t="s">
        <v>521</v>
      </c>
      <c r="D6831" t="s">
        <v>113</v>
      </c>
      <c r="E6831" t="s">
        <v>520</v>
      </c>
      <c r="F6831" s="188" t="n">
        <v>2039</v>
      </c>
      <c r="G6831" s="189" t="n">
        <v>59</v>
      </c>
      <c r="H6831" s="190" t="n">
        <v>19413.1570805619</v>
      </c>
      <c r="I6831" s="191" t="n">
        <v>3715485.92000567</v>
      </c>
      <c r="J6831" s="192" t="str">
        <f>IF(I6831&gt;0,H6831/I6831,0)</f>
      </c>
      <c r="K6831" s="193" t="str">
        <f>1-EXP(-J6831)</f>
      </c>
      <c r="L6831" s="194" t="str">
        <f>IF(G6831=30,1,M6830)</f>
      </c>
      <c r="M6831" s="195" t="str">
        <f>L6831*(1-K6831)</f>
      </c>
    </row>
    <row r="6832">
      <c r="A6832" t="s">
        <v>167</v>
      </c>
      <c r="B6832" t="s">
        <v>113</v>
      </c>
      <c r="C6832" s="35" t="s">
        <v>521</v>
      </c>
      <c r="D6832" t="s">
        <v>113</v>
      </c>
      <c r="E6832" t="s">
        <v>520</v>
      </c>
      <c r="F6832" s="188" t="n">
        <v>2039</v>
      </c>
      <c r="G6832" s="189" t="n">
        <v>60</v>
      </c>
      <c r="H6832" s="190" t="n">
        <v>20746.2951243058</v>
      </c>
      <c r="I6832" s="191" t="n">
        <v>3630303.81524242</v>
      </c>
      <c r="J6832" s="192" t="str">
        <f>IF(I6832&gt;0,H6832/I6832,0)</f>
      </c>
      <c r="K6832" s="193" t="str">
        <f>1-EXP(-J6832)</f>
      </c>
      <c r="L6832" s="194" t="str">
        <f>IF(G6832=30,1,M6831)</f>
      </c>
      <c r="M6832" s="195" t="str">
        <f>L6832*(1-K6832)</f>
      </c>
    </row>
    <row r="6833">
      <c r="A6833" t="s">
        <v>167</v>
      </c>
      <c r="B6833" t="s">
        <v>113</v>
      </c>
      <c r="C6833" s="35" t="s">
        <v>521</v>
      </c>
      <c r="D6833" t="s">
        <v>113</v>
      </c>
      <c r="E6833" t="s">
        <v>520</v>
      </c>
      <c r="F6833" s="188" t="n">
        <v>2039</v>
      </c>
      <c r="G6833" s="189" t="n">
        <v>61</v>
      </c>
      <c r="H6833" s="190" t="n">
        <v>22073.1528546161</v>
      </c>
      <c r="I6833" s="191" t="n">
        <v>3525613.29002712</v>
      </c>
      <c r="J6833" s="192" t="str">
        <f>IF(I6833&gt;0,H6833/I6833,0)</f>
      </c>
      <c r="K6833" s="193" t="str">
        <f>1-EXP(-J6833)</f>
      </c>
      <c r="L6833" s="194" t="str">
        <f>IF(G6833=30,1,M6832)</f>
      </c>
      <c r="M6833" s="195" t="str">
        <f>L6833*(1-K6833)</f>
      </c>
    </row>
    <row r="6834">
      <c r="A6834" t="s">
        <v>167</v>
      </c>
      <c r="B6834" t="s">
        <v>113</v>
      </c>
      <c r="C6834" s="35" t="s">
        <v>521</v>
      </c>
      <c r="D6834" t="s">
        <v>113</v>
      </c>
      <c r="E6834" t="s">
        <v>520</v>
      </c>
      <c r="F6834" s="188" t="n">
        <v>2039</v>
      </c>
      <c r="G6834" s="189" t="n">
        <v>62</v>
      </c>
      <c r="H6834" s="190" t="n">
        <v>23597.0968450749</v>
      </c>
      <c r="I6834" s="191" t="n">
        <v>3435035.17626601</v>
      </c>
      <c r="J6834" s="192" t="str">
        <f>IF(I6834&gt;0,H6834/I6834,0)</f>
      </c>
      <c r="K6834" s="193" t="str">
        <f>1-EXP(-J6834)</f>
      </c>
      <c r="L6834" s="194" t="str">
        <f>IF(G6834=30,1,M6833)</f>
      </c>
      <c r="M6834" s="195" t="str">
        <f>L6834*(1-K6834)</f>
      </c>
    </row>
    <row r="6835">
      <c r="A6835" t="s">
        <v>167</v>
      </c>
      <c r="B6835" t="s">
        <v>113</v>
      </c>
      <c r="C6835" s="35" t="s">
        <v>521</v>
      </c>
      <c r="D6835" t="s">
        <v>113</v>
      </c>
      <c r="E6835" t="s">
        <v>520</v>
      </c>
      <c r="F6835" s="188" t="n">
        <v>2039</v>
      </c>
      <c r="G6835" s="189" t="n">
        <v>63</v>
      </c>
      <c r="H6835" s="190" t="n">
        <v>25090.452377104</v>
      </c>
      <c r="I6835" s="191" t="n">
        <v>3332610.39876435</v>
      </c>
      <c r="J6835" s="192" t="str">
        <f>IF(I6835&gt;0,H6835/I6835,0)</f>
      </c>
      <c r="K6835" s="193" t="str">
        <f>1-EXP(-J6835)</f>
      </c>
      <c r="L6835" s="194" t="str">
        <f>IF(G6835=30,1,M6834)</f>
      </c>
      <c r="M6835" s="195" t="str">
        <f>L6835*(1-K6835)</f>
      </c>
    </row>
    <row r="6836">
      <c r="A6836" t="s">
        <v>167</v>
      </c>
      <c r="B6836" t="s">
        <v>113</v>
      </c>
      <c r="C6836" s="35" t="s">
        <v>521</v>
      </c>
      <c r="D6836" t="s">
        <v>113</v>
      </c>
      <c r="E6836" t="s">
        <v>520</v>
      </c>
      <c r="F6836" s="188" t="n">
        <v>2039</v>
      </c>
      <c r="G6836" s="189" t="n">
        <v>64</v>
      </c>
      <c r="H6836" s="190" t="n">
        <v>26635.266996799</v>
      </c>
      <c r="I6836" s="191" t="n">
        <v>3228099.37702942</v>
      </c>
      <c r="J6836" s="192" t="str">
        <f>IF(I6836&gt;0,H6836/I6836,0)</f>
      </c>
      <c r="K6836" s="193" t="str">
        <f>1-EXP(-J6836)</f>
      </c>
      <c r="L6836" s="194" t="str">
        <f>IF(G6836=30,1,M6835)</f>
      </c>
      <c r="M6836" s="195" t="str">
        <f>L6836*(1-K6836)</f>
      </c>
    </row>
    <row r="6837">
      <c r="A6837" t="s">
        <v>167</v>
      </c>
      <c r="B6837" t="s">
        <v>113</v>
      </c>
      <c r="C6837" s="35" t="s">
        <v>521</v>
      </c>
      <c r="D6837" t="s">
        <v>113</v>
      </c>
      <c r="E6837" t="s">
        <v>520</v>
      </c>
      <c r="F6837" s="188" t="n">
        <v>2039</v>
      </c>
      <c r="G6837" s="189" t="n">
        <v>65</v>
      </c>
      <c r="H6837" s="190" t="n">
        <v>26895.4676795224</v>
      </c>
      <c r="I6837" s="191" t="n">
        <v>3098038.03006571</v>
      </c>
      <c r="J6837" s="192" t="str">
        <f>IF(I6837&gt;0,H6837/I6837,0)</f>
      </c>
      <c r="K6837" s="193" t="str">
        <f>1-EXP(-J6837)</f>
      </c>
      <c r="L6837" s="194" t="str">
        <f>IF(G6837=30,1,M6836)</f>
      </c>
      <c r="M6837" s="195" t="str">
        <f>L6837*(1-K6837)</f>
      </c>
    </row>
    <row r="6838">
      <c r="A6838" t="s">
        <v>167</v>
      </c>
      <c r="B6838" t="s">
        <v>113</v>
      </c>
      <c r="C6838" s="35" t="s">
        <v>521</v>
      </c>
      <c r="D6838" t="s">
        <v>113</v>
      </c>
      <c r="E6838" t="s">
        <v>520</v>
      </c>
      <c r="F6838" s="188" t="n">
        <v>2039</v>
      </c>
      <c r="G6838" s="189" t="n">
        <v>66</v>
      </c>
      <c r="H6838" s="190" t="n">
        <v>28755.4831593473</v>
      </c>
      <c r="I6838" s="191" t="n">
        <v>3019497.82229789</v>
      </c>
      <c r="J6838" s="192" t="str">
        <f>IF(I6838&gt;0,H6838/I6838,0)</f>
      </c>
      <c r="K6838" s="193" t="str">
        <f>1-EXP(-J6838)</f>
      </c>
      <c r="L6838" s="194" t="str">
        <f>IF(G6838=30,1,M6837)</f>
      </c>
      <c r="M6838" s="195" t="str">
        <f>L6838*(1-K6838)</f>
      </c>
    </row>
    <row r="6839">
      <c r="A6839" t="s">
        <v>167</v>
      </c>
      <c r="B6839" t="s">
        <v>113</v>
      </c>
      <c r="C6839" s="35" t="s">
        <v>521</v>
      </c>
      <c r="D6839" t="s">
        <v>113</v>
      </c>
      <c r="E6839" t="s">
        <v>520</v>
      </c>
      <c r="F6839" s="188" t="n">
        <v>2039</v>
      </c>
      <c r="G6839" s="189" t="n">
        <v>67</v>
      </c>
      <c r="H6839" s="190" t="n">
        <v>29275.8778479433</v>
      </c>
      <c r="I6839" s="191" t="n">
        <v>2798400.52683236</v>
      </c>
      <c r="J6839" s="192" t="str">
        <f>IF(I6839&gt;0,H6839/I6839,0)</f>
      </c>
      <c r="K6839" s="193" t="str">
        <f>1-EXP(-J6839)</f>
      </c>
      <c r="L6839" s="194" t="str">
        <f>IF(G6839=30,1,M6838)</f>
      </c>
      <c r="M6839" s="195" t="str">
        <f>L6839*(1-K6839)</f>
      </c>
    </row>
    <row r="6840">
      <c r="A6840" t="s">
        <v>167</v>
      </c>
      <c r="B6840" t="s">
        <v>113</v>
      </c>
      <c r="C6840" s="35" t="s">
        <v>521</v>
      </c>
      <c r="D6840" t="s">
        <v>113</v>
      </c>
      <c r="E6840" t="s">
        <v>520</v>
      </c>
      <c r="F6840" s="188" t="n">
        <v>2039</v>
      </c>
      <c r="G6840" s="189" t="n">
        <v>68</v>
      </c>
      <c r="H6840" s="190" t="n">
        <v>30804.6518120941</v>
      </c>
      <c r="I6840" s="191" t="n">
        <v>2681386.71987023</v>
      </c>
      <c r="J6840" s="192" t="str">
        <f>IF(I6840&gt;0,H6840/I6840,0)</f>
      </c>
      <c r="K6840" s="193" t="str">
        <f>1-EXP(-J6840)</f>
      </c>
      <c r="L6840" s="194" t="str">
        <f>IF(G6840=30,1,M6839)</f>
      </c>
      <c r="M6840" s="195" t="str">
        <f>L6840*(1-K6840)</f>
      </c>
    </row>
    <row r="6841">
      <c r="A6841" t="s">
        <v>167</v>
      </c>
      <c r="B6841" t="s">
        <v>113</v>
      </c>
      <c r="C6841" s="35" t="s">
        <v>521</v>
      </c>
      <c r="D6841" t="s">
        <v>113</v>
      </c>
      <c r="E6841" t="s">
        <v>520</v>
      </c>
      <c r="F6841" s="188" t="n">
        <v>2039</v>
      </c>
      <c r="G6841" s="189" t="n">
        <v>69</v>
      </c>
      <c r="H6841" s="190" t="n">
        <v>32412.4713113829</v>
      </c>
      <c r="I6841" s="191" t="n">
        <v>2566846.43356641</v>
      </c>
      <c r="J6841" s="192" t="str">
        <f>IF(I6841&gt;0,H6841/I6841,0)</f>
      </c>
      <c r="K6841" s="193" t="str">
        <f>1-EXP(-J6841)</f>
      </c>
      <c r="L6841" s="194" t="str">
        <f>IF(G6841=30,1,M6840)</f>
      </c>
      <c r="M6841" s="195" t="str">
        <f>L6841*(1-K6841)</f>
      </c>
    </row>
    <row r="6842">
      <c r="A6842" t="s">
        <v>167</v>
      </c>
      <c r="B6842" t="s">
        <v>113</v>
      </c>
      <c r="C6842" s="35" t="s">
        <v>521</v>
      </c>
      <c r="D6842" t="s">
        <v>113</v>
      </c>
      <c r="E6842" t="s">
        <v>520</v>
      </c>
      <c r="F6842" s="188" t="n">
        <v>2040</v>
      </c>
      <c r="G6842" s="189" t="n">
        <v>30</v>
      </c>
      <c r="H6842" s="190" t="n">
        <v>801.292198015372</v>
      </c>
      <c r="I6842" s="191" t="n">
        <v>4755770.9886484</v>
      </c>
      <c r="J6842" s="192" t="str">
        <f>IF(I6842&gt;0,H6842/I6842,0)</f>
      </c>
      <c r="K6842" s="193" t="str">
        <f>1-EXP(-J6842)</f>
      </c>
      <c r="L6842" s="194" t="str">
        <f>IF(G6842=30,1,M6841)</f>
      </c>
      <c r="M6842" s="195" t="str">
        <f>L6842*(1-K6842)</f>
      </c>
    </row>
    <row r="6843">
      <c r="A6843" t="s">
        <v>167</v>
      </c>
      <c r="B6843" t="s">
        <v>113</v>
      </c>
      <c r="C6843" s="35" t="s">
        <v>521</v>
      </c>
      <c r="D6843" t="s">
        <v>113</v>
      </c>
      <c r="E6843" t="s">
        <v>520</v>
      </c>
      <c r="F6843" s="188" t="n">
        <v>2040</v>
      </c>
      <c r="G6843" s="189" t="n">
        <v>31</v>
      </c>
      <c r="H6843" s="190" t="n">
        <v>1016.78299740652</v>
      </c>
      <c r="I6843" s="191" t="n">
        <v>4684888.69235014</v>
      </c>
      <c r="J6843" s="192" t="str">
        <f>IF(I6843&gt;0,H6843/I6843,0)</f>
      </c>
      <c r="K6843" s="193" t="str">
        <f>1-EXP(-J6843)</f>
      </c>
      <c r="L6843" s="194" t="str">
        <f>IF(G6843=30,1,M6842)</f>
      </c>
      <c r="M6843" s="195" t="str">
        <f>L6843*(1-K6843)</f>
      </c>
    </row>
    <row r="6844">
      <c r="A6844" t="s">
        <v>167</v>
      </c>
      <c r="B6844" t="s">
        <v>113</v>
      </c>
      <c r="C6844" s="35" t="s">
        <v>521</v>
      </c>
      <c r="D6844" t="s">
        <v>113</v>
      </c>
      <c r="E6844" t="s">
        <v>520</v>
      </c>
      <c r="F6844" s="188" t="n">
        <v>2040</v>
      </c>
      <c r="G6844" s="189" t="n">
        <v>32</v>
      </c>
      <c r="H6844" s="190" t="n">
        <v>1061.29964240548</v>
      </c>
      <c r="I6844" s="191" t="n">
        <v>4642359.19972211</v>
      </c>
      <c r="J6844" s="192" t="str">
        <f>IF(I6844&gt;0,H6844/I6844,0)</f>
      </c>
      <c r="K6844" s="193" t="str">
        <f>1-EXP(-J6844)</f>
      </c>
      <c r="L6844" s="194" t="str">
        <f>IF(G6844=30,1,M6843)</f>
      </c>
      <c r="M6844" s="195" t="str">
        <f>L6844*(1-K6844)</f>
      </c>
    </row>
    <row r="6845">
      <c r="A6845" t="s">
        <v>167</v>
      </c>
      <c r="B6845" t="s">
        <v>113</v>
      </c>
      <c r="C6845" s="35" t="s">
        <v>521</v>
      </c>
      <c r="D6845" t="s">
        <v>113</v>
      </c>
      <c r="E6845" t="s">
        <v>520</v>
      </c>
      <c r="F6845" s="188" t="n">
        <v>2040</v>
      </c>
      <c r="G6845" s="189" t="n">
        <v>33</v>
      </c>
      <c r="H6845" s="190" t="n">
        <v>1182.35017584636</v>
      </c>
      <c r="I6845" s="191" t="n">
        <v>4668387.55153943</v>
      </c>
      <c r="J6845" s="192" t="str">
        <f>IF(I6845&gt;0,H6845/I6845,0)</f>
      </c>
      <c r="K6845" s="193" t="str">
        <f>1-EXP(-J6845)</f>
      </c>
      <c r="L6845" s="194" t="str">
        <f>IF(G6845=30,1,M6844)</f>
      </c>
      <c r="M6845" s="195" t="str">
        <f>L6845*(1-K6845)</f>
      </c>
    </row>
    <row r="6846">
      <c r="A6846" t="s">
        <v>167</v>
      </c>
      <c r="B6846" t="s">
        <v>113</v>
      </c>
      <c r="C6846" s="35" t="s">
        <v>521</v>
      </c>
      <c r="D6846" t="s">
        <v>113</v>
      </c>
      <c r="E6846" t="s">
        <v>520</v>
      </c>
      <c r="F6846" s="188" t="n">
        <v>2040</v>
      </c>
      <c r="G6846" s="189" t="n">
        <v>34</v>
      </c>
      <c r="H6846" s="190" t="n">
        <v>1236.59693628253</v>
      </c>
      <c r="I6846" s="191" t="n">
        <v>4585223.52520881</v>
      </c>
      <c r="J6846" s="192" t="str">
        <f>IF(I6846&gt;0,H6846/I6846,0)</f>
      </c>
      <c r="K6846" s="193" t="str">
        <f>1-EXP(-J6846)</f>
      </c>
      <c r="L6846" s="194" t="str">
        <f>IF(G6846=30,1,M6845)</f>
      </c>
      <c r="M6846" s="195" t="str">
        <f>L6846*(1-K6846)</f>
      </c>
    </row>
    <row r="6847">
      <c r="A6847" t="s">
        <v>167</v>
      </c>
      <c r="B6847" t="s">
        <v>113</v>
      </c>
      <c r="C6847" s="35" t="s">
        <v>521</v>
      </c>
      <c r="D6847" t="s">
        <v>113</v>
      </c>
      <c r="E6847" t="s">
        <v>520</v>
      </c>
      <c r="F6847" s="188" t="n">
        <v>2040</v>
      </c>
      <c r="G6847" s="189" t="n">
        <v>35</v>
      </c>
      <c r="H6847" s="190" t="n">
        <v>1625.39808136698</v>
      </c>
      <c r="I6847" s="191" t="n">
        <v>4523820.41568469</v>
      </c>
      <c r="J6847" s="192" t="str">
        <f>IF(I6847&gt;0,H6847/I6847,0)</f>
      </c>
      <c r="K6847" s="193" t="str">
        <f>1-EXP(-J6847)</f>
      </c>
      <c r="L6847" s="194" t="str">
        <f>IF(G6847=30,1,M6846)</f>
      </c>
      <c r="M6847" s="195" t="str">
        <f>L6847*(1-K6847)</f>
      </c>
    </row>
    <row r="6848">
      <c r="A6848" t="s">
        <v>167</v>
      </c>
      <c r="B6848" t="s">
        <v>113</v>
      </c>
      <c r="C6848" s="35" t="s">
        <v>521</v>
      </c>
      <c r="D6848" t="s">
        <v>113</v>
      </c>
      <c r="E6848" t="s">
        <v>520</v>
      </c>
      <c r="F6848" s="188" t="n">
        <v>2040</v>
      </c>
      <c r="G6848" s="189" t="n">
        <v>36</v>
      </c>
      <c r="H6848" s="190" t="n">
        <v>1831.82077180022</v>
      </c>
      <c r="I6848" s="191" t="n">
        <v>4394472.85655358</v>
      </c>
      <c r="J6848" s="192" t="str">
        <f>IF(I6848&gt;0,H6848/I6848,0)</f>
      </c>
      <c r="K6848" s="193" t="str">
        <f>1-EXP(-J6848)</f>
      </c>
      <c r="L6848" s="194" t="str">
        <f>IF(G6848=30,1,M6847)</f>
      </c>
      <c r="M6848" s="195" t="str">
        <f>L6848*(1-K6848)</f>
      </c>
    </row>
    <row r="6849">
      <c r="A6849" t="s">
        <v>167</v>
      </c>
      <c r="B6849" t="s">
        <v>113</v>
      </c>
      <c r="C6849" s="35" t="s">
        <v>521</v>
      </c>
      <c r="D6849" t="s">
        <v>113</v>
      </c>
      <c r="E6849" t="s">
        <v>520</v>
      </c>
      <c r="F6849" s="188" t="n">
        <v>2040</v>
      </c>
      <c r="G6849" s="189" t="n">
        <v>37</v>
      </c>
      <c r="H6849" s="190" t="n">
        <v>1940.01448437129</v>
      </c>
      <c r="I6849" s="191" t="n">
        <v>4328027.59036455</v>
      </c>
      <c r="J6849" s="192" t="str">
        <f>IF(I6849&gt;0,H6849/I6849,0)</f>
      </c>
      <c r="K6849" s="193" t="str">
        <f>1-EXP(-J6849)</f>
      </c>
      <c r="L6849" s="194" t="str">
        <f>IF(G6849=30,1,M6848)</f>
      </c>
      <c r="M6849" s="195" t="str">
        <f>L6849*(1-K6849)</f>
      </c>
    </row>
    <row r="6850">
      <c r="A6850" t="s">
        <v>167</v>
      </c>
      <c r="B6850" t="s">
        <v>113</v>
      </c>
      <c r="C6850" s="35" t="s">
        <v>521</v>
      </c>
      <c r="D6850" t="s">
        <v>113</v>
      </c>
      <c r="E6850" t="s">
        <v>520</v>
      </c>
      <c r="F6850" s="188" t="n">
        <v>2040</v>
      </c>
      <c r="G6850" s="189" t="n">
        <v>38</v>
      </c>
      <c r="H6850" s="190" t="n">
        <v>2233.24643250757</v>
      </c>
      <c r="I6850" s="191" t="n">
        <v>4304229.39239531</v>
      </c>
      <c r="J6850" s="192" t="str">
        <f>IF(I6850&gt;0,H6850/I6850,0)</f>
      </c>
      <c r="K6850" s="193" t="str">
        <f>1-EXP(-J6850)</f>
      </c>
      <c r="L6850" s="194" t="str">
        <f>IF(G6850=30,1,M6849)</f>
      </c>
      <c r="M6850" s="195" t="str">
        <f>L6850*(1-K6850)</f>
      </c>
    </row>
    <row r="6851">
      <c r="A6851" t="s">
        <v>167</v>
      </c>
      <c r="B6851" t="s">
        <v>113</v>
      </c>
      <c r="C6851" s="35" t="s">
        <v>521</v>
      </c>
      <c r="D6851" t="s">
        <v>113</v>
      </c>
      <c r="E6851" t="s">
        <v>520</v>
      </c>
      <c r="F6851" s="188" t="n">
        <v>2040</v>
      </c>
      <c r="G6851" s="189" t="n">
        <v>39</v>
      </c>
      <c r="H6851" s="190" t="n">
        <v>2397.7408878301</v>
      </c>
      <c r="I6851" s="191" t="n">
        <v>4282190.36243835</v>
      </c>
      <c r="J6851" s="192" t="str">
        <f>IF(I6851&gt;0,H6851/I6851,0)</f>
      </c>
      <c r="K6851" s="193" t="str">
        <f>1-EXP(-J6851)</f>
      </c>
      <c r="L6851" s="194" t="str">
        <f>IF(G6851=30,1,M6850)</f>
      </c>
      <c r="M6851" s="195" t="str">
        <f>L6851*(1-K6851)</f>
      </c>
    </row>
    <row r="6852">
      <c r="A6852" t="s">
        <v>167</v>
      </c>
      <c r="B6852" t="s">
        <v>113</v>
      </c>
      <c r="C6852" s="35" t="s">
        <v>521</v>
      </c>
      <c r="D6852" t="s">
        <v>113</v>
      </c>
      <c r="E6852" t="s">
        <v>520</v>
      </c>
      <c r="F6852" s="188" t="n">
        <v>2040</v>
      </c>
      <c r="G6852" s="189" t="n">
        <v>40</v>
      </c>
      <c r="H6852" s="190" t="n">
        <v>3201.81818321479</v>
      </c>
      <c r="I6852" s="191" t="n">
        <v>4259552.91972513</v>
      </c>
      <c r="J6852" s="192" t="str">
        <f>IF(I6852&gt;0,H6852/I6852,0)</f>
      </c>
      <c r="K6852" s="193" t="str">
        <f>1-EXP(-J6852)</f>
      </c>
      <c r="L6852" s="194" t="str">
        <f>IF(G6852=30,1,M6851)</f>
      </c>
      <c r="M6852" s="195" t="str">
        <f>L6852*(1-K6852)</f>
      </c>
    </row>
    <row r="6853">
      <c r="A6853" t="s">
        <v>167</v>
      </c>
      <c r="B6853" t="s">
        <v>113</v>
      </c>
      <c r="C6853" s="35" t="s">
        <v>521</v>
      </c>
      <c r="D6853" t="s">
        <v>113</v>
      </c>
      <c r="E6853" t="s">
        <v>520</v>
      </c>
      <c r="F6853" s="188" t="n">
        <v>2040</v>
      </c>
      <c r="G6853" s="189" t="n">
        <v>41</v>
      </c>
      <c r="H6853" s="190" t="n">
        <v>3557.26000187018</v>
      </c>
      <c r="I6853" s="191" t="n">
        <v>4275075.35439724</v>
      </c>
      <c r="J6853" s="192" t="str">
        <f>IF(I6853&gt;0,H6853/I6853,0)</f>
      </c>
      <c r="K6853" s="193" t="str">
        <f>1-EXP(-J6853)</f>
      </c>
      <c r="L6853" s="194" t="str">
        <f>IF(G6853=30,1,M6852)</f>
      </c>
      <c r="M6853" s="195" t="str">
        <f>L6853*(1-K6853)</f>
      </c>
    </row>
    <row r="6854">
      <c r="A6854" t="s">
        <v>167</v>
      </c>
      <c r="B6854" t="s">
        <v>113</v>
      </c>
      <c r="C6854" s="35" t="s">
        <v>521</v>
      </c>
      <c r="D6854" t="s">
        <v>113</v>
      </c>
      <c r="E6854" t="s">
        <v>520</v>
      </c>
      <c r="F6854" s="188" t="n">
        <v>2040</v>
      </c>
      <c r="G6854" s="189" t="n">
        <v>42</v>
      </c>
      <c r="H6854" s="190" t="n">
        <v>3908.87514528898</v>
      </c>
      <c r="I6854" s="191" t="n">
        <v>4329378.54987645</v>
      </c>
      <c r="J6854" s="192" t="str">
        <f>IF(I6854&gt;0,H6854/I6854,0)</f>
      </c>
      <c r="K6854" s="193" t="str">
        <f>1-EXP(-J6854)</f>
      </c>
      <c r="L6854" s="194" t="str">
        <f>IF(G6854=30,1,M6853)</f>
      </c>
      <c r="M6854" s="195" t="str">
        <f>L6854*(1-K6854)</f>
      </c>
    </row>
    <row r="6855">
      <c r="A6855" t="s">
        <v>167</v>
      </c>
      <c r="B6855" t="s">
        <v>113</v>
      </c>
      <c r="C6855" s="35" t="s">
        <v>521</v>
      </c>
      <c r="D6855" t="s">
        <v>113</v>
      </c>
      <c r="E6855" t="s">
        <v>520</v>
      </c>
      <c r="F6855" s="188" t="n">
        <v>2040</v>
      </c>
      <c r="G6855" s="189" t="n">
        <v>43</v>
      </c>
      <c r="H6855" s="190" t="n">
        <v>4593.13760032668</v>
      </c>
      <c r="I6855" s="191" t="n">
        <v>4459630.80930939</v>
      </c>
      <c r="J6855" s="192" t="str">
        <f>IF(I6855&gt;0,H6855/I6855,0)</f>
      </c>
      <c r="K6855" s="193" t="str">
        <f>1-EXP(-J6855)</f>
      </c>
      <c r="L6855" s="194" t="str">
        <f>IF(G6855=30,1,M6854)</f>
      </c>
      <c r="M6855" s="195" t="str">
        <f>L6855*(1-K6855)</f>
      </c>
    </row>
    <row r="6856">
      <c r="A6856" t="s">
        <v>167</v>
      </c>
      <c r="B6856" t="s">
        <v>113</v>
      </c>
      <c r="C6856" s="35" t="s">
        <v>521</v>
      </c>
      <c r="D6856" t="s">
        <v>113</v>
      </c>
      <c r="E6856" t="s">
        <v>520</v>
      </c>
      <c r="F6856" s="188" t="n">
        <v>2040</v>
      </c>
      <c r="G6856" s="189" t="n">
        <v>44</v>
      </c>
      <c r="H6856" s="190" t="n">
        <v>4943.24809144279</v>
      </c>
      <c r="I6856" s="191" t="n">
        <v>4411230.18326787</v>
      </c>
      <c r="J6856" s="192" t="str">
        <f>IF(I6856&gt;0,H6856/I6856,0)</f>
      </c>
      <c r="K6856" s="193" t="str">
        <f>1-EXP(-J6856)</f>
      </c>
      <c r="L6856" s="194" t="str">
        <f>IF(G6856=30,1,M6855)</f>
      </c>
      <c r="M6856" s="195" t="str">
        <f>L6856*(1-K6856)</f>
      </c>
    </row>
    <row r="6857">
      <c r="A6857" t="s">
        <v>167</v>
      </c>
      <c r="B6857" t="s">
        <v>113</v>
      </c>
      <c r="C6857" s="35" t="s">
        <v>521</v>
      </c>
      <c r="D6857" t="s">
        <v>113</v>
      </c>
      <c r="E6857" t="s">
        <v>520</v>
      </c>
      <c r="F6857" s="188" t="n">
        <v>2040</v>
      </c>
      <c r="G6857" s="189" t="n">
        <v>45</v>
      </c>
      <c r="H6857" s="190" t="n">
        <v>6225.01971427589</v>
      </c>
      <c r="I6857" s="191" t="n">
        <v>4332677.61030565</v>
      </c>
      <c r="J6857" s="192" t="str">
        <f>IF(I6857&gt;0,H6857/I6857,0)</f>
      </c>
      <c r="K6857" s="193" t="str">
        <f>1-EXP(-J6857)</f>
      </c>
      <c r="L6857" s="194" t="str">
        <f>IF(G6857=30,1,M6856)</f>
      </c>
      <c r="M6857" s="195" t="str">
        <f>L6857*(1-K6857)</f>
      </c>
    </row>
    <row r="6858">
      <c r="A6858" t="s">
        <v>167</v>
      </c>
      <c r="B6858" t="s">
        <v>113</v>
      </c>
      <c r="C6858" s="35" t="s">
        <v>521</v>
      </c>
      <c r="D6858" t="s">
        <v>113</v>
      </c>
      <c r="E6858" t="s">
        <v>520</v>
      </c>
      <c r="F6858" s="188" t="n">
        <v>2040</v>
      </c>
      <c r="G6858" s="189" t="n">
        <v>46</v>
      </c>
      <c r="H6858" s="190" t="n">
        <v>6701.15235913623</v>
      </c>
      <c r="I6858" s="191" t="n">
        <v>4267951.54561707</v>
      </c>
      <c r="J6858" s="192" t="str">
        <f>IF(I6858&gt;0,H6858/I6858,0)</f>
      </c>
      <c r="K6858" s="193" t="str">
        <f>1-EXP(-J6858)</f>
      </c>
      <c r="L6858" s="194" t="str">
        <f>IF(G6858=30,1,M6857)</f>
      </c>
      <c r="M6858" s="195" t="str">
        <f>L6858*(1-K6858)</f>
      </c>
    </row>
    <row r="6859">
      <c r="A6859" t="s">
        <v>167</v>
      </c>
      <c r="B6859" t="s">
        <v>113</v>
      </c>
      <c r="C6859" s="35" t="s">
        <v>521</v>
      </c>
      <c r="D6859" t="s">
        <v>113</v>
      </c>
      <c r="E6859" t="s">
        <v>520</v>
      </c>
      <c r="F6859" s="188" t="n">
        <v>2040</v>
      </c>
      <c r="G6859" s="189" t="n">
        <v>47</v>
      </c>
      <c r="H6859" s="190" t="n">
        <v>7229.72406800898</v>
      </c>
      <c r="I6859" s="191" t="n">
        <v>4206934.42657396</v>
      </c>
      <c r="J6859" s="192" t="str">
        <f>IF(I6859&gt;0,H6859/I6859,0)</f>
      </c>
      <c r="K6859" s="193" t="str">
        <f>1-EXP(-J6859)</f>
      </c>
      <c r="L6859" s="194" t="str">
        <f>IF(G6859=30,1,M6858)</f>
      </c>
      <c r="M6859" s="195" t="str">
        <f>L6859*(1-K6859)</f>
      </c>
    </row>
    <row r="6860">
      <c r="A6860" t="s">
        <v>167</v>
      </c>
      <c r="B6860" t="s">
        <v>113</v>
      </c>
      <c r="C6860" s="35" t="s">
        <v>521</v>
      </c>
      <c r="D6860" t="s">
        <v>113</v>
      </c>
      <c r="E6860" t="s">
        <v>520</v>
      </c>
      <c r="F6860" s="188" t="n">
        <v>2040</v>
      </c>
      <c r="G6860" s="189" t="n">
        <v>48</v>
      </c>
      <c r="H6860" s="190" t="n">
        <v>7960.18850084198</v>
      </c>
      <c r="I6860" s="191" t="n">
        <v>4234013.4555378</v>
      </c>
      <c r="J6860" s="192" t="str">
        <f>IF(I6860&gt;0,H6860/I6860,0)</f>
      </c>
      <c r="K6860" s="193" t="str">
        <f>1-EXP(-J6860)</f>
      </c>
      <c r="L6860" s="194" t="str">
        <f>IF(G6860=30,1,M6859)</f>
      </c>
      <c r="M6860" s="195" t="str">
        <f>L6860*(1-K6860)</f>
      </c>
    </row>
    <row r="6861">
      <c r="A6861" t="s">
        <v>167</v>
      </c>
      <c r="B6861" t="s">
        <v>113</v>
      </c>
      <c r="C6861" s="35" t="s">
        <v>521</v>
      </c>
      <c r="D6861" t="s">
        <v>113</v>
      </c>
      <c r="E6861" t="s">
        <v>520</v>
      </c>
      <c r="F6861" s="188" t="n">
        <v>2040</v>
      </c>
      <c r="G6861" s="189" t="n">
        <v>49</v>
      </c>
      <c r="H6861" s="190" t="n">
        <v>8735.45721445417</v>
      </c>
      <c r="I6861" s="191" t="n">
        <v>4240641.88817402</v>
      </c>
      <c r="J6861" s="192" t="str">
        <f>IF(I6861&gt;0,H6861/I6861,0)</f>
      </c>
      <c r="K6861" s="193" t="str">
        <f>1-EXP(-J6861)</f>
      </c>
      <c r="L6861" s="194" t="str">
        <f>IF(G6861=30,1,M6860)</f>
      </c>
      <c r="M6861" s="195" t="str">
        <f>L6861*(1-K6861)</f>
      </c>
    </row>
    <row r="6862">
      <c r="A6862" t="s">
        <v>167</v>
      </c>
      <c r="B6862" t="s">
        <v>113</v>
      </c>
      <c r="C6862" s="35" t="s">
        <v>521</v>
      </c>
      <c r="D6862" t="s">
        <v>113</v>
      </c>
      <c r="E6862" t="s">
        <v>520</v>
      </c>
      <c r="F6862" s="188" t="n">
        <v>2040</v>
      </c>
      <c r="G6862" s="189" t="n">
        <v>50</v>
      </c>
      <c r="H6862" s="190" t="n">
        <v>13543.754533934</v>
      </c>
      <c r="I6862" s="191" t="n">
        <v>6237690.36155811</v>
      </c>
      <c r="J6862" s="192" t="str">
        <f>IF(I6862&gt;0,H6862/I6862,0)</f>
      </c>
      <c r="K6862" s="193" t="str">
        <f>1-EXP(-J6862)</f>
      </c>
      <c r="L6862" s="194" t="str">
        <f>IF(G6862=30,1,M6861)</f>
      </c>
      <c r="M6862" s="195" t="str">
        <f>L6862*(1-K6862)</f>
      </c>
    </row>
    <row r="6863">
      <c r="A6863" t="s">
        <v>167</v>
      </c>
      <c r="B6863" t="s">
        <v>113</v>
      </c>
      <c r="C6863" s="35" t="s">
        <v>521</v>
      </c>
      <c r="D6863" t="s">
        <v>113</v>
      </c>
      <c r="E6863" t="s">
        <v>520</v>
      </c>
      <c r="F6863" s="188" t="n">
        <v>2040</v>
      </c>
      <c r="G6863" s="189" t="n">
        <v>51</v>
      </c>
      <c r="H6863" s="190" t="n">
        <v>10806.5991097259</v>
      </c>
      <c r="I6863" s="191" t="n">
        <v>4174581.61292821</v>
      </c>
      <c r="J6863" s="192" t="str">
        <f>IF(I6863&gt;0,H6863/I6863,0)</f>
      </c>
      <c r="K6863" s="193" t="str">
        <f>1-EXP(-J6863)</f>
      </c>
      <c r="L6863" s="194" t="str">
        <f>IF(G6863=30,1,M6862)</f>
      </c>
      <c r="M6863" s="195" t="str">
        <f>L6863*(1-K6863)</f>
      </c>
    </row>
    <row r="6864">
      <c r="A6864" t="s">
        <v>167</v>
      </c>
      <c r="B6864" t="s">
        <v>113</v>
      </c>
      <c r="C6864" s="35" t="s">
        <v>521</v>
      </c>
      <c r="D6864" t="s">
        <v>113</v>
      </c>
      <c r="E6864" t="s">
        <v>520</v>
      </c>
      <c r="F6864" s="188" t="n">
        <v>2040</v>
      </c>
      <c r="G6864" s="189" t="n">
        <v>52</v>
      </c>
      <c r="H6864" s="190" t="n">
        <v>11720.9283646401</v>
      </c>
      <c r="I6864" s="191" t="n">
        <v>4143845.13138657</v>
      </c>
      <c r="J6864" s="192" t="str">
        <f>IF(I6864&gt;0,H6864/I6864,0)</f>
      </c>
      <c r="K6864" s="193" t="str">
        <f>1-EXP(-J6864)</f>
      </c>
      <c r="L6864" s="194" t="str">
        <f>IF(G6864=30,1,M6863)</f>
      </c>
      <c r="M6864" s="195" t="str">
        <f>L6864*(1-K6864)</f>
      </c>
    </row>
    <row r="6865">
      <c r="A6865" t="s">
        <v>167</v>
      </c>
      <c r="B6865" t="s">
        <v>113</v>
      </c>
      <c r="C6865" s="35" t="s">
        <v>521</v>
      </c>
      <c r="D6865" t="s">
        <v>113</v>
      </c>
      <c r="E6865" t="s">
        <v>520</v>
      </c>
      <c r="F6865" s="188" t="n">
        <v>2040</v>
      </c>
      <c r="G6865" s="189" t="n">
        <v>53</v>
      </c>
      <c r="H6865" s="190" t="n">
        <v>12355.0830727511</v>
      </c>
      <c r="I6865" s="191" t="n">
        <v>4001290.58179615</v>
      </c>
      <c r="J6865" s="192" t="str">
        <f>IF(I6865&gt;0,H6865/I6865,0)</f>
      </c>
      <c r="K6865" s="193" t="str">
        <f>1-EXP(-J6865)</f>
      </c>
      <c r="L6865" s="194" t="str">
        <f>IF(G6865=30,1,M6864)</f>
      </c>
      <c r="M6865" s="195" t="str">
        <f>L6865*(1-K6865)</f>
      </c>
    </row>
    <row r="6866">
      <c r="A6866" t="s">
        <v>167</v>
      </c>
      <c r="B6866" t="s">
        <v>113</v>
      </c>
      <c r="C6866" s="35" t="s">
        <v>521</v>
      </c>
      <c r="D6866" t="s">
        <v>113</v>
      </c>
      <c r="E6866" t="s">
        <v>520</v>
      </c>
      <c r="F6866" s="188" t="n">
        <v>2040</v>
      </c>
      <c r="G6866" s="189" t="n">
        <v>54</v>
      </c>
      <c r="H6866" s="190" t="n">
        <v>13299.0656580638</v>
      </c>
      <c r="I6866" s="191" t="n">
        <v>3951313.69496824</v>
      </c>
      <c r="J6866" s="192" t="str">
        <f>IF(I6866&gt;0,H6866/I6866,0)</f>
      </c>
      <c r="K6866" s="193" t="str">
        <f>1-EXP(-J6866)</f>
      </c>
      <c r="L6866" s="194" t="str">
        <f>IF(G6866=30,1,M6865)</f>
      </c>
      <c r="M6866" s="195" t="str">
        <f>L6866*(1-K6866)</f>
      </c>
    </row>
    <row r="6867">
      <c r="A6867" t="s">
        <v>167</v>
      </c>
      <c r="B6867" t="s">
        <v>113</v>
      </c>
      <c r="C6867" s="35" t="s">
        <v>521</v>
      </c>
      <c r="D6867" t="s">
        <v>113</v>
      </c>
      <c r="E6867" t="s">
        <v>520</v>
      </c>
      <c r="F6867" s="188" t="n">
        <v>2040</v>
      </c>
      <c r="G6867" s="189" t="n">
        <v>55</v>
      </c>
      <c r="H6867" s="190" t="n">
        <v>14521.1878222338</v>
      </c>
      <c r="I6867" s="191" t="n">
        <v>3988725.36228253</v>
      </c>
      <c r="J6867" s="192" t="str">
        <f>IF(I6867&gt;0,H6867/I6867,0)</f>
      </c>
      <c r="K6867" s="193" t="str">
        <f>1-EXP(-J6867)</f>
      </c>
      <c r="L6867" s="194" t="str">
        <f>IF(G6867=30,1,M6866)</f>
      </c>
      <c r="M6867" s="195" t="str">
        <f>L6867*(1-K6867)</f>
      </c>
    </row>
    <row r="6868">
      <c r="A6868" t="s">
        <v>167</v>
      </c>
      <c r="B6868" t="s">
        <v>113</v>
      </c>
      <c r="C6868" s="35" t="s">
        <v>521</v>
      </c>
      <c r="D6868" t="s">
        <v>113</v>
      </c>
      <c r="E6868" t="s">
        <v>520</v>
      </c>
      <c r="F6868" s="188" t="n">
        <v>2040</v>
      </c>
      <c r="G6868" s="189" t="n">
        <v>56</v>
      </c>
      <c r="H6868" s="190" t="n">
        <v>16059.8791311517</v>
      </c>
      <c r="I6868" s="191" t="n">
        <v>4047392.24214168</v>
      </c>
      <c r="J6868" s="192" t="str">
        <f>IF(I6868&gt;0,H6868/I6868,0)</f>
      </c>
      <c r="K6868" s="193" t="str">
        <f>1-EXP(-J6868)</f>
      </c>
      <c r="L6868" s="194" t="str">
        <f>IF(G6868=30,1,M6867)</f>
      </c>
      <c r="M6868" s="195" t="str">
        <f>L6868*(1-K6868)</f>
      </c>
    </row>
    <row r="6869">
      <c r="A6869" t="s">
        <v>167</v>
      </c>
      <c r="B6869" t="s">
        <v>113</v>
      </c>
      <c r="C6869" s="35" t="s">
        <v>521</v>
      </c>
      <c r="D6869" t="s">
        <v>113</v>
      </c>
      <c r="E6869" t="s">
        <v>520</v>
      </c>
      <c r="F6869" s="188" t="n">
        <v>2040</v>
      </c>
      <c r="G6869" s="189" t="n">
        <v>57</v>
      </c>
      <c r="H6869" s="190" t="n">
        <v>17322.302192597</v>
      </c>
      <c r="I6869" s="191" t="n">
        <v>4001621.10108758</v>
      </c>
      <c r="J6869" s="192" t="str">
        <f>IF(I6869&gt;0,H6869/I6869,0)</f>
      </c>
      <c r="K6869" s="193" t="str">
        <f>1-EXP(-J6869)</f>
      </c>
      <c r="L6869" s="194" t="str">
        <f>IF(G6869=30,1,M6868)</f>
      </c>
      <c r="M6869" s="195" t="str">
        <f>L6869*(1-K6869)</f>
      </c>
    </row>
    <row r="6870">
      <c r="A6870" t="s">
        <v>167</v>
      </c>
      <c r="B6870" t="s">
        <v>113</v>
      </c>
      <c r="C6870" s="35" t="s">
        <v>521</v>
      </c>
      <c r="D6870" t="s">
        <v>113</v>
      </c>
      <c r="E6870" t="s">
        <v>520</v>
      </c>
      <c r="F6870" s="188" t="n">
        <v>2040</v>
      </c>
      <c r="G6870" s="189" t="n">
        <v>58</v>
      </c>
      <c r="H6870" s="190" t="n">
        <v>18219.159403928</v>
      </c>
      <c r="I6870" s="191" t="n">
        <v>3849419.21051477</v>
      </c>
      <c r="J6870" s="192" t="str">
        <f>IF(I6870&gt;0,H6870/I6870,0)</f>
      </c>
      <c r="K6870" s="193" t="str">
        <f>1-EXP(-J6870)</f>
      </c>
      <c r="L6870" s="194" t="str">
        <f>IF(G6870=30,1,M6869)</f>
      </c>
      <c r="M6870" s="195" t="str">
        <f>L6870*(1-K6870)</f>
      </c>
    </row>
    <row r="6871">
      <c r="A6871" t="s">
        <v>167</v>
      </c>
      <c r="B6871" t="s">
        <v>113</v>
      </c>
      <c r="C6871" s="35" t="s">
        <v>521</v>
      </c>
      <c r="D6871" t="s">
        <v>113</v>
      </c>
      <c r="E6871" t="s">
        <v>520</v>
      </c>
      <c r="F6871" s="188" t="n">
        <v>2040</v>
      </c>
      <c r="G6871" s="189" t="n">
        <v>59</v>
      </c>
      <c r="H6871" s="190" t="n">
        <v>19434.7172453519</v>
      </c>
      <c r="I6871" s="191" t="n">
        <v>3754610.41232545</v>
      </c>
      <c r="J6871" s="192" t="str">
        <f>IF(I6871&gt;0,H6871/I6871,0)</f>
      </c>
      <c r="K6871" s="193" t="str">
        <f>1-EXP(-J6871)</f>
      </c>
      <c r="L6871" s="194" t="str">
        <f>IF(G6871=30,1,M6870)</f>
      </c>
      <c r="M6871" s="195" t="str">
        <f>L6871*(1-K6871)</f>
      </c>
    </row>
    <row r="6872">
      <c r="A6872" t="s">
        <v>167</v>
      </c>
      <c r="B6872" t="s">
        <v>113</v>
      </c>
      <c r="C6872" s="35" t="s">
        <v>521</v>
      </c>
      <c r="D6872" t="s">
        <v>113</v>
      </c>
      <c r="E6872" t="s">
        <v>520</v>
      </c>
      <c r="F6872" s="188" t="n">
        <v>2040</v>
      </c>
      <c r="G6872" s="189" t="n">
        <v>60</v>
      </c>
      <c r="H6872" s="190" t="n">
        <v>20755.9677223807</v>
      </c>
      <c r="I6872" s="191" t="n">
        <v>3673059.16220681</v>
      </c>
      <c r="J6872" s="192" t="str">
        <f>IF(I6872&gt;0,H6872/I6872,0)</f>
      </c>
      <c r="K6872" s="193" t="str">
        <f>1-EXP(-J6872)</f>
      </c>
      <c r="L6872" s="194" t="str">
        <f>IF(G6872=30,1,M6871)</f>
      </c>
      <c r="M6872" s="195" t="str">
        <f>L6872*(1-K6872)</f>
      </c>
    </row>
    <row r="6873">
      <c r="A6873" t="s">
        <v>167</v>
      </c>
      <c r="B6873" t="s">
        <v>113</v>
      </c>
      <c r="C6873" s="35" t="s">
        <v>521</v>
      </c>
      <c r="D6873" t="s">
        <v>113</v>
      </c>
      <c r="E6873" t="s">
        <v>520</v>
      </c>
      <c r="F6873" s="188" t="n">
        <v>2040</v>
      </c>
      <c r="G6873" s="189" t="n">
        <v>61</v>
      </c>
      <c r="H6873" s="190" t="n">
        <v>22195.4269998746</v>
      </c>
      <c r="I6873" s="191" t="n">
        <v>3584668.38022384</v>
      </c>
      <c r="J6873" s="192" t="str">
        <f>IF(I6873&gt;0,H6873/I6873,0)</f>
      </c>
      <c r="K6873" s="193" t="str">
        <f>1-EXP(-J6873)</f>
      </c>
      <c r="L6873" s="194" t="str">
        <f>IF(G6873=30,1,M6872)</f>
      </c>
      <c r="M6873" s="195" t="str">
        <f>L6873*(1-K6873)</f>
      </c>
    </row>
    <row r="6874">
      <c r="A6874" t="s">
        <v>167</v>
      </c>
      <c r="B6874" t="s">
        <v>113</v>
      </c>
      <c r="C6874" s="35" t="s">
        <v>521</v>
      </c>
      <c r="D6874" t="s">
        <v>113</v>
      </c>
      <c r="E6874" t="s">
        <v>520</v>
      </c>
      <c r="F6874" s="188" t="n">
        <v>2040</v>
      </c>
      <c r="G6874" s="189" t="n">
        <v>62</v>
      </c>
      <c r="H6874" s="190" t="n">
        <v>23601.9244964822</v>
      </c>
      <c r="I6874" s="191" t="n">
        <v>3477350.03398592</v>
      </c>
      <c r="J6874" s="192" t="str">
        <f>IF(I6874&gt;0,H6874/I6874,0)</f>
      </c>
      <c r="K6874" s="193" t="str">
        <f>1-EXP(-J6874)</f>
      </c>
      <c r="L6874" s="194" t="str">
        <f>IF(G6874=30,1,M6873)</f>
      </c>
      <c r="M6874" s="195" t="str">
        <f>L6874*(1-K6874)</f>
      </c>
    </row>
    <row r="6875">
      <c r="A6875" t="s">
        <v>167</v>
      </c>
      <c r="B6875" t="s">
        <v>113</v>
      </c>
      <c r="C6875" s="35" t="s">
        <v>521</v>
      </c>
      <c r="D6875" t="s">
        <v>113</v>
      </c>
      <c r="E6875" t="s">
        <v>520</v>
      </c>
      <c r="F6875" s="188" t="n">
        <v>2040</v>
      </c>
      <c r="G6875" s="189" t="n">
        <v>63</v>
      </c>
      <c r="H6875" s="190" t="n">
        <v>25206.2304663205</v>
      </c>
      <c r="I6875" s="191" t="n">
        <v>3383452.76486551</v>
      </c>
      <c r="J6875" s="192" t="str">
        <f>IF(I6875&gt;0,H6875/I6875,0)</f>
      </c>
      <c r="K6875" s="193" t="str">
        <f>1-EXP(-J6875)</f>
      </c>
      <c r="L6875" s="194" t="str">
        <f>IF(G6875=30,1,M6874)</f>
      </c>
      <c r="M6875" s="195" t="str">
        <f>L6875*(1-K6875)</f>
      </c>
    </row>
    <row r="6876">
      <c r="A6876" t="s">
        <v>167</v>
      </c>
      <c r="B6876" t="s">
        <v>113</v>
      </c>
      <c r="C6876" s="35" t="s">
        <v>521</v>
      </c>
      <c r="D6876" t="s">
        <v>113</v>
      </c>
      <c r="E6876" t="s">
        <v>520</v>
      </c>
      <c r="F6876" s="188" t="n">
        <v>2040</v>
      </c>
      <c r="G6876" s="189" t="n">
        <v>64</v>
      </c>
      <c r="H6876" s="190" t="n">
        <v>26765.4952492869</v>
      </c>
      <c r="I6876" s="191" t="n">
        <v>3277773.31912762</v>
      </c>
      <c r="J6876" s="192" t="str">
        <f>IF(I6876&gt;0,H6876/I6876,0)</f>
      </c>
      <c r="K6876" s="193" t="str">
        <f>1-EXP(-J6876)</f>
      </c>
      <c r="L6876" s="194" t="str">
        <f>IF(G6876=30,1,M6875)</f>
      </c>
      <c r="M6876" s="195" t="str">
        <f>L6876*(1-K6876)</f>
      </c>
    </row>
    <row r="6877">
      <c r="A6877" t="s">
        <v>167</v>
      </c>
      <c r="B6877" t="s">
        <v>113</v>
      </c>
      <c r="C6877" s="35" t="s">
        <v>521</v>
      </c>
      <c r="D6877" t="s">
        <v>113</v>
      </c>
      <c r="E6877" t="s">
        <v>520</v>
      </c>
      <c r="F6877" s="188" t="n">
        <v>2040</v>
      </c>
      <c r="G6877" s="189" t="n">
        <v>65</v>
      </c>
      <c r="H6877" s="190" t="n">
        <v>27202.3351319834</v>
      </c>
      <c r="I6877" s="191" t="n">
        <v>3169892.77895747</v>
      </c>
      <c r="J6877" s="192" t="str">
        <f>IF(I6877&gt;0,H6877/I6877,0)</f>
      </c>
      <c r="K6877" s="193" t="str">
        <f>1-EXP(-J6877)</f>
      </c>
      <c r="L6877" s="194" t="str">
        <f>IF(G6877=30,1,M6876)</f>
      </c>
      <c r="M6877" s="195" t="str">
        <f>L6877*(1-K6877)</f>
      </c>
    </row>
    <row r="6878">
      <c r="A6878" t="s">
        <v>167</v>
      </c>
      <c r="B6878" t="s">
        <v>113</v>
      </c>
      <c r="C6878" s="35" t="s">
        <v>521</v>
      </c>
      <c r="D6878" t="s">
        <v>113</v>
      </c>
      <c r="E6878" t="s">
        <v>520</v>
      </c>
      <c r="F6878" s="188" t="n">
        <v>2040</v>
      </c>
      <c r="G6878" s="189" t="n">
        <v>66</v>
      </c>
      <c r="H6878" s="190" t="n">
        <v>28596.0453338614</v>
      </c>
      <c r="I6878" s="191" t="n">
        <v>3037360.5283357</v>
      </c>
      <c r="J6878" s="192" t="str">
        <f>IF(I6878&gt;0,H6878/I6878,0)</f>
      </c>
      <c r="K6878" s="193" t="str">
        <f>1-EXP(-J6878)</f>
      </c>
      <c r="L6878" s="194" t="str">
        <f>IF(G6878=30,1,M6877)</f>
      </c>
      <c r="M6878" s="195" t="str">
        <f>L6878*(1-K6878)</f>
      </c>
    </row>
    <row r="6879">
      <c r="A6879" t="s">
        <v>167</v>
      </c>
      <c r="B6879" t="s">
        <v>113</v>
      </c>
      <c r="C6879" s="35" t="s">
        <v>521</v>
      </c>
      <c r="D6879" t="s">
        <v>113</v>
      </c>
      <c r="E6879" t="s">
        <v>520</v>
      </c>
      <c r="F6879" s="188" t="n">
        <v>2040</v>
      </c>
      <c r="G6879" s="189" t="n">
        <v>67</v>
      </c>
      <c r="H6879" s="190" t="n">
        <v>30523.280221617</v>
      </c>
      <c r="I6879" s="191" t="n">
        <v>2954143.30609599</v>
      </c>
      <c r="J6879" s="192" t="str">
        <f>IF(I6879&gt;0,H6879/I6879,0)</f>
      </c>
      <c r="K6879" s="193" t="str">
        <f>1-EXP(-J6879)</f>
      </c>
      <c r="L6879" s="194" t="str">
        <f>IF(G6879=30,1,M6878)</f>
      </c>
      <c r="M6879" s="195" t="str">
        <f>L6879*(1-K6879)</f>
      </c>
    </row>
    <row r="6880">
      <c r="A6880" t="s">
        <v>167</v>
      </c>
      <c r="B6880" t="s">
        <v>113</v>
      </c>
      <c r="C6880" s="35" t="s">
        <v>521</v>
      </c>
      <c r="D6880" t="s">
        <v>113</v>
      </c>
      <c r="E6880" t="s">
        <v>520</v>
      </c>
      <c r="F6880" s="188" t="n">
        <v>2040</v>
      </c>
      <c r="G6880" s="189" t="n">
        <v>68</v>
      </c>
      <c r="H6880" s="190" t="n">
        <v>31030.6782811347</v>
      </c>
      <c r="I6880" s="191" t="n">
        <v>2731901.1476249</v>
      </c>
      <c r="J6880" s="192" t="str">
        <f>IF(I6880&gt;0,H6880/I6880,0)</f>
      </c>
      <c r="K6880" s="193" t="str">
        <f>1-EXP(-J6880)</f>
      </c>
      <c r="L6880" s="194" t="str">
        <f>IF(G6880=30,1,M6879)</f>
      </c>
      <c r="M6880" s="195" t="str">
        <f>L6880*(1-K6880)</f>
      </c>
    </row>
    <row r="6881">
      <c r="A6881" t="s">
        <v>167</v>
      </c>
      <c r="B6881" t="s">
        <v>113</v>
      </c>
      <c r="C6881" s="35" t="s">
        <v>521</v>
      </c>
      <c r="D6881" t="s">
        <v>113</v>
      </c>
      <c r="E6881" t="s">
        <v>520</v>
      </c>
      <c r="F6881" s="188" t="n">
        <v>2040</v>
      </c>
      <c r="G6881" s="189" t="n">
        <v>69</v>
      </c>
      <c r="H6881" s="190" t="n">
        <v>32605.1306536254</v>
      </c>
      <c r="I6881" s="191" t="n">
        <v>2611482.9566317</v>
      </c>
      <c r="J6881" s="192" t="str">
        <f>IF(I6881&gt;0,H6881/I6881,0)</f>
      </c>
      <c r="K6881" s="193" t="str">
        <f>1-EXP(-J6881)</f>
      </c>
      <c r="L6881" s="194" t="str">
        <f>IF(G6881=30,1,M6880)</f>
      </c>
      <c r="M6881" s="195" t="str">
        <f>L6881*(1-K6881)</f>
      </c>
    </row>
    <row r="6882">
      <c r="A6882" t="s">
        <v>167</v>
      </c>
      <c r="B6882" t="s">
        <v>113</v>
      </c>
      <c r="C6882" s="35" t="s">
        <v>521</v>
      </c>
      <c r="D6882" t="s">
        <v>113</v>
      </c>
      <c r="E6882" t="s">
        <v>520</v>
      </c>
      <c r="F6882" s="188" t="n">
        <v>2041</v>
      </c>
      <c r="G6882" s="189" t="n">
        <v>30</v>
      </c>
      <c r="H6882" s="190" t="n">
        <v>826.196707390987</v>
      </c>
      <c r="I6882" s="191" t="n">
        <v>4884124.75171723</v>
      </c>
      <c r="J6882" s="192" t="str">
        <f>IF(I6882&gt;0,H6882/I6882,0)</f>
      </c>
      <c r="K6882" s="193" t="str">
        <f>1-EXP(-J6882)</f>
      </c>
      <c r="L6882" s="194" t="str">
        <f>IF(G6882=30,1,M6881)</f>
      </c>
      <c r="M6882" s="195" t="str">
        <f>L6882*(1-K6882)</f>
      </c>
    </row>
    <row r="6883">
      <c r="A6883" t="s">
        <v>167</v>
      </c>
      <c r="B6883" t="s">
        <v>113</v>
      </c>
      <c r="C6883" s="35" t="s">
        <v>521</v>
      </c>
      <c r="D6883" t="s">
        <v>113</v>
      </c>
      <c r="E6883" t="s">
        <v>520</v>
      </c>
      <c r="F6883" s="188" t="n">
        <v>2041</v>
      </c>
      <c r="G6883" s="189" t="n">
        <v>31</v>
      </c>
      <c r="H6883" s="190" t="n">
        <v>1034.70526022095</v>
      </c>
      <c r="I6883" s="191" t="n">
        <v>4750135.46961717</v>
      </c>
      <c r="J6883" s="192" t="str">
        <f>IF(I6883&gt;0,H6883/I6883,0)</f>
      </c>
      <c r="K6883" s="193" t="str">
        <f>1-EXP(-J6883)</f>
      </c>
      <c r="L6883" s="194" t="str">
        <f>IF(G6883=30,1,M6882)</f>
      </c>
      <c r="M6883" s="195" t="str">
        <f>L6883*(1-K6883)</f>
      </c>
    </row>
    <row r="6884">
      <c r="A6884" t="s">
        <v>167</v>
      </c>
      <c r="B6884" t="s">
        <v>113</v>
      </c>
      <c r="C6884" s="35" t="s">
        <v>521</v>
      </c>
      <c r="D6884" t="s">
        <v>113</v>
      </c>
      <c r="E6884" t="s">
        <v>520</v>
      </c>
      <c r="F6884" s="188" t="n">
        <v>2041</v>
      </c>
      <c r="G6884" s="189" t="n">
        <v>32</v>
      </c>
      <c r="H6884" s="190" t="n">
        <v>1073.33747453495</v>
      </c>
      <c r="I6884" s="191" t="n">
        <v>4679417.60745143</v>
      </c>
      <c r="J6884" s="192" t="str">
        <f>IF(I6884&gt;0,H6884/I6884,0)</f>
      </c>
      <c r="K6884" s="193" t="str">
        <f>1-EXP(-J6884)</f>
      </c>
      <c r="L6884" s="194" t="str">
        <f>IF(G6884=30,1,M6883)</f>
      </c>
      <c r="M6884" s="195" t="str">
        <f>L6884*(1-K6884)</f>
      </c>
    </row>
    <row r="6885">
      <c r="A6885" t="s">
        <v>167</v>
      </c>
      <c r="B6885" t="s">
        <v>113</v>
      </c>
      <c r="C6885" s="35" t="s">
        <v>521</v>
      </c>
      <c r="D6885" t="s">
        <v>113</v>
      </c>
      <c r="E6885" t="s">
        <v>520</v>
      </c>
      <c r="F6885" s="188" t="n">
        <v>2041</v>
      </c>
      <c r="G6885" s="189" t="n">
        <v>33</v>
      </c>
      <c r="H6885" s="190" t="n">
        <v>1126.64190846125</v>
      </c>
      <c r="I6885" s="191" t="n">
        <v>4636711.85938807</v>
      </c>
      <c r="J6885" s="192" t="str">
        <f>IF(I6885&gt;0,H6885/I6885,0)</f>
      </c>
      <c r="K6885" s="193" t="str">
        <f>1-EXP(-J6885)</f>
      </c>
      <c r="L6885" s="194" t="str">
        <f>IF(G6885=30,1,M6884)</f>
      </c>
      <c r="M6885" s="195" t="str">
        <f>L6885*(1-K6885)</f>
      </c>
    </row>
    <row r="6886">
      <c r="A6886" t="s">
        <v>167</v>
      </c>
      <c r="B6886" t="s">
        <v>113</v>
      </c>
      <c r="C6886" s="35" t="s">
        <v>521</v>
      </c>
      <c r="D6886" t="s">
        <v>113</v>
      </c>
      <c r="E6886" t="s">
        <v>520</v>
      </c>
      <c r="F6886" s="188" t="n">
        <v>2041</v>
      </c>
      <c r="G6886" s="189" t="n">
        <v>34</v>
      </c>
      <c r="H6886" s="190" t="n">
        <v>1260.52784960032</v>
      </c>
      <c r="I6886" s="191" t="n">
        <v>4662389.04027059</v>
      </c>
      <c r="J6886" s="192" t="str">
        <f>IF(I6886&gt;0,H6886/I6886,0)</f>
      </c>
      <c r="K6886" s="193" t="str">
        <f>1-EXP(-J6886)</f>
      </c>
      <c r="L6886" s="194" t="str">
        <f>IF(G6886=30,1,M6885)</f>
      </c>
      <c r="M6886" s="195" t="str">
        <f>L6886*(1-K6886)</f>
      </c>
    </row>
    <row r="6887">
      <c r="A6887" t="s">
        <v>167</v>
      </c>
      <c r="B6887" t="s">
        <v>113</v>
      </c>
      <c r="C6887" s="35" t="s">
        <v>521</v>
      </c>
      <c r="D6887" t="s">
        <v>113</v>
      </c>
      <c r="E6887" t="s">
        <v>520</v>
      </c>
      <c r="F6887" s="188" t="n">
        <v>2041</v>
      </c>
      <c r="G6887" s="189" t="n">
        <v>35</v>
      </c>
      <c r="H6887" s="190" t="n">
        <v>1644.10852028771</v>
      </c>
      <c r="I6887" s="191" t="n">
        <v>4579019.18957479</v>
      </c>
      <c r="J6887" s="192" t="str">
        <f>IF(I6887&gt;0,H6887/I6887,0)</f>
      </c>
      <c r="K6887" s="193" t="str">
        <f>1-EXP(-J6887)</f>
      </c>
      <c r="L6887" s="194" t="str">
        <f>IF(G6887=30,1,M6886)</f>
      </c>
      <c r="M6887" s="195" t="str">
        <f>L6887*(1-K6887)</f>
      </c>
    </row>
    <row r="6888">
      <c r="A6888" t="s">
        <v>167</v>
      </c>
      <c r="B6888" t="s">
        <v>113</v>
      </c>
      <c r="C6888" s="35" t="s">
        <v>521</v>
      </c>
      <c r="D6888" t="s">
        <v>113</v>
      </c>
      <c r="E6888" t="s">
        <v>520</v>
      </c>
      <c r="F6888" s="188" t="n">
        <v>2041</v>
      </c>
      <c r="G6888" s="189" t="n">
        <v>36</v>
      </c>
      <c r="H6888" s="190" t="n">
        <v>1880.64377002324</v>
      </c>
      <c r="I6888" s="191" t="n">
        <v>4516983.59105938</v>
      </c>
      <c r="J6888" s="192" t="str">
        <f>IF(I6888&gt;0,H6888/I6888,0)</f>
      </c>
      <c r="K6888" s="193" t="str">
        <f>1-EXP(-J6888)</f>
      </c>
      <c r="L6888" s="194" t="str">
        <f>IF(G6888=30,1,M6887)</f>
      </c>
      <c r="M6888" s="195" t="str">
        <f>L6888*(1-K6888)</f>
      </c>
    </row>
    <row r="6889">
      <c r="A6889" t="s">
        <v>167</v>
      </c>
      <c r="B6889" t="s">
        <v>113</v>
      </c>
      <c r="C6889" s="35" t="s">
        <v>521</v>
      </c>
      <c r="D6889" t="s">
        <v>113</v>
      </c>
      <c r="E6889" t="s">
        <v>520</v>
      </c>
      <c r="F6889" s="188" t="n">
        <v>2041</v>
      </c>
      <c r="G6889" s="189" t="n">
        <v>37</v>
      </c>
      <c r="H6889" s="190" t="n">
        <v>1963.8713728287</v>
      </c>
      <c r="I6889" s="191" t="n">
        <v>4387677.69890294</v>
      </c>
      <c r="J6889" s="192" t="str">
        <f>IF(I6889&gt;0,H6889/I6889,0)</f>
      </c>
      <c r="K6889" s="193" t="str">
        <f>1-EXP(-J6889)</f>
      </c>
      <c r="L6889" s="194" t="str">
        <f>IF(G6889=30,1,M6888)</f>
      </c>
      <c r="M6889" s="195" t="str">
        <f>L6889*(1-K6889)</f>
      </c>
    </row>
    <row r="6890">
      <c r="A6890" t="s">
        <v>167</v>
      </c>
      <c r="B6890" t="s">
        <v>113</v>
      </c>
      <c r="C6890" s="35" t="s">
        <v>521</v>
      </c>
      <c r="D6890" t="s">
        <v>113</v>
      </c>
      <c r="E6890" t="s">
        <v>520</v>
      </c>
      <c r="F6890" s="188" t="n">
        <v>2041</v>
      </c>
      <c r="G6890" s="189" t="n">
        <v>38</v>
      </c>
      <c r="H6890" s="190" t="n">
        <v>2085.58964486355</v>
      </c>
      <c r="I6890" s="191" t="n">
        <v>4320873.68863577</v>
      </c>
      <c r="J6890" s="192" t="str">
        <f>IF(I6890&gt;0,H6890/I6890,0)</f>
      </c>
      <c r="K6890" s="193" t="str">
        <f>1-EXP(-J6890)</f>
      </c>
      <c r="L6890" s="194" t="str">
        <f>IF(G6890=30,1,M6889)</f>
      </c>
      <c r="M6890" s="195" t="str">
        <f>L6890*(1-K6890)</f>
      </c>
    </row>
    <row r="6891">
      <c r="A6891" t="s">
        <v>167</v>
      </c>
      <c r="B6891" t="s">
        <v>113</v>
      </c>
      <c r="C6891" s="35" t="s">
        <v>521</v>
      </c>
      <c r="D6891" t="s">
        <v>113</v>
      </c>
      <c r="E6891" t="s">
        <v>520</v>
      </c>
      <c r="F6891" s="188" t="n">
        <v>2041</v>
      </c>
      <c r="G6891" s="189" t="n">
        <v>39</v>
      </c>
      <c r="H6891" s="190" t="n">
        <v>2399.42328604636</v>
      </c>
      <c r="I6891" s="191" t="n">
        <v>4296422.13763004</v>
      </c>
      <c r="J6891" s="192" t="str">
        <f>IF(I6891&gt;0,H6891/I6891,0)</f>
      </c>
      <c r="K6891" s="193" t="str">
        <f>1-EXP(-J6891)</f>
      </c>
      <c r="L6891" s="194" t="str">
        <f>IF(G6891=30,1,M6890)</f>
      </c>
      <c r="M6891" s="195" t="str">
        <f>L6891*(1-K6891)</f>
      </c>
    </row>
    <row r="6892">
      <c r="A6892" t="s">
        <v>167</v>
      </c>
      <c r="B6892" t="s">
        <v>113</v>
      </c>
      <c r="C6892" s="35" t="s">
        <v>521</v>
      </c>
      <c r="D6892" t="s">
        <v>113</v>
      </c>
      <c r="E6892" t="s">
        <v>520</v>
      </c>
      <c r="F6892" s="188" t="n">
        <v>2041</v>
      </c>
      <c r="G6892" s="189" t="n">
        <v>40</v>
      </c>
      <c r="H6892" s="190" t="n">
        <v>3200.69988471191</v>
      </c>
      <c r="I6892" s="191" t="n">
        <v>4273840.64232832</v>
      </c>
      <c r="J6892" s="192" t="str">
        <f>IF(I6892&gt;0,H6892/I6892,0)</f>
      </c>
      <c r="K6892" s="193" t="str">
        <f>1-EXP(-J6892)</f>
      </c>
      <c r="L6892" s="194" t="str">
        <f>IF(G6892=30,1,M6891)</f>
      </c>
      <c r="M6892" s="195" t="str">
        <f>L6892*(1-K6892)</f>
      </c>
    </row>
    <row r="6893">
      <c r="A6893" t="s">
        <v>167</v>
      </c>
      <c r="B6893" t="s">
        <v>113</v>
      </c>
      <c r="C6893" s="35" t="s">
        <v>521</v>
      </c>
      <c r="D6893" t="s">
        <v>113</v>
      </c>
      <c r="E6893" t="s">
        <v>520</v>
      </c>
      <c r="F6893" s="188" t="n">
        <v>2041</v>
      </c>
      <c r="G6893" s="189" t="n">
        <v>41</v>
      </c>
      <c r="H6893" s="190" t="n">
        <v>3524.04197268774</v>
      </c>
      <c r="I6893" s="191" t="n">
        <v>4249903.91335408</v>
      </c>
      <c r="J6893" s="192" t="str">
        <f>IF(I6893&gt;0,H6893/I6893,0)</f>
      </c>
      <c r="K6893" s="193" t="str">
        <f>1-EXP(-J6893)</f>
      </c>
      <c r="L6893" s="194" t="str">
        <f>IF(G6893=30,1,M6892)</f>
      </c>
      <c r="M6893" s="195" t="str">
        <f>L6893*(1-K6893)</f>
      </c>
    </row>
    <row r="6894">
      <c r="A6894" t="s">
        <v>167</v>
      </c>
      <c r="B6894" t="s">
        <v>113</v>
      </c>
      <c r="C6894" s="35" t="s">
        <v>521</v>
      </c>
      <c r="D6894" t="s">
        <v>113</v>
      </c>
      <c r="E6894" t="s">
        <v>520</v>
      </c>
      <c r="F6894" s="188" t="n">
        <v>2041</v>
      </c>
      <c r="G6894" s="189" t="n">
        <v>42</v>
      </c>
      <c r="H6894" s="190" t="n">
        <v>3836.4561521239</v>
      </c>
      <c r="I6894" s="191" t="n">
        <v>4265286.68278075</v>
      </c>
      <c r="J6894" s="192" t="str">
        <f>IF(I6894&gt;0,H6894/I6894,0)</f>
      </c>
      <c r="K6894" s="193" t="str">
        <f>1-EXP(-J6894)</f>
      </c>
      <c r="L6894" s="194" t="str">
        <f>IF(G6894=30,1,M6893)</f>
      </c>
      <c r="M6894" s="195" t="str">
        <f>L6894*(1-K6894)</f>
      </c>
    </row>
    <row r="6895">
      <c r="A6895" t="s">
        <v>167</v>
      </c>
      <c r="B6895" t="s">
        <v>113</v>
      </c>
      <c r="C6895" s="35" t="s">
        <v>521</v>
      </c>
      <c r="D6895" t="s">
        <v>113</v>
      </c>
      <c r="E6895" t="s">
        <v>520</v>
      </c>
      <c r="F6895" s="188" t="n">
        <v>2041</v>
      </c>
      <c r="G6895" s="189" t="n">
        <v>43</v>
      </c>
      <c r="H6895" s="190" t="n">
        <v>4224.70527885687</v>
      </c>
      <c r="I6895" s="191" t="n">
        <v>4318654.01712621</v>
      </c>
      <c r="J6895" s="192" t="str">
        <f>IF(I6895&gt;0,H6895/I6895,0)</f>
      </c>
      <c r="K6895" s="193" t="str">
        <f>1-EXP(-J6895)</f>
      </c>
      <c r="L6895" s="194" t="str">
        <f>IF(G6895=30,1,M6894)</f>
      </c>
      <c r="M6895" s="195" t="str">
        <f>L6895*(1-K6895)</f>
      </c>
    </row>
    <row r="6896">
      <c r="A6896" t="s">
        <v>167</v>
      </c>
      <c r="B6896" t="s">
        <v>113</v>
      </c>
      <c r="C6896" s="35" t="s">
        <v>521</v>
      </c>
      <c r="D6896" t="s">
        <v>113</v>
      </c>
      <c r="E6896" t="s">
        <v>520</v>
      </c>
      <c r="F6896" s="188" t="n">
        <v>2041</v>
      </c>
      <c r="G6896" s="189" t="n">
        <v>44</v>
      </c>
      <c r="H6896" s="190" t="n">
        <v>4963.37253610428</v>
      </c>
      <c r="I6896" s="191" t="n">
        <v>4447397.681461</v>
      </c>
      <c r="J6896" s="192" t="str">
        <f>IF(I6896&gt;0,H6896/I6896,0)</f>
      </c>
      <c r="K6896" s="193" t="str">
        <f>1-EXP(-J6896)</f>
      </c>
      <c r="L6896" s="194" t="str">
        <f>IF(G6896=30,1,M6895)</f>
      </c>
      <c r="M6896" s="195" t="str">
        <f>L6896*(1-K6896)</f>
      </c>
    </row>
    <row r="6897">
      <c r="A6897" t="s">
        <v>167</v>
      </c>
      <c r="B6897" t="s">
        <v>113</v>
      </c>
      <c r="C6897" s="35" t="s">
        <v>521</v>
      </c>
      <c r="D6897" t="s">
        <v>113</v>
      </c>
      <c r="E6897" t="s">
        <v>520</v>
      </c>
      <c r="F6897" s="188" t="n">
        <v>2041</v>
      </c>
      <c r="G6897" s="189" t="n">
        <v>45</v>
      </c>
      <c r="H6897" s="190" t="n">
        <v>6287.14754315234</v>
      </c>
      <c r="I6897" s="191" t="n">
        <v>4398086.23090655</v>
      </c>
      <c r="J6897" s="192" t="str">
        <f>IF(I6897&gt;0,H6897/I6897,0)</f>
      </c>
      <c r="K6897" s="193" t="str">
        <f>1-EXP(-J6897)</f>
      </c>
      <c r="L6897" s="194" t="str">
        <f>IF(G6897=30,1,M6896)</f>
      </c>
      <c r="M6897" s="195" t="str">
        <f>L6897*(1-K6897)</f>
      </c>
    </row>
    <row r="6898">
      <c r="A6898" t="s">
        <v>167</v>
      </c>
      <c r="B6898" t="s">
        <v>113</v>
      </c>
      <c r="C6898" s="35" t="s">
        <v>521</v>
      </c>
      <c r="D6898" t="s">
        <v>113</v>
      </c>
      <c r="E6898" t="s">
        <v>520</v>
      </c>
      <c r="F6898" s="188" t="n">
        <v>2041</v>
      </c>
      <c r="G6898" s="189" t="n">
        <v>46</v>
      </c>
      <c r="H6898" s="190" t="n">
        <v>6742.93117465723</v>
      </c>
      <c r="I6898" s="191" t="n">
        <v>4317641.90693342</v>
      </c>
      <c r="J6898" s="192" t="str">
        <f>IF(I6898&gt;0,H6898/I6898,0)</f>
      </c>
      <c r="K6898" s="193" t="str">
        <f>1-EXP(-J6898)</f>
      </c>
      <c r="L6898" s="194" t="str">
        <f>IF(G6898=30,1,M6897)</f>
      </c>
      <c r="M6898" s="195" t="str">
        <f>L6898*(1-K6898)</f>
      </c>
    </row>
    <row r="6899">
      <c r="A6899" t="s">
        <v>167</v>
      </c>
      <c r="B6899" t="s">
        <v>113</v>
      </c>
      <c r="C6899" s="35" t="s">
        <v>521</v>
      </c>
      <c r="D6899" t="s">
        <v>113</v>
      </c>
      <c r="E6899" t="s">
        <v>520</v>
      </c>
      <c r="F6899" s="188" t="n">
        <v>2041</v>
      </c>
      <c r="G6899" s="189" t="n">
        <v>47</v>
      </c>
      <c r="H6899" s="190" t="n">
        <v>7267.87878324263</v>
      </c>
      <c r="I6899" s="191" t="n">
        <v>4252746.12116672</v>
      </c>
      <c r="J6899" s="192" t="str">
        <f>IF(I6899&gt;0,H6899/I6899,0)</f>
      </c>
      <c r="K6899" s="193" t="str">
        <f>1-EXP(-J6899)</f>
      </c>
      <c r="L6899" s="194" t="str">
        <f>IF(G6899=30,1,M6898)</f>
      </c>
      <c r="M6899" s="195" t="str">
        <f>L6899*(1-K6899)</f>
      </c>
    </row>
    <row r="6900">
      <c r="A6900" t="s">
        <v>167</v>
      </c>
      <c r="B6900" t="s">
        <v>113</v>
      </c>
      <c r="C6900" s="35" t="s">
        <v>521</v>
      </c>
      <c r="D6900" t="s">
        <v>113</v>
      </c>
      <c r="E6900" t="s">
        <v>520</v>
      </c>
      <c r="F6900" s="188" t="n">
        <v>2041</v>
      </c>
      <c r="G6900" s="189" t="n">
        <v>48</v>
      </c>
      <c r="H6900" s="190" t="n">
        <v>7845.23089405913</v>
      </c>
      <c r="I6900" s="191" t="n">
        <v>4190548.9977099</v>
      </c>
      <c r="J6900" s="192" t="str">
        <f>IF(I6900&gt;0,H6900/I6900,0)</f>
      </c>
      <c r="K6900" s="193" t="str">
        <f>1-EXP(-J6900)</f>
      </c>
      <c r="L6900" s="194" t="str">
        <f>IF(G6900=30,1,M6899)</f>
      </c>
      <c r="M6900" s="195" t="str">
        <f>L6900*(1-K6900)</f>
      </c>
    </row>
    <row r="6901">
      <c r="A6901" t="s">
        <v>167</v>
      </c>
      <c r="B6901" t="s">
        <v>113</v>
      </c>
      <c r="C6901" s="35" t="s">
        <v>521</v>
      </c>
      <c r="D6901" t="s">
        <v>113</v>
      </c>
      <c r="E6901" t="s">
        <v>520</v>
      </c>
      <c r="F6901" s="188" t="n">
        <v>2041</v>
      </c>
      <c r="G6901" s="189" t="n">
        <v>49</v>
      </c>
      <c r="H6901" s="190" t="n">
        <v>8636.75382284836</v>
      </c>
      <c r="I6901" s="191" t="n">
        <v>4215982.09560524</v>
      </c>
      <c r="J6901" s="192" t="str">
        <f>IF(I6901&gt;0,H6901/I6901,0)</f>
      </c>
      <c r="K6901" s="193" t="str">
        <f>1-EXP(-J6901)</f>
      </c>
      <c r="L6901" s="194" t="str">
        <f>IF(G6901=30,1,M6900)</f>
      </c>
      <c r="M6901" s="195" t="str">
        <f>L6901*(1-K6901)</f>
      </c>
    </row>
    <row r="6902">
      <c r="A6902" t="s">
        <v>167</v>
      </c>
      <c r="B6902" t="s">
        <v>113</v>
      </c>
      <c r="C6902" s="35" t="s">
        <v>521</v>
      </c>
      <c r="D6902" t="s">
        <v>113</v>
      </c>
      <c r="E6902" t="s">
        <v>520</v>
      </c>
      <c r="F6902" s="188" t="n">
        <v>2041</v>
      </c>
      <c r="G6902" s="189" t="n">
        <v>50</v>
      </c>
      <c r="H6902" s="190" t="n">
        <v>9921.84505043176</v>
      </c>
      <c r="I6902" s="191" t="n">
        <v>4220866.89629545</v>
      </c>
      <c r="J6902" s="192" t="str">
        <f>IF(I6902&gt;0,H6902/I6902,0)</f>
      </c>
      <c r="K6902" s="193" t="str">
        <f>1-EXP(-J6902)</f>
      </c>
      <c r="L6902" s="194" t="str">
        <f>IF(G6902=30,1,M6901)</f>
      </c>
      <c r="M6902" s="195" t="str">
        <f>L6902*(1-K6902)</f>
      </c>
    </row>
    <row r="6903">
      <c r="A6903" t="s">
        <v>167</v>
      </c>
      <c r="B6903" t="s">
        <v>113</v>
      </c>
      <c r="C6903" s="35" t="s">
        <v>521</v>
      </c>
      <c r="D6903" t="s">
        <v>113</v>
      </c>
      <c r="E6903" t="s">
        <v>520</v>
      </c>
      <c r="F6903" s="188" t="n">
        <v>2041</v>
      </c>
      <c r="G6903" s="189" t="n">
        <v>51</v>
      </c>
      <c r="H6903" s="190" t="n">
        <v>14583.3651997406</v>
      </c>
      <c r="I6903" s="191" t="n">
        <v>6206832.79112691</v>
      </c>
      <c r="J6903" s="192" t="str">
        <f>IF(I6903&gt;0,H6903/I6903,0)</f>
      </c>
      <c r="K6903" s="193" t="str">
        <f>1-EXP(-J6903)</f>
      </c>
      <c r="L6903" s="194" t="str">
        <f>IF(G6903=30,1,M6902)</f>
      </c>
      <c r="M6903" s="195" t="str">
        <f>L6903*(1-K6903)</f>
      </c>
    </row>
    <row r="6904">
      <c r="A6904" t="s">
        <v>167</v>
      </c>
      <c r="B6904" t="s">
        <v>113</v>
      </c>
      <c r="C6904" s="35" t="s">
        <v>521</v>
      </c>
      <c r="D6904" t="s">
        <v>113</v>
      </c>
      <c r="E6904" t="s">
        <v>520</v>
      </c>
      <c r="F6904" s="188" t="n">
        <v>2041</v>
      </c>
      <c r="G6904" s="189" t="n">
        <v>52</v>
      </c>
      <c r="H6904" s="190" t="n">
        <v>11662.4943980084</v>
      </c>
      <c r="I6904" s="191" t="n">
        <v>4151195.30537421</v>
      </c>
      <c r="J6904" s="192" t="str">
        <f>IF(I6904&gt;0,H6904/I6904,0)</f>
      </c>
      <c r="K6904" s="193" t="str">
        <f>1-EXP(-J6904)</f>
      </c>
      <c r="L6904" s="194" t="str">
        <f>IF(G6904=30,1,M6903)</f>
      </c>
      <c r="M6904" s="195" t="str">
        <f>L6904*(1-K6904)</f>
      </c>
    </row>
    <row r="6905">
      <c r="A6905" t="s">
        <v>167</v>
      </c>
      <c r="B6905" t="s">
        <v>113</v>
      </c>
      <c r="C6905" s="35" t="s">
        <v>521</v>
      </c>
      <c r="D6905" t="s">
        <v>113</v>
      </c>
      <c r="E6905" t="s">
        <v>520</v>
      </c>
      <c r="F6905" s="188" t="n">
        <v>2041</v>
      </c>
      <c r="G6905" s="189" t="n">
        <v>53</v>
      </c>
      <c r="H6905" s="190" t="n">
        <v>12624.9231485443</v>
      </c>
      <c r="I6905" s="191" t="n">
        <v>4118476.50991508</v>
      </c>
      <c r="J6905" s="192" t="str">
        <f>IF(I6905&gt;0,H6905/I6905,0)</f>
      </c>
      <c r="K6905" s="193" t="str">
        <f>1-EXP(-J6905)</f>
      </c>
      <c r="L6905" s="194" t="str">
        <f>IF(G6905=30,1,M6904)</f>
      </c>
      <c r="M6905" s="195" t="str">
        <f>L6905*(1-K6905)</f>
      </c>
    </row>
    <row r="6906">
      <c r="A6906" t="s">
        <v>167</v>
      </c>
      <c r="B6906" t="s">
        <v>113</v>
      </c>
      <c r="C6906" s="35" t="s">
        <v>521</v>
      </c>
      <c r="D6906" t="s">
        <v>113</v>
      </c>
      <c r="E6906" t="s">
        <v>520</v>
      </c>
      <c r="F6906" s="188" t="n">
        <v>2041</v>
      </c>
      <c r="G6906" s="189" t="n">
        <v>54</v>
      </c>
      <c r="H6906" s="190" t="n">
        <v>13284.5208116589</v>
      </c>
      <c r="I6906" s="191" t="n">
        <v>3974545.53854763</v>
      </c>
      <c r="J6906" s="192" t="str">
        <f>IF(I6906&gt;0,H6906/I6906,0)</f>
      </c>
      <c r="K6906" s="193" t="str">
        <f>1-EXP(-J6906)</f>
      </c>
      <c r="L6906" s="194" t="str">
        <f>IF(G6906=30,1,M6905)</f>
      </c>
      <c r="M6906" s="195" t="str">
        <f>L6906*(1-K6906)</f>
      </c>
    </row>
    <row r="6907">
      <c r="A6907" t="s">
        <v>167</v>
      </c>
      <c r="B6907" t="s">
        <v>113</v>
      </c>
      <c r="C6907" s="35" t="s">
        <v>521</v>
      </c>
      <c r="D6907" t="s">
        <v>113</v>
      </c>
      <c r="E6907" t="s">
        <v>520</v>
      </c>
      <c r="F6907" s="188" t="n">
        <v>2041</v>
      </c>
      <c r="G6907" s="189" t="n">
        <v>55</v>
      </c>
      <c r="H6907" s="190" t="n">
        <v>14151.5941057818</v>
      </c>
      <c r="I6907" s="191" t="n">
        <v>3922520.68348637</v>
      </c>
      <c r="J6907" s="192" t="str">
        <f>IF(I6907&gt;0,H6907/I6907,0)</f>
      </c>
      <c r="K6907" s="193" t="str">
        <f>1-EXP(-J6907)</f>
      </c>
      <c r="L6907" s="194" t="str">
        <f>IF(G6907=30,1,M6906)</f>
      </c>
      <c r="M6907" s="195" t="str">
        <f>L6907*(1-K6907)</f>
      </c>
    </row>
    <row r="6908">
      <c r="A6908" t="s">
        <v>167</v>
      </c>
      <c r="B6908" t="s">
        <v>113</v>
      </c>
      <c r="C6908" s="35" t="s">
        <v>521</v>
      </c>
      <c r="D6908" t="s">
        <v>113</v>
      </c>
      <c r="E6908" t="s">
        <v>520</v>
      </c>
      <c r="F6908" s="188" t="n">
        <v>2041</v>
      </c>
      <c r="G6908" s="189" t="n">
        <v>56</v>
      </c>
      <c r="H6908" s="190" t="n">
        <v>15556.8221772613</v>
      </c>
      <c r="I6908" s="191" t="n">
        <v>3956856.33524499</v>
      </c>
      <c r="J6908" s="192" t="str">
        <f>IF(I6908&gt;0,H6908/I6908,0)</f>
      </c>
      <c r="K6908" s="193" t="str">
        <f>1-EXP(-J6908)</f>
      </c>
      <c r="L6908" s="194" t="str">
        <f>IF(G6908=30,1,M6907)</f>
      </c>
      <c r="M6908" s="195" t="str">
        <f>L6908*(1-K6908)</f>
      </c>
    </row>
    <row r="6909">
      <c r="A6909" t="s">
        <v>167</v>
      </c>
      <c r="B6909" t="s">
        <v>113</v>
      </c>
      <c r="C6909" s="35" t="s">
        <v>521</v>
      </c>
      <c r="D6909" t="s">
        <v>113</v>
      </c>
      <c r="E6909" t="s">
        <v>520</v>
      </c>
      <c r="F6909" s="188" t="n">
        <v>2041</v>
      </c>
      <c r="G6909" s="189" t="n">
        <v>57</v>
      </c>
      <c r="H6909" s="190" t="n">
        <v>17207.3415272967</v>
      </c>
      <c r="I6909" s="191" t="n">
        <v>4012352.50647296</v>
      </c>
      <c r="J6909" s="192" t="str">
        <f>IF(I6909&gt;0,H6909/I6909,0)</f>
      </c>
      <c r="K6909" s="193" t="str">
        <f>1-EXP(-J6909)</f>
      </c>
      <c r="L6909" s="194" t="str">
        <f>IF(G6909=30,1,M6908)</f>
      </c>
      <c r="M6909" s="195" t="str">
        <f>L6909*(1-K6909)</f>
      </c>
    </row>
    <row r="6910">
      <c r="A6910" t="s">
        <v>167</v>
      </c>
      <c r="B6910" t="s">
        <v>113</v>
      </c>
      <c r="C6910" s="35" t="s">
        <v>521</v>
      </c>
      <c r="D6910" t="s">
        <v>113</v>
      </c>
      <c r="E6910" t="s">
        <v>520</v>
      </c>
      <c r="F6910" s="188" t="n">
        <v>2041</v>
      </c>
      <c r="G6910" s="189" t="n">
        <v>58</v>
      </c>
      <c r="H6910" s="190" t="n">
        <v>18566.8690917189</v>
      </c>
      <c r="I6910" s="191" t="n">
        <v>3963849.13735927</v>
      </c>
      <c r="J6910" s="192" t="str">
        <f>IF(I6910&gt;0,H6910/I6910,0)</f>
      </c>
      <c r="K6910" s="193" t="str">
        <f>1-EXP(-J6910)</f>
      </c>
      <c r="L6910" s="194" t="str">
        <f>IF(G6910=30,1,M6909)</f>
      </c>
      <c r="M6910" s="195" t="str">
        <f>L6910*(1-K6910)</f>
      </c>
    </row>
    <row r="6911">
      <c r="A6911" t="s">
        <v>167</v>
      </c>
      <c r="B6911" t="s">
        <v>113</v>
      </c>
      <c r="C6911" s="35" t="s">
        <v>521</v>
      </c>
      <c r="D6911" t="s">
        <v>113</v>
      </c>
      <c r="E6911" t="s">
        <v>520</v>
      </c>
      <c r="F6911" s="188" t="n">
        <v>2041</v>
      </c>
      <c r="G6911" s="189" t="n">
        <v>59</v>
      </c>
      <c r="H6911" s="190" t="n">
        <v>19535.5457624771</v>
      </c>
      <c r="I6911" s="191" t="n">
        <v>3809723.1994506</v>
      </c>
      <c r="J6911" s="192" t="str">
        <f>IF(I6911&gt;0,H6911/I6911,0)</f>
      </c>
      <c r="K6911" s="193" t="str">
        <f>1-EXP(-J6911)</f>
      </c>
      <c r="L6911" s="194" t="str">
        <f>IF(G6911=30,1,M6910)</f>
      </c>
      <c r="M6911" s="195" t="str">
        <f>L6911*(1-K6911)</f>
      </c>
    </row>
    <row r="6912">
      <c r="A6912" t="s">
        <v>167</v>
      </c>
      <c r="B6912" t="s">
        <v>113</v>
      </c>
      <c r="C6912" s="35" t="s">
        <v>521</v>
      </c>
      <c r="D6912" t="s">
        <v>113</v>
      </c>
      <c r="E6912" t="s">
        <v>520</v>
      </c>
      <c r="F6912" s="188" t="n">
        <v>2041</v>
      </c>
      <c r="G6912" s="189" t="n">
        <v>60</v>
      </c>
      <c r="H6912" s="190" t="n">
        <v>20742.9152059907</v>
      </c>
      <c r="I6912" s="191" t="n">
        <v>3712295.22624116</v>
      </c>
      <c r="J6912" s="192" t="str">
        <f>IF(I6912&gt;0,H6912/I6912,0)</f>
      </c>
      <c r="K6912" s="193" t="str">
        <f>1-EXP(-J6912)</f>
      </c>
      <c r="L6912" s="194" t="str">
        <f>IF(G6912=30,1,M6911)</f>
      </c>
      <c r="M6912" s="195" t="str">
        <f>L6912*(1-K6912)</f>
      </c>
    </row>
    <row r="6913">
      <c r="A6913" t="s">
        <v>167</v>
      </c>
      <c r="B6913" t="s">
        <v>113</v>
      </c>
      <c r="C6913" s="35" t="s">
        <v>521</v>
      </c>
      <c r="D6913" t="s">
        <v>113</v>
      </c>
      <c r="E6913" t="s">
        <v>520</v>
      </c>
      <c r="F6913" s="188" t="n">
        <v>2041</v>
      </c>
      <c r="G6913" s="189" t="n">
        <v>61</v>
      </c>
      <c r="H6913" s="190" t="n">
        <v>22213.0525292385</v>
      </c>
      <c r="I6913" s="191" t="n">
        <v>3627519.40508678</v>
      </c>
      <c r="J6913" s="192" t="str">
        <f>IF(I6913&gt;0,H6913/I6913,0)</f>
      </c>
      <c r="K6913" s="193" t="str">
        <f>1-EXP(-J6913)</f>
      </c>
      <c r="L6913" s="194" t="str">
        <f>IF(G6913=30,1,M6912)</f>
      </c>
      <c r="M6913" s="195" t="str">
        <f>L6913*(1-K6913)</f>
      </c>
    </row>
    <row r="6914">
      <c r="A6914" t="s">
        <v>167</v>
      </c>
      <c r="B6914" t="s">
        <v>113</v>
      </c>
      <c r="C6914" s="35" t="s">
        <v>521</v>
      </c>
      <c r="D6914" t="s">
        <v>113</v>
      </c>
      <c r="E6914" t="s">
        <v>520</v>
      </c>
      <c r="F6914" s="188" t="n">
        <v>2041</v>
      </c>
      <c r="G6914" s="189" t="n">
        <v>62</v>
      </c>
      <c r="H6914" s="190" t="n">
        <v>23740.6358282712</v>
      </c>
      <c r="I6914" s="191" t="n">
        <v>3536232.09485419</v>
      </c>
      <c r="J6914" s="192" t="str">
        <f>IF(I6914&gt;0,H6914/I6914,0)</f>
      </c>
      <c r="K6914" s="193" t="str">
        <f>1-EXP(-J6914)</f>
      </c>
      <c r="L6914" s="194" t="str">
        <f>IF(G6914=30,1,M6913)</f>
      </c>
      <c r="M6914" s="195" t="str">
        <f>L6914*(1-K6914)</f>
      </c>
    </row>
    <row r="6915">
      <c r="A6915" t="s">
        <v>167</v>
      </c>
      <c r="B6915" t="s">
        <v>113</v>
      </c>
      <c r="C6915" s="35" t="s">
        <v>521</v>
      </c>
      <c r="D6915" t="s">
        <v>113</v>
      </c>
      <c r="E6915" t="s">
        <v>520</v>
      </c>
      <c r="F6915" s="188" t="n">
        <v>2041</v>
      </c>
      <c r="G6915" s="189" t="n">
        <v>63</v>
      </c>
      <c r="H6915" s="190" t="n">
        <v>25219.817538892</v>
      </c>
      <c r="I6915" s="191" t="n">
        <v>3425858.83753366</v>
      </c>
      <c r="J6915" s="192" t="str">
        <f>IF(I6915&gt;0,H6915/I6915,0)</f>
      </c>
      <c r="K6915" s="193" t="str">
        <f>1-EXP(-J6915)</f>
      </c>
      <c r="L6915" s="194" t="str">
        <f>IF(G6915=30,1,M6914)</f>
      </c>
      <c r="M6915" s="195" t="str">
        <f>L6915*(1-K6915)</f>
      </c>
    </row>
    <row r="6916">
      <c r="A6916" t="s">
        <v>167</v>
      </c>
      <c r="B6916" t="s">
        <v>113</v>
      </c>
      <c r="C6916" s="35" t="s">
        <v>521</v>
      </c>
      <c r="D6916" t="s">
        <v>113</v>
      </c>
      <c r="E6916" t="s">
        <v>520</v>
      </c>
      <c r="F6916" s="188" t="n">
        <v>2041</v>
      </c>
      <c r="G6916" s="189" t="n">
        <v>64</v>
      </c>
      <c r="H6916" s="190" t="n">
        <v>26896.8837358947</v>
      </c>
      <c r="I6916" s="191" t="n">
        <v>3328468.73915922</v>
      </c>
      <c r="J6916" s="192" t="str">
        <f>IF(I6916&gt;0,H6916/I6916,0)</f>
      </c>
      <c r="K6916" s="193" t="str">
        <f>1-EXP(-J6916)</f>
      </c>
      <c r="L6916" s="194" t="str">
        <f>IF(G6916=30,1,M6915)</f>
      </c>
      <c r="M6916" s="195" t="str">
        <f>L6916*(1-K6916)</f>
      </c>
    </row>
    <row r="6917">
      <c r="A6917" t="s">
        <v>167</v>
      </c>
      <c r="B6917" t="s">
        <v>113</v>
      </c>
      <c r="C6917" s="35" t="s">
        <v>521</v>
      </c>
      <c r="D6917" t="s">
        <v>113</v>
      </c>
      <c r="E6917" t="s">
        <v>520</v>
      </c>
      <c r="F6917" s="188" t="n">
        <v>2041</v>
      </c>
      <c r="G6917" s="189" t="n">
        <v>65</v>
      </c>
      <c r="H6917" s="190" t="n">
        <v>27309.9376973315</v>
      </c>
      <c r="I6917" s="191" t="n">
        <v>3219393.71338257</v>
      </c>
      <c r="J6917" s="192" t="str">
        <f>IF(I6917&gt;0,H6917/I6917,0)</f>
      </c>
      <c r="K6917" s="193" t="str">
        <f>1-EXP(-J6917)</f>
      </c>
      <c r="L6917" s="194" t="str">
        <f>IF(G6917=30,1,M6916)</f>
      </c>
      <c r="M6917" s="195" t="str">
        <f>L6917*(1-K6917)</f>
      </c>
    </row>
    <row r="6918">
      <c r="A6918" t="s">
        <v>167</v>
      </c>
      <c r="B6918" t="s">
        <v>113</v>
      </c>
      <c r="C6918" s="35" t="s">
        <v>521</v>
      </c>
      <c r="D6918" t="s">
        <v>113</v>
      </c>
      <c r="E6918" t="s">
        <v>520</v>
      </c>
      <c r="F6918" s="188" t="n">
        <v>2041</v>
      </c>
      <c r="G6918" s="189" t="n">
        <v>66</v>
      </c>
      <c r="H6918" s="190" t="n">
        <v>28932.6689794008</v>
      </c>
      <c r="I6918" s="191" t="n">
        <v>3108592.28016105</v>
      </c>
      <c r="J6918" s="192" t="str">
        <f>IF(I6918&gt;0,H6918/I6918,0)</f>
      </c>
      <c r="K6918" s="193" t="str">
        <f>1-EXP(-J6918)</f>
      </c>
      <c r="L6918" s="194" t="str">
        <f>IF(G6918=30,1,M6917)</f>
      </c>
      <c r="M6918" s="195" t="str">
        <f>L6918*(1-K6918)</f>
      </c>
    </row>
    <row r="6919">
      <c r="A6919" t="s">
        <v>167</v>
      </c>
      <c r="B6919" t="s">
        <v>113</v>
      </c>
      <c r="C6919" s="35" t="s">
        <v>521</v>
      </c>
      <c r="D6919" t="s">
        <v>113</v>
      </c>
      <c r="E6919" t="s">
        <v>520</v>
      </c>
      <c r="F6919" s="188" t="n">
        <v>2041</v>
      </c>
      <c r="G6919" s="189" t="n">
        <v>67</v>
      </c>
      <c r="H6919" s="190" t="n">
        <v>30364.951090911</v>
      </c>
      <c r="I6919" s="191" t="n">
        <v>2972416.64651847</v>
      </c>
      <c r="J6919" s="192" t="str">
        <f>IF(I6919&gt;0,H6919/I6919,0)</f>
      </c>
      <c r="K6919" s="193" t="str">
        <f>1-EXP(-J6919)</f>
      </c>
      <c r="L6919" s="194" t="str">
        <f>IF(G6919=30,1,M6918)</f>
      </c>
      <c r="M6919" s="195" t="str">
        <f>L6919*(1-K6919)</f>
      </c>
    </row>
    <row r="6920">
      <c r="A6920" t="s">
        <v>167</v>
      </c>
      <c r="B6920" t="s">
        <v>113</v>
      </c>
      <c r="C6920" s="35" t="s">
        <v>521</v>
      </c>
      <c r="D6920" t="s">
        <v>113</v>
      </c>
      <c r="E6920" t="s">
        <v>520</v>
      </c>
      <c r="F6920" s="188" t="n">
        <v>2041</v>
      </c>
      <c r="G6920" s="189" t="n">
        <v>68</v>
      </c>
      <c r="H6920" s="190" t="n">
        <v>32367.2937587609</v>
      </c>
      <c r="I6920" s="191" t="n">
        <v>2884879.38747358</v>
      </c>
      <c r="J6920" s="192" t="str">
        <f>IF(I6920&gt;0,H6920/I6920,0)</f>
      </c>
      <c r="K6920" s="193" t="str">
        <f>1-EXP(-J6920)</f>
      </c>
      <c r="L6920" s="194" t="str">
        <f>IF(G6920=30,1,M6919)</f>
      </c>
      <c r="M6920" s="195" t="str">
        <f>L6920*(1-K6920)</f>
      </c>
    </row>
    <row r="6921">
      <c r="A6921" t="s">
        <v>167</v>
      </c>
      <c r="B6921" t="s">
        <v>113</v>
      </c>
      <c r="C6921" s="35" t="s">
        <v>521</v>
      </c>
      <c r="D6921" t="s">
        <v>113</v>
      </c>
      <c r="E6921" t="s">
        <v>520</v>
      </c>
      <c r="F6921" s="188" t="n">
        <v>2041</v>
      </c>
      <c r="G6921" s="189" t="n">
        <v>69</v>
      </c>
      <c r="H6921" s="190" t="n">
        <v>32858.2865335721</v>
      </c>
      <c r="I6921" s="191" t="n">
        <v>2661539.17602483</v>
      </c>
      <c r="J6921" s="192" t="str">
        <f>IF(I6921&gt;0,H6921/I6921,0)</f>
      </c>
      <c r="K6921" s="193" t="str">
        <f>1-EXP(-J6921)</f>
      </c>
      <c r="L6921" s="194" t="str">
        <f>IF(G6921=30,1,M6920)</f>
      </c>
      <c r="M6921" s="195" t="str">
        <f>L6921*(1-K6921)</f>
      </c>
    </row>
    <row r="6922">
      <c r="A6922" t="s">
        <v>167</v>
      </c>
      <c r="B6922" t="s">
        <v>113</v>
      </c>
      <c r="C6922" s="35" t="s">
        <v>521</v>
      </c>
      <c r="D6922" t="s">
        <v>113</v>
      </c>
      <c r="E6922" t="s">
        <v>520</v>
      </c>
      <c r="F6922" s="188" t="n">
        <v>2042</v>
      </c>
      <c r="G6922" s="189" t="n">
        <v>30</v>
      </c>
      <c r="H6922" s="190" t="n">
        <v>832.580379922916</v>
      </c>
      <c r="I6922" s="191" t="n">
        <v>4906538.32754179</v>
      </c>
      <c r="J6922" s="192" t="str">
        <f>IF(I6922&gt;0,H6922/I6922,0)</f>
      </c>
      <c r="K6922" s="193" t="str">
        <f>1-EXP(-J6922)</f>
      </c>
      <c r="L6922" s="194" t="str">
        <f>IF(G6922=30,1,M6921)</f>
      </c>
      <c r="M6922" s="195" t="str">
        <f>L6922*(1-K6922)</f>
      </c>
    </row>
    <row r="6923">
      <c r="A6923" t="s">
        <v>167</v>
      </c>
      <c r="B6923" t="s">
        <v>113</v>
      </c>
      <c r="C6923" s="35" t="s">
        <v>521</v>
      </c>
      <c r="D6923" t="s">
        <v>113</v>
      </c>
      <c r="E6923" t="s">
        <v>520</v>
      </c>
      <c r="F6923" s="188" t="n">
        <v>2042</v>
      </c>
      <c r="G6923" s="189" t="n">
        <v>31</v>
      </c>
      <c r="H6923" s="190" t="n">
        <v>1065.69056111107</v>
      </c>
      <c r="I6923" s="191" t="n">
        <v>4878382.80705915</v>
      </c>
      <c r="J6923" s="192" t="str">
        <f>IF(I6923&gt;0,H6923/I6923,0)</f>
      </c>
      <c r="K6923" s="193" t="str">
        <f>1-EXP(-J6923)</f>
      </c>
      <c r="L6923" s="194" t="str">
        <f>IF(G6923=30,1,M6922)</f>
      </c>
      <c r="M6923" s="195" t="str">
        <f>L6923*(1-K6923)</f>
      </c>
    </row>
    <row r="6924">
      <c r="A6924" t="s">
        <v>167</v>
      </c>
      <c r="B6924" t="s">
        <v>113</v>
      </c>
      <c r="C6924" s="35" t="s">
        <v>521</v>
      </c>
      <c r="D6924" t="s">
        <v>113</v>
      </c>
      <c r="E6924" t="s">
        <v>520</v>
      </c>
      <c r="F6924" s="188" t="n">
        <v>2042</v>
      </c>
      <c r="G6924" s="189" t="n">
        <v>32</v>
      </c>
      <c r="H6924" s="190" t="n">
        <v>1091.15980592808</v>
      </c>
      <c r="I6924" s="191" t="n">
        <v>4744634.39584658</v>
      </c>
      <c r="J6924" s="192" t="str">
        <f>IF(I6924&gt;0,H6924/I6924,0)</f>
      </c>
      <c r="K6924" s="193" t="str">
        <f>1-EXP(-J6924)</f>
      </c>
      <c r="L6924" s="194" t="str">
        <f>IF(G6924=30,1,M6923)</f>
      </c>
      <c r="M6924" s="195" t="str">
        <f>L6924*(1-K6924)</f>
      </c>
    </row>
    <row r="6925">
      <c r="A6925" t="s">
        <v>167</v>
      </c>
      <c r="B6925" t="s">
        <v>113</v>
      </c>
      <c r="C6925" s="35" t="s">
        <v>521</v>
      </c>
      <c r="D6925" t="s">
        <v>113</v>
      </c>
      <c r="E6925" t="s">
        <v>520</v>
      </c>
      <c r="F6925" s="188" t="n">
        <v>2042</v>
      </c>
      <c r="G6925" s="189" t="n">
        <v>33</v>
      </c>
      <c r="H6925" s="190" t="n">
        <v>1138.21687315582</v>
      </c>
      <c r="I6925" s="191" t="n">
        <v>4673773.73197154</v>
      </c>
      <c r="J6925" s="192" t="str">
        <f>IF(I6925&gt;0,H6925/I6925,0)</f>
      </c>
      <c r="K6925" s="193" t="str">
        <f>1-EXP(-J6925)</f>
      </c>
      <c r="L6925" s="194" t="str">
        <f>IF(G6925=30,1,M6924)</f>
      </c>
      <c r="M6925" s="195" t="str">
        <f>L6925*(1-K6925)</f>
      </c>
    </row>
    <row r="6926">
      <c r="A6926" t="s">
        <v>167</v>
      </c>
      <c r="B6926" t="s">
        <v>113</v>
      </c>
      <c r="C6926" s="35" t="s">
        <v>521</v>
      </c>
      <c r="D6926" t="s">
        <v>113</v>
      </c>
      <c r="E6926" t="s">
        <v>520</v>
      </c>
      <c r="F6926" s="188" t="n">
        <v>2042</v>
      </c>
      <c r="G6926" s="189" t="n">
        <v>34</v>
      </c>
      <c r="H6926" s="190" t="n">
        <v>1201.68248008853</v>
      </c>
      <c r="I6926" s="191" t="n">
        <v>4630857.39965165</v>
      </c>
      <c r="J6926" s="192" t="str">
        <f>IF(I6926&gt;0,H6926/I6926,0)</f>
      </c>
      <c r="K6926" s="193" t="str">
        <f>1-EXP(-J6926)</f>
      </c>
      <c r="L6926" s="194" t="str">
        <f>IF(G6926=30,1,M6925)</f>
      </c>
      <c r="M6926" s="195" t="str">
        <f>L6926*(1-K6926)</f>
      </c>
    </row>
    <row r="6927">
      <c r="A6927" t="s">
        <v>167</v>
      </c>
      <c r="B6927" t="s">
        <v>113</v>
      </c>
      <c r="C6927" s="35" t="s">
        <v>521</v>
      </c>
      <c r="D6927" t="s">
        <v>113</v>
      </c>
      <c r="E6927" t="s">
        <v>520</v>
      </c>
      <c r="F6927" s="188" t="n">
        <v>2042</v>
      </c>
      <c r="G6927" s="189" t="n">
        <v>35</v>
      </c>
      <c r="H6927" s="190" t="n">
        <v>1669.55816743087</v>
      </c>
      <c r="I6927" s="191" t="n">
        <v>4656136.78720734</v>
      </c>
      <c r="J6927" s="192" t="str">
        <f>IF(I6927&gt;0,H6927/I6927,0)</f>
      </c>
      <c r="K6927" s="193" t="str">
        <f>1-EXP(-J6927)</f>
      </c>
      <c r="L6927" s="194" t="str">
        <f>IF(G6927=30,1,M6926)</f>
      </c>
      <c r="M6927" s="195" t="str">
        <f>L6927*(1-K6927)</f>
      </c>
    </row>
    <row r="6928">
      <c r="A6928" t="s">
        <v>167</v>
      </c>
      <c r="B6928" t="s">
        <v>113</v>
      </c>
      <c r="C6928" s="35" t="s">
        <v>521</v>
      </c>
      <c r="D6928" t="s">
        <v>113</v>
      </c>
      <c r="E6928" t="s">
        <v>520</v>
      </c>
      <c r="F6928" s="188" t="n">
        <v>2042</v>
      </c>
      <c r="G6928" s="189" t="n">
        <v>36</v>
      </c>
      <c r="H6928" s="190" t="n">
        <v>1900.21174767719</v>
      </c>
      <c r="I6928" s="191" t="n">
        <v>4572163.6394347</v>
      </c>
      <c r="J6928" s="192" t="str">
        <f>IF(I6928&gt;0,H6928/I6928,0)</f>
      </c>
      <c r="K6928" s="193" t="str">
        <f>1-EXP(-J6928)</f>
      </c>
      <c r="L6928" s="194" t="str">
        <f>IF(G6928=30,1,M6927)</f>
      </c>
      <c r="M6928" s="195" t="str">
        <f>L6928*(1-K6928)</f>
      </c>
    </row>
    <row r="6929">
      <c r="A6929" t="s">
        <v>167</v>
      </c>
      <c r="B6929" t="s">
        <v>113</v>
      </c>
      <c r="C6929" s="35" t="s">
        <v>521</v>
      </c>
      <c r="D6929" t="s">
        <v>113</v>
      </c>
      <c r="E6929" t="s">
        <v>520</v>
      </c>
      <c r="F6929" s="188" t="n">
        <v>2042</v>
      </c>
      <c r="G6929" s="189" t="n">
        <v>37</v>
      </c>
      <c r="H6929" s="190" t="n">
        <v>2014.40599828329</v>
      </c>
      <c r="I6929" s="191" t="n">
        <v>4510064.03418967</v>
      </c>
      <c r="J6929" s="192" t="str">
        <f>IF(I6929&gt;0,H6929/I6929,0)</f>
      </c>
      <c r="K6929" s="193" t="str">
        <f>1-EXP(-J6929)</f>
      </c>
      <c r="L6929" s="194" t="str">
        <f>IF(G6929=30,1,M6928)</f>
      </c>
      <c r="M6929" s="195" t="str">
        <f>L6929*(1-K6929)</f>
      </c>
    </row>
    <row r="6930">
      <c r="A6930" t="s">
        <v>167</v>
      </c>
      <c r="B6930" t="s">
        <v>113</v>
      </c>
      <c r="C6930" s="35" t="s">
        <v>521</v>
      </c>
      <c r="D6930" t="s">
        <v>113</v>
      </c>
      <c r="E6930" t="s">
        <v>520</v>
      </c>
      <c r="F6930" s="188" t="n">
        <v>2042</v>
      </c>
      <c r="G6930" s="189" t="n">
        <v>38</v>
      </c>
      <c r="H6930" s="190" t="n">
        <v>2109.54747559672</v>
      </c>
      <c r="I6930" s="191" t="n">
        <v>4380494.84927788</v>
      </c>
      <c r="J6930" s="192" t="str">
        <f>IF(I6930&gt;0,H6930/I6930,0)</f>
      </c>
      <c r="K6930" s="193" t="str">
        <f>1-EXP(-J6930)</f>
      </c>
      <c r="L6930" s="194" t="str">
        <f>IF(G6930=30,1,M6929)</f>
      </c>
      <c r="M6930" s="195" t="str">
        <f>L6930*(1-K6930)</f>
      </c>
    </row>
    <row r="6931">
      <c r="A6931" t="s">
        <v>167</v>
      </c>
      <c r="B6931" t="s">
        <v>113</v>
      </c>
      <c r="C6931" s="35" t="s">
        <v>521</v>
      </c>
      <c r="D6931" t="s">
        <v>113</v>
      </c>
      <c r="E6931" t="s">
        <v>520</v>
      </c>
      <c r="F6931" s="188" t="n">
        <v>2042</v>
      </c>
      <c r="G6931" s="189" t="n">
        <v>39</v>
      </c>
      <c r="H6931" s="190" t="n">
        <v>2245.46162893898</v>
      </c>
      <c r="I6931" s="191" t="n">
        <v>4313288.39397408</v>
      </c>
      <c r="J6931" s="192" t="str">
        <f>IF(I6931&gt;0,H6931/I6931,0)</f>
      </c>
      <c r="K6931" s="193" t="str">
        <f>1-EXP(-J6931)</f>
      </c>
      <c r="L6931" s="194" t="str">
        <f>IF(G6931=30,1,M6930)</f>
      </c>
      <c r="M6931" s="195" t="str">
        <f>L6931*(1-K6931)</f>
      </c>
    </row>
    <row r="6932">
      <c r="A6932" t="s">
        <v>167</v>
      </c>
      <c r="B6932" t="s">
        <v>113</v>
      </c>
      <c r="C6932" s="35" t="s">
        <v>521</v>
      </c>
      <c r="D6932" t="s">
        <v>113</v>
      </c>
      <c r="E6932" t="s">
        <v>520</v>
      </c>
      <c r="F6932" s="188" t="n">
        <v>2042</v>
      </c>
      <c r="G6932" s="189" t="n">
        <v>40</v>
      </c>
      <c r="H6932" s="190" t="n">
        <v>3198.91299620783</v>
      </c>
      <c r="I6932" s="191" t="n">
        <v>4288128.70407394</v>
      </c>
      <c r="J6932" s="192" t="str">
        <f>IF(I6932&gt;0,H6932/I6932,0)</f>
      </c>
      <c r="K6932" s="193" t="str">
        <f>1-EXP(-J6932)</f>
      </c>
      <c r="L6932" s="194" t="str">
        <f>IF(G6932=30,1,M6931)</f>
      </c>
      <c r="M6932" s="195" t="str">
        <f>L6932*(1-K6932)</f>
      </c>
    </row>
    <row r="6933">
      <c r="A6933" t="s">
        <v>167</v>
      </c>
      <c r="B6933" t="s">
        <v>113</v>
      </c>
      <c r="C6933" s="35" t="s">
        <v>521</v>
      </c>
      <c r="D6933" t="s">
        <v>113</v>
      </c>
      <c r="E6933" t="s">
        <v>520</v>
      </c>
      <c r="F6933" s="188" t="n">
        <v>2042</v>
      </c>
      <c r="G6933" s="189" t="n">
        <v>41</v>
      </c>
      <c r="H6933" s="190" t="n">
        <v>3521.07451979993</v>
      </c>
      <c r="I6933" s="191" t="n">
        <v>4264255.96052852</v>
      </c>
      <c r="J6933" s="192" t="str">
        <f>IF(I6933&gt;0,H6933/I6933,0)</f>
      </c>
      <c r="K6933" s="193" t="str">
        <f>1-EXP(-J6933)</f>
      </c>
      <c r="L6933" s="194" t="str">
        <f>IF(G6933=30,1,M6932)</f>
      </c>
      <c r="M6933" s="195" t="str">
        <f>L6933*(1-K6933)</f>
      </c>
    </row>
    <row r="6934">
      <c r="A6934" t="s">
        <v>167</v>
      </c>
      <c r="B6934" t="s">
        <v>113</v>
      </c>
      <c r="C6934" s="35" t="s">
        <v>521</v>
      </c>
      <c r="D6934" t="s">
        <v>113</v>
      </c>
      <c r="E6934" t="s">
        <v>520</v>
      </c>
      <c r="F6934" s="188" t="n">
        <v>2042</v>
      </c>
      <c r="G6934" s="189" t="n">
        <v>42</v>
      </c>
      <c r="H6934" s="190" t="n">
        <v>3797.73502541311</v>
      </c>
      <c r="I6934" s="191" t="n">
        <v>4240272.66125209</v>
      </c>
      <c r="J6934" s="192" t="str">
        <f>IF(I6934&gt;0,H6934/I6934,0)</f>
      </c>
      <c r="K6934" s="193" t="str">
        <f>1-EXP(-J6934)</f>
      </c>
      <c r="L6934" s="194" t="str">
        <f>IF(G6934=30,1,M6933)</f>
      </c>
      <c r="M6934" s="195" t="str">
        <f>L6934*(1-K6934)</f>
      </c>
    </row>
    <row r="6935">
      <c r="A6935" t="s">
        <v>167</v>
      </c>
      <c r="B6935" t="s">
        <v>113</v>
      </c>
      <c r="C6935" s="35" t="s">
        <v>521</v>
      </c>
      <c r="D6935" t="s">
        <v>113</v>
      </c>
      <c r="E6935" t="s">
        <v>520</v>
      </c>
      <c r="F6935" s="188" t="n">
        <v>2042</v>
      </c>
      <c r="G6935" s="189" t="n">
        <v>43</v>
      </c>
      <c r="H6935" s="190" t="n">
        <v>4142.99584193982</v>
      </c>
      <c r="I6935" s="191" t="n">
        <v>4254831.65901694</v>
      </c>
      <c r="J6935" s="192" t="str">
        <f>IF(I6935&gt;0,H6935/I6935,0)</f>
      </c>
      <c r="K6935" s="193" t="str">
        <f>1-EXP(-J6935)</f>
      </c>
      <c r="L6935" s="194" t="str">
        <f>IF(G6935=30,1,M6934)</f>
      </c>
      <c r="M6935" s="195" t="str">
        <f>L6935*(1-K6935)</f>
      </c>
    </row>
    <row r="6936">
      <c r="A6936" t="s">
        <v>167</v>
      </c>
      <c r="B6936" t="s">
        <v>113</v>
      </c>
      <c r="C6936" s="35" t="s">
        <v>521</v>
      </c>
      <c r="D6936" t="s">
        <v>113</v>
      </c>
      <c r="E6936" t="s">
        <v>520</v>
      </c>
      <c r="F6936" s="188" t="n">
        <v>2042</v>
      </c>
      <c r="G6936" s="189" t="n">
        <v>44</v>
      </c>
      <c r="H6936" s="190" t="n">
        <v>4571.60937723792</v>
      </c>
      <c r="I6936" s="191" t="n">
        <v>4307176.44706971</v>
      </c>
      <c r="J6936" s="192" t="str">
        <f>IF(I6936&gt;0,H6936/I6936,0)</f>
      </c>
      <c r="K6936" s="193" t="str">
        <f>1-EXP(-J6936)</f>
      </c>
      <c r="L6936" s="194" t="str">
        <f>IF(G6936=30,1,M6935)</f>
      </c>
      <c r="M6936" s="195" t="str">
        <f>L6936*(1-K6936)</f>
      </c>
    </row>
    <row r="6937">
      <c r="A6937" t="s">
        <v>167</v>
      </c>
      <c r="B6937" t="s">
        <v>113</v>
      </c>
      <c r="C6937" s="35" t="s">
        <v>521</v>
      </c>
      <c r="D6937" t="s">
        <v>113</v>
      </c>
      <c r="E6937" t="s">
        <v>520</v>
      </c>
      <c r="F6937" s="188" t="n">
        <v>2042</v>
      </c>
      <c r="G6937" s="189" t="n">
        <v>45</v>
      </c>
      <c r="H6937" s="190" t="n">
        <v>6304.13804615553</v>
      </c>
      <c r="I6937" s="191" t="n">
        <v>4434288.24170798</v>
      </c>
      <c r="J6937" s="192" t="str">
        <f>IF(I6937&gt;0,H6937/I6937,0)</f>
      </c>
      <c r="K6937" s="193" t="str">
        <f>1-EXP(-J6937)</f>
      </c>
      <c r="L6937" s="194" t="str">
        <f>IF(G6937=30,1,M6936)</f>
      </c>
      <c r="M6937" s="195" t="str">
        <f>L6937*(1-K6937)</f>
      </c>
    </row>
    <row r="6938">
      <c r="A6938" t="s">
        <v>167</v>
      </c>
      <c r="B6938" t="s">
        <v>113</v>
      </c>
      <c r="C6938" s="35" t="s">
        <v>521</v>
      </c>
      <c r="D6938" t="s">
        <v>113</v>
      </c>
      <c r="E6938" t="s">
        <v>520</v>
      </c>
      <c r="F6938" s="188" t="n">
        <v>2042</v>
      </c>
      <c r="G6938" s="189" t="n">
        <v>46</v>
      </c>
      <c r="H6938" s="190" t="n">
        <v>6805.18348523358</v>
      </c>
      <c r="I6938" s="191" t="n">
        <v>4382991.63084346</v>
      </c>
      <c r="J6938" s="192" t="str">
        <f>IF(I6938&gt;0,H6938/I6938,0)</f>
      </c>
      <c r="K6938" s="193" t="str">
        <f>1-EXP(-J6938)</f>
      </c>
      <c r="L6938" s="194" t="str">
        <f>IF(G6938=30,1,M6937)</f>
      </c>
      <c r="M6938" s="195" t="str">
        <f>L6938*(1-K6938)</f>
      </c>
    </row>
    <row r="6939">
      <c r="A6939" t="s">
        <v>167</v>
      </c>
      <c r="B6939" t="s">
        <v>113</v>
      </c>
      <c r="C6939" s="35" t="s">
        <v>521</v>
      </c>
      <c r="D6939" t="s">
        <v>113</v>
      </c>
      <c r="E6939" t="s">
        <v>520</v>
      </c>
      <c r="F6939" s="188" t="n">
        <v>2042</v>
      </c>
      <c r="G6939" s="189" t="n">
        <v>47</v>
      </c>
      <c r="H6939" s="190" t="n">
        <v>7308.64830437188</v>
      </c>
      <c r="I6939" s="191" t="n">
        <v>4302436.09619981</v>
      </c>
      <c r="J6939" s="192" t="str">
        <f>IF(I6939&gt;0,H6939/I6939,0)</f>
      </c>
      <c r="K6939" s="193" t="str">
        <f>1-EXP(-J6939)</f>
      </c>
      <c r="L6939" s="194" t="str">
        <f>IF(G6939=30,1,M6938)</f>
      </c>
      <c r="M6939" s="195" t="str">
        <f>L6939*(1-K6939)</f>
      </c>
    </row>
    <row r="6940">
      <c r="A6940" t="s">
        <v>167</v>
      </c>
      <c r="B6940" t="s">
        <v>113</v>
      </c>
      <c r="C6940" s="35" t="s">
        <v>521</v>
      </c>
      <c r="D6940" t="s">
        <v>113</v>
      </c>
      <c r="E6940" t="s">
        <v>520</v>
      </c>
      <c r="F6940" s="188" t="n">
        <v>2042</v>
      </c>
      <c r="G6940" s="189" t="n">
        <v>48</v>
      </c>
      <c r="H6940" s="190" t="n">
        <v>7882.76982584319</v>
      </c>
      <c r="I6940" s="191" t="n">
        <v>4236376.81675699</v>
      </c>
      <c r="J6940" s="192" t="str">
        <f>IF(I6940&gt;0,H6940/I6940,0)</f>
      </c>
      <c r="K6940" s="193" t="str">
        <f>1-EXP(-J6940)</f>
      </c>
      <c r="L6940" s="194" t="str">
        <f>IF(G6940=30,1,M6939)</f>
      </c>
      <c r="M6940" s="195" t="str">
        <f>L6940*(1-K6940)</f>
      </c>
    </row>
    <row r="6941">
      <c r="A6941" t="s">
        <v>167</v>
      </c>
      <c r="B6941" t="s">
        <v>113</v>
      </c>
      <c r="C6941" s="35" t="s">
        <v>521</v>
      </c>
      <c r="D6941" t="s">
        <v>113</v>
      </c>
      <c r="E6941" t="s">
        <v>520</v>
      </c>
      <c r="F6941" s="188" t="n">
        <v>2042</v>
      </c>
      <c r="G6941" s="189" t="n">
        <v>49</v>
      </c>
      <c r="H6941" s="190" t="n">
        <v>8509.33837082088</v>
      </c>
      <c r="I6941" s="191" t="n">
        <v>4172897.12033046</v>
      </c>
      <c r="J6941" s="192" t="str">
        <f>IF(I6941&gt;0,H6941/I6941,0)</f>
      </c>
      <c r="K6941" s="193" t="str">
        <f>1-EXP(-J6941)</f>
      </c>
      <c r="L6941" s="194" t="str">
        <f>IF(G6941=30,1,M6940)</f>
      </c>
      <c r="M6941" s="195" t="str">
        <f>L6941*(1-K6941)</f>
      </c>
    </row>
    <row r="6942">
      <c r="A6942" t="s">
        <v>167</v>
      </c>
      <c r="B6942" t="s">
        <v>113</v>
      </c>
      <c r="C6942" s="35" t="s">
        <v>521</v>
      </c>
      <c r="D6942" t="s">
        <v>113</v>
      </c>
      <c r="E6942" t="s">
        <v>520</v>
      </c>
      <c r="F6942" s="188" t="n">
        <v>2042</v>
      </c>
      <c r="G6942" s="189" t="n">
        <v>50</v>
      </c>
      <c r="H6942" s="190" t="n">
        <v>9794.07978226162</v>
      </c>
      <c r="I6942" s="191" t="n">
        <v>4196555.39787844</v>
      </c>
      <c r="J6942" s="192" t="str">
        <f>IF(I6942&gt;0,H6942/I6942,0)</f>
      </c>
      <c r="K6942" s="193" t="str">
        <f>1-EXP(-J6942)</f>
      </c>
      <c r="L6942" s="194" t="str">
        <f>IF(G6942=30,1,M6941)</f>
      </c>
      <c r="M6942" s="195" t="str">
        <f>L6942*(1-K6942)</f>
      </c>
    </row>
    <row r="6943">
      <c r="A6943" t="s">
        <v>167</v>
      </c>
      <c r="B6943" t="s">
        <v>113</v>
      </c>
      <c r="C6943" s="35" t="s">
        <v>521</v>
      </c>
      <c r="D6943" t="s">
        <v>113</v>
      </c>
      <c r="E6943" t="s">
        <v>520</v>
      </c>
      <c r="F6943" s="188" t="n">
        <v>2042</v>
      </c>
      <c r="G6943" s="189" t="n">
        <v>51</v>
      </c>
      <c r="H6943" s="190" t="n">
        <v>10721.2232059115</v>
      </c>
      <c r="I6943" s="191" t="n">
        <v>4198862.72062161</v>
      </c>
      <c r="J6943" s="192" t="str">
        <f>IF(I6943&gt;0,H6943/I6943,0)</f>
      </c>
      <c r="K6943" s="193" t="str">
        <f>1-EXP(-J6943)</f>
      </c>
      <c r="L6943" s="194" t="str">
        <f>IF(G6943=30,1,M6942)</f>
      </c>
      <c r="M6943" s="195" t="str">
        <f>L6943*(1-K6943)</f>
      </c>
    </row>
    <row r="6944">
      <c r="A6944" t="s">
        <v>167</v>
      </c>
      <c r="B6944" t="s">
        <v>113</v>
      </c>
      <c r="C6944" s="35" t="s">
        <v>521</v>
      </c>
      <c r="D6944" t="s">
        <v>113</v>
      </c>
      <c r="E6944" t="s">
        <v>520</v>
      </c>
      <c r="F6944" s="188" t="n">
        <v>2042</v>
      </c>
      <c r="G6944" s="189" t="n">
        <v>52</v>
      </c>
      <c r="H6944" s="190" t="n">
        <v>15677.5176502158</v>
      </c>
      <c r="I6944" s="191" t="n">
        <v>6174810.42256455</v>
      </c>
      <c r="J6944" s="192" t="str">
        <f>IF(I6944&gt;0,H6944/I6944,0)</f>
      </c>
      <c r="K6944" s="193" t="str">
        <f>1-EXP(-J6944)</f>
      </c>
      <c r="L6944" s="194" t="str">
        <f>IF(G6944=30,1,M6943)</f>
      </c>
      <c r="M6944" s="195" t="str">
        <f>L6944*(1-K6944)</f>
      </c>
    </row>
    <row r="6945">
      <c r="A6945" t="s">
        <v>167</v>
      </c>
      <c r="B6945" t="s">
        <v>113</v>
      </c>
      <c r="C6945" s="35" t="s">
        <v>521</v>
      </c>
      <c r="D6945" t="s">
        <v>113</v>
      </c>
      <c r="E6945" t="s">
        <v>520</v>
      </c>
      <c r="F6945" s="188" t="n">
        <v>2042</v>
      </c>
      <c r="G6945" s="189" t="n">
        <v>53</v>
      </c>
      <c r="H6945" s="190" t="n">
        <v>12556.1927436183</v>
      </c>
      <c r="I6945" s="191" t="n">
        <v>4126082.73458226</v>
      </c>
      <c r="J6945" s="192" t="str">
        <f>IF(I6945&gt;0,H6945/I6945,0)</f>
      </c>
      <c r="K6945" s="193" t="str">
        <f>1-EXP(-J6945)</f>
      </c>
      <c r="L6945" s="194" t="str">
        <f>IF(G6945=30,1,M6944)</f>
      </c>
      <c r="M6945" s="195" t="str">
        <f>L6945*(1-K6945)</f>
      </c>
    </row>
    <row r="6946">
      <c r="A6946" t="s">
        <v>167</v>
      </c>
      <c r="B6946" t="s">
        <v>113</v>
      </c>
      <c r="C6946" s="35" t="s">
        <v>521</v>
      </c>
      <c r="D6946" t="s">
        <v>113</v>
      </c>
      <c r="E6946" t="s">
        <v>520</v>
      </c>
      <c r="F6946" s="188" t="n">
        <v>2042</v>
      </c>
      <c r="G6946" s="189" t="n">
        <v>54</v>
      </c>
      <c r="H6946" s="190" t="n">
        <v>13566.9173694801</v>
      </c>
      <c r="I6946" s="191" t="n">
        <v>4091284.49139274</v>
      </c>
      <c r="J6946" s="192" t="str">
        <f>IF(I6946&gt;0,H6946/I6946,0)</f>
      </c>
      <c r="K6946" s="193" t="str">
        <f>1-EXP(-J6946)</f>
      </c>
      <c r="L6946" s="194" t="str">
        <f>IF(G6946=30,1,M6945)</f>
      </c>
      <c r="M6946" s="195" t="str">
        <f>L6946*(1-K6946)</f>
      </c>
    </row>
    <row r="6947">
      <c r="A6947" t="s">
        <v>167</v>
      </c>
      <c r="B6947" t="s">
        <v>113</v>
      </c>
      <c r="C6947" s="35" t="s">
        <v>521</v>
      </c>
      <c r="D6947" t="s">
        <v>113</v>
      </c>
      <c r="E6947" t="s">
        <v>520</v>
      </c>
      <c r="F6947" s="188" t="n">
        <v>2042</v>
      </c>
      <c r="G6947" s="189" t="n">
        <v>55</v>
      </c>
      <c r="H6947" s="190" t="n">
        <v>14105.6151038477</v>
      </c>
      <c r="I6947" s="191" t="n">
        <v>3945930.15198529</v>
      </c>
      <c r="J6947" s="192" t="str">
        <f>IF(I6947&gt;0,H6947/I6947,0)</f>
      </c>
      <c r="K6947" s="193" t="str">
        <f>1-EXP(-J6947)</f>
      </c>
      <c r="L6947" s="194" t="str">
        <f>IF(G6947=30,1,M6946)</f>
      </c>
      <c r="M6947" s="195" t="str">
        <f>L6947*(1-K6947)</f>
      </c>
    </row>
    <row r="6948">
      <c r="A6948" t="s">
        <v>167</v>
      </c>
      <c r="B6948" t="s">
        <v>113</v>
      </c>
      <c r="C6948" s="35" t="s">
        <v>521</v>
      </c>
      <c r="D6948" t="s">
        <v>113</v>
      </c>
      <c r="E6948" t="s">
        <v>520</v>
      </c>
      <c r="F6948" s="188" t="n">
        <v>2042</v>
      </c>
      <c r="G6948" s="189" t="n">
        <v>56</v>
      </c>
      <c r="H6948" s="190" t="n">
        <v>15153.1511424919</v>
      </c>
      <c r="I6948" s="191" t="n">
        <v>3891591.24738781</v>
      </c>
      <c r="J6948" s="192" t="str">
        <f>IF(I6948&gt;0,H6948/I6948,0)</f>
      </c>
      <c r="K6948" s="193" t="str">
        <f>1-EXP(-J6948)</f>
      </c>
      <c r="L6948" s="194" t="str">
        <f>IF(G6948=30,1,M6947)</f>
      </c>
      <c r="M6948" s="195" t="str">
        <f>L6948*(1-K6948)</f>
      </c>
    </row>
    <row r="6949">
      <c r="A6949" t="s">
        <v>167</v>
      </c>
      <c r="B6949" t="s">
        <v>113</v>
      </c>
      <c r="C6949" s="35" t="s">
        <v>521</v>
      </c>
      <c r="D6949" t="s">
        <v>113</v>
      </c>
      <c r="E6949" t="s">
        <v>520</v>
      </c>
      <c r="F6949" s="188" t="n">
        <v>2042</v>
      </c>
      <c r="G6949" s="189" t="n">
        <v>57</v>
      </c>
      <c r="H6949" s="190" t="n">
        <v>16661.1602772366</v>
      </c>
      <c r="I6949" s="191" t="n">
        <v>3923034.7522621</v>
      </c>
      <c r="J6949" s="192" t="str">
        <f>IF(I6949&gt;0,H6949/I6949,0)</f>
      </c>
      <c r="K6949" s="193" t="str">
        <f>1-EXP(-J6949)</f>
      </c>
      <c r="L6949" s="194" t="str">
        <f>IF(G6949=30,1,M6948)</f>
      </c>
      <c r="M6949" s="195" t="str">
        <f>L6949*(1-K6949)</f>
      </c>
    </row>
    <row r="6950">
      <c r="A6950" t="s">
        <v>167</v>
      </c>
      <c r="B6950" t="s">
        <v>113</v>
      </c>
      <c r="C6950" s="35" t="s">
        <v>521</v>
      </c>
      <c r="D6950" t="s">
        <v>113</v>
      </c>
      <c r="E6950" t="s">
        <v>520</v>
      </c>
      <c r="F6950" s="188" t="n">
        <v>2042</v>
      </c>
      <c r="G6950" s="189" t="n">
        <v>58</v>
      </c>
      <c r="H6950" s="190" t="n">
        <v>18437.7599849849</v>
      </c>
      <c r="I6950" s="191" t="n">
        <v>3974965.8302749</v>
      </c>
      <c r="J6950" s="192" t="str">
        <f>IF(I6950&gt;0,H6950/I6950,0)</f>
      </c>
      <c r="K6950" s="193" t="str">
        <f>1-EXP(-J6950)</f>
      </c>
      <c r="L6950" s="194" t="str">
        <f>IF(G6950=30,1,M6949)</f>
      </c>
      <c r="M6950" s="195" t="str">
        <f>L6950*(1-K6950)</f>
      </c>
    </row>
    <row r="6951">
      <c r="A6951" t="s">
        <v>167</v>
      </c>
      <c r="B6951" t="s">
        <v>113</v>
      </c>
      <c r="C6951" s="35" t="s">
        <v>521</v>
      </c>
      <c r="D6951" t="s">
        <v>113</v>
      </c>
      <c r="E6951" t="s">
        <v>520</v>
      </c>
      <c r="F6951" s="188" t="n">
        <v>2042</v>
      </c>
      <c r="G6951" s="189" t="n">
        <v>59</v>
      </c>
      <c r="H6951" s="190" t="n">
        <v>19903.9849137002</v>
      </c>
      <c r="I6951" s="191" t="n">
        <v>3923538.953196</v>
      </c>
      <c r="J6951" s="192" t="str">
        <f>IF(I6951&gt;0,H6951/I6951,0)</f>
      </c>
      <c r="K6951" s="193" t="str">
        <f>1-EXP(-J6951)</f>
      </c>
      <c r="L6951" s="194" t="str">
        <f>IF(G6951=30,1,M6950)</f>
      </c>
      <c r="M6951" s="195" t="str">
        <f>L6951*(1-K6951)</f>
      </c>
    </row>
    <row r="6952">
      <c r="A6952" t="s">
        <v>167</v>
      </c>
      <c r="B6952" t="s">
        <v>113</v>
      </c>
      <c r="C6952" s="35" t="s">
        <v>521</v>
      </c>
      <c r="D6952" t="s">
        <v>113</v>
      </c>
      <c r="E6952" t="s">
        <v>520</v>
      </c>
      <c r="F6952" s="188" t="n">
        <v>2042</v>
      </c>
      <c r="G6952" s="189" t="n">
        <v>60</v>
      </c>
      <c r="H6952" s="190" t="n">
        <v>20809.0668024194</v>
      </c>
      <c r="I6952" s="191" t="n">
        <v>3767344.92717726</v>
      </c>
      <c r="J6952" s="192" t="str">
        <f>IF(I6952&gt;0,H6952/I6952,0)</f>
      </c>
      <c r="K6952" s="193" t="str">
        <f>1-EXP(-J6952)</f>
      </c>
      <c r="L6952" s="194" t="str">
        <f>IF(G6952=30,1,M6951)</f>
      </c>
      <c r="M6952" s="195" t="str">
        <f>L6952*(1-K6952)</f>
      </c>
    </row>
    <row r="6953">
      <c r="A6953" t="s">
        <v>167</v>
      </c>
      <c r="B6953" t="s">
        <v>113</v>
      </c>
      <c r="C6953" s="35" t="s">
        <v>521</v>
      </c>
      <c r="D6953" t="s">
        <v>113</v>
      </c>
      <c r="E6953" t="s">
        <v>520</v>
      </c>
      <c r="F6953" s="188" t="n">
        <v>2042</v>
      </c>
      <c r="G6953" s="189" t="n">
        <v>61</v>
      </c>
      <c r="H6953" s="190" t="n">
        <v>22200.188703143</v>
      </c>
      <c r="I6953" s="191" t="n">
        <v>3666899.15867402</v>
      </c>
      <c r="J6953" s="192" t="str">
        <f>IF(I6953&gt;0,H6953/I6953,0)</f>
      </c>
      <c r="K6953" s="193" t="str">
        <f>1-EXP(-J6953)</f>
      </c>
      <c r="L6953" s="194" t="str">
        <f>IF(G6953=30,1,M6952)</f>
      </c>
      <c r="M6953" s="195" t="str">
        <f>L6953*(1-K6953)</f>
      </c>
    </row>
    <row r="6954">
      <c r="A6954" t="s">
        <v>167</v>
      </c>
      <c r="B6954" t="s">
        <v>113</v>
      </c>
      <c r="C6954" s="35" t="s">
        <v>521</v>
      </c>
      <c r="D6954" t="s">
        <v>113</v>
      </c>
      <c r="E6954" t="s">
        <v>520</v>
      </c>
      <c r="F6954" s="188" t="n">
        <v>2042</v>
      </c>
      <c r="G6954" s="189" t="n">
        <v>62</v>
      </c>
      <c r="H6954" s="190" t="n">
        <v>23761.069906679</v>
      </c>
      <c r="I6954" s="191" t="n">
        <v>3579137.55556453</v>
      </c>
      <c r="J6954" s="192" t="str">
        <f>IF(I6954&gt;0,H6954/I6954,0)</f>
      </c>
      <c r="K6954" s="193" t="str">
        <f>1-EXP(-J6954)</f>
      </c>
      <c r="L6954" s="194" t="str">
        <f>IF(G6954=30,1,M6953)</f>
      </c>
      <c r="M6954" s="195" t="str">
        <f>L6954*(1-K6954)</f>
      </c>
    </row>
    <row r="6955">
      <c r="A6955" t="s">
        <v>167</v>
      </c>
      <c r="B6955" t="s">
        <v>113</v>
      </c>
      <c r="C6955" s="35" t="s">
        <v>521</v>
      </c>
      <c r="D6955" t="s">
        <v>113</v>
      </c>
      <c r="E6955" t="s">
        <v>520</v>
      </c>
      <c r="F6955" s="188" t="n">
        <v>2042</v>
      </c>
      <c r="G6955" s="189" t="n">
        <v>63</v>
      </c>
      <c r="H6955" s="190" t="n">
        <v>25369.6441470172</v>
      </c>
      <c r="I6955" s="191" t="n">
        <v>3484537.67448704</v>
      </c>
      <c r="J6955" s="192" t="str">
        <f>IF(I6955&gt;0,H6955/I6955,0)</f>
      </c>
      <c r="K6955" s="193" t="str">
        <f>1-EXP(-J6955)</f>
      </c>
      <c r="L6955" s="194" t="str">
        <f>IF(G6955=30,1,M6954)</f>
      </c>
      <c r="M6955" s="195" t="str">
        <f>L6955*(1-K6955)</f>
      </c>
    </row>
    <row r="6956">
      <c r="A6956" t="s">
        <v>167</v>
      </c>
      <c r="B6956" t="s">
        <v>113</v>
      </c>
      <c r="C6956" s="35" t="s">
        <v>521</v>
      </c>
      <c r="D6956" t="s">
        <v>113</v>
      </c>
      <c r="E6956" t="s">
        <v>520</v>
      </c>
      <c r="F6956" s="188" t="n">
        <v>2042</v>
      </c>
      <c r="G6956" s="189" t="n">
        <v>64</v>
      </c>
      <c r="H6956" s="190" t="n">
        <v>26913.1024601343</v>
      </c>
      <c r="I6956" s="191" t="n">
        <v>3370951.98057979</v>
      </c>
      <c r="J6956" s="192" t="str">
        <f>IF(I6956&gt;0,H6956/I6956,0)</f>
      </c>
      <c r="K6956" s="193" t="str">
        <f>1-EXP(-J6956)</f>
      </c>
      <c r="L6956" s="194" t="str">
        <f>IF(G6956=30,1,M6955)</f>
      </c>
      <c r="M6956" s="195" t="str">
        <f>L6956*(1-K6956)</f>
      </c>
    </row>
    <row r="6957">
      <c r="A6957" t="s">
        <v>167</v>
      </c>
      <c r="B6957" t="s">
        <v>113</v>
      </c>
      <c r="C6957" s="35" t="s">
        <v>521</v>
      </c>
      <c r="D6957" t="s">
        <v>113</v>
      </c>
      <c r="E6957" t="s">
        <v>520</v>
      </c>
      <c r="F6957" s="188" t="n">
        <v>2042</v>
      </c>
      <c r="G6957" s="189" t="n">
        <v>65</v>
      </c>
      <c r="H6957" s="190" t="n">
        <v>27412.3068589955</v>
      </c>
      <c r="I6957" s="191" t="n">
        <v>3269912.9100278</v>
      </c>
      <c r="J6957" s="192" t="str">
        <f>IF(I6957&gt;0,H6957/I6957,0)</f>
      </c>
      <c r="K6957" s="193" t="str">
        <f>1-EXP(-J6957)</f>
      </c>
      <c r="L6957" s="194" t="str">
        <f>IF(G6957=30,1,M6956)</f>
      </c>
      <c r="M6957" s="195" t="str">
        <f>L6957*(1-K6957)</f>
      </c>
    </row>
    <row r="6958">
      <c r="A6958" t="s">
        <v>167</v>
      </c>
      <c r="B6958" t="s">
        <v>113</v>
      </c>
      <c r="C6958" s="35" t="s">
        <v>521</v>
      </c>
      <c r="D6958" t="s">
        <v>113</v>
      </c>
      <c r="E6958" t="s">
        <v>520</v>
      </c>
      <c r="F6958" s="188" t="n">
        <v>2042</v>
      </c>
      <c r="G6958" s="189" t="n">
        <v>66</v>
      </c>
      <c r="H6958" s="190" t="n">
        <v>29050.1967710517</v>
      </c>
      <c r="I6958" s="191" t="n">
        <v>3157919.1706857</v>
      </c>
      <c r="J6958" s="192" t="str">
        <f>IF(I6958&gt;0,H6958/I6958,0)</f>
      </c>
      <c r="K6958" s="193" t="str">
        <f>1-EXP(-J6958)</f>
      </c>
      <c r="L6958" s="194" t="str">
        <f>IF(G6958=30,1,M6957)</f>
      </c>
      <c r="M6958" s="195" t="str">
        <f>L6958*(1-K6958)</f>
      </c>
    </row>
    <row r="6959">
      <c r="A6959" t="s">
        <v>167</v>
      </c>
      <c r="B6959" t="s">
        <v>113</v>
      </c>
      <c r="C6959" s="35" t="s">
        <v>521</v>
      </c>
      <c r="D6959" t="s">
        <v>113</v>
      </c>
      <c r="E6959" t="s">
        <v>520</v>
      </c>
      <c r="F6959" s="188" t="n">
        <v>2042</v>
      </c>
      <c r="G6959" s="189" t="n">
        <v>67</v>
      </c>
      <c r="H6959" s="190" t="n">
        <v>30726.0158292393</v>
      </c>
      <c r="I6959" s="191" t="n">
        <v>3042932.49953485</v>
      </c>
      <c r="J6959" s="192" t="str">
        <f>IF(I6959&gt;0,H6959/I6959,0)</f>
      </c>
      <c r="K6959" s="193" t="str">
        <f>1-EXP(-J6959)</f>
      </c>
      <c r="L6959" s="194" t="str">
        <f>IF(G6959=30,1,M6958)</f>
      </c>
      <c r="M6959" s="195" t="str">
        <f>L6959*(1-K6959)</f>
      </c>
    </row>
    <row r="6960">
      <c r="A6960" t="s">
        <v>167</v>
      </c>
      <c r="B6960" t="s">
        <v>113</v>
      </c>
      <c r="C6960" s="35" t="s">
        <v>521</v>
      </c>
      <c r="D6960" t="s">
        <v>113</v>
      </c>
      <c r="E6960" t="s">
        <v>520</v>
      </c>
      <c r="F6960" s="188" t="n">
        <v>2042</v>
      </c>
      <c r="G6960" s="189" t="n">
        <v>68</v>
      </c>
      <c r="H6960" s="190" t="n">
        <v>32204.1606839096</v>
      </c>
      <c r="I6960" s="191" t="n">
        <v>2903562.96976797</v>
      </c>
      <c r="J6960" s="192" t="str">
        <f>IF(I6960&gt;0,H6960/I6960,0)</f>
      </c>
      <c r="K6960" s="193" t="str">
        <f>1-EXP(-J6960)</f>
      </c>
      <c r="L6960" s="194" t="str">
        <f>IF(G6960=30,1,M6959)</f>
      </c>
      <c r="M6960" s="195" t="str">
        <f>L6960*(1-K6960)</f>
      </c>
    </row>
    <row r="6961">
      <c r="A6961" t="s">
        <v>167</v>
      </c>
      <c r="B6961" t="s">
        <v>113</v>
      </c>
      <c r="C6961" s="35" t="s">
        <v>521</v>
      </c>
      <c r="D6961" t="s">
        <v>113</v>
      </c>
      <c r="E6961" t="s">
        <v>520</v>
      </c>
      <c r="F6961" s="188" t="n">
        <v>2042</v>
      </c>
      <c r="G6961" s="189" t="n">
        <v>69</v>
      </c>
      <c r="H6961" s="190" t="n">
        <v>34282.4131936562</v>
      </c>
      <c r="I6961" s="191" t="n">
        <v>2811560.52633996</v>
      </c>
      <c r="J6961" s="192" t="str">
        <f>IF(I6961&gt;0,H6961/I6961,0)</f>
      </c>
      <c r="K6961" s="193" t="str">
        <f>1-EXP(-J6961)</f>
      </c>
      <c r="L6961" s="194" t="str">
        <f>IF(G6961=30,1,M6960)</f>
      </c>
      <c r="M6961" s="195" t="str">
        <f>L6961*(1-K6961)</f>
      </c>
    </row>
    <row r="6962">
      <c r="A6962" t="s">
        <v>167</v>
      </c>
      <c r="B6962" t="s">
        <v>113</v>
      </c>
      <c r="C6962" s="35" t="s">
        <v>521</v>
      </c>
      <c r="D6962" t="s">
        <v>113</v>
      </c>
      <c r="E6962" t="s">
        <v>520</v>
      </c>
      <c r="F6962" s="188" t="n">
        <v>2043</v>
      </c>
      <c r="G6962" s="189" t="n">
        <v>30</v>
      </c>
      <c r="H6962" s="190" t="n">
        <v>760.863879941437</v>
      </c>
      <c r="I6962" s="191" t="n">
        <v>4787827.15360766</v>
      </c>
      <c r="J6962" s="192" t="str">
        <f>IF(I6962&gt;0,H6962/I6962,0)</f>
      </c>
      <c r="K6962" s="193" t="str">
        <f>1-EXP(-J6962)</f>
      </c>
      <c r="L6962" s="194" t="str">
        <f>IF(G6962=30,1,M6961)</f>
      </c>
      <c r="M6962" s="195" t="str">
        <f>L6962*(1-K6962)</f>
      </c>
    </row>
    <row r="6963">
      <c r="A6963" t="s">
        <v>167</v>
      </c>
      <c r="B6963" t="s">
        <v>113</v>
      </c>
      <c r="C6963" s="35" t="s">
        <v>521</v>
      </c>
      <c r="D6963" t="s">
        <v>113</v>
      </c>
      <c r="E6963" t="s">
        <v>520</v>
      </c>
      <c r="F6963" s="188" t="n">
        <v>2043</v>
      </c>
      <c r="G6963" s="189" t="n">
        <v>31</v>
      </c>
      <c r="H6963" s="190" t="n">
        <v>1072.92394051075</v>
      </c>
      <c r="I6963" s="191" t="n">
        <v>4900819.38168784</v>
      </c>
      <c r="J6963" s="192" t="str">
        <f>IF(I6963&gt;0,H6963/I6963,0)</f>
      </c>
      <c r="K6963" s="193" t="str">
        <f>1-EXP(-J6963)</f>
      </c>
      <c r="L6963" s="194" t="str">
        <f>IF(G6963=30,1,M6962)</f>
      </c>
      <c r="M6963" s="195" t="str">
        <f>L6963*(1-K6963)</f>
      </c>
    </row>
    <row r="6964">
      <c r="A6964" t="s">
        <v>167</v>
      </c>
      <c r="B6964" t="s">
        <v>113</v>
      </c>
      <c r="C6964" s="35" t="s">
        <v>521</v>
      </c>
      <c r="D6964" t="s">
        <v>113</v>
      </c>
      <c r="E6964" t="s">
        <v>520</v>
      </c>
      <c r="F6964" s="188" t="n">
        <v>2043</v>
      </c>
      <c r="G6964" s="189" t="n">
        <v>32</v>
      </c>
      <c r="H6964" s="190" t="n">
        <v>1122.90402047591</v>
      </c>
      <c r="I6964" s="191" t="n">
        <v>4872783.35961011</v>
      </c>
      <c r="J6964" s="192" t="str">
        <f>IF(I6964&gt;0,H6964/I6964,0)</f>
      </c>
      <c r="K6964" s="193" t="str">
        <f>1-EXP(-J6964)</f>
      </c>
      <c r="L6964" s="194" t="str">
        <f>IF(G6964=30,1,M6963)</f>
      </c>
      <c r="M6964" s="195" t="str">
        <f>L6964*(1-K6964)</f>
      </c>
    </row>
    <row r="6965">
      <c r="A6965" t="s">
        <v>167</v>
      </c>
      <c r="B6965" t="s">
        <v>113</v>
      </c>
      <c r="C6965" s="35" t="s">
        <v>521</v>
      </c>
      <c r="D6965" t="s">
        <v>113</v>
      </c>
      <c r="E6965" t="s">
        <v>520</v>
      </c>
      <c r="F6965" s="188" t="n">
        <v>2043</v>
      </c>
      <c r="G6965" s="189" t="n">
        <v>33</v>
      </c>
      <c r="H6965" s="190" t="n">
        <v>1156.0737736527</v>
      </c>
      <c r="I6965" s="191" t="n">
        <v>4738963.56839846</v>
      </c>
      <c r="J6965" s="192" t="str">
        <f>IF(I6965&gt;0,H6965/I6965,0)</f>
      </c>
      <c r="K6965" s="193" t="str">
        <f>1-EXP(-J6965)</f>
      </c>
      <c r="L6965" s="194" t="str">
        <f>IF(G6965=30,1,M6964)</f>
      </c>
      <c r="M6965" s="195" t="str">
        <f>L6965*(1-K6965)</f>
      </c>
    </row>
    <row r="6966">
      <c r="A6966" t="s">
        <v>167</v>
      </c>
      <c r="B6966" t="s">
        <v>113</v>
      </c>
      <c r="C6966" s="35" t="s">
        <v>521</v>
      </c>
      <c r="D6966" t="s">
        <v>113</v>
      </c>
      <c r="E6966" t="s">
        <v>520</v>
      </c>
      <c r="F6966" s="188" t="n">
        <v>2043</v>
      </c>
      <c r="G6966" s="189" t="n">
        <v>34</v>
      </c>
      <c r="H6966" s="190" t="n">
        <v>1212.88258953234</v>
      </c>
      <c r="I6966" s="191" t="n">
        <v>4667927.23052976</v>
      </c>
      <c r="J6966" s="192" t="str">
        <f>IF(I6966&gt;0,H6966/I6966,0)</f>
      </c>
      <c r="K6966" s="193" t="str">
        <f>1-EXP(-J6966)</f>
      </c>
      <c r="L6966" s="194" t="str">
        <f>IF(G6966=30,1,M6965)</f>
      </c>
      <c r="M6966" s="195" t="str">
        <f>L6966*(1-K6966)</f>
      </c>
    </row>
    <row r="6967">
      <c r="A6967" t="s">
        <v>167</v>
      </c>
      <c r="B6967" t="s">
        <v>113</v>
      </c>
      <c r="C6967" s="35" t="s">
        <v>521</v>
      </c>
      <c r="D6967" t="s">
        <v>113</v>
      </c>
      <c r="E6967" t="s">
        <v>520</v>
      </c>
      <c r="F6967" s="188" t="n">
        <v>2043</v>
      </c>
      <c r="G6967" s="189" t="n">
        <v>35</v>
      </c>
      <c r="H6967" s="190" t="n">
        <v>1583.7680188883</v>
      </c>
      <c r="I6967" s="191" t="n">
        <v>4624759.40526986</v>
      </c>
      <c r="J6967" s="192" t="str">
        <f>IF(I6967&gt;0,H6967/I6967,0)</f>
      </c>
      <c r="K6967" s="193" t="str">
        <f>1-EXP(-J6967)</f>
      </c>
      <c r="L6967" s="194" t="str">
        <f>IF(G6967=30,1,M6966)</f>
      </c>
      <c r="M6967" s="195" t="str">
        <f>L6967*(1-K6967)</f>
      </c>
    </row>
    <row r="6968">
      <c r="A6968" t="s">
        <v>167</v>
      </c>
      <c r="B6968" t="s">
        <v>113</v>
      </c>
      <c r="C6968" s="35" t="s">
        <v>521</v>
      </c>
      <c r="D6968" t="s">
        <v>113</v>
      </c>
      <c r="E6968" t="s">
        <v>520</v>
      </c>
      <c r="F6968" s="188" t="n">
        <v>2043</v>
      </c>
      <c r="G6968" s="189" t="n">
        <v>36</v>
      </c>
      <c r="H6968" s="190" t="n">
        <v>1927.72976143093</v>
      </c>
      <c r="I6968" s="191" t="n">
        <v>4649234.55371338</v>
      </c>
      <c r="J6968" s="192" t="str">
        <f>IF(I6968&gt;0,H6968/I6968,0)</f>
      </c>
      <c r="K6968" s="193" t="str">
        <f>1-EXP(-J6968)</f>
      </c>
      <c r="L6968" s="194" t="str">
        <f>IF(G6968=30,1,M6967)</f>
      </c>
      <c r="M6968" s="195" t="str">
        <f>L6968*(1-K6968)</f>
      </c>
    </row>
    <row r="6969">
      <c r="A6969" t="s">
        <v>167</v>
      </c>
      <c r="B6969" t="s">
        <v>113</v>
      </c>
      <c r="C6969" s="35" t="s">
        <v>521</v>
      </c>
      <c r="D6969" t="s">
        <v>113</v>
      </c>
      <c r="E6969" t="s">
        <v>520</v>
      </c>
      <c r="F6969" s="188" t="n">
        <v>2043</v>
      </c>
      <c r="G6969" s="189" t="n">
        <v>37</v>
      </c>
      <c r="H6969" s="190" t="n">
        <v>2033.7448872131</v>
      </c>
      <c r="I6969" s="191" t="n">
        <v>4565228.01887072</v>
      </c>
      <c r="J6969" s="192" t="str">
        <f>IF(I6969&gt;0,H6969/I6969,0)</f>
      </c>
      <c r="K6969" s="193" t="str">
        <f>1-EXP(-J6969)</f>
      </c>
      <c r="L6969" s="194" t="str">
        <f>IF(G6969=30,1,M6968)</f>
      </c>
      <c r="M6969" s="195" t="str">
        <f>L6969*(1-K6969)</f>
      </c>
    </row>
    <row r="6970">
      <c r="A6970" t="s">
        <v>167</v>
      </c>
      <c r="B6970" t="s">
        <v>113</v>
      </c>
      <c r="C6970" s="35" t="s">
        <v>521</v>
      </c>
      <c r="D6970" t="s">
        <v>113</v>
      </c>
      <c r="E6970" t="s">
        <v>520</v>
      </c>
      <c r="F6970" s="188" t="n">
        <v>2043</v>
      </c>
      <c r="G6970" s="189" t="n">
        <v>38</v>
      </c>
      <c r="H6970" s="190" t="n">
        <v>2162.26947030603</v>
      </c>
      <c r="I6970" s="191" t="n">
        <v>4502755.32383822</v>
      </c>
      <c r="J6970" s="192" t="str">
        <f>IF(I6970&gt;0,H6970/I6970,0)</f>
      </c>
      <c r="K6970" s="193" t="str">
        <f>1-EXP(-J6970)</f>
      </c>
      <c r="L6970" s="194" t="str">
        <f>IF(G6970=30,1,M6969)</f>
      </c>
      <c r="M6970" s="195" t="str">
        <f>L6970*(1-K6970)</f>
      </c>
    </row>
    <row r="6971">
      <c r="A6971" t="s">
        <v>167</v>
      </c>
      <c r="B6971" t="s">
        <v>113</v>
      </c>
      <c r="C6971" s="35" t="s">
        <v>521</v>
      </c>
      <c r="D6971" t="s">
        <v>113</v>
      </c>
      <c r="E6971" t="s">
        <v>520</v>
      </c>
      <c r="F6971" s="188" t="n">
        <v>2043</v>
      </c>
      <c r="G6971" s="189" t="n">
        <v>39</v>
      </c>
      <c r="H6971" s="190" t="n">
        <v>2269.75427085049</v>
      </c>
      <c r="I6971" s="191" t="n">
        <v>4372884.00805107</v>
      </c>
      <c r="J6971" s="192" t="str">
        <f>IF(I6971&gt;0,H6971/I6971,0)</f>
      </c>
      <c r="K6971" s="193" t="str">
        <f>1-EXP(-J6971)</f>
      </c>
      <c r="L6971" s="194" t="str">
        <f>IF(G6971=30,1,M6970)</f>
      </c>
      <c r="M6971" s="195" t="str">
        <f>L6971*(1-K6971)</f>
      </c>
    </row>
    <row r="6972">
      <c r="A6972" t="s">
        <v>167</v>
      </c>
      <c r="B6972" t="s">
        <v>113</v>
      </c>
      <c r="C6972" s="35" t="s">
        <v>521</v>
      </c>
      <c r="D6972" t="s">
        <v>113</v>
      </c>
      <c r="E6972" t="s">
        <v>520</v>
      </c>
      <c r="F6972" s="188" t="n">
        <v>2043</v>
      </c>
      <c r="G6972" s="189" t="n">
        <v>40</v>
      </c>
      <c r="H6972" s="190" t="n">
        <v>3005.59033895774</v>
      </c>
      <c r="I6972" s="191" t="n">
        <v>4305230.79898206</v>
      </c>
      <c r="J6972" s="192" t="str">
        <f>IF(I6972&gt;0,H6972/I6972,0)</f>
      </c>
      <c r="K6972" s="193" t="str">
        <f>1-EXP(-J6972)</f>
      </c>
      <c r="L6972" s="194" t="str">
        <f>IF(G6972=30,1,M6971)</f>
      </c>
      <c r="M6972" s="195" t="str">
        <f>L6972*(1-K6972)</f>
      </c>
    </row>
    <row r="6973">
      <c r="A6973" t="s">
        <v>167</v>
      </c>
      <c r="B6973" t="s">
        <v>113</v>
      </c>
      <c r="C6973" s="35" t="s">
        <v>521</v>
      </c>
      <c r="D6973" t="s">
        <v>113</v>
      </c>
      <c r="E6973" t="s">
        <v>520</v>
      </c>
      <c r="F6973" s="188" t="n">
        <v>2043</v>
      </c>
      <c r="G6973" s="189" t="n">
        <v>41</v>
      </c>
      <c r="H6973" s="190" t="n">
        <v>3517.122710063</v>
      </c>
      <c r="I6973" s="191" t="n">
        <v>4278610.96928338</v>
      </c>
      <c r="J6973" s="192" t="str">
        <f>IF(I6973&gt;0,H6973/I6973,0)</f>
      </c>
      <c r="K6973" s="193" t="str">
        <f>1-EXP(-J6973)</f>
      </c>
      <c r="L6973" s="194" t="str">
        <f>IF(G6973=30,1,M6972)</f>
      </c>
      <c r="M6973" s="195" t="str">
        <f>L6973*(1-K6973)</f>
      </c>
    </row>
    <row r="6974">
      <c r="A6974" t="s">
        <v>167</v>
      </c>
      <c r="B6974" t="s">
        <v>113</v>
      </c>
      <c r="C6974" s="35" t="s">
        <v>521</v>
      </c>
      <c r="D6974" t="s">
        <v>113</v>
      </c>
      <c r="E6974" t="s">
        <v>520</v>
      </c>
      <c r="F6974" s="188" t="n">
        <v>2043</v>
      </c>
      <c r="G6974" s="189" t="n">
        <v>42</v>
      </c>
      <c r="H6974" s="190" t="n">
        <v>3791.86332132092</v>
      </c>
      <c r="I6974" s="191" t="n">
        <v>4254695.60180598</v>
      </c>
      <c r="J6974" s="192" t="str">
        <f>IF(I6974&gt;0,H6974/I6974,0)</f>
      </c>
      <c r="K6974" s="193" t="str">
        <f>1-EXP(-J6974)</f>
      </c>
      <c r="L6974" s="194" t="str">
        <f>IF(G6974=30,1,M6973)</f>
      </c>
      <c r="M6974" s="195" t="str">
        <f>L6974*(1-K6974)</f>
      </c>
    </row>
    <row r="6975">
      <c r="A6975" t="s">
        <v>167</v>
      </c>
      <c r="B6975" t="s">
        <v>113</v>
      </c>
      <c r="C6975" s="35" t="s">
        <v>521</v>
      </c>
      <c r="D6975" t="s">
        <v>113</v>
      </c>
      <c r="E6975" t="s">
        <v>520</v>
      </c>
      <c r="F6975" s="188" t="n">
        <v>2043</v>
      </c>
      <c r="G6975" s="189" t="n">
        <v>43</v>
      </c>
      <c r="H6975" s="190" t="n">
        <v>4097.92028327434</v>
      </c>
      <c r="I6975" s="191" t="n">
        <v>4229991.80902527</v>
      </c>
      <c r="J6975" s="192" t="str">
        <f>IF(I6975&gt;0,H6975/I6975,0)</f>
      </c>
      <c r="K6975" s="193" t="str">
        <f>1-EXP(-J6975)</f>
      </c>
      <c r="L6975" s="194" t="str">
        <f>IF(G6975=30,1,M6974)</f>
      </c>
      <c r="M6975" s="195" t="str">
        <f>L6975*(1-K6975)</f>
      </c>
    </row>
    <row r="6976">
      <c r="A6976" t="s">
        <v>167</v>
      </c>
      <c r="B6976" t="s">
        <v>113</v>
      </c>
      <c r="C6976" s="35" t="s">
        <v>521</v>
      </c>
      <c r="D6976" t="s">
        <v>113</v>
      </c>
      <c r="E6976" t="s">
        <v>520</v>
      </c>
      <c r="F6976" s="188" t="n">
        <v>2043</v>
      </c>
      <c r="G6976" s="189" t="n">
        <v>44</v>
      </c>
      <c r="H6976" s="190" t="n">
        <v>4479.41266624944</v>
      </c>
      <c r="I6976" s="191" t="n">
        <v>4243649.75485795</v>
      </c>
      <c r="J6976" s="192" t="str">
        <f>IF(I6976&gt;0,H6976/I6976,0)</f>
      </c>
      <c r="K6976" s="193" t="str">
        <f>1-EXP(-J6976)</f>
      </c>
      <c r="L6976" s="194" t="str">
        <f>IF(G6976=30,1,M6975)</f>
      </c>
      <c r="M6976" s="195" t="str">
        <f>L6976*(1-K6976)</f>
      </c>
    </row>
    <row r="6977">
      <c r="A6977" t="s">
        <v>167</v>
      </c>
      <c r="B6977" t="s">
        <v>113</v>
      </c>
      <c r="C6977" s="35" t="s">
        <v>521</v>
      </c>
      <c r="D6977" t="s">
        <v>113</v>
      </c>
      <c r="E6977" t="s">
        <v>520</v>
      </c>
      <c r="F6977" s="188" t="n">
        <v>2043</v>
      </c>
      <c r="G6977" s="189" t="n">
        <v>45</v>
      </c>
      <c r="H6977" s="190" t="n">
        <v>5823.11759655526</v>
      </c>
      <c r="I6977" s="191" t="n">
        <v>4294876.28496861</v>
      </c>
      <c r="J6977" s="192" t="str">
        <f>IF(I6977&gt;0,H6977/I6977,0)</f>
      </c>
      <c r="K6977" s="193" t="str">
        <f>1-EXP(-J6977)</f>
      </c>
      <c r="L6977" s="194" t="str">
        <f>IF(G6977=30,1,M6976)</f>
      </c>
      <c r="M6977" s="195" t="str">
        <f>L6977*(1-K6977)</f>
      </c>
    </row>
    <row r="6978">
      <c r="A6978" t="s">
        <v>167</v>
      </c>
      <c r="B6978" t="s">
        <v>113</v>
      </c>
      <c r="C6978" s="35" t="s">
        <v>521</v>
      </c>
      <c r="D6978" t="s">
        <v>113</v>
      </c>
      <c r="E6978" t="s">
        <v>520</v>
      </c>
      <c r="F6978" s="188" t="n">
        <v>2043</v>
      </c>
      <c r="G6978" s="189" t="n">
        <v>46</v>
      </c>
      <c r="H6978" s="190" t="n">
        <v>6818.52171183183</v>
      </c>
      <c r="I6978" s="191" t="n">
        <v>4419242.28971904</v>
      </c>
      <c r="J6978" s="192" t="str">
        <f>IF(I6978&gt;0,H6978/I6978,0)</f>
      </c>
      <c r="K6978" s="193" t="str">
        <f>1-EXP(-J6978)</f>
      </c>
      <c r="L6978" s="194" t="str">
        <f>IF(G6978=30,1,M6977)</f>
      </c>
      <c r="M6978" s="195" t="str">
        <f>L6978*(1-K6978)</f>
      </c>
    </row>
    <row r="6979">
      <c r="A6979" t="s">
        <v>167</v>
      </c>
      <c r="B6979" t="s">
        <v>113</v>
      </c>
      <c r="C6979" s="35" t="s">
        <v>521</v>
      </c>
      <c r="D6979" t="s">
        <v>113</v>
      </c>
      <c r="E6979" t="s">
        <v>520</v>
      </c>
      <c r="F6979" s="188" t="n">
        <v>2043</v>
      </c>
      <c r="G6979" s="189" t="n">
        <v>47</v>
      </c>
      <c r="H6979" s="190" t="n">
        <v>7371.45949300862</v>
      </c>
      <c r="I6979" s="191" t="n">
        <v>4367738.4937336</v>
      </c>
      <c r="J6979" s="192" t="str">
        <f>IF(I6979&gt;0,H6979/I6979,0)</f>
      </c>
      <c r="K6979" s="193" t="str">
        <f>1-EXP(-J6979)</f>
      </c>
      <c r="L6979" s="194" t="str">
        <f>IF(G6979=30,1,M6978)</f>
      </c>
      <c r="M6979" s="195" t="str">
        <f>L6979*(1-K6979)</f>
      </c>
    </row>
    <row r="6980">
      <c r="A6980" t="s">
        <v>167</v>
      </c>
      <c r="B6980" t="s">
        <v>113</v>
      </c>
      <c r="C6980" s="35" t="s">
        <v>521</v>
      </c>
      <c r="D6980" t="s">
        <v>113</v>
      </c>
      <c r="E6980" t="s">
        <v>520</v>
      </c>
      <c r="F6980" s="188" t="n">
        <v>2043</v>
      </c>
      <c r="G6980" s="189" t="n">
        <v>48</v>
      </c>
      <c r="H6980" s="190" t="n">
        <v>7922.93491417187</v>
      </c>
      <c r="I6980" s="191" t="n">
        <v>4286075.78334054</v>
      </c>
      <c r="J6980" s="192" t="str">
        <f>IF(I6980&gt;0,H6980/I6980,0)</f>
      </c>
      <c r="K6980" s="193" t="str">
        <f>1-EXP(-J6980)</f>
      </c>
      <c r="L6980" s="194" t="str">
        <f>IF(G6980=30,1,M6979)</f>
      </c>
      <c r="M6980" s="195" t="str">
        <f>L6980*(1-K6980)</f>
      </c>
    </row>
    <row r="6981">
      <c r="A6981" t="s">
        <v>167</v>
      </c>
      <c r="B6981" t="s">
        <v>113</v>
      </c>
      <c r="C6981" s="35" t="s">
        <v>521</v>
      </c>
      <c r="D6981" t="s">
        <v>113</v>
      </c>
      <c r="E6981" t="s">
        <v>520</v>
      </c>
      <c r="F6981" s="188" t="n">
        <v>2043</v>
      </c>
      <c r="G6981" s="189" t="n">
        <v>49</v>
      </c>
      <c r="H6981" s="190" t="n">
        <v>8546.59025813672</v>
      </c>
      <c r="I6981" s="191" t="n">
        <v>4218750.28826823</v>
      </c>
      <c r="J6981" s="192" t="str">
        <f>IF(I6981&gt;0,H6981/I6981,0)</f>
      </c>
      <c r="K6981" s="193" t="str">
        <f>1-EXP(-J6981)</f>
      </c>
      <c r="L6981" s="194" t="str">
        <f>IF(G6981=30,1,M6980)</f>
      </c>
      <c r="M6981" s="195" t="str">
        <f>L6981*(1-K6981)</f>
      </c>
    </row>
    <row r="6982">
      <c r="A6982" t="s">
        <v>167</v>
      </c>
      <c r="B6982" t="s">
        <v>113</v>
      </c>
      <c r="C6982" s="35" t="s">
        <v>521</v>
      </c>
      <c r="D6982" t="s">
        <v>113</v>
      </c>
      <c r="E6982" t="s">
        <v>520</v>
      </c>
      <c r="F6982" s="188" t="n">
        <v>2043</v>
      </c>
      <c r="G6982" s="189" t="n">
        <v>50</v>
      </c>
      <c r="H6982" s="190" t="n">
        <v>9633.69188040343</v>
      </c>
      <c r="I6982" s="191" t="n">
        <v>4153884.63956648</v>
      </c>
      <c r="J6982" s="192" t="str">
        <f>IF(I6982&gt;0,H6982/I6982,0)</f>
      </c>
      <c r="K6982" s="193" t="str">
        <f>1-EXP(-J6982)</f>
      </c>
      <c r="L6982" s="194" t="str">
        <f>IF(G6982=30,1,M6981)</f>
      </c>
      <c r="M6982" s="195" t="str">
        <f>L6982*(1-K6982)</f>
      </c>
    </row>
    <row r="6983">
      <c r="A6983" t="s">
        <v>167</v>
      </c>
      <c r="B6983" t="s">
        <v>113</v>
      </c>
      <c r="C6983" s="35" t="s">
        <v>521</v>
      </c>
      <c r="D6983" t="s">
        <v>113</v>
      </c>
      <c r="E6983" t="s">
        <v>520</v>
      </c>
      <c r="F6983" s="188" t="n">
        <v>2043</v>
      </c>
      <c r="G6983" s="189" t="n">
        <v>51</v>
      </c>
      <c r="H6983" s="190" t="n">
        <v>10579.8354388917</v>
      </c>
      <c r="I6983" s="191" t="n">
        <v>4174952.71350619</v>
      </c>
      <c r="J6983" s="192" t="str">
        <f>IF(I6983&gt;0,H6983/I6983,0)</f>
      </c>
      <c r="K6983" s="193" t="str">
        <f>1-EXP(-J6983)</f>
      </c>
      <c r="L6983" s="194" t="str">
        <f>IF(G6983=30,1,M6982)</f>
      </c>
      <c r="M6983" s="195" t="str">
        <f>L6983*(1-K6983)</f>
      </c>
    </row>
    <row r="6984">
      <c r="A6984" t="s">
        <v>167</v>
      </c>
      <c r="B6984" t="s">
        <v>113</v>
      </c>
      <c r="C6984" s="35" t="s">
        <v>521</v>
      </c>
      <c r="D6984" t="s">
        <v>113</v>
      </c>
      <c r="E6984" t="s">
        <v>520</v>
      </c>
      <c r="F6984" s="188" t="n">
        <v>2043</v>
      </c>
      <c r="G6984" s="189" t="n">
        <v>52</v>
      </c>
      <c r="H6984" s="190" t="n">
        <v>11561.7498796417</v>
      </c>
      <c r="I6984" s="191" t="n">
        <v>4175899.06505969</v>
      </c>
      <c r="J6984" s="192" t="str">
        <f>IF(I6984&gt;0,H6984/I6984,0)</f>
      </c>
      <c r="K6984" s="193" t="str">
        <f>1-EXP(-J6984)</f>
      </c>
      <c r="L6984" s="194" t="str">
        <f>IF(G6984=30,1,M6983)</f>
      </c>
      <c r="M6984" s="195" t="str">
        <f>L6984*(1-K6984)</f>
      </c>
    </row>
    <row r="6985">
      <c r="A6985" t="s">
        <v>167</v>
      </c>
      <c r="B6985" t="s">
        <v>113</v>
      </c>
      <c r="C6985" s="35" t="s">
        <v>521</v>
      </c>
      <c r="D6985" t="s">
        <v>113</v>
      </c>
      <c r="E6985" t="s">
        <v>520</v>
      </c>
      <c r="F6985" s="188" t="n">
        <v>2043</v>
      </c>
      <c r="G6985" s="189" t="n">
        <v>53</v>
      </c>
      <c r="H6985" s="190" t="n">
        <v>16816.4039840856</v>
      </c>
      <c r="I6985" s="191" t="n">
        <v>6140542.80186185</v>
      </c>
      <c r="J6985" s="192" t="str">
        <f>IF(I6985&gt;0,H6985/I6985,0)</f>
      </c>
      <c r="K6985" s="193" t="str">
        <f>1-EXP(-J6985)</f>
      </c>
      <c r="L6985" s="194" t="str">
        <f>IF(G6985=30,1,M6984)</f>
      </c>
      <c r="M6985" s="195" t="str">
        <f>L6985*(1-K6985)</f>
      </c>
    </row>
    <row r="6986">
      <c r="A6986" t="s">
        <v>167</v>
      </c>
      <c r="B6986" t="s">
        <v>113</v>
      </c>
      <c r="C6986" s="35" t="s">
        <v>521</v>
      </c>
      <c r="D6986" t="s">
        <v>113</v>
      </c>
      <c r="E6986" t="s">
        <v>520</v>
      </c>
      <c r="F6986" s="188" t="n">
        <v>2043</v>
      </c>
      <c r="G6986" s="189" t="n">
        <v>54</v>
      </c>
      <c r="H6986" s="190" t="n">
        <v>13484.5756842975</v>
      </c>
      <c r="I6986" s="191" t="n">
        <v>4099174.0517466</v>
      </c>
      <c r="J6986" s="192" t="str">
        <f>IF(I6986&gt;0,H6986/I6986,0)</f>
      </c>
      <c r="K6986" s="193" t="str">
        <f>1-EXP(-J6986)</f>
      </c>
      <c r="L6986" s="194" t="str">
        <f>IF(G6986=30,1,M6985)</f>
      </c>
      <c r="M6986" s="195" t="str">
        <f>L6986*(1-K6986)</f>
      </c>
    </row>
    <row r="6987">
      <c r="A6987" t="s">
        <v>167</v>
      </c>
      <c r="B6987" t="s">
        <v>113</v>
      </c>
      <c r="C6987" s="35" t="s">
        <v>521</v>
      </c>
      <c r="D6987" t="s">
        <v>113</v>
      </c>
      <c r="E6987" t="s">
        <v>520</v>
      </c>
      <c r="F6987" s="188" t="n">
        <v>2043</v>
      </c>
      <c r="G6987" s="189" t="n">
        <v>55</v>
      </c>
      <c r="H6987" s="190" t="n">
        <v>14374.3281700992</v>
      </c>
      <c r="I6987" s="191" t="n">
        <v>4062203.73381782</v>
      </c>
      <c r="J6987" s="192" t="str">
        <f>IF(I6987&gt;0,H6987/I6987,0)</f>
      </c>
      <c r="K6987" s="193" t="str">
        <f>1-EXP(-J6987)</f>
      </c>
      <c r="L6987" s="194" t="str">
        <f>IF(G6987=30,1,M6986)</f>
      </c>
      <c r="M6987" s="195" t="str">
        <f>L6987*(1-K6987)</f>
      </c>
    </row>
    <row r="6988">
      <c r="A6988" t="s">
        <v>167</v>
      </c>
      <c r="B6988" t="s">
        <v>113</v>
      </c>
      <c r="C6988" s="35" t="s">
        <v>521</v>
      </c>
      <c r="D6988" t="s">
        <v>113</v>
      </c>
      <c r="E6988" t="s">
        <v>520</v>
      </c>
      <c r="F6988" s="188" t="n">
        <v>2043</v>
      </c>
      <c r="G6988" s="189" t="n">
        <v>56</v>
      </c>
      <c r="H6988" s="190" t="n">
        <v>15095.0169091129</v>
      </c>
      <c r="I6988" s="191" t="n">
        <v>3915227.74174175</v>
      </c>
      <c r="J6988" s="192" t="str">
        <f>IF(I6988&gt;0,H6988/I6988,0)</f>
      </c>
      <c r="K6988" s="193" t="str">
        <f>1-EXP(-J6988)</f>
      </c>
      <c r="L6988" s="194" t="str">
        <f>IF(G6988=30,1,M6987)</f>
      </c>
      <c r="M6988" s="195" t="str">
        <f>L6988*(1-K6988)</f>
      </c>
    </row>
    <row r="6989">
      <c r="A6989" t="s">
        <v>167</v>
      </c>
      <c r="B6989" t="s">
        <v>113</v>
      </c>
      <c r="C6989" s="35" t="s">
        <v>521</v>
      </c>
      <c r="D6989" t="s">
        <v>113</v>
      </c>
      <c r="E6989" t="s">
        <v>520</v>
      </c>
      <c r="F6989" s="188" t="n">
        <v>2043</v>
      </c>
      <c r="G6989" s="189" t="n">
        <v>57</v>
      </c>
      <c r="H6989" s="190" t="n">
        <v>16220.3172511005</v>
      </c>
      <c r="I6989" s="191" t="n">
        <v>3858762.21231759</v>
      </c>
      <c r="J6989" s="192" t="str">
        <f>IF(I6989&gt;0,H6989/I6989,0)</f>
      </c>
      <c r="K6989" s="193" t="str">
        <f>1-EXP(-J6989)</f>
      </c>
      <c r="L6989" s="194" t="str">
        <f>IF(G6989=30,1,M6988)</f>
      </c>
      <c r="M6989" s="195" t="str">
        <f>L6989*(1-K6989)</f>
      </c>
    </row>
    <row r="6990">
      <c r="A6990" t="s">
        <v>167</v>
      </c>
      <c r="B6990" t="s">
        <v>113</v>
      </c>
      <c r="C6990" s="35" t="s">
        <v>521</v>
      </c>
      <c r="D6990" t="s">
        <v>113</v>
      </c>
      <c r="E6990" t="s">
        <v>520</v>
      </c>
      <c r="F6990" s="188" t="n">
        <v>2043</v>
      </c>
      <c r="G6990" s="189" t="n">
        <v>58</v>
      </c>
      <c r="H6990" s="190" t="n">
        <v>17845.0956124524</v>
      </c>
      <c r="I6990" s="191" t="n">
        <v>3886962.50509064</v>
      </c>
      <c r="J6990" s="192" t="str">
        <f>IF(I6990&gt;0,H6990/I6990,0)</f>
      </c>
      <c r="K6990" s="193" t="str">
        <f>1-EXP(-J6990)</f>
      </c>
      <c r="L6990" s="194" t="str">
        <f>IF(G6990=30,1,M6989)</f>
      </c>
      <c r="M6990" s="195" t="str">
        <f>L6990*(1-K6990)</f>
      </c>
    </row>
    <row r="6991">
      <c r="A6991" t="s">
        <v>167</v>
      </c>
      <c r="B6991" t="s">
        <v>113</v>
      </c>
      <c r="C6991" s="35" t="s">
        <v>521</v>
      </c>
      <c r="D6991" t="s">
        <v>113</v>
      </c>
      <c r="E6991" t="s">
        <v>520</v>
      </c>
      <c r="F6991" s="188" t="n">
        <v>2043</v>
      </c>
      <c r="G6991" s="189" t="n">
        <v>59</v>
      </c>
      <c r="H6991" s="190" t="n">
        <v>19759.5681955341</v>
      </c>
      <c r="I6991" s="191" t="n">
        <v>3935079.13366701</v>
      </c>
      <c r="J6991" s="192" t="str">
        <f>IF(I6991&gt;0,H6991/I6991,0)</f>
      </c>
      <c r="K6991" s="193" t="str">
        <f>1-EXP(-J6991)</f>
      </c>
      <c r="L6991" s="194" t="str">
        <f>IF(G6991=30,1,M6990)</f>
      </c>
      <c r="M6991" s="195" t="str">
        <f>L6991*(1-K6991)</f>
      </c>
    </row>
    <row r="6992">
      <c r="A6992" t="s">
        <v>167</v>
      </c>
      <c r="B6992" t="s">
        <v>113</v>
      </c>
      <c r="C6992" s="35" t="s">
        <v>521</v>
      </c>
      <c r="D6992" t="s">
        <v>113</v>
      </c>
      <c r="E6992" t="s">
        <v>520</v>
      </c>
      <c r="F6992" s="188" t="n">
        <v>2043</v>
      </c>
      <c r="G6992" s="189" t="n">
        <v>60</v>
      </c>
      <c r="H6992" s="190" t="n">
        <v>21160.1067877459</v>
      </c>
      <c r="I6992" s="191" t="n">
        <v>3880514.0859118</v>
      </c>
      <c r="J6992" s="192" t="str">
        <f>IF(I6992&gt;0,H6992/I6992,0)</f>
      </c>
      <c r="K6992" s="193" t="str">
        <f>1-EXP(-J6992)</f>
      </c>
      <c r="L6992" s="194" t="str">
        <f>IF(G6992=30,1,M6991)</f>
      </c>
      <c r="M6992" s="195" t="str">
        <f>L6992*(1-K6992)</f>
      </c>
    </row>
    <row r="6993">
      <c r="A6993" t="s">
        <v>167</v>
      </c>
      <c r="B6993" t="s">
        <v>113</v>
      </c>
      <c r="C6993" s="35" t="s">
        <v>521</v>
      </c>
      <c r="D6993" t="s">
        <v>113</v>
      </c>
      <c r="E6993" t="s">
        <v>520</v>
      </c>
      <c r="F6993" s="188" t="n">
        <v>2043</v>
      </c>
      <c r="G6993" s="189" t="n">
        <v>61</v>
      </c>
      <c r="H6993" s="190" t="n">
        <v>22269.7927136745</v>
      </c>
      <c r="I6993" s="191" t="n">
        <v>3721917.84731788</v>
      </c>
      <c r="J6993" s="192" t="str">
        <f>IF(I6993&gt;0,H6993/I6993,0)</f>
      </c>
      <c r="K6993" s="193" t="str">
        <f>1-EXP(-J6993)</f>
      </c>
      <c r="L6993" s="194" t="str">
        <f>IF(G6993=30,1,M6992)</f>
      </c>
      <c r="M6993" s="195" t="str">
        <f>L6993*(1-K6993)</f>
      </c>
    </row>
    <row r="6994">
      <c r="A6994" t="s">
        <v>167</v>
      </c>
      <c r="B6994" t="s">
        <v>113</v>
      </c>
      <c r="C6994" s="35" t="s">
        <v>521</v>
      </c>
      <c r="D6994" t="s">
        <v>113</v>
      </c>
      <c r="E6994" t="s">
        <v>520</v>
      </c>
      <c r="F6994" s="188" t="n">
        <v>2043</v>
      </c>
      <c r="G6994" s="189" t="n">
        <v>62</v>
      </c>
      <c r="H6994" s="190" t="n">
        <v>23746.3789862367</v>
      </c>
      <c r="I6994" s="191" t="n">
        <v>3618636.81560395</v>
      </c>
      <c r="J6994" s="192" t="str">
        <f>IF(I6994&gt;0,H6994/I6994,0)</f>
      </c>
      <c r="K6994" s="193" t="str">
        <f>1-EXP(-J6994)</f>
      </c>
      <c r="L6994" s="194" t="str">
        <f>IF(G6994=30,1,M6993)</f>
      </c>
      <c r="M6994" s="195" t="str">
        <f>L6994*(1-K6994)</f>
      </c>
    </row>
    <row r="6995">
      <c r="A6995" t="s">
        <v>167</v>
      </c>
      <c r="B6995" t="s">
        <v>113</v>
      </c>
      <c r="C6995" s="35" t="s">
        <v>521</v>
      </c>
      <c r="D6995" t="s">
        <v>113</v>
      </c>
      <c r="E6995" t="s">
        <v>520</v>
      </c>
      <c r="F6995" s="188" t="n">
        <v>2043</v>
      </c>
      <c r="G6995" s="189" t="n">
        <v>63</v>
      </c>
      <c r="H6995" s="190" t="n">
        <v>25390.3243624999</v>
      </c>
      <c r="I6995" s="191" t="n">
        <v>3527496.63818542</v>
      </c>
      <c r="J6995" s="192" t="str">
        <f>IF(I6995&gt;0,H6995/I6995,0)</f>
      </c>
      <c r="K6995" s="193" t="str">
        <f>1-EXP(-J6995)</f>
      </c>
      <c r="L6995" s="194" t="str">
        <f>IF(G6995=30,1,M6994)</f>
      </c>
      <c r="M6995" s="195" t="str">
        <f>L6995*(1-K6995)</f>
      </c>
    </row>
    <row r="6996">
      <c r="A6996" t="s">
        <v>167</v>
      </c>
      <c r="B6996" t="s">
        <v>113</v>
      </c>
      <c r="C6996" s="35" t="s">
        <v>521</v>
      </c>
      <c r="D6996" t="s">
        <v>113</v>
      </c>
      <c r="E6996" t="s">
        <v>520</v>
      </c>
      <c r="F6996" s="188" t="n">
        <v>2043</v>
      </c>
      <c r="G6996" s="189" t="n">
        <v>64</v>
      </c>
      <c r="H6996" s="190" t="n">
        <v>27071.1071068632</v>
      </c>
      <c r="I6996" s="191" t="n">
        <v>3429408.68439646</v>
      </c>
      <c r="J6996" s="192" t="str">
        <f>IF(I6996&gt;0,H6996/I6996,0)</f>
      </c>
      <c r="K6996" s="193" t="str">
        <f>1-EXP(-J6996)</f>
      </c>
      <c r="L6996" s="194" t="str">
        <f>IF(G6996=30,1,M6995)</f>
      </c>
      <c r="M6996" s="195" t="str">
        <f>L6996*(1-K6996)</f>
      </c>
    </row>
    <row r="6997">
      <c r="A6997" t="s">
        <v>167</v>
      </c>
      <c r="B6997" t="s">
        <v>113</v>
      </c>
      <c r="C6997" s="35" t="s">
        <v>521</v>
      </c>
      <c r="D6997" t="s">
        <v>113</v>
      </c>
      <c r="E6997" t="s">
        <v>520</v>
      </c>
      <c r="F6997" s="188" t="n">
        <v>2043</v>
      </c>
      <c r="G6997" s="189" t="n">
        <v>65</v>
      </c>
      <c r="H6997" s="190" t="n">
        <v>27400.8881320549</v>
      </c>
      <c r="I6997" s="191" t="n">
        <v>3312472.53938465</v>
      </c>
      <c r="J6997" s="192" t="str">
        <f>IF(I6997&gt;0,H6997/I6997,0)</f>
      </c>
      <c r="K6997" s="193" t="str">
        <f>1-EXP(-J6997)</f>
      </c>
      <c r="L6997" s="194" t="str">
        <f>IF(G6997=30,1,M6996)</f>
      </c>
      <c r="M6997" s="195" t="str">
        <f>L6997*(1-K6997)</f>
      </c>
    </row>
    <row r="6998">
      <c r="A6998" t="s">
        <v>167</v>
      </c>
      <c r="B6998" t="s">
        <v>113</v>
      </c>
      <c r="C6998" s="35" t="s">
        <v>521</v>
      </c>
      <c r="D6998" t="s">
        <v>113</v>
      </c>
      <c r="E6998" t="s">
        <v>520</v>
      </c>
      <c r="F6998" s="188" t="n">
        <v>2043</v>
      </c>
      <c r="G6998" s="189" t="n">
        <v>66</v>
      </c>
      <c r="H6998" s="190" t="n">
        <v>29158.5900251961</v>
      </c>
      <c r="I6998" s="191" t="n">
        <v>3208275.82315865</v>
      </c>
      <c r="J6998" s="192" t="str">
        <f>IF(I6998&gt;0,H6998/I6998,0)</f>
      </c>
      <c r="K6998" s="193" t="str">
        <f>1-EXP(-J6998)</f>
      </c>
      <c r="L6998" s="194" t="str">
        <f>IF(G6998=30,1,M6997)</f>
      </c>
      <c r="M6998" s="195" t="str">
        <f>L6998*(1-K6998)</f>
      </c>
    </row>
    <row r="6999">
      <c r="A6999" t="s">
        <v>167</v>
      </c>
      <c r="B6999" t="s">
        <v>113</v>
      </c>
      <c r="C6999" s="35" t="s">
        <v>521</v>
      </c>
      <c r="D6999" t="s">
        <v>113</v>
      </c>
      <c r="E6999" t="s">
        <v>520</v>
      </c>
      <c r="F6999" s="188" t="n">
        <v>2043</v>
      </c>
      <c r="G6999" s="189" t="n">
        <v>67</v>
      </c>
      <c r="H6999" s="190" t="n">
        <v>30850.4480612521</v>
      </c>
      <c r="I6999" s="191" t="n">
        <v>3092040.09594074</v>
      </c>
      <c r="J6999" s="192" t="str">
        <f>IF(I6999&gt;0,H6999/I6999,0)</f>
      </c>
      <c r="K6999" s="193" t="str">
        <f>1-EXP(-J6999)</f>
      </c>
      <c r="L6999" s="194" t="str">
        <f>IF(G6999=30,1,M6998)</f>
      </c>
      <c r="M6999" s="195" t="str">
        <f>L6999*(1-K6999)</f>
      </c>
    </row>
    <row r="7000">
      <c r="A7000" t="s">
        <v>167</v>
      </c>
      <c r="B7000" t="s">
        <v>113</v>
      </c>
      <c r="C7000" s="35" t="s">
        <v>521</v>
      </c>
      <c r="D7000" t="s">
        <v>113</v>
      </c>
      <c r="E7000" t="s">
        <v>520</v>
      </c>
      <c r="F7000" s="188" t="n">
        <v>2043</v>
      </c>
      <c r="G7000" s="189" t="n">
        <v>68</v>
      </c>
      <c r="H7000" s="190" t="n">
        <v>32587.6742734333</v>
      </c>
      <c r="I7000" s="191" t="n">
        <v>2973310.98495842</v>
      </c>
      <c r="J7000" s="192" t="str">
        <f>IF(I7000&gt;0,H7000/I7000,0)</f>
      </c>
      <c r="K7000" s="193" t="str">
        <f>1-EXP(-J7000)</f>
      </c>
      <c r="L7000" s="194" t="str">
        <f>IF(G7000=30,1,M6999)</f>
      </c>
      <c r="M7000" s="195" t="str">
        <f>L7000*(1-K7000)</f>
      </c>
    </row>
    <row r="7001">
      <c r="A7001" t="s">
        <v>167</v>
      </c>
      <c r="B7001" t="s">
        <v>113</v>
      </c>
      <c r="C7001" s="35" t="s">
        <v>521</v>
      </c>
      <c r="D7001" t="s">
        <v>113</v>
      </c>
      <c r="E7001" t="s">
        <v>520</v>
      </c>
      <c r="F7001" s="188" t="n">
        <v>2043</v>
      </c>
      <c r="G7001" s="189" t="n">
        <v>69</v>
      </c>
      <c r="H7001" s="190" t="n">
        <v>34111.4575079735</v>
      </c>
      <c r="I7001" s="191" t="n">
        <v>2830667.4425536</v>
      </c>
      <c r="J7001" s="192" t="str">
        <f>IF(I7001&gt;0,H7001/I7001,0)</f>
      </c>
      <c r="K7001" s="193" t="str">
        <f>1-EXP(-J7001)</f>
      </c>
      <c r="L7001" s="194" t="str">
        <f>IF(G7001=30,1,M7000)</f>
      </c>
      <c r="M7001" s="195" t="str">
        <f>L7001*(1-K7001)</f>
      </c>
    </row>
    <row r="7002">
      <c r="A7002" t="s">
        <v>167</v>
      </c>
      <c r="B7002" t="s">
        <v>113</v>
      </c>
      <c r="C7002" s="35" t="s">
        <v>521</v>
      </c>
      <c r="D7002" t="s">
        <v>113</v>
      </c>
      <c r="E7002" t="s">
        <v>520</v>
      </c>
      <c r="F7002" s="188" t="n">
        <v>2044</v>
      </c>
      <c r="G7002" s="189" t="n">
        <v>30</v>
      </c>
      <c r="H7002" s="190" t="n">
        <v>750.998591162932</v>
      </c>
      <c r="I7002" s="191" t="n">
        <v>4714189.17608482</v>
      </c>
      <c r="J7002" s="192" t="str">
        <f>IF(I7002&gt;0,H7002/I7002,0)</f>
      </c>
      <c r="K7002" s="193" t="str">
        <f>1-EXP(-J7002)</f>
      </c>
      <c r="L7002" s="194" t="str">
        <f>IF(G7002=30,1,M7001)</f>
      </c>
      <c r="M7002" s="195" t="str">
        <f>L7002*(1-K7002)</f>
      </c>
    </row>
    <row r="7003">
      <c r="A7003" t="s">
        <v>167</v>
      </c>
      <c r="B7003" t="s">
        <v>113</v>
      </c>
      <c r="C7003" s="35" t="s">
        <v>521</v>
      </c>
      <c r="D7003" t="s">
        <v>113</v>
      </c>
      <c r="E7003" t="s">
        <v>520</v>
      </c>
      <c r="F7003" s="188" t="n">
        <v>2044</v>
      </c>
      <c r="G7003" s="189" t="n">
        <v>31</v>
      </c>
      <c r="H7003" s="190" t="n">
        <v>1008.31734090714</v>
      </c>
      <c r="I7003" s="191" t="n">
        <v>4782350.73814761</v>
      </c>
      <c r="J7003" s="192" t="str">
        <f>IF(I7003&gt;0,H7003/I7003,0)</f>
      </c>
      <c r="K7003" s="193" t="str">
        <f>1-EXP(-J7003)</f>
      </c>
      <c r="L7003" s="194" t="str">
        <f>IF(G7003=30,1,M7002)</f>
      </c>
      <c r="M7003" s="195" t="str">
        <f>L7003*(1-K7003)</f>
      </c>
    </row>
    <row r="7004">
      <c r="A7004" t="s">
        <v>167</v>
      </c>
      <c r="B7004" t="s">
        <v>113</v>
      </c>
      <c r="C7004" s="35" t="s">
        <v>521</v>
      </c>
      <c r="D7004" t="s">
        <v>113</v>
      </c>
      <c r="E7004" t="s">
        <v>520</v>
      </c>
      <c r="F7004" s="188" t="n">
        <v>2044</v>
      </c>
      <c r="G7004" s="189" t="n">
        <v>32</v>
      </c>
      <c r="H7004" s="190" t="n">
        <v>1130.22262649711</v>
      </c>
      <c r="I7004" s="191" t="n">
        <v>4895246.64217268</v>
      </c>
      <c r="J7004" s="192" t="str">
        <f>IF(I7004&gt;0,H7004/I7004,0)</f>
      </c>
      <c r="K7004" s="193" t="str">
        <f>1-EXP(-J7004)</f>
      </c>
      <c r="L7004" s="194" t="str">
        <f>IF(G7004=30,1,M7003)</f>
      </c>
      <c r="M7004" s="195" t="str">
        <f>L7004*(1-K7004)</f>
      </c>
    </row>
    <row r="7005">
      <c r="A7005" t="s">
        <v>167</v>
      </c>
      <c r="B7005" t="s">
        <v>113</v>
      </c>
      <c r="C7005" s="35" t="s">
        <v>521</v>
      </c>
      <c r="D7005" t="s">
        <v>113</v>
      </c>
      <c r="E7005" t="s">
        <v>520</v>
      </c>
      <c r="F7005" s="188" t="n">
        <v>2044</v>
      </c>
      <c r="G7005" s="189" t="n">
        <v>33</v>
      </c>
      <c r="H7005" s="190" t="n">
        <v>1189.26610045207</v>
      </c>
      <c r="I7005" s="191" t="n">
        <v>4867014.0859197</v>
      </c>
      <c r="J7005" s="192" t="str">
        <f>IF(I7005&gt;0,H7005/I7005,0)</f>
      </c>
      <c r="K7005" s="193" t="str">
        <f>1-EXP(-J7005)</f>
      </c>
      <c r="L7005" s="194" t="str">
        <f>IF(G7005=30,1,M7004)</f>
      </c>
      <c r="M7005" s="195" t="str">
        <f>L7005*(1-K7005)</f>
      </c>
    </row>
    <row r="7006">
      <c r="A7006" t="s">
        <v>167</v>
      </c>
      <c r="B7006" t="s">
        <v>113</v>
      </c>
      <c r="C7006" s="35" t="s">
        <v>521</v>
      </c>
      <c r="D7006" t="s">
        <v>113</v>
      </c>
      <c r="E7006" t="s">
        <v>520</v>
      </c>
      <c r="F7006" s="188" t="n">
        <v>2044</v>
      </c>
      <c r="G7006" s="189" t="n">
        <v>34</v>
      </c>
      <c r="H7006" s="190" t="n">
        <v>1231.38435767873</v>
      </c>
      <c r="I7006" s="191" t="n">
        <v>4733092.49725848</v>
      </c>
      <c r="J7006" s="192" t="str">
        <f>IF(I7006&gt;0,H7006/I7006,0)</f>
      </c>
      <c r="K7006" s="193" t="str">
        <f>1-EXP(-J7006)</f>
      </c>
      <c r="L7006" s="194" t="str">
        <f>IF(G7006=30,1,M7005)</f>
      </c>
      <c r="M7006" s="195" t="str">
        <f>L7006*(1-K7006)</f>
      </c>
    </row>
    <row r="7007">
      <c r="A7007" t="s">
        <v>167</v>
      </c>
      <c r="B7007" t="s">
        <v>113</v>
      </c>
      <c r="C7007" s="35" t="s">
        <v>521</v>
      </c>
      <c r="D7007" t="s">
        <v>113</v>
      </c>
      <c r="E7007" t="s">
        <v>520</v>
      </c>
      <c r="F7007" s="188" t="n">
        <v>2044</v>
      </c>
      <c r="G7007" s="189" t="n">
        <v>35</v>
      </c>
      <c r="H7007" s="190" t="n">
        <v>1593.74479814912</v>
      </c>
      <c r="I7007" s="191" t="n">
        <v>4661841.33598682</v>
      </c>
      <c r="J7007" s="192" t="str">
        <f>IF(I7007&gt;0,H7007/I7007,0)</f>
      </c>
      <c r="K7007" s="193" t="str">
        <f>1-EXP(-J7007)</f>
      </c>
      <c r="L7007" s="194" t="str">
        <f>IF(G7007=30,1,M7006)</f>
      </c>
      <c r="M7007" s="195" t="str">
        <f>L7007*(1-K7007)</f>
      </c>
    </row>
    <row r="7008">
      <c r="A7008" t="s">
        <v>167</v>
      </c>
      <c r="B7008" t="s">
        <v>113</v>
      </c>
      <c r="C7008" s="35" t="s">
        <v>521</v>
      </c>
      <c r="D7008" t="s">
        <v>113</v>
      </c>
      <c r="E7008" t="s">
        <v>520</v>
      </c>
      <c r="F7008" s="188" t="n">
        <v>2044</v>
      </c>
      <c r="G7008" s="189" t="n">
        <v>36</v>
      </c>
      <c r="H7008" s="190" t="n">
        <v>1854.6222834246</v>
      </c>
      <c r="I7008" s="191" t="n">
        <v>4618046.19198221</v>
      </c>
      <c r="J7008" s="192" t="str">
        <f>IF(I7008&gt;0,H7008/I7008,0)</f>
      </c>
      <c r="K7008" s="193" t="str">
        <f>1-EXP(-J7008)</f>
      </c>
      <c r="L7008" s="194" t="str">
        <f>IF(G7008=30,1,M7007)</f>
      </c>
      <c r="M7008" s="195" t="str">
        <f>L7008*(1-K7008)</f>
      </c>
    </row>
    <row r="7009">
      <c r="A7009" t="s">
        <v>167</v>
      </c>
      <c r="B7009" t="s">
        <v>113</v>
      </c>
      <c r="C7009" s="35" t="s">
        <v>521</v>
      </c>
      <c r="D7009" t="s">
        <v>113</v>
      </c>
      <c r="E7009" t="s">
        <v>520</v>
      </c>
      <c r="F7009" s="188" t="n">
        <v>2044</v>
      </c>
      <c r="G7009" s="189" t="n">
        <v>37</v>
      </c>
      <c r="H7009" s="190" t="n">
        <v>2062.54351032584</v>
      </c>
      <c r="I7009" s="191" t="n">
        <v>4642253.74030107</v>
      </c>
      <c r="J7009" s="192" t="str">
        <f>IF(I7009&gt;0,H7009/I7009,0)</f>
      </c>
      <c r="K7009" s="193" t="str">
        <f>1-EXP(-J7009)</f>
      </c>
      <c r="L7009" s="194" t="str">
        <f>IF(G7009=30,1,M7008)</f>
      </c>
      <c r="M7009" s="195" t="str">
        <f>L7009*(1-K7009)</f>
      </c>
    </row>
    <row r="7010">
      <c r="A7010" t="s">
        <v>167</v>
      </c>
      <c r="B7010" t="s">
        <v>113</v>
      </c>
      <c r="C7010" s="35" t="s">
        <v>521</v>
      </c>
      <c r="D7010" t="s">
        <v>113</v>
      </c>
      <c r="E7010" t="s">
        <v>520</v>
      </c>
      <c r="F7010" s="188" t="n">
        <v>2044</v>
      </c>
      <c r="G7010" s="189" t="n">
        <v>38</v>
      </c>
      <c r="H7010" s="190" t="n">
        <v>2182.47411457585</v>
      </c>
      <c r="I7010" s="191" t="n">
        <v>4557907.22063824</v>
      </c>
      <c r="J7010" s="192" t="str">
        <f>IF(I7010&gt;0,H7010/I7010,0)</f>
      </c>
      <c r="K7010" s="193" t="str">
        <f>1-EXP(-J7010)</f>
      </c>
      <c r="L7010" s="194" t="str">
        <f>IF(G7010=30,1,M7009)</f>
      </c>
      <c r="M7010" s="195" t="str">
        <f>L7010*(1-K7010)</f>
      </c>
    </row>
    <row r="7011">
      <c r="A7011" t="s">
        <v>167</v>
      </c>
      <c r="B7011" t="s">
        <v>113</v>
      </c>
      <c r="C7011" s="35" t="s">
        <v>521</v>
      </c>
      <c r="D7011" t="s">
        <v>113</v>
      </c>
      <c r="E7011" t="s">
        <v>520</v>
      </c>
      <c r="F7011" s="188" t="n">
        <v>2044</v>
      </c>
      <c r="G7011" s="189" t="n">
        <v>39</v>
      </c>
      <c r="H7011" s="190" t="n">
        <v>2325.99564465436</v>
      </c>
      <c r="I7011" s="191" t="n">
        <v>4495015.70020901</v>
      </c>
      <c r="J7011" s="192" t="str">
        <f>IF(I7011&gt;0,H7011/I7011,0)</f>
      </c>
      <c r="K7011" s="193" t="str">
        <f>1-EXP(-J7011)</f>
      </c>
      <c r="L7011" s="194" t="str">
        <f>IF(G7011=30,1,M7010)</f>
      </c>
      <c r="M7011" s="195" t="str">
        <f>L7011*(1-K7011)</f>
      </c>
    </row>
    <row r="7012">
      <c r="A7012" t="s">
        <v>167</v>
      </c>
      <c r="B7012" t="s">
        <v>113</v>
      </c>
      <c r="C7012" s="35" t="s">
        <v>521</v>
      </c>
      <c r="D7012" t="s">
        <v>113</v>
      </c>
      <c r="E7012" t="s">
        <v>520</v>
      </c>
      <c r="F7012" s="188" t="n">
        <v>2044</v>
      </c>
      <c r="G7012" s="189" t="n">
        <v>40</v>
      </c>
      <c r="H7012" s="190" t="n">
        <v>3035.77974851676</v>
      </c>
      <c r="I7012" s="191" t="n">
        <v>4364803.47287459</v>
      </c>
      <c r="J7012" s="192" t="str">
        <f>IF(I7012&gt;0,H7012/I7012,0)</f>
      </c>
      <c r="K7012" s="193" t="str">
        <f>1-EXP(-J7012)</f>
      </c>
      <c r="L7012" s="194" t="str">
        <f>IF(G7012=30,1,M7011)</f>
      </c>
      <c r="M7012" s="195" t="str">
        <f>L7012*(1-K7012)</f>
      </c>
    </row>
    <row r="7013">
      <c r="A7013" t="s">
        <v>167</v>
      </c>
      <c r="B7013" t="s">
        <v>113</v>
      </c>
      <c r="C7013" s="35" t="s">
        <v>521</v>
      </c>
      <c r="D7013" t="s">
        <v>113</v>
      </c>
      <c r="E7013" t="s">
        <v>520</v>
      </c>
      <c r="F7013" s="188" t="n">
        <v>2044</v>
      </c>
      <c r="G7013" s="189" t="n">
        <v>41</v>
      </c>
      <c r="H7013" s="190" t="n">
        <v>3370.81143862004</v>
      </c>
      <c r="I7013" s="191" t="n">
        <v>4296004.57382018</v>
      </c>
      <c r="J7013" s="192" t="str">
        <f>IF(I7013&gt;0,H7013/I7013,0)</f>
      </c>
      <c r="K7013" s="193" t="str">
        <f>1-EXP(-J7013)</f>
      </c>
      <c r="L7013" s="194" t="str">
        <f>IF(G7013=30,1,M7012)</f>
      </c>
      <c r="M7013" s="195" t="str">
        <f>L7013*(1-K7013)</f>
      </c>
    </row>
    <row r="7014">
      <c r="A7014" t="s">
        <v>167</v>
      </c>
      <c r="B7014" t="s">
        <v>113</v>
      </c>
      <c r="C7014" s="35" t="s">
        <v>521</v>
      </c>
      <c r="D7014" t="s">
        <v>113</v>
      </c>
      <c r="E7014" t="s">
        <v>520</v>
      </c>
      <c r="F7014" s="188" t="n">
        <v>2044</v>
      </c>
      <c r="G7014" s="189" t="n">
        <v>42</v>
      </c>
      <c r="H7014" s="190" t="n">
        <v>3786.5081820447</v>
      </c>
      <c r="I7014" s="191" t="n">
        <v>4269123.88602137</v>
      </c>
      <c r="J7014" s="192" t="str">
        <f>IF(I7014&gt;0,H7014/I7014,0)</f>
      </c>
      <c r="K7014" s="193" t="str">
        <f>1-EXP(-J7014)</f>
      </c>
      <c r="L7014" s="194" t="str">
        <f>IF(G7014=30,1,M7013)</f>
      </c>
      <c r="M7014" s="195" t="str">
        <f>L7014*(1-K7014)</f>
      </c>
    </row>
    <row r="7015">
      <c r="A7015" t="s">
        <v>167</v>
      </c>
      <c r="B7015" t="s">
        <v>113</v>
      </c>
      <c r="C7015" s="35" t="s">
        <v>521</v>
      </c>
      <c r="D7015" t="s">
        <v>113</v>
      </c>
      <c r="E7015" t="s">
        <v>520</v>
      </c>
      <c r="F7015" s="188" t="n">
        <v>2044</v>
      </c>
      <c r="G7015" s="189" t="n">
        <v>43</v>
      </c>
      <c r="H7015" s="190" t="n">
        <v>4090.08264545274</v>
      </c>
      <c r="I7015" s="191" t="n">
        <v>4244495.96921786</v>
      </c>
      <c r="J7015" s="192" t="str">
        <f>IF(I7015&gt;0,H7015/I7015,0)</f>
      </c>
      <c r="K7015" s="193" t="str">
        <f>1-EXP(-J7015)</f>
      </c>
      <c r="L7015" s="194" t="str">
        <f>IF(G7015=30,1,M7014)</f>
      </c>
      <c r="M7015" s="195" t="str">
        <f>L7015*(1-K7015)</f>
      </c>
    </row>
    <row r="7016">
      <c r="A7016" t="s">
        <v>167</v>
      </c>
      <c r="B7016" t="s">
        <v>113</v>
      </c>
      <c r="C7016" s="35" t="s">
        <v>521</v>
      </c>
      <c r="D7016" t="s">
        <v>113</v>
      </c>
      <c r="E7016" t="s">
        <v>520</v>
      </c>
      <c r="F7016" s="188" t="n">
        <v>2044</v>
      </c>
      <c r="G7016" s="189" t="n">
        <v>44</v>
      </c>
      <c r="H7016" s="190" t="n">
        <v>4428.71543804394</v>
      </c>
      <c r="I7016" s="191" t="n">
        <v>4219003.00560912</v>
      </c>
      <c r="J7016" s="192" t="str">
        <f>IF(I7016&gt;0,H7016/I7016,0)</f>
      </c>
      <c r="K7016" s="193" t="str">
        <f>1-EXP(-J7016)</f>
      </c>
      <c r="L7016" s="194" t="str">
        <f>IF(G7016=30,1,M7015)</f>
      </c>
      <c r="M7016" s="195" t="str">
        <f>L7016*(1-K7016)</f>
      </c>
    </row>
    <row r="7017">
      <c r="A7017" t="s">
        <v>167</v>
      </c>
      <c r="B7017" t="s">
        <v>113</v>
      </c>
      <c r="C7017" s="35" t="s">
        <v>521</v>
      </c>
      <c r="D7017" t="s">
        <v>113</v>
      </c>
      <c r="E7017" t="s">
        <v>520</v>
      </c>
      <c r="F7017" s="188" t="n">
        <v>2044</v>
      </c>
      <c r="G7017" s="189" t="n">
        <v>45</v>
      </c>
      <c r="H7017" s="190" t="n">
        <v>5700.5306929646</v>
      </c>
      <c r="I7017" s="191" t="n">
        <v>4231674.66179448</v>
      </c>
      <c r="J7017" s="192" t="str">
        <f>IF(I7017&gt;0,H7017/I7017,0)</f>
      </c>
      <c r="K7017" s="193" t="str">
        <f>1-EXP(-J7017)</f>
      </c>
      <c r="L7017" s="194" t="str">
        <f>IF(G7017=30,1,M7016)</f>
      </c>
      <c r="M7017" s="195" t="str">
        <f>L7017*(1-K7017)</f>
      </c>
    </row>
    <row r="7018">
      <c r="A7018" t="s">
        <v>167</v>
      </c>
      <c r="B7018" t="s">
        <v>113</v>
      </c>
      <c r="C7018" s="35" t="s">
        <v>521</v>
      </c>
      <c r="D7018" t="s">
        <v>113</v>
      </c>
      <c r="E7018" t="s">
        <v>520</v>
      </c>
      <c r="F7018" s="188" t="n">
        <v>2044</v>
      </c>
      <c r="G7018" s="189" t="n">
        <v>46</v>
      </c>
      <c r="H7018" s="190" t="n">
        <v>6384.8535454978</v>
      </c>
      <c r="I7018" s="191" t="n">
        <v>4280769.61090942</v>
      </c>
      <c r="J7018" s="192" t="str">
        <f>IF(I7018&gt;0,H7018/I7018,0)</f>
      </c>
      <c r="K7018" s="193" t="str">
        <f>1-EXP(-J7018)</f>
      </c>
      <c r="L7018" s="194" t="str">
        <f>IF(G7018=30,1,M7017)</f>
      </c>
      <c r="M7018" s="195" t="str">
        <f>L7018*(1-K7018)</f>
      </c>
    </row>
    <row r="7019">
      <c r="A7019" t="s">
        <v>167</v>
      </c>
      <c r="B7019" t="s">
        <v>113</v>
      </c>
      <c r="C7019" s="35" t="s">
        <v>521</v>
      </c>
      <c r="D7019" t="s">
        <v>113</v>
      </c>
      <c r="E7019" t="s">
        <v>520</v>
      </c>
      <c r="F7019" s="188" t="n">
        <v>2044</v>
      </c>
      <c r="G7019" s="189" t="n">
        <v>47</v>
      </c>
      <c r="H7019" s="190" t="n">
        <v>7383.89916629016</v>
      </c>
      <c r="I7019" s="191" t="n">
        <v>4404050.61850564</v>
      </c>
      <c r="J7019" s="192" t="str">
        <f>IF(I7019&gt;0,H7019/I7019,0)</f>
      </c>
      <c r="K7019" s="193" t="str">
        <f>1-EXP(-J7019)</f>
      </c>
      <c r="L7019" s="194" t="str">
        <f>IF(G7019=30,1,M7018)</f>
      </c>
      <c r="M7019" s="195" t="str">
        <f>L7019*(1-K7019)</f>
      </c>
    </row>
    <row r="7020">
      <c r="A7020" t="s">
        <v>167</v>
      </c>
      <c r="B7020" t="s">
        <v>113</v>
      </c>
      <c r="C7020" s="35" t="s">
        <v>521</v>
      </c>
      <c r="D7020" t="s">
        <v>113</v>
      </c>
      <c r="E7020" t="s">
        <v>520</v>
      </c>
      <c r="F7020" s="188" t="n">
        <v>2044</v>
      </c>
      <c r="G7020" s="189" t="n">
        <v>48</v>
      </c>
      <c r="H7020" s="190" t="n">
        <v>7989.75242331538</v>
      </c>
      <c r="I7020" s="191" t="n">
        <v>4351337.00866612</v>
      </c>
      <c r="J7020" s="192" t="str">
        <f>IF(I7020&gt;0,H7020/I7020,0)</f>
      </c>
      <c r="K7020" s="193" t="str">
        <f>1-EXP(-J7020)</f>
      </c>
      <c r="L7020" s="194" t="str">
        <f>IF(G7020=30,1,M7019)</f>
      </c>
      <c r="M7020" s="195" t="str">
        <f>L7020*(1-K7020)</f>
      </c>
    </row>
    <row r="7021">
      <c r="A7021" t="s">
        <v>167</v>
      </c>
      <c r="B7021" t="s">
        <v>113</v>
      </c>
      <c r="C7021" s="35" t="s">
        <v>521</v>
      </c>
      <c r="D7021" t="s">
        <v>113</v>
      </c>
      <c r="E7021" t="s">
        <v>520</v>
      </c>
      <c r="F7021" s="188" t="n">
        <v>2044</v>
      </c>
      <c r="G7021" s="189" t="n">
        <v>49</v>
      </c>
      <c r="H7021" s="190" t="n">
        <v>8589.60260505069</v>
      </c>
      <c r="I7021" s="191" t="n">
        <v>4268467.41605437</v>
      </c>
      <c r="J7021" s="192" t="str">
        <f>IF(I7021&gt;0,H7021/I7021,0)</f>
      </c>
      <c r="K7021" s="193" t="str">
        <f>1-EXP(-J7021)</f>
      </c>
      <c r="L7021" s="194" t="str">
        <f>IF(G7021=30,1,M7020)</f>
      </c>
      <c r="M7021" s="195" t="str">
        <f>L7021*(1-K7021)</f>
      </c>
    </row>
    <row r="7022">
      <c r="A7022" t="s">
        <v>167</v>
      </c>
      <c r="B7022" t="s">
        <v>113</v>
      </c>
      <c r="C7022" s="35" t="s">
        <v>521</v>
      </c>
      <c r="D7022" t="s">
        <v>113</v>
      </c>
      <c r="E7022" t="s">
        <v>520</v>
      </c>
      <c r="F7022" s="188" t="n">
        <v>2044</v>
      </c>
      <c r="G7022" s="189" t="n">
        <v>50</v>
      </c>
      <c r="H7022" s="190" t="n">
        <v>9663.85085130994</v>
      </c>
      <c r="I7022" s="191" t="n">
        <v>4199772.13461329</v>
      </c>
      <c r="J7022" s="192" t="str">
        <f>IF(I7022&gt;0,H7022/I7022,0)</f>
      </c>
      <c r="K7022" s="193" t="str">
        <f>1-EXP(-J7022)</f>
      </c>
      <c r="L7022" s="194" t="str">
        <f>IF(G7022=30,1,M7021)</f>
      </c>
      <c r="M7022" s="195" t="str">
        <f>L7022*(1-K7022)</f>
      </c>
    </row>
    <row r="7023">
      <c r="A7023" t="s">
        <v>167</v>
      </c>
      <c r="B7023" t="s">
        <v>113</v>
      </c>
      <c r="C7023" s="35" t="s">
        <v>521</v>
      </c>
      <c r="D7023" t="s">
        <v>113</v>
      </c>
      <c r="E7023" t="s">
        <v>520</v>
      </c>
      <c r="F7023" s="188" t="n">
        <v>2044</v>
      </c>
      <c r="G7023" s="189" t="n">
        <v>51</v>
      </c>
      <c r="H7023" s="190" t="n">
        <v>10407.3876247573</v>
      </c>
      <c r="I7023" s="191" t="n">
        <v>4132756.73144062</v>
      </c>
      <c r="J7023" s="192" t="str">
        <f>IF(I7023&gt;0,H7023/I7023,0)</f>
      </c>
      <c r="K7023" s="193" t="str">
        <f>1-EXP(-J7023)</f>
      </c>
      <c r="L7023" s="194" t="str">
        <f>IF(G7023=30,1,M7022)</f>
      </c>
      <c r="M7023" s="195" t="str">
        <f>L7023*(1-K7023)</f>
      </c>
    </row>
    <row r="7024">
      <c r="A7024" t="s">
        <v>167</v>
      </c>
      <c r="B7024" t="s">
        <v>113</v>
      </c>
      <c r="C7024" s="35" t="s">
        <v>521</v>
      </c>
      <c r="D7024" t="s">
        <v>113</v>
      </c>
      <c r="E7024" t="s">
        <v>520</v>
      </c>
      <c r="F7024" s="188" t="n">
        <v>2044</v>
      </c>
      <c r="G7024" s="189" t="n">
        <v>52</v>
      </c>
      <c r="H7024" s="190" t="n">
        <v>11408.4474023913</v>
      </c>
      <c r="I7024" s="191" t="n">
        <v>4152405.50043392</v>
      </c>
      <c r="J7024" s="192" t="str">
        <f>IF(I7024&gt;0,H7024/I7024,0)</f>
      </c>
      <c r="K7024" s="193" t="str">
        <f>1-EXP(-J7024)</f>
      </c>
      <c r="L7024" s="194" t="str">
        <f>IF(G7024=30,1,M7023)</f>
      </c>
      <c r="M7024" s="195" t="str">
        <f>L7024*(1-K7024)</f>
      </c>
    </row>
    <row r="7025">
      <c r="A7025" t="s">
        <v>167</v>
      </c>
      <c r="B7025" t="s">
        <v>113</v>
      </c>
      <c r="C7025" s="35" t="s">
        <v>521</v>
      </c>
      <c r="D7025" t="s">
        <v>113</v>
      </c>
      <c r="E7025" t="s">
        <v>520</v>
      </c>
      <c r="F7025" s="188" t="n">
        <v>2044</v>
      </c>
      <c r="G7025" s="189" t="n">
        <v>53</v>
      </c>
      <c r="H7025" s="190" t="n">
        <v>12438.7359143675</v>
      </c>
      <c r="I7025" s="191" t="n">
        <v>4151253.26921622</v>
      </c>
      <c r="J7025" s="192" t="str">
        <f>IF(I7025&gt;0,H7025/I7025,0)</f>
      </c>
      <c r="K7025" s="193" t="str">
        <f>1-EXP(-J7025)</f>
      </c>
      <c r="L7025" s="194" t="str">
        <f>IF(G7025=30,1,M7024)</f>
      </c>
      <c r="M7025" s="195" t="str">
        <f>L7025*(1-K7025)</f>
      </c>
    </row>
    <row r="7026">
      <c r="A7026" t="s">
        <v>167</v>
      </c>
      <c r="B7026" t="s">
        <v>113</v>
      </c>
      <c r="C7026" s="35" t="s">
        <v>521</v>
      </c>
      <c r="D7026" t="s">
        <v>113</v>
      </c>
      <c r="E7026" t="s">
        <v>520</v>
      </c>
      <c r="F7026" s="188" t="n">
        <v>2044</v>
      </c>
      <c r="G7026" s="189" t="n">
        <v>54</v>
      </c>
      <c r="H7026" s="190" t="n">
        <v>18004.8080319352</v>
      </c>
      <c r="I7026" s="191" t="n">
        <v>6103946.59269184</v>
      </c>
      <c r="J7026" s="192" t="str">
        <f>IF(I7026&gt;0,H7026/I7026,0)</f>
      </c>
      <c r="K7026" s="193" t="str">
        <f>1-EXP(-J7026)</f>
      </c>
      <c r="L7026" s="194" t="str">
        <f>IF(G7026=30,1,M7025)</f>
      </c>
      <c r="M7026" s="195" t="str">
        <f>L7026*(1-K7026)</f>
      </c>
    </row>
    <row r="7027">
      <c r="A7027" t="s">
        <v>167</v>
      </c>
      <c r="B7027" t="s">
        <v>113</v>
      </c>
      <c r="C7027" s="35" t="s">
        <v>521</v>
      </c>
      <c r="D7027" t="s">
        <v>113</v>
      </c>
      <c r="E7027" t="s">
        <v>520</v>
      </c>
      <c r="F7027" s="188" t="n">
        <v>2044</v>
      </c>
      <c r="G7027" s="189" t="n">
        <v>55</v>
      </c>
      <c r="H7027" s="190" t="n">
        <v>14260.5682751539</v>
      </c>
      <c r="I7027" s="191" t="n">
        <v>4070410.84347456</v>
      </c>
      <c r="J7027" s="192" t="str">
        <f>IF(I7027&gt;0,H7027/I7027,0)</f>
      </c>
      <c r="K7027" s="193" t="str">
        <f>1-EXP(-J7027)</f>
      </c>
      <c r="L7027" s="194" t="str">
        <f>IF(G7027=30,1,M7026)</f>
      </c>
      <c r="M7027" s="195" t="str">
        <f>L7027*(1-K7027)</f>
      </c>
    </row>
    <row r="7028">
      <c r="A7028" t="s">
        <v>167</v>
      </c>
      <c r="B7028" t="s">
        <v>113</v>
      </c>
      <c r="C7028" s="35" t="s">
        <v>521</v>
      </c>
      <c r="D7028" t="s">
        <v>113</v>
      </c>
      <c r="E7028" t="s">
        <v>520</v>
      </c>
      <c r="F7028" s="188" t="n">
        <v>2044</v>
      </c>
      <c r="G7028" s="189" t="n">
        <v>56</v>
      </c>
      <c r="H7028" s="190" t="n">
        <v>15377.9332050192</v>
      </c>
      <c r="I7028" s="191" t="n">
        <v>4031040.54047145</v>
      </c>
      <c r="J7028" s="192" t="str">
        <f>IF(I7028&gt;0,H7028/I7028,0)</f>
      </c>
      <c r="K7028" s="193" t="str">
        <f>1-EXP(-J7028)</f>
      </c>
      <c r="L7028" s="194" t="str">
        <f>IF(G7028=30,1,M7027)</f>
      </c>
      <c r="M7028" s="195" t="str">
        <f>L7028*(1-K7028)</f>
      </c>
    </row>
    <row r="7029">
      <c r="A7029" t="s">
        <v>167</v>
      </c>
      <c r="B7029" t="s">
        <v>113</v>
      </c>
      <c r="C7029" s="35" t="s">
        <v>521</v>
      </c>
      <c r="D7029" t="s">
        <v>113</v>
      </c>
      <c r="E7029" t="s">
        <v>520</v>
      </c>
      <c r="F7029" s="188" t="n">
        <v>2044</v>
      </c>
      <c r="G7029" s="189" t="n">
        <v>57</v>
      </c>
      <c r="H7029" s="190" t="n">
        <v>16154.4037483547</v>
      </c>
      <c r="I7029" s="191" t="n">
        <v>3882637.61469016</v>
      </c>
      <c r="J7029" s="192" t="str">
        <f>IF(I7029&gt;0,H7029/I7029,0)</f>
      </c>
      <c r="K7029" s="193" t="str">
        <f>1-EXP(-J7029)</f>
      </c>
      <c r="L7029" s="194" t="str">
        <f>IF(G7029=30,1,M7028)</f>
      </c>
      <c r="M7029" s="195" t="str">
        <f>L7029*(1-K7029)</f>
      </c>
    </row>
    <row r="7030">
      <c r="A7030" t="s">
        <v>167</v>
      </c>
      <c r="B7030" t="s">
        <v>113</v>
      </c>
      <c r="C7030" s="35" t="s">
        <v>521</v>
      </c>
      <c r="D7030" t="s">
        <v>113</v>
      </c>
      <c r="E7030" t="s">
        <v>520</v>
      </c>
      <c r="F7030" s="188" t="n">
        <v>2044</v>
      </c>
      <c r="G7030" s="189" t="n">
        <v>58</v>
      </c>
      <c r="H7030" s="190" t="n">
        <v>17370.6911029555</v>
      </c>
      <c r="I7030" s="191" t="n">
        <v>3823766.05639897</v>
      </c>
      <c r="J7030" s="192" t="str">
        <f>IF(I7030&gt;0,H7030/I7030,0)</f>
      </c>
      <c r="K7030" s="193" t="str">
        <f>1-EXP(-J7030)</f>
      </c>
      <c r="L7030" s="194" t="str">
        <f>IF(G7030=30,1,M7029)</f>
      </c>
      <c r="M7030" s="195" t="str">
        <f>L7030*(1-K7030)</f>
      </c>
    </row>
    <row r="7031">
      <c r="A7031" t="s">
        <v>167</v>
      </c>
      <c r="B7031" t="s">
        <v>113</v>
      </c>
      <c r="C7031" s="35" t="s">
        <v>521</v>
      </c>
      <c r="D7031" t="s">
        <v>113</v>
      </c>
      <c r="E7031" t="s">
        <v>520</v>
      </c>
      <c r="F7031" s="188" t="n">
        <v>2044</v>
      </c>
      <c r="G7031" s="189" t="n">
        <v>59</v>
      </c>
      <c r="H7031" s="190" t="n">
        <v>19124.0489445017</v>
      </c>
      <c r="I7031" s="191" t="n">
        <v>3848493.7417113</v>
      </c>
      <c r="J7031" s="192" t="str">
        <f>IF(I7031&gt;0,H7031/I7031,0)</f>
      </c>
      <c r="K7031" s="193" t="str">
        <f>1-EXP(-J7031)</f>
      </c>
      <c r="L7031" s="194" t="str">
        <f>IF(G7031=30,1,M7030)</f>
      </c>
      <c r="M7031" s="195" t="str">
        <f>L7031*(1-K7031)</f>
      </c>
    </row>
    <row r="7032">
      <c r="A7032" t="s">
        <v>167</v>
      </c>
      <c r="B7032" t="s">
        <v>113</v>
      </c>
      <c r="C7032" s="35" t="s">
        <v>521</v>
      </c>
      <c r="D7032" t="s">
        <v>113</v>
      </c>
      <c r="E7032" t="s">
        <v>520</v>
      </c>
      <c r="F7032" s="188" t="n">
        <v>2044</v>
      </c>
      <c r="G7032" s="189" t="n">
        <v>60</v>
      </c>
      <c r="H7032" s="190" t="n">
        <v>20970.2655054061</v>
      </c>
      <c r="I7032" s="191" t="n">
        <v>3892518.83747706</v>
      </c>
      <c r="J7032" s="192" t="str">
        <f>IF(I7032&gt;0,H7032/I7032,0)</f>
      </c>
      <c r="K7032" s="193" t="str">
        <f>1-EXP(-J7032)</f>
      </c>
      <c r="L7032" s="194" t="str">
        <f>IF(G7032=30,1,M7031)</f>
      </c>
      <c r="M7032" s="195" t="str">
        <f>L7032*(1-K7032)</f>
      </c>
    </row>
    <row r="7033">
      <c r="A7033" t="s">
        <v>167</v>
      </c>
      <c r="B7033" t="s">
        <v>113</v>
      </c>
      <c r="C7033" s="35" t="s">
        <v>521</v>
      </c>
      <c r="D7033" t="s">
        <v>113</v>
      </c>
      <c r="E7033" t="s">
        <v>520</v>
      </c>
      <c r="F7033" s="188" t="n">
        <v>2044</v>
      </c>
      <c r="G7033" s="189" t="n">
        <v>61</v>
      </c>
      <c r="H7033" s="190" t="n">
        <v>22650.8307568262</v>
      </c>
      <c r="I7033" s="191" t="n">
        <v>3834433.35446651</v>
      </c>
      <c r="J7033" s="192" t="str">
        <f>IF(I7033&gt;0,H7033/I7033,0)</f>
      </c>
      <c r="K7033" s="193" t="str">
        <f>1-EXP(-J7033)</f>
      </c>
      <c r="L7033" s="194" t="str">
        <f>IF(G7033=30,1,M7032)</f>
      </c>
      <c r="M7033" s="195" t="str">
        <f>L7033*(1-K7033)</f>
      </c>
    </row>
    <row r="7034">
      <c r="A7034" t="s">
        <v>167</v>
      </c>
      <c r="B7034" t="s">
        <v>113</v>
      </c>
      <c r="C7034" s="35" t="s">
        <v>521</v>
      </c>
      <c r="D7034" t="s">
        <v>113</v>
      </c>
      <c r="E7034" t="s">
        <v>520</v>
      </c>
      <c r="F7034" s="188" t="n">
        <v>2044</v>
      </c>
      <c r="G7034" s="189" t="n">
        <v>62</v>
      </c>
      <c r="H7034" s="190" t="n">
        <v>23826.8291440275</v>
      </c>
      <c r="I7034" s="191" t="n">
        <v>3673594.45375173</v>
      </c>
      <c r="J7034" s="192" t="str">
        <f>IF(I7034&gt;0,H7034/I7034,0)</f>
      </c>
      <c r="K7034" s="193" t="str">
        <f>1-EXP(-J7034)</f>
      </c>
      <c r="L7034" s="194" t="str">
        <f>IF(G7034=30,1,M7033)</f>
      </c>
      <c r="M7034" s="195" t="str">
        <f>L7034*(1-K7034)</f>
      </c>
    </row>
    <row r="7035">
      <c r="A7035" t="s">
        <v>167</v>
      </c>
      <c r="B7035" t="s">
        <v>113</v>
      </c>
      <c r="C7035" s="35" t="s">
        <v>521</v>
      </c>
      <c r="D7035" t="s">
        <v>113</v>
      </c>
      <c r="E7035" t="s">
        <v>520</v>
      </c>
      <c r="F7035" s="188" t="n">
        <v>2044</v>
      </c>
      <c r="G7035" s="189" t="n">
        <v>63</v>
      </c>
      <c r="H7035" s="190" t="n">
        <v>25380.725215057</v>
      </c>
      <c r="I7035" s="191" t="n">
        <v>3567124.18642087</v>
      </c>
      <c r="J7035" s="192" t="str">
        <f>IF(I7035&gt;0,H7035/I7035,0)</f>
      </c>
      <c r="K7035" s="193" t="str">
        <f>1-EXP(-J7035)</f>
      </c>
      <c r="L7035" s="194" t="str">
        <f>IF(G7035=30,1,M7034)</f>
      </c>
      <c r="M7035" s="195" t="str">
        <f>L7035*(1-K7035)</f>
      </c>
    </row>
    <row r="7036">
      <c r="A7036" t="s">
        <v>167</v>
      </c>
      <c r="B7036" t="s">
        <v>113</v>
      </c>
      <c r="C7036" s="35" t="s">
        <v>521</v>
      </c>
      <c r="D7036" t="s">
        <v>113</v>
      </c>
      <c r="E7036" t="s">
        <v>520</v>
      </c>
      <c r="F7036" s="188" t="n">
        <v>2044</v>
      </c>
      <c r="G7036" s="189" t="n">
        <v>64</v>
      </c>
      <c r="H7036" s="190" t="n">
        <v>27098.9405346093</v>
      </c>
      <c r="I7036" s="191" t="n">
        <v>3472425.12563182</v>
      </c>
      <c r="J7036" s="192" t="str">
        <f>IF(I7036&gt;0,H7036/I7036,0)</f>
      </c>
      <c r="K7036" s="193" t="str">
        <f>1-EXP(-J7036)</f>
      </c>
      <c r="L7036" s="194" t="str">
        <f>IF(G7036=30,1,M7035)</f>
      </c>
      <c r="M7036" s="195" t="str">
        <f>L7036*(1-K7036)</f>
      </c>
    </row>
    <row r="7037">
      <c r="A7037" t="s">
        <v>167</v>
      </c>
      <c r="B7037" t="s">
        <v>113</v>
      </c>
      <c r="C7037" s="35" t="s">
        <v>521</v>
      </c>
      <c r="D7037" t="s">
        <v>113</v>
      </c>
      <c r="E7037" t="s">
        <v>520</v>
      </c>
      <c r="F7037" s="188" t="n">
        <v>2044</v>
      </c>
      <c r="G7037" s="189" t="n">
        <v>65</v>
      </c>
      <c r="H7037" s="190" t="n">
        <v>27536.7953952198</v>
      </c>
      <c r="I7037" s="191" t="n">
        <v>3370694.08871409</v>
      </c>
      <c r="J7037" s="192" t="str">
        <f>IF(I7037&gt;0,H7037/I7037,0)</f>
      </c>
      <c r="K7037" s="193" t="str">
        <f>1-EXP(-J7037)</f>
      </c>
      <c r="L7037" s="194" t="str">
        <f>IF(G7037=30,1,M7036)</f>
      </c>
      <c r="M7037" s="195" t="str">
        <f>L7037*(1-K7037)</f>
      </c>
    </row>
    <row r="7038">
      <c r="A7038" t="s">
        <v>167</v>
      </c>
      <c r="B7038" t="s">
        <v>113</v>
      </c>
      <c r="C7038" s="35" t="s">
        <v>521</v>
      </c>
      <c r="D7038" t="s">
        <v>113</v>
      </c>
      <c r="E7038" t="s">
        <v>520</v>
      </c>
      <c r="F7038" s="188" t="n">
        <v>2044</v>
      </c>
      <c r="G7038" s="189" t="n">
        <v>66</v>
      </c>
      <c r="H7038" s="190" t="n">
        <v>29155.998443632</v>
      </c>
      <c r="I7038" s="191" t="n">
        <v>3250939.13552593</v>
      </c>
      <c r="J7038" s="192" t="str">
        <f>IF(I7038&gt;0,H7038/I7038,0)</f>
      </c>
      <c r="K7038" s="193" t="str">
        <f>1-EXP(-J7038)</f>
      </c>
      <c r="L7038" s="194" t="str">
        <f>IF(G7038=30,1,M7037)</f>
      </c>
      <c r="M7038" s="195" t="str">
        <f>L7038*(1-K7038)</f>
      </c>
    </row>
    <row r="7039">
      <c r="A7039" t="s">
        <v>167</v>
      </c>
      <c r="B7039" t="s">
        <v>113</v>
      </c>
      <c r="C7039" s="35" t="s">
        <v>521</v>
      </c>
      <c r="D7039" t="s">
        <v>113</v>
      </c>
      <c r="E7039" t="s">
        <v>520</v>
      </c>
      <c r="F7039" s="188" t="n">
        <v>2044</v>
      </c>
      <c r="G7039" s="189" t="n">
        <v>67</v>
      </c>
      <c r="H7039" s="190" t="n">
        <v>30974.499416332</v>
      </c>
      <c r="I7039" s="191" t="n">
        <v>3142197.7250946</v>
      </c>
      <c r="J7039" s="192" t="str">
        <f>IF(I7039&gt;0,H7039/I7039,0)</f>
      </c>
      <c r="K7039" s="193" t="str">
        <f>1-EXP(-J7039)</f>
      </c>
      <c r="L7039" s="194" t="str">
        <f>IF(G7039=30,1,M7038)</f>
      </c>
      <c r="M7039" s="195" t="str">
        <f>L7039*(1-K7039)</f>
      </c>
    </row>
    <row r="7040">
      <c r="A7040" t="s">
        <v>167</v>
      </c>
      <c r="B7040" t="s">
        <v>113</v>
      </c>
      <c r="C7040" s="35" t="s">
        <v>521</v>
      </c>
      <c r="D7040" t="s">
        <v>113</v>
      </c>
      <c r="E7040" t="s">
        <v>520</v>
      </c>
      <c r="F7040" s="188" t="n">
        <v>2044</v>
      </c>
      <c r="G7040" s="189" t="n">
        <v>68</v>
      </c>
      <c r="H7040" s="190" t="n">
        <v>32729.9713564559</v>
      </c>
      <c r="I7040" s="191" t="n">
        <v>3022185.78582658</v>
      </c>
      <c r="J7040" s="192" t="str">
        <f>IF(I7040&gt;0,H7040/I7040,0)</f>
      </c>
      <c r="K7040" s="193" t="str">
        <f>1-EXP(-J7040)</f>
      </c>
      <c r="L7040" s="194" t="str">
        <f>IF(G7040=30,1,M7039)</f>
      </c>
      <c r="M7040" s="195" t="str">
        <f>L7040*(1-K7040)</f>
      </c>
    </row>
    <row r="7041">
      <c r="A7041" t="s">
        <v>167</v>
      </c>
      <c r="B7041" t="s">
        <v>113</v>
      </c>
      <c r="C7041" s="35" t="s">
        <v>521</v>
      </c>
      <c r="D7041" t="s">
        <v>113</v>
      </c>
      <c r="E7041" t="s">
        <v>520</v>
      </c>
      <c r="F7041" s="188" t="n">
        <v>2044</v>
      </c>
      <c r="G7041" s="189" t="n">
        <v>69</v>
      </c>
      <c r="H7041" s="190" t="n">
        <v>34529.9669840239</v>
      </c>
      <c r="I7041" s="191" t="n">
        <v>2899600.66260954</v>
      </c>
      <c r="J7041" s="192" t="str">
        <f>IF(I7041&gt;0,H7041/I7041,0)</f>
      </c>
      <c r="K7041" s="193" t="str">
        <f>1-EXP(-J7041)</f>
      </c>
      <c r="L7041" s="194" t="str">
        <f>IF(G7041=30,1,M7040)</f>
      </c>
      <c r="M7041" s="195" t="str">
        <f>L7041*(1-K7041)</f>
      </c>
    </row>
    <row r="7042">
      <c r="A7042" t="s">
        <v>167</v>
      </c>
      <c r="B7042" t="s">
        <v>113</v>
      </c>
      <c r="C7042" s="35" t="s">
        <v>521</v>
      </c>
      <c r="D7042" t="s">
        <v>113</v>
      </c>
      <c r="E7042" t="s">
        <v>520</v>
      </c>
      <c r="F7042" s="188" t="n">
        <v>2045</v>
      </c>
      <c r="G7042" s="189" t="n">
        <v>30</v>
      </c>
      <c r="H7042" s="190" t="n">
        <v>740.974012990067</v>
      </c>
      <c r="I7042" s="191" t="n">
        <v>4642333.58395385</v>
      </c>
      <c r="J7042" s="192" t="str">
        <f>IF(I7042&gt;0,H7042/I7042,0)</f>
      </c>
      <c r="K7042" s="193" t="str">
        <f>1-EXP(-J7042)</f>
      </c>
      <c r="L7042" s="194" t="str">
        <f>IF(G7042=30,1,M7041)</f>
      </c>
      <c r="M7042" s="195" t="str">
        <f>L7042*(1-K7042)</f>
      </c>
    </row>
    <row r="7043">
      <c r="A7043" t="s">
        <v>167</v>
      </c>
      <c r="B7043" t="s">
        <v>113</v>
      </c>
      <c r="C7043" s="35" t="s">
        <v>521</v>
      </c>
      <c r="D7043" t="s">
        <v>113</v>
      </c>
      <c r="E7043" t="s">
        <v>520</v>
      </c>
      <c r="F7043" s="188" t="n">
        <v>2045</v>
      </c>
      <c r="G7043" s="189" t="n">
        <v>31</v>
      </c>
      <c r="H7043" s="190" t="n">
        <v>994.487690345583</v>
      </c>
      <c r="I7043" s="191" t="n">
        <v>4708844.90647585</v>
      </c>
      <c r="J7043" s="192" t="str">
        <f>IF(I7043&gt;0,H7043/I7043,0)</f>
      </c>
      <c r="K7043" s="193" t="str">
        <f>1-EXP(-J7043)</f>
      </c>
      <c r="L7043" s="194" t="str">
        <f>IF(G7043=30,1,M7042)</f>
      </c>
      <c r="M7043" s="195" t="str">
        <f>L7043*(1-K7043)</f>
      </c>
    </row>
    <row r="7044">
      <c r="A7044" t="s">
        <v>167</v>
      </c>
      <c r="B7044" t="s">
        <v>113</v>
      </c>
      <c r="C7044" s="35" t="s">
        <v>521</v>
      </c>
      <c r="D7044" t="s">
        <v>113</v>
      </c>
      <c r="E7044" t="s">
        <v>520</v>
      </c>
      <c r="F7044" s="188" t="n">
        <v>2045</v>
      </c>
      <c r="G7044" s="189" t="n">
        <v>32</v>
      </c>
      <c r="H7044" s="190" t="n">
        <v>1063.14812937919</v>
      </c>
      <c r="I7044" s="191" t="n">
        <v>4777003.77194401</v>
      </c>
      <c r="J7044" s="192" t="str">
        <f>IF(I7044&gt;0,H7044/I7044,0)</f>
      </c>
      <c r="K7044" s="193" t="str">
        <f>1-EXP(-J7044)</f>
      </c>
      <c r="L7044" s="194" t="str">
        <f>IF(G7044=30,1,M7043)</f>
      </c>
      <c r="M7044" s="195" t="str">
        <f>L7044*(1-K7044)</f>
      </c>
    </row>
    <row r="7045">
      <c r="A7045" t="s">
        <v>167</v>
      </c>
      <c r="B7045" t="s">
        <v>113</v>
      </c>
      <c r="C7045" s="35" t="s">
        <v>521</v>
      </c>
      <c r="D7045" t="s">
        <v>113</v>
      </c>
      <c r="E7045" t="s">
        <v>520</v>
      </c>
      <c r="F7045" s="188" t="n">
        <v>2045</v>
      </c>
      <c r="G7045" s="189" t="n">
        <v>33</v>
      </c>
      <c r="H7045" s="190" t="n">
        <v>1196.23152480631</v>
      </c>
      <c r="I7045" s="191" t="n">
        <v>4889504.50069975</v>
      </c>
      <c r="J7045" s="192" t="str">
        <f>IF(I7045&gt;0,H7045/I7045,0)</f>
      </c>
      <c r="K7045" s="193" t="str">
        <f>1-EXP(-J7045)</f>
      </c>
      <c r="L7045" s="194" t="str">
        <f>IF(G7045=30,1,M7044)</f>
      </c>
      <c r="M7045" s="195" t="str">
        <f>L7045*(1-K7045)</f>
      </c>
    </row>
    <row r="7046">
      <c r="A7046" t="s">
        <v>167</v>
      </c>
      <c r="B7046" t="s">
        <v>113</v>
      </c>
      <c r="C7046" s="35" t="s">
        <v>521</v>
      </c>
      <c r="D7046" t="s">
        <v>113</v>
      </c>
      <c r="E7046" t="s">
        <v>520</v>
      </c>
      <c r="F7046" s="188" t="n">
        <v>2045</v>
      </c>
      <c r="G7046" s="189" t="n">
        <v>34</v>
      </c>
      <c r="H7046" s="190" t="n">
        <v>1265.93458744449</v>
      </c>
      <c r="I7046" s="191" t="n">
        <v>4861041.17568799</v>
      </c>
      <c r="J7046" s="192" t="str">
        <f>IF(I7046&gt;0,H7046/I7046,0)</f>
      </c>
      <c r="K7046" s="193" t="str">
        <f>1-EXP(-J7046)</f>
      </c>
      <c r="L7046" s="194" t="str">
        <f>IF(G7046=30,1,M7045)</f>
      </c>
      <c r="M7046" s="195" t="str">
        <f>L7046*(1-K7046)</f>
      </c>
    </row>
    <row r="7047">
      <c r="A7047" t="s">
        <v>167</v>
      </c>
      <c r="B7047" t="s">
        <v>113</v>
      </c>
      <c r="C7047" s="35" t="s">
        <v>521</v>
      </c>
      <c r="D7047" t="s">
        <v>113</v>
      </c>
      <c r="E7047" t="s">
        <v>520</v>
      </c>
      <c r="F7047" s="188" t="n">
        <v>2045</v>
      </c>
      <c r="G7047" s="189" t="n">
        <v>35</v>
      </c>
      <c r="H7047" s="190" t="n">
        <v>1612.9921660386</v>
      </c>
      <c r="I7047" s="191" t="n">
        <v>4726981.55005464</v>
      </c>
      <c r="J7047" s="192" t="str">
        <f>IF(I7047&gt;0,H7047/I7047,0)</f>
      </c>
      <c r="K7047" s="193" t="str">
        <f>1-EXP(-J7047)</f>
      </c>
      <c r="L7047" s="194" t="str">
        <f>IF(G7047=30,1,M7046)</f>
      </c>
      <c r="M7047" s="195" t="str">
        <f>L7047*(1-K7047)</f>
      </c>
    </row>
    <row r="7048">
      <c r="A7048" t="s">
        <v>167</v>
      </c>
      <c r="B7048" t="s">
        <v>113</v>
      </c>
      <c r="C7048" s="35" t="s">
        <v>521</v>
      </c>
      <c r="D7048" t="s">
        <v>113</v>
      </c>
      <c r="E7048" t="s">
        <v>520</v>
      </c>
      <c r="F7048" s="188" t="n">
        <v>2045</v>
      </c>
      <c r="G7048" s="189" t="n">
        <v>36</v>
      </c>
      <c r="H7048" s="190" t="n">
        <v>1864.93483112218</v>
      </c>
      <c r="I7048" s="191" t="n">
        <v>4655142.90999436</v>
      </c>
      <c r="J7048" s="192" t="str">
        <f>IF(I7048&gt;0,H7048/I7048,0)</f>
      </c>
      <c r="K7048" s="193" t="str">
        <f>1-EXP(-J7048)</f>
      </c>
      <c r="L7048" s="194" t="str">
        <f>IF(G7048=30,1,M7047)</f>
      </c>
      <c r="M7048" s="195" t="str">
        <f>L7048*(1-K7048)</f>
      </c>
    </row>
    <row r="7049">
      <c r="A7049" t="s">
        <v>167</v>
      </c>
      <c r="B7049" t="s">
        <v>113</v>
      </c>
      <c r="C7049" s="35" t="s">
        <v>521</v>
      </c>
      <c r="D7049" t="s">
        <v>113</v>
      </c>
      <c r="E7049" t="s">
        <v>520</v>
      </c>
      <c r="F7049" s="188" t="n">
        <v>2045</v>
      </c>
      <c r="G7049" s="189" t="n">
        <v>37</v>
      </c>
      <c r="H7049" s="190" t="n">
        <v>1985.8389018502</v>
      </c>
      <c r="I7049" s="191" t="n">
        <v>4611238.18408207</v>
      </c>
      <c r="J7049" s="192" t="str">
        <f>IF(I7049&gt;0,H7049/I7049,0)</f>
      </c>
      <c r="K7049" s="193" t="str">
        <f>1-EXP(-J7049)</f>
      </c>
      <c r="L7049" s="194" t="str">
        <f>IF(G7049=30,1,M7048)</f>
      </c>
      <c r="M7049" s="195" t="str">
        <f>L7049*(1-K7049)</f>
      </c>
    </row>
    <row r="7050">
      <c r="A7050" t="s">
        <v>167</v>
      </c>
      <c r="B7050" t="s">
        <v>113</v>
      </c>
      <c r="C7050" s="35" t="s">
        <v>521</v>
      </c>
      <c r="D7050" t="s">
        <v>113</v>
      </c>
      <c r="E7050" t="s">
        <v>520</v>
      </c>
      <c r="F7050" s="188" t="n">
        <v>2045</v>
      </c>
      <c r="G7050" s="189" t="n">
        <v>38</v>
      </c>
      <c r="H7050" s="190" t="n">
        <v>2212.60933822948</v>
      </c>
      <c r="I7050" s="191" t="n">
        <v>4634886.57090607</v>
      </c>
      <c r="J7050" s="192" t="str">
        <f>IF(I7050&gt;0,H7050/I7050,0)</f>
      </c>
      <c r="K7050" s="193" t="str">
        <f>1-EXP(-J7050)</f>
      </c>
      <c r="L7050" s="194" t="str">
        <f>IF(G7050=30,1,M7049)</f>
      </c>
      <c r="M7050" s="195" t="str">
        <f>L7050*(1-K7050)</f>
      </c>
    </row>
    <row r="7051">
      <c r="A7051" t="s">
        <v>167</v>
      </c>
      <c r="B7051" t="s">
        <v>113</v>
      </c>
      <c r="C7051" s="35" t="s">
        <v>521</v>
      </c>
      <c r="D7051" t="s">
        <v>113</v>
      </c>
      <c r="E7051" t="s">
        <v>520</v>
      </c>
      <c r="F7051" s="188" t="n">
        <v>2045</v>
      </c>
      <c r="G7051" s="189" t="n">
        <v>39</v>
      </c>
      <c r="H7051" s="190" t="n">
        <v>2347.10548168431</v>
      </c>
      <c r="I7051" s="191" t="n">
        <v>4550155.68448699</v>
      </c>
      <c r="J7051" s="192" t="str">
        <f>IF(I7051&gt;0,H7051/I7051,0)</f>
      </c>
      <c r="K7051" s="193" t="str">
        <f>1-EXP(-J7051)</f>
      </c>
      <c r="L7051" s="194" t="str">
        <f>IF(G7051=30,1,M7050)</f>
      </c>
      <c r="M7051" s="195" t="str">
        <f>L7051*(1-K7051)</f>
      </c>
    </row>
    <row r="7052">
      <c r="A7052" t="s">
        <v>167</v>
      </c>
      <c r="B7052" t="s">
        <v>113</v>
      </c>
      <c r="C7052" s="35" t="s">
        <v>521</v>
      </c>
      <c r="D7052" t="s">
        <v>113</v>
      </c>
      <c r="E7052" t="s">
        <v>520</v>
      </c>
      <c r="F7052" s="188" t="n">
        <v>2045</v>
      </c>
      <c r="G7052" s="189" t="n">
        <v>40</v>
      </c>
      <c r="H7052" s="190" t="n">
        <v>3108.55401321256</v>
      </c>
      <c r="I7052" s="191" t="n">
        <v>4486798.87653305</v>
      </c>
      <c r="J7052" s="192" t="str">
        <f>IF(I7052&gt;0,H7052/I7052,0)</f>
      </c>
      <c r="K7052" s="193" t="str">
        <f>1-EXP(-J7052)</f>
      </c>
      <c r="L7052" s="194" t="str">
        <f>IF(G7052=30,1,M7051)</f>
      </c>
      <c r="M7052" s="195" t="str">
        <f>L7052*(1-K7052)</f>
      </c>
    </row>
    <row r="7053">
      <c r="A7053" t="s">
        <v>167</v>
      </c>
      <c r="B7053" t="s">
        <v>113</v>
      </c>
      <c r="C7053" s="35" t="s">
        <v>521</v>
      </c>
      <c r="D7053" t="s">
        <v>113</v>
      </c>
      <c r="E7053" t="s">
        <v>520</v>
      </c>
      <c r="F7053" s="188" t="n">
        <v>2045</v>
      </c>
      <c r="G7053" s="189" t="n">
        <v>41</v>
      </c>
      <c r="H7053" s="190" t="n">
        <v>3403.57637812785</v>
      </c>
      <c r="I7053" s="191" t="n">
        <v>4355548.28247846</v>
      </c>
      <c r="J7053" s="192" t="str">
        <f>IF(I7053&gt;0,H7053/I7053,0)</f>
      </c>
      <c r="K7053" s="193" t="str">
        <f>1-EXP(-J7053)</f>
      </c>
      <c r="L7053" s="194" t="str">
        <f>IF(G7053=30,1,M7052)</f>
      </c>
      <c r="M7053" s="195" t="str">
        <f>L7053*(1-K7053)</f>
      </c>
    </row>
    <row r="7054">
      <c r="A7054" t="s">
        <v>167</v>
      </c>
      <c r="B7054" t="s">
        <v>113</v>
      </c>
      <c r="C7054" s="35" t="s">
        <v>521</v>
      </c>
      <c r="D7054" t="s">
        <v>113</v>
      </c>
      <c r="E7054" t="s">
        <v>520</v>
      </c>
      <c r="F7054" s="188" t="n">
        <v>2045</v>
      </c>
      <c r="G7054" s="189" t="n">
        <v>42</v>
      </c>
      <c r="H7054" s="190" t="n">
        <v>3634.57304648239</v>
      </c>
      <c r="I7054" s="191" t="n">
        <v>4286755.39822869</v>
      </c>
      <c r="J7054" s="192" t="str">
        <f>IF(I7054&gt;0,H7054/I7054,0)</f>
      </c>
      <c r="K7054" s="193" t="str">
        <f>1-EXP(-J7054)</f>
      </c>
      <c r="L7054" s="194" t="str">
        <f>IF(G7054=30,1,M7053)</f>
      </c>
      <c r="M7054" s="195" t="str">
        <f>L7054*(1-K7054)</f>
      </c>
    </row>
    <row r="7055">
      <c r="A7055" t="s">
        <v>167</v>
      </c>
      <c r="B7055" t="s">
        <v>113</v>
      </c>
      <c r="C7055" s="35" t="s">
        <v>521</v>
      </c>
      <c r="D7055" t="s">
        <v>113</v>
      </c>
      <c r="E7055" t="s">
        <v>520</v>
      </c>
      <c r="F7055" s="188" t="n">
        <v>2045</v>
      </c>
      <c r="G7055" s="189" t="n">
        <v>43</v>
      </c>
      <c r="H7055" s="190" t="n">
        <v>4083.0830242158</v>
      </c>
      <c r="I7055" s="191" t="n">
        <v>4259003.57870444</v>
      </c>
      <c r="J7055" s="192" t="str">
        <f>IF(I7055&gt;0,H7055/I7055,0)</f>
      </c>
      <c r="K7055" s="193" t="str">
        <f>1-EXP(-J7055)</f>
      </c>
      <c r="L7055" s="194" t="str">
        <f>IF(G7055=30,1,M7054)</f>
      </c>
      <c r="M7055" s="195" t="str">
        <f>L7055*(1-K7055)</f>
      </c>
    </row>
    <row r="7056">
      <c r="A7056" t="s">
        <v>167</v>
      </c>
      <c r="B7056" t="s">
        <v>113</v>
      </c>
      <c r="C7056" s="35" t="s">
        <v>521</v>
      </c>
      <c r="D7056" t="s">
        <v>113</v>
      </c>
      <c r="E7056" t="s">
        <v>520</v>
      </c>
      <c r="F7056" s="188" t="n">
        <v>2045</v>
      </c>
      <c r="G7056" s="189" t="n">
        <v>44</v>
      </c>
      <c r="H7056" s="190" t="n">
        <v>4418.90293727917</v>
      </c>
      <c r="I7056" s="191" t="n">
        <v>4233596.0595041</v>
      </c>
      <c r="J7056" s="192" t="str">
        <f>IF(I7056&gt;0,H7056/I7056,0)</f>
      </c>
      <c r="K7056" s="193" t="str">
        <f>1-EXP(-J7056)</f>
      </c>
      <c r="L7056" s="194" t="str">
        <f>IF(G7056=30,1,M7055)</f>
      </c>
      <c r="M7056" s="195" t="str">
        <f>L7056*(1-K7056)</f>
      </c>
    </row>
    <row r="7057">
      <c r="A7057" t="s">
        <v>167</v>
      </c>
      <c r="B7057" t="s">
        <v>113</v>
      </c>
      <c r="C7057" s="35" t="s">
        <v>521</v>
      </c>
      <c r="D7057" t="s">
        <v>113</v>
      </c>
      <c r="E7057" t="s">
        <v>520</v>
      </c>
      <c r="F7057" s="188" t="n">
        <v>2045</v>
      </c>
      <c r="G7057" s="189" t="n">
        <v>45</v>
      </c>
      <c r="H7057" s="190" t="n">
        <v>5631.65786956103</v>
      </c>
      <c r="I7057" s="191" t="n">
        <v>4207237.9176148</v>
      </c>
      <c r="J7057" s="192" t="str">
        <f>IF(I7057&gt;0,H7057/I7057,0)</f>
      </c>
      <c r="K7057" s="193" t="str">
        <f>1-EXP(-J7057)</f>
      </c>
      <c r="L7057" s="194" t="str">
        <f>IF(G7057=30,1,M7056)</f>
      </c>
      <c r="M7057" s="195" t="str">
        <f>L7057*(1-K7057)</f>
      </c>
    </row>
    <row r="7058">
      <c r="A7058" t="s">
        <v>167</v>
      </c>
      <c r="B7058" t="s">
        <v>113</v>
      </c>
      <c r="C7058" s="35" t="s">
        <v>521</v>
      </c>
      <c r="D7058" t="s">
        <v>113</v>
      </c>
      <c r="E7058" t="s">
        <v>520</v>
      </c>
      <c r="F7058" s="188" t="n">
        <v>2045</v>
      </c>
      <c r="G7058" s="189" t="n">
        <v>46</v>
      </c>
      <c r="H7058" s="190" t="n">
        <v>6250.4878204468</v>
      </c>
      <c r="I7058" s="191" t="n">
        <v>4217943.22742888</v>
      </c>
      <c r="J7058" s="192" t="str">
        <f>IF(I7058&gt;0,H7058/I7058,0)</f>
      </c>
      <c r="K7058" s="193" t="str">
        <f>1-EXP(-J7058)</f>
      </c>
      <c r="L7058" s="194" t="str">
        <f>IF(G7058=30,1,M7057)</f>
      </c>
      <c r="M7058" s="195" t="str">
        <f>L7058*(1-K7058)</f>
      </c>
    </row>
    <row r="7059">
      <c r="A7059" t="s">
        <v>167</v>
      </c>
      <c r="B7059" t="s">
        <v>113</v>
      </c>
      <c r="C7059" s="35" t="s">
        <v>521</v>
      </c>
      <c r="D7059" t="s">
        <v>113</v>
      </c>
      <c r="E7059" t="s">
        <v>520</v>
      </c>
      <c r="F7059" s="188" t="n">
        <v>2045</v>
      </c>
      <c r="G7059" s="189" t="n">
        <v>47</v>
      </c>
      <c r="H7059" s="190" t="n">
        <v>6924.45926446214</v>
      </c>
      <c r="I7059" s="191" t="n">
        <v>4266450.72290389</v>
      </c>
      <c r="J7059" s="192" t="str">
        <f>IF(I7059&gt;0,H7059/I7059,0)</f>
      </c>
      <c r="K7059" s="193" t="str">
        <f>1-EXP(-J7059)</f>
      </c>
      <c r="L7059" s="194" t="str">
        <f>IF(G7059=30,1,M7058)</f>
      </c>
      <c r="M7059" s="195" t="str">
        <f>L7059*(1-K7059)</f>
      </c>
    </row>
    <row r="7060">
      <c r="A7060" t="s">
        <v>167</v>
      </c>
      <c r="B7060" t="s">
        <v>113</v>
      </c>
      <c r="C7060" s="35" t="s">
        <v>521</v>
      </c>
      <c r="D7060" t="s">
        <v>113</v>
      </c>
      <c r="E7060" t="s">
        <v>520</v>
      </c>
      <c r="F7060" s="188" t="n">
        <v>2045</v>
      </c>
      <c r="G7060" s="189" t="n">
        <v>48</v>
      </c>
      <c r="H7060" s="190" t="n">
        <v>8004.14252791824</v>
      </c>
      <c r="I7060" s="191" t="n">
        <v>4387718.61516337</v>
      </c>
      <c r="J7060" s="192" t="str">
        <f>IF(I7060&gt;0,H7060/I7060,0)</f>
      </c>
      <c r="K7060" s="193" t="str">
        <f>1-EXP(-J7060)</f>
      </c>
      <c r="L7060" s="194" t="str">
        <f>IF(G7060=30,1,M7059)</f>
      </c>
      <c r="M7060" s="195" t="str">
        <f>L7060*(1-K7060)</f>
      </c>
    </row>
    <row r="7061">
      <c r="A7061" t="s">
        <v>167</v>
      </c>
      <c r="B7061" t="s">
        <v>113</v>
      </c>
      <c r="C7061" s="35" t="s">
        <v>521</v>
      </c>
      <c r="D7061" t="s">
        <v>113</v>
      </c>
      <c r="E7061" t="s">
        <v>520</v>
      </c>
      <c r="F7061" s="188" t="n">
        <v>2045</v>
      </c>
      <c r="G7061" s="189" t="n">
        <v>49</v>
      </c>
      <c r="H7061" s="190" t="n">
        <v>8664.05530841498</v>
      </c>
      <c r="I7061" s="191" t="n">
        <v>4333686.13380998</v>
      </c>
      <c r="J7061" s="192" t="str">
        <f>IF(I7061&gt;0,H7061/I7061,0)</f>
      </c>
      <c r="K7061" s="193" t="str">
        <f>1-EXP(-J7061)</f>
      </c>
      <c r="L7061" s="194" t="str">
        <f>IF(G7061=30,1,M7060)</f>
      </c>
      <c r="M7061" s="195" t="str">
        <f>L7061*(1-K7061)</f>
      </c>
    </row>
    <row r="7062">
      <c r="A7062" t="s">
        <v>167</v>
      </c>
      <c r="B7062" t="s">
        <v>113</v>
      </c>
      <c r="C7062" s="35" t="s">
        <v>521</v>
      </c>
      <c r="D7062" t="s">
        <v>113</v>
      </c>
      <c r="E7062" t="s">
        <v>520</v>
      </c>
      <c r="F7062" s="188" t="n">
        <v>2045</v>
      </c>
      <c r="G7062" s="189" t="n">
        <v>50</v>
      </c>
      <c r="H7062" s="190" t="n">
        <v>9703.80726173535</v>
      </c>
      <c r="I7062" s="191" t="n">
        <v>4249508.75425599</v>
      </c>
      <c r="J7062" s="192" t="str">
        <f>IF(I7062&gt;0,H7062/I7062,0)</f>
      </c>
      <c r="K7062" s="193" t="str">
        <f>1-EXP(-J7062)</f>
      </c>
      <c r="L7062" s="194" t="str">
        <f>IF(G7062=30,1,M7061)</f>
      </c>
      <c r="M7062" s="195" t="str">
        <f>L7062*(1-K7062)</f>
      </c>
    </row>
    <row r="7063">
      <c r="A7063" t="s">
        <v>167</v>
      </c>
      <c r="B7063" t="s">
        <v>113</v>
      </c>
      <c r="C7063" s="35" t="s">
        <v>521</v>
      </c>
      <c r="D7063" t="s">
        <v>113</v>
      </c>
      <c r="E7063" t="s">
        <v>520</v>
      </c>
      <c r="F7063" s="188" t="n">
        <v>2045</v>
      </c>
      <c r="G7063" s="189" t="n">
        <v>51</v>
      </c>
      <c r="H7063" s="190" t="n">
        <v>10443.6357157021</v>
      </c>
      <c r="I7063" s="191" t="n">
        <v>4178689.03594809</v>
      </c>
      <c r="J7063" s="192" t="str">
        <f>IF(I7063&gt;0,H7063/I7063,0)</f>
      </c>
      <c r="K7063" s="193" t="str">
        <f>1-EXP(-J7063)</f>
      </c>
      <c r="L7063" s="194" t="str">
        <f>IF(G7063=30,1,M7062)</f>
      </c>
      <c r="M7063" s="195" t="str">
        <f>L7063*(1-K7063)</f>
      </c>
    </row>
    <row r="7064">
      <c r="A7064" t="s">
        <v>167</v>
      </c>
      <c r="B7064" t="s">
        <v>113</v>
      </c>
      <c r="C7064" s="35" t="s">
        <v>521</v>
      </c>
      <c r="D7064" t="s">
        <v>113</v>
      </c>
      <c r="E7064" t="s">
        <v>520</v>
      </c>
      <c r="F7064" s="188" t="n">
        <v>2045</v>
      </c>
      <c r="G7064" s="189" t="n">
        <v>52</v>
      </c>
      <c r="H7064" s="190" t="n">
        <v>11226.1896784815</v>
      </c>
      <c r="I7064" s="191" t="n">
        <v>4110692.736583</v>
      </c>
      <c r="J7064" s="192" t="str">
        <f>IF(I7064&gt;0,H7064/I7064,0)</f>
      </c>
      <c r="K7064" s="193" t="str">
        <f>1-EXP(-J7064)</f>
      </c>
      <c r="L7064" s="194" t="str">
        <f>IF(G7064=30,1,M7063)</f>
      </c>
      <c r="M7064" s="195" t="str">
        <f>L7064*(1-K7064)</f>
      </c>
    </row>
    <row r="7065">
      <c r="A7065" t="s">
        <v>167</v>
      </c>
      <c r="B7065" t="s">
        <v>113</v>
      </c>
      <c r="C7065" s="35" t="s">
        <v>521</v>
      </c>
      <c r="D7065" t="s">
        <v>113</v>
      </c>
      <c r="E7065" t="s">
        <v>520</v>
      </c>
      <c r="F7065" s="188" t="n">
        <v>2045</v>
      </c>
      <c r="G7065" s="189" t="n">
        <v>53</v>
      </c>
      <c r="H7065" s="190" t="n">
        <v>12275.9510123251</v>
      </c>
      <c r="I7065" s="191" t="n">
        <v>4128205.150678</v>
      </c>
      <c r="J7065" s="192" t="str">
        <f>IF(I7065&gt;0,H7065/I7065,0)</f>
      </c>
      <c r="K7065" s="193" t="str">
        <f>1-EXP(-J7065)</f>
      </c>
      <c r="L7065" s="194" t="str">
        <f>IF(G7065=30,1,M7064)</f>
      </c>
      <c r="M7065" s="195" t="str">
        <f>L7065*(1-K7065)</f>
      </c>
    </row>
    <row r="7066">
      <c r="A7066" t="s">
        <v>167</v>
      </c>
      <c r="B7066" t="s">
        <v>113</v>
      </c>
      <c r="C7066" s="35" t="s">
        <v>521</v>
      </c>
      <c r="D7066" t="s">
        <v>113</v>
      </c>
      <c r="E7066" t="s">
        <v>520</v>
      </c>
      <c r="F7066" s="188" t="n">
        <v>2045</v>
      </c>
      <c r="G7066" s="189" t="n">
        <v>54</v>
      </c>
      <c r="H7066" s="190" t="n">
        <v>13355.197270235</v>
      </c>
      <c r="I7066" s="191" t="n">
        <v>4124856.37822066</v>
      </c>
      <c r="J7066" s="192" t="str">
        <f>IF(I7066&gt;0,H7066/I7066,0)</f>
      </c>
      <c r="K7066" s="193" t="str">
        <f>1-EXP(-J7066)</f>
      </c>
      <c r="L7066" s="194" t="str">
        <f>IF(G7066=30,1,M7065)</f>
      </c>
      <c r="M7066" s="195" t="str">
        <f>L7066*(1-K7066)</f>
      </c>
    </row>
    <row r="7067">
      <c r="A7067" t="s">
        <v>167</v>
      </c>
      <c r="B7067" t="s">
        <v>113</v>
      </c>
      <c r="C7067" s="35" t="s">
        <v>521</v>
      </c>
      <c r="D7067" t="s">
        <v>113</v>
      </c>
      <c r="E7067" t="s">
        <v>520</v>
      </c>
      <c r="F7067" s="188" t="n">
        <v>2045</v>
      </c>
      <c r="G7067" s="189" t="n">
        <v>55</v>
      </c>
      <c r="H7067" s="190" t="n">
        <v>19196.7827020809</v>
      </c>
      <c r="I7067" s="191" t="n">
        <v>6064931.48503555</v>
      </c>
      <c r="J7067" s="192" t="str">
        <f>IF(I7067&gt;0,H7067/I7067,0)</f>
      </c>
      <c r="K7067" s="193" t="str">
        <f>1-EXP(-J7067)</f>
      </c>
      <c r="L7067" s="194" t="str">
        <f>IF(G7067=30,1,M7066)</f>
      </c>
      <c r="M7067" s="195" t="str">
        <f>L7067*(1-K7067)</f>
      </c>
    </row>
    <row r="7068">
      <c r="A7068" t="s">
        <v>167</v>
      </c>
      <c r="B7068" t="s">
        <v>113</v>
      </c>
      <c r="C7068" s="35" t="s">
        <v>521</v>
      </c>
      <c r="D7068" t="s">
        <v>113</v>
      </c>
      <c r="E7068" t="s">
        <v>520</v>
      </c>
      <c r="F7068" s="188" t="n">
        <v>2045</v>
      </c>
      <c r="G7068" s="189" t="n">
        <v>56</v>
      </c>
      <c r="H7068" s="190" t="n">
        <v>15258.6204975333</v>
      </c>
      <c r="I7068" s="191" t="n">
        <v>4039615.96513204</v>
      </c>
      <c r="J7068" s="192" t="str">
        <f>IF(I7068&gt;0,H7068/I7068,0)</f>
      </c>
      <c r="K7068" s="193" t="str">
        <f>1-EXP(-J7068)</f>
      </c>
      <c r="L7068" s="194" t="str">
        <f>IF(G7068=30,1,M7067)</f>
      </c>
      <c r="M7068" s="195" t="str">
        <f>L7068*(1-K7068)</f>
      </c>
    </row>
    <row r="7069">
      <c r="A7069" t="s">
        <v>167</v>
      </c>
      <c r="B7069" t="s">
        <v>113</v>
      </c>
      <c r="C7069" s="35" t="s">
        <v>521</v>
      </c>
      <c r="D7069" t="s">
        <v>113</v>
      </c>
      <c r="E7069" t="s">
        <v>520</v>
      </c>
      <c r="F7069" s="188" t="n">
        <v>2045</v>
      </c>
      <c r="G7069" s="189" t="n">
        <v>57</v>
      </c>
      <c r="H7069" s="190" t="n">
        <v>16461.0664404445</v>
      </c>
      <c r="I7069" s="191" t="n">
        <v>3997950.20923481</v>
      </c>
      <c r="J7069" s="192" t="str">
        <f>IF(I7069&gt;0,H7069/I7069,0)</f>
      </c>
      <c r="K7069" s="193" t="str">
        <f>1-EXP(-J7069)</f>
      </c>
      <c r="L7069" s="194" t="str">
        <f>IF(G7069=30,1,M7068)</f>
      </c>
      <c r="M7069" s="195" t="str">
        <f>L7069*(1-K7069)</f>
      </c>
    </row>
    <row r="7070">
      <c r="A7070" t="s">
        <v>167</v>
      </c>
      <c r="B7070" t="s">
        <v>113</v>
      </c>
      <c r="C7070" s="35" t="s">
        <v>521</v>
      </c>
      <c r="D7070" t="s">
        <v>113</v>
      </c>
      <c r="E7070" t="s">
        <v>520</v>
      </c>
      <c r="F7070" s="188" t="n">
        <v>2045</v>
      </c>
      <c r="G7070" s="189" t="n">
        <v>58</v>
      </c>
      <c r="H7070" s="190" t="n">
        <v>17306.4444761717</v>
      </c>
      <c r="I7070" s="191" t="n">
        <v>3847902.63064677</v>
      </c>
      <c r="J7070" s="192" t="str">
        <f>IF(I7070&gt;0,H7070/I7070,0)</f>
      </c>
      <c r="K7070" s="193" t="str">
        <f>1-EXP(-J7070)</f>
      </c>
      <c r="L7070" s="194" t="str">
        <f>IF(G7070=30,1,M7069)</f>
      </c>
      <c r="M7070" s="195" t="str">
        <f>L7070*(1-K7070)</f>
      </c>
    </row>
    <row r="7071">
      <c r="A7071" t="s">
        <v>167</v>
      </c>
      <c r="B7071" t="s">
        <v>113</v>
      </c>
      <c r="C7071" s="35" t="s">
        <v>521</v>
      </c>
      <c r="D7071" t="s">
        <v>113</v>
      </c>
      <c r="E7071" t="s">
        <v>520</v>
      </c>
      <c r="F7071" s="188" t="n">
        <v>2045</v>
      </c>
      <c r="G7071" s="189" t="n">
        <v>59</v>
      </c>
      <c r="H7071" s="190" t="n">
        <v>18624.6813855932</v>
      </c>
      <c r="I7071" s="191" t="n">
        <v>3786448.7032608</v>
      </c>
      <c r="J7071" s="192" t="str">
        <f>IF(I7071&gt;0,H7071/I7071,0)</f>
      </c>
      <c r="K7071" s="193" t="str">
        <f>1-EXP(-J7071)</f>
      </c>
      <c r="L7071" s="194" t="str">
        <f>IF(G7071=30,1,M7070)</f>
      </c>
      <c r="M7071" s="195" t="str">
        <f>L7071*(1-K7071)</f>
      </c>
    </row>
    <row r="7072">
      <c r="A7072" t="s">
        <v>167</v>
      </c>
      <c r="B7072" t="s">
        <v>113</v>
      </c>
      <c r="C7072" s="35" t="s">
        <v>521</v>
      </c>
      <c r="D7072" t="s">
        <v>113</v>
      </c>
      <c r="E7072" t="s">
        <v>520</v>
      </c>
      <c r="F7072" s="188" t="n">
        <v>2045</v>
      </c>
      <c r="G7072" s="189" t="n">
        <v>60</v>
      </c>
      <c r="H7072" s="190" t="n">
        <v>20272.1535326477</v>
      </c>
      <c r="I7072" s="191" t="n">
        <v>3807446.18404301</v>
      </c>
      <c r="J7072" s="192" t="str">
        <f>IF(I7072&gt;0,H7072/I7072,0)</f>
      </c>
      <c r="K7072" s="193" t="str">
        <f>1-EXP(-J7072)</f>
      </c>
      <c r="L7072" s="194" t="str">
        <f>IF(G7072=30,1,M7071)</f>
      </c>
      <c r="M7072" s="195" t="str">
        <f>L7072*(1-K7072)</f>
      </c>
    </row>
    <row r="7073">
      <c r="A7073" t="s">
        <v>167</v>
      </c>
      <c r="B7073" t="s">
        <v>113</v>
      </c>
      <c r="C7073" s="35" t="s">
        <v>521</v>
      </c>
      <c r="D7073" t="s">
        <v>113</v>
      </c>
      <c r="E7073" t="s">
        <v>520</v>
      </c>
      <c r="F7073" s="188" t="n">
        <v>2045</v>
      </c>
      <c r="G7073" s="189" t="n">
        <v>61</v>
      </c>
      <c r="H7073" s="190" t="n">
        <v>22464.6779303265</v>
      </c>
      <c r="I7073" s="191" t="n">
        <v>3846962.41506467</v>
      </c>
      <c r="J7073" s="192" t="str">
        <f>IF(I7073&gt;0,H7073/I7073,0)</f>
      </c>
      <c r="K7073" s="193" t="str">
        <f>1-EXP(-J7073)</f>
      </c>
      <c r="L7073" s="194" t="str">
        <f>IF(G7073=30,1,M7072)</f>
      </c>
      <c r="M7073" s="195" t="str">
        <f>L7073*(1-K7073)</f>
      </c>
    </row>
    <row r="7074">
      <c r="A7074" t="s">
        <v>167</v>
      </c>
      <c r="B7074" t="s">
        <v>113</v>
      </c>
      <c r="C7074" s="35" t="s">
        <v>521</v>
      </c>
      <c r="D7074" t="s">
        <v>113</v>
      </c>
      <c r="E7074" t="s">
        <v>520</v>
      </c>
      <c r="F7074" s="188" t="n">
        <v>2045</v>
      </c>
      <c r="G7074" s="189" t="n">
        <v>62</v>
      </c>
      <c r="H7074" s="190" t="n">
        <v>24253.3702632243</v>
      </c>
      <c r="I7074" s="191" t="n">
        <v>3785375.1360586</v>
      </c>
      <c r="J7074" s="192" t="str">
        <f>IF(I7074&gt;0,H7074/I7074,0)</f>
      </c>
      <c r="K7074" s="193" t="str">
        <f>1-EXP(-J7074)</f>
      </c>
      <c r="L7074" s="194" t="str">
        <f>IF(G7074=30,1,M7073)</f>
      </c>
      <c r="M7074" s="195" t="str">
        <f>L7074*(1-K7074)</f>
      </c>
    </row>
    <row r="7075">
      <c r="A7075" t="s">
        <v>167</v>
      </c>
      <c r="B7075" t="s">
        <v>113</v>
      </c>
      <c r="C7075" s="35" t="s">
        <v>521</v>
      </c>
      <c r="D7075" t="s">
        <v>113</v>
      </c>
      <c r="E7075" t="s">
        <v>520</v>
      </c>
      <c r="F7075" s="188" t="n">
        <v>2045</v>
      </c>
      <c r="G7075" s="189" t="n">
        <v>63</v>
      </c>
      <c r="H7075" s="190" t="n">
        <v>25486.3640074343</v>
      </c>
      <c r="I7075" s="191" t="n">
        <v>3622002.48932615</v>
      </c>
      <c r="J7075" s="192" t="str">
        <f>IF(I7075&gt;0,H7075/I7075,0)</f>
      </c>
      <c r="K7075" s="193" t="str">
        <f>1-EXP(-J7075)</f>
      </c>
      <c r="L7075" s="194" t="str">
        <f>IF(G7075=30,1,M7074)</f>
      </c>
      <c r="M7075" s="195" t="str">
        <f>L7075*(1-K7075)</f>
      </c>
    </row>
    <row r="7076">
      <c r="A7076" t="s">
        <v>167</v>
      </c>
      <c r="B7076" t="s">
        <v>113</v>
      </c>
      <c r="C7076" s="35" t="s">
        <v>521</v>
      </c>
      <c r="D7076" t="s">
        <v>113</v>
      </c>
      <c r="E7076" t="s">
        <v>520</v>
      </c>
      <c r="F7076" s="188" t="n">
        <v>2045</v>
      </c>
      <c r="G7076" s="189" t="n">
        <v>64</v>
      </c>
      <c r="H7076" s="190" t="n">
        <v>27109.038828117</v>
      </c>
      <c r="I7076" s="191" t="n">
        <v>3512174.29727106</v>
      </c>
      <c r="J7076" s="192" t="str">
        <f>IF(I7076&gt;0,H7076/I7076,0)</f>
      </c>
      <c r="K7076" s="193" t="str">
        <f>1-EXP(-J7076)</f>
      </c>
      <c r="L7076" s="194" t="str">
        <f>IF(G7076=30,1,M7075)</f>
      </c>
      <c r="M7076" s="195" t="str">
        <f>L7076*(1-K7076)</f>
      </c>
    </row>
    <row r="7077">
      <c r="A7077" t="s">
        <v>167</v>
      </c>
      <c r="B7077" t="s">
        <v>113</v>
      </c>
      <c r="C7077" s="35" t="s">
        <v>521</v>
      </c>
      <c r="D7077" t="s">
        <v>113</v>
      </c>
      <c r="E7077" t="s">
        <v>520</v>
      </c>
      <c r="F7077" s="188" t="n">
        <v>2045</v>
      </c>
      <c r="G7077" s="189" t="n">
        <v>65</v>
      </c>
      <c r="H7077" s="190" t="n">
        <v>27555.6970670125</v>
      </c>
      <c r="I7077" s="191" t="n">
        <v>3413756.75986943</v>
      </c>
      <c r="J7077" s="192" t="str">
        <f>IF(I7077&gt;0,H7077/I7077,0)</f>
      </c>
      <c r="K7077" s="193" t="str">
        <f>1-EXP(-J7077)</f>
      </c>
      <c r="L7077" s="194" t="str">
        <f>IF(G7077=30,1,M7076)</f>
      </c>
      <c r="M7077" s="195" t="str">
        <f>L7077*(1-K7077)</f>
      </c>
    </row>
    <row r="7078">
      <c r="A7078" t="s">
        <v>167</v>
      </c>
      <c r="B7078" t="s">
        <v>113</v>
      </c>
      <c r="C7078" s="35" t="s">
        <v>521</v>
      </c>
      <c r="D7078" t="s">
        <v>113</v>
      </c>
      <c r="E7078" t="s">
        <v>520</v>
      </c>
      <c r="F7078" s="188" t="n">
        <v>2045</v>
      </c>
      <c r="G7078" s="189" t="n">
        <v>66</v>
      </c>
      <c r="H7078" s="190" t="n">
        <v>29324.7454017297</v>
      </c>
      <c r="I7078" s="191" t="n">
        <v>3308924.21299878</v>
      </c>
      <c r="J7078" s="192" t="str">
        <f>IF(I7078&gt;0,H7078/I7078,0)</f>
      </c>
      <c r="K7078" s="193" t="str">
        <f>1-EXP(-J7078)</f>
      </c>
      <c r="L7078" s="194" t="str">
        <f>IF(G7078=30,1,M7077)</f>
      </c>
      <c r="M7078" s="195" t="str">
        <f>L7078*(1-K7078)</f>
      </c>
    </row>
    <row r="7079">
      <c r="A7079" t="s">
        <v>167</v>
      </c>
      <c r="B7079" t="s">
        <v>113</v>
      </c>
      <c r="C7079" s="35" t="s">
        <v>521</v>
      </c>
      <c r="D7079" t="s">
        <v>113</v>
      </c>
      <c r="E7079" t="s">
        <v>520</v>
      </c>
      <c r="F7079" s="188" t="n">
        <v>2045</v>
      </c>
      <c r="G7079" s="189" t="n">
        <v>67</v>
      </c>
      <c r="H7079" s="190" t="n">
        <v>30998.9564933582</v>
      </c>
      <c r="I7079" s="191" t="n">
        <v>3184931.95370862</v>
      </c>
      <c r="J7079" s="192" t="str">
        <f>IF(I7079&gt;0,H7079/I7079,0)</f>
      </c>
      <c r="K7079" s="193" t="str">
        <f>1-EXP(-J7079)</f>
      </c>
      <c r="L7079" s="194" t="str">
        <f>IF(G7079=30,1,M7078)</f>
      </c>
      <c r="M7079" s="195" t="str">
        <f>L7079*(1-K7079)</f>
      </c>
    </row>
    <row r="7080">
      <c r="A7080" t="s">
        <v>167</v>
      </c>
      <c r="B7080" t="s">
        <v>113</v>
      </c>
      <c r="C7080" s="35" t="s">
        <v>521</v>
      </c>
      <c r="D7080" t="s">
        <v>113</v>
      </c>
      <c r="E7080" t="s">
        <v>520</v>
      </c>
      <c r="F7080" s="188" t="n">
        <v>2045</v>
      </c>
      <c r="G7080" s="189" t="n">
        <v>68</v>
      </c>
      <c r="H7080" s="190" t="n">
        <v>32889.4921481981</v>
      </c>
      <c r="I7080" s="191" t="n">
        <v>3072112.7970234</v>
      </c>
      <c r="J7080" s="192" t="str">
        <f>IF(I7080&gt;0,H7080/I7080,0)</f>
      </c>
      <c r="K7080" s="193" t="str">
        <f>1-EXP(-J7080)</f>
      </c>
      <c r="L7080" s="194" t="str">
        <f>IF(G7080=30,1,M7079)</f>
      </c>
      <c r="M7080" s="195" t="str">
        <f>L7080*(1-K7080)</f>
      </c>
    </row>
    <row r="7081">
      <c r="A7081" t="s">
        <v>167</v>
      </c>
      <c r="B7081" t="s">
        <v>113</v>
      </c>
      <c r="C7081" s="35" t="s">
        <v>521</v>
      </c>
      <c r="D7081" t="s">
        <v>113</v>
      </c>
      <c r="E7081" t="s">
        <v>520</v>
      </c>
      <c r="F7081" s="188" t="n">
        <v>2045</v>
      </c>
      <c r="G7081" s="189" t="n">
        <v>69</v>
      </c>
      <c r="H7081" s="190" t="n">
        <v>34711.386469017</v>
      </c>
      <c r="I7081" s="191" t="n">
        <v>2948206.88523671</v>
      </c>
      <c r="J7081" s="192" t="str">
        <f>IF(I7081&gt;0,H7081/I7081,0)</f>
      </c>
      <c r="K7081" s="193" t="str">
        <f>1-EXP(-J7081)</f>
      </c>
      <c r="L7081" s="194" t="str">
        <f>IF(G7081=30,1,M7080)</f>
      </c>
      <c r="M7081" s="195" t="str">
        <f>L7081*(1-K7081)</f>
      </c>
    </row>
    <row r="7082">
      <c r="A7082" t="s">
        <v>167</v>
      </c>
      <c r="B7082" t="s">
        <v>113</v>
      </c>
      <c r="C7082" s="35" t="s">
        <v>521</v>
      </c>
      <c r="D7082" t="s">
        <v>113</v>
      </c>
      <c r="E7082" t="s">
        <v>520</v>
      </c>
      <c r="F7082" s="188" t="n">
        <v>2046</v>
      </c>
      <c r="G7082" s="189" t="n">
        <v>30</v>
      </c>
      <c r="H7082" s="190" t="n">
        <v>694.516488547025</v>
      </c>
      <c r="I7082" s="191" t="n">
        <v>4588321.92170056</v>
      </c>
      <c r="J7082" s="192" t="str">
        <f>IF(I7082&gt;0,H7082/I7082,0)</f>
      </c>
      <c r="K7082" s="193" t="str">
        <f>1-EXP(-J7082)</f>
      </c>
      <c r="L7082" s="194" t="str">
        <f>IF(G7082=30,1,M7081)</f>
      </c>
      <c r="M7082" s="195" t="str">
        <f>L7082*(1-K7082)</f>
      </c>
    </row>
    <row r="7083">
      <c r="A7083" t="s">
        <v>167</v>
      </c>
      <c r="B7083" t="s">
        <v>113</v>
      </c>
      <c r="C7083" s="35" t="s">
        <v>521</v>
      </c>
      <c r="D7083" t="s">
        <v>113</v>
      </c>
      <c r="E7083" t="s">
        <v>520</v>
      </c>
      <c r="F7083" s="188" t="n">
        <v>2046</v>
      </c>
      <c r="G7083" s="189" t="n">
        <v>31</v>
      </c>
      <c r="H7083" s="190" t="n">
        <v>981.090958835521</v>
      </c>
      <c r="I7083" s="191" t="n">
        <v>4637118.8879299</v>
      </c>
      <c r="J7083" s="192" t="str">
        <f>IF(I7083&gt;0,H7083/I7083,0)</f>
      </c>
      <c r="K7083" s="193" t="str">
        <f>1-EXP(-J7083)</f>
      </c>
      <c r="L7083" s="194" t="str">
        <f>IF(G7083=30,1,M7082)</f>
      </c>
      <c r="M7083" s="195" t="str">
        <f>L7083*(1-K7083)</f>
      </c>
    </row>
    <row r="7084">
      <c r="A7084" t="s">
        <v>167</v>
      </c>
      <c r="B7084" t="s">
        <v>113</v>
      </c>
      <c r="C7084" s="35" t="s">
        <v>521</v>
      </c>
      <c r="D7084" t="s">
        <v>113</v>
      </c>
      <c r="E7084" t="s">
        <v>520</v>
      </c>
      <c r="F7084" s="188" t="n">
        <v>2046</v>
      </c>
      <c r="G7084" s="189" t="n">
        <v>32</v>
      </c>
      <c r="H7084" s="190" t="n">
        <v>1048.54146824522</v>
      </c>
      <c r="I7084" s="191" t="n">
        <v>4703629.84127443</v>
      </c>
      <c r="J7084" s="192" t="str">
        <f>IF(I7084&gt;0,H7084/I7084,0)</f>
      </c>
      <c r="K7084" s="193" t="str">
        <f>1-EXP(-J7084)</f>
      </c>
      <c r="L7084" s="194" t="str">
        <f>IF(G7084=30,1,M7083)</f>
      </c>
      <c r="M7084" s="195" t="str">
        <f>L7084*(1-K7084)</f>
      </c>
    </row>
    <row r="7085">
      <c r="A7085" t="s">
        <v>167</v>
      </c>
      <c r="B7085" t="s">
        <v>113</v>
      </c>
      <c r="C7085" s="35" t="s">
        <v>521</v>
      </c>
      <c r="D7085" t="s">
        <v>113</v>
      </c>
      <c r="E7085" t="s">
        <v>520</v>
      </c>
      <c r="F7085" s="188" t="n">
        <v>2046</v>
      </c>
      <c r="G7085" s="189" t="n">
        <v>33</v>
      </c>
      <c r="H7085" s="190" t="n">
        <v>1126.78812063903</v>
      </c>
      <c r="I7085" s="191" t="n">
        <v>4771495.17179864</v>
      </c>
      <c r="J7085" s="192" t="str">
        <f>IF(I7085&gt;0,H7085/I7085,0)</f>
      </c>
      <c r="K7085" s="193" t="str">
        <f>1-EXP(-J7085)</f>
      </c>
      <c r="L7085" s="194" t="str">
        <f>IF(G7085=30,1,M7084)</f>
      </c>
      <c r="M7085" s="195" t="str">
        <f>L7085*(1-K7085)</f>
      </c>
    </row>
    <row r="7086">
      <c r="A7086" t="s">
        <v>167</v>
      </c>
      <c r="B7086" t="s">
        <v>113</v>
      </c>
      <c r="C7086" s="35" t="s">
        <v>521</v>
      </c>
      <c r="D7086" t="s">
        <v>113</v>
      </c>
      <c r="E7086" t="s">
        <v>520</v>
      </c>
      <c r="F7086" s="188" t="n">
        <v>2046</v>
      </c>
      <c r="G7086" s="189" t="n">
        <v>34</v>
      </c>
      <c r="H7086" s="190" t="n">
        <v>1273.16548041661</v>
      </c>
      <c r="I7086" s="191" t="n">
        <v>4883561.68408077</v>
      </c>
      <c r="J7086" s="192" t="str">
        <f>IF(I7086&gt;0,H7086/I7086,0)</f>
      </c>
      <c r="K7086" s="193" t="str">
        <f>1-EXP(-J7086)</f>
      </c>
      <c r="L7086" s="194" t="str">
        <f>IF(G7086=30,1,M7085)</f>
      </c>
      <c r="M7086" s="195" t="str">
        <f>L7086*(1-K7086)</f>
      </c>
    </row>
    <row r="7087">
      <c r="A7087" t="s">
        <v>167</v>
      </c>
      <c r="B7087" t="s">
        <v>113</v>
      </c>
      <c r="C7087" s="35" t="s">
        <v>521</v>
      </c>
      <c r="D7087" t="s">
        <v>113</v>
      </c>
      <c r="E7087" t="s">
        <v>520</v>
      </c>
      <c r="F7087" s="188" t="n">
        <v>2046</v>
      </c>
      <c r="G7087" s="189" t="n">
        <v>35</v>
      </c>
      <c r="H7087" s="190" t="n">
        <v>1653.859464</v>
      </c>
      <c r="I7087" s="191" t="n">
        <v>4854826.46593421</v>
      </c>
      <c r="J7087" s="192" t="str">
        <f>IF(I7087&gt;0,H7087/I7087,0)</f>
      </c>
      <c r="K7087" s="193" t="str">
        <f>1-EXP(-J7087)</f>
      </c>
      <c r="L7087" s="194" t="str">
        <f>IF(G7087=30,1,M7086)</f>
      </c>
      <c r="M7087" s="195" t="str">
        <f>L7087*(1-K7087)</f>
      </c>
    </row>
    <row r="7088">
      <c r="A7088" t="s">
        <v>167</v>
      </c>
      <c r="B7088" t="s">
        <v>113</v>
      </c>
      <c r="C7088" s="35" t="s">
        <v>521</v>
      </c>
      <c r="D7088" t="s">
        <v>113</v>
      </c>
      <c r="E7088" t="s">
        <v>520</v>
      </c>
      <c r="F7088" s="188" t="n">
        <v>2046</v>
      </c>
      <c r="G7088" s="189" t="n">
        <v>36</v>
      </c>
      <c r="H7088" s="190" t="n">
        <v>1886.82857593634</v>
      </c>
      <c r="I7088" s="191" t="n">
        <v>4720258.64056639</v>
      </c>
      <c r="J7088" s="192" t="str">
        <f>IF(I7088&gt;0,H7088/I7088,0)</f>
      </c>
      <c r="K7088" s="193" t="str">
        <f>1-EXP(-J7088)</f>
      </c>
      <c r="L7088" s="194" t="str">
        <f>IF(G7088=30,1,M7087)</f>
      </c>
      <c r="M7088" s="195" t="str">
        <f>L7088*(1-K7088)</f>
      </c>
    </row>
    <row r="7089">
      <c r="A7089" t="s">
        <v>167</v>
      </c>
      <c r="B7089" t="s">
        <v>113</v>
      </c>
      <c r="C7089" s="35" t="s">
        <v>521</v>
      </c>
      <c r="D7089" t="s">
        <v>113</v>
      </c>
      <c r="E7089" t="s">
        <v>520</v>
      </c>
      <c r="F7089" s="188" t="n">
        <v>2046</v>
      </c>
      <c r="G7089" s="189" t="n">
        <v>37</v>
      </c>
      <c r="H7089" s="190" t="n">
        <v>1996.69688457577</v>
      </c>
      <c r="I7089" s="191" t="n">
        <v>4648349.699867</v>
      </c>
      <c r="J7089" s="192" t="str">
        <f>IF(I7089&gt;0,H7089/I7089,0)</f>
      </c>
      <c r="K7089" s="193" t="str">
        <f>1-EXP(-J7089)</f>
      </c>
      <c r="L7089" s="194" t="str">
        <f>IF(G7089=30,1,M7088)</f>
      </c>
      <c r="M7089" s="195" t="str">
        <f>L7089*(1-K7089)</f>
      </c>
    </row>
    <row r="7090">
      <c r="A7090" t="s">
        <v>167</v>
      </c>
      <c r="B7090" t="s">
        <v>113</v>
      </c>
      <c r="C7090" s="35" t="s">
        <v>521</v>
      </c>
      <c r="D7090" t="s">
        <v>113</v>
      </c>
      <c r="E7090" t="s">
        <v>520</v>
      </c>
      <c r="F7090" s="188" t="n">
        <v>2046</v>
      </c>
      <c r="G7090" s="189" t="n">
        <v>38</v>
      </c>
      <c r="H7090" s="190" t="n">
        <v>2132.92509994279</v>
      </c>
      <c r="I7090" s="191" t="n">
        <v>4604053.96857654</v>
      </c>
      <c r="J7090" s="192" t="str">
        <f>IF(I7090&gt;0,H7090/I7090,0)</f>
      </c>
      <c r="K7090" s="193" t="str">
        <f>1-EXP(-J7090)</f>
      </c>
      <c r="L7090" s="194" t="str">
        <f>IF(G7090=30,1,M7089)</f>
      </c>
      <c r="M7090" s="195" t="str">
        <f>L7090*(1-K7090)</f>
      </c>
    </row>
    <row r="7091">
      <c r="A7091" t="s">
        <v>167</v>
      </c>
      <c r="B7091" t="s">
        <v>113</v>
      </c>
      <c r="C7091" s="35" t="s">
        <v>521</v>
      </c>
      <c r="D7091" t="s">
        <v>113</v>
      </c>
      <c r="E7091" t="s">
        <v>520</v>
      </c>
      <c r="F7091" s="188" t="n">
        <v>2046</v>
      </c>
      <c r="G7091" s="189" t="n">
        <v>39</v>
      </c>
      <c r="H7091" s="190" t="n">
        <v>2379.60832663832</v>
      </c>
      <c r="I7091" s="191" t="n">
        <v>4627087.56420381</v>
      </c>
      <c r="J7091" s="192" t="str">
        <f>IF(I7091&gt;0,H7091/I7091,0)</f>
      </c>
      <c r="K7091" s="193" t="str">
        <f>1-EXP(-J7091)</f>
      </c>
      <c r="L7091" s="194" t="str">
        <f>IF(G7091=30,1,M7090)</f>
      </c>
      <c r="M7091" s="195" t="str">
        <f>L7091*(1-K7091)</f>
      </c>
    </row>
    <row r="7092">
      <c r="A7092" t="s">
        <v>167</v>
      </c>
      <c r="B7092" t="s">
        <v>113</v>
      </c>
      <c r="C7092" s="35" t="s">
        <v>521</v>
      </c>
      <c r="D7092" t="s">
        <v>113</v>
      </c>
      <c r="E7092" t="s">
        <v>520</v>
      </c>
      <c r="F7092" s="188" t="n">
        <v>2046</v>
      </c>
      <c r="G7092" s="189" t="n">
        <v>40</v>
      </c>
      <c r="H7092" s="190" t="n">
        <v>3135.23619390153</v>
      </c>
      <c r="I7092" s="191" t="n">
        <v>4541927.1670523</v>
      </c>
      <c r="J7092" s="192" t="str">
        <f>IF(I7092&gt;0,H7092/I7092,0)</f>
      </c>
      <c r="K7092" s="193" t="str">
        <f>1-EXP(-J7092)</f>
      </c>
      <c r="L7092" s="194" t="str">
        <f>IF(G7092=30,1,M7091)</f>
      </c>
      <c r="M7092" s="195" t="str">
        <f>L7092*(1-K7092)</f>
      </c>
    </row>
    <row r="7093">
      <c r="A7093" t="s">
        <v>167</v>
      </c>
      <c r="B7093" t="s">
        <v>113</v>
      </c>
      <c r="C7093" s="35" t="s">
        <v>521</v>
      </c>
      <c r="D7093" t="s">
        <v>113</v>
      </c>
      <c r="E7093" t="s">
        <v>520</v>
      </c>
      <c r="F7093" s="188" t="n">
        <v>2046</v>
      </c>
      <c r="G7093" s="189" t="n">
        <v>41</v>
      </c>
      <c r="H7093" s="190" t="n">
        <v>3484.98596491422</v>
      </c>
      <c r="I7093" s="191" t="n">
        <v>4477385.20615398</v>
      </c>
      <c r="J7093" s="192" t="str">
        <f>IF(I7093&gt;0,H7093/I7093,0)</f>
      </c>
      <c r="K7093" s="193" t="str">
        <f>1-EXP(-J7093)</f>
      </c>
      <c r="L7093" s="194" t="str">
        <f>IF(G7093=30,1,M7092)</f>
      </c>
      <c r="M7093" s="195" t="str">
        <f>L7093*(1-K7093)</f>
      </c>
    </row>
    <row r="7094">
      <c r="A7094" t="s">
        <v>167</v>
      </c>
      <c r="B7094" t="s">
        <v>113</v>
      </c>
      <c r="C7094" s="35" t="s">
        <v>521</v>
      </c>
      <c r="D7094" t="s">
        <v>113</v>
      </c>
      <c r="E7094" t="s">
        <v>520</v>
      </c>
      <c r="F7094" s="188" t="n">
        <v>2046</v>
      </c>
      <c r="G7094" s="189" t="n">
        <v>42</v>
      </c>
      <c r="H7094" s="190" t="n">
        <v>3669.67287716951</v>
      </c>
      <c r="I7094" s="191" t="n">
        <v>4346272.27055621</v>
      </c>
      <c r="J7094" s="192" t="str">
        <f>IF(I7094&gt;0,H7094/I7094,0)</f>
      </c>
      <c r="K7094" s="193" t="str">
        <f>1-EXP(-J7094)</f>
      </c>
      <c r="L7094" s="194" t="str">
        <f>IF(G7094=30,1,M7093)</f>
      </c>
      <c r="M7094" s="195" t="str">
        <f>L7094*(1-K7094)</f>
      </c>
    </row>
    <row r="7095">
      <c r="A7095" t="s">
        <v>167</v>
      </c>
      <c r="B7095" t="s">
        <v>113</v>
      </c>
      <c r="C7095" s="35" t="s">
        <v>521</v>
      </c>
      <c r="D7095" t="s">
        <v>113</v>
      </c>
      <c r="E7095" t="s">
        <v>520</v>
      </c>
      <c r="F7095" s="188" t="n">
        <v>2046</v>
      </c>
      <c r="G7095" s="189" t="n">
        <v>43</v>
      </c>
      <c r="H7095" s="190" t="n">
        <v>3926.00246296081</v>
      </c>
      <c r="I7095" s="191" t="n">
        <v>4276884.21750615</v>
      </c>
      <c r="J7095" s="192" t="str">
        <f>IF(I7095&gt;0,H7095/I7095,0)</f>
      </c>
      <c r="K7095" s="193" t="str">
        <f>1-EXP(-J7095)</f>
      </c>
      <c r="L7095" s="194" t="str">
        <f>IF(G7095=30,1,M7094)</f>
      </c>
      <c r="M7095" s="195" t="str">
        <f>L7095*(1-K7095)</f>
      </c>
    </row>
    <row r="7096">
      <c r="A7096" t="s">
        <v>167</v>
      </c>
      <c r="B7096" t="s">
        <v>113</v>
      </c>
      <c r="C7096" s="35" t="s">
        <v>521</v>
      </c>
      <c r="D7096" t="s">
        <v>113</v>
      </c>
      <c r="E7096" t="s">
        <v>520</v>
      </c>
      <c r="F7096" s="188" t="n">
        <v>2046</v>
      </c>
      <c r="G7096" s="189" t="n">
        <v>44</v>
      </c>
      <c r="H7096" s="190" t="n">
        <v>4410.50066605777</v>
      </c>
      <c r="I7096" s="191" t="n">
        <v>4248189.74534617</v>
      </c>
      <c r="J7096" s="192" t="str">
        <f>IF(I7096&gt;0,H7096/I7096,0)</f>
      </c>
      <c r="K7096" s="193" t="str">
        <f>1-EXP(-J7096)</f>
      </c>
      <c r="L7096" s="194" t="str">
        <f>IF(G7096=30,1,M7095)</f>
      </c>
      <c r="M7096" s="195" t="str">
        <f>L7096*(1-K7096)</f>
      </c>
    </row>
    <row r="7097">
      <c r="A7097" t="s">
        <v>167</v>
      </c>
      <c r="B7097" t="s">
        <v>113</v>
      </c>
      <c r="C7097" s="35" t="s">
        <v>521</v>
      </c>
      <c r="D7097" t="s">
        <v>113</v>
      </c>
      <c r="E7097" t="s">
        <v>520</v>
      </c>
      <c r="F7097" s="188" t="n">
        <v>2046</v>
      </c>
      <c r="G7097" s="189" t="n">
        <v>45</v>
      </c>
      <c r="H7097" s="190" t="n">
        <v>5615.35979289176</v>
      </c>
      <c r="I7097" s="191" t="n">
        <v>4221927.93062982</v>
      </c>
      <c r="J7097" s="192" t="str">
        <f>IF(I7097&gt;0,H7097/I7097,0)</f>
      </c>
      <c r="K7097" s="193" t="str">
        <f>1-EXP(-J7097)</f>
      </c>
      <c r="L7097" s="194" t="str">
        <f>IF(G7097=30,1,M7096)</f>
      </c>
      <c r="M7097" s="195" t="str">
        <f>L7097*(1-K7097)</f>
      </c>
    </row>
    <row r="7098">
      <c r="A7098" t="s">
        <v>167</v>
      </c>
      <c r="B7098" t="s">
        <v>113</v>
      </c>
      <c r="C7098" s="35" t="s">
        <v>521</v>
      </c>
      <c r="D7098" t="s">
        <v>113</v>
      </c>
      <c r="E7098" t="s">
        <v>520</v>
      </c>
      <c r="F7098" s="188" t="n">
        <v>2046</v>
      </c>
      <c r="G7098" s="189" t="n">
        <v>46</v>
      </c>
      <c r="H7098" s="190" t="n">
        <v>6174.79230916644</v>
      </c>
      <c r="I7098" s="191" t="n">
        <v>4193747.77608023</v>
      </c>
      <c r="J7098" s="192" t="str">
        <f>IF(I7098&gt;0,H7098/I7098,0)</f>
      </c>
      <c r="K7098" s="193" t="str">
        <f>1-EXP(-J7098)</f>
      </c>
      <c r="L7098" s="194" t="str">
        <f>IF(G7098=30,1,M7097)</f>
      </c>
      <c r="M7098" s="195" t="str">
        <f>L7098*(1-K7098)</f>
      </c>
    </row>
    <row r="7099">
      <c r="A7099" t="s">
        <v>167</v>
      </c>
      <c r="B7099" t="s">
        <v>113</v>
      </c>
      <c r="C7099" s="35" t="s">
        <v>521</v>
      </c>
      <c r="D7099" t="s">
        <v>113</v>
      </c>
      <c r="E7099" t="s">
        <v>520</v>
      </c>
      <c r="F7099" s="188" t="n">
        <v>2046</v>
      </c>
      <c r="G7099" s="189" t="n">
        <v>47</v>
      </c>
      <c r="H7099" s="190" t="n">
        <v>6778.33460005963</v>
      </c>
      <c r="I7099" s="191" t="n">
        <v>4204006.68070434</v>
      </c>
      <c r="J7099" s="192" t="str">
        <f>IF(I7099&gt;0,H7099/I7099,0)</f>
      </c>
      <c r="K7099" s="193" t="str">
        <f>1-EXP(-J7099)</f>
      </c>
      <c r="L7099" s="194" t="str">
        <f>IF(G7099=30,1,M7098)</f>
      </c>
      <c r="M7099" s="195" t="str">
        <f>L7099*(1-K7099)</f>
      </c>
    </row>
    <row r="7100">
      <c r="A7100" t="s">
        <v>167</v>
      </c>
      <c r="B7100" t="s">
        <v>113</v>
      </c>
      <c r="C7100" s="35" t="s">
        <v>521</v>
      </c>
      <c r="D7100" t="s">
        <v>113</v>
      </c>
      <c r="E7100" t="s">
        <v>520</v>
      </c>
      <c r="F7100" s="188" t="n">
        <v>2046</v>
      </c>
      <c r="G7100" s="189" t="n">
        <v>48</v>
      </c>
      <c r="H7100" s="190" t="n">
        <v>7518.1617291292</v>
      </c>
      <c r="I7100" s="191" t="n">
        <v>4251046.76386907</v>
      </c>
      <c r="J7100" s="192" t="str">
        <f>IF(I7100&gt;0,H7100/I7100,0)</f>
      </c>
      <c r="K7100" s="193" t="str">
        <f>1-EXP(-J7100)</f>
      </c>
      <c r="L7100" s="194" t="str">
        <f>IF(G7100=30,1,M7099)</f>
      </c>
      <c r="M7100" s="195" t="str">
        <f>L7100*(1-K7100)</f>
      </c>
    </row>
    <row r="7101">
      <c r="A7101" t="s">
        <v>167</v>
      </c>
      <c r="B7101" t="s">
        <v>113</v>
      </c>
      <c r="C7101" s="35" t="s">
        <v>521</v>
      </c>
      <c r="D7101" t="s">
        <v>113</v>
      </c>
      <c r="E7101" t="s">
        <v>520</v>
      </c>
      <c r="F7101" s="188" t="n">
        <v>2046</v>
      </c>
      <c r="G7101" s="189" t="n">
        <v>49</v>
      </c>
      <c r="H7101" s="190" t="n">
        <v>8681.00179140219</v>
      </c>
      <c r="I7101" s="191" t="n">
        <v>4370139.62205347</v>
      </c>
      <c r="J7101" s="192" t="str">
        <f>IF(I7101&gt;0,H7101/I7101,0)</f>
      </c>
      <c r="K7101" s="193" t="str">
        <f>1-EXP(-J7101)</f>
      </c>
      <c r="L7101" s="194" t="str">
        <f>IF(G7101=30,1,M7100)</f>
      </c>
      <c r="M7101" s="195" t="str">
        <f>L7101*(1-K7101)</f>
      </c>
    </row>
    <row r="7102">
      <c r="A7102" t="s">
        <v>167</v>
      </c>
      <c r="B7102" t="s">
        <v>113</v>
      </c>
      <c r="C7102" s="35" t="s">
        <v>521</v>
      </c>
      <c r="D7102" t="s">
        <v>113</v>
      </c>
      <c r="E7102" t="s">
        <v>520</v>
      </c>
      <c r="F7102" s="188" t="n">
        <v>2046</v>
      </c>
      <c r="G7102" s="189" t="n">
        <v>50</v>
      </c>
      <c r="H7102" s="190" t="n">
        <v>9778.47203453189</v>
      </c>
      <c r="I7102" s="191" t="n">
        <v>4314676.12253259</v>
      </c>
      <c r="J7102" s="192" t="str">
        <f>IF(I7102&gt;0,H7102/I7102,0)</f>
      </c>
      <c r="K7102" s="193" t="str">
        <f>1-EXP(-J7102)</f>
      </c>
      <c r="L7102" s="194" t="str">
        <f>IF(G7102=30,1,M7101)</f>
      </c>
      <c r="M7102" s="195" t="str">
        <f>L7102*(1-K7102)</f>
      </c>
    </row>
    <row r="7103">
      <c r="A7103" t="s">
        <v>167</v>
      </c>
      <c r="B7103" t="s">
        <v>113</v>
      </c>
      <c r="C7103" s="35" t="s">
        <v>521</v>
      </c>
      <c r="D7103" t="s">
        <v>113</v>
      </c>
      <c r="E7103" t="s">
        <v>520</v>
      </c>
      <c r="F7103" s="188" t="n">
        <v>2046</v>
      </c>
      <c r="G7103" s="189" t="n">
        <v>51</v>
      </c>
      <c r="H7103" s="190" t="n">
        <v>10489.2848771991</v>
      </c>
      <c r="I7103" s="191" t="n">
        <v>4228447.29097352</v>
      </c>
      <c r="J7103" s="192" t="str">
        <f>IF(I7103&gt;0,H7103/I7103,0)</f>
      </c>
      <c r="K7103" s="193" t="str">
        <f>1-EXP(-J7103)</f>
      </c>
      <c r="L7103" s="194" t="str">
        <f>IF(G7103=30,1,M7102)</f>
      </c>
      <c r="M7103" s="195" t="str">
        <f>L7103*(1-K7103)</f>
      </c>
    </row>
    <row r="7104">
      <c r="A7104" t="s">
        <v>167</v>
      </c>
      <c r="B7104" t="s">
        <v>113</v>
      </c>
      <c r="C7104" s="35" t="s">
        <v>521</v>
      </c>
      <c r="D7104" t="s">
        <v>113</v>
      </c>
      <c r="E7104" t="s">
        <v>520</v>
      </c>
      <c r="F7104" s="188" t="n">
        <v>2046</v>
      </c>
      <c r="G7104" s="189" t="n">
        <v>52</v>
      </c>
      <c r="H7104" s="190" t="n">
        <v>11266.894882831</v>
      </c>
      <c r="I7104" s="191" t="n">
        <v>4156654.43393654</v>
      </c>
      <c r="J7104" s="192" t="str">
        <f>IF(I7104&gt;0,H7104/I7104,0)</f>
      </c>
      <c r="K7104" s="193" t="str">
        <f>1-EXP(-J7104)</f>
      </c>
      <c r="L7104" s="194" t="str">
        <f>IF(G7104=30,1,M7103)</f>
      </c>
      <c r="M7104" s="195" t="str">
        <f>L7104*(1-K7104)</f>
      </c>
    </row>
    <row r="7105">
      <c r="A7105" t="s">
        <v>167</v>
      </c>
      <c r="B7105" t="s">
        <v>113</v>
      </c>
      <c r="C7105" s="35" t="s">
        <v>521</v>
      </c>
      <c r="D7105" t="s">
        <v>113</v>
      </c>
      <c r="E7105" t="s">
        <v>520</v>
      </c>
      <c r="F7105" s="188" t="n">
        <v>2046</v>
      </c>
      <c r="G7105" s="189" t="n">
        <v>53</v>
      </c>
      <c r="H7105" s="190" t="n">
        <v>12080.5105142657</v>
      </c>
      <c r="I7105" s="191" t="n">
        <v>4087000.34073118</v>
      </c>
      <c r="J7105" s="192" t="str">
        <f>IF(I7105&gt;0,H7105/I7105,0)</f>
      </c>
      <c r="K7105" s="193" t="str">
        <f>1-EXP(-J7105)</f>
      </c>
      <c r="L7105" s="194" t="str">
        <f>IF(G7105=30,1,M7104)</f>
      </c>
      <c r="M7105" s="195" t="str">
        <f>L7105*(1-K7105)</f>
      </c>
    </row>
    <row r="7106">
      <c r="A7106" t="s">
        <v>167</v>
      </c>
      <c r="B7106" t="s">
        <v>113</v>
      </c>
      <c r="C7106" s="35" t="s">
        <v>521</v>
      </c>
      <c r="D7106" t="s">
        <v>113</v>
      </c>
      <c r="E7106" t="s">
        <v>520</v>
      </c>
      <c r="F7106" s="188" t="n">
        <v>2046</v>
      </c>
      <c r="G7106" s="189" t="n">
        <v>54</v>
      </c>
      <c r="H7106" s="190" t="n">
        <v>13178.8999449307</v>
      </c>
      <c r="I7106" s="191" t="n">
        <v>4102277.15904371</v>
      </c>
      <c r="J7106" s="192" t="str">
        <f>IF(I7106&gt;0,H7106/I7106,0)</f>
      </c>
      <c r="K7106" s="193" t="str">
        <f>1-EXP(-J7106)</f>
      </c>
      <c r="L7106" s="194" t="str">
        <f>IF(G7106=30,1,M7105)</f>
      </c>
      <c r="M7106" s="195" t="str">
        <f>L7106*(1-K7106)</f>
      </c>
    </row>
    <row r="7107">
      <c r="A7107" t="s">
        <v>167</v>
      </c>
      <c r="B7107" t="s">
        <v>113</v>
      </c>
      <c r="C7107" s="35" t="s">
        <v>521</v>
      </c>
      <c r="D7107" t="s">
        <v>113</v>
      </c>
      <c r="E7107" t="s">
        <v>520</v>
      </c>
      <c r="F7107" s="188" t="n">
        <v>2046</v>
      </c>
      <c r="G7107" s="189" t="n">
        <v>55</v>
      </c>
      <c r="H7107" s="190" t="n">
        <v>14081.4435221238</v>
      </c>
      <c r="I7107" s="191" t="n">
        <v>4096638.8686517</v>
      </c>
      <c r="J7107" s="192" t="str">
        <f>IF(I7107&gt;0,H7107/I7107,0)</f>
      </c>
      <c r="K7107" s="193" t="str">
        <f>1-EXP(-J7107)</f>
      </c>
      <c r="L7107" s="194" t="str">
        <f>IF(G7107=30,1,M7106)</f>
      </c>
      <c r="M7107" s="195" t="str">
        <f>L7107*(1-K7107)</f>
      </c>
    </row>
    <row r="7108">
      <c r="A7108" t="s">
        <v>167</v>
      </c>
      <c r="B7108" t="s">
        <v>113</v>
      </c>
      <c r="C7108" s="35" t="s">
        <v>521</v>
      </c>
      <c r="D7108" t="s">
        <v>113</v>
      </c>
      <c r="E7108" t="s">
        <v>520</v>
      </c>
      <c r="F7108" s="188" t="n">
        <v>2046</v>
      </c>
      <c r="G7108" s="189" t="n">
        <v>56</v>
      </c>
      <c r="H7108" s="190" t="n">
        <v>20498.3655396287</v>
      </c>
      <c r="I7108" s="191" t="n">
        <v>6023024.23107638</v>
      </c>
      <c r="J7108" s="192" t="str">
        <f>IF(I7108&gt;0,H7108/I7108,0)</f>
      </c>
      <c r="K7108" s="193" t="str">
        <f>1-EXP(-J7108)</f>
      </c>
      <c r="L7108" s="194" t="str">
        <f>IF(G7108=30,1,M7107)</f>
      </c>
      <c r="M7108" s="195" t="str">
        <f>L7108*(1-K7108)</f>
      </c>
    </row>
    <row r="7109">
      <c r="A7109" t="s">
        <v>167</v>
      </c>
      <c r="B7109" t="s">
        <v>113</v>
      </c>
      <c r="C7109" s="35" t="s">
        <v>521</v>
      </c>
      <c r="D7109" t="s">
        <v>113</v>
      </c>
      <c r="E7109" t="s">
        <v>520</v>
      </c>
      <c r="F7109" s="188" t="n">
        <v>2046</v>
      </c>
      <c r="G7109" s="189" t="n">
        <v>57</v>
      </c>
      <c r="H7109" s="190" t="n">
        <v>16332.3787871042</v>
      </c>
      <c r="I7109" s="191" t="n">
        <v>4006890.98110595</v>
      </c>
      <c r="J7109" s="192" t="str">
        <f>IF(I7109&gt;0,H7109/I7109,0)</f>
      </c>
      <c r="K7109" s="193" t="str">
        <f>1-EXP(-J7109)</f>
      </c>
      <c r="L7109" s="194" t="str">
        <f>IF(G7109=30,1,M7108)</f>
      </c>
      <c r="M7109" s="195" t="str">
        <f>L7109*(1-K7109)</f>
      </c>
    </row>
    <row r="7110">
      <c r="A7110" t="s">
        <v>167</v>
      </c>
      <c r="B7110" t="s">
        <v>113</v>
      </c>
      <c r="C7110" s="35" t="s">
        <v>521</v>
      </c>
      <c r="D7110" t="s">
        <v>113</v>
      </c>
      <c r="E7110" t="s">
        <v>520</v>
      </c>
      <c r="F7110" s="188" t="n">
        <v>2046</v>
      </c>
      <c r="G7110" s="189" t="n">
        <v>58</v>
      </c>
      <c r="H7110" s="190" t="n">
        <v>17635.6400142207</v>
      </c>
      <c r="I7110" s="191" t="n">
        <v>3962672.80207962</v>
      </c>
      <c r="J7110" s="192" t="str">
        <f>IF(I7110&gt;0,H7110/I7110,0)</f>
      </c>
      <c r="K7110" s="193" t="str">
        <f>1-EXP(-J7110)</f>
      </c>
      <c r="L7110" s="194" t="str">
        <f>IF(G7110=30,1,M7109)</f>
      </c>
      <c r="M7110" s="195" t="str">
        <f>L7110*(1-K7110)</f>
      </c>
    </row>
    <row r="7111">
      <c r="A7111" t="s">
        <v>167</v>
      </c>
      <c r="B7111" t="s">
        <v>113</v>
      </c>
      <c r="C7111" s="35" t="s">
        <v>521</v>
      </c>
      <c r="D7111" t="s">
        <v>113</v>
      </c>
      <c r="E7111" t="s">
        <v>520</v>
      </c>
      <c r="F7111" s="188" t="n">
        <v>2046</v>
      </c>
      <c r="G7111" s="189" t="n">
        <v>59</v>
      </c>
      <c r="H7111" s="190" t="n">
        <v>18558.7546629096</v>
      </c>
      <c r="I7111" s="191" t="n">
        <v>3810849.67368501</v>
      </c>
      <c r="J7111" s="192" t="str">
        <f>IF(I7111&gt;0,H7111/I7111,0)</f>
      </c>
      <c r="K7111" s="193" t="str">
        <f>1-EXP(-J7111)</f>
      </c>
      <c r="L7111" s="194" t="str">
        <f>IF(G7111=30,1,M7110)</f>
      </c>
      <c r="M7111" s="195" t="str">
        <f>L7111*(1-K7111)</f>
      </c>
    </row>
    <row r="7112">
      <c r="A7112" t="s">
        <v>167</v>
      </c>
      <c r="B7112" t="s">
        <v>113</v>
      </c>
      <c r="C7112" s="35" t="s">
        <v>521</v>
      </c>
      <c r="D7112" t="s">
        <v>113</v>
      </c>
      <c r="E7112" t="s">
        <v>520</v>
      </c>
      <c r="F7112" s="188" t="n">
        <v>2046</v>
      </c>
      <c r="G7112" s="189" t="n">
        <v>60</v>
      </c>
      <c r="H7112" s="190" t="n">
        <v>19714.0042930444</v>
      </c>
      <c r="I7112" s="191" t="n">
        <v>3746609.86538343</v>
      </c>
      <c r="J7112" s="192" t="str">
        <f>IF(I7112&gt;0,H7112/I7112,0)</f>
      </c>
      <c r="K7112" s="193" t="str">
        <f>1-EXP(-J7112)</f>
      </c>
      <c r="L7112" s="194" t="str">
        <f>IF(G7112=30,1,M7111)</f>
      </c>
      <c r="M7112" s="195" t="str">
        <f>L7112*(1-K7112)</f>
      </c>
    </row>
    <row r="7113">
      <c r="A7113" t="s">
        <v>167</v>
      </c>
      <c r="B7113" t="s">
        <v>113</v>
      </c>
      <c r="C7113" s="35" t="s">
        <v>521</v>
      </c>
      <c r="D7113" t="s">
        <v>113</v>
      </c>
      <c r="E7113" t="s">
        <v>520</v>
      </c>
      <c r="F7113" s="188" t="n">
        <v>2046</v>
      </c>
      <c r="G7113" s="189" t="n">
        <v>61</v>
      </c>
      <c r="H7113" s="190" t="n">
        <v>21725.9087989971</v>
      </c>
      <c r="I7113" s="191" t="n">
        <v>3763511.83295194</v>
      </c>
      <c r="J7113" s="192" t="str">
        <f>IF(I7113&gt;0,H7113/I7113,0)</f>
      </c>
      <c r="K7113" s="193" t="str">
        <f>1-EXP(-J7113)</f>
      </c>
      <c r="L7113" s="194" t="str">
        <f>IF(G7113=30,1,M7112)</f>
      </c>
      <c r="M7113" s="195" t="str">
        <f>L7113*(1-K7113)</f>
      </c>
    </row>
    <row r="7114">
      <c r="A7114" t="s">
        <v>167</v>
      </c>
      <c r="B7114" t="s">
        <v>113</v>
      </c>
      <c r="C7114" s="35" t="s">
        <v>521</v>
      </c>
      <c r="D7114" t="s">
        <v>113</v>
      </c>
      <c r="E7114" t="s">
        <v>520</v>
      </c>
      <c r="F7114" s="188" t="n">
        <v>2046</v>
      </c>
      <c r="G7114" s="189" t="n">
        <v>62</v>
      </c>
      <c r="H7114" s="190" t="n">
        <v>24064.7494789504</v>
      </c>
      <c r="I7114" s="191" t="n">
        <v>3798395.85959019</v>
      </c>
      <c r="J7114" s="192" t="str">
        <f>IF(I7114&gt;0,H7114/I7114,0)</f>
      </c>
      <c r="K7114" s="193" t="str">
        <f>1-EXP(-J7114)</f>
      </c>
      <c r="L7114" s="194" t="str">
        <f>IF(G7114=30,1,M7113)</f>
      </c>
      <c r="M7114" s="195" t="str">
        <f>L7114*(1-K7114)</f>
      </c>
    </row>
    <row r="7115">
      <c r="A7115" t="s">
        <v>167</v>
      </c>
      <c r="B7115" t="s">
        <v>113</v>
      </c>
      <c r="C7115" s="35" t="s">
        <v>521</v>
      </c>
      <c r="D7115" t="s">
        <v>113</v>
      </c>
      <c r="E7115" t="s">
        <v>520</v>
      </c>
      <c r="F7115" s="188" t="n">
        <v>2046</v>
      </c>
      <c r="G7115" s="189" t="n">
        <v>63</v>
      </c>
      <c r="H7115" s="190" t="n">
        <v>25954.3940498838</v>
      </c>
      <c r="I7115" s="191" t="n">
        <v>3732956.94331815</v>
      </c>
      <c r="J7115" s="192" t="str">
        <f>IF(I7115&gt;0,H7115/I7115,0)</f>
      </c>
      <c r="K7115" s="193" t="str">
        <f>1-EXP(-J7115)</f>
      </c>
      <c r="L7115" s="194" t="str">
        <f>IF(G7115=30,1,M7114)</f>
      </c>
      <c r="M7115" s="195" t="str">
        <f>L7115*(1-K7115)</f>
      </c>
    </row>
    <row r="7116">
      <c r="A7116" t="s">
        <v>167</v>
      </c>
      <c r="B7116" t="s">
        <v>113</v>
      </c>
      <c r="C7116" s="35" t="s">
        <v>521</v>
      </c>
      <c r="D7116" t="s">
        <v>113</v>
      </c>
      <c r="E7116" t="s">
        <v>520</v>
      </c>
      <c r="F7116" s="188" t="n">
        <v>2046</v>
      </c>
      <c r="G7116" s="189" t="n">
        <v>64</v>
      </c>
      <c r="H7116" s="190" t="n">
        <v>27233.4322935475</v>
      </c>
      <c r="I7116" s="191" t="n">
        <v>3566923.57171292</v>
      </c>
      <c r="J7116" s="192" t="str">
        <f>IF(I7116&gt;0,H7116/I7116,0)</f>
      </c>
      <c r="K7116" s="193" t="str">
        <f>1-EXP(-J7116)</f>
      </c>
      <c r="L7116" s="194" t="str">
        <f>IF(G7116=30,1,M7115)</f>
      </c>
      <c r="M7116" s="195" t="str">
        <f>L7116*(1-K7116)</f>
      </c>
    </row>
    <row r="7117">
      <c r="A7117" t="s">
        <v>167</v>
      </c>
      <c r="B7117" t="s">
        <v>113</v>
      </c>
      <c r="C7117" s="35" t="s">
        <v>521</v>
      </c>
      <c r="D7117" t="s">
        <v>113</v>
      </c>
      <c r="E7117" t="s">
        <v>520</v>
      </c>
      <c r="F7117" s="188" t="n">
        <v>2046</v>
      </c>
      <c r="G7117" s="189" t="n">
        <v>65</v>
      </c>
      <c r="H7117" s="190" t="n">
        <v>27547.805745584</v>
      </c>
      <c r="I7117" s="191" t="n">
        <v>3453589.10354515</v>
      </c>
      <c r="J7117" s="192" t="str">
        <f>IF(I7117&gt;0,H7117/I7117,0)</f>
      </c>
      <c r="K7117" s="193" t="str">
        <f>1-EXP(-J7117)</f>
      </c>
      <c r="L7117" s="194" t="str">
        <f>IF(G7117=30,1,M7116)</f>
      </c>
      <c r="M7117" s="195" t="str">
        <f>L7117*(1-K7117)</f>
      </c>
    </row>
    <row r="7118">
      <c r="A7118" t="s">
        <v>167</v>
      </c>
      <c r="B7118" t="s">
        <v>113</v>
      </c>
      <c r="C7118" s="35" t="s">
        <v>521</v>
      </c>
      <c r="D7118" t="s">
        <v>113</v>
      </c>
      <c r="E7118" t="s">
        <v>520</v>
      </c>
      <c r="F7118" s="188" t="n">
        <v>2046</v>
      </c>
      <c r="G7118" s="189" t="n">
        <v>66</v>
      </c>
      <c r="H7118" s="190" t="n">
        <v>29359.0828612976</v>
      </c>
      <c r="I7118" s="191" t="n">
        <v>3352012.54010365</v>
      </c>
      <c r="J7118" s="192" t="str">
        <f>IF(I7118&gt;0,H7118/I7118,0)</f>
      </c>
      <c r="K7118" s="193" t="str">
        <f>1-EXP(-J7118)</f>
      </c>
      <c r="L7118" s="194" t="str">
        <f>IF(G7118=30,1,M7117)</f>
      </c>
      <c r="M7118" s="195" t="str">
        <f>L7118*(1-K7118)</f>
      </c>
    </row>
    <row r="7119">
      <c r="A7119" t="s">
        <v>167</v>
      </c>
      <c r="B7119" t="s">
        <v>113</v>
      </c>
      <c r="C7119" s="35" t="s">
        <v>521</v>
      </c>
      <c r="D7119" t="s">
        <v>113</v>
      </c>
      <c r="E7119" t="s">
        <v>520</v>
      </c>
      <c r="F7119" s="188" t="n">
        <v>2046</v>
      </c>
      <c r="G7119" s="189" t="n">
        <v>67</v>
      </c>
      <c r="H7119" s="190" t="n">
        <v>31193.9313305106</v>
      </c>
      <c r="I7119" s="191" t="n">
        <v>3242585.4088626</v>
      </c>
      <c r="J7119" s="192" t="str">
        <f>IF(I7119&gt;0,H7119/I7119,0)</f>
      </c>
      <c r="K7119" s="193" t="str">
        <f>1-EXP(-J7119)</f>
      </c>
      <c r="L7119" s="194" t="str">
        <f>IF(G7119=30,1,M7118)</f>
      </c>
      <c r="M7119" s="195" t="str">
        <f>L7119*(1-K7119)</f>
      </c>
    </row>
    <row r="7120">
      <c r="A7120" t="s">
        <v>167</v>
      </c>
      <c r="B7120" t="s">
        <v>113</v>
      </c>
      <c r="C7120" s="35" t="s">
        <v>521</v>
      </c>
      <c r="D7120" t="s">
        <v>113</v>
      </c>
      <c r="E7120" t="s">
        <v>520</v>
      </c>
      <c r="F7120" s="188" t="n">
        <v>2046</v>
      </c>
      <c r="G7120" s="189" t="n">
        <v>68</v>
      </c>
      <c r="H7120" s="190" t="n">
        <v>32934.803345844</v>
      </c>
      <c r="I7120" s="191" t="n">
        <v>3114861.14426217</v>
      </c>
      <c r="J7120" s="192" t="str">
        <f>IF(I7120&gt;0,H7120/I7120,0)</f>
      </c>
      <c r="K7120" s="193" t="str">
        <f>1-EXP(-J7120)</f>
      </c>
      <c r="L7120" s="194" t="str">
        <f>IF(G7120=30,1,M7119)</f>
      </c>
      <c r="M7120" s="195" t="str">
        <f>L7120*(1-K7120)</f>
      </c>
    </row>
    <row r="7121">
      <c r="A7121" t="s">
        <v>167</v>
      </c>
      <c r="B7121" t="s">
        <v>113</v>
      </c>
      <c r="C7121" s="35" t="s">
        <v>521</v>
      </c>
      <c r="D7121" t="s">
        <v>113</v>
      </c>
      <c r="E7121" t="s">
        <v>520</v>
      </c>
      <c r="F7121" s="188" t="n">
        <v>2046</v>
      </c>
      <c r="G7121" s="189" t="n">
        <v>69</v>
      </c>
      <c r="H7121" s="190" t="n">
        <v>34900.3801888123</v>
      </c>
      <c r="I7121" s="191" t="n">
        <v>2997826.96901562</v>
      </c>
      <c r="J7121" s="192" t="str">
        <f>IF(I7121&gt;0,H7121/I7121,0)</f>
      </c>
      <c r="K7121" s="193" t="str">
        <f>1-EXP(-J7121)</f>
      </c>
      <c r="L7121" s="194" t="str">
        <f>IF(G7121=30,1,M7120)</f>
      </c>
      <c r="M7121" s="195" t="str">
        <f>L7121*(1-K7121)</f>
      </c>
    </row>
    <row r="7122">
      <c r="A7122" t="s">
        <v>167</v>
      </c>
      <c r="B7122" t="s">
        <v>113</v>
      </c>
      <c r="C7122" s="35" t="s">
        <v>521</v>
      </c>
      <c r="D7122" t="s">
        <v>113</v>
      </c>
      <c r="E7122" t="s">
        <v>520</v>
      </c>
      <c r="F7122" s="188" t="n">
        <v>2047</v>
      </c>
      <c r="G7122" s="189" t="n">
        <v>30</v>
      </c>
      <c r="H7122" s="190" t="n">
        <v>620.226687259566</v>
      </c>
      <c r="I7122" s="191" t="n">
        <v>4320502.14035755</v>
      </c>
      <c r="J7122" s="192" t="str">
        <f>IF(I7122&gt;0,H7122/I7122,0)</f>
      </c>
      <c r="K7122" s="193" t="str">
        <f>1-EXP(-J7122)</f>
      </c>
      <c r="L7122" s="194" t="str">
        <f>IF(G7122=30,1,M7121)</f>
      </c>
      <c r="M7122" s="195" t="str">
        <f>L7122*(1-K7122)</f>
      </c>
    </row>
    <row r="7123">
      <c r="A7123" t="s">
        <v>167</v>
      </c>
      <c r="B7123" t="s">
        <v>113</v>
      </c>
      <c r="C7123" s="35" t="s">
        <v>521</v>
      </c>
      <c r="D7123" t="s">
        <v>113</v>
      </c>
      <c r="E7123" t="s">
        <v>520</v>
      </c>
      <c r="F7123" s="188" t="n">
        <v>2047</v>
      </c>
      <c r="G7123" s="189" t="n">
        <v>31</v>
      </c>
      <c r="H7123" s="190" t="n">
        <v>938.945085385781</v>
      </c>
      <c r="I7123" s="191" t="n">
        <v>4583251.99254384</v>
      </c>
      <c r="J7123" s="192" t="str">
        <f>IF(I7123&gt;0,H7123/I7123,0)</f>
      </c>
      <c r="K7123" s="193" t="str">
        <f>1-EXP(-J7123)</f>
      </c>
      <c r="L7123" s="194" t="str">
        <f>IF(G7123=30,1,M7122)</f>
      </c>
      <c r="M7123" s="195" t="str">
        <f>L7123*(1-K7123)</f>
      </c>
    </row>
    <row r="7124">
      <c r="A7124" t="s">
        <v>167</v>
      </c>
      <c r="B7124" t="s">
        <v>113</v>
      </c>
      <c r="C7124" s="35" t="s">
        <v>521</v>
      </c>
      <c r="D7124" t="s">
        <v>113</v>
      </c>
      <c r="E7124" t="s">
        <v>520</v>
      </c>
      <c r="F7124" s="188" t="n">
        <v>2047</v>
      </c>
      <c r="G7124" s="189" t="n">
        <v>32</v>
      </c>
      <c r="H7124" s="190" t="n">
        <v>1033.52344198521</v>
      </c>
      <c r="I7124" s="191" t="n">
        <v>4632029.83842533</v>
      </c>
      <c r="J7124" s="192" t="str">
        <f>IF(I7124&gt;0,H7124/I7124,0)</f>
      </c>
      <c r="K7124" s="193" t="str">
        <f>1-EXP(-J7124)</f>
      </c>
      <c r="L7124" s="194" t="str">
        <f>IF(G7124=30,1,M7123)</f>
      </c>
      <c r="M7124" s="195" t="str">
        <f>L7124*(1-K7124)</f>
      </c>
    </row>
    <row r="7125">
      <c r="A7125" t="s">
        <v>167</v>
      </c>
      <c r="B7125" t="s">
        <v>113</v>
      </c>
      <c r="C7125" s="35" t="s">
        <v>521</v>
      </c>
      <c r="D7125" t="s">
        <v>113</v>
      </c>
      <c r="E7125" t="s">
        <v>520</v>
      </c>
      <c r="F7125" s="188" t="n">
        <v>2047</v>
      </c>
      <c r="G7125" s="189" t="n">
        <v>33</v>
      </c>
      <c r="H7125" s="190" t="n">
        <v>1110.2934293044</v>
      </c>
      <c r="I7125" s="191" t="n">
        <v>4698255.50323474</v>
      </c>
      <c r="J7125" s="192" t="str">
        <f>IF(I7125&gt;0,H7125/I7125,0)</f>
      </c>
      <c r="K7125" s="193" t="str">
        <f>1-EXP(-J7125)</f>
      </c>
      <c r="L7125" s="194" t="str">
        <f>IF(G7125=30,1,M7124)</f>
      </c>
      <c r="M7125" s="195" t="str">
        <f>L7125*(1-K7125)</f>
      </c>
    </row>
    <row r="7126">
      <c r="A7126" t="s">
        <v>167</v>
      </c>
      <c r="B7126" t="s">
        <v>113</v>
      </c>
      <c r="C7126" s="35" t="s">
        <v>521</v>
      </c>
      <c r="D7126" t="s">
        <v>113</v>
      </c>
      <c r="E7126" t="s">
        <v>520</v>
      </c>
      <c r="F7126" s="188" t="n">
        <v>2047</v>
      </c>
      <c r="G7126" s="189" t="n">
        <v>34</v>
      </c>
      <c r="H7126" s="190" t="n">
        <v>1199.6095748844</v>
      </c>
      <c r="I7126" s="191" t="n">
        <v>4765792.0114201</v>
      </c>
      <c r="J7126" s="192" t="str">
        <f>IF(I7126&gt;0,H7126/I7126,0)</f>
      </c>
      <c r="K7126" s="193" t="str">
        <f>1-EXP(-J7126)</f>
      </c>
      <c r="L7126" s="194" t="str">
        <f>IF(G7126=30,1,M7125)</f>
      </c>
      <c r="M7126" s="195" t="str">
        <f>L7126*(1-K7126)</f>
      </c>
    </row>
    <row r="7127">
      <c r="A7127" t="s">
        <v>167</v>
      </c>
      <c r="B7127" t="s">
        <v>113</v>
      </c>
      <c r="C7127" s="35" t="s">
        <v>521</v>
      </c>
      <c r="D7127" t="s">
        <v>113</v>
      </c>
      <c r="E7127" t="s">
        <v>520</v>
      </c>
      <c r="F7127" s="188" t="n">
        <v>2047</v>
      </c>
      <c r="G7127" s="189" t="n">
        <v>35</v>
      </c>
      <c r="H7127" s="190" t="n">
        <v>1657.77519003405</v>
      </c>
      <c r="I7127" s="191" t="n">
        <v>4877377.31848515</v>
      </c>
      <c r="J7127" s="192" t="str">
        <f>IF(I7127&gt;0,H7127/I7127,0)</f>
      </c>
      <c r="K7127" s="193" t="str">
        <f>1-EXP(-J7127)</f>
      </c>
      <c r="L7127" s="194" t="str">
        <f>IF(G7127=30,1,M7126)</f>
      </c>
      <c r="M7127" s="195" t="str">
        <f>L7127*(1-K7127)</f>
      </c>
    </row>
    <row r="7128">
      <c r="A7128" t="s">
        <v>167</v>
      </c>
      <c r="B7128" t="s">
        <v>113</v>
      </c>
      <c r="C7128" s="35" t="s">
        <v>521</v>
      </c>
      <c r="D7128" t="s">
        <v>113</v>
      </c>
      <c r="E7128" t="s">
        <v>520</v>
      </c>
      <c r="F7128" s="188" t="n">
        <v>2047</v>
      </c>
      <c r="G7128" s="189" t="n">
        <v>36</v>
      </c>
      <c r="H7128" s="190" t="n">
        <v>1932.67919011053</v>
      </c>
      <c r="I7128" s="191" t="n">
        <v>4847989.32686471</v>
      </c>
      <c r="J7128" s="192" t="str">
        <f>IF(I7128&gt;0,H7128/I7128,0)</f>
      </c>
      <c r="K7128" s="193" t="str">
        <f>1-EXP(-J7128)</f>
      </c>
      <c r="L7128" s="194" t="str">
        <f>IF(G7128=30,1,M7127)</f>
      </c>
      <c r="M7128" s="195" t="str">
        <f>L7128*(1-K7128)</f>
      </c>
    </row>
    <row r="7129">
      <c r="A7129" t="s">
        <v>167</v>
      </c>
      <c r="B7129" t="s">
        <v>113</v>
      </c>
      <c r="C7129" s="35" t="s">
        <v>521</v>
      </c>
      <c r="D7129" t="s">
        <v>113</v>
      </c>
      <c r="E7129" t="s">
        <v>520</v>
      </c>
      <c r="F7129" s="188" t="n">
        <v>2047</v>
      </c>
      <c r="G7129" s="189" t="n">
        <v>37</v>
      </c>
      <c r="H7129" s="190" t="n">
        <v>2018.64647941206</v>
      </c>
      <c r="I7129" s="191" t="n">
        <v>4713437.51873189</v>
      </c>
      <c r="J7129" s="192" t="str">
        <f>IF(I7129&gt;0,H7129/I7129,0)</f>
      </c>
      <c r="K7129" s="193" t="str">
        <f>1-EXP(-J7129)</f>
      </c>
      <c r="L7129" s="194" t="str">
        <f>IF(G7129=30,1,M7128)</f>
      </c>
      <c r="M7129" s="195" t="str">
        <f>L7129*(1-K7129)</f>
      </c>
    </row>
    <row r="7130">
      <c r="A7130" t="s">
        <v>167</v>
      </c>
      <c r="B7130" t="s">
        <v>113</v>
      </c>
      <c r="C7130" s="35" t="s">
        <v>521</v>
      </c>
      <c r="D7130" t="s">
        <v>113</v>
      </c>
      <c r="E7130" t="s">
        <v>520</v>
      </c>
      <c r="F7130" s="188" t="n">
        <v>2047</v>
      </c>
      <c r="G7130" s="189" t="n">
        <v>38</v>
      </c>
      <c r="H7130" s="190" t="n">
        <v>2143.19857631378</v>
      </c>
      <c r="I7130" s="191" t="n">
        <v>4641180.67577534</v>
      </c>
      <c r="J7130" s="192" t="str">
        <f>IF(I7130&gt;0,H7130/I7130,0)</f>
      </c>
      <c r="K7130" s="193" t="str">
        <f>1-EXP(-J7130)</f>
      </c>
      <c r="L7130" s="194" t="str">
        <f>IF(G7130=30,1,M7129)</f>
      </c>
      <c r="M7130" s="195" t="str">
        <f>L7130*(1-K7130)</f>
      </c>
    </row>
    <row r="7131">
      <c r="A7131" t="s">
        <v>167</v>
      </c>
      <c r="B7131" t="s">
        <v>113</v>
      </c>
      <c r="C7131" s="35" t="s">
        <v>521</v>
      </c>
      <c r="D7131" t="s">
        <v>113</v>
      </c>
      <c r="E7131" t="s">
        <v>520</v>
      </c>
      <c r="F7131" s="188" t="n">
        <v>2047</v>
      </c>
      <c r="G7131" s="189" t="n">
        <v>39</v>
      </c>
      <c r="H7131" s="190" t="n">
        <v>2295.47974144544</v>
      </c>
      <c r="I7131" s="191" t="n">
        <v>4596445.82150417</v>
      </c>
      <c r="J7131" s="192" t="str">
        <f>IF(I7131&gt;0,H7131/I7131,0)</f>
      </c>
      <c r="K7131" s="193" t="str">
        <f>1-EXP(-J7131)</f>
      </c>
      <c r="L7131" s="194" t="str">
        <f>IF(G7131=30,1,M7130)</f>
      </c>
      <c r="M7131" s="195" t="str">
        <f>L7131*(1-K7131)</f>
      </c>
    </row>
    <row r="7132">
      <c r="A7132" t="s">
        <v>167</v>
      </c>
      <c r="B7132" t="s">
        <v>113</v>
      </c>
      <c r="C7132" s="35" t="s">
        <v>521</v>
      </c>
      <c r="D7132" t="s">
        <v>113</v>
      </c>
      <c r="E7132" t="s">
        <v>520</v>
      </c>
      <c r="F7132" s="188" t="n">
        <v>2047</v>
      </c>
      <c r="G7132" s="189" t="n">
        <v>40</v>
      </c>
      <c r="H7132" s="190" t="n">
        <v>3175.22074202544</v>
      </c>
      <c r="I7132" s="191" t="n">
        <v>4618807.09760394</v>
      </c>
      <c r="J7132" s="192" t="str">
        <f>IF(I7132&gt;0,H7132/I7132,0)</f>
      </c>
      <c r="K7132" s="193" t="str">
        <f>1-EXP(-J7132)</f>
      </c>
      <c r="L7132" s="194" t="str">
        <f>IF(G7132=30,1,M7131)</f>
      </c>
      <c r="M7132" s="195" t="str">
        <f>L7132*(1-K7132)</f>
      </c>
    </row>
    <row r="7133">
      <c r="A7133" t="s">
        <v>167</v>
      </c>
      <c r="B7133" t="s">
        <v>113</v>
      </c>
      <c r="C7133" s="35" t="s">
        <v>521</v>
      </c>
      <c r="D7133" t="s">
        <v>113</v>
      </c>
      <c r="E7133" t="s">
        <v>520</v>
      </c>
      <c r="F7133" s="188" t="n">
        <v>2047</v>
      </c>
      <c r="G7133" s="189" t="n">
        <v>41</v>
      </c>
      <c r="H7133" s="190" t="n">
        <v>3512.62163782425</v>
      </c>
      <c r="I7133" s="191" t="n">
        <v>4532495.1092283</v>
      </c>
      <c r="J7133" s="192" t="str">
        <f>IF(I7133&gt;0,H7133/I7133,0)</f>
      </c>
      <c r="K7133" s="193" t="str">
        <f>1-EXP(-J7133)</f>
      </c>
      <c r="L7133" s="194" t="str">
        <f>IF(G7133=30,1,M7132)</f>
      </c>
      <c r="M7133" s="195" t="str">
        <f>L7133*(1-K7133)</f>
      </c>
    </row>
    <row r="7134">
      <c r="A7134" t="s">
        <v>167</v>
      </c>
      <c r="B7134" t="s">
        <v>113</v>
      </c>
      <c r="C7134" s="35" t="s">
        <v>521</v>
      </c>
      <c r="D7134" t="s">
        <v>113</v>
      </c>
      <c r="E7134" t="s">
        <v>520</v>
      </c>
      <c r="F7134" s="188" t="n">
        <v>2047</v>
      </c>
      <c r="G7134" s="189" t="n">
        <v>42</v>
      </c>
      <c r="H7134" s="190" t="n">
        <v>3755.08556228004</v>
      </c>
      <c r="I7134" s="191" t="n">
        <v>4467950.13305113</v>
      </c>
      <c r="J7134" s="192" t="str">
        <f>IF(I7134&gt;0,H7134/I7134,0)</f>
      </c>
      <c r="K7134" s="193" t="str">
        <f>1-EXP(-J7134)</f>
      </c>
      <c r="L7134" s="194" t="str">
        <f>IF(G7134=30,1,M7133)</f>
      </c>
      <c r="M7134" s="195" t="str">
        <f>L7134*(1-K7134)</f>
      </c>
    </row>
    <row r="7135">
      <c r="A7135" t="s">
        <v>167</v>
      </c>
      <c r="B7135" t="s">
        <v>113</v>
      </c>
      <c r="C7135" s="35" t="s">
        <v>521</v>
      </c>
      <c r="D7135" t="s">
        <v>113</v>
      </c>
      <c r="E7135" t="s">
        <v>520</v>
      </c>
      <c r="F7135" s="188" t="n">
        <v>2047</v>
      </c>
      <c r="G7135" s="189" t="n">
        <v>43</v>
      </c>
      <c r="H7135" s="190" t="n">
        <v>3961.22151452174</v>
      </c>
      <c r="I7135" s="191" t="n">
        <v>4336371.03690285</v>
      </c>
      <c r="J7135" s="192" t="str">
        <f>IF(I7135&gt;0,H7135/I7135,0)</f>
      </c>
      <c r="K7135" s="193" t="str">
        <f>1-EXP(-J7135)</f>
      </c>
      <c r="L7135" s="194" t="str">
        <f>IF(G7135=30,1,M7134)</f>
      </c>
      <c r="M7135" s="195" t="str">
        <f>L7135*(1-K7135)</f>
      </c>
    </row>
    <row r="7136">
      <c r="A7136" t="s">
        <v>167</v>
      </c>
      <c r="B7136" t="s">
        <v>113</v>
      </c>
      <c r="C7136" s="35" t="s">
        <v>521</v>
      </c>
      <c r="D7136" t="s">
        <v>113</v>
      </c>
      <c r="E7136" t="s">
        <v>520</v>
      </c>
      <c r="F7136" s="188" t="n">
        <v>2047</v>
      </c>
      <c r="G7136" s="189" t="n">
        <v>44</v>
      </c>
      <c r="H7136" s="190" t="n">
        <v>4246.01417474954</v>
      </c>
      <c r="I7136" s="191" t="n">
        <v>4266329.78094124</v>
      </c>
      <c r="J7136" s="192" t="str">
        <f>IF(I7136&gt;0,H7136/I7136,0)</f>
      </c>
      <c r="K7136" s="193" t="str">
        <f>1-EXP(-J7136)</f>
      </c>
      <c r="L7136" s="194" t="str">
        <f>IF(G7136=30,1,M7135)</f>
      </c>
      <c r="M7136" s="195" t="str">
        <f>L7136*(1-K7136)</f>
      </c>
    </row>
    <row r="7137">
      <c r="A7137" t="s">
        <v>167</v>
      </c>
      <c r="B7137" t="s">
        <v>113</v>
      </c>
      <c r="C7137" s="35" t="s">
        <v>521</v>
      </c>
      <c r="D7137" t="s">
        <v>113</v>
      </c>
      <c r="E7137" t="s">
        <v>520</v>
      </c>
      <c r="F7137" s="188" t="n">
        <v>2047</v>
      </c>
      <c r="G7137" s="189" t="n">
        <v>45</v>
      </c>
      <c r="H7137" s="190" t="n">
        <v>5598.55894493508</v>
      </c>
      <c r="I7137" s="191" t="n">
        <v>4236614.00301468</v>
      </c>
      <c r="J7137" s="192" t="str">
        <f>IF(I7137&gt;0,H7137/I7137,0)</f>
      </c>
      <c r="K7137" s="193" t="str">
        <f>1-EXP(-J7137)</f>
      </c>
      <c r="L7137" s="194" t="str">
        <f>IF(G7137=30,1,M7136)</f>
      </c>
      <c r="M7137" s="195" t="str">
        <f>L7137*(1-K7137)</f>
      </c>
    </row>
    <row r="7138">
      <c r="A7138" t="s">
        <v>167</v>
      </c>
      <c r="B7138" t="s">
        <v>113</v>
      </c>
      <c r="C7138" s="35" t="s">
        <v>521</v>
      </c>
      <c r="D7138" t="s">
        <v>113</v>
      </c>
      <c r="E7138" t="s">
        <v>520</v>
      </c>
      <c r="F7138" s="188" t="n">
        <v>2047</v>
      </c>
      <c r="G7138" s="189" t="n">
        <v>46</v>
      </c>
      <c r="H7138" s="190" t="n">
        <v>6154.73624447649</v>
      </c>
      <c r="I7138" s="191" t="n">
        <v>4208548.45559328</v>
      </c>
      <c r="J7138" s="192" t="str">
        <f>IF(I7138&gt;0,H7138/I7138,0)</f>
      </c>
      <c r="K7138" s="193" t="str">
        <f>1-EXP(-J7138)</f>
      </c>
      <c r="L7138" s="194" t="str">
        <f>IF(G7138=30,1,M7137)</f>
      </c>
      <c r="M7138" s="195" t="str">
        <f>L7138*(1-K7138)</f>
      </c>
    </row>
    <row r="7139">
      <c r="A7139" t="s">
        <v>167</v>
      </c>
      <c r="B7139" t="s">
        <v>113</v>
      </c>
      <c r="C7139" s="35" t="s">
        <v>521</v>
      </c>
      <c r="D7139" t="s">
        <v>113</v>
      </c>
      <c r="E7139" t="s">
        <v>520</v>
      </c>
      <c r="F7139" s="188" t="n">
        <v>2047</v>
      </c>
      <c r="G7139" s="189" t="n">
        <v>47</v>
      </c>
      <c r="H7139" s="190" t="n">
        <v>6693.82881579461</v>
      </c>
      <c r="I7139" s="191" t="n">
        <v>4180057.59398168</v>
      </c>
      <c r="J7139" s="192" t="str">
        <f>IF(I7139&gt;0,H7139/I7139,0)</f>
      </c>
      <c r="K7139" s="193" t="str">
        <f>1-EXP(-J7139)</f>
      </c>
      <c r="L7139" s="194" t="str">
        <f>IF(G7139=30,1,M7138)</f>
      </c>
      <c r="M7139" s="195" t="str">
        <f>L7139*(1-K7139)</f>
      </c>
    </row>
    <row r="7140">
      <c r="A7140" t="s">
        <v>167</v>
      </c>
      <c r="B7140" t="s">
        <v>113</v>
      </c>
      <c r="C7140" s="35" t="s">
        <v>521</v>
      </c>
      <c r="D7140" t="s">
        <v>113</v>
      </c>
      <c r="E7140" t="s">
        <v>520</v>
      </c>
      <c r="F7140" s="188" t="n">
        <v>2047</v>
      </c>
      <c r="G7140" s="189" t="n">
        <v>48</v>
      </c>
      <c r="H7140" s="190" t="n">
        <v>7357.89908233388</v>
      </c>
      <c r="I7140" s="191" t="n">
        <v>4189014.06287786</v>
      </c>
      <c r="J7140" s="192" t="str">
        <f>IF(I7140&gt;0,H7140/I7140,0)</f>
      </c>
      <c r="K7140" s="193" t="str">
        <f>1-EXP(-J7140)</f>
      </c>
      <c r="L7140" s="194" t="str">
        <f>IF(G7140=30,1,M7139)</f>
      </c>
      <c r="M7140" s="195" t="str">
        <f>L7140*(1-K7140)</f>
      </c>
    </row>
    <row r="7141">
      <c r="A7141" t="s">
        <v>167</v>
      </c>
      <c r="B7141" t="s">
        <v>113</v>
      </c>
      <c r="C7141" s="35" t="s">
        <v>521</v>
      </c>
      <c r="D7141" t="s">
        <v>113</v>
      </c>
      <c r="E7141" t="s">
        <v>520</v>
      </c>
      <c r="F7141" s="188" t="n">
        <v>2047</v>
      </c>
      <c r="G7141" s="189" t="n">
        <v>49</v>
      </c>
      <c r="H7141" s="190" t="n">
        <v>8166.03076339032</v>
      </c>
      <c r="I7141" s="191" t="n">
        <v>4234453.89538522</v>
      </c>
      <c r="J7141" s="192" t="str">
        <f>IF(I7141&gt;0,H7141/I7141,0)</f>
      </c>
      <c r="K7141" s="193" t="str">
        <f>1-EXP(-J7141)</f>
      </c>
      <c r="L7141" s="194" t="str">
        <f>IF(G7141=30,1,M7140)</f>
      </c>
      <c r="M7141" s="195" t="str">
        <f>L7141*(1-K7141)</f>
      </c>
    </row>
    <row r="7142">
      <c r="A7142" t="s">
        <v>167</v>
      </c>
      <c r="B7142" t="s">
        <v>113</v>
      </c>
      <c r="C7142" s="35" t="s">
        <v>521</v>
      </c>
      <c r="D7142" t="s">
        <v>113</v>
      </c>
      <c r="E7142" t="s">
        <v>520</v>
      </c>
      <c r="F7142" s="188" t="n">
        <v>2047</v>
      </c>
      <c r="G7142" s="189" t="n">
        <v>50</v>
      </c>
      <c r="H7142" s="190" t="n">
        <v>9786.11269343719</v>
      </c>
      <c r="I7142" s="191" t="n">
        <v>4351203.29988205</v>
      </c>
      <c r="J7142" s="192" t="str">
        <f>IF(I7142&gt;0,H7142/I7142,0)</f>
      </c>
      <c r="K7142" s="193" t="str">
        <f>1-EXP(-J7142)</f>
      </c>
      <c r="L7142" s="194" t="str">
        <f>IF(G7142=30,1,M7141)</f>
      </c>
      <c r="M7142" s="195" t="str">
        <f>L7142*(1-K7142)</f>
      </c>
    </row>
    <row r="7143">
      <c r="A7143" t="s">
        <v>167</v>
      </c>
      <c r="B7143" t="s">
        <v>113</v>
      </c>
      <c r="C7143" s="35" t="s">
        <v>521</v>
      </c>
      <c r="D7143" t="s">
        <v>113</v>
      </c>
      <c r="E7143" t="s">
        <v>520</v>
      </c>
      <c r="F7143" s="188" t="n">
        <v>2047</v>
      </c>
      <c r="G7143" s="189" t="n">
        <v>51</v>
      </c>
      <c r="H7143" s="190" t="n">
        <v>10570.1331919916</v>
      </c>
      <c r="I7143" s="191" t="n">
        <v>4293560.00686269</v>
      </c>
      <c r="J7143" s="192" t="str">
        <f>IF(I7143&gt;0,H7143/I7143,0)</f>
      </c>
      <c r="K7143" s="193" t="str">
        <f>1-EXP(-J7143)</f>
      </c>
      <c r="L7143" s="194" t="str">
        <f>IF(G7143=30,1,M7142)</f>
      </c>
      <c r="M7143" s="195" t="str">
        <f>L7143*(1-K7143)</f>
      </c>
    </row>
    <row r="7144">
      <c r="A7144" t="s">
        <v>167</v>
      </c>
      <c r="B7144" t="s">
        <v>113</v>
      </c>
      <c r="C7144" s="35" t="s">
        <v>521</v>
      </c>
      <c r="D7144" t="s">
        <v>113</v>
      </c>
      <c r="E7144" t="s">
        <v>520</v>
      </c>
      <c r="F7144" s="188" t="n">
        <v>2047</v>
      </c>
      <c r="G7144" s="189" t="n">
        <v>52</v>
      </c>
      <c r="H7144" s="190" t="n">
        <v>11315.3456528678</v>
      </c>
      <c r="I7144" s="191" t="n">
        <v>4206420.88653945</v>
      </c>
      <c r="J7144" s="192" t="str">
        <f>IF(I7144&gt;0,H7144/I7144,0)</f>
      </c>
      <c r="K7144" s="193" t="str">
        <f>1-EXP(-J7144)</f>
      </c>
      <c r="L7144" s="194" t="str">
        <f>IF(G7144=30,1,M7143)</f>
      </c>
      <c r="M7144" s="195" t="str">
        <f>L7144*(1-K7144)</f>
      </c>
    </row>
    <row r="7145">
      <c r="A7145" t="s">
        <v>167</v>
      </c>
      <c r="B7145" t="s">
        <v>113</v>
      </c>
      <c r="C7145" s="35" t="s">
        <v>521</v>
      </c>
      <c r="D7145" t="s">
        <v>113</v>
      </c>
      <c r="E7145" t="s">
        <v>520</v>
      </c>
      <c r="F7145" s="188" t="n">
        <v>2047</v>
      </c>
      <c r="G7145" s="189" t="n">
        <v>53</v>
      </c>
      <c r="H7145" s="190" t="n">
        <v>12122.0424955019</v>
      </c>
      <c r="I7145" s="191" t="n">
        <v>4132987.56338282</v>
      </c>
      <c r="J7145" s="192" t="str">
        <f>IF(I7145&gt;0,H7145/I7145,0)</f>
      </c>
      <c r="K7145" s="193" t="str">
        <f>1-EXP(-J7145)</f>
      </c>
      <c r="L7145" s="194" t="str">
        <f>IF(G7145=30,1,M7144)</f>
      </c>
      <c r="M7145" s="195" t="str">
        <f>L7145*(1-K7145)</f>
      </c>
    </row>
    <row r="7146">
      <c r="A7146" t="s">
        <v>167</v>
      </c>
      <c r="B7146" t="s">
        <v>113</v>
      </c>
      <c r="C7146" s="35" t="s">
        <v>521</v>
      </c>
      <c r="D7146" t="s">
        <v>113</v>
      </c>
      <c r="E7146" t="s">
        <v>520</v>
      </c>
      <c r="F7146" s="188" t="n">
        <v>2047</v>
      </c>
      <c r="G7146" s="189" t="n">
        <v>54</v>
      </c>
      <c r="H7146" s="190" t="n">
        <v>12965.9119750035</v>
      </c>
      <c r="I7146" s="191" t="n">
        <v>4061611.80895901</v>
      </c>
      <c r="J7146" s="192" t="str">
        <f>IF(I7146&gt;0,H7146/I7146,0)</f>
      </c>
      <c r="K7146" s="193" t="str">
        <f>1-EXP(-J7146)</f>
      </c>
      <c r="L7146" s="194" t="str">
        <f>IF(G7146=30,1,M7145)</f>
      </c>
      <c r="M7146" s="195" t="str">
        <f>L7146*(1-K7146)</f>
      </c>
    </row>
    <row r="7147">
      <c r="A7147" t="s">
        <v>167</v>
      </c>
      <c r="B7147" t="s">
        <v>113</v>
      </c>
      <c r="C7147" s="35" t="s">
        <v>521</v>
      </c>
      <c r="D7147" t="s">
        <v>113</v>
      </c>
      <c r="E7147" t="s">
        <v>520</v>
      </c>
      <c r="F7147" s="188" t="n">
        <v>2047</v>
      </c>
      <c r="G7147" s="189" t="n">
        <v>55</v>
      </c>
      <c r="H7147" s="190" t="n">
        <v>13871.9985855735</v>
      </c>
      <c r="I7147" s="191" t="n">
        <v>4074560.37333503</v>
      </c>
      <c r="J7147" s="192" t="str">
        <f>IF(I7147&gt;0,H7147/I7147,0)</f>
      </c>
      <c r="K7147" s="193" t="str">
        <f>1-EXP(-J7147)</f>
      </c>
      <c r="L7147" s="194" t="str">
        <f>IF(G7147=30,1,M7146)</f>
      </c>
      <c r="M7147" s="195" t="str">
        <f>L7147*(1-K7147)</f>
      </c>
    </row>
    <row r="7148">
      <c r="A7148" t="s">
        <v>167</v>
      </c>
      <c r="B7148" t="s">
        <v>113</v>
      </c>
      <c r="C7148" s="35" t="s">
        <v>521</v>
      </c>
      <c r="D7148" t="s">
        <v>113</v>
      </c>
      <c r="E7148" t="s">
        <v>520</v>
      </c>
      <c r="F7148" s="188" t="n">
        <v>2047</v>
      </c>
      <c r="G7148" s="189" t="n">
        <v>56</v>
      </c>
      <c r="H7148" s="190" t="n">
        <v>15062.0675883163</v>
      </c>
      <c r="I7148" s="191" t="n">
        <v>4066464.4984165</v>
      </c>
      <c r="J7148" s="192" t="str">
        <f>IF(I7148&gt;0,H7148/I7148,0)</f>
      </c>
      <c r="K7148" s="193" t="str">
        <f>1-EXP(-J7148)</f>
      </c>
      <c r="L7148" s="194" t="str">
        <f>IF(G7148=30,1,M7147)</f>
      </c>
      <c r="M7148" s="195" t="str">
        <f>L7148*(1-K7148)</f>
      </c>
    </row>
    <row r="7149">
      <c r="A7149" t="s">
        <v>167</v>
      </c>
      <c r="B7149" t="s">
        <v>113</v>
      </c>
      <c r="C7149" s="35" t="s">
        <v>521</v>
      </c>
      <c r="D7149" t="s">
        <v>113</v>
      </c>
      <c r="E7149" t="s">
        <v>520</v>
      </c>
      <c r="F7149" s="188" t="n">
        <v>2047</v>
      </c>
      <c r="G7149" s="189" t="n">
        <v>57</v>
      </c>
      <c r="H7149" s="190" t="n">
        <v>21899.4953562382</v>
      </c>
      <c r="I7149" s="191" t="n">
        <v>5978791.81517161</v>
      </c>
      <c r="J7149" s="192" t="str">
        <f>IF(I7149&gt;0,H7149/I7149,0)</f>
      </c>
      <c r="K7149" s="193" t="str">
        <f>1-EXP(-J7149)</f>
      </c>
      <c r="L7149" s="194" t="str">
        <f>IF(G7149=30,1,M7148)</f>
      </c>
      <c r="M7149" s="195" t="str">
        <f>L7149*(1-K7149)</f>
      </c>
    </row>
    <row r="7150">
      <c r="A7150" t="s">
        <v>167</v>
      </c>
      <c r="B7150" t="s">
        <v>113</v>
      </c>
      <c r="C7150" s="35" t="s">
        <v>521</v>
      </c>
      <c r="D7150" t="s">
        <v>113</v>
      </c>
      <c r="E7150" t="s">
        <v>520</v>
      </c>
      <c r="F7150" s="188" t="n">
        <v>2047</v>
      </c>
      <c r="G7150" s="189" t="n">
        <v>58</v>
      </c>
      <c r="H7150" s="190" t="n">
        <v>17497.8348828663</v>
      </c>
      <c r="I7150" s="191" t="n">
        <v>3972004.06034656</v>
      </c>
      <c r="J7150" s="192" t="str">
        <f>IF(I7150&gt;0,H7150/I7150,0)</f>
      </c>
      <c r="K7150" s="193" t="str">
        <f>1-EXP(-J7150)</f>
      </c>
      <c r="L7150" s="194" t="str">
        <f>IF(G7150=30,1,M7149)</f>
      </c>
      <c r="M7150" s="195" t="str">
        <f>L7150*(1-K7150)</f>
      </c>
    </row>
    <row r="7151">
      <c r="A7151" t="s">
        <v>167</v>
      </c>
      <c r="B7151" t="s">
        <v>113</v>
      </c>
      <c r="C7151" s="35" t="s">
        <v>521</v>
      </c>
      <c r="D7151" t="s">
        <v>113</v>
      </c>
      <c r="E7151" t="s">
        <v>520</v>
      </c>
      <c r="F7151" s="188" t="n">
        <v>2047</v>
      </c>
      <c r="G7151" s="189" t="n">
        <v>59</v>
      </c>
      <c r="H7151" s="190" t="n">
        <v>18914.0761799701</v>
      </c>
      <c r="I7151" s="191" t="n">
        <v>3925039.26634122</v>
      </c>
      <c r="J7151" s="192" t="str">
        <f>IF(I7151&gt;0,H7151/I7151,0)</f>
      </c>
      <c r="K7151" s="193" t="str">
        <f>1-EXP(-J7151)</f>
      </c>
      <c r="L7151" s="194" t="str">
        <f>IF(G7151=30,1,M7150)</f>
      </c>
      <c r="M7151" s="195" t="str">
        <f>L7151*(1-K7151)</f>
      </c>
    </row>
    <row r="7152">
      <c r="A7152" t="s">
        <v>167</v>
      </c>
      <c r="B7152" t="s">
        <v>113</v>
      </c>
      <c r="C7152" s="35" t="s">
        <v>521</v>
      </c>
      <c r="D7152" t="s">
        <v>113</v>
      </c>
      <c r="E7152" t="s">
        <v>520</v>
      </c>
      <c r="F7152" s="188" t="n">
        <v>2047</v>
      </c>
      <c r="G7152" s="189" t="n">
        <v>60</v>
      </c>
      <c r="H7152" s="190" t="n">
        <v>19615.2517717882</v>
      </c>
      <c r="I7152" s="191" t="n">
        <v>3771286.38736733</v>
      </c>
      <c r="J7152" s="192" t="str">
        <f>IF(I7152&gt;0,H7152/I7152,0)</f>
      </c>
      <c r="K7152" s="193" t="str">
        <f>1-EXP(-J7152)</f>
      </c>
      <c r="L7152" s="194" t="str">
        <f>IF(G7152=30,1,M7151)</f>
      </c>
      <c r="M7152" s="195" t="str">
        <f>L7152*(1-K7152)</f>
      </c>
    </row>
    <row r="7153">
      <c r="A7153" t="s">
        <v>167</v>
      </c>
      <c r="B7153" t="s">
        <v>113</v>
      </c>
      <c r="C7153" s="35" t="s">
        <v>521</v>
      </c>
      <c r="D7153" t="s">
        <v>113</v>
      </c>
      <c r="E7153" t="s">
        <v>520</v>
      </c>
      <c r="F7153" s="188" t="n">
        <v>2047</v>
      </c>
      <c r="G7153" s="189" t="n">
        <v>61</v>
      </c>
      <c r="H7153" s="190" t="n">
        <v>21135.9261883058</v>
      </c>
      <c r="I7153" s="191" t="n">
        <v>3703985.97355204</v>
      </c>
      <c r="J7153" s="192" t="str">
        <f>IF(I7153&gt;0,H7153/I7153,0)</f>
      </c>
      <c r="K7153" s="193" t="str">
        <f>1-EXP(-J7153)</f>
      </c>
      <c r="L7153" s="194" t="str">
        <f>IF(G7153=30,1,M7152)</f>
      </c>
      <c r="M7153" s="195" t="str">
        <f>L7153*(1-K7153)</f>
      </c>
    </row>
    <row r="7154">
      <c r="A7154" t="s">
        <v>167</v>
      </c>
      <c r="B7154" t="s">
        <v>113</v>
      </c>
      <c r="C7154" s="35" t="s">
        <v>521</v>
      </c>
      <c r="D7154" t="s">
        <v>113</v>
      </c>
      <c r="E7154" t="s">
        <v>520</v>
      </c>
      <c r="F7154" s="188" t="n">
        <v>2047</v>
      </c>
      <c r="G7154" s="189" t="n">
        <v>62</v>
      </c>
      <c r="H7154" s="190" t="n">
        <v>23282.5286443837</v>
      </c>
      <c r="I7154" s="191" t="n">
        <v>3716626.89034579</v>
      </c>
      <c r="J7154" s="192" t="str">
        <f>IF(I7154&gt;0,H7154/I7154,0)</f>
      </c>
      <c r="K7154" s="193" t="str">
        <f>1-EXP(-J7154)</f>
      </c>
      <c r="L7154" s="194" t="str">
        <f>IF(G7154=30,1,M7153)</f>
      </c>
      <c r="M7154" s="195" t="str">
        <f>L7154*(1-K7154)</f>
      </c>
    </row>
    <row r="7155">
      <c r="A7155" t="s">
        <v>167</v>
      </c>
      <c r="B7155" t="s">
        <v>113</v>
      </c>
      <c r="C7155" s="35" t="s">
        <v>521</v>
      </c>
      <c r="D7155" t="s">
        <v>113</v>
      </c>
      <c r="E7155" t="s">
        <v>520</v>
      </c>
      <c r="F7155" s="188" t="n">
        <v>2047</v>
      </c>
      <c r="G7155" s="189" t="n">
        <v>63</v>
      </c>
      <c r="H7155" s="190" t="n">
        <v>25762.2438425631</v>
      </c>
      <c r="I7155" s="191" t="n">
        <v>3746478.82445054</v>
      </c>
      <c r="J7155" s="192" t="str">
        <f>IF(I7155&gt;0,H7155/I7155,0)</f>
      </c>
      <c r="K7155" s="193" t="str">
        <f>1-EXP(-J7155)</f>
      </c>
      <c r="L7155" s="194" t="str">
        <f>IF(G7155=30,1,M7154)</f>
      </c>
      <c r="M7155" s="195" t="str">
        <f>L7155*(1-K7155)</f>
      </c>
    </row>
    <row r="7156">
      <c r="A7156" t="s">
        <v>167</v>
      </c>
      <c r="B7156" t="s">
        <v>113</v>
      </c>
      <c r="C7156" s="35" t="s">
        <v>521</v>
      </c>
      <c r="D7156" t="s">
        <v>113</v>
      </c>
      <c r="E7156" t="s">
        <v>520</v>
      </c>
      <c r="F7156" s="188" t="n">
        <v>2047</v>
      </c>
      <c r="G7156" s="189" t="n">
        <v>64</v>
      </c>
      <c r="H7156" s="190" t="n">
        <v>27743.4991944085</v>
      </c>
      <c r="I7156" s="191" t="n">
        <v>3676968.83731672</v>
      </c>
      <c r="J7156" s="192" t="str">
        <f>IF(I7156&gt;0,H7156/I7156,0)</f>
      </c>
      <c r="K7156" s="193" t="str">
        <f>1-EXP(-J7156)</f>
      </c>
      <c r="L7156" s="194" t="str">
        <f>IF(G7156=30,1,M7155)</f>
      </c>
      <c r="M7156" s="195" t="str">
        <f>L7156*(1-K7156)</f>
      </c>
    </row>
    <row r="7157">
      <c r="A7157" t="s">
        <v>167</v>
      </c>
      <c r="B7157" t="s">
        <v>113</v>
      </c>
      <c r="C7157" s="35" t="s">
        <v>521</v>
      </c>
      <c r="D7157" t="s">
        <v>113</v>
      </c>
      <c r="E7157" t="s">
        <v>520</v>
      </c>
      <c r="F7157" s="188" t="n">
        <v>2047</v>
      </c>
      <c r="G7157" s="189" t="n">
        <v>65</v>
      </c>
      <c r="H7157" s="190" t="n">
        <v>27654.0204852382</v>
      </c>
      <c r="I7157" s="191" t="n">
        <v>3508173.28769368</v>
      </c>
      <c r="J7157" s="192" t="str">
        <f>IF(I7157&gt;0,H7157/I7157,0)</f>
      </c>
      <c r="K7157" s="193" t="str">
        <f>1-EXP(-J7157)</f>
      </c>
      <c r="L7157" s="194" t="str">
        <f>IF(G7157=30,1,M7156)</f>
      </c>
      <c r="M7157" s="195" t="str">
        <f>L7157*(1-K7157)</f>
      </c>
    </row>
    <row r="7158">
      <c r="A7158" t="s">
        <v>167</v>
      </c>
      <c r="B7158" t="s">
        <v>113</v>
      </c>
      <c r="C7158" s="35" t="s">
        <v>521</v>
      </c>
      <c r="D7158" t="s">
        <v>113</v>
      </c>
      <c r="E7158" t="s">
        <v>520</v>
      </c>
      <c r="F7158" s="188" t="n">
        <v>2047</v>
      </c>
      <c r="G7158" s="189" t="n">
        <v>66</v>
      </c>
      <c r="H7158" s="190" t="n">
        <v>29362.1512299055</v>
      </c>
      <c r="I7158" s="191" t="n">
        <v>3391929.31677836</v>
      </c>
      <c r="J7158" s="192" t="str">
        <f>IF(I7158&gt;0,H7158/I7158,0)</f>
      </c>
      <c r="K7158" s="193" t="str">
        <f>1-EXP(-J7158)</f>
      </c>
      <c r="L7158" s="194" t="str">
        <f>IF(G7158=30,1,M7157)</f>
      </c>
      <c r="M7158" s="195" t="str">
        <f>L7158*(1-K7158)</f>
      </c>
    </row>
    <row r="7159">
      <c r="A7159" t="s">
        <v>167</v>
      </c>
      <c r="B7159" t="s">
        <v>113</v>
      </c>
      <c r="C7159" s="35" t="s">
        <v>521</v>
      </c>
      <c r="D7159" t="s">
        <v>113</v>
      </c>
      <c r="E7159" t="s">
        <v>520</v>
      </c>
      <c r="F7159" s="188" t="n">
        <v>2047</v>
      </c>
      <c r="G7159" s="189" t="n">
        <v>67</v>
      </c>
      <c r="H7159" s="190" t="n">
        <v>31242.5650324709</v>
      </c>
      <c r="I7159" s="191" t="n">
        <v>3285645.39817304</v>
      </c>
      <c r="J7159" s="192" t="str">
        <f>IF(I7159&gt;0,H7159/I7159,0)</f>
      </c>
      <c r="K7159" s="193" t="str">
        <f>1-EXP(-J7159)</f>
      </c>
      <c r="L7159" s="194" t="str">
        <f>IF(G7159=30,1,M7158)</f>
      </c>
      <c r="M7159" s="195" t="str">
        <f>L7159*(1-K7159)</f>
      </c>
    </row>
    <row r="7160">
      <c r="A7160" t="s">
        <v>167</v>
      </c>
      <c r="B7160" t="s">
        <v>113</v>
      </c>
      <c r="C7160" s="35" t="s">
        <v>521</v>
      </c>
      <c r="D7160" t="s">
        <v>113</v>
      </c>
      <c r="E7160" t="s">
        <v>520</v>
      </c>
      <c r="F7160" s="188" t="n">
        <v>2047</v>
      </c>
      <c r="G7160" s="189" t="n">
        <v>68</v>
      </c>
      <c r="H7160" s="190" t="n">
        <v>33155.3946733981</v>
      </c>
      <c r="I7160" s="191" t="n">
        <v>3172126.56509331</v>
      </c>
      <c r="J7160" s="192" t="str">
        <f>IF(I7160&gt;0,H7160/I7160,0)</f>
      </c>
      <c r="K7160" s="193" t="str">
        <f>1-EXP(-J7160)</f>
      </c>
      <c r="L7160" s="194" t="str">
        <f>IF(G7160=30,1,M7159)</f>
      </c>
      <c r="M7160" s="195" t="str">
        <f>L7160*(1-K7160)</f>
      </c>
    </row>
    <row r="7161">
      <c r="A7161" t="s">
        <v>167</v>
      </c>
      <c r="B7161" t="s">
        <v>113</v>
      </c>
      <c r="C7161" s="35" t="s">
        <v>521</v>
      </c>
      <c r="D7161" t="s">
        <v>113</v>
      </c>
      <c r="E7161" t="s">
        <v>520</v>
      </c>
      <c r="F7161" s="188" t="n">
        <v>2047</v>
      </c>
      <c r="G7161" s="189" t="n">
        <v>69</v>
      </c>
      <c r="H7161" s="190" t="n">
        <v>34965.5701919316</v>
      </c>
      <c r="I7161" s="191" t="n">
        <v>3040546.8297581</v>
      </c>
      <c r="J7161" s="192" t="str">
        <f>IF(I7161&gt;0,H7161/I7161,0)</f>
      </c>
      <c r="K7161" s="193" t="str">
        <f>1-EXP(-J7161)</f>
      </c>
      <c r="L7161" s="194" t="str">
        <f>IF(G7161=30,1,M7160)</f>
      </c>
      <c r="M7161" s="195" t="str">
        <f>L7161*(1-K7161)</f>
      </c>
    </row>
    <row r="7162">
      <c r="A7162" t="s">
        <v>167</v>
      </c>
      <c r="B7162" t="s">
        <v>113</v>
      </c>
      <c r="C7162" s="35" t="s">
        <v>521</v>
      </c>
      <c r="D7162" t="s">
        <v>113</v>
      </c>
      <c r="E7162" t="s">
        <v>520</v>
      </c>
      <c r="F7162" s="188" t="n">
        <v>2048</v>
      </c>
      <c r="G7162" s="189" t="n">
        <v>30</v>
      </c>
      <c r="H7162" s="190" t="n">
        <v>614.666398973392</v>
      </c>
      <c r="I7162" s="191" t="n">
        <v>4275283.87393158</v>
      </c>
      <c r="J7162" s="192" t="str">
        <f>IF(I7162&gt;0,H7162/I7162,0)</f>
      </c>
      <c r="K7162" s="193" t="str">
        <f>1-EXP(-J7162)</f>
      </c>
      <c r="L7162" s="194" t="str">
        <f>IF(G7162=30,1,M7161)</f>
      </c>
      <c r="M7162" s="195" t="str">
        <f>L7162*(1-K7162)</f>
      </c>
    </row>
    <row r="7163">
      <c r="A7163" t="s">
        <v>167</v>
      </c>
      <c r="B7163" t="s">
        <v>113</v>
      </c>
      <c r="C7163" s="35" t="s">
        <v>521</v>
      </c>
      <c r="D7163" t="s">
        <v>113</v>
      </c>
      <c r="E7163" t="s">
        <v>520</v>
      </c>
      <c r="F7163" s="188" t="n">
        <v>2048</v>
      </c>
      <c r="G7163" s="189" t="n">
        <v>31</v>
      </c>
      <c r="H7163" s="190" t="n">
        <v>853.938158410677</v>
      </c>
      <c r="I7163" s="191" t="n">
        <v>4315810.83305652</v>
      </c>
      <c r="J7163" s="192" t="str">
        <f>IF(I7163&gt;0,H7163/I7163,0)</f>
      </c>
      <c r="K7163" s="193" t="str">
        <f>1-EXP(-J7163)</f>
      </c>
      <c r="L7163" s="194" t="str">
        <f>IF(G7163=30,1,M7162)</f>
      </c>
      <c r="M7163" s="195" t="str">
        <f>L7163*(1-K7163)</f>
      </c>
    </row>
    <row r="7164">
      <c r="A7164" t="s">
        <v>167</v>
      </c>
      <c r="B7164" t="s">
        <v>113</v>
      </c>
      <c r="C7164" s="35" t="s">
        <v>521</v>
      </c>
      <c r="D7164" t="s">
        <v>113</v>
      </c>
      <c r="E7164" t="s">
        <v>520</v>
      </c>
      <c r="F7164" s="188" t="n">
        <v>2048</v>
      </c>
      <c r="G7164" s="189" t="n">
        <v>32</v>
      </c>
      <c r="H7164" s="190" t="n">
        <v>990.011791814883</v>
      </c>
      <c r="I7164" s="191" t="n">
        <v>4578301.5936362</v>
      </c>
      <c r="J7164" s="192" t="str">
        <f>IF(I7164&gt;0,H7164/I7164,0)</f>
      </c>
      <c r="K7164" s="193" t="str">
        <f>1-EXP(-J7164)</f>
      </c>
      <c r="L7164" s="194" t="str">
        <f>IF(G7164=30,1,M7163)</f>
      </c>
      <c r="M7164" s="195" t="str">
        <f>L7164*(1-K7164)</f>
      </c>
    </row>
    <row r="7165">
      <c r="A7165" t="s">
        <v>167</v>
      </c>
      <c r="B7165" t="s">
        <v>113</v>
      </c>
      <c r="C7165" s="35" t="s">
        <v>521</v>
      </c>
      <c r="D7165" t="s">
        <v>113</v>
      </c>
      <c r="E7165" t="s">
        <v>520</v>
      </c>
      <c r="F7165" s="188" t="n">
        <v>2048</v>
      </c>
      <c r="G7165" s="189" t="n">
        <v>33</v>
      </c>
      <c r="H7165" s="190" t="n">
        <v>1094.04593949701</v>
      </c>
      <c r="I7165" s="191" t="n">
        <v>4626788.33460351</v>
      </c>
      <c r="J7165" s="192" t="str">
        <f>IF(I7165&gt;0,H7165/I7165,0)</f>
      </c>
      <c r="K7165" s="193" t="str">
        <f>1-EXP(-J7165)</f>
      </c>
      <c r="L7165" s="194" t="str">
        <f>IF(G7165=30,1,M7164)</f>
      </c>
      <c r="M7165" s="195" t="str">
        <f>L7165*(1-K7165)</f>
      </c>
    </row>
    <row r="7166">
      <c r="A7166" t="s">
        <v>167</v>
      </c>
      <c r="B7166" t="s">
        <v>113</v>
      </c>
      <c r="C7166" s="35" t="s">
        <v>521</v>
      </c>
      <c r="D7166" t="s">
        <v>113</v>
      </c>
      <c r="E7166" t="s">
        <v>520</v>
      </c>
      <c r="F7166" s="188" t="n">
        <v>2048</v>
      </c>
      <c r="G7166" s="189" t="n">
        <v>34</v>
      </c>
      <c r="H7166" s="190" t="n">
        <v>1181.60303292474</v>
      </c>
      <c r="I7166" s="191" t="n">
        <v>4692694.73675505</v>
      </c>
      <c r="J7166" s="192" t="str">
        <f>IF(I7166&gt;0,H7166/I7166,0)</f>
      </c>
      <c r="K7166" s="193" t="str">
        <f>1-EXP(-J7166)</f>
      </c>
      <c r="L7166" s="194" t="str">
        <f>IF(G7166=30,1,M7165)</f>
      </c>
      <c r="M7166" s="195" t="str">
        <f>L7166*(1-K7166)</f>
      </c>
    </row>
    <row r="7167">
      <c r="A7167" t="s">
        <v>167</v>
      </c>
      <c r="B7167" t="s">
        <v>113</v>
      </c>
      <c r="C7167" s="35" t="s">
        <v>521</v>
      </c>
      <c r="D7167" t="s">
        <v>113</v>
      </c>
      <c r="E7167" t="s">
        <v>520</v>
      </c>
      <c r="F7167" s="188" t="n">
        <v>2048</v>
      </c>
      <c r="G7167" s="189" t="n">
        <v>35</v>
      </c>
      <c r="H7167" s="190" t="n">
        <v>1551.78360602196</v>
      </c>
      <c r="I7167" s="191" t="n">
        <v>4759860.35153237</v>
      </c>
      <c r="J7167" s="192" t="str">
        <f>IF(I7167&gt;0,H7167/I7167,0)</f>
      </c>
      <c r="K7167" s="193" t="str">
        <f>1-EXP(-J7167)</f>
      </c>
      <c r="L7167" s="194" t="str">
        <f>IF(G7167=30,1,M7166)</f>
      </c>
      <c r="M7167" s="195" t="str">
        <f>L7167*(1-K7167)</f>
      </c>
    </row>
    <row r="7168">
      <c r="A7168" t="s">
        <v>167</v>
      </c>
      <c r="B7168" t="s">
        <v>113</v>
      </c>
      <c r="C7168" s="35" t="s">
        <v>521</v>
      </c>
      <c r="D7168" t="s">
        <v>113</v>
      </c>
      <c r="E7168" t="s">
        <v>520</v>
      </c>
      <c r="F7168" s="188" t="n">
        <v>2048</v>
      </c>
      <c r="G7168" s="189" t="n">
        <v>36</v>
      </c>
      <c r="H7168" s="190" t="n">
        <v>1936.14570380002</v>
      </c>
      <c r="I7168" s="191" t="n">
        <v>4870578.67905216</v>
      </c>
      <c r="J7168" s="192" t="str">
        <f>IF(I7168&gt;0,H7168/I7168,0)</f>
      </c>
      <c r="K7168" s="193" t="str">
        <f>1-EXP(-J7168)</f>
      </c>
      <c r="L7168" s="194" t="str">
        <f>IF(G7168=30,1,M7167)</f>
      </c>
      <c r="M7168" s="195" t="str">
        <f>L7168*(1-K7168)</f>
      </c>
    </row>
    <row r="7169">
      <c r="A7169" t="s">
        <v>167</v>
      </c>
      <c r="B7169" t="s">
        <v>113</v>
      </c>
      <c r="C7169" s="35" t="s">
        <v>521</v>
      </c>
      <c r="D7169" t="s">
        <v>113</v>
      </c>
      <c r="E7169" t="s">
        <v>520</v>
      </c>
      <c r="F7169" s="188" t="n">
        <v>2048</v>
      </c>
      <c r="G7169" s="189" t="n">
        <v>37</v>
      </c>
      <c r="H7169" s="190" t="n">
        <v>2066.94747659279</v>
      </c>
      <c r="I7169" s="191" t="n">
        <v>4841054.2078956</v>
      </c>
      <c r="J7169" s="192" t="str">
        <f>IF(I7169&gt;0,H7169/I7169,0)</f>
      </c>
      <c r="K7169" s="193" t="str">
        <f>1-EXP(-J7169)</f>
      </c>
      <c r="L7169" s="194" t="str">
        <f>IF(G7169=30,1,M7168)</f>
      </c>
      <c r="M7169" s="195" t="str">
        <f>L7169*(1-K7169)</f>
      </c>
    </row>
    <row r="7170">
      <c r="A7170" t="s">
        <v>167</v>
      </c>
      <c r="B7170" t="s">
        <v>113</v>
      </c>
      <c r="C7170" s="35" t="s">
        <v>521</v>
      </c>
      <c r="D7170" t="s">
        <v>113</v>
      </c>
      <c r="E7170" t="s">
        <v>520</v>
      </c>
      <c r="F7170" s="188" t="n">
        <v>2048</v>
      </c>
      <c r="G7170" s="189" t="n">
        <v>38</v>
      </c>
      <c r="H7170" s="190" t="n">
        <v>2166.06448123729</v>
      </c>
      <c r="I7170" s="191" t="n">
        <v>4706243.46465363</v>
      </c>
      <c r="J7170" s="192" t="str">
        <f>IF(I7170&gt;0,H7170/I7170,0)</f>
      </c>
      <c r="K7170" s="193" t="str">
        <f>1-EXP(-J7170)</f>
      </c>
      <c r="L7170" s="194" t="str">
        <f>IF(G7170=30,1,M7169)</f>
      </c>
      <c r="M7170" s="195" t="str">
        <f>L7170*(1-K7170)</f>
      </c>
    </row>
    <row r="7171">
      <c r="A7171" t="s">
        <v>167</v>
      </c>
      <c r="B7171" t="s">
        <v>113</v>
      </c>
      <c r="C7171" s="35" t="s">
        <v>521</v>
      </c>
      <c r="D7171" t="s">
        <v>113</v>
      </c>
      <c r="E7171" t="s">
        <v>520</v>
      </c>
      <c r="F7171" s="188" t="n">
        <v>2048</v>
      </c>
      <c r="G7171" s="189" t="n">
        <v>39</v>
      </c>
      <c r="H7171" s="190" t="n">
        <v>2305.86951557402</v>
      </c>
      <c r="I7171" s="191" t="n">
        <v>4633592.54508612</v>
      </c>
      <c r="J7171" s="192" t="str">
        <f>IF(I7171&gt;0,H7171/I7171,0)</f>
      </c>
      <c r="K7171" s="193" t="str">
        <f>1-EXP(-J7171)</f>
      </c>
      <c r="L7171" s="194" t="str">
        <f>IF(G7171=30,1,M7170)</f>
      </c>
      <c r="M7171" s="195" t="str">
        <f>L7171*(1-K7171)</f>
      </c>
    </row>
    <row r="7172">
      <c r="A7172" t="s">
        <v>167</v>
      </c>
      <c r="B7172" t="s">
        <v>113</v>
      </c>
      <c r="C7172" s="35" t="s">
        <v>521</v>
      </c>
      <c r="D7172" t="s">
        <v>113</v>
      </c>
      <c r="E7172" t="s">
        <v>520</v>
      </c>
      <c r="F7172" s="188" t="n">
        <v>2048</v>
      </c>
      <c r="G7172" s="189" t="n">
        <v>40</v>
      </c>
      <c r="H7172" s="190" t="n">
        <v>3064.85773485711</v>
      </c>
      <c r="I7172" s="191" t="n">
        <v>4588369.3404433</v>
      </c>
      <c r="J7172" s="192" t="str">
        <f>IF(I7172&gt;0,H7172/I7172,0)</f>
      </c>
      <c r="K7172" s="193" t="str">
        <f>1-EXP(-J7172)</f>
      </c>
      <c r="L7172" s="194" t="str">
        <f>IF(G7172=30,1,M7171)</f>
      </c>
      <c r="M7172" s="195" t="str">
        <f>L7172*(1-K7172)</f>
      </c>
    </row>
    <row r="7173">
      <c r="A7173" t="s">
        <v>167</v>
      </c>
      <c r="B7173" t="s">
        <v>113</v>
      </c>
      <c r="C7173" s="35" t="s">
        <v>521</v>
      </c>
      <c r="D7173" t="s">
        <v>113</v>
      </c>
      <c r="E7173" t="s">
        <v>520</v>
      </c>
      <c r="F7173" s="188" t="n">
        <v>2048</v>
      </c>
      <c r="G7173" s="189" t="n">
        <v>41</v>
      </c>
      <c r="H7173" s="190" t="n">
        <v>3555.93737588014</v>
      </c>
      <c r="I7173" s="191" t="n">
        <v>4609316.31876382</v>
      </c>
      <c r="J7173" s="192" t="str">
        <f>IF(I7173&gt;0,H7173/I7173,0)</f>
      </c>
      <c r="K7173" s="193" t="str">
        <f>1-EXP(-J7173)</f>
      </c>
      <c r="L7173" s="194" t="str">
        <f>IF(G7173=30,1,M7172)</f>
      </c>
      <c r="M7173" s="195" t="str">
        <f>L7173*(1-K7173)</f>
      </c>
    </row>
    <row r="7174">
      <c r="A7174" t="s">
        <v>167</v>
      </c>
      <c r="B7174" t="s">
        <v>113</v>
      </c>
      <c r="C7174" s="35" t="s">
        <v>521</v>
      </c>
      <c r="D7174" t="s">
        <v>113</v>
      </c>
      <c r="E7174" t="s">
        <v>520</v>
      </c>
      <c r="F7174" s="188" t="n">
        <v>2048</v>
      </c>
      <c r="G7174" s="189" t="n">
        <v>42</v>
      </c>
      <c r="H7174" s="190" t="n">
        <v>3783.20360593281</v>
      </c>
      <c r="I7174" s="191" t="n">
        <v>4523047.06890784</v>
      </c>
      <c r="J7174" s="192" t="str">
        <f>IF(I7174&gt;0,H7174/I7174,0)</f>
      </c>
      <c r="K7174" s="193" t="str">
        <f>1-EXP(-J7174)</f>
      </c>
      <c r="L7174" s="194" t="str">
        <f>IF(G7174=30,1,M7173)</f>
      </c>
      <c r="M7174" s="195" t="str">
        <f>L7174*(1-K7174)</f>
      </c>
    </row>
    <row r="7175">
      <c r="A7175" t="s">
        <v>167</v>
      </c>
      <c r="B7175" t="s">
        <v>113</v>
      </c>
      <c r="C7175" s="35" t="s">
        <v>521</v>
      </c>
      <c r="D7175" t="s">
        <v>113</v>
      </c>
      <c r="E7175" t="s">
        <v>520</v>
      </c>
      <c r="F7175" s="188" t="n">
        <v>2048</v>
      </c>
      <c r="G7175" s="189" t="n">
        <v>43</v>
      </c>
      <c r="H7175" s="190" t="n">
        <v>4051.21563115539</v>
      </c>
      <c r="I7175" s="191" t="n">
        <v>4457883.53847012</v>
      </c>
      <c r="J7175" s="192" t="str">
        <f>IF(I7175&gt;0,H7175/I7175,0)</f>
      </c>
      <c r="K7175" s="193" t="str">
        <f>1-EXP(-J7175)</f>
      </c>
      <c r="L7175" s="194" t="str">
        <f>IF(G7175=30,1,M7174)</f>
      </c>
      <c r="M7175" s="195" t="str">
        <f>L7175*(1-K7175)</f>
      </c>
    </row>
    <row r="7176">
      <c r="A7176" t="s">
        <v>167</v>
      </c>
      <c r="B7176" t="s">
        <v>113</v>
      </c>
      <c r="C7176" s="35" t="s">
        <v>521</v>
      </c>
      <c r="D7176" t="s">
        <v>113</v>
      </c>
      <c r="E7176" t="s">
        <v>520</v>
      </c>
      <c r="F7176" s="188" t="n">
        <v>2048</v>
      </c>
      <c r="G7176" s="189" t="n">
        <v>44</v>
      </c>
      <c r="H7176" s="190" t="n">
        <v>4281.44492493827</v>
      </c>
      <c r="I7176" s="191" t="n">
        <v>4325789.65815907</v>
      </c>
      <c r="J7176" s="192" t="str">
        <f>IF(I7176&gt;0,H7176/I7176,0)</f>
      </c>
      <c r="K7176" s="193" t="str">
        <f>1-EXP(-J7176)</f>
      </c>
      <c r="L7176" s="194" t="str">
        <f>IF(G7176=30,1,M7175)</f>
      </c>
      <c r="M7176" s="195" t="str">
        <f>L7176*(1-K7176)</f>
      </c>
    </row>
    <row r="7177">
      <c r="A7177" t="s">
        <v>167</v>
      </c>
      <c r="B7177" t="s">
        <v>113</v>
      </c>
      <c r="C7177" s="35" t="s">
        <v>521</v>
      </c>
      <c r="D7177" t="s">
        <v>113</v>
      </c>
      <c r="E7177" t="s">
        <v>520</v>
      </c>
      <c r="F7177" s="188" t="n">
        <v>2048</v>
      </c>
      <c r="G7177" s="189" t="n">
        <v>45</v>
      </c>
      <c r="H7177" s="190" t="n">
        <v>5400.4566169322</v>
      </c>
      <c r="I7177" s="191" t="n">
        <v>4255030.74462451</v>
      </c>
      <c r="J7177" s="192" t="str">
        <f>IF(I7177&gt;0,H7177/I7177,0)</f>
      </c>
      <c r="K7177" s="193" t="str">
        <f>1-EXP(-J7177)</f>
      </c>
      <c r="L7177" s="194" t="str">
        <f>IF(G7177=30,1,M7176)</f>
      </c>
      <c r="M7177" s="195" t="str">
        <f>L7177*(1-K7177)</f>
      </c>
    </row>
    <row r="7178">
      <c r="A7178" t="s">
        <v>167</v>
      </c>
      <c r="B7178" t="s">
        <v>113</v>
      </c>
      <c r="C7178" s="35" t="s">
        <v>521</v>
      </c>
      <c r="D7178" t="s">
        <v>113</v>
      </c>
      <c r="E7178" t="s">
        <v>520</v>
      </c>
      <c r="F7178" s="188" t="n">
        <v>2048</v>
      </c>
      <c r="G7178" s="189" t="n">
        <v>46</v>
      </c>
      <c r="H7178" s="190" t="n">
        <v>6133.32975656565</v>
      </c>
      <c r="I7178" s="191" t="n">
        <v>4223345.77627748</v>
      </c>
      <c r="J7178" s="192" t="str">
        <f>IF(I7178&gt;0,H7178/I7178,0)</f>
      </c>
      <c r="K7178" s="193" t="str">
        <f>1-EXP(-J7178)</f>
      </c>
      <c r="L7178" s="194" t="str">
        <f>IF(G7178=30,1,M7177)</f>
      </c>
      <c r="M7178" s="195" t="str">
        <f>L7178*(1-K7178)</f>
      </c>
    </row>
    <row r="7179">
      <c r="A7179" t="s">
        <v>167</v>
      </c>
      <c r="B7179" t="s">
        <v>113</v>
      </c>
      <c r="C7179" s="35" t="s">
        <v>521</v>
      </c>
      <c r="D7179" t="s">
        <v>113</v>
      </c>
      <c r="E7179" t="s">
        <v>520</v>
      </c>
      <c r="F7179" s="188" t="n">
        <v>2048</v>
      </c>
      <c r="G7179" s="189" t="n">
        <v>47</v>
      </c>
      <c r="H7179" s="190" t="n">
        <v>6668.95486081723</v>
      </c>
      <c r="I7179" s="191" t="n">
        <v>4194977.12333706</v>
      </c>
      <c r="J7179" s="192" t="str">
        <f>IF(I7179&gt;0,H7179/I7179,0)</f>
      </c>
      <c r="K7179" s="193" t="str">
        <f>1-EXP(-J7179)</f>
      </c>
      <c r="L7179" s="194" t="str">
        <f>IF(G7179=30,1,M7178)</f>
      </c>
      <c r="M7179" s="195" t="str">
        <f>L7179*(1-K7179)</f>
      </c>
    </row>
    <row r="7180">
      <c r="A7180" t="s">
        <v>167</v>
      </c>
      <c r="B7180" t="s">
        <v>113</v>
      </c>
      <c r="C7180" s="35" t="s">
        <v>521</v>
      </c>
      <c r="D7180" t="s">
        <v>113</v>
      </c>
      <c r="E7180" t="s">
        <v>520</v>
      </c>
      <c r="F7180" s="188" t="n">
        <v>2048</v>
      </c>
      <c r="G7180" s="189" t="n">
        <v>48</v>
      </c>
      <c r="H7180" s="190" t="n">
        <v>7263.38144377333</v>
      </c>
      <c r="I7180" s="191" t="n">
        <v>4165334.70784088</v>
      </c>
      <c r="J7180" s="192" t="str">
        <f>IF(I7180&gt;0,H7180/I7180,0)</f>
      </c>
      <c r="K7180" s="193" t="str">
        <f>1-EXP(-J7180)</f>
      </c>
      <c r="L7180" s="194" t="str">
        <f>IF(G7180=30,1,M7179)</f>
      </c>
      <c r="M7180" s="195" t="str">
        <f>L7180*(1-K7180)</f>
      </c>
    </row>
    <row r="7181">
      <c r="A7181" t="s">
        <v>167</v>
      </c>
      <c r="B7181" t="s">
        <v>113</v>
      </c>
      <c r="C7181" s="35" t="s">
        <v>521</v>
      </c>
      <c r="D7181" t="s">
        <v>113</v>
      </c>
      <c r="E7181" t="s">
        <v>520</v>
      </c>
      <c r="F7181" s="188" t="n">
        <v>2048</v>
      </c>
      <c r="G7181" s="189" t="n">
        <v>49</v>
      </c>
      <c r="H7181" s="190" t="n">
        <v>7989.57529203508</v>
      </c>
      <c r="I7181" s="191" t="n">
        <v>4172867.13078129</v>
      </c>
      <c r="J7181" s="192" t="str">
        <f>IF(I7181&gt;0,H7181/I7181,0)</f>
      </c>
      <c r="K7181" s="193" t="str">
        <f>1-EXP(-J7181)</f>
      </c>
      <c r="L7181" s="194" t="str">
        <f>IF(G7181=30,1,M7180)</f>
      </c>
      <c r="M7181" s="195" t="str">
        <f>L7181*(1-K7181)</f>
      </c>
    </row>
    <row r="7182">
      <c r="A7182" t="s">
        <v>167</v>
      </c>
      <c r="B7182" t="s">
        <v>113</v>
      </c>
      <c r="C7182" s="35" t="s">
        <v>521</v>
      </c>
      <c r="D7182" t="s">
        <v>113</v>
      </c>
      <c r="E7182" t="s">
        <v>520</v>
      </c>
      <c r="F7182" s="188" t="n">
        <v>2048</v>
      </c>
      <c r="G7182" s="189" t="n">
        <v>50</v>
      </c>
      <c r="H7182" s="190" t="n">
        <v>9206.74468145734</v>
      </c>
      <c r="I7182" s="191" t="n">
        <v>4216568.04592198</v>
      </c>
      <c r="J7182" s="192" t="str">
        <f>IF(I7182&gt;0,H7182/I7182,0)</f>
      </c>
      <c r="K7182" s="193" t="str">
        <f>1-EXP(-J7182)</f>
      </c>
      <c r="L7182" s="194" t="str">
        <f>IF(G7182=30,1,M7181)</f>
      </c>
      <c r="M7182" s="195" t="str">
        <f>L7182*(1-K7182)</f>
      </c>
    </row>
    <row r="7183">
      <c r="A7183" t="s">
        <v>167</v>
      </c>
      <c r="B7183" t="s">
        <v>113</v>
      </c>
      <c r="C7183" s="35" t="s">
        <v>521</v>
      </c>
      <c r="D7183" t="s">
        <v>113</v>
      </c>
      <c r="E7183" t="s">
        <v>520</v>
      </c>
      <c r="F7183" s="188" t="n">
        <v>2048</v>
      </c>
      <c r="G7183" s="189" t="n">
        <v>51</v>
      </c>
      <c r="H7183" s="190" t="n">
        <v>10575.8023915509</v>
      </c>
      <c r="I7183" s="191" t="n">
        <v>4330175.97292944</v>
      </c>
      <c r="J7183" s="192" t="str">
        <f>IF(I7183&gt;0,H7183/I7183,0)</f>
      </c>
      <c r="K7183" s="193" t="str">
        <f>1-EXP(-J7183)</f>
      </c>
      <c r="L7183" s="194" t="str">
        <f>IF(G7183=30,1,M7182)</f>
      </c>
      <c r="M7183" s="195" t="str">
        <f>L7183*(1-K7183)</f>
      </c>
    </row>
    <row r="7184">
      <c r="A7184" t="s">
        <v>167</v>
      </c>
      <c r="B7184" t="s">
        <v>113</v>
      </c>
      <c r="C7184" s="35" t="s">
        <v>521</v>
      </c>
      <c r="D7184" t="s">
        <v>113</v>
      </c>
      <c r="E7184" t="s">
        <v>520</v>
      </c>
      <c r="F7184" s="188" t="n">
        <v>2048</v>
      </c>
      <c r="G7184" s="189" t="n">
        <v>52</v>
      </c>
      <c r="H7184" s="190" t="n">
        <v>11398.4998044639</v>
      </c>
      <c r="I7184" s="191" t="n">
        <v>4271466.76052617</v>
      </c>
      <c r="J7184" s="192" t="str">
        <f>IF(I7184&gt;0,H7184/I7184,0)</f>
      </c>
      <c r="K7184" s="193" t="str">
        <f>1-EXP(-J7184)</f>
      </c>
      <c r="L7184" s="194" t="str">
        <f>IF(G7184=30,1,M7183)</f>
      </c>
      <c r="M7184" s="195" t="str">
        <f>L7184*(1-K7184)</f>
      </c>
    </row>
    <row r="7185">
      <c r="A7185" t="s">
        <v>167</v>
      </c>
      <c r="B7185" t="s">
        <v>113</v>
      </c>
      <c r="C7185" s="35" t="s">
        <v>521</v>
      </c>
      <c r="D7185" t="s">
        <v>113</v>
      </c>
      <c r="E7185" t="s">
        <v>520</v>
      </c>
      <c r="F7185" s="188" t="n">
        <v>2048</v>
      </c>
      <c r="G7185" s="189" t="n">
        <v>53</v>
      </c>
      <c r="H7185" s="190" t="n">
        <v>12167.9932479341</v>
      </c>
      <c r="I7185" s="191" t="n">
        <v>4182761.67318596</v>
      </c>
      <c r="J7185" s="192" t="str">
        <f>IF(I7185&gt;0,H7185/I7185,0)</f>
      </c>
      <c r="K7185" s="193" t="str">
        <f>1-EXP(-J7185)</f>
      </c>
      <c r="L7185" s="194" t="str">
        <f>IF(G7185=30,1,M7184)</f>
      </c>
      <c r="M7185" s="195" t="str">
        <f>L7185*(1-K7185)</f>
      </c>
    </row>
    <row r="7186">
      <c r="A7186" t="s">
        <v>167</v>
      </c>
      <c r="B7186" t="s">
        <v>113</v>
      </c>
      <c r="C7186" s="35" t="s">
        <v>521</v>
      </c>
      <c r="D7186" t="s">
        <v>113</v>
      </c>
      <c r="E7186" t="s">
        <v>520</v>
      </c>
      <c r="F7186" s="188" t="n">
        <v>2048</v>
      </c>
      <c r="G7186" s="189" t="n">
        <v>54</v>
      </c>
      <c r="H7186" s="190" t="n">
        <v>13002.0591967032</v>
      </c>
      <c r="I7186" s="191" t="n">
        <v>4107627.67326344</v>
      </c>
      <c r="J7186" s="192" t="str">
        <f>IF(I7186&gt;0,H7186/I7186,0)</f>
      </c>
      <c r="K7186" s="193" t="str">
        <f>1-EXP(-J7186)</f>
      </c>
      <c r="L7186" s="194" t="str">
        <f>IF(G7186=30,1,M7185)</f>
      </c>
      <c r="M7186" s="195" t="str">
        <f>L7186*(1-K7186)</f>
      </c>
    </row>
    <row r="7187">
      <c r="A7187" t="s">
        <v>167</v>
      </c>
      <c r="B7187" t="s">
        <v>113</v>
      </c>
      <c r="C7187" s="35" t="s">
        <v>521</v>
      </c>
      <c r="D7187" t="s">
        <v>113</v>
      </c>
      <c r="E7187" t="s">
        <v>520</v>
      </c>
      <c r="F7187" s="188" t="n">
        <v>2048</v>
      </c>
      <c r="G7187" s="189" t="n">
        <v>55</v>
      </c>
      <c r="H7187" s="190" t="n">
        <v>13617.4223114797</v>
      </c>
      <c r="I7187" s="191" t="n">
        <v>4034474.85822568</v>
      </c>
      <c r="J7187" s="192" t="str">
        <f>IF(I7187&gt;0,H7187/I7187,0)</f>
      </c>
      <c r="K7187" s="193" t="str">
        <f>1-EXP(-J7187)</f>
      </c>
      <c r="L7187" s="194" t="str">
        <f>IF(G7187=30,1,M7186)</f>
      </c>
      <c r="M7187" s="195" t="str">
        <f>L7187*(1-K7187)</f>
      </c>
    </row>
    <row r="7188">
      <c r="A7188" t="s">
        <v>167</v>
      </c>
      <c r="B7188" t="s">
        <v>113</v>
      </c>
      <c r="C7188" s="35" t="s">
        <v>521</v>
      </c>
      <c r="D7188" t="s">
        <v>113</v>
      </c>
      <c r="E7188" t="s">
        <v>520</v>
      </c>
      <c r="F7188" s="188" t="n">
        <v>2048</v>
      </c>
      <c r="G7188" s="189" t="n">
        <v>56</v>
      </c>
      <c r="H7188" s="190" t="n">
        <v>14828.1943052232</v>
      </c>
      <c r="I7188" s="191" t="n">
        <v>4044946.32119365</v>
      </c>
      <c r="J7188" s="192" t="str">
        <f>IF(I7188&gt;0,H7188/I7188,0)</f>
      </c>
      <c r="K7188" s="193" t="str">
        <f>1-EXP(-J7188)</f>
      </c>
      <c r="L7188" s="194" t="str">
        <f>IF(G7188=30,1,M7187)</f>
      </c>
      <c r="M7188" s="195" t="str">
        <f>L7188*(1-K7188)</f>
      </c>
    </row>
    <row r="7189">
      <c r="A7189" t="s">
        <v>167</v>
      </c>
      <c r="B7189" t="s">
        <v>113</v>
      </c>
      <c r="C7189" s="35" t="s">
        <v>521</v>
      </c>
      <c r="D7189" t="s">
        <v>113</v>
      </c>
      <c r="E7189" t="s">
        <v>520</v>
      </c>
      <c r="F7189" s="188" t="n">
        <v>2048</v>
      </c>
      <c r="G7189" s="189" t="n">
        <v>57</v>
      </c>
      <c r="H7189" s="190" t="n">
        <v>16110.2885757984</v>
      </c>
      <c r="I7189" s="191" t="n">
        <v>4034369.29958653</v>
      </c>
      <c r="J7189" s="192" t="str">
        <f>IF(I7189&gt;0,H7189/I7189,0)</f>
      </c>
      <c r="K7189" s="193" t="str">
        <f>1-EXP(-J7189)</f>
      </c>
      <c r="L7189" s="194" t="str">
        <f>IF(G7189=30,1,M7188)</f>
      </c>
      <c r="M7189" s="195" t="str">
        <f>L7189*(1-K7189)</f>
      </c>
    </row>
    <row r="7190">
      <c r="A7190" t="s">
        <v>167</v>
      </c>
      <c r="B7190" t="s">
        <v>113</v>
      </c>
      <c r="C7190" s="35" t="s">
        <v>521</v>
      </c>
      <c r="D7190" t="s">
        <v>113</v>
      </c>
      <c r="E7190" t="s">
        <v>520</v>
      </c>
      <c r="F7190" s="188" t="n">
        <v>2048</v>
      </c>
      <c r="G7190" s="189" t="n">
        <v>58</v>
      </c>
      <c r="H7190" s="190" t="n">
        <v>23412.079338934</v>
      </c>
      <c r="I7190" s="191" t="n">
        <v>5931723.35366197</v>
      </c>
      <c r="J7190" s="192" t="str">
        <f>IF(I7190&gt;0,H7190/I7190,0)</f>
      </c>
      <c r="K7190" s="193" t="str">
        <f>1-EXP(-J7190)</f>
      </c>
      <c r="L7190" s="194" t="str">
        <f>IF(G7190=30,1,M7189)</f>
      </c>
      <c r="M7190" s="195" t="str">
        <f>L7190*(1-K7190)</f>
      </c>
    </row>
    <row r="7191">
      <c r="A7191" t="s">
        <v>167</v>
      </c>
      <c r="B7191" t="s">
        <v>113</v>
      </c>
      <c r="C7191" s="35" t="s">
        <v>521</v>
      </c>
      <c r="D7191" t="s">
        <v>113</v>
      </c>
      <c r="E7191" t="s">
        <v>520</v>
      </c>
      <c r="F7191" s="188" t="n">
        <v>2048</v>
      </c>
      <c r="G7191" s="189" t="n">
        <v>59</v>
      </c>
      <c r="H7191" s="190" t="n">
        <v>18758.6467801157</v>
      </c>
      <c r="I7191" s="191" t="n">
        <v>3934786.52001944</v>
      </c>
      <c r="J7191" s="192" t="str">
        <f>IF(I7191&gt;0,H7191/I7191,0)</f>
      </c>
      <c r="K7191" s="193" t="str">
        <f>1-EXP(-J7191)</f>
      </c>
      <c r="L7191" s="194" t="str">
        <f>IF(G7191=30,1,M7190)</f>
      </c>
      <c r="M7191" s="195" t="str">
        <f>L7191*(1-K7191)</f>
      </c>
    </row>
    <row r="7192">
      <c r="A7192" t="s">
        <v>167</v>
      </c>
      <c r="B7192" t="s">
        <v>113</v>
      </c>
      <c r="C7192" s="35" t="s">
        <v>521</v>
      </c>
      <c r="D7192" t="s">
        <v>113</v>
      </c>
      <c r="E7192" t="s">
        <v>520</v>
      </c>
      <c r="F7192" s="188" t="n">
        <v>2048</v>
      </c>
      <c r="G7192" s="189" t="n">
        <v>60</v>
      </c>
      <c r="H7192" s="190" t="n">
        <v>19952.5880456026</v>
      </c>
      <c r="I7192" s="191" t="n">
        <v>3884850.66945213</v>
      </c>
      <c r="J7192" s="192" t="str">
        <f>IF(I7192&gt;0,H7192/I7192,0)</f>
      </c>
      <c r="K7192" s="193" t="str">
        <f>1-EXP(-J7192)</f>
      </c>
      <c r="L7192" s="194" t="str">
        <f>IF(G7192=30,1,M7191)</f>
      </c>
      <c r="M7192" s="195" t="str">
        <f>L7192*(1-K7192)</f>
      </c>
    </row>
    <row r="7193">
      <c r="A7193" t="s">
        <v>167</v>
      </c>
      <c r="B7193" t="s">
        <v>113</v>
      </c>
      <c r="C7193" s="35" t="s">
        <v>521</v>
      </c>
      <c r="D7193" t="s">
        <v>113</v>
      </c>
      <c r="E7193" t="s">
        <v>520</v>
      </c>
      <c r="F7193" s="188" t="n">
        <v>2048</v>
      </c>
      <c r="G7193" s="189" t="n">
        <v>61</v>
      </c>
      <c r="H7193" s="190" t="n">
        <v>21026.8163978352</v>
      </c>
      <c r="I7193" s="191" t="n">
        <v>3728974.81041937</v>
      </c>
      <c r="J7193" s="192" t="str">
        <f>IF(I7193&gt;0,H7193/I7193,0)</f>
      </c>
      <c r="K7193" s="193" t="str">
        <f>1-EXP(-J7193)</f>
      </c>
      <c r="L7193" s="194" t="str">
        <f>IF(G7193=30,1,M7192)</f>
      </c>
      <c r="M7193" s="195" t="str">
        <f>L7193*(1-K7193)</f>
      </c>
    </row>
    <row r="7194">
      <c r="A7194" t="s">
        <v>167</v>
      </c>
      <c r="B7194" t="s">
        <v>113</v>
      </c>
      <c r="C7194" s="35" t="s">
        <v>521</v>
      </c>
      <c r="D7194" t="s">
        <v>113</v>
      </c>
      <c r="E7194" t="s">
        <v>520</v>
      </c>
      <c r="F7194" s="188" t="n">
        <v>2048</v>
      </c>
      <c r="G7194" s="189" t="n">
        <v>62</v>
      </c>
      <c r="H7194" s="190" t="n">
        <v>22647.1882765928</v>
      </c>
      <c r="I7194" s="191" t="n">
        <v>3658455.0516755</v>
      </c>
      <c r="J7194" s="192" t="str">
        <f>IF(I7194&gt;0,H7194/I7194,0)</f>
      </c>
      <c r="K7194" s="193" t="str">
        <f>1-EXP(-J7194)</f>
      </c>
      <c r="L7194" s="194" t="str">
        <f>IF(G7194=30,1,M7193)</f>
      </c>
      <c r="M7194" s="195" t="str">
        <f>L7194*(1-K7194)</f>
      </c>
    </row>
    <row r="7195">
      <c r="A7195" t="s">
        <v>167</v>
      </c>
      <c r="B7195" t="s">
        <v>113</v>
      </c>
      <c r="C7195" s="35" t="s">
        <v>521</v>
      </c>
      <c r="D7195" t="s">
        <v>113</v>
      </c>
      <c r="E7195" t="s">
        <v>520</v>
      </c>
      <c r="F7195" s="188" t="n">
        <v>2048</v>
      </c>
      <c r="G7195" s="189" t="n">
        <v>63</v>
      </c>
      <c r="H7195" s="190" t="n">
        <v>24921.2365521124</v>
      </c>
      <c r="I7195" s="191" t="n">
        <v>3666486.32355728</v>
      </c>
      <c r="J7195" s="192" t="str">
        <f>IF(I7195&gt;0,H7195/I7195,0)</f>
      </c>
      <c r="K7195" s="193" t="str">
        <f>1-EXP(-J7195)</f>
      </c>
      <c r="L7195" s="194" t="str">
        <f>IF(G7195=30,1,M7194)</f>
      </c>
      <c r="M7195" s="195" t="str">
        <f>L7195*(1-K7195)</f>
      </c>
    </row>
    <row r="7196">
      <c r="A7196" t="s">
        <v>167</v>
      </c>
      <c r="B7196" t="s">
        <v>113</v>
      </c>
      <c r="C7196" s="35" t="s">
        <v>521</v>
      </c>
      <c r="D7196" t="s">
        <v>113</v>
      </c>
      <c r="E7196" t="s">
        <v>520</v>
      </c>
      <c r="F7196" s="188" t="n">
        <v>2048</v>
      </c>
      <c r="G7196" s="189" t="n">
        <v>64</v>
      </c>
      <c r="H7196" s="190" t="n">
        <v>27533.3314228154</v>
      </c>
      <c r="I7196" s="191" t="n">
        <v>3691002.83487726</v>
      </c>
      <c r="J7196" s="192" t="str">
        <f>IF(I7196&gt;0,H7196/I7196,0)</f>
      </c>
      <c r="K7196" s="193" t="str">
        <f>1-EXP(-J7196)</f>
      </c>
      <c r="L7196" s="194" t="str">
        <f>IF(G7196=30,1,M7195)</f>
      </c>
      <c r="M7196" s="195" t="str">
        <f>L7196*(1-K7196)</f>
      </c>
    </row>
    <row r="7197">
      <c r="A7197" t="s">
        <v>167</v>
      </c>
      <c r="B7197" t="s">
        <v>113</v>
      </c>
      <c r="C7197" s="35" t="s">
        <v>521</v>
      </c>
      <c r="D7197" t="s">
        <v>113</v>
      </c>
      <c r="E7197" t="s">
        <v>520</v>
      </c>
      <c r="F7197" s="188" t="n">
        <v>2048</v>
      </c>
      <c r="G7197" s="189" t="n">
        <v>65</v>
      </c>
      <c r="H7197" s="190" t="n">
        <v>28142.5259683614</v>
      </c>
      <c r="I7197" s="191" t="n">
        <v>3617224.77455709</v>
      </c>
      <c r="J7197" s="192" t="str">
        <f>IF(I7197&gt;0,H7197/I7197,0)</f>
      </c>
      <c r="K7197" s="193" t="str">
        <f>1-EXP(-J7197)</f>
      </c>
      <c r="L7197" s="194" t="str">
        <f>IF(G7197=30,1,M7196)</f>
      </c>
      <c r="M7197" s="195" t="str">
        <f>L7197*(1-K7197)</f>
      </c>
    </row>
    <row r="7198">
      <c r="A7198" t="s">
        <v>167</v>
      </c>
      <c r="B7198" t="s">
        <v>113</v>
      </c>
      <c r="C7198" s="35" t="s">
        <v>521</v>
      </c>
      <c r="D7198" t="s">
        <v>113</v>
      </c>
      <c r="E7198" t="s">
        <v>520</v>
      </c>
      <c r="F7198" s="188" t="n">
        <v>2048</v>
      </c>
      <c r="G7198" s="189" t="n">
        <v>66</v>
      </c>
      <c r="H7198" s="190" t="n">
        <v>29471.9187976582</v>
      </c>
      <c r="I7198" s="191" t="n">
        <v>3446341.71245201</v>
      </c>
      <c r="J7198" s="192" t="str">
        <f>IF(I7198&gt;0,H7198/I7198,0)</f>
      </c>
      <c r="K7198" s="193" t="str">
        <f>1-EXP(-J7198)</f>
      </c>
      <c r="L7198" s="194" t="str">
        <f>IF(G7198=30,1,M7197)</f>
      </c>
      <c r="M7198" s="195" t="str">
        <f>L7198*(1-K7198)</f>
      </c>
    </row>
    <row r="7199">
      <c r="A7199" t="s">
        <v>167</v>
      </c>
      <c r="B7199" t="s">
        <v>113</v>
      </c>
      <c r="C7199" s="35" t="s">
        <v>521</v>
      </c>
      <c r="D7199" t="s">
        <v>113</v>
      </c>
      <c r="E7199" t="s">
        <v>520</v>
      </c>
      <c r="F7199" s="188" t="n">
        <v>2048</v>
      </c>
      <c r="G7199" s="189" t="n">
        <v>67</v>
      </c>
      <c r="H7199" s="190" t="n">
        <v>31242.5593654522</v>
      </c>
      <c r="I7199" s="191" t="n">
        <v>3325603.7558528</v>
      </c>
      <c r="J7199" s="192" t="str">
        <f>IF(I7199&gt;0,H7199/I7199,0)</f>
      </c>
      <c r="K7199" s="193" t="str">
        <f>1-EXP(-J7199)</f>
      </c>
      <c r="L7199" s="194" t="str">
        <f>IF(G7199=30,1,M7198)</f>
      </c>
      <c r="M7199" s="195" t="str">
        <f>L7199*(1-K7199)</f>
      </c>
    </row>
    <row r="7200">
      <c r="A7200" t="s">
        <v>167</v>
      </c>
      <c r="B7200" t="s">
        <v>113</v>
      </c>
      <c r="C7200" s="35" t="s">
        <v>521</v>
      </c>
      <c r="D7200" t="s">
        <v>113</v>
      </c>
      <c r="E7200" t="s">
        <v>520</v>
      </c>
      <c r="F7200" s="188" t="n">
        <v>2048</v>
      </c>
      <c r="G7200" s="189" t="n">
        <v>68</v>
      </c>
      <c r="H7200" s="190" t="n">
        <v>33204.7234507373</v>
      </c>
      <c r="I7200" s="191" t="n">
        <v>3215128.40590332</v>
      </c>
      <c r="J7200" s="192" t="str">
        <f>IF(I7200&gt;0,H7200/I7200,0)</f>
      </c>
      <c r="K7200" s="193" t="str">
        <f>1-EXP(-J7200)</f>
      </c>
      <c r="L7200" s="194" t="str">
        <f>IF(G7200=30,1,M7199)</f>
      </c>
      <c r="M7200" s="195" t="str">
        <f>L7200*(1-K7200)</f>
      </c>
    </row>
    <row r="7201">
      <c r="A7201" t="s">
        <v>167</v>
      </c>
      <c r="B7201" t="s">
        <v>113</v>
      </c>
      <c r="C7201" s="35" t="s">
        <v>521</v>
      </c>
      <c r="D7201" t="s">
        <v>113</v>
      </c>
      <c r="E7201" t="s">
        <v>520</v>
      </c>
      <c r="F7201" s="188" t="n">
        <v>2048</v>
      </c>
      <c r="G7201" s="189" t="n">
        <v>69</v>
      </c>
      <c r="H7201" s="190" t="n">
        <v>35198.847273392</v>
      </c>
      <c r="I7201" s="191" t="n">
        <v>3097370.22243509</v>
      </c>
      <c r="J7201" s="192" t="str">
        <f>IF(I7201&gt;0,H7201/I7201,0)</f>
      </c>
      <c r="K7201" s="193" t="str">
        <f>1-EXP(-J7201)</f>
      </c>
      <c r="L7201" s="194" t="str">
        <f>IF(G7201=30,1,M7200)</f>
      </c>
      <c r="M7201" s="195" t="str">
        <f>L7201*(1-K7201)</f>
      </c>
    </row>
    <row r="7202">
      <c r="A7202" t="s">
        <v>167</v>
      </c>
      <c r="B7202" t="s">
        <v>113</v>
      </c>
      <c r="C7202" s="35" t="s">
        <v>521</v>
      </c>
      <c r="D7202" t="s">
        <v>113</v>
      </c>
      <c r="E7202" t="s">
        <v>520</v>
      </c>
      <c r="F7202" s="188" t="n">
        <v>2049</v>
      </c>
      <c r="G7202" s="189" t="n">
        <v>30</v>
      </c>
      <c r="H7202" s="190" t="n">
        <v>613.95011455684</v>
      </c>
      <c r="I7202" s="191" t="n">
        <v>4266580.07827733</v>
      </c>
      <c r="J7202" s="192" t="str">
        <f>IF(I7202&gt;0,H7202/I7202,0)</f>
      </c>
      <c r="K7202" s="193" t="str">
        <f>1-EXP(-J7202)</f>
      </c>
      <c r="L7202" s="194" t="str">
        <f>IF(G7202=30,1,M7201)</f>
      </c>
      <c r="M7202" s="195" t="str">
        <f>L7202*(1-K7202)</f>
      </c>
    </row>
    <row r="7203">
      <c r="A7203" t="s">
        <v>167</v>
      </c>
      <c r="B7203" t="s">
        <v>113</v>
      </c>
      <c r="C7203" s="35" t="s">
        <v>521</v>
      </c>
      <c r="D7203" t="s">
        <v>113</v>
      </c>
      <c r="E7203" t="s">
        <v>520</v>
      </c>
      <c r="F7203" s="188" t="n">
        <v>2049</v>
      </c>
      <c r="G7203" s="189" t="n">
        <v>31</v>
      </c>
      <c r="H7203" s="190" t="n">
        <v>845.579739090264</v>
      </c>
      <c r="I7203" s="191" t="n">
        <v>4270683.54125705</v>
      </c>
      <c r="J7203" s="192" t="str">
        <f>IF(I7203&gt;0,H7203/I7203,0)</f>
      </c>
      <c r="K7203" s="193" t="str">
        <f>1-EXP(-J7203)</f>
      </c>
      <c r="L7203" s="194" t="str">
        <f>IF(G7203=30,1,M7202)</f>
      </c>
      <c r="M7203" s="195" t="str">
        <f>L7203*(1-K7203)</f>
      </c>
    </row>
    <row r="7204">
      <c r="A7204" t="s">
        <v>167</v>
      </c>
      <c r="B7204" t="s">
        <v>113</v>
      </c>
      <c r="C7204" s="35" t="s">
        <v>521</v>
      </c>
      <c r="D7204" t="s">
        <v>113</v>
      </c>
      <c r="E7204" t="s">
        <v>520</v>
      </c>
      <c r="F7204" s="188" t="n">
        <v>2049</v>
      </c>
      <c r="G7204" s="189" t="n">
        <v>32</v>
      </c>
      <c r="H7204" s="190" t="n">
        <v>900.579691900305</v>
      </c>
      <c r="I7204" s="191" t="n">
        <v>4311227.228898</v>
      </c>
      <c r="J7204" s="192" t="str">
        <f>IF(I7204&gt;0,H7204/I7204,0)</f>
      </c>
      <c r="K7204" s="193" t="str">
        <f>1-EXP(-J7204)</f>
      </c>
      <c r="L7204" s="194" t="str">
        <f>IF(G7204=30,1,M7203)</f>
      </c>
      <c r="M7204" s="195" t="str">
        <f>L7204*(1-K7204)</f>
      </c>
    </row>
    <row r="7205">
      <c r="A7205" t="s">
        <v>167</v>
      </c>
      <c r="B7205" t="s">
        <v>113</v>
      </c>
      <c r="C7205" s="35" t="s">
        <v>521</v>
      </c>
      <c r="D7205" t="s">
        <v>113</v>
      </c>
      <c r="E7205" t="s">
        <v>520</v>
      </c>
      <c r="F7205" s="188" t="n">
        <v>2049</v>
      </c>
      <c r="G7205" s="189" t="n">
        <v>33</v>
      </c>
      <c r="H7205" s="190" t="n">
        <v>1048.38045629983</v>
      </c>
      <c r="I7205" s="191" t="n">
        <v>4573201.96380427</v>
      </c>
      <c r="J7205" s="192" t="str">
        <f>IF(I7205&gt;0,H7205/I7205,0)</f>
      </c>
      <c r="K7205" s="193" t="str">
        <f>1-EXP(-J7205)</f>
      </c>
      <c r="L7205" s="194" t="str">
        <f>IF(G7205=30,1,M7204)</f>
      </c>
      <c r="M7205" s="195" t="str">
        <f>L7205*(1-K7205)</f>
      </c>
    </row>
    <row r="7206">
      <c r="A7206" t="s">
        <v>167</v>
      </c>
      <c r="B7206" t="s">
        <v>113</v>
      </c>
      <c r="C7206" s="35" t="s">
        <v>521</v>
      </c>
      <c r="D7206" t="s">
        <v>113</v>
      </c>
      <c r="E7206" t="s">
        <v>520</v>
      </c>
      <c r="F7206" s="188" t="n">
        <v>2049</v>
      </c>
      <c r="G7206" s="189" t="n">
        <v>34</v>
      </c>
      <c r="H7206" s="190" t="n">
        <v>1163.4684636594</v>
      </c>
      <c r="I7206" s="191" t="n">
        <v>4621364.85151093</v>
      </c>
      <c r="J7206" s="192" t="str">
        <f>IF(I7206&gt;0,H7206/I7206,0)</f>
      </c>
      <c r="K7206" s="193" t="str">
        <f>1-EXP(-J7206)</f>
      </c>
      <c r="L7206" s="194" t="str">
        <f>IF(G7206=30,1,M7205)</f>
      </c>
      <c r="M7206" s="195" t="str">
        <f>L7206*(1-K7206)</f>
      </c>
    </row>
    <row r="7207">
      <c r="A7207" t="s">
        <v>167</v>
      </c>
      <c r="B7207" t="s">
        <v>113</v>
      </c>
      <c r="C7207" s="35" t="s">
        <v>521</v>
      </c>
      <c r="D7207" t="s">
        <v>113</v>
      </c>
      <c r="E7207" t="s">
        <v>520</v>
      </c>
      <c r="F7207" s="188" t="n">
        <v>2049</v>
      </c>
      <c r="G7207" s="189" t="n">
        <v>35</v>
      </c>
      <c r="H7207" s="190" t="n">
        <v>1523.95109374215</v>
      </c>
      <c r="I7207" s="191" t="n">
        <v>4686911.47843519</v>
      </c>
      <c r="J7207" s="192" t="str">
        <f>IF(I7207&gt;0,H7207/I7207,0)</f>
      </c>
      <c r="K7207" s="193" t="str">
        <f>1-EXP(-J7207)</f>
      </c>
      <c r="L7207" s="194" t="str">
        <f>IF(G7207=30,1,M7206)</f>
      </c>
      <c r="M7207" s="195" t="str">
        <f>L7207*(1-K7207)</f>
      </c>
    </row>
    <row r="7208">
      <c r="A7208" t="s">
        <v>167</v>
      </c>
      <c r="B7208" t="s">
        <v>113</v>
      </c>
      <c r="C7208" s="35" t="s">
        <v>521</v>
      </c>
      <c r="D7208" t="s">
        <v>113</v>
      </c>
      <c r="E7208" t="s">
        <v>520</v>
      </c>
      <c r="F7208" s="188" t="n">
        <v>2049</v>
      </c>
      <c r="G7208" s="189" t="n">
        <v>36</v>
      </c>
      <c r="H7208" s="190" t="n">
        <v>1836.30501705735</v>
      </c>
      <c r="I7208" s="191" t="n">
        <v>4753355.56778896</v>
      </c>
      <c r="J7208" s="192" t="str">
        <f>IF(I7208&gt;0,H7208/I7208,0)</f>
      </c>
      <c r="K7208" s="193" t="str">
        <f>1-EXP(-J7208)</f>
      </c>
      <c r="L7208" s="194" t="str">
        <f>IF(G7208=30,1,M7207)</f>
      </c>
      <c r="M7208" s="195" t="str">
        <f>L7208*(1-K7208)</f>
      </c>
    </row>
    <row r="7209">
      <c r="A7209" t="s">
        <v>167</v>
      </c>
      <c r="B7209" t="s">
        <v>113</v>
      </c>
      <c r="C7209" s="35" t="s">
        <v>521</v>
      </c>
      <c r="D7209" t="s">
        <v>113</v>
      </c>
      <c r="E7209" t="s">
        <v>520</v>
      </c>
      <c r="F7209" s="188" t="n">
        <v>2049</v>
      </c>
      <c r="G7209" s="189" t="n">
        <v>37</v>
      </c>
      <c r="H7209" s="190" t="n">
        <v>2069.58111778437</v>
      </c>
      <c r="I7209" s="191" t="n">
        <v>4863681.33735698</v>
      </c>
      <c r="J7209" s="192" t="str">
        <f>IF(I7209&gt;0,H7209/I7209,0)</f>
      </c>
      <c r="K7209" s="193" t="str">
        <f>1-EXP(-J7209)</f>
      </c>
      <c r="L7209" s="194" t="str">
        <f>IF(G7209=30,1,M7208)</f>
      </c>
      <c r="M7209" s="195" t="str">
        <f>L7209*(1-K7209)</f>
      </c>
    </row>
    <row r="7210">
      <c r="A7210" t="s">
        <v>167</v>
      </c>
      <c r="B7210" t="s">
        <v>113</v>
      </c>
      <c r="C7210" s="35" t="s">
        <v>521</v>
      </c>
      <c r="D7210" t="s">
        <v>113</v>
      </c>
      <c r="E7210" t="s">
        <v>520</v>
      </c>
      <c r="F7210" s="188" t="n">
        <v>2049</v>
      </c>
      <c r="G7210" s="189" t="n">
        <v>38</v>
      </c>
      <c r="H7210" s="190" t="n">
        <v>2216.96795856754</v>
      </c>
      <c r="I7210" s="191" t="n">
        <v>4833741.493189</v>
      </c>
      <c r="J7210" s="192" t="str">
        <f>IF(I7210&gt;0,H7210/I7210,0)</f>
      </c>
      <c r="K7210" s="193" t="str">
        <f>1-EXP(-J7210)</f>
      </c>
      <c r="L7210" s="194" t="str">
        <f>IF(G7210=30,1,M7209)</f>
      </c>
      <c r="M7210" s="195" t="str">
        <f>L7210*(1-K7210)</f>
      </c>
    </row>
    <row r="7211">
      <c r="A7211" t="s">
        <v>167</v>
      </c>
      <c r="B7211" t="s">
        <v>113</v>
      </c>
      <c r="C7211" s="35" t="s">
        <v>521</v>
      </c>
      <c r="D7211" t="s">
        <v>113</v>
      </c>
      <c r="E7211" t="s">
        <v>520</v>
      </c>
      <c r="F7211" s="188" t="n">
        <v>2049</v>
      </c>
      <c r="G7211" s="189" t="n">
        <v>39</v>
      </c>
      <c r="H7211" s="190" t="n">
        <v>2329.70803582374</v>
      </c>
      <c r="I7211" s="191" t="n">
        <v>4698630.15079242</v>
      </c>
      <c r="J7211" s="192" t="str">
        <f>IF(I7211&gt;0,H7211/I7211,0)</f>
      </c>
      <c r="K7211" s="193" t="str">
        <f>1-EXP(-J7211)</f>
      </c>
      <c r="L7211" s="194" t="str">
        <f>IF(G7211=30,1,M7210)</f>
      </c>
      <c r="M7211" s="195" t="str">
        <f>L7211*(1-K7211)</f>
      </c>
    </row>
    <row r="7212">
      <c r="A7212" t="s">
        <v>167</v>
      </c>
      <c r="B7212" t="s">
        <v>113</v>
      </c>
      <c r="C7212" s="35" t="s">
        <v>521</v>
      </c>
      <c r="D7212" t="s">
        <v>113</v>
      </c>
      <c r="E7212" t="s">
        <v>520</v>
      </c>
      <c r="F7212" s="188" t="n">
        <v>2049</v>
      </c>
      <c r="G7212" s="189" t="n">
        <v>40</v>
      </c>
      <c r="H7212" s="190" t="n">
        <v>3076.33740399175</v>
      </c>
      <c r="I7212" s="191" t="n">
        <v>4625538.34944343</v>
      </c>
      <c r="J7212" s="192" t="str">
        <f>IF(I7212&gt;0,H7212/I7212,0)</f>
      </c>
      <c r="K7212" s="193" t="str">
        <f>1-EXP(-J7212)</f>
      </c>
      <c r="L7212" s="194" t="str">
        <f>IF(G7212=30,1,M7211)</f>
      </c>
      <c r="M7212" s="195" t="str">
        <f>L7212*(1-K7212)</f>
      </c>
    </row>
    <row r="7213">
      <c r="A7213" t="s">
        <v>167</v>
      </c>
      <c r="B7213" t="s">
        <v>113</v>
      </c>
      <c r="C7213" s="35" t="s">
        <v>521</v>
      </c>
      <c r="D7213" t="s">
        <v>113</v>
      </c>
      <c r="E7213" t="s">
        <v>520</v>
      </c>
      <c r="F7213" s="188" t="n">
        <v>2049</v>
      </c>
      <c r="G7213" s="189" t="n">
        <v>41</v>
      </c>
      <c r="H7213" s="190" t="n">
        <v>3457.80942911626</v>
      </c>
      <c r="I7213" s="191" t="n">
        <v>4579117.68495513</v>
      </c>
      <c r="J7213" s="192" t="str">
        <f>IF(I7213&gt;0,H7213/I7213,0)</f>
      </c>
      <c r="K7213" s="193" t="str">
        <f>1-EXP(-J7213)</f>
      </c>
      <c r="L7213" s="194" t="str">
        <f>IF(G7213=30,1,M7212)</f>
      </c>
      <c r="M7213" s="195" t="str">
        <f>L7213*(1-K7213)</f>
      </c>
    </row>
    <row r="7214">
      <c r="A7214" t="s">
        <v>167</v>
      </c>
      <c r="B7214" t="s">
        <v>113</v>
      </c>
      <c r="C7214" s="35" t="s">
        <v>521</v>
      </c>
      <c r="D7214" t="s">
        <v>113</v>
      </c>
      <c r="E7214" t="s">
        <v>520</v>
      </c>
      <c r="F7214" s="188" t="n">
        <v>2049</v>
      </c>
      <c r="G7214" s="189" t="n">
        <v>42</v>
      </c>
      <c r="H7214" s="190" t="n">
        <v>3828.64233859559</v>
      </c>
      <c r="I7214" s="191" t="n">
        <v>4599812.68498095</v>
      </c>
      <c r="J7214" s="192" t="str">
        <f>IF(I7214&gt;0,H7214/I7214,0)</f>
      </c>
      <c r="K7214" s="193" t="str">
        <f>1-EXP(-J7214)</f>
      </c>
      <c r="L7214" s="194" t="str">
        <f>IF(G7214=30,1,M7213)</f>
      </c>
      <c r="M7214" s="195" t="str">
        <f>L7214*(1-K7214)</f>
      </c>
    </row>
    <row r="7215">
      <c r="A7215" t="s">
        <v>167</v>
      </c>
      <c r="B7215" t="s">
        <v>113</v>
      </c>
      <c r="C7215" s="35" t="s">
        <v>521</v>
      </c>
      <c r="D7215" t="s">
        <v>113</v>
      </c>
      <c r="E7215" t="s">
        <v>520</v>
      </c>
      <c r="F7215" s="188" t="n">
        <v>2049</v>
      </c>
      <c r="G7215" s="189" t="n">
        <v>43</v>
      </c>
      <c r="H7215" s="190" t="n">
        <v>4080.1269802961</v>
      </c>
      <c r="I7215" s="191" t="n">
        <v>4512969.04899328</v>
      </c>
      <c r="J7215" s="192" t="str">
        <f>IF(I7215&gt;0,H7215/I7215,0)</f>
      </c>
      <c r="K7215" s="193" t="str">
        <f>1-EXP(-J7215)</f>
      </c>
      <c r="L7215" s="194" t="str">
        <f>IF(G7215=30,1,M7214)</f>
      </c>
      <c r="M7215" s="195" t="str">
        <f>L7215*(1-K7215)</f>
      </c>
    </row>
    <row r="7216">
      <c r="A7216" t="s">
        <v>167</v>
      </c>
      <c r="B7216" t="s">
        <v>113</v>
      </c>
      <c r="C7216" s="35" t="s">
        <v>521</v>
      </c>
      <c r="D7216" t="s">
        <v>113</v>
      </c>
      <c r="E7216" t="s">
        <v>520</v>
      </c>
      <c r="F7216" s="188" t="n">
        <v>2049</v>
      </c>
      <c r="G7216" s="189" t="n">
        <v>44</v>
      </c>
      <c r="H7216" s="190" t="n">
        <v>4377.19428203578</v>
      </c>
      <c r="I7216" s="191" t="n">
        <v>4447129.06071968</v>
      </c>
      <c r="J7216" s="192" t="str">
        <f>IF(I7216&gt;0,H7216/I7216,0)</f>
      </c>
      <c r="K7216" s="193" t="str">
        <f>1-EXP(-J7216)</f>
      </c>
      <c r="L7216" s="194" t="str">
        <f>IF(G7216=30,1,M7215)</f>
      </c>
      <c r="M7216" s="195" t="str">
        <f>L7216*(1-K7216)</f>
      </c>
    </row>
    <row r="7217">
      <c r="A7217" t="s">
        <v>167</v>
      </c>
      <c r="B7217" t="s">
        <v>113</v>
      </c>
      <c r="C7217" s="35" t="s">
        <v>521</v>
      </c>
      <c r="D7217" t="s">
        <v>113</v>
      </c>
      <c r="E7217" t="s">
        <v>520</v>
      </c>
      <c r="F7217" s="188" t="n">
        <v>2049</v>
      </c>
      <c r="G7217" s="189" t="n">
        <v>45</v>
      </c>
      <c r="H7217" s="190" t="n">
        <v>5441.31791126035</v>
      </c>
      <c r="I7217" s="191" t="n">
        <v>4314466.65263007</v>
      </c>
      <c r="J7217" s="192" t="str">
        <f>IF(I7217&gt;0,H7217/I7217,0)</f>
      </c>
      <c r="K7217" s="193" t="str">
        <f>1-EXP(-J7217)</f>
      </c>
      <c r="L7217" s="194" t="str">
        <f>IF(G7217=30,1,M7216)</f>
      </c>
      <c r="M7217" s="195" t="str">
        <f>L7217*(1-K7217)</f>
      </c>
    </row>
    <row r="7218">
      <c r="A7218" t="s">
        <v>167</v>
      </c>
      <c r="B7218" t="s">
        <v>113</v>
      </c>
      <c r="C7218" s="35" t="s">
        <v>521</v>
      </c>
      <c r="D7218" t="s">
        <v>113</v>
      </c>
      <c r="E7218" t="s">
        <v>520</v>
      </c>
      <c r="F7218" s="188" t="n">
        <v>2049</v>
      </c>
      <c r="G7218" s="189" t="n">
        <v>46</v>
      </c>
      <c r="H7218" s="190" t="n">
        <v>5981.38826990357</v>
      </c>
      <c r="I7218" s="191" t="n">
        <v>4242087.47709402</v>
      </c>
      <c r="J7218" s="192" t="str">
        <f>IF(I7218&gt;0,H7218/I7218,0)</f>
      </c>
      <c r="K7218" s="193" t="str">
        <f>1-EXP(-J7218)</f>
      </c>
      <c r="L7218" s="194" t="str">
        <f>IF(G7218=30,1,M7217)</f>
      </c>
      <c r="M7218" s="195" t="str">
        <f>L7218*(1-K7218)</f>
      </c>
    </row>
    <row r="7219">
      <c r="A7219" t="s">
        <v>167</v>
      </c>
      <c r="B7219" t="s">
        <v>113</v>
      </c>
      <c r="C7219" s="35" t="s">
        <v>521</v>
      </c>
      <c r="D7219" t="s">
        <v>113</v>
      </c>
      <c r="E7219" t="s">
        <v>520</v>
      </c>
      <c r="F7219" s="188" t="n">
        <v>2049</v>
      </c>
      <c r="G7219" s="189" t="n">
        <v>47</v>
      </c>
      <c r="H7219" s="190" t="n">
        <v>6645.90841448056</v>
      </c>
      <c r="I7219" s="191" t="n">
        <v>4209894.65804231</v>
      </c>
      <c r="J7219" s="192" t="str">
        <f>IF(I7219&gt;0,H7219/I7219,0)</f>
      </c>
      <c r="K7219" s="193" t="str">
        <f>1-EXP(-J7219)</f>
      </c>
      <c r="L7219" s="194" t="str">
        <f>IF(G7219=30,1,M7218)</f>
      </c>
      <c r="M7219" s="195" t="str">
        <f>L7219*(1-K7219)</f>
      </c>
    </row>
    <row r="7220">
      <c r="A7220" t="s">
        <v>167</v>
      </c>
      <c r="B7220" t="s">
        <v>113</v>
      </c>
      <c r="C7220" s="35" t="s">
        <v>521</v>
      </c>
      <c r="D7220" t="s">
        <v>113</v>
      </c>
      <c r="E7220" t="s">
        <v>520</v>
      </c>
      <c r="F7220" s="188" t="n">
        <v>2049</v>
      </c>
      <c r="G7220" s="189" t="n">
        <v>48</v>
      </c>
      <c r="H7220" s="190" t="n">
        <v>7237.74655167467</v>
      </c>
      <c r="I7220" s="191" t="n">
        <v>4180388.14382464</v>
      </c>
      <c r="J7220" s="192" t="str">
        <f>IF(I7220&gt;0,H7220/I7220,0)</f>
      </c>
      <c r="K7220" s="193" t="str">
        <f>1-EXP(-J7220)</f>
      </c>
      <c r="L7220" s="194" t="str">
        <f>IF(G7220=30,1,M7219)</f>
      </c>
      <c r="M7220" s="195" t="str">
        <f>L7220*(1-K7220)</f>
      </c>
    </row>
    <row r="7221">
      <c r="A7221" t="s">
        <v>167</v>
      </c>
      <c r="B7221" t="s">
        <v>113</v>
      </c>
      <c r="C7221" s="35" t="s">
        <v>521</v>
      </c>
      <c r="D7221" t="s">
        <v>113</v>
      </c>
      <c r="E7221" t="s">
        <v>520</v>
      </c>
      <c r="F7221" s="188" t="n">
        <v>2049</v>
      </c>
      <c r="G7221" s="189" t="n">
        <v>49</v>
      </c>
      <c r="H7221" s="190" t="n">
        <v>7889.34194869236</v>
      </c>
      <c r="I7221" s="191" t="n">
        <v>4149483.55461077</v>
      </c>
      <c r="J7221" s="192" t="str">
        <f>IF(I7221&gt;0,H7221/I7221,0)</f>
      </c>
      <c r="K7221" s="193" t="str">
        <f>1-EXP(-J7221)</f>
      </c>
      <c r="L7221" s="194" t="str">
        <f>IF(G7221=30,1,M7220)</f>
      </c>
      <c r="M7221" s="195" t="str">
        <f>L7221*(1-K7221)</f>
      </c>
    </row>
    <row r="7222">
      <c r="A7222" t="s">
        <v>167</v>
      </c>
      <c r="B7222" t="s">
        <v>113</v>
      </c>
      <c r="C7222" s="35" t="s">
        <v>521</v>
      </c>
      <c r="D7222" t="s">
        <v>113</v>
      </c>
      <c r="E7222" t="s">
        <v>520</v>
      </c>
      <c r="F7222" s="188" t="n">
        <v>2049</v>
      </c>
      <c r="G7222" s="189" t="n">
        <v>50</v>
      </c>
      <c r="H7222" s="190" t="n">
        <v>9001.24019436275</v>
      </c>
      <c r="I7222" s="191" t="n">
        <v>4155466.121433</v>
      </c>
      <c r="J7222" s="192" t="str">
        <f>IF(I7222&gt;0,H7222/I7222,0)</f>
      </c>
      <c r="K7222" s="193" t="str">
        <f>1-EXP(-J7222)</f>
      </c>
      <c r="L7222" s="194" t="str">
        <f>IF(G7222=30,1,M7221)</f>
      </c>
      <c r="M7222" s="195" t="str">
        <f>L7222*(1-K7222)</f>
      </c>
    </row>
    <row r="7223">
      <c r="A7223" t="s">
        <v>167</v>
      </c>
      <c r="B7223" t="s">
        <v>113</v>
      </c>
      <c r="C7223" s="35" t="s">
        <v>521</v>
      </c>
      <c r="D7223" t="s">
        <v>113</v>
      </c>
      <c r="E7223" t="s">
        <v>520</v>
      </c>
      <c r="F7223" s="188" t="n">
        <v>2049</v>
      </c>
      <c r="G7223" s="189" t="n">
        <v>51</v>
      </c>
      <c r="H7223" s="190" t="n">
        <v>10026.8901030276</v>
      </c>
      <c r="I7223" s="191" t="n">
        <v>4196720.60436745</v>
      </c>
      <c r="J7223" s="192" t="str">
        <f>IF(I7223&gt;0,H7223/I7223,0)</f>
      </c>
      <c r="K7223" s="193" t="str">
        <f>1-EXP(-J7223)</f>
      </c>
      <c r="L7223" s="194" t="str">
        <f>IF(G7223=30,1,M7222)</f>
      </c>
      <c r="M7223" s="195" t="str">
        <f>L7223*(1-K7223)</f>
      </c>
    </row>
    <row r="7224">
      <c r="A7224" t="s">
        <v>167</v>
      </c>
      <c r="B7224" t="s">
        <v>113</v>
      </c>
      <c r="C7224" s="35" t="s">
        <v>521</v>
      </c>
      <c r="D7224" t="s">
        <v>113</v>
      </c>
      <c r="E7224" t="s">
        <v>520</v>
      </c>
      <c r="F7224" s="188" t="n">
        <v>2049</v>
      </c>
      <c r="G7224" s="189" t="n">
        <v>52</v>
      </c>
      <c r="H7224" s="190" t="n">
        <v>11408.7739299824</v>
      </c>
      <c r="I7224" s="191" t="n">
        <v>4308171.62927641</v>
      </c>
      <c r="J7224" s="192" t="str">
        <f>IF(I7224&gt;0,H7224/I7224,0)</f>
      </c>
      <c r="K7224" s="193" t="str">
        <f>1-EXP(-J7224)</f>
      </c>
      <c r="L7224" s="194" t="str">
        <f>IF(G7224=30,1,M7223)</f>
      </c>
      <c r="M7224" s="195" t="str">
        <f>L7224*(1-K7224)</f>
      </c>
    </row>
    <row r="7225">
      <c r="A7225" t="s">
        <v>167</v>
      </c>
      <c r="B7225" t="s">
        <v>113</v>
      </c>
      <c r="C7225" s="35" t="s">
        <v>521</v>
      </c>
      <c r="D7225" t="s">
        <v>113</v>
      </c>
      <c r="E7225" t="s">
        <v>520</v>
      </c>
      <c r="F7225" s="188" t="n">
        <v>2049</v>
      </c>
      <c r="G7225" s="189" t="n">
        <v>53</v>
      </c>
      <c r="H7225" s="190" t="n">
        <v>12260.5627172628</v>
      </c>
      <c r="I7225" s="191" t="n">
        <v>4247741.22279673</v>
      </c>
      <c r="J7225" s="192" t="str">
        <f>IF(I7225&gt;0,H7225/I7225,0)</f>
      </c>
      <c r="K7225" s="193" t="str">
        <f>1-EXP(-J7225)</f>
      </c>
      <c r="L7225" s="194" t="str">
        <f>IF(G7225=30,1,M7224)</f>
      </c>
      <c r="M7225" s="195" t="str">
        <f>L7225*(1-K7225)</f>
      </c>
    </row>
    <row r="7226">
      <c r="A7226" t="s">
        <v>167</v>
      </c>
      <c r="B7226" t="s">
        <v>113</v>
      </c>
      <c r="C7226" s="35" t="s">
        <v>521</v>
      </c>
      <c r="D7226" t="s">
        <v>113</v>
      </c>
      <c r="E7226" t="s">
        <v>520</v>
      </c>
      <c r="F7226" s="188" t="n">
        <v>2049</v>
      </c>
      <c r="G7226" s="189" t="n">
        <v>54</v>
      </c>
      <c r="H7226" s="190" t="n">
        <v>13053.5100577737</v>
      </c>
      <c r="I7226" s="191" t="n">
        <v>4157419.10146581</v>
      </c>
      <c r="J7226" s="192" t="str">
        <f>IF(I7226&gt;0,H7226/I7226,0)</f>
      </c>
      <c r="K7226" s="193" t="str">
        <f>1-EXP(-J7226)</f>
      </c>
      <c r="L7226" s="194" t="str">
        <f>IF(G7226=30,1,M7225)</f>
      </c>
      <c r="M7226" s="195" t="str">
        <f>L7226*(1-K7226)</f>
      </c>
    </row>
    <row r="7227">
      <c r="A7227" t="s">
        <v>167</v>
      </c>
      <c r="B7227" t="s">
        <v>113</v>
      </c>
      <c r="C7227" s="35" t="s">
        <v>521</v>
      </c>
      <c r="D7227" t="s">
        <v>113</v>
      </c>
      <c r="E7227" t="s">
        <v>520</v>
      </c>
      <c r="F7227" s="188" t="n">
        <v>2049</v>
      </c>
      <c r="G7227" s="189" t="n">
        <v>55</v>
      </c>
      <c r="H7227" s="190" t="n">
        <v>13639.4674926428</v>
      </c>
      <c r="I7227" s="191" t="n">
        <v>4080534.91004966</v>
      </c>
      <c r="J7227" s="192" t="str">
        <f>IF(I7227&gt;0,H7227/I7227,0)</f>
      </c>
      <c r="K7227" s="193" t="str">
        <f>1-EXP(-J7227)</f>
      </c>
      <c r="L7227" s="194" t="str">
        <f>IF(G7227=30,1,M7226)</f>
      </c>
      <c r="M7227" s="195" t="str">
        <f>L7227*(1-K7227)</f>
      </c>
    </row>
    <row r="7228">
      <c r="A7228" t="s">
        <v>167</v>
      </c>
      <c r="B7228" t="s">
        <v>113</v>
      </c>
      <c r="C7228" s="35" t="s">
        <v>521</v>
      </c>
      <c r="D7228" t="s">
        <v>113</v>
      </c>
      <c r="E7228" t="s">
        <v>520</v>
      </c>
      <c r="F7228" s="188" t="n">
        <v>2049</v>
      </c>
      <c r="G7228" s="189" t="n">
        <v>56</v>
      </c>
      <c r="H7228" s="190" t="n">
        <v>14560.2026669772</v>
      </c>
      <c r="I7228" s="191" t="n">
        <v>4005517.48138039</v>
      </c>
      <c r="J7228" s="192" t="str">
        <f>IF(I7228&gt;0,H7228/I7228,0)</f>
      </c>
      <c r="K7228" s="193" t="str">
        <f>1-EXP(-J7228)</f>
      </c>
      <c r="L7228" s="194" t="str">
        <f>IF(G7228=30,1,M7227)</f>
      </c>
      <c r="M7228" s="195" t="str">
        <f>L7228*(1-K7228)</f>
      </c>
    </row>
    <row r="7229">
      <c r="A7229" t="s">
        <v>167</v>
      </c>
      <c r="B7229" t="s">
        <v>113</v>
      </c>
      <c r="C7229" s="35" t="s">
        <v>521</v>
      </c>
      <c r="D7229" t="s">
        <v>113</v>
      </c>
      <c r="E7229" t="s">
        <v>520</v>
      </c>
      <c r="F7229" s="188" t="n">
        <v>2049</v>
      </c>
      <c r="G7229" s="189" t="n">
        <v>57</v>
      </c>
      <c r="H7229" s="190" t="n">
        <v>15865.7483486297</v>
      </c>
      <c r="I7229" s="191" t="n">
        <v>4013448.31420821</v>
      </c>
      <c r="J7229" s="192" t="str">
        <f>IF(I7229&gt;0,H7229/I7229,0)</f>
      </c>
      <c r="K7229" s="193" t="str">
        <f>1-EXP(-J7229)</f>
      </c>
      <c r="L7229" s="194" t="str">
        <f>IF(G7229=30,1,M7228)</f>
      </c>
      <c r="M7229" s="195" t="str">
        <f>L7229*(1-K7229)</f>
      </c>
    </row>
    <row r="7230">
      <c r="A7230" t="s">
        <v>167</v>
      </c>
      <c r="B7230" t="s">
        <v>113</v>
      </c>
      <c r="C7230" s="35" t="s">
        <v>521</v>
      </c>
      <c r="D7230" t="s">
        <v>113</v>
      </c>
      <c r="E7230" t="s">
        <v>520</v>
      </c>
      <c r="F7230" s="188" t="n">
        <v>2049</v>
      </c>
      <c r="G7230" s="189" t="n">
        <v>58</v>
      </c>
      <c r="H7230" s="190" t="n">
        <v>17259.45814428</v>
      </c>
      <c r="I7230" s="191" t="n">
        <v>4000176.38811391</v>
      </c>
      <c r="J7230" s="192" t="str">
        <f>IF(I7230&gt;0,H7230/I7230,0)</f>
      </c>
      <c r="K7230" s="193" t="str">
        <f>1-EXP(-J7230)</f>
      </c>
      <c r="L7230" s="194" t="str">
        <f>IF(G7230=30,1,M7229)</f>
      </c>
      <c r="M7230" s="195" t="str">
        <f>L7230*(1-K7230)</f>
      </c>
    </row>
    <row r="7231">
      <c r="A7231" t="s">
        <v>167</v>
      </c>
      <c r="B7231" t="s">
        <v>113</v>
      </c>
      <c r="C7231" s="35" t="s">
        <v>521</v>
      </c>
      <c r="D7231" t="s">
        <v>113</v>
      </c>
      <c r="E7231" t="s">
        <v>520</v>
      </c>
      <c r="F7231" s="188" t="n">
        <v>2049</v>
      </c>
      <c r="G7231" s="189" t="n">
        <v>59</v>
      </c>
      <c r="H7231" s="190" t="n">
        <v>25077.5682533273</v>
      </c>
      <c r="I7231" s="191" t="n">
        <v>5881615.49412267</v>
      </c>
      <c r="J7231" s="192" t="str">
        <f>IF(I7231&gt;0,H7231/I7231,0)</f>
      </c>
      <c r="K7231" s="193" t="str">
        <f>1-EXP(-J7231)</f>
      </c>
      <c r="L7231" s="194" t="str">
        <f>IF(G7231=30,1,M7230)</f>
      </c>
      <c r="M7231" s="195" t="str">
        <f>L7231*(1-K7231)</f>
      </c>
    </row>
    <row r="7232">
      <c r="A7232" t="s">
        <v>167</v>
      </c>
      <c r="B7232" t="s">
        <v>113</v>
      </c>
      <c r="C7232" s="35" t="s">
        <v>521</v>
      </c>
      <c r="D7232" t="s">
        <v>113</v>
      </c>
      <c r="E7232" t="s">
        <v>520</v>
      </c>
      <c r="F7232" s="188" t="n">
        <v>2049</v>
      </c>
      <c r="G7232" s="189" t="n">
        <v>60</v>
      </c>
      <c r="H7232" s="190" t="n">
        <v>19771.2546271369</v>
      </c>
      <c r="I7232" s="191" t="n">
        <v>3895057.48616602</v>
      </c>
      <c r="J7232" s="192" t="str">
        <f>IF(I7232&gt;0,H7232/I7232,0)</f>
      </c>
      <c r="K7232" s="193" t="str">
        <f>1-EXP(-J7232)</f>
      </c>
      <c r="L7232" s="194" t="str">
        <f>IF(G7232=30,1,M7231)</f>
      </c>
      <c r="M7232" s="195" t="str">
        <f>L7232*(1-K7232)</f>
      </c>
    </row>
    <row r="7233">
      <c r="A7233" t="s">
        <v>167</v>
      </c>
      <c r="B7233" t="s">
        <v>113</v>
      </c>
      <c r="C7233" s="35" t="s">
        <v>521</v>
      </c>
      <c r="D7233" t="s">
        <v>113</v>
      </c>
      <c r="E7233" t="s">
        <v>520</v>
      </c>
      <c r="F7233" s="188" t="n">
        <v>2049</v>
      </c>
      <c r="G7233" s="189" t="n">
        <v>61</v>
      </c>
      <c r="H7233" s="190" t="n">
        <v>21407.50451418</v>
      </c>
      <c r="I7233" s="191" t="n">
        <v>3841909.46743367</v>
      </c>
      <c r="J7233" s="192" t="str">
        <f>IF(I7233&gt;0,H7233/I7233,0)</f>
      </c>
      <c r="K7233" s="193" t="str">
        <f>1-EXP(-J7233)</f>
      </c>
      <c r="L7233" s="194" t="str">
        <f>IF(G7233=30,1,M7232)</f>
      </c>
      <c r="M7233" s="195" t="str">
        <f>L7233*(1-K7233)</f>
      </c>
    </row>
    <row r="7234">
      <c r="A7234" t="s">
        <v>167</v>
      </c>
      <c r="B7234" t="s">
        <v>113</v>
      </c>
      <c r="C7234" s="35" t="s">
        <v>521</v>
      </c>
      <c r="D7234" t="s">
        <v>113</v>
      </c>
      <c r="E7234" t="s">
        <v>520</v>
      </c>
      <c r="F7234" s="188" t="n">
        <v>2049</v>
      </c>
      <c r="G7234" s="189" t="n">
        <v>62</v>
      </c>
      <c r="H7234" s="190" t="n">
        <v>22550.8312092734</v>
      </c>
      <c r="I7234" s="191" t="n">
        <v>3683757.71287798</v>
      </c>
      <c r="J7234" s="192" t="str">
        <f>IF(I7234&gt;0,H7234/I7234,0)</f>
      </c>
      <c r="K7234" s="193" t="str">
        <f>1-EXP(-J7234)</f>
      </c>
      <c r="L7234" s="194" t="str">
        <f>IF(G7234=30,1,M7233)</f>
      </c>
      <c r="M7234" s="195" t="str">
        <f>L7234*(1-K7234)</f>
      </c>
    </row>
    <row r="7235">
      <c r="A7235" t="s">
        <v>167</v>
      </c>
      <c r="B7235" t="s">
        <v>113</v>
      </c>
      <c r="C7235" s="35" t="s">
        <v>521</v>
      </c>
      <c r="D7235" t="s">
        <v>113</v>
      </c>
      <c r="E7235" t="s">
        <v>520</v>
      </c>
      <c r="F7235" s="188" t="n">
        <v>2049</v>
      </c>
      <c r="G7235" s="189" t="n">
        <v>63</v>
      </c>
      <c r="H7235" s="190" t="n">
        <v>24263.1485902785</v>
      </c>
      <c r="I7235" s="191" t="n">
        <v>3609768.08774154</v>
      </c>
      <c r="J7235" s="192" t="str">
        <f>IF(I7235&gt;0,H7235/I7235,0)</f>
      </c>
      <c r="K7235" s="193" t="str">
        <f>1-EXP(-J7235)</f>
      </c>
      <c r="L7235" s="194" t="str">
        <f>IF(G7235=30,1,M7234)</f>
      </c>
      <c r="M7235" s="195" t="str">
        <f>L7235*(1-K7235)</f>
      </c>
    </row>
    <row r="7236">
      <c r="A7236" t="s">
        <v>167</v>
      </c>
      <c r="B7236" t="s">
        <v>113</v>
      </c>
      <c r="C7236" s="35" t="s">
        <v>521</v>
      </c>
      <c r="D7236" t="s">
        <v>113</v>
      </c>
      <c r="E7236" t="s">
        <v>520</v>
      </c>
      <c r="F7236" s="188" t="n">
        <v>2049</v>
      </c>
      <c r="G7236" s="189" t="n">
        <v>64</v>
      </c>
      <c r="H7236" s="190" t="n">
        <v>26657.9709023711</v>
      </c>
      <c r="I7236" s="191" t="n">
        <v>3612914.36543724</v>
      </c>
      <c r="J7236" s="192" t="str">
        <f>IF(I7236&gt;0,H7236/I7236,0)</f>
      </c>
      <c r="K7236" s="193" t="str">
        <f>1-EXP(-J7236)</f>
      </c>
      <c r="L7236" s="194" t="str">
        <f>IF(G7236=30,1,M7235)</f>
      </c>
      <c r="M7236" s="195" t="str">
        <f>L7236*(1-K7236)</f>
      </c>
    </row>
    <row r="7237">
      <c r="A7237" t="s">
        <v>167</v>
      </c>
      <c r="B7237" t="s">
        <v>113</v>
      </c>
      <c r="C7237" s="35" t="s">
        <v>521</v>
      </c>
      <c r="D7237" t="s">
        <v>113</v>
      </c>
      <c r="E7237" t="s">
        <v>520</v>
      </c>
      <c r="F7237" s="188" t="n">
        <v>2049</v>
      </c>
      <c r="G7237" s="189" t="n">
        <v>65</v>
      </c>
      <c r="H7237" s="190" t="n">
        <v>27925.5410964758</v>
      </c>
      <c r="I7237" s="191" t="n">
        <v>3631812.84475413</v>
      </c>
      <c r="J7237" s="192" t="str">
        <f>IF(I7237&gt;0,H7237/I7237,0)</f>
      </c>
      <c r="K7237" s="193" t="str">
        <f>1-EXP(-J7237)</f>
      </c>
      <c r="L7237" s="194" t="str">
        <f>IF(G7237=30,1,M7236)</f>
      </c>
      <c r="M7237" s="195" t="str">
        <f>L7237*(1-K7237)</f>
      </c>
    </row>
    <row r="7238">
      <c r="A7238" t="s">
        <v>167</v>
      </c>
      <c r="B7238" t="s">
        <v>113</v>
      </c>
      <c r="C7238" s="35" t="s">
        <v>521</v>
      </c>
      <c r="D7238" t="s">
        <v>113</v>
      </c>
      <c r="E7238" t="s">
        <v>520</v>
      </c>
      <c r="F7238" s="188" t="n">
        <v>2049</v>
      </c>
      <c r="G7238" s="189" t="n">
        <v>66</v>
      </c>
      <c r="H7238" s="190" t="n">
        <v>30021.4270893869</v>
      </c>
      <c r="I7238" s="191" t="n">
        <v>3554376.36343961</v>
      </c>
      <c r="J7238" s="192" t="str">
        <f>IF(I7238&gt;0,H7238/I7238,0)</f>
      </c>
      <c r="K7238" s="193" t="str">
        <f>1-EXP(-J7238)</f>
      </c>
      <c r="L7238" s="194" t="str">
        <f>IF(G7238=30,1,M7237)</f>
      </c>
      <c r="M7238" s="195" t="str">
        <f>L7238*(1-K7238)</f>
      </c>
    </row>
    <row r="7239">
      <c r="A7239" t="s">
        <v>167</v>
      </c>
      <c r="B7239" t="s">
        <v>113</v>
      </c>
      <c r="C7239" s="35" t="s">
        <v>521</v>
      </c>
      <c r="D7239" t="s">
        <v>113</v>
      </c>
      <c r="E7239" t="s">
        <v>520</v>
      </c>
      <c r="F7239" s="188" t="n">
        <v>2049</v>
      </c>
      <c r="G7239" s="189" t="n">
        <v>67</v>
      </c>
      <c r="H7239" s="190" t="n">
        <v>31388.6092691524</v>
      </c>
      <c r="I7239" s="191" t="n">
        <v>3379816.48053064</v>
      </c>
      <c r="J7239" s="192" t="str">
        <f>IF(I7239&gt;0,H7239/I7239,0)</f>
      </c>
      <c r="K7239" s="193" t="str">
        <f>1-EXP(-J7239)</f>
      </c>
      <c r="L7239" s="194" t="str">
        <f>IF(G7239=30,1,M7238)</f>
      </c>
      <c r="M7239" s="195" t="str">
        <f>L7239*(1-K7239)</f>
      </c>
    </row>
    <row r="7240">
      <c r="A7240" t="s">
        <v>167</v>
      </c>
      <c r="B7240" t="s">
        <v>113</v>
      </c>
      <c r="C7240" s="35" t="s">
        <v>521</v>
      </c>
      <c r="D7240" t="s">
        <v>113</v>
      </c>
      <c r="E7240" t="s">
        <v>520</v>
      </c>
      <c r="F7240" s="188" t="n">
        <v>2049</v>
      </c>
      <c r="G7240" s="189" t="n">
        <v>68</v>
      </c>
      <c r="H7240" s="190" t="n">
        <v>33236.3959053416</v>
      </c>
      <c r="I7240" s="191" t="n">
        <v>3255138.20971211</v>
      </c>
      <c r="J7240" s="192" t="str">
        <f>IF(I7240&gt;0,H7240/I7240,0)</f>
      </c>
      <c r="K7240" s="193" t="str">
        <f>1-EXP(-J7240)</f>
      </c>
      <c r="L7240" s="194" t="str">
        <f>IF(G7240=30,1,M7239)</f>
      </c>
      <c r="M7240" s="195" t="str">
        <f>L7240*(1-K7240)</f>
      </c>
    </row>
    <row r="7241">
      <c r="A7241" t="s">
        <v>167</v>
      </c>
      <c r="B7241" t="s">
        <v>113</v>
      </c>
      <c r="C7241" s="35" t="s">
        <v>521</v>
      </c>
      <c r="D7241" t="s">
        <v>113</v>
      </c>
      <c r="E7241" t="s">
        <v>520</v>
      </c>
      <c r="F7241" s="188" t="n">
        <v>2049</v>
      </c>
      <c r="G7241" s="189" t="n">
        <v>69</v>
      </c>
      <c r="H7241" s="190" t="n">
        <v>35285.8696681457</v>
      </c>
      <c r="I7241" s="191" t="n">
        <v>3140316.18428582</v>
      </c>
      <c r="J7241" s="192" t="str">
        <f>IF(I7241&gt;0,H7241/I7241,0)</f>
      </c>
      <c r="K7241" s="193" t="str">
        <f>1-EXP(-J7241)</f>
      </c>
      <c r="L7241" s="194" t="str">
        <f>IF(G7241=30,1,M7240)</f>
      </c>
      <c r="M7241" s="195" t="str">
        <f>L7241*(1-K7241)</f>
      </c>
    </row>
    <row r="7242">
      <c r="A7242" t="s">
        <v>167</v>
      </c>
      <c r="B7242" t="s">
        <v>113</v>
      </c>
      <c r="C7242" s="35" t="s">
        <v>521</v>
      </c>
      <c r="D7242" t="s">
        <v>113</v>
      </c>
      <c r="E7242" t="s">
        <v>520</v>
      </c>
      <c r="F7242" s="188" t="n">
        <v>2050</v>
      </c>
      <c r="G7242" s="189" t="n">
        <v>30</v>
      </c>
      <c r="H7242" s="190" t="n">
        <v>612.445799566593</v>
      </c>
      <c r="I7242" s="191" t="n">
        <v>4253315.10160259</v>
      </c>
      <c r="J7242" s="192" t="str">
        <f>IF(I7242&gt;0,H7242/I7242,0)</f>
      </c>
      <c r="K7242" s="193" t="str">
        <f>1-EXP(-J7242)</f>
      </c>
      <c r="L7242" s="194" t="str">
        <f>IF(G7242=30,1,M7241)</f>
      </c>
      <c r="M7242" s="195" t="str">
        <f>L7242*(1-K7242)</f>
      </c>
    </row>
    <row r="7243">
      <c r="A7243" t="s">
        <v>167</v>
      </c>
      <c r="B7243" t="s">
        <v>113</v>
      </c>
      <c r="C7243" s="35" t="s">
        <v>521</v>
      </c>
      <c r="D7243" t="s">
        <v>113</v>
      </c>
      <c r="E7243" t="s">
        <v>520</v>
      </c>
      <c r="F7243" s="188" t="n">
        <v>2050</v>
      </c>
      <c r="G7243" s="189" t="n">
        <v>31</v>
      </c>
      <c r="H7243" s="190" t="n">
        <v>844.333236007691</v>
      </c>
      <c r="I7243" s="191" t="n">
        <v>4262032.09169324</v>
      </c>
      <c r="J7243" s="192" t="str">
        <f>IF(I7243&gt;0,H7243/I7243,0)</f>
      </c>
      <c r="K7243" s="193" t="str">
        <f>1-EXP(-J7243)</f>
      </c>
      <c r="L7243" s="194" t="str">
        <f>IF(G7243=30,1,M7242)</f>
      </c>
      <c r="M7243" s="195" t="str">
        <f>L7243*(1-K7243)</f>
      </c>
    </row>
    <row r="7244">
      <c r="A7244" t="s">
        <v>167</v>
      </c>
      <c r="B7244" t="s">
        <v>113</v>
      </c>
      <c r="C7244" s="35" t="s">
        <v>521</v>
      </c>
      <c r="D7244" t="s">
        <v>113</v>
      </c>
      <c r="E7244" t="s">
        <v>520</v>
      </c>
      <c r="F7244" s="188" t="n">
        <v>2050</v>
      </c>
      <c r="G7244" s="189" t="n">
        <v>32</v>
      </c>
      <c r="H7244" s="190" t="n">
        <v>891.539520474358</v>
      </c>
      <c r="I7244" s="191" t="n">
        <v>4266191.70021429</v>
      </c>
      <c r="J7244" s="192" t="str">
        <f>IF(I7244&gt;0,H7244/I7244,0)</f>
      </c>
      <c r="K7244" s="193" t="str">
        <f>1-EXP(-J7244)</f>
      </c>
      <c r="L7244" s="194" t="str">
        <f>IF(G7244=30,1,M7243)</f>
      </c>
      <c r="M7244" s="195" t="str">
        <f>L7244*(1-K7244)</f>
      </c>
    </row>
    <row r="7245">
      <c r="A7245" t="s">
        <v>167</v>
      </c>
      <c r="B7245" t="s">
        <v>113</v>
      </c>
      <c r="C7245" s="35" t="s">
        <v>521</v>
      </c>
      <c r="D7245" t="s">
        <v>113</v>
      </c>
      <c r="E7245" t="s">
        <v>520</v>
      </c>
      <c r="F7245" s="188" t="n">
        <v>2050</v>
      </c>
      <c r="G7245" s="189" t="n">
        <v>33</v>
      </c>
      <c r="H7245" s="190" t="n">
        <v>954.220259782347</v>
      </c>
      <c r="I7245" s="191" t="n">
        <v>4306507.16007758</v>
      </c>
      <c r="J7245" s="192" t="str">
        <f>IF(I7245&gt;0,H7245/I7245,0)</f>
      </c>
      <c r="K7245" s="193" t="str">
        <f>1-EXP(-J7245)</f>
      </c>
      <c r="L7245" s="194" t="str">
        <f>IF(G7245=30,1,M7244)</f>
      </c>
      <c r="M7245" s="195" t="str">
        <f>L7245*(1-K7245)</f>
      </c>
    </row>
    <row r="7246">
      <c r="A7246" t="s">
        <v>167</v>
      </c>
      <c r="B7246" t="s">
        <v>113</v>
      </c>
      <c r="C7246" s="35" t="s">
        <v>521</v>
      </c>
      <c r="D7246" t="s">
        <v>113</v>
      </c>
      <c r="E7246" t="s">
        <v>520</v>
      </c>
      <c r="F7246" s="188" t="n">
        <v>2050</v>
      </c>
      <c r="G7246" s="189" t="n">
        <v>34</v>
      </c>
      <c r="H7246" s="190" t="n">
        <v>1115.81714148359</v>
      </c>
      <c r="I7246" s="191" t="n">
        <v>4567927.154114</v>
      </c>
      <c r="J7246" s="192" t="str">
        <f>IF(I7246&gt;0,H7246/I7246,0)</f>
      </c>
      <c r="K7246" s="193" t="str">
        <f>1-EXP(-J7246)</f>
      </c>
      <c r="L7246" s="194" t="str">
        <f>IF(G7246=30,1,M7245)</f>
      </c>
      <c r="M7246" s="195" t="str">
        <f>L7246*(1-K7246)</f>
      </c>
    </row>
    <row r="7247">
      <c r="A7247" t="s">
        <v>167</v>
      </c>
      <c r="B7247" t="s">
        <v>113</v>
      </c>
      <c r="C7247" s="35" t="s">
        <v>521</v>
      </c>
      <c r="D7247" t="s">
        <v>113</v>
      </c>
      <c r="E7247" t="s">
        <v>520</v>
      </c>
      <c r="F7247" s="188" t="n">
        <v>2050</v>
      </c>
      <c r="G7247" s="189" t="n">
        <v>35</v>
      </c>
      <c r="H7247" s="190" t="n">
        <v>1496.66067410074</v>
      </c>
      <c r="I7247" s="191" t="n">
        <v>4615726.96024828</v>
      </c>
      <c r="J7247" s="192" t="str">
        <f>IF(I7247&gt;0,H7247/I7247,0)</f>
      </c>
      <c r="K7247" s="193" t="str">
        <f>1-EXP(-J7247)</f>
      </c>
      <c r="L7247" s="194" t="str">
        <f>IF(G7247=30,1,M7246)</f>
      </c>
      <c r="M7247" s="195" t="str">
        <f>L7247*(1-K7247)</f>
      </c>
    </row>
    <row r="7248">
      <c r="A7248" t="s">
        <v>167</v>
      </c>
      <c r="B7248" t="s">
        <v>113</v>
      </c>
      <c r="C7248" s="35" t="s">
        <v>521</v>
      </c>
      <c r="D7248" t="s">
        <v>113</v>
      </c>
      <c r="E7248" t="s">
        <v>520</v>
      </c>
      <c r="F7248" s="188" t="n">
        <v>2050</v>
      </c>
      <c r="G7248" s="189" t="n">
        <v>36</v>
      </c>
      <c r="H7248" s="190" t="n">
        <v>1802.42298322371</v>
      </c>
      <c r="I7248" s="191" t="n">
        <v>4680572.96713584</v>
      </c>
      <c r="J7248" s="192" t="str">
        <f>IF(I7248&gt;0,H7248/I7248,0)</f>
      </c>
      <c r="K7248" s="193" t="str">
        <f>1-EXP(-J7248)</f>
      </c>
      <c r="L7248" s="194" t="str">
        <f>IF(G7248=30,1,M7247)</f>
      </c>
      <c r="M7248" s="195" t="str">
        <f>L7248*(1-K7248)</f>
      </c>
    </row>
    <row r="7249">
      <c r="A7249" t="s">
        <v>167</v>
      </c>
      <c r="B7249" t="s">
        <v>113</v>
      </c>
      <c r="C7249" s="35" t="s">
        <v>521</v>
      </c>
      <c r="D7249" t="s">
        <v>113</v>
      </c>
      <c r="E7249" t="s">
        <v>520</v>
      </c>
      <c r="F7249" s="188" t="n">
        <v>2050</v>
      </c>
      <c r="G7249" s="189" t="n">
        <v>37</v>
      </c>
      <c r="H7249" s="190" t="n">
        <v>1964.24909121214</v>
      </c>
      <c r="I7249" s="191" t="n">
        <v>4746740.68127619</v>
      </c>
      <c r="J7249" s="192" t="str">
        <f>IF(I7249&gt;0,H7249/I7249,0)</f>
      </c>
      <c r="K7249" s="193" t="str">
        <f>1-EXP(-J7249)</f>
      </c>
      <c r="L7249" s="194" t="str">
        <f>IF(G7249=30,1,M7248)</f>
      </c>
      <c r="M7249" s="195" t="str">
        <f>L7249*(1-K7249)</f>
      </c>
    </row>
    <row r="7250">
      <c r="A7250" t="s">
        <v>167</v>
      </c>
      <c r="B7250" t="s">
        <v>113</v>
      </c>
      <c r="C7250" s="35" t="s">
        <v>521</v>
      </c>
      <c r="D7250" t="s">
        <v>113</v>
      </c>
      <c r="E7250" t="s">
        <v>520</v>
      </c>
      <c r="F7250" s="188" t="n">
        <v>2050</v>
      </c>
      <c r="G7250" s="189" t="n">
        <v>38</v>
      </c>
      <c r="H7250" s="190" t="n">
        <v>2219.31019442238</v>
      </c>
      <c r="I7250" s="191" t="n">
        <v>4856411.23181509</v>
      </c>
      <c r="J7250" s="192" t="str">
        <f>IF(I7250&gt;0,H7250/I7250,0)</f>
      </c>
      <c r="K7250" s="193" t="str">
        <f>1-EXP(-J7250)</f>
      </c>
      <c r="L7250" s="194" t="str">
        <f>IF(G7250=30,1,M7249)</f>
      </c>
      <c r="M7250" s="195" t="str">
        <f>L7250*(1-K7250)</f>
      </c>
    </row>
    <row r="7251">
      <c r="A7251" t="s">
        <v>167</v>
      </c>
      <c r="B7251" t="s">
        <v>113</v>
      </c>
      <c r="C7251" s="35" t="s">
        <v>521</v>
      </c>
      <c r="D7251" t="s">
        <v>113</v>
      </c>
      <c r="E7251" t="s">
        <v>520</v>
      </c>
      <c r="F7251" s="188" t="n">
        <v>2050</v>
      </c>
      <c r="G7251" s="189" t="n">
        <v>39</v>
      </c>
      <c r="H7251" s="190" t="n">
        <v>2384.06359799789</v>
      </c>
      <c r="I7251" s="191" t="n">
        <v>4826004.70973748</v>
      </c>
      <c r="J7251" s="192" t="str">
        <f>IF(I7251&gt;0,H7251/I7251,0)</f>
      </c>
      <c r="K7251" s="193" t="str">
        <f>1-EXP(-J7251)</f>
      </c>
      <c r="L7251" s="194" t="str">
        <f>IF(G7251=30,1,M7250)</f>
      </c>
      <c r="M7251" s="195" t="str">
        <f>L7251*(1-K7251)</f>
      </c>
    </row>
    <row r="7252">
      <c r="A7252" t="s">
        <v>167</v>
      </c>
      <c r="B7252" t="s">
        <v>113</v>
      </c>
      <c r="C7252" s="35" t="s">
        <v>521</v>
      </c>
      <c r="D7252" t="s">
        <v>113</v>
      </c>
      <c r="E7252" t="s">
        <v>520</v>
      </c>
      <c r="F7252" s="188" t="n">
        <v>2050</v>
      </c>
      <c r="G7252" s="189" t="n">
        <v>40</v>
      </c>
      <c r="H7252" s="190" t="n">
        <v>3106.19920362976</v>
      </c>
      <c r="I7252" s="191" t="n">
        <v>4690550.61665944</v>
      </c>
      <c r="J7252" s="192" t="str">
        <f>IF(I7252&gt;0,H7252/I7252,0)</f>
      </c>
      <c r="K7252" s="193" t="str">
        <f>1-EXP(-J7252)</f>
      </c>
      <c r="L7252" s="194" t="str">
        <f>IF(G7252=30,1,M7251)</f>
      </c>
      <c r="M7252" s="195" t="str">
        <f>L7252*(1-K7252)</f>
      </c>
    </row>
    <row r="7253">
      <c r="A7253" t="s">
        <v>167</v>
      </c>
      <c r="B7253" t="s">
        <v>113</v>
      </c>
      <c r="C7253" s="35" t="s">
        <v>521</v>
      </c>
      <c r="D7253" t="s">
        <v>113</v>
      </c>
      <c r="E7253" t="s">
        <v>520</v>
      </c>
      <c r="F7253" s="188" t="n">
        <v>2050</v>
      </c>
      <c r="G7253" s="189" t="n">
        <v>41</v>
      </c>
      <c r="H7253" s="190" t="n">
        <v>3469.79556109071</v>
      </c>
      <c r="I7253" s="191" t="n">
        <v>4616310.43710544</v>
      </c>
      <c r="J7253" s="192" t="str">
        <f>IF(I7253&gt;0,H7253/I7253,0)</f>
      </c>
      <c r="K7253" s="193" t="str">
        <f>1-EXP(-J7253)</f>
      </c>
      <c r="L7253" s="194" t="str">
        <f>IF(G7253=30,1,M7252)</f>
      </c>
      <c r="M7253" s="195" t="str">
        <f>L7253*(1-K7253)</f>
      </c>
    </row>
    <row r="7254">
      <c r="A7254" t="s">
        <v>167</v>
      </c>
      <c r="B7254" t="s">
        <v>113</v>
      </c>
      <c r="C7254" s="35" t="s">
        <v>521</v>
      </c>
      <c r="D7254" t="s">
        <v>113</v>
      </c>
      <c r="E7254" t="s">
        <v>520</v>
      </c>
      <c r="F7254" s="188" t="n">
        <v>2050</v>
      </c>
      <c r="G7254" s="189" t="n">
        <v>42</v>
      </c>
      <c r="H7254" s="190" t="n">
        <v>3725.42436194617</v>
      </c>
      <c r="I7254" s="191" t="n">
        <v>4569838.0015835</v>
      </c>
      <c r="J7254" s="192" t="str">
        <f>IF(I7254&gt;0,H7254/I7254,0)</f>
      </c>
      <c r="K7254" s="193" t="str">
        <f>1-EXP(-J7254)</f>
      </c>
      <c r="L7254" s="194" t="str">
        <f>IF(G7254=30,1,M7253)</f>
      </c>
      <c r="M7254" s="195" t="str">
        <f>L7254*(1-K7254)</f>
      </c>
    </row>
    <row r="7255">
      <c r="A7255" t="s">
        <v>167</v>
      </c>
      <c r="B7255" t="s">
        <v>113</v>
      </c>
      <c r="C7255" s="35" t="s">
        <v>521</v>
      </c>
      <c r="D7255" t="s">
        <v>113</v>
      </c>
      <c r="E7255" t="s">
        <v>520</v>
      </c>
      <c r="F7255" s="188" t="n">
        <v>2050</v>
      </c>
      <c r="G7255" s="189" t="n">
        <v>43</v>
      </c>
      <c r="H7255" s="190" t="n">
        <v>4127.81014003623</v>
      </c>
      <c r="I7255" s="191" t="n">
        <v>4589676.5026562</v>
      </c>
      <c r="J7255" s="192" t="str">
        <f>IF(I7255&gt;0,H7255/I7255,0)</f>
      </c>
      <c r="K7255" s="193" t="str">
        <f>1-EXP(-J7255)</f>
      </c>
      <c r="L7255" s="194" t="str">
        <f>IF(G7255=30,1,M7254)</f>
      </c>
      <c r="M7255" s="195" t="str">
        <f>L7255*(1-K7255)</f>
      </c>
    </row>
    <row r="7256">
      <c r="A7256" t="s">
        <v>167</v>
      </c>
      <c r="B7256" t="s">
        <v>113</v>
      </c>
      <c r="C7256" s="35" t="s">
        <v>521</v>
      </c>
      <c r="D7256" t="s">
        <v>113</v>
      </c>
      <c r="E7256" t="s">
        <v>520</v>
      </c>
      <c r="F7256" s="188" t="n">
        <v>2050</v>
      </c>
      <c r="G7256" s="189" t="n">
        <v>44</v>
      </c>
      <c r="H7256" s="190" t="n">
        <v>4406.8133024678</v>
      </c>
      <c r="I7256" s="191" t="n">
        <v>4502203.91622468</v>
      </c>
      <c r="J7256" s="192" t="str">
        <f>IF(I7256&gt;0,H7256/I7256,0)</f>
      </c>
      <c r="K7256" s="193" t="str">
        <f>1-EXP(-J7256)</f>
      </c>
      <c r="L7256" s="194" t="str">
        <f>IF(G7256=30,1,M7255)</f>
      </c>
      <c r="M7256" s="195" t="str">
        <f>L7256*(1-K7256)</f>
      </c>
    </row>
    <row r="7257">
      <c r="A7257" t="s">
        <v>167</v>
      </c>
      <c r="B7257" t="s">
        <v>113</v>
      </c>
      <c r="C7257" s="35" t="s">
        <v>521</v>
      </c>
      <c r="D7257" t="s">
        <v>113</v>
      </c>
      <c r="E7257" t="s">
        <v>520</v>
      </c>
      <c r="F7257" s="188" t="n">
        <v>2050</v>
      </c>
      <c r="G7257" s="189" t="n">
        <v>45</v>
      </c>
      <c r="H7257" s="190" t="n">
        <v>5558.39544350913</v>
      </c>
      <c r="I7257" s="191" t="n">
        <v>4435622.7423258</v>
      </c>
      <c r="J7257" s="192" t="str">
        <f>IF(I7257&gt;0,H7257/I7257,0)</f>
      </c>
      <c r="K7257" s="193" t="str">
        <f>1-EXP(-J7257)</f>
      </c>
      <c r="L7257" s="194" t="str">
        <f>IF(G7257=30,1,M7256)</f>
      </c>
      <c r="M7257" s="195" t="str">
        <f>L7257*(1-K7257)</f>
      </c>
    </row>
    <row r="7258">
      <c r="A7258" t="s">
        <v>167</v>
      </c>
      <c r="B7258" t="s">
        <v>113</v>
      </c>
      <c r="C7258" s="35" t="s">
        <v>521</v>
      </c>
      <c r="D7258" t="s">
        <v>113</v>
      </c>
      <c r="E7258" t="s">
        <v>520</v>
      </c>
      <c r="F7258" s="188" t="n">
        <v>2050</v>
      </c>
      <c r="G7258" s="189" t="n">
        <v>46</v>
      </c>
      <c r="H7258" s="190" t="n">
        <v>6024.92652361743</v>
      </c>
      <c r="I7258" s="191" t="n">
        <v>4301496.23842215</v>
      </c>
      <c r="J7258" s="192" t="str">
        <f>IF(I7258&gt;0,H7258/I7258,0)</f>
      </c>
      <c r="K7258" s="193" t="str">
        <f>1-EXP(-J7258)</f>
      </c>
      <c r="L7258" s="194" t="str">
        <f>IF(G7258=30,1,M7257)</f>
      </c>
      <c r="M7258" s="195" t="str">
        <f>L7258*(1-K7258)</f>
      </c>
    </row>
    <row r="7259">
      <c r="A7259" t="s">
        <v>167</v>
      </c>
      <c r="B7259" t="s">
        <v>113</v>
      </c>
      <c r="C7259" s="35" t="s">
        <v>521</v>
      </c>
      <c r="D7259" t="s">
        <v>113</v>
      </c>
      <c r="E7259" t="s">
        <v>520</v>
      </c>
      <c r="F7259" s="188" t="n">
        <v>2050</v>
      </c>
      <c r="G7259" s="189" t="n">
        <v>47</v>
      </c>
      <c r="H7259" s="190" t="n">
        <v>6488.25291831655</v>
      </c>
      <c r="I7259" s="191" t="n">
        <v>4228908.41208098</v>
      </c>
      <c r="J7259" s="192" t="str">
        <f>IF(I7259&gt;0,H7259/I7259,0)</f>
      </c>
      <c r="K7259" s="193" t="str">
        <f>1-EXP(-J7259)</f>
      </c>
      <c r="L7259" s="194" t="str">
        <f>IF(G7259=30,1,M7258)</f>
      </c>
      <c r="M7259" s="195" t="str">
        <f>L7259*(1-K7259)</f>
      </c>
    </row>
    <row r="7260">
      <c r="A7260" t="s">
        <v>167</v>
      </c>
      <c r="B7260" t="s">
        <v>113</v>
      </c>
      <c r="C7260" s="35" t="s">
        <v>521</v>
      </c>
      <c r="D7260" t="s">
        <v>113</v>
      </c>
      <c r="E7260" t="s">
        <v>520</v>
      </c>
      <c r="F7260" s="188" t="n">
        <v>2050</v>
      </c>
      <c r="G7260" s="189" t="n">
        <v>48</v>
      </c>
      <c r="H7260" s="190" t="n">
        <v>7212.6039638396</v>
      </c>
      <c r="I7260" s="191" t="n">
        <v>4195433.79279948</v>
      </c>
      <c r="J7260" s="192" t="str">
        <f>IF(I7260&gt;0,H7260/I7260,0)</f>
      </c>
      <c r="K7260" s="193" t="str">
        <f>1-EXP(-J7260)</f>
      </c>
      <c r="L7260" s="194" t="str">
        <f>IF(G7260=30,1,M7259)</f>
      </c>
      <c r="M7260" s="195" t="str">
        <f>L7260*(1-K7260)</f>
      </c>
    </row>
    <row r="7261">
      <c r="A7261" t="s">
        <v>167</v>
      </c>
      <c r="B7261" t="s">
        <v>113</v>
      </c>
      <c r="C7261" s="35" t="s">
        <v>521</v>
      </c>
      <c r="D7261" t="s">
        <v>113</v>
      </c>
      <c r="E7261" t="s">
        <v>520</v>
      </c>
      <c r="F7261" s="188" t="n">
        <v>2050</v>
      </c>
      <c r="G7261" s="189" t="n">
        <v>49</v>
      </c>
      <c r="H7261" s="190" t="n">
        <v>7862.17124741128</v>
      </c>
      <c r="I7261" s="191" t="n">
        <v>4164677.5470901</v>
      </c>
      <c r="J7261" s="192" t="str">
        <f>IF(I7261&gt;0,H7261/I7261,0)</f>
      </c>
      <c r="K7261" s="193" t="str">
        <f>1-EXP(-J7261)</f>
      </c>
      <c r="L7261" s="194" t="str">
        <f>IF(G7261=30,1,M7260)</f>
      </c>
      <c r="M7261" s="195" t="str">
        <f>L7261*(1-K7261)</f>
      </c>
    </row>
    <row r="7262">
      <c r="A7262" t="s">
        <v>167</v>
      </c>
      <c r="B7262" t="s">
        <v>113</v>
      </c>
      <c r="C7262" s="35" t="s">
        <v>521</v>
      </c>
      <c r="D7262" t="s">
        <v>113</v>
      </c>
      <c r="E7262" t="s">
        <v>520</v>
      </c>
      <c r="F7262" s="188" t="n">
        <v>2050</v>
      </c>
      <c r="G7262" s="189" t="n">
        <v>50</v>
      </c>
      <c r="H7262" s="190" t="n">
        <v>8879.69204722848</v>
      </c>
      <c r="I7262" s="191" t="n">
        <v>4132395.07403566</v>
      </c>
      <c r="J7262" s="192" t="str">
        <f>IF(I7262&gt;0,H7262/I7262,0)</f>
      </c>
      <c r="K7262" s="193" t="str">
        <f>1-EXP(-J7262)</f>
      </c>
      <c r="L7262" s="194" t="str">
        <f>IF(G7262=30,1,M7261)</f>
      </c>
      <c r="M7262" s="195" t="str">
        <f>L7262*(1-K7262)</f>
      </c>
    </row>
    <row r="7263">
      <c r="A7263" t="s">
        <v>167</v>
      </c>
      <c r="B7263" t="s">
        <v>113</v>
      </c>
      <c r="C7263" s="35" t="s">
        <v>521</v>
      </c>
      <c r="D7263" t="s">
        <v>113</v>
      </c>
      <c r="E7263" t="s">
        <v>520</v>
      </c>
      <c r="F7263" s="188" t="n">
        <v>2050</v>
      </c>
      <c r="G7263" s="189" t="n">
        <v>51</v>
      </c>
      <c r="H7263" s="190" t="n">
        <v>9805.55521240284</v>
      </c>
      <c r="I7263" s="191" t="n">
        <v>4136155.25947989</v>
      </c>
      <c r="J7263" s="192" t="str">
        <f>IF(I7263&gt;0,H7263/I7263,0)</f>
      </c>
      <c r="K7263" s="193" t="str">
        <f>1-EXP(-J7263)</f>
      </c>
      <c r="L7263" s="194" t="str">
        <f>IF(G7263=30,1,M7262)</f>
      </c>
      <c r="M7263" s="195" t="str">
        <f>L7263*(1-K7263)</f>
      </c>
    </row>
    <row r="7264">
      <c r="A7264" t="s">
        <v>167</v>
      </c>
      <c r="B7264" t="s">
        <v>113</v>
      </c>
      <c r="C7264" s="35" t="s">
        <v>521</v>
      </c>
      <c r="D7264" t="s">
        <v>113</v>
      </c>
      <c r="E7264" t="s">
        <v>520</v>
      </c>
      <c r="F7264" s="188" t="n">
        <v>2050</v>
      </c>
      <c r="G7264" s="189" t="n">
        <v>52</v>
      </c>
      <c r="H7264" s="190" t="n">
        <v>10827.746993483</v>
      </c>
      <c r="I7264" s="191" t="n">
        <v>4175848.99687503</v>
      </c>
      <c r="J7264" s="192" t="str">
        <f>IF(I7264&gt;0,H7264/I7264,0)</f>
      </c>
      <c r="K7264" s="193" t="str">
        <f>1-EXP(-J7264)</f>
      </c>
      <c r="L7264" s="194" t="str">
        <f>IF(G7264=30,1,M7263)</f>
      </c>
      <c r="M7264" s="195" t="str">
        <f>L7264*(1-K7264)</f>
      </c>
    </row>
    <row r="7265">
      <c r="A7265" t="s">
        <v>167</v>
      </c>
      <c r="B7265" t="s">
        <v>113</v>
      </c>
      <c r="C7265" s="35" t="s">
        <v>521</v>
      </c>
      <c r="D7265" t="s">
        <v>113</v>
      </c>
      <c r="E7265" t="s">
        <v>520</v>
      </c>
      <c r="F7265" s="188" t="n">
        <v>2050</v>
      </c>
      <c r="G7265" s="189" t="n">
        <v>53</v>
      </c>
      <c r="H7265" s="190" t="n">
        <v>12270.4880781031</v>
      </c>
      <c r="I7265" s="191" t="n">
        <v>4284530.09872405</v>
      </c>
      <c r="J7265" s="192" t="str">
        <f>IF(I7265&gt;0,H7265/I7265,0)</f>
      </c>
      <c r="K7265" s="193" t="str">
        <f>1-EXP(-J7265)</f>
      </c>
      <c r="L7265" s="194" t="str">
        <f>IF(G7265=30,1,M7264)</f>
      </c>
      <c r="M7265" s="195" t="str">
        <f>L7265*(1-K7265)</f>
      </c>
    </row>
    <row r="7266">
      <c r="A7266" t="s">
        <v>167</v>
      </c>
      <c r="B7266" t="s">
        <v>113</v>
      </c>
      <c r="C7266" s="35" t="s">
        <v>521</v>
      </c>
      <c r="D7266" t="s">
        <v>113</v>
      </c>
      <c r="E7266" t="s">
        <v>520</v>
      </c>
      <c r="F7266" s="188" t="n">
        <v>2050</v>
      </c>
      <c r="G7266" s="189" t="n">
        <v>54</v>
      </c>
      <c r="H7266" s="190" t="n">
        <v>13150.0187837471</v>
      </c>
      <c r="I7266" s="191" t="n">
        <v>4222317.61453178</v>
      </c>
      <c r="J7266" s="192" t="str">
        <f>IF(I7266&gt;0,H7266/I7266,0)</f>
      </c>
      <c r="K7266" s="193" t="str">
        <f>1-EXP(-J7266)</f>
      </c>
      <c r="L7266" s="194" t="str">
        <f>IF(G7266=30,1,M7265)</f>
      </c>
      <c r="M7266" s="195" t="str">
        <f>L7266*(1-K7266)</f>
      </c>
    </row>
    <row r="7267">
      <c r="A7267" t="s">
        <v>167</v>
      </c>
      <c r="B7267" t="s">
        <v>113</v>
      </c>
      <c r="C7267" s="35" t="s">
        <v>521</v>
      </c>
      <c r="D7267" t="s">
        <v>113</v>
      </c>
      <c r="E7267" t="s">
        <v>520</v>
      </c>
      <c r="F7267" s="188" t="n">
        <v>2050</v>
      </c>
      <c r="G7267" s="189" t="n">
        <v>55</v>
      </c>
      <c r="H7267" s="190" t="n">
        <v>13672.2690218975</v>
      </c>
      <c r="I7267" s="191" t="n">
        <v>4130336.79110226</v>
      </c>
      <c r="J7267" s="192" t="str">
        <f>IF(I7267&gt;0,H7267/I7267,0)</f>
      </c>
      <c r="K7267" s="193" t="str">
        <f>1-EXP(-J7267)</f>
      </c>
      <c r="L7267" s="194" t="str">
        <f>IF(G7267=30,1,M7266)</f>
      </c>
      <c r="M7267" s="195" t="str">
        <f>L7267*(1-K7267)</f>
      </c>
    </row>
    <row r="7268">
      <c r="A7268" t="s">
        <v>167</v>
      </c>
      <c r="B7268" t="s">
        <v>113</v>
      </c>
      <c r="C7268" s="35" t="s">
        <v>521</v>
      </c>
      <c r="D7268" t="s">
        <v>113</v>
      </c>
      <c r="E7268" t="s">
        <v>520</v>
      </c>
      <c r="F7268" s="188" t="n">
        <v>2050</v>
      </c>
      <c r="G7268" s="189" t="n">
        <v>56</v>
      </c>
      <c r="H7268" s="190" t="n">
        <v>14581.0423169867</v>
      </c>
      <c r="I7268" s="191" t="n">
        <v>4051635.04589651</v>
      </c>
      <c r="J7268" s="192" t="str">
        <f>IF(I7268&gt;0,H7268/I7268,0)</f>
      </c>
      <c r="K7268" s="193" t="str">
        <f>1-EXP(-J7268)</f>
      </c>
      <c r="L7268" s="194" t="str">
        <f>IF(G7268=30,1,M7267)</f>
      </c>
      <c r="M7268" s="195" t="str">
        <f>L7268*(1-K7268)</f>
      </c>
    </row>
    <row r="7269">
      <c r="A7269" t="s">
        <v>167</v>
      </c>
      <c r="B7269" t="s">
        <v>113</v>
      </c>
      <c r="C7269" s="35" t="s">
        <v>521</v>
      </c>
      <c r="D7269" t="s">
        <v>113</v>
      </c>
      <c r="E7269" t="s">
        <v>520</v>
      </c>
      <c r="F7269" s="188" t="n">
        <v>2050</v>
      </c>
      <c r="G7269" s="189" t="n">
        <v>57</v>
      </c>
      <c r="H7269" s="190" t="n">
        <v>15577.6537120316</v>
      </c>
      <c r="I7269" s="191" t="n">
        <v>3974688.19132462</v>
      </c>
      <c r="J7269" s="192" t="str">
        <f>IF(I7269&gt;0,H7269/I7269,0)</f>
      </c>
      <c r="K7269" s="193" t="str">
        <f>1-EXP(-J7269)</f>
      </c>
      <c r="L7269" s="194" t="str">
        <f>IF(G7269=30,1,M7268)</f>
      </c>
      <c r="M7269" s="195" t="str">
        <f>L7269*(1-K7269)</f>
      </c>
    </row>
    <row r="7270">
      <c r="A7270" t="s">
        <v>167</v>
      </c>
      <c r="B7270" t="s">
        <v>113</v>
      </c>
      <c r="C7270" s="35" t="s">
        <v>521</v>
      </c>
      <c r="D7270" t="s">
        <v>113</v>
      </c>
      <c r="E7270" t="s">
        <v>520</v>
      </c>
      <c r="F7270" s="188" t="n">
        <v>2050</v>
      </c>
      <c r="G7270" s="189" t="n">
        <v>58</v>
      </c>
      <c r="H7270" s="190" t="n">
        <v>16997.4644202502</v>
      </c>
      <c r="I7270" s="191" t="n">
        <v>3979879.01536685</v>
      </c>
      <c r="J7270" s="192" t="str">
        <f>IF(I7270&gt;0,H7270/I7270,0)</f>
      </c>
      <c r="K7270" s="193" t="str">
        <f>1-EXP(-J7270)</f>
      </c>
      <c r="L7270" s="194" t="str">
        <f>IF(G7270=30,1,M7269)</f>
      </c>
      <c r="M7270" s="195" t="str">
        <f>L7270*(1-K7270)</f>
      </c>
    </row>
    <row r="7271">
      <c r="A7271" t="s">
        <v>167</v>
      </c>
      <c r="B7271" t="s">
        <v>113</v>
      </c>
      <c r="C7271" s="35" t="s">
        <v>521</v>
      </c>
      <c r="D7271" t="s">
        <v>113</v>
      </c>
      <c r="E7271" t="s">
        <v>520</v>
      </c>
      <c r="F7271" s="188" t="n">
        <v>2050</v>
      </c>
      <c r="G7271" s="189" t="n">
        <v>59</v>
      </c>
      <c r="H7271" s="190" t="n">
        <v>18516.6682650674</v>
      </c>
      <c r="I7271" s="191" t="n">
        <v>3963698.95468014</v>
      </c>
      <c r="J7271" s="192" t="str">
        <f>IF(I7271&gt;0,H7271/I7271,0)</f>
      </c>
      <c r="K7271" s="193" t="str">
        <f>1-EXP(-J7271)</f>
      </c>
      <c r="L7271" s="194" t="str">
        <f>IF(G7271=30,1,M7270)</f>
      </c>
      <c r="M7271" s="195" t="str">
        <f>L7271*(1-K7271)</f>
      </c>
    </row>
    <row r="7272">
      <c r="A7272" t="s">
        <v>167</v>
      </c>
      <c r="B7272" t="s">
        <v>113</v>
      </c>
      <c r="C7272" s="35" t="s">
        <v>521</v>
      </c>
      <c r="D7272" t="s">
        <v>113</v>
      </c>
      <c r="E7272" t="s">
        <v>520</v>
      </c>
      <c r="F7272" s="188" t="n">
        <v>2050</v>
      </c>
      <c r="G7272" s="189" t="n">
        <v>60</v>
      </c>
      <c r="H7272" s="190" t="n">
        <v>26743.3882603861</v>
      </c>
      <c r="I7272" s="191" t="n">
        <v>5828171.29141963</v>
      </c>
      <c r="J7272" s="192" t="str">
        <f>IF(I7272&gt;0,H7272/I7272,0)</f>
      </c>
      <c r="K7272" s="193" t="str">
        <f>1-EXP(-J7272)</f>
      </c>
      <c r="L7272" s="194" t="str">
        <f>IF(G7272=30,1,M7271)</f>
      </c>
      <c r="M7272" s="195" t="str">
        <f>L7272*(1-K7272)</f>
      </c>
    </row>
    <row r="7273">
      <c r="A7273" t="s">
        <v>167</v>
      </c>
      <c r="B7273" t="s">
        <v>113</v>
      </c>
      <c r="C7273" s="35" t="s">
        <v>521</v>
      </c>
      <c r="D7273" t="s">
        <v>113</v>
      </c>
      <c r="E7273" t="s">
        <v>520</v>
      </c>
      <c r="F7273" s="188" t="n">
        <v>2050</v>
      </c>
      <c r="G7273" s="189" t="n">
        <v>61</v>
      </c>
      <c r="H7273" s="190" t="n">
        <v>21220.5297534267</v>
      </c>
      <c r="I7273" s="191" t="n">
        <v>3852602.49834771</v>
      </c>
      <c r="J7273" s="192" t="str">
        <f>IF(I7273&gt;0,H7273/I7273,0)</f>
      </c>
      <c r="K7273" s="193" t="str">
        <f>1-EXP(-J7273)</f>
      </c>
      <c r="L7273" s="194" t="str">
        <f>IF(G7273=30,1,M7272)</f>
      </c>
      <c r="M7273" s="195" t="str">
        <f>L7273*(1-K7273)</f>
      </c>
    </row>
    <row r="7274">
      <c r="A7274" t="s">
        <v>167</v>
      </c>
      <c r="B7274" t="s">
        <v>113</v>
      </c>
      <c r="C7274" s="35" t="s">
        <v>521</v>
      </c>
      <c r="D7274" t="s">
        <v>113</v>
      </c>
      <c r="E7274" t="s">
        <v>520</v>
      </c>
      <c r="F7274" s="188" t="n">
        <v>2050</v>
      </c>
      <c r="G7274" s="189" t="n">
        <v>62</v>
      </c>
      <c r="H7274" s="190" t="n">
        <v>22967.6502486488</v>
      </c>
      <c r="I7274" s="191" t="n">
        <v>3795953.63299816</v>
      </c>
      <c r="J7274" s="192" t="str">
        <f>IF(I7274&gt;0,H7274/I7274,0)</f>
      </c>
      <c r="K7274" s="193" t="str">
        <f>1-EXP(-J7274)</f>
      </c>
      <c r="L7274" s="194" t="str">
        <f>IF(G7274=30,1,M7273)</f>
      </c>
      <c r="M7274" s="195" t="str">
        <f>L7274*(1-K7274)</f>
      </c>
    </row>
    <row r="7275">
      <c r="A7275" t="s">
        <v>167</v>
      </c>
      <c r="B7275" t="s">
        <v>113</v>
      </c>
      <c r="C7275" s="35" t="s">
        <v>521</v>
      </c>
      <c r="D7275" t="s">
        <v>113</v>
      </c>
      <c r="E7275" t="s">
        <v>520</v>
      </c>
      <c r="F7275" s="188" t="n">
        <v>2050</v>
      </c>
      <c r="G7275" s="189" t="n">
        <v>63</v>
      </c>
      <c r="H7275" s="190" t="n">
        <v>24168.5581361971</v>
      </c>
      <c r="I7275" s="191" t="n">
        <v>3635361.02615935</v>
      </c>
      <c r="J7275" s="192" t="str">
        <f>IF(I7275&gt;0,H7275/I7275,0)</f>
      </c>
      <c r="K7275" s="193" t="str">
        <f>1-EXP(-J7275)</f>
      </c>
      <c r="L7275" s="194" t="str">
        <f>IF(G7275=30,1,M7274)</f>
      </c>
      <c r="M7275" s="195" t="str">
        <f>L7275*(1-K7275)</f>
      </c>
    </row>
    <row r="7276">
      <c r="A7276" t="s">
        <v>167</v>
      </c>
      <c r="B7276" t="s">
        <v>113</v>
      </c>
      <c r="C7276" s="35" t="s">
        <v>521</v>
      </c>
      <c r="D7276" t="s">
        <v>113</v>
      </c>
      <c r="E7276" t="s">
        <v>520</v>
      </c>
      <c r="F7276" s="188" t="n">
        <v>2050</v>
      </c>
      <c r="G7276" s="189" t="n">
        <v>64</v>
      </c>
      <c r="H7276" s="190" t="n">
        <v>25962.571948759</v>
      </c>
      <c r="I7276" s="191" t="n">
        <v>3557700.12788186</v>
      </c>
      <c r="J7276" s="192" t="str">
        <f>IF(I7276&gt;0,H7276/I7276,0)</f>
      </c>
      <c r="K7276" s="193" t="str">
        <f>1-EXP(-J7276)</f>
      </c>
      <c r="L7276" s="194" t="str">
        <f>IF(G7276=30,1,M7275)</f>
      </c>
      <c r="M7276" s="195" t="str">
        <f>L7276*(1-K7276)</f>
      </c>
    </row>
    <row r="7277">
      <c r="A7277" t="s">
        <v>167</v>
      </c>
      <c r="B7277" t="s">
        <v>113</v>
      </c>
      <c r="C7277" s="35" t="s">
        <v>521</v>
      </c>
      <c r="D7277" t="s">
        <v>113</v>
      </c>
      <c r="E7277" t="s">
        <v>520</v>
      </c>
      <c r="F7277" s="188" t="n">
        <v>2050</v>
      </c>
      <c r="G7277" s="189" t="n">
        <v>65</v>
      </c>
      <c r="H7277" s="190" t="n">
        <v>27019.6871749699</v>
      </c>
      <c r="I7277" s="191" t="n">
        <v>3555702.97000628</v>
      </c>
      <c r="J7277" s="192" t="str">
        <f>IF(I7277&gt;0,H7277/I7277,0)</f>
      </c>
      <c r="K7277" s="193" t="str">
        <f>1-EXP(-J7277)</f>
      </c>
      <c r="L7277" s="194" t="str">
        <f>IF(G7277=30,1,M7276)</f>
      </c>
      <c r="M7277" s="195" t="str">
        <f>L7277*(1-K7277)</f>
      </c>
    </row>
    <row r="7278">
      <c r="A7278" t="s">
        <v>167</v>
      </c>
      <c r="B7278" t="s">
        <v>113</v>
      </c>
      <c r="C7278" s="35" t="s">
        <v>521</v>
      </c>
      <c r="D7278" t="s">
        <v>113</v>
      </c>
      <c r="E7278" t="s">
        <v>520</v>
      </c>
      <c r="F7278" s="188" t="n">
        <v>2050</v>
      </c>
      <c r="G7278" s="189" t="n">
        <v>66</v>
      </c>
      <c r="H7278" s="190" t="n">
        <v>29800.802264171</v>
      </c>
      <c r="I7278" s="191" t="n">
        <v>3569514.45734289</v>
      </c>
      <c r="J7278" s="192" t="str">
        <f>IF(I7278&gt;0,H7278/I7278,0)</f>
      </c>
      <c r="K7278" s="193" t="str">
        <f>1-EXP(-J7278)</f>
      </c>
      <c r="L7278" s="194" t="str">
        <f>IF(G7278=30,1,M7277)</f>
      </c>
      <c r="M7278" s="195" t="str">
        <f>L7278*(1-K7278)</f>
      </c>
    </row>
    <row r="7279">
      <c r="A7279" t="s">
        <v>167</v>
      </c>
      <c r="B7279" t="s">
        <v>113</v>
      </c>
      <c r="C7279" s="35" t="s">
        <v>521</v>
      </c>
      <c r="D7279" t="s">
        <v>113</v>
      </c>
      <c r="E7279" t="s">
        <v>520</v>
      </c>
      <c r="F7279" s="188" t="n">
        <v>2050</v>
      </c>
      <c r="G7279" s="189" t="n">
        <v>67</v>
      </c>
      <c r="H7279" s="190" t="n">
        <v>31986.7937253248</v>
      </c>
      <c r="I7279" s="191" t="n">
        <v>3486672.90325925</v>
      </c>
      <c r="J7279" s="192" t="str">
        <f>IF(I7279&gt;0,H7279/I7279,0)</f>
      </c>
      <c r="K7279" s="193" t="str">
        <f>1-EXP(-J7279)</f>
      </c>
      <c r="L7279" s="194" t="str">
        <f>IF(G7279=30,1,M7278)</f>
      </c>
      <c r="M7279" s="195" t="str">
        <f>L7279*(1-K7279)</f>
      </c>
    </row>
    <row r="7280">
      <c r="A7280" t="s">
        <v>167</v>
      </c>
      <c r="B7280" t="s">
        <v>113</v>
      </c>
      <c r="C7280" s="35" t="s">
        <v>521</v>
      </c>
      <c r="D7280" t="s">
        <v>113</v>
      </c>
      <c r="E7280" t="s">
        <v>520</v>
      </c>
      <c r="F7280" s="188" t="n">
        <v>2050</v>
      </c>
      <c r="G7280" s="189" t="n">
        <v>68</v>
      </c>
      <c r="H7280" s="190" t="n">
        <v>33404.7712267034</v>
      </c>
      <c r="I7280" s="191" t="n">
        <v>3309071.99723459</v>
      </c>
      <c r="J7280" s="192" t="str">
        <f>IF(I7280&gt;0,H7280/I7280,0)</f>
      </c>
      <c r="K7280" s="193" t="str">
        <f>1-EXP(-J7280)</f>
      </c>
      <c r="L7280" s="194" t="str">
        <f>IF(G7280=30,1,M7279)</f>
      </c>
      <c r="M7280" s="195" t="str">
        <f>L7280*(1-K7280)</f>
      </c>
    </row>
    <row r="7281">
      <c r="A7281" t="s">
        <v>167</v>
      </c>
      <c r="B7281" t="s">
        <v>113</v>
      </c>
      <c r="C7281" s="35" t="s">
        <v>521</v>
      </c>
      <c r="D7281" t="s">
        <v>113</v>
      </c>
      <c r="E7281" t="s">
        <v>520</v>
      </c>
      <c r="F7281" s="188" t="n">
        <v>2050</v>
      </c>
      <c r="G7281" s="189" t="n">
        <v>69</v>
      </c>
      <c r="H7281" s="190" t="n">
        <v>35334.4673836199</v>
      </c>
      <c r="I7281" s="191" t="n">
        <v>3180308.89407865</v>
      </c>
      <c r="J7281" s="192" t="str">
        <f>IF(I7281&gt;0,H7281/I7281,0)</f>
      </c>
      <c r="K7281" s="193" t="str">
        <f>1-EXP(-J7281)</f>
      </c>
      <c r="L7281" s="194" t="str">
        <f>IF(G7281=30,1,M7280)</f>
      </c>
      <c r="M7281" s="195" t="str">
        <f>L7281*(1-K7281)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2.71" hidden="0" customWidth="1"/>
    <col min="3" max="3" width="16.71" hidden="0" customWidth="1"/>
    <col min="4" max="4" width="21.71" hidden="0" customWidth="1"/>
    <col min="5" max="5" width="15.71" hidden="0" customWidth="1"/>
    <col min="6" max="6" width="19.71" hidden="0" customWidth="1"/>
    <col min="7" max="7" width="21.71" hidden="0" customWidth="1"/>
    <col min="8" max="8" width="12.71" hidden="0" customWidth="1"/>
    <col min="9" max="9" width="12.71" hidden="0" customWidth="1"/>
    <col min="10" max="10" width="20.71" hidden="0" customWidth="1"/>
    <col min="11" max="11" width="23.71" hidden="0" customWidth="1"/>
    <col min="12" max="12" width="19.71" hidden="0" customWidth="1"/>
    <col min="13" max="13" width="13.71" hidden="0" customWidth="1"/>
    <col min="14" max="14" width="14.71" hidden="0" customWidth="1"/>
  </cols>
  <sheetData>
    <row r="1" ht="28" customHeight="1">
      <c r="A1" s="1" t="s">
        <v>512</v>
      </c>
      <c r="B1" s="1" t="s">
        <v>409</v>
      </c>
      <c r="C1" s="1" t="s">
        <v>410</v>
      </c>
      <c r="D1" s="1" t="s">
        <v>491</v>
      </c>
      <c r="E1" s="1" t="s">
        <v>377</v>
      </c>
      <c r="F1" s="1" t="s">
        <v>216</v>
      </c>
      <c r="G1" s="1" t="s">
        <v>513</v>
      </c>
      <c r="H1" s="1" t="s">
        <v>45</v>
      </c>
      <c r="I1" s="1" t="s">
        <v>522</v>
      </c>
      <c r="J1" s="1" t="s">
        <v>523</v>
      </c>
      <c r="K1" s="1" t="s">
        <v>524</v>
      </c>
      <c r="L1" s="1" t="s">
        <v>525</v>
      </c>
      <c r="M1" s="1" t="s">
        <v>526</v>
      </c>
      <c r="N1" s="1" t="s">
        <v>527</v>
      </c>
    </row>
    <row r="2">
      <c r="A2" t="s">
        <v>167</v>
      </c>
      <c r="B2" t="s">
        <v>254</v>
      </c>
      <c r="C2" s="35" t="s">
        <v>418</v>
      </c>
      <c r="D2" t="s">
        <v>502</v>
      </c>
      <c r="E2" t="s">
        <v>503</v>
      </c>
      <c r="F2" t="s">
        <v>254</v>
      </c>
      <c r="G2" t="s">
        <v>520</v>
      </c>
      <c r="H2" s="196" t="n">
        <v>2025</v>
      </c>
      <c r="I2" s="197" t="str">
        <f>100*(1-(SUMIFS('CVD_40q30_Age'!$M$2:$M$7281,'CVD_40q30_Age'!$A$2:$A$7281,A2,'CVD_40q30_Age'!$B$2:$B$7281,B2,'CVD_40q30_Age'!$E$2:$E$7281,G2,'CVD_40q30_Age'!$F$2:$F$7281,H2,'CVD_40q30_Age'!$G$2:$G$7281,69))/(SUMIFS('CVD_40q30_Age'!$L$2:$L$7281,'CVD_40q30_Age'!$A$2:$A$7281,A2,'CVD_40q30_Age'!$B$2:$B$7281,B2,'CVD_40q30_Age'!$E$2:$E$7281,G2,'CVD_40q30_Age'!$F$2:$F$7281,H2,'CVD_40q30_Age'!$G$2:$G$7281,30)))</f>
      </c>
      <c r="J2" s="198" t="str">
        <f>SUMIFS($I$2:$I$183,$A$2:$A$183,A2,$G$2:$G$183,G2,$H$2:$H$183,H2,$B$2:$B$183,"baseline")</f>
      </c>
      <c r="K2" s="199" t="str">
        <f>J2-I2</f>
      </c>
      <c r="L2" s="200" t="str">
        <f>IF(J2=0,"",100*(J2-I2)/J2)</f>
      </c>
      <c r="M2" s="201" t="n">
        <v>14.5948626930222</v>
      </c>
      <c r="N2" s="37" t="str">
        <f>IF(ABS(I2-M2)&lt;=0.001,"match","mismatch")</f>
      </c>
    </row>
    <row r="3">
      <c r="A3" t="s">
        <v>167</v>
      </c>
      <c r="B3" t="s">
        <v>254</v>
      </c>
      <c r="C3" s="35" t="s">
        <v>418</v>
      </c>
      <c r="D3" t="s">
        <v>502</v>
      </c>
      <c r="E3" t="s">
        <v>503</v>
      </c>
      <c r="F3" t="s">
        <v>254</v>
      </c>
      <c r="G3" t="s">
        <v>520</v>
      </c>
      <c r="H3" s="196" t="n">
        <v>2026</v>
      </c>
      <c r="I3" s="197" t="str">
        <f>100*(1-(SUMIFS('CVD_40q30_Age'!$M$2:$M$7281,'CVD_40q30_Age'!$A$2:$A$7281,A3,'CVD_40q30_Age'!$B$2:$B$7281,B3,'CVD_40q30_Age'!$E$2:$E$7281,G3,'CVD_40q30_Age'!$F$2:$F$7281,H3,'CVD_40q30_Age'!$G$2:$G$7281,69))/(SUMIFS('CVD_40q30_Age'!$L$2:$L$7281,'CVD_40q30_Age'!$A$2:$A$7281,A3,'CVD_40q30_Age'!$B$2:$B$7281,B3,'CVD_40q30_Age'!$E$2:$E$7281,G3,'CVD_40q30_Age'!$F$2:$F$7281,H3,'CVD_40q30_Age'!$G$2:$G$7281,30)))</f>
      </c>
      <c r="J3" s="198" t="str">
        <f>SUMIFS($I$2:$I$183,$A$2:$A$183,A3,$G$2:$G$183,G3,$H$2:$H$183,H3,$B$2:$B$183,"baseline")</f>
      </c>
      <c r="K3" s="199" t="str">
        <f>J3-I3</f>
      </c>
      <c r="L3" s="200" t="str">
        <f>IF(J3=0,"",100*(J3-I3)/J3)</f>
      </c>
      <c r="M3" s="201" t="n">
        <v>14.4569406020079</v>
      </c>
      <c r="N3" s="37" t="str">
        <f>IF(ABS(I3-M3)&lt;=0.001,"match","mismatch")</f>
      </c>
    </row>
    <row r="4">
      <c r="A4" t="s">
        <v>167</v>
      </c>
      <c r="B4" t="s">
        <v>254</v>
      </c>
      <c r="C4" s="35" t="s">
        <v>418</v>
      </c>
      <c r="D4" t="s">
        <v>502</v>
      </c>
      <c r="E4" t="s">
        <v>503</v>
      </c>
      <c r="F4" t="s">
        <v>254</v>
      </c>
      <c r="G4" t="s">
        <v>520</v>
      </c>
      <c r="H4" s="196" t="n">
        <v>2027</v>
      </c>
      <c r="I4" s="197" t="str">
        <f>100*(1-(SUMIFS('CVD_40q30_Age'!$M$2:$M$7281,'CVD_40q30_Age'!$A$2:$A$7281,A4,'CVD_40q30_Age'!$B$2:$B$7281,B4,'CVD_40q30_Age'!$E$2:$E$7281,G4,'CVD_40q30_Age'!$F$2:$F$7281,H4,'CVD_40q30_Age'!$G$2:$G$7281,69))/(SUMIFS('CVD_40q30_Age'!$L$2:$L$7281,'CVD_40q30_Age'!$A$2:$A$7281,A4,'CVD_40q30_Age'!$B$2:$B$7281,B4,'CVD_40q30_Age'!$E$2:$E$7281,G4,'CVD_40q30_Age'!$F$2:$F$7281,H4,'CVD_40q30_Age'!$G$2:$G$7281,30)))</f>
      </c>
      <c r="J4" s="198" t="str">
        <f>SUMIFS($I$2:$I$183,$A$2:$A$183,A4,$G$2:$G$183,G4,$H$2:$H$183,H4,$B$2:$B$183,"baseline")</f>
      </c>
      <c r="K4" s="199" t="str">
        <f>J4-I4</f>
      </c>
      <c r="L4" s="200" t="str">
        <f>IF(J4=0,"",100*(J4-I4)/J4)</f>
      </c>
      <c r="M4" s="201" t="n">
        <v>14.3144664448299</v>
      </c>
      <c r="N4" s="37" t="str">
        <f>IF(ABS(I4-M4)&lt;=0.001,"match","mismatch")</f>
      </c>
    </row>
    <row r="5">
      <c r="A5" t="s">
        <v>167</v>
      </c>
      <c r="B5" t="s">
        <v>254</v>
      </c>
      <c r="C5" s="35" t="s">
        <v>418</v>
      </c>
      <c r="D5" t="s">
        <v>502</v>
      </c>
      <c r="E5" t="s">
        <v>503</v>
      </c>
      <c r="F5" t="s">
        <v>254</v>
      </c>
      <c r="G5" t="s">
        <v>520</v>
      </c>
      <c r="H5" s="196" t="n">
        <v>2028</v>
      </c>
      <c r="I5" s="197" t="str">
        <f>100*(1-(SUMIFS('CVD_40q30_Age'!$M$2:$M$7281,'CVD_40q30_Age'!$A$2:$A$7281,A5,'CVD_40q30_Age'!$B$2:$B$7281,B5,'CVD_40q30_Age'!$E$2:$E$7281,G5,'CVD_40q30_Age'!$F$2:$F$7281,H5,'CVD_40q30_Age'!$G$2:$G$7281,69))/(SUMIFS('CVD_40q30_Age'!$L$2:$L$7281,'CVD_40q30_Age'!$A$2:$A$7281,A5,'CVD_40q30_Age'!$B$2:$B$7281,B5,'CVD_40q30_Age'!$E$2:$E$7281,G5,'CVD_40q30_Age'!$F$2:$F$7281,H5,'CVD_40q30_Age'!$G$2:$G$7281,30)))</f>
      </c>
      <c r="J5" s="198" t="str">
        <f>SUMIFS($I$2:$I$183,$A$2:$A$183,A5,$G$2:$G$183,G5,$H$2:$H$183,H5,$B$2:$B$183,"baseline")</f>
      </c>
      <c r="K5" s="199" t="str">
        <f>J5-I5</f>
      </c>
      <c r="L5" s="200" t="str">
        <f>IF(J5=0,"",100*(J5-I5)/J5)</f>
      </c>
      <c r="M5" s="201" t="n">
        <v>14.1754576346172</v>
      </c>
      <c r="N5" s="37" t="str">
        <f>IF(ABS(I5-M5)&lt;=0.001,"match","mismatch")</f>
      </c>
    </row>
    <row r="6">
      <c r="A6" t="s">
        <v>167</v>
      </c>
      <c r="B6" t="s">
        <v>254</v>
      </c>
      <c r="C6" s="35" t="s">
        <v>418</v>
      </c>
      <c r="D6" t="s">
        <v>502</v>
      </c>
      <c r="E6" t="s">
        <v>503</v>
      </c>
      <c r="F6" t="s">
        <v>254</v>
      </c>
      <c r="G6" t="s">
        <v>520</v>
      </c>
      <c r="H6" s="196" t="n">
        <v>2029</v>
      </c>
      <c r="I6" s="197" t="str">
        <f>100*(1-(SUMIFS('CVD_40q30_Age'!$M$2:$M$7281,'CVD_40q30_Age'!$A$2:$A$7281,A6,'CVD_40q30_Age'!$B$2:$B$7281,B6,'CVD_40q30_Age'!$E$2:$E$7281,G6,'CVD_40q30_Age'!$F$2:$F$7281,H6,'CVD_40q30_Age'!$G$2:$G$7281,69))/(SUMIFS('CVD_40q30_Age'!$L$2:$L$7281,'CVD_40q30_Age'!$A$2:$A$7281,A6,'CVD_40q30_Age'!$B$2:$B$7281,B6,'CVD_40q30_Age'!$E$2:$E$7281,G6,'CVD_40q30_Age'!$F$2:$F$7281,H6,'CVD_40q30_Age'!$G$2:$G$7281,30)))</f>
      </c>
      <c r="J6" s="198" t="str">
        <f>SUMIFS($I$2:$I$183,$A$2:$A$183,A6,$G$2:$G$183,G6,$H$2:$H$183,H6,$B$2:$B$183,"baseline")</f>
      </c>
      <c r="K6" s="199" t="str">
        <f>J6-I6</f>
      </c>
      <c r="L6" s="200" t="str">
        <f>IF(J6=0,"",100*(J6-I6)/J6)</f>
      </c>
      <c r="M6" s="201" t="n">
        <v>14.0336846064097</v>
      </c>
      <c r="N6" s="37" t="str">
        <f>IF(ABS(I6-M6)&lt;=0.001,"match","mismatch")</f>
      </c>
    </row>
    <row r="7">
      <c r="A7" t="s">
        <v>167</v>
      </c>
      <c r="B7" t="s">
        <v>254</v>
      </c>
      <c r="C7" s="35" t="s">
        <v>418</v>
      </c>
      <c r="D7" t="s">
        <v>502</v>
      </c>
      <c r="E7" t="s">
        <v>503</v>
      </c>
      <c r="F7" t="s">
        <v>254</v>
      </c>
      <c r="G7" t="s">
        <v>520</v>
      </c>
      <c r="H7" s="196" t="n">
        <v>2030</v>
      </c>
      <c r="I7" s="197" t="str">
        <f>100*(1-(SUMIFS('CVD_40q30_Age'!$M$2:$M$7281,'CVD_40q30_Age'!$A$2:$A$7281,A7,'CVD_40q30_Age'!$B$2:$B$7281,B7,'CVD_40q30_Age'!$E$2:$E$7281,G7,'CVD_40q30_Age'!$F$2:$F$7281,H7,'CVD_40q30_Age'!$G$2:$G$7281,69))/(SUMIFS('CVD_40q30_Age'!$L$2:$L$7281,'CVD_40q30_Age'!$A$2:$A$7281,A7,'CVD_40q30_Age'!$B$2:$B$7281,B7,'CVD_40q30_Age'!$E$2:$E$7281,G7,'CVD_40q30_Age'!$F$2:$F$7281,H7,'CVD_40q30_Age'!$G$2:$G$7281,30)))</f>
      </c>
      <c r="J7" s="198" t="str">
        <f>SUMIFS($I$2:$I$183,$A$2:$A$183,A7,$G$2:$G$183,G7,$H$2:$H$183,H7,$B$2:$B$183,"baseline")</f>
      </c>
      <c r="K7" s="199" t="str">
        <f>J7-I7</f>
      </c>
      <c r="L7" s="200" t="str">
        <f>IF(J7=0,"",100*(J7-I7)/J7)</f>
      </c>
      <c r="M7" s="201" t="n">
        <v>13.8865516459709</v>
      </c>
      <c r="N7" s="37" t="str">
        <f>IF(ABS(I7-M7)&lt;=0.001,"match","mismatch")</f>
      </c>
    </row>
    <row r="8">
      <c r="A8" t="s">
        <v>167</v>
      </c>
      <c r="B8" t="s">
        <v>254</v>
      </c>
      <c r="C8" s="35" t="s">
        <v>418</v>
      </c>
      <c r="D8" t="s">
        <v>502</v>
      </c>
      <c r="E8" t="s">
        <v>503</v>
      </c>
      <c r="F8" t="s">
        <v>254</v>
      </c>
      <c r="G8" t="s">
        <v>520</v>
      </c>
      <c r="H8" s="196" t="n">
        <v>2031</v>
      </c>
      <c r="I8" s="197" t="str">
        <f>100*(1-(SUMIFS('CVD_40q30_Age'!$M$2:$M$7281,'CVD_40q30_Age'!$A$2:$A$7281,A8,'CVD_40q30_Age'!$B$2:$B$7281,B8,'CVD_40q30_Age'!$E$2:$E$7281,G8,'CVD_40q30_Age'!$F$2:$F$7281,H8,'CVD_40q30_Age'!$G$2:$G$7281,69))/(SUMIFS('CVD_40q30_Age'!$L$2:$L$7281,'CVD_40q30_Age'!$A$2:$A$7281,A8,'CVD_40q30_Age'!$B$2:$B$7281,B8,'CVD_40q30_Age'!$E$2:$E$7281,G8,'CVD_40q30_Age'!$F$2:$F$7281,H8,'CVD_40q30_Age'!$G$2:$G$7281,30)))</f>
      </c>
      <c r="J8" s="198" t="str">
        <f>SUMIFS($I$2:$I$183,$A$2:$A$183,A8,$G$2:$G$183,G8,$H$2:$H$183,H8,$B$2:$B$183,"baseline")</f>
      </c>
      <c r="K8" s="199" t="str">
        <f>J8-I8</f>
      </c>
      <c r="L8" s="200" t="str">
        <f>IF(J8=0,"",100*(J8-I8)/J8)</f>
      </c>
      <c r="M8" s="201" t="n">
        <v>13.7793639896768</v>
      </c>
      <c r="N8" s="37" t="str">
        <f>IF(ABS(I8-M8)&lt;=0.001,"match","mismatch")</f>
      </c>
    </row>
    <row r="9">
      <c r="A9" t="s">
        <v>167</v>
      </c>
      <c r="B9" t="s">
        <v>254</v>
      </c>
      <c r="C9" s="35" t="s">
        <v>418</v>
      </c>
      <c r="D9" t="s">
        <v>502</v>
      </c>
      <c r="E9" t="s">
        <v>503</v>
      </c>
      <c r="F9" t="s">
        <v>254</v>
      </c>
      <c r="G9" t="s">
        <v>520</v>
      </c>
      <c r="H9" s="196" t="n">
        <v>2032</v>
      </c>
      <c r="I9" s="197" t="str">
        <f>100*(1-(SUMIFS('CVD_40q30_Age'!$M$2:$M$7281,'CVD_40q30_Age'!$A$2:$A$7281,A9,'CVD_40q30_Age'!$B$2:$B$7281,B9,'CVD_40q30_Age'!$E$2:$E$7281,G9,'CVD_40q30_Age'!$F$2:$F$7281,H9,'CVD_40q30_Age'!$G$2:$G$7281,69))/(SUMIFS('CVD_40q30_Age'!$L$2:$L$7281,'CVD_40q30_Age'!$A$2:$A$7281,A9,'CVD_40q30_Age'!$B$2:$B$7281,B9,'CVD_40q30_Age'!$E$2:$E$7281,G9,'CVD_40q30_Age'!$F$2:$F$7281,H9,'CVD_40q30_Age'!$G$2:$G$7281,30)))</f>
      </c>
      <c r="J9" s="198" t="str">
        <f>SUMIFS($I$2:$I$183,$A$2:$A$183,A9,$G$2:$G$183,G9,$H$2:$H$183,H9,$B$2:$B$183,"baseline")</f>
      </c>
      <c r="K9" s="199" t="str">
        <f>J9-I9</f>
      </c>
      <c r="L9" s="200" t="str">
        <f>IF(J9=0,"",100*(J9-I9)/J9)</f>
      </c>
      <c r="M9" s="201" t="n">
        <v>13.661763102572</v>
      </c>
      <c r="N9" s="37" t="str">
        <f>IF(ABS(I9-M9)&lt;=0.001,"match","mismatch")</f>
      </c>
    </row>
    <row r="10">
      <c r="A10" t="s">
        <v>167</v>
      </c>
      <c r="B10" t="s">
        <v>254</v>
      </c>
      <c r="C10" s="35" t="s">
        <v>418</v>
      </c>
      <c r="D10" t="s">
        <v>502</v>
      </c>
      <c r="E10" t="s">
        <v>503</v>
      </c>
      <c r="F10" t="s">
        <v>254</v>
      </c>
      <c r="G10" t="s">
        <v>520</v>
      </c>
      <c r="H10" s="196" t="n">
        <v>2033</v>
      </c>
      <c r="I10" s="197" t="str">
        <f>100*(1-(SUMIFS('CVD_40q30_Age'!$M$2:$M$7281,'CVD_40q30_Age'!$A$2:$A$7281,A10,'CVD_40q30_Age'!$B$2:$B$7281,B10,'CVD_40q30_Age'!$E$2:$E$7281,G10,'CVD_40q30_Age'!$F$2:$F$7281,H10,'CVD_40q30_Age'!$G$2:$G$7281,69))/(SUMIFS('CVD_40q30_Age'!$L$2:$L$7281,'CVD_40q30_Age'!$A$2:$A$7281,A10,'CVD_40q30_Age'!$B$2:$B$7281,B10,'CVD_40q30_Age'!$E$2:$E$7281,G10,'CVD_40q30_Age'!$F$2:$F$7281,H10,'CVD_40q30_Age'!$G$2:$G$7281,30)))</f>
      </c>
      <c r="J10" s="198" t="str">
        <f>SUMIFS($I$2:$I$183,$A$2:$A$183,A10,$G$2:$G$183,G10,$H$2:$H$183,H10,$B$2:$B$183,"baseline")</f>
      </c>
      <c r="K10" s="199" t="str">
        <f>J10-I10</f>
      </c>
      <c r="L10" s="200" t="str">
        <f>IF(J10=0,"",100*(J10-I10)/J10)</f>
      </c>
      <c r="M10" s="201" t="n">
        <v>13.5313952860661</v>
      </c>
      <c r="N10" s="37" t="str">
        <f>IF(ABS(I10-M10)&lt;=0.001,"match","mismatch")</f>
      </c>
    </row>
    <row r="11">
      <c r="A11" t="s">
        <v>167</v>
      </c>
      <c r="B11" t="s">
        <v>254</v>
      </c>
      <c r="C11" s="35" t="s">
        <v>418</v>
      </c>
      <c r="D11" t="s">
        <v>502</v>
      </c>
      <c r="E11" t="s">
        <v>503</v>
      </c>
      <c r="F11" t="s">
        <v>254</v>
      </c>
      <c r="G11" t="s">
        <v>520</v>
      </c>
      <c r="H11" s="196" t="n">
        <v>2034</v>
      </c>
      <c r="I11" s="197" t="str">
        <f>100*(1-(SUMIFS('CVD_40q30_Age'!$M$2:$M$7281,'CVD_40q30_Age'!$A$2:$A$7281,A11,'CVD_40q30_Age'!$B$2:$B$7281,B11,'CVD_40q30_Age'!$E$2:$E$7281,G11,'CVD_40q30_Age'!$F$2:$F$7281,H11,'CVD_40q30_Age'!$G$2:$G$7281,69))/(SUMIFS('CVD_40q30_Age'!$L$2:$L$7281,'CVD_40q30_Age'!$A$2:$A$7281,A11,'CVD_40q30_Age'!$B$2:$B$7281,B11,'CVD_40q30_Age'!$E$2:$E$7281,G11,'CVD_40q30_Age'!$F$2:$F$7281,H11,'CVD_40q30_Age'!$G$2:$G$7281,30)))</f>
      </c>
      <c r="J11" s="198" t="str">
        <f>SUMIFS($I$2:$I$183,$A$2:$A$183,A11,$G$2:$G$183,G11,$H$2:$H$183,H11,$B$2:$B$183,"baseline")</f>
      </c>
      <c r="K11" s="199" t="str">
        <f>J11-I11</f>
      </c>
      <c r="L11" s="200" t="str">
        <f>IF(J11=0,"",100*(J11-I11)/J11)</f>
      </c>
      <c r="M11" s="201" t="n">
        <v>13.4190380137032</v>
      </c>
      <c r="N11" s="37" t="str">
        <f>IF(ABS(I11-M11)&lt;=0.001,"match","mismatch")</f>
      </c>
    </row>
    <row r="12">
      <c r="A12" t="s">
        <v>167</v>
      </c>
      <c r="B12" t="s">
        <v>254</v>
      </c>
      <c r="C12" s="35" t="s">
        <v>418</v>
      </c>
      <c r="D12" t="s">
        <v>502</v>
      </c>
      <c r="E12" t="s">
        <v>503</v>
      </c>
      <c r="F12" t="s">
        <v>254</v>
      </c>
      <c r="G12" t="s">
        <v>520</v>
      </c>
      <c r="H12" s="196" t="n">
        <v>2035</v>
      </c>
      <c r="I12" s="197" t="str">
        <f>100*(1-(SUMIFS('CVD_40q30_Age'!$M$2:$M$7281,'CVD_40q30_Age'!$A$2:$A$7281,A12,'CVD_40q30_Age'!$B$2:$B$7281,B12,'CVD_40q30_Age'!$E$2:$E$7281,G12,'CVD_40q30_Age'!$F$2:$F$7281,H12,'CVD_40q30_Age'!$G$2:$G$7281,69))/(SUMIFS('CVD_40q30_Age'!$L$2:$L$7281,'CVD_40q30_Age'!$A$2:$A$7281,A12,'CVD_40q30_Age'!$B$2:$B$7281,B12,'CVD_40q30_Age'!$E$2:$E$7281,G12,'CVD_40q30_Age'!$F$2:$F$7281,H12,'CVD_40q30_Age'!$G$2:$G$7281,30)))</f>
      </c>
      <c r="J12" s="198" t="str">
        <f>SUMIFS($I$2:$I$183,$A$2:$A$183,A12,$G$2:$G$183,G12,$H$2:$H$183,H12,$B$2:$B$183,"baseline")</f>
      </c>
      <c r="K12" s="199" t="str">
        <f>J12-I12</f>
      </c>
      <c r="L12" s="200" t="str">
        <f>IF(J12=0,"",100*(J12-I12)/J12)</f>
      </c>
      <c r="M12" s="201" t="n">
        <v>13.2978895965506</v>
      </c>
      <c r="N12" s="37" t="str">
        <f>IF(ABS(I12-M12)&lt;=0.001,"match","mismatch")</f>
      </c>
    </row>
    <row r="13">
      <c r="A13" t="s">
        <v>167</v>
      </c>
      <c r="B13" t="s">
        <v>254</v>
      </c>
      <c r="C13" s="35" t="s">
        <v>418</v>
      </c>
      <c r="D13" t="s">
        <v>502</v>
      </c>
      <c r="E13" t="s">
        <v>503</v>
      </c>
      <c r="F13" t="s">
        <v>254</v>
      </c>
      <c r="G13" t="s">
        <v>520</v>
      </c>
      <c r="H13" s="196" t="n">
        <v>2036</v>
      </c>
      <c r="I13" s="197" t="str">
        <f>100*(1-(SUMIFS('CVD_40q30_Age'!$M$2:$M$7281,'CVD_40q30_Age'!$A$2:$A$7281,A13,'CVD_40q30_Age'!$B$2:$B$7281,B13,'CVD_40q30_Age'!$E$2:$E$7281,G13,'CVD_40q30_Age'!$F$2:$F$7281,H13,'CVD_40q30_Age'!$G$2:$G$7281,69))/(SUMIFS('CVD_40q30_Age'!$L$2:$L$7281,'CVD_40q30_Age'!$A$2:$A$7281,A13,'CVD_40q30_Age'!$B$2:$B$7281,B13,'CVD_40q30_Age'!$E$2:$E$7281,G13,'CVD_40q30_Age'!$F$2:$F$7281,H13,'CVD_40q30_Age'!$G$2:$G$7281,30)))</f>
      </c>
      <c r="J13" s="198" t="str">
        <f>SUMIFS($I$2:$I$183,$A$2:$A$183,A13,$G$2:$G$183,G13,$H$2:$H$183,H13,$B$2:$B$183,"baseline")</f>
      </c>
      <c r="K13" s="199" t="str">
        <f>J13-I13</f>
      </c>
      <c r="L13" s="200" t="str">
        <f>IF(J13=0,"",100*(J13-I13)/J13)</f>
      </c>
      <c r="M13" s="201" t="n">
        <v>13.1427500953624</v>
      </c>
      <c r="N13" s="37" t="str">
        <f>IF(ABS(I13-M13)&lt;=0.001,"match","mismatch")</f>
      </c>
    </row>
    <row r="14">
      <c r="A14" t="s">
        <v>167</v>
      </c>
      <c r="B14" t="s">
        <v>254</v>
      </c>
      <c r="C14" s="35" t="s">
        <v>418</v>
      </c>
      <c r="D14" t="s">
        <v>502</v>
      </c>
      <c r="E14" t="s">
        <v>503</v>
      </c>
      <c r="F14" t="s">
        <v>254</v>
      </c>
      <c r="G14" t="s">
        <v>520</v>
      </c>
      <c r="H14" s="196" t="n">
        <v>2037</v>
      </c>
      <c r="I14" s="197" t="str">
        <f>100*(1-(SUMIFS('CVD_40q30_Age'!$M$2:$M$7281,'CVD_40q30_Age'!$A$2:$A$7281,A14,'CVD_40q30_Age'!$B$2:$B$7281,B14,'CVD_40q30_Age'!$E$2:$E$7281,G14,'CVD_40q30_Age'!$F$2:$F$7281,H14,'CVD_40q30_Age'!$G$2:$G$7281,69))/(SUMIFS('CVD_40q30_Age'!$L$2:$L$7281,'CVD_40q30_Age'!$A$2:$A$7281,A14,'CVD_40q30_Age'!$B$2:$B$7281,B14,'CVD_40q30_Age'!$E$2:$E$7281,G14,'CVD_40q30_Age'!$F$2:$F$7281,H14,'CVD_40q30_Age'!$G$2:$G$7281,30)))</f>
      </c>
      <c r="J14" s="198" t="str">
        <f>SUMIFS($I$2:$I$183,$A$2:$A$183,A14,$G$2:$G$183,G14,$H$2:$H$183,H14,$B$2:$B$183,"baseline")</f>
      </c>
      <c r="K14" s="199" t="str">
        <f>J14-I14</f>
      </c>
      <c r="L14" s="200" t="str">
        <f>IF(J14=0,"",100*(J14-I14)/J14)</f>
      </c>
      <c r="M14" s="201" t="n">
        <v>12.9870717601622</v>
      </c>
      <c r="N14" s="37" t="str">
        <f>IF(ABS(I14-M14)&lt;=0.001,"match","mismatch")</f>
      </c>
    </row>
    <row r="15">
      <c r="A15" t="s">
        <v>167</v>
      </c>
      <c r="B15" t="s">
        <v>254</v>
      </c>
      <c r="C15" s="35" t="s">
        <v>418</v>
      </c>
      <c r="D15" t="s">
        <v>502</v>
      </c>
      <c r="E15" t="s">
        <v>503</v>
      </c>
      <c r="F15" t="s">
        <v>254</v>
      </c>
      <c r="G15" t="s">
        <v>520</v>
      </c>
      <c r="H15" s="196" t="n">
        <v>2038</v>
      </c>
      <c r="I15" s="197" t="str">
        <f>100*(1-(SUMIFS('CVD_40q30_Age'!$M$2:$M$7281,'CVD_40q30_Age'!$A$2:$A$7281,A15,'CVD_40q30_Age'!$B$2:$B$7281,B15,'CVD_40q30_Age'!$E$2:$E$7281,G15,'CVD_40q30_Age'!$F$2:$F$7281,H15,'CVD_40q30_Age'!$G$2:$G$7281,69))/(SUMIFS('CVD_40q30_Age'!$L$2:$L$7281,'CVD_40q30_Age'!$A$2:$A$7281,A15,'CVD_40q30_Age'!$B$2:$B$7281,B15,'CVD_40q30_Age'!$E$2:$E$7281,G15,'CVD_40q30_Age'!$F$2:$F$7281,H15,'CVD_40q30_Age'!$G$2:$G$7281,30)))</f>
      </c>
      <c r="J15" s="198" t="str">
        <f>SUMIFS($I$2:$I$183,$A$2:$A$183,A15,$G$2:$G$183,G15,$H$2:$H$183,H15,$B$2:$B$183,"baseline")</f>
      </c>
      <c r="K15" s="199" t="str">
        <f>J15-I15</f>
      </c>
      <c r="L15" s="200" t="str">
        <f>IF(J15=0,"",100*(J15-I15)/J15)</f>
      </c>
      <c r="M15" s="201" t="n">
        <v>12.8290177980545</v>
      </c>
      <c r="N15" s="37" t="str">
        <f>IF(ABS(I15-M15)&lt;=0.001,"match","mismatch")</f>
      </c>
    </row>
    <row r="16">
      <c r="A16" t="s">
        <v>167</v>
      </c>
      <c r="B16" t="s">
        <v>254</v>
      </c>
      <c r="C16" s="35" t="s">
        <v>418</v>
      </c>
      <c r="D16" t="s">
        <v>502</v>
      </c>
      <c r="E16" t="s">
        <v>503</v>
      </c>
      <c r="F16" t="s">
        <v>254</v>
      </c>
      <c r="G16" t="s">
        <v>520</v>
      </c>
      <c r="H16" s="196" t="n">
        <v>2039</v>
      </c>
      <c r="I16" s="197" t="str">
        <f>100*(1-(SUMIFS('CVD_40q30_Age'!$M$2:$M$7281,'CVD_40q30_Age'!$A$2:$A$7281,A16,'CVD_40q30_Age'!$B$2:$B$7281,B16,'CVD_40q30_Age'!$E$2:$E$7281,G16,'CVD_40q30_Age'!$F$2:$F$7281,H16,'CVD_40q30_Age'!$G$2:$G$7281,69))/(SUMIFS('CVD_40q30_Age'!$L$2:$L$7281,'CVD_40q30_Age'!$A$2:$A$7281,A16,'CVD_40q30_Age'!$B$2:$B$7281,B16,'CVD_40q30_Age'!$E$2:$E$7281,G16,'CVD_40q30_Age'!$F$2:$F$7281,H16,'CVD_40q30_Age'!$G$2:$G$7281,30)))</f>
      </c>
      <c r="J16" s="198" t="str">
        <f>SUMIFS($I$2:$I$183,$A$2:$A$183,A16,$G$2:$G$183,G16,$H$2:$H$183,H16,$B$2:$B$183,"baseline")</f>
      </c>
      <c r="K16" s="199" t="str">
        <f>J16-I16</f>
      </c>
      <c r="L16" s="200" t="str">
        <f>IF(J16=0,"",100*(J16-I16)/J16)</f>
      </c>
      <c r="M16" s="201" t="n">
        <v>12.679215230084</v>
      </c>
      <c r="N16" s="37" t="str">
        <f>IF(ABS(I16-M16)&lt;=0.001,"match","mismatch")</f>
      </c>
    </row>
    <row r="17">
      <c r="A17" t="s">
        <v>167</v>
      </c>
      <c r="B17" t="s">
        <v>254</v>
      </c>
      <c r="C17" s="35" t="s">
        <v>418</v>
      </c>
      <c r="D17" t="s">
        <v>502</v>
      </c>
      <c r="E17" t="s">
        <v>503</v>
      </c>
      <c r="F17" t="s">
        <v>254</v>
      </c>
      <c r="G17" t="s">
        <v>520</v>
      </c>
      <c r="H17" s="196" t="n">
        <v>2040</v>
      </c>
      <c r="I17" s="197" t="str">
        <f>100*(1-(SUMIFS('CVD_40q30_Age'!$M$2:$M$7281,'CVD_40q30_Age'!$A$2:$A$7281,A17,'CVD_40q30_Age'!$B$2:$B$7281,B17,'CVD_40q30_Age'!$E$2:$E$7281,G17,'CVD_40q30_Age'!$F$2:$F$7281,H17,'CVD_40q30_Age'!$G$2:$G$7281,69))/(SUMIFS('CVD_40q30_Age'!$L$2:$L$7281,'CVD_40q30_Age'!$A$2:$A$7281,A17,'CVD_40q30_Age'!$B$2:$B$7281,B17,'CVD_40q30_Age'!$E$2:$E$7281,G17,'CVD_40q30_Age'!$F$2:$F$7281,H17,'CVD_40q30_Age'!$G$2:$G$7281,30)))</f>
      </c>
      <c r="J17" s="198" t="str">
        <f>SUMIFS($I$2:$I$183,$A$2:$A$183,A17,$G$2:$G$183,G17,$H$2:$H$183,H17,$B$2:$B$183,"baseline")</f>
      </c>
      <c r="K17" s="199" t="str">
        <f>J17-I17</f>
      </c>
      <c r="L17" s="200" t="str">
        <f>IF(J17=0,"",100*(J17-I17)/J17)</f>
      </c>
      <c r="M17" s="201" t="n">
        <v>12.5229124738862</v>
      </c>
      <c r="N17" s="37" t="str">
        <f>IF(ABS(I17-M17)&lt;=0.001,"match","mismatch")</f>
      </c>
    </row>
    <row r="18">
      <c r="A18" t="s">
        <v>167</v>
      </c>
      <c r="B18" t="s">
        <v>254</v>
      </c>
      <c r="C18" s="35" t="s">
        <v>418</v>
      </c>
      <c r="D18" t="s">
        <v>502</v>
      </c>
      <c r="E18" t="s">
        <v>503</v>
      </c>
      <c r="F18" t="s">
        <v>254</v>
      </c>
      <c r="G18" t="s">
        <v>520</v>
      </c>
      <c r="H18" s="196" t="n">
        <v>2041</v>
      </c>
      <c r="I18" s="197" t="str">
        <f>100*(1-(SUMIFS('CVD_40q30_Age'!$M$2:$M$7281,'CVD_40q30_Age'!$A$2:$A$7281,A18,'CVD_40q30_Age'!$B$2:$B$7281,B18,'CVD_40q30_Age'!$E$2:$E$7281,G18,'CVD_40q30_Age'!$F$2:$F$7281,H18,'CVD_40q30_Age'!$G$2:$G$7281,69))/(SUMIFS('CVD_40q30_Age'!$L$2:$L$7281,'CVD_40q30_Age'!$A$2:$A$7281,A18,'CVD_40q30_Age'!$B$2:$B$7281,B18,'CVD_40q30_Age'!$E$2:$E$7281,G18,'CVD_40q30_Age'!$F$2:$F$7281,H18,'CVD_40q30_Age'!$G$2:$G$7281,30)))</f>
      </c>
      <c r="J18" s="198" t="str">
        <f>SUMIFS($I$2:$I$183,$A$2:$A$183,A18,$G$2:$G$183,G18,$H$2:$H$183,H18,$B$2:$B$183,"baseline")</f>
      </c>
      <c r="K18" s="199" t="str">
        <f>J18-I18</f>
      </c>
      <c r="L18" s="200" t="str">
        <f>IF(J18=0,"",100*(J18-I18)/J18)</f>
      </c>
      <c r="M18" s="201" t="n">
        <v>12.4045202394576</v>
      </c>
      <c r="N18" s="37" t="str">
        <f>IF(ABS(I18-M18)&lt;=0.001,"match","mismatch")</f>
      </c>
    </row>
    <row r="19">
      <c r="A19" t="s">
        <v>167</v>
      </c>
      <c r="B19" t="s">
        <v>254</v>
      </c>
      <c r="C19" s="35" t="s">
        <v>418</v>
      </c>
      <c r="D19" t="s">
        <v>502</v>
      </c>
      <c r="E19" t="s">
        <v>503</v>
      </c>
      <c r="F19" t="s">
        <v>254</v>
      </c>
      <c r="G19" t="s">
        <v>520</v>
      </c>
      <c r="H19" s="196" t="n">
        <v>2042</v>
      </c>
      <c r="I19" s="197" t="str">
        <f>100*(1-(SUMIFS('CVD_40q30_Age'!$M$2:$M$7281,'CVD_40q30_Age'!$A$2:$A$7281,A19,'CVD_40q30_Age'!$B$2:$B$7281,B19,'CVD_40q30_Age'!$E$2:$E$7281,G19,'CVD_40q30_Age'!$F$2:$F$7281,H19,'CVD_40q30_Age'!$G$2:$G$7281,69))/(SUMIFS('CVD_40q30_Age'!$L$2:$L$7281,'CVD_40q30_Age'!$A$2:$A$7281,A19,'CVD_40q30_Age'!$B$2:$B$7281,B19,'CVD_40q30_Age'!$E$2:$E$7281,G19,'CVD_40q30_Age'!$F$2:$F$7281,H19,'CVD_40q30_Age'!$G$2:$G$7281,30)))</f>
      </c>
      <c r="J19" s="198" t="str">
        <f>SUMIFS($I$2:$I$183,$A$2:$A$183,A19,$G$2:$G$183,G19,$H$2:$H$183,H19,$B$2:$B$183,"baseline")</f>
      </c>
      <c r="K19" s="199" t="str">
        <f>J19-I19</f>
      </c>
      <c r="L19" s="200" t="str">
        <f>IF(J19=0,"",100*(J19-I19)/J19)</f>
      </c>
      <c r="M19" s="201" t="n">
        <v>12.2798695571157</v>
      </c>
      <c r="N19" s="37" t="str">
        <f>IF(ABS(I19-M19)&lt;=0.001,"match","mismatch")</f>
      </c>
    </row>
    <row r="20">
      <c r="A20" t="s">
        <v>167</v>
      </c>
      <c r="B20" t="s">
        <v>254</v>
      </c>
      <c r="C20" s="35" t="s">
        <v>418</v>
      </c>
      <c r="D20" t="s">
        <v>502</v>
      </c>
      <c r="E20" t="s">
        <v>503</v>
      </c>
      <c r="F20" t="s">
        <v>254</v>
      </c>
      <c r="G20" t="s">
        <v>520</v>
      </c>
      <c r="H20" s="196" t="n">
        <v>2043</v>
      </c>
      <c r="I20" s="197" t="str">
        <f>100*(1-(SUMIFS('CVD_40q30_Age'!$M$2:$M$7281,'CVD_40q30_Age'!$A$2:$A$7281,A20,'CVD_40q30_Age'!$B$2:$B$7281,B20,'CVD_40q30_Age'!$E$2:$E$7281,G20,'CVD_40q30_Age'!$F$2:$F$7281,H20,'CVD_40q30_Age'!$G$2:$G$7281,69))/(SUMIFS('CVD_40q30_Age'!$L$2:$L$7281,'CVD_40q30_Age'!$A$2:$A$7281,A20,'CVD_40q30_Age'!$B$2:$B$7281,B20,'CVD_40q30_Age'!$E$2:$E$7281,G20,'CVD_40q30_Age'!$F$2:$F$7281,H20,'CVD_40q30_Age'!$G$2:$G$7281,30)))</f>
      </c>
      <c r="J20" s="198" t="str">
        <f>SUMIFS($I$2:$I$183,$A$2:$A$183,A20,$G$2:$G$183,G20,$H$2:$H$183,H20,$B$2:$B$183,"baseline")</f>
      </c>
      <c r="K20" s="199" t="str">
        <f>J20-I20</f>
      </c>
      <c r="L20" s="200" t="str">
        <f>IF(J20=0,"",100*(J20-I20)/J20)</f>
      </c>
      <c r="M20" s="201" t="n">
        <v>12.1480299920848</v>
      </c>
      <c r="N20" s="37" t="str">
        <f>IF(ABS(I20-M20)&lt;=0.001,"match","mismatch")</f>
      </c>
    </row>
    <row r="21">
      <c r="A21" t="s">
        <v>167</v>
      </c>
      <c r="B21" t="s">
        <v>254</v>
      </c>
      <c r="C21" s="35" t="s">
        <v>418</v>
      </c>
      <c r="D21" t="s">
        <v>502</v>
      </c>
      <c r="E21" t="s">
        <v>503</v>
      </c>
      <c r="F21" t="s">
        <v>254</v>
      </c>
      <c r="G21" t="s">
        <v>520</v>
      </c>
      <c r="H21" s="196" t="n">
        <v>2044</v>
      </c>
      <c r="I21" s="197" t="str">
        <f>100*(1-(SUMIFS('CVD_40q30_Age'!$M$2:$M$7281,'CVD_40q30_Age'!$A$2:$A$7281,A21,'CVD_40q30_Age'!$B$2:$B$7281,B21,'CVD_40q30_Age'!$E$2:$E$7281,G21,'CVD_40q30_Age'!$F$2:$F$7281,H21,'CVD_40q30_Age'!$G$2:$G$7281,69))/(SUMIFS('CVD_40q30_Age'!$L$2:$L$7281,'CVD_40q30_Age'!$A$2:$A$7281,A21,'CVD_40q30_Age'!$B$2:$B$7281,B21,'CVD_40q30_Age'!$E$2:$E$7281,G21,'CVD_40q30_Age'!$F$2:$F$7281,H21,'CVD_40q30_Age'!$G$2:$G$7281,30)))</f>
      </c>
      <c r="J21" s="198" t="str">
        <f>SUMIFS($I$2:$I$183,$A$2:$A$183,A21,$G$2:$G$183,G21,$H$2:$H$183,H21,$B$2:$B$183,"baseline")</f>
      </c>
      <c r="K21" s="199" t="str">
        <f>J21-I21</f>
      </c>
      <c r="L21" s="200" t="str">
        <f>IF(J21=0,"",100*(J21-I21)/J21)</f>
      </c>
      <c r="M21" s="201" t="n">
        <v>12.017559007608</v>
      </c>
      <c r="N21" s="37" t="str">
        <f>IF(ABS(I21-M21)&lt;=0.001,"match","mismatch")</f>
      </c>
    </row>
    <row r="22">
      <c r="A22" t="s">
        <v>167</v>
      </c>
      <c r="B22" t="s">
        <v>254</v>
      </c>
      <c r="C22" s="35" t="s">
        <v>418</v>
      </c>
      <c r="D22" t="s">
        <v>502</v>
      </c>
      <c r="E22" t="s">
        <v>503</v>
      </c>
      <c r="F22" t="s">
        <v>254</v>
      </c>
      <c r="G22" t="s">
        <v>520</v>
      </c>
      <c r="H22" s="196" t="n">
        <v>2045</v>
      </c>
      <c r="I22" s="197" t="str">
        <f>100*(1-(SUMIFS('CVD_40q30_Age'!$M$2:$M$7281,'CVD_40q30_Age'!$A$2:$A$7281,A22,'CVD_40q30_Age'!$B$2:$B$7281,B22,'CVD_40q30_Age'!$E$2:$E$7281,G22,'CVD_40q30_Age'!$F$2:$F$7281,H22,'CVD_40q30_Age'!$G$2:$G$7281,69))/(SUMIFS('CVD_40q30_Age'!$L$2:$L$7281,'CVD_40q30_Age'!$A$2:$A$7281,A22,'CVD_40q30_Age'!$B$2:$B$7281,B22,'CVD_40q30_Age'!$E$2:$E$7281,G22,'CVD_40q30_Age'!$F$2:$F$7281,H22,'CVD_40q30_Age'!$G$2:$G$7281,30)))</f>
      </c>
      <c r="J22" s="198" t="str">
        <f>SUMIFS($I$2:$I$183,$A$2:$A$183,A22,$G$2:$G$183,G22,$H$2:$H$183,H22,$B$2:$B$183,"baseline")</f>
      </c>
      <c r="K22" s="199" t="str">
        <f>J22-I22</f>
      </c>
      <c r="L22" s="200" t="str">
        <f>IF(J22=0,"",100*(J22-I22)/J22)</f>
      </c>
      <c r="M22" s="201" t="n">
        <v>11.8945558033378</v>
      </c>
      <c r="N22" s="37" t="str">
        <f>IF(ABS(I22-M22)&lt;=0.001,"match","mismatch")</f>
      </c>
    </row>
    <row r="23">
      <c r="A23" t="s">
        <v>167</v>
      </c>
      <c r="B23" t="s">
        <v>254</v>
      </c>
      <c r="C23" s="35" t="s">
        <v>418</v>
      </c>
      <c r="D23" t="s">
        <v>502</v>
      </c>
      <c r="E23" t="s">
        <v>503</v>
      </c>
      <c r="F23" t="s">
        <v>254</v>
      </c>
      <c r="G23" t="s">
        <v>520</v>
      </c>
      <c r="H23" s="196" t="n">
        <v>2046</v>
      </c>
      <c r="I23" s="197" t="str">
        <f>100*(1-(SUMIFS('CVD_40q30_Age'!$M$2:$M$7281,'CVD_40q30_Age'!$A$2:$A$7281,A23,'CVD_40q30_Age'!$B$2:$B$7281,B23,'CVD_40q30_Age'!$E$2:$E$7281,G23,'CVD_40q30_Age'!$F$2:$F$7281,H23,'CVD_40q30_Age'!$G$2:$G$7281,69))/(SUMIFS('CVD_40q30_Age'!$L$2:$L$7281,'CVD_40q30_Age'!$A$2:$A$7281,A23,'CVD_40q30_Age'!$B$2:$B$7281,B23,'CVD_40q30_Age'!$E$2:$E$7281,G23,'CVD_40q30_Age'!$F$2:$F$7281,H23,'CVD_40q30_Age'!$G$2:$G$7281,30)))</f>
      </c>
      <c r="J23" s="198" t="str">
        <f>SUMIFS($I$2:$I$183,$A$2:$A$183,A23,$G$2:$G$183,G23,$H$2:$H$183,H23,$B$2:$B$183,"baseline")</f>
      </c>
      <c r="K23" s="199" t="str">
        <f>J23-I23</f>
      </c>
      <c r="L23" s="200" t="str">
        <f>IF(J23=0,"",100*(J23-I23)/J23)</f>
      </c>
      <c r="M23" s="201" t="n">
        <v>11.7687205147808</v>
      </c>
      <c r="N23" s="37" t="str">
        <f>IF(ABS(I23-M23)&lt;=0.001,"match","mismatch")</f>
      </c>
    </row>
    <row r="24">
      <c r="A24" t="s">
        <v>167</v>
      </c>
      <c r="B24" t="s">
        <v>254</v>
      </c>
      <c r="C24" s="35" t="s">
        <v>418</v>
      </c>
      <c r="D24" t="s">
        <v>502</v>
      </c>
      <c r="E24" t="s">
        <v>503</v>
      </c>
      <c r="F24" t="s">
        <v>254</v>
      </c>
      <c r="G24" t="s">
        <v>520</v>
      </c>
      <c r="H24" s="196" t="n">
        <v>2047</v>
      </c>
      <c r="I24" s="197" t="str">
        <f>100*(1-(SUMIFS('CVD_40q30_Age'!$M$2:$M$7281,'CVD_40q30_Age'!$A$2:$A$7281,A24,'CVD_40q30_Age'!$B$2:$B$7281,B24,'CVD_40q30_Age'!$E$2:$E$7281,G24,'CVD_40q30_Age'!$F$2:$F$7281,H24,'CVD_40q30_Age'!$G$2:$G$7281,69))/(SUMIFS('CVD_40q30_Age'!$L$2:$L$7281,'CVD_40q30_Age'!$A$2:$A$7281,A24,'CVD_40q30_Age'!$B$2:$B$7281,B24,'CVD_40q30_Age'!$E$2:$E$7281,G24,'CVD_40q30_Age'!$F$2:$F$7281,H24,'CVD_40q30_Age'!$G$2:$G$7281,30)))</f>
      </c>
      <c r="J24" s="198" t="str">
        <f>SUMIFS($I$2:$I$183,$A$2:$A$183,A24,$G$2:$G$183,G24,$H$2:$H$183,H24,$B$2:$B$183,"baseline")</f>
      </c>
      <c r="K24" s="199" t="str">
        <f>J24-I24</f>
      </c>
      <c r="L24" s="200" t="str">
        <f>IF(J24=0,"",100*(J24-I24)/J24)</f>
      </c>
      <c r="M24" s="201" t="n">
        <v>11.6416034099614</v>
      </c>
      <c r="N24" s="37" t="str">
        <f>IF(ABS(I24-M24)&lt;=0.001,"match","mismatch")</f>
      </c>
    </row>
    <row r="25">
      <c r="A25" t="s">
        <v>167</v>
      </c>
      <c r="B25" t="s">
        <v>254</v>
      </c>
      <c r="C25" s="35" t="s">
        <v>418</v>
      </c>
      <c r="D25" t="s">
        <v>502</v>
      </c>
      <c r="E25" t="s">
        <v>503</v>
      </c>
      <c r="F25" t="s">
        <v>254</v>
      </c>
      <c r="G25" t="s">
        <v>520</v>
      </c>
      <c r="H25" s="196" t="n">
        <v>2048</v>
      </c>
      <c r="I25" s="197" t="str">
        <f>100*(1-(SUMIFS('CVD_40q30_Age'!$M$2:$M$7281,'CVD_40q30_Age'!$A$2:$A$7281,A25,'CVD_40q30_Age'!$B$2:$B$7281,B25,'CVD_40q30_Age'!$E$2:$E$7281,G25,'CVD_40q30_Age'!$F$2:$F$7281,H25,'CVD_40q30_Age'!$G$2:$G$7281,69))/(SUMIFS('CVD_40q30_Age'!$L$2:$L$7281,'CVD_40q30_Age'!$A$2:$A$7281,A25,'CVD_40q30_Age'!$B$2:$B$7281,B25,'CVD_40q30_Age'!$E$2:$E$7281,G25,'CVD_40q30_Age'!$F$2:$F$7281,H25,'CVD_40q30_Age'!$G$2:$G$7281,30)))</f>
      </c>
      <c r="J25" s="198" t="str">
        <f>SUMIFS($I$2:$I$183,$A$2:$A$183,A25,$G$2:$G$183,G25,$H$2:$H$183,H25,$B$2:$B$183,"baseline")</f>
      </c>
      <c r="K25" s="199" t="str">
        <f>J25-I25</f>
      </c>
      <c r="L25" s="200" t="str">
        <f>IF(J25=0,"",100*(J25-I25)/J25)</f>
      </c>
      <c r="M25" s="201" t="n">
        <v>11.5095947794724</v>
      </c>
      <c r="N25" s="37" t="str">
        <f>IF(ABS(I25-M25)&lt;=0.001,"match","mismatch")</f>
      </c>
    </row>
    <row r="26">
      <c r="A26" t="s">
        <v>167</v>
      </c>
      <c r="B26" t="s">
        <v>254</v>
      </c>
      <c r="C26" s="35" t="s">
        <v>418</v>
      </c>
      <c r="D26" t="s">
        <v>502</v>
      </c>
      <c r="E26" t="s">
        <v>503</v>
      </c>
      <c r="F26" t="s">
        <v>254</v>
      </c>
      <c r="G26" t="s">
        <v>520</v>
      </c>
      <c r="H26" s="196" t="n">
        <v>2049</v>
      </c>
      <c r="I26" s="197" t="str">
        <f>100*(1-(SUMIFS('CVD_40q30_Age'!$M$2:$M$7281,'CVD_40q30_Age'!$A$2:$A$7281,A26,'CVD_40q30_Age'!$B$2:$B$7281,B26,'CVD_40q30_Age'!$E$2:$E$7281,G26,'CVD_40q30_Age'!$F$2:$F$7281,H26,'CVD_40q30_Age'!$G$2:$G$7281,69))/(SUMIFS('CVD_40q30_Age'!$L$2:$L$7281,'CVD_40q30_Age'!$A$2:$A$7281,A26,'CVD_40q30_Age'!$B$2:$B$7281,B26,'CVD_40q30_Age'!$E$2:$E$7281,G26,'CVD_40q30_Age'!$F$2:$F$7281,H26,'CVD_40q30_Age'!$G$2:$G$7281,30)))</f>
      </c>
      <c r="J26" s="198" t="str">
        <f>SUMIFS($I$2:$I$183,$A$2:$A$183,A26,$G$2:$G$183,G26,$H$2:$H$183,H26,$B$2:$B$183,"baseline")</f>
      </c>
      <c r="K26" s="199" t="str">
        <f>J26-I26</f>
      </c>
      <c r="L26" s="200" t="str">
        <f>IF(J26=0,"",100*(J26-I26)/J26)</f>
      </c>
      <c r="M26" s="201" t="n">
        <v>11.3856861183645</v>
      </c>
      <c r="N26" s="37" t="str">
        <f>IF(ABS(I26-M26)&lt;=0.001,"match","mismatch")</f>
      </c>
    </row>
    <row r="27">
      <c r="A27" t="s">
        <v>167</v>
      </c>
      <c r="B27" t="s">
        <v>254</v>
      </c>
      <c r="C27" s="35" t="s">
        <v>418</v>
      </c>
      <c r="D27" t="s">
        <v>502</v>
      </c>
      <c r="E27" t="s">
        <v>503</v>
      </c>
      <c r="F27" t="s">
        <v>254</v>
      </c>
      <c r="G27" t="s">
        <v>520</v>
      </c>
      <c r="H27" s="196" t="n">
        <v>2050</v>
      </c>
      <c r="I27" s="197" t="str">
        <f>100*(1-(SUMIFS('CVD_40q30_Age'!$M$2:$M$7281,'CVD_40q30_Age'!$A$2:$A$7281,A27,'CVD_40q30_Age'!$B$2:$B$7281,B27,'CVD_40q30_Age'!$E$2:$E$7281,G27,'CVD_40q30_Age'!$F$2:$F$7281,H27,'CVD_40q30_Age'!$G$2:$G$7281,69))/(SUMIFS('CVD_40q30_Age'!$L$2:$L$7281,'CVD_40q30_Age'!$A$2:$A$7281,A27,'CVD_40q30_Age'!$B$2:$B$7281,B27,'CVD_40q30_Age'!$E$2:$E$7281,G27,'CVD_40q30_Age'!$F$2:$F$7281,H27,'CVD_40q30_Age'!$G$2:$G$7281,30)))</f>
      </c>
      <c r="J27" s="198" t="str">
        <f>SUMIFS($I$2:$I$183,$A$2:$A$183,A27,$G$2:$G$183,G27,$H$2:$H$183,H27,$B$2:$B$183,"baseline")</f>
      </c>
      <c r="K27" s="199" t="str">
        <f>J27-I27</f>
      </c>
      <c r="L27" s="200" t="str">
        <f>IF(J27=0,"",100*(J27-I27)/J27)</f>
      </c>
      <c r="M27" s="201" t="n">
        <v>11.2686302314119</v>
      </c>
      <c r="N27" s="37" t="str">
        <f>IF(ABS(I27-M27)&lt;=0.001,"match","mismatch")</f>
      </c>
    </row>
    <row r="28">
      <c r="A28" t="s">
        <v>167</v>
      </c>
      <c r="B28" t="s">
        <v>219</v>
      </c>
      <c r="C28" s="35" t="s">
        <v>221</v>
      </c>
      <c r="D28" t="s">
        <v>502</v>
      </c>
      <c r="E28" t="s">
        <v>232</v>
      </c>
      <c r="F28"/>
      <c r="G28" t="s">
        <v>520</v>
      </c>
      <c r="H28" s="196" t="n">
        <v>2025</v>
      </c>
      <c r="I28" s="197" t="str">
        <f>100*(1-(SUMIFS('CVD_40q30_Age'!$M$2:$M$7281,'CVD_40q30_Age'!$A$2:$A$7281,A28,'CVD_40q30_Age'!$B$2:$B$7281,B28,'CVD_40q30_Age'!$E$2:$E$7281,G28,'CVD_40q30_Age'!$F$2:$F$7281,H28,'CVD_40q30_Age'!$G$2:$G$7281,69))/(SUMIFS('CVD_40q30_Age'!$L$2:$L$7281,'CVD_40q30_Age'!$A$2:$A$7281,A28,'CVD_40q30_Age'!$B$2:$B$7281,B28,'CVD_40q30_Age'!$E$2:$E$7281,G28,'CVD_40q30_Age'!$F$2:$F$7281,H28,'CVD_40q30_Age'!$G$2:$G$7281,30)))</f>
      </c>
      <c r="J28" s="198" t="str">
        <f>SUMIFS($I$2:$I$183,$A$2:$A$183,A28,$G$2:$G$183,G28,$H$2:$H$183,H28,$B$2:$B$183,"baseline")</f>
      </c>
      <c r="K28" s="199" t="str">
        <f>J28-I28</f>
      </c>
      <c r="L28" s="200" t="str">
        <f>IF(J28=0,"",100*(J28-I28)/J28)</f>
      </c>
      <c r="M28" s="201" t="n">
        <v>14.5948626930222</v>
      </c>
      <c r="N28" s="37" t="str">
        <f>IF(ABS(I28-M28)&lt;=0.001,"match","mismatch")</f>
      </c>
    </row>
    <row r="29">
      <c r="A29" t="s">
        <v>167</v>
      </c>
      <c r="B29" t="s">
        <v>219</v>
      </c>
      <c r="C29" s="35" t="s">
        <v>221</v>
      </c>
      <c r="D29" t="s">
        <v>502</v>
      </c>
      <c r="E29" t="s">
        <v>232</v>
      </c>
      <c r="F29"/>
      <c r="G29" t="s">
        <v>520</v>
      </c>
      <c r="H29" s="196" t="n">
        <v>2026</v>
      </c>
      <c r="I29" s="197" t="str">
        <f>100*(1-(SUMIFS('CVD_40q30_Age'!$M$2:$M$7281,'CVD_40q30_Age'!$A$2:$A$7281,A29,'CVD_40q30_Age'!$B$2:$B$7281,B29,'CVD_40q30_Age'!$E$2:$E$7281,G29,'CVD_40q30_Age'!$F$2:$F$7281,H29,'CVD_40q30_Age'!$G$2:$G$7281,69))/(SUMIFS('CVD_40q30_Age'!$L$2:$L$7281,'CVD_40q30_Age'!$A$2:$A$7281,A29,'CVD_40q30_Age'!$B$2:$B$7281,B29,'CVD_40q30_Age'!$E$2:$E$7281,G29,'CVD_40q30_Age'!$F$2:$F$7281,H29,'CVD_40q30_Age'!$G$2:$G$7281,30)))</f>
      </c>
      <c r="J29" s="198" t="str">
        <f>SUMIFS($I$2:$I$183,$A$2:$A$183,A29,$G$2:$G$183,G29,$H$2:$H$183,H29,$B$2:$B$183,"baseline")</f>
      </c>
      <c r="K29" s="199" t="str">
        <f>J29-I29</f>
      </c>
      <c r="L29" s="200" t="str">
        <f>IF(J29=0,"",100*(J29-I29)/J29)</f>
      </c>
      <c r="M29" s="201" t="n">
        <v>14.4825118940663</v>
      </c>
      <c r="N29" s="37" t="str">
        <f>IF(ABS(I29-M29)&lt;=0.001,"match","mismatch")</f>
      </c>
    </row>
    <row r="30">
      <c r="A30" t="s">
        <v>167</v>
      </c>
      <c r="B30" t="s">
        <v>219</v>
      </c>
      <c r="C30" s="35" t="s">
        <v>221</v>
      </c>
      <c r="D30" t="s">
        <v>502</v>
      </c>
      <c r="E30" t="s">
        <v>232</v>
      </c>
      <c r="F30"/>
      <c r="G30" t="s">
        <v>520</v>
      </c>
      <c r="H30" s="196" t="n">
        <v>2027</v>
      </c>
      <c r="I30" s="197" t="str">
        <f>100*(1-(SUMIFS('CVD_40q30_Age'!$M$2:$M$7281,'CVD_40q30_Age'!$A$2:$A$7281,A30,'CVD_40q30_Age'!$B$2:$B$7281,B30,'CVD_40q30_Age'!$E$2:$E$7281,G30,'CVD_40q30_Age'!$F$2:$F$7281,H30,'CVD_40q30_Age'!$G$2:$G$7281,69))/(SUMIFS('CVD_40q30_Age'!$L$2:$L$7281,'CVD_40q30_Age'!$A$2:$A$7281,A30,'CVD_40q30_Age'!$B$2:$B$7281,B30,'CVD_40q30_Age'!$E$2:$E$7281,G30,'CVD_40q30_Age'!$F$2:$F$7281,H30,'CVD_40q30_Age'!$G$2:$G$7281,30)))</f>
      </c>
      <c r="J30" s="198" t="str">
        <f>SUMIFS($I$2:$I$183,$A$2:$A$183,A30,$G$2:$G$183,G30,$H$2:$H$183,H30,$B$2:$B$183,"baseline")</f>
      </c>
      <c r="K30" s="199" t="str">
        <f>J30-I30</f>
      </c>
      <c r="L30" s="200" t="str">
        <f>IF(J30=0,"",100*(J30-I30)/J30)</f>
      </c>
      <c r="M30" s="201" t="n">
        <v>14.3634382839016</v>
      </c>
      <c r="N30" s="37" t="str">
        <f>IF(ABS(I30-M30)&lt;=0.001,"match","mismatch")</f>
      </c>
    </row>
    <row r="31">
      <c r="A31" t="s">
        <v>167</v>
      </c>
      <c r="B31" t="s">
        <v>219</v>
      </c>
      <c r="C31" s="35" t="s">
        <v>221</v>
      </c>
      <c r="D31" t="s">
        <v>502</v>
      </c>
      <c r="E31" t="s">
        <v>232</v>
      </c>
      <c r="F31"/>
      <c r="G31" t="s">
        <v>520</v>
      </c>
      <c r="H31" s="196" t="n">
        <v>2028</v>
      </c>
      <c r="I31" s="197" t="str">
        <f>100*(1-(SUMIFS('CVD_40q30_Age'!$M$2:$M$7281,'CVD_40q30_Age'!$A$2:$A$7281,A31,'CVD_40q30_Age'!$B$2:$B$7281,B31,'CVD_40q30_Age'!$E$2:$E$7281,G31,'CVD_40q30_Age'!$F$2:$F$7281,H31,'CVD_40q30_Age'!$G$2:$G$7281,69))/(SUMIFS('CVD_40q30_Age'!$L$2:$L$7281,'CVD_40q30_Age'!$A$2:$A$7281,A31,'CVD_40q30_Age'!$B$2:$B$7281,B31,'CVD_40q30_Age'!$E$2:$E$7281,G31,'CVD_40q30_Age'!$F$2:$F$7281,H31,'CVD_40q30_Age'!$G$2:$G$7281,30)))</f>
      </c>
      <c r="J31" s="198" t="str">
        <f>SUMIFS($I$2:$I$183,$A$2:$A$183,A31,$G$2:$G$183,G31,$H$2:$H$183,H31,$B$2:$B$183,"baseline")</f>
      </c>
      <c r="K31" s="199" t="str">
        <f>J31-I31</f>
      </c>
      <c r="L31" s="200" t="str">
        <f>IF(J31=0,"",100*(J31-I31)/J31)</f>
      </c>
      <c r="M31" s="201" t="n">
        <v>14.2463778201077</v>
      </c>
      <c r="N31" s="37" t="str">
        <f>IF(ABS(I31-M31)&lt;=0.001,"match","mismatch")</f>
      </c>
    </row>
    <row r="32">
      <c r="A32" t="s">
        <v>167</v>
      </c>
      <c r="B32" t="s">
        <v>219</v>
      </c>
      <c r="C32" s="35" t="s">
        <v>221</v>
      </c>
      <c r="D32" t="s">
        <v>502</v>
      </c>
      <c r="E32" t="s">
        <v>232</v>
      </c>
      <c r="F32"/>
      <c r="G32" t="s">
        <v>520</v>
      </c>
      <c r="H32" s="196" t="n">
        <v>2029</v>
      </c>
      <c r="I32" s="197" t="str">
        <f>100*(1-(SUMIFS('CVD_40q30_Age'!$M$2:$M$7281,'CVD_40q30_Age'!$A$2:$A$7281,A32,'CVD_40q30_Age'!$B$2:$B$7281,B32,'CVD_40q30_Age'!$E$2:$E$7281,G32,'CVD_40q30_Age'!$F$2:$F$7281,H32,'CVD_40q30_Age'!$G$2:$G$7281,69))/(SUMIFS('CVD_40q30_Age'!$L$2:$L$7281,'CVD_40q30_Age'!$A$2:$A$7281,A32,'CVD_40q30_Age'!$B$2:$B$7281,B32,'CVD_40q30_Age'!$E$2:$E$7281,G32,'CVD_40q30_Age'!$F$2:$F$7281,H32,'CVD_40q30_Age'!$G$2:$G$7281,30)))</f>
      </c>
      <c r="J32" s="198" t="str">
        <f>SUMIFS($I$2:$I$183,$A$2:$A$183,A32,$G$2:$G$183,G32,$H$2:$H$183,H32,$B$2:$B$183,"baseline")</f>
      </c>
      <c r="K32" s="199" t="str">
        <f>J32-I32</f>
      </c>
      <c r="L32" s="200" t="str">
        <f>IF(J32=0,"",100*(J32-I32)/J32)</f>
      </c>
      <c r="M32" s="201" t="n">
        <v>14.1310295555853</v>
      </c>
      <c r="N32" s="37" t="str">
        <f>IF(ABS(I32-M32)&lt;=0.001,"match","mismatch")</f>
      </c>
    </row>
    <row r="33">
      <c r="A33" t="s">
        <v>167</v>
      </c>
      <c r="B33" t="s">
        <v>219</v>
      </c>
      <c r="C33" s="35" t="s">
        <v>221</v>
      </c>
      <c r="D33" t="s">
        <v>502</v>
      </c>
      <c r="E33" t="s">
        <v>232</v>
      </c>
      <c r="F33"/>
      <c r="G33" t="s">
        <v>520</v>
      </c>
      <c r="H33" s="196" t="n">
        <v>2030</v>
      </c>
      <c r="I33" s="197" t="str">
        <f>100*(1-(SUMIFS('CVD_40q30_Age'!$M$2:$M$7281,'CVD_40q30_Age'!$A$2:$A$7281,A33,'CVD_40q30_Age'!$B$2:$B$7281,B33,'CVD_40q30_Age'!$E$2:$E$7281,G33,'CVD_40q30_Age'!$F$2:$F$7281,H33,'CVD_40q30_Age'!$G$2:$G$7281,69))/(SUMIFS('CVD_40q30_Age'!$L$2:$L$7281,'CVD_40q30_Age'!$A$2:$A$7281,A33,'CVD_40q30_Age'!$B$2:$B$7281,B33,'CVD_40q30_Age'!$E$2:$E$7281,G33,'CVD_40q30_Age'!$F$2:$F$7281,H33,'CVD_40q30_Age'!$G$2:$G$7281,30)))</f>
      </c>
      <c r="J33" s="198" t="str">
        <f>SUMIFS($I$2:$I$183,$A$2:$A$183,A33,$G$2:$G$183,G33,$H$2:$H$183,H33,$B$2:$B$183,"baseline")</f>
      </c>
      <c r="K33" s="199" t="str">
        <f>J33-I33</f>
      </c>
      <c r="L33" s="200" t="str">
        <f>IF(J33=0,"",100*(J33-I33)/J33)</f>
      </c>
      <c r="M33" s="201" t="n">
        <v>14.0090628208462</v>
      </c>
      <c r="N33" s="37" t="str">
        <f>IF(ABS(I33-M33)&lt;=0.001,"match","mismatch")</f>
      </c>
    </row>
    <row r="34">
      <c r="A34" t="s">
        <v>167</v>
      </c>
      <c r="B34" t="s">
        <v>219</v>
      </c>
      <c r="C34" s="35" t="s">
        <v>221</v>
      </c>
      <c r="D34" t="s">
        <v>502</v>
      </c>
      <c r="E34" t="s">
        <v>232</v>
      </c>
      <c r="F34"/>
      <c r="G34" t="s">
        <v>520</v>
      </c>
      <c r="H34" s="196" t="n">
        <v>2031</v>
      </c>
      <c r="I34" s="197" t="str">
        <f>100*(1-(SUMIFS('CVD_40q30_Age'!$M$2:$M$7281,'CVD_40q30_Age'!$A$2:$A$7281,A34,'CVD_40q30_Age'!$B$2:$B$7281,B34,'CVD_40q30_Age'!$E$2:$E$7281,G34,'CVD_40q30_Age'!$F$2:$F$7281,H34,'CVD_40q30_Age'!$G$2:$G$7281,69))/(SUMIFS('CVD_40q30_Age'!$L$2:$L$7281,'CVD_40q30_Age'!$A$2:$A$7281,A34,'CVD_40q30_Age'!$B$2:$B$7281,B34,'CVD_40q30_Age'!$E$2:$E$7281,G34,'CVD_40q30_Age'!$F$2:$F$7281,H34,'CVD_40q30_Age'!$G$2:$G$7281,30)))</f>
      </c>
      <c r="J34" s="198" t="str">
        <f>SUMIFS($I$2:$I$183,$A$2:$A$183,A34,$G$2:$G$183,G34,$H$2:$H$183,H34,$B$2:$B$183,"baseline")</f>
      </c>
      <c r="K34" s="199" t="str">
        <f>J34-I34</f>
      </c>
      <c r="L34" s="200" t="str">
        <f>IF(J34=0,"",100*(J34-I34)/J34)</f>
      </c>
      <c r="M34" s="201" t="n">
        <v>13.9020081865023</v>
      </c>
      <c r="N34" s="37" t="str">
        <f>IF(ABS(I34-M34)&lt;=0.001,"match","mismatch")</f>
      </c>
    </row>
    <row r="35">
      <c r="A35" t="s">
        <v>167</v>
      </c>
      <c r="B35" t="s">
        <v>219</v>
      </c>
      <c r="C35" s="35" t="s">
        <v>221</v>
      </c>
      <c r="D35" t="s">
        <v>502</v>
      </c>
      <c r="E35" t="s">
        <v>232</v>
      </c>
      <c r="F35"/>
      <c r="G35" t="s">
        <v>520</v>
      </c>
      <c r="H35" s="196" t="n">
        <v>2032</v>
      </c>
      <c r="I35" s="197" t="str">
        <f>100*(1-(SUMIFS('CVD_40q30_Age'!$M$2:$M$7281,'CVD_40q30_Age'!$A$2:$A$7281,A35,'CVD_40q30_Age'!$B$2:$B$7281,B35,'CVD_40q30_Age'!$E$2:$E$7281,G35,'CVD_40q30_Age'!$F$2:$F$7281,H35,'CVD_40q30_Age'!$G$2:$G$7281,69))/(SUMIFS('CVD_40q30_Age'!$L$2:$L$7281,'CVD_40q30_Age'!$A$2:$A$7281,A35,'CVD_40q30_Age'!$B$2:$B$7281,B35,'CVD_40q30_Age'!$E$2:$E$7281,G35,'CVD_40q30_Age'!$F$2:$F$7281,H35,'CVD_40q30_Age'!$G$2:$G$7281,30)))</f>
      </c>
      <c r="J35" s="198" t="str">
        <f>SUMIFS($I$2:$I$183,$A$2:$A$183,A35,$G$2:$G$183,G35,$H$2:$H$183,H35,$B$2:$B$183,"baseline")</f>
      </c>
      <c r="K35" s="199" t="str">
        <f>J35-I35</f>
      </c>
      <c r="L35" s="200" t="str">
        <f>IF(J35=0,"",100*(J35-I35)/J35)</f>
      </c>
      <c r="M35" s="201" t="n">
        <v>13.7856926633452</v>
      </c>
      <c r="N35" s="37" t="str">
        <f>IF(ABS(I35-M35)&lt;=0.001,"match","mismatch")</f>
      </c>
    </row>
    <row r="36">
      <c r="A36" t="s">
        <v>167</v>
      </c>
      <c r="B36" t="s">
        <v>219</v>
      </c>
      <c r="C36" s="35" t="s">
        <v>221</v>
      </c>
      <c r="D36" t="s">
        <v>502</v>
      </c>
      <c r="E36" t="s">
        <v>232</v>
      </c>
      <c r="F36"/>
      <c r="G36" t="s">
        <v>520</v>
      </c>
      <c r="H36" s="196" t="n">
        <v>2033</v>
      </c>
      <c r="I36" s="197" t="str">
        <f>100*(1-(SUMIFS('CVD_40q30_Age'!$M$2:$M$7281,'CVD_40q30_Age'!$A$2:$A$7281,A36,'CVD_40q30_Age'!$B$2:$B$7281,B36,'CVD_40q30_Age'!$E$2:$E$7281,G36,'CVD_40q30_Age'!$F$2:$F$7281,H36,'CVD_40q30_Age'!$G$2:$G$7281,69))/(SUMIFS('CVD_40q30_Age'!$L$2:$L$7281,'CVD_40q30_Age'!$A$2:$A$7281,A36,'CVD_40q30_Age'!$B$2:$B$7281,B36,'CVD_40q30_Age'!$E$2:$E$7281,G36,'CVD_40q30_Age'!$F$2:$F$7281,H36,'CVD_40q30_Age'!$G$2:$G$7281,30)))</f>
      </c>
      <c r="J36" s="198" t="str">
        <f>SUMIFS($I$2:$I$183,$A$2:$A$183,A36,$G$2:$G$183,G36,$H$2:$H$183,H36,$B$2:$B$183,"baseline")</f>
      </c>
      <c r="K36" s="199" t="str">
        <f>J36-I36</f>
      </c>
      <c r="L36" s="200" t="str">
        <f>IF(J36=0,"",100*(J36-I36)/J36)</f>
      </c>
      <c r="M36" s="201" t="n">
        <v>13.6572501905236</v>
      </c>
      <c r="N36" s="37" t="str">
        <f>IF(ABS(I36-M36)&lt;=0.001,"match","mismatch")</f>
      </c>
    </row>
    <row r="37">
      <c r="A37" t="s">
        <v>167</v>
      </c>
      <c r="B37" t="s">
        <v>219</v>
      </c>
      <c r="C37" s="35" t="s">
        <v>221</v>
      </c>
      <c r="D37" t="s">
        <v>502</v>
      </c>
      <c r="E37" t="s">
        <v>232</v>
      </c>
      <c r="F37"/>
      <c r="G37" t="s">
        <v>520</v>
      </c>
      <c r="H37" s="196" t="n">
        <v>2034</v>
      </c>
      <c r="I37" s="197" t="str">
        <f>100*(1-(SUMIFS('CVD_40q30_Age'!$M$2:$M$7281,'CVD_40q30_Age'!$A$2:$A$7281,A37,'CVD_40q30_Age'!$B$2:$B$7281,B37,'CVD_40q30_Age'!$E$2:$E$7281,G37,'CVD_40q30_Age'!$F$2:$F$7281,H37,'CVD_40q30_Age'!$G$2:$G$7281,69))/(SUMIFS('CVD_40q30_Age'!$L$2:$L$7281,'CVD_40q30_Age'!$A$2:$A$7281,A37,'CVD_40q30_Age'!$B$2:$B$7281,B37,'CVD_40q30_Age'!$E$2:$E$7281,G37,'CVD_40q30_Age'!$F$2:$F$7281,H37,'CVD_40q30_Age'!$G$2:$G$7281,30)))</f>
      </c>
      <c r="J37" s="198" t="str">
        <f>SUMIFS($I$2:$I$183,$A$2:$A$183,A37,$G$2:$G$183,G37,$H$2:$H$183,H37,$B$2:$B$183,"baseline")</f>
      </c>
      <c r="K37" s="199" t="str">
        <f>J37-I37</f>
      </c>
      <c r="L37" s="200" t="str">
        <f>IF(J37=0,"",100*(J37-I37)/J37)</f>
      </c>
      <c r="M37" s="201" t="n">
        <v>13.5422153635709</v>
      </c>
      <c r="N37" s="37" t="str">
        <f>IF(ABS(I37-M37)&lt;=0.001,"match","mismatch")</f>
      </c>
    </row>
    <row r="38">
      <c r="A38" t="s">
        <v>167</v>
      </c>
      <c r="B38" t="s">
        <v>219</v>
      </c>
      <c r="C38" s="35" t="s">
        <v>221</v>
      </c>
      <c r="D38" t="s">
        <v>502</v>
      </c>
      <c r="E38" t="s">
        <v>232</v>
      </c>
      <c r="F38"/>
      <c r="G38" t="s">
        <v>520</v>
      </c>
      <c r="H38" s="196" t="n">
        <v>2035</v>
      </c>
      <c r="I38" s="197" t="str">
        <f>100*(1-(SUMIFS('CVD_40q30_Age'!$M$2:$M$7281,'CVD_40q30_Age'!$A$2:$A$7281,A38,'CVD_40q30_Age'!$B$2:$B$7281,B38,'CVD_40q30_Age'!$E$2:$E$7281,G38,'CVD_40q30_Age'!$F$2:$F$7281,H38,'CVD_40q30_Age'!$G$2:$G$7281,69))/(SUMIFS('CVD_40q30_Age'!$L$2:$L$7281,'CVD_40q30_Age'!$A$2:$A$7281,A38,'CVD_40q30_Age'!$B$2:$B$7281,B38,'CVD_40q30_Age'!$E$2:$E$7281,G38,'CVD_40q30_Age'!$F$2:$F$7281,H38,'CVD_40q30_Age'!$G$2:$G$7281,30)))</f>
      </c>
      <c r="J38" s="198" t="str">
        <f>SUMIFS($I$2:$I$183,$A$2:$A$183,A38,$G$2:$G$183,G38,$H$2:$H$183,H38,$B$2:$B$183,"baseline")</f>
      </c>
      <c r="K38" s="199" t="str">
        <f>J38-I38</f>
      </c>
      <c r="L38" s="200" t="str">
        <f>IF(J38=0,"",100*(J38-I38)/J38)</f>
      </c>
      <c r="M38" s="201" t="n">
        <v>13.4190768690407</v>
      </c>
      <c r="N38" s="37" t="str">
        <f>IF(ABS(I38-M38)&lt;=0.001,"match","mismatch")</f>
      </c>
    </row>
    <row r="39">
      <c r="A39" t="s">
        <v>167</v>
      </c>
      <c r="B39" t="s">
        <v>219</v>
      </c>
      <c r="C39" s="35" t="s">
        <v>221</v>
      </c>
      <c r="D39" t="s">
        <v>502</v>
      </c>
      <c r="E39" t="s">
        <v>232</v>
      </c>
      <c r="F39"/>
      <c r="G39" t="s">
        <v>520</v>
      </c>
      <c r="H39" s="196" t="n">
        <v>2036</v>
      </c>
      <c r="I39" s="197" t="str">
        <f>100*(1-(SUMIFS('CVD_40q30_Age'!$M$2:$M$7281,'CVD_40q30_Age'!$A$2:$A$7281,A39,'CVD_40q30_Age'!$B$2:$B$7281,B39,'CVD_40q30_Age'!$E$2:$E$7281,G39,'CVD_40q30_Age'!$F$2:$F$7281,H39,'CVD_40q30_Age'!$G$2:$G$7281,69))/(SUMIFS('CVD_40q30_Age'!$L$2:$L$7281,'CVD_40q30_Age'!$A$2:$A$7281,A39,'CVD_40q30_Age'!$B$2:$B$7281,B39,'CVD_40q30_Age'!$E$2:$E$7281,G39,'CVD_40q30_Age'!$F$2:$F$7281,H39,'CVD_40q30_Age'!$G$2:$G$7281,30)))</f>
      </c>
      <c r="J39" s="198" t="str">
        <f>SUMIFS($I$2:$I$183,$A$2:$A$183,A39,$G$2:$G$183,G39,$H$2:$H$183,H39,$B$2:$B$183,"baseline")</f>
      </c>
      <c r="K39" s="199" t="str">
        <f>J39-I39</f>
      </c>
      <c r="L39" s="200" t="str">
        <f>IF(J39=0,"",100*(J39-I39)/J39)</f>
      </c>
      <c r="M39" s="201" t="n">
        <v>13.2778940960752</v>
      </c>
      <c r="N39" s="37" t="str">
        <f>IF(ABS(I39-M39)&lt;=0.001,"match","mismatch")</f>
      </c>
    </row>
    <row r="40">
      <c r="A40" t="s">
        <v>167</v>
      </c>
      <c r="B40" t="s">
        <v>219</v>
      </c>
      <c r="C40" s="35" t="s">
        <v>221</v>
      </c>
      <c r="D40" t="s">
        <v>502</v>
      </c>
      <c r="E40" t="s">
        <v>232</v>
      </c>
      <c r="F40"/>
      <c r="G40" t="s">
        <v>520</v>
      </c>
      <c r="H40" s="196" t="n">
        <v>2037</v>
      </c>
      <c r="I40" s="197" t="str">
        <f>100*(1-(SUMIFS('CVD_40q30_Age'!$M$2:$M$7281,'CVD_40q30_Age'!$A$2:$A$7281,A40,'CVD_40q30_Age'!$B$2:$B$7281,B40,'CVD_40q30_Age'!$E$2:$E$7281,G40,'CVD_40q30_Age'!$F$2:$F$7281,H40,'CVD_40q30_Age'!$G$2:$G$7281,69))/(SUMIFS('CVD_40q30_Age'!$L$2:$L$7281,'CVD_40q30_Age'!$A$2:$A$7281,A40,'CVD_40q30_Age'!$B$2:$B$7281,B40,'CVD_40q30_Age'!$E$2:$E$7281,G40,'CVD_40q30_Age'!$F$2:$F$7281,H40,'CVD_40q30_Age'!$G$2:$G$7281,30)))</f>
      </c>
      <c r="J40" s="198" t="str">
        <f>SUMIFS($I$2:$I$183,$A$2:$A$183,A40,$G$2:$G$183,G40,$H$2:$H$183,H40,$B$2:$B$183,"baseline")</f>
      </c>
      <c r="K40" s="199" t="str">
        <f>J40-I40</f>
      </c>
      <c r="L40" s="200" t="str">
        <f>IF(J40=0,"",100*(J40-I40)/J40)</f>
      </c>
      <c r="M40" s="201" t="n">
        <v>13.1349976542091</v>
      </c>
      <c r="N40" s="37" t="str">
        <f>IF(ABS(I40-M40)&lt;=0.001,"match","mismatch")</f>
      </c>
    </row>
    <row r="41">
      <c r="A41" t="s">
        <v>167</v>
      </c>
      <c r="B41" t="s">
        <v>219</v>
      </c>
      <c r="C41" s="35" t="s">
        <v>221</v>
      </c>
      <c r="D41" t="s">
        <v>502</v>
      </c>
      <c r="E41" t="s">
        <v>232</v>
      </c>
      <c r="F41"/>
      <c r="G41" t="s">
        <v>520</v>
      </c>
      <c r="H41" s="196" t="n">
        <v>2038</v>
      </c>
      <c r="I41" s="197" t="str">
        <f>100*(1-(SUMIFS('CVD_40q30_Age'!$M$2:$M$7281,'CVD_40q30_Age'!$A$2:$A$7281,A41,'CVD_40q30_Age'!$B$2:$B$7281,B41,'CVD_40q30_Age'!$E$2:$E$7281,G41,'CVD_40q30_Age'!$F$2:$F$7281,H41,'CVD_40q30_Age'!$G$2:$G$7281,69))/(SUMIFS('CVD_40q30_Age'!$L$2:$L$7281,'CVD_40q30_Age'!$A$2:$A$7281,A41,'CVD_40q30_Age'!$B$2:$B$7281,B41,'CVD_40q30_Age'!$E$2:$E$7281,G41,'CVD_40q30_Age'!$F$2:$F$7281,H41,'CVD_40q30_Age'!$G$2:$G$7281,30)))</f>
      </c>
      <c r="J41" s="198" t="str">
        <f>SUMIFS($I$2:$I$183,$A$2:$A$183,A41,$G$2:$G$183,G41,$H$2:$H$183,H41,$B$2:$B$183,"baseline")</f>
      </c>
      <c r="K41" s="199" t="str">
        <f>J41-I41</f>
      </c>
      <c r="L41" s="200" t="str">
        <f>IF(J41=0,"",100*(J41-I41)/J41)</f>
      </c>
      <c r="M41" s="201" t="n">
        <v>12.9889622356203</v>
      </c>
      <c r="N41" s="37" t="str">
        <f>IF(ABS(I41-M41)&lt;=0.001,"match","mismatch")</f>
      </c>
    </row>
    <row r="42">
      <c r="A42" t="s">
        <v>167</v>
      </c>
      <c r="B42" t="s">
        <v>219</v>
      </c>
      <c r="C42" s="35" t="s">
        <v>221</v>
      </c>
      <c r="D42" t="s">
        <v>502</v>
      </c>
      <c r="E42" t="s">
        <v>232</v>
      </c>
      <c r="F42"/>
      <c r="G42" t="s">
        <v>520</v>
      </c>
      <c r="H42" s="196" t="n">
        <v>2039</v>
      </c>
      <c r="I42" s="197" t="str">
        <f>100*(1-(SUMIFS('CVD_40q30_Age'!$M$2:$M$7281,'CVD_40q30_Age'!$A$2:$A$7281,A42,'CVD_40q30_Age'!$B$2:$B$7281,B42,'CVD_40q30_Age'!$E$2:$E$7281,G42,'CVD_40q30_Age'!$F$2:$F$7281,H42,'CVD_40q30_Age'!$G$2:$G$7281,69))/(SUMIFS('CVD_40q30_Age'!$L$2:$L$7281,'CVD_40q30_Age'!$A$2:$A$7281,A42,'CVD_40q30_Age'!$B$2:$B$7281,B42,'CVD_40q30_Age'!$E$2:$E$7281,G42,'CVD_40q30_Age'!$F$2:$F$7281,H42,'CVD_40q30_Age'!$G$2:$G$7281,30)))</f>
      </c>
      <c r="J42" s="198" t="str">
        <f>SUMIFS($I$2:$I$183,$A$2:$A$183,A42,$G$2:$G$183,G42,$H$2:$H$183,H42,$B$2:$B$183,"baseline")</f>
      </c>
      <c r="K42" s="199" t="str">
        <f>J42-I42</f>
      </c>
      <c r="L42" s="200" t="str">
        <f>IF(J42=0,"",100*(J42-I42)/J42)</f>
      </c>
      <c r="M42" s="201" t="n">
        <v>12.8507907922595</v>
      </c>
      <c r="N42" s="37" t="str">
        <f>IF(ABS(I42-M42)&lt;=0.001,"match","mismatch")</f>
      </c>
    </row>
    <row r="43">
      <c r="A43" t="s">
        <v>167</v>
      </c>
      <c r="B43" t="s">
        <v>219</v>
      </c>
      <c r="C43" s="35" t="s">
        <v>221</v>
      </c>
      <c r="D43" t="s">
        <v>502</v>
      </c>
      <c r="E43" t="s">
        <v>232</v>
      </c>
      <c r="F43"/>
      <c r="G43" t="s">
        <v>520</v>
      </c>
      <c r="H43" s="196" t="n">
        <v>2040</v>
      </c>
      <c r="I43" s="197" t="str">
        <f>100*(1-(SUMIFS('CVD_40q30_Age'!$M$2:$M$7281,'CVD_40q30_Age'!$A$2:$A$7281,A43,'CVD_40q30_Age'!$B$2:$B$7281,B43,'CVD_40q30_Age'!$E$2:$E$7281,G43,'CVD_40q30_Age'!$F$2:$F$7281,H43,'CVD_40q30_Age'!$G$2:$G$7281,69))/(SUMIFS('CVD_40q30_Age'!$L$2:$L$7281,'CVD_40q30_Age'!$A$2:$A$7281,A43,'CVD_40q30_Age'!$B$2:$B$7281,B43,'CVD_40q30_Age'!$E$2:$E$7281,G43,'CVD_40q30_Age'!$F$2:$F$7281,H43,'CVD_40q30_Age'!$G$2:$G$7281,30)))</f>
      </c>
      <c r="J43" s="198" t="str">
        <f>SUMIFS($I$2:$I$183,$A$2:$A$183,A43,$G$2:$G$183,G43,$H$2:$H$183,H43,$B$2:$B$183,"baseline")</f>
      </c>
      <c r="K43" s="199" t="str">
        <f>J43-I43</f>
      </c>
      <c r="L43" s="200" t="str">
        <f>IF(J43=0,"",100*(J43-I43)/J43)</f>
      </c>
      <c r="M43" s="201" t="n">
        <v>12.7057308432371</v>
      </c>
      <c r="N43" s="37" t="str">
        <f>IF(ABS(I43-M43)&lt;=0.001,"match","mismatch")</f>
      </c>
    </row>
    <row r="44">
      <c r="A44" t="s">
        <v>167</v>
      </c>
      <c r="B44" t="s">
        <v>219</v>
      </c>
      <c r="C44" s="35" t="s">
        <v>221</v>
      </c>
      <c r="D44" t="s">
        <v>502</v>
      </c>
      <c r="E44" t="s">
        <v>232</v>
      </c>
      <c r="F44"/>
      <c r="G44" t="s">
        <v>520</v>
      </c>
      <c r="H44" s="196" t="n">
        <v>2041</v>
      </c>
      <c r="I44" s="197" t="str">
        <f>100*(1-(SUMIFS('CVD_40q30_Age'!$M$2:$M$7281,'CVD_40q30_Age'!$A$2:$A$7281,A44,'CVD_40q30_Age'!$B$2:$B$7281,B44,'CVD_40q30_Age'!$E$2:$E$7281,G44,'CVD_40q30_Age'!$F$2:$F$7281,H44,'CVD_40q30_Age'!$G$2:$G$7281,69))/(SUMIFS('CVD_40q30_Age'!$L$2:$L$7281,'CVD_40q30_Age'!$A$2:$A$7281,A44,'CVD_40q30_Age'!$B$2:$B$7281,B44,'CVD_40q30_Age'!$E$2:$E$7281,G44,'CVD_40q30_Age'!$F$2:$F$7281,H44,'CVD_40q30_Age'!$G$2:$G$7281,30)))</f>
      </c>
      <c r="J44" s="198" t="str">
        <f>SUMIFS($I$2:$I$183,$A$2:$A$183,A44,$G$2:$G$183,G44,$H$2:$H$183,H44,$B$2:$B$183,"baseline")</f>
      </c>
      <c r="K44" s="199" t="str">
        <f>J44-I44</f>
      </c>
      <c r="L44" s="200" t="str">
        <f>IF(J44=0,"",100*(J44-I44)/J44)</f>
      </c>
      <c r="M44" s="201" t="n">
        <v>12.5836732009006</v>
      </c>
      <c r="N44" s="37" t="str">
        <f>IF(ABS(I44-M44)&lt;=0.001,"match","mismatch")</f>
      </c>
    </row>
    <row r="45">
      <c r="A45" t="s">
        <v>167</v>
      </c>
      <c r="B45" t="s">
        <v>219</v>
      </c>
      <c r="C45" s="35" t="s">
        <v>221</v>
      </c>
      <c r="D45" t="s">
        <v>502</v>
      </c>
      <c r="E45" t="s">
        <v>232</v>
      </c>
      <c r="F45"/>
      <c r="G45" t="s">
        <v>520</v>
      </c>
      <c r="H45" s="196" t="n">
        <v>2042</v>
      </c>
      <c r="I45" s="197" t="str">
        <f>100*(1-(SUMIFS('CVD_40q30_Age'!$M$2:$M$7281,'CVD_40q30_Age'!$A$2:$A$7281,A45,'CVD_40q30_Age'!$B$2:$B$7281,B45,'CVD_40q30_Age'!$E$2:$E$7281,G45,'CVD_40q30_Age'!$F$2:$F$7281,H45,'CVD_40q30_Age'!$G$2:$G$7281,69))/(SUMIFS('CVD_40q30_Age'!$L$2:$L$7281,'CVD_40q30_Age'!$A$2:$A$7281,A45,'CVD_40q30_Age'!$B$2:$B$7281,B45,'CVD_40q30_Age'!$E$2:$E$7281,G45,'CVD_40q30_Age'!$F$2:$F$7281,H45,'CVD_40q30_Age'!$G$2:$G$7281,30)))</f>
      </c>
      <c r="J45" s="198" t="str">
        <f>SUMIFS($I$2:$I$183,$A$2:$A$183,A45,$G$2:$G$183,G45,$H$2:$H$183,H45,$B$2:$B$183,"baseline")</f>
      </c>
      <c r="K45" s="199" t="str">
        <f>J45-I45</f>
      </c>
      <c r="L45" s="200" t="str">
        <f>IF(J45=0,"",100*(J45-I45)/J45)</f>
      </c>
      <c r="M45" s="201" t="n">
        <v>12.4564323566871</v>
      </c>
      <c r="N45" s="37" t="str">
        <f>IF(ABS(I45-M45)&lt;=0.001,"match","mismatch")</f>
      </c>
    </row>
    <row r="46">
      <c r="A46" t="s">
        <v>167</v>
      </c>
      <c r="B46" t="s">
        <v>219</v>
      </c>
      <c r="C46" s="35" t="s">
        <v>221</v>
      </c>
      <c r="D46" t="s">
        <v>502</v>
      </c>
      <c r="E46" t="s">
        <v>232</v>
      </c>
      <c r="F46"/>
      <c r="G46" t="s">
        <v>520</v>
      </c>
      <c r="H46" s="196" t="n">
        <v>2043</v>
      </c>
      <c r="I46" s="197" t="str">
        <f>100*(1-(SUMIFS('CVD_40q30_Age'!$M$2:$M$7281,'CVD_40q30_Age'!$A$2:$A$7281,A46,'CVD_40q30_Age'!$B$2:$B$7281,B46,'CVD_40q30_Age'!$E$2:$E$7281,G46,'CVD_40q30_Age'!$F$2:$F$7281,H46,'CVD_40q30_Age'!$G$2:$G$7281,69))/(SUMIFS('CVD_40q30_Age'!$L$2:$L$7281,'CVD_40q30_Age'!$A$2:$A$7281,A46,'CVD_40q30_Age'!$B$2:$B$7281,B46,'CVD_40q30_Age'!$E$2:$E$7281,G46,'CVD_40q30_Age'!$F$2:$F$7281,H46,'CVD_40q30_Age'!$G$2:$G$7281,30)))</f>
      </c>
      <c r="J46" s="198" t="str">
        <f>SUMIFS($I$2:$I$183,$A$2:$A$183,A46,$G$2:$G$183,G46,$H$2:$H$183,H46,$B$2:$B$183,"baseline")</f>
      </c>
      <c r="K46" s="199" t="str">
        <f>J46-I46</f>
      </c>
      <c r="L46" s="200" t="str">
        <f>IF(J46=0,"",100*(J46-I46)/J46)</f>
      </c>
      <c r="M46" s="201" t="n">
        <v>12.3225729230438</v>
      </c>
      <c r="N46" s="37" t="str">
        <f>IF(ABS(I46-M46)&lt;=0.001,"match","mismatch")</f>
      </c>
    </row>
    <row r="47">
      <c r="A47" t="s">
        <v>167</v>
      </c>
      <c r="B47" t="s">
        <v>219</v>
      </c>
      <c r="C47" s="35" t="s">
        <v>221</v>
      </c>
      <c r="D47" t="s">
        <v>502</v>
      </c>
      <c r="E47" t="s">
        <v>232</v>
      </c>
      <c r="F47"/>
      <c r="G47" t="s">
        <v>520</v>
      </c>
      <c r="H47" s="196" t="n">
        <v>2044</v>
      </c>
      <c r="I47" s="197" t="str">
        <f>100*(1-(SUMIFS('CVD_40q30_Age'!$M$2:$M$7281,'CVD_40q30_Age'!$A$2:$A$7281,A47,'CVD_40q30_Age'!$B$2:$B$7281,B47,'CVD_40q30_Age'!$E$2:$E$7281,G47,'CVD_40q30_Age'!$F$2:$F$7281,H47,'CVD_40q30_Age'!$G$2:$G$7281,69))/(SUMIFS('CVD_40q30_Age'!$L$2:$L$7281,'CVD_40q30_Age'!$A$2:$A$7281,A47,'CVD_40q30_Age'!$B$2:$B$7281,B47,'CVD_40q30_Age'!$E$2:$E$7281,G47,'CVD_40q30_Age'!$F$2:$F$7281,H47,'CVD_40q30_Age'!$G$2:$G$7281,30)))</f>
      </c>
      <c r="J47" s="198" t="str">
        <f>SUMIFS($I$2:$I$183,$A$2:$A$183,A47,$G$2:$G$183,G47,$H$2:$H$183,H47,$B$2:$B$183,"baseline")</f>
      </c>
      <c r="K47" s="199" t="str">
        <f>J47-I47</f>
      </c>
      <c r="L47" s="200" t="str">
        <f>IF(J47=0,"",100*(J47-I47)/J47)</f>
      </c>
      <c r="M47" s="201" t="n">
        <v>12.1904825039475</v>
      </c>
      <c r="N47" s="37" t="str">
        <f>IF(ABS(I47-M47)&lt;=0.001,"match","mismatch")</f>
      </c>
    </row>
    <row r="48">
      <c r="A48" t="s">
        <v>167</v>
      </c>
      <c r="B48" t="s">
        <v>219</v>
      </c>
      <c r="C48" s="35" t="s">
        <v>221</v>
      </c>
      <c r="D48" t="s">
        <v>502</v>
      </c>
      <c r="E48" t="s">
        <v>232</v>
      </c>
      <c r="F48"/>
      <c r="G48" t="s">
        <v>520</v>
      </c>
      <c r="H48" s="196" t="n">
        <v>2045</v>
      </c>
      <c r="I48" s="197" t="str">
        <f>100*(1-(SUMIFS('CVD_40q30_Age'!$M$2:$M$7281,'CVD_40q30_Age'!$A$2:$A$7281,A48,'CVD_40q30_Age'!$B$2:$B$7281,B48,'CVD_40q30_Age'!$E$2:$E$7281,G48,'CVD_40q30_Age'!$F$2:$F$7281,H48,'CVD_40q30_Age'!$G$2:$G$7281,69))/(SUMIFS('CVD_40q30_Age'!$L$2:$L$7281,'CVD_40q30_Age'!$A$2:$A$7281,A48,'CVD_40q30_Age'!$B$2:$B$7281,B48,'CVD_40q30_Age'!$E$2:$E$7281,G48,'CVD_40q30_Age'!$F$2:$F$7281,H48,'CVD_40q30_Age'!$G$2:$G$7281,30)))</f>
      </c>
      <c r="J48" s="198" t="str">
        <f>SUMIFS($I$2:$I$183,$A$2:$A$183,A48,$G$2:$G$183,G48,$H$2:$H$183,H48,$B$2:$B$183,"baseline")</f>
      </c>
      <c r="K48" s="199" t="str">
        <f>J48-I48</f>
      </c>
      <c r="L48" s="200" t="str">
        <f>IF(J48=0,"",100*(J48-I48)/J48)</f>
      </c>
      <c r="M48" s="201" t="n">
        <v>12.0661786552561</v>
      </c>
      <c r="N48" s="37" t="str">
        <f>IF(ABS(I48-M48)&lt;=0.001,"match","mismatch")</f>
      </c>
    </row>
    <row r="49">
      <c r="A49" t="s">
        <v>167</v>
      </c>
      <c r="B49" t="s">
        <v>219</v>
      </c>
      <c r="C49" s="35" t="s">
        <v>221</v>
      </c>
      <c r="D49" t="s">
        <v>502</v>
      </c>
      <c r="E49" t="s">
        <v>232</v>
      </c>
      <c r="F49"/>
      <c r="G49" t="s">
        <v>520</v>
      </c>
      <c r="H49" s="196" t="n">
        <v>2046</v>
      </c>
      <c r="I49" s="197" t="str">
        <f>100*(1-(SUMIFS('CVD_40q30_Age'!$M$2:$M$7281,'CVD_40q30_Age'!$A$2:$A$7281,A49,'CVD_40q30_Age'!$B$2:$B$7281,B49,'CVD_40q30_Age'!$E$2:$E$7281,G49,'CVD_40q30_Age'!$F$2:$F$7281,H49,'CVD_40q30_Age'!$G$2:$G$7281,69))/(SUMIFS('CVD_40q30_Age'!$L$2:$L$7281,'CVD_40q30_Age'!$A$2:$A$7281,A49,'CVD_40q30_Age'!$B$2:$B$7281,B49,'CVD_40q30_Age'!$E$2:$E$7281,G49,'CVD_40q30_Age'!$F$2:$F$7281,H49,'CVD_40q30_Age'!$G$2:$G$7281,30)))</f>
      </c>
      <c r="J49" s="198" t="str">
        <f>SUMIFS($I$2:$I$183,$A$2:$A$183,A49,$G$2:$G$183,G49,$H$2:$H$183,H49,$B$2:$B$183,"baseline")</f>
      </c>
      <c r="K49" s="199" t="str">
        <f>J49-I49</f>
      </c>
      <c r="L49" s="200" t="str">
        <f>IF(J49=0,"",100*(J49-I49)/J49)</f>
      </c>
      <c r="M49" s="201" t="n">
        <v>11.9391172925645</v>
      </c>
      <c r="N49" s="37" t="str">
        <f>IF(ABS(I49-M49)&lt;=0.001,"match","mismatch")</f>
      </c>
    </row>
    <row r="50">
      <c r="A50" t="s">
        <v>167</v>
      </c>
      <c r="B50" t="s">
        <v>219</v>
      </c>
      <c r="C50" s="35" t="s">
        <v>221</v>
      </c>
      <c r="D50" t="s">
        <v>502</v>
      </c>
      <c r="E50" t="s">
        <v>232</v>
      </c>
      <c r="F50"/>
      <c r="G50" t="s">
        <v>520</v>
      </c>
      <c r="H50" s="196" t="n">
        <v>2047</v>
      </c>
      <c r="I50" s="197" t="str">
        <f>100*(1-(SUMIFS('CVD_40q30_Age'!$M$2:$M$7281,'CVD_40q30_Age'!$A$2:$A$7281,A50,'CVD_40q30_Age'!$B$2:$B$7281,B50,'CVD_40q30_Age'!$E$2:$E$7281,G50,'CVD_40q30_Age'!$F$2:$F$7281,H50,'CVD_40q30_Age'!$G$2:$G$7281,69))/(SUMIFS('CVD_40q30_Age'!$L$2:$L$7281,'CVD_40q30_Age'!$A$2:$A$7281,A50,'CVD_40q30_Age'!$B$2:$B$7281,B50,'CVD_40q30_Age'!$E$2:$E$7281,G50,'CVD_40q30_Age'!$F$2:$F$7281,H50,'CVD_40q30_Age'!$G$2:$G$7281,30)))</f>
      </c>
      <c r="J50" s="198" t="str">
        <f>SUMIFS($I$2:$I$183,$A$2:$A$183,A50,$G$2:$G$183,G50,$H$2:$H$183,H50,$B$2:$B$183,"baseline")</f>
      </c>
      <c r="K50" s="199" t="str">
        <f>J50-I50</f>
      </c>
      <c r="L50" s="200" t="str">
        <f>IF(J50=0,"",100*(J50-I50)/J50)</f>
      </c>
      <c r="M50" s="201" t="n">
        <v>11.8109656464313</v>
      </c>
      <c r="N50" s="37" t="str">
        <f>IF(ABS(I50-M50)&lt;=0.001,"match","mismatch")</f>
      </c>
    </row>
    <row r="51">
      <c r="A51" t="s">
        <v>167</v>
      </c>
      <c r="B51" t="s">
        <v>219</v>
      </c>
      <c r="C51" s="35" t="s">
        <v>221</v>
      </c>
      <c r="D51" t="s">
        <v>502</v>
      </c>
      <c r="E51" t="s">
        <v>232</v>
      </c>
      <c r="F51"/>
      <c r="G51" t="s">
        <v>520</v>
      </c>
      <c r="H51" s="196" t="n">
        <v>2048</v>
      </c>
      <c r="I51" s="197" t="str">
        <f>100*(1-(SUMIFS('CVD_40q30_Age'!$M$2:$M$7281,'CVD_40q30_Age'!$A$2:$A$7281,A51,'CVD_40q30_Age'!$B$2:$B$7281,B51,'CVD_40q30_Age'!$E$2:$E$7281,G51,'CVD_40q30_Age'!$F$2:$F$7281,H51,'CVD_40q30_Age'!$G$2:$G$7281,69))/(SUMIFS('CVD_40q30_Age'!$L$2:$L$7281,'CVD_40q30_Age'!$A$2:$A$7281,A51,'CVD_40q30_Age'!$B$2:$B$7281,B51,'CVD_40q30_Age'!$E$2:$E$7281,G51,'CVD_40q30_Age'!$F$2:$F$7281,H51,'CVD_40q30_Age'!$G$2:$G$7281,30)))</f>
      </c>
      <c r="J51" s="198" t="str">
        <f>SUMIFS($I$2:$I$183,$A$2:$A$183,A51,$G$2:$G$183,G51,$H$2:$H$183,H51,$B$2:$B$183,"baseline")</f>
      </c>
      <c r="K51" s="199" t="str">
        <f>J51-I51</f>
      </c>
      <c r="L51" s="200" t="str">
        <f>IF(J51=0,"",100*(J51-I51)/J51)</f>
      </c>
      <c r="M51" s="201" t="n">
        <v>11.6779487007508</v>
      </c>
      <c r="N51" s="37" t="str">
        <f>IF(ABS(I51-M51)&lt;=0.001,"match","mismatch")</f>
      </c>
    </row>
    <row r="52">
      <c r="A52" t="s">
        <v>167</v>
      </c>
      <c r="B52" t="s">
        <v>219</v>
      </c>
      <c r="C52" s="35" t="s">
        <v>221</v>
      </c>
      <c r="D52" t="s">
        <v>502</v>
      </c>
      <c r="E52" t="s">
        <v>232</v>
      </c>
      <c r="F52"/>
      <c r="G52" t="s">
        <v>520</v>
      </c>
      <c r="H52" s="196" t="n">
        <v>2049</v>
      </c>
      <c r="I52" s="197" t="str">
        <f>100*(1-(SUMIFS('CVD_40q30_Age'!$M$2:$M$7281,'CVD_40q30_Age'!$A$2:$A$7281,A52,'CVD_40q30_Age'!$B$2:$B$7281,B52,'CVD_40q30_Age'!$E$2:$E$7281,G52,'CVD_40q30_Age'!$F$2:$F$7281,H52,'CVD_40q30_Age'!$G$2:$G$7281,69))/(SUMIFS('CVD_40q30_Age'!$L$2:$L$7281,'CVD_40q30_Age'!$A$2:$A$7281,A52,'CVD_40q30_Age'!$B$2:$B$7281,B52,'CVD_40q30_Age'!$E$2:$E$7281,G52,'CVD_40q30_Age'!$F$2:$F$7281,H52,'CVD_40q30_Age'!$G$2:$G$7281,30)))</f>
      </c>
      <c r="J52" s="198" t="str">
        <f>SUMIFS($I$2:$I$183,$A$2:$A$183,A52,$G$2:$G$183,G52,$H$2:$H$183,H52,$B$2:$B$183,"baseline")</f>
      </c>
      <c r="K52" s="199" t="str">
        <f>J52-I52</f>
      </c>
      <c r="L52" s="200" t="str">
        <f>IF(J52=0,"",100*(J52-I52)/J52)</f>
      </c>
      <c r="M52" s="201" t="n">
        <v>11.5531514538965</v>
      </c>
      <c r="N52" s="37" t="str">
        <f>IF(ABS(I52-M52)&lt;=0.001,"match","mismatch")</f>
      </c>
    </row>
    <row r="53">
      <c r="A53" t="s">
        <v>167</v>
      </c>
      <c r="B53" t="s">
        <v>219</v>
      </c>
      <c r="C53" s="35" t="s">
        <v>221</v>
      </c>
      <c r="D53" t="s">
        <v>502</v>
      </c>
      <c r="E53" t="s">
        <v>232</v>
      </c>
      <c r="F53"/>
      <c r="G53" t="s">
        <v>520</v>
      </c>
      <c r="H53" s="196" t="n">
        <v>2050</v>
      </c>
      <c r="I53" s="197" t="str">
        <f>100*(1-(SUMIFS('CVD_40q30_Age'!$M$2:$M$7281,'CVD_40q30_Age'!$A$2:$A$7281,A53,'CVD_40q30_Age'!$B$2:$B$7281,B53,'CVD_40q30_Age'!$E$2:$E$7281,G53,'CVD_40q30_Age'!$F$2:$F$7281,H53,'CVD_40q30_Age'!$G$2:$G$7281,69))/(SUMIFS('CVD_40q30_Age'!$L$2:$L$7281,'CVD_40q30_Age'!$A$2:$A$7281,A53,'CVD_40q30_Age'!$B$2:$B$7281,B53,'CVD_40q30_Age'!$E$2:$E$7281,G53,'CVD_40q30_Age'!$F$2:$F$7281,H53,'CVD_40q30_Age'!$G$2:$G$7281,30)))</f>
      </c>
      <c r="J53" s="198" t="str">
        <f>SUMIFS($I$2:$I$183,$A$2:$A$183,A53,$G$2:$G$183,G53,$H$2:$H$183,H53,$B$2:$B$183,"baseline")</f>
      </c>
      <c r="K53" s="199" t="str">
        <f>J53-I53</f>
      </c>
      <c r="L53" s="200" t="str">
        <f>IF(J53=0,"",100*(J53-I53)/J53)</f>
      </c>
      <c r="M53" s="201" t="n">
        <v>11.4352635417138</v>
      </c>
      <c r="N53" s="37" t="str">
        <f>IF(ABS(I53-M53)&lt;=0.001,"match","mismatch")</f>
      </c>
    </row>
    <row r="54">
      <c r="A54" t="s">
        <v>167</v>
      </c>
      <c r="B54" t="s">
        <v>250</v>
      </c>
      <c r="C54" s="35" t="s">
        <v>252</v>
      </c>
      <c r="D54" t="s">
        <v>502</v>
      </c>
      <c r="E54" t="s">
        <v>255</v>
      </c>
      <c r="F54" t="s">
        <v>254</v>
      </c>
      <c r="G54" t="s">
        <v>520</v>
      </c>
      <c r="H54" s="196" t="n">
        <v>2025</v>
      </c>
      <c r="I54" s="197" t="str">
        <f>100*(1-(SUMIFS('CVD_40q30_Age'!$M$2:$M$7281,'CVD_40q30_Age'!$A$2:$A$7281,A54,'CVD_40q30_Age'!$B$2:$B$7281,B54,'CVD_40q30_Age'!$E$2:$E$7281,G54,'CVD_40q30_Age'!$F$2:$F$7281,H54,'CVD_40q30_Age'!$G$2:$G$7281,69))/(SUMIFS('CVD_40q30_Age'!$L$2:$L$7281,'CVD_40q30_Age'!$A$2:$A$7281,A54,'CVD_40q30_Age'!$B$2:$B$7281,B54,'CVD_40q30_Age'!$E$2:$E$7281,G54,'CVD_40q30_Age'!$F$2:$F$7281,H54,'CVD_40q30_Age'!$G$2:$G$7281,30)))</f>
      </c>
      <c r="J54" s="198" t="str">
        <f>SUMIFS($I$2:$I$183,$A$2:$A$183,A54,$G$2:$G$183,G54,$H$2:$H$183,H54,$B$2:$B$183,"baseline")</f>
      </c>
      <c r="K54" s="199" t="str">
        <f>J54-I54</f>
      </c>
      <c r="L54" s="200" t="str">
        <f>IF(J54=0,"",100*(J54-I54)/J54)</f>
      </c>
      <c r="M54" s="201" t="n">
        <v>14.5948626930222</v>
      </c>
      <c r="N54" s="37" t="str">
        <f>IF(ABS(I54-M54)&lt;=0.001,"match","mismatch")</f>
      </c>
    </row>
    <row r="55">
      <c r="A55" t="s">
        <v>167</v>
      </c>
      <c r="B55" t="s">
        <v>250</v>
      </c>
      <c r="C55" s="35" t="s">
        <v>252</v>
      </c>
      <c r="D55" t="s">
        <v>502</v>
      </c>
      <c r="E55" t="s">
        <v>255</v>
      </c>
      <c r="F55" t="s">
        <v>254</v>
      </c>
      <c r="G55" t="s">
        <v>520</v>
      </c>
      <c r="H55" s="196" t="n">
        <v>2026</v>
      </c>
      <c r="I55" s="197" t="str">
        <f>100*(1-(SUMIFS('CVD_40q30_Age'!$M$2:$M$7281,'CVD_40q30_Age'!$A$2:$A$7281,A55,'CVD_40q30_Age'!$B$2:$B$7281,B55,'CVD_40q30_Age'!$E$2:$E$7281,G55,'CVD_40q30_Age'!$F$2:$F$7281,H55,'CVD_40q30_Age'!$G$2:$G$7281,69))/(SUMIFS('CVD_40q30_Age'!$L$2:$L$7281,'CVD_40q30_Age'!$A$2:$A$7281,A55,'CVD_40q30_Age'!$B$2:$B$7281,B55,'CVD_40q30_Age'!$E$2:$E$7281,G55,'CVD_40q30_Age'!$F$2:$F$7281,H55,'CVD_40q30_Age'!$G$2:$G$7281,30)))</f>
      </c>
      <c r="J55" s="198" t="str">
        <f>SUMIFS($I$2:$I$183,$A$2:$A$183,A55,$G$2:$G$183,G55,$H$2:$H$183,H55,$B$2:$B$183,"baseline")</f>
      </c>
      <c r="K55" s="199" t="str">
        <f>J55-I55</f>
      </c>
      <c r="L55" s="200" t="str">
        <f>IF(J55=0,"",100*(J55-I55)/J55)</f>
      </c>
      <c r="M55" s="201" t="n">
        <v>14.5042466949803</v>
      </c>
      <c r="N55" s="37" t="str">
        <f>IF(ABS(I55-M55)&lt;=0.001,"match","mismatch")</f>
      </c>
    </row>
    <row r="56">
      <c r="A56" t="s">
        <v>167</v>
      </c>
      <c r="B56" t="s">
        <v>250</v>
      </c>
      <c r="C56" s="35" t="s">
        <v>252</v>
      </c>
      <c r="D56" t="s">
        <v>502</v>
      </c>
      <c r="E56" t="s">
        <v>255</v>
      </c>
      <c r="F56" t="s">
        <v>254</v>
      </c>
      <c r="G56" t="s">
        <v>520</v>
      </c>
      <c r="H56" s="196" t="n">
        <v>2027</v>
      </c>
      <c r="I56" s="197" t="str">
        <f>100*(1-(SUMIFS('CVD_40q30_Age'!$M$2:$M$7281,'CVD_40q30_Age'!$A$2:$A$7281,A56,'CVD_40q30_Age'!$B$2:$B$7281,B56,'CVD_40q30_Age'!$E$2:$E$7281,G56,'CVD_40q30_Age'!$F$2:$F$7281,H56,'CVD_40q30_Age'!$G$2:$G$7281,69))/(SUMIFS('CVD_40q30_Age'!$L$2:$L$7281,'CVD_40q30_Age'!$A$2:$A$7281,A56,'CVD_40q30_Age'!$B$2:$B$7281,B56,'CVD_40q30_Age'!$E$2:$E$7281,G56,'CVD_40q30_Age'!$F$2:$F$7281,H56,'CVD_40q30_Age'!$G$2:$G$7281,30)))</f>
      </c>
      <c r="J56" s="198" t="str">
        <f>SUMIFS($I$2:$I$183,$A$2:$A$183,A56,$G$2:$G$183,G56,$H$2:$H$183,H56,$B$2:$B$183,"baseline")</f>
      </c>
      <c r="K56" s="199" t="str">
        <f>J56-I56</f>
      </c>
      <c r="L56" s="200" t="str">
        <f>IF(J56=0,"",100*(J56-I56)/J56)</f>
      </c>
      <c r="M56" s="201" t="n">
        <v>14.4052483205454</v>
      </c>
      <c r="N56" s="37" t="str">
        <f>IF(ABS(I56-M56)&lt;=0.001,"match","mismatch")</f>
      </c>
    </row>
    <row r="57">
      <c r="A57" t="s">
        <v>167</v>
      </c>
      <c r="B57" t="s">
        <v>250</v>
      </c>
      <c r="C57" s="35" t="s">
        <v>252</v>
      </c>
      <c r="D57" t="s">
        <v>502</v>
      </c>
      <c r="E57" t="s">
        <v>255</v>
      </c>
      <c r="F57" t="s">
        <v>254</v>
      </c>
      <c r="G57" t="s">
        <v>520</v>
      </c>
      <c r="H57" s="196" t="n">
        <v>2028</v>
      </c>
      <c r="I57" s="197" t="str">
        <f>100*(1-(SUMIFS('CVD_40q30_Age'!$M$2:$M$7281,'CVD_40q30_Age'!$A$2:$A$7281,A57,'CVD_40q30_Age'!$B$2:$B$7281,B57,'CVD_40q30_Age'!$E$2:$E$7281,G57,'CVD_40q30_Age'!$F$2:$F$7281,H57,'CVD_40q30_Age'!$G$2:$G$7281,69))/(SUMIFS('CVD_40q30_Age'!$L$2:$L$7281,'CVD_40q30_Age'!$A$2:$A$7281,A57,'CVD_40q30_Age'!$B$2:$B$7281,B57,'CVD_40q30_Age'!$E$2:$E$7281,G57,'CVD_40q30_Age'!$F$2:$F$7281,H57,'CVD_40q30_Age'!$G$2:$G$7281,30)))</f>
      </c>
      <c r="J57" s="198" t="str">
        <f>SUMIFS($I$2:$I$183,$A$2:$A$183,A57,$G$2:$G$183,G57,$H$2:$H$183,H57,$B$2:$B$183,"baseline")</f>
      </c>
      <c r="K57" s="199" t="str">
        <f>J57-I57</f>
      </c>
      <c r="L57" s="200" t="str">
        <f>IF(J57=0,"",100*(J57-I57)/J57)</f>
      </c>
      <c r="M57" s="201" t="n">
        <v>14.3071895918577</v>
      </c>
      <c r="N57" s="37" t="str">
        <f>IF(ABS(I57-M57)&lt;=0.001,"match","mismatch")</f>
      </c>
    </row>
    <row r="58">
      <c r="A58" t="s">
        <v>167</v>
      </c>
      <c r="B58" t="s">
        <v>250</v>
      </c>
      <c r="C58" s="35" t="s">
        <v>252</v>
      </c>
      <c r="D58" t="s">
        <v>502</v>
      </c>
      <c r="E58" t="s">
        <v>255</v>
      </c>
      <c r="F58" t="s">
        <v>254</v>
      </c>
      <c r="G58" t="s">
        <v>520</v>
      </c>
      <c r="H58" s="196" t="n">
        <v>2029</v>
      </c>
      <c r="I58" s="197" t="str">
        <f>100*(1-(SUMIFS('CVD_40q30_Age'!$M$2:$M$7281,'CVD_40q30_Age'!$A$2:$A$7281,A58,'CVD_40q30_Age'!$B$2:$B$7281,B58,'CVD_40q30_Age'!$E$2:$E$7281,G58,'CVD_40q30_Age'!$F$2:$F$7281,H58,'CVD_40q30_Age'!$G$2:$G$7281,69))/(SUMIFS('CVD_40q30_Age'!$L$2:$L$7281,'CVD_40q30_Age'!$A$2:$A$7281,A58,'CVD_40q30_Age'!$B$2:$B$7281,B58,'CVD_40q30_Age'!$E$2:$E$7281,G58,'CVD_40q30_Age'!$F$2:$F$7281,H58,'CVD_40q30_Age'!$G$2:$G$7281,30)))</f>
      </c>
      <c r="J58" s="198" t="str">
        <f>SUMIFS($I$2:$I$183,$A$2:$A$183,A58,$G$2:$G$183,G58,$H$2:$H$183,H58,$B$2:$B$183,"baseline")</f>
      </c>
      <c r="K58" s="199" t="str">
        <f>J58-I58</f>
      </c>
      <c r="L58" s="200" t="str">
        <f>IF(J58=0,"",100*(J58-I58)/J58)</f>
      </c>
      <c r="M58" s="201" t="n">
        <v>14.2149166412333</v>
      </c>
      <c r="N58" s="37" t="str">
        <f>IF(ABS(I58-M58)&lt;=0.001,"match","mismatch")</f>
      </c>
    </row>
    <row r="59">
      <c r="A59" t="s">
        <v>167</v>
      </c>
      <c r="B59" t="s">
        <v>250</v>
      </c>
      <c r="C59" s="35" t="s">
        <v>252</v>
      </c>
      <c r="D59" t="s">
        <v>502</v>
      </c>
      <c r="E59" t="s">
        <v>255</v>
      </c>
      <c r="F59" t="s">
        <v>254</v>
      </c>
      <c r="G59" t="s">
        <v>520</v>
      </c>
      <c r="H59" s="196" t="n">
        <v>2030</v>
      </c>
      <c r="I59" s="197" t="str">
        <f>100*(1-(SUMIFS('CVD_40q30_Age'!$M$2:$M$7281,'CVD_40q30_Age'!$A$2:$A$7281,A59,'CVD_40q30_Age'!$B$2:$B$7281,B59,'CVD_40q30_Age'!$E$2:$E$7281,G59,'CVD_40q30_Age'!$F$2:$F$7281,H59,'CVD_40q30_Age'!$G$2:$G$7281,69))/(SUMIFS('CVD_40q30_Age'!$L$2:$L$7281,'CVD_40q30_Age'!$A$2:$A$7281,A59,'CVD_40q30_Age'!$B$2:$B$7281,B59,'CVD_40q30_Age'!$E$2:$E$7281,G59,'CVD_40q30_Age'!$F$2:$F$7281,H59,'CVD_40q30_Age'!$G$2:$G$7281,30)))</f>
      </c>
      <c r="J59" s="198" t="str">
        <f>SUMIFS($I$2:$I$183,$A$2:$A$183,A59,$G$2:$G$183,G59,$H$2:$H$183,H59,$B$2:$B$183,"baseline")</f>
      </c>
      <c r="K59" s="199" t="str">
        <f>J59-I59</f>
      </c>
      <c r="L59" s="200" t="str">
        <f>IF(J59=0,"",100*(J59-I59)/J59)</f>
      </c>
      <c r="M59" s="201" t="n">
        <v>14.1151548801982</v>
      </c>
      <c r="N59" s="37" t="str">
        <f>IF(ABS(I59-M59)&lt;=0.001,"match","mismatch")</f>
      </c>
    </row>
    <row r="60">
      <c r="A60" t="s">
        <v>167</v>
      </c>
      <c r="B60" t="s">
        <v>250</v>
      </c>
      <c r="C60" s="35" t="s">
        <v>252</v>
      </c>
      <c r="D60" t="s">
        <v>502</v>
      </c>
      <c r="E60" t="s">
        <v>255</v>
      </c>
      <c r="F60" t="s">
        <v>254</v>
      </c>
      <c r="G60" t="s">
        <v>520</v>
      </c>
      <c r="H60" s="196" t="n">
        <v>2031</v>
      </c>
      <c r="I60" s="197" t="str">
        <f>100*(1-(SUMIFS('CVD_40q30_Age'!$M$2:$M$7281,'CVD_40q30_Age'!$A$2:$A$7281,A60,'CVD_40q30_Age'!$B$2:$B$7281,B60,'CVD_40q30_Age'!$E$2:$E$7281,G60,'CVD_40q30_Age'!$F$2:$F$7281,H60,'CVD_40q30_Age'!$G$2:$G$7281,69))/(SUMIFS('CVD_40q30_Age'!$L$2:$L$7281,'CVD_40q30_Age'!$A$2:$A$7281,A60,'CVD_40q30_Age'!$B$2:$B$7281,B60,'CVD_40q30_Age'!$E$2:$E$7281,G60,'CVD_40q30_Age'!$F$2:$F$7281,H60,'CVD_40q30_Age'!$G$2:$G$7281,30)))</f>
      </c>
      <c r="J60" s="198" t="str">
        <f>SUMIFS($I$2:$I$183,$A$2:$A$183,A60,$G$2:$G$183,G60,$H$2:$H$183,H60,$B$2:$B$183,"baseline")</f>
      </c>
      <c r="K60" s="199" t="str">
        <f>J60-I60</f>
      </c>
      <c r="L60" s="200" t="str">
        <f>IF(J60=0,"",100*(J60-I60)/J60)</f>
      </c>
      <c r="M60" s="201" t="n">
        <v>14.0081894999872</v>
      </c>
      <c r="N60" s="37" t="str">
        <f>IF(ABS(I60-M60)&lt;=0.001,"match","mismatch")</f>
      </c>
    </row>
    <row r="61">
      <c r="A61" t="s">
        <v>167</v>
      </c>
      <c r="B61" t="s">
        <v>250</v>
      </c>
      <c r="C61" s="35" t="s">
        <v>252</v>
      </c>
      <c r="D61" t="s">
        <v>502</v>
      </c>
      <c r="E61" t="s">
        <v>255</v>
      </c>
      <c r="F61" t="s">
        <v>254</v>
      </c>
      <c r="G61" t="s">
        <v>520</v>
      </c>
      <c r="H61" s="196" t="n">
        <v>2032</v>
      </c>
      <c r="I61" s="197" t="str">
        <f>100*(1-(SUMIFS('CVD_40q30_Age'!$M$2:$M$7281,'CVD_40q30_Age'!$A$2:$A$7281,A61,'CVD_40q30_Age'!$B$2:$B$7281,B61,'CVD_40q30_Age'!$E$2:$E$7281,G61,'CVD_40q30_Age'!$F$2:$F$7281,H61,'CVD_40q30_Age'!$G$2:$G$7281,69))/(SUMIFS('CVD_40q30_Age'!$L$2:$L$7281,'CVD_40q30_Age'!$A$2:$A$7281,A61,'CVD_40q30_Age'!$B$2:$B$7281,B61,'CVD_40q30_Age'!$E$2:$E$7281,G61,'CVD_40q30_Age'!$F$2:$F$7281,H61,'CVD_40q30_Age'!$G$2:$G$7281,30)))</f>
      </c>
      <c r="J61" s="198" t="str">
        <f>SUMIFS($I$2:$I$183,$A$2:$A$183,A61,$G$2:$G$183,G61,$H$2:$H$183,H61,$B$2:$B$183,"baseline")</f>
      </c>
      <c r="K61" s="199" t="str">
        <f>J61-I61</f>
      </c>
      <c r="L61" s="200" t="str">
        <f>IF(J61=0,"",100*(J61-I61)/J61)</f>
      </c>
      <c r="M61" s="201" t="n">
        <v>13.8929933212926</v>
      </c>
      <c r="N61" s="37" t="str">
        <f>IF(ABS(I61-M61)&lt;=0.001,"match","mismatch")</f>
      </c>
    </row>
    <row r="62">
      <c r="A62" t="s">
        <v>167</v>
      </c>
      <c r="B62" t="s">
        <v>250</v>
      </c>
      <c r="C62" s="35" t="s">
        <v>252</v>
      </c>
      <c r="D62" t="s">
        <v>502</v>
      </c>
      <c r="E62" t="s">
        <v>255</v>
      </c>
      <c r="F62" t="s">
        <v>254</v>
      </c>
      <c r="G62" t="s">
        <v>520</v>
      </c>
      <c r="H62" s="196" t="n">
        <v>2033</v>
      </c>
      <c r="I62" s="197" t="str">
        <f>100*(1-(SUMIFS('CVD_40q30_Age'!$M$2:$M$7281,'CVD_40q30_Age'!$A$2:$A$7281,A62,'CVD_40q30_Age'!$B$2:$B$7281,B62,'CVD_40q30_Age'!$E$2:$E$7281,G62,'CVD_40q30_Age'!$F$2:$F$7281,H62,'CVD_40q30_Age'!$G$2:$G$7281,69))/(SUMIFS('CVD_40q30_Age'!$L$2:$L$7281,'CVD_40q30_Age'!$A$2:$A$7281,A62,'CVD_40q30_Age'!$B$2:$B$7281,B62,'CVD_40q30_Age'!$E$2:$E$7281,G62,'CVD_40q30_Age'!$F$2:$F$7281,H62,'CVD_40q30_Age'!$G$2:$G$7281,30)))</f>
      </c>
      <c r="J62" s="198" t="str">
        <f>SUMIFS($I$2:$I$183,$A$2:$A$183,A62,$G$2:$G$183,G62,$H$2:$H$183,H62,$B$2:$B$183,"baseline")</f>
      </c>
      <c r="K62" s="199" t="str">
        <f>J62-I62</f>
      </c>
      <c r="L62" s="200" t="str">
        <f>IF(J62=0,"",100*(J62-I62)/J62)</f>
      </c>
      <c r="M62" s="201" t="n">
        <v>13.7662454575449</v>
      </c>
      <c r="N62" s="37" t="str">
        <f>IF(ABS(I62-M62)&lt;=0.001,"match","mismatch")</f>
      </c>
    </row>
    <row r="63">
      <c r="A63" t="s">
        <v>167</v>
      </c>
      <c r="B63" t="s">
        <v>250</v>
      </c>
      <c r="C63" s="35" t="s">
        <v>252</v>
      </c>
      <c r="D63" t="s">
        <v>502</v>
      </c>
      <c r="E63" t="s">
        <v>255</v>
      </c>
      <c r="F63" t="s">
        <v>254</v>
      </c>
      <c r="G63" t="s">
        <v>520</v>
      </c>
      <c r="H63" s="196" t="n">
        <v>2034</v>
      </c>
      <c r="I63" s="197" t="str">
        <f>100*(1-(SUMIFS('CVD_40q30_Age'!$M$2:$M$7281,'CVD_40q30_Age'!$A$2:$A$7281,A63,'CVD_40q30_Age'!$B$2:$B$7281,B63,'CVD_40q30_Age'!$E$2:$E$7281,G63,'CVD_40q30_Age'!$F$2:$F$7281,H63,'CVD_40q30_Age'!$G$2:$G$7281,69))/(SUMIFS('CVD_40q30_Age'!$L$2:$L$7281,'CVD_40q30_Age'!$A$2:$A$7281,A63,'CVD_40q30_Age'!$B$2:$B$7281,B63,'CVD_40q30_Age'!$E$2:$E$7281,G63,'CVD_40q30_Age'!$F$2:$F$7281,H63,'CVD_40q30_Age'!$G$2:$G$7281,30)))</f>
      </c>
      <c r="J63" s="198" t="str">
        <f>SUMIFS($I$2:$I$183,$A$2:$A$183,A63,$G$2:$G$183,G63,$H$2:$H$183,H63,$B$2:$B$183,"baseline")</f>
      </c>
      <c r="K63" s="199" t="str">
        <f>J63-I63</f>
      </c>
      <c r="L63" s="200" t="str">
        <f>IF(J63=0,"",100*(J63-I63)/J63)</f>
      </c>
      <c r="M63" s="201" t="n">
        <v>13.6488298118637</v>
      </c>
      <c r="N63" s="37" t="str">
        <f>IF(ABS(I63-M63)&lt;=0.001,"match","mismatch")</f>
      </c>
    </row>
    <row r="64">
      <c r="A64" t="s">
        <v>167</v>
      </c>
      <c r="B64" t="s">
        <v>250</v>
      </c>
      <c r="C64" s="35" t="s">
        <v>252</v>
      </c>
      <c r="D64" t="s">
        <v>502</v>
      </c>
      <c r="E64" t="s">
        <v>255</v>
      </c>
      <c r="F64" t="s">
        <v>254</v>
      </c>
      <c r="G64" t="s">
        <v>520</v>
      </c>
      <c r="H64" s="196" t="n">
        <v>2035</v>
      </c>
      <c r="I64" s="197" t="str">
        <f>100*(1-(SUMIFS('CVD_40q30_Age'!$M$2:$M$7281,'CVD_40q30_Age'!$A$2:$A$7281,A64,'CVD_40q30_Age'!$B$2:$B$7281,B64,'CVD_40q30_Age'!$E$2:$E$7281,G64,'CVD_40q30_Age'!$F$2:$F$7281,H64,'CVD_40q30_Age'!$G$2:$G$7281,69))/(SUMIFS('CVD_40q30_Age'!$L$2:$L$7281,'CVD_40q30_Age'!$A$2:$A$7281,A64,'CVD_40q30_Age'!$B$2:$B$7281,B64,'CVD_40q30_Age'!$E$2:$E$7281,G64,'CVD_40q30_Age'!$F$2:$F$7281,H64,'CVD_40q30_Age'!$G$2:$G$7281,30)))</f>
      </c>
      <c r="J64" s="198" t="str">
        <f>SUMIFS($I$2:$I$183,$A$2:$A$183,A64,$G$2:$G$183,G64,$H$2:$H$183,H64,$B$2:$B$183,"baseline")</f>
      </c>
      <c r="K64" s="199" t="str">
        <f>J64-I64</f>
      </c>
      <c r="L64" s="200" t="str">
        <f>IF(J64=0,"",100*(J64-I64)/J64)</f>
      </c>
      <c r="M64" s="201" t="n">
        <v>13.5239244767461</v>
      </c>
      <c r="N64" s="37" t="str">
        <f>IF(ABS(I64-M64)&lt;=0.001,"match","mismatch")</f>
      </c>
    </row>
    <row r="65">
      <c r="A65" t="s">
        <v>167</v>
      </c>
      <c r="B65" t="s">
        <v>250</v>
      </c>
      <c r="C65" s="35" t="s">
        <v>252</v>
      </c>
      <c r="D65" t="s">
        <v>502</v>
      </c>
      <c r="E65" t="s">
        <v>255</v>
      </c>
      <c r="F65" t="s">
        <v>254</v>
      </c>
      <c r="G65" t="s">
        <v>520</v>
      </c>
      <c r="H65" s="196" t="n">
        <v>2036</v>
      </c>
      <c r="I65" s="197" t="str">
        <f>100*(1-(SUMIFS('CVD_40q30_Age'!$M$2:$M$7281,'CVD_40q30_Age'!$A$2:$A$7281,A65,'CVD_40q30_Age'!$B$2:$B$7281,B65,'CVD_40q30_Age'!$E$2:$E$7281,G65,'CVD_40q30_Age'!$F$2:$F$7281,H65,'CVD_40q30_Age'!$G$2:$G$7281,69))/(SUMIFS('CVD_40q30_Age'!$L$2:$L$7281,'CVD_40q30_Age'!$A$2:$A$7281,A65,'CVD_40q30_Age'!$B$2:$B$7281,B65,'CVD_40q30_Age'!$E$2:$E$7281,G65,'CVD_40q30_Age'!$F$2:$F$7281,H65,'CVD_40q30_Age'!$G$2:$G$7281,30)))</f>
      </c>
      <c r="J65" s="198" t="str">
        <f>SUMIFS($I$2:$I$183,$A$2:$A$183,A65,$G$2:$G$183,G65,$H$2:$H$183,H65,$B$2:$B$183,"baseline")</f>
      </c>
      <c r="K65" s="199" t="str">
        <f>J65-I65</f>
      </c>
      <c r="L65" s="200" t="str">
        <f>IF(J65=0,"",100*(J65-I65)/J65)</f>
      </c>
      <c r="M65" s="201" t="n">
        <v>13.3950910926115</v>
      </c>
      <c r="N65" s="37" t="str">
        <f>IF(ABS(I65-M65)&lt;=0.001,"match","mismatch")</f>
      </c>
    </row>
    <row r="66">
      <c r="A66" t="s">
        <v>167</v>
      </c>
      <c r="B66" t="s">
        <v>250</v>
      </c>
      <c r="C66" s="35" t="s">
        <v>252</v>
      </c>
      <c r="D66" t="s">
        <v>502</v>
      </c>
      <c r="E66" t="s">
        <v>255</v>
      </c>
      <c r="F66" t="s">
        <v>254</v>
      </c>
      <c r="G66" t="s">
        <v>520</v>
      </c>
      <c r="H66" s="196" t="n">
        <v>2037</v>
      </c>
      <c r="I66" s="197" t="str">
        <f>100*(1-(SUMIFS('CVD_40q30_Age'!$M$2:$M$7281,'CVD_40q30_Age'!$A$2:$A$7281,A66,'CVD_40q30_Age'!$B$2:$B$7281,B66,'CVD_40q30_Age'!$E$2:$E$7281,G66,'CVD_40q30_Age'!$F$2:$F$7281,H66,'CVD_40q30_Age'!$G$2:$G$7281,69))/(SUMIFS('CVD_40q30_Age'!$L$2:$L$7281,'CVD_40q30_Age'!$A$2:$A$7281,A66,'CVD_40q30_Age'!$B$2:$B$7281,B66,'CVD_40q30_Age'!$E$2:$E$7281,G66,'CVD_40q30_Age'!$F$2:$F$7281,H66,'CVD_40q30_Age'!$G$2:$G$7281,30)))</f>
      </c>
      <c r="J66" s="198" t="str">
        <f>SUMIFS($I$2:$I$183,$A$2:$A$183,A66,$G$2:$G$183,G66,$H$2:$H$183,H66,$B$2:$B$183,"baseline")</f>
      </c>
      <c r="K66" s="199" t="str">
        <f>J66-I66</f>
      </c>
      <c r="L66" s="200" t="str">
        <f>IF(J66=0,"",100*(J66-I66)/J66)</f>
      </c>
      <c r="M66" s="201" t="n">
        <v>13.2635661652811</v>
      </c>
      <c r="N66" s="37" t="str">
        <f>IF(ABS(I66-M66)&lt;=0.001,"match","mismatch")</f>
      </c>
    </row>
    <row r="67">
      <c r="A67" t="s">
        <v>167</v>
      </c>
      <c r="B67" t="s">
        <v>250</v>
      </c>
      <c r="C67" s="35" t="s">
        <v>252</v>
      </c>
      <c r="D67" t="s">
        <v>502</v>
      </c>
      <c r="E67" t="s">
        <v>255</v>
      </c>
      <c r="F67" t="s">
        <v>254</v>
      </c>
      <c r="G67" t="s">
        <v>520</v>
      </c>
      <c r="H67" s="196" t="n">
        <v>2038</v>
      </c>
      <c r="I67" s="197" t="str">
        <f>100*(1-(SUMIFS('CVD_40q30_Age'!$M$2:$M$7281,'CVD_40q30_Age'!$A$2:$A$7281,A67,'CVD_40q30_Age'!$B$2:$B$7281,B67,'CVD_40q30_Age'!$E$2:$E$7281,G67,'CVD_40q30_Age'!$F$2:$F$7281,H67,'CVD_40q30_Age'!$G$2:$G$7281,69))/(SUMIFS('CVD_40q30_Age'!$L$2:$L$7281,'CVD_40q30_Age'!$A$2:$A$7281,A67,'CVD_40q30_Age'!$B$2:$B$7281,B67,'CVD_40q30_Age'!$E$2:$E$7281,G67,'CVD_40q30_Age'!$F$2:$F$7281,H67,'CVD_40q30_Age'!$G$2:$G$7281,30)))</f>
      </c>
      <c r="J67" s="198" t="str">
        <f>SUMIFS($I$2:$I$183,$A$2:$A$183,A67,$G$2:$G$183,G67,$H$2:$H$183,H67,$B$2:$B$183,"baseline")</f>
      </c>
      <c r="K67" s="199" t="str">
        <f>J67-I67</f>
      </c>
      <c r="L67" s="200" t="str">
        <f>IF(J67=0,"",100*(J67-I67)/J67)</f>
      </c>
      <c r="M67" s="201" t="n">
        <v>13.1282858345865</v>
      </c>
      <c r="N67" s="37" t="str">
        <f>IF(ABS(I67-M67)&lt;=0.001,"match","mismatch")</f>
      </c>
    </row>
    <row r="68">
      <c r="A68" t="s">
        <v>167</v>
      </c>
      <c r="B68" t="s">
        <v>250</v>
      </c>
      <c r="C68" s="35" t="s">
        <v>252</v>
      </c>
      <c r="D68" t="s">
        <v>502</v>
      </c>
      <c r="E68" t="s">
        <v>255</v>
      </c>
      <c r="F68" t="s">
        <v>254</v>
      </c>
      <c r="G68" t="s">
        <v>520</v>
      </c>
      <c r="H68" s="196" t="n">
        <v>2039</v>
      </c>
      <c r="I68" s="197" t="str">
        <f>100*(1-(SUMIFS('CVD_40q30_Age'!$M$2:$M$7281,'CVD_40q30_Age'!$A$2:$A$7281,A68,'CVD_40q30_Age'!$B$2:$B$7281,B68,'CVD_40q30_Age'!$E$2:$E$7281,G68,'CVD_40q30_Age'!$F$2:$F$7281,H68,'CVD_40q30_Age'!$G$2:$G$7281,69))/(SUMIFS('CVD_40q30_Age'!$L$2:$L$7281,'CVD_40q30_Age'!$A$2:$A$7281,A68,'CVD_40q30_Age'!$B$2:$B$7281,B68,'CVD_40q30_Age'!$E$2:$E$7281,G68,'CVD_40q30_Age'!$F$2:$F$7281,H68,'CVD_40q30_Age'!$G$2:$G$7281,30)))</f>
      </c>
      <c r="J68" s="198" t="str">
        <f>SUMIFS($I$2:$I$183,$A$2:$A$183,A68,$G$2:$G$183,G68,$H$2:$H$183,H68,$B$2:$B$183,"baseline")</f>
      </c>
      <c r="K68" s="199" t="str">
        <f>J68-I68</f>
      </c>
      <c r="L68" s="200" t="str">
        <f>IF(J68=0,"",100*(J68-I68)/J68)</f>
      </c>
      <c r="M68" s="201" t="n">
        <v>13.0005816280059</v>
      </c>
      <c r="N68" s="37" t="str">
        <f>IF(ABS(I68-M68)&lt;=0.001,"match","mismatch")</f>
      </c>
    </row>
    <row r="69">
      <c r="A69" t="s">
        <v>167</v>
      </c>
      <c r="B69" t="s">
        <v>250</v>
      </c>
      <c r="C69" s="35" t="s">
        <v>252</v>
      </c>
      <c r="D69" t="s">
        <v>502</v>
      </c>
      <c r="E69" t="s">
        <v>255</v>
      </c>
      <c r="F69" t="s">
        <v>254</v>
      </c>
      <c r="G69" t="s">
        <v>520</v>
      </c>
      <c r="H69" s="196" t="n">
        <v>2040</v>
      </c>
      <c r="I69" s="197" t="str">
        <f>100*(1-(SUMIFS('CVD_40q30_Age'!$M$2:$M$7281,'CVD_40q30_Age'!$A$2:$A$7281,A69,'CVD_40q30_Age'!$B$2:$B$7281,B69,'CVD_40q30_Age'!$E$2:$E$7281,G69,'CVD_40q30_Age'!$F$2:$F$7281,H69,'CVD_40q30_Age'!$G$2:$G$7281,69))/(SUMIFS('CVD_40q30_Age'!$L$2:$L$7281,'CVD_40q30_Age'!$A$2:$A$7281,A69,'CVD_40q30_Age'!$B$2:$B$7281,B69,'CVD_40q30_Age'!$E$2:$E$7281,G69,'CVD_40q30_Age'!$F$2:$F$7281,H69,'CVD_40q30_Age'!$G$2:$G$7281,30)))</f>
      </c>
      <c r="J69" s="198" t="str">
        <f>SUMIFS($I$2:$I$183,$A$2:$A$183,A69,$G$2:$G$183,G69,$H$2:$H$183,H69,$B$2:$B$183,"baseline")</f>
      </c>
      <c r="K69" s="199" t="str">
        <f>J69-I69</f>
      </c>
      <c r="L69" s="200" t="str">
        <f>IF(J69=0,"",100*(J69-I69)/J69)</f>
      </c>
      <c r="M69" s="201" t="n">
        <v>12.8657018955623</v>
      </c>
      <c r="N69" s="37" t="str">
        <f>IF(ABS(I69-M69)&lt;=0.001,"match","mismatch")</f>
      </c>
    </row>
    <row r="70">
      <c r="A70" t="s">
        <v>167</v>
      </c>
      <c r="B70" t="s">
        <v>250</v>
      </c>
      <c r="C70" s="35" t="s">
        <v>252</v>
      </c>
      <c r="D70" t="s">
        <v>502</v>
      </c>
      <c r="E70" t="s">
        <v>255</v>
      </c>
      <c r="F70" t="s">
        <v>254</v>
      </c>
      <c r="G70" t="s">
        <v>520</v>
      </c>
      <c r="H70" s="196" t="n">
        <v>2041</v>
      </c>
      <c r="I70" s="197" t="str">
        <f>100*(1-(SUMIFS('CVD_40q30_Age'!$M$2:$M$7281,'CVD_40q30_Age'!$A$2:$A$7281,A70,'CVD_40q30_Age'!$B$2:$B$7281,B70,'CVD_40q30_Age'!$E$2:$E$7281,G70,'CVD_40q30_Age'!$F$2:$F$7281,H70,'CVD_40q30_Age'!$G$2:$G$7281,69))/(SUMIFS('CVD_40q30_Age'!$L$2:$L$7281,'CVD_40q30_Age'!$A$2:$A$7281,A70,'CVD_40q30_Age'!$B$2:$B$7281,B70,'CVD_40q30_Age'!$E$2:$E$7281,G70,'CVD_40q30_Age'!$F$2:$F$7281,H70,'CVD_40q30_Age'!$G$2:$G$7281,30)))</f>
      </c>
      <c r="J70" s="198" t="str">
        <f>SUMIFS($I$2:$I$183,$A$2:$A$183,A70,$G$2:$G$183,G70,$H$2:$H$183,H70,$B$2:$B$183,"baseline")</f>
      </c>
      <c r="K70" s="199" t="str">
        <f>J70-I70</f>
      </c>
      <c r="L70" s="200" t="str">
        <f>IF(J70=0,"",100*(J70-I70)/J70)</f>
      </c>
      <c r="M70" s="201" t="n">
        <v>12.740298191639</v>
      </c>
      <c r="N70" s="37" t="str">
        <f>IF(ABS(I70-M70)&lt;=0.001,"match","mismatch")</f>
      </c>
    </row>
    <row r="71">
      <c r="A71" t="s">
        <v>167</v>
      </c>
      <c r="B71" t="s">
        <v>250</v>
      </c>
      <c r="C71" s="35" t="s">
        <v>252</v>
      </c>
      <c r="D71" t="s">
        <v>502</v>
      </c>
      <c r="E71" t="s">
        <v>255</v>
      </c>
      <c r="F71" t="s">
        <v>254</v>
      </c>
      <c r="G71" t="s">
        <v>520</v>
      </c>
      <c r="H71" s="196" t="n">
        <v>2042</v>
      </c>
      <c r="I71" s="197" t="str">
        <f>100*(1-(SUMIFS('CVD_40q30_Age'!$M$2:$M$7281,'CVD_40q30_Age'!$A$2:$A$7281,A71,'CVD_40q30_Age'!$B$2:$B$7281,B71,'CVD_40q30_Age'!$E$2:$E$7281,G71,'CVD_40q30_Age'!$F$2:$F$7281,H71,'CVD_40q30_Age'!$G$2:$G$7281,69))/(SUMIFS('CVD_40q30_Age'!$L$2:$L$7281,'CVD_40q30_Age'!$A$2:$A$7281,A71,'CVD_40q30_Age'!$B$2:$B$7281,B71,'CVD_40q30_Age'!$E$2:$E$7281,G71,'CVD_40q30_Age'!$F$2:$F$7281,H71,'CVD_40q30_Age'!$G$2:$G$7281,30)))</f>
      </c>
      <c r="J71" s="198" t="str">
        <f>SUMIFS($I$2:$I$183,$A$2:$A$183,A71,$G$2:$G$183,G71,$H$2:$H$183,H71,$B$2:$B$183,"baseline")</f>
      </c>
      <c r="K71" s="199" t="str">
        <f>J71-I71</f>
      </c>
      <c r="L71" s="200" t="str">
        <f>IF(J71=0,"",100*(J71-I71)/J71)</f>
      </c>
      <c r="M71" s="201" t="n">
        <v>12.610712310716</v>
      </c>
      <c r="N71" s="37" t="str">
        <f>IF(ABS(I71-M71)&lt;=0.001,"match","mismatch")</f>
      </c>
    </row>
    <row r="72">
      <c r="A72" t="s">
        <v>167</v>
      </c>
      <c r="B72" t="s">
        <v>250</v>
      </c>
      <c r="C72" s="35" t="s">
        <v>252</v>
      </c>
      <c r="D72" t="s">
        <v>502</v>
      </c>
      <c r="E72" t="s">
        <v>255</v>
      </c>
      <c r="F72" t="s">
        <v>254</v>
      </c>
      <c r="G72" t="s">
        <v>520</v>
      </c>
      <c r="H72" s="196" t="n">
        <v>2043</v>
      </c>
      <c r="I72" s="197" t="str">
        <f>100*(1-(SUMIFS('CVD_40q30_Age'!$M$2:$M$7281,'CVD_40q30_Age'!$A$2:$A$7281,A72,'CVD_40q30_Age'!$B$2:$B$7281,B72,'CVD_40q30_Age'!$E$2:$E$7281,G72,'CVD_40q30_Age'!$F$2:$F$7281,H72,'CVD_40q30_Age'!$G$2:$G$7281,69))/(SUMIFS('CVD_40q30_Age'!$L$2:$L$7281,'CVD_40q30_Age'!$A$2:$A$7281,A72,'CVD_40q30_Age'!$B$2:$B$7281,B72,'CVD_40q30_Age'!$E$2:$E$7281,G72,'CVD_40q30_Age'!$F$2:$F$7281,H72,'CVD_40q30_Age'!$G$2:$G$7281,30)))</f>
      </c>
      <c r="J72" s="198" t="str">
        <f>SUMIFS($I$2:$I$183,$A$2:$A$183,A72,$G$2:$G$183,G72,$H$2:$H$183,H72,$B$2:$B$183,"baseline")</f>
      </c>
      <c r="K72" s="199" t="str">
        <f>J72-I72</f>
      </c>
      <c r="L72" s="200" t="str">
        <f>IF(J72=0,"",100*(J72-I72)/J72)</f>
      </c>
      <c r="M72" s="201" t="n">
        <v>12.4750371762363</v>
      </c>
      <c r="N72" s="37" t="str">
        <f>IF(ABS(I72-M72)&lt;=0.001,"match","mismatch")</f>
      </c>
    </row>
    <row r="73">
      <c r="A73" t="s">
        <v>167</v>
      </c>
      <c r="B73" t="s">
        <v>250</v>
      </c>
      <c r="C73" s="35" t="s">
        <v>252</v>
      </c>
      <c r="D73" t="s">
        <v>502</v>
      </c>
      <c r="E73" t="s">
        <v>255</v>
      </c>
      <c r="F73" t="s">
        <v>254</v>
      </c>
      <c r="G73" t="s">
        <v>520</v>
      </c>
      <c r="H73" s="196" t="n">
        <v>2044</v>
      </c>
      <c r="I73" s="197" t="str">
        <f>100*(1-(SUMIFS('CVD_40q30_Age'!$M$2:$M$7281,'CVD_40q30_Age'!$A$2:$A$7281,A73,'CVD_40q30_Age'!$B$2:$B$7281,B73,'CVD_40q30_Age'!$E$2:$E$7281,G73,'CVD_40q30_Age'!$F$2:$F$7281,H73,'CVD_40q30_Age'!$G$2:$G$7281,69))/(SUMIFS('CVD_40q30_Age'!$L$2:$L$7281,'CVD_40q30_Age'!$A$2:$A$7281,A73,'CVD_40q30_Age'!$B$2:$B$7281,B73,'CVD_40q30_Age'!$E$2:$E$7281,G73,'CVD_40q30_Age'!$F$2:$F$7281,H73,'CVD_40q30_Age'!$G$2:$G$7281,30)))</f>
      </c>
      <c r="J73" s="198" t="str">
        <f>SUMIFS($I$2:$I$183,$A$2:$A$183,A73,$G$2:$G$183,G73,$H$2:$H$183,H73,$B$2:$B$183,"baseline")</f>
      </c>
      <c r="K73" s="199" t="str">
        <f>J73-I73</f>
      </c>
      <c r="L73" s="200" t="str">
        <f>IF(J73=0,"",100*(J73-I73)/J73)</f>
      </c>
      <c r="M73" s="201" t="n">
        <v>12.3414969698659</v>
      </c>
      <c r="N73" s="37" t="str">
        <f>IF(ABS(I73-M73)&lt;=0.001,"match","mismatch")</f>
      </c>
    </row>
    <row r="74">
      <c r="A74" t="s">
        <v>167</v>
      </c>
      <c r="B74" t="s">
        <v>250</v>
      </c>
      <c r="C74" s="35" t="s">
        <v>252</v>
      </c>
      <c r="D74" t="s">
        <v>502</v>
      </c>
      <c r="E74" t="s">
        <v>255</v>
      </c>
      <c r="F74" t="s">
        <v>254</v>
      </c>
      <c r="G74" t="s">
        <v>520</v>
      </c>
      <c r="H74" s="196" t="n">
        <v>2045</v>
      </c>
      <c r="I74" s="197" t="str">
        <f>100*(1-(SUMIFS('CVD_40q30_Age'!$M$2:$M$7281,'CVD_40q30_Age'!$A$2:$A$7281,A74,'CVD_40q30_Age'!$B$2:$B$7281,B74,'CVD_40q30_Age'!$E$2:$E$7281,G74,'CVD_40q30_Age'!$F$2:$F$7281,H74,'CVD_40q30_Age'!$G$2:$G$7281,69))/(SUMIFS('CVD_40q30_Age'!$L$2:$L$7281,'CVD_40q30_Age'!$A$2:$A$7281,A74,'CVD_40q30_Age'!$B$2:$B$7281,B74,'CVD_40q30_Age'!$E$2:$E$7281,G74,'CVD_40q30_Age'!$F$2:$F$7281,H74,'CVD_40q30_Age'!$G$2:$G$7281,30)))</f>
      </c>
      <c r="J74" s="198" t="str">
        <f>SUMIFS($I$2:$I$183,$A$2:$A$183,A74,$G$2:$G$183,G74,$H$2:$H$183,H74,$B$2:$B$183,"baseline")</f>
      </c>
      <c r="K74" s="199" t="str">
        <f>J74-I74</f>
      </c>
      <c r="L74" s="200" t="str">
        <f>IF(J74=0,"",100*(J74-I74)/J74)</f>
      </c>
      <c r="M74" s="201" t="n">
        <v>12.2160301515156</v>
      </c>
      <c r="N74" s="37" t="str">
        <f>IF(ABS(I74-M74)&lt;=0.001,"match","mismatch")</f>
      </c>
    </row>
    <row r="75">
      <c r="A75" t="s">
        <v>167</v>
      </c>
      <c r="B75" t="s">
        <v>250</v>
      </c>
      <c r="C75" s="35" t="s">
        <v>252</v>
      </c>
      <c r="D75" t="s">
        <v>502</v>
      </c>
      <c r="E75" t="s">
        <v>255</v>
      </c>
      <c r="F75" t="s">
        <v>254</v>
      </c>
      <c r="G75" t="s">
        <v>520</v>
      </c>
      <c r="H75" s="196" t="n">
        <v>2046</v>
      </c>
      <c r="I75" s="197" t="str">
        <f>100*(1-(SUMIFS('CVD_40q30_Age'!$M$2:$M$7281,'CVD_40q30_Age'!$A$2:$A$7281,A75,'CVD_40q30_Age'!$B$2:$B$7281,B75,'CVD_40q30_Age'!$E$2:$E$7281,G75,'CVD_40q30_Age'!$F$2:$F$7281,H75,'CVD_40q30_Age'!$G$2:$G$7281,69))/(SUMIFS('CVD_40q30_Age'!$L$2:$L$7281,'CVD_40q30_Age'!$A$2:$A$7281,A75,'CVD_40q30_Age'!$B$2:$B$7281,B75,'CVD_40q30_Age'!$E$2:$E$7281,G75,'CVD_40q30_Age'!$F$2:$F$7281,H75,'CVD_40q30_Age'!$G$2:$G$7281,30)))</f>
      </c>
      <c r="J75" s="198" t="str">
        <f>SUMIFS($I$2:$I$183,$A$2:$A$183,A75,$G$2:$G$183,G75,$H$2:$H$183,H75,$B$2:$B$183,"baseline")</f>
      </c>
      <c r="K75" s="199" t="str">
        <f>J75-I75</f>
      </c>
      <c r="L75" s="200" t="str">
        <f>IF(J75=0,"",100*(J75-I75)/J75)</f>
      </c>
      <c r="M75" s="201" t="n">
        <v>12.0878766863091</v>
      </c>
      <c r="N75" s="37" t="str">
        <f>IF(ABS(I75-M75)&lt;=0.001,"match","mismatch")</f>
      </c>
    </row>
    <row r="76">
      <c r="A76" t="s">
        <v>167</v>
      </c>
      <c r="B76" t="s">
        <v>250</v>
      </c>
      <c r="C76" s="35" t="s">
        <v>252</v>
      </c>
      <c r="D76" t="s">
        <v>502</v>
      </c>
      <c r="E76" t="s">
        <v>255</v>
      </c>
      <c r="F76" t="s">
        <v>254</v>
      </c>
      <c r="G76" t="s">
        <v>520</v>
      </c>
      <c r="H76" s="196" t="n">
        <v>2047</v>
      </c>
      <c r="I76" s="197" t="str">
        <f>100*(1-(SUMIFS('CVD_40q30_Age'!$M$2:$M$7281,'CVD_40q30_Age'!$A$2:$A$7281,A76,'CVD_40q30_Age'!$B$2:$B$7281,B76,'CVD_40q30_Age'!$E$2:$E$7281,G76,'CVD_40q30_Age'!$F$2:$F$7281,H76,'CVD_40q30_Age'!$G$2:$G$7281,69))/(SUMIFS('CVD_40q30_Age'!$L$2:$L$7281,'CVD_40q30_Age'!$A$2:$A$7281,A76,'CVD_40q30_Age'!$B$2:$B$7281,B76,'CVD_40q30_Age'!$E$2:$E$7281,G76,'CVD_40q30_Age'!$F$2:$F$7281,H76,'CVD_40q30_Age'!$G$2:$G$7281,30)))</f>
      </c>
      <c r="J76" s="198" t="str">
        <f>SUMIFS($I$2:$I$183,$A$2:$A$183,A76,$G$2:$G$183,G76,$H$2:$H$183,H76,$B$2:$B$183,"baseline")</f>
      </c>
      <c r="K76" s="199" t="str">
        <f>J76-I76</f>
      </c>
      <c r="L76" s="200" t="str">
        <f>IF(J76=0,"",100*(J76-I76)/J76)</f>
      </c>
      <c r="M76" s="201" t="n">
        <v>11.9588092196111</v>
      </c>
      <c r="N76" s="37" t="str">
        <f>IF(ABS(I76-M76)&lt;=0.001,"match","mismatch")</f>
      </c>
    </row>
    <row r="77">
      <c r="A77" t="s">
        <v>167</v>
      </c>
      <c r="B77" t="s">
        <v>250</v>
      </c>
      <c r="C77" s="35" t="s">
        <v>252</v>
      </c>
      <c r="D77" t="s">
        <v>502</v>
      </c>
      <c r="E77" t="s">
        <v>255</v>
      </c>
      <c r="F77" t="s">
        <v>254</v>
      </c>
      <c r="G77" t="s">
        <v>520</v>
      </c>
      <c r="H77" s="196" t="n">
        <v>2048</v>
      </c>
      <c r="I77" s="197" t="str">
        <f>100*(1-(SUMIFS('CVD_40q30_Age'!$M$2:$M$7281,'CVD_40q30_Age'!$A$2:$A$7281,A77,'CVD_40q30_Age'!$B$2:$B$7281,B77,'CVD_40q30_Age'!$E$2:$E$7281,G77,'CVD_40q30_Age'!$F$2:$F$7281,H77,'CVD_40q30_Age'!$G$2:$G$7281,69))/(SUMIFS('CVD_40q30_Age'!$L$2:$L$7281,'CVD_40q30_Age'!$A$2:$A$7281,A77,'CVD_40q30_Age'!$B$2:$B$7281,B77,'CVD_40q30_Age'!$E$2:$E$7281,G77,'CVD_40q30_Age'!$F$2:$F$7281,H77,'CVD_40q30_Age'!$G$2:$G$7281,30)))</f>
      </c>
      <c r="J77" s="198" t="str">
        <f>SUMIFS($I$2:$I$183,$A$2:$A$183,A77,$G$2:$G$183,G77,$H$2:$H$183,H77,$B$2:$B$183,"baseline")</f>
      </c>
      <c r="K77" s="199" t="str">
        <f>J77-I77</f>
      </c>
      <c r="L77" s="200" t="str">
        <f>IF(J77=0,"",100*(J77-I77)/J77)</f>
      </c>
      <c r="M77" s="201" t="n">
        <v>11.8249044987197</v>
      </c>
      <c r="N77" s="37" t="str">
        <f>IF(ABS(I77-M77)&lt;=0.001,"match","mismatch")</f>
      </c>
    </row>
    <row r="78">
      <c r="A78" t="s">
        <v>167</v>
      </c>
      <c r="B78" t="s">
        <v>250</v>
      </c>
      <c r="C78" s="35" t="s">
        <v>252</v>
      </c>
      <c r="D78" t="s">
        <v>502</v>
      </c>
      <c r="E78" t="s">
        <v>255</v>
      </c>
      <c r="F78" t="s">
        <v>254</v>
      </c>
      <c r="G78" t="s">
        <v>520</v>
      </c>
      <c r="H78" s="196" t="n">
        <v>2049</v>
      </c>
      <c r="I78" s="197" t="str">
        <f>100*(1-(SUMIFS('CVD_40q30_Age'!$M$2:$M$7281,'CVD_40q30_Age'!$A$2:$A$7281,A78,'CVD_40q30_Age'!$B$2:$B$7281,B78,'CVD_40q30_Age'!$E$2:$E$7281,G78,'CVD_40q30_Age'!$F$2:$F$7281,H78,'CVD_40q30_Age'!$G$2:$G$7281,69))/(SUMIFS('CVD_40q30_Age'!$L$2:$L$7281,'CVD_40q30_Age'!$A$2:$A$7281,A78,'CVD_40q30_Age'!$B$2:$B$7281,B78,'CVD_40q30_Age'!$E$2:$E$7281,G78,'CVD_40q30_Age'!$F$2:$F$7281,H78,'CVD_40q30_Age'!$G$2:$G$7281,30)))</f>
      </c>
      <c r="J78" s="198" t="str">
        <f>SUMIFS($I$2:$I$183,$A$2:$A$183,A78,$G$2:$G$183,G78,$H$2:$H$183,H78,$B$2:$B$183,"baseline")</f>
      </c>
      <c r="K78" s="199" t="str">
        <f>J78-I78</f>
      </c>
      <c r="L78" s="200" t="str">
        <f>IF(J78=0,"",100*(J78-I78)/J78)</f>
      </c>
      <c r="M78" s="201" t="n">
        <v>11.6993264923762</v>
      </c>
      <c r="N78" s="37" t="str">
        <f>IF(ABS(I78-M78)&lt;=0.001,"match","mismatch")</f>
      </c>
    </row>
    <row r="79">
      <c r="A79" t="s">
        <v>167</v>
      </c>
      <c r="B79" t="s">
        <v>250</v>
      </c>
      <c r="C79" s="35" t="s">
        <v>252</v>
      </c>
      <c r="D79" t="s">
        <v>502</v>
      </c>
      <c r="E79" t="s">
        <v>255</v>
      </c>
      <c r="F79" t="s">
        <v>254</v>
      </c>
      <c r="G79" t="s">
        <v>520</v>
      </c>
      <c r="H79" s="196" t="n">
        <v>2050</v>
      </c>
      <c r="I79" s="197" t="str">
        <f>100*(1-(SUMIFS('CVD_40q30_Age'!$M$2:$M$7281,'CVD_40q30_Age'!$A$2:$A$7281,A79,'CVD_40q30_Age'!$B$2:$B$7281,B79,'CVD_40q30_Age'!$E$2:$E$7281,G79,'CVD_40q30_Age'!$F$2:$F$7281,H79,'CVD_40q30_Age'!$G$2:$G$7281,69))/(SUMIFS('CVD_40q30_Age'!$L$2:$L$7281,'CVD_40q30_Age'!$A$2:$A$7281,A79,'CVD_40q30_Age'!$B$2:$B$7281,B79,'CVD_40q30_Age'!$E$2:$E$7281,G79,'CVD_40q30_Age'!$F$2:$F$7281,H79,'CVD_40q30_Age'!$G$2:$G$7281,30)))</f>
      </c>
      <c r="J79" s="198" t="str">
        <f>SUMIFS($I$2:$I$183,$A$2:$A$183,A79,$G$2:$G$183,G79,$H$2:$H$183,H79,$B$2:$B$183,"baseline")</f>
      </c>
      <c r="K79" s="199" t="str">
        <f>J79-I79</f>
      </c>
      <c r="L79" s="200" t="str">
        <f>IF(J79=0,"",100*(J79-I79)/J79)</f>
      </c>
      <c r="M79" s="201" t="n">
        <v>11.5807078456577</v>
      </c>
      <c r="N79" s="37" t="str">
        <f>IF(ABS(I79-M79)&lt;=0.001,"match","mismatch")</f>
      </c>
    </row>
    <row r="80">
      <c r="A80" t="s">
        <v>167</v>
      </c>
      <c r="B80" t="s">
        <v>262</v>
      </c>
      <c r="C80" s="35" t="s">
        <v>264</v>
      </c>
      <c r="D80" t="s">
        <v>502</v>
      </c>
      <c r="E80" t="s">
        <v>255</v>
      </c>
      <c r="F80" t="s">
        <v>254</v>
      </c>
      <c r="G80" t="s">
        <v>520</v>
      </c>
      <c r="H80" s="196" t="n">
        <v>2025</v>
      </c>
      <c r="I80" s="197" t="str">
        <f>100*(1-(SUMIFS('CVD_40q30_Age'!$M$2:$M$7281,'CVD_40q30_Age'!$A$2:$A$7281,A80,'CVD_40q30_Age'!$B$2:$B$7281,B80,'CVD_40q30_Age'!$E$2:$E$7281,G80,'CVD_40q30_Age'!$F$2:$F$7281,H80,'CVD_40q30_Age'!$G$2:$G$7281,69))/(SUMIFS('CVD_40q30_Age'!$L$2:$L$7281,'CVD_40q30_Age'!$A$2:$A$7281,A80,'CVD_40q30_Age'!$B$2:$B$7281,B80,'CVD_40q30_Age'!$E$2:$E$7281,G80,'CVD_40q30_Age'!$F$2:$F$7281,H80,'CVD_40q30_Age'!$G$2:$G$7281,30)))</f>
      </c>
      <c r="J80" s="198" t="str">
        <f>SUMIFS($I$2:$I$183,$A$2:$A$183,A80,$G$2:$G$183,G80,$H$2:$H$183,H80,$B$2:$B$183,"baseline")</f>
      </c>
      <c r="K80" s="199" t="str">
        <f>J80-I80</f>
      </c>
      <c r="L80" s="200" t="str">
        <f>IF(J80=0,"",100*(J80-I80)/J80)</f>
      </c>
      <c r="M80" s="201" t="n">
        <v>14.5948626930222</v>
      </c>
      <c r="N80" s="37" t="str">
        <f>IF(ABS(I80-M80)&lt;=0.001,"match","mismatch")</f>
      </c>
    </row>
    <row r="81">
      <c r="A81" t="s">
        <v>167</v>
      </c>
      <c r="B81" t="s">
        <v>262</v>
      </c>
      <c r="C81" s="35" t="s">
        <v>264</v>
      </c>
      <c r="D81" t="s">
        <v>502</v>
      </c>
      <c r="E81" t="s">
        <v>255</v>
      </c>
      <c r="F81" t="s">
        <v>254</v>
      </c>
      <c r="G81" t="s">
        <v>520</v>
      </c>
      <c r="H81" s="196" t="n">
        <v>2026</v>
      </c>
      <c r="I81" s="197" t="str">
        <f>100*(1-(SUMIFS('CVD_40q30_Age'!$M$2:$M$7281,'CVD_40q30_Age'!$A$2:$A$7281,A81,'CVD_40q30_Age'!$B$2:$B$7281,B81,'CVD_40q30_Age'!$E$2:$E$7281,G81,'CVD_40q30_Age'!$F$2:$F$7281,H81,'CVD_40q30_Age'!$G$2:$G$7281,69))/(SUMIFS('CVD_40q30_Age'!$L$2:$L$7281,'CVD_40q30_Age'!$A$2:$A$7281,A81,'CVD_40q30_Age'!$B$2:$B$7281,B81,'CVD_40q30_Age'!$E$2:$E$7281,G81,'CVD_40q30_Age'!$F$2:$F$7281,H81,'CVD_40q30_Age'!$G$2:$G$7281,30)))</f>
      </c>
      <c r="J81" s="198" t="str">
        <f>SUMIFS($I$2:$I$183,$A$2:$A$183,A81,$G$2:$G$183,G81,$H$2:$H$183,H81,$B$2:$B$183,"baseline")</f>
      </c>
      <c r="K81" s="199" t="str">
        <f>J81-I81</f>
      </c>
      <c r="L81" s="200" t="str">
        <f>IF(J81=0,"",100*(J81-I81)/J81)</f>
      </c>
      <c r="M81" s="201" t="n">
        <v>14.4983201851169</v>
      </c>
      <c r="N81" s="37" t="str">
        <f>IF(ABS(I81-M81)&lt;=0.001,"match","mismatch")</f>
      </c>
    </row>
    <row r="82">
      <c r="A82" t="s">
        <v>167</v>
      </c>
      <c r="B82" t="s">
        <v>262</v>
      </c>
      <c r="C82" s="35" t="s">
        <v>264</v>
      </c>
      <c r="D82" t="s">
        <v>502</v>
      </c>
      <c r="E82" t="s">
        <v>255</v>
      </c>
      <c r="F82" t="s">
        <v>254</v>
      </c>
      <c r="G82" t="s">
        <v>520</v>
      </c>
      <c r="H82" s="196" t="n">
        <v>2027</v>
      </c>
      <c r="I82" s="197" t="str">
        <f>100*(1-(SUMIFS('CVD_40q30_Age'!$M$2:$M$7281,'CVD_40q30_Age'!$A$2:$A$7281,A82,'CVD_40q30_Age'!$B$2:$B$7281,B82,'CVD_40q30_Age'!$E$2:$E$7281,G82,'CVD_40q30_Age'!$F$2:$F$7281,H82,'CVD_40q30_Age'!$G$2:$G$7281,69))/(SUMIFS('CVD_40q30_Age'!$L$2:$L$7281,'CVD_40q30_Age'!$A$2:$A$7281,A82,'CVD_40q30_Age'!$B$2:$B$7281,B82,'CVD_40q30_Age'!$E$2:$E$7281,G82,'CVD_40q30_Age'!$F$2:$F$7281,H82,'CVD_40q30_Age'!$G$2:$G$7281,30)))</f>
      </c>
      <c r="J82" s="198" t="str">
        <f>SUMIFS($I$2:$I$183,$A$2:$A$183,A82,$G$2:$G$183,G82,$H$2:$H$183,H82,$B$2:$B$183,"baseline")</f>
      </c>
      <c r="K82" s="199" t="str">
        <f>J82-I82</f>
      </c>
      <c r="L82" s="200" t="str">
        <f>IF(J82=0,"",100*(J82-I82)/J82)</f>
      </c>
      <c r="M82" s="201" t="n">
        <v>14.3938508355123</v>
      </c>
      <c r="N82" s="37" t="str">
        <f>IF(ABS(I82-M82)&lt;=0.001,"match","mismatch")</f>
      </c>
    </row>
    <row r="83">
      <c r="A83" t="s">
        <v>167</v>
      </c>
      <c r="B83" t="s">
        <v>262</v>
      </c>
      <c r="C83" s="35" t="s">
        <v>264</v>
      </c>
      <c r="D83" t="s">
        <v>502</v>
      </c>
      <c r="E83" t="s">
        <v>255</v>
      </c>
      <c r="F83" t="s">
        <v>254</v>
      </c>
      <c r="G83" t="s">
        <v>520</v>
      </c>
      <c r="H83" s="196" t="n">
        <v>2028</v>
      </c>
      <c r="I83" s="197" t="str">
        <f>100*(1-(SUMIFS('CVD_40q30_Age'!$M$2:$M$7281,'CVD_40q30_Age'!$A$2:$A$7281,A83,'CVD_40q30_Age'!$B$2:$B$7281,B83,'CVD_40q30_Age'!$E$2:$E$7281,G83,'CVD_40q30_Age'!$F$2:$F$7281,H83,'CVD_40q30_Age'!$G$2:$G$7281,69))/(SUMIFS('CVD_40q30_Age'!$L$2:$L$7281,'CVD_40q30_Age'!$A$2:$A$7281,A83,'CVD_40q30_Age'!$B$2:$B$7281,B83,'CVD_40q30_Age'!$E$2:$E$7281,G83,'CVD_40q30_Age'!$F$2:$F$7281,H83,'CVD_40q30_Age'!$G$2:$G$7281,30)))</f>
      </c>
      <c r="J83" s="198" t="str">
        <f>SUMIFS($I$2:$I$183,$A$2:$A$183,A83,$G$2:$G$183,G83,$H$2:$H$183,H83,$B$2:$B$183,"baseline")</f>
      </c>
      <c r="K83" s="199" t="str">
        <f>J83-I83</f>
      </c>
      <c r="L83" s="200" t="str">
        <f>IF(J83=0,"",100*(J83-I83)/J83)</f>
      </c>
      <c r="M83" s="201" t="n">
        <v>14.2906170380072</v>
      </c>
      <c r="N83" s="37" t="str">
        <f>IF(ABS(I83-M83)&lt;=0.001,"match","mismatch")</f>
      </c>
    </row>
    <row r="84">
      <c r="A84" t="s">
        <v>167</v>
      </c>
      <c r="B84" t="s">
        <v>262</v>
      </c>
      <c r="C84" s="35" t="s">
        <v>264</v>
      </c>
      <c r="D84" t="s">
        <v>502</v>
      </c>
      <c r="E84" t="s">
        <v>255</v>
      </c>
      <c r="F84" t="s">
        <v>254</v>
      </c>
      <c r="G84" t="s">
        <v>520</v>
      </c>
      <c r="H84" s="196" t="n">
        <v>2029</v>
      </c>
      <c r="I84" s="197" t="str">
        <f>100*(1-(SUMIFS('CVD_40q30_Age'!$M$2:$M$7281,'CVD_40q30_Age'!$A$2:$A$7281,A84,'CVD_40q30_Age'!$B$2:$B$7281,B84,'CVD_40q30_Age'!$E$2:$E$7281,G84,'CVD_40q30_Age'!$F$2:$F$7281,H84,'CVD_40q30_Age'!$G$2:$G$7281,69))/(SUMIFS('CVD_40q30_Age'!$L$2:$L$7281,'CVD_40q30_Age'!$A$2:$A$7281,A84,'CVD_40q30_Age'!$B$2:$B$7281,B84,'CVD_40q30_Age'!$E$2:$E$7281,G84,'CVD_40q30_Age'!$F$2:$F$7281,H84,'CVD_40q30_Age'!$G$2:$G$7281,30)))</f>
      </c>
      <c r="J84" s="198" t="str">
        <f>SUMIFS($I$2:$I$183,$A$2:$A$183,A84,$G$2:$G$183,G84,$H$2:$H$183,H84,$B$2:$B$183,"baseline")</f>
      </c>
      <c r="K84" s="199" t="str">
        <f>J84-I84</f>
      </c>
      <c r="L84" s="200" t="str">
        <f>IF(J84=0,"",100*(J84-I84)/J84)</f>
      </c>
      <c r="M84" s="201" t="n">
        <v>14.1920634545229</v>
      </c>
      <c r="N84" s="37" t="str">
        <f>IF(ABS(I84-M84)&lt;=0.001,"match","mismatch")</f>
      </c>
    </row>
    <row r="85">
      <c r="A85" t="s">
        <v>167</v>
      </c>
      <c r="B85" t="s">
        <v>262</v>
      </c>
      <c r="C85" s="35" t="s">
        <v>264</v>
      </c>
      <c r="D85" t="s">
        <v>502</v>
      </c>
      <c r="E85" t="s">
        <v>255</v>
      </c>
      <c r="F85" t="s">
        <v>254</v>
      </c>
      <c r="G85" t="s">
        <v>520</v>
      </c>
      <c r="H85" s="196" t="n">
        <v>2030</v>
      </c>
      <c r="I85" s="197" t="str">
        <f>100*(1-(SUMIFS('CVD_40q30_Age'!$M$2:$M$7281,'CVD_40q30_Age'!$A$2:$A$7281,A85,'CVD_40q30_Age'!$B$2:$B$7281,B85,'CVD_40q30_Age'!$E$2:$E$7281,G85,'CVD_40q30_Age'!$F$2:$F$7281,H85,'CVD_40q30_Age'!$G$2:$G$7281,69))/(SUMIFS('CVD_40q30_Age'!$L$2:$L$7281,'CVD_40q30_Age'!$A$2:$A$7281,A85,'CVD_40q30_Age'!$B$2:$B$7281,B85,'CVD_40q30_Age'!$E$2:$E$7281,G85,'CVD_40q30_Age'!$F$2:$F$7281,H85,'CVD_40q30_Age'!$G$2:$G$7281,30)))</f>
      </c>
      <c r="J85" s="198" t="str">
        <f>SUMIFS($I$2:$I$183,$A$2:$A$183,A85,$G$2:$G$183,G85,$H$2:$H$183,H85,$B$2:$B$183,"baseline")</f>
      </c>
      <c r="K85" s="199" t="str">
        <f>J85-I85</f>
      </c>
      <c r="L85" s="200" t="str">
        <f>IF(J85=0,"",100*(J85-I85)/J85)</f>
      </c>
      <c r="M85" s="201" t="n">
        <v>14.0862624584762</v>
      </c>
      <c r="N85" s="37" t="str">
        <f>IF(ABS(I85-M85)&lt;=0.001,"match","mismatch")</f>
      </c>
    </row>
    <row r="86">
      <c r="A86" t="s">
        <v>167</v>
      </c>
      <c r="B86" t="s">
        <v>262</v>
      </c>
      <c r="C86" s="35" t="s">
        <v>264</v>
      </c>
      <c r="D86" t="s">
        <v>502</v>
      </c>
      <c r="E86" t="s">
        <v>255</v>
      </c>
      <c r="F86" t="s">
        <v>254</v>
      </c>
      <c r="G86" t="s">
        <v>520</v>
      </c>
      <c r="H86" s="196" t="n">
        <v>2031</v>
      </c>
      <c r="I86" s="197" t="str">
        <f>100*(1-(SUMIFS('CVD_40q30_Age'!$M$2:$M$7281,'CVD_40q30_Age'!$A$2:$A$7281,A86,'CVD_40q30_Age'!$B$2:$B$7281,B86,'CVD_40q30_Age'!$E$2:$E$7281,G86,'CVD_40q30_Age'!$F$2:$F$7281,H86,'CVD_40q30_Age'!$G$2:$G$7281,69))/(SUMIFS('CVD_40q30_Age'!$L$2:$L$7281,'CVD_40q30_Age'!$A$2:$A$7281,A86,'CVD_40q30_Age'!$B$2:$B$7281,B86,'CVD_40q30_Age'!$E$2:$E$7281,G86,'CVD_40q30_Age'!$F$2:$F$7281,H86,'CVD_40q30_Age'!$G$2:$G$7281,30)))</f>
      </c>
      <c r="J86" s="198" t="str">
        <f>SUMIFS($I$2:$I$183,$A$2:$A$183,A86,$G$2:$G$183,G86,$H$2:$H$183,H86,$B$2:$B$183,"baseline")</f>
      </c>
      <c r="K86" s="199" t="str">
        <f>J86-I86</f>
      </c>
      <c r="L86" s="200" t="str">
        <f>IF(J86=0,"",100*(J86-I86)/J86)</f>
      </c>
      <c r="M86" s="201" t="n">
        <v>13.9792751598763</v>
      </c>
      <c r="N86" s="37" t="str">
        <f>IF(ABS(I86-M86)&lt;=0.001,"match","mismatch")</f>
      </c>
    </row>
    <row r="87">
      <c r="A87" t="s">
        <v>167</v>
      </c>
      <c r="B87" t="s">
        <v>262</v>
      </c>
      <c r="C87" s="35" t="s">
        <v>264</v>
      </c>
      <c r="D87" t="s">
        <v>502</v>
      </c>
      <c r="E87" t="s">
        <v>255</v>
      </c>
      <c r="F87" t="s">
        <v>254</v>
      </c>
      <c r="G87" t="s">
        <v>520</v>
      </c>
      <c r="H87" s="196" t="n">
        <v>2032</v>
      </c>
      <c r="I87" s="197" t="str">
        <f>100*(1-(SUMIFS('CVD_40q30_Age'!$M$2:$M$7281,'CVD_40q30_Age'!$A$2:$A$7281,A87,'CVD_40q30_Age'!$B$2:$B$7281,B87,'CVD_40q30_Age'!$E$2:$E$7281,G87,'CVD_40q30_Age'!$F$2:$F$7281,H87,'CVD_40q30_Age'!$G$2:$G$7281,69))/(SUMIFS('CVD_40q30_Age'!$L$2:$L$7281,'CVD_40q30_Age'!$A$2:$A$7281,A87,'CVD_40q30_Age'!$B$2:$B$7281,B87,'CVD_40q30_Age'!$E$2:$E$7281,G87,'CVD_40q30_Age'!$F$2:$F$7281,H87,'CVD_40q30_Age'!$G$2:$G$7281,30)))</f>
      </c>
      <c r="J87" s="198" t="str">
        <f>SUMIFS($I$2:$I$183,$A$2:$A$183,A87,$G$2:$G$183,G87,$H$2:$H$183,H87,$B$2:$B$183,"baseline")</f>
      </c>
      <c r="K87" s="199" t="str">
        <f>J87-I87</f>
      </c>
      <c r="L87" s="200" t="str">
        <f>IF(J87=0,"",100*(J87-I87)/J87)</f>
      </c>
      <c r="M87" s="201" t="n">
        <v>13.8637745875445</v>
      </c>
      <c r="N87" s="37" t="str">
        <f>IF(ABS(I87-M87)&lt;=0.001,"match","mismatch")</f>
      </c>
    </row>
    <row r="88">
      <c r="A88" t="s">
        <v>167</v>
      </c>
      <c r="B88" t="s">
        <v>262</v>
      </c>
      <c r="C88" s="35" t="s">
        <v>264</v>
      </c>
      <c r="D88" t="s">
        <v>502</v>
      </c>
      <c r="E88" t="s">
        <v>255</v>
      </c>
      <c r="F88" t="s">
        <v>254</v>
      </c>
      <c r="G88" t="s">
        <v>520</v>
      </c>
      <c r="H88" s="196" t="n">
        <v>2033</v>
      </c>
      <c r="I88" s="197" t="str">
        <f>100*(1-(SUMIFS('CVD_40q30_Age'!$M$2:$M$7281,'CVD_40q30_Age'!$A$2:$A$7281,A88,'CVD_40q30_Age'!$B$2:$B$7281,B88,'CVD_40q30_Age'!$E$2:$E$7281,G88,'CVD_40q30_Age'!$F$2:$F$7281,H88,'CVD_40q30_Age'!$G$2:$G$7281,69))/(SUMIFS('CVD_40q30_Age'!$L$2:$L$7281,'CVD_40q30_Age'!$A$2:$A$7281,A88,'CVD_40q30_Age'!$B$2:$B$7281,B88,'CVD_40q30_Age'!$E$2:$E$7281,G88,'CVD_40q30_Age'!$F$2:$F$7281,H88,'CVD_40q30_Age'!$G$2:$G$7281,30)))</f>
      </c>
      <c r="J88" s="198" t="str">
        <f>SUMIFS($I$2:$I$183,$A$2:$A$183,A88,$G$2:$G$183,G88,$H$2:$H$183,H88,$B$2:$B$183,"baseline")</f>
      </c>
      <c r="K88" s="199" t="str">
        <f>J88-I88</f>
      </c>
      <c r="L88" s="200" t="str">
        <f>IF(J88=0,"",100*(J88-I88)/J88)</f>
      </c>
      <c r="M88" s="201" t="n">
        <v>13.7365645734895</v>
      </c>
      <c r="N88" s="37" t="str">
        <f>IF(ABS(I88-M88)&lt;=0.001,"match","mismatch")</f>
      </c>
    </row>
    <row r="89">
      <c r="A89" t="s">
        <v>167</v>
      </c>
      <c r="B89" t="s">
        <v>262</v>
      </c>
      <c r="C89" s="35" t="s">
        <v>264</v>
      </c>
      <c r="D89" t="s">
        <v>502</v>
      </c>
      <c r="E89" t="s">
        <v>255</v>
      </c>
      <c r="F89" t="s">
        <v>254</v>
      </c>
      <c r="G89" t="s">
        <v>520</v>
      </c>
      <c r="H89" s="196" t="n">
        <v>2034</v>
      </c>
      <c r="I89" s="197" t="str">
        <f>100*(1-(SUMIFS('CVD_40q30_Age'!$M$2:$M$7281,'CVD_40q30_Age'!$A$2:$A$7281,A89,'CVD_40q30_Age'!$B$2:$B$7281,B89,'CVD_40q30_Age'!$E$2:$E$7281,G89,'CVD_40q30_Age'!$F$2:$F$7281,H89,'CVD_40q30_Age'!$G$2:$G$7281,69))/(SUMIFS('CVD_40q30_Age'!$L$2:$L$7281,'CVD_40q30_Age'!$A$2:$A$7281,A89,'CVD_40q30_Age'!$B$2:$B$7281,B89,'CVD_40q30_Age'!$E$2:$E$7281,G89,'CVD_40q30_Age'!$F$2:$F$7281,H89,'CVD_40q30_Age'!$G$2:$G$7281,30)))</f>
      </c>
      <c r="J89" s="198" t="str">
        <f>SUMIFS($I$2:$I$183,$A$2:$A$183,A89,$G$2:$G$183,G89,$H$2:$H$183,H89,$B$2:$B$183,"baseline")</f>
      </c>
      <c r="K89" s="199" t="str">
        <f>J89-I89</f>
      </c>
      <c r="L89" s="200" t="str">
        <f>IF(J89=0,"",100*(J89-I89)/J89)</f>
      </c>
      <c r="M89" s="201" t="n">
        <v>13.6197936536214</v>
      </c>
      <c r="N89" s="37" t="str">
        <f>IF(ABS(I89-M89)&lt;=0.001,"match","mismatch")</f>
      </c>
    </row>
    <row r="90">
      <c r="A90" t="s">
        <v>167</v>
      </c>
      <c r="B90" t="s">
        <v>262</v>
      </c>
      <c r="C90" s="35" t="s">
        <v>264</v>
      </c>
      <c r="D90" t="s">
        <v>502</v>
      </c>
      <c r="E90" t="s">
        <v>255</v>
      </c>
      <c r="F90" t="s">
        <v>254</v>
      </c>
      <c r="G90" t="s">
        <v>520</v>
      </c>
      <c r="H90" s="196" t="n">
        <v>2035</v>
      </c>
      <c r="I90" s="197" t="str">
        <f>100*(1-(SUMIFS('CVD_40q30_Age'!$M$2:$M$7281,'CVD_40q30_Age'!$A$2:$A$7281,A90,'CVD_40q30_Age'!$B$2:$B$7281,B90,'CVD_40q30_Age'!$E$2:$E$7281,G90,'CVD_40q30_Age'!$F$2:$F$7281,H90,'CVD_40q30_Age'!$G$2:$G$7281,69))/(SUMIFS('CVD_40q30_Age'!$L$2:$L$7281,'CVD_40q30_Age'!$A$2:$A$7281,A90,'CVD_40q30_Age'!$B$2:$B$7281,B90,'CVD_40q30_Age'!$E$2:$E$7281,G90,'CVD_40q30_Age'!$F$2:$F$7281,H90,'CVD_40q30_Age'!$G$2:$G$7281,30)))</f>
      </c>
      <c r="J90" s="198" t="str">
        <f>SUMIFS($I$2:$I$183,$A$2:$A$183,A90,$G$2:$G$183,G90,$H$2:$H$183,H90,$B$2:$B$183,"baseline")</f>
      </c>
      <c r="K90" s="199" t="str">
        <f>J90-I90</f>
      </c>
      <c r="L90" s="200" t="str">
        <f>IF(J90=0,"",100*(J90-I90)/J90)</f>
      </c>
      <c r="M90" s="201" t="n">
        <v>13.4953655806643</v>
      </c>
      <c r="N90" s="37" t="str">
        <f>IF(ABS(I90-M90)&lt;=0.001,"match","mismatch")</f>
      </c>
    </row>
    <row r="91">
      <c r="A91" t="s">
        <v>167</v>
      </c>
      <c r="B91" t="s">
        <v>262</v>
      </c>
      <c r="C91" s="35" t="s">
        <v>264</v>
      </c>
      <c r="D91" t="s">
        <v>502</v>
      </c>
      <c r="E91" t="s">
        <v>255</v>
      </c>
      <c r="F91" t="s">
        <v>254</v>
      </c>
      <c r="G91" t="s">
        <v>520</v>
      </c>
      <c r="H91" s="196" t="n">
        <v>2036</v>
      </c>
      <c r="I91" s="197" t="str">
        <f>100*(1-(SUMIFS('CVD_40q30_Age'!$M$2:$M$7281,'CVD_40q30_Age'!$A$2:$A$7281,A91,'CVD_40q30_Age'!$B$2:$B$7281,B91,'CVD_40q30_Age'!$E$2:$E$7281,G91,'CVD_40q30_Age'!$F$2:$F$7281,H91,'CVD_40q30_Age'!$G$2:$G$7281,69))/(SUMIFS('CVD_40q30_Age'!$L$2:$L$7281,'CVD_40q30_Age'!$A$2:$A$7281,A91,'CVD_40q30_Age'!$B$2:$B$7281,B91,'CVD_40q30_Age'!$E$2:$E$7281,G91,'CVD_40q30_Age'!$F$2:$F$7281,H91,'CVD_40q30_Age'!$G$2:$G$7281,30)))</f>
      </c>
      <c r="J91" s="198" t="str">
        <f>SUMIFS($I$2:$I$183,$A$2:$A$183,A91,$G$2:$G$183,G91,$H$2:$H$183,H91,$B$2:$B$183,"baseline")</f>
      </c>
      <c r="K91" s="199" t="str">
        <f>J91-I91</f>
      </c>
      <c r="L91" s="200" t="str">
        <f>IF(J91=0,"",100*(J91-I91)/J91)</f>
      </c>
      <c r="M91" s="201" t="n">
        <v>13.3631739299553</v>
      </c>
      <c r="N91" s="37" t="str">
        <f>IF(ABS(I91-M91)&lt;=0.001,"match","mismatch")</f>
      </c>
    </row>
    <row r="92">
      <c r="A92" t="s">
        <v>167</v>
      </c>
      <c r="B92" t="s">
        <v>262</v>
      </c>
      <c r="C92" s="35" t="s">
        <v>264</v>
      </c>
      <c r="D92" t="s">
        <v>502</v>
      </c>
      <c r="E92" t="s">
        <v>255</v>
      </c>
      <c r="F92" t="s">
        <v>254</v>
      </c>
      <c r="G92" t="s">
        <v>520</v>
      </c>
      <c r="H92" s="196" t="n">
        <v>2037</v>
      </c>
      <c r="I92" s="197" t="str">
        <f>100*(1-(SUMIFS('CVD_40q30_Age'!$M$2:$M$7281,'CVD_40q30_Age'!$A$2:$A$7281,A92,'CVD_40q30_Age'!$B$2:$B$7281,B92,'CVD_40q30_Age'!$E$2:$E$7281,G92,'CVD_40q30_Age'!$F$2:$F$7281,H92,'CVD_40q30_Age'!$G$2:$G$7281,69))/(SUMIFS('CVD_40q30_Age'!$L$2:$L$7281,'CVD_40q30_Age'!$A$2:$A$7281,A92,'CVD_40q30_Age'!$B$2:$B$7281,B92,'CVD_40q30_Age'!$E$2:$E$7281,G92,'CVD_40q30_Age'!$F$2:$F$7281,H92,'CVD_40q30_Age'!$G$2:$G$7281,30)))</f>
      </c>
      <c r="J92" s="198" t="str">
        <f>SUMIFS($I$2:$I$183,$A$2:$A$183,A92,$G$2:$G$183,G92,$H$2:$H$183,H92,$B$2:$B$183,"baseline")</f>
      </c>
      <c r="K92" s="199" t="str">
        <f>J92-I92</f>
      </c>
      <c r="L92" s="200" t="str">
        <f>IF(J92=0,"",100*(J92-I92)/J92)</f>
      </c>
      <c r="M92" s="201" t="n">
        <v>13.2285576631213</v>
      </c>
      <c r="N92" s="37" t="str">
        <f>IF(ABS(I92-M92)&lt;=0.001,"match","mismatch")</f>
      </c>
    </row>
    <row r="93">
      <c r="A93" t="s">
        <v>167</v>
      </c>
      <c r="B93" t="s">
        <v>262</v>
      </c>
      <c r="C93" s="35" t="s">
        <v>264</v>
      </c>
      <c r="D93" t="s">
        <v>502</v>
      </c>
      <c r="E93" t="s">
        <v>255</v>
      </c>
      <c r="F93" t="s">
        <v>254</v>
      </c>
      <c r="G93" t="s">
        <v>520</v>
      </c>
      <c r="H93" s="196" t="n">
        <v>2038</v>
      </c>
      <c r="I93" s="197" t="str">
        <f>100*(1-(SUMIFS('CVD_40q30_Age'!$M$2:$M$7281,'CVD_40q30_Age'!$A$2:$A$7281,A93,'CVD_40q30_Age'!$B$2:$B$7281,B93,'CVD_40q30_Age'!$E$2:$E$7281,G93,'CVD_40q30_Age'!$F$2:$F$7281,H93,'CVD_40q30_Age'!$G$2:$G$7281,69))/(SUMIFS('CVD_40q30_Age'!$L$2:$L$7281,'CVD_40q30_Age'!$A$2:$A$7281,A93,'CVD_40q30_Age'!$B$2:$B$7281,B93,'CVD_40q30_Age'!$E$2:$E$7281,G93,'CVD_40q30_Age'!$F$2:$F$7281,H93,'CVD_40q30_Age'!$G$2:$G$7281,30)))</f>
      </c>
      <c r="J93" s="198" t="str">
        <f>SUMIFS($I$2:$I$183,$A$2:$A$183,A93,$G$2:$G$183,G93,$H$2:$H$183,H93,$B$2:$B$183,"baseline")</f>
      </c>
      <c r="K93" s="199" t="str">
        <f>J93-I93</f>
      </c>
      <c r="L93" s="200" t="str">
        <f>IF(J93=0,"",100*(J93-I93)/J93)</f>
      </c>
      <c r="M93" s="201" t="n">
        <v>13.0903543505291</v>
      </c>
      <c r="N93" s="37" t="str">
        <f>IF(ABS(I93-M93)&lt;=0.001,"match","mismatch")</f>
      </c>
    </row>
    <row r="94">
      <c r="A94" t="s">
        <v>167</v>
      </c>
      <c r="B94" t="s">
        <v>262</v>
      </c>
      <c r="C94" s="35" t="s">
        <v>264</v>
      </c>
      <c r="D94" t="s">
        <v>502</v>
      </c>
      <c r="E94" t="s">
        <v>255</v>
      </c>
      <c r="F94" t="s">
        <v>254</v>
      </c>
      <c r="G94" t="s">
        <v>520</v>
      </c>
      <c r="H94" s="196" t="n">
        <v>2039</v>
      </c>
      <c r="I94" s="197" t="str">
        <f>100*(1-(SUMIFS('CVD_40q30_Age'!$M$2:$M$7281,'CVD_40q30_Age'!$A$2:$A$7281,A94,'CVD_40q30_Age'!$B$2:$B$7281,B94,'CVD_40q30_Age'!$E$2:$E$7281,G94,'CVD_40q30_Age'!$F$2:$F$7281,H94,'CVD_40q30_Age'!$G$2:$G$7281,69))/(SUMIFS('CVD_40q30_Age'!$L$2:$L$7281,'CVD_40q30_Age'!$A$2:$A$7281,A94,'CVD_40q30_Age'!$B$2:$B$7281,B94,'CVD_40q30_Age'!$E$2:$E$7281,G94,'CVD_40q30_Age'!$F$2:$F$7281,H94,'CVD_40q30_Age'!$G$2:$G$7281,30)))</f>
      </c>
      <c r="J94" s="198" t="str">
        <f>SUMIFS($I$2:$I$183,$A$2:$A$183,A94,$G$2:$G$183,G94,$H$2:$H$183,H94,$B$2:$B$183,"baseline")</f>
      </c>
      <c r="K94" s="199" t="str">
        <f>J94-I94</f>
      </c>
      <c r="L94" s="200" t="str">
        <f>IF(J94=0,"",100*(J94-I94)/J94)</f>
      </c>
      <c r="M94" s="201" t="n">
        <v>12.9598059860644</v>
      </c>
      <c r="N94" s="37" t="str">
        <f>IF(ABS(I94-M94)&lt;=0.001,"match","mismatch")</f>
      </c>
    </row>
    <row r="95">
      <c r="A95" t="s">
        <v>167</v>
      </c>
      <c r="B95" t="s">
        <v>262</v>
      </c>
      <c r="C95" s="35" t="s">
        <v>264</v>
      </c>
      <c r="D95" t="s">
        <v>502</v>
      </c>
      <c r="E95" t="s">
        <v>255</v>
      </c>
      <c r="F95" t="s">
        <v>254</v>
      </c>
      <c r="G95" t="s">
        <v>520</v>
      </c>
      <c r="H95" s="196" t="n">
        <v>2040</v>
      </c>
      <c r="I95" s="197" t="str">
        <f>100*(1-(SUMIFS('CVD_40q30_Age'!$M$2:$M$7281,'CVD_40q30_Age'!$A$2:$A$7281,A95,'CVD_40q30_Age'!$B$2:$B$7281,B95,'CVD_40q30_Age'!$E$2:$E$7281,G95,'CVD_40q30_Age'!$F$2:$F$7281,H95,'CVD_40q30_Age'!$G$2:$G$7281,69))/(SUMIFS('CVD_40q30_Age'!$L$2:$L$7281,'CVD_40q30_Age'!$A$2:$A$7281,A95,'CVD_40q30_Age'!$B$2:$B$7281,B95,'CVD_40q30_Age'!$E$2:$E$7281,G95,'CVD_40q30_Age'!$F$2:$F$7281,H95,'CVD_40q30_Age'!$G$2:$G$7281,30)))</f>
      </c>
      <c r="J95" s="198" t="str">
        <f>SUMIFS($I$2:$I$183,$A$2:$A$183,A95,$G$2:$G$183,G95,$H$2:$H$183,H95,$B$2:$B$183,"baseline")</f>
      </c>
      <c r="K95" s="199" t="str">
        <f>J95-I95</f>
      </c>
      <c r="L95" s="200" t="str">
        <f>IF(J95=0,"",100*(J95-I95)/J95)</f>
      </c>
      <c r="M95" s="201" t="n">
        <v>12.8221605027154</v>
      </c>
      <c r="N95" s="37" t="str">
        <f>IF(ABS(I95-M95)&lt;=0.001,"match","mismatch")</f>
      </c>
    </row>
    <row r="96">
      <c r="A96" t="s">
        <v>167</v>
      </c>
      <c r="B96" t="s">
        <v>262</v>
      </c>
      <c r="C96" s="35" t="s">
        <v>264</v>
      </c>
      <c r="D96" t="s">
        <v>502</v>
      </c>
      <c r="E96" t="s">
        <v>255</v>
      </c>
      <c r="F96" t="s">
        <v>254</v>
      </c>
      <c r="G96" t="s">
        <v>520</v>
      </c>
      <c r="H96" s="196" t="n">
        <v>2041</v>
      </c>
      <c r="I96" s="197" t="str">
        <f>100*(1-(SUMIFS('CVD_40q30_Age'!$M$2:$M$7281,'CVD_40q30_Age'!$A$2:$A$7281,A96,'CVD_40q30_Age'!$B$2:$B$7281,B96,'CVD_40q30_Age'!$E$2:$E$7281,G96,'CVD_40q30_Age'!$F$2:$F$7281,H96,'CVD_40q30_Age'!$G$2:$G$7281,69))/(SUMIFS('CVD_40q30_Age'!$L$2:$L$7281,'CVD_40q30_Age'!$A$2:$A$7281,A96,'CVD_40q30_Age'!$B$2:$B$7281,B96,'CVD_40q30_Age'!$E$2:$E$7281,G96,'CVD_40q30_Age'!$F$2:$F$7281,H96,'CVD_40q30_Age'!$G$2:$G$7281,30)))</f>
      </c>
      <c r="J96" s="198" t="str">
        <f>SUMIFS($I$2:$I$183,$A$2:$A$183,A96,$G$2:$G$183,G96,$H$2:$H$183,H96,$B$2:$B$183,"baseline")</f>
      </c>
      <c r="K96" s="199" t="str">
        <f>J96-I96</f>
      </c>
      <c r="L96" s="200" t="str">
        <f>IF(J96=0,"",100*(J96-I96)/J96)</f>
      </c>
      <c r="M96" s="201" t="n">
        <v>12.6976599122434</v>
      </c>
      <c r="N96" s="37" t="str">
        <f>IF(ABS(I96-M96)&lt;=0.001,"match","mismatch")</f>
      </c>
    </row>
    <row r="97">
      <c r="A97" t="s">
        <v>167</v>
      </c>
      <c r="B97" t="s">
        <v>262</v>
      </c>
      <c r="C97" s="35" t="s">
        <v>264</v>
      </c>
      <c r="D97" t="s">
        <v>502</v>
      </c>
      <c r="E97" t="s">
        <v>255</v>
      </c>
      <c r="F97" t="s">
        <v>254</v>
      </c>
      <c r="G97" t="s">
        <v>520</v>
      </c>
      <c r="H97" s="196" t="n">
        <v>2042</v>
      </c>
      <c r="I97" s="197" t="str">
        <f>100*(1-(SUMIFS('CVD_40q30_Age'!$M$2:$M$7281,'CVD_40q30_Age'!$A$2:$A$7281,A97,'CVD_40q30_Age'!$B$2:$B$7281,B97,'CVD_40q30_Age'!$E$2:$E$7281,G97,'CVD_40q30_Age'!$F$2:$F$7281,H97,'CVD_40q30_Age'!$G$2:$G$7281,69))/(SUMIFS('CVD_40q30_Age'!$L$2:$L$7281,'CVD_40q30_Age'!$A$2:$A$7281,A97,'CVD_40q30_Age'!$B$2:$B$7281,B97,'CVD_40q30_Age'!$E$2:$E$7281,G97,'CVD_40q30_Age'!$F$2:$F$7281,H97,'CVD_40q30_Age'!$G$2:$G$7281,30)))</f>
      </c>
      <c r="J97" s="198" t="str">
        <f>SUMIFS($I$2:$I$183,$A$2:$A$183,A97,$G$2:$G$183,G97,$H$2:$H$183,H97,$B$2:$B$183,"baseline")</f>
      </c>
      <c r="K97" s="199" t="str">
        <f>J97-I97</f>
      </c>
      <c r="L97" s="200" t="str">
        <f>IF(J97=0,"",100*(J97-I97)/J97)</f>
      </c>
      <c r="M97" s="201" t="n">
        <v>12.5687046694648</v>
      </c>
      <c r="N97" s="37" t="str">
        <f>IF(ABS(I97-M97)&lt;=0.001,"match","mismatch")</f>
      </c>
    </row>
    <row r="98">
      <c r="A98" t="s">
        <v>167</v>
      </c>
      <c r="B98" t="s">
        <v>262</v>
      </c>
      <c r="C98" s="35" t="s">
        <v>264</v>
      </c>
      <c r="D98" t="s">
        <v>502</v>
      </c>
      <c r="E98" t="s">
        <v>255</v>
      </c>
      <c r="F98" t="s">
        <v>254</v>
      </c>
      <c r="G98" t="s">
        <v>520</v>
      </c>
      <c r="H98" s="196" t="n">
        <v>2043</v>
      </c>
      <c r="I98" s="197" t="str">
        <f>100*(1-(SUMIFS('CVD_40q30_Age'!$M$2:$M$7281,'CVD_40q30_Age'!$A$2:$A$7281,A98,'CVD_40q30_Age'!$B$2:$B$7281,B98,'CVD_40q30_Age'!$E$2:$E$7281,G98,'CVD_40q30_Age'!$F$2:$F$7281,H98,'CVD_40q30_Age'!$G$2:$G$7281,69))/(SUMIFS('CVD_40q30_Age'!$L$2:$L$7281,'CVD_40q30_Age'!$A$2:$A$7281,A98,'CVD_40q30_Age'!$B$2:$B$7281,B98,'CVD_40q30_Age'!$E$2:$E$7281,G98,'CVD_40q30_Age'!$F$2:$F$7281,H98,'CVD_40q30_Age'!$G$2:$G$7281,30)))</f>
      </c>
      <c r="J98" s="198" t="str">
        <f>SUMIFS($I$2:$I$183,$A$2:$A$183,A98,$G$2:$G$183,G98,$H$2:$H$183,H98,$B$2:$B$183,"baseline")</f>
      </c>
      <c r="K98" s="199" t="str">
        <f>J98-I98</f>
      </c>
      <c r="L98" s="200" t="str">
        <f>IF(J98=0,"",100*(J98-I98)/J98)</f>
      </c>
      <c r="M98" s="201" t="n">
        <v>12.4335169189034</v>
      </c>
      <c r="N98" s="37" t="str">
        <f>IF(ABS(I98-M98)&lt;=0.001,"match","mismatch")</f>
      </c>
    </row>
    <row r="99">
      <c r="A99" t="s">
        <v>167</v>
      </c>
      <c r="B99" t="s">
        <v>262</v>
      </c>
      <c r="C99" s="35" t="s">
        <v>264</v>
      </c>
      <c r="D99" t="s">
        <v>502</v>
      </c>
      <c r="E99" t="s">
        <v>255</v>
      </c>
      <c r="F99" t="s">
        <v>254</v>
      </c>
      <c r="G99" t="s">
        <v>520</v>
      </c>
      <c r="H99" s="196" t="n">
        <v>2044</v>
      </c>
      <c r="I99" s="197" t="str">
        <f>100*(1-(SUMIFS('CVD_40q30_Age'!$M$2:$M$7281,'CVD_40q30_Age'!$A$2:$A$7281,A99,'CVD_40q30_Age'!$B$2:$B$7281,B99,'CVD_40q30_Age'!$E$2:$E$7281,G99,'CVD_40q30_Age'!$F$2:$F$7281,H99,'CVD_40q30_Age'!$G$2:$G$7281,69))/(SUMIFS('CVD_40q30_Age'!$L$2:$L$7281,'CVD_40q30_Age'!$A$2:$A$7281,A99,'CVD_40q30_Age'!$B$2:$B$7281,B99,'CVD_40q30_Age'!$E$2:$E$7281,G99,'CVD_40q30_Age'!$F$2:$F$7281,H99,'CVD_40q30_Age'!$G$2:$G$7281,30)))</f>
      </c>
      <c r="J99" s="198" t="str">
        <f>SUMIFS($I$2:$I$183,$A$2:$A$183,A99,$G$2:$G$183,G99,$H$2:$H$183,H99,$B$2:$B$183,"baseline")</f>
      </c>
      <c r="K99" s="199" t="str">
        <f>J99-I99</f>
      </c>
      <c r="L99" s="200" t="str">
        <f>IF(J99=0,"",100*(J99-I99)/J99)</f>
      </c>
      <c r="M99" s="201" t="n">
        <v>12.3003655929464</v>
      </c>
      <c r="N99" s="37" t="str">
        <f>IF(ABS(I99-M99)&lt;=0.001,"match","mismatch")</f>
      </c>
    </row>
    <row r="100">
      <c r="A100" t="s">
        <v>167</v>
      </c>
      <c r="B100" t="s">
        <v>262</v>
      </c>
      <c r="C100" s="35" t="s">
        <v>264</v>
      </c>
      <c r="D100" t="s">
        <v>502</v>
      </c>
      <c r="E100" t="s">
        <v>255</v>
      </c>
      <c r="F100" t="s">
        <v>254</v>
      </c>
      <c r="G100" t="s">
        <v>520</v>
      </c>
      <c r="H100" s="196" t="n">
        <v>2045</v>
      </c>
      <c r="I100" s="197" t="str">
        <f>100*(1-(SUMIFS('CVD_40q30_Age'!$M$2:$M$7281,'CVD_40q30_Age'!$A$2:$A$7281,A100,'CVD_40q30_Age'!$B$2:$B$7281,B100,'CVD_40q30_Age'!$E$2:$E$7281,G100,'CVD_40q30_Age'!$F$2:$F$7281,H100,'CVD_40q30_Age'!$G$2:$G$7281,69))/(SUMIFS('CVD_40q30_Age'!$L$2:$L$7281,'CVD_40q30_Age'!$A$2:$A$7281,A100,'CVD_40q30_Age'!$B$2:$B$7281,B100,'CVD_40q30_Age'!$E$2:$E$7281,G100,'CVD_40q30_Age'!$F$2:$F$7281,H100,'CVD_40q30_Age'!$G$2:$G$7281,30)))</f>
      </c>
      <c r="J100" s="198" t="str">
        <f>SUMIFS($I$2:$I$183,$A$2:$A$183,A100,$G$2:$G$183,G100,$H$2:$H$183,H100,$B$2:$B$183,"baseline")</f>
      </c>
      <c r="K100" s="199" t="str">
        <f>J100-I100</f>
      </c>
      <c r="L100" s="200" t="str">
        <f>IF(J100=0,"",100*(J100-I100)/J100)</f>
      </c>
      <c r="M100" s="201" t="n">
        <v>12.1752106308475</v>
      </c>
      <c r="N100" s="37" t="str">
        <f>IF(ABS(I100-M100)&lt;=0.001,"match","mismatch")</f>
      </c>
    </row>
    <row r="101">
      <c r="A101" t="s">
        <v>167</v>
      </c>
      <c r="B101" t="s">
        <v>262</v>
      </c>
      <c r="C101" s="35" t="s">
        <v>264</v>
      </c>
      <c r="D101" t="s">
        <v>502</v>
      </c>
      <c r="E101" t="s">
        <v>255</v>
      </c>
      <c r="F101" t="s">
        <v>254</v>
      </c>
      <c r="G101" t="s">
        <v>520</v>
      </c>
      <c r="H101" s="196" t="n">
        <v>2046</v>
      </c>
      <c r="I101" s="197" t="str">
        <f>100*(1-(SUMIFS('CVD_40q30_Age'!$M$2:$M$7281,'CVD_40q30_Age'!$A$2:$A$7281,A101,'CVD_40q30_Age'!$B$2:$B$7281,B101,'CVD_40q30_Age'!$E$2:$E$7281,G101,'CVD_40q30_Age'!$F$2:$F$7281,H101,'CVD_40q30_Age'!$G$2:$G$7281,69))/(SUMIFS('CVD_40q30_Age'!$L$2:$L$7281,'CVD_40q30_Age'!$A$2:$A$7281,A101,'CVD_40q30_Age'!$B$2:$B$7281,B101,'CVD_40q30_Age'!$E$2:$E$7281,G101,'CVD_40q30_Age'!$F$2:$F$7281,H101,'CVD_40q30_Age'!$G$2:$G$7281,30)))</f>
      </c>
      <c r="J101" s="198" t="str">
        <f>SUMIFS($I$2:$I$183,$A$2:$A$183,A101,$G$2:$G$183,G101,$H$2:$H$183,H101,$B$2:$B$183,"baseline")</f>
      </c>
      <c r="K101" s="199" t="str">
        <f>J101-I101</f>
      </c>
      <c r="L101" s="200" t="str">
        <f>IF(J101=0,"",100*(J101-I101)/J101)</f>
      </c>
      <c r="M101" s="201" t="n">
        <v>12.047350627655</v>
      </c>
      <c r="N101" s="37" t="str">
        <f>IF(ABS(I101-M101)&lt;=0.001,"match","mismatch")</f>
      </c>
    </row>
    <row r="102">
      <c r="A102" t="s">
        <v>167</v>
      </c>
      <c r="B102" t="s">
        <v>262</v>
      </c>
      <c r="C102" s="35" t="s">
        <v>264</v>
      </c>
      <c r="D102" t="s">
        <v>502</v>
      </c>
      <c r="E102" t="s">
        <v>255</v>
      </c>
      <c r="F102" t="s">
        <v>254</v>
      </c>
      <c r="G102" t="s">
        <v>520</v>
      </c>
      <c r="H102" s="196" t="n">
        <v>2047</v>
      </c>
      <c r="I102" s="197" t="str">
        <f>100*(1-(SUMIFS('CVD_40q30_Age'!$M$2:$M$7281,'CVD_40q30_Age'!$A$2:$A$7281,A102,'CVD_40q30_Age'!$B$2:$B$7281,B102,'CVD_40q30_Age'!$E$2:$E$7281,G102,'CVD_40q30_Age'!$F$2:$F$7281,H102,'CVD_40q30_Age'!$G$2:$G$7281,69))/(SUMIFS('CVD_40q30_Age'!$L$2:$L$7281,'CVD_40q30_Age'!$A$2:$A$7281,A102,'CVD_40q30_Age'!$B$2:$B$7281,B102,'CVD_40q30_Age'!$E$2:$E$7281,G102,'CVD_40q30_Age'!$F$2:$F$7281,H102,'CVD_40q30_Age'!$G$2:$G$7281,30)))</f>
      </c>
      <c r="J102" s="198" t="str">
        <f>SUMIFS($I$2:$I$183,$A$2:$A$183,A102,$G$2:$G$183,G102,$H$2:$H$183,H102,$B$2:$B$183,"baseline")</f>
      </c>
      <c r="K102" s="199" t="str">
        <f>J102-I102</f>
      </c>
      <c r="L102" s="200" t="str">
        <f>IF(J102=0,"",100*(J102-I102)/J102)</f>
      </c>
      <c r="M102" s="201" t="n">
        <v>11.9185289855262</v>
      </c>
      <c r="N102" s="37" t="str">
        <f>IF(ABS(I102-M102)&lt;=0.001,"match","mismatch")</f>
      </c>
    </row>
    <row r="103">
      <c r="A103" t="s">
        <v>167</v>
      </c>
      <c r="B103" t="s">
        <v>262</v>
      </c>
      <c r="C103" s="35" t="s">
        <v>264</v>
      </c>
      <c r="D103" t="s">
        <v>502</v>
      </c>
      <c r="E103" t="s">
        <v>255</v>
      </c>
      <c r="F103" t="s">
        <v>254</v>
      </c>
      <c r="G103" t="s">
        <v>520</v>
      </c>
      <c r="H103" s="196" t="n">
        <v>2048</v>
      </c>
      <c r="I103" s="197" t="str">
        <f>100*(1-(SUMIFS('CVD_40q30_Age'!$M$2:$M$7281,'CVD_40q30_Age'!$A$2:$A$7281,A103,'CVD_40q30_Age'!$B$2:$B$7281,B103,'CVD_40q30_Age'!$E$2:$E$7281,G103,'CVD_40q30_Age'!$F$2:$F$7281,H103,'CVD_40q30_Age'!$G$2:$G$7281,69))/(SUMIFS('CVD_40q30_Age'!$L$2:$L$7281,'CVD_40q30_Age'!$A$2:$A$7281,A103,'CVD_40q30_Age'!$B$2:$B$7281,B103,'CVD_40q30_Age'!$E$2:$E$7281,G103,'CVD_40q30_Age'!$F$2:$F$7281,H103,'CVD_40q30_Age'!$G$2:$G$7281,30)))</f>
      </c>
      <c r="J103" s="198" t="str">
        <f>SUMIFS($I$2:$I$183,$A$2:$A$183,A103,$G$2:$G$183,G103,$H$2:$H$183,H103,$B$2:$B$183,"baseline")</f>
      </c>
      <c r="K103" s="199" t="str">
        <f>J103-I103</f>
      </c>
      <c r="L103" s="200" t="str">
        <f>IF(J103=0,"",100*(J103-I103)/J103)</f>
      </c>
      <c r="M103" s="201" t="n">
        <v>11.7848628995449</v>
      </c>
      <c r="N103" s="37" t="str">
        <f>IF(ABS(I103-M103)&lt;=0.001,"match","mismatch")</f>
      </c>
    </row>
    <row r="104">
      <c r="A104" t="s">
        <v>167</v>
      </c>
      <c r="B104" t="s">
        <v>262</v>
      </c>
      <c r="C104" s="35" t="s">
        <v>264</v>
      </c>
      <c r="D104" t="s">
        <v>502</v>
      </c>
      <c r="E104" t="s">
        <v>255</v>
      </c>
      <c r="F104" t="s">
        <v>254</v>
      </c>
      <c r="G104" t="s">
        <v>520</v>
      </c>
      <c r="H104" s="196" t="n">
        <v>2049</v>
      </c>
      <c r="I104" s="197" t="str">
        <f>100*(1-(SUMIFS('CVD_40q30_Age'!$M$2:$M$7281,'CVD_40q30_Age'!$A$2:$A$7281,A104,'CVD_40q30_Age'!$B$2:$B$7281,B104,'CVD_40q30_Age'!$E$2:$E$7281,G104,'CVD_40q30_Age'!$F$2:$F$7281,H104,'CVD_40q30_Age'!$G$2:$G$7281,69))/(SUMIFS('CVD_40q30_Age'!$L$2:$L$7281,'CVD_40q30_Age'!$A$2:$A$7281,A104,'CVD_40q30_Age'!$B$2:$B$7281,B104,'CVD_40q30_Age'!$E$2:$E$7281,G104,'CVD_40q30_Age'!$F$2:$F$7281,H104,'CVD_40q30_Age'!$G$2:$G$7281,30)))</f>
      </c>
      <c r="J104" s="198" t="str">
        <f>SUMIFS($I$2:$I$183,$A$2:$A$183,A104,$G$2:$G$183,G104,$H$2:$H$183,H104,$B$2:$B$183,"baseline")</f>
      </c>
      <c r="K104" s="199" t="str">
        <f>J104-I104</f>
      </c>
      <c r="L104" s="200" t="str">
        <f>IF(J104=0,"",100*(J104-I104)/J104)</f>
      </c>
      <c r="M104" s="201" t="n">
        <v>11.6594949093215</v>
      </c>
      <c r="N104" s="37" t="str">
        <f>IF(ABS(I104-M104)&lt;=0.001,"match","mismatch")</f>
      </c>
    </row>
    <row r="105">
      <c r="A105" t="s">
        <v>167</v>
      </c>
      <c r="B105" t="s">
        <v>262</v>
      </c>
      <c r="C105" s="35" t="s">
        <v>264</v>
      </c>
      <c r="D105" t="s">
        <v>502</v>
      </c>
      <c r="E105" t="s">
        <v>255</v>
      </c>
      <c r="F105" t="s">
        <v>254</v>
      </c>
      <c r="G105" t="s">
        <v>520</v>
      </c>
      <c r="H105" s="196" t="n">
        <v>2050</v>
      </c>
      <c r="I105" s="197" t="str">
        <f>100*(1-(SUMIFS('CVD_40q30_Age'!$M$2:$M$7281,'CVD_40q30_Age'!$A$2:$A$7281,A105,'CVD_40q30_Age'!$B$2:$B$7281,B105,'CVD_40q30_Age'!$E$2:$E$7281,G105,'CVD_40q30_Age'!$F$2:$F$7281,H105,'CVD_40q30_Age'!$G$2:$G$7281,69))/(SUMIFS('CVD_40q30_Age'!$L$2:$L$7281,'CVD_40q30_Age'!$A$2:$A$7281,A105,'CVD_40q30_Age'!$B$2:$B$7281,B105,'CVD_40q30_Age'!$E$2:$E$7281,G105,'CVD_40q30_Age'!$F$2:$F$7281,H105,'CVD_40q30_Age'!$G$2:$G$7281,30)))</f>
      </c>
      <c r="J105" s="198" t="str">
        <f>SUMIFS($I$2:$I$183,$A$2:$A$183,A105,$G$2:$G$183,G105,$H$2:$H$183,H105,$B$2:$B$183,"baseline")</f>
      </c>
      <c r="K105" s="199" t="str">
        <f>J105-I105</f>
      </c>
      <c r="L105" s="200" t="str">
        <f>IF(J105=0,"",100*(J105-I105)/J105)</f>
      </c>
      <c r="M105" s="201" t="n">
        <v>11.5410731218379</v>
      </c>
      <c r="N105" s="37" t="str">
        <f>IF(ABS(I105-M105)&lt;=0.001,"match","mismatch")</f>
      </c>
    </row>
    <row r="106">
      <c r="A106" t="s">
        <v>167</v>
      </c>
      <c r="B106" t="s">
        <v>272</v>
      </c>
      <c r="C106" s="35" t="s">
        <v>274</v>
      </c>
      <c r="D106" t="s">
        <v>502</v>
      </c>
      <c r="E106" t="s">
        <v>255</v>
      </c>
      <c r="F106" t="s">
        <v>254</v>
      </c>
      <c r="G106" t="s">
        <v>520</v>
      </c>
      <c r="H106" s="196" t="n">
        <v>2025</v>
      </c>
      <c r="I106" s="197" t="str">
        <f>100*(1-(SUMIFS('CVD_40q30_Age'!$M$2:$M$7281,'CVD_40q30_Age'!$A$2:$A$7281,A106,'CVD_40q30_Age'!$B$2:$B$7281,B106,'CVD_40q30_Age'!$E$2:$E$7281,G106,'CVD_40q30_Age'!$F$2:$F$7281,H106,'CVD_40q30_Age'!$G$2:$G$7281,69))/(SUMIFS('CVD_40q30_Age'!$L$2:$L$7281,'CVD_40q30_Age'!$A$2:$A$7281,A106,'CVD_40q30_Age'!$B$2:$B$7281,B106,'CVD_40q30_Age'!$E$2:$E$7281,G106,'CVD_40q30_Age'!$F$2:$F$7281,H106,'CVD_40q30_Age'!$G$2:$G$7281,30)))</f>
      </c>
      <c r="J106" s="198" t="str">
        <f>SUMIFS($I$2:$I$183,$A$2:$A$183,A106,$G$2:$G$183,G106,$H$2:$H$183,H106,$B$2:$B$183,"baseline")</f>
      </c>
      <c r="K106" s="199" t="str">
        <f>J106-I106</f>
      </c>
      <c r="L106" s="200" t="str">
        <f>IF(J106=0,"",100*(J106-I106)/J106)</f>
      </c>
      <c r="M106" s="201" t="n">
        <v>14.5948626930222</v>
      </c>
      <c r="N106" s="37" t="str">
        <f>IF(ABS(I106-M106)&lt;=0.001,"match","mismatch")</f>
      </c>
    </row>
    <row r="107">
      <c r="A107" t="s">
        <v>167</v>
      </c>
      <c r="B107" t="s">
        <v>272</v>
      </c>
      <c r="C107" s="35" t="s">
        <v>274</v>
      </c>
      <c r="D107" t="s">
        <v>502</v>
      </c>
      <c r="E107" t="s">
        <v>255</v>
      </c>
      <c r="F107" t="s">
        <v>254</v>
      </c>
      <c r="G107" t="s">
        <v>520</v>
      </c>
      <c r="H107" s="196" t="n">
        <v>2026</v>
      </c>
      <c r="I107" s="197" t="str">
        <f>100*(1-(SUMIFS('CVD_40q30_Age'!$M$2:$M$7281,'CVD_40q30_Age'!$A$2:$A$7281,A107,'CVD_40q30_Age'!$B$2:$B$7281,B107,'CVD_40q30_Age'!$E$2:$E$7281,G107,'CVD_40q30_Age'!$F$2:$F$7281,H107,'CVD_40q30_Age'!$G$2:$G$7281,69))/(SUMIFS('CVD_40q30_Age'!$L$2:$L$7281,'CVD_40q30_Age'!$A$2:$A$7281,A107,'CVD_40q30_Age'!$B$2:$B$7281,B107,'CVD_40q30_Age'!$E$2:$E$7281,G107,'CVD_40q30_Age'!$F$2:$F$7281,H107,'CVD_40q30_Age'!$G$2:$G$7281,30)))</f>
      </c>
      <c r="J107" s="198" t="str">
        <f>SUMIFS($I$2:$I$183,$A$2:$A$183,A107,$G$2:$G$183,G107,$H$2:$H$183,H107,$B$2:$B$183,"baseline")</f>
      </c>
      <c r="K107" s="199" t="str">
        <f>J107-I107</f>
      </c>
      <c r="L107" s="200" t="str">
        <f>IF(J107=0,"",100*(J107-I107)/J107)</f>
      </c>
      <c r="M107" s="201" t="n">
        <v>14.4943686939848</v>
      </c>
      <c r="N107" s="37" t="str">
        <f>IF(ABS(I107-M107)&lt;=0.001,"match","mismatch")</f>
      </c>
    </row>
    <row r="108">
      <c r="A108" t="s">
        <v>167</v>
      </c>
      <c r="B108" t="s">
        <v>272</v>
      </c>
      <c r="C108" s="35" t="s">
        <v>274</v>
      </c>
      <c r="D108" t="s">
        <v>502</v>
      </c>
      <c r="E108" t="s">
        <v>255</v>
      </c>
      <c r="F108" t="s">
        <v>254</v>
      </c>
      <c r="G108" t="s">
        <v>520</v>
      </c>
      <c r="H108" s="196" t="n">
        <v>2027</v>
      </c>
      <c r="I108" s="197" t="str">
        <f>100*(1-(SUMIFS('CVD_40q30_Age'!$M$2:$M$7281,'CVD_40q30_Age'!$A$2:$A$7281,A108,'CVD_40q30_Age'!$B$2:$B$7281,B108,'CVD_40q30_Age'!$E$2:$E$7281,G108,'CVD_40q30_Age'!$F$2:$F$7281,H108,'CVD_40q30_Age'!$G$2:$G$7281,69))/(SUMIFS('CVD_40q30_Age'!$L$2:$L$7281,'CVD_40q30_Age'!$A$2:$A$7281,A108,'CVD_40q30_Age'!$B$2:$B$7281,B108,'CVD_40q30_Age'!$E$2:$E$7281,G108,'CVD_40q30_Age'!$F$2:$F$7281,H108,'CVD_40q30_Age'!$G$2:$G$7281,30)))</f>
      </c>
      <c r="J108" s="198" t="str">
        <f>SUMIFS($I$2:$I$183,$A$2:$A$183,A108,$G$2:$G$183,G108,$H$2:$H$183,H108,$B$2:$B$183,"baseline")</f>
      </c>
      <c r="K108" s="199" t="str">
        <f>J108-I108</f>
      </c>
      <c r="L108" s="200" t="str">
        <f>IF(J108=0,"",100*(J108-I108)/J108)</f>
      </c>
      <c r="M108" s="201" t="n">
        <v>14.3862503246093</v>
      </c>
      <c r="N108" s="37" t="str">
        <f>IF(ABS(I108-M108)&lt;=0.001,"match","mismatch")</f>
      </c>
    </row>
    <row r="109">
      <c r="A109" t="s">
        <v>167</v>
      </c>
      <c r="B109" t="s">
        <v>272</v>
      </c>
      <c r="C109" s="35" t="s">
        <v>274</v>
      </c>
      <c r="D109" t="s">
        <v>502</v>
      </c>
      <c r="E109" t="s">
        <v>255</v>
      </c>
      <c r="F109" t="s">
        <v>254</v>
      </c>
      <c r="G109" t="s">
        <v>520</v>
      </c>
      <c r="H109" s="196" t="n">
        <v>2028</v>
      </c>
      <c r="I109" s="197" t="str">
        <f>100*(1-(SUMIFS('CVD_40q30_Age'!$M$2:$M$7281,'CVD_40q30_Age'!$A$2:$A$7281,A109,'CVD_40q30_Age'!$B$2:$B$7281,B109,'CVD_40q30_Age'!$E$2:$E$7281,G109,'CVD_40q30_Age'!$F$2:$F$7281,H109,'CVD_40q30_Age'!$G$2:$G$7281,69))/(SUMIFS('CVD_40q30_Age'!$L$2:$L$7281,'CVD_40q30_Age'!$A$2:$A$7281,A109,'CVD_40q30_Age'!$B$2:$B$7281,B109,'CVD_40q30_Age'!$E$2:$E$7281,G109,'CVD_40q30_Age'!$F$2:$F$7281,H109,'CVD_40q30_Age'!$G$2:$G$7281,30)))</f>
      </c>
      <c r="J109" s="198" t="str">
        <f>SUMIFS($I$2:$I$183,$A$2:$A$183,A109,$G$2:$G$183,G109,$H$2:$H$183,H109,$B$2:$B$183,"baseline")</f>
      </c>
      <c r="K109" s="199" t="str">
        <f>J109-I109</f>
      </c>
      <c r="L109" s="200" t="str">
        <f>IF(J109=0,"",100*(J109-I109)/J109)</f>
      </c>
      <c r="M109" s="201" t="n">
        <v>14.2795634748325</v>
      </c>
      <c r="N109" s="37" t="str">
        <f>IF(ABS(I109-M109)&lt;=0.001,"match","mismatch")</f>
      </c>
    </row>
    <row r="110">
      <c r="A110" t="s">
        <v>167</v>
      </c>
      <c r="B110" t="s">
        <v>272</v>
      </c>
      <c r="C110" s="35" t="s">
        <v>274</v>
      </c>
      <c r="D110" t="s">
        <v>502</v>
      </c>
      <c r="E110" t="s">
        <v>255</v>
      </c>
      <c r="F110" t="s">
        <v>254</v>
      </c>
      <c r="G110" t="s">
        <v>520</v>
      </c>
      <c r="H110" s="196" t="n">
        <v>2029</v>
      </c>
      <c r="I110" s="197" t="str">
        <f>100*(1-(SUMIFS('CVD_40q30_Age'!$M$2:$M$7281,'CVD_40q30_Age'!$A$2:$A$7281,A110,'CVD_40q30_Age'!$B$2:$B$7281,B110,'CVD_40q30_Age'!$E$2:$E$7281,G110,'CVD_40q30_Age'!$F$2:$F$7281,H110,'CVD_40q30_Age'!$G$2:$G$7281,69))/(SUMIFS('CVD_40q30_Age'!$L$2:$L$7281,'CVD_40q30_Age'!$A$2:$A$7281,A110,'CVD_40q30_Age'!$B$2:$B$7281,B110,'CVD_40q30_Age'!$E$2:$E$7281,G110,'CVD_40q30_Age'!$F$2:$F$7281,H110,'CVD_40q30_Age'!$G$2:$G$7281,30)))</f>
      </c>
      <c r="J110" s="198" t="str">
        <f>SUMIFS($I$2:$I$183,$A$2:$A$183,A110,$G$2:$G$183,G110,$H$2:$H$183,H110,$B$2:$B$183,"baseline")</f>
      </c>
      <c r="K110" s="199" t="str">
        <f>J110-I110</f>
      </c>
      <c r="L110" s="200" t="str">
        <f>IF(J110=0,"",100*(J110-I110)/J110)</f>
      </c>
      <c r="M110" s="201" t="n">
        <v>14.1768175470999</v>
      </c>
      <c r="N110" s="37" t="str">
        <f>IF(ABS(I110-M110)&lt;=0.001,"match","mismatch")</f>
      </c>
    </row>
    <row r="111">
      <c r="A111" t="s">
        <v>167</v>
      </c>
      <c r="B111" t="s">
        <v>272</v>
      </c>
      <c r="C111" s="35" t="s">
        <v>274</v>
      </c>
      <c r="D111" t="s">
        <v>502</v>
      </c>
      <c r="E111" t="s">
        <v>255</v>
      </c>
      <c r="F111" t="s">
        <v>254</v>
      </c>
      <c r="G111" t="s">
        <v>520</v>
      </c>
      <c r="H111" s="196" t="n">
        <v>2030</v>
      </c>
      <c r="I111" s="197" t="str">
        <f>100*(1-(SUMIFS('CVD_40q30_Age'!$M$2:$M$7281,'CVD_40q30_Age'!$A$2:$A$7281,A111,'CVD_40q30_Age'!$B$2:$B$7281,B111,'CVD_40q30_Age'!$E$2:$E$7281,G111,'CVD_40q30_Age'!$F$2:$F$7281,H111,'CVD_40q30_Age'!$G$2:$G$7281,69))/(SUMIFS('CVD_40q30_Age'!$L$2:$L$7281,'CVD_40q30_Age'!$A$2:$A$7281,A111,'CVD_40q30_Age'!$B$2:$B$7281,B111,'CVD_40q30_Age'!$E$2:$E$7281,G111,'CVD_40q30_Age'!$F$2:$F$7281,H111,'CVD_40q30_Age'!$G$2:$G$7281,30)))</f>
      </c>
      <c r="J111" s="198" t="str">
        <f>SUMIFS($I$2:$I$183,$A$2:$A$183,A111,$G$2:$G$183,G111,$H$2:$H$183,H111,$B$2:$B$183,"baseline")</f>
      </c>
      <c r="K111" s="199" t="str">
        <f>J111-I111</f>
      </c>
      <c r="L111" s="200" t="str">
        <f>IF(J111=0,"",100*(J111-I111)/J111)</f>
      </c>
      <c r="M111" s="201" t="n">
        <v>14.0669834679835</v>
      </c>
      <c r="N111" s="37" t="str">
        <f>IF(ABS(I111-M111)&lt;=0.001,"match","mismatch")</f>
      </c>
    </row>
    <row r="112">
      <c r="A112" t="s">
        <v>167</v>
      </c>
      <c r="B112" t="s">
        <v>272</v>
      </c>
      <c r="C112" s="35" t="s">
        <v>274</v>
      </c>
      <c r="D112" t="s">
        <v>502</v>
      </c>
      <c r="E112" t="s">
        <v>255</v>
      </c>
      <c r="F112" t="s">
        <v>254</v>
      </c>
      <c r="G112" t="s">
        <v>520</v>
      </c>
      <c r="H112" s="196" t="n">
        <v>2031</v>
      </c>
      <c r="I112" s="197" t="str">
        <f>100*(1-(SUMIFS('CVD_40q30_Age'!$M$2:$M$7281,'CVD_40q30_Age'!$A$2:$A$7281,A112,'CVD_40q30_Age'!$B$2:$B$7281,B112,'CVD_40q30_Age'!$E$2:$E$7281,G112,'CVD_40q30_Age'!$F$2:$F$7281,H112,'CVD_40q30_Age'!$G$2:$G$7281,69))/(SUMIFS('CVD_40q30_Age'!$L$2:$L$7281,'CVD_40q30_Age'!$A$2:$A$7281,A112,'CVD_40q30_Age'!$B$2:$B$7281,B112,'CVD_40q30_Age'!$E$2:$E$7281,G112,'CVD_40q30_Age'!$F$2:$F$7281,H112,'CVD_40q30_Age'!$G$2:$G$7281,30)))</f>
      </c>
      <c r="J112" s="198" t="str">
        <f>SUMIFS($I$2:$I$183,$A$2:$A$183,A112,$G$2:$G$183,G112,$H$2:$H$183,H112,$B$2:$B$183,"baseline")</f>
      </c>
      <c r="K112" s="199" t="str">
        <f>J112-I112</f>
      </c>
      <c r="L112" s="200" t="str">
        <f>IF(J112=0,"",100*(J112-I112)/J112)</f>
      </c>
      <c r="M112" s="201" t="n">
        <v>13.9599805599589</v>
      </c>
      <c r="N112" s="37" t="str">
        <f>IF(ABS(I112-M112)&lt;=0.001,"match","mismatch")</f>
      </c>
    </row>
    <row r="113">
      <c r="A113" t="s">
        <v>167</v>
      </c>
      <c r="B113" t="s">
        <v>272</v>
      </c>
      <c r="C113" s="35" t="s">
        <v>274</v>
      </c>
      <c r="D113" t="s">
        <v>502</v>
      </c>
      <c r="E113" t="s">
        <v>255</v>
      </c>
      <c r="F113" t="s">
        <v>254</v>
      </c>
      <c r="G113" t="s">
        <v>520</v>
      </c>
      <c r="H113" s="196" t="n">
        <v>2032</v>
      </c>
      <c r="I113" s="197" t="str">
        <f>100*(1-(SUMIFS('CVD_40q30_Age'!$M$2:$M$7281,'CVD_40q30_Age'!$A$2:$A$7281,A113,'CVD_40q30_Age'!$B$2:$B$7281,B113,'CVD_40q30_Age'!$E$2:$E$7281,G113,'CVD_40q30_Age'!$F$2:$F$7281,H113,'CVD_40q30_Age'!$G$2:$G$7281,69))/(SUMIFS('CVD_40q30_Age'!$L$2:$L$7281,'CVD_40q30_Age'!$A$2:$A$7281,A113,'CVD_40q30_Age'!$B$2:$B$7281,B113,'CVD_40q30_Age'!$E$2:$E$7281,G113,'CVD_40q30_Age'!$F$2:$F$7281,H113,'CVD_40q30_Age'!$G$2:$G$7281,30)))</f>
      </c>
      <c r="J113" s="198" t="str">
        <f>SUMIFS($I$2:$I$183,$A$2:$A$183,A113,$G$2:$G$183,G113,$H$2:$H$183,H113,$B$2:$B$183,"baseline")</f>
      </c>
      <c r="K113" s="199" t="str">
        <f>J113-I113</f>
      </c>
      <c r="L113" s="200" t="str">
        <f>IF(J113=0,"",100*(J113-I113)/J113)</f>
      </c>
      <c r="M113" s="201" t="n">
        <v>13.8442767020042</v>
      </c>
      <c r="N113" s="37" t="str">
        <f>IF(ABS(I113-M113)&lt;=0.001,"match","mismatch")</f>
      </c>
    </row>
    <row r="114">
      <c r="A114" t="s">
        <v>167</v>
      </c>
      <c r="B114" t="s">
        <v>272</v>
      </c>
      <c r="C114" s="35" t="s">
        <v>274</v>
      </c>
      <c r="D114" t="s">
        <v>502</v>
      </c>
      <c r="E114" t="s">
        <v>255</v>
      </c>
      <c r="F114" t="s">
        <v>254</v>
      </c>
      <c r="G114" t="s">
        <v>520</v>
      </c>
      <c r="H114" s="196" t="n">
        <v>2033</v>
      </c>
      <c r="I114" s="197" t="str">
        <f>100*(1-(SUMIFS('CVD_40q30_Age'!$M$2:$M$7281,'CVD_40q30_Age'!$A$2:$A$7281,A114,'CVD_40q30_Age'!$B$2:$B$7281,B114,'CVD_40q30_Age'!$E$2:$E$7281,G114,'CVD_40q30_Age'!$F$2:$F$7281,H114,'CVD_40q30_Age'!$G$2:$G$7281,69))/(SUMIFS('CVD_40q30_Age'!$L$2:$L$7281,'CVD_40q30_Age'!$A$2:$A$7281,A114,'CVD_40q30_Age'!$B$2:$B$7281,B114,'CVD_40q30_Age'!$E$2:$E$7281,G114,'CVD_40q30_Age'!$F$2:$F$7281,H114,'CVD_40q30_Age'!$G$2:$G$7281,30)))</f>
      </c>
      <c r="J114" s="198" t="str">
        <f>SUMIFS($I$2:$I$183,$A$2:$A$183,A114,$G$2:$G$183,G114,$H$2:$H$183,H114,$B$2:$B$183,"baseline")</f>
      </c>
      <c r="K114" s="199" t="str">
        <f>J114-I114</f>
      </c>
      <c r="L114" s="200" t="str">
        <f>IF(J114=0,"",100*(J114-I114)/J114)</f>
      </c>
      <c r="M114" s="201" t="n">
        <v>13.7167585906939</v>
      </c>
      <c r="N114" s="37" t="str">
        <f>IF(ABS(I114-M114)&lt;=0.001,"match","mismatch")</f>
      </c>
    </row>
    <row r="115">
      <c r="A115" t="s">
        <v>167</v>
      </c>
      <c r="B115" t="s">
        <v>272</v>
      </c>
      <c r="C115" s="35" t="s">
        <v>274</v>
      </c>
      <c r="D115" t="s">
        <v>502</v>
      </c>
      <c r="E115" t="s">
        <v>255</v>
      </c>
      <c r="F115" t="s">
        <v>254</v>
      </c>
      <c r="G115" t="s">
        <v>520</v>
      </c>
      <c r="H115" s="196" t="n">
        <v>2034</v>
      </c>
      <c r="I115" s="197" t="str">
        <f>100*(1-(SUMIFS('CVD_40q30_Age'!$M$2:$M$7281,'CVD_40q30_Age'!$A$2:$A$7281,A115,'CVD_40q30_Age'!$B$2:$B$7281,B115,'CVD_40q30_Age'!$E$2:$E$7281,G115,'CVD_40q30_Age'!$F$2:$F$7281,H115,'CVD_40q30_Age'!$G$2:$G$7281,69))/(SUMIFS('CVD_40q30_Age'!$L$2:$L$7281,'CVD_40q30_Age'!$A$2:$A$7281,A115,'CVD_40q30_Age'!$B$2:$B$7281,B115,'CVD_40q30_Age'!$E$2:$E$7281,G115,'CVD_40q30_Age'!$F$2:$F$7281,H115,'CVD_40q30_Age'!$G$2:$G$7281,30)))</f>
      </c>
      <c r="J115" s="198" t="str">
        <f>SUMIFS($I$2:$I$183,$A$2:$A$183,A115,$G$2:$G$183,G115,$H$2:$H$183,H115,$B$2:$B$183,"baseline")</f>
      </c>
      <c r="K115" s="199" t="str">
        <f>J115-I115</f>
      </c>
      <c r="L115" s="200" t="str">
        <f>IF(J115=0,"",100*(J115-I115)/J115)</f>
      </c>
      <c r="M115" s="201" t="n">
        <v>13.6004194018573</v>
      </c>
      <c r="N115" s="37" t="str">
        <f>IF(ABS(I115-M115)&lt;=0.001,"match","mismatch")</f>
      </c>
    </row>
    <row r="116">
      <c r="A116" t="s">
        <v>167</v>
      </c>
      <c r="B116" t="s">
        <v>272</v>
      </c>
      <c r="C116" s="35" t="s">
        <v>274</v>
      </c>
      <c r="D116" t="s">
        <v>502</v>
      </c>
      <c r="E116" t="s">
        <v>255</v>
      </c>
      <c r="F116" t="s">
        <v>254</v>
      </c>
      <c r="G116" t="s">
        <v>520</v>
      </c>
      <c r="H116" s="196" t="n">
        <v>2035</v>
      </c>
      <c r="I116" s="197" t="str">
        <f>100*(1-(SUMIFS('CVD_40q30_Age'!$M$2:$M$7281,'CVD_40q30_Age'!$A$2:$A$7281,A116,'CVD_40q30_Age'!$B$2:$B$7281,B116,'CVD_40q30_Age'!$E$2:$E$7281,G116,'CVD_40q30_Age'!$F$2:$F$7281,H116,'CVD_40q30_Age'!$G$2:$G$7281,69))/(SUMIFS('CVD_40q30_Age'!$L$2:$L$7281,'CVD_40q30_Age'!$A$2:$A$7281,A116,'CVD_40q30_Age'!$B$2:$B$7281,B116,'CVD_40q30_Age'!$E$2:$E$7281,G116,'CVD_40q30_Age'!$F$2:$F$7281,H116,'CVD_40q30_Age'!$G$2:$G$7281,30)))</f>
      </c>
      <c r="J116" s="198" t="str">
        <f>SUMIFS($I$2:$I$183,$A$2:$A$183,A116,$G$2:$G$183,G116,$H$2:$H$183,H116,$B$2:$B$183,"baseline")</f>
      </c>
      <c r="K116" s="199" t="str">
        <f>J116-I116</f>
      </c>
      <c r="L116" s="200" t="str">
        <f>IF(J116=0,"",100*(J116-I116)/J116)</f>
      </c>
      <c r="M116" s="201" t="n">
        <v>13.4763114210094</v>
      </c>
      <c r="N116" s="37" t="str">
        <f>IF(ABS(I116-M116)&lt;=0.001,"match","mismatch")</f>
      </c>
    </row>
    <row r="117">
      <c r="A117" t="s">
        <v>167</v>
      </c>
      <c r="B117" t="s">
        <v>272</v>
      </c>
      <c r="C117" s="35" t="s">
        <v>274</v>
      </c>
      <c r="D117" t="s">
        <v>502</v>
      </c>
      <c r="E117" t="s">
        <v>255</v>
      </c>
      <c r="F117" t="s">
        <v>254</v>
      </c>
      <c r="G117" t="s">
        <v>520</v>
      </c>
      <c r="H117" s="196" t="n">
        <v>2036</v>
      </c>
      <c r="I117" s="197" t="str">
        <f>100*(1-(SUMIFS('CVD_40q30_Age'!$M$2:$M$7281,'CVD_40q30_Age'!$A$2:$A$7281,A117,'CVD_40q30_Age'!$B$2:$B$7281,B117,'CVD_40q30_Age'!$E$2:$E$7281,G117,'CVD_40q30_Age'!$F$2:$F$7281,H117,'CVD_40q30_Age'!$G$2:$G$7281,69))/(SUMIFS('CVD_40q30_Age'!$L$2:$L$7281,'CVD_40q30_Age'!$A$2:$A$7281,A117,'CVD_40q30_Age'!$B$2:$B$7281,B117,'CVD_40q30_Age'!$E$2:$E$7281,G117,'CVD_40q30_Age'!$F$2:$F$7281,H117,'CVD_40q30_Age'!$G$2:$G$7281,30)))</f>
      </c>
      <c r="J117" s="198" t="str">
        <f>SUMIFS($I$2:$I$183,$A$2:$A$183,A117,$G$2:$G$183,G117,$H$2:$H$183,H117,$B$2:$B$183,"baseline")</f>
      </c>
      <c r="K117" s="199" t="str">
        <f>J117-I117</f>
      </c>
      <c r="L117" s="200" t="str">
        <f>IF(J117=0,"",100*(J117-I117)/J117)</f>
      </c>
      <c r="M117" s="201" t="n">
        <v>13.3418768860506</v>
      </c>
      <c r="N117" s="37" t="str">
        <f>IF(ABS(I117-M117)&lt;=0.001,"match","mismatch")</f>
      </c>
    </row>
    <row r="118">
      <c r="A118" t="s">
        <v>167</v>
      </c>
      <c r="B118" t="s">
        <v>272</v>
      </c>
      <c r="C118" s="35" t="s">
        <v>274</v>
      </c>
      <c r="D118" t="s">
        <v>502</v>
      </c>
      <c r="E118" t="s">
        <v>255</v>
      </c>
      <c r="F118" t="s">
        <v>254</v>
      </c>
      <c r="G118" t="s">
        <v>520</v>
      </c>
      <c r="H118" s="196" t="n">
        <v>2037</v>
      </c>
      <c r="I118" s="197" t="str">
        <f>100*(1-(SUMIFS('CVD_40q30_Age'!$M$2:$M$7281,'CVD_40q30_Age'!$A$2:$A$7281,A118,'CVD_40q30_Age'!$B$2:$B$7281,B118,'CVD_40q30_Age'!$E$2:$E$7281,G118,'CVD_40q30_Age'!$F$2:$F$7281,H118,'CVD_40q30_Age'!$G$2:$G$7281,69))/(SUMIFS('CVD_40q30_Age'!$L$2:$L$7281,'CVD_40q30_Age'!$A$2:$A$7281,A118,'CVD_40q30_Age'!$B$2:$B$7281,B118,'CVD_40q30_Age'!$E$2:$E$7281,G118,'CVD_40q30_Age'!$F$2:$F$7281,H118,'CVD_40q30_Age'!$G$2:$G$7281,30)))</f>
      </c>
      <c r="J118" s="198" t="str">
        <f>SUMIFS($I$2:$I$183,$A$2:$A$183,A118,$G$2:$G$183,G118,$H$2:$H$183,H118,$B$2:$B$183,"baseline")</f>
      </c>
      <c r="K118" s="199" t="str">
        <f>J118-I118</f>
      </c>
      <c r="L118" s="200" t="str">
        <f>IF(J118=0,"",100*(J118-I118)/J118)</f>
      </c>
      <c r="M118" s="201" t="n">
        <v>13.2051955945002</v>
      </c>
      <c r="N118" s="37" t="str">
        <f>IF(ABS(I118-M118)&lt;=0.001,"match","mismatch")</f>
      </c>
    </row>
    <row r="119">
      <c r="A119" t="s">
        <v>167</v>
      </c>
      <c r="B119" t="s">
        <v>272</v>
      </c>
      <c r="C119" s="35" t="s">
        <v>274</v>
      </c>
      <c r="D119" t="s">
        <v>502</v>
      </c>
      <c r="E119" t="s">
        <v>255</v>
      </c>
      <c r="F119" t="s">
        <v>254</v>
      </c>
      <c r="G119" t="s">
        <v>520</v>
      </c>
      <c r="H119" s="196" t="n">
        <v>2038</v>
      </c>
      <c r="I119" s="197" t="str">
        <f>100*(1-(SUMIFS('CVD_40q30_Age'!$M$2:$M$7281,'CVD_40q30_Age'!$A$2:$A$7281,A119,'CVD_40q30_Age'!$B$2:$B$7281,B119,'CVD_40q30_Age'!$E$2:$E$7281,G119,'CVD_40q30_Age'!$F$2:$F$7281,H119,'CVD_40q30_Age'!$G$2:$G$7281,69))/(SUMIFS('CVD_40q30_Age'!$L$2:$L$7281,'CVD_40q30_Age'!$A$2:$A$7281,A119,'CVD_40q30_Age'!$B$2:$B$7281,B119,'CVD_40q30_Age'!$E$2:$E$7281,G119,'CVD_40q30_Age'!$F$2:$F$7281,H119,'CVD_40q30_Age'!$G$2:$G$7281,30)))</f>
      </c>
      <c r="J119" s="198" t="str">
        <f>SUMIFS($I$2:$I$183,$A$2:$A$183,A119,$G$2:$G$183,G119,$H$2:$H$183,H119,$B$2:$B$183,"baseline")</f>
      </c>
      <c r="K119" s="199" t="str">
        <f>J119-I119</f>
      </c>
      <c r="L119" s="200" t="str">
        <f>IF(J119=0,"",100*(J119-I119)/J119)</f>
      </c>
      <c r="M119" s="201" t="n">
        <v>13.0650394011859</v>
      </c>
      <c r="N119" s="37" t="str">
        <f>IF(ABS(I119-M119)&lt;=0.001,"match","mismatch")</f>
      </c>
    </row>
    <row r="120">
      <c r="A120" t="s">
        <v>167</v>
      </c>
      <c r="B120" t="s">
        <v>272</v>
      </c>
      <c r="C120" s="35" t="s">
        <v>274</v>
      </c>
      <c r="D120" t="s">
        <v>502</v>
      </c>
      <c r="E120" t="s">
        <v>255</v>
      </c>
      <c r="F120" t="s">
        <v>254</v>
      </c>
      <c r="G120" t="s">
        <v>520</v>
      </c>
      <c r="H120" s="196" t="n">
        <v>2039</v>
      </c>
      <c r="I120" s="197" t="str">
        <f>100*(1-(SUMIFS('CVD_40q30_Age'!$M$2:$M$7281,'CVD_40q30_Age'!$A$2:$A$7281,A120,'CVD_40q30_Age'!$B$2:$B$7281,B120,'CVD_40q30_Age'!$E$2:$E$7281,G120,'CVD_40q30_Age'!$F$2:$F$7281,H120,'CVD_40q30_Age'!$G$2:$G$7281,69))/(SUMIFS('CVD_40q30_Age'!$L$2:$L$7281,'CVD_40q30_Age'!$A$2:$A$7281,A120,'CVD_40q30_Age'!$B$2:$B$7281,B120,'CVD_40q30_Age'!$E$2:$E$7281,G120,'CVD_40q30_Age'!$F$2:$F$7281,H120,'CVD_40q30_Age'!$G$2:$G$7281,30)))</f>
      </c>
      <c r="J120" s="198" t="str">
        <f>SUMIFS($I$2:$I$183,$A$2:$A$183,A120,$G$2:$G$183,G120,$H$2:$H$183,H120,$B$2:$B$183,"baseline")</f>
      </c>
      <c r="K120" s="199" t="str">
        <f>J120-I120</f>
      </c>
      <c r="L120" s="200" t="str">
        <f>IF(J120=0,"",100*(J120-I120)/J120)</f>
      </c>
      <c r="M120" s="201" t="n">
        <v>12.932590578901</v>
      </c>
      <c r="N120" s="37" t="str">
        <f>IF(ABS(I120-M120)&lt;=0.001,"match","mismatch")</f>
      </c>
    </row>
    <row r="121">
      <c r="A121" t="s">
        <v>167</v>
      </c>
      <c r="B121" t="s">
        <v>272</v>
      </c>
      <c r="C121" s="35" t="s">
        <v>274</v>
      </c>
      <c r="D121" t="s">
        <v>502</v>
      </c>
      <c r="E121" t="s">
        <v>255</v>
      </c>
      <c r="F121" t="s">
        <v>254</v>
      </c>
      <c r="G121" t="s">
        <v>520</v>
      </c>
      <c r="H121" s="196" t="n">
        <v>2040</v>
      </c>
      <c r="I121" s="197" t="str">
        <f>100*(1-(SUMIFS('CVD_40q30_Age'!$M$2:$M$7281,'CVD_40q30_Age'!$A$2:$A$7281,A121,'CVD_40q30_Age'!$B$2:$B$7281,B121,'CVD_40q30_Age'!$E$2:$E$7281,G121,'CVD_40q30_Age'!$F$2:$F$7281,H121,'CVD_40q30_Age'!$G$2:$G$7281,69))/(SUMIFS('CVD_40q30_Age'!$L$2:$L$7281,'CVD_40q30_Age'!$A$2:$A$7281,A121,'CVD_40q30_Age'!$B$2:$B$7281,B121,'CVD_40q30_Age'!$E$2:$E$7281,G121,'CVD_40q30_Age'!$F$2:$F$7281,H121,'CVD_40q30_Age'!$G$2:$G$7281,30)))</f>
      </c>
      <c r="J121" s="198" t="str">
        <f>SUMIFS($I$2:$I$183,$A$2:$A$183,A121,$G$2:$G$183,G121,$H$2:$H$183,H121,$B$2:$B$183,"baseline")</f>
      </c>
      <c r="K121" s="199" t="str">
        <f>J121-I121</f>
      </c>
      <c r="L121" s="200" t="str">
        <f>IF(J121=0,"",100*(J121-I121)/J121)</f>
      </c>
      <c r="M121" s="201" t="n">
        <v>12.7930968618503</v>
      </c>
      <c r="N121" s="37" t="str">
        <f>IF(ABS(I121-M121)&lt;=0.001,"match","mismatch")</f>
      </c>
    </row>
    <row r="122">
      <c r="A122" t="s">
        <v>167</v>
      </c>
      <c r="B122" t="s">
        <v>272</v>
      </c>
      <c r="C122" s="35" t="s">
        <v>274</v>
      </c>
      <c r="D122" t="s">
        <v>502</v>
      </c>
      <c r="E122" t="s">
        <v>255</v>
      </c>
      <c r="F122" t="s">
        <v>254</v>
      </c>
      <c r="G122" t="s">
        <v>520</v>
      </c>
      <c r="H122" s="196" t="n">
        <v>2041</v>
      </c>
      <c r="I122" s="197" t="str">
        <f>100*(1-(SUMIFS('CVD_40q30_Age'!$M$2:$M$7281,'CVD_40q30_Age'!$A$2:$A$7281,A122,'CVD_40q30_Age'!$B$2:$B$7281,B122,'CVD_40q30_Age'!$E$2:$E$7281,G122,'CVD_40q30_Age'!$F$2:$F$7281,H122,'CVD_40q30_Age'!$G$2:$G$7281,69))/(SUMIFS('CVD_40q30_Age'!$L$2:$L$7281,'CVD_40q30_Age'!$A$2:$A$7281,A122,'CVD_40q30_Age'!$B$2:$B$7281,B122,'CVD_40q30_Age'!$E$2:$E$7281,G122,'CVD_40q30_Age'!$F$2:$F$7281,H122,'CVD_40q30_Age'!$G$2:$G$7281,30)))</f>
      </c>
      <c r="J122" s="198" t="str">
        <f>SUMIFS($I$2:$I$183,$A$2:$A$183,A122,$G$2:$G$183,G122,$H$2:$H$183,H122,$B$2:$B$183,"baseline")</f>
      </c>
      <c r="K122" s="199" t="str">
        <f>J122-I122</f>
      </c>
      <c r="L122" s="200" t="str">
        <f>IF(J122=0,"",100*(J122-I122)/J122)</f>
      </c>
      <c r="M122" s="201" t="n">
        <v>12.669202280818</v>
      </c>
      <c r="N122" s="37" t="str">
        <f>IF(ABS(I122-M122)&lt;=0.001,"match","mismatch")</f>
      </c>
    </row>
    <row r="123">
      <c r="A123" t="s">
        <v>167</v>
      </c>
      <c r="B123" t="s">
        <v>272</v>
      </c>
      <c r="C123" s="35" t="s">
        <v>274</v>
      </c>
      <c r="D123" t="s">
        <v>502</v>
      </c>
      <c r="E123" t="s">
        <v>255</v>
      </c>
      <c r="F123" t="s">
        <v>254</v>
      </c>
      <c r="G123" t="s">
        <v>520</v>
      </c>
      <c r="H123" s="196" t="n">
        <v>2042</v>
      </c>
      <c r="I123" s="197" t="str">
        <f>100*(1-(SUMIFS('CVD_40q30_Age'!$M$2:$M$7281,'CVD_40q30_Age'!$A$2:$A$7281,A123,'CVD_40q30_Age'!$B$2:$B$7281,B123,'CVD_40q30_Age'!$E$2:$E$7281,G123,'CVD_40q30_Age'!$F$2:$F$7281,H123,'CVD_40q30_Age'!$G$2:$G$7281,69))/(SUMIFS('CVD_40q30_Age'!$L$2:$L$7281,'CVD_40q30_Age'!$A$2:$A$7281,A123,'CVD_40q30_Age'!$B$2:$B$7281,B123,'CVD_40q30_Age'!$E$2:$E$7281,G123,'CVD_40q30_Age'!$F$2:$F$7281,H123,'CVD_40q30_Age'!$G$2:$G$7281,30)))</f>
      </c>
      <c r="J123" s="198" t="str">
        <f>SUMIFS($I$2:$I$183,$A$2:$A$183,A123,$G$2:$G$183,G123,$H$2:$H$183,H123,$B$2:$B$183,"baseline")</f>
      </c>
      <c r="K123" s="199" t="str">
        <f>J123-I123</f>
      </c>
      <c r="L123" s="200" t="str">
        <f>IF(J123=0,"",100*(J123-I123)/J123)</f>
      </c>
      <c r="M123" s="201" t="n">
        <v>12.5406711673467</v>
      </c>
      <c r="N123" s="37" t="str">
        <f>IF(ABS(I123-M123)&lt;=0.001,"match","mismatch")</f>
      </c>
    </row>
    <row r="124">
      <c r="A124" t="s">
        <v>167</v>
      </c>
      <c r="B124" t="s">
        <v>272</v>
      </c>
      <c r="C124" s="35" t="s">
        <v>274</v>
      </c>
      <c r="D124" t="s">
        <v>502</v>
      </c>
      <c r="E124" t="s">
        <v>255</v>
      </c>
      <c r="F124" t="s">
        <v>254</v>
      </c>
      <c r="G124" t="s">
        <v>520</v>
      </c>
      <c r="H124" s="196" t="n">
        <v>2043</v>
      </c>
      <c r="I124" s="197" t="str">
        <f>100*(1-(SUMIFS('CVD_40q30_Age'!$M$2:$M$7281,'CVD_40q30_Age'!$A$2:$A$7281,A124,'CVD_40q30_Age'!$B$2:$B$7281,B124,'CVD_40q30_Age'!$E$2:$E$7281,G124,'CVD_40q30_Age'!$F$2:$F$7281,H124,'CVD_40q30_Age'!$G$2:$G$7281,69))/(SUMIFS('CVD_40q30_Age'!$L$2:$L$7281,'CVD_40q30_Age'!$A$2:$A$7281,A124,'CVD_40q30_Age'!$B$2:$B$7281,B124,'CVD_40q30_Age'!$E$2:$E$7281,G124,'CVD_40q30_Age'!$F$2:$F$7281,H124,'CVD_40q30_Age'!$G$2:$G$7281,30)))</f>
      </c>
      <c r="J124" s="198" t="str">
        <f>SUMIFS($I$2:$I$183,$A$2:$A$183,A124,$G$2:$G$183,G124,$H$2:$H$183,H124,$B$2:$B$183,"baseline")</f>
      </c>
      <c r="K124" s="199" t="str">
        <f>J124-I124</f>
      </c>
      <c r="L124" s="200" t="str">
        <f>IF(J124=0,"",100*(J124-I124)/J124)</f>
      </c>
      <c r="M124" s="201" t="n">
        <v>12.4058115770801</v>
      </c>
      <c r="N124" s="37" t="str">
        <f>IF(ABS(I124-M124)&lt;=0.001,"match","mismatch")</f>
      </c>
    </row>
    <row r="125">
      <c r="A125" t="s">
        <v>167</v>
      </c>
      <c r="B125" t="s">
        <v>272</v>
      </c>
      <c r="C125" s="35" t="s">
        <v>274</v>
      </c>
      <c r="D125" t="s">
        <v>502</v>
      </c>
      <c r="E125" t="s">
        <v>255</v>
      </c>
      <c r="F125" t="s">
        <v>254</v>
      </c>
      <c r="G125" t="s">
        <v>520</v>
      </c>
      <c r="H125" s="196" t="n">
        <v>2044</v>
      </c>
      <c r="I125" s="197" t="str">
        <f>100*(1-(SUMIFS('CVD_40q30_Age'!$M$2:$M$7281,'CVD_40q30_Age'!$A$2:$A$7281,A125,'CVD_40q30_Age'!$B$2:$B$7281,B125,'CVD_40q30_Age'!$E$2:$E$7281,G125,'CVD_40q30_Age'!$F$2:$F$7281,H125,'CVD_40q30_Age'!$G$2:$G$7281,69))/(SUMIFS('CVD_40q30_Age'!$L$2:$L$7281,'CVD_40q30_Age'!$A$2:$A$7281,A125,'CVD_40q30_Age'!$B$2:$B$7281,B125,'CVD_40q30_Age'!$E$2:$E$7281,G125,'CVD_40q30_Age'!$F$2:$F$7281,H125,'CVD_40q30_Age'!$G$2:$G$7281,30)))</f>
      </c>
      <c r="J125" s="198" t="str">
        <f>SUMIFS($I$2:$I$183,$A$2:$A$183,A125,$G$2:$G$183,G125,$H$2:$H$183,H125,$B$2:$B$183,"baseline")</f>
      </c>
      <c r="K125" s="199" t="str">
        <f>J125-I125</f>
      </c>
      <c r="L125" s="200" t="str">
        <f>IF(J125=0,"",100*(J125-I125)/J125)</f>
      </c>
      <c r="M125" s="201" t="n">
        <v>12.2729222037852</v>
      </c>
      <c r="N125" s="37" t="str">
        <f>IF(ABS(I125-M125)&lt;=0.001,"match","mismatch")</f>
      </c>
    </row>
    <row r="126">
      <c r="A126" t="s">
        <v>167</v>
      </c>
      <c r="B126" t="s">
        <v>272</v>
      </c>
      <c r="C126" s="35" t="s">
        <v>274</v>
      </c>
      <c r="D126" t="s">
        <v>502</v>
      </c>
      <c r="E126" t="s">
        <v>255</v>
      </c>
      <c r="F126" t="s">
        <v>254</v>
      </c>
      <c r="G126" t="s">
        <v>520</v>
      </c>
      <c r="H126" s="196" t="n">
        <v>2045</v>
      </c>
      <c r="I126" s="197" t="str">
        <f>100*(1-(SUMIFS('CVD_40q30_Age'!$M$2:$M$7281,'CVD_40q30_Age'!$A$2:$A$7281,A126,'CVD_40q30_Age'!$B$2:$B$7281,B126,'CVD_40q30_Age'!$E$2:$E$7281,G126,'CVD_40q30_Age'!$F$2:$F$7281,H126,'CVD_40q30_Age'!$G$2:$G$7281,69))/(SUMIFS('CVD_40q30_Age'!$L$2:$L$7281,'CVD_40q30_Age'!$A$2:$A$7281,A126,'CVD_40q30_Age'!$B$2:$B$7281,B126,'CVD_40q30_Age'!$E$2:$E$7281,G126,'CVD_40q30_Age'!$F$2:$F$7281,H126,'CVD_40q30_Age'!$G$2:$G$7281,30)))</f>
      </c>
      <c r="J126" s="198" t="str">
        <f>SUMIFS($I$2:$I$183,$A$2:$A$183,A126,$G$2:$G$183,G126,$H$2:$H$183,H126,$B$2:$B$183,"baseline")</f>
      </c>
      <c r="K126" s="199" t="str">
        <f>J126-I126</f>
      </c>
      <c r="L126" s="200" t="str">
        <f>IF(J126=0,"",100*(J126-I126)/J126)</f>
      </c>
      <c r="M126" s="201" t="n">
        <v>12.1479773461592</v>
      </c>
      <c r="N126" s="37" t="str">
        <f>IF(ABS(I126-M126)&lt;=0.001,"match","mismatch")</f>
      </c>
    </row>
    <row r="127">
      <c r="A127" t="s">
        <v>167</v>
      </c>
      <c r="B127" t="s">
        <v>272</v>
      </c>
      <c r="C127" s="35" t="s">
        <v>274</v>
      </c>
      <c r="D127" t="s">
        <v>502</v>
      </c>
      <c r="E127" t="s">
        <v>255</v>
      </c>
      <c r="F127" t="s">
        <v>254</v>
      </c>
      <c r="G127" t="s">
        <v>520</v>
      </c>
      <c r="H127" s="196" t="n">
        <v>2046</v>
      </c>
      <c r="I127" s="197" t="str">
        <f>100*(1-(SUMIFS('CVD_40q30_Age'!$M$2:$M$7281,'CVD_40q30_Age'!$A$2:$A$7281,A127,'CVD_40q30_Age'!$B$2:$B$7281,B127,'CVD_40q30_Age'!$E$2:$E$7281,G127,'CVD_40q30_Age'!$F$2:$F$7281,H127,'CVD_40q30_Age'!$G$2:$G$7281,69))/(SUMIFS('CVD_40q30_Age'!$L$2:$L$7281,'CVD_40q30_Age'!$A$2:$A$7281,A127,'CVD_40q30_Age'!$B$2:$B$7281,B127,'CVD_40q30_Age'!$E$2:$E$7281,G127,'CVD_40q30_Age'!$F$2:$F$7281,H127,'CVD_40q30_Age'!$G$2:$G$7281,30)))</f>
      </c>
      <c r="J127" s="198" t="str">
        <f>SUMIFS($I$2:$I$183,$A$2:$A$183,A127,$G$2:$G$183,G127,$H$2:$H$183,H127,$B$2:$B$183,"baseline")</f>
      </c>
      <c r="K127" s="199" t="str">
        <f>J127-I127</f>
      </c>
      <c r="L127" s="200" t="str">
        <f>IF(J127=0,"",100*(J127-I127)/J127)</f>
      </c>
      <c r="M127" s="201" t="n">
        <v>12.0203147969116</v>
      </c>
      <c r="N127" s="37" t="str">
        <f>IF(ABS(I127-M127)&lt;=0.001,"match","mismatch")</f>
      </c>
    </row>
    <row r="128">
      <c r="A128" t="s">
        <v>167</v>
      </c>
      <c r="B128" t="s">
        <v>272</v>
      </c>
      <c r="C128" s="35" t="s">
        <v>274</v>
      </c>
      <c r="D128" t="s">
        <v>502</v>
      </c>
      <c r="E128" t="s">
        <v>255</v>
      </c>
      <c r="F128" t="s">
        <v>254</v>
      </c>
      <c r="G128" t="s">
        <v>520</v>
      </c>
      <c r="H128" s="196" t="n">
        <v>2047</v>
      </c>
      <c r="I128" s="197" t="str">
        <f>100*(1-(SUMIFS('CVD_40q30_Age'!$M$2:$M$7281,'CVD_40q30_Age'!$A$2:$A$7281,A128,'CVD_40q30_Age'!$B$2:$B$7281,B128,'CVD_40q30_Age'!$E$2:$E$7281,G128,'CVD_40q30_Age'!$F$2:$F$7281,H128,'CVD_40q30_Age'!$G$2:$G$7281,69))/(SUMIFS('CVD_40q30_Age'!$L$2:$L$7281,'CVD_40q30_Age'!$A$2:$A$7281,A128,'CVD_40q30_Age'!$B$2:$B$7281,B128,'CVD_40q30_Age'!$E$2:$E$7281,G128,'CVD_40q30_Age'!$F$2:$F$7281,H128,'CVD_40q30_Age'!$G$2:$G$7281,30)))</f>
      </c>
      <c r="J128" s="198" t="str">
        <f>SUMIFS($I$2:$I$183,$A$2:$A$183,A128,$G$2:$G$183,G128,$H$2:$H$183,H128,$B$2:$B$183,"baseline")</f>
      </c>
      <c r="K128" s="199" t="str">
        <f>J128-I128</f>
      </c>
      <c r="L128" s="200" t="str">
        <f>IF(J128=0,"",100*(J128-I128)/J128)</f>
      </c>
      <c r="M128" s="201" t="n">
        <v>11.8916586684251</v>
      </c>
      <c r="N128" s="37" t="str">
        <f>IF(ABS(I128-M128)&lt;=0.001,"match","mismatch")</f>
      </c>
    </row>
    <row r="129">
      <c r="A129" t="s">
        <v>167</v>
      </c>
      <c r="B129" t="s">
        <v>272</v>
      </c>
      <c r="C129" s="35" t="s">
        <v>274</v>
      </c>
      <c r="D129" t="s">
        <v>502</v>
      </c>
      <c r="E129" t="s">
        <v>255</v>
      </c>
      <c r="F129" t="s">
        <v>254</v>
      </c>
      <c r="G129" t="s">
        <v>520</v>
      </c>
      <c r="H129" s="196" t="n">
        <v>2048</v>
      </c>
      <c r="I129" s="197" t="str">
        <f>100*(1-(SUMIFS('CVD_40q30_Age'!$M$2:$M$7281,'CVD_40q30_Age'!$A$2:$A$7281,A129,'CVD_40q30_Age'!$B$2:$B$7281,B129,'CVD_40q30_Age'!$E$2:$E$7281,G129,'CVD_40q30_Age'!$F$2:$F$7281,H129,'CVD_40q30_Age'!$G$2:$G$7281,69))/(SUMIFS('CVD_40q30_Age'!$L$2:$L$7281,'CVD_40q30_Age'!$A$2:$A$7281,A129,'CVD_40q30_Age'!$B$2:$B$7281,B129,'CVD_40q30_Age'!$E$2:$E$7281,G129,'CVD_40q30_Age'!$F$2:$F$7281,H129,'CVD_40q30_Age'!$G$2:$G$7281,30)))</f>
      </c>
      <c r="J129" s="198" t="str">
        <f>SUMIFS($I$2:$I$183,$A$2:$A$183,A129,$G$2:$G$183,G129,$H$2:$H$183,H129,$B$2:$B$183,"baseline")</f>
      </c>
      <c r="K129" s="199" t="str">
        <f>J129-I129</f>
      </c>
      <c r="L129" s="200" t="str">
        <f>IF(J129=0,"",100*(J129-I129)/J129)</f>
      </c>
      <c r="M129" s="201" t="n">
        <v>11.7581531127849</v>
      </c>
      <c r="N129" s="37" t="str">
        <f>IF(ABS(I129-M129)&lt;=0.001,"match","mismatch")</f>
      </c>
    </row>
    <row r="130">
      <c r="A130" t="s">
        <v>167</v>
      </c>
      <c r="B130" t="s">
        <v>272</v>
      </c>
      <c r="C130" s="35" t="s">
        <v>274</v>
      </c>
      <c r="D130" t="s">
        <v>502</v>
      </c>
      <c r="E130" t="s">
        <v>255</v>
      </c>
      <c r="F130" t="s">
        <v>254</v>
      </c>
      <c r="G130" t="s">
        <v>520</v>
      </c>
      <c r="H130" s="196" t="n">
        <v>2049</v>
      </c>
      <c r="I130" s="197" t="str">
        <f>100*(1-(SUMIFS('CVD_40q30_Age'!$M$2:$M$7281,'CVD_40q30_Age'!$A$2:$A$7281,A130,'CVD_40q30_Age'!$B$2:$B$7281,B130,'CVD_40q30_Age'!$E$2:$E$7281,G130,'CVD_40q30_Age'!$F$2:$F$7281,H130,'CVD_40q30_Age'!$G$2:$G$7281,69))/(SUMIFS('CVD_40q30_Age'!$L$2:$L$7281,'CVD_40q30_Age'!$A$2:$A$7281,A130,'CVD_40q30_Age'!$B$2:$B$7281,B130,'CVD_40q30_Age'!$E$2:$E$7281,G130,'CVD_40q30_Age'!$F$2:$F$7281,H130,'CVD_40q30_Age'!$G$2:$G$7281,30)))</f>
      </c>
      <c r="J130" s="198" t="str">
        <f>SUMIFS($I$2:$I$183,$A$2:$A$183,A130,$G$2:$G$183,G130,$H$2:$H$183,H130,$B$2:$B$183,"baseline")</f>
      </c>
      <c r="K130" s="199" t="str">
        <f>J130-I130</f>
      </c>
      <c r="L130" s="200" t="str">
        <f>IF(J130=0,"",100*(J130-I130)/J130)</f>
      </c>
      <c r="M130" s="201" t="n">
        <v>11.6329263387784</v>
      </c>
      <c r="N130" s="37" t="str">
        <f>IF(ABS(I130-M130)&lt;=0.001,"match","mismatch")</f>
      </c>
    </row>
    <row r="131">
      <c r="A131" t="s">
        <v>167</v>
      </c>
      <c r="B131" t="s">
        <v>272</v>
      </c>
      <c r="C131" s="35" t="s">
        <v>274</v>
      </c>
      <c r="D131" t="s">
        <v>502</v>
      </c>
      <c r="E131" t="s">
        <v>255</v>
      </c>
      <c r="F131" t="s">
        <v>254</v>
      </c>
      <c r="G131" t="s">
        <v>520</v>
      </c>
      <c r="H131" s="196" t="n">
        <v>2050</v>
      </c>
      <c r="I131" s="197" t="str">
        <f>100*(1-(SUMIFS('CVD_40q30_Age'!$M$2:$M$7281,'CVD_40q30_Age'!$A$2:$A$7281,A131,'CVD_40q30_Age'!$B$2:$B$7281,B131,'CVD_40q30_Age'!$E$2:$E$7281,G131,'CVD_40q30_Age'!$F$2:$F$7281,H131,'CVD_40q30_Age'!$G$2:$G$7281,69))/(SUMIFS('CVD_40q30_Age'!$L$2:$L$7281,'CVD_40q30_Age'!$A$2:$A$7281,A131,'CVD_40q30_Age'!$B$2:$B$7281,B131,'CVD_40q30_Age'!$E$2:$E$7281,G131,'CVD_40q30_Age'!$F$2:$F$7281,H131,'CVD_40q30_Age'!$G$2:$G$7281,30)))</f>
      </c>
      <c r="J131" s="198" t="str">
        <f>SUMIFS($I$2:$I$183,$A$2:$A$183,A131,$G$2:$G$183,G131,$H$2:$H$183,H131,$B$2:$B$183,"baseline")</f>
      </c>
      <c r="K131" s="199" t="str">
        <f>J131-I131</f>
      </c>
      <c r="L131" s="200" t="str">
        <f>IF(J131=0,"",100*(J131-I131)/J131)</f>
      </c>
      <c r="M131" s="201" t="n">
        <v>11.5146367949509</v>
      </c>
      <c r="N131" s="37" t="str">
        <f>IF(ABS(I131-M131)&lt;=0.001,"match","mismatch")</f>
      </c>
    </row>
    <row r="132">
      <c r="A132" t="s">
        <v>167</v>
      </c>
      <c r="B132" t="s">
        <v>116</v>
      </c>
      <c r="C132" s="35" t="s">
        <v>422</v>
      </c>
      <c r="D132" t="s">
        <v>502</v>
      </c>
      <c r="E132" t="s">
        <v>510</v>
      </c>
      <c r="F132"/>
      <c r="G132" t="s">
        <v>520</v>
      </c>
      <c r="H132" s="196" t="n">
        <v>2025</v>
      </c>
      <c r="I132" s="197" t="str">
        <f>100*(1-(SUMIFS('CVD_40q30_Age'!$M$2:$M$7281,'CVD_40q30_Age'!$A$2:$A$7281,A132,'CVD_40q30_Age'!$B$2:$B$7281,B132,'CVD_40q30_Age'!$E$2:$E$7281,G132,'CVD_40q30_Age'!$F$2:$F$7281,H132,'CVD_40q30_Age'!$G$2:$G$7281,69))/(SUMIFS('CVD_40q30_Age'!$L$2:$L$7281,'CVD_40q30_Age'!$A$2:$A$7281,A132,'CVD_40q30_Age'!$B$2:$B$7281,B132,'CVD_40q30_Age'!$E$2:$E$7281,G132,'CVD_40q30_Age'!$F$2:$F$7281,H132,'CVD_40q30_Age'!$G$2:$G$7281,30)))</f>
      </c>
      <c r="J132" s="198" t="str">
        <f>SUMIFS($I$2:$I$183,$A$2:$A$183,A132,$G$2:$G$183,G132,$H$2:$H$183,H132,$B$2:$B$183,"baseline")</f>
      </c>
      <c r="K132" s="199" t="str">
        <f>J132-I132</f>
      </c>
      <c r="L132" s="200" t="str">
        <f>IF(J132=0,"",100*(J132-I132)/J132)</f>
      </c>
      <c r="M132" s="201" t="n">
        <v>14.5948626930222</v>
      </c>
      <c r="N132" s="37" t="str">
        <f>IF(ABS(I132-M132)&lt;=0.001,"match","mismatch")</f>
      </c>
    </row>
    <row r="133">
      <c r="A133" t="s">
        <v>167</v>
      </c>
      <c r="B133" t="s">
        <v>116</v>
      </c>
      <c r="C133" s="35" t="s">
        <v>422</v>
      </c>
      <c r="D133" t="s">
        <v>502</v>
      </c>
      <c r="E133" t="s">
        <v>510</v>
      </c>
      <c r="F133"/>
      <c r="G133" t="s">
        <v>520</v>
      </c>
      <c r="H133" s="196" t="n">
        <v>2026</v>
      </c>
      <c r="I133" s="197" t="str">
        <f>100*(1-(SUMIFS('CVD_40q30_Age'!$M$2:$M$7281,'CVD_40q30_Age'!$A$2:$A$7281,A133,'CVD_40q30_Age'!$B$2:$B$7281,B133,'CVD_40q30_Age'!$E$2:$E$7281,G133,'CVD_40q30_Age'!$F$2:$F$7281,H133,'CVD_40q30_Age'!$G$2:$G$7281,69))/(SUMIFS('CVD_40q30_Age'!$L$2:$L$7281,'CVD_40q30_Age'!$A$2:$A$7281,A133,'CVD_40q30_Age'!$B$2:$B$7281,B133,'CVD_40q30_Age'!$E$2:$E$7281,G133,'CVD_40q30_Age'!$F$2:$F$7281,H133,'CVD_40q30_Age'!$G$2:$G$7281,30)))</f>
      </c>
      <c r="J133" s="198" t="str">
        <f>SUMIFS($I$2:$I$183,$A$2:$A$183,A133,$G$2:$G$183,G133,$H$2:$H$183,H133,$B$2:$B$183,"baseline")</f>
      </c>
      <c r="K133" s="199" t="str">
        <f>J133-I133</f>
      </c>
      <c r="L133" s="200" t="str">
        <f>IF(J133=0,"",100*(J133-I133)/J133)</f>
      </c>
      <c r="M133" s="201" t="n">
        <v>14.4195837184454</v>
      </c>
      <c r="N133" s="37" t="str">
        <f>IF(ABS(I133-M133)&lt;=0.001,"match","mismatch")</f>
      </c>
    </row>
    <row r="134">
      <c r="A134" t="s">
        <v>167</v>
      </c>
      <c r="B134" t="s">
        <v>116</v>
      </c>
      <c r="C134" s="35" t="s">
        <v>422</v>
      </c>
      <c r="D134" t="s">
        <v>502</v>
      </c>
      <c r="E134" t="s">
        <v>510</v>
      </c>
      <c r="F134"/>
      <c r="G134" t="s">
        <v>520</v>
      </c>
      <c r="H134" s="196" t="n">
        <v>2027</v>
      </c>
      <c r="I134" s="197" t="str">
        <f>100*(1-(SUMIFS('CVD_40q30_Age'!$M$2:$M$7281,'CVD_40q30_Age'!$A$2:$A$7281,A134,'CVD_40q30_Age'!$B$2:$B$7281,B134,'CVD_40q30_Age'!$E$2:$E$7281,G134,'CVD_40q30_Age'!$F$2:$F$7281,H134,'CVD_40q30_Age'!$G$2:$G$7281,69))/(SUMIFS('CVD_40q30_Age'!$L$2:$L$7281,'CVD_40q30_Age'!$A$2:$A$7281,A134,'CVD_40q30_Age'!$B$2:$B$7281,B134,'CVD_40q30_Age'!$E$2:$E$7281,G134,'CVD_40q30_Age'!$F$2:$F$7281,H134,'CVD_40q30_Age'!$G$2:$G$7281,30)))</f>
      </c>
      <c r="J134" s="198" t="str">
        <f>SUMIFS($I$2:$I$183,$A$2:$A$183,A134,$G$2:$G$183,G134,$H$2:$H$183,H134,$B$2:$B$183,"baseline")</f>
      </c>
      <c r="K134" s="199" t="str">
        <f>J134-I134</f>
      </c>
      <c r="L134" s="200" t="str">
        <f>IF(J134=0,"",100*(J134-I134)/J134)</f>
      </c>
      <c r="M134" s="201" t="n">
        <v>14.2429383704631</v>
      </c>
      <c r="N134" s="37" t="str">
        <f>IF(ABS(I134-M134)&lt;=0.001,"match","mismatch")</f>
      </c>
    </row>
    <row r="135">
      <c r="A135" t="s">
        <v>167</v>
      </c>
      <c r="B135" t="s">
        <v>116</v>
      </c>
      <c r="C135" s="35" t="s">
        <v>422</v>
      </c>
      <c r="D135" t="s">
        <v>502</v>
      </c>
      <c r="E135" t="s">
        <v>510</v>
      </c>
      <c r="F135"/>
      <c r="G135" t="s">
        <v>520</v>
      </c>
      <c r="H135" s="196" t="n">
        <v>2028</v>
      </c>
      <c r="I135" s="197" t="str">
        <f>100*(1-(SUMIFS('CVD_40q30_Age'!$M$2:$M$7281,'CVD_40q30_Age'!$A$2:$A$7281,A135,'CVD_40q30_Age'!$B$2:$B$7281,B135,'CVD_40q30_Age'!$E$2:$E$7281,G135,'CVD_40q30_Age'!$F$2:$F$7281,H135,'CVD_40q30_Age'!$G$2:$G$7281,69))/(SUMIFS('CVD_40q30_Age'!$L$2:$L$7281,'CVD_40q30_Age'!$A$2:$A$7281,A135,'CVD_40q30_Age'!$B$2:$B$7281,B135,'CVD_40q30_Age'!$E$2:$E$7281,G135,'CVD_40q30_Age'!$F$2:$F$7281,H135,'CVD_40q30_Age'!$G$2:$G$7281,30)))</f>
      </c>
      <c r="J135" s="198" t="str">
        <f>SUMIFS($I$2:$I$183,$A$2:$A$183,A135,$G$2:$G$183,G135,$H$2:$H$183,H135,$B$2:$B$183,"baseline")</f>
      </c>
      <c r="K135" s="199" t="str">
        <f>J135-I135</f>
      </c>
      <c r="L135" s="200" t="str">
        <f>IF(J135=0,"",100*(J135-I135)/J135)</f>
      </c>
      <c r="M135" s="201" t="n">
        <v>14.0718805263362</v>
      </c>
      <c r="N135" s="37" t="str">
        <f>IF(ABS(I135-M135)&lt;=0.001,"match","mismatch")</f>
      </c>
    </row>
    <row r="136">
      <c r="A136" t="s">
        <v>167</v>
      </c>
      <c r="B136" t="s">
        <v>116</v>
      </c>
      <c r="C136" s="35" t="s">
        <v>422</v>
      </c>
      <c r="D136" t="s">
        <v>502</v>
      </c>
      <c r="E136" t="s">
        <v>510</v>
      </c>
      <c r="F136"/>
      <c r="G136" t="s">
        <v>520</v>
      </c>
      <c r="H136" s="196" t="n">
        <v>2029</v>
      </c>
      <c r="I136" s="197" t="str">
        <f>100*(1-(SUMIFS('CVD_40q30_Age'!$M$2:$M$7281,'CVD_40q30_Age'!$A$2:$A$7281,A136,'CVD_40q30_Age'!$B$2:$B$7281,B136,'CVD_40q30_Age'!$E$2:$E$7281,G136,'CVD_40q30_Age'!$F$2:$F$7281,H136,'CVD_40q30_Age'!$G$2:$G$7281,69))/(SUMIFS('CVD_40q30_Age'!$L$2:$L$7281,'CVD_40q30_Age'!$A$2:$A$7281,A136,'CVD_40q30_Age'!$B$2:$B$7281,B136,'CVD_40q30_Age'!$E$2:$E$7281,G136,'CVD_40q30_Age'!$F$2:$F$7281,H136,'CVD_40q30_Age'!$G$2:$G$7281,30)))</f>
      </c>
      <c r="J136" s="198" t="str">
        <f>SUMIFS($I$2:$I$183,$A$2:$A$183,A136,$G$2:$G$183,G136,$H$2:$H$183,H136,$B$2:$B$183,"baseline")</f>
      </c>
      <c r="K136" s="199" t="str">
        <f>J136-I136</f>
      </c>
      <c r="L136" s="200" t="str">
        <f>IF(J136=0,"",100*(J136-I136)/J136)</f>
      </c>
      <c r="M136" s="201" t="n">
        <v>13.8915231587047</v>
      </c>
      <c r="N136" s="37" t="str">
        <f>IF(ABS(I136-M136)&lt;=0.001,"match","mismatch")</f>
      </c>
    </row>
    <row r="137">
      <c r="A137" t="s">
        <v>167</v>
      </c>
      <c r="B137" t="s">
        <v>116</v>
      </c>
      <c r="C137" s="35" t="s">
        <v>422</v>
      </c>
      <c r="D137" t="s">
        <v>502</v>
      </c>
      <c r="E137" t="s">
        <v>510</v>
      </c>
      <c r="F137"/>
      <c r="G137" t="s">
        <v>520</v>
      </c>
      <c r="H137" s="196" t="n">
        <v>2030</v>
      </c>
      <c r="I137" s="197" t="str">
        <f>100*(1-(SUMIFS('CVD_40q30_Age'!$M$2:$M$7281,'CVD_40q30_Age'!$A$2:$A$7281,A137,'CVD_40q30_Age'!$B$2:$B$7281,B137,'CVD_40q30_Age'!$E$2:$E$7281,G137,'CVD_40q30_Age'!$F$2:$F$7281,H137,'CVD_40q30_Age'!$G$2:$G$7281,69))/(SUMIFS('CVD_40q30_Age'!$L$2:$L$7281,'CVD_40q30_Age'!$A$2:$A$7281,A137,'CVD_40q30_Age'!$B$2:$B$7281,B137,'CVD_40q30_Age'!$E$2:$E$7281,G137,'CVD_40q30_Age'!$F$2:$F$7281,H137,'CVD_40q30_Age'!$G$2:$G$7281,30)))</f>
      </c>
      <c r="J137" s="198" t="str">
        <f>SUMIFS($I$2:$I$183,$A$2:$A$183,A137,$G$2:$G$183,G137,$H$2:$H$183,H137,$B$2:$B$183,"baseline")</f>
      </c>
      <c r="K137" s="199" t="str">
        <f>J137-I137</f>
      </c>
      <c r="L137" s="200" t="str">
        <f>IF(J137=0,"",100*(J137-I137)/J137)</f>
      </c>
      <c r="M137" s="201" t="n">
        <v>13.7076432168763</v>
      </c>
      <c r="N137" s="37" t="str">
        <f>IF(ABS(I137-M137)&lt;=0.001,"match","mismatch")</f>
      </c>
    </row>
    <row r="138">
      <c r="A138" t="s">
        <v>167</v>
      </c>
      <c r="B138" t="s">
        <v>116</v>
      </c>
      <c r="C138" s="35" t="s">
        <v>422</v>
      </c>
      <c r="D138" t="s">
        <v>502</v>
      </c>
      <c r="E138" t="s">
        <v>510</v>
      </c>
      <c r="F138"/>
      <c r="G138" t="s">
        <v>520</v>
      </c>
      <c r="H138" s="196" t="n">
        <v>2031</v>
      </c>
      <c r="I138" s="197" t="str">
        <f>100*(1-(SUMIFS('CVD_40q30_Age'!$M$2:$M$7281,'CVD_40q30_Age'!$A$2:$A$7281,A138,'CVD_40q30_Age'!$B$2:$B$7281,B138,'CVD_40q30_Age'!$E$2:$E$7281,G138,'CVD_40q30_Age'!$F$2:$F$7281,H138,'CVD_40q30_Age'!$G$2:$G$7281,69))/(SUMIFS('CVD_40q30_Age'!$L$2:$L$7281,'CVD_40q30_Age'!$A$2:$A$7281,A138,'CVD_40q30_Age'!$B$2:$B$7281,B138,'CVD_40q30_Age'!$E$2:$E$7281,G138,'CVD_40q30_Age'!$F$2:$F$7281,H138,'CVD_40q30_Age'!$G$2:$G$7281,30)))</f>
      </c>
      <c r="J138" s="198" t="str">
        <f>SUMIFS($I$2:$I$183,$A$2:$A$183,A138,$G$2:$G$183,G138,$H$2:$H$183,H138,$B$2:$B$183,"baseline")</f>
      </c>
      <c r="K138" s="199" t="str">
        <f>J138-I138</f>
      </c>
      <c r="L138" s="200" t="str">
        <f>IF(J138=0,"",100*(J138-I138)/J138)</f>
      </c>
      <c r="M138" s="201" t="n">
        <v>13.6002048489042</v>
      </c>
      <c r="N138" s="37" t="str">
        <f>IF(ABS(I138-M138)&lt;=0.001,"match","mismatch")</f>
      </c>
    </row>
    <row r="139">
      <c r="A139" t="s">
        <v>167</v>
      </c>
      <c r="B139" t="s">
        <v>116</v>
      </c>
      <c r="C139" s="35" t="s">
        <v>422</v>
      </c>
      <c r="D139" t="s">
        <v>502</v>
      </c>
      <c r="E139" t="s">
        <v>510</v>
      </c>
      <c r="F139"/>
      <c r="G139" t="s">
        <v>520</v>
      </c>
      <c r="H139" s="196" t="n">
        <v>2032</v>
      </c>
      <c r="I139" s="197" t="str">
        <f>100*(1-(SUMIFS('CVD_40q30_Age'!$M$2:$M$7281,'CVD_40q30_Age'!$A$2:$A$7281,A139,'CVD_40q30_Age'!$B$2:$B$7281,B139,'CVD_40q30_Age'!$E$2:$E$7281,G139,'CVD_40q30_Age'!$F$2:$F$7281,H139,'CVD_40q30_Age'!$G$2:$G$7281,69))/(SUMIFS('CVD_40q30_Age'!$L$2:$L$7281,'CVD_40q30_Age'!$A$2:$A$7281,A139,'CVD_40q30_Age'!$B$2:$B$7281,B139,'CVD_40q30_Age'!$E$2:$E$7281,G139,'CVD_40q30_Age'!$F$2:$F$7281,H139,'CVD_40q30_Age'!$G$2:$G$7281,30)))</f>
      </c>
      <c r="J139" s="198" t="str">
        <f>SUMIFS($I$2:$I$183,$A$2:$A$183,A139,$G$2:$G$183,G139,$H$2:$H$183,H139,$B$2:$B$183,"baseline")</f>
      </c>
      <c r="K139" s="199" t="str">
        <f>J139-I139</f>
      </c>
      <c r="L139" s="200" t="str">
        <f>IF(J139=0,"",100*(J139-I139)/J139)</f>
      </c>
      <c r="M139" s="201" t="n">
        <v>13.4807212547021</v>
      </c>
      <c r="N139" s="37" t="str">
        <f>IF(ABS(I139-M139)&lt;=0.001,"match","mismatch")</f>
      </c>
    </row>
    <row r="140">
      <c r="A140" t="s">
        <v>167</v>
      </c>
      <c r="B140" t="s">
        <v>116</v>
      </c>
      <c r="C140" s="35" t="s">
        <v>422</v>
      </c>
      <c r="D140" t="s">
        <v>502</v>
      </c>
      <c r="E140" t="s">
        <v>510</v>
      </c>
      <c r="F140"/>
      <c r="G140" t="s">
        <v>520</v>
      </c>
      <c r="H140" s="196" t="n">
        <v>2033</v>
      </c>
      <c r="I140" s="197" t="str">
        <f>100*(1-(SUMIFS('CVD_40q30_Age'!$M$2:$M$7281,'CVD_40q30_Age'!$A$2:$A$7281,A140,'CVD_40q30_Age'!$B$2:$B$7281,B140,'CVD_40q30_Age'!$E$2:$E$7281,G140,'CVD_40q30_Age'!$F$2:$F$7281,H140,'CVD_40q30_Age'!$G$2:$G$7281,69))/(SUMIFS('CVD_40q30_Age'!$L$2:$L$7281,'CVD_40q30_Age'!$A$2:$A$7281,A140,'CVD_40q30_Age'!$B$2:$B$7281,B140,'CVD_40q30_Age'!$E$2:$E$7281,G140,'CVD_40q30_Age'!$F$2:$F$7281,H140,'CVD_40q30_Age'!$G$2:$G$7281,30)))</f>
      </c>
      <c r="J140" s="198" t="str">
        <f>SUMIFS($I$2:$I$183,$A$2:$A$183,A140,$G$2:$G$183,G140,$H$2:$H$183,H140,$B$2:$B$183,"baseline")</f>
      </c>
      <c r="K140" s="199" t="str">
        <f>J140-I140</f>
      </c>
      <c r="L140" s="200" t="str">
        <f>IF(J140=0,"",100*(J140-I140)/J140)</f>
      </c>
      <c r="M140" s="201" t="n">
        <v>13.3475659588065</v>
      </c>
      <c r="N140" s="37" t="str">
        <f>IF(ABS(I140-M140)&lt;=0.001,"match","mismatch")</f>
      </c>
    </row>
    <row r="141">
      <c r="A141" t="s">
        <v>167</v>
      </c>
      <c r="B141" t="s">
        <v>116</v>
      </c>
      <c r="C141" s="35" t="s">
        <v>422</v>
      </c>
      <c r="D141" t="s">
        <v>502</v>
      </c>
      <c r="E141" t="s">
        <v>510</v>
      </c>
      <c r="F141"/>
      <c r="G141" t="s">
        <v>520</v>
      </c>
      <c r="H141" s="196" t="n">
        <v>2034</v>
      </c>
      <c r="I141" s="197" t="str">
        <f>100*(1-(SUMIFS('CVD_40q30_Age'!$M$2:$M$7281,'CVD_40q30_Age'!$A$2:$A$7281,A141,'CVD_40q30_Age'!$B$2:$B$7281,B141,'CVD_40q30_Age'!$E$2:$E$7281,G141,'CVD_40q30_Age'!$F$2:$F$7281,H141,'CVD_40q30_Age'!$G$2:$G$7281,69))/(SUMIFS('CVD_40q30_Age'!$L$2:$L$7281,'CVD_40q30_Age'!$A$2:$A$7281,A141,'CVD_40q30_Age'!$B$2:$B$7281,B141,'CVD_40q30_Age'!$E$2:$E$7281,G141,'CVD_40q30_Age'!$F$2:$F$7281,H141,'CVD_40q30_Age'!$G$2:$G$7281,30)))</f>
      </c>
      <c r="J141" s="198" t="str">
        <f>SUMIFS($I$2:$I$183,$A$2:$A$183,A141,$G$2:$G$183,G141,$H$2:$H$183,H141,$B$2:$B$183,"baseline")</f>
      </c>
      <c r="K141" s="199" t="str">
        <f>J141-I141</f>
      </c>
      <c r="L141" s="200" t="str">
        <f>IF(J141=0,"",100*(J141-I141)/J141)</f>
      </c>
      <c r="M141" s="201" t="n">
        <v>13.2391674370482</v>
      </c>
      <c r="N141" s="37" t="str">
        <f>IF(ABS(I141-M141)&lt;=0.001,"match","mismatch")</f>
      </c>
    </row>
    <row r="142">
      <c r="A142" t="s">
        <v>167</v>
      </c>
      <c r="B142" t="s">
        <v>116</v>
      </c>
      <c r="C142" s="35" t="s">
        <v>422</v>
      </c>
      <c r="D142" t="s">
        <v>502</v>
      </c>
      <c r="E142" t="s">
        <v>510</v>
      </c>
      <c r="F142"/>
      <c r="G142" t="s">
        <v>520</v>
      </c>
      <c r="H142" s="196" t="n">
        <v>2035</v>
      </c>
      <c r="I142" s="197" t="str">
        <f>100*(1-(SUMIFS('CVD_40q30_Age'!$M$2:$M$7281,'CVD_40q30_Age'!$A$2:$A$7281,A142,'CVD_40q30_Age'!$B$2:$B$7281,B142,'CVD_40q30_Age'!$E$2:$E$7281,G142,'CVD_40q30_Age'!$F$2:$F$7281,H142,'CVD_40q30_Age'!$G$2:$G$7281,69))/(SUMIFS('CVD_40q30_Age'!$L$2:$L$7281,'CVD_40q30_Age'!$A$2:$A$7281,A142,'CVD_40q30_Age'!$B$2:$B$7281,B142,'CVD_40q30_Age'!$E$2:$E$7281,G142,'CVD_40q30_Age'!$F$2:$F$7281,H142,'CVD_40q30_Age'!$G$2:$G$7281,30)))</f>
      </c>
      <c r="J142" s="198" t="str">
        <f>SUMIFS($I$2:$I$183,$A$2:$A$183,A142,$G$2:$G$183,G142,$H$2:$H$183,H142,$B$2:$B$183,"baseline")</f>
      </c>
      <c r="K142" s="199" t="str">
        <f>J142-I142</f>
      </c>
      <c r="L142" s="200" t="str">
        <f>IF(J142=0,"",100*(J142-I142)/J142)</f>
      </c>
      <c r="M142" s="201" t="n">
        <v>13.1209864637258</v>
      </c>
      <c r="N142" s="37" t="str">
        <f>IF(ABS(I142-M142)&lt;=0.001,"match","mismatch")</f>
      </c>
    </row>
    <row r="143">
      <c r="A143" t="s">
        <v>167</v>
      </c>
      <c r="B143" t="s">
        <v>116</v>
      </c>
      <c r="C143" s="35" t="s">
        <v>422</v>
      </c>
      <c r="D143" t="s">
        <v>502</v>
      </c>
      <c r="E143" t="s">
        <v>510</v>
      </c>
      <c r="F143"/>
      <c r="G143" t="s">
        <v>520</v>
      </c>
      <c r="H143" s="196" t="n">
        <v>2036</v>
      </c>
      <c r="I143" s="197" t="str">
        <f>100*(1-(SUMIFS('CVD_40q30_Age'!$M$2:$M$7281,'CVD_40q30_Age'!$A$2:$A$7281,A143,'CVD_40q30_Age'!$B$2:$B$7281,B143,'CVD_40q30_Age'!$E$2:$E$7281,G143,'CVD_40q30_Age'!$F$2:$F$7281,H143,'CVD_40q30_Age'!$G$2:$G$7281,69))/(SUMIFS('CVD_40q30_Age'!$L$2:$L$7281,'CVD_40q30_Age'!$A$2:$A$7281,A143,'CVD_40q30_Age'!$B$2:$B$7281,B143,'CVD_40q30_Age'!$E$2:$E$7281,G143,'CVD_40q30_Age'!$F$2:$F$7281,H143,'CVD_40q30_Age'!$G$2:$G$7281,30)))</f>
      </c>
      <c r="J143" s="198" t="str">
        <f>SUMIFS($I$2:$I$183,$A$2:$A$183,A143,$G$2:$G$183,G143,$H$2:$H$183,H143,$B$2:$B$183,"baseline")</f>
      </c>
      <c r="K143" s="199" t="str">
        <f>J143-I143</f>
      </c>
      <c r="L143" s="200" t="str">
        <f>IF(J143=0,"",100*(J143-I143)/J143)</f>
      </c>
      <c r="M143" s="201" t="n">
        <v>12.9454726565814</v>
      </c>
      <c r="N143" s="37" t="str">
        <f>IF(ABS(I143-M143)&lt;=0.001,"match","mismatch")</f>
      </c>
    </row>
    <row r="144">
      <c r="A144" t="s">
        <v>167</v>
      </c>
      <c r="B144" t="s">
        <v>116</v>
      </c>
      <c r="C144" s="35" t="s">
        <v>422</v>
      </c>
      <c r="D144" t="s">
        <v>502</v>
      </c>
      <c r="E144" t="s">
        <v>510</v>
      </c>
      <c r="F144"/>
      <c r="G144" t="s">
        <v>520</v>
      </c>
      <c r="H144" s="196" t="n">
        <v>2037</v>
      </c>
      <c r="I144" s="197" t="str">
        <f>100*(1-(SUMIFS('CVD_40q30_Age'!$M$2:$M$7281,'CVD_40q30_Age'!$A$2:$A$7281,A144,'CVD_40q30_Age'!$B$2:$B$7281,B144,'CVD_40q30_Age'!$E$2:$E$7281,G144,'CVD_40q30_Age'!$F$2:$F$7281,H144,'CVD_40q30_Age'!$G$2:$G$7281,69))/(SUMIFS('CVD_40q30_Age'!$L$2:$L$7281,'CVD_40q30_Age'!$A$2:$A$7281,A144,'CVD_40q30_Age'!$B$2:$B$7281,B144,'CVD_40q30_Age'!$E$2:$E$7281,G144,'CVD_40q30_Age'!$F$2:$F$7281,H144,'CVD_40q30_Age'!$G$2:$G$7281,30)))</f>
      </c>
      <c r="J144" s="198" t="str">
        <f>SUMIFS($I$2:$I$183,$A$2:$A$183,A144,$G$2:$G$183,G144,$H$2:$H$183,H144,$B$2:$B$183,"baseline")</f>
      </c>
      <c r="K144" s="199" t="str">
        <f>J144-I144</f>
      </c>
      <c r="L144" s="200" t="str">
        <f>IF(J144=0,"",100*(J144-I144)/J144)</f>
      </c>
      <c r="M144" s="201" t="n">
        <v>12.7711389173728</v>
      </c>
      <c r="N144" s="37" t="str">
        <f>IF(ABS(I144-M144)&lt;=0.001,"match","mismatch")</f>
      </c>
    </row>
    <row r="145">
      <c r="A145" t="s">
        <v>167</v>
      </c>
      <c r="B145" t="s">
        <v>116</v>
      </c>
      <c r="C145" s="35" t="s">
        <v>422</v>
      </c>
      <c r="D145" t="s">
        <v>502</v>
      </c>
      <c r="E145" t="s">
        <v>510</v>
      </c>
      <c r="F145"/>
      <c r="G145" t="s">
        <v>520</v>
      </c>
      <c r="H145" s="196" t="n">
        <v>2038</v>
      </c>
      <c r="I145" s="197" t="str">
        <f>100*(1-(SUMIFS('CVD_40q30_Age'!$M$2:$M$7281,'CVD_40q30_Age'!$A$2:$A$7281,A145,'CVD_40q30_Age'!$B$2:$B$7281,B145,'CVD_40q30_Age'!$E$2:$E$7281,G145,'CVD_40q30_Age'!$F$2:$F$7281,H145,'CVD_40q30_Age'!$G$2:$G$7281,69))/(SUMIFS('CVD_40q30_Age'!$L$2:$L$7281,'CVD_40q30_Age'!$A$2:$A$7281,A145,'CVD_40q30_Age'!$B$2:$B$7281,B145,'CVD_40q30_Age'!$E$2:$E$7281,G145,'CVD_40q30_Age'!$F$2:$F$7281,H145,'CVD_40q30_Age'!$G$2:$G$7281,30)))</f>
      </c>
      <c r="J145" s="198" t="str">
        <f>SUMIFS($I$2:$I$183,$A$2:$A$183,A145,$G$2:$G$183,G145,$H$2:$H$183,H145,$B$2:$B$183,"baseline")</f>
      </c>
      <c r="K145" s="199" t="str">
        <f>J145-I145</f>
      </c>
      <c r="L145" s="200" t="str">
        <f>IF(J145=0,"",100*(J145-I145)/J145)</f>
      </c>
      <c r="M145" s="201" t="n">
        <v>12.5955521445936</v>
      </c>
      <c r="N145" s="37" t="str">
        <f>IF(ABS(I145-M145)&lt;=0.001,"match","mismatch")</f>
      </c>
    </row>
    <row r="146">
      <c r="A146" t="s">
        <v>167</v>
      </c>
      <c r="B146" t="s">
        <v>116</v>
      </c>
      <c r="C146" s="35" t="s">
        <v>422</v>
      </c>
      <c r="D146" t="s">
        <v>502</v>
      </c>
      <c r="E146" t="s">
        <v>510</v>
      </c>
      <c r="F146"/>
      <c r="G146" t="s">
        <v>520</v>
      </c>
      <c r="H146" s="196" t="n">
        <v>2039</v>
      </c>
      <c r="I146" s="197" t="str">
        <f>100*(1-(SUMIFS('CVD_40q30_Age'!$M$2:$M$7281,'CVD_40q30_Age'!$A$2:$A$7281,A146,'CVD_40q30_Age'!$B$2:$B$7281,B146,'CVD_40q30_Age'!$E$2:$E$7281,G146,'CVD_40q30_Age'!$F$2:$F$7281,H146,'CVD_40q30_Age'!$G$2:$G$7281,69))/(SUMIFS('CVD_40q30_Age'!$L$2:$L$7281,'CVD_40q30_Age'!$A$2:$A$7281,A146,'CVD_40q30_Age'!$B$2:$B$7281,B146,'CVD_40q30_Age'!$E$2:$E$7281,G146,'CVD_40q30_Age'!$F$2:$F$7281,H146,'CVD_40q30_Age'!$G$2:$G$7281,30)))</f>
      </c>
      <c r="J146" s="198" t="str">
        <f>SUMIFS($I$2:$I$183,$A$2:$A$183,A146,$G$2:$G$183,G146,$H$2:$H$183,H146,$B$2:$B$183,"baseline")</f>
      </c>
      <c r="K146" s="199" t="str">
        <f>J146-I146</f>
      </c>
      <c r="L146" s="200" t="str">
        <f>IF(J146=0,"",100*(J146-I146)/J146)</f>
      </c>
      <c r="M146" s="201" t="n">
        <v>12.4287925578135</v>
      </c>
      <c r="N146" s="37" t="str">
        <f>IF(ABS(I146-M146)&lt;=0.001,"match","mismatch")</f>
      </c>
    </row>
    <row r="147">
      <c r="A147" t="s">
        <v>167</v>
      </c>
      <c r="B147" t="s">
        <v>116</v>
      </c>
      <c r="C147" s="35" t="s">
        <v>422</v>
      </c>
      <c r="D147" t="s">
        <v>502</v>
      </c>
      <c r="E147" t="s">
        <v>510</v>
      </c>
      <c r="F147"/>
      <c r="G147" t="s">
        <v>520</v>
      </c>
      <c r="H147" s="196" t="n">
        <v>2040</v>
      </c>
      <c r="I147" s="197" t="str">
        <f>100*(1-(SUMIFS('CVD_40q30_Age'!$M$2:$M$7281,'CVD_40q30_Age'!$A$2:$A$7281,A147,'CVD_40q30_Age'!$B$2:$B$7281,B147,'CVD_40q30_Age'!$E$2:$E$7281,G147,'CVD_40q30_Age'!$F$2:$F$7281,H147,'CVD_40q30_Age'!$G$2:$G$7281,69))/(SUMIFS('CVD_40q30_Age'!$L$2:$L$7281,'CVD_40q30_Age'!$A$2:$A$7281,A147,'CVD_40q30_Age'!$B$2:$B$7281,B147,'CVD_40q30_Age'!$E$2:$E$7281,G147,'CVD_40q30_Age'!$F$2:$F$7281,H147,'CVD_40q30_Age'!$G$2:$G$7281,30)))</f>
      </c>
      <c r="J147" s="198" t="str">
        <f>SUMIFS($I$2:$I$183,$A$2:$A$183,A147,$G$2:$G$183,G147,$H$2:$H$183,H147,$B$2:$B$183,"baseline")</f>
      </c>
      <c r="K147" s="199" t="str">
        <f>J147-I147</f>
      </c>
      <c r="L147" s="200" t="str">
        <f>IF(J147=0,"",100*(J147-I147)/J147)</f>
      </c>
      <c r="M147" s="201" t="n">
        <v>12.2561142364691</v>
      </c>
      <c r="N147" s="37" t="str">
        <f>IF(ABS(I147-M147)&lt;=0.001,"match","mismatch")</f>
      </c>
    </row>
    <row r="148">
      <c r="A148" t="s">
        <v>167</v>
      </c>
      <c r="B148" t="s">
        <v>116</v>
      </c>
      <c r="C148" s="35" t="s">
        <v>422</v>
      </c>
      <c r="D148" t="s">
        <v>502</v>
      </c>
      <c r="E148" t="s">
        <v>510</v>
      </c>
      <c r="F148"/>
      <c r="G148" t="s">
        <v>520</v>
      </c>
      <c r="H148" s="196" t="n">
        <v>2041</v>
      </c>
      <c r="I148" s="197" t="str">
        <f>100*(1-(SUMIFS('CVD_40q30_Age'!$M$2:$M$7281,'CVD_40q30_Age'!$A$2:$A$7281,A148,'CVD_40q30_Age'!$B$2:$B$7281,B148,'CVD_40q30_Age'!$E$2:$E$7281,G148,'CVD_40q30_Age'!$F$2:$F$7281,H148,'CVD_40q30_Age'!$G$2:$G$7281,69))/(SUMIFS('CVD_40q30_Age'!$L$2:$L$7281,'CVD_40q30_Age'!$A$2:$A$7281,A148,'CVD_40q30_Age'!$B$2:$B$7281,B148,'CVD_40q30_Age'!$E$2:$E$7281,G148,'CVD_40q30_Age'!$F$2:$F$7281,H148,'CVD_40q30_Age'!$G$2:$G$7281,30)))</f>
      </c>
      <c r="J148" s="198" t="str">
        <f>SUMIFS($I$2:$I$183,$A$2:$A$183,A148,$G$2:$G$183,G148,$H$2:$H$183,H148,$B$2:$B$183,"baseline")</f>
      </c>
      <c r="K148" s="199" t="str">
        <f>J148-I148</f>
      </c>
      <c r="L148" s="200" t="str">
        <f>IF(J148=0,"",100*(J148-I148)/J148)</f>
      </c>
      <c r="M148" s="201" t="n">
        <v>12.143168128008</v>
      </c>
      <c r="N148" s="37" t="str">
        <f>IF(ABS(I148-M148)&lt;=0.001,"match","mismatch")</f>
      </c>
    </row>
    <row r="149">
      <c r="A149" t="s">
        <v>167</v>
      </c>
      <c r="B149" t="s">
        <v>116</v>
      </c>
      <c r="C149" s="35" t="s">
        <v>422</v>
      </c>
      <c r="D149" t="s">
        <v>502</v>
      </c>
      <c r="E149" t="s">
        <v>510</v>
      </c>
      <c r="F149"/>
      <c r="G149" t="s">
        <v>520</v>
      </c>
      <c r="H149" s="196" t="n">
        <v>2042</v>
      </c>
      <c r="I149" s="197" t="str">
        <f>100*(1-(SUMIFS('CVD_40q30_Age'!$M$2:$M$7281,'CVD_40q30_Age'!$A$2:$A$7281,A149,'CVD_40q30_Age'!$B$2:$B$7281,B149,'CVD_40q30_Age'!$E$2:$E$7281,G149,'CVD_40q30_Age'!$F$2:$F$7281,H149,'CVD_40q30_Age'!$G$2:$G$7281,69))/(SUMIFS('CVD_40q30_Age'!$L$2:$L$7281,'CVD_40q30_Age'!$A$2:$A$7281,A149,'CVD_40q30_Age'!$B$2:$B$7281,B149,'CVD_40q30_Age'!$E$2:$E$7281,G149,'CVD_40q30_Age'!$F$2:$F$7281,H149,'CVD_40q30_Age'!$G$2:$G$7281,30)))</f>
      </c>
      <c r="J149" s="198" t="str">
        <f>SUMIFS($I$2:$I$183,$A$2:$A$183,A149,$G$2:$G$183,G149,$H$2:$H$183,H149,$B$2:$B$183,"baseline")</f>
      </c>
      <c r="K149" s="199" t="str">
        <f>J149-I149</f>
      </c>
      <c r="L149" s="200" t="str">
        <f>IF(J149=0,"",100*(J149-I149)/J149)</f>
      </c>
      <c r="M149" s="201" t="n">
        <v>12.0224186490061</v>
      </c>
      <c r="N149" s="37" t="str">
        <f>IF(ABS(I149-M149)&lt;=0.001,"match","mismatch")</f>
      </c>
    </row>
    <row r="150">
      <c r="A150" t="s">
        <v>167</v>
      </c>
      <c r="B150" t="s">
        <v>116</v>
      </c>
      <c r="C150" s="35" t="s">
        <v>422</v>
      </c>
      <c r="D150" t="s">
        <v>502</v>
      </c>
      <c r="E150" t="s">
        <v>510</v>
      </c>
      <c r="F150"/>
      <c r="G150" t="s">
        <v>520</v>
      </c>
      <c r="H150" s="196" t="n">
        <v>2043</v>
      </c>
      <c r="I150" s="197" t="str">
        <f>100*(1-(SUMIFS('CVD_40q30_Age'!$M$2:$M$7281,'CVD_40q30_Age'!$A$2:$A$7281,A150,'CVD_40q30_Age'!$B$2:$B$7281,B150,'CVD_40q30_Age'!$E$2:$E$7281,G150,'CVD_40q30_Age'!$F$2:$F$7281,H150,'CVD_40q30_Age'!$G$2:$G$7281,69))/(SUMIFS('CVD_40q30_Age'!$L$2:$L$7281,'CVD_40q30_Age'!$A$2:$A$7281,A150,'CVD_40q30_Age'!$B$2:$B$7281,B150,'CVD_40q30_Age'!$E$2:$E$7281,G150,'CVD_40q30_Age'!$F$2:$F$7281,H150,'CVD_40q30_Age'!$G$2:$G$7281,30)))</f>
      </c>
      <c r="J150" s="198" t="str">
        <f>SUMIFS($I$2:$I$183,$A$2:$A$183,A150,$G$2:$G$183,G150,$H$2:$H$183,H150,$B$2:$B$183,"baseline")</f>
      </c>
      <c r="K150" s="199" t="str">
        <f>J150-I150</f>
      </c>
      <c r="L150" s="200" t="str">
        <f>IF(J150=0,"",100*(J150-I150)/J150)</f>
      </c>
      <c r="M150" s="201" t="n">
        <v>11.8936446472752</v>
      </c>
      <c r="N150" s="37" t="str">
        <f>IF(ABS(I150-M150)&lt;=0.001,"match","mismatch")</f>
      </c>
    </row>
    <row r="151">
      <c r="A151" t="s">
        <v>167</v>
      </c>
      <c r="B151" t="s">
        <v>116</v>
      </c>
      <c r="C151" s="35" t="s">
        <v>422</v>
      </c>
      <c r="D151" t="s">
        <v>502</v>
      </c>
      <c r="E151" t="s">
        <v>510</v>
      </c>
      <c r="F151"/>
      <c r="G151" t="s">
        <v>520</v>
      </c>
      <c r="H151" s="196" t="n">
        <v>2044</v>
      </c>
      <c r="I151" s="197" t="str">
        <f>100*(1-(SUMIFS('CVD_40q30_Age'!$M$2:$M$7281,'CVD_40q30_Age'!$A$2:$A$7281,A151,'CVD_40q30_Age'!$B$2:$B$7281,B151,'CVD_40q30_Age'!$E$2:$E$7281,G151,'CVD_40q30_Age'!$F$2:$F$7281,H151,'CVD_40q30_Age'!$G$2:$G$7281,69))/(SUMIFS('CVD_40q30_Age'!$L$2:$L$7281,'CVD_40q30_Age'!$A$2:$A$7281,A151,'CVD_40q30_Age'!$B$2:$B$7281,B151,'CVD_40q30_Age'!$E$2:$E$7281,G151,'CVD_40q30_Age'!$F$2:$F$7281,H151,'CVD_40q30_Age'!$G$2:$G$7281,30)))</f>
      </c>
      <c r="J151" s="198" t="str">
        <f>SUMIFS($I$2:$I$183,$A$2:$A$183,A151,$G$2:$G$183,G151,$H$2:$H$183,H151,$B$2:$B$183,"baseline")</f>
      </c>
      <c r="K151" s="199" t="str">
        <f>J151-I151</f>
      </c>
      <c r="L151" s="200" t="str">
        <f>IF(J151=0,"",100*(J151-I151)/J151)</f>
      </c>
      <c r="M151" s="201" t="n">
        <v>11.7656400293767</v>
      </c>
      <c r="N151" s="37" t="str">
        <f>IF(ABS(I151-M151)&lt;=0.001,"match","mismatch")</f>
      </c>
    </row>
    <row r="152">
      <c r="A152" t="s">
        <v>167</v>
      </c>
      <c r="B152" t="s">
        <v>116</v>
      </c>
      <c r="C152" s="35" t="s">
        <v>422</v>
      </c>
      <c r="D152" t="s">
        <v>502</v>
      </c>
      <c r="E152" t="s">
        <v>510</v>
      </c>
      <c r="F152"/>
      <c r="G152" t="s">
        <v>520</v>
      </c>
      <c r="H152" s="196" t="n">
        <v>2045</v>
      </c>
      <c r="I152" s="197" t="str">
        <f>100*(1-(SUMIFS('CVD_40q30_Age'!$M$2:$M$7281,'CVD_40q30_Age'!$A$2:$A$7281,A152,'CVD_40q30_Age'!$B$2:$B$7281,B152,'CVD_40q30_Age'!$E$2:$E$7281,G152,'CVD_40q30_Age'!$F$2:$F$7281,H152,'CVD_40q30_Age'!$G$2:$G$7281,69))/(SUMIFS('CVD_40q30_Age'!$L$2:$L$7281,'CVD_40q30_Age'!$A$2:$A$7281,A152,'CVD_40q30_Age'!$B$2:$B$7281,B152,'CVD_40q30_Age'!$E$2:$E$7281,G152,'CVD_40q30_Age'!$F$2:$F$7281,H152,'CVD_40q30_Age'!$G$2:$G$7281,30)))</f>
      </c>
      <c r="J152" s="198" t="str">
        <f>SUMIFS($I$2:$I$183,$A$2:$A$183,A152,$G$2:$G$183,G152,$H$2:$H$183,H152,$B$2:$B$183,"baseline")</f>
      </c>
      <c r="K152" s="199" t="str">
        <f>J152-I152</f>
      </c>
      <c r="L152" s="200" t="str">
        <f>IF(J152=0,"",100*(J152-I152)/J152)</f>
      </c>
      <c r="M152" s="201" t="n">
        <v>11.6446208008532</v>
      </c>
      <c r="N152" s="37" t="str">
        <f>IF(ABS(I152-M152)&lt;=0.001,"match","mismatch")</f>
      </c>
    </row>
    <row r="153">
      <c r="A153" t="s">
        <v>167</v>
      </c>
      <c r="B153" t="s">
        <v>116</v>
      </c>
      <c r="C153" s="35" t="s">
        <v>422</v>
      </c>
      <c r="D153" t="s">
        <v>502</v>
      </c>
      <c r="E153" t="s">
        <v>510</v>
      </c>
      <c r="F153"/>
      <c r="G153" t="s">
        <v>520</v>
      </c>
      <c r="H153" s="196" t="n">
        <v>2046</v>
      </c>
      <c r="I153" s="197" t="str">
        <f>100*(1-(SUMIFS('CVD_40q30_Age'!$M$2:$M$7281,'CVD_40q30_Age'!$A$2:$A$7281,A153,'CVD_40q30_Age'!$B$2:$B$7281,B153,'CVD_40q30_Age'!$E$2:$E$7281,G153,'CVD_40q30_Age'!$F$2:$F$7281,H153,'CVD_40q30_Age'!$G$2:$G$7281,69))/(SUMIFS('CVD_40q30_Age'!$L$2:$L$7281,'CVD_40q30_Age'!$A$2:$A$7281,A153,'CVD_40q30_Age'!$B$2:$B$7281,B153,'CVD_40q30_Age'!$E$2:$E$7281,G153,'CVD_40q30_Age'!$F$2:$F$7281,H153,'CVD_40q30_Age'!$G$2:$G$7281,30)))</f>
      </c>
      <c r="J153" s="198" t="str">
        <f>SUMIFS($I$2:$I$183,$A$2:$A$183,A153,$G$2:$G$183,G153,$H$2:$H$183,H153,$B$2:$B$183,"baseline")</f>
      </c>
      <c r="K153" s="199" t="str">
        <f>J153-I153</f>
      </c>
      <c r="L153" s="200" t="str">
        <f>IF(J153=0,"",100*(J153-I153)/J153)</f>
      </c>
      <c r="M153" s="201" t="n">
        <v>11.5206452399936</v>
      </c>
      <c r="N153" s="37" t="str">
        <f>IF(ABS(I153-M153)&lt;=0.001,"match","mismatch")</f>
      </c>
    </row>
    <row r="154">
      <c r="A154" t="s">
        <v>167</v>
      </c>
      <c r="B154" t="s">
        <v>116</v>
      </c>
      <c r="C154" s="35" t="s">
        <v>422</v>
      </c>
      <c r="D154" t="s">
        <v>502</v>
      </c>
      <c r="E154" t="s">
        <v>510</v>
      </c>
      <c r="F154"/>
      <c r="G154" t="s">
        <v>520</v>
      </c>
      <c r="H154" s="196" t="n">
        <v>2047</v>
      </c>
      <c r="I154" s="197" t="str">
        <f>100*(1-(SUMIFS('CVD_40q30_Age'!$M$2:$M$7281,'CVD_40q30_Age'!$A$2:$A$7281,A154,'CVD_40q30_Age'!$B$2:$B$7281,B154,'CVD_40q30_Age'!$E$2:$E$7281,G154,'CVD_40q30_Age'!$F$2:$F$7281,H154,'CVD_40q30_Age'!$G$2:$G$7281,69))/(SUMIFS('CVD_40q30_Age'!$L$2:$L$7281,'CVD_40q30_Age'!$A$2:$A$7281,A154,'CVD_40q30_Age'!$B$2:$B$7281,B154,'CVD_40q30_Age'!$E$2:$E$7281,G154,'CVD_40q30_Age'!$F$2:$F$7281,H154,'CVD_40q30_Age'!$G$2:$G$7281,30)))</f>
      </c>
      <c r="J154" s="198" t="str">
        <f>SUMIFS($I$2:$I$183,$A$2:$A$183,A154,$G$2:$G$183,G154,$H$2:$H$183,H154,$B$2:$B$183,"baseline")</f>
      </c>
      <c r="K154" s="199" t="str">
        <f>J154-I154</f>
      </c>
      <c r="L154" s="200" t="str">
        <f>IF(J154=0,"",100*(J154-I154)/J154)</f>
      </c>
      <c r="M154" s="201" t="n">
        <v>11.3951046595618</v>
      </c>
      <c r="N154" s="37" t="str">
        <f>IF(ABS(I154-M154)&lt;=0.001,"match","mismatch")</f>
      </c>
    </row>
    <row r="155">
      <c r="A155" t="s">
        <v>167</v>
      </c>
      <c r="B155" t="s">
        <v>116</v>
      </c>
      <c r="C155" s="35" t="s">
        <v>422</v>
      </c>
      <c r="D155" t="s">
        <v>502</v>
      </c>
      <c r="E155" t="s">
        <v>510</v>
      </c>
      <c r="F155"/>
      <c r="G155" t="s">
        <v>520</v>
      </c>
      <c r="H155" s="196" t="n">
        <v>2048</v>
      </c>
      <c r="I155" s="197" t="str">
        <f>100*(1-(SUMIFS('CVD_40q30_Age'!$M$2:$M$7281,'CVD_40q30_Age'!$A$2:$A$7281,A155,'CVD_40q30_Age'!$B$2:$B$7281,B155,'CVD_40q30_Age'!$E$2:$E$7281,G155,'CVD_40q30_Age'!$F$2:$F$7281,H155,'CVD_40q30_Age'!$G$2:$G$7281,69))/(SUMIFS('CVD_40q30_Age'!$L$2:$L$7281,'CVD_40q30_Age'!$A$2:$A$7281,A155,'CVD_40q30_Age'!$B$2:$B$7281,B155,'CVD_40q30_Age'!$E$2:$E$7281,G155,'CVD_40q30_Age'!$F$2:$F$7281,H155,'CVD_40q30_Age'!$G$2:$G$7281,30)))</f>
      </c>
      <c r="J155" s="198" t="str">
        <f>SUMIFS($I$2:$I$183,$A$2:$A$183,A155,$G$2:$G$183,G155,$H$2:$H$183,H155,$B$2:$B$183,"baseline")</f>
      </c>
      <c r="K155" s="199" t="str">
        <f>J155-I155</f>
      </c>
      <c r="L155" s="200" t="str">
        <f>IF(J155=0,"",100*(J155-I155)/J155)</f>
      </c>
      <c r="M155" s="201" t="n">
        <v>11.2646272548869</v>
      </c>
      <c r="N155" s="37" t="str">
        <f>IF(ABS(I155-M155)&lt;=0.001,"match","mismatch")</f>
      </c>
    </row>
    <row r="156">
      <c r="A156" t="s">
        <v>167</v>
      </c>
      <c r="B156" t="s">
        <v>116</v>
      </c>
      <c r="C156" s="35" t="s">
        <v>422</v>
      </c>
      <c r="D156" t="s">
        <v>502</v>
      </c>
      <c r="E156" t="s">
        <v>510</v>
      </c>
      <c r="F156"/>
      <c r="G156" t="s">
        <v>520</v>
      </c>
      <c r="H156" s="196" t="n">
        <v>2049</v>
      </c>
      <c r="I156" s="197" t="str">
        <f>100*(1-(SUMIFS('CVD_40q30_Age'!$M$2:$M$7281,'CVD_40q30_Age'!$A$2:$A$7281,A156,'CVD_40q30_Age'!$B$2:$B$7281,B156,'CVD_40q30_Age'!$E$2:$E$7281,G156,'CVD_40q30_Age'!$F$2:$F$7281,H156,'CVD_40q30_Age'!$G$2:$G$7281,69))/(SUMIFS('CVD_40q30_Age'!$L$2:$L$7281,'CVD_40q30_Age'!$A$2:$A$7281,A156,'CVD_40q30_Age'!$B$2:$B$7281,B156,'CVD_40q30_Age'!$E$2:$E$7281,G156,'CVD_40q30_Age'!$F$2:$F$7281,H156,'CVD_40q30_Age'!$G$2:$G$7281,30)))</f>
      </c>
      <c r="J156" s="198" t="str">
        <f>SUMIFS($I$2:$I$183,$A$2:$A$183,A156,$G$2:$G$183,G156,$H$2:$H$183,H156,$B$2:$B$183,"baseline")</f>
      </c>
      <c r="K156" s="199" t="str">
        <f>J156-I156</f>
      </c>
      <c r="L156" s="200" t="str">
        <f>IF(J156=0,"",100*(J156-I156)/J156)</f>
      </c>
      <c r="M156" s="201" t="n">
        <v>11.1420656679965</v>
      </c>
      <c r="N156" s="37" t="str">
        <f>IF(ABS(I156-M156)&lt;=0.001,"match","mismatch")</f>
      </c>
    </row>
    <row r="157">
      <c r="A157" t="s">
        <v>167</v>
      </c>
      <c r="B157" t="s">
        <v>116</v>
      </c>
      <c r="C157" s="35" t="s">
        <v>422</v>
      </c>
      <c r="D157" t="s">
        <v>502</v>
      </c>
      <c r="E157" t="s">
        <v>510</v>
      </c>
      <c r="F157"/>
      <c r="G157" t="s">
        <v>520</v>
      </c>
      <c r="H157" s="196" t="n">
        <v>2050</v>
      </c>
      <c r="I157" s="197" t="str">
        <f>100*(1-(SUMIFS('CVD_40q30_Age'!$M$2:$M$7281,'CVD_40q30_Age'!$A$2:$A$7281,A157,'CVD_40q30_Age'!$B$2:$B$7281,B157,'CVD_40q30_Age'!$E$2:$E$7281,G157,'CVD_40q30_Age'!$F$2:$F$7281,H157,'CVD_40q30_Age'!$G$2:$G$7281,69))/(SUMIFS('CVD_40q30_Age'!$L$2:$L$7281,'CVD_40q30_Age'!$A$2:$A$7281,A157,'CVD_40q30_Age'!$B$2:$B$7281,B157,'CVD_40q30_Age'!$E$2:$E$7281,G157,'CVD_40q30_Age'!$F$2:$F$7281,H157,'CVD_40q30_Age'!$G$2:$G$7281,30)))</f>
      </c>
      <c r="J157" s="198" t="str">
        <f>SUMIFS($I$2:$I$183,$A$2:$A$183,A157,$G$2:$G$183,G157,$H$2:$H$183,H157,$B$2:$B$183,"baseline")</f>
      </c>
      <c r="K157" s="199" t="str">
        <f>J157-I157</f>
      </c>
      <c r="L157" s="200" t="str">
        <f>IF(J157=0,"",100*(J157-I157)/J157)</f>
      </c>
      <c r="M157" s="201" t="n">
        <v>11.0262652213287</v>
      </c>
      <c r="N157" s="37" t="str">
        <f>IF(ABS(I157-M157)&lt;=0.001,"match","mismatch")</f>
      </c>
    </row>
    <row r="158">
      <c r="A158" t="s">
        <v>167</v>
      </c>
      <c r="B158" t="s">
        <v>113</v>
      </c>
      <c r="C158" s="35" t="s">
        <v>521</v>
      </c>
      <c r="D158" t="s">
        <v>113</v>
      </c>
      <c r="E158"/>
      <c r="F158"/>
      <c r="G158" t="s">
        <v>520</v>
      </c>
      <c r="H158" s="196" t="n">
        <v>2025</v>
      </c>
      <c r="I158" s="197" t="str">
        <f>100*(1-(SUMIFS('CVD_40q30_Age'!$M$2:$M$7281,'CVD_40q30_Age'!$A$2:$A$7281,A158,'CVD_40q30_Age'!$B$2:$B$7281,B158,'CVD_40q30_Age'!$E$2:$E$7281,G158,'CVD_40q30_Age'!$F$2:$F$7281,H158,'CVD_40q30_Age'!$G$2:$G$7281,69))/(SUMIFS('CVD_40q30_Age'!$L$2:$L$7281,'CVD_40q30_Age'!$A$2:$A$7281,A158,'CVD_40q30_Age'!$B$2:$B$7281,B158,'CVD_40q30_Age'!$E$2:$E$7281,G158,'CVD_40q30_Age'!$F$2:$F$7281,H158,'CVD_40q30_Age'!$G$2:$G$7281,30)))</f>
      </c>
      <c r="J158" s="198" t="str">
        <f>SUMIFS($I$2:$I$183,$A$2:$A$183,A158,$G$2:$G$183,G158,$H$2:$H$183,H158,$B$2:$B$183,"baseline")</f>
      </c>
      <c r="K158" s="199" t="str">
        <f>J158-I158</f>
      </c>
      <c r="L158" s="200" t="str">
        <f>IF(J158=0,"",100*(J158-I158)/J158)</f>
      </c>
      <c r="M158" s="201" t="n">
        <v>14.5948626930222</v>
      </c>
      <c r="N158" s="37" t="str">
        <f>IF(ABS(I158-M158)&lt;=0.001,"match","mismatch")</f>
      </c>
    </row>
    <row r="159">
      <c r="A159" t="s">
        <v>167</v>
      </c>
      <c r="B159" t="s">
        <v>113</v>
      </c>
      <c r="C159" s="35" t="s">
        <v>521</v>
      </c>
      <c r="D159" t="s">
        <v>113</v>
      </c>
      <c r="E159"/>
      <c r="F159"/>
      <c r="G159" t="s">
        <v>520</v>
      </c>
      <c r="H159" s="196" t="n">
        <v>2026</v>
      </c>
      <c r="I159" s="197" t="str">
        <f>100*(1-(SUMIFS('CVD_40q30_Age'!$M$2:$M$7281,'CVD_40q30_Age'!$A$2:$A$7281,A159,'CVD_40q30_Age'!$B$2:$B$7281,B159,'CVD_40q30_Age'!$E$2:$E$7281,G159,'CVD_40q30_Age'!$F$2:$F$7281,H159,'CVD_40q30_Age'!$G$2:$G$7281,69))/(SUMIFS('CVD_40q30_Age'!$L$2:$L$7281,'CVD_40q30_Age'!$A$2:$A$7281,A159,'CVD_40q30_Age'!$B$2:$B$7281,B159,'CVD_40q30_Age'!$E$2:$E$7281,G159,'CVD_40q30_Age'!$F$2:$F$7281,H159,'CVD_40q30_Age'!$G$2:$G$7281,30)))</f>
      </c>
      <c r="J159" s="198" t="str">
        <f>SUMIFS($I$2:$I$183,$A$2:$A$183,A159,$G$2:$G$183,G159,$H$2:$H$183,H159,$B$2:$B$183,"baseline")</f>
      </c>
      <c r="K159" s="199" t="str">
        <f>J159-I159</f>
      </c>
      <c r="L159" s="200" t="str">
        <f>IF(J159=0,"",100*(J159-I159)/J159)</f>
      </c>
      <c r="M159" s="201" t="n">
        <v>14.5200464585968</v>
      </c>
      <c r="N159" s="37" t="str">
        <f>IF(ABS(I159-M159)&lt;=0.001,"match","mismatch")</f>
      </c>
    </row>
    <row r="160">
      <c r="A160" t="s">
        <v>167</v>
      </c>
      <c r="B160" t="s">
        <v>113</v>
      </c>
      <c r="C160" s="35" t="s">
        <v>521</v>
      </c>
      <c r="D160" t="s">
        <v>113</v>
      </c>
      <c r="E160"/>
      <c r="F160"/>
      <c r="G160" t="s">
        <v>520</v>
      </c>
      <c r="H160" s="196" t="n">
        <v>2027</v>
      </c>
      <c r="I160" s="197" t="str">
        <f>100*(1-(SUMIFS('CVD_40q30_Age'!$M$2:$M$7281,'CVD_40q30_Age'!$A$2:$A$7281,A160,'CVD_40q30_Age'!$B$2:$B$7281,B160,'CVD_40q30_Age'!$E$2:$E$7281,G160,'CVD_40q30_Age'!$F$2:$F$7281,H160,'CVD_40q30_Age'!$G$2:$G$7281,69))/(SUMIFS('CVD_40q30_Age'!$L$2:$L$7281,'CVD_40q30_Age'!$A$2:$A$7281,A160,'CVD_40q30_Age'!$B$2:$B$7281,B160,'CVD_40q30_Age'!$E$2:$E$7281,G160,'CVD_40q30_Age'!$F$2:$F$7281,H160,'CVD_40q30_Age'!$G$2:$G$7281,30)))</f>
      </c>
      <c r="J160" s="198" t="str">
        <f>SUMIFS($I$2:$I$183,$A$2:$A$183,A160,$G$2:$G$183,G160,$H$2:$H$183,H160,$B$2:$B$183,"baseline")</f>
      </c>
      <c r="K160" s="199" t="str">
        <f>J160-I160</f>
      </c>
      <c r="L160" s="200" t="str">
        <f>IF(J160=0,"",100*(J160-I160)/J160)</f>
      </c>
      <c r="M160" s="201" t="n">
        <v>14.43562238036</v>
      </c>
      <c r="N160" s="37" t="str">
        <f>IF(ABS(I160-M160)&lt;=0.001,"match","mismatch")</f>
      </c>
    </row>
    <row r="161">
      <c r="A161" t="s">
        <v>167</v>
      </c>
      <c r="B161" t="s">
        <v>113</v>
      </c>
      <c r="C161" s="35" t="s">
        <v>521</v>
      </c>
      <c r="D161" t="s">
        <v>113</v>
      </c>
      <c r="E161"/>
      <c r="F161"/>
      <c r="G161" t="s">
        <v>520</v>
      </c>
      <c r="H161" s="196" t="n">
        <v>2028</v>
      </c>
      <c r="I161" s="197" t="str">
        <f>100*(1-(SUMIFS('CVD_40q30_Age'!$M$2:$M$7281,'CVD_40q30_Age'!$A$2:$A$7281,A161,'CVD_40q30_Age'!$B$2:$B$7281,B161,'CVD_40q30_Age'!$E$2:$E$7281,G161,'CVD_40q30_Age'!$F$2:$F$7281,H161,'CVD_40q30_Age'!$G$2:$G$7281,69))/(SUMIFS('CVD_40q30_Age'!$L$2:$L$7281,'CVD_40q30_Age'!$A$2:$A$7281,A161,'CVD_40q30_Age'!$B$2:$B$7281,B161,'CVD_40q30_Age'!$E$2:$E$7281,G161,'CVD_40q30_Age'!$F$2:$F$7281,H161,'CVD_40q30_Age'!$G$2:$G$7281,30)))</f>
      </c>
      <c r="J161" s="198" t="str">
        <f>SUMIFS($I$2:$I$183,$A$2:$A$183,A161,$G$2:$G$183,G161,$H$2:$H$183,H161,$B$2:$B$183,"baseline")</f>
      </c>
      <c r="K161" s="199" t="str">
        <f>J161-I161</f>
      </c>
      <c r="L161" s="200" t="str">
        <f>IF(J161=0,"",100*(J161-I161)/J161)</f>
      </c>
      <c r="M161" s="201" t="n">
        <v>14.3513374362266</v>
      </c>
      <c r="N161" s="37" t="str">
        <f>IF(ABS(I161-M161)&lt;=0.001,"match","mismatch")</f>
      </c>
    </row>
    <row r="162">
      <c r="A162" t="s">
        <v>167</v>
      </c>
      <c r="B162" t="s">
        <v>113</v>
      </c>
      <c r="C162" s="35" t="s">
        <v>521</v>
      </c>
      <c r="D162" t="s">
        <v>113</v>
      </c>
      <c r="E162"/>
      <c r="F162"/>
      <c r="G162" t="s">
        <v>520</v>
      </c>
      <c r="H162" s="196" t="n">
        <v>2029</v>
      </c>
      <c r="I162" s="197" t="str">
        <f>100*(1-(SUMIFS('CVD_40q30_Age'!$M$2:$M$7281,'CVD_40q30_Age'!$A$2:$A$7281,A162,'CVD_40q30_Age'!$B$2:$B$7281,B162,'CVD_40q30_Age'!$E$2:$E$7281,G162,'CVD_40q30_Age'!$F$2:$F$7281,H162,'CVD_40q30_Age'!$G$2:$G$7281,69))/(SUMIFS('CVD_40q30_Age'!$L$2:$L$7281,'CVD_40q30_Age'!$A$2:$A$7281,A162,'CVD_40q30_Age'!$B$2:$B$7281,B162,'CVD_40q30_Age'!$E$2:$E$7281,G162,'CVD_40q30_Age'!$F$2:$F$7281,H162,'CVD_40q30_Age'!$G$2:$G$7281,30)))</f>
      </c>
      <c r="J162" s="198" t="str">
        <f>SUMIFS($I$2:$I$183,$A$2:$A$183,A162,$G$2:$G$183,G162,$H$2:$H$183,H162,$B$2:$B$183,"baseline")</f>
      </c>
      <c r="K162" s="199" t="str">
        <f>J162-I162</f>
      </c>
      <c r="L162" s="200" t="str">
        <f>IF(J162=0,"",100*(J162-I162)/J162)</f>
      </c>
      <c r="M162" s="201" t="n">
        <v>14.2757667556576</v>
      </c>
      <c r="N162" s="37" t="str">
        <f>IF(ABS(I162-M162)&lt;=0.001,"match","mismatch")</f>
      </c>
    </row>
    <row r="163">
      <c r="A163" t="s">
        <v>167</v>
      </c>
      <c r="B163" t="s">
        <v>113</v>
      </c>
      <c r="C163" s="35" t="s">
        <v>521</v>
      </c>
      <c r="D163" t="s">
        <v>113</v>
      </c>
      <c r="E163"/>
      <c r="F163"/>
      <c r="G163" t="s">
        <v>520</v>
      </c>
      <c r="H163" s="196" t="n">
        <v>2030</v>
      </c>
      <c r="I163" s="197" t="str">
        <f>100*(1-(SUMIFS('CVD_40q30_Age'!$M$2:$M$7281,'CVD_40q30_Age'!$A$2:$A$7281,A163,'CVD_40q30_Age'!$B$2:$B$7281,B163,'CVD_40q30_Age'!$E$2:$E$7281,G163,'CVD_40q30_Age'!$F$2:$F$7281,H163,'CVD_40q30_Age'!$G$2:$G$7281,69))/(SUMIFS('CVD_40q30_Age'!$L$2:$L$7281,'CVD_40q30_Age'!$A$2:$A$7281,A163,'CVD_40q30_Age'!$B$2:$B$7281,B163,'CVD_40q30_Age'!$E$2:$E$7281,G163,'CVD_40q30_Age'!$F$2:$F$7281,H163,'CVD_40q30_Age'!$G$2:$G$7281,30)))</f>
      </c>
      <c r="J163" s="198" t="str">
        <f>SUMIFS($I$2:$I$183,$A$2:$A$183,A163,$G$2:$G$183,G163,$H$2:$H$183,H163,$B$2:$B$183,"baseline")</f>
      </c>
      <c r="K163" s="199" t="str">
        <f>J163-I163</f>
      </c>
      <c r="L163" s="200" t="str">
        <f>IF(J163=0,"",100*(J163-I163)/J163)</f>
      </c>
      <c r="M163" s="201" t="n">
        <v>14.1920490128737</v>
      </c>
      <c r="N163" s="37" t="str">
        <f>IF(ABS(I163-M163)&lt;=0.001,"match","mismatch")</f>
      </c>
    </row>
    <row r="164">
      <c r="A164" t="s">
        <v>167</v>
      </c>
      <c r="B164" t="s">
        <v>113</v>
      </c>
      <c r="C164" s="35" t="s">
        <v>521</v>
      </c>
      <c r="D164" t="s">
        <v>113</v>
      </c>
      <c r="E164"/>
      <c r="F164"/>
      <c r="G164" t="s">
        <v>520</v>
      </c>
      <c r="H164" s="196" t="n">
        <v>2031</v>
      </c>
      <c r="I164" s="197" t="str">
        <f>100*(1-(SUMIFS('CVD_40q30_Age'!$M$2:$M$7281,'CVD_40q30_Age'!$A$2:$A$7281,A164,'CVD_40q30_Age'!$B$2:$B$7281,B164,'CVD_40q30_Age'!$E$2:$E$7281,G164,'CVD_40q30_Age'!$F$2:$F$7281,H164,'CVD_40q30_Age'!$G$2:$G$7281,69))/(SUMIFS('CVD_40q30_Age'!$L$2:$L$7281,'CVD_40q30_Age'!$A$2:$A$7281,A164,'CVD_40q30_Age'!$B$2:$B$7281,B164,'CVD_40q30_Age'!$E$2:$E$7281,G164,'CVD_40q30_Age'!$F$2:$F$7281,H164,'CVD_40q30_Age'!$G$2:$G$7281,30)))</f>
      </c>
      <c r="J164" s="198" t="str">
        <f>SUMIFS($I$2:$I$183,$A$2:$A$183,A164,$G$2:$G$183,G164,$H$2:$H$183,H164,$B$2:$B$183,"baseline")</f>
      </c>
      <c r="K164" s="199" t="str">
        <f>J164-I164</f>
      </c>
      <c r="L164" s="200" t="str">
        <f>IF(J164=0,"",100*(J164-I164)/J164)</f>
      </c>
      <c r="M164" s="201" t="n">
        <v>14.0851335459353</v>
      </c>
      <c r="N164" s="37" t="str">
        <f>IF(ABS(I164-M164)&lt;=0.001,"match","mismatch")</f>
      </c>
    </row>
    <row r="165">
      <c r="A165" t="s">
        <v>167</v>
      </c>
      <c r="B165" t="s">
        <v>113</v>
      </c>
      <c r="C165" s="35" t="s">
        <v>521</v>
      </c>
      <c r="D165" t="s">
        <v>113</v>
      </c>
      <c r="E165"/>
      <c r="F165"/>
      <c r="G165" t="s">
        <v>520</v>
      </c>
      <c r="H165" s="196" t="n">
        <v>2032</v>
      </c>
      <c r="I165" s="197" t="str">
        <f>100*(1-(SUMIFS('CVD_40q30_Age'!$M$2:$M$7281,'CVD_40q30_Age'!$A$2:$A$7281,A165,'CVD_40q30_Age'!$B$2:$B$7281,B165,'CVD_40q30_Age'!$E$2:$E$7281,G165,'CVD_40q30_Age'!$F$2:$F$7281,H165,'CVD_40q30_Age'!$G$2:$G$7281,69))/(SUMIFS('CVD_40q30_Age'!$L$2:$L$7281,'CVD_40q30_Age'!$A$2:$A$7281,A165,'CVD_40q30_Age'!$B$2:$B$7281,B165,'CVD_40q30_Age'!$E$2:$E$7281,G165,'CVD_40q30_Age'!$F$2:$F$7281,H165,'CVD_40q30_Age'!$G$2:$G$7281,30)))</f>
      </c>
      <c r="J165" s="198" t="str">
        <f>SUMIFS($I$2:$I$183,$A$2:$A$183,A165,$G$2:$G$183,G165,$H$2:$H$183,H165,$B$2:$B$183,"baseline")</f>
      </c>
      <c r="K165" s="199" t="str">
        <f>J165-I165</f>
      </c>
      <c r="L165" s="200" t="str">
        <f>IF(J165=0,"",100*(J165-I165)/J165)</f>
      </c>
      <c r="M165" s="201" t="n">
        <v>13.9707461532149</v>
      </c>
      <c r="N165" s="37" t="str">
        <f>IF(ABS(I165-M165)&lt;=0.001,"match","mismatch")</f>
      </c>
    </row>
    <row r="166">
      <c r="A166" t="s">
        <v>167</v>
      </c>
      <c r="B166" t="s">
        <v>113</v>
      </c>
      <c r="C166" s="35" t="s">
        <v>521</v>
      </c>
      <c r="D166" t="s">
        <v>113</v>
      </c>
      <c r="E166"/>
      <c r="F166"/>
      <c r="G166" t="s">
        <v>520</v>
      </c>
      <c r="H166" s="196" t="n">
        <v>2033</v>
      </c>
      <c r="I166" s="197" t="str">
        <f>100*(1-(SUMIFS('CVD_40q30_Age'!$M$2:$M$7281,'CVD_40q30_Age'!$A$2:$A$7281,A166,'CVD_40q30_Age'!$B$2:$B$7281,B166,'CVD_40q30_Age'!$E$2:$E$7281,G166,'CVD_40q30_Age'!$F$2:$F$7281,H166,'CVD_40q30_Age'!$G$2:$G$7281,69))/(SUMIFS('CVD_40q30_Age'!$L$2:$L$7281,'CVD_40q30_Age'!$A$2:$A$7281,A166,'CVD_40q30_Age'!$B$2:$B$7281,B166,'CVD_40q30_Age'!$E$2:$E$7281,G166,'CVD_40q30_Age'!$F$2:$F$7281,H166,'CVD_40q30_Age'!$G$2:$G$7281,30)))</f>
      </c>
      <c r="J166" s="198" t="str">
        <f>SUMIFS($I$2:$I$183,$A$2:$A$183,A166,$G$2:$G$183,G166,$H$2:$H$183,H166,$B$2:$B$183,"baseline")</f>
      </c>
      <c r="K166" s="199" t="str">
        <f>J166-I166</f>
      </c>
      <c r="L166" s="200" t="str">
        <f>IF(J166=0,"",100*(J166-I166)/J166)</f>
      </c>
      <c r="M166" s="201" t="n">
        <v>13.8452308946751</v>
      </c>
      <c r="N166" s="37" t="str">
        <f>IF(ABS(I166-M166)&lt;=0.001,"match","mismatch")</f>
      </c>
    </row>
    <row r="167">
      <c r="A167" t="s">
        <v>167</v>
      </c>
      <c r="B167" t="s">
        <v>113</v>
      </c>
      <c r="C167" s="35" t="s">
        <v>521</v>
      </c>
      <c r="D167" t="s">
        <v>113</v>
      </c>
      <c r="E167"/>
      <c r="F167"/>
      <c r="G167" t="s">
        <v>520</v>
      </c>
      <c r="H167" s="196" t="n">
        <v>2034</v>
      </c>
      <c r="I167" s="197" t="str">
        <f>100*(1-(SUMIFS('CVD_40q30_Age'!$M$2:$M$7281,'CVD_40q30_Age'!$A$2:$A$7281,A167,'CVD_40q30_Age'!$B$2:$B$7281,B167,'CVD_40q30_Age'!$E$2:$E$7281,G167,'CVD_40q30_Age'!$F$2:$F$7281,H167,'CVD_40q30_Age'!$G$2:$G$7281,69))/(SUMIFS('CVD_40q30_Age'!$L$2:$L$7281,'CVD_40q30_Age'!$A$2:$A$7281,A167,'CVD_40q30_Age'!$B$2:$B$7281,B167,'CVD_40q30_Age'!$E$2:$E$7281,G167,'CVD_40q30_Age'!$F$2:$F$7281,H167,'CVD_40q30_Age'!$G$2:$G$7281,30)))</f>
      </c>
      <c r="J167" s="198" t="str">
        <f>SUMIFS($I$2:$I$183,$A$2:$A$183,A167,$G$2:$G$183,G167,$H$2:$H$183,H167,$B$2:$B$183,"baseline")</f>
      </c>
      <c r="K167" s="199" t="str">
        <f>J167-I167</f>
      </c>
      <c r="L167" s="200" t="str">
        <f>IF(J167=0,"",100*(J167-I167)/J167)</f>
      </c>
      <c r="M167" s="201" t="n">
        <v>13.7261128576162</v>
      </c>
      <c r="N167" s="37" t="str">
        <f>IF(ABS(I167-M167)&lt;=0.001,"match","mismatch")</f>
      </c>
    </row>
    <row r="168">
      <c r="A168" t="s">
        <v>167</v>
      </c>
      <c r="B168" t="s">
        <v>113</v>
      </c>
      <c r="C168" s="35" t="s">
        <v>521</v>
      </c>
      <c r="D168" t="s">
        <v>113</v>
      </c>
      <c r="E168"/>
      <c r="F168"/>
      <c r="G168" t="s">
        <v>520</v>
      </c>
      <c r="H168" s="196" t="n">
        <v>2035</v>
      </c>
      <c r="I168" s="197" t="str">
        <f>100*(1-(SUMIFS('CVD_40q30_Age'!$M$2:$M$7281,'CVD_40q30_Age'!$A$2:$A$7281,A168,'CVD_40q30_Age'!$B$2:$B$7281,B168,'CVD_40q30_Age'!$E$2:$E$7281,G168,'CVD_40q30_Age'!$F$2:$F$7281,H168,'CVD_40q30_Age'!$G$2:$G$7281,69))/(SUMIFS('CVD_40q30_Age'!$L$2:$L$7281,'CVD_40q30_Age'!$A$2:$A$7281,A168,'CVD_40q30_Age'!$B$2:$B$7281,B168,'CVD_40q30_Age'!$E$2:$E$7281,G168,'CVD_40q30_Age'!$F$2:$F$7281,H168,'CVD_40q30_Age'!$G$2:$G$7281,30)))</f>
      </c>
      <c r="J168" s="198" t="str">
        <f>SUMIFS($I$2:$I$183,$A$2:$A$183,A168,$G$2:$G$183,G168,$H$2:$H$183,H168,$B$2:$B$183,"baseline")</f>
      </c>
      <c r="K168" s="199" t="str">
        <f>J168-I168</f>
      </c>
      <c r="L168" s="200" t="str">
        <f>IF(J168=0,"",100*(J168-I168)/J168)</f>
      </c>
      <c r="M168" s="201" t="n">
        <v>13.5999516796697</v>
      </c>
      <c r="N168" s="37" t="str">
        <f>IF(ABS(I168-M168)&lt;=0.001,"match","mismatch")</f>
      </c>
    </row>
    <row r="169">
      <c r="A169" t="s">
        <v>167</v>
      </c>
      <c r="B169" t="s">
        <v>113</v>
      </c>
      <c r="C169" s="35" t="s">
        <v>521</v>
      </c>
      <c r="D169" t="s">
        <v>113</v>
      </c>
      <c r="E169"/>
      <c r="F169"/>
      <c r="G169" t="s">
        <v>520</v>
      </c>
      <c r="H169" s="196" t="n">
        <v>2036</v>
      </c>
      <c r="I169" s="197" t="str">
        <f>100*(1-(SUMIFS('CVD_40q30_Age'!$M$2:$M$7281,'CVD_40q30_Age'!$A$2:$A$7281,A169,'CVD_40q30_Age'!$B$2:$B$7281,B169,'CVD_40q30_Age'!$E$2:$E$7281,G169,'CVD_40q30_Age'!$F$2:$F$7281,H169,'CVD_40q30_Age'!$G$2:$G$7281,69))/(SUMIFS('CVD_40q30_Age'!$L$2:$L$7281,'CVD_40q30_Age'!$A$2:$A$7281,A169,'CVD_40q30_Age'!$B$2:$B$7281,B169,'CVD_40q30_Age'!$E$2:$E$7281,G169,'CVD_40q30_Age'!$F$2:$F$7281,H169,'CVD_40q30_Age'!$G$2:$G$7281,30)))</f>
      </c>
      <c r="J169" s="198" t="str">
        <f>SUMIFS($I$2:$I$183,$A$2:$A$183,A169,$G$2:$G$183,G169,$H$2:$H$183,H169,$B$2:$B$183,"baseline")</f>
      </c>
      <c r="K169" s="199" t="str">
        <f>J169-I169</f>
      </c>
      <c r="L169" s="200" t="str">
        <f>IF(J169=0,"",100*(J169-I169)/J169)</f>
      </c>
      <c r="M169" s="201" t="n">
        <v>13.4800385350382</v>
      </c>
      <c r="N169" s="37" t="str">
        <f>IF(ABS(I169-M169)&lt;=0.001,"match","mismatch")</f>
      </c>
    </row>
    <row r="170">
      <c r="A170" t="s">
        <v>167</v>
      </c>
      <c r="B170" t="s">
        <v>113</v>
      </c>
      <c r="C170" s="35" t="s">
        <v>521</v>
      </c>
      <c r="D170" t="s">
        <v>113</v>
      </c>
      <c r="E170"/>
      <c r="F170"/>
      <c r="G170" t="s">
        <v>520</v>
      </c>
      <c r="H170" s="196" t="n">
        <v>2037</v>
      </c>
      <c r="I170" s="197" t="str">
        <f>100*(1-(SUMIFS('CVD_40q30_Age'!$M$2:$M$7281,'CVD_40q30_Age'!$A$2:$A$7281,A170,'CVD_40q30_Age'!$B$2:$B$7281,B170,'CVD_40q30_Age'!$E$2:$E$7281,G170,'CVD_40q30_Age'!$F$2:$F$7281,H170,'CVD_40q30_Age'!$G$2:$G$7281,69))/(SUMIFS('CVD_40q30_Age'!$L$2:$L$7281,'CVD_40q30_Age'!$A$2:$A$7281,A170,'CVD_40q30_Age'!$B$2:$B$7281,B170,'CVD_40q30_Age'!$E$2:$E$7281,G170,'CVD_40q30_Age'!$F$2:$F$7281,H170,'CVD_40q30_Age'!$G$2:$G$7281,30)))</f>
      </c>
      <c r="J170" s="198" t="str">
        <f>SUMIFS($I$2:$I$183,$A$2:$A$183,A170,$G$2:$G$183,G170,$H$2:$H$183,H170,$B$2:$B$183,"baseline")</f>
      </c>
      <c r="K170" s="199" t="str">
        <f>J170-I170</f>
      </c>
      <c r="L170" s="200" t="str">
        <f>IF(J170=0,"",100*(J170-I170)/J170)</f>
      </c>
      <c r="M170" s="201" t="n">
        <v>13.3567213387986</v>
      </c>
      <c r="N170" s="37" t="str">
        <f>IF(ABS(I170-M170)&lt;=0.001,"match","mismatch")</f>
      </c>
    </row>
    <row r="171">
      <c r="A171" t="s">
        <v>167</v>
      </c>
      <c r="B171" t="s">
        <v>113</v>
      </c>
      <c r="C171" s="35" t="s">
        <v>521</v>
      </c>
      <c r="D171" t="s">
        <v>113</v>
      </c>
      <c r="E171"/>
      <c r="F171"/>
      <c r="G171" t="s">
        <v>520</v>
      </c>
      <c r="H171" s="196" t="n">
        <v>2038</v>
      </c>
      <c r="I171" s="197" t="str">
        <f>100*(1-(SUMIFS('CVD_40q30_Age'!$M$2:$M$7281,'CVD_40q30_Age'!$A$2:$A$7281,A171,'CVD_40q30_Age'!$B$2:$B$7281,B171,'CVD_40q30_Age'!$E$2:$E$7281,G171,'CVD_40q30_Age'!$F$2:$F$7281,H171,'CVD_40q30_Age'!$G$2:$G$7281,69))/(SUMIFS('CVD_40q30_Age'!$L$2:$L$7281,'CVD_40q30_Age'!$A$2:$A$7281,A171,'CVD_40q30_Age'!$B$2:$B$7281,B171,'CVD_40q30_Age'!$E$2:$E$7281,G171,'CVD_40q30_Age'!$F$2:$F$7281,H171,'CVD_40q30_Age'!$G$2:$G$7281,30)))</f>
      </c>
      <c r="J171" s="198" t="str">
        <f>SUMIFS($I$2:$I$183,$A$2:$A$183,A171,$G$2:$G$183,G171,$H$2:$H$183,H171,$B$2:$B$183,"baseline")</f>
      </c>
      <c r="K171" s="199" t="str">
        <f>J171-I171</f>
      </c>
      <c r="L171" s="200" t="str">
        <f>IF(J171=0,"",100*(J171-I171)/J171)</f>
      </c>
      <c r="M171" s="201" t="n">
        <v>13.2291990672555</v>
      </c>
      <c r="N171" s="37" t="str">
        <f>IF(ABS(I171-M171)&lt;=0.001,"match","mismatch")</f>
      </c>
    </row>
    <row r="172">
      <c r="A172" t="s">
        <v>167</v>
      </c>
      <c r="B172" t="s">
        <v>113</v>
      </c>
      <c r="C172" s="35" t="s">
        <v>521</v>
      </c>
      <c r="D172" t="s">
        <v>113</v>
      </c>
      <c r="E172"/>
      <c r="F172"/>
      <c r="G172" t="s">
        <v>520</v>
      </c>
      <c r="H172" s="196" t="n">
        <v>2039</v>
      </c>
      <c r="I172" s="197" t="str">
        <f>100*(1-(SUMIFS('CVD_40q30_Age'!$M$2:$M$7281,'CVD_40q30_Age'!$A$2:$A$7281,A172,'CVD_40q30_Age'!$B$2:$B$7281,B172,'CVD_40q30_Age'!$E$2:$E$7281,G172,'CVD_40q30_Age'!$F$2:$F$7281,H172,'CVD_40q30_Age'!$G$2:$G$7281,69))/(SUMIFS('CVD_40q30_Age'!$L$2:$L$7281,'CVD_40q30_Age'!$A$2:$A$7281,A172,'CVD_40q30_Age'!$B$2:$B$7281,B172,'CVD_40q30_Age'!$E$2:$E$7281,G172,'CVD_40q30_Age'!$F$2:$F$7281,H172,'CVD_40q30_Age'!$G$2:$G$7281,30)))</f>
      </c>
      <c r="J172" s="198" t="str">
        <f>SUMIFS($I$2:$I$183,$A$2:$A$183,A172,$G$2:$G$183,G172,$H$2:$H$183,H172,$B$2:$B$183,"baseline")</f>
      </c>
      <c r="K172" s="199" t="str">
        <f>J172-I172</f>
      </c>
      <c r="L172" s="200" t="str">
        <f>IF(J172=0,"",100*(J172-I172)/J172)</f>
      </c>
      <c r="M172" s="201" t="n">
        <v>13.1090417294968</v>
      </c>
      <c r="N172" s="37" t="str">
        <f>IF(ABS(I172-M172)&lt;=0.001,"match","mismatch")</f>
      </c>
    </row>
    <row r="173">
      <c r="A173" t="s">
        <v>167</v>
      </c>
      <c r="B173" t="s">
        <v>113</v>
      </c>
      <c r="C173" s="35" t="s">
        <v>521</v>
      </c>
      <c r="D173" t="s">
        <v>113</v>
      </c>
      <c r="E173"/>
      <c r="F173"/>
      <c r="G173" t="s">
        <v>520</v>
      </c>
      <c r="H173" s="196" t="n">
        <v>2040</v>
      </c>
      <c r="I173" s="197" t="str">
        <f>100*(1-(SUMIFS('CVD_40q30_Age'!$M$2:$M$7281,'CVD_40q30_Age'!$A$2:$A$7281,A173,'CVD_40q30_Age'!$B$2:$B$7281,B173,'CVD_40q30_Age'!$E$2:$E$7281,G173,'CVD_40q30_Age'!$F$2:$F$7281,H173,'CVD_40q30_Age'!$G$2:$G$7281,69))/(SUMIFS('CVD_40q30_Age'!$L$2:$L$7281,'CVD_40q30_Age'!$A$2:$A$7281,A173,'CVD_40q30_Age'!$B$2:$B$7281,B173,'CVD_40q30_Age'!$E$2:$E$7281,G173,'CVD_40q30_Age'!$F$2:$F$7281,H173,'CVD_40q30_Age'!$G$2:$G$7281,30)))</f>
      </c>
      <c r="J173" s="198" t="str">
        <f>SUMIFS($I$2:$I$183,$A$2:$A$183,A173,$G$2:$G$183,G173,$H$2:$H$183,H173,$B$2:$B$183,"baseline")</f>
      </c>
      <c r="K173" s="199" t="str">
        <f>J173-I173</f>
      </c>
      <c r="L173" s="200" t="str">
        <f>IF(J173=0,"",100*(J173-I173)/J173)</f>
      </c>
      <c r="M173" s="201" t="n">
        <v>12.9814994820506</v>
      </c>
      <c r="N173" s="37" t="str">
        <f>IF(ABS(I173-M173)&lt;=0.001,"match","mismatch")</f>
      </c>
    </row>
    <row r="174">
      <c r="A174" t="s">
        <v>167</v>
      </c>
      <c r="B174" t="s">
        <v>113</v>
      </c>
      <c r="C174" s="35" t="s">
        <v>521</v>
      </c>
      <c r="D174" t="s">
        <v>113</v>
      </c>
      <c r="E174"/>
      <c r="F174"/>
      <c r="G174" t="s">
        <v>520</v>
      </c>
      <c r="H174" s="196" t="n">
        <v>2041</v>
      </c>
      <c r="I174" s="197" t="str">
        <f>100*(1-(SUMIFS('CVD_40q30_Age'!$M$2:$M$7281,'CVD_40q30_Age'!$A$2:$A$7281,A174,'CVD_40q30_Age'!$B$2:$B$7281,B174,'CVD_40q30_Age'!$E$2:$E$7281,G174,'CVD_40q30_Age'!$F$2:$F$7281,H174,'CVD_40q30_Age'!$G$2:$G$7281,69))/(SUMIFS('CVD_40q30_Age'!$L$2:$L$7281,'CVD_40q30_Age'!$A$2:$A$7281,A174,'CVD_40q30_Age'!$B$2:$B$7281,B174,'CVD_40q30_Age'!$E$2:$E$7281,G174,'CVD_40q30_Age'!$F$2:$F$7281,H174,'CVD_40q30_Age'!$G$2:$G$7281,30)))</f>
      </c>
      <c r="J174" s="198" t="str">
        <f>SUMIFS($I$2:$I$183,$A$2:$A$183,A174,$G$2:$G$183,G174,$H$2:$H$183,H174,$B$2:$B$183,"baseline")</f>
      </c>
      <c r="K174" s="199" t="str">
        <f>J174-I174</f>
      </c>
      <c r="L174" s="200" t="str">
        <f>IF(J174=0,"",100*(J174-I174)/J174)</f>
      </c>
      <c r="M174" s="201" t="n">
        <v>12.8537220229574</v>
      </c>
      <c r="N174" s="37" t="str">
        <f>IF(ABS(I174-M174)&lt;=0.001,"match","mismatch")</f>
      </c>
    </row>
    <row r="175">
      <c r="A175" t="s">
        <v>167</v>
      </c>
      <c r="B175" t="s">
        <v>113</v>
      </c>
      <c r="C175" s="35" t="s">
        <v>521</v>
      </c>
      <c r="D175" t="s">
        <v>113</v>
      </c>
      <c r="E175"/>
      <c r="F175"/>
      <c r="G175" t="s">
        <v>520</v>
      </c>
      <c r="H175" s="196" t="n">
        <v>2042</v>
      </c>
      <c r="I175" s="197" t="str">
        <f>100*(1-(SUMIFS('CVD_40q30_Age'!$M$2:$M$7281,'CVD_40q30_Age'!$A$2:$A$7281,A175,'CVD_40q30_Age'!$B$2:$B$7281,B175,'CVD_40q30_Age'!$E$2:$E$7281,G175,'CVD_40q30_Age'!$F$2:$F$7281,H175,'CVD_40q30_Age'!$G$2:$G$7281,69))/(SUMIFS('CVD_40q30_Age'!$L$2:$L$7281,'CVD_40q30_Age'!$A$2:$A$7281,A175,'CVD_40q30_Age'!$B$2:$B$7281,B175,'CVD_40q30_Age'!$E$2:$E$7281,G175,'CVD_40q30_Age'!$F$2:$F$7281,H175,'CVD_40q30_Age'!$G$2:$G$7281,30)))</f>
      </c>
      <c r="J175" s="198" t="str">
        <f>SUMIFS($I$2:$I$183,$A$2:$A$183,A175,$G$2:$G$183,G175,$H$2:$H$183,H175,$B$2:$B$183,"baseline")</f>
      </c>
      <c r="K175" s="199" t="str">
        <f>J175-I175</f>
      </c>
      <c r="L175" s="200" t="str">
        <f>IF(J175=0,"",100*(J175-I175)/J175)</f>
      </c>
      <c r="M175" s="201" t="n">
        <v>12.7224868074943</v>
      </c>
      <c r="N175" s="37" t="str">
        <f>IF(ABS(I175-M175)&lt;=0.001,"match","mismatch")</f>
      </c>
    </row>
    <row r="176">
      <c r="A176" t="s">
        <v>167</v>
      </c>
      <c r="B176" t="s">
        <v>113</v>
      </c>
      <c r="C176" s="35" t="s">
        <v>521</v>
      </c>
      <c r="D176" t="s">
        <v>113</v>
      </c>
      <c r="E176"/>
      <c r="F176"/>
      <c r="G176" t="s">
        <v>520</v>
      </c>
      <c r="H176" s="196" t="n">
        <v>2043</v>
      </c>
      <c r="I176" s="197" t="str">
        <f>100*(1-(SUMIFS('CVD_40q30_Age'!$M$2:$M$7281,'CVD_40q30_Age'!$A$2:$A$7281,A176,'CVD_40q30_Age'!$B$2:$B$7281,B176,'CVD_40q30_Age'!$E$2:$E$7281,G176,'CVD_40q30_Age'!$F$2:$F$7281,H176,'CVD_40q30_Age'!$G$2:$G$7281,69))/(SUMIFS('CVD_40q30_Age'!$L$2:$L$7281,'CVD_40q30_Age'!$A$2:$A$7281,A176,'CVD_40q30_Age'!$B$2:$B$7281,B176,'CVD_40q30_Age'!$E$2:$E$7281,G176,'CVD_40q30_Age'!$F$2:$F$7281,H176,'CVD_40q30_Age'!$G$2:$G$7281,30)))</f>
      </c>
      <c r="J176" s="198" t="str">
        <f>SUMIFS($I$2:$I$183,$A$2:$A$183,A176,$G$2:$G$183,G176,$H$2:$H$183,H176,$B$2:$B$183,"baseline")</f>
      </c>
      <c r="K176" s="199" t="str">
        <f>J176-I176</f>
      </c>
      <c r="L176" s="200" t="str">
        <f>IF(J176=0,"",100*(J176-I176)/J176)</f>
      </c>
      <c r="M176" s="201" t="n">
        <v>12.5855401812507</v>
      </c>
      <c r="N176" s="37" t="str">
        <f>IF(ABS(I176-M176)&lt;=0.001,"match","mismatch")</f>
      </c>
    </row>
    <row r="177">
      <c r="A177" t="s">
        <v>167</v>
      </c>
      <c r="B177" t="s">
        <v>113</v>
      </c>
      <c r="C177" s="35" t="s">
        <v>521</v>
      </c>
      <c r="D177" t="s">
        <v>113</v>
      </c>
      <c r="E177"/>
      <c r="F177"/>
      <c r="G177" t="s">
        <v>520</v>
      </c>
      <c r="H177" s="196" t="n">
        <v>2044</v>
      </c>
      <c r="I177" s="197" t="str">
        <f>100*(1-(SUMIFS('CVD_40q30_Age'!$M$2:$M$7281,'CVD_40q30_Age'!$A$2:$A$7281,A177,'CVD_40q30_Age'!$B$2:$B$7281,B177,'CVD_40q30_Age'!$E$2:$E$7281,G177,'CVD_40q30_Age'!$F$2:$F$7281,H177,'CVD_40q30_Age'!$G$2:$G$7281,69))/(SUMIFS('CVD_40q30_Age'!$L$2:$L$7281,'CVD_40q30_Age'!$A$2:$A$7281,A177,'CVD_40q30_Age'!$B$2:$B$7281,B177,'CVD_40q30_Age'!$E$2:$E$7281,G177,'CVD_40q30_Age'!$F$2:$F$7281,H177,'CVD_40q30_Age'!$G$2:$G$7281,30)))</f>
      </c>
      <c r="J177" s="198" t="str">
        <f>SUMIFS($I$2:$I$183,$A$2:$A$183,A177,$G$2:$G$183,G177,$H$2:$H$183,H177,$B$2:$B$183,"baseline")</f>
      </c>
      <c r="K177" s="199" t="str">
        <f>J177-I177</f>
      </c>
      <c r="L177" s="200" t="str">
        <f>IF(J177=0,"",100*(J177-I177)/J177)</f>
      </c>
      <c r="M177" s="201" t="n">
        <v>12.450986408723</v>
      </c>
      <c r="N177" s="37" t="str">
        <f>IF(ABS(I177-M177)&lt;=0.001,"match","mismatch")</f>
      </c>
    </row>
    <row r="178">
      <c r="A178" t="s">
        <v>167</v>
      </c>
      <c r="B178" t="s">
        <v>113</v>
      </c>
      <c r="C178" s="35" t="s">
        <v>521</v>
      </c>
      <c r="D178" t="s">
        <v>113</v>
      </c>
      <c r="E178"/>
      <c r="F178"/>
      <c r="G178" t="s">
        <v>520</v>
      </c>
      <c r="H178" s="196" t="n">
        <v>2045</v>
      </c>
      <c r="I178" s="197" t="str">
        <f>100*(1-(SUMIFS('CVD_40q30_Age'!$M$2:$M$7281,'CVD_40q30_Age'!$A$2:$A$7281,A178,'CVD_40q30_Age'!$B$2:$B$7281,B178,'CVD_40q30_Age'!$E$2:$E$7281,G178,'CVD_40q30_Age'!$F$2:$F$7281,H178,'CVD_40q30_Age'!$G$2:$G$7281,69))/(SUMIFS('CVD_40q30_Age'!$L$2:$L$7281,'CVD_40q30_Age'!$A$2:$A$7281,A178,'CVD_40q30_Age'!$B$2:$B$7281,B178,'CVD_40q30_Age'!$E$2:$E$7281,G178,'CVD_40q30_Age'!$F$2:$F$7281,H178,'CVD_40q30_Age'!$G$2:$G$7281,30)))</f>
      </c>
      <c r="J178" s="198" t="str">
        <f>SUMIFS($I$2:$I$183,$A$2:$A$183,A178,$G$2:$G$183,G178,$H$2:$H$183,H178,$B$2:$B$183,"baseline")</f>
      </c>
      <c r="K178" s="199" t="str">
        <f>J178-I178</f>
      </c>
      <c r="L178" s="200" t="str">
        <f>IF(J178=0,"",100*(J178-I178)/J178)</f>
      </c>
      <c r="M178" s="201" t="n">
        <v>12.3247070488151</v>
      </c>
      <c r="N178" s="37" t="str">
        <f>IF(ABS(I178-M178)&lt;=0.001,"match","mismatch")</f>
      </c>
    </row>
    <row r="179">
      <c r="A179" t="s">
        <v>167</v>
      </c>
      <c r="B179" t="s">
        <v>113</v>
      </c>
      <c r="C179" s="35" t="s">
        <v>521</v>
      </c>
      <c r="D179" t="s">
        <v>113</v>
      </c>
      <c r="E179"/>
      <c r="F179"/>
      <c r="G179" t="s">
        <v>520</v>
      </c>
      <c r="H179" s="196" t="n">
        <v>2046</v>
      </c>
      <c r="I179" s="197" t="str">
        <f>100*(1-(SUMIFS('CVD_40q30_Age'!$M$2:$M$7281,'CVD_40q30_Age'!$A$2:$A$7281,A179,'CVD_40q30_Age'!$B$2:$B$7281,B179,'CVD_40q30_Age'!$E$2:$E$7281,G179,'CVD_40q30_Age'!$F$2:$F$7281,H179,'CVD_40q30_Age'!$G$2:$G$7281,69))/(SUMIFS('CVD_40q30_Age'!$L$2:$L$7281,'CVD_40q30_Age'!$A$2:$A$7281,A179,'CVD_40q30_Age'!$B$2:$B$7281,B179,'CVD_40q30_Age'!$E$2:$E$7281,G179,'CVD_40q30_Age'!$F$2:$F$7281,H179,'CVD_40q30_Age'!$G$2:$G$7281,30)))</f>
      </c>
      <c r="J179" s="198" t="str">
        <f>SUMIFS($I$2:$I$183,$A$2:$A$183,A179,$G$2:$G$183,G179,$H$2:$H$183,H179,$B$2:$B$183,"baseline")</f>
      </c>
      <c r="K179" s="199" t="str">
        <f>J179-I179</f>
      </c>
      <c r="L179" s="200" t="str">
        <f>IF(J179=0,"",100*(J179-I179)/J179)</f>
      </c>
      <c r="M179" s="201" t="n">
        <v>12.1957867035551</v>
      </c>
      <c r="N179" s="37" t="str">
        <f>IF(ABS(I179-M179)&lt;=0.001,"match","mismatch")</f>
      </c>
    </row>
    <row r="180">
      <c r="A180" t="s">
        <v>167</v>
      </c>
      <c r="B180" t="s">
        <v>113</v>
      </c>
      <c r="C180" s="35" t="s">
        <v>521</v>
      </c>
      <c r="D180" t="s">
        <v>113</v>
      </c>
      <c r="E180"/>
      <c r="F180"/>
      <c r="G180" t="s">
        <v>520</v>
      </c>
      <c r="H180" s="196" t="n">
        <v>2047</v>
      </c>
      <c r="I180" s="197" t="str">
        <f>100*(1-(SUMIFS('CVD_40q30_Age'!$M$2:$M$7281,'CVD_40q30_Age'!$A$2:$A$7281,A180,'CVD_40q30_Age'!$B$2:$B$7281,B180,'CVD_40q30_Age'!$E$2:$E$7281,G180,'CVD_40q30_Age'!$F$2:$F$7281,H180,'CVD_40q30_Age'!$G$2:$G$7281,69))/(SUMIFS('CVD_40q30_Age'!$L$2:$L$7281,'CVD_40q30_Age'!$A$2:$A$7281,A180,'CVD_40q30_Age'!$B$2:$B$7281,B180,'CVD_40q30_Age'!$E$2:$E$7281,G180,'CVD_40q30_Age'!$F$2:$F$7281,H180,'CVD_40q30_Age'!$G$2:$G$7281,30)))</f>
      </c>
      <c r="J180" s="198" t="str">
        <f>SUMIFS($I$2:$I$183,$A$2:$A$183,A180,$G$2:$G$183,G180,$H$2:$H$183,H180,$B$2:$B$183,"baseline")</f>
      </c>
      <c r="K180" s="199" t="str">
        <f>J180-I180</f>
      </c>
      <c r="L180" s="200" t="str">
        <f>IF(J180=0,"",100*(J180-I180)/J180)</f>
      </c>
      <c r="M180" s="201" t="n">
        <v>12.0660778096055</v>
      </c>
      <c r="N180" s="37" t="str">
        <f>IF(ABS(I180-M180)&lt;=0.001,"match","mismatch")</f>
      </c>
    </row>
    <row r="181">
      <c r="A181" t="s">
        <v>167</v>
      </c>
      <c r="B181" t="s">
        <v>113</v>
      </c>
      <c r="C181" s="35" t="s">
        <v>521</v>
      </c>
      <c r="D181" t="s">
        <v>113</v>
      </c>
      <c r="E181"/>
      <c r="F181"/>
      <c r="G181" t="s">
        <v>520</v>
      </c>
      <c r="H181" s="196" t="n">
        <v>2048</v>
      </c>
      <c r="I181" s="197" t="str">
        <f>100*(1-(SUMIFS('CVD_40q30_Age'!$M$2:$M$7281,'CVD_40q30_Age'!$A$2:$A$7281,A181,'CVD_40q30_Age'!$B$2:$B$7281,B181,'CVD_40q30_Age'!$E$2:$E$7281,G181,'CVD_40q30_Age'!$F$2:$F$7281,H181,'CVD_40q30_Age'!$G$2:$G$7281,69))/(SUMIFS('CVD_40q30_Age'!$L$2:$L$7281,'CVD_40q30_Age'!$A$2:$A$7281,A181,'CVD_40q30_Age'!$B$2:$B$7281,B181,'CVD_40q30_Age'!$E$2:$E$7281,G181,'CVD_40q30_Age'!$F$2:$F$7281,H181,'CVD_40q30_Age'!$G$2:$G$7281,30)))</f>
      </c>
      <c r="J181" s="198" t="str">
        <f>SUMIFS($I$2:$I$183,$A$2:$A$183,A181,$G$2:$G$183,G181,$H$2:$H$183,H181,$B$2:$B$183,"baseline")</f>
      </c>
      <c r="K181" s="199" t="str">
        <f>J181-I181</f>
      </c>
      <c r="L181" s="200" t="str">
        <f>IF(J181=0,"",100*(J181-I181)/J181)</f>
      </c>
      <c r="M181" s="201" t="n">
        <v>11.9315491810017</v>
      </c>
      <c r="N181" s="37" t="str">
        <f>IF(ABS(I181-M181)&lt;=0.001,"match","mismatch")</f>
      </c>
    </row>
    <row r="182">
      <c r="A182" t="s">
        <v>167</v>
      </c>
      <c r="B182" t="s">
        <v>113</v>
      </c>
      <c r="C182" s="35" t="s">
        <v>521</v>
      </c>
      <c r="D182" t="s">
        <v>113</v>
      </c>
      <c r="E182"/>
      <c r="F182"/>
      <c r="G182" t="s">
        <v>520</v>
      </c>
      <c r="H182" s="196" t="n">
        <v>2049</v>
      </c>
      <c r="I182" s="197" t="str">
        <f>100*(1-(SUMIFS('CVD_40q30_Age'!$M$2:$M$7281,'CVD_40q30_Age'!$A$2:$A$7281,A182,'CVD_40q30_Age'!$B$2:$B$7281,B182,'CVD_40q30_Age'!$E$2:$E$7281,G182,'CVD_40q30_Age'!$F$2:$F$7281,H182,'CVD_40q30_Age'!$G$2:$G$7281,69))/(SUMIFS('CVD_40q30_Age'!$L$2:$L$7281,'CVD_40q30_Age'!$A$2:$A$7281,A182,'CVD_40q30_Age'!$B$2:$B$7281,B182,'CVD_40q30_Age'!$E$2:$E$7281,G182,'CVD_40q30_Age'!$F$2:$F$7281,H182,'CVD_40q30_Age'!$G$2:$G$7281,30)))</f>
      </c>
      <c r="J182" s="198" t="str">
        <f>SUMIFS($I$2:$I$183,$A$2:$A$183,A182,$G$2:$G$183,G182,$H$2:$H$183,H182,$B$2:$B$183,"baseline")</f>
      </c>
      <c r="K182" s="199" t="str">
        <f>J182-I182</f>
      </c>
      <c r="L182" s="200" t="str">
        <f>IF(J182=0,"",100*(J182-I182)/J182)</f>
      </c>
      <c r="M182" s="201" t="n">
        <v>11.8054215438263</v>
      </c>
      <c r="N182" s="37" t="str">
        <f>IF(ABS(I182-M182)&lt;=0.001,"match","mismatch")</f>
      </c>
    </row>
    <row r="183">
      <c r="A183" t="s">
        <v>167</v>
      </c>
      <c r="B183" t="s">
        <v>113</v>
      </c>
      <c r="C183" s="35" t="s">
        <v>521</v>
      </c>
      <c r="D183" t="s">
        <v>113</v>
      </c>
      <c r="E183"/>
      <c r="F183"/>
      <c r="G183" t="s">
        <v>520</v>
      </c>
      <c r="H183" s="196" t="n">
        <v>2050</v>
      </c>
      <c r="I183" s="197" t="str">
        <f>100*(1-(SUMIFS('CVD_40q30_Age'!$M$2:$M$7281,'CVD_40q30_Age'!$A$2:$A$7281,A183,'CVD_40q30_Age'!$B$2:$B$7281,B183,'CVD_40q30_Age'!$E$2:$E$7281,G183,'CVD_40q30_Age'!$F$2:$F$7281,H183,'CVD_40q30_Age'!$G$2:$G$7281,69))/(SUMIFS('CVD_40q30_Age'!$L$2:$L$7281,'CVD_40q30_Age'!$A$2:$A$7281,A183,'CVD_40q30_Age'!$B$2:$B$7281,B183,'CVD_40q30_Age'!$E$2:$E$7281,G183,'CVD_40q30_Age'!$F$2:$F$7281,H183,'CVD_40q30_Age'!$G$2:$G$7281,30)))</f>
      </c>
      <c r="J183" s="198" t="str">
        <f>SUMIFS($I$2:$I$183,$A$2:$A$183,A183,$G$2:$G$183,G183,$H$2:$H$183,H183,$B$2:$B$183,"baseline")</f>
      </c>
      <c r="K183" s="199" t="str">
        <f>J183-I183</f>
      </c>
      <c r="L183" s="200" t="str">
        <f>IF(J183=0,"",100*(J183-I183)/J183)</f>
      </c>
      <c r="M183" s="201" t="n">
        <v>11.686286604643</v>
      </c>
      <c r="N183" s="37" t="str">
        <f>IF(ABS(I183-M183)&lt;=0.001,"match","mismatch")</f>
      </c>
    </row>
  </sheetData>
  <autoFilter ref="A1:N1"/>
  <conditionalFormatting sqref="N2:N183">
    <cfRule type="containsText" dxfId="0" priority="2" operator="containsText" text="match">
      <formula>NOT(ISERROR(SEARCH("match", N2)))</formula>
    </cfRule>
    <cfRule type="containsText" dxfId="2" priority="1" operator="containsText" text="mismatch">
      <formula>NOT(ISERROR(SEARCH("mismatch", N2)))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528</v>
      </c>
      <c r="B1" s="1" t="s">
        <v>529</v>
      </c>
      <c r="C1" s="1" t="s">
        <v>530</v>
      </c>
      <c r="D1" s="1" t="s">
        <v>531</v>
      </c>
      <c r="E1" s="1" t="s">
        <v>282</v>
      </c>
    </row>
    <row r="2">
      <c r="A2" t="s">
        <v>532</v>
      </c>
      <c r="B2" t="s">
        <v>533</v>
      </c>
      <c r="C2" s="37" t="str">
        <f>COUNTIF('Selected_Interventions'!$X$2:$X$29,"&gt;1")</f>
      </c>
      <c r="D2" s="37" t="str">
        <f>IF(C2=0,"PASS","FAIL")</f>
      </c>
      <c r="E2" s="35" t="s">
        <v>534</v>
      </c>
    </row>
    <row r="3">
      <c r="A3" t="s">
        <v>535</v>
      </c>
      <c r="B3" t="s">
        <v>533</v>
      </c>
      <c r="C3" s="37" t="str">
        <f>COUNTIF('Input_Diagnostic'!$E$2:$E$9,"FAIL")</f>
      </c>
      <c r="D3" s="37" t="str">
        <f>IF(C3=0,"PASS","REVIEW")</f>
      </c>
      <c r="E3" s="35" t="s">
        <v>536</v>
      </c>
    </row>
    <row r="4">
      <c r="A4" t="s">
        <v>537</v>
      </c>
      <c r="B4" t="s">
        <v>533</v>
      </c>
      <c r="C4" s="37" t="str">
        <f>COUNTIF('Input_Diagnostic'!$E$2:$E$9,"REVIEW")</f>
      </c>
      <c r="D4" s="37" t="str">
        <f>IF(C4=0,"PASS","REVIEW")</f>
      </c>
      <c r="E4" s="35" t="s">
        <v>538</v>
      </c>
    </row>
    <row r="5">
      <c r="A5" t="s">
        <v>539</v>
      </c>
      <c r="B5" t="s">
        <v>533</v>
      </c>
      <c r="C5" s="37" t="str">
        <f>COUNTBLANK('Annual_Mortality'!$H$2:$H$1093)</f>
      </c>
      <c r="D5" s="37" t="str">
        <f>IF(C5=0,"PASS","FAIL")</f>
      </c>
      <c r="E5" s="35" t="s">
        <v>540</v>
      </c>
    </row>
    <row r="6">
      <c r="A6" t="s">
        <v>541</v>
      </c>
      <c r="B6" t="s">
        <v>533</v>
      </c>
      <c r="C6" s="37" t="str">
        <f>COUNTIFS('Effect_Parameters'!$N$2:$N$29,"&lt;&gt;incidence",'Effect_Parameters'!$N$2:$N$29,"&lt;&gt;case_fatality")</f>
      </c>
      <c r="D6" s="37" t="str">
        <f>IF(C6=0,"PASS","FAIL")</f>
      </c>
      <c r="E6" s="35" t="s">
        <v>542</v>
      </c>
    </row>
    <row r="7">
      <c r="A7" t="s">
        <v>543</v>
      </c>
      <c r="B7" t="s">
        <v>533</v>
      </c>
      <c r="C7" s="37" t="str">
        <f>'Calculation_Assumptions'!$B$17</f>
      </c>
      <c r="D7" s="37" t="str">
        <f>IF(C7=0,"PASS","FAIL")</f>
      </c>
      <c r="E7" s="35" t="s">
        <v>544</v>
      </c>
    </row>
    <row r="8">
      <c r="A8" t="s">
        <v>545</v>
      </c>
      <c r="B8" t="s">
        <v>546</v>
      </c>
      <c r="C8" s="37" t="str">
        <f>'Calculation_Assumptions'!$B$18</f>
      </c>
      <c r="D8" s="37" t="str">
        <f>IF(C8&lt;='Calculation_Assumptions'!$B$16,"PASS","REVIEW")</f>
      </c>
      <c r="E8" s="35" t="s">
        <v>547</v>
      </c>
    </row>
    <row r="9">
      <c r="A9" t="s">
        <v>548</v>
      </c>
      <c r="B9" t="s">
        <v>549</v>
      </c>
      <c r="C9" s="37" t="str">
        <f>'Calculation_Assumptions'!$B$19</f>
      </c>
      <c r="D9" s="37" t="str">
        <f>IF(C9=1,"PASS","FAIL")</f>
      </c>
      <c r="E9" s="35" t="s">
        <v>550</v>
      </c>
    </row>
    <row r="10">
      <c r="A10" t="s">
        <v>551</v>
      </c>
      <c r="B10" t="s">
        <v>552</v>
      </c>
      <c r="C10" s="37" t="str">
        <f>ABS(SUM('Budget_Impact'!$D$2:$D$157)-SUM('Annual_Cost'!$R$2:$R$287))+ABS(SUM('Budget_Impact'!$C$2:$C$157)-SUM('Annual_Cost'!$Q$2:$Q$287))</f>
      </c>
      <c r="D10" s="37" t="str">
        <f>IF(C10&lt;='Calculation_Assumptions'!$B$15,"PASS","FAIL")</f>
      </c>
      <c r="E10" s="35" t="s">
        <v>553</v>
      </c>
    </row>
    <row r="11">
      <c r="A11" t="s">
        <v>554</v>
      </c>
      <c r="B11" t="s">
        <v>533</v>
      </c>
      <c r="C11" s="37" t="str">
        <f>COUNTIF('Annual_Cost'!$AA$2:$AA$287,"&gt;1")</f>
      </c>
      <c r="D11" s="37" t="str">
        <f>IF(C11=0,"PASS","FAIL")</f>
      </c>
      <c r="E11" s="35" t="s">
        <v>555</v>
      </c>
    </row>
    <row r="12">
      <c r="A12" t="s">
        <v>556</v>
      </c>
      <c r="B12" t="s">
        <v>552</v>
      </c>
      <c r="C12" s="37" t="str">
        <f>ABS(SUMIFS('Budget_Impact'!$G$2:$G$157,'Budget_Impact'!$B$2:$B$157,'Calculation_Assumptions'!$B$3)-SUM('Budget_Impact'!$E$2:$E$157))</f>
      </c>
      <c r="D12" s="37" t="str">
        <f>IF(C12&lt;='Calculation_Assumptions'!$B$15,"PASS","FAIL")</f>
      </c>
      <c r="E12" s="35" t="s">
        <v>557</v>
      </c>
    </row>
    <row r="13">
      <c r="A13" t="s">
        <v>558</v>
      </c>
      <c r="B13" t="s">
        <v>559</v>
      </c>
      <c r="C13" s="37" t="str">
        <f>IF(COUNTIF('Cost_Effectiveness'!$I$2:$I$7,"mismatch")=0,"consistent","mismatch")</f>
      </c>
      <c r="D13" s="37" t="str">
        <f>IF(C13="consistent","PASS","FAIL")</f>
      </c>
      <c r="E13" s="35" t="s">
        <v>560</v>
      </c>
    </row>
    <row r="14">
      <c r="A14" t="s">
        <v>561</v>
      </c>
      <c r="B14" t="s">
        <v>562</v>
      </c>
      <c r="C14" s="37" t="str">
        <f>INDEX('Cost_Effectiveness'!$C$2:$C$7,MATCH('Calculation_Assumptions'!$B$23,'Cost_Effectiveness'!$A$2:$A$7,0))</f>
      </c>
      <c r="D14" s="37" t="str">
        <f>IF(ABS(C14-'Calculation_Assumptions'!$B$20)&lt;=ABS('Calculation_Assumptions'!$B$20)*0.000001+0.5,"PASS","FAIL")</f>
      </c>
      <c r="E14" s="35" t="s">
        <v>563</v>
      </c>
    </row>
    <row r="15">
      <c r="A15" t="s">
        <v>564</v>
      </c>
      <c r="B15" t="s">
        <v>562</v>
      </c>
      <c r="C15" s="37" t="str">
        <f>INDEX('Cost_Effectiveness'!$F$2:$F$7,MATCH('Calculation_Assumptions'!$B$23,'Cost_Effectiveness'!$A$2:$A$7,0))</f>
      </c>
      <c r="D15" s="37" t="str">
        <f>IF(ABS(C15-'Calculation_Assumptions'!$B$21)&lt;=ABS('Calculation_Assumptions'!$B$21)*0.000001+1,"PASS","FAIL")</f>
      </c>
      <c r="E15" s="35" t="s">
        <v>565</v>
      </c>
    </row>
    <row r="16">
      <c r="A16" t="s">
        <v>566</v>
      </c>
      <c r="B16" t="s">
        <v>562</v>
      </c>
      <c r="C16" s="37" t="str">
        <f>INDEX('Cost_Effectiveness'!$G$2:$G$7,MATCH('Calculation_Assumptions'!$B$23,'Cost_Effectiveness'!$A$2:$A$7,0))</f>
      </c>
      <c r="D16" s="37" t="str">
        <f>IF(ABS(C16-'Calculation_Assumptions'!$B$22)&lt;=ABS('Calculation_Assumptions'!$B$22)*0.000001+1,"PASS","FAIL")</f>
      </c>
      <c r="E16" s="35" t="s">
        <v>567</v>
      </c>
    </row>
    <row r="17">
      <c r="A17" t="s">
        <v>568</v>
      </c>
      <c r="B17" t="s">
        <v>181</v>
      </c>
      <c r="C17" s="37" t="str">
        <f>COUNTIFS('Scenario_Hierarchy'!$A$2:$A$13,"I_PH_TOBACCO_POLICY",'Scenario_Hierarchy'!$F$2:$F$13,"child")</f>
      </c>
      <c r="D17" s="37" t="str">
        <f>IF(C17=3,"PASS","FAIL")</f>
      </c>
      <c r="E17" s="35" t="s">
        <v>569</v>
      </c>
    </row>
    <row r="18">
      <c r="A18" t="s">
        <v>570</v>
      </c>
      <c r="B18" t="s">
        <v>571</v>
      </c>
      <c r="C18" s="37" t="str">
        <f>COUNTIFS('Scenario_Hierarchy'!$A$2:$A$13,"I_PH_SALT_POLICY",'Scenario_Hierarchy'!$F$2:$F$13,"child")</f>
      </c>
      <c r="D18" s="37" t="str">
        <f>IF(C18=4,"PASS","FAIL")</f>
      </c>
      <c r="E18" s="35" t="s">
        <v>572</v>
      </c>
    </row>
    <row r="19">
      <c r="A19" t="s">
        <v>573</v>
      </c>
      <c r="B19" t="s">
        <v>552</v>
      </c>
      <c r="C19" s="37" t="str">
        <f>ABS(SUMIFS('Cost_Components'!$M$2:$M$5,'Cost_Components'!$F$2:$F$5,"I_PH_TOBACCO_POLICY")-1)+ABS(SUMIFS('Cost_Components'!$M$2:$M$5,'Cost_Components'!$F$2:$F$5,"I_PH_SALT_POLICY")-1)</f>
      </c>
      <c r="D19" s="37" t="str">
        <f>IF(C19&lt;='Calculation_Assumptions'!$B$15,"PASS","FAIL")</f>
      </c>
      <c r="E19" s="35" t="s">
        <v>574</v>
      </c>
    </row>
    <row r="20">
      <c r="A20" t="s">
        <v>575</v>
      </c>
      <c r="B20" t="s">
        <v>576</v>
      </c>
      <c r="C20" s="37" t="str">
        <f>MIN(COUNTIF('Annual_Mortality'!$A$2:$A$1093,"I_PH_TOBACCO_POLICY"),COUNTIF('Annual_Mortality'!$A$2:$A$1093,"I_PH_SALT_POLICY"))</f>
      </c>
      <c r="D20" s="37" t="str">
        <f>IF(C20&gt;0,"PASS","FAIL")</f>
      </c>
      <c r="E20" s="35" t="s">
        <v>577</v>
      </c>
    </row>
    <row r="21">
      <c r="A21" t="s">
        <v>578</v>
      </c>
      <c r="B21" t="s">
        <v>533</v>
      </c>
      <c r="C21" s="37" t="str">
        <f>SUMPRODUCT(('Economic_Value'!$L$2:$L$157&lt;'Economic_Value'!$K$2:$K$157)*1)</f>
      </c>
      <c r="D21" s="37" t="str">
        <f>IF(C21=0,"PASS","FAIL")</f>
      </c>
      <c r="E21" s="35" t="s">
        <v>579</v>
      </c>
    </row>
    <row r="22">
      <c r="A22" t="s">
        <v>580</v>
      </c>
      <c r="B22" t="s">
        <v>581</v>
      </c>
      <c r="C22" s="37" t="str">
        <f>IF(AND('Calculation_Assumptions'!$B$29=1.5,'Calculation_Assumptions'!$B$28=160,'Calculation_Assumptions'!$B$30=20),"as_specified","edited")</f>
      </c>
      <c r="D22" s="37" t="str">
        <f>IF(C22="as_specified","PASS","REVIEW")</f>
      </c>
      <c r="E22" s="35" t="s">
        <v>582</v>
      </c>
    </row>
    <row r="23">
      <c r="A23" t="s">
        <v>583</v>
      </c>
      <c r="B23" t="s">
        <v>584</v>
      </c>
      <c r="C23" s="37" t="str">
        <f>IF('Calculation_Assumptions'!$B$36='Calculation_Assumptions'!$B$9,"match","mismatch")</f>
      </c>
      <c r="D23" s="37" t="str">
        <f>IF(C23="match","PASS","REVIEW")</f>
      </c>
      <c r="E23" s="35" t="s">
        <v>585</v>
      </c>
    </row>
    <row r="24">
      <c r="A24" t="s">
        <v>586</v>
      </c>
      <c r="B24" t="s">
        <v>533</v>
      </c>
      <c r="C24" s="37" t="str">
        <f>SUMPRODUCT((COUNTIF('Health_Outcomes'!$A$2:$A$157,'Benefit_Cost'!$A$2:$A$25)=0)*1)</f>
      </c>
      <c r="D24" s="37" t="str">
        <f>IF(C24=0,"PASS","FAIL")</f>
      </c>
      <c r="E24" s="35" t="s">
        <v>587</v>
      </c>
    </row>
    <row r="25">
      <c r="A25" t="s">
        <v>588</v>
      </c>
      <c r="B25" t="s">
        <v>533</v>
      </c>
      <c r="C25" s="37" t="str">
        <f>COUNTIF('CVD_40q30'!$N$2:$N$183,"mismatch")</f>
      </c>
      <c r="D25" s="37" t="str">
        <f>IF(C25=0,"PASS","FAIL")</f>
      </c>
      <c r="E25" s="35" t="s">
        <v>589</v>
      </c>
    </row>
  </sheetData>
  <autoFilter ref="A1:E1"/>
  <conditionalFormatting sqref="D2:D25">
    <cfRule type="containsText" dxfId="0" priority="3" operator="containsText" text="PASS">
      <formula>NOT(ISERROR(SEARCH("PASS", D2)))</formula>
    </cfRule>
    <cfRule type="containsText" dxfId="2" priority="2" operator="containsText" text="FAIL">
      <formula>NOT(ISERROR(SEARCH("FAIL", D2)))</formula>
    </cfRule>
    <cfRule type="containsText" dxfId="1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590</v>
      </c>
      <c r="B1" s="1" t="s">
        <v>591</v>
      </c>
      <c r="C1" s="1" t="s">
        <v>592</v>
      </c>
      <c r="D1" s="1" t="s">
        <v>593</v>
      </c>
      <c r="E1" s="1" t="s">
        <v>594</v>
      </c>
    </row>
    <row r="2">
      <c r="A2" t="s">
        <v>595</v>
      </c>
      <c r="B2" t="s">
        <v>392</v>
      </c>
      <c r="C2" t="s">
        <v>388</v>
      </c>
      <c r="D2" s="35" t="s">
        <v>596</v>
      </c>
      <c r="E2" t="s">
        <v>597</v>
      </c>
    </row>
    <row r="3">
      <c r="A3" t="s">
        <v>595</v>
      </c>
      <c r="B3" t="s">
        <v>405</v>
      </c>
      <c r="C3" t="s">
        <v>388</v>
      </c>
      <c r="D3" s="35" t="s">
        <v>596</v>
      </c>
      <c r="E3" t="s">
        <v>597</v>
      </c>
    </row>
    <row r="4">
      <c r="A4" t="s">
        <v>595</v>
      </c>
      <c r="B4" t="s">
        <v>407</v>
      </c>
      <c r="C4" t="s">
        <v>388</v>
      </c>
      <c r="D4" s="35" t="s">
        <v>596</v>
      </c>
      <c r="E4" t="s">
        <v>597</v>
      </c>
    </row>
    <row r="5">
      <c r="A5" t="s">
        <v>595</v>
      </c>
      <c r="B5" t="s">
        <v>401</v>
      </c>
      <c r="C5" t="s">
        <v>388</v>
      </c>
      <c r="D5" s="35" t="s">
        <v>596</v>
      </c>
      <c r="E5" t="s">
        <v>597</v>
      </c>
    </row>
    <row r="6">
      <c r="A6" t="s">
        <v>595</v>
      </c>
      <c r="B6" t="s">
        <v>392</v>
      </c>
      <c r="C6" t="s">
        <v>387</v>
      </c>
      <c r="D6" s="35" t="s">
        <v>598</v>
      </c>
      <c r="E6" t="s">
        <v>597</v>
      </c>
    </row>
    <row r="7">
      <c r="A7" t="s">
        <v>595</v>
      </c>
      <c r="B7" t="s">
        <v>405</v>
      </c>
      <c r="C7" t="s">
        <v>387</v>
      </c>
      <c r="D7" s="35" t="s">
        <v>598</v>
      </c>
      <c r="E7" t="s">
        <v>597</v>
      </c>
    </row>
    <row r="8">
      <c r="A8" t="s">
        <v>595</v>
      </c>
      <c r="B8" t="s">
        <v>407</v>
      </c>
      <c r="C8" t="s">
        <v>387</v>
      </c>
      <c r="D8" s="35" t="s">
        <v>598</v>
      </c>
      <c r="E8" t="s">
        <v>597</v>
      </c>
    </row>
    <row r="9">
      <c r="A9" t="s">
        <v>595</v>
      </c>
      <c r="B9" t="s">
        <v>401</v>
      </c>
      <c r="C9" t="s">
        <v>387</v>
      </c>
      <c r="D9" s="35" t="s">
        <v>598</v>
      </c>
      <c r="E9" t="s">
        <v>597</v>
      </c>
    </row>
  </sheetData>
  <autoFilter ref="A1:E1"/>
  <conditionalFormatting sqref="E2:E9">
    <cfRule type="containsText" dxfId="2" priority="2" operator="containsText" text="FAIL">
      <formula>NOT(ISERROR(SEARCH("FAIL", E2)))</formula>
    </cfRule>
    <cfRule type="containsText" dxfId="1" priority="1" operator="containsText" text="REVIEW">
      <formula>NOT(ISERROR(SEARCH("REVIEW", E2)))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8.71" hidden="0" customWidth="1"/>
    <col min="3" max="3" width="92.71" hidden="0" customWidth="1"/>
    <col min="4" max="4" width="56.71" hidden="0" customWidth="1"/>
  </cols>
  <sheetData>
    <row r="1" ht="28" customHeight="1">
      <c r="A1" s="1" t="s">
        <v>599</v>
      </c>
      <c r="B1" s="1" t="s">
        <v>600</v>
      </c>
      <c r="C1" s="1" t="s">
        <v>601</v>
      </c>
      <c r="D1" s="1" t="s">
        <v>5</v>
      </c>
    </row>
    <row r="2">
      <c r="A2" t="s">
        <v>602</v>
      </c>
      <c r="B2" t="s">
        <v>603</v>
      </c>
      <c r="C2" s="35" t="s">
        <v>604</v>
      </c>
      <c r="D2" s="35" t="s">
        <v>605</v>
      </c>
    </row>
    <row r="3">
      <c r="A3" t="s">
        <v>606</v>
      </c>
      <c r="B3" t="s">
        <v>135</v>
      </c>
      <c r="C3" s="35" t="s">
        <v>607</v>
      </c>
      <c r="D3" s="35" t="s">
        <v>605</v>
      </c>
    </row>
    <row r="4">
      <c r="A4" t="s">
        <v>608</v>
      </c>
      <c r="B4" t="s">
        <v>609</v>
      </c>
      <c r="C4" s="35" t="s">
        <v>610</v>
      </c>
      <c r="D4" s="35" t="s">
        <v>605</v>
      </c>
    </row>
    <row r="5">
      <c r="A5" t="s">
        <v>611</v>
      </c>
      <c r="B5" t="s">
        <v>612</v>
      </c>
      <c r="C5" s="35" t="s">
        <v>613</v>
      </c>
      <c r="D5" s="35" t="s">
        <v>605</v>
      </c>
    </row>
    <row r="6">
      <c r="A6" t="s">
        <v>614</v>
      </c>
      <c r="B6" t="s">
        <v>615</v>
      </c>
      <c r="C6" s="35" t="s">
        <v>616</v>
      </c>
      <c r="D6" s="35" t="s">
        <v>605</v>
      </c>
    </row>
    <row r="7">
      <c r="A7" t="s">
        <v>617</v>
      </c>
      <c r="B7" t="s">
        <v>618</v>
      </c>
      <c r="C7" s="35" t="s">
        <v>619</v>
      </c>
      <c r="D7" s="35" t="s">
        <v>605</v>
      </c>
    </row>
    <row r="8">
      <c r="A8" t="s">
        <v>620</v>
      </c>
      <c r="B8" t="s">
        <v>621</v>
      </c>
      <c r="C8" s="35" t="s">
        <v>622</v>
      </c>
      <c r="D8" s="35" t="s">
        <v>605</v>
      </c>
    </row>
    <row r="9">
      <c r="A9" t="s">
        <v>623</v>
      </c>
      <c r="B9" t="s">
        <v>624</v>
      </c>
      <c r="C9" s="35" t="s">
        <v>625</v>
      </c>
      <c r="D9" s="35" t="s">
        <v>605</v>
      </c>
    </row>
    <row r="10">
      <c r="A10" t="s">
        <v>626</v>
      </c>
      <c r="B10" t="s">
        <v>627</v>
      </c>
      <c r="C10" s="35" t="s">
        <v>628</v>
      </c>
      <c r="D10" s="35" t="s">
        <v>605</v>
      </c>
    </row>
    <row r="11">
      <c r="A11" t="s">
        <v>629</v>
      </c>
      <c r="B11" t="s">
        <v>630</v>
      </c>
      <c r="C11" s="35" t="s">
        <v>631</v>
      </c>
      <c r="D11" s="35" t="s">
        <v>605</v>
      </c>
    </row>
    <row r="12">
      <c r="A12" t="s">
        <v>632</v>
      </c>
      <c r="B12" t="s">
        <v>633</v>
      </c>
      <c r="C12" s="35" t="s">
        <v>634</v>
      </c>
      <c r="D12" s="35" t="s">
        <v>605</v>
      </c>
    </row>
    <row r="13">
      <c r="A13" t="s">
        <v>635</v>
      </c>
      <c r="B13" t="s">
        <v>636</v>
      </c>
      <c r="C13" s="35" t="s">
        <v>637</v>
      </c>
      <c r="D13" s="35" t="s">
        <v>605</v>
      </c>
    </row>
    <row r="14">
      <c r="A14" t="s">
        <v>638</v>
      </c>
      <c r="B14" t="s">
        <v>639</v>
      </c>
      <c r="C14" s="35" t="s">
        <v>640</v>
      </c>
      <c r="D14" s="35" t="s">
        <v>605</v>
      </c>
    </row>
    <row r="15">
      <c r="A15" t="s">
        <v>641</v>
      </c>
      <c r="B15" t="s">
        <v>642</v>
      </c>
      <c r="C15" s="35" t="s">
        <v>643</v>
      </c>
      <c r="D15" s="35" t="s">
        <v>605</v>
      </c>
    </row>
    <row r="16">
      <c r="A16" t="s">
        <v>644</v>
      </c>
      <c r="B16" t="s">
        <v>645</v>
      </c>
      <c r="C16" s="35" t="s">
        <v>646</v>
      </c>
      <c r="D16" s="35" t="s">
        <v>605</v>
      </c>
    </row>
    <row r="17">
      <c r="A17" t="s">
        <v>647</v>
      </c>
      <c r="B17" t="s">
        <v>648</v>
      </c>
      <c r="C17" s="35" t="s">
        <v>649</v>
      </c>
      <c r="D17" s="35" t="s">
        <v>605</v>
      </c>
    </row>
    <row r="18">
      <c r="A18" t="s">
        <v>650</v>
      </c>
      <c r="B18" t="s">
        <v>651</v>
      </c>
      <c r="C18" s="35" t="s">
        <v>652</v>
      </c>
      <c r="D18" s="35" t="s">
        <v>605</v>
      </c>
    </row>
    <row r="19">
      <c r="A19" t="s">
        <v>653</v>
      </c>
      <c r="B19" t="s">
        <v>654</v>
      </c>
      <c r="C19" s="35" t="s">
        <v>655</v>
      </c>
      <c r="D19" s="35" t="s">
        <v>605</v>
      </c>
    </row>
    <row r="20">
      <c r="A20" t="s">
        <v>656</v>
      </c>
      <c r="B20" t="s">
        <v>145</v>
      </c>
      <c r="C20" s="35" t="s">
        <v>657</v>
      </c>
      <c r="D20" s="35" t="s">
        <v>605</v>
      </c>
    </row>
    <row r="21">
      <c r="A21" t="s">
        <v>658</v>
      </c>
      <c r="B21" t="s">
        <v>659</v>
      </c>
      <c r="C21" s="35" t="s">
        <v>660</v>
      </c>
      <c r="D21" s="35" t="s">
        <v>661</v>
      </c>
    </row>
    <row r="22">
      <c r="A22" t="s">
        <v>662</v>
      </c>
      <c r="B22" t="s">
        <v>663</v>
      </c>
      <c r="C22" s="35" t="s">
        <v>664</v>
      </c>
      <c r="D22" s="35" t="s">
        <v>661</v>
      </c>
    </row>
    <row r="23">
      <c r="A23" t="s">
        <v>665</v>
      </c>
      <c r="B23" t="s">
        <v>666</v>
      </c>
      <c r="C23" s="35" t="s">
        <v>667</v>
      </c>
      <c r="D23" s="35" t="s">
        <v>661</v>
      </c>
    </row>
    <row r="24">
      <c r="A24" t="s">
        <v>668</v>
      </c>
      <c r="B24" t="s">
        <v>669</v>
      </c>
      <c r="C24" s="35" t="s">
        <v>670</v>
      </c>
      <c r="D24" s="35" t="s">
        <v>661</v>
      </c>
    </row>
    <row r="25">
      <c r="A25" t="s">
        <v>671</v>
      </c>
      <c r="B25" t="s">
        <v>672</v>
      </c>
      <c r="C25" s="35" t="s">
        <v>673</v>
      </c>
      <c r="D25" s="35" t="s">
        <v>674</v>
      </c>
    </row>
    <row r="26">
      <c r="A26" t="s">
        <v>671</v>
      </c>
      <c r="B26" t="s">
        <v>672</v>
      </c>
      <c r="C26" s="35" t="s">
        <v>675</v>
      </c>
      <c r="D26" s="35" t="s">
        <v>676</v>
      </c>
    </row>
    <row r="27">
      <c r="A27" t="s">
        <v>677</v>
      </c>
      <c r="B27" t="s">
        <v>678</v>
      </c>
      <c r="C27" s="35" t="s">
        <v>679</v>
      </c>
      <c r="D27" s="35" t="s">
        <v>680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0.71" hidden="0" customWidth="1"/>
    <col min="3" max="3" width="40.71" hidden="0" customWidth="1"/>
    <col min="4" max="4" width="52.71" hidden="0" customWidth="1"/>
  </cols>
  <sheetData>
    <row r="1" ht="28" customHeight="1">
      <c r="A1" s="1" t="s">
        <v>681</v>
      </c>
      <c r="B1" s="1" t="s">
        <v>682</v>
      </c>
      <c r="C1" s="1" t="s">
        <v>683</v>
      </c>
      <c r="D1" s="1" t="s">
        <v>684</v>
      </c>
    </row>
    <row r="2">
      <c r="A2" t="s">
        <v>685</v>
      </c>
      <c r="B2" t="s">
        <v>686</v>
      </c>
      <c r="C2" s="35" t="s">
        <v>687</v>
      </c>
      <c r="D2" s="35" t="s">
        <v>688</v>
      </c>
    </row>
    <row r="3">
      <c r="A3" t="s">
        <v>689</v>
      </c>
      <c r="B3" t="s">
        <v>690</v>
      </c>
      <c r="C3" s="35" t="s">
        <v>691</v>
      </c>
      <c r="D3" s="35" t="s">
        <v>692</v>
      </c>
    </row>
    <row r="4">
      <c r="A4" t="s">
        <v>693</v>
      </c>
      <c r="B4" t="s">
        <v>694</v>
      </c>
      <c r="C4" s="35" t="s">
        <v>695</v>
      </c>
      <c r="D4" s="35" t="s">
        <v>696</v>
      </c>
    </row>
    <row r="5">
      <c r="A5" t="s">
        <v>697</v>
      </c>
      <c r="B5" t="s">
        <v>698</v>
      </c>
      <c r="C5" s="35" t="s">
        <v>691</v>
      </c>
      <c r="D5" s="35" t="s">
        <v>699</v>
      </c>
    </row>
    <row r="6">
      <c r="A6" t="s">
        <v>700</v>
      </c>
      <c r="B6" t="s">
        <v>701</v>
      </c>
      <c r="C6" s="35" t="s">
        <v>702</v>
      </c>
      <c r="D6" s="35" t="s">
        <v>703</v>
      </c>
    </row>
    <row r="7">
      <c r="A7" t="s">
        <v>704</v>
      </c>
      <c r="B7" t="s">
        <v>705</v>
      </c>
      <c r="C7" s="35" t="s">
        <v>706</v>
      </c>
      <c r="D7" s="35" t="s">
        <v>707</v>
      </c>
    </row>
    <row r="8">
      <c r="A8" t="s">
        <v>708</v>
      </c>
      <c r="B8" t="s">
        <v>709</v>
      </c>
      <c r="C8" s="35" t="s">
        <v>710</v>
      </c>
      <c r="D8" s="35" t="s">
        <v>711</v>
      </c>
    </row>
    <row r="9">
      <c r="A9" t="s">
        <v>712</v>
      </c>
      <c r="B9" t="s">
        <v>713</v>
      </c>
      <c r="C9" s="35" t="s">
        <v>714</v>
      </c>
      <c r="D9" s="35" t="s">
        <v>715</v>
      </c>
    </row>
    <row r="10">
      <c r="A10" t="s">
        <v>716</v>
      </c>
      <c r="B10" t="s">
        <v>717</v>
      </c>
      <c r="C10" s="35" t="s">
        <v>712</v>
      </c>
      <c r="D10" s="35" t="s">
        <v>718</v>
      </c>
    </row>
    <row r="11">
      <c r="A11" t="s">
        <v>719</v>
      </c>
      <c r="B11" t="s">
        <v>720</v>
      </c>
      <c r="C11" s="35" t="s">
        <v>721</v>
      </c>
      <c r="D11" s="35" t="s">
        <v>722</v>
      </c>
    </row>
    <row r="12">
      <c r="A12" t="s">
        <v>723</v>
      </c>
      <c r="B12" t="s">
        <v>724</v>
      </c>
      <c r="C12" s="35" t="s">
        <v>725</v>
      </c>
      <c r="D12" s="35" t="s">
        <v>726</v>
      </c>
    </row>
    <row r="13">
      <c r="A13" t="s">
        <v>727</v>
      </c>
      <c r="B13" t="s">
        <v>728</v>
      </c>
      <c r="C13" s="35" t="s">
        <v>729</v>
      </c>
      <c r="D13" s="35" t="s">
        <v>730</v>
      </c>
    </row>
    <row r="14">
      <c r="A14" t="s">
        <v>731</v>
      </c>
      <c r="B14" t="s">
        <v>732</v>
      </c>
      <c r="C14" s="35" t="s">
        <v>733</v>
      </c>
      <c r="D14" s="35" t="s">
        <v>734</v>
      </c>
    </row>
    <row r="15">
      <c r="A15" t="s">
        <v>735</v>
      </c>
      <c r="B15" t="s">
        <v>732</v>
      </c>
      <c r="C15" s="35" t="s">
        <v>736</v>
      </c>
      <c r="D15" s="35" t="s">
        <v>737</v>
      </c>
    </row>
    <row r="16">
      <c r="A16" t="s">
        <v>738</v>
      </c>
      <c r="B16" t="s">
        <v>739</v>
      </c>
      <c r="C16" s="35" t="s">
        <v>740</v>
      </c>
      <c r="D16" s="35" t="s">
        <v>741</v>
      </c>
    </row>
    <row r="17">
      <c r="A17" t="s">
        <v>742</v>
      </c>
      <c r="B17" t="s">
        <v>743</v>
      </c>
      <c r="C17" s="35" t="s">
        <v>744</v>
      </c>
      <c r="D17" s="35" t="s">
        <v>745</v>
      </c>
    </row>
    <row r="18">
      <c r="A18" t="s">
        <v>746</v>
      </c>
      <c r="B18" t="s">
        <v>747</v>
      </c>
      <c r="C18" s="35" t="s">
        <v>748</v>
      </c>
      <c r="D18" s="35" t="s">
        <v>749</v>
      </c>
    </row>
    <row r="19">
      <c r="A19" t="s">
        <v>750</v>
      </c>
      <c r="B19" t="s">
        <v>751</v>
      </c>
      <c r="C19" s="35" t="s">
        <v>752</v>
      </c>
      <c r="D19" s="35" t="s">
        <v>753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2.71" hidden="0" customWidth="1"/>
    <col min="3" max="3" width="17.71" hidden="0" customWidth="1"/>
    <col min="4" max="4" width="19.71" hidden="0" customWidth="1"/>
    <col min="5" max="5" width="15.71" hidden="0" customWidth="1"/>
    <col min="6" max="6" width="15.71" hidden="0" customWidth="1"/>
    <col min="7" max="7" width="28.71" hidden="0" customWidth="1"/>
    <col min="8" max="8" width="24.71" hidden="0" customWidth="1"/>
    <col min="9" max="9" width="25.71" hidden="0" customWidth="1"/>
    <col min="10" max="10" width="24.71" hidden="0" customWidth="1"/>
    <col min="11" max="11" width="21.71" hidden="0" customWidth="1"/>
    <col min="12" max="12" width="17.71" hidden="0" customWidth="1"/>
    <col min="13" max="13" width="13.71" hidden="0" customWidth="1"/>
    <col min="14" max="14" width="13.71" hidden="0" customWidth="1"/>
    <col min="15" max="15" width="19.71" hidden="0" customWidth="1"/>
  </cols>
  <sheetData>
    <row r="1" ht="28" customHeight="1">
      <c r="A1" s="1" t="s">
        <v>754</v>
      </c>
      <c r="B1" s="1" t="s">
        <v>755</v>
      </c>
      <c r="C1" s="1" t="s">
        <v>192</v>
      </c>
      <c r="D1" s="1" t="s">
        <v>194</v>
      </c>
      <c r="E1" s="1" t="s">
        <v>756</v>
      </c>
      <c r="F1" s="1" t="s">
        <v>377</v>
      </c>
      <c r="G1" s="1" t="s">
        <v>757</v>
      </c>
      <c r="H1" s="1" t="s">
        <v>758</v>
      </c>
      <c r="I1" s="1" t="s">
        <v>759</v>
      </c>
      <c r="J1" s="1" t="s">
        <v>760</v>
      </c>
      <c r="K1" s="1" t="s">
        <v>761</v>
      </c>
      <c r="L1" s="1" t="s">
        <v>762</v>
      </c>
      <c r="M1" s="1" t="s">
        <v>763</v>
      </c>
      <c r="N1" s="1" t="s">
        <v>764</v>
      </c>
      <c r="O1" s="1" t="s">
        <v>765</v>
      </c>
    </row>
    <row r="2">
      <c r="A2" s="3" t="s">
        <v>219</v>
      </c>
      <c r="B2" s="3" t="s">
        <v>221</v>
      </c>
      <c r="C2" s="3" t="s">
        <v>219</v>
      </c>
      <c r="D2" s="3" t="s">
        <v>221</v>
      </c>
      <c r="E2" s="3" t="s">
        <v>766</v>
      </c>
      <c r="F2" s="3" t="s">
        <v>232</v>
      </c>
      <c r="G2" s="3" t="n">
        <v>1</v>
      </c>
      <c r="H2" s="3" t="s">
        <v>219</v>
      </c>
      <c r="I2" s="202" t="s">
        <v>767</v>
      </c>
      <c r="J2" s="202" t="s">
        <v>768</v>
      </c>
      <c r="K2" s="203" t="s">
        <v>769</v>
      </c>
      <c r="L2" s="3" t="n">
        <v>1</v>
      </c>
      <c r="M2" s="202" t="s">
        <v>770</v>
      </c>
      <c r="N2" s="3" t="b">
        <v>1</v>
      </c>
      <c r="O2" s="3" t="b">
        <v>0</v>
      </c>
    </row>
    <row r="3">
      <c r="A3" s="3" t="s">
        <v>308</v>
      </c>
      <c r="B3" s="3" t="s">
        <v>771</v>
      </c>
      <c r="C3" s="3" t="s">
        <v>308</v>
      </c>
      <c r="D3" s="3" t="s">
        <v>771</v>
      </c>
      <c r="E3" s="3" t="s">
        <v>772</v>
      </c>
      <c r="F3" s="3" t="s">
        <v>232</v>
      </c>
      <c r="G3" s="3" t="n">
        <v>1</v>
      </c>
      <c r="H3" s="3" t="s">
        <v>308</v>
      </c>
      <c r="I3" s="202" t="s">
        <v>767</v>
      </c>
      <c r="J3" s="202" t="s">
        <v>768</v>
      </c>
      <c r="K3" s="203" t="s">
        <v>769</v>
      </c>
      <c r="L3" s="3" t="n">
        <v>1</v>
      </c>
      <c r="M3" s="202" t="s">
        <v>770</v>
      </c>
      <c r="N3" s="3" t="b">
        <v>0</v>
      </c>
      <c r="O3" s="3" t="b">
        <v>0</v>
      </c>
    </row>
    <row r="4">
      <c r="A4" s="3" t="s">
        <v>254</v>
      </c>
      <c r="B4" s="3" t="s">
        <v>418</v>
      </c>
      <c r="C4" s="3" t="s">
        <v>262</v>
      </c>
      <c r="D4" s="3" t="s">
        <v>264</v>
      </c>
      <c r="E4" s="3" t="s">
        <v>766</v>
      </c>
      <c r="F4" s="3" t="s">
        <v>255</v>
      </c>
      <c r="G4" s="3" t="n">
        <v>1</v>
      </c>
      <c r="H4" s="3" t="s">
        <v>262</v>
      </c>
      <c r="I4" s="202" t="s">
        <v>773</v>
      </c>
      <c r="J4" s="202" t="s">
        <v>774</v>
      </c>
      <c r="K4" s="203" t="s">
        <v>775</v>
      </c>
      <c r="L4" s="3" t="n">
        <v>1</v>
      </c>
      <c r="M4" s="202" t="s">
        <v>776</v>
      </c>
      <c r="N4" s="3" t="b">
        <v>1</v>
      </c>
      <c r="O4" s="3" t="b">
        <v>0</v>
      </c>
    </row>
    <row r="5">
      <c r="A5" s="3" t="s">
        <v>254</v>
      </c>
      <c r="B5" s="3" t="s">
        <v>418</v>
      </c>
      <c r="C5" s="3" t="s">
        <v>272</v>
      </c>
      <c r="D5" s="3" t="s">
        <v>274</v>
      </c>
      <c r="E5" s="3" t="s">
        <v>766</v>
      </c>
      <c r="F5" s="3" t="s">
        <v>255</v>
      </c>
      <c r="G5" s="3" t="n">
        <v>1</v>
      </c>
      <c r="H5" s="3" t="s">
        <v>272</v>
      </c>
      <c r="I5" s="202" t="s">
        <v>773</v>
      </c>
      <c r="J5" s="202" t="s">
        <v>774</v>
      </c>
      <c r="K5" s="203" t="s">
        <v>775</v>
      </c>
      <c r="L5" s="3" t="n">
        <v>2</v>
      </c>
      <c r="M5" s="202" t="s">
        <v>776</v>
      </c>
      <c r="N5" s="3" t="b">
        <v>1</v>
      </c>
      <c r="O5" s="3" t="b">
        <v>0</v>
      </c>
    </row>
    <row r="6">
      <c r="A6" s="3" t="s">
        <v>254</v>
      </c>
      <c r="B6" s="3" t="s">
        <v>418</v>
      </c>
      <c r="C6" s="3" t="s">
        <v>250</v>
      </c>
      <c r="D6" s="3" t="s">
        <v>252</v>
      </c>
      <c r="E6" s="3" t="s">
        <v>766</v>
      </c>
      <c r="F6" s="3" t="s">
        <v>255</v>
      </c>
      <c r="G6" s="3" t="n">
        <v>1</v>
      </c>
      <c r="H6" s="3" t="s">
        <v>250</v>
      </c>
      <c r="I6" s="202" t="s">
        <v>773</v>
      </c>
      <c r="J6" s="202" t="s">
        <v>774</v>
      </c>
      <c r="K6" s="203" t="s">
        <v>775</v>
      </c>
      <c r="L6" s="3" t="n">
        <v>3</v>
      </c>
      <c r="M6" s="202" t="s">
        <v>776</v>
      </c>
      <c r="N6" s="3" t="b">
        <v>1</v>
      </c>
      <c r="O6" s="3" t="b">
        <v>0</v>
      </c>
    </row>
    <row r="7">
      <c r="A7" s="3" t="s">
        <v>322</v>
      </c>
      <c r="B7" s="3" t="s">
        <v>777</v>
      </c>
      <c r="C7" s="3" t="s">
        <v>322</v>
      </c>
      <c r="D7" s="3" t="s">
        <v>323</v>
      </c>
      <c r="E7" s="3" t="s">
        <v>772</v>
      </c>
      <c r="F7" s="3" t="s">
        <v>232</v>
      </c>
      <c r="G7" s="3" t="n">
        <v>1</v>
      </c>
      <c r="H7" s="3" t="s">
        <v>322</v>
      </c>
      <c r="I7" s="202" t="s">
        <v>767</v>
      </c>
      <c r="J7" s="202" t="s">
        <v>768</v>
      </c>
      <c r="K7" s="203" t="s">
        <v>769</v>
      </c>
      <c r="L7" s="3" t="n">
        <v>1</v>
      </c>
      <c r="M7" s="202" t="s">
        <v>778</v>
      </c>
      <c r="N7" s="3" t="b">
        <v>0</v>
      </c>
      <c r="O7" s="3" t="b">
        <v>0</v>
      </c>
    </row>
    <row r="8">
      <c r="A8" s="3" t="s">
        <v>327</v>
      </c>
      <c r="B8" s="3" t="s">
        <v>779</v>
      </c>
      <c r="C8" s="3" t="s">
        <v>325</v>
      </c>
      <c r="D8" s="3" t="s">
        <v>780</v>
      </c>
      <c r="E8" s="3" t="s">
        <v>781</v>
      </c>
      <c r="F8" s="3" t="s">
        <v>255</v>
      </c>
      <c r="G8" s="3" t="n">
        <v>1</v>
      </c>
      <c r="H8" s="3" t="s">
        <v>325</v>
      </c>
      <c r="I8" s="202" t="s">
        <v>773</v>
      </c>
      <c r="J8" s="202" t="s">
        <v>774</v>
      </c>
      <c r="K8" s="203" t="s">
        <v>775</v>
      </c>
      <c r="L8" s="3" t="n">
        <v>1</v>
      </c>
      <c r="M8" s="202" t="s">
        <v>782</v>
      </c>
      <c r="N8" s="3" t="b">
        <v>0</v>
      </c>
      <c r="O8" s="3" t="b">
        <v>0</v>
      </c>
    </row>
    <row r="9">
      <c r="A9" s="3" t="s">
        <v>327</v>
      </c>
      <c r="B9" s="3" t="s">
        <v>779</v>
      </c>
      <c r="C9" s="3" t="s">
        <v>329</v>
      </c>
      <c r="D9" s="3" t="s">
        <v>783</v>
      </c>
      <c r="E9" s="3" t="s">
        <v>781</v>
      </c>
      <c r="F9" s="3" t="s">
        <v>255</v>
      </c>
      <c r="G9" s="3" t="n">
        <v>1</v>
      </c>
      <c r="H9" s="3" t="s">
        <v>329</v>
      </c>
      <c r="I9" s="202" t="s">
        <v>773</v>
      </c>
      <c r="J9" s="202" t="s">
        <v>774</v>
      </c>
      <c r="K9" s="203" t="s">
        <v>775</v>
      </c>
      <c r="L9" s="3" t="n">
        <v>2</v>
      </c>
      <c r="M9" s="202" t="s">
        <v>782</v>
      </c>
      <c r="N9" s="3" t="b">
        <v>0</v>
      </c>
      <c r="O9" s="3" t="b">
        <v>0</v>
      </c>
    </row>
    <row r="10">
      <c r="A10" s="3" t="s">
        <v>327</v>
      </c>
      <c r="B10" s="3" t="s">
        <v>779</v>
      </c>
      <c r="C10" s="3" t="s">
        <v>332</v>
      </c>
      <c r="D10" s="3" t="s">
        <v>784</v>
      </c>
      <c r="E10" s="3" t="s">
        <v>781</v>
      </c>
      <c r="F10" s="3" t="s">
        <v>255</v>
      </c>
      <c r="G10" s="3" t="n">
        <v>1</v>
      </c>
      <c r="H10" s="3" t="s">
        <v>332</v>
      </c>
      <c r="I10" s="202" t="s">
        <v>773</v>
      </c>
      <c r="J10" s="202" t="s">
        <v>774</v>
      </c>
      <c r="K10" s="203" t="s">
        <v>775</v>
      </c>
      <c r="L10" s="3" t="n">
        <v>3</v>
      </c>
      <c r="M10" s="202" t="s">
        <v>782</v>
      </c>
      <c r="N10" s="3" t="b">
        <v>0</v>
      </c>
      <c r="O10" s="3" t="b">
        <v>0</v>
      </c>
    </row>
    <row r="11">
      <c r="A11" s="3" t="s">
        <v>327</v>
      </c>
      <c r="B11" s="3" t="s">
        <v>779</v>
      </c>
      <c r="C11" s="3" t="s">
        <v>335</v>
      </c>
      <c r="D11" s="3" t="s">
        <v>785</v>
      </c>
      <c r="E11" s="3" t="s">
        <v>781</v>
      </c>
      <c r="F11" s="3" t="s">
        <v>255</v>
      </c>
      <c r="G11" s="3" t="n">
        <v>1</v>
      </c>
      <c r="H11" s="3" t="s">
        <v>335</v>
      </c>
      <c r="I11" s="202" t="s">
        <v>773</v>
      </c>
      <c r="J11" s="202" t="s">
        <v>774</v>
      </c>
      <c r="K11" s="203" t="s">
        <v>775</v>
      </c>
      <c r="L11" s="3" t="n">
        <v>4</v>
      </c>
      <c r="M11" s="202" t="s">
        <v>782</v>
      </c>
      <c r="N11" s="3" t="b">
        <v>0</v>
      </c>
      <c r="O11" s="3" t="b">
        <v>0</v>
      </c>
    </row>
    <row r="12">
      <c r="A12" s="3" t="s">
        <v>338</v>
      </c>
      <c r="B12" s="3" t="s">
        <v>786</v>
      </c>
      <c r="C12" s="3" t="s">
        <v>338</v>
      </c>
      <c r="D12" s="3" t="s">
        <v>787</v>
      </c>
      <c r="E12" s="3" t="s">
        <v>781</v>
      </c>
      <c r="F12" s="3" t="s">
        <v>232</v>
      </c>
      <c r="G12" s="3" t="n">
        <v>1</v>
      </c>
      <c r="H12" s="3" t="s">
        <v>338</v>
      </c>
      <c r="I12" s="202" t="s">
        <v>767</v>
      </c>
      <c r="J12" s="202" t="s">
        <v>768</v>
      </c>
      <c r="K12" s="203" t="s">
        <v>769</v>
      </c>
      <c r="L12" s="3" t="n">
        <v>1</v>
      </c>
      <c r="M12" s="202" t="s">
        <v>788</v>
      </c>
      <c r="N12" s="3" t="b">
        <v>0</v>
      </c>
      <c r="O12" s="3" t="b">
        <v>0</v>
      </c>
    </row>
    <row r="13">
      <c r="A13" s="3" t="s">
        <v>341</v>
      </c>
      <c r="B13" s="3" t="s">
        <v>789</v>
      </c>
      <c r="C13" s="3" t="s">
        <v>341</v>
      </c>
      <c r="D13" s="3" t="s">
        <v>790</v>
      </c>
      <c r="E13" s="3" t="s">
        <v>781</v>
      </c>
      <c r="F13" s="3" t="s">
        <v>232</v>
      </c>
      <c r="G13" s="3" t="n">
        <v>1</v>
      </c>
      <c r="H13" s="3" t="s">
        <v>341</v>
      </c>
      <c r="I13" s="202" t="s">
        <v>767</v>
      </c>
      <c r="J13" s="202" t="s">
        <v>768</v>
      </c>
      <c r="K13" s="203" t="s">
        <v>769</v>
      </c>
      <c r="L13" s="3" t="n">
        <v>1</v>
      </c>
      <c r="M13" s="202" t="s">
        <v>770</v>
      </c>
      <c r="N13" s="3" t="b">
        <v>0</v>
      </c>
      <c r="O13" s="3" t="b">
        <v>0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4.71" hidden="0" customWidth="1"/>
    <col min="2" max="2" width="11.71" hidden="0" customWidth="1"/>
    <col min="3" max="3" width="18.71" hidden="0" customWidth="1"/>
    <col min="4" max="4" width="15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  <col min="9" max="9" width="13.71" hidden="0" customWidth="1"/>
    <col min="10" max="10" width="21.71" hidden="0" customWidth="1"/>
    <col min="11" max="11" width="20.71" hidden="0" customWidth="1"/>
    <col min="12" max="12" width="22.71" hidden="0" customWidth="1"/>
    <col min="13" max="13" width="21.71" hidden="0" customWidth="1"/>
    <col min="14" max="14" width="12.71" hidden="0" customWidth="1"/>
    <col min="15" max="15" width="11.71" hidden="0" customWidth="1"/>
    <col min="16" max="16" width="24.71" hidden="0" customWidth="1"/>
    <col min="17" max="17" width="11.71" hidden="0" customWidth="1"/>
  </cols>
  <sheetData>
    <row r="1" ht="28" customHeight="1">
      <c r="A1" s="1" t="s">
        <v>791</v>
      </c>
      <c r="B1" s="1" t="s">
        <v>195</v>
      </c>
      <c r="C1" s="1" t="s">
        <v>792</v>
      </c>
      <c r="D1" s="1" t="s">
        <v>793</v>
      </c>
      <c r="E1" s="1" t="s">
        <v>794</v>
      </c>
      <c r="F1" s="1" t="s">
        <v>795</v>
      </c>
      <c r="G1" s="1" t="s">
        <v>796</v>
      </c>
      <c r="H1" s="1" t="s">
        <v>196</v>
      </c>
      <c r="I1" s="1" t="s">
        <v>797</v>
      </c>
      <c r="J1" s="1" t="s">
        <v>798</v>
      </c>
      <c r="K1" s="1" t="s">
        <v>799</v>
      </c>
      <c r="L1" s="1" t="s">
        <v>800</v>
      </c>
      <c r="M1" s="1" t="s">
        <v>801</v>
      </c>
      <c r="N1" s="1" t="s">
        <v>802</v>
      </c>
      <c r="O1" s="1" t="s">
        <v>5</v>
      </c>
      <c r="P1" s="1" t="s">
        <v>803</v>
      </c>
      <c r="Q1" s="1" t="s">
        <v>391</v>
      </c>
    </row>
    <row r="2">
      <c r="A2" s="3" t="s">
        <v>804</v>
      </c>
      <c r="B2" s="3" t="s">
        <v>222</v>
      </c>
      <c r="C2" s="3" t="s">
        <v>805</v>
      </c>
      <c r="D2" s="202" t="s">
        <v>806</v>
      </c>
      <c r="E2" s="3" t="n">
        <v>20</v>
      </c>
      <c r="F2" s="3" t="n">
        <v>95</v>
      </c>
      <c r="G2" s="3" t="s">
        <v>807</v>
      </c>
      <c r="H2" s="3" t="s">
        <v>243</v>
      </c>
      <c r="I2" s="3" t="s">
        <v>808</v>
      </c>
      <c r="J2" s="204" t="n">
        <v>1.6</v>
      </c>
      <c r="K2" s="3" t="s">
        <v>809</v>
      </c>
      <c r="L2" s="205" t="n">
        <v>1.6</v>
      </c>
      <c r="M2" s="3" t="s">
        <v>809</v>
      </c>
      <c r="N2" s="202" t="s">
        <v>810</v>
      </c>
      <c r="O2" s="202" t="s">
        <v>811</v>
      </c>
      <c r="P2" s="206" t="n">
        <v>1</v>
      </c>
      <c r="Q2" s="202" t="s">
        <v>812</v>
      </c>
    </row>
    <row r="3">
      <c r="A3" s="3" t="s">
        <v>813</v>
      </c>
      <c r="B3" s="3" t="s">
        <v>222</v>
      </c>
      <c r="C3" s="3" t="s">
        <v>805</v>
      </c>
      <c r="D3" s="202" t="s">
        <v>814</v>
      </c>
      <c r="E3" s="3" t="n">
        <v>20</v>
      </c>
      <c r="F3" s="3" t="n">
        <v>95</v>
      </c>
      <c r="G3" s="3" t="s">
        <v>807</v>
      </c>
      <c r="H3" s="3" t="s">
        <v>247</v>
      </c>
      <c r="I3" s="3" t="s">
        <v>815</v>
      </c>
      <c r="J3" s="204" t="n">
        <v>1.38</v>
      </c>
      <c r="K3" s="3" t="s">
        <v>809</v>
      </c>
      <c r="L3" s="205" t="n">
        <v>1.38</v>
      </c>
      <c r="M3" s="3" t="s">
        <v>809</v>
      </c>
      <c r="N3" s="202" t="s">
        <v>810</v>
      </c>
      <c r="O3" s="202" t="s">
        <v>811</v>
      </c>
      <c r="P3" s="206" t="n">
        <v>1</v>
      </c>
      <c r="Q3" s="202" t="s">
        <v>816</v>
      </c>
    </row>
    <row r="4">
      <c r="A4" s="3" t="s">
        <v>817</v>
      </c>
      <c r="B4" s="3" t="s">
        <v>222</v>
      </c>
      <c r="C4" s="3" t="s">
        <v>805</v>
      </c>
      <c r="D4" s="202" t="s">
        <v>818</v>
      </c>
      <c r="E4" s="3" t="n">
        <v>20</v>
      </c>
      <c r="F4" s="3" t="n">
        <v>95</v>
      </c>
      <c r="G4" s="3" t="s">
        <v>807</v>
      </c>
      <c r="H4" s="3" t="s">
        <v>234</v>
      </c>
      <c r="I4" s="3" t="s">
        <v>819</v>
      </c>
      <c r="J4" s="204" t="n">
        <v>1.19</v>
      </c>
      <c r="K4" s="3" t="s">
        <v>809</v>
      </c>
      <c r="L4" s="205" t="n">
        <v>1.19</v>
      </c>
      <c r="M4" s="3" t="s">
        <v>809</v>
      </c>
      <c r="N4" s="202" t="s">
        <v>810</v>
      </c>
      <c r="O4" s="202" t="s">
        <v>811</v>
      </c>
      <c r="P4" s="206" t="n">
        <v>1</v>
      </c>
      <c r="Q4" s="202" t="s">
        <v>820</v>
      </c>
    </row>
    <row r="5">
      <c r="A5" s="3" t="s">
        <v>821</v>
      </c>
      <c r="B5" s="3" t="s">
        <v>222</v>
      </c>
      <c r="C5" s="3" t="s">
        <v>805</v>
      </c>
      <c r="D5" s="202" t="s">
        <v>822</v>
      </c>
      <c r="E5" s="3" t="n">
        <v>20</v>
      </c>
      <c r="F5" s="3" t="n">
        <v>95</v>
      </c>
      <c r="G5" s="3" t="s">
        <v>807</v>
      </c>
      <c r="H5" s="3" t="s">
        <v>223</v>
      </c>
      <c r="I5" s="3" t="s">
        <v>823</v>
      </c>
      <c r="J5" s="204" t="n">
        <v>1.37</v>
      </c>
      <c r="K5" s="3" t="s">
        <v>809</v>
      </c>
      <c r="L5" s="205" t="n">
        <v>1.37</v>
      </c>
      <c r="M5" s="3" t="s">
        <v>809</v>
      </c>
      <c r="N5" s="202" t="s">
        <v>810</v>
      </c>
      <c r="O5" s="202" t="s">
        <v>824</v>
      </c>
      <c r="P5" s="206" t="n">
        <v>1</v>
      </c>
      <c r="Q5" s="202" t="s">
        <v>825</v>
      </c>
    </row>
    <row r="6">
      <c r="A6" s="3" t="s">
        <v>826</v>
      </c>
      <c r="B6" s="3" t="s">
        <v>353</v>
      </c>
      <c r="C6" s="3" t="s">
        <v>805</v>
      </c>
      <c r="D6" s="202" t="s">
        <v>827</v>
      </c>
      <c r="E6" s="3" t="n">
        <v>20</v>
      </c>
      <c r="F6" s="3" t="n">
        <v>95</v>
      </c>
      <c r="G6" s="3" t="s">
        <v>807</v>
      </c>
      <c r="H6" s="3" t="s">
        <v>243</v>
      </c>
      <c r="I6" s="3" t="s">
        <v>808</v>
      </c>
      <c r="J6" s="204" t="n">
        <v>1.06</v>
      </c>
      <c r="K6" s="3" t="s">
        <v>828</v>
      </c>
      <c r="L6" s="205" t="n">
        <v>1.00888038497497</v>
      </c>
      <c r="M6" s="3" t="s">
        <v>829</v>
      </c>
      <c r="N6" s="202" t="s">
        <v>830</v>
      </c>
      <c r="O6" s="202" t="s">
        <v>831</v>
      </c>
      <c r="P6" s="206" t="n">
        <v>1</v>
      </c>
      <c r="Q6" s="202" t="s">
        <v>832</v>
      </c>
    </row>
    <row r="7">
      <c r="A7" s="3" t="s">
        <v>833</v>
      </c>
      <c r="B7" s="3" t="s">
        <v>353</v>
      </c>
      <c r="C7" s="3" t="s">
        <v>805</v>
      </c>
      <c r="D7" s="202" t="s">
        <v>834</v>
      </c>
      <c r="E7" s="3" t="n">
        <v>20</v>
      </c>
      <c r="F7" s="3" t="n">
        <v>95</v>
      </c>
      <c r="G7" s="3" t="s">
        <v>807</v>
      </c>
      <c r="H7" s="3" t="s">
        <v>247</v>
      </c>
      <c r="I7" s="3" t="s">
        <v>815</v>
      </c>
      <c r="J7" s="204" t="n">
        <v>1.14</v>
      </c>
      <c r="K7" s="3" t="s">
        <v>828</v>
      </c>
      <c r="L7" s="205" t="n">
        <v>1.02007996271888</v>
      </c>
      <c r="M7" s="3" t="s">
        <v>829</v>
      </c>
      <c r="N7" s="202" t="s">
        <v>830</v>
      </c>
      <c r="O7" s="202" t="s">
        <v>831</v>
      </c>
      <c r="P7" s="206" t="n">
        <v>1</v>
      </c>
      <c r="Q7" s="202" t="s">
        <v>835</v>
      </c>
    </row>
    <row r="8">
      <c r="A8" s="3" t="s">
        <v>836</v>
      </c>
      <c r="B8" s="3" t="s">
        <v>353</v>
      </c>
      <c r="C8" s="3" t="s">
        <v>805</v>
      </c>
      <c r="D8" s="202" t="s">
        <v>837</v>
      </c>
      <c r="E8" s="3" t="n">
        <v>20</v>
      </c>
      <c r="F8" s="3" t="n">
        <v>95</v>
      </c>
      <c r="G8" s="3" t="s">
        <v>807</v>
      </c>
      <c r="H8" s="3" t="s">
        <v>234</v>
      </c>
      <c r="I8" s="3" t="s">
        <v>819</v>
      </c>
      <c r="J8" s="204" t="n">
        <v>1.14</v>
      </c>
      <c r="K8" s="3" t="s">
        <v>828</v>
      </c>
      <c r="L8" s="205" t="n">
        <v>1.02007996271888</v>
      </c>
      <c r="M8" s="3" t="s">
        <v>829</v>
      </c>
      <c r="N8" s="202" t="s">
        <v>830</v>
      </c>
      <c r="O8" s="202" t="s">
        <v>831</v>
      </c>
      <c r="P8" s="206" t="n">
        <v>1</v>
      </c>
      <c r="Q8" s="202" t="s">
        <v>835</v>
      </c>
    </row>
    <row r="9">
      <c r="A9" s="3" t="s">
        <v>838</v>
      </c>
      <c r="B9" s="3" t="s">
        <v>353</v>
      </c>
      <c r="C9" s="3" t="s">
        <v>805</v>
      </c>
      <c r="D9" s="202" t="s">
        <v>839</v>
      </c>
      <c r="E9" s="3" t="n">
        <v>20</v>
      </c>
      <c r="F9" s="3" t="n">
        <v>95</v>
      </c>
      <c r="G9" s="3" t="s">
        <v>807</v>
      </c>
      <c r="H9" s="3" t="s">
        <v>840</v>
      </c>
      <c r="I9" s="3" t="s">
        <v>841</v>
      </c>
      <c r="J9" s="204" t="n">
        <v>1.24</v>
      </c>
      <c r="K9" s="3" t="s">
        <v>828</v>
      </c>
      <c r="L9" s="205" t="n">
        <v>1.03317751043574</v>
      </c>
      <c r="M9" s="3" t="s">
        <v>829</v>
      </c>
      <c r="N9" s="202" t="s">
        <v>830</v>
      </c>
      <c r="O9" s="202" t="s">
        <v>831</v>
      </c>
      <c r="P9" s="206" t="n">
        <v>1</v>
      </c>
      <c r="Q9" s="202" t="s">
        <v>842</v>
      </c>
    </row>
    <row r="10">
      <c r="A10" s="3" t="s">
        <v>843</v>
      </c>
      <c r="B10" s="3" t="s">
        <v>353</v>
      </c>
      <c r="C10" s="3" t="s">
        <v>805</v>
      </c>
      <c r="D10" s="202" t="s">
        <v>844</v>
      </c>
      <c r="E10" s="3" t="n">
        <v>20</v>
      </c>
      <c r="F10" s="3" t="n">
        <v>95</v>
      </c>
      <c r="G10" s="3" t="s">
        <v>807</v>
      </c>
      <c r="H10" s="3" t="s">
        <v>845</v>
      </c>
      <c r="I10" s="3" t="s">
        <v>846</v>
      </c>
      <c r="J10" s="204" t="n">
        <v>1.09</v>
      </c>
      <c r="K10" s="3" t="s">
        <v>828</v>
      </c>
      <c r="L10" s="205" t="n">
        <v>1.01316167035158</v>
      </c>
      <c r="M10" s="3" t="s">
        <v>829</v>
      </c>
      <c r="N10" s="202" t="s">
        <v>830</v>
      </c>
      <c r="O10" s="202" t="s">
        <v>831</v>
      </c>
      <c r="P10" s="206" t="n">
        <v>1</v>
      </c>
      <c r="Q10" s="202" t="s">
        <v>847</v>
      </c>
    </row>
    <row r="11">
      <c r="A11" s="3" t="s">
        <v>848</v>
      </c>
      <c r="B11" s="3" t="s">
        <v>222</v>
      </c>
      <c r="C11" s="3" t="s">
        <v>849</v>
      </c>
      <c r="D11" s="202" t="s">
        <v>850</v>
      </c>
      <c r="E11" s="3" t="n">
        <v>20</v>
      </c>
      <c r="F11" s="3" t="n">
        <v>95</v>
      </c>
      <c r="G11" s="3" t="s">
        <v>807</v>
      </c>
      <c r="H11" s="3" t="s">
        <v>851</v>
      </c>
      <c r="I11" s="3" t="s">
        <v>852</v>
      </c>
      <c r="J11" s="204" t="n">
        <v>0.0616</v>
      </c>
      <c r="K11" s="3" t="s">
        <v>853</v>
      </c>
      <c r="L11" s="205" t="n">
        <v>0.0616</v>
      </c>
      <c r="M11" s="3" t="s">
        <v>853</v>
      </c>
      <c r="N11" s="202" t="s">
        <v>854</v>
      </c>
      <c r="O11" s="202" t="s">
        <v>855</v>
      </c>
      <c r="P11" s="206" t="n">
        <v>0</v>
      </c>
      <c r="Q11" s="202" t="s">
        <v>856</v>
      </c>
    </row>
    <row r="12">
      <c r="A12" s="3" t="s">
        <v>857</v>
      </c>
      <c r="B12" s="3" t="s">
        <v>222</v>
      </c>
      <c r="C12" s="3" t="s">
        <v>805</v>
      </c>
      <c r="D12" s="202" t="s">
        <v>858</v>
      </c>
      <c r="E12" s="3" t="n">
        <v>20</v>
      </c>
      <c r="F12" s="3" t="n">
        <v>95</v>
      </c>
      <c r="G12" s="3" t="s">
        <v>807</v>
      </c>
      <c r="H12" s="3" t="s">
        <v>223</v>
      </c>
      <c r="I12" s="3" t="s">
        <v>823</v>
      </c>
      <c r="J12" s="204" t="n">
        <v>0.47</v>
      </c>
      <c r="K12" s="3" t="s">
        <v>859</v>
      </c>
      <c r="L12" s="205" t="n">
        <v>0.0615144568129612</v>
      </c>
      <c r="M12" s="3" t="s">
        <v>860</v>
      </c>
      <c r="N12" s="202" t="s">
        <v>861</v>
      </c>
      <c r="O12" s="202" t="s">
        <v>862</v>
      </c>
      <c r="P12" s="206" t="n">
        <v>1</v>
      </c>
      <c r="Q12" s="202" t="s">
        <v>241</v>
      </c>
    </row>
    <row r="13">
      <c r="A13" s="3" t="s">
        <v>863</v>
      </c>
      <c r="B13" s="3" t="s">
        <v>358</v>
      </c>
      <c r="C13" s="3" t="s">
        <v>805</v>
      </c>
      <c r="D13" s="202" t="s">
        <v>864</v>
      </c>
      <c r="E13" s="3" t="n">
        <v>0</v>
      </c>
      <c r="F13" s="3" t="n">
        <v>95</v>
      </c>
      <c r="G13" s="3" t="s">
        <v>807</v>
      </c>
      <c r="H13" s="3" t="s">
        <v>865</v>
      </c>
      <c r="I13" s="3" t="s">
        <v>852</v>
      </c>
      <c r="J13" s="204" t="n">
        <v>1.06</v>
      </c>
      <c r="K13" s="3" t="s">
        <v>866</v>
      </c>
      <c r="L13" s="205" t="n">
        <v>1.06</v>
      </c>
      <c r="M13" s="3" t="s">
        <v>866</v>
      </c>
      <c r="N13" s="202" t="s">
        <v>810</v>
      </c>
      <c r="O13" s="202" t="s">
        <v>867</v>
      </c>
      <c r="P13" s="206" t="n">
        <v>1</v>
      </c>
      <c r="Q13" s="202" t="s">
        <v>868</v>
      </c>
    </row>
    <row r="14">
      <c r="A14" s="3" t="s">
        <v>869</v>
      </c>
      <c r="B14" s="3" t="s">
        <v>365</v>
      </c>
      <c r="C14" s="3" t="s">
        <v>805</v>
      </c>
      <c r="D14" s="202" t="s">
        <v>870</v>
      </c>
      <c r="E14" s="3" t="n">
        <v>0</v>
      </c>
      <c r="F14" s="3" t="n">
        <v>95</v>
      </c>
      <c r="G14" s="3" t="s">
        <v>807</v>
      </c>
      <c r="H14" s="3" t="s">
        <v>243</v>
      </c>
      <c r="I14" s="3" t="s">
        <v>808</v>
      </c>
      <c r="J14" s="204" t="n">
        <v>1.1</v>
      </c>
      <c r="K14" s="3" t="s">
        <v>871</v>
      </c>
      <c r="L14" s="205" t="n">
        <v>1.1</v>
      </c>
      <c r="M14" s="3" t="s">
        <v>872</v>
      </c>
      <c r="N14" s="202" t="s">
        <v>873</v>
      </c>
      <c r="O14" s="202" t="s">
        <v>874</v>
      </c>
      <c r="P14" s="206" t="n">
        <v>1</v>
      </c>
      <c r="Q14" s="202" t="s">
        <v>875</v>
      </c>
    </row>
    <row r="15">
      <c r="A15" s="3" t="s">
        <v>876</v>
      </c>
      <c r="B15" s="3" t="s">
        <v>365</v>
      </c>
      <c r="C15" s="3" t="s">
        <v>877</v>
      </c>
      <c r="D15" s="202" t="s">
        <v>878</v>
      </c>
      <c r="E15" s="3" t="n">
        <v>0</v>
      </c>
      <c r="F15" s="3" t="n">
        <v>95</v>
      </c>
      <c r="G15" s="3" t="s">
        <v>807</v>
      </c>
      <c r="H15" s="3" t="s">
        <v>243</v>
      </c>
      <c r="I15" s="3" t="s">
        <v>808</v>
      </c>
      <c r="J15" s="204" t="n">
        <v>0</v>
      </c>
      <c r="K15" s="3" t="s">
        <v>66</v>
      </c>
      <c r="L15" s="205" t="n">
        <v>0</v>
      </c>
      <c r="M15" s="3" t="s">
        <v>66</v>
      </c>
      <c r="N15" s="202" t="s">
        <v>879</v>
      </c>
      <c r="O15" s="202" t="s">
        <v>880</v>
      </c>
      <c r="P15" s="206" t="n">
        <v>0</v>
      </c>
      <c r="Q15" s="202" t="s">
        <v>881</v>
      </c>
    </row>
    <row r="16">
      <c r="A16" s="3" t="s">
        <v>882</v>
      </c>
      <c r="B16" s="3" t="s">
        <v>365</v>
      </c>
      <c r="C16" s="3" t="s">
        <v>883</v>
      </c>
      <c r="D16" s="202" t="s">
        <v>884</v>
      </c>
      <c r="E16" s="3" t="n">
        <v>0</v>
      </c>
      <c r="F16" s="3" t="n">
        <v>95</v>
      </c>
      <c r="G16" s="3" t="s">
        <v>807</v>
      </c>
      <c r="H16" s="3" t="s">
        <v>243</v>
      </c>
      <c r="I16" s="3" t="s">
        <v>885</v>
      </c>
      <c r="J16" s="204" t="n">
        <v>1</v>
      </c>
      <c r="K16" s="3" t="s">
        <v>886</v>
      </c>
      <c r="L16" s="205" t="n">
        <v>1</v>
      </c>
      <c r="M16" s="3" t="s">
        <v>886</v>
      </c>
      <c r="N16" s="202" t="s">
        <v>887</v>
      </c>
      <c r="O16" s="202" t="s">
        <v>888</v>
      </c>
      <c r="P16" s="206" t="n">
        <v>0</v>
      </c>
      <c r="Q16" s="202" t="s">
        <v>889</v>
      </c>
    </row>
    <row r="17">
      <c r="A17" s="3" t="s">
        <v>890</v>
      </c>
      <c r="B17" s="3" t="s">
        <v>365</v>
      </c>
      <c r="C17" s="3" t="s">
        <v>883</v>
      </c>
      <c r="D17" s="202" t="s">
        <v>891</v>
      </c>
      <c r="E17" s="3" t="n">
        <v>0</v>
      </c>
      <c r="F17" s="3" t="n">
        <v>95</v>
      </c>
      <c r="G17" s="3" t="s">
        <v>807</v>
      </c>
      <c r="H17" s="3" t="s">
        <v>243</v>
      </c>
      <c r="I17" s="3" t="s">
        <v>885</v>
      </c>
      <c r="J17" s="204" t="n">
        <v>1</v>
      </c>
      <c r="K17" s="3" t="s">
        <v>886</v>
      </c>
      <c r="L17" s="205" t="n">
        <v>1</v>
      </c>
      <c r="M17" s="3" t="s">
        <v>886</v>
      </c>
      <c r="N17" s="202" t="s">
        <v>887</v>
      </c>
      <c r="O17" s="202" t="s">
        <v>888</v>
      </c>
      <c r="P17" s="206" t="n">
        <v>0</v>
      </c>
      <c r="Q17" s="202" t="s">
        <v>889</v>
      </c>
    </row>
    <row r="18">
      <c r="A18" s="3" t="s">
        <v>892</v>
      </c>
      <c r="B18" s="3" t="s">
        <v>365</v>
      </c>
      <c r="C18" s="3" t="s">
        <v>883</v>
      </c>
      <c r="D18" s="202" t="s">
        <v>893</v>
      </c>
      <c r="E18" s="3" t="n">
        <v>0</v>
      </c>
      <c r="F18" s="3" t="n">
        <v>95</v>
      </c>
      <c r="G18" s="3" t="s">
        <v>807</v>
      </c>
      <c r="H18" s="3" t="s">
        <v>243</v>
      </c>
      <c r="I18" s="3" t="s">
        <v>885</v>
      </c>
      <c r="J18" s="204" t="n">
        <v>1</v>
      </c>
      <c r="K18" s="3" t="s">
        <v>886</v>
      </c>
      <c r="L18" s="205" t="n">
        <v>1</v>
      </c>
      <c r="M18" s="3" t="s">
        <v>886</v>
      </c>
      <c r="N18" s="202" t="s">
        <v>887</v>
      </c>
      <c r="O18" s="202" t="s">
        <v>888</v>
      </c>
      <c r="P18" s="206" t="n">
        <v>0</v>
      </c>
      <c r="Q18" s="202" t="s">
        <v>889</v>
      </c>
    </row>
    <row r="19">
      <c r="A19" s="3" t="s">
        <v>894</v>
      </c>
      <c r="B19" s="3" t="s">
        <v>365</v>
      </c>
      <c r="C19" s="3" t="s">
        <v>883</v>
      </c>
      <c r="D19" s="202" t="s">
        <v>895</v>
      </c>
      <c r="E19" s="3" t="n">
        <v>0</v>
      </c>
      <c r="F19" s="3" t="n">
        <v>95</v>
      </c>
      <c r="G19" s="3" t="s">
        <v>807</v>
      </c>
      <c r="H19" s="3" t="s">
        <v>243</v>
      </c>
      <c r="I19" s="3" t="s">
        <v>885</v>
      </c>
      <c r="J19" s="204" t="n">
        <v>0.297</v>
      </c>
      <c r="K19" s="3" t="s">
        <v>886</v>
      </c>
      <c r="L19" s="205" t="n">
        <v>0.297</v>
      </c>
      <c r="M19" s="3" t="s">
        <v>886</v>
      </c>
      <c r="N19" s="202" t="s">
        <v>887</v>
      </c>
      <c r="O19" s="202" t="s">
        <v>888</v>
      </c>
      <c r="P19" s="206" t="n">
        <v>0</v>
      </c>
      <c r="Q19" s="202" t="s">
        <v>889</v>
      </c>
    </row>
    <row r="20">
      <c r="A20" s="3" t="s">
        <v>896</v>
      </c>
      <c r="B20" s="3" t="s">
        <v>365</v>
      </c>
      <c r="C20" s="3" t="s">
        <v>883</v>
      </c>
      <c r="D20" s="202" t="s">
        <v>897</v>
      </c>
      <c r="E20" s="3" t="n">
        <v>0</v>
      </c>
      <c r="F20" s="3" t="n">
        <v>95</v>
      </c>
      <c r="G20" s="3" t="s">
        <v>807</v>
      </c>
      <c r="H20" s="3" t="s">
        <v>243</v>
      </c>
      <c r="I20" s="3" t="s">
        <v>885</v>
      </c>
      <c r="J20" s="204" t="n">
        <v>0</v>
      </c>
      <c r="K20" s="3" t="s">
        <v>886</v>
      </c>
      <c r="L20" s="205" t="n">
        <v>0</v>
      </c>
      <c r="M20" s="3" t="s">
        <v>886</v>
      </c>
      <c r="N20" s="202" t="s">
        <v>887</v>
      </c>
      <c r="O20" s="202" t="s">
        <v>888</v>
      </c>
      <c r="P20" s="206" t="n">
        <v>0</v>
      </c>
      <c r="Q20" s="202" t="s">
        <v>889</v>
      </c>
    </row>
    <row r="21">
      <c r="A21" s="3" t="s">
        <v>898</v>
      </c>
      <c r="B21" s="3" t="s">
        <v>361</v>
      </c>
      <c r="C21" s="3" t="s">
        <v>805</v>
      </c>
      <c r="D21" s="202" t="s">
        <v>899</v>
      </c>
      <c r="E21" s="3" t="n">
        <v>20</v>
      </c>
      <c r="F21" s="3" t="n">
        <v>95</v>
      </c>
      <c r="G21" s="3" t="s">
        <v>807</v>
      </c>
      <c r="H21" s="3" t="s">
        <v>243</v>
      </c>
      <c r="I21" s="3" t="s">
        <v>808</v>
      </c>
      <c r="J21" s="204" t="n">
        <v>1.14</v>
      </c>
      <c r="K21" s="3" t="s">
        <v>900</v>
      </c>
      <c r="L21" s="205" t="n">
        <v>1.14</v>
      </c>
      <c r="M21" s="3" t="s">
        <v>900</v>
      </c>
      <c r="N21" s="202" t="s">
        <v>901</v>
      </c>
      <c r="O21" s="202" t="s">
        <v>902</v>
      </c>
      <c r="P21" s="206" t="n">
        <v>1</v>
      </c>
      <c r="Q21" s="202" t="s">
        <v>903</v>
      </c>
    </row>
    <row r="22">
      <c r="A22" s="3" t="s">
        <v>904</v>
      </c>
      <c r="B22" s="3" t="s">
        <v>361</v>
      </c>
      <c r="C22" s="3" t="s">
        <v>805</v>
      </c>
      <c r="D22" s="202" t="s">
        <v>905</v>
      </c>
      <c r="E22" s="3" t="n">
        <v>20</v>
      </c>
      <c r="F22" s="3" t="n">
        <v>95</v>
      </c>
      <c r="G22" s="3" t="s">
        <v>807</v>
      </c>
      <c r="H22" s="3" t="s">
        <v>247</v>
      </c>
      <c r="I22" s="3" t="s">
        <v>815</v>
      </c>
      <c r="J22" s="204" t="n">
        <v>1.07</v>
      </c>
      <c r="K22" s="3" t="s">
        <v>900</v>
      </c>
      <c r="L22" s="205" t="n">
        <v>1.07</v>
      </c>
      <c r="M22" s="3" t="s">
        <v>900</v>
      </c>
      <c r="N22" s="202" t="s">
        <v>901</v>
      </c>
      <c r="O22" s="202" t="s">
        <v>902</v>
      </c>
      <c r="P22" s="206" t="n">
        <v>1</v>
      </c>
      <c r="Q22" s="202" t="s">
        <v>903</v>
      </c>
    </row>
    <row r="23">
      <c r="A23" s="3" t="s">
        <v>906</v>
      </c>
      <c r="B23" s="3" t="s">
        <v>361</v>
      </c>
      <c r="C23" s="3" t="s">
        <v>805</v>
      </c>
      <c r="D23" s="202" t="s">
        <v>907</v>
      </c>
      <c r="E23" s="3" t="n">
        <v>20</v>
      </c>
      <c r="F23" s="3" t="n">
        <v>95</v>
      </c>
      <c r="G23" s="3" t="s">
        <v>807</v>
      </c>
      <c r="H23" s="3" t="s">
        <v>234</v>
      </c>
      <c r="I23" s="3" t="s">
        <v>819</v>
      </c>
      <c r="J23" s="204" t="n">
        <v>1.08</v>
      </c>
      <c r="K23" s="3" t="s">
        <v>908</v>
      </c>
      <c r="L23" s="205" t="n">
        <v>1.08</v>
      </c>
      <c r="M23" s="3" t="s">
        <v>900</v>
      </c>
      <c r="N23" s="202" t="s">
        <v>909</v>
      </c>
      <c r="O23" s="202" t="s">
        <v>910</v>
      </c>
      <c r="P23" s="206" t="n">
        <v>1</v>
      </c>
      <c r="Q23" s="202" t="s">
        <v>241</v>
      </c>
    </row>
    <row r="24">
      <c r="A24" s="3" t="s">
        <v>911</v>
      </c>
      <c r="B24" s="3" t="s">
        <v>361</v>
      </c>
      <c r="C24" s="3" t="s">
        <v>805</v>
      </c>
      <c r="D24" s="202" t="s">
        <v>912</v>
      </c>
      <c r="E24" s="3" t="n">
        <v>20</v>
      </c>
      <c r="F24" s="3" t="n">
        <v>95</v>
      </c>
      <c r="G24" s="3" t="s">
        <v>807</v>
      </c>
      <c r="H24" s="3" t="s">
        <v>840</v>
      </c>
      <c r="I24" s="3" t="s">
        <v>841</v>
      </c>
      <c r="J24" s="204" t="n">
        <v>1.1</v>
      </c>
      <c r="K24" s="3" t="s">
        <v>913</v>
      </c>
      <c r="L24" s="205" t="n">
        <v>1.1</v>
      </c>
      <c r="M24" s="3" t="s">
        <v>900</v>
      </c>
      <c r="N24" s="202" t="s">
        <v>914</v>
      </c>
      <c r="O24" s="202" t="s">
        <v>915</v>
      </c>
      <c r="P24" s="206" t="n">
        <v>1</v>
      </c>
      <c r="Q24" s="202" t="s">
        <v>241</v>
      </c>
    </row>
    <row r="25">
      <c r="A25" s="3" t="s">
        <v>916</v>
      </c>
      <c r="B25" s="3" t="s">
        <v>361</v>
      </c>
      <c r="C25" s="3" t="s">
        <v>805</v>
      </c>
      <c r="D25" s="202" t="s">
        <v>917</v>
      </c>
      <c r="E25" s="3" t="n">
        <v>20</v>
      </c>
      <c r="F25" s="3" t="n">
        <v>95</v>
      </c>
      <c r="G25" s="3" t="s">
        <v>807</v>
      </c>
      <c r="H25" s="3" t="s">
        <v>223</v>
      </c>
      <c r="I25" s="3" t="s">
        <v>823</v>
      </c>
      <c r="J25" s="204" t="n">
        <v>1.18</v>
      </c>
      <c r="K25" s="3" t="s">
        <v>900</v>
      </c>
      <c r="L25" s="205" t="n">
        <v>1.18</v>
      </c>
      <c r="M25" s="3" t="s">
        <v>900</v>
      </c>
      <c r="N25" s="202" t="s">
        <v>901</v>
      </c>
      <c r="O25" s="202" t="s">
        <v>902</v>
      </c>
      <c r="P25" s="206" t="n">
        <v>1</v>
      </c>
      <c r="Q25" s="202" t="s">
        <v>903</v>
      </c>
    </row>
    <row r="26">
      <c r="A26" s="3" t="s">
        <v>918</v>
      </c>
      <c r="B26" s="3" t="s">
        <v>361</v>
      </c>
      <c r="C26" s="3" t="s">
        <v>883</v>
      </c>
      <c r="D26" s="202" t="s">
        <v>919</v>
      </c>
      <c r="E26" s="3" t="n">
        <v>20</v>
      </c>
      <c r="F26" s="3" t="n">
        <v>95</v>
      </c>
      <c r="G26" s="3" t="s">
        <v>807</v>
      </c>
      <c r="H26" s="3" t="s">
        <v>223</v>
      </c>
      <c r="I26" s="3" t="s">
        <v>920</v>
      </c>
      <c r="J26" s="204" t="n">
        <v>0.024</v>
      </c>
      <c r="K26" s="3" t="s">
        <v>921</v>
      </c>
      <c r="L26" s="205" t="n">
        <v>0.024</v>
      </c>
      <c r="M26" s="3" t="s">
        <v>66</v>
      </c>
      <c r="N26" s="202" t="s">
        <v>922</v>
      </c>
      <c r="O26" s="202" t="s">
        <v>902</v>
      </c>
      <c r="P26" s="206" t="n">
        <v>0</v>
      </c>
      <c r="Q26" s="202" t="s">
        <v>923</v>
      </c>
    </row>
    <row r="27">
      <c r="A27" s="3" t="s">
        <v>924</v>
      </c>
      <c r="B27" s="3" t="s">
        <v>361</v>
      </c>
      <c r="C27" s="3" t="s">
        <v>883</v>
      </c>
      <c r="D27" s="202" t="s">
        <v>925</v>
      </c>
      <c r="E27" s="3" t="n">
        <v>20</v>
      </c>
      <c r="F27" s="3" t="n">
        <v>95</v>
      </c>
      <c r="G27" s="3" t="s">
        <v>807</v>
      </c>
      <c r="H27" s="3" t="s">
        <v>926</v>
      </c>
      <c r="I27" s="3" t="s">
        <v>927</v>
      </c>
      <c r="J27" s="204" t="n">
        <v>0.009</v>
      </c>
      <c r="K27" s="3" t="s">
        <v>921</v>
      </c>
      <c r="L27" s="205" t="n">
        <v>0.009</v>
      </c>
      <c r="M27" s="3" t="s">
        <v>66</v>
      </c>
      <c r="N27" s="202" t="s">
        <v>922</v>
      </c>
      <c r="O27" s="202" t="s">
        <v>902</v>
      </c>
      <c r="P27" s="206" t="n">
        <v>0</v>
      </c>
      <c r="Q27" s="202" t="s">
        <v>923</v>
      </c>
    </row>
    <row r="28">
      <c r="A28" s="3" t="s">
        <v>928</v>
      </c>
      <c r="B28" s="3" t="s">
        <v>361</v>
      </c>
      <c r="C28" s="3" t="s">
        <v>883</v>
      </c>
      <c r="D28" s="202" t="s">
        <v>929</v>
      </c>
      <c r="E28" s="3" t="n">
        <v>20</v>
      </c>
      <c r="F28" s="3" t="n">
        <v>95</v>
      </c>
      <c r="G28" s="3" t="s">
        <v>807</v>
      </c>
      <c r="H28" s="3" t="s">
        <v>223</v>
      </c>
      <c r="I28" s="3" t="s">
        <v>930</v>
      </c>
      <c r="J28" s="204" t="n">
        <v>0.012</v>
      </c>
      <c r="K28" s="3" t="s">
        <v>921</v>
      </c>
      <c r="L28" s="205" t="n">
        <v>0.012</v>
      </c>
      <c r="M28" s="3" t="s">
        <v>66</v>
      </c>
      <c r="N28" s="202" t="s">
        <v>922</v>
      </c>
      <c r="O28" s="202" t="s">
        <v>902</v>
      </c>
      <c r="P28" s="206" t="n">
        <v>0</v>
      </c>
      <c r="Q28" s="202" t="s">
        <v>923</v>
      </c>
    </row>
    <row r="29">
      <c r="A29" s="3" t="s">
        <v>931</v>
      </c>
      <c r="B29" s="3" t="s">
        <v>361</v>
      </c>
      <c r="C29" s="3" t="s">
        <v>883</v>
      </c>
      <c r="D29" s="202" t="s">
        <v>932</v>
      </c>
      <c r="E29" s="3" t="n">
        <v>20</v>
      </c>
      <c r="F29" s="3" t="n">
        <v>95</v>
      </c>
      <c r="G29" s="3" t="s">
        <v>807</v>
      </c>
      <c r="H29" s="3" t="s">
        <v>926</v>
      </c>
      <c r="I29" s="3" t="s">
        <v>933</v>
      </c>
      <c r="J29" s="204" t="n">
        <v>0.008</v>
      </c>
      <c r="K29" s="3" t="s">
        <v>921</v>
      </c>
      <c r="L29" s="205" t="n">
        <v>0.008</v>
      </c>
      <c r="M29" s="3" t="s">
        <v>66</v>
      </c>
      <c r="N29" s="202" t="s">
        <v>922</v>
      </c>
      <c r="O29" s="202" t="s">
        <v>902</v>
      </c>
      <c r="P29" s="206" t="n">
        <v>0</v>
      </c>
      <c r="Q29" s="202" t="s">
        <v>923</v>
      </c>
    </row>
    <row r="30">
      <c r="A30" s="3" t="s">
        <v>934</v>
      </c>
      <c r="B30" s="3" t="s">
        <v>222</v>
      </c>
      <c r="C30" s="3" t="s">
        <v>805</v>
      </c>
      <c r="D30" s="202" t="s">
        <v>935</v>
      </c>
      <c r="E30" s="3" t="n">
        <v>20</v>
      </c>
      <c r="F30" s="3" t="n">
        <v>95</v>
      </c>
      <c r="G30" s="3" t="s">
        <v>936</v>
      </c>
      <c r="H30" s="3" t="s">
        <v>851</v>
      </c>
      <c r="I30" s="3" t="s">
        <v>937</v>
      </c>
      <c r="J30" s="204" t="n">
        <v>2.9</v>
      </c>
      <c r="K30" s="3" t="s">
        <v>938</v>
      </c>
      <c r="L30" s="205" t="n">
        <v>2.9</v>
      </c>
      <c r="M30" s="3" t="s">
        <v>938</v>
      </c>
      <c r="N30" s="202" t="s">
        <v>939</v>
      </c>
      <c r="O30" s="202" t="s">
        <v>940</v>
      </c>
      <c r="P30" s="206" t="n">
        <v>1</v>
      </c>
      <c r="Q30" s="202" t="s">
        <v>941</v>
      </c>
    </row>
    <row r="31">
      <c r="A31" s="3" t="s">
        <v>942</v>
      </c>
      <c r="B31" s="3" t="s">
        <v>222</v>
      </c>
      <c r="C31" s="3" t="s">
        <v>805</v>
      </c>
      <c r="D31" s="202" t="s">
        <v>943</v>
      </c>
      <c r="E31" s="3" t="n">
        <v>20</v>
      </c>
      <c r="F31" s="3" t="n">
        <v>95</v>
      </c>
      <c r="G31" s="3" t="s">
        <v>944</v>
      </c>
      <c r="H31" s="3" t="s">
        <v>851</v>
      </c>
      <c r="I31" s="3" t="s">
        <v>937</v>
      </c>
      <c r="J31" s="204" t="n">
        <v>3.1</v>
      </c>
      <c r="K31" s="3" t="s">
        <v>938</v>
      </c>
      <c r="L31" s="205" t="n">
        <v>3.1</v>
      </c>
      <c r="M31" s="3" t="s">
        <v>938</v>
      </c>
      <c r="N31" s="202" t="s">
        <v>939</v>
      </c>
      <c r="O31" s="202" t="s">
        <v>940</v>
      </c>
      <c r="P31" s="206" t="n">
        <v>1</v>
      </c>
      <c r="Q31" s="202" t="s">
        <v>941</v>
      </c>
    </row>
    <row r="32">
      <c r="A32" s="3" t="s">
        <v>945</v>
      </c>
      <c r="B32" s="3" t="s">
        <v>222</v>
      </c>
      <c r="C32" s="3" t="s">
        <v>805</v>
      </c>
      <c r="D32" s="202" t="s">
        <v>946</v>
      </c>
      <c r="E32" s="3" t="n">
        <v>20</v>
      </c>
      <c r="F32" s="3" t="n">
        <v>95</v>
      </c>
      <c r="G32" s="3" t="s">
        <v>807</v>
      </c>
      <c r="H32" s="3" t="s">
        <v>851</v>
      </c>
      <c r="I32" s="3" t="s">
        <v>937</v>
      </c>
      <c r="J32" s="204" t="n">
        <v>3</v>
      </c>
      <c r="K32" s="3" t="s">
        <v>938</v>
      </c>
      <c r="L32" s="205" t="n">
        <v>3</v>
      </c>
      <c r="M32" s="3" t="s">
        <v>938</v>
      </c>
      <c r="N32" s="202" t="s">
        <v>947</v>
      </c>
      <c r="O32" s="202" t="s">
        <v>940</v>
      </c>
      <c r="P32" s="206" t="n">
        <v>1</v>
      </c>
      <c r="Q32" s="202" t="s">
        <v>948</v>
      </c>
    </row>
    <row r="33">
      <c r="A33" s="3" t="s">
        <v>949</v>
      </c>
      <c r="B33" s="3" t="s">
        <v>222</v>
      </c>
      <c r="C33" s="3" t="s">
        <v>805</v>
      </c>
      <c r="D33" s="202" t="s">
        <v>950</v>
      </c>
      <c r="E33" s="3" t="n">
        <v>20</v>
      </c>
      <c r="F33" s="3" t="n">
        <v>39</v>
      </c>
      <c r="G33" s="3" t="s">
        <v>936</v>
      </c>
      <c r="H33" s="3" t="s">
        <v>851</v>
      </c>
      <c r="I33" s="3" t="s">
        <v>951</v>
      </c>
      <c r="J33" s="204" t="n">
        <v>0.9</v>
      </c>
      <c r="K33" s="3" t="s">
        <v>952</v>
      </c>
      <c r="L33" s="205" t="n">
        <v>1</v>
      </c>
      <c r="M33" s="3" t="s">
        <v>953</v>
      </c>
      <c r="N33" s="202" t="s">
        <v>954</v>
      </c>
      <c r="O33" s="202" t="s">
        <v>940</v>
      </c>
      <c r="P33" s="206" t="n">
        <v>1</v>
      </c>
      <c r="Q33" s="202" t="s">
        <v>955</v>
      </c>
    </row>
    <row r="34">
      <c r="A34" s="3" t="s">
        <v>956</v>
      </c>
      <c r="B34" s="3" t="s">
        <v>222</v>
      </c>
      <c r="C34" s="3" t="s">
        <v>805</v>
      </c>
      <c r="D34" s="202" t="s">
        <v>957</v>
      </c>
      <c r="E34" s="3" t="n">
        <v>20</v>
      </c>
      <c r="F34" s="3" t="n">
        <v>39</v>
      </c>
      <c r="G34" s="3" t="s">
        <v>936</v>
      </c>
      <c r="H34" s="3" t="s">
        <v>851</v>
      </c>
      <c r="I34" s="3" t="s">
        <v>958</v>
      </c>
      <c r="J34" s="204" t="n">
        <v>0.92</v>
      </c>
      <c r="K34" s="3" t="s">
        <v>952</v>
      </c>
      <c r="L34" s="205" t="n">
        <v>1</v>
      </c>
      <c r="M34" s="3" t="s">
        <v>953</v>
      </c>
      <c r="N34" s="202" t="s">
        <v>954</v>
      </c>
      <c r="O34" s="202" t="s">
        <v>940</v>
      </c>
      <c r="P34" s="206" t="n">
        <v>1</v>
      </c>
      <c r="Q34" s="202" t="s">
        <v>955</v>
      </c>
    </row>
    <row r="35">
      <c r="A35" s="3" t="s">
        <v>959</v>
      </c>
      <c r="B35" s="3" t="s">
        <v>222</v>
      </c>
      <c r="C35" s="3" t="s">
        <v>805</v>
      </c>
      <c r="D35" s="202" t="s">
        <v>960</v>
      </c>
      <c r="E35" s="3" t="n">
        <v>20</v>
      </c>
      <c r="F35" s="3" t="n">
        <v>39</v>
      </c>
      <c r="G35" s="3" t="s">
        <v>936</v>
      </c>
      <c r="H35" s="3" t="s">
        <v>851</v>
      </c>
      <c r="I35" s="3" t="s">
        <v>961</v>
      </c>
      <c r="J35" s="204" t="n">
        <v>0.84</v>
      </c>
      <c r="K35" s="3" t="s">
        <v>952</v>
      </c>
      <c r="L35" s="205" t="n">
        <v>1</v>
      </c>
      <c r="M35" s="3" t="s">
        <v>953</v>
      </c>
      <c r="N35" s="202" t="s">
        <v>954</v>
      </c>
      <c r="O35" s="202" t="s">
        <v>940</v>
      </c>
      <c r="P35" s="206" t="n">
        <v>1</v>
      </c>
      <c r="Q35" s="202" t="s">
        <v>955</v>
      </c>
    </row>
    <row r="36">
      <c r="A36" s="3" t="s">
        <v>962</v>
      </c>
      <c r="B36" s="3" t="s">
        <v>222</v>
      </c>
      <c r="C36" s="3" t="s">
        <v>805</v>
      </c>
      <c r="D36" s="202" t="s">
        <v>963</v>
      </c>
      <c r="E36" s="3" t="n">
        <v>40</v>
      </c>
      <c r="F36" s="3" t="n">
        <v>49</v>
      </c>
      <c r="G36" s="3" t="s">
        <v>936</v>
      </c>
      <c r="H36" s="3" t="s">
        <v>851</v>
      </c>
      <c r="I36" s="3" t="s">
        <v>951</v>
      </c>
      <c r="J36" s="204" t="n">
        <v>0.61</v>
      </c>
      <c r="K36" s="3" t="s">
        <v>952</v>
      </c>
      <c r="L36" s="205" t="n">
        <v>0.635416666666667</v>
      </c>
      <c r="M36" s="3" t="s">
        <v>953</v>
      </c>
      <c r="N36" s="202" t="s">
        <v>954</v>
      </c>
      <c r="O36" s="202" t="s">
        <v>940</v>
      </c>
      <c r="P36" s="206" t="n">
        <v>1</v>
      </c>
      <c r="Q36" s="202" t="s">
        <v>955</v>
      </c>
    </row>
    <row r="37">
      <c r="A37" s="3" t="s">
        <v>964</v>
      </c>
      <c r="B37" s="3" t="s">
        <v>222</v>
      </c>
      <c r="C37" s="3" t="s">
        <v>805</v>
      </c>
      <c r="D37" s="202" t="s">
        <v>965</v>
      </c>
      <c r="E37" s="3" t="n">
        <v>40</v>
      </c>
      <c r="F37" s="3" t="n">
        <v>49</v>
      </c>
      <c r="G37" s="3" t="s">
        <v>936</v>
      </c>
      <c r="H37" s="3" t="s">
        <v>851</v>
      </c>
      <c r="I37" s="3" t="s">
        <v>958</v>
      </c>
      <c r="J37" s="204" t="n">
        <v>0.8</v>
      </c>
      <c r="K37" s="3" t="s">
        <v>952</v>
      </c>
      <c r="L37" s="205" t="n">
        <v>0.833333333333333</v>
      </c>
      <c r="M37" s="3" t="s">
        <v>953</v>
      </c>
      <c r="N37" s="202" t="s">
        <v>954</v>
      </c>
      <c r="O37" s="202" t="s">
        <v>940</v>
      </c>
      <c r="P37" s="206" t="n">
        <v>1</v>
      </c>
      <c r="Q37" s="202" t="s">
        <v>955</v>
      </c>
    </row>
    <row r="38">
      <c r="A38" s="3" t="s">
        <v>966</v>
      </c>
      <c r="B38" s="3" t="s">
        <v>222</v>
      </c>
      <c r="C38" s="3" t="s">
        <v>805</v>
      </c>
      <c r="D38" s="202" t="s">
        <v>967</v>
      </c>
      <c r="E38" s="3" t="n">
        <v>40</v>
      </c>
      <c r="F38" s="3" t="n">
        <v>49</v>
      </c>
      <c r="G38" s="3" t="s">
        <v>936</v>
      </c>
      <c r="H38" s="3" t="s">
        <v>851</v>
      </c>
      <c r="I38" s="3" t="s">
        <v>961</v>
      </c>
      <c r="J38" s="204" t="n">
        <v>0.96</v>
      </c>
      <c r="K38" s="3" t="s">
        <v>952</v>
      </c>
      <c r="L38" s="205" t="n">
        <v>1</v>
      </c>
      <c r="M38" s="3" t="s">
        <v>953</v>
      </c>
      <c r="N38" s="202" t="s">
        <v>954</v>
      </c>
      <c r="O38" s="202" t="s">
        <v>940</v>
      </c>
      <c r="P38" s="206" t="n">
        <v>1</v>
      </c>
      <c r="Q38" s="202" t="s">
        <v>955</v>
      </c>
    </row>
    <row r="39">
      <c r="A39" s="3" t="s">
        <v>968</v>
      </c>
      <c r="B39" s="3" t="s">
        <v>222</v>
      </c>
      <c r="C39" s="3" t="s">
        <v>805</v>
      </c>
      <c r="D39" s="202" t="s">
        <v>969</v>
      </c>
      <c r="E39" s="3" t="n">
        <v>50</v>
      </c>
      <c r="F39" s="3" t="n">
        <v>59</v>
      </c>
      <c r="G39" s="3" t="s">
        <v>936</v>
      </c>
      <c r="H39" s="3" t="s">
        <v>851</v>
      </c>
      <c r="I39" s="3" t="s">
        <v>951</v>
      </c>
      <c r="J39" s="204" t="n">
        <v>0.54</v>
      </c>
      <c r="K39" s="3" t="s">
        <v>952</v>
      </c>
      <c r="L39" s="205" t="n">
        <v>0.586956521739131</v>
      </c>
      <c r="M39" s="3" t="s">
        <v>953</v>
      </c>
      <c r="N39" s="202" t="s">
        <v>954</v>
      </c>
      <c r="O39" s="202" t="s">
        <v>940</v>
      </c>
      <c r="P39" s="206" t="n">
        <v>1</v>
      </c>
      <c r="Q39" s="202" t="s">
        <v>955</v>
      </c>
    </row>
    <row r="40">
      <c r="A40" s="3" t="s">
        <v>970</v>
      </c>
      <c r="B40" s="3" t="s">
        <v>222</v>
      </c>
      <c r="C40" s="3" t="s">
        <v>805</v>
      </c>
      <c r="D40" s="202" t="s">
        <v>971</v>
      </c>
      <c r="E40" s="3" t="n">
        <v>50</v>
      </c>
      <c r="F40" s="3" t="n">
        <v>59</v>
      </c>
      <c r="G40" s="3" t="s">
        <v>936</v>
      </c>
      <c r="H40" s="3" t="s">
        <v>851</v>
      </c>
      <c r="I40" s="3" t="s">
        <v>958</v>
      </c>
      <c r="J40" s="204" t="n">
        <v>0.64</v>
      </c>
      <c r="K40" s="3" t="s">
        <v>952</v>
      </c>
      <c r="L40" s="205" t="n">
        <v>0.695652173913044</v>
      </c>
      <c r="M40" s="3" t="s">
        <v>953</v>
      </c>
      <c r="N40" s="202" t="s">
        <v>954</v>
      </c>
      <c r="O40" s="202" t="s">
        <v>940</v>
      </c>
      <c r="P40" s="206" t="n">
        <v>1</v>
      </c>
      <c r="Q40" s="202" t="s">
        <v>955</v>
      </c>
    </row>
    <row r="41">
      <c r="A41" s="3" t="s">
        <v>972</v>
      </c>
      <c r="B41" s="3" t="s">
        <v>222</v>
      </c>
      <c r="C41" s="3" t="s">
        <v>805</v>
      </c>
      <c r="D41" s="202" t="s">
        <v>973</v>
      </c>
      <c r="E41" s="3" t="n">
        <v>50</v>
      </c>
      <c r="F41" s="3" t="n">
        <v>59</v>
      </c>
      <c r="G41" s="3" t="s">
        <v>936</v>
      </c>
      <c r="H41" s="3" t="s">
        <v>851</v>
      </c>
      <c r="I41" s="3" t="s">
        <v>961</v>
      </c>
      <c r="J41" s="204" t="n">
        <v>0.92</v>
      </c>
      <c r="K41" s="3" t="s">
        <v>952</v>
      </c>
      <c r="L41" s="205" t="n">
        <v>1</v>
      </c>
      <c r="M41" s="3" t="s">
        <v>953</v>
      </c>
      <c r="N41" s="202" t="s">
        <v>954</v>
      </c>
      <c r="O41" s="202" t="s">
        <v>940</v>
      </c>
      <c r="P41" s="206" t="n">
        <v>1</v>
      </c>
      <c r="Q41" s="202" t="s">
        <v>955</v>
      </c>
    </row>
    <row r="42">
      <c r="A42" s="3" t="s">
        <v>974</v>
      </c>
      <c r="B42" s="3" t="s">
        <v>222</v>
      </c>
      <c r="C42" s="3" t="s">
        <v>805</v>
      </c>
      <c r="D42" s="202" t="s">
        <v>975</v>
      </c>
      <c r="E42" s="3" t="n">
        <v>60</v>
      </c>
      <c r="F42" s="3" t="n">
        <v>79</v>
      </c>
      <c r="G42" s="3" t="s">
        <v>936</v>
      </c>
      <c r="H42" s="3" t="s">
        <v>851</v>
      </c>
      <c r="I42" s="3" t="s">
        <v>951</v>
      </c>
      <c r="J42" s="204" t="n">
        <v>0.33</v>
      </c>
      <c r="K42" s="3" t="s">
        <v>952</v>
      </c>
      <c r="L42" s="205" t="n">
        <v>0.397590361445783</v>
      </c>
      <c r="M42" s="3" t="s">
        <v>953</v>
      </c>
      <c r="N42" s="202" t="s">
        <v>954</v>
      </c>
      <c r="O42" s="202" t="s">
        <v>940</v>
      </c>
      <c r="P42" s="206" t="n">
        <v>1</v>
      </c>
      <c r="Q42" s="202" t="s">
        <v>955</v>
      </c>
    </row>
    <row r="43">
      <c r="A43" s="3" t="s">
        <v>976</v>
      </c>
      <c r="B43" s="3" t="s">
        <v>222</v>
      </c>
      <c r="C43" s="3" t="s">
        <v>805</v>
      </c>
      <c r="D43" s="202" t="s">
        <v>977</v>
      </c>
      <c r="E43" s="3" t="n">
        <v>60</v>
      </c>
      <c r="F43" s="3" t="n">
        <v>79</v>
      </c>
      <c r="G43" s="3" t="s">
        <v>936</v>
      </c>
      <c r="H43" s="3" t="s">
        <v>851</v>
      </c>
      <c r="I43" s="3" t="s">
        <v>958</v>
      </c>
      <c r="J43" s="204" t="n">
        <v>0.46</v>
      </c>
      <c r="K43" s="3" t="s">
        <v>952</v>
      </c>
      <c r="L43" s="205" t="n">
        <v>0.55421686746988</v>
      </c>
      <c r="M43" s="3" t="s">
        <v>953</v>
      </c>
      <c r="N43" s="202" t="s">
        <v>954</v>
      </c>
      <c r="O43" s="202" t="s">
        <v>940</v>
      </c>
      <c r="P43" s="206" t="n">
        <v>1</v>
      </c>
      <c r="Q43" s="202" t="s">
        <v>955</v>
      </c>
    </row>
    <row r="44">
      <c r="A44" s="3" t="s">
        <v>978</v>
      </c>
      <c r="B44" s="3" t="s">
        <v>222</v>
      </c>
      <c r="C44" s="3" t="s">
        <v>805</v>
      </c>
      <c r="D44" s="202" t="s">
        <v>979</v>
      </c>
      <c r="E44" s="3" t="n">
        <v>60</v>
      </c>
      <c r="F44" s="3" t="n">
        <v>79</v>
      </c>
      <c r="G44" s="3" t="s">
        <v>936</v>
      </c>
      <c r="H44" s="3" t="s">
        <v>851</v>
      </c>
      <c r="I44" s="3" t="s">
        <v>961</v>
      </c>
      <c r="J44" s="204" t="n">
        <v>0.83</v>
      </c>
      <c r="K44" s="3" t="s">
        <v>952</v>
      </c>
      <c r="L44" s="205" t="n">
        <v>1</v>
      </c>
      <c r="M44" s="3" t="s">
        <v>953</v>
      </c>
      <c r="N44" s="202" t="s">
        <v>954</v>
      </c>
      <c r="O44" s="202" t="s">
        <v>940</v>
      </c>
      <c r="P44" s="206" t="n">
        <v>1</v>
      </c>
      <c r="Q44" s="202" t="s">
        <v>955</v>
      </c>
    </row>
    <row r="45">
      <c r="A45" s="3" t="s">
        <v>980</v>
      </c>
      <c r="B45" s="3" t="s">
        <v>222</v>
      </c>
      <c r="C45" s="3" t="s">
        <v>805</v>
      </c>
      <c r="D45" s="202" t="s">
        <v>981</v>
      </c>
      <c r="E45" s="3" t="n">
        <v>80</v>
      </c>
      <c r="F45" s="3" t="n">
        <v>95</v>
      </c>
      <c r="G45" s="3" t="s">
        <v>936</v>
      </c>
      <c r="H45" s="3" t="s">
        <v>851</v>
      </c>
      <c r="I45" s="3" t="s">
        <v>951</v>
      </c>
      <c r="J45" s="204" t="n">
        <v>0.33</v>
      </c>
      <c r="K45" s="3" t="s">
        <v>952</v>
      </c>
      <c r="L45" s="205" t="n">
        <v>0.397590361445783</v>
      </c>
      <c r="M45" s="3" t="s">
        <v>953</v>
      </c>
      <c r="N45" s="202" t="s">
        <v>954</v>
      </c>
      <c r="O45" s="202" t="s">
        <v>940</v>
      </c>
      <c r="P45" s="206" t="n">
        <v>1</v>
      </c>
      <c r="Q45" s="202" t="s">
        <v>982</v>
      </c>
    </row>
    <row r="46">
      <c r="A46" s="3" t="s">
        <v>983</v>
      </c>
      <c r="B46" s="3" t="s">
        <v>222</v>
      </c>
      <c r="C46" s="3" t="s">
        <v>805</v>
      </c>
      <c r="D46" s="202" t="s">
        <v>984</v>
      </c>
      <c r="E46" s="3" t="n">
        <v>80</v>
      </c>
      <c r="F46" s="3" t="n">
        <v>95</v>
      </c>
      <c r="G46" s="3" t="s">
        <v>936</v>
      </c>
      <c r="H46" s="3" t="s">
        <v>851</v>
      </c>
      <c r="I46" s="3" t="s">
        <v>958</v>
      </c>
      <c r="J46" s="204" t="n">
        <v>0.46</v>
      </c>
      <c r="K46" s="3" t="s">
        <v>952</v>
      </c>
      <c r="L46" s="205" t="n">
        <v>0.55421686746988</v>
      </c>
      <c r="M46" s="3" t="s">
        <v>953</v>
      </c>
      <c r="N46" s="202" t="s">
        <v>954</v>
      </c>
      <c r="O46" s="202" t="s">
        <v>940</v>
      </c>
      <c r="P46" s="206" t="n">
        <v>1</v>
      </c>
      <c r="Q46" s="202" t="s">
        <v>982</v>
      </c>
    </row>
    <row r="47">
      <c r="A47" s="3" t="s">
        <v>985</v>
      </c>
      <c r="B47" s="3" t="s">
        <v>222</v>
      </c>
      <c r="C47" s="3" t="s">
        <v>805</v>
      </c>
      <c r="D47" s="202" t="s">
        <v>986</v>
      </c>
      <c r="E47" s="3" t="n">
        <v>80</v>
      </c>
      <c r="F47" s="3" t="n">
        <v>95</v>
      </c>
      <c r="G47" s="3" t="s">
        <v>936</v>
      </c>
      <c r="H47" s="3" t="s">
        <v>851</v>
      </c>
      <c r="I47" s="3" t="s">
        <v>961</v>
      </c>
      <c r="J47" s="204" t="n">
        <v>0.83</v>
      </c>
      <c r="K47" s="3" t="s">
        <v>952</v>
      </c>
      <c r="L47" s="205" t="n">
        <v>1</v>
      </c>
      <c r="M47" s="3" t="s">
        <v>953</v>
      </c>
      <c r="N47" s="202" t="s">
        <v>954</v>
      </c>
      <c r="O47" s="202" t="s">
        <v>940</v>
      </c>
      <c r="P47" s="206" t="n">
        <v>1</v>
      </c>
      <c r="Q47" s="202" t="s">
        <v>982</v>
      </c>
    </row>
    <row r="48">
      <c r="A48" s="3" t="s">
        <v>987</v>
      </c>
      <c r="B48" s="3" t="s">
        <v>222</v>
      </c>
      <c r="C48" s="3" t="s">
        <v>805</v>
      </c>
      <c r="D48" s="202" t="s">
        <v>988</v>
      </c>
      <c r="E48" s="3" t="n">
        <v>20</v>
      </c>
      <c r="F48" s="3" t="n">
        <v>39</v>
      </c>
      <c r="G48" s="3" t="s">
        <v>944</v>
      </c>
      <c r="H48" s="3" t="s">
        <v>851</v>
      </c>
      <c r="I48" s="3" t="s">
        <v>951</v>
      </c>
      <c r="J48" s="204" t="n">
        <v>0.95</v>
      </c>
      <c r="K48" s="3" t="s">
        <v>952</v>
      </c>
      <c r="L48" s="205" t="n">
        <v>1</v>
      </c>
      <c r="M48" s="3" t="s">
        <v>953</v>
      </c>
      <c r="N48" s="202" t="s">
        <v>954</v>
      </c>
      <c r="O48" s="202" t="s">
        <v>940</v>
      </c>
      <c r="P48" s="206" t="n">
        <v>1</v>
      </c>
      <c r="Q48" s="202" t="s">
        <v>955</v>
      </c>
    </row>
    <row r="49">
      <c r="A49" s="3" t="s">
        <v>989</v>
      </c>
      <c r="B49" s="3" t="s">
        <v>222</v>
      </c>
      <c r="C49" s="3" t="s">
        <v>805</v>
      </c>
      <c r="D49" s="202" t="s">
        <v>990</v>
      </c>
      <c r="E49" s="3" t="n">
        <v>20</v>
      </c>
      <c r="F49" s="3" t="n">
        <v>39</v>
      </c>
      <c r="G49" s="3" t="s">
        <v>944</v>
      </c>
      <c r="H49" s="3" t="s">
        <v>851</v>
      </c>
      <c r="I49" s="3" t="s">
        <v>958</v>
      </c>
      <c r="J49" s="204" t="n">
        <v>0.86</v>
      </c>
      <c r="K49" s="3" t="s">
        <v>952</v>
      </c>
      <c r="L49" s="205" t="n">
        <v>1</v>
      </c>
      <c r="M49" s="3" t="s">
        <v>953</v>
      </c>
      <c r="N49" s="202" t="s">
        <v>954</v>
      </c>
      <c r="O49" s="202" t="s">
        <v>940</v>
      </c>
      <c r="P49" s="206" t="n">
        <v>1</v>
      </c>
      <c r="Q49" s="202" t="s">
        <v>955</v>
      </c>
    </row>
    <row r="50">
      <c r="A50" s="3" t="s">
        <v>991</v>
      </c>
      <c r="B50" s="3" t="s">
        <v>222</v>
      </c>
      <c r="C50" s="3" t="s">
        <v>805</v>
      </c>
      <c r="D50" s="202" t="s">
        <v>992</v>
      </c>
      <c r="E50" s="3" t="n">
        <v>20</v>
      </c>
      <c r="F50" s="3" t="n">
        <v>39</v>
      </c>
      <c r="G50" s="3" t="s">
        <v>944</v>
      </c>
      <c r="H50" s="3" t="s">
        <v>851</v>
      </c>
      <c r="I50" s="3" t="s">
        <v>961</v>
      </c>
      <c r="J50" s="204" t="n">
        <v>0.83</v>
      </c>
      <c r="K50" s="3" t="s">
        <v>952</v>
      </c>
      <c r="L50" s="205" t="n">
        <v>1</v>
      </c>
      <c r="M50" s="3" t="s">
        <v>953</v>
      </c>
      <c r="N50" s="202" t="s">
        <v>954</v>
      </c>
      <c r="O50" s="202" t="s">
        <v>940</v>
      </c>
      <c r="P50" s="206" t="n">
        <v>1</v>
      </c>
      <c r="Q50" s="202" t="s">
        <v>955</v>
      </c>
    </row>
    <row r="51">
      <c r="A51" s="3" t="s">
        <v>993</v>
      </c>
      <c r="B51" s="3" t="s">
        <v>222</v>
      </c>
      <c r="C51" s="3" t="s">
        <v>805</v>
      </c>
      <c r="D51" s="202" t="s">
        <v>994</v>
      </c>
      <c r="E51" s="3" t="n">
        <v>40</v>
      </c>
      <c r="F51" s="3" t="n">
        <v>49</v>
      </c>
      <c r="G51" s="3" t="s">
        <v>944</v>
      </c>
      <c r="H51" s="3" t="s">
        <v>851</v>
      </c>
      <c r="I51" s="3" t="s">
        <v>951</v>
      </c>
      <c r="J51" s="204" t="n">
        <v>0.81</v>
      </c>
      <c r="K51" s="3" t="s">
        <v>952</v>
      </c>
      <c r="L51" s="205" t="n">
        <v>0.818181818181818</v>
      </c>
      <c r="M51" s="3" t="s">
        <v>953</v>
      </c>
      <c r="N51" s="202" t="s">
        <v>954</v>
      </c>
      <c r="O51" s="202" t="s">
        <v>940</v>
      </c>
      <c r="P51" s="206" t="n">
        <v>1</v>
      </c>
      <c r="Q51" s="202" t="s">
        <v>955</v>
      </c>
    </row>
    <row r="52">
      <c r="A52" s="3" t="s">
        <v>995</v>
      </c>
      <c r="B52" s="3" t="s">
        <v>222</v>
      </c>
      <c r="C52" s="3" t="s">
        <v>805</v>
      </c>
      <c r="D52" s="202" t="s">
        <v>996</v>
      </c>
      <c r="E52" s="3" t="n">
        <v>40</v>
      </c>
      <c r="F52" s="3" t="n">
        <v>49</v>
      </c>
      <c r="G52" s="3" t="s">
        <v>944</v>
      </c>
      <c r="H52" s="3" t="s">
        <v>851</v>
      </c>
      <c r="I52" s="3" t="s">
        <v>958</v>
      </c>
      <c r="J52" s="204" t="n">
        <v>0.85</v>
      </c>
      <c r="K52" s="3" t="s">
        <v>952</v>
      </c>
      <c r="L52" s="205" t="n">
        <v>0.858585858585859</v>
      </c>
      <c r="M52" s="3" t="s">
        <v>953</v>
      </c>
      <c r="N52" s="202" t="s">
        <v>954</v>
      </c>
      <c r="O52" s="202" t="s">
        <v>940</v>
      </c>
      <c r="P52" s="206" t="n">
        <v>1</v>
      </c>
      <c r="Q52" s="202" t="s">
        <v>955</v>
      </c>
    </row>
    <row r="53">
      <c r="A53" s="3" t="s">
        <v>997</v>
      </c>
      <c r="B53" s="3" t="s">
        <v>222</v>
      </c>
      <c r="C53" s="3" t="s">
        <v>805</v>
      </c>
      <c r="D53" s="202" t="s">
        <v>998</v>
      </c>
      <c r="E53" s="3" t="n">
        <v>40</v>
      </c>
      <c r="F53" s="3" t="n">
        <v>49</v>
      </c>
      <c r="G53" s="3" t="s">
        <v>944</v>
      </c>
      <c r="H53" s="3" t="s">
        <v>851</v>
      </c>
      <c r="I53" s="3" t="s">
        <v>961</v>
      </c>
      <c r="J53" s="204" t="n">
        <v>0.99</v>
      </c>
      <c r="K53" s="3" t="s">
        <v>952</v>
      </c>
      <c r="L53" s="205" t="n">
        <v>1</v>
      </c>
      <c r="M53" s="3" t="s">
        <v>953</v>
      </c>
      <c r="N53" s="202" t="s">
        <v>954</v>
      </c>
      <c r="O53" s="202" t="s">
        <v>940</v>
      </c>
      <c r="P53" s="206" t="n">
        <v>1</v>
      </c>
      <c r="Q53" s="202" t="s">
        <v>955</v>
      </c>
    </row>
    <row r="54">
      <c r="A54" s="3" t="s">
        <v>999</v>
      </c>
      <c r="B54" s="3" t="s">
        <v>222</v>
      </c>
      <c r="C54" s="3" t="s">
        <v>805</v>
      </c>
      <c r="D54" s="202" t="s">
        <v>1000</v>
      </c>
      <c r="E54" s="3" t="n">
        <v>50</v>
      </c>
      <c r="F54" s="3" t="n">
        <v>59</v>
      </c>
      <c r="G54" s="3" t="s">
        <v>944</v>
      </c>
      <c r="H54" s="3" t="s">
        <v>851</v>
      </c>
      <c r="I54" s="3" t="s">
        <v>951</v>
      </c>
      <c r="J54" s="204" t="n">
        <v>0.63</v>
      </c>
      <c r="K54" s="3" t="s">
        <v>952</v>
      </c>
      <c r="L54" s="205" t="n">
        <v>0.663157894736842</v>
      </c>
      <c r="M54" s="3" t="s">
        <v>953</v>
      </c>
      <c r="N54" s="202" t="s">
        <v>954</v>
      </c>
      <c r="O54" s="202" t="s">
        <v>940</v>
      </c>
      <c r="P54" s="206" t="n">
        <v>1</v>
      </c>
      <c r="Q54" s="202" t="s">
        <v>955</v>
      </c>
    </row>
    <row r="55">
      <c r="A55" s="3" t="s">
        <v>1001</v>
      </c>
      <c r="B55" s="3" t="s">
        <v>222</v>
      </c>
      <c r="C55" s="3" t="s">
        <v>805</v>
      </c>
      <c r="D55" s="202" t="s">
        <v>1002</v>
      </c>
      <c r="E55" s="3" t="n">
        <v>50</v>
      </c>
      <c r="F55" s="3" t="n">
        <v>59</v>
      </c>
      <c r="G55" s="3" t="s">
        <v>944</v>
      </c>
      <c r="H55" s="3" t="s">
        <v>851</v>
      </c>
      <c r="I55" s="3" t="s">
        <v>958</v>
      </c>
      <c r="J55" s="204" t="n">
        <v>0.72</v>
      </c>
      <c r="K55" s="3" t="s">
        <v>952</v>
      </c>
      <c r="L55" s="205" t="n">
        <v>0.757894736842105</v>
      </c>
      <c r="M55" s="3" t="s">
        <v>953</v>
      </c>
      <c r="N55" s="202" t="s">
        <v>954</v>
      </c>
      <c r="O55" s="202" t="s">
        <v>940</v>
      </c>
      <c r="P55" s="206" t="n">
        <v>1</v>
      </c>
      <c r="Q55" s="202" t="s">
        <v>955</v>
      </c>
    </row>
    <row r="56">
      <c r="A56" s="3" t="s">
        <v>1003</v>
      </c>
      <c r="B56" s="3" t="s">
        <v>222</v>
      </c>
      <c r="C56" s="3" t="s">
        <v>805</v>
      </c>
      <c r="D56" s="202" t="s">
        <v>1004</v>
      </c>
      <c r="E56" s="3" t="n">
        <v>50</v>
      </c>
      <c r="F56" s="3" t="n">
        <v>59</v>
      </c>
      <c r="G56" s="3" t="s">
        <v>944</v>
      </c>
      <c r="H56" s="3" t="s">
        <v>851</v>
      </c>
      <c r="I56" s="3" t="s">
        <v>961</v>
      </c>
      <c r="J56" s="204" t="n">
        <v>0.95</v>
      </c>
      <c r="K56" s="3" t="s">
        <v>952</v>
      </c>
      <c r="L56" s="205" t="n">
        <v>1</v>
      </c>
      <c r="M56" s="3" t="s">
        <v>953</v>
      </c>
      <c r="N56" s="202" t="s">
        <v>954</v>
      </c>
      <c r="O56" s="202" t="s">
        <v>940</v>
      </c>
      <c r="P56" s="206" t="n">
        <v>1</v>
      </c>
      <c r="Q56" s="202" t="s">
        <v>955</v>
      </c>
    </row>
    <row r="57">
      <c r="A57" s="3" t="s">
        <v>1005</v>
      </c>
      <c r="B57" s="3" t="s">
        <v>222</v>
      </c>
      <c r="C57" s="3" t="s">
        <v>805</v>
      </c>
      <c r="D57" s="202" t="s">
        <v>1006</v>
      </c>
      <c r="E57" s="3" t="n">
        <v>60</v>
      </c>
      <c r="F57" s="3" t="n">
        <v>79</v>
      </c>
      <c r="G57" s="3" t="s">
        <v>944</v>
      </c>
      <c r="H57" s="3" t="s">
        <v>851</v>
      </c>
      <c r="I57" s="3" t="s">
        <v>951</v>
      </c>
      <c r="J57" s="204" t="n">
        <v>0.4</v>
      </c>
      <c r="K57" s="3" t="s">
        <v>952</v>
      </c>
      <c r="L57" s="205" t="n">
        <v>0.449438202247191</v>
      </c>
      <c r="M57" s="3" t="s">
        <v>953</v>
      </c>
      <c r="N57" s="202" t="s">
        <v>954</v>
      </c>
      <c r="O57" s="202" t="s">
        <v>940</v>
      </c>
      <c r="P57" s="206" t="n">
        <v>1</v>
      </c>
      <c r="Q57" s="202" t="s">
        <v>955</v>
      </c>
    </row>
    <row r="58">
      <c r="A58" s="3" t="s">
        <v>1007</v>
      </c>
      <c r="B58" s="3" t="s">
        <v>222</v>
      </c>
      <c r="C58" s="3" t="s">
        <v>805</v>
      </c>
      <c r="D58" s="202" t="s">
        <v>1008</v>
      </c>
      <c r="E58" s="3" t="n">
        <v>60</v>
      </c>
      <c r="F58" s="3" t="n">
        <v>79</v>
      </c>
      <c r="G58" s="3" t="s">
        <v>944</v>
      </c>
      <c r="H58" s="3" t="s">
        <v>851</v>
      </c>
      <c r="I58" s="3" t="s">
        <v>958</v>
      </c>
      <c r="J58" s="204" t="n">
        <v>0.48</v>
      </c>
      <c r="K58" s="3" t="s">
        <v>952</v>
      </c>
      <c r="L58" s="205" t="n">
        <v>0.539325842696629</v>
      </c>
      <c r="M58" s="3" t="s">
        <v>953</v>
      </c>
      <c r="N58" s="202" t="s">
        <v>954</v>
      </c>
      <c r="O58" s="202" t="s">
        <v>940</v>
      </c>
      <c r="P58" s="206" t="n">
        <v>1</v>
      </c>
      <c r="Q58" s="202" t="s">
        <v>955</v>
      </c>
    </row>
    <row r="59">
      <c r="A59" s="3" t="s">
        <v>1009</v>
      </c>
      <c r="B59" s="3" t="s">
        <v>222</v>
      </c>
      <c r="C59" s="3" t="s">
        <v>805</v>
      </c>
      <c r="D59" s="202" t="s">
        <v>1010</v>
      </c>
      <c r="E59" s="3" t="n">
        <v>60</v>
      </c>
      <c r="F59" s="3" t="n">
        <v>79</v>
      </c>
      <c r="G59" s="3" t="s">
        <v>944</v>
      </c>
      <c r="H59" s="3" t="s">
        <v>851</v>
      </c>
      <c r="I59" s="3" t="s">
        <v>961</v>
      </c>
      <c r="J59" s="204" t="n">
        <v>0.89</v>
      </c>
      <c r="K59" s="3" t="s">
        <v>952</v>
      </c>
      <c r="L59" s="205" t="n">
        <v>1</v>
      </c>
      <c r="M59" s="3" t="s">
        <v>953</v>
      </c>
      <c r="N59" s="202" t="s">
        <v>954</v>
      </c>
      <c r="O59" s="202" t="s">
        <v>940</v>
      </c>
      <c r="P59" s="206" t="n">
        <v>1</v>
      </c>
      <c r="Q59" s="202" t="s">
        <v>955</v>
      </c>
    </row>
    <row r="60">
      <c r="A60" s="3" t="s">
        <v>1011</v>
      </c>
      <c r="B60" s="3" t="s">
        <v>222</v>
      </c>
      <c r="C60" s="3" t="s">
        <v>805</v>
      </c>
      <c r="D60" s="202" t="s">
        <v>1012</v>
      </c>
      <c r="E60" s="3" t="n">
        <v>80</v>
      </c>
      <c r="F60" s="3" t="n">
        <v>95</v>
      </c>
      <c r="G60" s="3" t="s">
        <v>944</v>
      </c>
      <c r="H60" s="3" t="s">
        <v>851</v>
      </c>
      <c r="I60" s="3" t="s">
        <v>951</v>
      </c>
      <c r="J60" s="204" t="n">
        <v>0.4</v>
      </c>
      <c r="K60" s="3" t="s">
        <v>952</v>
      </c>
      <c r="L60" s="205" t="n">
        <v>0.449438202247191</v>
      </c>
      <c r="M60" s="3" t="s">
        <v>953</v>
      </c>
      <c r="N60" s="202" t="s">
        <v>954</v>
      </c>
      <c r="O60" s="202" t="s">
        <v>940</v>
      </c>
      <c r="P60" s="206" t="n">
        <v>1</v>
      </c>
      <c r="Q60" s="202" t="s">
        <v>982</v>
      </c>
    </row>
    <row r="61">
      <c r="A61" s="3" t="s">
        <v>1013</v>
      </c>
      <c r="B61" s="3" t="s">
        <v>222</v>
      </c>
      <c r="C61" s="3" t="s">
        <v>805</v>
      </c>
      <c r="D61" s="202" t="s">
        <v>1014</v>
      </c>
      <c r="E61" s="3" t="n">
        <v>80</v>
      </c>
      <c r="F61" s="3" t="n">
        <v>95</v>
      </c>
      <c r="G61" s="3" t="s">
        <v>944</v>
      </c>
      <c r="H61" s="3" t="s">
        <v>851</v>
      </c>
      <c r="I61" s="3" t="s">
        <v>958</v>
      </c>
      <c r="J61" s="204" t="n">
        <v>0.48</v>
      </c>
      <c r="K61" s="3" t="s">
        <v>952</v>
      </c>
      <c r="L61" s="205" t="n">
        <v>0.539325842696629</v>
      </c>
      <c r="M61" s="3" t="s">
        <v>953</v>
      </c>
      <c r="N61" s="202" t="s">
        <v>954</v>
      </c>
      <c r="O61" s="202" t="s">
        <v>940</v>
      </c>
      <c r="P61" s="206" t="n">
        <v>1</v>
      </c>
      <c r="Q61" s="202" t="s">
        <v>982</v>
      </c>
    </row>
    <row r="62">
      <c r="A62" s="3" t="s">
        <v>1015</v>
      </c>
      <c r="B62" s="3" t="s">
        <v>222</v>
      </c>
      <c r="C62" s="3" t="s">
        <v>805</v>
      </c>
      <c r="D62" s="202" t="s">
        <v>1016</v>
      </c>
      <c r="E62" s="3" t="n">
        <v>80</v>
      </c>
      <c r="F62" s="3" t="n">
        <v>95</v>
      </c>
      <c r="G62" s="3" t="s">
        <v>944</v>
      </c>
      <c r="H62" s="3" t="s">
        <v>851</v>
      </c>
      <c r="I62" s="3" t="s">
        <v>961</v>
      </c>
      <c r="J62" s="204" t="n">
        <v>0.89</v>
      </c>
      <c r="K62" s="3" t="s">
        <v>952</v>
      </c>
      <c r="L62" s="205" t="n">
        <v>1</v>
      </c>
      <c r="M62" s="3" t="s">
        <v>953</v>
      </c>
      <c r="N62" s="202" t="s">
        <v>954</v>
      </c>
      <c r="O62" s="202" t="s">
        <v>940</v>
      </c>
      <c r="P62" s="206" t="n">
        <v>1</v>
      </c>
      <c r="Q62" s="202" t="s">
        <v>982</v>
      </c>
    </row>
    <row r="63">
      <c r="A63" s="3" t="s">
        <v>1017</v>
      </c>
      <c r="B63" s="3" t="s">
        <v>361</v>
      </c>
      <c r="C63" s="3" t="s">
        <v>849</v>
      </c>
      <c r="D63" s="202" t="s">
        <v>1018</v>
      </c>
      <c r="E63" s="3" t="n">
        <v>20</v>
      </c>
      <c r="F63" s="3" t="n">
        <v>95</v>
      </c>
      <c r="G63" s="3" t="s">
        <v>807</v>
      </c>
      <c r="H63" s="3" t="s">
        <v>223</v>
      </c>
      <c r="I63" s="3" t="s">
        <v>1019</v>
      </c>
      <c r="J63" s="204" t="n">
        <v>1.08</v>
      </c>
      <c r="K63" s="3" t="s">
        <v>1020</v>
      </c>
      <c r="L63" s="205" t="n">
        <v>1.08</v>
      </c>
      <c r="M63" s="3" t="s">
        <v>1020</v>
      </c>
      <c r="N63" s="202" t="s">
        <v>1021</v>
      </c>
      <c r="O63" s="202" t="s">
        <v>1022</v>
      </c>
      <c r="P63" s="206" t="n">
        <v>0</v>
      </c>
      <c r="Q63" s="202" t="s">
        <v>1023</v>
      </c>
    </row>
  </sheetData>
  <autoFilter ref="A1:Q1"/>
  <pageMargins left="0.7" right="0.7" top="0.75" bottom="0.75" header="0.3" footer="0.3"/>
  <pageSetup paperSize="9" orientation="portrait" horizontalDpi="300" verticalDpi="300"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9.71" hidden="0" customWidth="1"/>
    <col min="6" max="6" width="21.71" hidden="0" customWidth="1"/>
    <col min="7" max="7" width="18.71" hidden="0" customWidth="1"/>
    <col min="8" max="8" width="17.71" hidden="0" customWidth="1"/>
    <col min="9" max="9" width="15.71" hidden="0" customWidth="1"/>
    <col min="10" max="10" width="16.71" hidden="0" customWidth="1"/>
    <col min="11" max="11" width="15.71" hidden="0" customWidth="1"/>
    <col min="12" max="12" width="16.71" hidden="0" customWidth="1"/>
    <col min="13" max="13" width="17.71" hidden="0" customWidth="1"/>
    <col min="14" max="14" width="16.71" hidden="0" customWidth="1"/>
    <col min="15" max="15" width="18.71" hidden="0" customWidth="1"/>
    <col min="16" max="16" width="23.71" hidden="0" customWidth="1"/>
    <col min="17" max="17" width="23.71" hidden="0" customWidth="1"/>
    <col min="18" max="18" width="24.71" hidden="0" customWidth="1"/>
    <col min="19" max="19" width="11.71" hidden="0" customWidth="1"/>
  </cols>
  <sheetData>
    <row r="1" ht="28" customHeight="1">
      <c r="A1" s="1" t="s">
        <v>409</v>
      </c>
      <c r="B1" s="1" t="s">
        <v>410</v>
      </c>
      <c r="C1" s="1" t="s">
        <v>492</v>
      </c>
      <c r="D1" s="1" t="s">
        <v>377</v>
      </c>
      <c r="E1" s="1" t="s">
        <v>216</v>
      </c>
      <c r="F1" s="1" t="s">
        <v>1024</v>
      </c>
      <c r="G1" s="1" t="s">
        <v>1025</v>
      </c>
      <c r="H1" s="1" t="s">
        <v>762</v>
      </c>
      <c r="I1" s="1" t="s">
        <v>456</v>
      </c>
      <c r="J1" s="1" t="s">
        <v>457</v>
      </c>
      <c r="K1" s="1" t="s">
        <v>417</v>
      </c>
      <c r="L1" s="1" t="s">
        <v>454</v>
      </c>
      <c r="M1" s="1" t="s">
        <v>455</v>
      </c>
      <c r="N1" s="1" t="s">
        <v>416</v>
      </c>
      <c r="O1" s="1" t="s">
        <v>443</v>
      </c>
      <c r="P1" s="1" t="s">
        <v>444</v>
      </c>
      <c r="Q1" s="1" t="s">
        <v>1026</v>
      </c>
      <c r="R1" s="1" t="s">
        <v>451</v>
      </c>
      <c r="S1" s="1" t="s">
        <v>531</v>
      </c>
    </row>
    <row r="2">
      <c r="A2" t="s">
        <v>219</v>
      </c>
      <c r="B2" s="35" t="s">
        <v>221</v>
      </c>
      <c r="C2" t="s">
        <v>232</v>
      </c>
      <c r="D2" t="s">
        <v>232</v>
      </c>
      <c r="E2"/>
      <c r="F2"/>
      <c r="G2" s="35" t="s">
        <v>219</v>
      </c>
      <c r="H2" t="n">
        <v>1</v>
      </c>
      <c r="I2" s="207" t="str">
        <f>SUMIFS('Annual_Mortality'!$E$2:$E$1093,'Annual_Mortality'!$A$2:$A$1093,A2)</f>
      </c>
      <c r="J2" s="208" t="str">
        <f>SUMIFS('Annual_Mortality'!$G$2:$G$1093,'Annual_Mortality'!$A$2:$A$1093,A2)</f>
      </c>
      <c r="K2" s="209" t="str">
        <f>SUMIFS('Annual_Mortality'!$J$2:$J$1093,'Annual_Mortality'!$A$2:$A$1093,A2)</f>
      </c>
      <c r="L2" s="210" t="str">
        <f>SUMIFS('Annual_Mortality'!$F$2:$F$1093,'Annual_Mortality'!$A$2:$A$1093,A2)</f>
      </c>
      <c r="M2" s="211" t="str">
        <f>SUMIFS('Annual_Mortality'!$H$2:$H$1093,'Annual_Mortality'!$A$2:$A$1093,A2)</f>
      </c>
      <c r="N2" s="212" t="str">
        <f>SUMIFS('Annual_Mortality'!$I$2:$I$1093,'Annual_Mortality'!$A$2:$A$1093,A2)</f>
      </c>
      <c r="O2" s="213" t="str">
        <f>SUMIFS('Budget_Impact'!$E$2:$E$157,'Budget_Impact'!$A$2:$A$157,A2)</f>
      </c>
      <c r="P2" s="214" t="str">
        <f>SUMIFS('Budget_Impact'!$F$2:$F$157,'Budget_Impact'!$A$2:$A$157,A2)</f>
      </c>
      <c r="Q2" s="215" t="str">
        <f>IF(K2&gt;0,P2/K2,"")</f>
      </c>
      <c r="R2" s="216" t="str">
        <f>IF(N2&gt;0,P2/N2,"")</f>
      </c>
      <c r="S2" s="140" t="str">
        <f>IF(AND(K2&lt;=0,N2&lt;=0),"no incremental health effect",IF(AND(P2&lt;0,OR(K2&gt;0,N2&gt;0)),"Dominant (more health, lower cost)",IF(N2&gt;0,"USD per death averted","USD per case averted")))</f>
      </c>
    </row>
    <row r="3">
      <c r="A3" t="s">
        <v>262</v>
      </c>
      <c r="B3" s="35" t="s">
        <v>264</v>
      </c>
      <c r="C3" t="s">
        <v>232</v>
      </c>
      <c r="D3" t="s">
        <v>255</v>
      </c>
      <c r="E3" t="s">
        <v>254</v>
      </c>
      <c r="F3" t="s">
        <v>418</v>
      </c>
      <c r="G3" s="35" t="s">
        <v>262</v>
      </c>
      <c r="H3" t="n">
        <v>1</v>
      </c>
      <c r="I3" s="207" t="str">
        <f>SUMIFS('Annual_Mortality'!$E$2:$E$1093,'Annual_Mortality'!$A$2:$A$1093,A3)</f>
      </c>
      <c r="J3" s="208" t="str">
        <f>SUMIFS('Annual_Mortality'!$G$2:$G$1093,'Annual_Mortality'!$A$2:$A$1093,A3)</f>
      </c>
      <c r="K3" s="209" t="str">
        <f>SUMIFS('Annual_Mortality'!$J$2:$J$1093,'Annual_Mortality'!$A$2:$A$1093,A3)</f>
      </c>
      <c r="L3" s="210" t="str">
        <f>SUMIFS('Annual_Mortality'!$F$2:$F$1093,'Annual_Mortality'!$A$2:$A$1093,A3)</f>
      </c>
      <c r="M3" s="211" t="str">
        <f>SUMIFS('Annual_Mortality'!$H$2:$H$1093,'Annual_Mortality'!$A$2:$A$1093,A3)</f>
      </c>
      <c r="N3" s="212" t="str">
        <f>SUMIFS('Annual_Mortality'!$I$2:$I$1093,'Annual_Mortality'!$A$2:$A$1093,A3)</f>
      </c>
      <c r="O3" s="213" t="str">
        <f>SUMIFS('Budget_Impact'!$E$2:$E$157,'Budget_Impact'!$A$2:$A$157,A3)</f>
      </c>
      <c r="P3" s="214" t="str">
        <f>SUMIFS('Budget_Impact'!$F$2:$F$157,'Budget_Impact'!$A$2:$A$157,A3)</f>
      </c>
      <c r="Q3" s="215" t="str">
        <f>IF(K3&gt;0,P3/K3,"")</f>
      </c>
      <c r="R3" s="216" t="str">
        <f>IF(N3&gt;0,P3/N3,"")</f>
      </c>
      <c r="S3" s="140" t="str">
        <f>IF(AND(K3&lt;=0,N3&lt;=0),"no incremental health effect",IF(AND(P3&lt;0,OR(K3&gt;0,N3&gt;0)),"Dominant (more health, lower cost)",IF(N3&gt;0,"USD per death averted","USD per case averted")))</f>
      </c>
    </row>
    <row r="4">
      <c r="A4" t="s">
        <v>272</v>
      </c>
      <c r="B4" s="35" t="s">
        <v>274</v>
      </c>
      <c r="C4" t="s">
        <v>232</v>
      </c>
      <c r="D4" t="s">
        <v>255</v>
      </c>
      <c r="E4" t="s">
        <v>254</v>
      </c>
      <c r="F4" t="s">
        <v>418</v>
      </c>
      <c r="G4" s="35" t="s">
        <v>272</v>
      </c>
      <c r="H4" t="n">
        <v>2</v>
      </c>
      <c r="I4" s="207" t="str">
        <f>SUMIFS('Annual_Mortality'!$E$2:$E$1093,'Annual_Mortality'!$A$2:$A$1093,A4)</f>
      </c>
      <c r="J4" s="208" t="str">
        <f>SUMIFS('Annual_Mortality'!$G$2:$G$1093,'Annual_Mortality'!$A$2:$A$1093,A4)</f>
      </c>
      <c r="K4" s="209" t="str">
        <f>SUMIFS('Annual_Mortality'!$J$2:$J$1093,'Annual_Mortality'!$A$2:$A$1093,A4)</f>
      </c>
      <c r="L4" s="210" t="str">
        <f>SUMIFS('Annual_Mortality'!$F$2:$F$1093,'Annual_Mortality'!$A$2:$A$1093,A4)</f>
      </c>
      <c r="M4" s="211" t="str">
        <f>SUMIFS('Annual_Mortality'!$H$2:$H$1093,'Annual_Mortality'!$A$2:$A$1093,A4)</f>
      </c>
      <c r="N4" s="212" t="str">
        <f>SUMIFS('Annual_Mortality'!$I$2:$I$1093,'Annual_Mortality'!$A$2:$A$1093,A4)</f>
      </c>
      <c r="O4" s="213" t="str">
        <f>SUMIFS('Budget_Impact'!$E$2:$E$157,'Budget_Impact'!$A$2:$A$157,A4)</f>
      </c>
      <c r="P4" s="214" t="str">
        <f>SUMIFS('Budget_Impact'!$F$2:$F$157,'Budget_Impact'!$A$2:$A$157,A4)</f>
      </c>
      <c r="Q4" s="215" t="str">
        <f>IF(K4&gt;0,P4/K4,"")</f>
      </c>
      <c r="R4" s="216" t="str">
        <f>IF(N4&gt;0,P4/N4,"")</f>
      </c>
      <c r="S4" s="140" t="str">
        <f>IF(AND(K4&lt;=0,N4&lt;=0),"no incremental health effect",IF(AND(P4&lt;0,OR(K4&gt;0,N4&gt;0)),"Dominant (more health, lower cost)",IF(N4&gt;0,"USD per death averted","USD per case averted")))</f>
      </c>
    </row>
    <row r="5">
      <c r="A5" t="s">
        <v>250</v>
      </c>
      <c r="B5" s="35" t="s">
        <v>252</v>
      </c>
      <c r="C5" t="s">
        <v>232</v>
      </c>
      <c r="D5" t="s">
        <v>255</v>
      </c>
      <c r="E5" t="s">
        <v>254</v>
      </c>
      <c r="F5" t="s">
        <v>418</v>
      </c>
      <c r="G5" s="35" t="s">
        <v>250</v>
      </c>
      <c r="H5" t="n">
        <v>3</v>
      </c>
      <c r="I5" s="207" t="str">
        <f>SUMIFS('Annual_Mortality'!$E$2:$E$1093,'Annual_Mortality'!$A$2:$A$1093,A5)</f>
      </c>
      <c r="J5" s="208" t="str">
        <f>SUMIFS('Annual_Mortality'!$G$2:$G$1093,'Annual_Mortality'!$A$2:$A$1093,A5)</f>
      </c>
      <c r="K5" s="209" t="str">
        <f>SUMIFS('Annual_Mortality'!$J$2:$J$1093,'Annual_Mortality'!$A$2:$A$1093,A5)</f>
      </c>
      <c r="L5" s="210" t="str">
        <f>SUMIFS('Annual_Mortality'!$F$2:$F$1093,'Annual_Mortality'!$A$2:$A$1093,A5)</f>
      </c>
      <c r="M5" s="211" t="str">
        <f>SUMIFS('Annual_Mortality'!$H$2:$H$1093,'Annual_Mortality'!$A$2:$A$1093,A5)</f>
      </c>
      <c r="N5" s="212" t="str">
        <f>SUMIFS('Annual_Mortality'!$I$2:$I$1093,'Annual_Mortality'!$A$2:$A$1093,A5)</f>
      </c>
      <c r="O5" s="213" t="str">
        <f>SUMIFS('Budget_Impact'!$E$2:$E$157,'Budget_Impact'!$A$2:$A$157,A5)</f>
      </c>
      <c r="P5" s="214" t="str">
        <f>SUMIFS('Budget_Impact'!$F$2:$F$157,'Budget_Impact'!$A$2:$A$157,A5)</f>
      </c>
      <c r="Q5" s="215" t="str">
        <f>IF(K5&gt;0,P5/K5,"")</f>
      </c>
      <c r="R5" s="216" t="str">
        <f>IF(N5&gt;0,P5/N5,"")</f>
      </c>
      <c r="S5" s="140" t="str">
        <f>IF(AND(K5&lt;=0,N5&lt;=0),"no incremental health effect",IF(AND(P5&lt;0,OR(K5&gt;0,N5&gt;0)),"Dominant (more health, lower cost)",IF(N5&gt;0,"USD per death averted","USD per case averted")))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9.71" hidden="0" customWidth="1"/>
    <col min="6" max="6" width="21.71" hidden="0" customWidth="1"/>
    <col min="7" max="7" width="18.71" hidden="0" customWidth="1"/>
    <col min="8" max="8" width="17.71" hidden="0" customWidth="1"/>
    <col min="9" max="9" width="15.71" hidden="0" customWidth="1"/>
    <col min="10" max="10" width="16.71" hidden="0" customWidth="1"/>
    <col min="11" max="11" width="15.71" hidden="0" customWidth="1"/>
    <col min="12" max="12" width="16.71" hidden="0" customWidth="1"/>
    <col min="13" max="13" width="17.71" hidden="0" customWidth="1"/>
    <col min="14" max="14" width="16.71" hidden="0" customWidth="1"/>
    <col min="15" max="15" width="18.71" hidden="0" customWidth="1"/>
    <col min="16" max="16" width="23.71" hidden="0" customWidth="1"/>
    <col min="17" max="17" width="23.71" hidden="0" customWidth="1"/>
    <col min="18" max="18" width="24.71" hidden="0" customWidth="1"/>
    <col min="19" max="19" width="11.71" hidden="0" customWidth="1"/>
  </cols>
  <sheetData>
    <row r="1" ht="28" customHeight="1">
      <c r="A1" s="1" t="s">
        <v>409</v>
      </c>
      <c r="B1" s="1" t="s">
        <v>410</v>
      </c>
      <c r="C1" s="1" t="s">
        <v>492</v>
      </c>
      <c r="D1" s="1" t="s">
        <v>377</v>
      </c>
      <c r="E1" s="1" t="s">
        <v>216</v>
      </c>
      <c r="F1" s="1" t="s">
        <v>1024</v>
      </c>
      <c r="G1" s="1" t="s">
        <v>1025</v>
      </c>
      <c r="H1" s="1" t="s">
        <v>762</v>
      </c>
      <c r="I1" s="1" t="s">
        <v>456</v>
      </c>
      <c r="J1" s="1" t="s">
        <v>457</v>
      </c>
      <c r="K1" s="1" t="s">
        <v>417</v>
      </c>
      <c r="L1" s="1" t="s">
        <v>454</v>
      </c>
      <c r="M1" s="1" t="s">
        <v>455</v>
      </c>
      <c r="N1" s="1" t="s">
        <v>416</v>
      </c>
      <c r="O1" s="1" t="s">
        <v>443</v>
      </c>
      <c r="P1" s="1" t="s">
        <v>444</v>
      </c>
      <c r="Q1" s="1" t="s">
        <v>1026</v>
      </c>
      <c r="R1" s="1" t="s">
        <v>451</v>
      </c>
      <c r="S1" s="1" t="s">
        <v>531</v>
      </c>
    </row>
    <row r="2">
      <c r="A2" t="s">
        <v>254</v>
      </c>
      <c r="B2" s="35" t="s">
        <v>418</v>
      </c>
      <c r="C2" t="s">
        <v>503</v>
      </c>
      <c r="D2" t="s">
        <v>503</v>
      </c>
      <c r="E2" t="s">
        <v>254</v>
      </c>
      <c r="F2" t="s">
        <v>418</v>
      </c>
      <c r="G2" s="35" t="s">
        <v>1027</v>
      </c>
      <c r="H2"/>
      <c r="I2" s="217" t="str">
        <f>SUMIFS('Annual_Mortality'!$E$2:$E$1093,'Annual_Mortality'!$A$2:$A$1093,A2)</f>
      </c>
      <c r="J2" s="218" t="str">
        <f>SUMIFS('Annual_Mortality'!$G$2:$G$1093,'Annual_Mortality'!$A$2:$A$1093,A2)</f>
      </c>
      <c r="K2" s="219" t="str">
        <f>SUMIFS('Annual_Mortality'!$J$2:$J$1093,'Annual_Mortality'!$A$2:$A$1093,A2)</f>
      </c>
      <c r="L2" s="220" t="str">
        <f>SUMIFS('Annual_Mortality'!$F$2:$F$1093,'Annual_Mortality'!$A$2:$A$1093,A2)</f>
      </c>
      <c r="M2" s="221" t="str">
        <f>SUMIFS('Annual_Mortality'!$H$2:$H$1093,'Annual_Mortality'!$A$2:$A$1093,A2)</f>
      </c>
      <c r="N2" s="222" t="str">
        <f>SUMIFS('Annual_Mortality'!$I$2:$I$1093,'Annual_Mortality'!$A$2:$A$1093,A2)</f>
      </c>
      <c r="O2" s="223" t="str">
        <f>SUMIFS('Budget_Impact'!$E$2:$E$157,'Budget_Impact'!$A$2:$A$157,A2)</f>
      </c>
      <c r="P2" s="224" t="str">
        <f>SUMIFS('Budget_Impact'!$F$2:$F$157,'Budget_Impact'!$A$2:$A$157,A2)</f>
      </c>
      <c r="Q2" s="225" t="str">
        <f>IF(K2&gt;0,P2/K2,"")</f>
      </c>
      <c r="R2" s="226" t="str">
        <f>IF(N2&gt;0,P2/N2,"")</f>
      </c>
      <c r="S2" s="140" t="str">
        <f>IF(AND(K2&lt;=0,N2&lt;=0),"no incremental health effect",IF(AND(P2&lt;0,OR(K2&gt;0,N2&gt;0)),"Dominant (more health, lower cost)",IF(N2&gt;0,"USD per death averted","USD per case averted")))</f>
      </c>
    </row>
    <row r="3">
      <c r="A3" t="s">
        <v>116</v>
      </c>
      <c r="B3" s="35" t="s">
        <v>422</v>
      </c>
      <c r="C3" t="s">
        <v>510</v>
      </c>
      <c r="D3" t="s">
        <v>510</v>
      </c>
      <c r="E3"/>
      <c r="F3"/>
      <c r="G3" s="35" t="s">
        <v>1028</v>
      </c>
      <c r="H3"/>
      <c r="I3" s="217" t="str">
        <f>SUMIFS('Annual_Mortality'!$E$2:$E$1093,'Annual_Mortality'!$A$2:$A$1093,A3)</f>
      </c>
      <c r="J3" s="218" t="str">
        <f>SUMIFS('Annual_Mortality'!$G$2:$G$1093,'Annual_Mortality'!$A$2:$A$1093,A3)</f>
      </c>
      <c r="K3" s="219" t="str">
        <f>SUMIFS('Annual_Mortality'!$J$2:$J$1093,'Annual_Mortality'!$A$2:$A$1093,A3)</f>
      </c>
      <c r="L3" s="220" t="str">
        <f>SUMIFS('Annual_Mortality'!$F$2:$F$1093,'Annual_Mortality'!$A$2:$A$1093,A3)</f>
      </c>
      <c r="M3" s="221" t="str">
        <f>SUMIFS('Annual_Mortality'!$H$2:$H$1093,'Annual_Mortality'!$A$2:$A$1093,A3)</f>
      </c>
      <c r="N3" s="222" t="str">
        <f>SUMIFS('Annual_Mortality'!$I$2:$I$1093,'Annual_Mortality'!$A$2:$A$1093,A3)</f>
      </c>
      <c r="O3" s="223" t="str">
        <f>SUMIFS('Budget_Impact'!$E$2:$E$157,'Budget_Impact'!$A$2:$A$157,A3)</f>
      </c>
      <c r="P3" s="224" t="str">
        <f>SUMIFS('Budget_Impact'!$F$2:$F$157,'Budget_Impact'!$A$2:$A$157,A3)</f>
      </c>
      <c r="Q3" s="225" t="str">
        <f>IF(K3&gt;0,P3/K3,"")</f>
      </c>
      <c r="R3" s="226" t="str">
        <f>IF(N3&gt;0,P3/N3,"")</f>
      </c>
      <c r="S3" s="140" t="str">
        <f>IF(AND(K3&lt;=0,N3&lt;=0),"no incremental health effect",IF(AND(P3&lt;0,OR(K3&gt;0,N3&gt;0)),"Dominant (more health, lower cost)",IF(N3&gt;0,"USD per death averted","USD per case averted")))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21.71" hidden="0" customWidth="1"/>
    <col min="4" max="4" width="16.71" hidden="0" customWidth="1"/>
    <col min="5" max="5" width="15.71" hidden="0" customWidth="1"/>
    <col min="6" max="6" width="19.71" hidden="0" customWidth="1"/>
    <col min="7" max="7" width="18.71" hidden="0" customWidth="1"/>
    <col min="8" max="8" width="17.71" hidden="0" customWidth="1"/>
  </cols>
  <sheetData>
    <row r="1" ht="28" customHeight="1">
      <c r="A1" s="1" t="s">
        <v>409</v>
      </c>
      <c r="B1" s="1" t="s">
        <v>410</v>
      </c>
      <c r="C1" s="1" t="s">
        <v>491</v>
      </c>
      <c r="D1" s="1" t="s">
        <v>492</v>
      </c>
      <c r="E1" s="1" t="s">
        <v>377</v>
      </c>
      <c r="F1" s="1" t="s">
        <v>216</v>
      </c>
      <c r="G1" s="1" t="s">
        <v>1025</v>
      </c>
      <c r="H1" s="1" t="s">
        <v>1029</v>
      </c>
    </row>
    <row r="2">
      <c r="A2" s="3" t="s">
        <v>113</v>
      </c>
      <c r="B2" s="202" t="s">
        <v>521</v>
      </c>
      <c r="C2" s="3" t="s">
        <v>113</v>
      </c>
      <c r="D2" s="3" t="s">
        <v>113</v>
      </c>
      <c r="E2" s="3" t="s">
        <v>113</v>
      </c>
      <c r="F2" s="3"/>
      <c r="G2" s="202" t="s">
        <v>1030</v>
      </c>
      <c r="H2" s="3" t="n">
        <v>0</v>
      </c>
    </row>
    <row r="3">
      <c r="A3" s="3" t="s">
        <v>219</v>
      </c>
      <c r="B3" s="202" t="s">
        <v>221</v>
      </c>
      <c r="C3" s="3" t="s">
        <v>502</v>
      </c>
      <c r="D3" s="3" t="s">
        <v>232</v>
      </c>
      <c r="E3" s="3" t="s">
        <v>232</v>
      </c>
      <c r="F3" s="3"/>
      <c r="G3" s="202" t="s">
        <v>219</v>
      </c>
      <c r="H3" s="3" t="n">
        <v>1</v>
      </c>
    </row>
    <row r="4">
      <c r="A4" s="3" t="s">
        <v>262</v>
      </c>
      <c r="B4" s="202" t="s">
        <v>264</v>
      </c>
      <c r="C4" s="3" t="s">
        <v>502</v>
      </c>
      <c r="D4" s="3" t="s">
        <v>232</v>
      </c>
      <c r="E4" s="3" t="s">
        <v>255</v>
      </c>
      <c r="F4" s="3" t="s">
        <v>254</v>
      </c>
      <c r="G4" s="202" t="s">
        <v>262</v>
      </c>
      <c r="H4" s="3" t="n">
        <v>1</v>
      </c>
    </row>
    <row r="5">
      <c r="A5" s="3" t="s">
        <v>272</v>
      </c>
      <c r="B5" s="202" t="s">
        <v>274</v>
      </c>
      <c r="C5" s="3" t="s">
        <v>502</v>
      </c>
      <c r="D5" s="3" t="s">
        <v>232</v>
      </c>
      <c r="E5" s="3" t="s">
        <v>255</v>
      </c>
      <c r="F5" s="3" t="s">
        <v>254</v>
      </c>
      <c r="G5" s="202" t="s">
        <v>272</v>
      </c>
      <c r="H5" s="3" t="n">
        <v>1</v>
      </c>
    </row>
    <row r="6">
      <c r="A6" s="3" t="s">
        <v>250</v>
      </c>
      <c r="B6" s="202" t="s">
        <v>252</v>
      </c>
      <c r="C6" s="3" t="s">
        <v>502</v>
      </c>
      <c r="D6" s="3" t="s">
        <v>232</v>
      </c>
      <c r="E6" s="3" t="s">
        <v>255</v>
      </c>
      <c r="F6" s="3" t="s">
        <v>254</v>
      </c>
      <c r="G6" s="202" t="s">
        <v>250</v>
      </c>
      <c r="H6" s="3" t="n">
        <v>1</v>
      </c>
    </row>
    <row r="7">
      <c r="A7" s="3" t="s">
        <v>254</v>
      </c>
      <c r="B7" s="202" t="s">
        <v>418</v>
      </c>
      <c r="C7" s="3" t="s">
        <v>502</v>
      </c>
      <c r="D7" s="3" t="s">
        <v>503</v>
      </c>
      <c r="E7" s="3" t="s">
        <v>503</v>
      </c>
      <c r="F7" s="3" t="s">
        <v>254</v>
      </c>
      <c r="G7" s="202" t="s">
        <v>1027</v>
      </c>
      <c r="H7" s="3" t="n">
        <v>3</v>
      </c>
    </row>
    <row r="8">
      <c r="A8" s="3" t="s">
        <v>116</v>
      </c>
      <c r="B8" s="202" t="s">
        <v>422</v>
      </c>
      <c r="C8" s="3" t="s">
        <v>502</v>
      </c>
      <c r="D8" s="3" t="s">
        <v>510</v>
      </c>
      <c r="E8" s="3" t="s">
        <v>510</v>
      </c>
      <c r="F8" s="3"/>
      <c r="G8" s="202" t="s">
        <v>1028</v>
      </c>
      <c r="H8" s="3" t="n">
        <v>4</v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2026-08-30T21:25:52Z</dcterms:created>
</coreProperties>
</file>